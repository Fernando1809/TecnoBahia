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cno\Downloads\Beta\"/>
    </mc:Choice>
  </mc:AlternateContent>
  <xr:revisionPtr revIDLastSave="0" documentId="13_ncr:1_{4218CD43-6097-4060-8AF4-A39AB9FA35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DIDO" sheetId="2" r:id="rId1"/>
    <sheet name="LISTA_COMPLETA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F">#REF!</definedName>
    <definedName name="_xlnm._FilterDatabase" localSheetId="1" hidden="1">LISTA_COMPLETA!$A$2:$F$2475</definedName>
    <definedName name="_TY1" localSheetId="1">#REF!</definedName>
    <definedName name="_TY1">#REF!</definedName>
    <definedName name="CADUCIDAD" localSheetId="1">[1]PT!$A$1:$D$3551</definedName>
    <definedName name="CADUCIDAD">[2]PT!$A$1:$D$3551</definedName>
    <definedName name="d" localSheetId="1">#REF!</definedName>
    <definedName name="d">#REF!</definedName>
    <definedName name="ESPECIFICACIONES" localSheetId="1">'[3]INTRODUCCION DE DATOS'!$A$1:$AC$1012</definedName>
    <definedName name="ESPECIFICACIONES">'[4]INTRODUCCION DE DATOS'!$A$1:$AC$1012</definedName>
    <definedName name="gmroi" localSheetId="1">'[5]GMROI YR END 08'!#REF!</definedName>
    <definedName name="gmroi">'[6]GMROI YR END 08'!#REF!</definedName>
    <definedName name="index" localSheetId="1">#REF!</definedName>
    <definedName name="index">#REF!</definedName>
    <definedName name="KEM" localSheetId="1">'[7]INTRODUCCION DE DATOS'!$A$1:$AC$1012</definedName>
    <definedName name="KEM">'[8]INTRODUCCION DE DATOS'!$A$1:$AC$1012</definedName>
    <definedName name="margmroi" localSheetId="1">#REF!</definedName>
    <definedName name="margmroi">#REF!</definedName>
    <definedName name="matt" localSheetId="1">#REF!</definedName>
    <definedName name="matt">#REF!</definedName>
    <definedName name="MODIFICACIONES" localSheetId="1">#REF!</definedName>
    <definedName name="MODIFICACIONES">#REF!</definedName>
    <definedName name="mp" localSheetId="1">#REF!</definedName>
    <definedName name="mp">#REF!</definedName>
    <definedName name="newtrans" localSheetId="1">#REF!</definedName>
    <definedName name="newtrans">#REF!</definedName>
    <definedName name="notused" localSheetId="1">#REF!</definedName>
    <definedName name="notused">#REF!</definedName>
    <definedName name="pm" localSheetId="1">#REF!</definedName>
    <definedName name="pm">#REF!</definedName>
    <definedName name="prices" localSheetId="1">[9]transfers!$B$2:$C$599</definedName>
    <definedName name="prices">[10]transfers!$B$2:$C$599</definedName>
    <definedName name="PRODUCTOS">#REF!</definedName>
    <definedName name="rex" localSheetId="1">#REF!</definedName>
    <definedName name="rex">#REF!</definedName>
    <definedName name="sheet3" localSheetId="1">#REF!</definedName>
    <definedName name="sheet3">#REF!</definedName>
    <definedName name="SS" localSheetId="1">#REF!</definedName>
    <definedName name="SS">#REF!</definedName>
    <definedName name="table" localSheetId="1">#REF!</definedName>
    <definedName name="table">#REF!</definedName>
    <definedName name="term" localSheetId="1">#REF!</definedName>
    <definedName name="term">#REF!</definedName>
    <definedName name="transfer" localSheetId="1">#REF!</definedName>
    <definedName name="transfer">#REF!</definedName>
    <definedName name="tv" localSheetId="1">#REF!</definedName>
    <definedName name="tv">#REF!</definedName>
    <definedName name="V" localSheetId="1">#REF!</definedName>
    <definedName name="V">#REF!</definedName>
    <definedName name="XXXX" localSheetId="1">#REF!</definedName>
    <definedName name="X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C3" i="3"/>
  <c r="D3" i="3"/>
  <c r="E3" i="3"/>
  <c r="F3" i="3"/>
  <c r="C4" i="3"/>
  <c r="D4" i="3"/>
  <c r="E4" i="3"/>
  <c r="F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C32" i="3"/>
  <c r="D32" i="3"/>
  <c r="E32" i="3"/>
  <c r="F32" i="3"/>
  <c r="C33" i="3"/>
  <c r="D33" i="3"/>
  <c r="E33" i="3"/>
  <c r="F33" i="3"/>
  <c r="C34" i="3"/>
  <c r="D34" i="3"/>
  <c r="E34" i="3"/>
  <c r="F34" i="3"/>
  <c r="C35" i="3"/>
  <c r="D35" i="3"/>
  <c r="E35" i="3"/>
  <c r="F35" i="3"/>
  <c r="C36" i="3"/>
  <c r="D36" i="3"/>
  <c r="E36" i="3"/>
  <c r="F36" i="3"/>
  <c r="C37" i="3"/>
  <c r="D37" i="3"/>
  <c r="E37" i="3"/>
  <c r="F37" i="3"/>
  <c r="C38" i="3"/>
  <c r="D38" i="3"/>
  <c r="E38" i="3"/>
  <c r="F38" i="3"/>
  <c r="C39" i="3"/>
  <c r="D39" i="3"/>
  <c r="E39" i="3"/>
  <c r="F39" i="3"/>
  <c r="C40" i="3"/>
  <c r="D40" i="3"/>
  <c r="E40" i="3"/>
  <c r="F40" i="3"/>
  <c r="C41" i="3"/>
  <c r="D41" i="3"/>
  <c r="E41" i="3"/>
  <c r="F41" i="3"/>
  <c r="C42" i="3"/>
  <c r="D42" i="3"/>
  <c r="E42" i="3"/>
  <c r="F42" i="3"/>
  <c r="C43" i="3"/>
  <c r="D43" i="3"/>
  <c r="E43" i="3"/>
  <c r="F43" i="3"/>
  <c r="C44" i="3"/>
  <c r="D44" i="3"/>
  <c r="E44" i="3"/>
  <c r="F44" i="3"/>
  <c r="C45" i="3"/>
  <c r="D45" i="3"/>
  <c r="E45" i="3"/>
  <c r="F45" i="3"/>
  <c r="C46" i="3"/>
  <c r="D46" i="3"/>
  <c r="E46" i="3"/>
  <c r="F46" i="3"/>
  <c r="C47" i="3"/>
  <c r="D47" i="3"/>
  <c r="E47" i="3"/>
  <c r="F47" i="3"/>
  <c r="C48" i="3"/>
  <c r="D48" i="3"/>
  <c r="E48" i="3"/>
  <c r="F48" i="3"/>
  <c r="C49" i="3"/>
  <c r="D49" i="3"/>
  <c r="E49" i="3"/>
  <c r="F49" i="3"/>
  <c r="C50" i="3"/>
  <c r="D50" i="3"/>
  <c r="E50" i="3"/>
  <c r="F50" i="3"/>
  <c r="C51" i="3"/>
  <c r="D51" i="3"/>
  <c r="E51" i="3"/>
  <c r="F51" i="3"/>
  <c r="C52" i="3"/>
  <c r="D52" i="3"/>
  <c r="E52" i="3"/>
  <c r="F52" i="3"/>
  <c r="C53" i="3"/>
  <c r="D53" i="3"/>
  <c r="E53" i="3"/>
  <c r="F53" i="3"/>
  <c r="C54" i="3"/>
  <c r="D54" i="3"/>
  <c r="E54" i="3"/>
  <c r="F54" i="3"/>
  <c r="C55" i="3"/>
  <c r="D55" i="3"/>
  <c r="E55" i="3"/>
  <c r="F55" i="3"/>
  <c r="C56" i="3"/>
  <c r="D56" i="3"/>
  <c r="E56" i="3"/>
  <c r="F56" i="3"/>
  <c r="C57" i="3"/>
  <c r="D57" i="3"/>
  <c r="E57" i="3"/>
  <c r="F57" i="3"/>
  <c r="C58" i="3"/>
  <c r="D58" i="3"/>
  <c r="E58" i="3"/>
  <c r="F58" i="3"/>
  <c r="C59" i="3"/>
  <c r="D59" i="3"/>
  <c r="E59" i="3"/>
  <c r="F59" i="3"/>
  <c r="C60" i="3"/>
  <c r="D60" i="3"/>
  <c r="E60" i="3"/>
  <c r="F60" i="3"/>
  <c r="C61" i="3"/>
  <c r="D61" i="3"/>
  <c r="E61" i="3"/>
  <c r="F61" i="3"/>
  <c r="C62" i="3"/>
  <c r="D62" i="3"/>
  <c r="E62" i="3"/>
  <c r="F62" i="3"/>
  <c r="C63" i="3"/>
  <c r="D63" i="3"/>
  <c r="E63" i="3"/>
  <c r="F63" i="3"/>
  <c r="C64" i="3"/>
  <c r="D64" i="3"/>
  <c r="E64" i="3"/>
  <c r="F64" i="3"/>
  <c r="C65" i="3"/>
  <c r="D65" i="3"/>
  <c r="E65" i="3"/>
  <c r="F65" i="3"/>
  <c r="C66" i="3"/>
  <c r="D66" i="3"/>
  <c r="E66" i="3"/>
  <c r="F66" i="3"/>
  <c r="C67" i="3"/>
  <c r="D67" i="3"/>
  <c r="E67" i="3"/>
  <c r="F67" i="3"/>
  <c r="C68" i="3"/>
  <c r="D68" i="3"/>
  <c r="E68" i="3"/>
  <c r="F68" i="3"/>
  <c r="C69" i="3"/>
  <c r="D69" i="3"/>
  <c r="E69" i="3"/>
  <c r="F69" i="3"/>
  <c r="C70" i="3"/>
  <c r="D70" i="3"/>
  <c r="E70" i="3"/>
  <c r="F70" i="3"/>
  <c r="C71" i="3"/>
  <c r="D71" i="3"/>
  <c r="E71" i="3"/>
  <c r="F71" i="3"/>
  <c r="C72" i="3"/>
  <c r="D72" i="3"/>
  <c r="E72" i="3"/>
  <c r="F72" i="3"/>
  <c r="C73" i="3"/>
  <c r="D73" i="3"/>
  <c r="E73" i="3"/>
  <c r="F73" i="3"/>
  <c r="C74" i="3"/>
  <c r="D74" i="3"/>
  <c r="E74" i="3"/>
  <c r="F74" i="3"/>
  <c r="C75" i="3"/>
  <c r="D75" i="3"/>
  <c r="E75" i="3"/>
  <c r="F75" i="3"/>
  <c r="C76" i="3"/>
  <c r="D76" i="3"/>
  <c r="E76" i="3"/>
  <c r="F76" i="3"/>
  <c r="C77" i="3"/>
  <c r="D77" i="3"/>
  <c r="E77" i="3"/>
  <c r="F77" i="3"/>
  <c r="C78" i="3"/>
  <c r="D78" i="3"/>
  <c r="E78" i="3"/>
  <c r="F78" i="3"/>
  <c r="C79" i="3"/>
  <c r="D79" i="3"/>
  <c r="E79" i="3"/>
  <c r="F79" i="3"/>
  <c r="C80" i="3"/>
  <c r="D80" i="3"/>
  <c r="E80" i="3"/>
  <c r="F80" i="3"/>
  <c r="C81" i="3"/>
  <c r="D81" i="3"/>
  <c r="E81" i="3"/>
  <c r="F81" i="3"/>
  <c r="C82" i="3"/>
  <c r="D82" i="3"/>
  <c r="E82" i="3"/>
  <c r="F82" i="3"/>
  <c r="C83" i="3"/>
  <c r="D83" i="3"/>
  <c r="E83" i="3"/>
  <c r="F83" i="3"/>
  <c r="C84" i="3"/>
  <c r="D84" i="3"/>
  <c r="E84" i="3"/>
  <c r="F84" i="3"/>
  <c r="C85" i="3"/>
  <c r="D85" i="3"/>
  <c r="E85" i="3"/>
  <c r="F85" i="3"/>
  <c r="C86" i="3"/>
  <c r="D86" i="3"/>
  <c r="E86" i="3"/>
  <c r="F86" i="3"/>
  <c r="C87" i="3"/>
  <c r="D87" i="3"/>
  <c r="E87" i="3"/>
  <c r="F87" i="3"/>
  <c r="C88" i="3"/>
  <c r="D88" i="3"/>
  <c r="E88" i="3"/>
  <c r="F88" i="3"/>
  <c r="C89" i="3"/>
  <c r="D89" i="3"/>
  <c r="E89" i="3"/>
  <c r="F89" i="3"/>
  <c r="C90" i="3"/>
  <c r="D90" i="3"/>
  <c r="E90" i="3"/>
  <c r="F90" i="3"/>
  <c r="C91" i="3"/>
  <c r="D91" i="3"/>
  <c r="E91" i="3"/>
  <c r="F91" i="3"/>
  <c r="C92" i="3"/>
  <c r="D92" i="3"/>
  <c r="E92" i="3"/>
  <c r="F92" i="3"/>
  <c r="C93" i="3"/>
  <c r="D93" i="3"/>
  <c r="E93" i="3"/>
  <c r="F93" i="3"/>
  <c r="C94" i="3"/>
  <c r="D94" i="3"/>
  <c r="E94" i="3"/>
  <c r="F94" i="3"/>
  <c r="C95" i="3"/>
  <c r="D95" i="3"/>
  <c r="E95" i="3"/>
  <c r="F95" i="3"/>
  <c r="C96" i="3"/>
  <c r="D96" i="3"/>
  <c r="E96" i="3"/>
  <c r="F96" i="3"/>
  <c r="C97" i="3"/>
  <c r="D97" i="3"/>
  <c r="E97" i="3"/>
  <c r="F97" i="3"/>
  <c r="C98" i="3"/>
  <c r="D98" i="3"/>
  <c r="E98" i="3"/>
  <c r="F98" i="3"/>
  <c r="C99" i="3"/>
  <c r="D99" i="3"/>
  <c r="E99" i="3"/>
  <c r="F99" i="3"/>
  <c r="C100" i="3"/>
  <c r="D100" i="3"/>
  <c r="E100" i="3"/>
  <c r="F100" i="3"/>
  <c r="C101" i="3"/>
  <c r="D101" i="3"/>
  <c r="E101" i="3"/>
  <c r="F101" i="3"/>
  <c r="C102" i="3"/>
  <c r="D102" i="3"/>
  <c r="E102" i="3"/>
  <c r="F102" i="3"/>
  <c r="C103" i="3"/>
  <c r="D103" i="3"/>
  <c r="E103" i="3"/>
  <c r="F103" i="3"/>
  <c r="C104" i="3"/>
  <c r="D104" i="3"/>
  <c r="E104" i="3"/>
  <c r="F104" i="3"/>
  <c r="C105" i="3"/>
  <c r="D105" i="3"/>
  <c r="E105" i="3"/>
  <c r="F105" i="3"/>
  <c r="C106" i="3"/>
  <c r="D106" i="3"/>
  <c r="E106" i="3"/>
  <c r="F106" i="3"/>
  <c r="C107" i="3"/>
  <c r="D107" i="3"/>
  <c r="E107" i="3"/>
  <c r="F107" i="3"/>
  <c r="C108" i="3"/>
  <c r="D108" i="3"/>
  <c r="E108" i="3"/>
  <c r="F108" i="3"/>
  <c r="C109" i="3"/>
  <c r="D109" i="3"/>
  <c r="E109" i="3"/>
  <c r="F109" i="3"/>
  <c r="C110" i="3"/>
  <c r="D110" i="3"/>
  <c r="E110" i="3"/>
  <c r="F110" i="3"/>
  <c r="C111" i="3"/>
  <c r="D111" i="3"/>
  <c r="E111" i="3"/>
  <c r="F111" i="3"/>
  <c r="C112" i="3"/>
  <c r="D112" i="3"/>
  <c r="E112" i="3"/>
  <c r="F112" i="3"/>
  <c r="C113" i="3"/>
  <c r="D113" i="3"/>
  <c r="E113" i="3"/>
  <c r="F113" i="3"/>
  <c r="C114" i="3"/>
  <c r="D114" i="3"/>
  <c r="E114" i="3"/>
  <c r="F114" i="3"/>
  <c r="C115" i="3"/>
  <c r="D115" i="3"/>
  <c r="E115" i="3"/>
  <c r="F115" i="3"/>
  <c r="C116" i="3"/>
  <c r="D116" i="3"/>
  <c r="E116" i="3"/>
  <c r="F116" i="3"/>
  <c r="C117" i="3"/>
  <c r="D117" i="3"/>
  <c r="E117" i="3"/>
  <c r="F117" i="3"/>
  <c r="C118" i="3"/>
  <c r="D118" i="3"/>
  <c r="E118" i="3"/>
  <c r="F118" i="3"/>
  <c r="C119" i="3"/>
  <c r="D119" i="3"/>
  <c r="E119" i="3"/>
  <c r="F119" i="3"/>
  <c r="C120" i="3"/>
  <c r="D120" i="3"/>
  <c r="E120" i="3"/>
  <c r="F120" i="3"/>
  <c r="C121" i="3"/>
  <c r="D121" i="3"/>
  <c r="E121" i="3"/>
  <c r="F121" i="3"/>
  <c r="C122" i="3"/>
  <c r="D122" i="3"/>
  <c r="E122" i="3"/>
  <c r="F122" i="3"/>
  <c r="C123" i="3"/>
  <c r="D123" i="3"/>
  <c r="E123" i="3"/>
  <c r="F123" i="3"/>
  <c r="C124" i="3"/>
  <c r="D124" i="3"/>
  <c r="E124" i="3"/>
  <c r="F124" i="3"/>
  <c r="C125" i="3"/>
  <c r="D125" i="3"/>
  <c r="E125" i="3"/>
  <c r="F125" i="3"/>
  <c r="C126" i="3"/>
  <c r="D126" i="3"/>
  <c r="E126" i="3"/>
  <c r="F126" i="3"/>
  <c r="C127" i="3"/>
  <c r="D127" i="3"/>
  <c r="E127" i="3"/>
  <c r="F127" i="3"/>
  <c r="C128" i="3"/>
  <c r="D128" i="3"/>
  <c r="E128" i="3"/>
  <c r="F128" i="3"/>
  <c r="C129" i="3"/>
  <c r="D129" i="3"/>
  <c r="E129" i="3"/>
  <c r="F129" i="3"/>
  <c r="C130" i="3"/>
  <c r="D130" i="3"/>
  <c r="E130" i="3"/>
  <c r="F130" i="3"/>
  <c r="C131" i="3"/>
  <c r="D131" i="3"/>
  <c r="E131" i="3"/>
  <c r="F131" i="3"/>
  <c r="C132" i="3"/>
  <c r="D132" i="3"/>
  <c r="E132" i="3"/>
  <c r="F132" i="3"/>
  <c r="C133" i="3"/>
  <c r="D133" i="3"/>
  <c r="E133" i="3"/>
  <c r="F133" i="3"/>
  <c r="C134" i="3"/>
  <c r="D134" i="3"/>
  <c r="E134" i="3"/>
  <c r="F134" i="3"/>
  <c r="C135" i="3"/>
  <c r="D135" i="3"/>
  <c r="E135" i="3"/>
  <c r="F135" i="3"/>
  <c r="C136" i="3"/>
  <c r="D136" i="3"/>
  <c r="E136" i="3"/>
  <c r="F136" i="3"/>
  <c r="C137" i="3"/>
  <c r="D137" i="3"/>
  <c r="E137" i="3"/>
  <c r="F137" i="3"/>
  <c r="C138" i="3"/>
  <c r="D138" i="3"/>
  <c r="E138" i="3"/>
  <c r="F138" i="3"/>
  <c r="C139" i="3"/>
  <c r="D139" i="3"/>
  <c r="E139" i="3"/>
  <c r="F139" i="3"/>
  <c r="C140" i="3"/>
  <c r="D140" i="3"/>
  <c r="E140" i="3"/>
  <c r="F140" i="3"/>
  <c r="C141" i="3"/>
  <c r="D141" i="3"/>
  <c r="E141" i="3"/>
  <c r="F141" i="3"/>
  <c r="C142" i="3"/>
  <c r="D142" i="3"/>
  <c r="E142" i="3"/>
  <c r="F142" i="3"/>
  <c r="C143" i="3"/>
  <c r="D143" i="3"/>
  <c r="E143" i="3"/>
  <c r="F143" i="3"/>
  <c r="C144" i="3"/>
  <c r="D144" i="3"/>
  <c r="E144" i="3"/>
  <c r="F144" i="3"/>
  <c r="C145" i="3"/>
  <c r="D145" i="3"/>
  <c r="E145" i="3"/>
  <c r="F145" i="3"/>
  <c r="C146" i="3"/>
  <c r="D146" i="3"/>
  <c r="E146" i="3"/>
  <c r="F146" i="3"/>
  <c r="C147" i="3"/>
  <c r="D147" i="3"/>
  <c r="E147" i="3"/>
  <c r="F147" i="3"/>
  <c r="C148" i="3"/>
  <c r="D148" i="3"/>
  <c r="E148" i="3"/>
  <c r="F148" i="3"/>
  <c r="C149" i="3"/>
  <c r="D149" i="3"/>
  <c r="E149" i="3"/>
  <c r="F149" i="3"/>
  <c r="C150" i="3"/>
  <c r="D150" i="3"/>
  <c r="E150" i="3"/>
  <c r="F150" i="3"/>
  <c r="C151" i="3"/>
  <c r="D151" i="3"/>
  <c r="E151" i="3"/>
  <c r="F151" i="3"/>
  <c r="C152" i="3"/>
  <c r="D152" i="3"/>
  <c r="E152" i="3"/>
  <c r="F152" i="3"/>
  <c r="C153" i="3"/>
  <c r="D153" i="3"/>
  <c r="E153" i="3"/>
  <c r="F153" i="3"/>
  <c r="C154" i="3"/>
  <c r="D154" i="3"/>
  <c r="E154" i="3"/>
  <c r="F154" i="3"/>
  <c r="C155" i="3"/>
  <c r="D155" i="3"/>
  <c r="E155" i="3"/>
  <c r="F155" i="3"/>
  <c r="C156" i="3"/>
  <c r="D156" i="3"/>
  <c r="E156" i="3"/>
  <c r="F156" i="3"/>
  <c r="C157" i="3"/>
  <c r="D157" i="3"/>
  <c r="E157" i="3"/>
  <c r="F157" i="3"/>
  <c r="C158" i="3"/>
  <c r="D158" i="3"/>
  <c r="E158" i="3"/>
  <c r="F158" i="3"/>
  <c r="C159" i="3"/>
  <c r="D159" i="3"/>
  <c r="E159" i="3"/>
  <c r="F159" i="3"/>
  <c r="C160" i="3"/>
  <c r="D160" i="3"/>
  <c r="E160" i="3"/>
  <c r="F160" i="3"/>
  <c r="C161" i="3"/>
  <c r="D161" i="3"/>
  <c r="E161" i="3"/>
  <c r="F161" i="3"/>
  <c r="C162" i="3"/>
  <c r="D162" i="3"/>
  <c r="E162" i="3"/>
  <c r="F162" i="3"/>
  <c r="C163" i="3"/>
  <c r="D163" i="3"/>
  <c r="E163" i="3"/>
  <c r="F163" i="3"/>
  <c r="C164" i="3"/>
  <c r="D164" i="3"/>
  <c r="E164" i="3"/>
  <c r="F164" i="3"/>
  <c r="C165" i="3"/>
  <c r="D165" i="3"/>
  <c r="E165" i="3"/>
  <c r="F165" i="3"/>
  <c r="C166" i="3"/>
  <c r="D166" i="3"/>
  <c r="E166" i="3"/>
  <c r="F166" i="3"/>
  <c r="C167" i="3"/>
  <c r="D167" i="3"/>
  <c r="E167" i="3"/>
  <c r="F167" i="3"/>
  <c r="C168" i="3"/>
  <c r="D168" i="3"/>
  <c r="E168" i="3"/>
  <c r="F168" i="3"/>
  <c r="C169" i="3"/>
  <c r="D169" i="3"/>
  <c r="E169" i="3"/>
  <c r="F169" i="3"/>
  <c r="C170" i="3"/>
  <c r="D170" i="3"/>
  <c r="E170" i="3"/>
  <c r="F170" i="3"/>
  <c r="C171" i="3"/>
  <c r="D171" i="3"/>
  <c r="E171" i="3"/>
  <c r="F171" i="3"/>
  <c r="C172" i="3"/>
  <c r="D172" i="3"/>
  <c r="E172" i="3"/>
  <c r="F172" i="3"/>
  <c r="C173" i="3"/>
  <c r="D173" i="3"/>
  <c r="E173" i="3"/>
  <c r="F173" i="3"/>
  <c r="C174" i="3"/>
  <c r="D174" i="3"/>
  <c r="E174" i="3"/>
  <c r="F174" i="3"/>
  <c r="C175" i="3"/>
  <c r="D175" i="3"/>
  <c r="E175" i="3"/>
  <c r="F175" i="3"/>
  <c r="C176" i="3"/>
  <c r="D176" i="3"/>
  <c r="E176" i="3"/>
  <c r="F176" i="3"/>
  <c r="C177" i="3"/>
  <c r="D177" i="3"/>
  <c r="E177" i="3"/>
  <c r="F177" i="3"/>
  <c r="C178" i="3"/>
  <c r="D178" i="3"/>
  <c r="E178" i="3"/>
  <c r="F178" i="3"/>
  <c r="C179" i="3"/>
  <c r="D179" i="3"/>
  <c r="E179" i="3"/>
  <c r="F179" i="3"/>
  <c r="C180" i="3"/>
  <c r="D180" i="3"/>
  <c r="E180" i="3"/>
  <c r="F180" i="3"/>
  <c r="C181" i="3"/>
  <c r="D181" i="3"/>
  <c r="E181" i="3"/>
  <c r="F181" i="3"/>
  <c r="C182" i="3"/>
  <c r="D182" i="3"/>
  <c r="E182" i="3"/>
  <c r="F182" i="3"/>
  <c r="C183" i="3"/>
  <c r="D183" i="3"/>
  <c r="E183" i="3"/>
  <c r="F183" i="3"/>
  <c r="C184" i="3"/>
  <c r="D184" i="3"/>
  <c r="E184" i="3"/>
  <c r="F184" i="3"/>
  <c r="C185" i="3"/>
  <c r="D185" i="3"/>
  <c r="E185" i="3"/>
  <c r="F185" i="3"/>
  <c r="C186" i="3"/>
  <c r="D186" i="3"/>
  <c r="E186" i="3"/>
  <c r="F186" i="3"/>
  <c r="C187" i="3"/>
  <c r="D187" i="3"/>
  <c r="E187" i="3"/>
  <c r="F187" i="3"/>
  <c r="C188" i="3"/>
  <c r="D188" i="3"/>
  <c r="E188" i="3"/>
  <c r="F188" i="3"/>
  <c r="C189" i="3"/>
  <c r="D189" i="3"/>
  <c r="E189" i="3"/>
  <c r="F189" i="3"/>
  <c r="C190" i="3"/>
  <c r="D190" i="3"/>
  <c r="E190" i="3"/>
  <c r="F190" i="3"/>
  <c r="C191" i="3"/>
  <c r="D191" i="3"/>
  <c r="E191" i="3"/>
  <c r="F191" i="3"/>
  <c r="C192" i="3"/>
  <c r="D192" i="3"/>
  <c r="E192" i="3"/>
  <c r="F192" i="3"/>
  <c r="C193" i="3"/>
  <c r="D193" i="3"/>
  <c r="E193" i="3"/>
  <c r="F193" i="3"/>
  <c r="C194" i="3"/>
  <c r="D194" i="3"/>
  <c r="E194" i="3"/>
  <c r="F194" i="3"/>
  <c r="C195" i="3"/>
  <c r="D195" i="3"/>
  <c r="E195" i="3"/>
  <c r="F195" i="3"/>
  <c r="C196" i="3"/>
  <c r="D196" i="3"/>
  <c r="E196" i="3"/>
  <c r="F196" i="3"/>
  <c r="C197" i="3"/>
  <c r="D197" i="3"/>
  <c r="E197" i="3"/>
  <c r="F197" i="3"/>
  <c r="C198" i="3"/>
  <c r="D198" i="3"/>
  <c r="E198" i="3"/>
  <c r="F198" i="3"/>
  <c r="C199" i="3"/>
  <c r="D199" i="3"/>
  <c r="E199" i="3"/>
  <c r="F199" i="3"/>
  <c r="C200" i="3"/>
  <c r="D200" i="3"/>
  <c r="E200" i="3"/>
  <c r="F200" i="3"/>
  <c r="C201" i="3"/>
  <c r="D201" i="3"/>
  <c r="E201" i="3"/>
  <c r="F201" i="3"/>
  <c r="C202" i="3"/>
  <c r="D202" i="3"/>
  <c r="E202" i="3"/>
  <c r="F202" i="3"/>
  <c r="C203" i="3"/>
  <c r="D203" i="3"/>
  <c r="E203" i="3"/>
  <c r="F203" i="3"/>
  <c r="C204" i="3"/>
  <c r="D204" i="3"/>
  <c r="E204" i="3"/>
  <c r="F204" i="3"/>
  <c r="C205" i="3"/>
  <c r="D205" i="3"/>
  <c r="E205" i="3"/>
  <c r="F205" i="3"/>
  <c r="C206" i="3"/>
  <c r="D206" i="3"/>
  <c r="E206" i="3"/>
  <c r="F206" i="3"/>
  <c r="C207" i="3"/>
  <c r="D207" i="3"/>
  <c r="E207" i="3"/>
  <c r="F207" i="3"/>
  <c r="C208" i="3"/>
  <c r="D208" i="3"/>
  <c r="E208" i="3"/>
  <c r="F208" i="3"/>
  <c r="C209" i="3"/>
  <c r="D209" i="3"/>
  <c r="E209" i="3"/>
  <c r="F209" i="3"/>
  <c r="C210" i="3"/>
  <c r="D210" i="3"/>
  <c r="E210" i="3"/>
  <c r="F210" i="3"/>
  <c r="C211" i="3"/>
  <c r="D211" i="3"/>
  <c r="E211" i="3"/>
  <c r="F211" i="3"/>
  <c r="C212" i="3"/>
  <c r="D212" i="3"/>
  <c r="E212" i="3"/>
  <c r="F212" i="3"/>
  <c r="C213" i="3"/>
  <c r="D213" i="3"/>
  <c r="E213" i="3"/>
  <c r="F213" i="3"/>
  <c r="C214" i="3"/>
  <c r="D214" i="3"/>
  <c r="E214" i="3"/>
  <c r="F214" i="3"/>
  <c r="C215" i="3"/>
  <c r="D215" i="3"/>
  <c r="E215" i="3"/>
  <c r="F215" i="3"/>
  <c r="C216" i="3"/>
  <c r="D216" i="3"/>
  <c r="E216" i="3"/>
  <c r="F216" i="3"/>
  <c r="C217" i="3"/>
  <c r="D217" i="3"/>
  <c r="E217" i="3"/>
  <c r="F217" i="3"/>
  <c r="C218" i="3"/>
  <c r="D218" i="3"/>
  <c r="E218" i="3"/>
  <c r="F218" i="3"/>
  <c r="C219" i="3"/>
  <c r="D219" i="3"/>
  <c r="E219" i="3"/>
  <c r="F219" i="3"/>
  <c r="C220" i="3"/>
  <c r="D220" i="3"/>
  <c r="E220" i="3"/>
  <c r="F220" i="3"/>
  <c r="C221" i="3"/>
  <c r="D221" i="3"/>
  <c r="E221" i="3"/>
  <c r="F221" i="3"/>
  <c r="C222" i="3"/>
  <c r="D222" i="3"/>
  <c r="E222" i="3"/>
  <c r="F222" i="3"/>
  <c r="C223" i="3"/>
  <c r="D223" i="3"/>
  <c r="E223" i="3"/>
  <c r="F223" i="3"/>
  <c r="C224" i="3"/>
  <c r="D224" i="3"/>
  <c r="E224" i="3"/>
  <c r="F224" i="3"/>
  <c r="C225" i="3"/>
  <c r="D225" i="3"/>
  <c r="E225" i="3"/>
  <c r="F225" i="3"/>
  <c r="C226" i="3"/>
  <c r="D226" i="3"/>
  <c r="E226" i="3"/>
  <c r="F226" i="3"/>
  <c r="C227" i="3"/>
  <c r="D227" i="3"/>
  <c r="E227" i="3"/>
  <c r="F227" i="3"/>
  <c r="C228" i="3"/>
  <c r="D228" i="3"/>
  <c r="E228" i="3"/>
  <c r="F228" i="3"/>
  <c r="C229" i="3"/>
  <c r="D229" i="3"/>
  <c r="E229" i="3"/>
  <c r="F229" i="3"/>
  <c r="C230" i="3"/>
  <c r="D230" i="3"/>
  <c r="E230" i="3"/>
  <c r="F230" i="3"/>
  <c r="C231" i="3"/>
  <c r="D231" i="3"/>
  <c r="E231" i="3"/>
  <c r="F231" i="3"/>
  <c r="C232" i="3"/>
  <c r="D232" i="3"/>
  <c r="E232" i="3"/>
  <c r="F232" i="3"/>
  <c r="C233" i="3"/>
  <c r="D233" i="3"/>
  <c r="E233" i="3"/>
  <c r="F233" i="3"/>
  <c r="C234" i="3"/>
  <c r="D234" i="3"/>
  <c r="E234" i="3"/>
  <c r="F234" i="3"/>
  <c r="C235" i="3"/>
  <c r="D235" i="3"/>
  <c r="E235" i="3"/>
  <c r="F235" i="3"/>
  <c r="C236" i="3"/>
  <c r="D236" i="3"/>
  <c r="E236" i="3"/>
  <c r="F236" i="3"/>
  <c r="C237" i="3"/>
  <c r="D237" i="3"/>
  <c r="E237" i="3"/>
  <c r="F237" i="3"/>
  <c r="C238" i="3"/>
  <c r="D238" i="3"/>
  <c r="E238" i="3"/>
  <c r="F238" i="3"/>
  <c r="C239" i="3"/>
  <c r="D239" i="3"/>
  <c r="E239" i="3"/>
  <c r="F239" i="3"/>
  <c r="C240" i="3"/>
  <c r="D240" i="3"/>
  <c r="E240" i="3"/>
  <c r="F240" i="3"/>
  <c r="C241" i="3"/>
  <c r="D241" i="3"/>
  <c r="E241" i="3"/>
  <c r="F241" i="3"/>
  <c r="C242" i="3"/>
  <c r="D242" i="3"/>
  <c r="E242" i="3"/>
  <c r="F242" i="3"/>
  <c r="C243" i="3"/>
  <c r="D243" i="3"/>
  <c r="E243" i="3"/>
  <c r="F243" i="3"/>
  <c r="C244" i="3"/>
  <c r="D244" i="3"/>
  <c r="E244" i="3"/>
  <c r="F244" i="3"/>
  <c r="C245" i="3"/>
  <c r="D245" i="3"/>
  <c r="E245" i="3"/>
  <c r="F245" i="3"/>
  <c r="C246" i="3"/>
  <c r="D246" i="3"/>
  <c r="E246" i="3"/>
  <c r="F246" i="3"/>
  <c r="C247" i="3"/>
  <c r="D247" i="3"/>
  <c r="E247" i="3"/>
  <c r="F247" i="3"/>
  <c r="C248" i="3"/>
  <c r="D248" i="3"/>
  <c r="E248" i="3"/>
  <c r="F248" i="3"/>
  <c r="C249" i="3"/>
  <c r="D249" i="3"/>
  <c r="E249" i="3"/>
  <c r="F249" i="3"/>
  <c r="C250" i="3"/>
  <c r="D250" i="3"/>
  <c r="E250" i="3"/>
  <c r="F250" i="3"/>
  <c r="C251" i="3"/>
  <c r="D251" i="3"/>
  <c r="E251" i="3"/>
  <c r="F251" i="3"/>
  <c r="C252" i="3"/>
  <c r="D252" i="3"/>
  <c r="E252" i="3"/>
  <c r="F252" i="3"/>
  <c r="C253" i="3"/>
  <c r="D253" i="3"/>
  <c r="E253" i="3"/>
  <c r="F253" i="3"/>
  <c r="C254" i="3"/>
  <c r="D254" i="3"/>
  <c r="E254" i="3"/>
  <c r="F254" i="3"/>
  <c r="C255" i="3"/>
  <c r="D255" i="3"/>
  <c r="E255" i="3"/>
  <c r="F255" i="3"/>
  <c r="C256" i="3"/>
  <c r="D256" i="3"/>
  <c r="E256" i="3"/>
  <c r="F256" i="3"/>
  <c r="C257" i="3"/>
  <c r="D257" i="3"/>
  <c r="E257" i="3"/>
  <c r="F257" i="3"/>
  <c r="C258" i="3"/>
  <c r="D258" i="3"/>
  <c r="E258" i="3"/>
  <c r="F258" i="3"/>
  <c r="C259" i="3"/>
  <c r="D259" i="3"/>
  <c r="E259" i="3"/>
  <c r="F259" i="3"/>
  <c r="C260" i="3"/>
  <c r="D260" i="3"/>
  <c r="E260" i="3"/>
  <c r="F260" i="3"/>
  <c r="C261" i="3"/>
  <c r="D261" i="3"/>
  <c r="E261" i="3"/>
  <c r="F261" i="3"/>
  <c r="C262" i="3"/>
  <c r="D262" i="3"/>
  <c r="E262" i="3"/>
  <c r="F262" i="3"/>
  <c r="C263" i="3"/>
  <c r="D263" i="3"/>
  <c r="E263" i="3"/>
  <c r="F263" i="3"/>
  <c r="C264" i="3"/>
  <c r="D264" i="3"/>
  <c r="E264" i="3"/>
  <c r="F264" i="3"/>
  <c r="C265" i="3"/>
  <c r="D265" i="3"/>
  <c r="E265" i="3"/>
  <c r="F265" i="3"/>
  <c r="C266" i="3"/>
  <c r="D266" i="3"/>
  <c r="E266" i="3"/>
  <c r="F266" i="3"/>
  <c r="C267" i="3"/>
  <c r="D267" i="3"/>
  <c r="E267" i="3"/>
  <c r="F267" i="3"/>
  <c r="C268" i="3"/>
  <c r="D268" i="3"/>
  <c r="E268" i="3"/>
  <c r="F268" i="3"/>
  <c r="C269" i="3"/>
  <c r="D269" i="3"/>
  <c r="E269" i="3"/>
  <c r="F269" i="3"/>
  <c r="C270" i="3"/>
  <c r="D270" i="3"/>
  <c r="E270" i="3"/>
  <c r="F270" i="3"/>
  <c r="C271" i="3"/>
  <c r="D271" i="3"/>
  <c r="E271" i="3"/>
  <c r="F271" i="3"/>
  <c r="C272" i="3"/>
  <c r="D272" i="3"/>
  <c r="E272" i="3"/>
  <c r="F272" i="3"/>
  <c r="C273" i="3"/>
  <c r="D273" i="3"/>
  <c r="E273" i="3"/>
  <c r="F273" i="3"/>
  <c r="C274" i="3"/>
  <c r="D274" i="3"/>
  <c r="E274" i="3"/>
  <c r="F274" i="3"/>
  <c r="C275" i="3"/>
  <c r="D275" i="3"/>
  <c r="E275" i="3"/>
  <c r="F275" i="3"/>
  <c r="C276" i="3"/>
  <c r="D276" i="3"/>
  <c r="E276" i="3"/>
  <c r="F276" i="3"/>
  <c r="C277" i="3"/>
  <c r="D277" i="3"/>
  <c r="E277" i="3"/>
  <c r="F277" i="3"/>
  <c r="C278" i="3"/>
  <c r="D278" i="3"/>
  <c r="E278" i="3"/>
  <c r="F278" i="3"/>
  <c r="C279" i="3"/>
  <c r="D279" i="3"/>
  <c r="E279" i="3"/>
  <c r="F279" i="3"/>
  <c r="C280" i="3"/>
  <c r="D280" i="3"/>
  <c r="E280" i="3"/>
  <c r="F280" i="3"/>
  <c r="C281" i="3"/>
  <c r="D281" i="3"/>
  <c r="E281" i="3"/>
  <c r="F281" i="3"/>
  <c r="C282" i="3"/>
  <c r="D282" i="3"/>
  <c r="E282" i="3"/>
  <c r="F282" i="3"/>
  <c r="C283" i="3"/>
  <c r="D283" i="3"/>
  <c r="E283" i="3"/>
  <c r="F283" i="3"/>
  <c r="C284" i="3"/>
  <c r="D284" i="3"/>
  <c r="E284" i="3"/>
  <c r="F284" i="3"/>
  <c r="C285" i="3"/>
  <c r="D285" i="3"/>
  <c r="E285" i="3"/>
  <c r="F285" i="3"/>
  <c r="C286" i="3"/>
  <c r="D286" i="3"/>
  <c r="E286" i="3"/>
  <c r="F286" i="3"/>
  <c r="C287" i="3"/>
  <c r="D287" i="3"/>
  <c r="E287" i="3"/>
  <c r="F287" i="3"/>
  <c r="C288" i="3"/>
  <c r="D288" i="3"/>
  <c r="E288" i="3"/>
  <c r="F288" i="3"/>
  <c r="C289" i="3"/>
  <c r="D289" i="3"/>
  <c r="E289" i="3"/>
  <c r="F289" i="3"/>
  <c r="C290" i="3"/>
  <c r="D290" i="3"/>
  <c r="E290" i="3"/>
  <c r="F290" i="3"/>
  <c r="C291" i="3"/>
  <c r="D291" i="3"/>
  <c r="E291" i="3"/>
  <c r="F291" i="3"/>
  <c r="C292" i="3"/>
  <c r="D292" i="3"/>
  <c r="E292" i="3"/>
  <c r="F292" i="3"/>
  <c r="C293" i="3"/>
  <c r="D293" i="3"/>
  <c r="E293" i="3"/>
  <c r="F293" i="3"/>
  <c r="C294" i="3"/>
  <c r="D294" i="3"/>
  <c r="E294" i="3"/>
  <c r="F294" i="3"/>
  <c r="C295" i="3"/>
  <c r="D295" i="3"/>
  <c r="E295" i="3"/>
  <c r="F295" i="3"/>
  <c r="C296" i="3"/>
  <c r="D296" i="3"/>
  <c r="E296" i="3"/>
  <c r="F296" i="3"/>
  <c r="C297" i="3"/>
  <c r="D297" i="3"/>
  <c r="E297" i="3"/>
  <c r="F297" i="3"/>
  <c r="C298" i="3"/>
  <c r="D298" i="3"/>
  <c r="E298" i="3"/>
  <c r="F298" i="3"/>
  <c r="C299" i="3"/>
  <c r="D299" i="3"/>
  <c r="E299" i="3"/>
  <c r="F299" i="3"/>
  <c r="C300" i="3"/>
  <c r="D300" i="3"/>
  <c r="E300" i="3"/>
  <c r="F300" i="3"/>
  <c r="C301" i="3"/>
  <c r="D301" i="3"/>
  <c r="E301" i="3"/>
  <c r="F301" i="3"/>
  <c r="C302" i="3"/>
  <c r="D302" i="3"/>
  <c r="E302" i="3"/>
  <c r="F302" i="3"/>
  <c r="C303" i="3"/>
  <c r="D303" i="3"/>
  <c r="E303" i="3"/>
  <c r="F303" i="3"/>
  <c r="C304" i="3"/>
  <c r="D304" i="3"/>
  <c r="E304" i="3"/>
  <c r="F304" i="3"/>
  <c r="C305" i="3"/>
  <c r="D305" i="3"/>
  <c r="E305" i="3"/>
  <c r="F305" i="3"/>
  <c r="C306" i="3"/>
  <c r="D306" i="3"/>
  <c r="E306" i="3"/>
  <c r="F306" i="3"/>
  <c r="C307" i="3"/>
  <c r="D307" i="3"/>
  <c r="E307" i="3"/>
  <c r="F307" i="3"/>
  <c r="C308" i="3"/>
  <c r="D308" i="3"/>
  <c r="E308" i="3"/>
  <c r="F308" i="3"/>
  <c r="C309" i="3"/>
  <c r="D309" i="3"/>
  <c r="E309" i="3"/>
  <c r="F309" i="3"/>
  <c r="C310" i="3"/>
  <c r="D310" i="3"/>
  <c r="E310" i="3"/>
  <c r="F310" i="3"/>
  <c r="C311" i="3"/>
  <c r="D311" i="3"/>
  <c r="E311" i="3"/>
  <c r="F311" i="3"/>
  <c r="C312" i="3"/>
  <c r="D312" i="3"/>
  <c r="E312" i="3"/>
  <c r="F312" i="3"/>
  <c r="C313" i="3"/>
  <c r="D313" i="3"/>
  <c r="E313" i="3"/>
  <c r="F313" i="3"/>
  <c r="C314" i="3"/>
  <c r="D314" i="3"/>
  <c r="E314" i="3"/>
  <c r="F314" i="3"/>
  <c r="C315" i="3"/>
  <c r="D315" i="3"/>
  <c r="E315" i="3"/>
  <c r="F315" i="3"/>
  <c r="C316" i="3"/>
  <c r="D316" i="3"/>
  <c r="E316" i="3"/>
  <c r="F316" i="3"/>
  <c r="C317" i="3"/>
  <c r="D317" i="3"/>
  <c r="E317" i="3"/>
  <c r="F317" i="3"/>
  <c r="C318" i="3"/>
  <c r="D318" i="3"/>
  <c r="E318" i="3"/>
  <c r="F318" i="3"/>
  <c r="C319" i="3"/>
  <c r="D319" i="3"/>
  <c r="E319" i="3"/>
  <c r="F319" i="3"/>
  <c r="C320" i="3"/>
  <c r="D320" i="3"/>
  <c r="E320" i="3"/>
  <c r="F320" i="3"/>
  <c r="C321" i="3"/>
  <c r="D321" i="3"/>
  <c r="E321" i="3"/>
  <c r="F321" i="3"/>
  <c r="C322" i="3"/>
  <c r="D322" i="3"/>
  <c r="E322" i="3"/>
  <c r="F322" i="3"/>
  <c r="C323" i="3"/>
  <c r="D323" i="3"/>
  <c r="E323" i="3"/>
  <c r="F323" i="3"/>
  <c r="C324" i="3"/>
  <c r="D324" i="3"/>
  <c r="E324" i="3"/>
  <c r="F324" i="3"/>
  <c r="C325" i="3"/>
  <c r="D325" i="3"/>
  <c r="E325" i="3"/>
  <c r="F325" i="3"/>
  <c r="C326" i="3"/>
  <c r="D326" i="3"/>
  <c r="E326" i="3"/>
  <c r="F326" i="3"/>
  <c r="C327" i="3"/>
  <c r="D327" i="3"/>
  <c r="E327" i="3"/>
  <c r="F327" i="3"/>
  <c r="C328" i="3"/>
  <c r="D328" i="3"/>
  <c r="E328" i="3"/>
  <c r="F328" i="3"/>
  <c r="C329" i="3"/>
  <c r="D329" i="3"/>
  <c r="E329" i="3"/>
  <c r="F329" i="3"/>
  <c r="C330" i="3"/>
  <c r="D330" i="3"/>
  <c r="E330" i="3"/>
  <c r="F330" i="3"/>
  <c r="C331" i="3"/>
  <c r="D331" i="3"/>
  <c r="E331" i="3"/>
  <c r="F331" i="3"/>
  <c r="C332" i="3"/>
  <c r="D332" i="3"/>
  <c r="E332" i="3"/>
  <c r="F332" i="3"/>
  <c r="C333" i="3"/>
  <c r="D333" i="3"/>
  <c r="E333" i="3"/>
  <c r="F333" i="3"/>
  <c r="C334" i="3"/>
  <c r="D334" i="3"/>
  <c r="E334" i="3"/>
  <c r="F334" i="3"/>
  <c r="C335" i="3"/>
  <c r="D335" i="3"/>
  <c r="E335" i="3"/>
  <c r="F335" i="3"/>
  <c r="C336" i="3"/>
  <c r="D336" i="3"/>
  <c r="E336" i="3"/>
  <c r="F336" i="3"/>
  <c r="C337" i="3"/>
  <c r="D337" i="3"/>
  <c r="E337" i="3"/>
  <c r="F337" i="3"/>
  <c r="C338" i="3"/>
  <c r="D338" i="3"/>
  <c r="E338" i="3"/>
  <c r="F338" i="3"/>
  <c r="C339" i="3"/>
  <c r="D339" i="3"/>
  <c r="E339" i="3"/>
  <c r="F339" i="3"/>
  <c r="C340" i="3"/>
  <c r="D340" i="3"/>
  <c r="E340" i="3"/>
  <c r="F340" i="3"/>
  <c r="C341" i="3"/>
  <c r="D341" i="3"/>
  <c r="E341" i="3"/>
  <c r="F341" i="3"/>
  <c r="C342" i="3"/>
  <c r="D342" i="3"/>
  <c r="E342" i="3"/>
  <c r="F342" i="3"/>
  <c r="C343" i="3"/>
  <c r="D343" i="3"/>
  <c r="E343" i="3"/>
  <c r="F343" i="3"/>
  <c r="C344" i="3"/>
  <c r="D344" i="3"/>
  <c r="E344" i="3"/>
  <c r="F344" i="3"/>
  <c r="C345" i="3"/>
  <c r="D345" i="3"/>
  <c r="E345" i="3"/>
  <c r="F345" i="3"/>
  <c r="C346" i="3"/>
  <c r="D346" i="3"/>
  <c r="E346" i="3"/>
  <c r="F346" i="3"/>
  <c r="C347" i="3"/>
  <c r="D347" i="3"/>
  <c r="E347" i="3"/>
  <c r="F347" i="3"/>
  <c r="C348" i="3"/>
  <c r="D348" i="3"/>
  <c r="E348" i="3"/>
  <c r="F348" i="3"/>
  <c r="C349" i="3"/>
  <c r="D349" i="3"/>
  <c r="E349" i="3"/>
  <c r="F349" i="3"/>
  <c r="C350" i="3"/>
  <c r="D350" i="3"/>
  <c r="E350" i="3"/>
  <c r="F350" i="3"/>
  <c r="C351" i="3"/>
  <c r="D351" i="3"/>
  <c r="E351" i="3"/>
  <c r="F351" i="3"/>
  <c r="C352" i="3"/>
  <c r="D352" i="3"/>
  <c r="E352" i="3"/>
  <c r="F352" i="3"/>
  <c r="C353" i="3"/>
  <c r="D353" i="3"/>
  <c r="E353" i="3"/>
  <c r="F353" i="3"/>
  <c r="C354" i="3"/>
  <c r="D354" i="3"/>
  <c r="E354" i="3"/>
  <c r="F354" i="3"/>
  <c r="C355" i="3"/>
  <c r="D355" i="3"/>
  <c r="E355" i="3"/>
  <c r="F355" i="3"/>
  <c r="C356" i="3"/>
  <c r="D356" i="3"/>
  <c r="E356" i="3"/>
  <c r="F356" i="3"/>
  <c r="C357" i="3"/>
  <c r="D357" i="3"/>
  <c r="E357" i="3"/>
  <c r="F357" i="3"/>
  <c r="C358" i="3"/>
  <c r="D358" i="3"/>
  <c r="E358" i="3"/>
  <c r="F358" i="3"/>
  <c r="C359" i="3"/>
  <c r="D359" i="3"/>
  <c r="E359" i="3"/>
  <c r="F359" i="3"/>
  <c r="C360" i="3"/>
  <c r="D360" i="3"/>
  <c r="E360" i="3"/>
  <c r="F360" i="3"/>
  <c r="C361" i="3"/>
  <c r="D361" i="3"/>
  <c r="E361" i="3"/>
  <c r="F361" i="3"/>
  <c r="C362" i="3"/>
  <c r="D362" i="3"/>
  <c r="E362" i="3"/>
  <c r="F362" i="3"/>
  <c r="C363" i="3"/>
  <c r="D363" i="3"/>
  <c r="E363" i="3"/>
  <c r="F363" i="3"/>
  <c r="C364" i="3"/>
  <c r="D364" i="3"/>
  <c r="E364" i="3"/>
  <c r="F364" i="3"/>
  <c r="C365" i="3"/>
  <c r="D365" i="3"/>
  <c r="E365" i="3"/>
  <c r="F365" i="3"/>
  <c r="C366" i="3"/>
  <c r="D366" i="3"/>
  <c r="E366" i="3"/>
  <c r="F366" i="3"/>
  <c r="C367" i="3"/>
  <c r="D367" i="3"/>
  <c r="E367" i="3"/>
  <c r="F367" i="3"/>
  <c r="C368" i="3"/>
  <c r="D368" i="3"/>
  <c r="E368" i="3"/>
  <c r="F368" i="3"/>
  <c r="C369" i="3"/>
  <c r="D369" i="3"/>
  <c r="E369" i="3"/>
  <c r="F369" i="3"/>
  <c r="C370" i="3"/>
  <c r="D370" i="3"/>
  <c r="E370" i="3"/>
  <c r="F370" i="3"/>
  <c r="C371" i="3"/>
  <c r="D371" i="3"/>
  <c r="E371" i="3"/>
  <c r="F371" i="3"/>
  <c r="C372" i="3"/>
  <c r="D372" i="3"/>
  <c r="E372" i="3"/>
  <c r="F372" i="3"/>
  <c r="C373" i="3"/>
  <c r="D373" i="3"/>
  <c r="E373" i="3"/>
  <c r="F373" i="3"/>
  <c r="C374" i="3"/>
  <c r="D374" i="3"/>
  <c r="E374" i="3"/>
  <c r="F374" i="3"/>
  <c r="C375" i="3"/>
  <c r="D375" i="3"/>
  <c r="E375" i="3"/>
  <c r="F375" i="3"/>
  <c r="C376" i="3"/>
  <c r="D376" i="3"/>
  <c r="E376" i="3"/>
  <c r="F376" i="3"/>
  <c r="C377" i="3"/>
  <c r="D377" i="3"/>
  <c r="E377" i="3"/>
  <c r="F377" i="3"/>
  <c r="C378" i="3"/>
  <c r="D378" i="3"/>
  <c r="E378" i="3"/>
  <c r="F378" i="3"/>
  <c r="C379" i="3"/>
  <c r="D379" i="3"/>
  <c r="E379" i="3"/>
  <c r="F379" i="3"/>
  <c r="C380" i="3"/>
  <c r="D380" i="3"/>
  <c r="E380" i="3"/>
  <c r="F380" i="3"/>
  <c r="C381" i="3"/>
  <c r="D381" i="3"/>
  <c r="E381" i="3"/>
  <c r="F381" i="3"/>
  <c r="C382" i="3"/>
  <c r="D382" i="3"/>
  <c r="E382" i="3"/>
  <c r="F382" i="3"/>
  <c r="C383" i="3"/>
  <c r="D383" i="3"/>
  <c r="E383" i="3"/>
  <c r="F383" i="3"/>
  <c r="C384" i="3"/>
  <c r="D384" i="3"/>
  <c r="E384" i="3"/>
  <c r="F384" i="3"/>
  <c r="C385" i="3"/>
  <c r="D385" i="3"/>
  <c r="E385" i="3"/>
  <c r="F385" i="3"/>
  <c r="C386" i="3"/>
  <c r="D386" i="3"/>
  <c r="E386" i="3"/>
  <c r="F386" i="3"/>
  <c r="C387" i="3"/>
  <c r="D387" i="3"/>
  <c r="E387" i="3"/>
  <c r="F387" i="3"/>
  <c r="C388" i="3"/>
  <c r="D388" i="3"/>
  <c r="E388" i="3"/>
  <c r="F388" i="3"/>
  <c r="C389" i="3"/>
  <c r="D389" i="3"/>
  <c r="E389" i="3"/>
  <c r="F389" i="3"/>
  <c r="C390" i="3"/>
  <c r="D390" i="3"/>
  <c r="E390" i="3"/>
  <c r="F390" i="3"/>
  <c r="C391" i="3"/>
  <c r="D391" i="3"/>
  <c r="E391" i="3"/>
  <c r="F391" i="3"/>
  <c r="C392" i="3"/>
  <c r="D392" i="3"/>
  <c r="E392" i="3"/>
  <c r="F392" i="3"/>
  <c r="C393" i="3"/>
  <c r="D393" i="3"/>
  <c r="E393" i="3"/>
  <c r="F393" i="3"/>
  <c r="C394" i="3"/>
  <c r="D394" i="3"/>
  <c r="E394" i="3"/>
  <c r="F394" i="3"/>
  <c r="C395" i="3"/>
  <c r="D395" i="3"/>
  <c r="E395" i="3"/>
  <c r="F395" i="3"/>
  <c r="C396" i="3"/>
  <c r="D396" i="3"/>
  <c r="E396" i="3"/>
  <c r="F396" i="3"/>
  <c r="C397" i="3"/>
  <c r="D397" i="3"/>
  <c r="E397" i="3"/>
  <c r="F397" i="3"/>
  <c r="C398" i="3"/>
  <c r="D398" i="3"/>
  <c r="E398" i="3"/>
  <c r="F398" i="3"/>
  <c r="C399" i="3"/>
  <c r="D399" i="3"/>
  <c r="E399" i="3"/>
  <c r="F399" i="3"/>
  <c r="C400" i="3"/>
  <c r="D400" i="3"/>
  <c r="E400" i="3"/>
  <c r="F400" i="3"/>
  <c r="C401" i="3"/>
  <c r="D401" i="3"/>
  <c r="E401" i="3"/>
  <c r="F401" i="3"/>
  <c r="C402" i="3"/>
  <c r="D402" i="3"/>
  <c r="E402" i="3"/>
  <c r="F402" i="3"/>
  <c r="C403" i="3"/>
  <c r="D403" i="3"/>
  <c r="E403" i="3"/>
  <c r="F403" i="3"/>
  <c r="C404" i="3"/>
  <c r="D404" i="3"/>
  <c r="E404" i="3"/>
  <c r="F404" i="3"/>
  <c r="C405" i="3"/>
  <c r="D405" i="3"/>
  <c r="E405" i="3"/>
  <c r="F405" i="3"/>
  <c r="C406" i="3"/>
  <c r="D406" i="3"/>
  <c r="E406" i="3"/>
  <c r="F406" i="3"/>
  <c r="C407" i="3"/>
  <c r="D407" i="3"/>
  <c r="E407" i="3"/>
  <c r="F407" i="3"/>
  <c r="C408" i="3"/>
  <c r="F10" i="2" s="1"/>
  <c r="D408" i="3"/>
  <c r="E408" i="3"/>
  <c r="F408" i="3"/>
  <c r="C409" i="3"/>
  <c r="D409" i="3"/>
  <c r="E409" i="3"/>
  <c r="F409" i="3"/>
  <c r="C410" i="3"/>
  <c r="D410" i="3"/>
  <c r="E410" i="3"/>
  <c r="F410" i="3"/>
  <c r="C411" i="3"/>
  <c r="D411" i="3"/>
  <c r="E411" i="3"/>
  <c r="F411" i="3"/>
  <c r="C412" i="3"/>
  <c r="D412" i="3"/>
  <c r="E412" i="3"/>
  <c r="F412" i="3"/>
  <c r="C413" i="3"/>
  <c r="D413" i="3"/>
  <c r="E413" i="3"/>
  <c r="F413" i="3"/>
  <c r="C414" i="3"/>
  <c r="F12" i="2" s="1"/>
  <c r="D414" i="3"/>
  <c r="E414" i="3"/>
  <c r="F414" i="3"/>
  <c r="C415" i="3"/>
  <c r="D415" i="3"/>
  <c r="E415" i="3"/>
  <c r="F415" i="3"/>
  <c r="C416" i="3"/>
  <c r="D416" i="3"/>
  <c r="E416" i="3"/>
  <c r="F416" i="3"/>
  <c r="C417" i="3"/>
  <c r="D417" i="3"/>
  <c r="E417" i="3"/>
  <c r="F417" i="3"/>
  <c r="C418" i="3"/>
  <c r="D418" i="3"/>
  <c r="E418" i="3"/>
  <c r="F418" i="3"/>
  <c r="C419" i="3"/>
  <c r="D419" i="3"/>
  <c r="E419" i="3"/>
  <c r="F419" i="3"/>
  <c r="C420" i="3"/>
  <c r="D420" i="3"/>
  <c r="E420" i="3"/>
  <c r="F420" i="3"/>
  <c r="C421" i="3"/>
  <c r="D421" i="3"/>
  <c r="E421" i="3"/>
  <c r="F421" i="3"/>
  <c r="C422" i="3"/>
  <c r="D422" i="3"/>
  <c r="E422" i="3"/>
  <c r="F422" i="3"/>
  <c r="C423" i="3"/>
  <c r="D423" i="3"/>
  <c r="E423" i="3"/>
  <c r="F423" i="3"/>
  <c r="C424" i="3"/>
  <c r="D424" i="3"/>
  <c r="E424" i="3"/>
  <c r="F424" i="3"/>
  <c r="C425" i="3"/>
  <c r="D425" i="3"/>
  <c r="E425" i="3"/>
  <c r="F425" i="3"/>
  <c r="C426" i="3"/>
  <c r="D426" i="3"/>
  <c r="E426" i="3"/>
  <c r="F426" i="3"/>
  <c r="C427" i="3"/>
  <c r="D427" i="3"/>
  <c r="E427" i="3"/>
  <c r="F427" i="3"/>
  <c r="C428" i="3"/>
  <c r="D428" i="3"/>
  <c r="E428" i="3"/>
  <c r="F428" i="3"/>
  <c r="C429" i="3"/>
  <c r="D429" i="3"/>
  <c r="E429" i="3"/>
  <c r="F429" i="3"/>
  <c r="C430" i="3"/>
  <c r="D430" i="3"/>
  <c r="E430" i="3"/>
  <c r="F430" i="3"/>
  <c r="C431" i="3"/>
  <c r="D431" i="3"/>
  <c r="E431" i="3"/>
  <c r="F431" i="3"/>
  <c r="C432" i="3"/>
  <c r="D432" i="3"/>
  <c r="E432" i="3"/>
  <c r="F432" i="3"/>
  <c r="C433" i="3"/>
  <c r="D433" i="3"/>
  <c r="E433" i="3"/>
  <c r="F433" i="3"/>
  <c r="C434" i="3"/>
  <c r="D434" i="3"/>
  <c r="E434" i="3"/>
  <c r="F434" i="3"/>
  <c r="C435" i="3"/>
  <c r="D435" i="3"/>
  <c r="E435" i="3"/>
  <c r="F435" i="3"/>
  <c r="C436" i="3"/>
  <c r="D436" i="3"/>
  <c r="E436" i="3"/>
  <c r="F436" i="3"/>
  <c r="C437" i="3"/>
  <c r="D437" i="3"/>
  <c r="E437" i="3"/>
  <c r="F437" i="3"/>
  <c r="C438" i="3"/>
  <c r="D438" i="3"/>
  <c r="E438" i="3"/>
  <c r="F438" i="3"/>
  <c r="C439" i="3"/>
  <c r="D439" i="3"/>
  <c r="E439" i="3"/>
  <c r="F439" i="3"/>
  <c r="C440" i="3"/>
  <c r="D440" i="3"/>
  <c r="E440" i="3"/>
  <c r="F440" i="3"/>
  <c r="C441" i="3"/>
  <c r="D441" i="3"/>
  <c r="E441" i="3"/>
  <c r="F441" i="3"/>
  <c r="C442" i="3"/>
  <c r="D442" i="3"/>
  <c r="E442" i="3"/>
  <c r="F442" i="3"/>
  <c r="C443" i="3"/>
  <c r="D443" i="3"/>
  <c r="E443" i="3"/>
  <c r="F443" i="3"/>
  <c r="C444" i="3"/>
  <c r="D444" i="3"/>
  <c r="E444" i="3"/>
  <c r="F444" i="3"/>
  <c r="C445" i="3"/>
  <c r="D445" i="3"/>
  <c r="E445" i="3"/>
  <c r="F445" i="3"/>
  <c r="C446" i="3"/>
  <c r="D446" i="3"/>
  <c r="E446" i="3"/>
  <c r="F446" i="3"/>
  <c r="C447" i="3"/>
  <c r="D447" i="3"/>
  <c r="E447" i="3"/>
  <c r="F447" i="3"/>
  <c r="C448" i="3"/>
  <c r="D448" i="3"/>
  <c r="E448" i="3"/>
  <c r="F448" i="3"/>
  <c r="C449" i="3"/>
  <c r="D449" i="3"/>
  <c r="E449" i="3"/>
  <c r="F449" i="3"/>
  <c r="C450" i="3"/>
  <c r="D450" i="3"/>
  <c r="E450" i="3"/>
  <c r="F450" i="3"/>
  <c r="C451" i="3"/>
  <c r="D451" i="3"/>
  <c r="E451" i="3"/>
  <c r="F451" i="3"/>
  <c r="C452" i="3"/>
  <c r="D452" i="3"/>
  <c r="E452" i="3"/>
  <c r="F452" i="3"/>
  <c r="C453" i="3"/>
  <c r="D453" i="3"/>
  <c r="E453" i="3"/>
  <c r="F453" i="3"/>
  <c r="C454" i="3"/>
  <c r="D454" i="3"/>
  <c r="E454" i="3"/>
  <c r="F454" i="3"/>
  <c r="C455" i="3"/>
  <c r="D455" i="3"/>
  <c r="E455" i="3"/>
  <c r="F455" i="3"/>
  <c r="C456" i="3"/>
  <c r="D456" i="3"/>
  <c r="E456" i="3"/>
  <c r="F456" i="3"/>
  <c r="C457" i="3"/>
  <c r="D457" i="3"/>
  <c r="E457" i="3"/>
  <c r="F457" i="3"/>
  <c r="C458" i="3"/>
  <c r="D458" i="3"/>
  <c r="E458" i="3"/>
  <c r="F458" i="3"/>
  <c r="C459" i="3"/>
  <c r="D459" i="3"/>
  <c r="E459" i="3"/>
  <c r="F459" i="3"/>
  <c r="C460" i="3"/>
  <c r="D460" i="3"/>
  <c r="E460" i="3"/>
  <c r="F460" i="3"/>
  <c r="C461" i="3"/>
  <c r="D461" i="3"/>
  <c r="E461" i="3"/>
  <c r="F461" i="3"/>
  <c r="C462" i="3"/>
  <c r="D462" i="3"/>
  <c r="E462" i="3"/>
  <c r="F462" i="3"/>
  <c r="C463" i="3"/>
  <c r="D463" i="3"/>
  <c r="E463" i="3"/>
  <c r="F463" i="3"/>
  <c r="C464" i="3"/>
  <c r="D464" i="3"/>
  <c r="E464" i="3"/>
  <c r="F464" i="3"/>
  <c r="C465" i="3"/>
  <c r="D465" i="3"/>
  <c r="E465" i="3"/>
  <c r="F465" i="3"/>
  <c r="C466" i="3"/>
  <c r="D466" i="3"/>
  <c r="E466" i="3"/>
  <c r="F466" i="3"/>
  <c r="C467" i="3"/>
  <c r="D467" i="3"/>
  <c r="E467" i="3"/>
  <c r="F467" i="3"/>
  <c r="C468" i="3"/>
  <c r="D468" i="3"/>
  <c r="E468" i="3"/>
  <c r="F468" i="3"/>
  <c r="C469" i="3"/>
  <c r="D469" i="3"/>
  <c r="E469" i="3"/>
  <c r="F469" i="3"/>
  <c r="C470" i="3"/>
  <c r="D470" i="3"/>
  <c r="E470" i="3"/>
  <c r="F470" i="3"/>
  <c r="C471" i="3"/>
  <c r="D471" i="3"/>
  <c r="E471" i="3"/>
  <c r="F471" i="3"/>
  <c r="C472" i="3"/>
  <c r="D472" i="3"/>
  <c r="E472" i="3"/>
  <c r="F472" i="3"/>
  <c r="C473" i="3"/>
  <c r="D473" i="3"/>
  <c r="E473" i="3"/>
  <c r="F473" i="3"/>
  <c r="C474" i="3"/>
  <c r="D474" i="3"/>
  <c r="E474" i="3"/>
  <c r="F474" i="3"/>
  <c r="C475" i="3"/>
  <c r="D475" i="3"/>
  <c r="E475" i="3"/>
  <c r="F475" i="3"/>
  <c r="C476" i="3"/>
  <c r="D476" i="3"/>
  <c r="E476" i="3"/>
  <c r="F476" i="3"/>
  <c r="C477" i="3"/>
  <c r="D477" i="3"/>
  <c r="E477" i="3"/>
  <c r="F477" i="3"/>
  <c r="C478" i="3"/>
  <c r="D478" i="3"/>
  <c r="E478" i="3"/>
  <c r="F478" i="3"/>
  <c r="C479" i="3"/>
  <c r="D479" i="3"/>
  <c r="E479" i="3"/>
  <c r="F479" i="3"/>
  <c r="C480" i="3"/>
  <c r="D480" i="3"/>
  <c r="E480" i="3"/>
  <c r="F480" i="3"/>
  <c r="C481" i="3"/>
  <c r="D481" i="3"/>
  <c r="E481" i="3"/>
  <c r="F481" i="3"/>
  <c r="C482" i="3"/>
  <c r="D482" i="3"/>
  <c r="E482" i="3"/>
  <c r="F482" i="3"/>
  <c r="C483" i="3"/>
  <c r="D483" i="3"/>
  <c r="E483" i="3"/>
  <c r="F483" i="3"/>
  <c r="C484" i="3"/>
  <c r="D484" i="3"/>
  <c r="E484" i="3"/>
  <c r="F484" i="3"/>
  <c r="C485" i="3"/>
  <c r="D485" i="3"/>
  <c r="E485" i="3"/>
  <c r="F485" i="3"/>
  <c r="C486" i="3"/>
  <c r="D486" i="3"/>
  <c r="E486" i="3"/>
  <c r="F486" i="3"/>
  <c r="C487" i="3"/>
  <c r="D487" i="3"/>
  <c r="E487" i="3"/>
  <c r="F487" i="3"/>
  <c r="C488" i="3"/>
  <c r="D488" i="3"/>
  <c r="E488" i="3"/>
  <c r="F488" i="3"/>
  <c r="C489" i="3"/>
  <c r="D489" i="3"/>
  <c r="E489" i="3"/>
  <c r="F489" i="3"/>
  <c r="C490" i="3"/>
  <c r="D490" i="3"/>
  <c r="E490" i="3"/>
  <c r="F490" i="3"/>
  <c r="C491" i="3"/>
  <c r="D491" i="3"/>
  <c r="E491" i="3"/>
  <c r="F491" i="3"/>
  <c r="C492" i="3"/>
  <c r="D492" i="3"/>
  <c r="E492" i="3"/>
  <c r="F492" i="3"/>
  <c r="C493" i="3"/>
  <c r="D493" i="3"/>
  <c r="E493" i="3"/>
  <c r="F493" i="3"/>
  <c r="C494" i="3"/>
  <c r="D494" i="3"/>
  <c r="E494" i="3"/>
  <c r="F494" i="3"/>
  <c r="C495" i="3"/>
  <c r="D495" i="3"/>
  <c r="E495" i="3"/>
  <c r="F495" i="3"/>
  <c r="C496" i="3"/>
  <c r="D496" i="3"/>
  <c r="E496" i="3"/>
  <c r="F496" i="3"/>
  <c r="C497" i="3"/>
  <c r="D497" i="3"/>
  <c r="E497" i="3"/>
  <c r="F497" i="3"/>
  <c r="C498" i="3"/>
  <c r="D498" i="3"/>
  <c r="E498" i="3"/>
  <c r="F498" i="3"/>
  <c r="C499" i="3"/>
  <c r="D499" i="3"/>
  <c r="E499" i="3"/>
  <c r="F499" i="3"/>
  <c r="C500" i="3"/>
  <c r="D500" i="3"/>
  <c r="E500" i="3"/>
  <c r="F500" i="3"/>
  <c r="C501" i="3"/>
  <c r="D501" i="3"/>
  <c r="E501" i="3"/>
  <c r="F501" i="3"/>
  <c r="C502" i="3"/>
  <c r="D502" i="3"/>
  <c r="E502" i="3"/>
  <c r="F502" i="3"/>
  <c r="C503" i="3"/>
  <c r="D503" i="3"/>
  <c r="E503" i="3"/>
  <c r="F503" i="3"/>
  <c r="C504" i="3"/>
  <c r="D504" i="3"/>
  <c r="E504" i="3"/>
  <c r="F504" i="3"/>
  <c r="C505" i="3"/>
  <c r="D505" i="3"/>
  <c r="E505" i="3"/>
  <c r="F505" i="3"/>
  <c r="C506" i="3"/>
  <c r="D506" i="3"/>
  <c r="E506" i="3"/>
  <c r="F506" i="3"/>
  <c r="C507" i="3"/>
  <c r="D507" i="3"/>
  <c r="E507" i="3"/>
  <c r="F507" i="3"/>
  <c r="C508" i="3"/>
  <c r="D508" i="3"/>
  <c r="E508" i="3"/>
  <c r="F508" i="3"/>
  <c r="C509" i="3"/>
  <c r="D509" i="3"/>
  <c r="E509" i="3"/>
  <c r="F509" i="3"/>
  <c r="C510" i="3"/>
  <c r="D510" i="3"/>
  <c r="E510" i="3"/>
  <c r="F510" i="3"/>
  <c r="C511" i="3"/>
  <c r="D511" i="3"/>
  <c r="E511" i="3"/>
  <c r="F511" i="3"/>
  <c r="C512" i="3"/>
  <c r="D512" i="3"/>
  <c r="E512" i="3"/>
  <c r="F512" i="3"/>
  <c r="C513" i="3"/>
  <c r="D513" i="3"/>
  <c r="E513" i="3"/>
  <c r="F513" i="3"/>
  <c r="C514" i="3"/>
  <c r="D514" i="3"/>
  <c r="E514" i="3"/>
  <c r="F514" i="3"/>
  <c r="C515" i="3"/>
  <c r="D515" i="3"/>
  <c r="E515" i="3"/>
  <c r="F515" i="3"/>
  <c r="C516" i="3"/>
  <c r="D516" i="3"/>
  <c r="E516" i="3"/>
  <c r="F516" i="3"/>
  <c r="C517" i="3"/>
  <c r="D517" i="3"/>
  <c r="E517" i="3"/>
  <c r="F517" i="3"/>
  <c r="C518" i="3"/>
  <c r="D518" i="3"/>
  <c r="E518" i="3"/>
  <c r="F518" i="3"/>
  <c r="C519" i="3"/>
  <c r="D519" i="3"/>
  <c r="E519" i="3"/>
  <c r="F519" i="3"/>
  <c r="C520" i="3"/>
  <c r="D520" i="3"/>
  <c r="E520" i="3"/>
  <c r="F520" i="3"/>
  <c r="C521" i="3"/>
  <c r="D521" i="3"/>
  <c r="E521" i="3"/>
  <c r="F521" i="3"/>
  <c r="C522" i="3"/>
  <c r="D522" i="3"/>
  <c r="E522" i="3"/>
  <c r="F522" i="3"/>
  <c r="C523" i="3"/>
  <c r="D523" i="3"/>
  <c r="E523" i="3"/>
  <c r="F523" i="3"/>
  <c r="C524" i="3"/>
  <c r="D524" i="3"/>
  <c r="E524" i="3"/>
  <c r="F524" i="3"/>
  <c r="C525" i="3"/>
  <c r="D525" i="3"/>
  <c r="E525" i="3"/>
  <c r="F525" i="3"/>
  <c r="C526" i="3"/>
  <c r="D526" i="3"/>
  <c r="E526" i="3"/>
  <c r="F526" i="3"/>
  <c r="C527" i="3"/>
  <c r="D527" i="3"/>
  <c r="E527" i="3"/>
  <c r="F527" i="3"/>
  <c r="C528" i="3"/>
  <c r="D528" i="3"/>
  <c r="E528" i="3"/>
  <c r="F528" i="3"/>
  <c r="C529" i="3"/>
  <c r="D529" i="3"/>
  <c r="E529" i="3"/>
  <c r="F529" i="3"/>
  <c r="C530" i="3"/>
  <c r="D530" i="3"/>
  <c r="E530" i="3"/>
  <c r="F530" i="3"/>
  <c r="C531" i="3"/>
  <c r="D531" i="3"/>
  <c r="E531" i="3"/>
  <c r="F531" i="3"/>
  <c r="C532" i="3"/>
  <c r="D532" i="3"/>
  <c r="E532" i="3"/>
  <c r="F532" i="3"/>
  <c r="C533" i="3"/>
  <c r="D533" i="3"/>
  <c r="E533" i="3"/>
  <c r="F533" i="3"/>
  <c r="C534" i="3"/>
  <c r="D534" i="3"/>
  <c r="E534" i="3"/>
  <c r="F534" i="3"/>
  <c r="C535" i="3"/>
  <c r="D535" i="3"/>
  <c r="E535" i="3"/>
  <c r="F535" i="3"/>
  <c r="C536" i="3"/>
  <c r="D536" i="3"/>
  <c r="E536" i="3"/>
  <c r="F536" i="3"/>
  <c r="C537" i="3"/>
  <c r="D537" i="3"/>
  <c r="E537" i="3"/>
  <c r="F537" i="3"/>
  <c r="C538" i="3"/>
  <c r="D538" i="3"/>
  <c r="E538" i="3"/>
  <c r="F538" i="3"/>
  <c r="C539" i="3"/>
  <c r="D539" i="3"/>
  <c r="E539" i="3"/>
  <c r="F539" i="3"/>
  <c r="C540" i="3"/>
  <c r="D540" i="3"/>
  <c r="E540" i="3"/>
  <c r="F540" i="3"/>
  <c r="C541" i="3"/>
  <c r="D541" i="3"/>
  <c r="E541" i="3"/>
  <c r="F541" i="3"/>
  <c r="C542" i="3"/>
  <c r="D542" i="3"/>
  <c r="E542" i="3"/>
  <c r="F542" i="3"/>
  <c r="C543" i="3"/>
  <c r="D543" i="3"/>
  <c r="E543" i="3"/>
  <c r="F543" i="3"/>
  <c r="C544" i="3"/>
  <c r="D544" i="3"/>
  <c r="E544" i="3"/>
  <c r="F544" i="3"/>
  <c r="C545" i="3"/>
  <c r="D545" i="3"/>
  <c r="E545" i="3"/>
  <c r="F545" i="3"/>
  <c r="C546" i="3"/>
  <c r="D546" i="3"/>
  <c r="E546" i="3"/>
  <c r="F546" i="3"/>
  <c r="C547" i="3"/>
  <c r="D547" i="3"/>
  <c r="E547" i="3"/>
  <c r="F547" i="3"/>
  <c r="C548" i="3"/>
  <c r="D548" i="3"/>
  <c r="E548" i="3"/>
  <c r="F548" i="3"/>
  <c r="C549" i="3"/>
  <c r="D549" i="3"/>
  <c r="E549" i="3"/>
  <c r="F549" i="3"/>
  <c r="C550" i="3"/>
  <c r="D550" i="3"/>
  <c r="E550" i="3"/>
  <c r="F550" i="3"/>
  <c r="C551" i="3"/>
  <c r="F15" i="2" s="1"/>
  <c r="D551" i="3"/>
  <c r="E551" i="3"/>
  <c r="F551" i="3"/>
  <c r="C552" i="3"/>
  <c r="D552" i="3"/>
  <c r="E552" i="3"/>
  <c r="F552" i="3"/>
  <c r="C553" i="3"/>
  <c r="F14" i="2" s="1"/>
  <c r="D553" i="3"/>
  <c r="E553" i="3"/>
  <c r="F553" i="3"/>
  <c r="C554" i="3"/>
  <c r="D554" i="3"/>
  <c r="E554" i="3"/>
  <c r="F554" i="3"/>
  <c r="C555" i="3"/>
  <c r="F13" i="2" s="1"/>
  <c r="D555" i="3"/>
  <c r="E555" i="3"/>
  <c r="F555" i="3"/>
  <c r="C556" i="3"/>
  <c r="D556" i="3"/>
  <c r="E556" i="3"/>
  <c r="F556" i="3"/>
  <c r="C557" i="3"/>
  <c r="D557" i="3"/>
  <c r="E557" i="3"/>
  <c r="F557" i="3"/>
  <c r="C558" i="3"/>
  <c r="D558" i="3"/>
  <c r="E558" i="3"/>
  <c r="F558" i="3"/>
  <c r="C559" i="3"/>
  <c r="D559" i="3"/>
  <c r="E559" i="3"/>
  <c r="F559" i="3"/>
  <c r="C560" i="3"/>
  <c r="D560" i="3"/>
  <c r="E560" i="3"/>
  <c r="F560" i="3"/>
  <c r="C561" i="3"/>
  <c r="D561" i="3"/>
  <c r="E561" i="3"/>
  <c r="F561" i="3"/>
  <c r="C562" i="3"/>
  <c r="D562" i="3"/>
  <c r="E562" i="3"/>
  <c r="F562" i="3"/>
  <c r="C563" i="3"/>
  <c r="D563" i="3"/>
  <c r="E563" i="3"/>
  <c r="F563" i="3"/>
  <c r="C564" i="3"/>
  <c r="D564" i="3"/>
  <c r="E564" i="3"/>
  <c r="F564" i="3"/>
  <c r="C565" i="3"/>
  <c r="D565" i="3"/>
  <c r="E565" i="3"/>
  <c r="F565" i="3"/>
  <c r="C566" i="3"/>
  <c r="D566" i="3"/>
  <c r="E566" i="3"/>
  <c r="F566" i="3"/>
  <c r="C567" i="3"/>
  <c r="D567" i="3"/>
  <c r="E567" i="3"/>
  <c r="F567" i="3"/>
  <c r="C568" i="3"/>
  <c r="D568" i="3"/>
  <c r="E568" i="3"/>
  <c r="F568" i="3"/>
  <c r="C569" i="3"/>
  <c r="D569" i="3"/>
  <c r="E569" i="3"/>
  <c r="F569" i="3"/>
  <c r="C570" i="3"/>
  <c r="D570" i="3"/>
  <c r="E570" i="3"/>
  <c r="F570" i="3"/>
  <c r="C571" i="3"/>
  <c r="D571" i="3"/>
  <c r="E571" i="3"/>
  <c r="F571" i="3"/>
  <c r="C572" i="3"/>
  <c r="D572" i="3"/>
  <c r="E572" i="3"/>
  <c r="F572" i="3"/>
  <c r="C573" i="3"/>
  <c r="D573" i="3"/>
  <c r="E573" i="3"/>
  <c r="F573" i="3"/>
  <c r="C574" i="3"/>
  <c r="D574" i="3"/>
  <c r="E574" i="3"/>
  <c r="F574" i="3"/>
  <c r="C575" i="3"/>
  <c r="D575" i="3"/>
  <c r="E575" i="3"/>
  <c r="F575" i="3"/>
  <c r="C576" i="3"/>
  <c r="D576" i="3"/>
  <c r="E576" i="3"/>
  <c r="F576" i="3"/>
  <c r="C577" i="3"/>
  <c r="D577" i="3"/>
  <c r="E577" i="3"/>
  <c r="F577" i="3"/>
  <c r="C578" i="3"/>
  <c r="D578" i="3"/>
  <c r="E578" i="3"/>
  <c r="F578" i="3"/>
  <c r="C579" i="3"/>
  <c r="D579" i="3"/>
  <c r="E579" i="3"/>
  <c r="F579" i="3"/>
  <c r="C580" i="3"/>
  <c r="D580" i="3"/>
  <c r="E580" i="3"/>
  <c r="F580" i="3"/>
  <c r="C581" i="3"/>
  <c r="D581" i="3"/>
  <c r="E581" i="3"/>
  <c r="F581" i="3"/>
  <c r="C582" i="3"/>
  <c r="D582" i="3"/>
  <c r="E582" i="3"/>
  <c r="F582" i="3"/>
  <c r="C583" i="3"/>
  <c r="D583" i="3"/>
  <c r="E583" i="3"/>
  <c r="F583" i="3"/>
  <c r="C584" i="3"/>
  <c r="D584" i="3"/>
  <c r="E584" i="3"/>
  <c r="F584" i="3"/>
  <c r="C585" i="3"/>
  <c r="D585" i="3"/>
  <c r="E585" i="3"/>
  <c r="F585" i="3"/>
  <c r="C586" i="3"/>
  <c r="D586" i="3"/>
  <c r="E586" i="3"/>
  <c r="F586" i="3"/>
  <c r="C587" i="3"/>
  <c r="D587" i="3"/>
  <c r="E587" i="3"/>
  <c r="F587" i="3"/>
  <c r="C588" i="3"/>
  <c r="D588" i="3"/>
  <c r="E588" i="3"/>
  <c r="F588" i="3"/>
  <c r="C589" i="3"/>
  <c r="D589" i="3"/>
  <c r="E589" i="3"/>
  <c r="F589" i="3"/>
  <c r="C590" i="3"/>
  <c r="D590" i="3"/>
  <c r="E590" i="3"/>
  <c r="F590" i="3"/>
  <c r="C591" i="3"/>
  <c r="D591" i="3"/>
  <c r="E591" i="3"/>
  <c r="F591" i="3"/>
  <c r="C592" i="3"/>
  <c r="D592" i="3"/>
  <c r="E592" i="3"/>
  <c r="F592" i="3"/>
  <c r="C593" i="3"/>
  <c r="D593" i="3"/>
  <c r="E593" i="3"/>
  <c r="F593" i="3"/>
  <c r="C594" i="3"/>
  <c r="D594" i="3"/>
  <c r="E594" i="3"/>
  <c r="F594" i="3"/>
  <c r="C595" i="3"/>
  <c r="D595" i="3"/>
  <c r="E595" i="3"/>
  <c r="F595" i="3"/>
  <c r="C596" i="3"/>
  <c r="D596" i="3"/>
  <c r="E596" i="3"/>
  <c r="F596" i="3"/>
  <c r="C597" i="3"/>
  <c r="D597" i="3"/>
  <c r="E597" i="3"/>
  <c r="F597" i="3"/>
  <c r="C598" i="3"/>
  <c r="D598" i="3"/>
  <c r="E598" i="3"/>
  <c r="F598" i="3"/>
  <c r="C599" i="3"/>
  <c r="D599" i="3"/>
  <c r="E599" i="3"/>
  <c r="F599" i="3"/>
  <c r="C600" i="3"/>
  <c r="D600" i="3"/>
  <c r="E600" i="3"/>
  <c r="F600" i="3"/>
  <c r="C601" i="3"/>
  <c r="D601" i="3"/>
  <c r="E601" i="3"/>
  <c r="F601" i="3"/>
  <c r="C602" i="3"/>
  <c r="D602" i="3"/>
  <c r="E602" i="3"/>
  <c r="F602" i="3"/>
  <c r="C603" i="3"/>
  <c r="D603" i="3"/>
  <c r="E603" i="3"/>
  <c r="F603" i="3"/>
  <c r="C604" i="3"/>
  <c r="D604" i="3"/>
  <c r="E604" i="3"/>
  <c r="F604" i="3"/>
  <c r="C605" i="3"/>
  <c r="D605" i="3"/>
  <c r="E605" i="3"/>
  <c r="F605" i="3"/>
  <c r="C606" i="3"/>
  <c r="D606" i="3"/>
  <c r="E606" i="3"/>
  <c r="F606" i="3"/>
  <c r="C607" i="3"/>
  <c r="D607" i="3"/>
  <c r="E607" i="3"/>
  <c r="F607" i="3"/>
  <c r="C608" i="3"/>
  <c r="D608" i="3"/>
  <c r="E608" i="3"/>
  <c r="F608" i="3"/>
  <c r="C609" i="3"/>
  <c r="D609" i="3"/>
  <c r="E609" i="3"/>
  <c r="F609" i="3"/>
  <c r="C610" i="3"/>
  <c r="D610" i="3"/>
  <c r="E610" i="3"/>
  <c r="F610" i="3"/>
  <c r="C611" i="3"/>
  <c r="D611" i="3"/>
  <c r="E611" i="3"/>
  <c r="F611" i="3"/>
  <c r="C612" i="3"/>
  <c r="D612" i="3"/>
  <c r="E612" i="3"/>
  <c r="F612" i="3"/>
  <c r="C613" i="3"/>
  <c r="D613" i="3"/>
  <c r="E613" i="3"/>
  <c r="F613" i="3"/>
  <c r="C614" i="3"/>
  <c r="D614" i="3"/>
  <c r="E614" i="3"/>
  <c r="F614" i="3"/>
  <c r="C615" i="3"/>
  <c r="D615" i="3"/>
  <c r="E615" i="3"/>
  <c r="F615" i="3"/>
  <c r="C616" i="3"/>
  <c r="D616" i="3"/>
  <c r="E616" i="3"/>
  <c r="F616" i="3"/>
  <c r="C617" i="3"/>
  <c r="D617" i="3"/>
  <c r="E617" i="3"/>
  <c r="F617" i="3"/>
  <c r="C618" i="3"/>
  <c r="D618" i="3"/>
  <c r="E618" i="3"/>
  <c r="F618" i="3"/>
  <c r="C619" i="3"/>
  <c r="D619" i="3"/>
  <c r="E619" i="3"/>
  <c r="F619" i="3"/>
  <c r="C620" i="3"/>
  <c r="D620" i="3"/>
  <c r="E620" i="3"/>
  <c r="F620" i="3"/>
  <c r="C621" i="3"/>
  <c r="D621" i="3"/>
  <c r="E621" i="3"/>
  <c r="F621" i="3"/>
  <c r="C622" i="3"/>
  <c r="D622" i="3"/>
  <c r="E622" i="3"/>
  <c r="F622" i="3"/>
  <c r="C623" i="3"/>
  <c r="D623" i="3"/>
  <c r="E623" i="3"/>
  <c r="F623" i="3"/>
  <c r="C624" i="3"/>
  <c r="D624" i="3"/>
  <c r="E624" i="3"/>
  <c r="F624" i="3"/>
  <c r="C625" i="3"/>
  <c r="D625" i="3"/>
  <c r="E625" i="3"/>
  <c r="F625" i="3"/>
  <c r="C626" i="3"/>
  <c r="D626" i="3"/>
  <c r="E626" i="3"/>
  <c r="F626" i="3"/>
  <c r="C627" i="3"/>
  <c r="D627" i="3"/>
  <c r="E627" i="3"/>
  <c r="F627" i="3"/>
  <c r="C628" i="3"/>
  <c r="D628" i="3"/>
  <c r="E628" i="3"/>
  <c r="F628" i="3"/>
  <c r="C629" i="3"/>
  <c r="D629" i="3"/>
  <c r="E629" i="3"/>
  <c r="F629" i="3"/>
  <c r="C630" i="3"/>
  <c r="D630" i="3"/>
  <c r="E630" i="3"/>
  <c r="F630" i="3"/>
  <c r="C631" i="3"/>
  <c r="D631" i="3"/>
  <c r="E631" i="3"/>
  <c r="F631" i="3"/>
  <c r="C632" i="3"/>
  <c r="D632" i="3"/>
  <c r="E632" i="3"/>
  <c r="F632" i="3"/>
  <c r="C633" i="3"/>
  <c r="D633" i="3"/>
  <c r="E633" i="3"/>
  <c r="F633" i="3"/>
  <c r="C634" i="3"/>
  <c r="D634" i="3"/>
  <c r="E634" i="3"/>
  <c r="F634" i="3"/>
  <c r="C635" i="3"/>
  <c r="D635" i="3"/>
  <c r="E635" i="3"/>
  <c r="F635" i="3"/>
  <c r="C636" i="3"/>
  <c r="D636" i="3"/>
  <c r="E636" i="3"/>
  <c r="F636" i="3"/>
  <c r="C637" i="3"/>
  <c r="D637" i="3"/>
  <c r="E637" i="3"/>
  <c r="F637" i="3"/>
  <c r="C638" i="3"/>
  <c r="D638" i="3"/>
  <c r="E638" i="3"/>
  <c r="F638" i="3"/>
  <c r="C639" i="3"/>
  <c r="D639" i="3"/>
  <c r="E639" i="3"/>
  <c r="F639" i="3"/>
  <c r="C640" i="3"/>
  <c r="D640" i="3"/>
  <c r="E640" i="3"/>
  <c r="F640" i="3"/>
  <c r="C641" i="3"/>
  <c r="D641" i="3"/>
  <c r="E641" i="3"/>
  <c r="F641" i="3"/>
  <c r="C642" i="3"/>
  <c r="D642" i="3"/>
  <c r="E642" i="3"/>
  <c r="F642" i="3"/>
  <c r="C643" i="3"/>
  <c r="D643" i="3"/>
  <c r="E643" i="3"/>
  <c r="F643" i="3"/>
  <c r="C644" i="3"/>
  <c r="D644" i="3"/>
  <c r="E644" i="3"/>
  <c r="F644" i="3"/>
  <c r="C645" i="3"/>
  <c r="D645" i="3"/>
  <c r="E645" i="3"/>
  <c r="F645" i="3"/>
  <c r="C646" i="3"/>
  <c r="D646" i="3"/>
  <c r="E646" i="3"/>
  <c r="F646" i="3"/>
  <c r="C647" i="3"/>
  <c r="D647" i="3"/>
  <c r="E647" i="3"/>
  <c r="F647" i="3"/>
  <c r="C648" i="3"/>
  <c r="D648" i="3"/>
  <c r="E648" i="3"/>
  <c r="F648" i="3"/>
  <c r="C649" i="3"/>
  <c r="D649" i="3"/>
  <c r="E649" i="3"/>
  <c r="F649" i="3"/>
  <c r="C650" i="3"/>
  <c r="D650" i="3"/>
  <c r="E650" i="3"/>
  <c r="F650" i="3"/>
  <c r="C651" i="3"/>
  <c r="D651" i="3"/>
  <c r="E651" i="3"/>
  <c r="F651" i="3"/>
  <c r="C652" i="3"/>
  <c r="D652" i="3"/>
  <c r="E652" i="3"/>
  <c r="F652" i="3"/>
  <c r="C653" i="3"/>
  <c r="D653" i="3"/>
  <c r="E653" i="3"/>
  <c r="F653" i="3"/>
  <c r="C654" i="3"/>
  <c r="D654" i="3"/>
  <c r="E654" i="3"/>
  <c r="F654" i="3"/>
  <c r="C655" i="3"/>
  <c r="D655" i="3"/>
  <c r="E655" i="3"/>
  <c r="F655" i="3"/>
  <c r="C656" i="3"/>
  <c r="D656" i="3"/>
  <c r="E656" i="3"/>
  <c r="F656" i="3"/>
  <c r="C657" i="3"/>
  <c r="D657" i="3"/>
  <c r="E657" i="3"/>
  <c r="F657" i="3"/>
  <c r="C658" i="3"/>
  <c r="D658" i="3"/>
  <c r="E658" i="3"/>
  <c r="F658" i="3"/>
  <c r="C659" i="3"/>
  <c r="D659" i="3"/>
  <c r="E659" i="3"/>
  <c r="F659" i="3"/>
  <c r="C660" i="3"/>
  <c r="D660" i="3"/>
  <c r="E660" i="3"/>
  <c r="F660" i="3"/>
  <c r="C661" i="3"/>
  <c r="D661" i="3"/>
  <c r="E661" i="3"/>
  <c r="F661" i="3"/>
  <c r="C662" i="3"/>
  <c r="D662" i="3"/>
  <c r="E662" i="3"/>
  <c r="F662" i="3"/>
  <c r="C663" i="3"/>
  <c r="D663" i="3"/>
  <c r="E663" i="3"/>
  <c r="F663" i="3"/>
  <c r="C664" i="3"/>
  <c r="D664" i="3"/>
  <c r="E664" i="3"/>
  <c r="F664" i="3"/>
  <c r="C665" i="3"/>
  <c r="D665" i="3"/>
  <c r="E665" i="3"/>
  <c r="F665" i="3"/>
  <c r="C666" i="3"/>
  <c r="D666" i="3"/>
  <c r="E666" i="3"/>
  <c r="F666" i="3"/>
  <c r="C667" i="3"/>
  <c r="D667" i="3"/>
  <c r="E667" i="3"/>
  <c r="F667" i="3"/>
  <c r="C668" i="3"/>
  <c r="D668" i="3"/>
  <c r="E668" i="3"/>
  <c r="F668" i="3"/>
  <c r="C669" i="3"/>
  <c r="D669" i="3"/>
  <c r="E669" i="3"/>
  <c r="F669" i="3"/>
  <c r="C670" i="3"/>
  <c r="D670" i="3"/>
  <c r="E670" i="3"/>
  <c r="F670" i="3"/>
  <c r="C671" i="3"/>
  <c r="D671" i="3"/>
  <c r="E671" i="3"/>
  <c r="F671" i="3"/>
  <c r="C672" i="3"/>
  <c r="D672" i="3"/>
  <c r="E672" i="3"/>
  <c r="F672" i="3"/>
  <c r="C673" i="3"/>
  <c r="D673" i="3"/>
  <c r="E673" i="3"/>
  <c r="F673" i="3"/>
  <c r="C674" i="3"/>
  <c r="D674" i="3"/>
  <c r="E674" i="3"/>
  <c r="F674" i="3"/>
  <c r="C675" i="3"/>
  <c r="D675" i="3"/>
  <c r="E675" i="3"/>
  <c r="F675" i="3"/>
  <c r="C676" i="3"/>
  <c r="D676" i="3"/>
  <c r="E676" i="3"/>
  <c r="F676" i="3"/>
  <c r="C677" i="3"/>
  <c r="D677" i="3"/>
  <c r="E677" i="3"/>
  <c r="F677" i="3"/>
  <c r="C678" i="3"/>
  <c r="D678" i="3"/>
  <c r="E678" i="3"/>
  <c r="F678" i="3"/>
  <c r="C679" i="3"/>
  <c r="D679" i="3"/>
  <c r="E679" i="3"/>
  <c r="F679" i="3"/>
  <c r="C680" i="3"/>
  <c r="D680" i="3"/>
  <c r="E680" i="3"/>
  <c r="F680" i="3"/>
  <c r="C681" i="3"/>
  <c r="D681" i="3"/>
  <c r="E681" i="3"/>
  <c r="F681" i="3"/>
  <c r="C682" i="3"/>
  <c r="D682" i="3"/>
  <c r="E682" i="3"/>
  <c r="F682" i="3"/>
  <c r="C683" i="3"/>
  <c r="D683" i="3"/>
  <c r="E683" i="3"/>
  <c r="F683" i="3"/>
  <c r="C684" i="3"/>
  <c r="D684" i="3"/>
  <c r="E684" i="3"/>
  <c r="F684" i="3"/>
  <c r="C685" i="3"/>
  <c r="D685" i="3"/>
  <c r="E685" i="3"/>
  <c r="F685" i="3"/>
  <c r="C686" i="3"/>
  <c r="D686" i="3"/>
  <c r="E686" i="3"/>
  <c r="F686" i="3"/>
  <c r="C687" i="3"/>
  <c r="D687" i="3"/>
  <c r="E687" i="3"/>
  <c r="F687" i="3"/>
  <c r="C688" i="3"/>
  <c r="D688" i="3"/>
  <c r="E688" i="3"/>
  <c r="F688" i="3"/>
  <c r="C689" i="3"/>
  <c r="D689" i="3"/>
  <c r="E689" i="3"/>
  <c r="F689" i="3"/>
  <c r="C690" i="3"/>
  <c r="D690" i="3"/>
  <c r="E690" i="3"/>
  <c r="F690" i="3"/>
  <c r="C691" i="3"/>
  <c r="D691" i="3"/>
  <c r="E691" i="3"/>
  <c r="F691" i="3"/>
  <c r="C692" i="3"/>
  <c r="D692" i="3"/>
  <c r="E692" i="3"/>
  <c r="F692" i="3"/>
  <c r="C693" i="3"/>
  <c r="D693" i="3"/>
  <c r="E693" i="3"/>
  <c r="F693" i="3"/>
  <c r="C694" i="3"/>
  <c r="D694" i="3"/>
  <c r="E694" i="3"/>
  <c r="F694" i="3"/>
  <c r="C695" i="3"/>
  <c r="D695" i="3"/>
  <c r="E695" i="3"/>
  <c r="F695" i="3"/>
  <c r="C696" i="3"/>
  <c r="D696" i="3"/>
  <c r="E696" i="3"/>
  <c r="F696" i="3"/>
  <c r="C697" i="3"/>
  <c r="D697" i="3"/>
  <c r="E697" i="3"/>
  <c r="F697" i="3"/>
  <c r="C698" i="3"/>
  <c r="D698" i="3"/>
  <c r="E698" i="3"/>
  <c r="F698" i="3"/>
  <c r="C699" i="3"/>
  <c r="D699" i="3"/>
  <c r="E699" i="3"/>
  <c r="F699" i="3"/>
  <c r="C700" i="3"/>
  <c r="D700" i="3"/>
  <c r="E700" i="3"/>
  <c r="F700" i="3"/>
  <c r="C701" i="3"/>
  <c r="D701" i="3"/>
  <c r="E701" i="3"/>
  <c r="F701" i="3"/>
  <c r="C702" i="3"/>
  <c r="D702" i="3"/>
  <c r="E702" i="3"/>
  <c r="F702" i="3"/>
  <c r="C703" i="3"/>
  <c r="D703" i="3"/>
  <c r="E703" i="3"/>
  <c r="F703" i="3"/>
  <c r="C704" i="3"/>
  <c r="D704" i="3"/>
  <c r="E704" i="3"/>
  <c r="F704" i="3"/>
  <c r="C705" i="3"/>
  <c r="D705" i="3"/>
  <c r="E705" i="3"/>
  <c r="F705" i="3"/>
  <c r="C706" i="3"/>
  <c r="D706" i="3"/>
  <c r="E706" i="3"/>
  <c r="F706" i="3"/>
  <c r="C707" i="3"/>
  <c r="D707" i="3"/>
  <c r="E707" i="3"/>
  <c r="F707" i="3"/>
  <c r="C708" i="3"/>
  <c r="D708" i="3"/>
  <c r="E708" i="3"/>
  <c r="F708" i="3"/>
  <c r="C709" i="3"/>
  <c r="D709" i="3"/>
  <c r="E709" i="3"/>
  <c r="F709" i="3"/>
  <c r="C710" i="3"/>
  <c r="D710" i="3"/>
  <c r="E710" i="3"/>
  <c r="F710" i="3"/>
  <c r="C711" i="3"/>
  <c r="D711" i="3"/>
  <c r="E711" i="3"/>
  <c r="F711" i="3"/>
  <c r="C712" i="3"/>
  <c r="D712" i="3"/>
  <c r="E712" i="3"/>
  <c r="F712" i="3"/>
  <c r="C713" i="3"/>
  <c r="D713" i="3"/>
  <c r="E713" i="3"/>
  <c r="F713" i="3"/>
  <c r="C714" i="3"/>
  <c r="D714" i="3"/>
  <c r="E714" i="3"/>
  <c r="F714" i="3"/>
  <c r="C715" i="3"/>
  <c r="D715" i="3"/>
  <c r="E715" i="3"/>
  <c r="F715" i="3"/>
  <c r="C716" i="3"/>
  <c r="D716" i="3"/>
  <c r="E716" i="3"/>
  <c r="F716" i="3"/>
  <c r="C717" i="3"/>
  <c r="D717" i="3"/>
  <c r="E717" i="3"/>
  <c r="F717" i="3"/>
  <c r="C718" i="3"/>
  <c r="D718" i="3"/>
  <c r="E718" i="3"/>
  <c r="F718" i="3"/>
  <c r="C719" i="3"/>
  <c r="D719" i="3"/>
  <c r="E719" i="3"/>
  <c r="F719" i="3"/>
  <c r="C720" i="3"/>
  <c r="D720" i="3"/>
  <c r="E720" i="3"/>
  <c r="F720" i="3"/>
  <c r="C721" i="3"/>
  <c r="D721" i="3"/>
  <c r="E721" i="3"/>
  <c r="F721" i="3"/>
  <c r="C722" i="3"/>
  <c r="D722" i="3"/>
  <c r="E722" i="3"/>
  <c r="F722" i="3"/>
  <c r="C723" i="3"/>
  <c r="D723" i="3"/>
  <c r="E723" i="3"/>
  <c r="F723" i="3"/>
  <c r="C724" i="3"/>
  <c r="D724" i="3"/>
  <c r="E724" i="3"/>
  <c r="F724" i="3"/>
  <c r="C725" i="3"/>
  <c r="D725" i="3"/>
  <c r="E725" i="3"/>
  <c r="F725" i="3"/>
  <c r="C726" i="3"/>
  <c r="D726" i="3"/>
  <c r="E726" i="3"/>
  <c r="F726" i="3"/>
  <c r="C727" i="3"/>
  <c r="D727" i="3"/>
  <c r="E727" i="3"/>
  <c r="F727" i="3"/>
  <c r="C728" i="3"/>
  <c r="D728" i="3"/>
  <c r="E728" i="3"/>
  <c r="F728" i="3"/>
  <c r="C729" i="3"/>
  <c r="D729" i="3"/>
  <c r="E729" i="3"/>
  <c r="F729" i="3"/>
  <c r="C730" i="3"/>
  <c r="D730" i="3"/>
  <c r="E730" i="3"/>
  <c r="F730" i="3"/>
  <c r="C731" i="3"/>
  <c r="D731" i="3"/>
  <c r="E731" i="3"/>
  <c r="F731" i="3"/>
  <c r="C732" i="3"/>
  <c r="D732" i="3"/>
  <c r="E732" i="3"/>
  <c r="F732" i="3"/>
  <c r="C733" i="3"/>
  <c r="D733" i="3"/>
  <c r="E733" i="3"/>
  <c r="F733" i="3"/>
  <c r="C734" i="3"/>
  <c r="D734" i="3"/>
  <c r="E734" i="3"/>
  <c r="F734" i="3"/>
  <c r="C735" i="3"/>
  <c r="D735" i="3"/>
  <c r="E735" i="3"/>
  <c r="F735" i="3"/>
  <c r="C736" i="3"/>
  <c r="D736" i="3"/>
  <c r="E736" i="3"/>
  <c r="F736" i="3"/>
  <c r="C737" i="3"/>
  <c r="D737" i="3"/>
  <c r="E737" i="3"/>
  <c r="F737" i="3"/>
  <c r="C738" i="3"/>
  <c r="D738" i="3"/>
  <c r="E738" i="3"/>
  <c r="F738" i="3"/>
  <c r="C739" i="3"/>
  <c r="D739" i="3"/>
  <c r="E739" i="3"/>
  <c r="F739" i="3"/>
  <c r="C740" i="3"/>
  <c r="D740" i="3"/>
  <c r="E740" i="3"/>
  <c r="F740" i="3"/>
  <c r="C741" i="3"/>
  <c r="D741" i="3"/>
  <c r="E741" i="3"/>
  <c r="F741" i="3"/>
  <c r="C742" i="3"/>
  <c r="D742" i="3"/>
  <c r="E742" i="3"/>
  <c r="F742" i="3"/>
  <c r="C743" i="3"/>
  <c r="D743" i="3"/>
  <c r="E743" i="3"/>
  <c r="F743" i="3"/>
  <c r="C744" i="3"/>
  <c r="D744" i="3"/>
  <c r="E744" i="3"/>
  <c r="F744" i="3"/>
  <c r="C745" i="3"/>
  <c r="D745" i="3"/>
  <c r="E745" i="3"/>
  <c r="F745" i="3"/>
  <c r="C746" i="3"/>
  <c r="D746" i="3"/>
  <c r="E746" i="3"/>
  <c r="F746" i="3"/>
  <c r="C747" i="3"/>
  <c r="D747" i="3"/>
  <c r="E747" i="3"/>
  <c r="F747" i="3"/>
  <c r="C748" i="3"/>
  <c r="D748" i="3"/>
  <c r="E748" i="3"/>
  <c r="F748" i="3"/>
  <c r="C749" i="3"/>
  <c r="D749" i="3"/>
  <c r="E749" i="3"/>
  <c r="F749" i="3"/>
  <c r="C750" i="3"/>
  <c r="D750" i="3"/>
  <c r="E750" i="3"/>
  <c r="F750" i="3"/>
  <c r="C751" i="3"/>
  <c r="D751" i="3"/>
  <c r="E751" i="3"/>
  <c r="F751" i="3"/>
  <c r="C752" i="3"/>
  <c r="D752" i="3"/>
  <c r="E752" i="3"/>
  <c r="F752" i="3"/>
  <c r="C753" i="3"/>
  <c r="D753" i="3"/>
  <c r="E753" i="3"/>
  <c r="F753" i="3"/>
  <c r="C754" i="3"/>
  <c r="D754" i="3"/>
  <c r="E754" i="3"/>
  <c r="F754" i="3"/>
  <c r="C755" i="3"/>
  <c r="D755" i="3"/>
  <c r="E755" i="3"/>
  <c r="F755" i="3"/>
  <c r="C756" i="3"/>
  <c r="D756" i="3"/>
  <c r="E756" i="3"/>
  <c r="F756" i="3"/>
  <c r="C757" i="3"/>
  <c r="D757" i="3"/>
  <c r="E757" i="3"/>
  <c r="F757" i="3"/>
  <c r="C758" i="3"/>
  <c r="D758" i="3"/>
  <c r="E758" i="3"/>
  <c r="F758" i="3"/>
  <c r="C759" i="3"/>
  <c r="D759" i="3"/>
  <c r="E759" i="3"/>
  <c r="F759" i="3"/>
  <c r="C760" i="3"/>
  <c r="D760" i="3"/>
  <c r="E760" i="3"/>
  <c r="F760" i="3"/>
  <c r="C761" i="3"/>
  <c r="D761" i="3"/>
  <c r="E761" i="3"/>
  <c r="F761" i="3"/>
  <c r="C762" i="3"/>
  <c r="D762" i="3"/>
  <c r="E762" i="3"/>
  <c r="F762" i="3"/>
  <c r="C763" i="3"/>
  <c r="D763" i="3"/>
  <c r="E763" i="3"/>
  <c r="F763" i="3"/>
  <c r="C764" i="3"/>
  <c r="D764" i="3"/>
  <c r="E764" i="3"/>
  <c r="F764" i="3"/>
  <c r="C765" i="3"/>
  <c r="D765" i="3"/>
  <c r="E765" i="3"/>
  <c r="F765" i="3"/>
  <c r="C766" i="3"/>
  <c r="D766" i="3"/>
  <c r="E766" i="3"/>
  <c r="F766" i="3"/>
  <c r="C767" i="3"/>
  <c r="D767" i="3"/>
  <c r="E767" i="3"/>
  <c r="F767" i="3"/>
  <c r="C768" i="3"/>
  <c r="D768" i="3"/>
  <c r="E768" i="3"/>
  <c r="F768" i="3"/>
  <c r="C769" i="3"/>
  <c r="D769" i="3"/>
  <c r="E769" i="3"/>
  <c r="F769" i="3"/>
  <c r="C770" i="3"/>
  <c r="D770" i="3"/>
  <c r="E770" i="3"/>
  <c r="F770" i="3"/>
  <c r="C771" i="3"/>
  <c r="D771" i="3"/>
  <c r="E771" i="3"/>
  <c r="F771" i="3"/>
  <c r="C772" i="3"/>
  <c r="D772" i="3"/>
  <c r="E772" i="3"/>
  <c r="F772" i="3"/>
  <c r="C773" i="3"/>
  <c r="D773" i="3"/>
  <c r="E773" i="3"/>
  <c r="F773" i="3"/>
  <c r="C774" i="3"/>
  <c r="D774" i="3"/>
  <c r="E774" i="3"/>
  <c r="F774" i="3"/>
  <c r="C775" i="3"/>
  <c r="D775" i="3"/>
  <c r="E775" i="3"/>
  <c r="F775" i="3"/>
  <c r="C776" i="3"/>
  <c r="D776" i="3"/>
  <c r="E776" i="3"/>
  <c r="F776" i="3"/>
  <c r="C777" i="3"/>
  <c r="D777" i="3"/>
  <c r="E777" i="3"/>
  <c r="F777" i="3"/>
  <c r="C778" i="3"/>
  <c r="D778" i="3"/>
  <c r="E778" i="3"/>
  <c r="F778" i="3"/>
  <c r="C779" i="3"/>
  <c r="D779" i="3"/>
  <c r="E779" i="3"/>
  <c r="F779" i="3"/>
  <c r="C780" i="3"/>
  <c r="D780" i="3"/>
  <c r="E780" i="3"/>
  <c r="F780" i="3"/>
  <c r="C781" i="3"/>
  <c r="D781" i="3"/>
  <c r="E781" i="3"/>
  <c r="F781" i="3"/>
  <c r="C782" i="3"/>
  <c r="D782" i="3"/>
  <c r="E782" i="3"/>
  <c r="F782" i="3"/>
  <c r="C783" i="3"/>
  <c r="D783" i="3"/>
  <c r="E783" i="3"/>
  <c r="F783" i="3"/>
  <c r="C784" i="3"/>
  <c r="D784" i="3"/>
  <c r="E784" i="3"/>
  <c r="F784" i="3"/>
  <c r="C785" i="3"/>
  <c r="D785" i="3"/>
  <c r="E785" i="3"/>
  <c r="F785" i="3"/>
  <c r="C786" i="3"/>
  <c r="D786" i="3"/>
  <c r="E786" i="3"/>
  <c r="F786" i="3"/>
  <c r="C787" i="3"/>
  <c r="D787" i="3"/>
  <c r="E787" i="3"/>
  <c r="F787" i="3"/>
  <c r="C788" i="3"/>
  <c r="D788" i="3"/>
  <c r="E788" i="3"/>
  <c r="F788" i="3"/>
  <c r="C789" i="3"/>
  <c r="D789" i="3"/>
  <c r="E789" i="3"/>
  <c r="F789" i="3"/>
  <c r="C790" i="3"/>
  <c r="D790" i="3"/>
  <c r="E790" i="3"/>
  <c r="F790" i="3"/>
  <c r="C791" i="3"/>
  <c r="D791" i="3"/>
  <c r="E791" i="3"/>
  <c r="F791" i="3"/>
  <c r="C792" i="3"/>
  <c r="D792" i="3"/>
  <c r="E792" i="3"/>
  <c r="F792" i="3"/>
  <c r="C793" i="3"/>
  <c r="D793" i="3"/>
  <c r="E793" i="3"/>
  <c r="F793" i="3"/>
  <c r="C794" i="3"/>
  <c r="D794" i="3"/>
  <c r="E794" i="3"/>
  <c r="F794" i="3"/>
  <c r="C795" i="3"/>
  <c r="D795" i="3"/>
  <c r="E795" i="3"/>
  <c r="F795" i="3"/>
  <c r="C796" i="3"/>
  <c r="D796" i="3"/>
  <c r="E796" i="3"/>
  <c r="F796" i="3"/>
  <c r="C797" i="3"/>
  <c r="D797" i="3"/>
  <c r="E797" i="3"/>
  <c r="F797" i="3"/>
  <c r="C798" i="3"/>
  <c r="D798" i="3"/>
  <c r="E798" i="3"/>
  <c r="F798" i="3"/>
  <c r="C799" i="3"/>
  <c r="D799" i="3"/>
  <c r="E799" i="3"/>
  <c r="F799" i="3"/>
  <c r="C800" i="3"/>
  <c r="D800" i="3"/>
  <c r="E800" i="3"/>
  <c r="F800" i="3"/>
  <c r="C801" i="3"/>
  <c r="D801" i="3"/>
  <c r="E801" i="3"/>
  <c r="F801" i="3"/>
  <c r="C802" i="3"/>
  <c r="D802" i="3"/>
  <c r="E802" i="3"/>
  <c r="F802" i="3"/>
  <c r="C803" i="3"/>
  <c r="D803" i="3"/>
  <c r="E803" i="3"/>
  <c r="F803" i="3"/>
  <c r="C804" i="3"/>
  <c r="D804" i="3"/>
  <c r="E804" i="3"/>
  <c r="F804" i="3"/>
  <c r="C805" i="3"/>
  <c r="D805" i="3"/>
  <c r="E805" i="3"/>
  <c r="F805" i="3"/>
  <c r="C806" i="3"/>
  <c r="D806" i="3"/>
  <c r="E806" i="3"/>
  <c r="F806" i="3"/>
  <c r="C807" i="3"/>
  <c r="D807" i="3"/>
  <c r="E807" i="3"/>
  <c r="F807" i="3"/>
  <c r="C808" i="3"/>
  <c r="D808" i="3"/>
  <c r="E808" i="3"/>
  <c r="F808" i="3"/>
  <c r="C809" i="3"/>
  <c r="D809" i="3"/>
  <c r="E809" i="3"/>
  <c r="F809" i="3"/>
  <c r="C810" i="3"/>
  <c r="D810" i="3"/>
  <c r="E810" i="3"/>
  <c r="F810" i="3"/>
  <c r="C811" i="3"/>
  <c r="D811" i="3"/>
  <c r="E811" i="3"/>
  <c r="F811" i="3"/>
  <c r="C812" i="3"/>
  <c r="D812" i="3"/>
  <c r="E812" i="3"/>
  <c r="F812" i="3"/>
  <c r="C813" i="3"/>
  <c r="D813" i="3"/>
  <c r="E813" i="3"/>
  <c r="F813" i="3"/>
  <c r="C814" i="3"/>
  <c r="D814" i="3"/>
  <c r="E814" i="3"/>
  <c r="F814" i="3"/>
  <c r="C815" i="3"/>
  <c r="D815" i="3"/>
  <c r="E815" i="3"/>
  <c r="F815" i="3"/>
  <c r="C816" i="3"/>
  <c r="D816" i="3"/>
  <c r="E816" i="3"/>
  <c r="F816" i="3"/>
  <c r="C817" i="3"/>
  <c r="D817" i="3"/>
  <c r="E817" i="3"/>
  <c r="F817" i="3"/>
  <c r="C818" i="3"/>
  <c r="D818" i="3"/>
  <c r="E818" i="3"/>
  <c r="F818" i="3"/>
  <c r="C819" i="3"/>
  <c r="D819" i="3"/>
  <c r="E819" i="3"/>
  <c r="F819" i="3"/>
  <c r="C820" i="3"/>
  <c r="D820" i="3"/>
  <c r="E820" i="3"/>
  <c r="F820" i="3"/>
  <c r="C821" i="3"/>
  <c r="D821" i="3"/>
  <c r="E821" i="3"/>
  <c r="F821" i="3"/>
  <c r="C822" i="3"/>
  <c r="D822" i="3"/>
  <c r="E822" i="3"/>
  <c r="F822" i="3"/>
  <c r="C823" i="3"/>
  <c r="D823" i="3"/>
  <c r="E823" i="3"/>
  <c r="F823" i="3"/>
  <c r="C824" i="3"/>
  <c r="D824" i="3"/>
  <c r="E824" i="3"/>
  <c r="F824" i="3"/>
  <c r="C825" i="3"/>
  <c r="D825" i="3"/>
  <c r="E825" i="3"/>
  <c r="F825" i="3"/>
  <c r="C826" i="3"/>
  <c r="D826" i="3"/>
  <c r="E826" i="3"/>
  <c r="F826" i="3"/>
  <c r="C827" i="3"/>
  <c r="D827" i="3"/>
  <c r="E827" i="3"/>
  <c r="F827" i="3"/>
  <c r="C828" i="3"/>
  <c r="D828" i="3"/>
  <c r="E828" i="3"/>
  <c r="F828" i="3"/>
  <c r="C829" i="3"/>
  <c r="D829" i="3"/>
  <c r="E829" i="3"/>
  <c r="F829" i="3"/>
  <c r="C830" i="3"/>
  <c r="D830" i="3"/>
  <c r="E830" i="3"/>
  <c r="F830" i="3"/>
  <c r="C831" i="3"/>
  <c r="D831" i="3"/>
  <c r="E831" i="3"/>
  <c r="F831" i="3"/>
  <c r="C832" i="3"/>
  <c r="D832" i="3"/>
  <c r="E832" i="3"/>
  <c r="F832" i="3"/>
  <c r="C833" i="3"/>
  <c r="D833" i="3"/>
  <c r="E833" i="3"/>
  <c r="F833" i="3"/>
  <c r="C834" i="3"/>
  <c r="D834" i="3"/>
  <c r="E834" i="3"/>
  <c r="F834" i="3"/>
  <c r="C835" i="3"/>
  <c r="D835" i="3"/>
  <c r="E835" i="3"/>
  <c r="F835" i="3"/>
  <c r="C836" i="3"/>
  <c r="D836" i="3"/>
  <c r="E836" i="3"/>
  <c r="F836" i="3"/>
  <c r="C837" i="3"/>
  <c r="D837" i="3"/>
  <c r="E837" i="3"/>
  <c r="F837" i="3"/>
  <c r="C838" i="3"/>
  <c r="D838" i="3"/>
  <c r="E838" i="3"/>
  <c r="F838" i="3"/>
  <c r="C839" i="3"/>
  <c r="D839" i="3"/>
  <c r="E839" i="3"/>
  <c r="F839" i="3"/>
  <c r="C840" i="3"/>
  <c r="D840" i="3"/>
  <c r="E840" i="3"/>
  <c r="F840" i="3"/>
  <c r="C841" i="3"/>
  <c r="D841" i="3"/>
  <c r="E841" i="3"/>
  <c r="F841" i="3"/>
  <c r="C842" i="3"/>
  <c r="D842" i="3"/>
  <c r="E842" i="3"/>
  <c r="F842" i="3"/>
  <c r="C843" i="3"/>
  <c r="D843" i="3"/>
  <c r="E843" i="3"/>
  <c r="F843" i="3"/>
  <c r="C844" i="3"/>
  <c r="D844" i="3"/>
  <c r="E844" i="3"/>
  <c r="F844" i="3"/>
  <c r="C845" i="3"/>
  <c r="D845" i="3"/>
  <c r="E845" i="3"/>
  <c r="F845" i="3"/>
  <c r="C846" i="3"/>
  <c r="D846" i="3"/>
  <c r="E846" i="3"/>
  <c r="F846" i="3"/>
  <c r="C847" i="3"/>
  <c r="D847" i="3"/>
  <c r="E847" i="3"/>
  <c r="F847" i="3"/>
  <c r="C848" i="3"/>
  <c r="D848" i="3"/>
  <c r="E848" i="3"/>
  <c r="F848" i="3"/>
  <c r="C849" i="3"/>
  <c r="D849" i="3"/>
  <c r="E849" i="3"/>
  <c r="F849" i="3"/>
  <c r="C850" i="3"/>
  <c r="D850" i="3"/>
  <c r="E850" i="3"/>
  <c r="F850" i="3"/>
  <c r="C851" i="3"/>
  <c r="D851" i="3"/>
  <c r="E851" i="3"/>
  <c r="F851" i="3"/>
  <c r="C852" i="3"/>
  <c r="D852" i="3"/>
  <c r="E852" i="3"/>
  <c r="F852" i="3"/>
  <c r="C853" i="3"/>
  <c r="D853" i="3"/>
  <c r="E853" i="3"/>
  <c r="F853" i="3"/>
  <c r="C854" i="3"/>
  <c r="D854" i="3"/>
  <c r="E854" i="3"/>
  <c r="F854" i="3"/>
  <c r="C855" i="3"/>
  <c r="D855" i="3"/>
  <c r="E855" i="3"/>
  <c r="F855" i="3"/>
  <c r="C856" i="3"/>
  <c r="D856" i="3"/>
  <c r="E856" i="3"/>
  <c r="F856" i="3"/>
  <c r="C857" i="3"/>
  <c r="D857" i="3"/>
  <c r="E857" i="3"/>
  <c r="F857" i="3"/>
  <c r="C858" i="3"/>
  <c r="D858" i="3"/>
  <c r="E858" i="3"/>
  <c r="F858" i="3"/>
  <c r="C859" i="3"/>
  <c r="D859" i="3"/>
  <c r="E859" i="3"/>
  <c r="F859" i="3"/>
  <c r="C860" i="3"/>
  <c r="D860" i="3"/>
  <c r="E860" i="3"/>
  <c r="F860" i="3"/>
  <c r="C861" i="3"/>
  <c r="D861" i="3"/>
  <c r="E861" i="3"/>
  <c r="F861" i="3"/>
  <c r="C862" i="3"/>
  <c r="D862" i="3"/>
  <c r="E862" i="3"/>
  <c r="F862" i="3"/>
  <c r="C863" i="3"/>
  <c r="D863" i="3"/>
  <c r="E863" i="3"/>
  <c r="F863" i="3"/>
  <c r="C864" i="3"/>
  <c r="D864" i="3"/>
  <c r="E864" i="3"/>
  <c r="F864" i="3"/>
  <c r="C865" i="3"/>
  <c r="D865" i="3"/>
  <c r="E865" i="3"/>
  <c r="F865" i="3"/>
  <c r="C866" i="3"/>
  <c r="D866" i="3"/>
  <c r="E866" i="3"/>
  <c r="F866" i="3"/>
  <c r="C867" i="3"/>
  <c r="D867" i="3"/>
  <c r="E867" i="3"/>
  <c r="F867" i="3"/>
  <c r="C868" i="3"/>
  <c r="D868" i="3"/>
  <c r="E868" i="3"/>
  <c r="F868" i="3"/>
  <c r="C869" i="3"/>
  <c r="D869" i="3"/>
  <c r="E869" i="3"/>
  <c r="F869" i="3"/>
  <c r="C870" i="3"/>
  <c r="D870" i="3"/>
  <c r="E870" i="3"/>
  <c r="F870" i="3"/>
  <c r="C871" i="3"/>
  <c r="D871" i="3"/>
  <c r="E871" i="3"/>
  <c r="F871" i="3"/>
  <c r="C872" i="3"/>
  <c r="D872" i="3"/>
  <c r="E872" i="3"/>
  <c r="F872" i="3"/>
  <c r="C873" i="3"/>
  <c r="D873" i="3"/>
  <c r="E873" i="3"/>
  <c r="F873" i="3"/>
  <c r="C874" i="3"/>
  <c r="D874" i="3"/>
  <c r="E874" i="3"/>
  <c r="F874" i="3"/>
  <c r="C875" i="3"/>
  <c r="D875" i="3"/>
  <c r="E875" i="3"/>
  <c r="F875" i="3"/>
  <c r="C876" i="3"/>
  <c r="D876" i="3"/>
  <c r="E876" i="3"/>
  <c r="F876" i="3"/>
  <c r="C877" i="3"/>
  <c r="D877" i="3"/>
  <c r="E877" i="3"/>
  <c r="F877" i="3"/>
  <c r="C878" i="3"/>
  <c r="D878" i="3"/>
  <c r="E878" i="3"/>
  <c r="F878" i="3"/>
  <c r="C879" i="3"/>
  <c r="D879" i="3"/>
  <c r="E879" i="3"/>
  <c r="F879" i="3"/>
  <c r="C880" i="3"/>
  <c r="D880" i="3"/>
  <c r="E880" i="3"/>
  <c r="F880" i="3"/>
  <c r="C881" i="3"/>
  <c r="D881" i="3"/>
  <c r="E881" i="3"/>
  <c r="F881" i="3"/>
  <c r="C882" i="3"/>
  <c r="D882" i="3"/>
  <c r="E882" i="3"/>
  <c r="F882" i="3"/>
  <c r="C883" i="3"/>
  <c r="D883" i="3"/>
  <c r="E883" i="3"/>
  <c r="F883" i="3"/>
  <c r="C884" i="3"/>
  <c r="D884" i="3"/>
  <c r="E884" i="3"/>
  <c r="F884" i="3"/>
  <c r="C885" i="3"/>
  <c r="D885" i="3"/>
  <c r="E885" i="3"/>
  <c r="F885" i="3"/>
  <c r="C886" i="3"/>
  <c r="D886" i="3"/>
  <c r="E886" i="3"/>
  <c r="F886" i="3"/>
  <c r="C887" i="3"/>
  <c r="D887" i="3"/>
  <c r="E887" i="3"/>
  <c r="F887" i="3"/>
  <c r="C888" i="3"/>
  <c r="D888" i="3"/>
  <c r="E888" i="3"/>
  <c r="F888" i="3"/>
  <c r="C889" i="3"/>
  <c r="D889" i="3"/>
  <c r="E889" i="3"/>
  <c r="F889" i="3"/>
  <c r="C890" i="3"/>
  <c r="D890" i="3"/>
  <c r="E890" i="3"/>
  <c r="F890" i="3"/>
  <c r="C891" i="3"/>
  <c r="D891" i="3"/>
  <c r="E891" i="3"/>
  <c r="F891" i="3"/>
  <c r="C892" i="3"/>
  <c r="D892" i="3"/>
  <c r="E892" i="3"/>
  <c r="F892" i="3"/>
  <c r="C893" i="3"/>
  <c r="D893" i="3"/>
  <c r="E893" i="3"/>
  <c r="F893" i="3"/>
  <c r="C894" i="3"/>
  <c r="D894" i="3"/>
  <c r="E894" i="3"/>
  <c r="F894" i="3"/>
  <c r="C895" i="3"/>
  <c r="D895" i="3"/>
  <c r="E895" i="3"/>
  <c r="F895" i="3"/>
  <c r="C896" i="3"/>
  <c r="D896" i="3"/>
  <c r="E896" i="3"/>
  <c r="F896" i="3"/>
  <c r="C897" i="3"/>
  <c r="D897" i="3"/>
  <c r="E897" i="3"/>
  <c r="F897" i="3"/>
  <c r="C898" i="3"/>
  <c r="D898" i="3"/>
  <c r="E898" i="3"/>
  <c r="F898" i="3"/>
  <c r="C899" i="3"/>
  <c r="D899" i="3"/>
  <c r="E899" i="3"/>
  <c r="F899" i="3"/>
  <c r="C900" i="3"/>
  <c r="D900" i="3"/>
  <c r="E900" i="3"/>
  <c r="F900" i="3"/>
  <c r="C901" i="3"/>
  <c r="D901" i="3"/>
  <c r="E901" i="3"/>
  <c r="F901" i="3"/>
  <c r="C902" i="3"/>
  <c r="D902" i="3"/>
  <c r="E902" i="3"/>
  <c r="F902" i="3"/>
  <c r="C903" i="3"/>
  <c r="D903" i="3"/>
  <c r="E903" i="3"/>
  <c r="F903" i="3"/>
  <c r="C904" i="3"/>
  <c r="D904" i="3"/>
  <c r="E904" i="3"/>
  <c r="F904" i="3"/>
  <c r="C905" i="3"/>
  <c r="D905" i="3"/>
  <c r="E905" i="3"/>
  <c r="F905" i="3"/>
  <c r="C906" i="3"/>
  <c r="D906" i="3"/>
  <c r="E906" i="3"/>
  <c r="F906" i="3"/>
  <c r="C907" i="3"/>
  <c r="D907" i="3"/>
  <c r="E907" i="3"/>
  <c r="F907" i="3"/>
  <c r="C908" i="3"/>
  <c r="D908" i="3"/>
  <c r="E908" i="3"/>
  <c r="F908" i="3"/>
  <c r="C909" i="3"/>
  <c r="D909" i="3"/>
  <c r="E909" i="3"/>
  <c r="F909" i="3"/>
  <c r="C910" i="3"/>
  <c r="D910" i="3"/>
  <c r="E910" i="3"/>
  <c r="F910" i="3"/>
  <c r="C911" i="3"/>
  <c r="D911" i="3"/>
  <c r="E911" i="3"/>
  <c r="F911" i="3"/>
  <c r="C912" i="3"/>
  <c r="D912" i="3"/>
  <c r="E912" i="3"/>
  <c r="F912" i="3"/>
  <c r="C913" i="3"/>
  <c r="D913" i="3"/>
  <c r="E913" i="3"/>
  <c r="F913" i="3"/>
  <c r="C914" i="3"/>
  <c r="D914" i="3"/>
  <c r="E914" i="3"/>
  <c r="F914" i="3"/>
  <c r="C915" i="3"/>
  <c r="D915" i="3"/>
  <c r="E915" i="3"/>
  <c r="F915" i="3"/>
  <c r="C916" i="3"/>
  <c r="D916" i="3"/>
  <c r="E916" i="3"/>
  <c r="F916" i="3"/>
  <c r="C917" i="3"/>
  <c r="D917" i="3"/>
  <c r="E917" i="3"/>
  <c r="F917" i="3"/>
  <c r="C918" i="3"/>
  <c r="D918" i="3"/>
  <c r="E918" i="3"/>
  <c r="F918" i="3"/>
  <c r="C919" i="3"/>
  <c r="D919" i="3"/>
  <c r="E919" i="3"/>
  <c r="F919" i="3"/>
  <c r="C920" i="3"/>
  <c r="D920" i="3"/>
  <c r="E920" i="3"/>
  <c r="F920" i="3"/>
  <c r="C921" i="3"/>
  <c r="D921" i="3"/>
  <c r="E921" i="3"/>
  <c r="F921" i="3"/>
  <c r="C922" i="3"/>
  <c r="D922" i="3"/>
  <c r="E922" i="3"/>
  <c r="F922" i="3"/>
  <c r="C923" i="3"/>
  <c r="D923" i="3"/>
  <c r="E923" i="3"/>
  <c r="F923" i="3"/>
  <c r="C924" i="3"/>
  <c r="D924" i="3"/>
  <c r="E924" i="3"/>
  <c r="F924" i="3"/>
  <c r="C925" i="3"/>
  <c r="D925" i="3"/>
  <c r="E925" i="3"/>
  <c r="F925" i="3"/>
  <c r="C926" i="3"/>
  <c r="D926" i="3"/>
  <c r="E926" i="3"/>
  <c r="F926" i="3"/>
  <c r="C927" i="3"/>
  <c r="D927" i="3"/>
  <c r="E927" i="3"/>
  <c r="F927" i="3"/>
  <c r="C928" i="3"/>
  <c r="D928" i="3"/>
  <c r="E928" i="3"/>
  <c r="F928" i="3"/>
  <c r="C929" i="3"/>
  <c r="D929" i="3"/>
  <c r="E929" i="3"/>
  <c r="F929" i="3"/>
  <c r="C930" i="3"/>
  <c r="D930" i="3"/>
  <c r="E930" i="3"/>
  <c r="F930" i="3"/>
  <c r="C931" i="3"/>
  <c r="D931" i="3"/>
  <c r="E931" i="3"/>
  <c r="F931" i="3"/>
  <c r="C932" i="3"/>
  <c r="D932" i="3"/>
  <c r="E932" i="3"/>
  <c r="F932" i="3"/>
  <c r="C933" i="3"/>
  <c r="D933" i="3"/>
  <c r="E933" i="3"/>
  <c r="F933" i="3"/>
  <c r="C934" i="3"/>
  <c r="D934" i="3"/>
  <c r="E934" i="3"/>
  <c r="F934" i="3"/>
  <c r="C935" i="3"/>
  <c r="D935" i="3"/>
  <c r="E935" i="3"/>
  <c r="F935" i="3"/>
  <c r="C936" i="3"/>
  <c r="D936" i="3"/>
  <c r="E936" i="3"/>
  <c r="F936" i="3"/>
  <c r="C937" i="3"/>
  <c r="D937" i="3"/>
  <c r="E937" i="3"/>
  <c r="F937" i="3"/>
  <c r="C938" i="3"/>
  <c r="D938" i="3"/>
  <c r="E938" i="3"/>
  <c r="F938" i="3"/>
  <c r="C939" i="3"/>
  <c r="D939" i="3"/>
  <c r="E939" i="3"/>
  <c r="F939" i="3"/>
  <c r="C940" i="3"/>
  <c r="D940" i="3"/>
  <c r="E940" i="3"/>
  <c r="F940" i="3"/>
  <c r="C941" i="3"/>
  <c r="D941" i="3"/>
  <c r="E941" i="3"/>
  <c r="F941" i="3"/>
  <c r="C942" i="3"/>
  <c r="D942" i="3"/>
  <c r="E942" i="3"/>
  <c r="F942" i="3"/>
  <c r="C943" i="3"/>
  <c r="D943" i="3"/>
  <c r="E943" i="3"/>
  <c r="F943" i="3"/>
  <c r="C944" i="3"/>
  <c r="D944" i="3"/>
  <c r="E944" i="3"/>
  <c r="F944" i="3"/>
  <c r="C945" i="3"/>
  <c r="D945" i="3"/>
  <c r="E945" i="3"/>
  <c r="F945" i="3"/>
  <c r="C946" i="3"/>
  <c r="D946" i="3"/>
  <c r="E946" i="3"/>
  <c r="F946" i="3"/>
  <c r="C947" i="3"/>
  <c r="D947" i="3"/>
  <c r="E947" i="3"/>
  <c r="F947" i="3"/>
  <c r="C948" i="3"/>
  <c r="D948" i="3"/>
  <c r="E948" i="3"/>
  <c r="F948" i="3"/>
  <c r="C949" i="3"/>
  <c r="F9" i="2" s="1"/>
  <c r="D949" i="3"/>
  <c r="E949" i="3"/>
  <c r="F949" i="3"/>
  <c r="C950" i="3"/>
  <c r="F8" i="2" s="1"/>
  <c r="D950" i="3"/>
  <c r="E950" i="3"/>
  <c r="F950" i="3"/>
  <c r="C951" i="3"/>
  <c r="D951" i="3"/>
  <c r="E951" i="3"/>
  <c r="F951" i="3"/>
  <c r="C952" i="3"/>
  <c r="D952" i="3"/>
  <c r="E952" i="3"/>
  <c r="F952" i="3"/>
  <c r="C953" i="3"/>
  <c r="D953" i="3"/>
  <c r="E953" i="3"/>
  <c r="F953" i="3"/>
  <c r="C954" i="3"/>
  <c r="D954" i="3"/>
  <c r="E954" i="3"/>
  <c r="F954" i="3"/>
  <c r="C955" i="3"/>
  <c r="D955" i="3"/>
  <c r="E955" i="3"/>
  <c r="F955" i="3"/>
  <c r="C956" i="3"/>
  <c r="D956" i="3"/>
  <c r="E956" i="3"/>
  <c r="F956" i="3"/>
  <c r="C957" i="3"/>
  <c r="D957" i="3"/>
  <c r="E957" i="3"/>
  <c r="F957" i="3"/>
  <c r="C958" i="3"/>
  <c r="D958" i="3"/>
  <c r="E958" i="3"/>
  <c r="F958" i="3"/>
  <c r="C959" i="3"/>
  <c r="D959" i="3"/>
  <c r="E959" i="3"/>
  <c r="F959" i="3"/>
  <c r="C960" i="3"/>
  <c r="D960" i="3"/>
  <c r="E960" i="3"/>
  <c r="F960" i="3"/>
  <c r="C961" i="3"/>
  <c r="D961" i="3"/>
  <c r="E961" i="3"/>
  <c r="F961" i="3"/>
  <c r="C962" i="3"/>
  <c r="D962" i="3"/>
  <c r="E962" i="3"/>
  <c r="F962" i="3"/>
  <c r="C963" i="3"/>
  <c r="D963" i="3"/>
  <c r="E963" i="3"/>
  <c r="F963" i="3"/>
  <c r="C964" i="3"/>
  <c r="D964" i="3"/>
  <c r="E964" i="3"/>
  <c r="F964" i="3"/>
  <c r="C965" i="3"/>
  <c r="D965" i="3"/>
  <c r="E965" i="3"/>
  <c r="F965" i="3"/>
  <c r="C966" i="3"/>
  <c r="D966" i="3"/>
  <c r="E966" i="3"/>
  <c r="F966" i="3"/>
  <c r="C967" i="3"/>
  <c r="D967" i="3"/>
  <c r="E967" i="3"/>
  <c r="F967" i="3"/>
  <c r="C968" i="3"/>
  <c r="D968" i="3"/>
  <c r="E968" i="3"/>
  <c r="F968" i="3"/>
  <c r="C969" i="3"/>
  <c r="D969" i="3"/>
  <c r="E969" i="3"/>
  <c r="F969" i="3"/>
  <c r="C970" i="3"/>
  <c r="D970" i="3"/>
  <c r="E970" i="3"/>
  <c r="F970" i="3"/>
  <c r="C971" i="3"/>
  <c r="D971" i="3"/>
  <c r="E971" i="3"/>
  <c r="F971" i="3"/>
  <c r="C972" i="3"/>
  <c r="D972" i="3"/>
  <c r="E972" i="3"/>
  <c r="F972" i="3"/>
  <c r="C973" i="3"/>
  <c r="D973" i="3"/>
  <c r="E973" i="3"/>
  <c r="F973" i="3"/>
  <c r="C974" i="3"/>
  <c r="D974" i="3"/>
  <c r="E974" i="3"/>
  <c r="F974" i="3"/>
  <c r="C975" i="3"/>
  <c r="D975" i="3"/>
  <c r="E975" i="3"/>
  <c r="F975" i="3"/>
  <c r="C976" i="3"/>
  <c r="D976" i="3"/>
  <c r="E976" i="3"/>
  <c r="F976" i="3"/>
  <c r="C977" i="3"/>
  <c r="D977" i="3"/>
  <c r="E977" i="3"/>
  <c r="F977" i="3"/>
  <c r="C978" i="3"/>
  <c r="D978" i="3"/>
  <c r="E978" i="3"/>
  <c r="F978" i="3"/>
  <c r="C979" i="3"/>
  <c r="D979" i="3"/>
  <c r="E979" i="3"/>
  <c r="F979" i="3"/>
  <c r="C980" i="3"/>
  <c r="D980" i="3"/>
  <c r="E980" i="3"/>
  <c r="F980" i="3"/>
  <c r="C981" i="3"/>
  <c r="D981" i="3"/>
  <c r="E981" i="3"/>
  <c r="F981" i="3"/>
  <c r="C982" i="3"/>
  <c r="D982" i="3"/>
  <c r="E982" i="3"/>
  <c r="F982" i="3"/>
  <c r="C983" i="3"/>
  <c r="D983" i="3"/>
  <c r="E983" i="3"/>
  <c r="F983" i="3"/>
  <c r="C984" i="3"/>
  <c r="D984" i="3"/>
  <c r="E984" i="3"/>
  <c r="F984" i="3"/>
  <c r="C985" i="3"/>
  <c r="D985" i="3"/>
  <c r="E985" i="3"/>
  <c r="F985" i="3"/>
  <c r="C986" i="3"/>
  <c r="D986" i="3"/>
  <c r="E986" i="3"/>
  <c r="F986" i="3"/>
  <c r="C987" i="3"/>
  <c r="D987" i="3"/>
  <c r="E987" i="3"/>
  <c r="F987" i="3"/>
  <c r="C988" i="3"/>
  <c r="D988" i="3"/>
  <c r="E988" i="3"/>
  <c r="F988" i="3"/>
  <c r="C989" i="3"/>
  <c r="D989" i="3"/>
  <c r="E989" i="3"/>
  <c r="F989" i="3"/>
  <c r="C990" i="3"/>
  <c r="D990" i="3"/>
  <c r="E990" i="3"/>
  <c r="F990" i="3"/>
  <c r="C991" i="3"/>
  <c r="D991" i="3"/>
  <c r="E991" i="3"/>
  <c r="F991" i="3"/>
  <c r="C992" i="3"/>
  <c r="D992" i="3"/>
  <c r="E992" i="3"/>
  <c r="F992" i="3"/>
  <c r="C993" i="3"/>
  <c r="D993" i="3"/>
  <c r="E993" i="3"/>
  <c r="F993" i="3"/>
  <c r="C994" i="3"/>
  <c r="D994" i="3"/>
  <c r="E994" i="3"/>
  <c r="F994" i="3"/>
  <c r="C995" i="3"/>
  <c r="D995" i="3"/>
  <c r="E995" i="3"/>
  <c r="F995" i="3"/>
  <c r="C996" i="3"/>
  <c r="D996" i="3"/>
  <c r="E996" i="3"/>
  <c r="F996" i="3"/>
  <c r="C997" i="3"/>
  <c r="D997" i="3"/>
  <c r="E997" i="3"/>
  <c r="F997" i="3"/>
  <c r="C998" i="3"/>
  <c r="D998" i="3"/>
  <c r="E998" i="3"/>
  <c r="F998" i="3"/>
  <c r="C999" i="3"/>
  <c r="D999" i="3"/>
  <c r="E999" i="3"/>
  <c r="F999" i="3"/>
  <c r="C1000" i="3"/>
  <c r="D1000" i="3"/>
  <c r="E1000" i="3"/>
  <c r="F1000" i="3"/>
  <c r="C1001" i="3"/>
  <c r="D1001" i="3"/>
  <c r="E1001" i="3"/>
  <c r="F1001" i="3"/>
  <c r="C1002" i="3"/>
  <c r="D1002" i="3"/>
  <c r="E1002" i="3"/>
  <c r="F1002" i="3"/>
  <c r="C1003" i="3"/>
  <c r="D1003" i="3"/>
  <c r="E1003" i="3"/>
  <c r="F1003" i="3"/>
  <c r="C1004" i="3"/>
  <c r="D1004" i="3"/>
  <c r="E1004" i="3"/>
  <c r="F1004" i="3"/>
  <c r="C1005" i="3"/>
  <c r="D1005" i="3"/>
  <c r="E1005" i="3"/>
  <c r="F1005" i="3"/>
  <c r="C1006" i="3"/>
  <c r="D1006" i="3"/>
  <c r="E1006" i="3"/>
  <c r="F1006" i="3"/>
  <c r="C1007" i="3"/>
  <c r="D1007" i="3"/>
  <c r="E1007" i="3"/>
  <c r="F1007" i="3"/>
  <c r="C1008" i="3"/>
  <c r="D1008" i="3"/>
  <c r="E1008" i="3"/>
  <c r="F1008" i="3"/>
  <c r="C1009" i="3"/>
  <c r="D1009" i="3"/>
  <c r="E1009" i="3"/>
  <c r="F1009" i="3"/>
  <c r="C1010" i="3"/>
  <c r="D1010" i="3"/>
  <c r="E1010" i="3"/>
  <c r="F1010" i="3"/>
  <c r="C1011" i="3"/>
  <c r="D1011" i="3"/>
  <c r="E1011" i="3"/>
  <c r="F1011" i="3"/>
  <c r="C1012" i="3"/>
  <c r="D1012" i="3"/>
  <c r="E1012" i="3"/>
  <c r="F1012" i="3"/>
  <c r="C1013" i="3"/>
  <c r="D1013" i="3"/>
  <c r="E1013" i="3"/>
  <c r="F1013" i="3"/>
  <c r="C1014" i="3"/>
  <c r="D1014" i="3"/>
  <c r="E1014" i="3"/>
  <c r="F1014" i="3"/>
  <c r="C1015" i="3"/>
  <c r="D1015" i="3"/>
  <c r="E1015" i="3"/>
  <c r="F1015" i="3"/>
  <c r="C1016" i="3"/>
  <c r="D1016" i="3"/>
  <c r="E1016" i="3"/>
  <c r="F1016" i="3"/>
  <c r="C1017" i="3"/>
  <c r="D1017" i="3"/>
  <c r="E1017" i="3"/>
  <c r="F1017" i="3"/>
  <c r="C1018" i="3"/>
  <c r="D1018" i="3"/>
  <c r="E1018" i="3"/>
  <c r="F1018" i="3"/>
  <c r="C1019" i="3"/>
  <c r="D1019" i="3"/>
  <c r="E1019" i="3"/>
  <c r="F1019" i="3"/>
  <c r="C1020" i="3"/>
  <c r="D1020" i="3"/>
  <c r="E1020" i="3"/>
  <c r="F1020" i="3"/>
  <c r="C1021" i="3"/>
  <c r="D1021" i="3"/>
  <c r="E1021" i="3"/>
  <c r="F1021" i="3"/>
  <c r="C1022" i="3"/>
  <c r="D1022" i="3"/>
  <c r="E1022" i="3"/>
  <c r="F1022" i="3"/>
  <c r="C1023" i="3"/>
  <c r="D1023" i="3"/>
  <c r="E1023" i="3"/>
  <c r="F1023" i="3"/>
  <c r="C1024" i="3"/>
  <c r="D1024" i="3"/>
  <c r="E1024" i="3"/>
  <c r="F1024" i="3"/>
  <c r="C1025" i="3"/>
  <c r="D1025" i="3"/>
  <c r="E1025" i="3"/>
  <c r="F1025" i="3"/>
  <c r="C1026" i="3"/>
  <c r="D1026" i="3"/>
  <c r="E1026" i="3"/>
  <c r="F1026" i="3"/>
  <c r="C1027" i="3"/>
  <c r="D1027" i="3"/>
  <c r="E1027" i="3"/>
  <c r="F1027" i="3"/>
  <c r="C1028" i="3"/>
  <c r="D1028" i="3"/>
  <c r="E1028" i="3"/>
  <c r="F1028" i="3"/>
  <c r="C1029" i="3"/>
  <c r="D1029" i="3"/>
  <c r="E1029" i="3"/>
  <c r="F1029" i="3"/>
  <c r="C1030" i="3"/>
  <c r="D1030" i="3"/>
  <c r="E1030" i="3"/>
  <c r="F1030" i="3"/>
  <c r="C1031" i="3"/>
  <c r="D1031" i="3"/>
  <c r="E1031" i="3"/>
  <c r="F1031" i="3"/>
  <c r="C1032" i="3"/>
  <c r="D1032" i="3"/>
  <c r="E1032" i="3"/>
  <c r="F1032" i="3"/>
  <c r="C1033" i="3"/>
  <c r="D1033" i="3"/>
  <c r="E1033" i="3"/>
  <c r="F1033" i="3"/>
  <c r="C1034" i="3"/>
  <c r="D1034" i="3"/>
  <c r="E1034" i="3"/>
  <c r="F1034" i="3"/>
  <c r="C1035" i="3"/>
  <c r="D1035" i="3"/>
  <c r="E1035" i="3"/>
  <c r="F1035" i="3"/>
  <c r="C1036" i="3"/>
  <c r="D1036" i="3"/>
  <c r="E1036" i="3"/>
  <c r="F1036" i="3"/>
  <c r="C1037" i="3"/>
  <c r="D1037" i="3"/>
  <c r="E1037" i="3"/>
  <c r="F1037" i="3"/>
  <c r="C1038" i="3"/>
  <c r="D1038" i="3"/>
  <c r="E1038" i="3"/>
  <c r="F1038" i="3"/>
  <c r="C1039" i="3"/>
  <c r="D1039" i="3"/>
  <c r="E1039" i="3"/>
  <c r="F1039" i="3"/>
  <c r="C1040" i="3"/>
  <c r="D1040" i="3"/>
  <c r="E1040" i="3"/>
  <c r="F1040" i="3"/>
  <c r="C1041" i="3"/>
  <c r="D1041" i="3"/>
  <c r="E1041" i="3"/>
  <c r="F1041" i="3"/>
  <c r="C1042" i="3"/>
  <c r="D1042" i="3"/>
  <c r="E1042" i="3"/>
  <c r="F1042" i="3"/>
  <c r="C1043" i="3"/>
  <c r="D1043" i="3"/>
  <c r="E1043" i="3"/>
  <c r="F1043" i="3"/>
  <c r="C1044" i="3"/>
  <c r="D1044" i="3"/>
  <c r="E1044" i="3"/>
  <c r="F1044" i="3"/>
  <c r="C1045" i="3"/>
  <c r="D1045" i="3"/>
  <c r="E1045" i="3"/>
  <c r="F1045" i="3"/>
  <c r="C1046" i="3"/>
  <c r="D1046" i="3"/>
  <c r="E1046" i="3"/>
  <c r="F1046" i="3"/>
  <c r="C1047" i="3"/>
  <c r="D1047" i="3"/>
  <c r="E1047" i="3"/>
  <c r="F1047" i="3"/>
  <c r="C1048" i="3"/>
  <c r="D1048" i="3"/>
  <c r="E1048" i="3"/>
  <c r="F1048" i="3"/>
  <c r="C1049" i="3"/>
  <c r="D1049" i="3"/>
  <c r="E1049" i="3"/>
  <c r="F1049" i="3"/>
  <c r="C1050" i="3"/>
  <c r="D1050" i="3"/>
  <c r="E1050" i="3"/>
  <c r="F1050" i="3"/>
  <c r="C1051" i="3"/>
  <c r="D1051" i="3"/>
  <c r="E1051" i="3"/>
  <c r="F1051" i="3"/>
  <c r="C1052" i="3"/>
  <c r="D1052" i="3"/>
  <c r="E1052" i="3"/>
  <c r="F1052" i="3"/>
  <c r="C1053" i="3"/>
  <c r="D1053" i="3"/>
  <c r="E1053" i="3"/>
  <c r="F1053" i="3"/>
  <c r="C1054" i="3"/>
  <c r="D1054" i="3"/>
  <c r="E1054" i="3"/>
  <c r="F1054" i="3"/>
  <c r="C1055" i="3"/>
  <c r="D1055" i="3"/>
  <c r="E1055" i="3"/>
  <c r="F1055" i="3"/>
  <c r="C1056" i="3"/>
  <c r="D1056" i="3"/>
  <c r="E1056" i="3"/>
  <c r="F1056" i="3"/>
  <c r="C1057" i="3"/>
  <c r="D1057" i="3"/>
  <c r="E1057" i="3"/>
  <c r="F1057" i="3"/>
  <c r="C1058" i="3"/>
  <c r="D1058" i="3"/>
  <c r="E1058" i="3"/>
  <c r="F1058" i="3"/>
  <c r="C1059" i="3"/>
  <c r="D1059" i="3"/>
  <c r="E1059" i="3"/>
  <c r="F1059" i="3"/>
  <c r="C1060" i="3"/>
  <c r="D1060" i="3"/>
  <c r="E1060" i="3"/>
  <c r="F1060" i="3"/>
  <c r="C1061" i="3"/>
  <c r="D1061" i="3"/>
  <c r="E1061" i="3"/>
  <c r="F1061" i="3"/>
  <c r="C1062" i="3"/>
  <c r="D1062" i="3"/>
  <c r="E1062" i="3"/>
  <c r="F1062" i="3"/>
  <c r="C1063" i="3"/>
  <c r="D1063" i="3"/>
  <c r="E1063" i="3"/>
  <c r="F1063" i="3"/>
  <c r="C1064" i="3"/>
  <c r="D1064" i="3"/>
  <c r="E1064" i="3"/>
  <c r="F1064" i="3"/>
  <c r="C1065" i="3"/>
  <c r="D1065" i="3"/>
  <c r="E1065" i="3"/>
  <c r="F1065" i="3"/>
  <c r="C1066" i="3"/>
  <c r="D1066" i="3"/>
  <c r="E1066" i="3"/>
  <c r="F1066" i="3"/>
  <c r="C1067" i="3"/>
  <c r="D1067" i="3"/>
  <c r="E1067" i="3"/>
  <c r="F1067" i="3"/>
  <c r="C1068" i="3"/>
  <c r="D1068" i="3"/>
  <c r="E1068" i="3"/>
  <c r="F1068" i="3"/>
  <c r="C1069" i="3"/>
  <c r="D1069" i="3"/>
  <c r="E1069" i="3"/>
  <c r="F1069" i="3"/>
  <c r="C1070" i="3"/>
  <c r="D1070" i="3"/>
  <c r="E1070" i="3"/>
  <c r="F1070" i="3"/>
  <c r="C1071" i="3"/>
  <c r="D1071" i="3"/>
  <c r="E1071" i="3"/>
  <c r="F1071" i="3"/>
  <c r="C1072" i="3"/>
  <c r="D1072" i="3"/>
  <c r="E1072" i="3"/>
  <c r="F1072" i="3"/>
  <c r="C1073" i="3"/>
  <c r="D1073" i="3"/>
  <c r="E1073" i="3"/>
  <c r="F1073" i="3"/>
  <c r="C1074" i="3"/>
  <c r="D1074" i="3"/>
  <c r="E1074" i="3"/>
  <c r="F1074" i="3"/>
  <c r="C1075" i="3"/>
  <c r="D1075" i="3"/>
  <c r="E1075" i="3"/>
  <c r="F1075" i="3"/>
  <c r="C1076" i="3"/>
  <c r="D1076" i="3"/>
  <c r="E1076" i="3"/>
  <c r="F1076" i="3"/>
  <c r="C1077" i="3"/>
  <c r="D1077" i="3"/>
  <c r="E1077" i="3"/>
  <c r="F1077" i="3"/>
  <c r="C1078" i="3"/>
  <c r="D1078" i="3"/>
  <c r="E1078" i="3"/>
  <c r="F1078" i="3"/>
  <c r="C1079" i="3"/>
  <c r="D1079" i="3"/>
  <c r="E1079" i="3"/>
  <c r="F1079" i="3"/>
  <c r="C1080" i="3"/>
  <c r="D1080" i="3"/>
  <c r="E1080" i="3"/>
  <c r="F1080" i="3"/>
  <c r="C1081" i="3"/>
  <c r="D1081" i="3"/>
  <c r="E1081" i="3"/>
  <c r="F1081" i="3"/>
  <c r="C1082" i="3"/>
  <c r="D1082" i="3"/>
  <c r="E1082" i="3"/>
  <c r="F1082" i="3"/>
  <c r="C1083" i="3"/>
  <c r="D1083" i="3"/>
  <c r="E1083" i="3"/>
  <c r="F1083" i="3"/>
  <c r="C1084" i="3"/>
  <c r="D1084" i="3"/>
  <c r="E1084" i="3"/>
  <c r="F1084" i="3"/>
  <c r="C1085" i="3"/>
  <c r="D1085" i="3"/>
  <c r="E1085" i="3"/>
  <c r="F1085" i="3"/>
  <c r="C1086" i="3"/>
  <c r="D1086" i="3"/>
  <c r="E1086" i="3"/>
  <c r="F1086" i="3"/>
  <c r="C1087" i="3"/>
  <c r="D1087" i="3"/>
  <c r="E1087" i="3"/>
  <c r="F1087" i="3"/>
  <c r="C1088" i="3"/>
  <c r="D1088" i="3"/>
  <c r="E1088" i="3"/>
  <c r="F1088" i="3"/>
  <c r="C1089" i="3"/>
  <c r="D1089" i="3"/>
  <c r="E1089" i="3"/>
  <c r="F1089" i="3"/>
  <c r="C1090" i="3"/>
  <c r="D1090" i="3"/>
  <c r="E1090" i="3"/>
  <c r="F1090" i="3"/>
  <c r="C1091" i="3"/>
  <c r="D1091" i="3"/>
  <c r="E1091" i="3"/>
  <c r="F1091" i="3"/>
  <c r="C1092" i="3"/>
  <c r="D1092" i="3"/>
  <c r="E1092" i="3"/>
  <c r="F1092" i="3"/>
  <c r="C1093" i="3"/>
  <c r="D1093" i="3"/>
  <c r="E1093" i="3"/>
  <c r="F1093" i="3"/>
  <c r="C1094" i="3"/>
  <c r="D1094" i="3"/>
  <c r="E1094" i="3"/>
  <c r="F1094" i="3"/>
  <c r="C1095" i="3"/>
  <c r="D1095" i="3"/>
  <c r="E1095" i="3"/>
  <c r="F1095" i="3"/>
  <c r="C1096" i="3"/>
  <c r="D1096" i="3"/>
  <c r="E1096" i="3"/>
  <c r="F1096" i="3"/>
  <c r="C1097" i="3"/>
  <c r="D1097" i="3"/>
  <c r="E1097" i="3"/>
  <c r="F1097" i="3"/>
  <c r="C1098" i="3"/>
  <c r="D1098" i="3"/>
  <c r="E1098" i="3"/>
  <c r="F1098" i="3"/>
  <c r="C1099" i="3"/>
  <c r="D1099" i="3"/>
  <c r="E1099" i="3"/>
  <c r="F1099" i="3"/>
  <c r="C1100" i="3"/>
  <c r="D1100" i="3"/>
  <c r="E1100" i="3"/>
  <c r="F1100" i="3"/>
  <c r="C1101" i="3"/>
  <c r="D1101" i="3"/>
  <c r="E1101" i="3"/>
  <c r="F1101" i="3"/>
  <c r="C1102" i="3"/>
  <c r="D1102" i="3"/>
  <c r="E1102" i="3"/>
  <c r="F1102" i="3"/>
  <c r="C1103" i="3"/>
  <c r="D1103" i="3"/>
  <c r="E1103" i="3"/>
  <c r="F1103" i="3"/>
  <c r="C1104" i="3"/>
  <c r="D1104" i="3"/>
  <c r="E1104" i="3"/>
  <c r="F1104" i="3"/>
  <c r="C1105" i="3"/>
  <c r="D1105" i="3"/>
  <c r="E1105" i="3"/>
  <c r="F1105" i="3"/>
  <c r="C1106" i="3"/>
  <c r="D1106" i="3"/>
  <c r="E1106" i="3"/>
  <c r="F1106" i="3"/>
  <c r="C1107" i="3"/>
  <c r="D1107" i="3"/>
  <c r="E1107" i="3"/>
  <c r="F1107" i="3"/>
  <c r="C1108" i="3"/>
  <c r="D1108" i="3"/>
  <c r="E1108" i="3"/>
  <c r="F1108" i="3"/>
  <c r="C1109" i="3"/>
  <c r="D1109" i="3"/>
  <c r="E1109" i="3"/>
  <c r="F1109" i="3"/>
  <c r="C1110" i="3"/>
  <c r="D1110" i="3"/>
  <c r="E1110" i="3"/>
  <c r="F1110" i="3"/>
  <c r="C1111" i="3"/>
  <c r="D1111" i="3"/>
  <c r="E1111" i="3"/>
  <c r="F1111" i="3"/>
  <c r="C1112" i="3"/>
  <c r="D1112" i="3"/>
  <c r="E1112" i="3"/>
  <c r="F1112" i="3"/>
  <c r="C1113" i="3"/>
  <c r="D1113" i="3"/>
  <c r="E1113" i="3"/>
  <c r="F1113" i="3"/>
  <c r="C1114" i="3"/>
  <c r="D1114" i="3"/>
  <c r="E1114" i="3"/>
  <c r="F1114" i="3"/>
  <c r="C1115" i="3"/>
  <c r="D1115" i="3"/>
  <c r="E1115" i="3"/>
  <c r="F1115" i="3"/>
  <c r="C1116" i="3"/>
  <c r="D1116" i="3"/>
  <c r="E1116" i="3"/>
  <c r="F1116" i="3"/>
  <c r="C1117" i="3"/>
  <c r="D1117" i="3"/>
  <c r="E1117" i="3"/>
  <c r="F1117" i="3"/>
  <c r="C1118" i="3"/>
  <c r="D1118" i="3"/>
  <c r="E1118" i="3"/>
  <c r="F1118" i="3"/>
  <c r="C1119" i="3"/>
  <c r="D1119" i="3"/>
  <c r="E1119" i="3"/>
  <c r="F1119" i="3"/>
  <c r="C1120" i="3"/>
  <c r="D1120" i="3"/>
  <c r="E1120" i="3"/>
  <c r="F1120" i="3"/>
  <c r="C1121" i="3"/>
  <c r="D1121" i="3"/>
  <c r="E1121" i="3"/>
  <c r="F1121" i="3"/>
  <c r="C1122" i="3"/>
  <c r="D1122" i="3"/>
  <c r="E1122" i="3"/>
  <c r="F1122" i="3"/>
  <c r="C1123" i="3"/>
  <c r="D1123" i="3"/>
  <c r="E1123" i="3"/>
  <c r="F1123" i="3"/>
  <c r="C1124" i="3"/>
  <c r="D1124" i="3"/>
  <c r="E1124" i="3"/>
  <c r="F1124" i="3"/>
  <c r="C1125" i="3"/>
  <c r="D1125" i="3"/>
  <c r="E1125" i="3"/>
  <c r="F1125" i="3"/>
  <c r="C1126" i="3"/>
  <c r="D1126" i="3"/>
  <c r="E1126" i="3"/>
  <c r="F1126" i="3"/>
  <c r="C1127" i="3"/>
  <c r="D1127" i="3"/>
  <c r="E1127" i="3"/>
  <c r="F1127" i="3"/>
  <c r="C1128" i="3"/>
  <c r="D1128" i="3"/>
  <c r="E1128" i="3"/>
  <c r="F1128" i="3"/>
  <c r="C1129" i="3"/>
  <c r="D1129" i="3"/>
  <c r="E1129" i="3"/>
  <c r="F1129" i="3"/>
  <c r="C1130" i="3"/>
  <c r="D1130" i="3"/>
  <c r="E1130" i="3"/>
  <c r="F1130" i="3"/>
  <c r="C1131" i="3"/>
  <c r="D1131" i="3"/>
  <c r="E1131" i="3"/>
  <c r="F1131" i="3"/>
  <c r="C1132" i="3"/>
  <c r="D1132" i="3"/>
  <c r="E1132" i="3"/>
  <c r="F1132" i="3"/>
  <c r="C1133" i="3"/>
  <c r="D1133" i="3"/>
  <c r="E1133" i="3"/>
  <c r="F1133" i="3"/>
  <c r="C1134" i="3"/>
  <c r="D1134" i="3"/>
  <c r="E1134" i="3"/>
  <c r="F1134" i="3"/>
  <c r="C1135" i="3"/>
  <c r="D1135" i="3"/>
  <c r="E1135" i="3"/>
  <c r="F1135" i="3"/>
  <c r="C1136" i="3"/>
  <c r="D1136" i="3"/>
  <c r="E1136" i="3"/>
  <c r="F1136" i="3"/>
  <c r="C1137" i="3"/>
  <c r="D1137" i="3"/>
  <c r="E1137" i="3"/>
  <c r="F1137" i="3"/>
  <c r="C1138" i="3"/>
  <c r="D1138" i="3"/>
  <c r="E1138" i="3"/>
  <c r="F1138" i="3"/>
  <c r="C1139" i="3"/>
  <c r="D1139" i="3"/>
  <c r="E1139" i="3"/>
  <c r="F1139" i="3"/>
  <c r="C1140" i="3"/>
  <c r="D1140" i="3"/>
  <c r="E1140" i="3"/>
  <c r="F1140" i="3"/>
  <c r="C1141" i="3"/>
  <c r="D1141" i="3"/>
  <c r="E1141" i="3"/>
  <c r="F1141" i="3"/>
  <c r="C1142" i="3"/>
  <c r="D1142" i="3"/>
  <c r="E1142" i="3"/>
  <c r="F1142" i="3"/>
  <c r="C1143" i="3"/>
  <c r="D1143" i="3"/>
  <c r="E1143" i="3"/>
  <c r="F1143" i="3"/>
  <c r="C1144" i="3"/>
  <c r="D1144" i="3"/>
  <c r="E1144" i="3"/>
  <c r="F1144" i="3"/>
  <c r="C1145" i="3"/>
  <c r="D1145" i="3"/>
  <c r="E1145" i="3"/>
  <c r="F1145" i="3"/>
  <c r="C1146" i="3"/>
  <c r="D1146" i="3"/>
  <c r="E1146" i="3"/>
  <c r="F1146" i="3"/>
  <c r="C1147" i="3"/>
  <c r="D1147" i="3"/>
  <c r="E1147" i="3"/>
  <c r="F1147" i="3"/>
  <c r="C1148" i="3"/>
  <c r="D1148" i="3"/>
  <c r="E1148" i="3"/>
  <c r="F1148" i="3"/>
  <c r="C1149" i="3"/>
  <c r="D1149" i="3"/>
  <c r="E1149" i="3"/>
  <c r="F1149" i="3"/>
  <c r="C1150" i="3"/>
  <c r="D1150" i="3"/>
  <c r="E1150" i="3"/>
  <c r="F1150" i="3"/>
  <c r="C1151" i="3"/>
  <c r="D1151" i="3"/>
  <c r="E1151" i="3"/>
  <c r="F1151" i="3"/>
  <c r="C1152" i="3"/>
  <c r="D1152" i="3"/>
  <c r="E1152" i="3"/>
  <c r="F1152" i="3"/>
  <c r="C1153" i="3"/>
  <c r="D1153" i="3"/>
  <c r="E1153" i="3"/>
  <c r="F1153" i="3"/>
  <c r="C1154" i="3"/>
  <c r="D1154" i="3"/>
  <c r="E1154" i="3"/>
  <c r="F1154" i="3"/>
  <c r="C1155" i="3"/>
  <c r="D1155" i="3"/>
  <c r="E1155" i="3"/>
  <c r="F1155" i="3"/>
  <c r="C1156" i="3"/>
  <c r="D1156" i="3"/>
  <c r="E1156" i="3"/>
  <c r="F1156" i="3"/>
  <c r="C1157" i="3"/>
  <c r="D1157" i="3"/>
  <c r="E1157" i="3"/>
  <c r="F1157" i="3"/>
  <c r="C1158" i="3"/>
  <c r="D1158" i="3"/>
  <c r="E1158" i="3"/>
  <c r="F1158" i="3"/>
  <c r="C1159" i="3"/>
  <c r="D1159" i="3"/>
  <c r="E1159" i="3"/>
  <c r="F1159" i="3"/>
  <c r="C1160" i="3"/>
  <c r="D1160" i="3"/>
  <c r="E1160" i="3"/>
  <c r="F1160" i="3"/>
  <c r="C1161" i="3"/>
  <c r="D1161" i="3"/>
  <c r="E1161" i="3"/>
  <c r="F1161" i="3"/>
  <c r="C1162" i="3"/>
  <c r="D1162" i="3"/>
  <c r="E1162" i="3"/>
  <c r="F1162" i="3"/>
  <c r="C1163" i="3"/>
  <c r="D1163" i="3"/>
  <c r="E1163" i="3"/>
  <c r="F1163" i="3"/>
  <c r="C1164" i="3"/>
  <c r="D1164" i="3"/>
  <c r="E1164" i="3"/>
  <c r="F1164" i="3"/>
  <c r="C1165" i="3"/>
  <c r="D1165" i="3"/>
  <c r="E1165" i="3"/>
  <c r="F1165" i="3"/>
  <c r="C1166" i="3"/>
  <c r="D1166" i="3"/>
  <c r="E1166" i="3"/>
  <c r="F1166" i="3"/>
  <c r="C1167" i="3"/>
  <c r="D1167" i="3"/>
  <c r="E1167" i="3"/>
  <c r="F1167" i="3"/>
  <c r="C1168" i="3"/>
  <c r="D1168" i="3"/>
  <c r="E1168" i="3"/>
  <c r="F1168" i="3"/>
  <c r="C1169" i="3"/>
  <c r="D1169" i="3"/>
  <c r="E1169" i="3"/>
  <c r="F1169" i="3"/>
  <c r="C1170" i="3"/>
  <c r="D1170" i="3"/>
  <c r="E1170" i="3"/>
  <c r="F1170" i="3"/>
  <c r="C1171" i="3"/>
  <c r="D1171" i="3"/>
  <c r="E1171" i="3"/>
  <c r="F1171" i="3"/>
  <c r="C1172" i="3"/>
  <c r="D1172" i="3"/>
  <c r="E1172" i="3"/>
  <c r="F1172" i="3"/>
  <c r="C1173" i="3"/>
  <c r="D1173" i="3"/>
  <c r="E1173" i="3"/>
  <c r="F1173" i="3"/>
  <c r="C1174" i="3"/>
  <c r="D1174" i="3"/>
  <c r="E1174" i="3"/>
  <c r="F1174" i="3"/>
  <c r="C1175" i="3"/>
  <c r="D1175" i="3"/>
  <c r="E1175" i="3"/>
  <c r="F1175" i="3"/>
  <c r="C1176" i="3"/>
  <c r="D1176" i="3"/>
  <c r="E1176" i="3"/>
  <c r="F1176" i="3"/>
  <c r="C1177" i="3"/>
  <c r="D1177" i="3"/>
  <c r="E1177" i="3"/>
  <c r="F1177" i="3"/>
  <c r="C1178" i="3"/>
  <c r="D1178" i="3"/>
  <c r="E1178" i="3"/>
  <c r="F1178" i="3"/>
  <c r="C1179" i="3"/>
  <c r="D1179" i="3"/>
  <c r="E1179" i="3"/>
  <c r="F1179" i="3"/>
  <c r="C1180" i="3"/>
  <c r="D1180" i="3"/>
  <c r="E1180" i="3"/>
  <c r="F1180" i="3"/>
  <c r="C1181" i="3"/>
  <c r="D1181" i="3"/>
  <c r="E1181" i="3"/>
  <c r="F1181" i="3"/>
  <c r="C1182" i="3"/>
  <c r="D1182" i="3"/>
  <c r="E1182" i="3"/>
  <c r="F1182" i="3"/>
  <c r="C1183" i="3"/>
  <c r="D1183" i="3"/>
  <c r="E1183" i="3"/>
  <c r="F1183" i="3"/>
  <c r="C1184" i="3"/>
  <c r="D1184" i="3"/>
  <c r="E1184" i="3"/>
  <c r="F1184" i="3"/>
  <c r="C1185" i="3"/>
  <c r="D1185" i="3"/>
  <c r="E1185" i="3"/>
  <c r="F1185" i="3"/>
  <c r="C1186" i="3"/>
  <c r="D1186" i="3"/>
  <c r="E1186" i="3"/>
  <c r="F1186" i="3"/>
  <c r="C1187" i="3"/>
  <c r="D1187" i="3"/>
  <c r="E1187" i="3"/>
  <c r="F1187" i="3"/>
  <c r="C1188" i="3"/>
  <c r="D1188" i="3"/>
  <c r="E1188" i="3"/>
  <c r="F1188" i="3"/>
  <c r="C1189" i="3"/>
  <c r="D1189" i="3"/>
  <c r="E1189" i="3"/>
  <c r="F1189" i="3"/>
  <c r="C1190" i="3"/>
  <c r="D1190" i="3"/>
  <c r="E1190" i="3"/>
  <c r="F1190" i="3"/>
  <c r="C1191" i="3"/>
  <c r="D1191" i="3"/>
  <c r="E1191" i="3"/>
  <c r="F1191" i="3"/>
  <c r="C1192" i="3"/>
  <c r="D1192" i="3"/>
  <c r="E1192" i="3"/>
  <c r="F1192" i="3"/>
  <c r="C1193" i="3"/>
  <c r="D1193" i="3"/>
  <c r="E1193" i="3"/>
  <c r="F1193" i="3"/>
  <c r="C1194" i="3"/>
  <c r="D1194" i="3"/>
  <c r="E1194" i="3"/>
  <c r="F1194" i="3"/>
  <c r="C1195" i="3"/>
  <c r="D1195" i="3"/>
  <c r="E1195" i="3"/>
  <c r="F1195" i="3"/>
  <c r="C1196" i="3"/>
  <c r="D1196" i="3"/>
  <c r="E1196" i="3"/>
  <c r="F1196" i="3"/>
  <c r="C1197" i="3"/>
  <c r="D1197" i="3"/>
  <c r="E1197" i="3"/>
  <c r="F1197" i="3"/>
  <c r="C1198" i="3"/>
  <c r="D1198" i="3"/>
  <c r="E1198" i="3"/>
  <c r="F1198" i="3"/>
  <c r="C1199" i="3"/>
  <c r="D1199" i="3"/>
  <c r="E1199" i="3"/>
  <c r="F1199" i="3"/>
  <c r="C1200" i="3"/>
  <c r="D1200" i="3"/>
  <c r="E1200" i="3"/>
  <c r="F1200" i="3"/>
  <c r="C1201" i="3"/>
  <c r="D1201" i="3"/>
  <c r="E1201" i="3"/>
  <c r="F1201" i="3"/>
  <c r="C1202" i="3"/>
  <c r="D1202" i="3"/>
  <c r="E1202" i="3"/>
  <c r="F1202" i="3"/>
  <c r="C1203" i="3"/>
  <c r="D1203" i="3"/>
  <c r="E1203" i="3"/>
  <c r="F1203" i="3"/>
  <c r="C1204" i="3"/>
  <c r="D1204" i="3"/>
  <c r="E1204" i="3"/>
  <c r="F1204" i="3"/>
  <c r="C1205" i="3"/>
  <c r="D1205" i="3"/>
  <c r="E1205" i="3"/>
  <c r="F1205" i="3"/>
  <c r="C1206" i="3"/>
  <c r="D1206" i="3"/>
  <c r="E1206" i="3"/>
  <c r="F1206" i="3"/>
  <c r="C1207" i="3"/>
  <c r="D1207" i="3"/>
  <c r="E1207" i="3"/>
  <c r="F1207" i="3"/>
  <c r="C1208" i="3"/>
  <c r="D1208" i="3"/>
  <c r="E1208" i="3"/>
  <c r="F1208" i="3"/>
  <c r="C1209" i="3"/>
  <c r="D1209" i="3"/>
  <c r="E1209" i="3"/>
  <c r="F1209" i="3"/>
  <c r="C1210" i="3"/>
  <c r="D1210" i="3"/>
  <c r="E1210" i="3"/>
  <c r="F1210" i="3"/>
  <c r="C1211" i="3"/>
  <c r="D1211" i="3"/>
  <c r="E1211" i="3"/>
  <c r="F1211" i="3"/>
  <c r="C1212" i="3"/>
  <c r="D1212" i="3"/>
  <c r="E1212" i="3"/>
  <c r="F1212" i="3"/>
  <c r="C1213" i="3"/>
  <c r="D1213" i="3"/>
  <c r="E1213" i="3"/>
  <c r="F1213" i="3"/>
  <c r="C1214" i="3"/>
  <c r="D1214" i="3"/>
  <c r="E1214" i="3"/>
  <c r="F1214" i="3"/>
  <c r="C1215" i="3"/>
  <c r="D1215" i="3"/>
  <c r="E1215" i="3"/>
  <c r="F1215" i="3"/>
  <c r="C1216" i="3"/>
  <c r="D1216" i="3"/>
  <c r="E1216" i="3"/>
  <c r="F1216" i="3"/>
  <c r="C1217" i="3"/>
  <c r="D1217" i="3"/>
  <c r="E1217" i="3"/>
  <c r="F1217" i="3"/>
  <c r="C1218" i="3"/>
  <c r="D1218" i="3"/>
  <c r="E1218" i="3"/>
  <c r="F1218" i="3"/>
  <c r="C1219" i="3"/>
  <c r="D1219" i="3"/>
  <c r="E1219" i="3"/>
  <c r="F1219" i="3"/>
  <c r="C1220" i="3"/>
  <c r="D1220" i="3"/>
  <c r="E1220" i="3"/>
  <c r="F1220" i="3"/>
  <c r="C1221" i="3"/>
  <c r="D1221" i="3"/>
  <c r="E1221" i="3"/>
  <c r="F1221" i="3"/>
  <c r="C1222" i="3"/>
  <c r="D1222" i="3"/>
  <c r="E1222" i="3"/>
  <c r="F1222" i="3"/>
  <c r="C1223" i="3"/>
  <c r="D1223" i="3"/>
  <c r="E1223" i="3"/>
  <c r="F1223" i="3"/>
  <c r="C1224" i="3"/>
  <c r="D1224" i="3"/>
  <c r="E1224" i="3"/>
  <c r="F1224" i="3"/>
  <c r="C1225" i="3"/>
  <c r="D1225" i="3"/>
  <c r="E1225" i="3"/>
  <c r="F1225" i="3"/>
  <c r="C1226" i="3"/>
  <c r="D1226" i="3"/>
  <c r="E1226" i="3"/>
  <c r="F1226" i="3"/>
  <c r="C1227" i="3"/>
  <c r="D1227" i="3"/>
  <c r="E1227" i="3"/>
  <c r="F1227" i="3"/>
  <c r="C1228" i="3"/>
  <c r="D1228" i="3"/>
  <c r="E1228" i="3"/>
  <c r="F1228" i="3"/>
  <c r="C1229" i="3"/>
  <c r="D1229" i="3"/>
  <c r="E1229" i="3"/>
  <c r="F1229" i="3"/>
  <c r="C1230" i="3"/>
  <c r="D1230" i="3"/>
  <c r="E1230" i="3"/>
  <c r="F1230" i="3"/>
  <c r="C1231" i="3"/>
  <c r="D1231" i="3"/>
  <c r="E1231" i="3"/>
  <c r="F1231" i="3"/>
  <c r="C1232" i="3"/>
  <c r="D1232" i="3"/>
  <c r="E1232" i="3"/>
  <c r="F1232" i="3"/>
  <c r="C1233" i="3"/>
  <c r="D1233" i="3"/>
  <c r="E1233" i="3"/>
  <c r="F1233" i="3"/>
  <c r="C1234" i="3"/>
  <c r="D1234" i="3"/>
  <c r="E1234" i="3"/>
  <c r="F1234" i="3"/>
  <c r="C1235" i="3"/>
  <c r="D1235" i="3"/>
  <c r="E1235" i="3"/>
  <c r="F1235" i="3"/>
  <c r="C1236" i="3"/>
  <c r="D1236" i="3"/>
  <c r="E1236" i="3"/>
  <c r="F1236" i="3"/>
  <c r="C1237" i="3"/>
  <c r="D1237" i="3"/>
  <c r="E1237" i="3"/>
  <c r="F1237" i="3"/>
  <c r="C1238" i="3"/>
  <c r="D1238" i="3"/>
  <c r="E1238" i="3"/>
  <c r="F1238" i="3"/>
  <c r="C1239" i="3"/>
  <c r="D1239" i="3"/>
  <c r="E1239" i="3"/>
  <c r="F1239" i="3"/>
  <c r="C1240" i="3"/>
  <c r="D1240" i="3"/>
  <c r="E1240" i="3"/>
  <c r="F1240" i="3"/>
  <c r="C1241" i="3"/>
  <c r="D1241" i="3"/>
  <c r="E1241" i="3"/>
  <c r="F1241" i="3"/>
  <c r="C1242" i="3"/>
  <c r="D1242" i="3"/>
  <c r="E1242" i="3"/>
  <c r="F1242" i="3"/>
  <c r="C1243" i="3"/>
  <c r="D1243" i="3"/>
  <c r="E1243" i="3"/>
  <c r="F1243" i="3"/>
  <c r="C1244" i="3"/>
  <c r="D1244" i="3"/>
  <c r="E1244" i="3"/>
  <c r="F1244" i="3"/>
  <c r="C1245" i="3"/>
  <c r="D1245" i="3"/>
  <c r="E1245" i="3"/>
  <c r="F1245" i="3"/>
  <c r="C1246" i="3"/>
  <c r="D1246" i="3"/>
  <c r="E1246" i="3"/>
  <c r="F1246" i="3"/>
  <c r="C1247" i="3"/>
  <c r="D1247" i="3"/>
  <c r="E1247" i="3"/>
  <c r="F1247" i="3"/>
  <c r="C1248" i="3"/>
  <c r="D1248" i="3"/>
  <c r="E1248" i="3"/>
  <c r="F1248" i="3"/>
  <c r="C1249" i="3"/>
  <c r="D1249" i="3"/>
  <c r="E1249" i="3"/>
  <c r="F1249" i="3"/>
  <c r="C1250" i="3"/>
  <c r="D1250" i="3"/>
  <c r="E1250" i="3"/>
  <c r="F1250" i="3"/>
  <c r="C1251" i="3"/>
  <c r="D1251" i="3"/>
  <c r="E1251" i="3"/>
  <c r="F1251" i="3"/>
  <c r="C1252" i="3"/>
  <c r="D1252" i="3"/>
  <c r="E1252" i="3"/>
  <c r="F1252" i="3"/>
  <c r="C1253" i="3"/>
  <c r="D1253" i="3"/>
  <c r="E1253" i="3"/>
  <c r="F1253" i="3"/>
  <c r="C1254" i="3"/>
  <c r="D1254" i="3"/>
  <c r="E1254" i="3"/>
  <c r="F1254" i="3"/>
  <c r="C1255" i="3"/>
  <c r="D1255" i="3"/>
  <c r="E1255" i="3"/>
  <c r="F1255" i="3"/>
  <c r="C1256" i="3"/>
  <c r="D1256" i="3"/>
  <c r="E1256" i="3"/>
  <c r="F1256" i="3"/>
  <c r="C1257" i="3"/>
  <c r="D1257" i="3"/>
  <c r="E1257" i="3"/>
  <c r="F1257" i="3"/>
  <c r="C1258" i="3"/>
  <c r="D1258" i="3"/>
  <c r="E1258" i="3"/>
  <c r="F1258" i="3"/>
  <c r="C1259" i="3"/>
  <c r="D1259" i="3"/>
  <c r="E1259" i="3"/>
  <c r="F1259" i="3"/>
  <c r="C1260" i="3"/>
  <c r="D1260" i="3"/>
  <c r="E1260" i="3"/>
  <c r="F1260" i="3"/>
  <c r="C1261" i="3"/>
  <c r="D1261" i="3"/>
  <c r="E1261" i="3"/>
  <c r="F1261" i="3"/>
  <c r="C1262" i="3"/>
  <c r="D1262" i="3"/>
  <c r="E1262" i="3"/>
  <c r="F1262" i="3"/>
  <c r="C1263" i="3"/>
  <c r="D1263" i="3"/>
  <c r="E1263" i="3"/>
  <c r="F1263" i="3"/>
  <c r="C1264" i="3"/>
  <c r="D1264" i="3"/>
  <c r="E1264" i="3"/>
  <c r="F1264" i="3"/>
  <c r="C1265" i="3"/>
  <c r="D1265" i="3"/>
  <c r="E1265" i="3"/>
  <c r="F1265" i="3"/>
  <c r="C1266" i="3"/>
  <c r="D1266" i="3"/>
  <c r="E1266" i="3"/>
  <c r="F1266" i="3"/>
  <c r="C1267" i="3"/>
  <c r="D1267" i="3"/>
  <c r="E1267" i="3"/>
  <c r="F1267" i="3"/>
  <c r="C1268" i="3"/>
  <c r="D1268" i="3"/>
  <c r="E1268" i="3"/>
  <c r="F1268" i="3"/>
  <c r="C1269" i="3"/>
  <c r="D1269" i="3"/>
  <c r="E1269" i="3"/>
  <c r="F1269" i="3"/>
  <c r="C1270" i="3"/>
  <c r="D1270" i="3"/>
  <c r="E1270" i="3"/>
  <c r="F1270" i="3"/>
  <c r="C1271" i="3"/>
  <c r="D1271" i="3"/>
  <c r="E1271" i="3"/>
  <c r="F1271" i="3"/>
  <c r="C1272" i="3"/>
  <c r="D1272" i="3"/>
  <c r="E1272" i="3"/>
  <c r="F1272" i="3"/>
  <c r="C1273" i="3"/>
  <c r="D1273" i="3"/>
  <c r="E1273" i="3"/>
  <c r="F1273" i="3"/>
  <c r="C1274" i="3"/>
  <c r="D1274" i="3"/>
  <c r="E1274" i="3"/>
  <c r="F1274" i="3"/>
  <c r="C1275" i="3"/>
  <c r="D1275" i="3"/>
  <c r="E1275" i="3"/>
  <c r="F1275" i="3"/>
  <c r="C1276" i="3"/>
  <c r="D1276" i="3"/>
  <c r="E1276" i="3"/>
  <c r="F1276" i="3"/>
  <c r="C1277" i="3"/>
  <c r="D1277" i="3"/>
  <c r="E1277" i="3"/>
  <c r="F1277" i="3"/>
  <c r="C1278" i="3"/>
  <c r="D1278" i="3"/>
  <c r="E1278" i="3"/>
  <c r="F1278" i="3"/>
  <c r="C1279" i="3"/>
  <c r="D1279" i="3"/>
  <c r="E1279" i="3"/>
  <c r="F1279" i="3"/>
  <c r="C1280" i="3"/>
  <c r="D1280" i="3"/>
  <c r="E1280" i="3"/>
  <c r="F1280" i="3"/>
  <c r="C1281" i="3"/>
  <c r="D1281" i="3"/>
  <c r="E1281" i="3"/>
  <c r="F1281" i="3"/>
  <c r="C1282" i="3"/>
  <c r="D1282" i="3"/>
  <c r="E1282" i="3"/>
  <c r="F1282" i="3"/>
  <c r="C1283" i="3"/>
  <c r="D1283" i="3"/>
  <c r="E1283" i="3"/>
  <c r="F1283" i="3"/>
  <c r="C1284" i="3"/>
  <c r="D1284" i="3"/>
  <c r="E1284" i="3"/>
  <c r="F1284" i="3"/>
  <c r="C1285" i="3"/>
  <c r="D1285" i="3"/>
  <c r="E1285" i="3"/>
  <c r="F1285" i="3"/>
  <c r="C1286" i="3"/>
  <c r="D1286" i="3"/>
  <c r="E1286" i="3"/>
  <c r="F1286" i="3"/>
  <c r="C1287" i="3"/>
  <c r="D1287" i="3"/>
  <c r="E1287" i="3"/>
  <c r="F1287" i="3"/>
  <c r="C1288" i="3"/>
  <c r="D1288" i="3"/>
  <c r="E1288" i="3"/>
  <c r="F1288" i="3"/>
  <c r="C1289" i="3"/>
  <c r="D1289" i="3"/>
  <c r="E1289" i="3"/>
  <c r="F1289" i="3"/>
  <c r="C1290" i="3"/>
  <c r="D1290" i="3"/>
  <c r="E1290" i="3"/>
  <c r="F1290" i="3"/>
  <c r="C1291" i="3"/>
  <c r="D1291" i="3"/>
  <c r="E1291" i="3"/>
  <c r="F1291" i="3"/>
  <c r="C1292" i="3"/>
  <c r="D1292" i="3"/>
  <c r="E1292" i="3"/>
  <c r="F1292" i="3"/>
  <c r="C1293" i="3"/>
  <c r="D1293" i="3"/>
  <c r="E1293" i="3"/>
  <c r="F1293" i="3"/>
  <c r="C1294" i="3"/>
  <c r="D1294" i="3"/>
  <c r="E1294" i="3"/>
  <c r="F1294" i="3"/>
  <c r="C1295" i="3"/>
  <c r="D1295" i="3"/>
  <c r="E1295" i="3"/>
  <c r="F1295" i="3"/>
  <c r="C1296" i="3"/>
  <c r="D1296" i="3"/>
  <c r="E1296" i="3"/>
  <c r="F1296" i="3"/>
  <c r="C1297" i="3"/>
  <c r="D1297" i="3"/>
  <c r="E1297" i="3"/>
  <c r="F1297" i="3"/>
  <c r="C1298" i="3"/>
  <c r="D1298" i="3"/>
  <c r="E1298" i="3"/>
  <c r="F1298" i="3"/>
  <c r="C1299" i="3"/>
  <c r="D1299" i="3"/>
  <c r="E1299" i="3"/>
  <c r="F1299" i="3"/>
  <c r="C1300" i="3"/>
  <c r="D1300" i="3"/>
  <c r="E1300" i="3"/>
  <c r="F1300" i="3"/>
  <c r="C1301" i="3"/>
  <c r="D1301" i="3"/>
  <c r="E1301" i="3"/>
  <c r="F1301" i="3"/>
  <c r="C1302" i="3"/>
  <c r="D1302" i="3"/>
  <c r="E1302" i="3"/>
  <c r="F1302" i="3"/>
  <c r="C1303" i="3"/>
  <c r="D1303" i="3"/>
  <c r="E1303" i="3"/>
  <c r="F1303" i="3"/>
  <c r="C1304" i="3"/>
  <c r="D1304" i="3"/>
  <c r="E1304" i="3"/>
  <c r="F1304" i="3"/>
  <c r="C1305" i="3"/>
  <c r="D1305" i="3"/>
  <c r="E1305" i="3"/>
  <c r="F1305" i="3"/>
  <c r="C1306" i="3"/>
  <c r="D1306" i="3"/>
  <c r="E1306" i="3"/>
  <c r="F1306" i="3"/>
  <c r="C1307" i="3"/>
  <c r="D1307" i="3"/>
  <c r="E1307" i="3"/>
  <c r="F1307" i="3"/>
  <c r="C1308" i="3"/>
  <c r="D1308" i="3"/>
  <c r="E1308" i="3"/>
  <c r="F1308" i="3"/>
  <c r="C1309" i="3"/>
  <c r="D1309" i="3"/>
  <c r="E1309" i="3"/>
  <c r="F1309" i="3"/>
  <c r="C1310" i="3"/>
  <c r="D1310" i="3"/>
  <c r="E1310" i="3"/>
  <c r="F1310" i="3"/>
  <c r="C1311" i="3"/>
  <c r="D1311" i="3"/>
  <c r="E1311" i="3"/>
  <c r="F1311" i="3"/>
  <c r="C1312" i="3"/>
  <c r="D1312" i="3"/>
  <c r="E1312" i="3"/>
  <c r="F1312" i="3"/>
  <c r="C1313" i="3"/>
  <c r="D1313" i="3"/>
  <c r="E1313" i="3"/>
  <c r="F1313" i="3"/>
  <c r="C1314" i="3"/>
  <c r="D1314" i="3"/>
  <c r="E1314" i="3"/>
  <c r="F1314" i="3"/>
  <c r="C1315" i="3"/>
  <c r="D1315" i="3"/>
  <c r="E1315" i="3"/>
  <c r="F1315" i="3"/>
  <c r="C1316" i="3"/>
  <c r="D1316" i="3"/>
  <c r="E1316" i="3"/>
  <c r="F1316" i="3"/>
  <c r="C1317" i="3"/>
  <c r="D1317" i="3"/>
  <c r="E1317" i="3"/>
  <c r="F1317" i="3"/>
  <c r="C1318" i="3"/>
  <c r="D1318" i="3"/>
  <c r="E1318" i="3"/>
  <c r="F1318" i="3"/>
  <c r="C1319" i="3"/>
  <c r="D1319" i="3"/>
  <c r="E1319" i="3"/>
  <c r="F1319" i="3"/>
  <c r="C1320" i="3"/>
  <c r="D1320" i="3"/>
  <c r="E1320" i="3"/>
  <c r="F1320" i="3"/>
  <c r="C1321" i="3"/>
  <c r="D1321" i="3"/>
  <c r="E1321" i="3"/>
  <c r="F1321" i="3"/>
  <c r="C1322" i="3"/>
  <c r="D1322" i="3"/>
  <c r="E1322" i="3"/>
  <c r="F1322" i="3"/>
  <c r="C1323" i="3"/>
  <c r="D1323" i="3"/>
  <c r="E1323" i="3"/>
  <c r="F1323" i="3"/>
  <c r="C1324" i="3"/>
  <c r="D1324" i="3"/>
  <c r="E1324" i="3"/>
  <c r="F1324" i="3"/>
  <c r="C1325" i="3"/>
  <c r="D1325" i="3"/>
  <c r="E1325" i="3"/>
  <c r="F1325" i="3"/>
  <c r="C1326" i="3"/>
  <c r="D1326" i="3"/>
  <c r="E1326" i="3"/>
  <c r="F1326" i="3"/>
  <c r="C1327" i="3"/>
  <c r="D1327" i="3"/>
  <c r="E1327" i="3"/>
  <c r="F1327" i="3"/>
  <c r="C1328" i="3"/>
  <c r="D1328" i="3"/>
  <c r="E1328" i="3"/>
  <c r="F1328" i="3"/>
  <c r="C1329" i="3"/>
  <c r="D1329" i="3"/>
  <c r="E1329" i="3"/>
  <c r="F1329" i="3"/>
  <c r="C1330" i="3"/>
  <c r="D1330" i="3"/>
  <c r="E1330" i="3"/>
  <c r="F1330" i="3"/>
  <c r="C1331" i="3"/>
  <c r="D1331" i="3"/>
  <c r="E1331" i="3"/>
  <c r="F1331" i="3"/>
  <c r="C1332" i="3"/>
  <c r="D1332" i="3"/>
  <c r="E1332" i="3"/>
  <c r="F1332" i="3"/>
  <c r="C1333" i="3"/>
  <c r="D1333" i="3"/>
  <c r="E1333" i="3"/>
  <c r="F1333" i="3"/>
  <c r="C1334" i="3"/>
  <c r="D1334" i="3"/>
  <c r="E1334" i="3"/>
  <c r="F1334" i="3"/>
  <c r="C1335" i="3"/>
  <c r="D1335" i="3"/>
  <c r="E1335" i="3"/>
  <c r="F1335" i="3"/>
  <c r="C1336" i="3"/>
  <c r="D1336" i="3"/>
  <c r="E1336" i="3"/>
  <c r="F1336" i="3"/>
  <c r="C1337" i="3"/>
  <c r="D1337" i="3"/>
  <c r="E1337" i="3"/>
  <c r="F1337" i="3"/>
  <c r="C1338" i="3"/>
  <c r="D1338" i="3"/>
  <c r="E1338" i="3"/>
  <c r="F1338" i="3"/>
  <c r="C1339" i="3"/>
  <c r="D1339" i="3"/>
  <c r="E1339" i="3"/>
  <c r="F1339" i="3"/>
  <c r="C1340" i="3"/>
  <c r="D1340" i="3"/>
  <c r="E1340" i="3"/>
  <c r="F1340" i="3"/>
  <c r="C1341" i="3"/>
  <c r="D1341" i="3"/>
  <c r="E1341" i="3"/>
  <c r="F1341" i="3"/>
  <c r="C1342" i="3"/>
  <c r="D1342" i="3"/>
  <c r="E1342" i="3"/>
  <c r="F1342" i="3"/>
  <c r="C1343" i="3"/>
  <c r="D1343" i="3"/>
  <c r="E1343" i="3"/>
  <c r="F1343" i="3"/>
  <c r="C1344" i="3"/>
  <c r="D1344" i="3"/>
  <c r="E1344" i="3"/>
  <c r="F1344" i="3"/>
  <c r="C1345" i="3"/>
  <c r="D1345" i="3"/>
  <c r="E1345" i="3"/>
  <c r="F1345" i="3"/>
  <c r="C1346" i="3"/>
  <c r="D1346" i="3"/>
  <c r="E1346" i="3"/>
  <c r="F1346" i="3"/>
  <c r="C1347" i="3"/>
  <c r="D1347" i="3"/>
  <c r="E1347" i="3"/>
  <c r="F1347" i="3"/>
  <c r="C1348" i="3"/>
  <c r="D1348" i="3"/>
  <c r="E1348" i="3"/>
  <c r="F1348" i="3"/>
  <c r="C1349" i="3"/>
  <c r="D1349" i="3"/>
  <c r="E1349" i="3"/>
  <c r="F1349" i="3"/>
  <c r="C1350" i="3"/>
  <c r="D1350" i="3"/>
  <c r="E1350" i="3"/>
  <c r="F1350" i="3"/>
  <c r="C1351" i="3"/>
  <c r="D1351" i="3"/>
  <c r="E1351" i="3"/>
  <c r="F1351" i="3"/>
  <c r="C1352" i="3"/>
  <c r="D1352" i="3"/>
  <c r="E1352" i="3"/>
  <c r="F1352" i="3"/>
  <c r="C1353" i="3"/>
  <c r="D1353" i="3"/>
  <c r="E1353" i="3"/>
  <c r="F1353" i="3"/>
  <c r="C1354" i="3"/>
  <c r="D1354" i="3"/>
  <c r="E1354" i="3"/>
  <c r="F1354" i="3"/>
  <c r="C1355" i="3"/>
  <c r="D1355" i="3"/>
  <c r="E1355" i="3"/>
  <c r="F1355" i="3"/>
  <c r="C1356" i="3"/>
  <c r="D1356" i="3"/>
  <c r="E1356" i="3"/>
  <c r="F1356" i="3"/>
  <c r="C1357" i="3"/>
  <c r="D1357" i="3"/>
  <c r="E1357" i="3"/>
  <c r="F1357" i="3"/>
  <c r="C1358" i="3"/>
  <c r="D1358" i="3"/>
  <c r="E1358" i="3"/>
  <c r="F1358" i="3"/>
  <c r="C1359" i="3"/>
  <c r="D1359" i="3"/>
  <c r="E1359" i="3"/>
  <c r="F1359" i="3"/>
  <c r="C1360" i="3"/>
  <c r="D1360" i="3"/>
  <c r="E1360" i="3"/>
  <c r="F1360" i="3"/>
  <c r="C1361" i="3"/>
  <c r="D1361" i="3"/>
  <c r="E1361" i="3"/>
  <c r="F1361" i="3"/>
  <c r="C1362" i="3"/>
  <c r="D1362" i="3"/>
  <c r="E1362" i="3"/>
  <c r="F1362" i="3"/>
  <c r="C1363" i="3"/>
  <c r="D1363" i="3"/>
  <c r="E1363" i="3"/>
  <c r="F1363" i="3"/>
  <c r="C1364" i="3"/>
  <c r="D1364" i="3"/>
  <c r="E1364" i="3"/>
  <c r="F1364" i="3"/>
  <c r="C1365" i="3"/>
  <c r="D1365" i="3"/>
  <c r="E1365" i="3"/>
  <c r="F1365" i="3"/>
  <c r="C1366" i="3"/>
  <c r="D1366" i="3"/>
  <c r="E1366" i="3"/>
  <c r="F1366" i="3"/>
  <c r="C1367" i="3"/>
  <c r="D1367" i="3"/>
  <c r="E1367" i="3"/>
  <c r="F1367" i="3"/>
  <c r="C1368" i="3"/>
  <c r="D1368" i="3"/>
  <c r="E1368" i="3"/>
  <c r="F1368" i="3"/>
  <c r="C1369" i="3"/>
  <c r="D1369" i="3"/>
  <c r="E1369" i="3"/>
  <c r="F1369" i="3"/>
  <c r="C1370" i="3"/>
  <c r="D1370" i="3"/>
  <c r="E1370" i="3"/>
  <c r="F1370" i="3"/>
  <c r="C1371" i="3"/>
  <c r="D1371" i="3"/>
  <c r="E1371" i="3"/>
  <c r="F1371" i="3"/>
  <c r="C1372" i="3"/>
  <c r="D1372" i="3"/>
  <c r="E1372" i="3"/>
  <c r="F1372" i="3"/>
  <c r="C1373" i="3"/>
  <c r="D1373" i="3"/>
  <c r="E1373" i="3"/>
  <c r="F1373" i="3"/>
  <c r="C1374" i="3"/>
  <c r="D1374" i="3"/>
  <c r="E1374" i="3"/>
  <c r="F1374" i="3"/>
  <c r="C1375" i="3"/>
  <c r="D1375" i="3"/>
  <c r="E1375" i="3"/>
  <c r="F1375" i="3"/>
  <c r="C1376" i="3"/>
  <c r="D1376" i="3"/>
  <c r="E1376" i="3"/>
  <c r="F1376" i="3"/>
  <c r="C1377" i="3"/>
  <c r="D1377" i="3"/>
  <c r="E1377" i="3"/>
  <c r="F1377" i="3"/>
  <c r="C1378" i="3"/>
  <c r="D1378" i="3"/>
  <c r="E1378" i="3"/>
  <c r="F1378" i="3"/>
  <c r="C1379" i="3"/>
  <c r="D1379" i="3"/>
  <c r="E1379" i="3"/>
  <c r="F1379" i="3"/>
  <c r="C1380" i="3"/>
  <c r="D1380" i="3"/>
  <c r="E1380" i="3"/>
  <c r="F1380" i="3"/>
  <c r="C1381" i="3"/>
  <c r="D1381" i="3"/>
  <c r="E1381" i="3"/>
  <c r="F1381" i="3"/>
  <c r="C1382" i="3"/>
  <c r="D1382" i="3"/>
  <c r="E1382" i="3"/>
  <c r="F1382" i="3"/>
  <c r="C1383" i="3"/>
  <c r="D1383" i="3"/>
  <c r="E1383" i="3"/>
  <c r="F1383" i="3"/>
  <c r="C1384" i="3"/>
  <c r="D1384" i="3"/>
  <c r="E1384" i="3"/>
  <c r="F1384" i="3"/>
  <c r="C1385" i="3"/>
  <c r="D1385" i="3"/>
  <c r="E1385" i="3"/>
  <c r="F1385" i="3"/>
  <c r="C1386" i="3"/>
  <c r="D1386" i="3"/>
  <c r="E1386" i="3"/>
  <c r="F1386" i="3"/>
  <c r="C1387" i="3"/>
  <c r="D1387" i="3"/>
  <c r="E1387" i="3"/>
  <c r="F1387" i="3"/>
  <c r="C1388" i="3"/>
  <c r="D1388" i="3"/>
  <c r="E1388" i="3"/>
  <c r="F1388" i="3"/>
  <c r="C1389" i="3"/>
  <c r="D1389" i="3"/>
  <c r="E1389" i="3"/>
  <c r="F1389" i="3"/>
  <c r="C1390" i="3"/>
  <c r="D1390" i="3"/>
  <c r="E1390" i="3"/>
  <c r="F1390" i="3"/>
  <c r="C1391" i="3"/>
  <c r="D1391" i="3"/>
  <c r="E1391" i="3"/>
  <c r="F1391" i="3"/>
  <c r="C1392" i="3"/>
  <c r="D1392" i="3"/>
  <c r="E1392" i="3"/>
  <c r="F1392" i="3"/>
  <c r="C1393" i="3"/>
  <c r="D1393" i="3"/>
  <c r="E1393" i="3"/>
  <c r="F1393" i="3"/>
  <c r="C1394" i="3"/>
  <c r="D1394" i="3"/>
  <c r="E1394" i="3"/>
  <c r="F1394" i="3"/>
  <c r="C1395" i="3"/>
  <c r="D1395" i="3"/>
  <c r="E1395" i="3"/>
  <c r="F1395" i="3"/>
  <c r="C1396" i="3"/>
  <c r="D1396" i="3"/>
  <c r="E1396" i="3"/>
  <c r="F1396" i="3"/>
  <c r="C1397" i="3"/>
  <c r="D1397" i="3"/>
  <c r="E1397" i="3"/>
  <c r="F1397" i="3"/>
  <c r="C1398" i="3"/>
  <c r="D1398" i="3"/>
  <c r="E1398" i="3"/>
  <c r="F1398" i="3"/>
  <c r="C1399" i="3"/>
  <c r="D1399" i="3"/>
  <c r="E1399" i="3"/>
  <c r="F1399" i="3"/>
  <c r="C1400" i="3"/>
  <c r="D1400" i="3"/>
  <c r="E1400" i="3"/>
  <c r="F1400" i="3"/>
  <c r="C1401" i="3"/>
  <c r="D1401" i="3"/>
  <c r="E1401" i="3"/>
  <c r="F1401" i="3"/>
  <c r="C1402" i="3"/>
  <c r="D1402" i="3"/>
  <c r="E1402" i="3"/>
  <c r="F1402" i="3"/>
  <c r="C1403" i="3"/>
  <c r="D1403" i="3"/>
  <c r="E1403" i="3"/>
  <c r="F1403" i="3"/>
  <c r="C1404" i="3"/>
  <c r="D1404" i="3"/>
  <c r="E1404" i="3"/>
  <c r="F1404" i="3"/>
  <c r="C1405" i="3"/>
  <c r="D1405" i="3"/>
  <c r="E1405" i="3"/>
  <c r="F1405" i="3"/>
  <c r="C1406" i="3"/>
  <c r="D1406" i="3"/>
  <c r="E1406" i="3"/>
  <c r="F1406" i="3"/>
  <c r="C1407" i="3"/>
  <c r="D1407" i="3"/>
  <c r="E1407" i="3"/>
  <c r="F1407" i="3"/>
  <c r="C1408" i="3"/>
  <c r="D1408" i="3"/>
  <c r="E1408" i="3"/>
  <c r="F1408" i="3"/>
  <c r="C1409" i="3"/>
  <c r="D1409" i="3"/>
  <c r="E1409" i="3"/>
  <c r="F1409" i="3"/>
  <c r="C1410" i="3"/>
  <c r="D1410" i="3"/>
  <c r="E1410" i="3"/>
  <c r="F1410" i="3"/>
  <c r="C1411" i="3"/>
  <c r="D1411" i="3"/>
  <c r="E1411" i="3"/>
  <c r="F1411" i="3"/>
  <c r="C1412" i="3"/>
  <c r="D1412" i="3"/>
  <c r="E1412" i="3"/>
  <c r="F1412" i="3"/>
  <c r="C1413" i="3"/>
  <c r="D1413" i="3"/>
  <c r="E1413" i="3"/>
  <c r="F1413" i="3"/>
  <c r="C1414" i="3"/>
  <c r="D1414" i="3"/>
  <c r="E1414" i="3"/>
  <c r="F1414" i="3"/>
  <c r="C1415" i="3"/>
  <c r="D1415" i="3"/>
  <c r="E1415" i="3"/>
  <c r="F1415" i="3"/>
  <c r="C1416" i="3"/>
  <c r="D1416" i="3"/>
  <c r="E1416" i="3"/>
  <c r="F1416" i="3"/>
  <c r="C1417" i="3"/>
  <c r="D1417" i="3"/>
  <c r="E1417" i="3"/>
  <c r="F1417" i="3"/>
  <c r="C1418" i="3"/>
  <c r="D1418" i="3"/>
  <c r="E1418" i="3"/>
  <c r="F1418" i="3"/>
  <c r="C1419" i="3"/>
  <c r="D1419" i="3"/>
  <c r="E1419" i="3"/>
  <c r="F1419" i="3"/>
  <c r="C1420" i="3"/>
  <c r="D1420" i="3"/>
  <c r="E1420" i="3"/>
  <c r="F1420" i="3"/>
  <c r="C1421" i="3"/>
  <c r="D1421" i="3"/>
  <c r="E1421" i="3"/>
  <c r="F1421" i="3"/>
  <c r="C1422" i="3"/>
  <c r="D1422" i="3"/>
  <c r="E1422" i="3"/>
  <c r="F1422" i="3"/>
  <c r="C1423" i="3"/>
  <c r="D1423" i="3"/>
  <c r="E1423" i="3"/>
  <c r="F1423" i="3"/>
  <c r="C1424" i="3"/>
  <c r="D1424" i="3"/>
  <c r="E1424" i="3"/>
  <c r="F1424" i="3"/>
  <c r="C1425" i="3"/>
  <c r="D1425" i="3"/>
  <c r="E1425" i="3"/>
  <c r="F1425" i="3"/>
  <c r="C1426" i="3"/>
  <c r="D1426" i="3"/>
  <c r="E1426" i="3"/>
  <c r="F1426" i="3"/>
  <c r="C1427" i="3"/>
  <c r="D1427" i="3"/>
  <c r="E1427" i="3"/>
  <c r="F1427" i="3"/>
  <c r="C1428" i="3"/>
  <c r="D1428" i="3"/>
  <c r="E1428" i="3"/>
  <c r="F1428" i="3"/>
  <c r="C1429" i="3"/>
  <c r="D1429" i="3"/>
  <c r="E1429" i="3"/>
  <c r="F1429" i="3"/>
  <c r="C1430" i="3"/>
  <c r="D1430" i="3"/>
  <c r="E1430" i="3"/>
  <c r="F1430" i="3"/>
  <c r="C1431" i="3"/>
  <c r="D1431" i="3"/>
  <c r="E1431" i="3"/>
  <c r="F1431" i="3"/>
  <c r="C1432" i="3"/>
  <c r="D1432" i="3"/>
  <c r="E1432" i="3"/>
  <c r="F1432" i="3"/>
  <c r="C1433" i="3"/>
  <c r="D1433" i="3"/>
  <c r="E1433" i="3"/>
  <c r="F1433" i="3"/>
  <c r="C1434" i="3"/>
  <c r="D1434" i="3"/>
  <c r="E1434" i="3"/>
  <c r="F1434" i="3"/>
  <c r="C1435" i="3"/>
  <c r="D1435" i="3"/>
  <c r="E1435" i="3"/>
  <c r="F1435" i="3"/>
  <c r="C1436" i="3"/>
  <c r="D1436" i="3"/>
  <c r="E1436" i="3"/>
  <c r="F1436" i="3"/>
  <c r="C1437" i="3"/>
  <c r="D1437" i="3"/>
  <c r="E1437" i="3"/>
  <c r="F1437" i="3"/>
  <c r="C1438" i="3"/>
  <c r="D1438" i="3"/>
  <c r="E1438" i="3"/>
  <c r="F1438" i="3"/>
  <c r="C1439" i="3"/>
  <c r="D1439" i="3"/>
  <c r="E1439" i="3"/>
  <c r="F1439" i="3"/>
  <c r="C1440" i="3"/>
  <c r="D1440" i="3"/>
  <c r="E1440" i="3"/>
  <c r="F1440" i="3"/>
  <c r="C1441" i="3"/>
  <c r="D1441" i="3"/>
  <c r="E1441" i="3"/>
  <c r="F1441" i="3"/>
  <c r="C1442" i="3"/>
  <c r="D1442" i="3"/>
  <c r="E1442" i="3"/>
  <c r="F1442" i="3"/>
  <c r="C1443" i="3"/>
  <c r="D1443" i="3"/>
  <c r="E1443" i="3"/>
  <c r="F1443" i="3"/>
  <c r="C1444" i="3"/>
  <c r="D1444" i="3"/>
  <c r="E1444" i="3"/>
  <c r="F1444" i="3"/>
  <c r="C1445" i="3"/>
  <c r="D1445" i="3"/>
  <c r="E1445" i="3"/>
  <c r="F1445" i="3"/>
  <c r="C1446" i="3"/>
  <c r="D1446" i="3"/>
  <c r="E1446" i="3"/>
  <c r="F1446" i="3"/>
  <c r="C1447" i="3"/>
  <c r="D1447" i="3"/>
  <c r="E1447" i="3"/>
  <c r="F1447" i="3"/>
  <c r="C1448" i="3"/>
  <c r="D1448" i="3"/>
  <c r="E1448" i="3"/>
  <c r="F1448" i="3"/>
  <c r="C1449" i="3"/>
  <c r="D1449" i="3"/>
  <c r="E1449" i="3"/>
  <c r="F1449" i="3"/>
  <c r="C1450" i="3"/>
  <c r="D1450" i="3"/>
  <c r="E1450" i="3"/>
  <c r="F1450" i="3"/>
  <c r="C1451" i="3"/>
  <c r="D1451" i="3"/>
  <c r="E1451" i="3"/>
  <c r="F1451" i="3"/>
  <c r="C1452" i="3"/>
  <c r="D1452" i="3"/>
  <c r="E1452" i="3"/>
  <c r="F1452" i="3"/>
  <c r="C1453" i="3"/>
  <c r="D1453" i="3"/>
  <c r="E1453" i="3"/>
  <c r="F1453" i="3"/>
  <c r="C1454" i="3"/>
  <c r="D1454" i="3"/>
  <c r="E1454" i="3"/>
  <c r="F1454" i="3"/>
  <c r="C1455" i="3"/>
  <c r="D1455" i="3"/>
  <c r="E1455" i="3"/>
  <c r="F1455" i="3"/>
  <c r="C1456" i="3"/>
  <c r="D1456" i="3"/>
  <c r="E1456" i="3"/>
  <c r="F1456" i="3"/>
  <c r="C1457" i="3"/>
  <c r="D1457" i="3"/>
  <c r="E1457" i="3"/>
  <c r="F1457" i="3"/>
  <c r="C1458" i="3"/>
  <c r="D1458" i="3"/>
  <c r="E1458" i="3"/>
  <c r="F1458" i="3"/>
  <c r="C1459" i="3"/>
  <c r="D1459" i="3"/>
  <c r="E1459" i="3"/>
  <c r="F1459" i="3"/>
  <c r="C1460" i="3"/>
  <c r="D1460" i="3"/>
  <c r="E1460" i="3"/>
  <c r="F1460" i="3"/>
  <c r="C1461" i="3"/>
  <c r="D1461" i="3"/>
  <c r="E1461" i="3"/>
  <c r="F1461" i="3"/>
  <c r="C1462" i="3"/>
  <c r="D1462" i="3"/>
  <c r="E1462" i="3"/>
  <c r="F1462" i="3"/>
  <c r="C1463" i="3"/>
  <c r="D1463" i="3"/>
  <c r="E1463" i="3"/>
  <c r="F1463" i="3"/>
  <c r="C1464" i="3"/>
  <c r="D1464" i="3"/>
  <c r="E1464" i="3"/>
  <c r="F1464" i="3"/>
  <c r="C1465" i="3"/>
  <c r="D1465" i="3"/>
  <c r="E1465" i="3"/>
  <c r="F1465" i="3"/>
  <c r="C1466" i="3"/>
  <c r="D1466" i="3"/>
  <c r="E1466" i="3"/>
  <c r="F1466" i="3"/>
  <c r="C1467" i="3"/>
  <c r="D1467" i="3"/>
  <c r="E1467" i="3"/>
  <c r="F1467" i="3"/>
  <c r="C1468" i="3"/>
  <c r="D1468" i="3"/>
  <c r="E1468" i="3"/>
  <c r="F1468" i="3"/>
  <c r="C1469" i="3"/>
  <c r="D1469" i="3"/>
  <c r="E1469" i="3"/>
  <c r="F1469" i="3"/>
  <c r="C1470" i="3"/>
  <c r="D1470" i="3"/>
  <c r="E1470" i="3"/>
  <c r="F1470" i="3"/>
  <c r="C1471" i="3"/>
  <c r="D1471" i="3"/>
  <c r="E1471" i="3"/>
  <c r="F1471" i="3"/>
  <c r="C1472" i="3"/>
  <c r="D1472" i="3"/>
  <c r="E1472" i="3"/>
  <c r="F1472" i="3"/>
  <c r="C1473" i="3"/>
  <c r="D1473" i="3"/>
  <c r="E1473" i="3"/>
  <c r="F1473" i="3"/>
  <c r="C1474" i="3"/>
  <c r="D1474" i="3"/>
  <c r="E1474" i="3"/>
  <c r="F1474" i="3"/>
  <c r="C1475" i="3"/>
  <c r="D1475" i="3"/>
  <c r="E1475" i="3"/>
  <c r="F1475" i="3"/>
  <c r="C1476" i="3"/>
  <c r="D1476" i="3"/>
  <c r="E1476" i="3"/>
  <c r="F1476" i="3"/>
  <c r="C1477" i="3"/>
  <c r="D1477" i="3"/>
  <c r="E1477" i="3"/>
  <c r="F1477" i="3"/>
  <c r="C1478" i="3"/>
  <c r="D1478" i="3"/>
  <c r="E1478" i="3"/>
  <c r="F1478" i="3"/>
  <c r="C1479" i="3"/>
  <c r="D1479" i="3"/>
  <c r="E1479" i="3"/>
  <c r="F1479" i="3"/>
  <c r="C1480" i="3"/>
  <c r="D1480" i="3"/>
  <c r="E1480" i="3"/>
  <c r="F1480" i="3"/>
  <c r="C1481" i="3"/>
  <c r="D1481" i="3"/>
  <c r="E1481" i="3"/>
  <c r="F1481" i="3"/>
  <c r="C1482" i="3"/>
  <c r="D1482" i="3"/>
  <c r="E1482" i="3"/>
  <c r="F1482" i="3"/>
  <c r="C1483" i="3"/>
  <c r="D1483" i="3"/>
  <c r="E1483" i="3"/>
  <c r="F1483" i="3"/>
  <c r="C1484" i="3"/>
  <c r="D1484" i="3"/>
  <c r="E1484" i="3"/>
  <c r="F1484" i="3"/>
  <c r="C1485" i="3"/>
  <c r="D1485" i="3"/>
  <c r="E1485" i="3"/>
  <c r="F1485" i="3"/>
  <c r="C1486" i="3"/>
  <c r="D1486" i="3"/>
  <c r="E1486" i="3"/>
  <c r="F1486" i="3"/>
  <c r="C1487" i="3"/>
  <c r="D1487" i="3"/>
  <c r="E1487" i="3"/>
  <c r="F1487" i="3"/>
  <c r="C1488" i="3"/>
  <c r="D1488" i="3"/>
  <c r="E1488" i="3"/>
  <c r="F1488" i="3"/>
  <c r="C1489" i="3"/>
  <c r="D1489" i="3"/>
  <c r="E1489" i="3"/>
  <c r="F1489" i="3"/>
  <c r="C1490" i="3"/>
  <c r="D1490" i="3"/>
  <c r="E1490" i="3"/>
  <c r="F1490" i="3"/>
  <c r="C1491" i="3"/>
  <c r="D1491" i="3"/>
  <c r="E1491" i="3"/>
  <c r="F1491" i="3"/>
  <c r="C1492" i="3"/>
  <c r="D1492" i="3"/>
  <c r="E1492" i="3"/>
  <c r="F1492" i="3"/>
  <c r="C1493" i="3"/>
  <c r="D1493" i="3"/>
  <c r="E1493" i="3"/>
  <c r="F1493" i="3"/>
  <c r="C1494" i="3"/>
  <c r="D1494" i="3"/>
  <c r="E1494" i="3"/>
  <c r="F1494" i="3"/>
  <c r="C1495" i="3"/>
  <c r="D1495" i="3"/>
  <c r="E1495" i="3"/>
  <c r="F1495" i="3"/>
  <c r="C1496" i="3"/>
  <c r="D1496" i="3"/>
  <c r="E1496" i="3"/>
  <c r="F1496" i="3"/>
  <c r="C1497" i="3"/>
  <c r="D1497" i="3"/>
  <c r="E1497" i="3"/>
  <c r="F1497" i="3"/>
  <c r="C1498" i="3"/>
  <c r="D1498" i="3"/>
  <c r="E1498" i="3"/>
  <c r="F1498" i="3"/>
  <c r="C1499" i="3"/>
  <c r="D1499" i="3"/>
  <c r="E1499" i="3"/>
  <c r="F1499" i="3"/>
  <c r="C1500" i="3"/>
  <c r="D1500" i="3"/>
  <c r="E1500" i="3"/>
  <c r="F1500" i="3"/>
  <c r="C1501" i="3"/>
  <c r="D1501" i="3"/>
  <c r="E1501" i="3"/>
  <c r="F1501" i="3"/>
  <c r="C1502" i="3"/>
  <c r="D1502" i="3"/>
  <c r="E1502" i="3"/>
  <c r="F1502" i="3"/>
  <c r="C1503" i="3"/>
  <c r="D1503" i="3"/>
  <c r="E1503" i="3"/>
  <c r="F1503" i="3"/>
  <c r="C1504" i="3"/>
  <c r="D1504" i="3"/>
  <c r="E1504" i="3"/>
  <c r="F1504" i="3"/>
  <c r="C1505" i="3"/>
  <c r="D1505" i="3"/>
  <c r="E1505" i="3"/>
  <c r="F1505" i="3"/>
  <c r="C1506" i="3"/>
  <c r="D1506" i="3"/>
  <c r="E1506" i="3"/>
  <c r="F1506" i="3"/>
  <c r="C1507" i="3"/>
  <c r="D1507" i="3"/>
  <c r="E1507" i="3"/>
  <c r="F1507" i="3"/>
  <c r="C1508" i="3"/>
  <c r="D1508" i="3"/>
  <c r="E1508" i="3"/>
  <c r="F1508" i="3"/>
  <c r="C1509" i="3"/>
  <c r="D1509" i="3"/>
  <c r="E1509" i="3"/>
  <c r="F1509" i="3"/>
  <c r="C1510" i="3"/>
  <c r="D1510" i="3"/>
  <c r="E1510" i="3"/>
  <c r="F1510" i="3"/>
  <c r="C1511" i="3"/>
  <c r="D1511" i="3"/>
  <c r="E1511" i="3"/>
  <c r="F1511" i="3"/>
  <c r="C1512" i="3"/>
  <c r="D1512" i="3"/>
  <c r="E1512" i="3"/>
  <c r="F1512" i="3"/>
  <c r="C1513" i="3"/>
  <c r="D1513" i="3"/>
  <c r="E1513" i="3"/>
  <c r="F1513" i="3"/>
  <c r="C1514" i="3"/>
  <c r="D1514" i="3"/>
  <c r="E1514" i="3"/>
  <c r="F1514" i="3"/>
  <c r="C1515" i="3"/>
  <c r="D1515" i="3"/>
  <c r="E1515" i="3"/>
  <c r="F1515" i="3"/>
  <c r="C1516" i="3"/>
  <c r="D1516" i="3"/>
  <c r="E1516" i="3"/>
  <c r="F1516" i="3"/>
  <c r="C1517" i="3"/>
  <c r="D1517" i="3"/>
  <c r="E1517" i="3"/>
  <c r="F1517" i="3"/>
  <c r="C1518" i="3"/>
  <c r="D1518" i="3"/>
  <c r="E1518" i="3"/>
  <c r="F1518" i="3"/>
  <c r="C1519" i="3"/>
  <c r="D1519" i="3"/>
  <c r="E1519" i="3"/>
  <c r="F1519" i="3"/>
  <c r="C1520" i="3"/>
  <c r="D1520" i="3"/>
  <c r="E1520" i="3"/>
  <c r="F1520" i="3"/>
  <c r="C1521" i="3"/>
  <c r="D1521" i="3"/>
  <c r="E1521" i="3"/>
  <c r="F1521" i="3"/>
  <c r="C1522" i="3"/>
  <c r="D1522" i="3"/>
  <c r="E1522" i="3"/>
  <c r="F1522" i="3"/>
  <c r="C1523" i="3"/>
  <c r="D1523" i="3"/>
  <c r="E1523" i="3"/>
  <c r="F1523" i="3"/>
  <c r="C1524" i="3"/>
  <c r="D1524" i="3"/>
  <c r="E1524" i="3"/>
  <c r="F1524" i="3"/>
  <c r="C1525" i="3"/>
  <c r="D1525" i="3"/>
  <c r="E1525" i="3"/>
  <c r="F1525" i="3"/>
  <c r="C1526" i="3"/>
  <c r="D1526" i="3"/>
  <c r="E1526" i="3"/>
  <c r="F1526" i="3"/>
  <c r="C1527" i="3"/>
  <c r="D1527" i="3"/>
  <c r="E1527" i="3"/>
  <c r="F1527" i="3"/>
  <c r="C1528" i="3"/>
  <c r="D1528" i="3"/>
  <c r="E1528" i="3"/>
  <c r="F1528" i="3"/>
  <c r="C1529" i="3"/>
  <c r="D1529" i="3"/>
  <c r="E1529" i="3"/>
  <c r="F1529" i="3"/>
  <c r="C1530" i="3"/>
  <c r="D1530" i="3"/>
  <c r="E1530" i="3"/>
  <c r="F1530" i="3"/>
  <c r="C1531" i="3"/>
  <c r="D1531" i="3"/>
  <c r="E1531" i="3"/>
  <c r="F1531" i="3"/>
  <c r="C1532" i="3"/>
  <c r="D1532" i="3"/>
  <c r="E1532" i="3"/>
  <c r="F1532" i="3"/>
  <c r="C1533" i="3"/>
  <c r="D1533" i="3"/>
  <c r="E1533" i="3"/>
  <c r="F1533" i="3"/>
  <c r="C1534" i="3"/>
  <c r="D1534" i="3"/>
  <c r="E1534" i="3"/>
  <c r="F1534" i="3"/>
  <c r="C1535" i="3"/>
  <c r="D1535" i="3"/>
  <c r="E1535" i="3"/>
  <c r="F1535" i="3"/>
  <c r="C1536" i="3"/>
  <c r="D1536" i="3"/>
  <c r="E1536" i="3"/>
  <c r="F1536" i="3"/>
  <c r="C1537" i="3"/>
  <c r="D1537" i="3"/>
  <c r="E1537" i="3"/>
  <c r="F1537" i="3"/>
  <c r="C1538" i="3"/>
  <c r="D1538" i="3"/>
  <c r="E1538" i="3"/>
  <c r="F1538" i="3"/>
  <c r="C1539" i="3"/>
  <c r="D1539" i="3"/>
  <c r="E1539" i="3"/>
  <c r="F1539" i="3"/>
  <c r="C1540" i="3"/>
  <c r="D1540" i="3"/>
  <c r="E1540" i="3"/>
  <c r="F1540" i="3"/>
  <c r="C1541" i="3"/>
  <c r="D1541" i="3"/>
  <c r="E1541" i="3"/>
  <c r="F1541" i="3"/>
  <c r="C1542" i="3"/>
  <c r="D1542" i="3"/>
  <c r="E1542" i="3"/>
  <c r="F1542" i="3"/>
  <c r="C1543" i="3"/>
  <c r="D1543" i="3"/>
  <c r="E1543" i="3"/>
  <c r="F1543" i="3"/>
  <c r="C1544" i="3"/>
  <c r="D1544" i="3"/>
  <c r="E1544" i="3"/>
  <c r="F1544" i="3"/>
  <c r="C1545" i="3"/>
  <c r="D1545" i="3"/>
  <c r="E1545" i="3"/>
  <c r="F1545" i="3"/>
  <c r="C1546" i="3"/>
  <c r="D1546" i="3"/>
  <c r="E1546" i="3"/>
  <c r="F1546" i="3"/>
  <c r="C1547" i="3"/>
  <c r="D1547" i="3"/>
  <c r="E1547" i="3"/>
  <c r="F1547" i="3"/>
  <c r="C1548" i="3"/>
  <c r="D1548" i="3"/>
  <c r="E1548" i="3"/>
  <c r="F1548" i="3"/>
  <c r="C1549" i="3"/>
  <c r="D1549" i="3"/>
  <c r="E1549" i="3"/>
  <c r="F1549" i="3"/>
  <c r="C1550" i="3"/>
  <c r="D1550" i="3"/>
  <c r="E1550" i="3"/>
  <c r="F1550" i="3"/>
  <c r="C1551" i="3"/>
  <c r="D1551" i="3"/>
  <c r="E1551" i="3"/>
  <c r="F1551" i="3"/>
  <c r="C1552" i="3"/>
  <c r="D1552" i="3"/>
  <c r="E1552" i="3"/>
  <c r="F1552" i="3"/>
  <c r="C1553" i="3"/>
  <c r="D1553" i="3"/>
  <c r="E1553" i="3"/>
  <c r="F1553" i="3"/>
  <c r="C1554" i="3"/>
  <c r="D1554" i="3"/>
  <c r="E1554" i="3"/>
  <c r="F1554" i="3"/>
  <c r="C1555" i="3"/>
  <c r="D1555" i="3"/>
  <c r="E1555" i="3"/>
  <c r="F1555" i="3"/>
  <c r="C1556" i="3"/>
  <c r="D1556" i="3"/>
  <c r="E1556" i="3"/>
  <c r="F1556" i="3"/>
  <c r="C1557" i="3"/>
  <c r="D1557" i="3"/>
  <c r="E1557" i="3"/>
  <c r="F1557" i="3"/>
  <c r="C1558" i="3"/>
  <c r="D1558" i="3"/>
  <c r="E1558" i="3"/>
  <c r="F1558" i="3"/>
  <c r="C1559" i="3"/>
  <c r="D1559" i="3"/>
  <c r="E1559" i="3"/>
  <c r="F1559" i="3"/>
  <c r="C1560" i="3"/>
  <c r="D1560" i="3"/>
  <c r="E1560" i="3"/>
  <c r="F1560" i="3"/>
  <c r="C1561" i="3"/>
  <c r="D1561" i="3"/>
  <c r="E1561" i="3"/>
  <c r="F1561" i="3"/>
  <c r="C1562" i="3"/>
  <c r="D1562" i="3"/>
  <c r="E1562" i="3"/>
  <c r="F1562" i="3"/>
  <c r="C1563" i="3"/>
  <c r="D1563" i="3"/>
  <c r="E1563" i="3"/>
  <c r="F1563" i="3"/>
  <c r="C1564" i="3"/>
  <c r="D1564" i="3"/>
  <c r="E1564" i="3"/>
  <c r="F1564" i="3"/>
  <c r="C1565" i="3"/>
  <c r="D1565" i="3"/>
  <c r="E1565" i="3"/>
  <c r="F1565" i="3"/>
  <c r="C1566" i="3"/>
  <c r="D1566" i="3"/>
  <c r="E1566" i="3"/>
  <c r="F1566" i="3"/>
  <c r="C1567" i="3"/>
  <c r="D1567" i="3"/>
  <c r="E1567" i="3"/>
  <c r="F1567" i="3"/>
  <c r="C1568" i="3"/>
  <c r="D1568" i="3"/>
  <c r="E1568" i="3"/>
  <c r="F1568" i="3"/>
  <c r="C1569" i="3"/>
  <c r="D1569" i="3"/>
  <c r="E1569" i="3"/>
  <c r="F1569" i="3"/>
  <c r="C1570" i="3"/>
  <c r="D1570" i="3"/>
  <c r="E1570" i="3"/>
  <c r="F1570" i="3"/>
  <c r="C1571" i="3"/>
  <c r="D1571" i="3"/>
  <c r="E1571" i="3"/>
  <c r="F1571" i="3"/>
  <c r="C1572" i="3"/>
  <c r="D1572" i="3"/>
  <c r="E1572" i="3"/>
  <c r="F1572" i="3"/>
  <c r="C1573" i="3"/>
  <c r="D1573" i="3"/>
  <c r="E1573" i="3"/>
  <c r="F1573" i="3"/>
  <c r="C1574" i="3"/>
  <c r="D1574" i="3"/>
  <c r="E1574" i="3"/>
  <c r="F1574" i="3"/>
  <c r="C1575" i="3"/>
  <c r="D1575" i="3"/>
  <c r="E1575" i="3"/>
  <c r="F1575" i="3"/>
  <c r="C1576" i="3"/>
  <c r="D1576" i="3"/>
  <c r="E1576" i="3"/>
  <c r="F1576" i="3"/>
  <c r="C1577" i="3"/>
  <c r="D1577" i="3"/>
  <c r="E1577" i="3"/>
  <c r="F1577" i="3"/>
  <c r="C1578" i="3"/>
  <c r="D1578" i="3"/>
  <c r="E1578" i="3"/>
  <c r="F1578" i="3"/>
  <c r="C1579" i="3"/>
  <c r="D1579" i="3"/>
  <c r="E1579" i="3"/>
  <c r="F1579" i="3"/>
  <c r="C1580" i="3"/>
  <c r="D1580" i="3"/>
  <c r="E1580" i="3"/>
  <c r="F1580" i="3"/>
  <c r="C1581" i="3"/>
  <c r="D1581" i="3"/>
  <c r="E1581" i="3"/>
  <c r="F1581" i="3"/>
  <c r="C1582" i="3"/>
  <c r="D1582" i="3"/>
  <c r="E1582" i="3"/>
  <c r="F1582" i="3"/>
  <c r="C1583" i="3"/>
  <c r="D1583" i="3"/>
  <c r="E1583" i="3"/>
  <c r="F1583" i="3"/>
  <c r="C1584" i="3"/>
  <c r="D1584" i="3"/>
  <c r="E1584" i="3"/>
  <c r="F1584" i="3"/>
  <c r="C1585" i="3"/>
  <c r="D1585" i="3"/>
  <c r="E1585" i="3"/>
  <c r="F1585" i="3"/>
  <c r="C1586" i="3"/>
  <c r="D1586" i="3"/>
  <c r="E1586" i="3"/>
  <c r="F1586" i="3"/>
  <c r="C1587" i="3"/>
  <c r="D1587" i="3"/>
  <c r="E1587" i="3"/>
  <c r="F1587" i="3"/>
  <c r="C1588" i="3"/>
  <c r="D1588" i="3"/>
  <c r="E1588" i="3"/>
  <c r="F1588" i="3"/>
  <c r="C1589" i="3"/>
  <c r="D1589" i="3"/>
  <c r="E1589" i="3"/>
  <c r="F1589" i="3"/>
  <c r="C1590" i="3"/>
  <c r="D1590" i="3"/>
  <c r="E1590" i="3"/>
  <c r="F1590" i="3"/>
  <c r="C1591" i="3"/>
  <c r="D1591" i="3"/>
  <c r="E1591" i="3"/>
  <c r="F1591" i="3"/>
  <c r="C1592" i="3"/>
  <c r="D1592" i="3"/>
  <c r="E1592" i="3"/>
  <c r="F1592" i="3"/>
  <c r="C1593" i="3"/>
  <c r="D1593" i="3"/>
  <c r="E1593" i="3"/>
  <c r="F1593" i="3"/>
  <c r="C1594" i="3"/>
  <c r="D1594" i="3"/>
  <c r="E1594" i="3"/>
  <c r="F1594" i="3"/>
  <c r="C1595" i="3"/>
  <c r="D1595" i="3"/>
  <c r="E1595" i="3"/>
  <c r="F1595" i="3"/>
  <c r="C1596" i="3"/>
  <c r="D1596" i="3"/>
  <c r="E1596" i="3"/>
  <c r="F1596" i="3"/>
  <c r="C1597" i="3"/>
  <c r="D1597" i="3"/>
  <c r="E1597" i="3"/>
  <c r="F1597" i="3"/>
  <c r="C1598" i="3"/>
  <c r="D1598" i="3"/>
  <c r="E1598" i="3"/>
  <c r="F1598" i="3"/>
  <c r="C1599" i="3"/>
  <c r="D1599" i="3"/>
  <c r="E1599" i="3"/>
  <c r="F1599" i="3"/>
  <c r="C1600" i="3"/>
  <c r="D1600" i="3"/>
  <c r="E1600" i="3"/>
  <c r="F1600" i="3"/>
  <c r="C1601" i="3"/>
  <c r="D1601" i="3"/>
  <c r="E1601" i="3"/>
  <c r="F1601" i="3"/>
  <c r="C1602" i="3"/>
  <c r="D1602" i="3"/>
  <c r="E1602" i="3"/>
  <c r="F1602" i="3"/>
  <c r="C1603" i="3"/>
  <c r="D1603" i="3"/>
  <c r="E1603" i="3"/>
  <c r="F1603" i="3"/>
  <c r="C1604" i="3"/>
  <c r="D1604" i="3"/>
  <c r="E1604" i="3"/>
  <c r="F1604" i="3"/>
  <c r="C1605" i="3"/>
  <c r="D1605" i="3"/>
  <c r="E1605" i="3"/>
  <c r="F1605" i="3"/>
  <c r="C1606" i="3"/>
  <c r="D1606" i="3"/>
  <c r="E1606" i="3"/>
  <c r="F1606" i="3"/>
  <c r="C1607" i="3"/>
  <c r="D1607" i="3"/>
  <c r="E1607" i="3"/>
  <c r="F1607" i="3"/>
  <c r="C1608" i="3"/>
  <c r="D1608" i="3"/>
  <c r="E1608" i="3"/>
  <c r="F1608" i="3"/>
  <c r="C1609" i="3"/>
  <c r="D1609" i="3"/>
  <c r="E1609" i="3"/>
  <c r="F1609" i="3"/>
  <c r="C1610" i="3"/>
  <c r="D1610" i="3"/>
  <c r="E1610" i="3"/>
  <c r="F1610" i="3"/>
  <c r="C1611" i="3"/>
  <c r="D1611" i="3"/>
  <c r="E1611" i="3"/>
  <c r="F1611" i="3"/>
  <c r="C1612" i="3"/>
  <c r="D1612" i="3"/>
  <c r="E1612" i="3"/>
  <c r="F1612" i="3"/>
  <c r="C1613" i="3"/>
  <c r="D1613" i="3"/>
  <c r="E1613" i="3"/>
  <c r="F1613" i="3"/>
  <c r="C1614" i="3"/>
  <c r="D1614" i="3"/>
  <c r="E1614" i="3"/>
  <c r="F1614" i="3"/>
  <c r="C1615" i="3"/>
  <c r="D1615" i="3"/>
  <c r="E1615" i="3"/>
  <c r="F1615" i="3"/>
  <c r="C1616" i="3"/>
  <c r="D1616" i="3"/>
  <c r="E1616" i="3"/>
  <c r="F1616" i="3"/>
  <c r="C1617" i="3"/>
  <c r="D1617" i="3"/>
  <c r="E1617" i="3"/>
  <c r="F1617" i="3"/>
  <c r="C1618" i="3"/>
  <c r="D1618" i="3"/>
  <c r="E1618" i="3"/>
  <c r="F1618" i="3"/>
  <c r="C1619" i="3"/>
  <c r="D1619" i="3"/>
  <c r="E1619" i="3"/>
  <c r="F1619" i="3"/>
  <c r="C1620" i="3"/>
  <c r="D1620" i="3"/>
  <c r="E1620" i="3"/>
  <c r="F1620" i="3"/>
  <c r="C1621" i="3"/>
  <c r="D1621" i="3"/>
  <c r="E1621" i="3"/>
  <c r="F1621" i="3"/>
  <c r="C1622" i="3"/>
  <c r="D1622" i="3"/>
  <c r="E1622" i="3"/>
  <c r="F1622" i="3"/>
  <c r="C1623" i="3"/>
  <c r="D1623" i="3"/>
  <c r="E1623" i="3"/>
  <c r="F1623" i="3"/>
  <c r="C1624" i="3"/>
  <c r="D1624" i="3"/>
  <c r="E1624" i="3"/>
  <c r="F1624" i="3"/>
  <c r="C1625" i="3"/>
  <c r="D1625" i="3"/>
  <c r="E1625" i="3"/>
  <c r="F1625" i="3"/>
  <c r="C1626" i="3"/>
  <c r="D1626" i="3"/>
  <c r="E1626" i="3"/>
  <c r="F1626" i="3"/>
  <c r="C1627" i="3"/>
  <c r="D1627" i="3"/>
  <c r="E1627" i="3"/>
  <c r="F1627" i="3"/>
  <c r="C1628" i="3"/>
  <c r="D1628" i="3"/>
  <c r="E1628" i="3"/>
  <c r="F1628" i="3"/>
  <c r="C1629" i="3"/>
  <c r="D1629" i="3"/>
  <c r="E1629" i="3"/>
  <c r="F1629" i="3"/>
  <c r="C1630" i="3"/>
  <c r="D1630" i="3"/>
  <c r="E1630" i="3"/>
  <c r="F1630" i="3"/>
  <c r="C1631" i="3"/>
  <c r="D1631" i="3"/>
  <c r="E1631" i="3"/>
  <c r="F1631" i="3"/>
  <c r="C1632" i="3"/>
  <c r="D1632" i="3"/>
  <c r="E1632" i="3"/>
  <c r="F1632" i="3"/>
  <c r="C1633" i="3"/>
  <c r="D1633" i="3"/>
  <c r="E1633" i="3"/>
  <c r="F1633" i="3"/>
  <c r="C1634" i="3"/>
  <c r="D1634" i="3"/>
  <c r="E1634" i="3"/>
  <c r="F1634" i="3"/>
  <c r="C1635" i="3"/>
  <c r="D1635" i="3"/>
  <c r="E1635" i="3"/>
  <c r="F1635" i="3"/>
  <c r="C1636" i="3"/>
  <c r="D1636" i="3"/>
  <c r="E1636" i="3"/>
  <c r="F1636" i="3"/>
  <c r="C1637" i="3"/>
  <c r="D1637" i="3"/>
  <c r="E1637" i="3"/>
  <c r="F1637" i="3"/>
  <c r="C1638" i="3"/>
  <c r="D1638" i="3"/>
  <c r="E1638" i="3"/>
  <c r="F1638" i="3"/>
  <c r="C1639" i="3"/>
  <c r="D1639" i="3"/>
  <c r="E1639" i="3"/>
  <c r="F1639" i="3"/>
  <c r="C1640" i="3"/>
  <c r="D1640" i="3"/>
  <c r="E1640" i="3"/>
  <c r="F1640" i="3"/>
  <c r="C1641" i="3"/>
  <c r="D1641" i="3"/>
  <c r="E1641" i="3"/>
  <c r="F1641" i="3"/>
  <c r="C1642" i="3"/>
  <c r="D1642" i="3"/>
  <c r="E1642" i="3"/>
  <c r="F1642" i="3"/>
  <c r="C1643" i="3"/>
  <c r="D1643" i="3"/>
  <c r="E1643" i="3"/>
  <c r="F1643" i="3"/>
  <c r="C1644" i="3"/>
  <c r="D1644" i="3"/>
  <c r="E1644" i="3"/>
  <c r="F1644" i="3"/>
  <c r="C1645" i="3"/>
  <c r="D1645" i="3"/>
  <c r="E1645" i="3"/>
  <c r="F1645" i="3"/>
  <c r="C1646" i="3"/>
  <c r="D1646" i="3"/>
  <c r="E1646" i="3"/>
  <c r="F1646" i="3"/>
  <c r="C1647" i="3"/>
  <c r="D1647" i="3"/>
  <c r="E1647" i="3"/>
  <c r="F1647" i="3"/>
  <c r="C1648" i="3"/>
  <c r="D1648" i="3"/>
  <c r="E1648" i="3"/>
  <c r="F1648" i="3"/>
  <c r="C1649" i="3"/>
  <c r="D1649" i="3"/>
  <c r="E1649" i="3"/>
  <c r="F1649" i="3"/>
  <c r="C1650" i="3"/>
  <c r="D1650" i="3"/>
  <c r="E1650" i="3"/>
  <c r="F1650" i="3"/>
  <c r="C1651" i="3"/>
  <c r="D1651" i="3"/>
  <c r="E1651" i="3"/>
  <c r="F1651" i="3"/>
  <c r="C1652" i="3"/>
  <c r="D1652" i="3"/>
  <c r="E1652" i="3"/>
  <c r="F1652" i="3"/>
  <c r="C1653" i="3"/>
  <c r="D1653" i="3"/>
  <c r="E1653" i="3"/>
  <c r="F1653" i="3"/>
  <c r="C1654" i="3"/>
  <c r="D1654" i="3"/>
  <c r="E1654" i="3"/>
  <c r="F1654" i="3"/>
  <c r="C1655" i="3"/>
  <c r="D1655" i="3"/>
  <c r="E1655" i="3"/>
  <c r="F1655" i="3"/>
  <c r="C1656" i="3"/>
  <c r="D1656" i="3"/>
  <c r="E1656" i="3"/>
  <c r="F1656" i="3"/>
  <c r="C1657" i="3"/>
  <c r="D1657" i="3"/>
  <c r="E1657" i="3"/>
  <c r="F1657" i="3"/>
  <c r="C1658" i="3"/>
  <c r="D1658" i="3"/>
  <c r="E1658" i="3"/>
  <c r="F1658" i="3"/>
  <c r="C1659" i="3"/>
  <c r="D1659" i="3"/>
  <c r="E1659" i="3"/>
  <c r="F1659" i="3"/>
  <c r="C1660" i="3"/>
  <c r="D1660" i="3"/>
  <c r="E1660" i="3"/>
  <c r="F1660" i="3"/>
  <c r="C1661" i="3"/>
  <c r="D1661" i="3"/>
  <c r="E1661" i="3"/>
  <c r="F1661" i="3"/>
  <c r="C1662" i="3"/>
  <c r="D1662" i="3"/>
  <c r="E1662" i="3"/>
  <c r="F1662" i="3"/>
  <c r="C1663" i="3"/>
  <c r="D1663" i="3"/>
  <c r="E1663" i="3"/>
  <c r="F1663" i="3"/>
  <c r="C1664" i="3"/>
  <c r="D1664" i="3"/>
  <c r="E1664" i="3"/>
  <c r="F1664" i="3"/>
  <c r="C1665" i="3"/>
  <c r="D1665" i="3"/>
  <c r="E1665" i="3"/>
  <c r="F1665" i="3"/>
  <c r="C1666" i="3"/>
  <c r="D1666" i="3"/>
  <c r="E1666" i="3"/>
  <c r="F1666" i="3"/>
  <c r="C1667" i="3"/>
  <c r="D1667" i="3"/>
  <c r="E1667" i="3"/>
  <c r="F1667" i="3"/>
  <c r="C1668" i="3"/>
  <c r="D1668" i="3"/>
  <c r="E1668" i="3"/>
  <c r="F1668" i="3"/>
  <c r="C1669" i="3"/>
  <c r="D1669" i="3"/>
  <c r="E1669" i="3"/>
  <c r="F1669" i="3"/>
  <c r="C1670" i="3"/>
  <c r="D1670" i="3"/>
  <c r="E1670" i="3"/>
  <c r="F1670" i="3"/>
  <c r="C1671" i="3"/>
  <c r="D1671" i="3"/>
  <c r="E1671" i="3"/>
  <c r="F1671" i="3"/>
  <c r="C1672" i="3"/>
  <c r="D1672" i="3"/>
  <c r="E1672" i="3"/>
  <c r="F1672" i="3"/>
  <c r="C1673" i="3"/>
  <c r="D1673" i="3"/>
  <c r="E1673" i="3"/>
  <c r="F1673" i="3"/>
  <c r="C1674" i="3"/>
  <c r="D1674" i="3"/>
  <c r="E1674" i="3"/>
  <c r="F1674" i="3"/>
  <c r="C1675" i="3"/>
  <c r="D1675" i="3"/>
  <c r="E1675" i="3"/>
  <c r="F1675" i="3"/>
  <c r="C1676" i="3"/>
  <c r="D1676" i="3"/>
  <c r="E1676" i="3"/>
  <c r="F1676" i="3"/>
  <c r="C1677" i="3"/>
  <c r="D1677" i="3"/>
  <c r="E1677" i="3"/>
  <c r="F1677" i="3"/>
  <c r="C1678" i="3"/>
  <c r="D1678" i="3"/>
  <c r="E1678" i="3"/>
  <c r="F1678" i="3"/>
  <c r="C1679" i="3"/>
  <c r="D1679" i="3"/>
  <c r="E1679" i="3"/>
  <c r="F1679" i="3"/>
  <c r="C1680" i="3"/>
  <c r="D1680" i="3"/>
  <c r="E1680" i="3"/>
  <c r="F1680" i="3"/>
  <c r="C1681" i="3"/>
  <c r="D1681" i="3"/>
  <c r="E1681" i="3"/>
  <c r="F1681" i="3"/>
  <c r="C1682" i="3"/>
  <c r="D1682" i="3"/>
  <c r="E1682" i="3"/>
  <c r="F1682" i="3"/>
  <c r="C1683" i="3"/>
  <c r="D1683" i="3"/>
  <c r="E1683" i="3"/>
  <c r="F1683" i="3"/>
  <c r="C1684" i="3"/>
  <c r="D1684" i="3"/>
  <c r="E1684" i="3"/>
  <c r="F1684" i="3"/>
  <c r="C1685" i="3"/>
  <c r="D1685" i="3"/>
  <c r="E1685" i="3"/>
  <c r="F1685" i="3"/>
  <c r="C1686" i="3"/>
  <c r="D1686" i="3"/>
  <c r="E1686" i="3"/>
  <c r="F1686" i="3"/>
  <c r="C1687" i="3"/>
  <c r="D1687" i="3"/>
  <c r="E1687" i="3"/>
  <c r="F1687" i="3"/>
  <c r="C1688" i="3"/>
  <c r="D1688" i="3"/>
  <c r="E1688" i="3"/>
  <c r="F1688" i="3"/>
  <c r="C1689" i="3"/>
  <c r="D1689" i="3"/>
  <c r="E1689" i="3"/>
  <c r="F1689" i="3"/>
  <c r="C1690" i="3"/>
  <c r="D1690" i="3"/>
  <c r="E1690" i="3"/>
  <c r="F1690" i="3"/>
  <c r="C1691" i="3"/>
  <c r="D1691" i="3"/>
  <c r="E1691" i="3"/>
  <c r="F1691" i="3"/>
  <c r="C1692" i="3"/>
  <c r="D1692" i="3"/>
  <c r="E1692" i="3"/>
  <c r="F1692" i="3"/>
  <c r="C1693" i="3"/>
  <c r="D1693" i="3"/>
  <c r="E1693" i="3"/>
  <c r="F1693" i="3"/>
  <c r="C1694" i="3"/>
  <c r="D1694" i="3"/>
  <c r="E1694" i="3"/>
  <c r="F1694" i="3"/>
  <c r="C1695" i="3"/>
  <c r="D1695" i="3"/>
  <c r="E1695" i="3"/>
  <c r="F1695" i="3"/>
  <c r="C1696" i="3"/>
  <c r="D1696" i="3"/>
  <c r="E1696" i="3"/>
  <c r="F1696" i="3"/>
  <c r="C1697" i="3"/>
  <c r="D1697" i="3"/>
  <c r="E1697" i="3"/>
  <c r="F1697" i="3"/>
  <c r="C1698" i="3"/>
  <c r="D1698" i="3"/>
  <c r="E1698" i="3"/>
  <c r="F1698" i="3"/>
  <c r="C1699" i="3"/>
  <c r="D1699" i="3"/>
  <c r="E1699" i="3"/>
  <c r="F1699" i="3"/>
  <c r="C1700" i="3"/>
  <c r="D1700" i="3"/>
  <c r="E1700" i="3"/>
  <c r="F1700" i="3"/>
  <c r="C1701" i="3"/>
  <c r="D1701" i="3"/>
  <c r="E1701" i="3"/>
  <c r="F1701" i="3"/>
  <c r="C1702" i="3"/>
  <c r="D1702" i="3"/>
  <c r="E1702" i="3"/>
  <c r="F1702" i="3"/>
  <c r="C1703" i="3"/>
  <c r="D1703" i="3"/>
  <c r="E1703" i="3"/>
  <c r="F1703" i="3"/>
  <c r="C1704" i="3"/>
  <c r="D1704" i="3"/>
  <c r="E1704" i="3"/>
  <c r="F1704" i="3"/>
  <c r="C1705" i="3"/>
  <c r="D1705" i="3"/>
  <c r="E1705" i="3"/>
  <c r="F1705" i="3"/>
  <c r="C1706" i="3"/>
  <c r="D1706" i="3"/>
  <c r="E1706" i="3"/>
  <c r="F1706" i="3"/>
  <c r="C1707" i="3"/>
  <c r="D1707" i="3"/>
  <c r="E1707" i="3"/>
  <c r="F1707" i="3"/>
  <c r="C1708" i="3"/>
  <c r="D1708" i="3"/>
  <c r="E1708" i="3"/>
  <c r="F1708" i="3"/>
  <c r="C1709" i="3"/>
  <c r="D1709" i="3"/>
  <c r="E1709" i="3"/>
  <c r="F1709" i="3"/>
  <c r="C1710" i="3"/>
  <c r="D1710" i="3"/>
  <c r="E1710" i="3"/>
  <c r="F1710" i="3"/>
  <c r="C1711" i="3"/>
  <c r="D1711" i="3"/>
  <c r="E1711" i="3"/>
  <c r="F1711" i="3"/>
  <c r="C1712" i="3"/>
  <c r="D1712" i="3"/>
  <c r="E1712" i="3"/>
  <c r="F1712" i="3"/>
  <c r="C1713" i="3"/>
  <c r="D1713" i="3"/>
  <c r="E1713" i="3"/>
  <c r="F1713" i="3"/>
  <c r="C1714" i="3"/>
  <c r="D1714" i="3"/>
  <c r="E1714" i="3"/>
  <c r="F1714" i="3"/>
  <c r="C1715" i="3"/>
  <c r="D1715" i="3"/>
  <c r="E1715" i="3"/>
  <c r="F1715" i="3"/>
  <c r="C1716" i="3"/>
  <c r="D1716" i="3"/>
  <c r="E1716" i="3"/>
  <c r="F1716" i="3"/>
  <c r="C1717" i="3"/>
  <c r="D1717" i="3"/>
  <c r="E1717" i="3"/>
  <c r="F1717" i="3"/>
  <c r="C1718" i="3"/>
  <c r="D1718" i="3"/>
  <c r="E1718" i="3"/>
  <c r="F1718" i="3"/>
  <c r="C1719" i="3"/>
  <c r="D1719" i="3"/>
  <c r="E1719" i="3"/>
  <c r="F1719" i="3"/>
  <c r="C1720" i="3"/>
  <c r="D1720" i="3"/>
  <c r="E1720" i="3"/>
  <c r="F1720" i="3"/>
  <c r="C1721" i="3"/>
  <c r="D1721" i="3"/>
  <c r="E1721" i="3"/>
  <c r="F1721" i="3"/>
  <c r="C1722" i="3"/>
  <c r="D1722" i="3"/>
  <c r="E1722" i="3"/>
  <c r="F1722" i="3"/>
  <c r="C1723" i="3"/>
  <c r="D1723" i="3"/>
  <c r="E1723" i="3"/>
  <c r="F1723" i="3"/>
  <c r="C1724" i="3"/>
  <c r="D1724" i="3"/>
  <c r="E1724" i="3"/>
  <c r="F1724" i="3"/>
  <c r="C1725" i="3"/>
  <c r="D1725" i="3"/>
  <c r="E1725" i="3"/>
  <c r="F1725" i="3"/>
  <c r="C1726" i="3"/>
  <c r="D1726" i="3"/>
  <c r="E1726" i="3"/>
  <c r="F1726" i="3"/>
  <c r="C1727" i="3"/>
  <c r="D1727" i="3"/>
  <c r="E1727" i="3"/>
  <c r="F1727" i="3"/>
  <c r="C1728" i="3"/>
  <c r="D1728" i="3"/>
  <c r="E1728" i="3"/>
  <c r="F1728" i="3"/>
  <c r="C1729" i="3"/>
  <c r="D1729" i="3"/>
  <c r="E1729" i="3"/>
  <c r="F1729" i="3"/>
  <c r="C1730" i="3"/>
  <c r="D1730" i="3"/>
  <c r="E1730" i="3"/>
  <c r="F1730" i="3"/>
  <c r="C1731" i="3"/>
  <c r="D1731" i="3"/>
  <c r="E1731" i="3"/>
  <c r="F1731" i="3"/>
  <c r="C1732" i="3"/>
  <c r="D1732" i="3"/>
  <c r="E1732" i="3"/>
  <c r="F1732" i="3"/>
  <c r="C1733" i="3"/>
  <c r="D1733" i="3"/>
  <c r="E1733" i="3"/>
  <c r="F1733" i="3"/>
  <c r="C1734" i="3"/>
  <c r="D1734" i="3"/>
  <c r="E1734" i="3"/>
  <c r="F1734" i="3"/>
  <c r="C1735" i="3"/>
  <c r="D1735" i="3"/>
  <c r="E1735" i="3"/>
  <c r="F1735" i="3"/>
  <c r="C1736" i="3"/>
  <c r="D1736" i="3"/>
  <c r="E1736" i="3"/>
  <c r="F1736" i="3"/>
  <c r="C1737" i="3"/>
  <c r="D1737" i="3"/>
  <c r="E1737" i="3"/>
  <c r="F1737" i="3"/>
  <c r="C1738" i="3"/>
  <c r="D1738" i="3"/>
  <c r="E1738" i="3"/>
  <c r="F1738" i="3"/>
  <c r="C1739" i="3"/>
  <c r="D1739" i="3"/>
  <c r="E1739" i="3"/>
  <c r="F1739" i="3"/>
  <c r="C1740" i="3"/>
  <c r="D1740" i="3"/>
  <c r="E1740" i="3"/>
  <c r="F1740" i="3"/>
  <c r="C1741" i="3"/>
  <c r="D1741" i="3"/>
  <c r="E1741" i="3"/>
  <c r="F1741" i="3"/>
  <c r="C1742" i="3"/>
  <c r="D1742" i="3"/>
  <c r="E1742" i="3"/>
  <c r="F1742" i="3"/>
  <c r="C1743" i="3"/>
  <c r="D1743" i="3"/>
  <c r="E1743" i="3"/>
  <c r="F1743" i="3"/>
  <c r="C1744" i="3"/>
  <c r="D1744" i="3"/>
  <c r="E1744" i="3"/>
  <c r="F1744" i="3"/>
  <c r="C1745" i="3"/>
  <c r="D1745" i="3"/>
  <c r="E1745" i="3"/>
  <c r="F1745" i="3"/>
  <c r="C1746" i="3"/>
  <c r="D1746" i="3"/>
  <c r="E1746" i="3"/>
  <c r="F1746" i="3"/>
  <c r="C1747" i="3"/>
  <c r="D1747" i="3"/>
  <c r="E1747" i="3"/>
  <c r="F1747" i="3"/>
  <c r="C1748" i="3"/>
  <c r="D1748" i="3"/>
  <c r="E1748" i="3"/>
  <c r="F1748" i="3"/>
  <c r="C1749" i="3"/>
  <c r="D1749" i="3"/>
  <c r="E1749" i="3"/>
  <c r="F1749" i="3"/>
  <c r="C1750" i="3"/>
  <c r="D1750" i="3"/>
  <c r="E1750" i="3"/>
  <c r="F1750" i="3"/>
  <c r="C1751" i="3"/>
  <c r="D1751" i="3"/>
  <c r="E1751" i="3"/>
  <c r="F1751" i="3"/>
  <c r="C1752" i="3"/>
  <c r="D1752" i="3"/>
  <c r="E1752" i="3"/>
  <c r="F1752" i="3"/>
  <c r="C1753" i="3"/>
  <c r="D1753" i="3"/>
  <c r="E1753" i="3"/>
  <c r="F1753" i="3"/>
  <c r="C1754" i="3"/>
  <c r="D1754" i="3"/>
  <c r="E1754" i="3"/>
  <c r="F1754" i="3"/>
  <c r="C1755" i="3"/>
  <c r="D1755" i="3"/>
  <c r="E1755" i="3"/>
  <c r="F1755" i="3"/>
  <c r="C1756" i="3"/>
  <c r="D1756" i="3"/>
  <c r="E1756" i="3"/>
  <c r="F1756" i="3"/>
  <c r="C1757" i="3"/>
  <c r="D1757" i="3"/>
  <c r="E1757" i="3"/>
  <c r="F1757" i="3"/>
  <c r="C1758" i="3"/>
  <c r="D1758" i="3"/>
  <c r="E1758" i="3"/>
  <c r="F1758" i="3"/>
  <c r="C1759" i="3"/>
  <c r="D1759" i="3"/>
  <c r="E1759" i="3"/>
  <c r="F1759" i="3"/>
  <c r="C1760" i="3"/>
  <c r="D1760" i="3"/>
  <c r="E1760" i="3"/>
  <c r="F1760" i="3"/>
  <c r="C1761" i="3"/>
  <c r="D1761" i="3"/>
  <c r="E1761" i="3"/>
  <c r="F1761" i="3"/>
  <c r="C1762" i="3"/>
  <c r="D1762" i="3"/>
  <c r="E1762" i="3"/>
  <c r="F1762" i="3"/>
  <c r="C1763" i="3"/>
  <c r="D1763" i="3"/>
  <c r="E1763" i="3"/>
  <c r="F1763" i="3"/>
  <c r="C1764" i="3"/>
  <c r="D1764" i="3"/>
  <c r="E1764" i="3"/>
  <c r="F1764" i="3"/>
  <c r="C1765" i="3"/>
  <c r="D1765" i="3"/>
  <c r="E1765" i="3"/>
  <c r="F1765" i="3"/>
  <c r="C1766" i="3"/>
  <c r="D1766" i="3"/>
  <c r="E1766" i="3"/>
  <c r="F1766" i="3"/>
  <c r="C1767" i="3"/>
  <c r="D1767" i="3"/>
  <c r="E1767" i="3"/>
  <c r="F1767" i="3"/>
  <c r="C1768" i="3"/>
  <c r="D1768" i="3"/>
  <c r="E1768" i="3"/>
  <c r="F1768" i="3"/>
  <c r="C1769" i="3"/>
  <c r="D1769" i="3"/>
  <c r="E1769" i="3"/>
  <c r="F1769" i="3"/>
  <c r="C1770" i="3"/>
  <c r="D1770" i="3"/>
  <c r="E1770" i="3"/>
  <c r="F1770" i="3"/>
  <c r="C1771" i="3"/>
  <c r="D1771" i="3"/>
  <c r="E1771" i="3"/>
  <c r="F1771" i="3"/>
  <c r="C1772" i="3"/>
  <c r="D1772" i="3"/>
  <c r="E1772" i="3"/>
  <c r="F1772" i="3"/>
  <c r="C1773" i="3"/>
  <c r="D1773" i="3"/>
  <c r="E1773" i="3"/>
  <c r="F1773" i="3"/>
  <c r="C1774" i="3"/>
  <c r="D1774" i="3"/>
  <c r="E1774" i="3"/>
  <c r="F1774" i="3"/>
  <c r="C1775" i="3"/>
  <c r="D1775" i="3"/>
  <c r="E1775" i="3"/>
  <c r="F1775" i="3"/>
  <c r="C1776" i="3"/>
  <c r="D1776" i="3"/>
  <c r="E1776" i="3"/>
  <c r="F1776" i="3"/>
  <c r="C1777" i="3"/>
  <c r="D1777" i="3"/>
  <c r="E1777" i="3"/>
  <c r="F1777" i="3"/>
  <c r="C1778" i="3"/>
  <c r="D1778" i="3"/>
  <c r="E1778" i="3"/>
  <c r="F1778" i="3"/>
  <c r="C1779" i="3"/>
  <c r="D1779" i="3"/>
  <c r="E1779" i="3"/>
  <c r="F1779" i="3"/>
  <c r="C1780" i="3"/>
  <c r="D1780" i="3"/>
  <c r="E1780" i="3"/>
  <c r="F1780" i="3"/>
  <c r="C1781" i="3"/>
  <c r="D1781" i="3"/>
  <c r="E1781" i="3"/>
  <c r="F1781" i="3"/>
  <c r="C1782" i="3"/>
  <c r="D1782" i="3"/>
  <c r="E1782" i="3"/>
  <c r="F1782" i="3"/>
  <c r="C1783" i="3"/>
  <c r="D1783" i="3"/>
  <c r="E1783" i="3"/>
  <c r="F1783" i="3"/>
  <c r="C1784" i="3"/>
  <c r="D1784" i="3"/>
  <c r="E1784" i="3"/>
  <c r="F1784" i="3"/>
  <c r="C1785" i="3"/>
  <c r="D1785" i="3"/>
  <c r="E1785" i="3"/>
  <c r="F1785" i="3"/>
  <c r="C1786" i="3"/>
  <c r="D1786" i="3"/>
  <c r="E1786" i="3"/>
  <c r="F1786" i="3"/>
  <c r="C1787" i="3"/>
  <c r="D1787" i="3"/>
  <c r="E1787" i="3"/>
  <c r="F1787" i="3"/>
  <c r="C1788" i="3"/>
  <c r="D1788" i="3"/>
  <c r="E1788" i="3"/>
  <c r="F1788" i="3"/>
  <c r="C1789" i="3"/>
  <c r="D1789" i="3"/>
  <c r="E1789" i="3"/>
  <c r="F1789" i="3"/>
  <c r="C1790" i="3"/>
  <c r="D1790" i="3"/>
  <c r="E1790" i="3"/>
  <c r="F1790" i="3"/>
  <c r="C1791" i="3"/>
  <c r="D1791" i="3"/>
  <c r="E1791" i="3"/>
  <c r="F1791" i="3"/>
  <c r="C1792" i="3"/>
  <c r="D1792" i="3"/>
  <c r="E1792" i="3"/>
  <c r="F1792" i="3"/>
  <c r="C1793" i="3"/>
  <c r="D1793" i="3"/>
  <c r="E1793" i="3"/>
  <c r="F1793" i="3"/>
  <c r="C1794" i="3"/>
  <c r="D1794" i="3"/>
  <c r="E1794" i="3"/>
  <c r="F1794" i="3"/>
  <c r="C1795" i="3"/>
  <c r="D1795" i="3"/>
  <c r="E1795" i="3"/>
  <c r="F1795" i="3"/>
  <c r="C1796" i="3"/>
  <c r="D1796" i="3"/>
  <c r="E1796" i="3"/>
  <c r="F1796" i="3"/>
  <c r="C1797" i="3"/>
  <c r="D1797" i="3"/>
  <c r="E1797" i="3"/>
  <c r="F1797" i="3"/>
  <c r="C1798" i="3"/>
  <c r="D1798" i="3"/>
  <c r="E1798" i="3"/>
  <c r="F1798" i="3"/>
  <c r="C1799" i="3"/>
  <c r="D1799" i="3"/>
  <c r="E1799" i="3"/>
  <c r="F1799" i="3"/>
  <c r="C1800" i="3"/>
  <c r="D1800" i="3"/>
  <c r="E1800" i="3"/>
  <c r="F1800" i="3"/>
  <c r="C1801" i="3"/>
  <c r="D1801" i="3"/>
  <c r="E1801" i="3"/>
  <c r="F1801" i="3"/>
  <c r="C1802" i="3"/>
  <c r="D1802" i="3"/>
  <c r="E1802" i="3"/>
  <c r="F1802" i="3"/>
  <c r="C1803" i="3"/>
  <c r="D1803" i="3"/>
  <c r="E1803" i="3"/>
  <c r="F1803" i="3"/>
  <c r="C1804" i="3"/>
  <c r="D1804" i="3"/>
  <c r="E1804" i="3"/>
  <c r="F1804" i="3"/>
  <c r="C1805" i="3"/>
  <c r="D1805" i="3"/>
  <c r="E1805" i="3"/>
  <c r="F1805" i="3"/>
  <c r="C1806" i="3"/>
  <c r="D1806" i="3"/>
  <c r="E1806" i="3"/>
  <c r="F1806" i="3"/>
  <c r="C1807" i="3"/>
  <c r="D1807" i="3"/>
  <c r="E1807" i="3"/>
  <c r="F1807" i="3"/>
  <c r="C1808" i="3"/>
  <c r="D1808" i="3"/>
  <c r="E1808" i="3"/>
  <c r="F1808" i="3"/>
  <c r="C1809" i="3"/>
  <c r="D1809" i="3"/>
  <c r="E1809" i="3"/>
  <c r="F1809" i="3"/>
  <c r="C1810" i="3"/>
  <c r="D1810" i="3"/>
  <c r="E1810" i="3"/>
  <c r="F1810" i="3"/>
  <c r="C1811" i="3"/>
  <c r="D1811" i="3"/>
  <c r="E1811" i="3"/>
  <c r="F1811" i="3"/>
  <c r="C1812" i="3"/>
  <c r="D1812" i="3"/>
  <c r="E1812" i="3"/>
  <c r="F1812" i="3"/>
  <c r="C1813" i="3"/>
  <c r="D1813" i="3"/>
  <c r="E1813" i="3"/>
  <c r="F1813" i="3"/>
  <c r="C1814" i="3"/>
  <c r="D1814" i="3"/>
  <c r="E1814" i="3"/>
  <c r="F1814" i="3"/>
  <c r="C1815" i="3"/>
  <c r="D1815" i="3"/>
  <c r="E1815" i="3"/>
  <c r="F1815" i="3"/>
  <c r="C1816" i="3"/>
  <c r="D1816" i="3"/>
  <c r="E1816" i="3"/>
  <c r="F1816" i="3"/>
  <c r="C1817" i="3"/>
  <c r="D1817" i="3"/>
  <c r="E1817" i="3"/>
  <c r="F1817" i="3"/>
  <c r="C1818" i="3"/>
  <c r="D1818" i="3"/>
  <c r="E1818" i="3"/>
  <c r="F1818" i="3"/>
  <c r="C1819" i="3"/>
  <c r="D1819" i="3"/>
  <c r="E1819" i="3"/>
  <c r="F1819" i="3"/>
  <c r="C1820" i="3"/>
  <c r="D1820" i="3"/>
  <c r="E1820" i="3"/>
  <c r="F1820" i="3"/>
  <c r="C1821" i="3"/>
  <c r="D1821" i="3"/>
  <c r="E1821" i="3"/>
  <c r="F1821" i="3"/>
  <c r="C1822" i="3"/>
  <c r="D1822" i="3"/>
  <c r="E1822" i="3"/>
  <c r="F1822" i="3"/>
  <c r="C1823" i="3"/>
  <c r="D1823" i="3"/>
  <c r="E1823" i="3"/>
  <c r="F1823" i="3"/>
  <c r="C1824" i="3"/>
  <c r="D1824" i="3"/>
  <c r="E1824" i="3"/>
  <c r="F1824" i="3"/>
  <c r="C1825" i="3"/>
  <c r="D1825" i="3"/>
  <c r="E1825" i="3"/>
  <c r="F1825" i="3"/>
  <c r="C1826" i="3"/>
  <c r="D1826" i="3"/>
  <c r="E1826" i="3"/>
  <c r="F1826" i="3"/>
  <c r="C1827" i="3"/>
  <c r="D1827" i="3"/>
  <c r="E1827" i="3"/>
  <c r="F1827" i="3"/>
  <c r="C1828" i="3"/>
  <c r="D1828" i="3"/>
  <c r="E1828" i="3"/>
  <c r="F1828" i="3"/>
  <c r="C1829" i="3"/>
  <c r="D1829" i="3"/>
  <c r="E1829" i="3"/>
  <c r="F1829" i="3"/>
  <c r="C1830" i="3"/>
  <c r="D1830" i="3"/>
  <c r="E1830" i="3"/>
  <c r="F1830" i="3"/>
  <c r="C1831" i="3"/>
  <c r="D1831" i="3"/>
  <c r="E1831" i="3"/>
  <c r="F1831" i="3"/>
  <c r="C1832" i="3"/>
  <c r="D1832" i="3"/>
  <c r="E1832" i="3"/>
  <c r="F1832" i="3"/>
  <c r="C1833" i="3"/>
  <c r="D1833" i="3"/>
  <c r="E1833" i="3"/>
  <c r="F1833" i="3"/>
  <c r="C1834" i="3"/>
  <c r="D1834" i="3"/>
  <c r="E1834" i="3"/>
  <c r="F1834" i="3"/>
  <c r="C1835" i="3"/>
  <c r="D1835" i="3"/>
  <c r="E1835" i="3"/>
  <c r="F1835" i="3"/>
  <c r="C1836" i="3"/>
  <c r="D1836" i="3"/>
  <c r="E1836" i="3"/>
  <c r="F1836" i="3"/>
  <c r="C1837" i="3"/>
  <c r="D1837" i="3"/>
  <c r="E1837" i="3"/>
  <c r="F1837" i="3"/>
  <c r="C1838" i="3"/>
  <c r="D1838" i="3"/>
  <c r="E1838" i="3"/>
  <c r="F1838" i="3"/>
  <c r="C1839" i="3"/>
  <c r="D1839" i="3"/>
  <c r="E1839" i="3"/>
  <c r="F1839" i="3"/>
  <c r="C1840" i="3"/>
  <c r="D1840" i="3"/>
  <c r="E1840" i="3"/>
  <c r="F1840" i="3"/>
  <c r="C1841" i="3"/>
  <c r="D1841" i="3"/>
  <c r="E1841" i="3"/>
  <c r="F1841" i="3"/>
  <c r="C1842" i="3"/>
  <c r="D1842" i="3"/>
  <c r="E1842" i="3"/>
  <c r="F1842" i="3"/>
  <c r="C1843" i="3"/>
  <c r="D1843" i="3"/>
  <c r="E1843" i="3"/>
  <c r="F1843" i="3"/>
  <c r="C1844" i="3"/>
  <c r="D1844" i="3"/>
  <c r="E1844" i="3"/>
  <c r="F1844" i="3"/>
  <c r="C1845" i="3"/>
  <c r="D1845" i="3"/>
  <c r="E1845" i="3"/>
  <c r="F1845" i="3"/>
  <c r="C1846" i="3"/>
  <c r="D1846" i="3"/>
  <c r="E1846" i="3"/>
  <c r="F1846" i="3"/>
  <c r="C1847" i="3"/>
  <c r="D1847" i="3"/>
  <c r="E1847" i="3"/>
  <c r="F1847" i="3"/>
  <c r="C1848" i="3"/>
  <c r="D1848" i="3"/>
  <c r="E1848" i="3"/>
  <c r="F1848" i="3"/>
  <c r="C1849" i="3"/>
  <c r="D1849" i="3"/>
  <c r="E1849" i="3"/>
  <c r="F1849" i="3"/>
  <c r="C1850" i="3"/>
  <c r="D1850" i="3"/>
  <c r="E1850" i="3"/>
  <c r="F1850" i="3"/>
  <c r="C1851" i="3"/>
  <c r="D1851" i="3"/>
  <c r="E1851" i="3"/>
  <c r="F1851" i="3"/>
  <c r="C1852" i="3"/>
  <c r="D1852" i="3"/>
  <c r="E1852" i="3"/>
  <c r="F1852" i="3"/>
  <c r="C1853" i="3"/>
  <c r="D1853" i="3"/>
  <c r="E1853" i="3"/>
  <c r="F1853" i="3"/>
  <c r="C1854" i="3"/>
  <c r="D1854" i="3"/>
  <c r="E1854" i="3"/>
  <c r="F1854" i="3"/>
  <c r="C1855" i="3"/>
  <c r="D1855" i="3"/>
  <c r="E1855" i="3"/>
  <c r="F1855" i="3"/>
  <c r="C1856" i="3"/>
  <c r="D1856" i="3"/>
  <c r="E1856" i="3"/>
  <c r="F1856" i="3"/>
  <c r="C1857" i="3"/>
  <c r="D1857" i="3"/>
  <c r="E1857" i="3"/>
  <c r="F1857" i="3"/>
  <c r="C1858" i="3"/>
  <c r="D1858" i="3"/>
  <c r="E1858" i="3"/>
  <c r="F1858" i="3"/>
  <c r="C1859" i="3"/>
  <c r="D1859" i="3"/>
  <c r="E1859" i="3"/>
  <c r="F1859" i="3"/>
  <c r="C1860" i="3"/>
  <c r="D1860" i="3"/>
  <c r="E1860" i="3"/>
  <c r="F1860" i="3"/>
  <c r="C1861" i="3"/>
  <c r="D1861" i="3"/>
  <c r="E1861" i="3"/>
  <c r="F1861" i="3"/>
  <c r="C1862" i="3"/>
  <c r="D1862" i="3"/>
  <c r="E1862" i="3"/>
  <c r="F1862" i="3"/>
  <c r="C1863" i="3"/>
  <c r="D1863" i="3"/>
  <c r="E1863" i="3"/>
  <c r="F1863" i="3"/>
  <c r="C1864" i="3"/>
  <c r="D1864" i="3"/>
  <c r="E1864" i="3"/>
  <c r="F1864" i="3"/>
  <c r="C1865" i="3"/>
  <c r="D1865" i="3"/>
  <c r="E1865" i="3"/>
  <c r="F1865" i="3"/>
  <c r="C1866" i="3"/>
  <c r="D1866" i="3"/>
  <c r="E1866" i="3"/>
  <c r="F1866" i="3"/>
  <c r="C1867" i="3"/>
  <c r="D1867" i="3"/>
  <c r="E1867" i="3"/>
  <c r="F1867" i="3"/>
  <c r="C1868" i="3"/>
  <c r="D1868" i="3"/>
  <c r="E1868" i="3"/>
  <c r="F1868" i="3"/>
  <c r="C1869" i="3"/>
  <c r="D1869" i="3"/>
  <c r="E1869" i="3"/>
  <c r="F1869" i="3"/>
  <c r="C1870" i="3"/>
  <c r="D1870" i="3"/>
  <c r="E1870" i="3"/>
  <c r="F1870" i="3"/>
  <c r="C1871" i="3"/>
  <c r="D1871" i="3"/>
  <c r="E1871" i="3"/>
  <c r="F1871" i="3"/>
  <c r="C1872" i="3"/>
  <c r="D1872" i="3"/>
  <c r="E1872" i="3"/>
  <c r="F1872" i="3"/>
  <c r="C1873" i="3"/>
  <c r="D1873" i="3"/>
  <c r="E1873" i="3"/>
  <c r="F1873" i="3"/>
  <c r="C1874" i="3"/>
  <c r="D1874" i="3"/>
  <c r="E1874" i="3"/>
  <c r="F1874" i="3"/>
  <c r="C1875" i="3"/>
  <c r="D1875" i="3"/>
  <c r="E1875" i="3"/>
  <c r="F1875" i="3"/>
  <c r="C1876" i="3"/>
  <c r="D1876" i="3"/>
  <c r="E1876" i="3"/>
  <c r="F1876" i="3"/>
  <c r="C1877" i="3"/>
  <c r="D1877" i="3"/>
  <c r="E1877" i="3"/>
  <c r="F1877" i="3"/>
  <c r="C1878" i="3"/>
  <c r="D1878" i="3"/>
  <c r="E1878" i="3"/>
  <c r="F1878" i="3"/>
  <c r="C1879" i="3"/>
  <c r="D1879" i="3"/>
  <c r="E1879" i="3"/>
  <c r="F1879" i="3"/>
  <c r="C1880" i="3"/>
  <c r="D1880" i="3"/>
  <c r="E1880" i="3"/>
  <c r="F1880" i="3"/>
  <c r="C1881" i="3"/>
  <c r="D1881" i="3"/>
  <c r="E1881" i="3"/>
  <c r="F1881" i="3"/>
  <c r="C1882" i="3"/>
  <c r="D1882" i="3"/>
  <c r="E1882" i="3"/>
  <c r="F1882" i="3"/>
  <c r="C1883" i="3"/>
  <c r="D1883" i="3"/>
  <c r="E1883" i="3"/>
  <c r="F1883" i="3"/>
  <c r="C1884" i="3"/>
  <c r="D1884" i="3"/>
  <c r="E1884" i="3"/>
  <c r="F1884" i="3"/>
  <c r="C1885" i="3"/>
  <c r="D1885" i="3"/>
  <c r="E1885" i="3"/>
  <c r="F1885" i="3"/>
  <c r="C1886" i="3"/>
  <c r="D1886" i="3"/>
  <c r="E1886" i="3"/>
  <c r="F1886" i="3"/>
  <c r="C1887" i="3"/>
  <c r="D1887" i="3"/>
  <c r="E1887" i="3"/>
  <c r="F1887" i="3"/>
  <c r="C1888" i="3"/>
  <c r="D1888" i="3"/>
  <c r="E1888" i="3"/>
  <c r="F1888" i="3"/>
  <c r="C1889" i="3"/>
  <c r="D1889" i="3"/>
  <c r="E1889" i="3"/>
  <c r="F1889" i="3"/>
  <c r="C1890" i="3"/>
  <c r="D1890" i="3"/>
  <c r="E1890" i="3"/>
  <c r="F1890" i="3"/>
  <c r="C1891" i="3"/>
  <c r="D1891" i="3"/>
  <c r="E1891" i="3"/>
  <c r="F1891" i="3"/>
  <c r="C1892" i="3"/>
  <c r="D1892" i="3"/>
  <c r="E1892" i="3"/>
  <c r="F1892" i="3"/>
  <c r="C1893" i="3"/>
  <c r="D1893" i="3"/>
  <c r="E1893" i="3"/>
  <c r="F1893" i="3"/>
  <c r="C1894" i="3"/>
  <c r="D1894" i="3"/>
  <c r="E1894" i="3"/>
  <c r="F1894" i="3"/>
  <c r="C1895" i="3"/>
  <c r="D1895" i="3"/>
  <c r="E1895" i="3"/>
  <c r="F1895" i="3"/>
  <c r="C1896" i="3"/>
  <c r="D1896" i="3"/>
  <c r="E1896" i="3"/>
  <c r="F1896" i="3"/>
  <c r="C1897" i="3"/>
  <c r="D1897" i="3"/>
  <c r="E1897" i="3"/>
  <c r="F1897" i="3"/>
  <c r="C1898" i="3"/>
  <c r="D1898" i="3"/>
  <c r="E1898" i="3"/>
  <c r="F1898" i="3"/>
  <c r="C1899" i="3"/>
  <c r="D1899" i="3"/>
  <c r="E1899" i="3"/>
  <c r="F1899" i="3"/>
  <c r="C1900" i="3"/>
  <c r="D1900" i="3"/>
  <c r="E1900" i="3"/>
  <c r="F1900" i="3"/>
  <c r="C1901" i="3"/>
  <c r="D1901" i="3"/>
  <c r="E1901" i="3"/>
  <c r="F1901" i="3"/>
  <c r="C1902" i="3"/>
  <c r="D1902" i="3"/>
  <c r="E1902" i="3"/>
  <c r="F1902" i="3"/>
  <c r="C1903" i="3"/>
  <c r="D1903" i="3"/>
  <c r="E1903" i="3"/>
  <c r="F1903" i="3"/>
  <c r="C1904" i="3"/>
  <c r="D1904" i="3"/>
  <c r="E1904" i="3"/>
  <c r="F1904" i="3"/>
  <c r="C1905" i="3"/>
  <c r="D1905" i="3"/>
  <c r="E1905" i="3"/>
  <c r="F1905" i="3"/>
  <c r="C1906" i="3"/>
  <c r="D1906" i="3"/>
  <c r="E1906" i="3"/>
  <c r="F1906" i="3"/>
  <c r="C1907" i="3"/>
  <c r="D1907" i="3"/>
  <c r="E1907" i="3"/>
  <c r="F1907" i="3"/>
  <c r="C1908" i="3"/>
  <c r="D1908" i="3"/>
  <c r="E1908" i="3"/>
  <c r="F1908" i="3"/>
  <c r="C1909" i="3"/>
  <c r="D1909" i="3"/>
  <c r="E1909" i="3"/>
  <c r="F1909" i="3"/>
  <c r="C1910" i="3"/>
  <c r="D1910" i="3"/>
  <c r="E1910" i="3"/>
  <c r="F1910" i="3"/>
  <c r="C1911" i="3"/>
  <c r="D1911" i="3"/>
  <c r="E1911" i="3"/>
  <c r="F1911" i="3"/>
  <c r="C1912" i="3"/>
  <c r="D1912" i="3"/>
  <c r="E1912" i="3"/>
  <c r="F1912" i="3"/>
  <c r="C1913" i="3"/>
  <c r="D1913" i="3"/>
  <c r="E1913" i="3"/>
  <c r="F1913" i="3"/>
  <c r="C1914" i="3"/>
  <c r="D1914" i="3"/>
  <c r="E1914" i="3"/>
  <c r="F1914" i="3"/>
  <c r="C1915" i="3"/>
  <c r="D1915" i="3"/>
  <c r="E1915" i="3"/>
  <c r="F1915" i="3"/>
  <c r="C1916" i="3"/>
  <c r="D1916" i="3"/>
  <c r="E1916" i="3"/>
  <c r="F1916" i="3"/>
  <c r="C1917" i="3"/>
  <c r="D1917" i="3"/>
  <c r="E1917" i="3"/>
  <c r="F1917" i="3"/>
  <c r="C1918" i="3"/>
  <c r="D1918" i="3"/>
  <c r="E1918" i="3"/>
  <c r="F1918" i="3"/>
  <c r="C1919" i="3"/>
  <c r="D1919" i="3"/>
  <c r="E1919" i="3"/>
  <c r="F1919" i="3"/>
  <c r="C1920" i="3"/>
  <c r="D1920" i="3"/>
  <c r="E1920" i="3"/>
  <c r="F1920" i="3"/>
  <c r="C1921" i="3"/>
  <c r="D1921" i="3"/>
  <c r="E1921" i="3"/>
  <c r="F1921" i="3"/>
  <c r="C1922" i="3"/>
  <c r="D1922" i="3"/>
  <c r="E1922" i="3"/>
  <c r="F1922" i="3"/>
  <c r="C1923" i="3"/>
  <c r="D1923" i="3"/>
  <c r="E1923" i="3"/>
  <c r="F1923" i="3"/>
  <c r="C1924" i="3"/>
  <c r="D1924" i="3"/>
  <c r="E1924" i="3"/>
  <c r="F1924" i="3"/>
  <c r="C1925" i="3"/>
  <c r="D1925" i="3"/>
  <c r="E1925" i="3"/>
  <c r="F1925" i="3"/>
  <c r="C1926" i="3"/>
  <c r="D1926" i="3"/>
  <c r="E1926" i="3"/>
  <c r="F1926" i="3"/>
  <c r="C1927" i="3"/>
  <c r="D1927" i="3"/>
  <c r="E1927" i="3"/>
  <c r="F1927" i="3"/>
  <c r="C1928" i="3"/>
  <c r="D1928" i="3"/>
  <c r="E1928" i="3"/>
  <c r="F1928" i="3"/>
  <c r="C1929" i="3"/>
  <c r="D1929" i="3"/>
  <c r="E1929" i="3"/>
  <c r="F1929" i="3"/>
  <c r="C1930" i="3"/>
  <c r="D1930" i="3"/>
  <c r="E1930" i="3"/>
  <c r="F1930" i="3"/>
  <c r="C1931" i="3"/>
  <c r="D1931" i="3"/>
  <c r="E1931" i="3"/>
  <c r="F1931" i="3"/>
  <c r="C1932" i="3"/>
  <c r="D1932" i="3"/>
  <c r="E1932" i="3"/>
  <c r="F1932" i="3"/>
  <c r="C1933" i="3"/>
  <c r="D1933" i="3"/>
  <c r="E1933" i="3"/>
  <c r="F1933" i="3"/>
  <c r="C1934" i="3"/>
  <c r="D1934" i="3"/>
  <c r="E1934" i="3"/>
  <c r="F1934" i="3"/>
  <c r="C1935" i="3"/>
  <c r="D1935" i="3"/>
  <c r="E1935" i="3"/>
  <c r="F1935" i="3"/>
  <c r="C1936" i="3"/>
  <c r="D1936" i="3"/>
  <c r="E1936" i="3"/>
  <c r="F1936" i="3"/>
  <c r="C1937" i="3"/>
  <c r="D1937" i="3"/>
  <c r="E1937" i="3"/>
  <c r="F1937" i="3"/>
  <c r="C1938" i="3"/>
  <c r="D1938" i="3"/>
  <c r="E1938" i="3"/>
  <c r="F1938" i="3"/>
  <c r="C1939" i="3"/>
  <c r="D1939" i="3"/>
  <c r="E1939" i="3"/>
  <c r="F1939" i="3"/>
  <c r="C1940" i="3"/>
  <c r="D1940" i="3"/>
  <c r="E1940" i="3"/>
  <c r="F1940" i="3"/>
  <c r="C1941" i="3"/>
  <c r="D1941" i="3"/>
  <c r="E1941" i="3"/>
  <c r="F1941" i="3"/>
  <c r="C1942" i="3"/>
  <c r="D1942" i="3"/>
  <c r="E1942" i="3"/>
  <c r="F1942" i="3"/>
  <c r="C1943" i="3"/>
  <c r="D1943" i="3"/>
  <c r="E1943" i="3"/>
  <c r="F1943" i="3"/>
  <c r="C1944" i="3"/>
  <c r="D1944" i="3"/>
  <c r="E1944" i="3"/>
  <c r="F1944" i="3"/>
  <c r="C1945" i="3"/>
  <c r="D1945" i="3"/>
  <c r="E1945" i="3"/>
  <c r="F1945" i="3"/>
  <c r="C1946" i="3"/>
  <c r="D1946" i="3"/>
  <c r="E1946" i="3"/>
  <c r="F1946" i="3"/>
  <c r="C1947" i="3"/>
  <c r="D1947" i="3"/>
  <c r="E1947" i="3"/>
  <c r="F1947" i="3"/>
  <c r="C1948" i="3"/>
  <c r="D1948" i="3"/>
  <c r="E1948" i="3"/>
  <c r="F1948" i="3"/>
  <c r="C1949" i="3"/>
  <c r="D1949" i="3"/>
  <c r="E1949" i="3"/>
  <c r="F1949" i="3"/>
  <c r="C1950" i="3"/>
  <c r="D1950" i="3"/>
  <c r="E1950" i="3"/>
  <c r="F1950" i="3"/>
  <c r="C1951" i="3"/>
  <c r="D1951" i="3"/>
  <c r="E1951" i="3"/>
  <c r="F1951" i="3"/>
  <c r="C1952" i="3"/>
  <c r="D1952" i="3"/>
  <c r="E1952" i="3"/>
  <c r="F1952" i="3"/>
  <c r="C1953" i="3"/>
  <c r="D1953" i="3"/>
  <c r="E1953" i="3"/>
  <c r="F1953" i="3"/>
  <c r="C1954" i="3"/>
  <c r="D1954" i="3"/>
  <c r="E1954" i="3"/>
  <c r="F1954" i="3"/>
  <c r="C1955" i="3"/>
  <c r="D1955" i="3"/>
  <c r="E1955" i="3"/>
  <c r="F1955" i="3"/>
  <c r="C1956" i="3"/>
  <c r="D1956" i="3"/>
  <c r="E1956" i="3"/>
  <c r="F1956" i="3"/>
  <c r="C1957" i="3"/>
  <c r="D1957" i="3"/>
  <c r="E1957" i="3"/>
  <c r="F1957" i="3"/>
  <c r="C1958" i="3"/>
  <c r="D1958" i="3"/>
  <c r="E1958" i="3"/>
  <c r="F1958" i="3"/>
  <c r="C1959" i="3"/>
  <c r="D1959" i="3"/>
  <c r="E1959" i="3"/>
  <c r="F1959" i="3"/>
  <c r="C1960" i="3"/>
  <c r="D1960" i="3"/>
  <c r="E1960" i="3"/>
  <c r="F1960" i="3"/>
  <c r="C1961" i="3"/>
  <c r="D1961" i="3"/>
  <c r="E1961" i="3"/>
  <c r="F1961" i="3"/>
  <c r="C1962" i="3"/>
  <c r="D1962" i="3"/>
  <c r="E1962" i="3"/>
  <c r="F1962" i="3"/>
  <c r="C1963" i="3"/>
  <c r="D1963" i="3"/>
  <c r="E1963" i="3"/>
  <c r="F1963" i="3"/>
  <c r="C1964" i="3"/>
  <c r="D1964" i="3"/>
  <c r="E1964" i="3"/>
  <c r="F1964" i="3"/>
  <c r="C1965" i="3"/>
  <c r="D1965" i="3"/>
  <c r="E1965" i="3"/>
  <c r="F1965" i="3"/>
  <c r="C1966" i="3"/>
  <c r="D1966" i="3"/>
  <c r="E1966" i="3"/>
  <c r="F1966" i="3"/>
  <c r="C1967" i="3"/>
  <c r="D1967" i="3"/>
  <c r="E1967" i="3"/>
  <c r="F1967" i="3"/>
  <c r="C1968" i="3"/>
  <c r="D1968" i="3"/>
  <c r="E1968" i="3"/>
  <c r="F1968" i="3"/>
  <c r="C1969" i="3"/>
  <c r="D1969" i="3"/>
  <c r="E1969" i="3"/>
  <c r="F1969" i="3"/>
  <c r="C1970" i="3"/>
  <c r="D1970" i="3"/>
  <c r="E1970" i="3"/>
  <c r="F1970" i="3"/>
  <c r="C1971" i="3"/>
  <c r="D1971" i="3"/>
  <c r="E1971" i="3"/>
  <c r="F1971" i="3"/>
  <c r="C1972" i="3"/>
  <c r="D1972" i="3"/>
  <c r="E1972" i="3"/>
  <c r="F1972" i="3"/>
  <c r="C1973" i="3"/>
  <c r="D1973" i="3"/>
  <c r="E1973" i="3"/>
  <c r="F1973" i="3"/>
  <c r="C1974" i="3"/>
  <c r="D1974" i="3"/>
  <c r="E1974" i="3"/>
  <c r="F1974" i="3"/>
  <c r="C1975" i="3"/>
  <c r="D1975" i="3"/>
  <c r="E1975" i="3"/>
  <c r="F1975" i="3"/>
  <c r="C1976" i="3"/>
  <c r="D1976" i="3"/>
  <c r="E1976" i="3"/>
  <c r="F1976" i="3"/>
  <c r="C1977" i="3"/>
  <c r="D1977" i="3"/>
  <c r="E1977" i="3"/>
  <c r="F1977" i="3"/>
  <c r="C1978" i="3"/>
  <c r="D1978" i="3"/>
  <c r="E1978" i="3"/>
  <c r="F1978" i="3"/>
  <c r="C1979" i="3"/>
  <c r="D1979" i="3"/>
  <c r="E1979" i="3"/>
  <c r="F1979" i="3"/>
  <c r="C1980" i="3"/>
  <c r="D1980" i="3"/>
  <c r="E1980" i="3"/>
  <c r="F1980" i="3"/>
  <c r="C1981" i="3"/>
  <c r="D1981" i="3"/>
  <c r="E1981" i="3"/>
  <c r="F1981" i="3"/>
  <c r="C1982" i="3"/>
  <c r="D1982" i="3"/>
  <c r="E1982" i="3"/>
  <c r="F1982" i="3"/>
  <c r="C1983" i="3"/>
  <c r="D1983" i="3"/>
  <c r="E1983" i="3"/>
  <c r="F1983" i="3"/>
  <c r="C1984" i="3"/>
  <c r="D1984" i="3"/>
  <c r="E1984" i="3"/>
  <c r="F1984" i="3"/>
  <c r="C1985" i="3"/>
  <c r="D1985" i="3"/>
  <c r="E1985" i="3"/>
  <c r="F1985" i="3"/>
  <c r="C1986" i="3"/>
  <c r="D1986" i="3"/>
  <c r="E1986" i="3"/>
  <c r="F1986" i="3"/>
  <c r="C1987" i="3"/>
  <c r="D1987" i="3"/>
  <c r="E1987" i="3"/>
  <c r="F1987" i="3"/>
  <c r="C1988" i="3"/>
  <c r="D1988" i="3"/>
  <c r="E1988" i="3"/>
  <c r="F1988" i="3"/>
  <c r="C1989" i="3"/>
  <c r="D1989" i="3"/>
  <c r="E1989" i="3"/>
  <c r="F1989" i="3"/>
  <c r="C1990" i="3"/>
  <c r="D1990" i="3"/>
  <c r="E1990" i="3"/>
  <c r="F1990" i="3"/>
  <c r="C1991" i="3"/>
  <c r="D1991" i="3"/>
  <c r="E1991" i="3"/>
  <c r="F1991" i="3"/>
  <c r="C1992" i="3"/>
  <c r="D1992" i="3"/>
  <c r="E1992" i="3"/>
  <c r="F1992" i="3"/>
  <c r="C1993" i="3"/>
  <c r="D1993" i="3"/>
  <c r="E1993" i="3"/>
  <c r="F1993" i="3"/>
  <c r="C1994" i="3"/>
  <c r="D1994" i="3"/>
  <c r="E1994" i="3"/>
  <c r="F1994" i="3"/>
  <c r="C1995" i="3"/>
  <c r="D1995" i="3"/>
  <c r="E1995" i="3"/>
  <c r="F1995" i="3"/>
  <c r="C1996" i="3"/>
  <c r="D1996" i="3"/>
  <c r="E1996" i="3"/>
  <c r="F1996" i="3"/>
  <c r="C1997" i="3"/>
  <c r="D1997" i="3"/>
  <c r="E1997" i="3"/>
  <c r="F1997" i="3"/>
  <c r="C1998" i="3"/>
  <c r="D1998" i="3"/>
  <c r="E1998" i="3"/>
  <c r="F1998" i="3"/>
  <c r="C1999" i="3"/>
  <c r="D1999" i="3"/>
  <c r="E1999" i="3"/>
  <c r="F1999" i="3"/>
  <c r="C2000" i="3"/>
  <c r="D2000" i="3"/>
  <c r="E2000" i="3"/>
  <c r="F2000" i="3"/>
  <c r="C2001" i="3"/>
  <c r="D2001" i="3"/>
  <c r="E2001" i="3"/>
  <c r="F2001" i="3"/>
  <c r="C2002" i="3"/>
  <c r="D2002" i="3"/>
  <c r="E2002" i="3"/>
  <c r="F2002" i="3"/>
  <c r="C2003" i="3"/>
  <c r="D2003" i="3"/>
  <c r="E2003" i="3"/>
  <c r="F2003" i="3"/>
  <c r="C2004" i="3"/>
  <c r="D2004" i="3"/>
  <c r="E2004" i="3"/>
  <c r="F2004" i="3"/>
  <c r="C2005" i="3"/>
  <c r="D2005" i="3"/>
  <c r="E2005" i="3"/>
  <c r="F2005" i="3"/>
  <c r="C2006" i="3"/>
  <c r="D2006" i="3"/>
  <c r="E2006" i="3"/>
  <c r="F2006" i="3"/>
  <c r="C2007" i="3"/>
  <c r="D2007" i="3"/>
  <c r="E2007" i="3"/>
  <c r="F2007" i="3"/>
  <c r="C2008" i="3"/>
  <c r="D2008" i="3"/>
  <c r="E2008" i="3"/>
  <c r="F2008" i="3"/>
  <c r="C2009" i="3"/>
  <c r="D2009" i="3"/>
  <c r="E2009" i="3"/>
  <c r="F2009" i="3"/>
  <c r="C2010" i="3"/>
  <c r="D2010" i="3"/>
  <c r="E2010" i="3"/>
  <c r="F2010" i="3"/>
  <c r="C2011" i="3"/>
  <c r="D2011" i="3"/>
  <c r="E2011" i="3"/>
  <c r="F2011" i="3"/>
  <c r="C2012" i="3"/>
  <c r="D2012" i="3"/>
  <c r="E2012" i="3"/>
  <c r="F2012" i="3"/>
  <c r="C2013" i="3"/>
  <c r="D2013" i="3"/>
  <c r="E2013" i="3"/>
  <c r="F2013" i="3"/>
  <c r="C2014" i="3"/>
  <c r="D2014" i="3"/>
  <c r="E2014" i="3"/>
  <c r="F2014" i="3"/>
  <c r="C2015" i="3"/>
  <c r="D2015" i="3"/>
  <c r="E2015" i="3"/>
  <c r="F2015" i="3"/>
  <c r="C2016" i="3"/>
  <c r="D2016" i="3"/>
  <c r="E2016" i="3"/>
  <c r="F2016" i="3"/>
  <c r="C2017" i="3"/>
  <c r="D2017" i="3"/>
  <c r="E2017" i="3"/>
  <c r="F2017" i="3"/>
  <c r="C2018" i="3"/>
  <c r="D2018" i="3"/>
  <c r="E2018" i="3"/>
  <c r="F2018" i="3"/>
  <c r="C2019" i="3"/>
  <c r="D2019" i="3"/>
  <c r="E2019" i="3"/>
  <c r="F2019" i="3"/>
  <c r="C2020" i="3"/>
  <c r="D2020" i="3"/>
  <c r="E2020" i="3"/>
  <c r="F2020" i="3"/>
  <c r="C2021" i="3"/>
  <c r="D2021" i="3"/>
  <c r="E2021" i="3"/>
  <c r="F2021" i="3"/>
  <c r="C2022" i="3"/>
  <c r="D2022" i="3"/>
  <c r="E2022" i="3"/>
  <c r="F2022" i="3"/>
  <c r="C2023" i="3"/>
  <c r="D2023" i="3"/>
  <c r="E2023" i="3"/>
  <c r="F2023" i="3"/>
  <c r="C2024" i="3"/>
  <c r="D2024" i="3"/>
  <c r="E2024" i="3"/>
  <c r="F2024" i="3"/>
  <c r="C2025" i="3"/>
  <c r="D2025" i="3"/>
  <c r="E2025" i="3"/>
  <c r="F2025" i="3"/>
  <c r="C2026" i="3"/>
  <c r="D2026" i="3"/>
  <c r="E2026" i="3"/>
  <c r="F2026" i="3"/>
  <c r="C2027" i="3"/>
  <c r="D2027" i="3"/>
  <c r="E2027" i="3"/>
  <c r="F2027" i="3"/>
  <c r="C2028" i="3"/>
  <c r="D2028" i="3"/>
  <c r="E2028" i="3"/>
  <c r="F2028" i="3"/>
  <c r="C2029" i="3"/>
  <c r="D2029" i="3"/>
  <c r="E2029" i="3"/>
  <c r="F2029" i="3"/>
  <c r="C2030" i="3"/>
  <c r="D2030" i="3"/>
  <c r="E2030" i="3"/>
  <c r="F2030" i="3"/>
  <c r="C2031" i="3"/>
  <c r="D2031" i="3"/>
  <c r="E2031" i="3"/>
  <c r="F2031" i="3"/>
  <c r="C2032" i="3"/>
  <c r="D2032" i="3"/>
  <c r="E2032" i="3"/>
  <c r="F2032" i="3"/>
  <c r="C2033" i="3"/>
  <c r="D2033" i="3"/>
  <c r="E2033" i="3"/>
  <c r="F2033" i="3"/>
  <c r="C2034" i="3"/>
  <c r="D2034" i="3"/>
  <c r="E2034" i="3"/>
  <c r="F2034" i="3"/>
  <c r="C2035" i="3"/>
  <c r="D2035" i="3"/>
  <c r="E2035" i="3"/>
  <c r="F2035" i="3"/>
  <c r="C2036" i="3"/>
  <c r="D2036" i="3"/>
  <c r="E2036" i="3"/>
  <c r="F2036" i="3"/>
  <c r="C2037" i="3"/>
  <c r="D2037" i="3"/>
  <c r="E2037" i="3"/>
  <c r="F2037" i="3"/>
  <c r="C2038" i="3"/>
  <c r="D2038" i="3"/>
  <c r="E2038" i="3"/>
  <c r="F2038" i="3"/>
  <c r="C2039" i="3"/>
  <c r="D2039" i="3"/>
  <c r="E2039" i="3"/>
  <c r="F2039" i="3"/>
  <c r="C2040" i="3"/>
  <c r="D2040" i="3"/>
  <c r="E2040" i="3"/>
  <c r="F2040" i="3"/>
  <c r="C2041" i="3"/>
  <c r="D2041" i="3"/>
  <c r="E2041" i="3"/>
  <c r="F2041" i="3"/>
  <c r="C2042" i="3"/>
  <c r="D2042" i="3"/>
  <c r="E2042" i="3"/>
  <c r="F2042" i="3"/>
  <c r="C2043" i="3"/>
  <c r="D2043" i="3"/>
  <c r="E2043" i="3"/>
  <c r="F2043" i="3"/>
  <c r="C2044" i="3"/>
  <c r="D2044" i="3"/>
  <c r="E2044" i="3"/>
  <c r="F2044" i="3"/>
  <c r="C2045" i="3"/>
  <c r="D2045" i="3"/>
  <c r="E2045" i="3"/>
  <c r="F2045" i="3"/>
  <c r="C2046" i="3"/>
  <c r="D2046" i="3"/>
  <c r="E2046" i="3"/>
  <c r="F2046" i="3"/>
  <c r="C2047" i="3"/>
  <c r="D2047" i="3"/>
  <c r="E2047" i="3"/>
  <c r="F2047" i="3"/>
  <c r="C2048" i="3"/>
  <c r="D2048" i="3"/>
  <c r="E2048" i="3"/>
  <c r="F2048" i="3"/>
  <c r="C2049" i="3"/>
  <c r="D2049" i="3"/>
  <c r="E2049" i="3"/>
  <c r="F2049" i="3"/>
  <c r="C2050" i="3"/>
  <c r="D2050" i="3"/>
  <c r="E2050" i="3"/>
  <c r="F2050" i="3"/>
  <c r="C2051" i="3"/>
  <c r="D2051" i="3"/>
  <c r="E2051" i="3"/>
  <c r="F2051" i="3"/>
  <c r="C2052" i="3"/>
  <c r="D2052" i="3"/>
  <c r="E2052" i="3"/>
  <c r="F2052" i="3"/>
  <c r="C2053" i="3"/>
  <c r="D2053" i="3"/>
  <c r="E2053" i="3"/>
  <c r="F2053" i="3"/>
  <c r="C2054" i="3"/>
  <c r="D2054" i="3"/>
  <c r="E2054" i="3"/>
  <c r="F2054" i="3"/>
  <c r="C2055" i="3"/>
  <c r="D2055" i="3"/>
  <c r="E2055" i="3"/>
  <c r="F2055" i="3"/>
  <c r="C2056" i="3"/>
  <c r="D2056" i="3"/>
  <c r="E2056" i="3"/>
  <c r="F2056" i="3"/>
  <c r="C2057" i="3"/>
  <c r="D2057" i="3"/>
  <c r="E2057" i="3"/>
  <c r="F2057" i="3"/>
  <c r="C2058" i="3"/>
  <c r="D2058" i="3"/>
  <c r="E2058" i="3"/>
  <c r="F2058" i="3"/>
  <c r="C2059" i="3"/>
  <c r="D2059" i="3"/>
  <c r="E2059" i="3"/>
  <c r="F2059" i="3"/>
  <c r="C2060" i="3"/>
  <c r="D2060" i="3"/>
  <c r="E2060" i="3"/>
  <c r="F2060" i="3"/>
  <c r="C2061" i="3"/>
  <c r="D2061" i="3"/>
  <c r="E2061" i="3"/>
  <c r="F2061" i="3"/>
  <c r="C2062" i="3"/>
  <c r="D2062" i="3"/>
  <c r="E2062" i="3"/>
  <c r="F2062" i="3"/>
  <c r="C2063" i="3"/>
  <c r="D2063" i="3"/>
  <c r="E2063" i="3"/>
  <c r="F2063" i="3"/>
  <c r="C2064" i="3"/>
  <c r="D2064" i="3"/>
  <c r="E2064" i="3"/>
  <c r="F2064" i="3"/>
  <c r="C2065" i="3"/>
  <c r="D2065" i="3"/>
  <c r="E2065" i="3"/>
  <c r="F2065" i="3"/>
  <c r="C2066" i="3"/>
  <c r="D2066" i="3"/>
  <c r="E2066" i="3"/>
  <c r="F2066" i="3"/>
  <c r="C2067" i="3"/>
  <c r="D2067" i="3"/>
  <c r="E2067" i="3"/>
  <c r="F2067" i="3"/>
  <c r="C2068" i="3"/>
  <c r="D2068" i="3"/>
  <c r="E2068" i="3"/>
  <c r="F2068" i="3"/>
  <c r="C2069" i="3"/>
  <c r="D2069" i="3"/>
  <c r="E2069" i="3"/>
  <c r="F2069" i="3"/>
  <c r="C2070" i="3"/>
  <c r="D2070" i="3"/>
  <c r="E2070" i="3"/>
  <c r="F2070" i="3"/>
  <c r="C2071" i="3"/>
  <c r="D2071" i="3"/>
  <c r="E2071" i="3"/>
  <c r="F2071" i="3"/>
  <c r="C2072" i="3"/>
  <c r="D2072" i="3"/>
  <c r="E2072" i="3"/>
  <c r="F2072" i="3"/>
  <c r="C2073" i="3"/>
  <c r="D2073" i="3"/>
  <c r="E2073" i="3"/>
  <c r="F2073" i="3"/>
  <c r="C2074" i="3"/>
  <c r="D2074" i="3"/>
  <c r="E2074" i="3"/>
  <c r="F2074" i="3"/>
  <c r="C2075" i="3"/>
  <c r="D2075" i="3"/>
  <c r="E2075" i="3"/>
  <c r="F2075" i="3"/>
  <c r="C2076" i="3"/>
  <c r="D2076" i="3"/>
  <c r="E2076" i="3"/>
  <c r="F2076" i="3"/>
  <c r="C2077" i="3"/>
  <c r="D2077" i="3"/>
  <c r="E2077" i="3"/>
  <c r="F2077" i="3"/>
  <c r="C2078" i="3"/>
  <c r="D2078" i="3"/>
  <c r="E2078" i="3"/>
  <c r="F2078" i="3"/>
  <c r="C2079" i="3"/>
  <c r="D2079" i="3"/>
  <c r="E2079" i="3"/>
  <c r="F2079" i="3"/>
  <c r="C2080" i="3"/>
  <c r="D2080" i="3"/>
  <c r="E2080" i="3"/>
  <c r="F2080" i="3"/>
  <c r="C2081" i="3"/>
  <c r="D2081" i="3"/>
  <c r="E2081" i="3"/>
  <c r="F2081" i="3"/>
  <c r="C2082" i="3"/>
  <c r="D2082" i="3"/>
  <c r="E2082" i="3"/>
  <c r="F2082" i="3"/>
  <c r="C2083" i="3"/>
  <c r="D2083" i="3"/>
  <c r="E2083" i="3"/>
  <c r="F2083" i="3"/>
  <c r="C2084" i="3"/>
  <c r="D2084" i="3"/>
  <c r="E2084" i="3"/>
  <c r="F2084" i="3"/>
  <c r="C2085" i="3"/>
  <c r="D2085" i="3"/>
  <c r="E2085" i="3"/>
  <c r="F2085" i="3"/>
  <c r="C2086" i="3"/>
  <c r="D2086" i="3"/>
  <c r="E2086" i="3"/>
  <c r="F2086" i="3"/>
  <c r="C2087" i="3"/>
  <c r="D2087" i="3"/>
  <c r="E2087" i="3"/>
  <c r="F2087" i="3"/>
  <c r="C2088" i="3"/>
  <c r="D2088" i="3"/>
  <c r="E2088" i="3"/>
  <c r="F2088" i="3"/>
  <c r="C2089" i="3"/>
  <c r="D2089" i="3"/>
  <c r="E2089" i="3"/>
  <c r="F2089" i="3"/>
  <c r="C2090" i="3"/>
  <c r="D2090" i="3"/>
  <c r="E2090" i="3"/>
  <c r="F2090" i="3"/>
  <c r="C2091" i="3"/>
  <c r="D2091" i="3"/>
  <c r="E2091" i="3"/>
  <c r="F2091" i="3"/>
  <c r="C2092" i="3"/>
  <c r="D2092" i="3"/>
  <c r="E2092" i="3"/>
  <c r="F2092" i="3"/>
  <c r="C2093" i="3"/>
  <c r="D2093" i="3"/>
  <c r="E2093" i="3"/>
  <c r="F2093" i="3"/>
  <c r="C2094" i="3"/>
  <c r="F11" i="2" s="1"/>
  <c r="D2094" i="3"/>
  <c r="E2094" i="3"/>
  <c r="F2094" i="3"/>
  <c r="C2095" i="3"/>
  <c r="D2095" i="3"/>
  <c r="E2095" i="3"/>
  <c r="F2095" i="3"/>
  <c r="C2096" i="3"/>
  <c r="D2096" i="3"/>
  <c r="E2096" i="3"/>
  <c r="F2096" i="3"/>
  <c r="C2097" i="3"/>
  <c r="D2097" i="3"/>
  <c r="E2097" i="3"/>
  <c r="F2097" i="3"/>
  <c r="C2098" i="3"/>
  <c r="D2098" i="3"/>
  <c r="E2098" i="3"/>
  <c r="F2098" i="3"/>
  <c r="C2099" i="3"/>
  <c r="D2099" i="3"/>
  <c r="E2099" i="3"/>
  <c r="F2099" i="3"/>
  <c r="C2100" i="3"/>
  <c r="D2100" i="3"/>
  <c r="E2100" i="3"/>
  <c r="F2100" i="3"/>
  <c r="C2101" i="3"/>
  <c r="D2101" i="3"/>
  <c r="E2101" i="3"/>
  <c r="F2101" i="3"/>
  <c r="C2102" i="3"/>
  <c r="D2102" i="3"/>
  <c r="E2102" i="3"/>
  <c r="F2102" i="3"/>
  <c r="C2103" i="3"/>
  <c r="D2103" i="3"/>
  <c r="E2103" i="3"/>
  <c r="F2103" i="3"/>
  <c r="C2104" i="3"/>
  <c r="D2104" i="3"/>
  <c r="E2104" i="3"/>
  <c r="F2104" i="3"/>
  <c r="C2105" i="3"/>
  <c r="D2105" i="3"/>
  <c r="E2105" i="3"/>
  <c r="F2105" i="3"/>
  <c r="C2106" i="3"/>
  <c r="D2106" i="3"/>
  <c r="E2106" i="3"/>
  <c r="F2106" i="3"/>
  <c r="C2107" i="3"/>
  <c r="D2107" i="3"/>
  <c r="E2107" i="3"/>
  <c r="F2107" i="3"/>
  <c r="C2108" i="3"/>
  <c r="D2108" i="3"/>
  <c r="E2108" i="3"/>
  <c r="F2108" i="3"/>
  <c r="C2109" i="3"/>
  <c r="D2109" i="3"/>
  <c r="E2109" i="3"/>
  <c r="F2109" i="3"/>
  <c r="C2110" i="3"/>
  <c r="D2110" i="3"/>
  <c r="E2110" i="3"/>
  <c r="F2110" i="3"/>
  <c r="C2111" i="3"/>
  <c r="D2111" i="3"/>
  <c r="E2111" i="3"/>
  <c r="F2111" i="3"/>
  <c r="C2112" i="3"/>
  <c r="D2112" i="3"/>
  <c r="E2112" i="3"/>
  <c r="F2112" i="3"/>
  <c r="C2113" i="3"/>
  <c r="D2113" i="3"/>
  <c r="E2113" i="3"/>
  <c r="F2113" i="3"/>
  <c r="C2114" i="3"/>
  <c r="D2114" i="3"/>
  <c r="E2114" i="3"/>
  <c r="F2114" i="3"/>
  <c r="C2115" i="3"/>
  <c r="D2115" i="3"/>
  <c r="E2115" i="3"/>
  <c r="F2115" i="3"/>
  <c r="C2116" i="3"/>
  <c r="D2116" i="3"/>
  <c r="E2116" i="3"/>
  <c r="F2116" i="3"/>
  <c r="C2117" i="3"/>
  <c r="D2117" i="3"/>
  <c r="E2117" i="3"/>
  <c r="F2117" i="3"/>
  <c r="C2118" i="3"/>
  <c r="D2118" i="3"/>
  <c r="E2118" i="3"/>
  <c r="F2118" i="3"/>
  <c r="C2119" i="3"/>
  <c r="D2119" i="3"/>
  <c r="E2119" i="3"/>
  <c r="F2119" i="3"/>
  <c r="C2120" i="3"/>
  <c r="D2120" i="3"/>
  <c r="E2120" i="3"/>
  <c r="F2120" i="3"/>
  <c r="C2121" i="3"/>
  <c r="D2121" i="3"/>
  <c r="E2121" i="3"/>
  <c r="F2121" i="3"/>
  <c r="C2122" i="3"/>
  <c r="D2122" i="3"/>
  <c r="E2122" i="3"/>
  <c r="F2122" i="3"/>
  <c r="C2123" i="3"/>
  <c r="D2123" i="3"/>
  <c r="E2123" i="3"/>
  <c r="F2123" i="3"/>
  <c r="C2124" i="3"/>
  <c r="D2124" i="3"/>
  <c r="E2124" i="3"/>
  <c r="F2124" i="3"/>
  <c r="C2125" i="3"/>
  <c r="D2125" i="3"/>
  <c r="E2125" i="3"/>
  <c r="F2125" i="3"/>
  <c r="C2126" i="3"/>
  <c r="D2126" i="3"/>
  <c r="E2126" i="3"/>
  <c r="F2126" i="3"/>
  <c r="C2127" i="3"/>
  <c r="D2127" i="3"/>
  <c r="E2127" i="3"/>
  <c r="F2127" i="3"/>
  <c r="C2128" i="3"/>
  <c r="D2128" i="3"/>
  <c r="E2128" i="3"/>
  <c r="F2128" i="3"/>
  <c r="C2129" i="3"/>
  <c r="D2129" i="3"/>
  <c r="E2129" i="3"/>
  <c r="F2129" i="3"/>
  <c r="C2130" i="3"/>
  <c r="D2130" i="3"/>
  <c r="E2130" i="3"/>
  <c r="F2130" i="3"/>
  <c r="C2131" i="3"/>
  <c r="D2131" i="3"/>
  <c r="E2131" i="3"/>
  <c r="F2131" i="3"/>
  <c r="C2132" i="3"/>
  <c r="D2132" i="3"/>
  <c r="E2132" i="3"/>
  <c r="F2132" i="3"/>
  <c r="C2133" i="3"/>
  <c r="D2133" i="3"/>
  <c r="E2133" i="3"/>
  <c r="F2133" i="3"/>
  <c r="C2134" i="3"/>
  <c r="D2134" i="3"/>
  <c r="E2134" i="3"/>
  <c r="F2134" i="3"/>
  <c r="C2135" i="3"/>
  <c r="D2135" i="3"/>
  <c r="E2135" i="3"/>
  <c r="F2135" i="3"/>
  <c r="C2136" i="3"/>
  <c r="D2136" i="3"/>
  <c r="E2136" i="3"/>
  <c r="F2136" i="3"/>
  <c r="C2137" i="3"/>
  <c r="D2137" i="3"/>
  <c r="E2137" i="3"/>
  <c r="F2137" i="3"/>
  <c r="C2138" i="3"/>
  <c r="D2138" i="3"/>
  <c r="E2138" i="3"/>
  <c r="F2138" i="3"/>
  <c r="C2139" i="3"/>
  <c r="D2139" i="3"/>
  <c r="E2139" i="3"/>
  <c r="F2139" i="3"/>
  <c r="C2140" i="3"/>
  <c r="D2140" i="3"/>
  <c r="E2140" i="3"/>
  <c r="F2140" i="3"/>
  <c r="C2141" i="3"/>
  <c r="D2141" i="3"/>
  <c r="E2141" i="3"/>
  <c r="F2141" i="3"/>
  <c r="C2142" i="3"/>
  <c r="D2142" i="3"/>
  <c r="E2142" i="3"/>
  <c r="F2142" i="3"/>
  <c r="C2143" i="3"/>
  <c r="D2143" i="3"/>
  <c r="E2143" i="3"/>
  <c r="F2143" i="3"/>
  <c r="C2144" i="3"/>
  <c r="D2144" i="3"/>
  <c r="E2144" i="3"/>
  <c r="F2144" i="3"/>
  <c r="C2145" i="3"/>
  <c r="D2145" i="3"/>
  <c r="E2145" i="3"/>
  <c r="F2145" i="3"/>
  <c r="C2146" i="3"/>
  <c r="D2146" i="3"/>
  <c r="E2146" i="3"/>
  <c r="F2146" i="3"/>
  <c r="C2147" i="3"/>
  <c r="D2147" i="3"/>
  <c r="E2147" i="3"/>
  <c r="F2147" i="3"/>
  <c r="C2148" i="3"/>
  <c r="D2148" i="3"/>
  <c r="E2148" i="3"/>
  <c r="F2148" i="3"/>
  <c r="C2149" i="3"/>
  <c r="D2149" i="3"/>
  <c r="E2149" i="3"/>
  <c r="F2149" i="3"/>
  <c r="C2150" i="3"/>
  <c r="D2150" i="3"/>
  <c r="E2150" i="3"/>
  <c r="F2150" i="3"/>
  <c r="C2151" i="3"/>
  <c r="D2151" i="3"/>
  <c r="E2151" i="3"/>
  <c r="F2151" i="3"/>
  <c r="C2152" i="3"/>
  <c r="D2152" i="3"/>
  <c r="E2152" i="3"/>
  <c r="F2152" i="3"/>
  <c r="C2153" i="3"/>
  <c r="D2153" i="3"/>
  <c r="E2153" i="3"/>
  <c r="F2153" i="3"/>
  <c r="C2154" i="3"/>
  <c r="D2154" i="3"/>
  <c r="E2154" i="3"/>
  <c r="F2154" i="3"/>
  <c r="C2155" i="3"/>
  <c r="D2155" i="3"/>
  <c r="E2155" i="3"/>
  <c r="F2155" i="3"/>
  <c r="C2156" i="3"/>
  <c r="D2156" i="3"/>
  <c r="E2156" i="3"/>
  <c r="F2156" i="3"/>
  <c r="C2157" i="3"/>
  <c r="D2157" i="3"/>
  <c r="E2157" i="3"/>
  <c r="F2157" i="3"/>
  <c r="C2158" i="3"/>
  <c r="D2158" i="3"/>
  <c r="E2158" i="3"/>
  <c r="F2158" i="3"/>
  <c r="C2159" i="3"/>
  <c r="D2159" i="3"/>
  <c r="E2159" i="3"/>
  <c r="F2159" i="3"/>
  <c r="C2160" i="3"/>
  <c r="D2160" i="3"/>
  <c r="E2160" i="3"/>
  <c r="F2160" i="3"/>
  <c r="C2161" i="3"/>
  <c r="D2161" i="3"/>
  <c r="E2161" i="3"/>
  <c r="F2161" i="3"/>
  <c r="C2162" i="3"/>
  <c r="D2162" i="3"/>
  <c r="E2162" i="3"/>
  <c r="F2162" i="3"/>
  <c r="C2163" i="3"/>
  <c r="D2163" i="3"/>
  <c r="E2163" i="3"/>
  <c r="F2163" i="3"/>
  <c r="C2164" i="3"/>
  <c r="D2164" i="3"/>
  <c r="E2164" i="3"/>
  <c r="F2164" i="3"/>
  <c r="C2165" i="3"/>
  <c r="D2165" i="3"/>
  <c r="E2165" i="3"/>
  <c r="F2165" i="3"/>
  <c r="C2166" i="3"/>
  <c r="D2166" i="3"/>
  <c r="E2166" i="3"/>
  <c r="F2166" i="3"/>
  <c r="C2167" i="3"/>
  <c r="D2167" i="3"/>
  <c r="E2167" i="3"/>
  <c r="F2167" i="3"/>
  <c r="C2168" i="3"/>
  <c r="D2168" i="3"/>
  <c r="E2168" i="3"/>
  <c r="F2168" i="3"/>
  <c r="C2169" i="3"/>
  <c r="D2169" i="3"/>
  <c r="E2169" i="3"/>
  <c r="F2169" i="3"/>
  <c r="C2170" i="3"/>
  <c r="D2170" i="3"/>
  <c r="E2170" i="3"/>
  <c r="F2170" i="3"/>
  <c r="C2171" i="3"/>
  <c r="D2171" i="3"/>
  <c r="E2171" i="3"/>
  <c r="F2171" i="3"/>
  <c r="C2172" i="3"/>
  <c r="D2172" i="3"/>
  <c r="E2172" i="3"/>
  <c r="F2172" i="3"/>
  <c r="C2173" i="3"/>
  <c r="D2173" i="3"/>
  <c r="E2173" i="3"/>
  <c r="F2173" i="3"/>
  <c r="C2174" i="3"/>
  <c r="D2174" i="3"/>
  <c r="E2174" i="3"/>
  <c r="F2174" i="3"/>
  <c r="C2175" i="3"/>
  <c r="D2175" i="3"/>
  <c r="E2175" i="3"/>
  <c r="F2175" i="3"/>
  <c r="C2176" i="3"/>
  <c r="D2176" i="3"/>
  <c r="E2176" i="3"/>
  <c r="F2176" i="3"/>
  <c r="C2177" i="3"/>
  <c r="D2177" i="3"/>
  <c r="E2177" i="3"/>
  <c r="F2177" i="3"/>
  <c r="C2178" i="3"/>
  <c r="D2178" i="3"/>
  <c r="E2178" i="3"/>
  <c r="F2178" i="3"/>
  <c r="C2179" i="3"/>
  <c r="D2179" i="3"/>
  <c r="E2179" i="3"/>
  <c r="F2179" i="3"/>
  <c r="C2180" i="3"/>
  <c r="D2180" i="3"/>
  <c r="E2180" i="3"/>
  <c r="F2180" i="3"/>
  <c r="C2181" i="3"/>
  <c r="D2181" i="3"/>
  <c r="E2181" i="3"/>
  <c r="F2181" i="3"/>
  <c r="C2182" i="3"/>
  <c r="D2182" i="3"/>
  <c r="E2182" i="3"/>
  <c r="F2182" i="3"/>
  <c r="C2183" i="3"/>
  <c r="D2183" i="3"/>
  <c r="E2183" i="3"/>
  <c r="F2183" i="3"/>
  <c r="C2184" i="3"/>
  <c r="D2184" i="3"/>
  <c r="E2184" i="3"/>
  <c r="F2184" i="3"/>
  <c r="C2185" i="3"/>
  <c r="D2185" i="3"/>
  <c r="E2185" i="3"/>
  <c r="F2185" i="3"/>
  <c r="C2186" i="3"/>
  <c r="D2186" i="3"/>
  <c r="E2186" i="3"/>
  <c r="F2186" i="3"/>
  <c r="C2187" i="3"/>
  <c r="D2187" i="3"/>
  <c r="E2187" i="3"/>
  <c r="F2187" i="3"/>
  <c r="C2188" i="3"/>
  <c r="D2188" i="3"/>
  <c r="E2188" i="3"/>
  <c r="F2188" i="3"/>
  <c r="C2189" i="3"/>
  <c r="D2189" i="3"/>
  <c r="E2189" i="3"/>
  <c r="F2189" i="3"/>
  <c r="C2190" i="3"/>
  <c r="D2190" i="3"/>
  <c r="E2190" i="3"/>
  <c r="F2190" i="3"/>
  <c r="C2191" i="3"/>
  <c r="D2191" i="3"/>
  <c r="E2191" i="3"/>
  <c r="F2191" i="3"/>
  <c r="C2192" i="3"/>
  <c r="D2192" i="3"/>
  <c r="E2192" i="3"/>
  <c r="F2192" i="3"/>
  <c r="C2193" i="3"/>
  <c r="D2193" i="3"/>
  <c r="E2193" i="3"/>
  <c r="F2193" i="3"/>
  <c r="C2194" i="3"/>
  <c r="D2194" i="3"/>
  <c r="E2194" i="3"/>
  <c r="F2194" i="3"/>
  <c r="C2195" i="3"/>
  <c r="D2195" i="3"/>
  <c r="E2195" i="3"/>
  <c r="F2195" i="3"/>
  <c r="C2196" i="3"/>
  <c r="D2196" i="3"/>
  <c r="E2196" i="3"/>
  <c r="F2196" i="3"/>
  <c r="C2197" i="3"/>
  <c r="D2197" i="3"/>
  <c r="E2197" i="3"/>
  <c r="F2197" i="3"/>
  <c r="C2198" i="3"/>
  <c r="D2198" i="3"/>
  <c r="E2198" i="3"/>
  <c r="F2198" i="3"/>
  <c r="C2199" i="3"/>
  <c r="D2199" i="3"/>
  <c r="E2199" i="3"/>
  <c r="F2199" i="3"/>
  <c r="C2200" i="3"/>
  <c r="D2200" i="3"/>
  <c r="E2200" i="3"/>
  <c r="F2200" i="3"/>
  <c r="C2201" i="3"/>
  <c r="D2201" i="3"/>
  <c r="E2201" i="3"/>
  <c r="F2201" i="3"/>
  <c r="C2202" i="3"/>
  <c r="D2202" i="3"/>
  <c r="E2202" i="3"/>
  <c r="F2202" i="3"/>
  <c r="C2203" i="3"/>
  <c r="D2203" i="3"/>
  <c r="E2203" i="3"/>
  <c r="F2203" i="3"/>
  <c r="C2204" i="3"/>
  <c r="D2204" i="3"/>
  <c r="E2204" i="3"/>
  <c r="F2204" i="3"/>
  <c r="C2205" i="3"/>
  <c r="D2205" i="3"/>
  <c r="E2205" i="3"/>
  <c r="F2205" i="3"/>
  <c r="C2206" i="3"/>
  <c r="D2206" i="3"/>
  <c r="E2206" i="3"/>
  <c r="F2206" i="3"/>
  <c r="C2207" i="3"/>
  <c r="D2207" i="3"/>
  <c r="E2207" i="3"/>
  <c r="F2207" i="3"/>
  <c r="C2208" i="3"/>
  <c r="D2208" i="3"/>
  <c r="E2208" i="3"/>
  <c r="F2208" i="3"/>
  <c r="C2209" i="3"/>
  <c r="D2209" i="3"/>
  <c r="E2209" i="3"/>
  <c r="F2209" i="3"/>
  <c r="C2210" i="3"/>
  <c r="D2210" i="3"/>
  <c r="E2210" i="3"/>
  <c r="F2210" i="3"/>
  <c r="C2211" i="3"/>
  <c r="D2211" i="3"/>
  <c r="E2211" i="3"/>
  <c r="F2211" i="3"/>
  <c r="C2212" i="3"/>
  <c r="D2212" i="3"/>
  <c r="E2212" i="3"/>
  <c r="F2212" i="3"/>
  <c r="C2213" i="3"/>
  <c r="D2213" i="3"/>
  <c r="E2213" i="3"/>
  <c r="F2213" i="3"/>
  <c r="C2214" i="3"/>
  <c r="D2214" i="3"/>
  <c r="E2214" i="3"/>
  <c r="F2214" i="3"/>
  <c r="C2215" i="3"/>
  <c r="D2215" i="3"/>
  <c r="E2215" i="3"/>
  <c r="F2215" i="3"/>
  <c r="C2216" i="3"/>
  <c r="D2216" i="3"/>
  <c r="E2216" i="3"/>
  <c r="F2216" i="3"/>
  <c r="C2217" i="3"/>
  <c r="D2217" i="3"/>
  <c r="E2217" i="3"/>
  <c r="F2217" i="3"/>
  <c r="C2218" i="3"/>
  <c r="D2218" i="3"/>
  <c r="E2218" i="3"/>
  <c r="F2218" i="3"/>
  <c r="C2219" i="3"/>
  <c r="D2219" i="3"/>
  <c r="E2219" i="3"/>
  <c r="F2219" i="3"/>
  <c r="C2220" i="3"/>
  <c r="D2220" i="3"/>
  <c r="E2220" i="3"/>
  <c r="F2220" i="3"/>
  <c r="C2221" i="3"/>
  <c r="D2221" i="3"/>
  <c r="E2221" i="3"/>
  <c r="F2221" i="3"/>
  <c r="C2222" i="3"/>
  <c r="D2222" i="3"/>
  <c r="E2222" i="3"/>
  <c r="F2222" i="3"/>
  <c r="C2223" i="3"/>
  <c r="D2223" i="3"/>
  <c r="E2223" i="3"/>
  <c r="F2223" i="3"/>
  <c r="C2224" i="3"/>
  <c r="D2224" i="3"/>
  <c r="E2224" i="3"/>
  <c r="F2224" i="3"/>
  <c r="C2225" i="3"/>
  <c r="D2225" i="3"/>
  <c r="E2225" i="3"/>
  <c r="F2225" i="3"/>
  <c r="C2226" i="3"/>
  <c r="D2226" i="3"/>
  <c r="E2226" i="3"/>
  <c r="F2226" i="3"/>
  <c r="C2227" i="3"/>
  <c r="D2227" i="3"/>
  <c r="E2227" i="3"/>
  <c r="F2227" i="3"/>
  <c r="C2228" i="3"/>
  <c r="D2228" i="3"/>
  <c r="E2228" i="3"/>
  <c r="F2228" i="3"/>
  <c r="C2229" i="3"/>
  <c r="D2229" i="3"/>
  <c r="E2229" i="3"/>
  <c r="F2229" i="3"/>
  <c r="C2230" i="3"/>
  <c r="D2230" i="3"/>
  <c r="E2230" i="3"/>
  <c r="F2230" i="3"/>
  <c r="C2231" i="3"/>
  <c r="D2231" i="3"/>
  <c r="E2231" i="3"/>
  <c r="F2231" i="3"/>
  <c r="C2232" i="3"/>
  <c r="D2232" i="3"/>
  <c r="E2232" i="3"/>
  <c r="F2232" i="3"/>
  <c r="C2233" i="3"/>
  <c r="D2233" i="3"/>
  <c r="E2233" i="3"/>
  <c r="F2233" i="3"/>
  <c r="C2234" i="3"/>
  <c r="D2234" i="3"/>
  <c r="E2234" i="3"/>
  <c r="F2234" i="3"/>
  <c r="C2235" i="3"/>
  <c r="D2235" i="3"/>
  <c r="E2235" i="3"/>
  <c r="F2235" i="3"/>
  <c r="C2236" i="3"/>
  <c r="D2236" i="3"/>
  <c r="E2236" i="3"/>
  <c r="F2236" i="3"/>
  <c r="C2237" i="3"/>
  <c r="D2237" i="3"/>
  <c r="E2237" i="3"/>
  <c r="F2237" i="3"/>
  <c r="C2238" i="3"/>
  <c r="D2238" i="3"/>
  <c r="E2238" i="3"/>
  <c r="F2238" i="3"/>
  <c r="C2239" i="3"/>
  <c r="D2239" i="3"/>
  <c r="E2239" i="3"/>
  <c r="F2239" i="3"/>
  <c r="C2240" i="3"/>
  <c r="D2240" i="3"/>
  <c r="E2240" i="3"/>
  <c r="F2240" i="3"/>
  <c r="C2241" i="3"/>
  <c r="D2241" i="3"/>
  <c r="E2241" i="3"/>
  <c r="F2241" i="3"/>
  <c r="C2242" i="3"/>
  <c r="D2242" i="3"/>
  <c r="E2242" i="3"/>
  <c r="F2242" i="3"/>
  <c r="C2243" i="3"/>
  <c r="D2243" i="3"/>
  <c r="E2243" i="3"/>
  <c r="F2243" i="3"/>
  <c r="C2244" i="3"/>
  <c r="D2244" i="3"/>
  <c r="E2244" i="3"/>
  <c r="F2244" i="3"/>
  <c r="C2245" i="3"/>
  <c r="D2245" i="3"/>
  <c r="E2245" i="3"/>
  <c r="F2245" i="3"/>
  <c r="C2246" i="3"/>
  <c r="D2246" i="3"/>
  <c r="E2246" i="3"/>
  <c r="F2246" i="3"/>
  <c r="C2247" i="3"/>
  <c r="D2247" i="3"/>
  <c r="E2247" i="3"/>
  <c r="F2247" i="3"/>
  <c r="C2248" i="3"/>
  <c r="D2248" i="3"/>
  <c r="E2248" i="3"/>
  <c r="F2248" i="3"/>
  <c r="C2249" i="3"/>
  <c r="D2249" i="3"/>
  <c r="E2249" i="3"/>
  <c r="F2249" i="3"/>
  <c r="C2250" i="3"/>
  <c r="D2250" i="3"/>
  <c r="E2250" i="3"/>
  <c r="F2250" i="3"/>
  <c r="C2251" i="3"/>
  <c r="D2251" i="3"/>
  <c r="E2251" i="3"/>
  <c r="F2251" i="3"/>
  <c r="C2252" i="3"/>
  <c r="D2252" i="3"/>
  <c r="E2252" i="3"/>
  <c r="F2252" i="3"/>
  <c r="C2253" i="3"/>
  <c r="D2253" i="3"/>
  <c r="E2253" i="3"/>
  <c r="F2253" i="3"/>
  <c r="C2254" i="3"/>
  <c r="D2254" i="3"/>
  <c r="E2254" i="3"/>
  <c r="F2254" i="3"/>
  <c r="C2255" i="3"/>
  <c r="D2255" i="3"/>
  <c r="E2255" i="3"/>
  <c r="F2255" i="3"/>
  <c r="C2256" i="3"/>
  <c r="D2256" i="3"/>
  <c r="E2256" i="3"/>
  <c r="F2256" i="3"/>
  <c r="C2257" i="3"/>
  <c r="D2257" i="3"/>
  <c r="E2257" i="3"/>
  <c r="F2257" i="3"/>
  <c r="C2258" i="3"/>
  <c r="D2258" i="3"/>
  <c r="E2258" i="3"/>
  <c r="F2258" i="3"/>
  <c r="C2259" i="3"/>
  <c r="D2259" i="3"/>
  <c r="E2259" i="3"/>
  <c r="F2259" i="3"/>
  <c r="C2260" i="3"/>
  <c r="D2260" i="3"/>
  <c r="E2260" i="3"/>
  <c r="F2260" i="3"/>
  <c r="C2261" i="3"/>
  <c r="D2261" i="3"/>
  <c r="E2261" i="3"/>
  <c r="F2261" i="3"/>
  <c r="C2262" i="3"/>
  <c r="D2262" i="3"/>
  <c r="E2262" i="3"/>
  <c r="F2262" i="3"/>
  <c r="C2263" i="3"/>
  <c r="D2263" i="3"/>
  <c r="E2263" i="3"/>
  <c r="F2263" i="3"/>
  <c r="C2264" i="3"/>
  <c r="D2264" i="3"/>
  <c r="E2264" i="3"/>
  <c r="F2264" i="3"/>
  <c r="C2265" i="3"/>
  <c r="D2265" i="3"/>
  <c r="E2265" i="3"/>
  <c r="F2265" i="3"/>
  <c r="C2266" i="3"/>
  <c r="D2266" i="3"/>
  <c r="E2266" i="3"/>
  <c r="F2266" i="3"/>
  <c r="C2267" i="3"/>
  <c r="D2267" i="3"/>
  <c r="E2267" i="3"/>
  <c r="F2267" i="3"/>
  <c r="C2268" i="3"/>
  <c r="D2268" i="3"/>
  <c r="E2268" i="3"/>
  <c r="F2268" i="3"/>
  <c r="C2269" i="3"/>
  <c r="D2269" i="3"/>
  <c r="E2269" i="3"/>
  <c r="F2269" i="3"/>
  <c r="C2270" i="3"/>
  <c r="D2270" i="3"/>
  <c r="E2270" i="3"/>
  <c r="F2270" i="3"/>
  <c r="C2271" i="3"/>
  <c r="D2271" i="3"/>
  <c r="E2271" i="3"/>
  <c r="F2271" i="3"/>
  <c r="C2272" i="3"/>
  <c r="D2272" i="3"/>
  <c r="E2272" i="3"/>
  <c r="F2272" i="3"/>
  <c r="C2273" i="3"/>
  <c r="D2273" i="3"/>
  <c r="E2273" i="3"/>
  <c r="F2273" i="3"/>
  <c r="C2274" i="3"/>
  <c r="D2274" i="3"/>
  <c r="E2274" i="3"/>
  <c r="F2274" i="3"/>
  <c r="C2275" i="3"/>
  <c r="D2275" i="3"/>
  <c r="E2275" i="3"/>
  <c r="F2275" i="3"/>
  <c r="C2276" i="3"/>
  <c r="D2276" i="3"/>
  <c r="E2276" i="3"/>
  <c r="F2276" i="3"/>
  <c r="C2277" i="3"/>
  <c r="D2277" i="3"/>
  <c r="E2277" i="3"/>
  <c r="F2277" i="3"/>
  <c r="C2278" i="3"/>
  <c r="D2278" i="3"/>
  <c r="E2278" i="3"/>
  <c r="F2278" i="3"/>
  <c r="C2279" i="3"/>
  <c r="D2279" i="3"/>
  <c r="E2279" i="3"/>
  <c r="F2279" i="3"/>
  <c r="C2280" i="3"/>
  <c r="D2280" i="3"/>
  <c r="E2280" i="3"/>
  <c r="F2280" i="3"/>
  <c r="C2281" i="3"/>
  <c r="D2281" i="3"/>
  <c r="E2281" i="3"/>
  <c r="F2281" i="3"/>
  <c r="C2282" i="3"/>
  <c r="D2282" i="3"/>
  <c r="E2282" i="3"/>
  <c r="F2282" i="3"/>
  <c r="C2283" i="3"/>
  <c r="D2283" i="3"/>
  <c r="E2283" i="3"/>
  <c r="F2283" i="3"/>
  <c r="C2284" i="3"/>
  <c r="D2284" i="3"/>
  <c r="E2284" i="3"/>
  <c r="F2284" i="3"/>
  <c r="C2285" i="3"/>
  <c r="D2285" i="3"/>
  <c r="E2285" i="3"/>
  <c r="F2285" i="3"/>
  <c r="C2286" i="3"/>
  <c r="D2286" i="3"/>
  <c r="E2286" i="3"/>
  <c r="F2286" i="3"/>
  <c r="C2287" i="3"/>
  <c r="D2287" i="3"/>
  <c r="E2287" i="3"/>
  <c r="F2287" i="3"/>
  <c r="C2288" i="3"/>
  <c r="D2288" i="3"/>
  <c r="E2288" i="3"/>
  <c r="F2288" i="3"/>
  <c r="C2289" i="3"/>
  <c r="D2289" i="3"/>
  <c r="E2289" i="3"/>
  <c r="F2289" i="3"/>
  <c r="C2290" i="3"/>
  <c r="D2290" i="3"/>
  <c r="E2290" i="3"/>
  <c r="F2290" i="3"/>
  <c r="C2291" i="3"/>
  <c r="D2291" i="3"/>
  <c r="E2291" i="3"/>
  <c r="F2291" i="3"/>
  <c r="C2292" i="3"/>
  <c r="D2292" i="3"/>
  <c r="E2292" i="3"/>
  <c r="F2292" i="3"/>
  <c r="C2293" i="3"/>
  <c r="D2293" i="3"/>
  <c r="E2293" i="3"/>
  <c r="F2293" i="3"/>
  <c r="C2294" i="3"/>
  <c r="D2294" i="3"/>
  <c r="E2294" i="3"/>
  <c r="F2294" i="3"/>
  <c r="C2295" i="3"/>
  <c r="D2295" i="3"/>
  <c r="E2295" i="3"/>
  <c r="F2295" i="3"/>
  <c r="C2296" i="3"/>
  <c r="D2296" i="3"/>
  <c r="E2296" i="3"/>
  <c r="F2296" i="3"/>
  <c r="C2297" i="3"/>
  <c r="D2297" i="3"/>
  <c r="E2297" i="3"/>
  <c r="F2297" i="3"/>
  <c r="C2298" i="3"/>
  <c r="D2298" i="3"/>
  <c r="E2298" i="3"/>
  <c r="F2298" i="3"/>
  <c r="C2299" i="3"/>
  <c r="D2299" i="3"/>
  <c r="E2299" i="3"/>
  <c r="F2299" i="3"/>
  <c r="C2300" i="3"/>
  <c r="D2300" i="3"/>
  <c r="E2300" i="3"/>
  <c r="F2300" i="3"/>
  <c r="C2301" i="3"/>
  <c r="D2301" i="3"/>
  <c r="E2301" i="3"/>
  <c r="F2301" i="3"/>
  <c r="C2302" i="3"/>
  <c r="D2302" i="3"/>
  <c r="E2302" i="3"/>
  <c r="F2302" i="3"/>
  <c r="C2303" i="3"/>
  <c r="D2303" i="3"/>
  <c r="E2303" i="3"/>
  <c r="F2303" i="3"/>
  <c r="C2304" i="3"/>
  <c r="D2304" i="3"/>
  <c r="E2304" i="3"/>
  <c r="F2304" i="3"/>
  <c r="C2305" i="3"/>
  <c r="D2305" i="3"/>
  <c r="E2305" i="3"/>
  <c r="F2305" i="3"/>
  <c r="C2306" i="3"/>
  <c r="D2306" i="3"/>
  <c r="E2306" i="3"/>
  <c r="F2306" i="3"/>
  <c r="C2307" i="3"/>
  <c r="D2307" i="3"/>
  <c r="E2307" i="3"/>
  <c r="F2307" i="3"/>
  <c r="C2308" i="3"/>
  <c r="D2308" i="3"/>
  <c r="E2308" i="3"/>
  <c r="F2308" i="3"/>
  <c r="C2309" i="3"/>
  <c r="D2309" i="3"/>
  <c r="E2309" i="3"/>
  <c r="F2309" i="3"/>
  <c r="C2310" i="3"/>
  <c r="D2310" i="3"/>
  <c r="E2310" i="3"/>
  <c r="F2310" i="3"/>
  <c r="C2311" i="3"/>
  <c r="D2311" i="3"/>
  <c r="E2311" i="3"/>
  <c r="F2311" i="3"/>
  <c r="C2312" i="3"/>
  <c r="D2312" i="3"/>
  <c r="E2312" i="3"/>
  <c r="F2312" i="3"/>
  <c r="C2313" i="3"/>
  <c r="D2313" i="3"/>
  <c r="E2313" i="3"/>
  <c r="F2313" i="3"/>
  <c r="C2314" i="3"/>
  <c r="D2314" i="3"/>
  <c r="E2314" i="3"/>
  <c r="F2314" i="3"/>
  <c r="C2315" i="3"/>
  <c r="D2315" i="3"/>
  <c r="E2315" i="3"/>
  <c r="F2315" i="3"/>
  <c r="C2316" i="3"/>
  <c r="D2316" i="3"/>
  <c r="E2316" i="3"/>
  <c r="F2316" i="3"/>
  <c r="C2317" i="3"/>
  <c r="D2317" i="3"/>
  <c r="E2317" i="3"/>
  <c r="F2317" i="3"/>
  <c r="C2318" i="3"/>
  <c r="D2318" i="3"/>
  <c r="E2318" i="3"/>
  <c r="F2318" i="3"/>
  <c r="C2319" i="3"/>
  <c r="D2319" i="3"/>
  <c r="E2319" i="3"/>
  <c r="F2319" i="3"/>
  <c r="C2320" i="3"/>
  <c r="D2320" i="3"/>
  <c r="E2320" i="3"/>
  <c r="F2320" i="3"/>
  <c r="C2321" i="3"/>
  <c r="D2321" i="3"/>
  <c r="E2321" i="3"/>
  <c r="F2321" i="3"/>
  <c r="C2322" i="3"/>
  <c r="D2322" i="3"/>
  <c r="E2322" i="3"/>
  <c r="F2322" i="3"/>
  <c r="C2323" i="3"/>
  <c r="D2323" i="3"/>
  <c r="E2323" i="3"/>
  <c r="F2323" i="3"/>
  <c r="C2324" i="3"/>
  <c r="D2324" i="3"/>
  <c r="E2324" i="3"/>
  <c r="F2324" i="3"/>
  <c r="C2325" i="3"/>
  <c r="D2325" i="3"/>
  <c r="E2325" i="3"/>
  <c r="F2325" i="3"/>
  <c r="C2326" i="3"/>
  <c r="D2326" i="3"/>
  <c r="E2326" i="3"/>
  <c r="F2326" i="3"/>
  <c r="C2327" i="3"/>
  <c r="D2327" i="3"/>
  <c r="E2327" i="3"/>
  <c r="F2327" i="3"/>
  <c r="C2328" i="3"/>
  <c r="D2328" i="3"/>
  <c r="E2328" i="3"/>
  <c r="F2328" i="3"/>
  <c r="C2329" i="3"/>
  <c r="D2329" i="3"/>
  <c r="E2329" i="3"/>
  <c r="F2329" i="3"/>
  <c r="C2330" i="3"/>
  <c r="D2330" i="3"/>
  <c r="E2330" i="3"/>
  <c r="F2330" i="3"/>
  <c r="C2331" i="3"/>
  <c r="D2331" i="3"/>
  <c r="E2331" i="3"/>
  <c r="F2331" i="3"/>
  <c r="C2332" i="3"/>
  <c r="D2332" i="3"/>
  <c r="E2332" i="3"/>
  <c r="F2332" i="3"/>
  <c r="C2333" i="3"/>
  <c r="D2333" i="3"/>
  <c r="E2333" i="3"/>
  <c r="F2333" i="3"/>
  <c r="C2334" i="3"/>
  <c r="D2334" i="3"/>
  <c r="E2334" i="3"/>
  <c r="F2334" i="3"/>
  <c r="C2335" i="3"/>
  <c r="D2335" i="3"/>
  <c r="E2335" i="3"/>
  <c r="F2335" i="3"/>
  <c r="C2336" i="3"/>
  <c r="D2336" i="3"/>
  <c r="E2336" i="3"/>
  <c r="F2336" i="3"/>
  <c r="C2337" i="3"/>
  <c r="D2337" i="3"/>
  <c r="E2337" i="3"/>
  <c r="F2337" i="3"/>
  <c r="C2338" i="3"/>
  <c r="D2338" i="3"/>
  <c r="E2338" i="3"/>
  <c r="F2338" i="3"/>
  <c r="C2339" i="3"/>
  <c r="D2339" i="3"/>
  <c r="E2339" i="3"/>
  <c r="F2339" i="3"/>
  <c r="C2340" i="3"/>
  <c r="D2340" i="3"/>
  <c r="E2340" i="3"/>
  <c r="F2340" i="3"/>
  <c r="C2341" i="3"/>
  <c r="D2341" i="3"/>
  <c r="E2341" i="3"/>
  <c r="F2341" i="3"/>
  <c r="C2342" i="3"/>
  <c r="D2342" i="3"/>
  <c r="E2342" i="3"/>
  <c r="F2342" i="3"/>
  <c r="C2343" i="3"/>
  <c r="D2343" i="3"/>
  <c r="E2343" i="3"/>
  <c r="F2343" i="3"/>
  <c r="C2344" i="3"/>
  <c r="D2344" i="3"/>
  <c r="E2344" i="3"/>
  <c r="F2344" i="3"/>
  <c r="C2345" i="3"/>
  <c r="D2345" i="3"/>
  <c r="E2345" i="3"/>
  <c r="F2345" i="3"/>
  <c r="C2346" i="3"/>
  <c r="D2346" i="3"/>
  <c r="E2346" i="3"/>
  <c r="F2346" i="3"/>
  <c r="C2347" i="3"/>
  <c r="D2347" i="3"/>
  <c r="E2347" i="3"/>
  <c r="F2347" i="3"/>
  <c r="C2348" i="3"/>
  <c r="D2348" i="3"/>
  <c r="E2348" i="3"/>
  <c r="F2348" i="3"/>
  <c r="C2349" i="3"/>
  <c r="D2349" i="3"/>
  <c r="E2349" i="3"/>
  <c r="F2349" i="3"/>
  <c r="C2350" i="3"/>
  <c r="D2350" i="3"/>
  <c r="E2350" i="3"/>
  <c r="F2350" i="3"/>
  <c r="C2351" i="3"/>
  <c r="D2351" i="3"/>
  <c r="E2351" i="3"/>
  <c r="F2351" i="3"/>
  <c r="C2352" i="3"/>
  <c r="D2352" i="3"/>
  <c r="E2352" i="3"/>
  <c r="F2352" i="3"/>
  <c r="C2353" i="3"/>
  <c r="D2353" i="3"/>
  <c r="E2353" i="3"/>
  <c r="F2353" i="3"/>
  <c r="C2354" i="3"/>
  <c r="D2354" i="3"/>
  <c r="E2354" i="3"/>
  <c r="F2354" i="3"/>
  <c r="C2355" i="3"/>
  <c r="D2355" i="3"/>
  <c r="E2355" i="3"/>
  <c r="F2355" i="3"/>
  <c r="C2356" i="3"/>
  <c r="D2356" i="3"/>
  <c r="E2356" i="3"/>
  <c r="F2356" i="3"/>
  <c r="C2357" i="3"/>
  <c r="D2357" i="3"/>
  <c r="E2357" i="3"/>
  <c r="F2357" i="3"/>
  <c r="C2358" i="3"/>
  <c r="D2358" i="3"/>
  <c r="E2358" i="3"/>
  <c r="F2358" i="3"/>
  <c r="C2359" i="3"/>
  <c r="D2359" i="3"/>
  <c r="E2359" i="3"/>
  <c r="F2359" i="3"/>
  <c r="C2360" i="3"/>
  <c r="D2360" i="3"/>
  <c r="E2360" i="3"/>
  <c r="F2360" i="3"/>
  <c r="C2361" i="3"/>
  <c r="D2361" i="3"/>
  <c r="E2361" i="3"/>
  <c r="F2361" i="3"/>
  <c r="C2362" i="3"/>
  <c r="D2362" i="3"/>
  <c r="E2362" i="3"/>
  <c r="F2362" i="3"/>
  <c r="C2363" i="3"/>
  <c r="D2363" i="3"/>
  <c r="E2363" i="3"/>
  <c r="F2363" i="3"/>
  <c r="C2364" i="3"/>
  <c r="D2364" i="3"/>
  <c r="E2364" i="3"/>
  <c r="F2364" i="3"/>
  <c r="C2365" i="3"/>
  <c r="D2365" i="3"/>
  <c r="E2365" i="3"/>
  <c r="F2365" i="3"/>
  <c r="C2366" i="3"/>
  <c r="D2366" i="3"/>
  <c r="E2366" i="3"/>
  <c r="F2366" i="3"/>
  <c r="C2367" i="3"/>
  <c r="D2367" i="3"/>
  <c r="E2367" i="3"/>
  <c r="F2367" i="3"/>
  <c r="C2368" i="3"/>
  <c r="D2368" i="3"/>
  <c r="E2368" i="3"/>
  <c r="F2368" i="3"/>
  <c r="C2369" i="3"/>
  <c r="D2369" i="3"/>
  <c r="E2369" i="3"/>
  <c r="F2369" i="3"/>
  <c r="C2370" i="3"/>
  <c r="D2370" i="3"/>
  <c r="E2370" i="3"/>
  <c r="F2370" i="3"/>
  <c r="C2371" i="3"/>
  <c r="D2371" i="3"/>
  <c r="E2371" i="3"/>
  <c r="F2371" i="3"/>
  <c r="C2372" i="3"/>
  <c r="D2372" i="3"/>
  <c r="E2372" i="3"/>
  <c r="F2372" i="3"/>
  <c r="C2373" i="3"/>
  <c r="D2373" i="3"/>
  <c r="E2373" i="3"/>
  <c r="F2373" i="3"/>
  <c r="C2374" i="3"/>
  <c r="D2374" i="3"/>
  <c r="E2374" i="3"/>
  <c r="F2374" i="3"/>
  <c r="C2375" i="3"/>
  <c r="D2375" i="3"/>
  <c r="E2375" i="3"/>
  <c r="F2375" i="3"/>
  <c r="C2376" i="3"/>
  <c r="D2376" i="3"/>
  <c r="E2376" i="3"/>
  <c r="F2376" i="3"/>
  <c r="C2377" i="3"/>
  <c r="D2377" i="3"/>
  <c r="E2377" i="3"/>
  <c r="F2377" i="3"/>
  <c r="C2378" i="3"/>
  <c r="D2378" i="3"/>
  <c r="E2378" i="3"/>
  <c r="F2378" i="3"/>
  <c r="C2379" i="3"/>
  <c r="D2379" i="3"/>
  <c r="E2379" i="3"/>
  <c r="F2379" i="3"/>
  <c r="C2380" i="3"/>
  <c r="D2380" i="3"/>
  <c r="E2380" i="3"/>
  <c r="F2380" i="3"/>
  <c r="C2381" i="3"/>
  <c r="D2381" i="3"/>
  <c r="E2381" i="3"/>
  <c r="F2381" i="3"/>
  <c r="C2382" i="3"/>
  <c r="D2382" i="3"/>
  <c r="E2382" i="3"/>
  <c r="F2382" i="3"/>
  <c r="C2383" i="3"/>
  <c r="D2383" i="3"/>
  <c r="E2383" i="3"/>
  <c r="F2383" i="3"/>
  <c r="C2384" i="3"/>
  <c r="D2384" i="3"/>
  <c r="E2384" i="3"/>
  <c r="F2384" i="3"/>
  <c r="C2385" i="3"/>
  <c r="D2385" i="3"/>
  <c r="E2385" i="3"/>
  <c r="F2385" i="3"/>
  <c r="C2386" i="3"/>
  <c r="D2386" i="3"/>
  <c r="E2386" i="3"/>
  <c r="F2386" i="3"/>
  <c r="C2387" i="3"/>
  <c r="D2387" i="3"/>
  <c r="E2387" i="3"/>
  <c r="F2387" i="3"/>
  <c r="C2388" i="3"/>
  <c r="D2388" i="3"/>
  <c r="E2388" i="3"/>
  <c r="F2388" i="3"/>
  <c r="C2389" i="3"/>
  <c r="D2389" i="3"/>
  <c r="E2389" i="3"/>
  <c r="F2389" i="3"/>
  <c r="C2390" i="3"/>
  <c r="D2390" i="3"/>
  <c r="E2390" i="3"/>
  <c r="F2390" i="3"/>
  <c r="C2391" i="3"/>
  <c r="D2391" i="3"/>
  <c r="E2391" i="3"/>
  <c r="F2391" i="3"/>
  <c r="C2392" i="3"/>
  <c r="D2392" i="3"/>
  <c r="E2392" i="3"/>
  <c r="F2392" i="3"/>
  <c r="C2393" i="3"/>
  <c r="D2393" i="3"/>
  <c r="E2393" i="3"/>
  <c r="F2393" i="3"/>
  <c r="C2394" i="3"/>
  <c r="D2394" i="3"/>
  <c r="E2394" i="3"/>
  <c r="F2394" i="3"/>
  <c r="C2395" i="3"/>
  <c r="D2395" i="3"/>
  <c r="E2395" i="3"/>
  <c r="F2395" i="3"/>
  <c r="C2396" i="3"/>
  <c r="D2396" i="3"/>
  <c r="E2396" i="3"/>
  <c r="F2396" i="3"/>
  <c r="C2397" i="3"/>
  <c r="D2397" i="3"/>
  <c r="E2397" i="3"/>
  <c r="F2397" i="3"/>
  <c r="C2398" i="3"/>
  <c r="D2398" i="3"/>
  <c r="E2398" i="3"/>
  <c r="F2398" i="3"/>
  <c r="C2399" i="3"/>
  <c r="D2399" i="3"/>
  <c r="E2399" i="3"/>
  <c r="F2399" i="3"/>
  <c r="C2400" i="3"/>
  <c r="D2400" i="3"/>
  <c r="E2400" i="3"/>
  <c r="F2400" i="3"/>
  <c r="C2401" i="3"/>
  <c r="D2401" i="3"/>
  <c r="E2401" i="3"/>
  <c r="F2401" i="3"/>
  <c r="C2402" i="3"/>
  <c r="D2402" i="3"/>
  <c r="E2402" i="3"/>
  <c r="F2402" i="3"/>
  <c r="C2403" i="3"/>
  <c r="D2403" i="3"/>
  <c r="E2403" i="3"/>
  <c r="F2403" i="3"/>
  <c r="C2404" i="3"/>
  <c r="D2404" i="3"/>
  <c r="E2404" i="3"/>
  <c r="F2404" i="3"/>
  <c r="C2405" i="3"/>
  <c r="D2405" i="3"/>
  <c r="E2405" i="3"/>
  <c r="F2405" i="3"/>
  <c r="C2406" i="3"/>
  <c r="D2406" i="3"/>
  <c r="E2406" i="3"/>
  <c r="F2406" i="3"/>
  <c r="C2407" i="3"/>
  <c r="D2407" i="3"/>
  <c r="E2407" i="3"/>
  <c r="F2407" i="3"/>
  <c r="C2408" i="3"/>
  <c r="D2408" i="3"/>
  <c r="E2408" i="3"/>
  <c r="F2408" i="3"/>
  <c r="C2409" i="3"/>
  <c r="D2409" i="3"/>
  <c r="E2409" i="3"/>
  <c r="F2409" i="3"/>
  <c r="C2410" i="3"/>
  <c r="D2410" i="3"/>
  <c r="E2410" i="3"/>
  <c r="F2410" i="3"/>
  <c r="C2411" i="3"/>
  <c r="D2411" i="3"/>
  <c r="E2411" i="3"/>
  <c r="F2411" i="3"/>
  <c r="C2412" i="3"/>
  <c r="D2412" i="3"/>
  <c r="E2412" i="3"/>
  <c r="F2412" i="3"/>
  <c r="C2413" i="3"/>
  <c r="D2413" i="3"/>
  <c r="E2413" i="3"/>
  <c r="F2413" i="3"/>
  <c r="C2414" i="3"/>
  <c r="D2414" i="3"/>
  <c r="E2414" i="3"/>
  <c r="F2414" i="3"/>
  <c r="C2415" i="3"/>
  <c r="D2415" i="3"/>
  <c r="E2415" i="3"/>
  <c r="F2415" i="3"/>
  <c r="C2416" i="3"/>
  <c r="D2416" i="3"/>
  <c r="E2416" i="3"/>
  <c r="F2416" i="3"/>
  <c r="C2417" i="3"/>
  <c r="D2417" i="3"/>
  <c r="E2417" i="3"/>
  <c r="F2417" i="3"/>
  <c r="C2418" i="3"/>
  <c r="D2418" i="3"/>
  <c r="E2418" i="3"/>
  <c r="F2418" i="3"/>
  <c r="C2419" i="3"/>
  <c r="D2419" i="3"/>
  <c r="E2419" i="3"/>
  <c r="F2419" i="3"/>
  <c r="C2420" i="3"/>
  <c r="D2420" i="3"/>
  <c r="E2420" i="3"/>
  <c r="F2420" i="3"/>
  <c r="C2421" i="3"/>
  <c r="D2421" i="3"/>
  <c r="E2421" i="3"/>
  <c r="F2421" i="3"/>
  <c r="C2422" i="3"/>
  <c r="D2422" i="3"/>
  <c r="E2422" i="3"/>
  <c r="F2422" i="3"/>
  <c r="C2423" i="3"/>
  <c r="D2423" i="3"/>
  <c r="E2423" i="3"/>
  <c r="F2423" i="3"/>
  <c r="C2424" i="3"/>
  <c r="D2424" i="3"/>
  <c r="E2424" i="3"/>
  <c r="F2424" i="3"/>
  <c r="C2425" i="3"/>
  <c r="D2425" i="3"/>
  <c r="E2425" i="3"/>
  <c r="F2425" i="3"/>
  <c r="C2426" i="3"/>
  <c r="D2426" i="3"/>
  <c r="E2426" i="3"/>
  <c r="F2426" i="3"/>
  <c r="C2427" i="3"/>
  <c r="D2427" i="3"/>
  <c r="E2427" i="3"/>
  <c r="F2427" i="3"/>
  <c r="C2428" i="3"/>
  <c r="D2428" i="3"/>
  <c r="E2428" i="3"/>
  <c r="F2428" i="3"/>
  <c r="C2429" i="3"/>
  <c r="D2429" i="3"/>
  <c r="E2429" i="3"/>
  <c r="F2429" i="3"/>
  <c r="C2430" i="3"/>
  <c r="D2430" i="3"/>
  <c r="E2430" i="3"/>
  <c r="F2430" i="3"/>
  <c r="C2431" i="3"/>
  <c r="D2431" i="3"/>
  <c r="E2431" i="3"/>
  <c r="F2431" i="3"/>
  <c r="C2432" i="3"/>
  <c r="D2432" i="3"/>
  <c r="E2432" i="3"/>
  <c r="F2432" i="3"/>
  <c r="C2433" i="3"/>
  <c r="D2433" i="3"/>
  <c r="E2433" i="3"/>
  <c r="F2433" i="3"/>
  <c r="C2434" i="3"/>
  <c r="D2434" i="3"/>
  <c r="E2434" i="3"/>
  <c r="F2434" i="3"/>
  <c r="C2435" i="3"/>
  <c r="D2435" i="3"/>
  <c r="E2435" i="3"/>
  <c r="F2435" i="3"/>
  <c r="C2436" i="3"/>
  <c r="D2436" i="3"/>
  <c r="E2436" i="3"/>
  <c r="F2436" i="3"/>
  <c r="C2437" i="3"/>
  <c r="D2437" i="3"/>
  <c r="E2437" i="3"/>
  <c r="F2437" i="3"/>
  <c r="C2438" i="3"/>
  <c r="D2438" i="3"/>
  <c r="E2438" i="3"/>
  <c r="F2438" i="3"/>
  <c r="C2439" i="3"/>
  <c r="D2439" i="3"/>
  <c r="E2439" i="3"/>
  <c r="F2439" i="3"/>
  <c r="C2440" i="3"/>
  <c r="D2440" i="3"/>
  <c r="E2440" i="3"/>
  <c r="F2440" i="3"/>
  <c r="C2441" i="3"/>
  <c r="D2441" i="3"/>
  <c r="E2441" i="3"/>
  <c r="F2441" i="3"/>
  <c r="C2442" i="3"/>
  <c r="D2442" i="3"/>
  <c r="E2442" i="3"/>
  <c r="F2442" i="3"/>
  <c r="C2443" i="3"/>
  <c r="D2443" i="3"/>
  <c r="E2443" i="3"/>
  <c r="F2443" i="3"/>
  <c r="C2444" i="3"/>
  <c r="D2444" i="3"/>
  <c r="E2444" i="3"/>
  <c r="F2444" i="3"/>
  <c r="C2445" i="3"/>
  <c r="D2445" i="3"/>
  <c r="E2445" i="3"/>
  <c r="F2445" i="3"/>
  <c r="C2446" i="3"/>
  <c r="D2446" i="3"/>
  <c r="E2446" i="3"/>
  <c r="F2446" i="3"/>
  <c r="C2447" i="3"/>
  <c r="D2447" i="3"/>
  <c r="E2447" i="3"/>
  <c r="F2447" i="3"/>
  <c r="C2448" i="3"/>
  <c r="D2448" i="3"/>
  <c r="E2448" i="3"/>
  <c r="F2448" i="3"/>
  <c r="C2449" i="3"/>
  <c r="D2449" i="3"/>
  <c r="E2449" i="3"/>
  <c r="F2449" i="3"/>
  <c r="C2450" i="3"/>
  <c r="D2450" i="3"/>
  <c r="E2450" i="3"/>
  <c r="F2450" i="3"/>
  <c r="C2451" i="3"/>
  <c r="D2451" i="3"/>
  <c r="E2451" i="3"/>
  <c r="F2451" i="3"/>
  <c r="C2452" i="3"/>
  <c r="D2452" i="3"/>
  <c r="E2452" i="3"/>
  <c r="F2452" i="3"/>
  <c r="C2453" i="3"/>
  <c r="D2453" i="3"/>
  <c r="E2453" i="3"/>
  <c r="F2453" i="3"/>
  <c r="C2454" i="3"/>
  <c r="D2454" i="3"/>
  <c r="E2454" i="3"/>
  <c r="F2454" i="3"/>
  <c r="C2455" i="3"/>
  <c r="D2455" i="3"/>
  <c r="E2455" i="3"/>
  <c r="F2455" i="3"/>
  <c r="C2456" i="3"/>
  <c r="D2456" i="3"/>
  <c r="E2456" i="3"/>
  <c r="F2456" i="3"/>
  <c r="C2457" i="3"/>
  <c r="D2457" i="3"/>
  <c r="E2457" i="3"/>
  <c r="F2457" i="3"/>
  <c r="C2458" i="3"/>
  <c r="D2458" i="3"/>
  <c r="E2458" i="3"/>
  <c r="F2458" i="3"/>
  <c r="C2459" i="3"/>
  <c r="D2459" i="3"/>
  <c r="E2459" i="3"/>
  <c r="F2459" i="3"/>
  <c r="C2460" i="3"/>
  <c r="D2460" i="3"/>
  <c r="E2460" i="3"/>
  <c r="F2460" i="3"/>
  <c r="C2461" i="3"/>
  <c r="D2461" i="3"/>
  <c r="E2461" i="3"/>
  <c r="F2461" i="3"/>
  <c r="C2462" i="3"/>
  <c r="D2462" i="3"/>
  <c r="E2462" i="3"/>
  <c r="F2462" i="3"/>
  <c r="C2463" i="3"/>
  <c r="D2463" i="3"/>
  <c r="E2463" i="3"/>
  <c r="F2463" i="3"/>
  <c r="C2464" i="3"/>
  <c r="D2464" i="3"/>
  <c r="E2464" i="3"/>
  <c r="F2464" i="3"/>
  <c r="C2465" i="3"/>
  <c r="D2465" i="3"/>
  <c r="E2465" i="3"/>
  <c r="F2465" i="3"/>
  <c r="C2466" i="3"/>
  <c r="D2466" i="3"/>
  <c r="E2466" i="3"/>
  <c r="F2466" i="3"/>
  <c r="C2467" i="3"/>
  <c r="D2467" i="3"/>
  <c r="E2467" i="3"/>
  <c r="F2467" i="3"/>
  <c r="C2468" i="3"/>
  <c r="D2468" i="3"/>
  <c r="E2468" i="3"/>
  <c r="F2468" i="3"/>
  <c r="C2469" i="3"/>
  <c r="D2469" i="3"/>
  <c r="E2469" i="3"/>
  <c r="F2469" i="3"/>
  <c r="C2470" i="3"/>
  <c r="D2470" i="3"/>
  <c r="E2470" i="3"/>
  <c r="F2470" i="3"/>
  <c r="C2471" i="3"/>
  <c r="D2471" i="3"/>
  <c r="E2471" i="3"/>
  <c r="F2471" i="3"/>
  <c r="C2472" i="3"/>
  <c r="D2472" i="3"/>
  <c r="E2472" i="3"/>
  <c r="F2472" i="3"/>
  <c r="C2473" i="3"/>
  <c r="D2473" i="3"/>
  <c r="E2473" i="3"/>
  <c r="F2473" i="3"/>
  <c r="C2474" i="3"/>
  <c r="D2474" i="3"/>
  <c r="E2474" i="3"/>
  <c r="F2474" i="3"/>
  <c r="C2475" i="3"/>
  <c r="D2475" i="3"/>
  <c r="E2475" i="3"/>
  <c r="F2475" i="3"/>
  <c r="H1668" i="3" l="1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07" i="2"/>
  <c r="G8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D5" i="2"/>
  <c r="G3" i="2" l="1"/>
  <c r="G4" i="2" s="1"/>
  <c r="G5" i="2" s="1"/>
  <c r="B9" i="2" l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</calcChain>
</file>

<file path=xl/sharedStrings.xml><?xml version="1.0" encoding="utf-8"?>
<sst xmlns="http://schemas.openxmlformats.org/spreadsheetml/2006/main" count="4875" uniqueCount="4030">
  <si>
    <t>CODIGOS</t>
  </si>
  <si>
    <t>DESCRIPCION DEL PRODUCTO</t>
  </si>
  <si>
    <t>A24W451-1</t>
  </si>
  <si>
    <t>LOXON XP MATE BASE EXTRA WHITE</t>
  </si>
  <si>
    <t>A24W451-5</t>
  </si>
  <si>
    <t>A24W453-1</t>
  </si>
  <si>
    <t>LOXON XP MATE BASE DEEP</t>
  </si>
  <si>
    <t>A24W453-5</t>
  </si>
  <si>
    <t>A24T454-1</t>
  </si>
  <si>
    <t>LOXON XP MATE BASE ULTRA DEEP</t>
  </si>
  <si>
    <t>A24T454-5</t>
  </si>
  <si>
    <t>A24W457-1</t>
  </si>
  <si>
    <t>A24W457-5</t>
  </si>
  <si>
    <t>Y4RSA58-1</t>
  </si>
  <si>
    <t>EXTERIOR ACCENT LATEX MATE BASE PRIMARY RED</t>
  </si>
  <si>
    <t>Y4TSA54-1</t>
  </si>
  <si>
    <t>EXTERIOR ACCENT LATEX MATE BASE CHROMA</t>
  </si>
  <si>
    <t>Y4YSA57-1</t>
  </si>
  <si>
    <t>Y4YSA57-5</t>
  </si>
  <si>
    <t>EXTERIOR ACCENT LATEX MATE BASE VIVID YELLOW</t>
  </si>
  <si>
    <t>Y4RSA158-1</t>
  </si>
  <si>
    <t>EXTERIOR ACCENT LATEX SATINADO BASE PRIMARY RED</t>
  </si>
  <si>
    <t>Y4TSA154-1</t>
  </si>
  <si>
    <t>EXTERIOR ACCENT LATEX SATINADO BASE CHROMA</t>
  </si>
  <si>
    <t>Y4YSA157-1</t>
  </si>
  <si>
    <t>EXTERIOR ACCENT LATEX SATINADO BASE VIVID YELLOW</t>
  </si>
  <si>
    <t>Y4YSA157-5</t>
  </si>
  <si>
    <t>Y21YSA157-1/4</t>
  </si>
  <si>
    <t>COLORACCENTS LATEX INTERIOR MATE BASE BRIGHT YELLOW</t>
  </si>
  <si>
    <t>Y21RSA158-1/4</t>
  </si>
  <si>
    <t>COLORACCENTS LATEX INTERIOR MATE BASE REAL RED</t>
  </si>
  <si>
    <t>Y21TSA154-1/4</t>
  </si>
  <si>
    <t>COLORACCENTS LATEX INTERIOR MATE BASE ULTRA DEEP</t>
  </si>
  <si>
    <t>Y21YSA157-1</t>
  </si>
  <si>
    <t>Y21RSA158-1</t>
  </si>
  <si>
    <t>Y21TSA154-1</t>
  </si>
  <si>
    <t>Y21TSA154-5</t>
  </si>
  <si>
    <t>Y38YSA157-1</t>
  </si>
  <si>
    <t>COLORACCENTS LATEX INTERIOR SATINADO BASE BRIGHT YELLOW</t>
  </si>
  <si>
    <t>Y38RSA158-1</t>
  </si>
  <si>
    <t>COLORACCENTS LATEX INTERIOR SATINADO BASE REAL RED</t>
  </si>
  <si>
    <t>Y38TSA154-1</t>
  </si>
  <si>
    <t>COLORACCENTS LATEX INTERIOR SATINADO BASE ULTRA DEEP</t>
  </si>
  <si>
    <t>Y14TSA154-1</t>
  </si>
  <si>
    <t>A86W57-1</t>
  </si>
  <si>
    <t>SUPERPAINT INTERIOR MATE BLANCO</t>
  </si>
  <si>
    <t>A86WSA51-1</t>
  </si>
  <si>
    <t>SUPERPAINT INTERIOR MATE BASE EXTRA WHITE</t>
  </si>
  <si>
    <t>A86WSA53-1</t>
  </si>
  <si>
    <t>SUPERPAINT INTERIOR MATE BASE DEEP</t>
  </si>
  <si>
    <t>A86TSA54-1</t>
  </si>
  <si>
    <t>SUPERPAINT INTERIOR MATE BASE ULTRA DEEP</t>
  </si>
  <si>
    <t>A86W57-5</t>
  </si>
  <si>
    <t>A86WSA51-5</t>
  </si>
  <si>
    <t>A86WSA53-5</t>
  </si>
  <si>
    <t>A86TSA54-5</t>
  </si>
  <si>
    <t>A80TSA54-1</t>
  </si>
  <si>
    <t>A80WSA51-1</t>
  </si>
  <si>
    <t>SUPERPAINT EXTERIOR MATE BASE EXTRA WHITE</t>
  </si>
  <si>
    <t>A80WSA53-1</t>
  </si>
  <si>
    <t>SUPERPAINT EXTERIOR MATE BASE DEEP</t>
  </si>
  <si>
    <t>A80YSA56-1</t>
  </si>
  <si>
    <t>SUPERPAINT EXTERIOR MATE BASE LIGHT YELLOW</t>
  </si>
  <si>
    <t>A80WSA1-1</t>
  </si>
  <si>
    <t>SUPERPAINT EXTERIOR LATEX MATE WHITE</t>
  </si>
  <si>
    <t>A80TSA54-5</t>
  </si>
  <si>
    <t>A80WSA51-5</t>
  </si>
  <si>
    <t>A80WSA53-5</t>
  </si>
  <si>
    <t>A80YSA56-5</t>
  </si>
  <si>
    <t>A80WSA1-5</t>
  </si>
  <si>
    <t>A89TSA54-1</t>
  </si>
  <si>
    <t>SUPERPAINT EXTERIOR SATINADO BASE ULTRA DEEP</t>
  </si>
  <si>
    <t>A89WSA51-1</t>
  </si>
  <si>
    <t>A89WSA53-1</t>
  </si>
  <si>
    <t>SUPERPAINT EXTERIOR SATINADO BASE DEEP</t>
  </si>
  <si>
    <t>A89YSA56-1</t>
  </si>
  <si>
    <t>SUPERPAINT EXTERIOR SATINADO BASE LIGHT YELLOW</t>
  </si>
  <si>
    <t>A89WSA1-1</t>
  </si>
  <si>
    <t>SUPERPAINT EXTERIOR SATINADO BLANCO</t>
  </si>
  <si>
    <t>A89TSA54-5</t>
  </si>
  <si>
    <t>A89WSA51-5</t>
  </si>
  <si>
    <t>A89WSA53-5</t>
  </si>
  <si>
    <t>A89YSA56-5</t>
  </si>
  <si>
    <t>A89WSA1-5</t>
  </si>
  <si>
    <t>B5WSA61-1</t>
  </si>
  <si>
    <t>B5WSA6051-1</t>
  </si>
  <si>
    <t>B5WSA6053-1</t>
  </si>
  <si>
    <t>B5TSA6054-1</t>
  </si>
  <si>
    <t>B5WSA61-5</t>
  </si>
  <si>
    <t>B5WSA6051-5</t>
  </si>
  <si>
    <t>B5WSA6053-5</t>
  </si>
  <si>
    <t>B5TSA6054-5</t>
  </si>
  <si>
    <t>B79WSA28-1</t>
  </si>
  <si>
    <t>B79WSA4051-1</t>
  </si>
  <si>
    <t>B79WSA4053-1</t>
  </si>
  <si>
    <t>B79TSA4054-1</t>
  </si>
  <si>
    <t>B79WSA28-5</t>
  </si>
  <si>
    <t>B79WSA4051-5</t>
  </si>
  <si>
    <t>B79WSA4053-5</t>
  </si>
  <si>
    <t>B79TSA4054-5</t>
  </si>
  <si>
    <t>A28W57-1</t>
  </si>
  <si>
    <t>EXCELLO ONE COAT BLANCO</t>
  </si>
  <si>
    <t>A28W57-5</t>
  </si>
  <si>
    <t>B5RSA17-1/4</t>
  </si>
  <si>
    <t>EXCELLO LATEX MATE ROJO LADRILLO QUEMADO</t>
  </si>
  <si>
    <t>B5WSA7-1/4</t>
  </si>
  <si>
    <t>B5WSA10-1/4</t>
  </si>
  <si>
    <t>EXCELLO LATEX MATE BLANCO DOVER</t>
  </si>
  <si>
    <t>B5W57-1/4</t>
  </si>
  <si>
    <t>EXCELLO LATEX MATE BLANCO</t>
  </si>
  <si>
    <t>B5A36-1</t>
  </si>
  <si>
    <t>EXCELLO LATEX MATE GRIS PERLA</t>
  </si>
  <si>
    <t>B5BSA1-1</t>
  </si>
  <si>
    <t>EXCELLO LATEX MATE NEGRO</t>
  </si>
  <si>
    <t>B5ESA3-1</t>
  </si>
  <si>
    <t>B5ESA11-1</t>
  </si>
  <si>
    <t>EXCELLO LATEX MATE MELON</t>
  </si>
  <si>
    <t>B5G84-1</t>
  </si>
  <si>
    <t>EXCELLO LATEX MATE VERDE ALEGRE</t>
  </si>
  <si>
    <t>B5GSA56-1</t>
  </si>
  <si>
    <t>B5H22-1</t>
  </si>
  <si>
    <t>EXCELLO LATEX MATE MARFIL</t>
  </si>
  <si>
    <t>B5HSA6-1</t>
  </si>
  <si>
    <t>EXCELLO LATEX MATE MARFIL SUAVE</t>
  </si>
  <si>
    <t>B5LSA5-1</t>
  </si>
  <si>
    <t>EXCELLO LATEX MATE AZUL CENICIENTA</t>
  </si>
  <si>
    <t>B5LSA10-1</t>
  </si>
  <si>
    <t>EXCELLO LATEX MATE CELESTE INFINITO</t>
  </si>
  <si>
    <t>B5LSA47-1</t>
  </si>
  <si>
    <t>EXCELLO LATEX MATE AZUL INFINITO</t>
  </si>
  <si>
    <t>B5N62-1</t>
  </si>
  <si>
    <t>EXCELLO LATEX MATE BEIGE ARENA</t>
  </si>
  <si>
    <t>B5RSA17-1</t>
  </si>
  <si>
    <t>B5WSA7-1</t>
  </si>
  <si>
    <t>B5WSA10-1</t>
  </si>
  <si>
    <t>B5WSA12-1</t>
  </si>
  <si>
    <t>EXCELLO LATEX MATE BLANCO NAVAJO</t>
  </si>
  <si>
    <t>B5WSA47-1</t>
  </si>
  <si>
    <t>B5W57-1</t>
  </si>
  <si>
    <t>B5ASA41-1</t>
  </si>
  <si>
    <t>EXCELLO LATEX MATE GRIS METEORO</t>
  </si>
  <si>
    <t>B5ESA33-1</t>
  </si>
  <si>
    <t>EXCELLO LATEX MATE NARANJA ENERGIA</t>
  </si>
  <si>
    <t>B5GSA74-1</t>
  </si>
  <si>
    <t>EXCELLO LATEX MATE AQUA REFRESCANTE</t>
  </si>
  <si>
    <t>B5YSA76-1</t>
  </si>
  <si>
    <t>B5A36-5</t>
  </si>
  <si>
    <t>B5BSA1-5</t>
  </si>
  <si>
    <t>B5ESA3-5</t>
  </si>
  <si>
    <t>B5ESA11-5</t>
  </si>
  <si>
    <t>B5G84-5</t>
  </si>
  <si>
    <t>B5GSA56-5</t>
  </si>
  <si>
    <t>B5H22-5</t>
  </si>
  <si>
    <t>B5HSA6-5</t>
  </si>
  <si>
    <t>B5LSA5-5</t>
  </si>
  <si>
    <t>B5LSA10-5</t>
  </si>
  <si>
    <t>B5LSA47-5</t>
  </si>
  <si>
    <t>B5N62-5</t>
  </si>
  <si>
    <t>B5RSA17-5</t>
  </si>
  <si>
    <t>B5WSA7-5</t>
  </si>
  <si>
    <t>B5WSA10-5</t>
  </si>
  <si>
    <t>B5WSA12-5</t>
  </si>
  <si>
    <t>B5WSA47-5</t>
  </si>
  <si>
    <t>B5W57-5</t>
  </si>
  <si>
    <t>B5ASA41-5</t>
  </si>
  <si>
    <t>B5ESA33-5</t>
  </si>
  <si>
    <t>B5GSA74-5</t>
  </si>
  <si>
    <t>B5YSA76-5</t>
  </si>
  <si>
    <t>B5YSA41-1</t>
  </si>
  <si>
    <t>EXCELLO LATEX MATE YELLOW GOLD</t>
  </si>
  <si>
    <t>B5YSA41-5</t>
  </si>
  <si>
    <t>A8W57-1</t>
  </si>
  <si>
    <t>EXCELLO LATEX SEMI BRILLANTE BLANCO</t>
  </si>
  <si>
    <t>A8WSA7-1</t>
  </si>
  <si>
    <t>EXCELLO LATEX SEMI BRILLANTE BLANCO HUESO</t>
  </si>
  <si>
    <t>A8WSA17-1</t>
  </si>
  <si>
    <t xml:space="preserve">EXCELLO LATEX SEMI BRILLANTE ULTRA BLANCO </t>
  </si>
  <si>
    <t>A8W57-5</t>
  </si>
  <si>
    <t>A8WSA7-5</t>
  </si>
  <si>
    <t>A8WSA17-5</t>
  </si>
  <si>
    <t>A21WSA51-1/4</t>
  </si>
  <si>
    <t>A21WSA53-1/4</t>
  </si>
  <si>
    <t>A21WSA51-1</t>
  </si>
  <si>
    <t>A21WSA53-1</t>
  </si>
  <si>
    <t>A21WSA17-1</t>
  </si>
  <si>
    <t>A21WSA51-5</t>
  </si>
  <si>
    <t>A21WSA53-5</t>
  </si>
  <si>
    <t>A22WSA51-1</t>
  </si>
  <si>
    <t>A22WSA53-1</t>
  </si>
  <si>
    <t>A22WSA51-5</t>
  </si>
  <si>
    <t>A22WSA53-5</t>
  </si>
  <si>
    <t>A20WSA51-1</t>
  </si>
  <si>
    <t>A20WSA53-1</t>
  </si>
  <si>
    <t>A20WSA51-5</t>
  </si>
  <si>
    <t>A20WSA53-5</t>
  </si>
  <si>
    <t>B36WSA351-1/4</t>
  </si>
  <si>
    <t>B36WSA353-1/4</t>
  </si>
  <si>
    <t>B36TSA354-1/4</t>
  </si>
  <si>
    <t>B36WSA351-1</t>
  </si>
  <si>
    <t>B36WSA353-1</t>
  </si>
  <si>
    <t>B36TSA354-1</t>
  </si>
  <si>
    <t>B36YSA356-1</t>
  </si>
  <si>
    <t>B36WSA357-1</t>
  </si>
  <si>
    <t>B36WSA351-5</t>
  </si>
  <si>
    <t>B36WSA353-5</t>
  </si>
  <si>
    <t>B36TSA354-5</t>
  </si>
  <si>
    <t>B36YSA356-5</t>
  </si>
  <si>
    <t>B36WSA357-5</t>
  </si>
  <si>
    <t>B36WSA151-1/4</t>
  </si>
  <si>
    <t>B36WSA153-1/4</t>
  </si>
  <si>
    <t>B36TSA154-1/4</t>
  </si>
  <si>
    <t>B36WSA151-1</t>
  </si>
  <si>
    <t>B36WSA153-1</t>
  </si>
  <si>
    <t>B36TSA154-1</t>
  </si>
  <si>
    <t>B36YSA156-1</t>
  </si>
  <si>
    <t>B36WSA157-1</t>
  </si>
  <si>
    <t>EXCELLO WEATHER PERFECT LATEX SATINADO BLANCO</t>
  </si>
  <si>
    <t>B36WSA151-5</t>
  </si>
  <si>
    <t>B36WSA153-5</t>
  </si>
  <si>
    <t>B36TSA154-5</t>
  </si>
  <si>
    <t>B36YSA156-5</t>
  </si>
  <si>
    <t>B36WSA157-5</t>
  </si>
  <si>
    <t>B36TSA254-1</t>
  </si>
  <si>
    <t>B36WSA251-1</t>
  </si>
  <si>
    <t>B36WSA253-1</t>
  </si>
  <si>
    <t>B36YSA256-1</t>
  </si>
  <si>
    <t>B36TSA254-5</t>
  </si>
  <si>
    <t>B36WSA251-5</t>
  </si>
  <si>
    <t>B36WSA253-5</t>
  </si>
  <si>
    <t>B36YSA256-5</t>
  </si>
  <si>
    <t>A90WSA51-1/4</t>
  </si>
  <si>
    <t>EXCELLO LATEX LAVABLE MATE BASE EXTRA WHITE</t>
  </si>
  <si>
    <t>A90WSA57-1/4</t>
  </si>
  <si>
    <t>EXCELLO LATEX LAVABLE MATE ULTRA BLANCO</t>
  </si>
  <si>
    <t>A90WSA51-1</t>
  </si>
  <si>
    <t>A90WSA53-1</t>
  </si>
  <si>
    <t>EXCELLO LATEX LAVABLE MATE BASE DEEP</t>
  </si>
  <si>
    <t>A90WSA57-1</t>
  </si>
  <si>
    <t>A90WSA51-5</t>
  </si>
  <si>
    <t>A90WSA53-5</t>
  </si>
  <si>
    <t>A90WSA57-5</t>
  </si>
  <si>
    <t>A23WSA51-1/4</t>
  </si>
  <si>
    <t>EXCELLO LATEX LIBRE DE OLOR MATE BASE EXTRA WHITE</t>
  </si>
  <si>
    <t>A23WSA1-1/4</t>
  </si>
  <si>
    <t>A23WSA51-1</t>
  </si>
  <si>
    <t>A23WSA53-1</t>
  </si>
  <si>
    <t>EXCELLO LATEX LIBRE DE OLOR MATE BASE DEEP</t>
  </si>
  <si>
    <t>A23TSA54-1</t>
  </si>
  <si>
    <t>A23WSA1-1</t>
  </si>
  <si>
    <t>A23WSA51-5</t>
  </si>
  <si>
    <t>A23WSA53-5</t>
  </si>
  <si>
    <t>A23TSA54-5</t>
  </si>
  <si>
    <t>A23WSA1-5</t>
  </si>
  <si>
    <t>A23WSA151-1/4</t>
  </si>
  <si>
    <t>EXCELLO LATEX LIBRE DE OLOR SATINADO BASE EXTRA WHITE</t>
  </si>
  <si>
    <t>A23WSA153-1/4</t>
  </si>
  <si>
    <t>EXCELLO LATEX LIBRE DE OLOR SATINADO BASE DEEP</t>
  </si>
  <si>
    <t>A23TSA154-1/4</t>
  </si>
  <si>
    <t>EXCELLO LATEX LIBRE DE OLOR SATINADO BASE ULTRA DEEP</t>
  </si>
  <si>
    <t>A23WSA2-1/4</t>
  </si>
  <si>
    <t>EXCELLO LATEX LIBRE DE OLOR SATINADO BLANCO</t>
  </si>
  <si>
    <t>A23WSA151-1</t>
  </si>
  <si>
    <t>A23WSA153-1</t>
  </si>
  <si>
    <t>A23TSA154-1</t>
  </si>
  <si>
    <t>A23WSA2-1</t>
  </si>
  <si>
    <t>A23WSA151-5</t>
  </si>
  <si>
    <t>A23WSA153-5</t>
  </si>
  <si>
    <t>A23TSA154-5</t>
  </si>
  <si>
    <t>A23WSA2-5</t>
  </si>
  <si>
    <t>B2WSA351-1/4</t>
  </si>
  <si>
    <t>B2WSA1-1/4</t>
  </si>
  <si>
    <t>B2WSA1-1</t>
  </si>
  <si>
    <t>B2WSA3-1</t>
  </si>
  <si>
    <t>B2WSA351-1</t>
  </si>
  <si>
    <t>B2WSA353-1</t>
  </si>
  <si>
    <t>B2TSA354-1</t>
  </si>
  <si>
    <t>B2WSA1-5</t>
  </si>
  <si>
    <t>B2WSA3-5</t>
  </si>
  <si>
    <t>B2WSA351-5</t>
  </si>
  <si>
    <t>B2WSA353-5</t>
  </si>
  <si>
    <t>B2TSA354-5</t>
  </si>
  <si>
    <t>B40WSA51-1/4</t>
  </si>
  <si>
    <t>EXCELLO FLEXIBLE MATE BASE EXTRA WHITE</t>
  </si>
  <si>
    <t>B40WSA57-1/4</t>
  </si>
  <si>
    <t>EXCELLO FLEXIBLE MATE ULTRA BLANCO</t>
  </si>
  <si>
    <t>B40WSA51-1</t>
  </si>
  <si>
    <t>B40WSA53-1</t>
  </si>
  <si>
    <t>EXCELLO FLEXIBLE MATE BASE DEEP</t>
  </si>
  <si>
    <t>B40TSA54-1</t>
  </si>
  <si>
    <t>B40WSA57-1</t>
  </si>
  <si>
    <t>B40WSA51-5</t>
  </si>
  <si>
    <t>B40WSA53-5</t>
  </si>
  <si>
    <t>B40TSA54-5</t>
  </si>
  <si>
    <t>B40WSA57-5</t>
  </si>
  <si>
    <t>V87CSA1-1/4</t>
  </si>
  <si>
    <t>EXCELLO BARNIZ WET-LOOK WET TRANSPARENTE</t>
  </si>
  <si>
    <t>V87CSA1-1</t>
  </si>
  <si>
    <t>B44VA4-1/4</t>
  </si>
  <si>
    <t>EXCELLO BARNIZ SATIN-LOOK SATINADO TRANSPARENTE</t>
  </si>
  <si>
    <t>B44VA4-1</t>
  </si>
  <si>
    <t>K64WSA1-1</t>
  </si>
  <si>
    <t>EXCELLO LATEX CIELO INTERIOR MATE BLANCO</t>
  </si>
  <si>
    <t>K64WSA1-5</t>
  </si>
  <si>
    <t>A5L25-1/4</t>
  </si>
  <si>
    <t>A5LSA11-1/4</t>
  </si>
  <si>
    <t>EXCELLO PISCINAS SATINADO AZUL REAL</t>
  </si>
  <si>
    <t>A5G70-1</t>
  </si>
  <si>
    <t>A5L25-1</t>
  </si>
  <si>
    <t>A5LSA11-1</t>
  </si>
  <si>
    <t>A5W41-1</t>
  </si>
  <si>
    <t>A24GSA1-1</t>
  </si>
  <si>
    <t>EXCELLO CANCHAS DEPORTIVAS MATE VERDE</t>
  </si>
  <si>
    <t>A24RSA1-1</t>
  </si>
  <si>
    <t>EXCELLO CANCHAS DEPORTIVAS MATE ROJO</t>
  </si>
  <si>
    <t>A24WSA1-1</t>
  </si>
  <si>
    <t>EXCELLO CANCHAS DEPORTIVAS MATE BLANCO</t>
  </si>
  <si>
    <t>A24LSA1-1</t>
  </si>
  <si>
    <t>A51B8-1</t>
  </si>
  <si>
    <t>EXCELLO PIZARRAS MATE NEGRO</t>
  </si>
  <si>
    <t>A51G67-1</t>
  </si>
  <si>
    <t>EXCELLO PIZARRAS MATE VERDE</t>
  </si>
  <si>
    <t>A60G2-1/4</t>
  </si>
  <si>
    <t>A60L1-1/4</t>
  </si>
  <si>
    <t>A60R3-1/4</t>
  </si>
  <si>
    <t>A60N1-1/4</t>
  </si>
  <si>
    <t>A60R4-1/4</t>
  </si>
  <si>
    <t>A60R2-1/4</t>
  </si>
  <si>
    <t>A60Y1-1/4</t>
  </si>
  <si>
    <t>A60Y3-1/4</t>
  </si>
  <si>
    <t>A60W1-1/4</t>
  </si>
  <si>
    <t>A60B1-1</t>
  </si>
  <si>
    <t>A60W1-1</t>
  </si>
  <si>
    <t>B79WSA1-1/4</t>
  </si>
  <si>
    <t>COLONIAL STYLE LATEX MATE BLANCO</t>
  </si>
  <si>
    <t>B79WSA9-1/4</t>
  </si>
  <si>
    <t>B79WSA10-1/4</t>
  </si>
  <si>
    <t>COLONIAL STYLE LATEX MATE NUEVO BLANCO HUESO</t>
  </si>
  <si>
    <t>B79ASA17-1</t>
  </si>
  <si>
    <t>COLONIAL STYLE LATEX MATE GRIS CANTERA</t>
  </si>
  <si>
    <t>B79ESA15-1</t>
  </si>
  <si>
    <t>COLONIAL STYLE LATEX MATE MANDARINA</t>
  </si>
  <si>
    <t>B79ESA16-1</t>
  </si>
  <si>
    <t>COLONIAL STYLE LATEX MATE NARANJA MONARCA</t>
  </si>
  <si>
    <t>B79ESA2-1</t>
  </si>
  <si>
    <t>COLONIAL STYLE LATEX MATE MELON</t>
  </si>
  <si>
    <t>B79ESA7-1</t>
  </si>
  <si>
    <t>COLONIAL STYLE LATEX MATE MELOCOTON</t>
  </si>
  <si>
    <t>B79GSA15-1</t>
  </si>
  <si>
    <t>COLONIAL STYLE LATEX MATE VERDE MENTA</t>
  </si>
  <si>
    <t>B79GSA33-1</t>
  </si>
  <si>
    <t>COLONIAL STYLE LATEX MATE AQUA CALIPSO</t>
  </si>
  <si>
    <t>B79GSA5-1</t>
  </si>
  <si>
    <t>COLONIAL STYLE LATEX MATE TURQUESA</t>
  </si>
  <si>
    <t>B79NSA6-1</t>
  </si>
  <si>
    <t>COLONIAL STYLE LATEX MATE BEIGE</t>
  </si>
  <si>
    <t>B79NSA7-1</t>
  </si>
  <si>
    <t>COLONIAL STYLE LATEX MATE CASTAÑO</t>
  </si>
  <si>
    <t>B79RSA23-1</t>
  </si>
  <si>
    <t>COLONIAL STYLE LATEX MATE JALAPEÑO</t>
  </si>
  <si>
    <t>B79WSA10-1</t>
  </si>
  <si>
    <t>B79WSA1-1</t>
  </si>
  <si>
    <t>B79WSA31-1</t>
  </si>
  <si>
    <t>COLONIAL STYLE LATEX MATE BLANCO CUARZO</t>
  </si>
  <si>
    <t>B79WSA9-1</t>
  </si>
  <si>
    <t>COLONIAL STYLE LATEX MATE BLANCO ANTIGUO AMERICANO</t>
  </si>
  <si>
    <t>B79YSA16-1</t>
  </si>
  <si>
    <t>COLONIAL STYLE LATEX MATE AZAFRAN</t>
  </si>
  <si>
    <t>B79ASA17-5</t>
  </si>
  <si>
    <t>B79ESA15-5</t>
  </si>
  <si>
    <t>B79ESA16-5</t>
  </si>
  <si>
    <t>B79ESA2-5</t>
  </si>
  <si>
    <t>B79ESA7-5</t>
  </si>
  <si>
    <t>B79GSA15-5</t>
  </si>
  <si>
    <t>B79GSA33-5</t>
  </si>
  <si>
    <t>B79GSA5-5</t>
  </si>
  <si>
    <t>B79NSA6-5</t>
  </si>
  <si>
    <t>B79NSA7-5</t>
  </si>
  <si>
    <t>B79RSA23-5</t>
  </si>
  <si>
    <t>B79WSA10-5</t>
  </si>
  <si>
    <t>B79WSA1-5</t>
  </si>
  <si>
    <t>B79WSA31-5</t>
  </si>
  <si>
    <t>B79WSA9-5</t>
  </si>
  <si>
    <t>B79YSA16-5</t>
  </si>
  <si>
    <t>K53ESA6-1</t>
  </si>
  <si>
    <t>PENINSULAR LATEX MATE MELON</t>
  </si>
  <si>
    <t>K53GSA8-1</t>
  </si>
  <si>
    <t>PENINSULAR LATEX MATE AQUA</t>
  </si>
  <si>
    <t>K53GSA13-1</t>
  </si>
  <si>
    <t>PENINSULAR LATEX MATE VERDE COCKTAIL</t>
  </si>
  <si>
    <t>K53HSA3-1</t>
  </si>
  <si>
    <t>PENINSULAR LATEX MATE MARFIL CREMA</t>
  </si>
  <si>
    <t>K53LSA9-1</t>
  </si>
  <si>
    <t xml:space="preserve">PENINSULAR LATEX MATE CELESTE CLARO </t>
  </si>
  <si>
    <t>K53LSA10-1</t>
  </si>
  <si>
    <t xml:space="preserve">PENINSULAR LATEX MATE CELESTE PRIMAVERA </t>
  </si>
  <si>
    <t>K53NSA3-1</t>
  </si>
  <si>
    <t>PENINSULAR LATEX MATE BEIGE</t>
  </si>
  <si>
    <t>K53WSA1-1</t>
  </si>
  <si>
    <t>PENINSULAR LATEX MATE BLANCO</t>
  </si>
  <si>
    <t>K53WSA4-1</t>
  </si>
  <si>
    <t>PENINSULAR LATEX MATE NUEVO BLANCO HUESO</t>
  </si>
  <si>
    <t>K53ESA6-5</t>
  </si>
  <si>
    <t>K53GSA8-5</t>
  </si>
  <si>
    <t>K53GSA13-5</t>
  </si>
  <si>
    <t>K53HSA3-5</t>
  </si>
  <si>
    <t>K53LSA9-5</t>
  </si>
  <si>
    <t>K53LSA10-5</t>
  </si>
  <si>
    <t>K53NSA3-5</t>
  </si>
  <si>
    <t>K53WSA1-5</t>
  </si>
  <si>
    <t>K53WSA4-5</t>
  </si>
  <si>
    <t>Y81ESA1-1</t>
  </si>
  <si>
    <t>COLORAMICA LATEX MATE MANGO</t>
  </si>
  <si>
    <t>Y81ESA3-1</t>
  </si>
  <si>
    <t>COLORAMICA LATEX MATE NARANJA MANDARINA</t>
  </si>
  <si>
    <t>Y81ESA4-1</t>
  </si>
  <si>
    <t>COLORAMICA LATEX MATE SALMON</t>
  </si>
  <si>
    <t>Y81GSA3-1</t>
  </si>
  <si>
    <t>COLORAMICA LATEX MATE VERDE AQUA</t>
  </si>
  <si>
    <t>Y81GSA2-1</t>
  </si>
  <si>
    <t>COLORAMICA LATEX MATE VERDE TROPICANA</t>
  </si>
  <si>
    <t>Y81GSA1-1</t>
  </si>
  <si>
    <t>COLORAMICA LATEX MATE VERDE MENTA</t>
  </si>
  <si>
    <t>Y81GSA4-1</t>
  </si>
  <si>
    <t>COLORAMICA LATEX MATE VERDE JARDIN</t>
  </si>
  <si>
    <t>Y81GSA5-1</t>
  </si>
  <si>
    <t>COLORAMICA LATEX MATE VERDE LAGUNA</t>
  </si>
  <si>
    <t>Y81HSA1-1</t>
  </si>
  <si>
    <t>COLORAMICA LATEX MATE MARFIL</t>
  </si>
  <si>
    <t>Y81LSA4-1</t>
  </si>
  <si>
    <t>COLORAMICA LATEX MATE AZUL GEMA</t>
  </si>
  <si>
    <t>Y81LSA6-1</t>
  </si>
  <si>
    <t>COLORAMICA LATEX MATE AZUL CLARO</t>
  </si>
  <si>
    <t>Y81LSA7-1</t>
  </si>
  <si>
    <t>COLORAMICA LATEX MATE CELESTE OCEANO</t>
  </si>
  <si>
    <t>Y81LSA2-1</t>
  </si>
  <si>
    <t>COLORAMICA LATEX MATE CELESTE</t>
  </si>
  <si>
    <t>Y81NSA1-1</t>
  </si>
  <si>
    <t>COLORAMICA LATEX MATE BEIGE</t>
  </si>
  <si>
    <t>Y81PSA2-1</t>
  </si>
  <si>
    <t>COLORAMICA LATEX MATE MORADO CLARO</t>
  </si>
  <si>
    <t>Y81PSA3-1</t>
  </si>
  <si>
    <t>COLORAMICA LATEX MATE VIOLETA</t>
  </si>
  <si>
    <t>Y81RSA1-1</t>
  </si>
  <si>
    <t>COLORAMICA LATEX MATE ROJO TROPICAL</t>
  </si>
  <si>
    <t>Y81RSA2-1</t>
  </si>
  <si>
    <t>COLORAMICA LATEX MATE ROSADO</t>
  </si>
  <si>
    <t>Y81RSA3-1</t>
  </si>
  <si>
    <t>COLORAMICA LATEX MATE ROJO LADRILLO</t>
  </si>
  <si>
    <t>Y81RSA9-1</t>
  </si>
  <si>
    <t>COLORAMICA LATEX MATE ROSADO FESTIVAL</t>
  </si>
  <si>
    <t>Y81RSA10-1</t>
  </si>
  <si>
    <t>COLORAMICA LATEX MATE ROSA TIERNO</t>
  </si>
  <si>
    <t>Y81WSA1-1</t>
  </si>
  <si>
    <t>COLORAMICA LATEX MATE BLANCO</t>
  </si>
  <si>
    <t>Y81WSA2-1</t>
  </si>
  <si>
    <t>COLORAMICA LATEX MATE BLANCO HUESO</t>
  </si>
  <si>
    <t>Y81WSA3-1</t>
  </si>
  <si>
    <t>COLORAMICA LATEX MATE BLANCO ANTIGUO</t>
  </si>
  <si>
    <t>Y81YSA1-1</t>
  </si>
  <si>
    <t>COLORAMICA LATEX MATE AMARILLO</t>
  </si>
  <si>
    <t>Y81YSA3-1</t>
  </si>
  <si>
    <t>COLORAMICA LATEX MATE AMARILLO ORO</t>
  </si>
  <si>
    <t>Y81YSA4-1</t>
  </si>
  <si>
    <t>COLORAMICA LATEX MATE AMARILLO INTENSO</t>
  </si>
  <si>
    <t>Y81ESA1-5</t>
  </si>
  <si>
    <t>Y81ESA3-5</t>
  </si>
  <si>
    <t>Y81ESA4-5</t>
  </si>
  <si>
    <t>Y81GSA1-5</t>
  </si>
  <si>
    <t>Y81GSA2-5</t>
  </si>
  <si>
    <t>Y81GSA3-5</t>
  </si>
  <si>
    <t>Y81GSA4-5</t>
  </si>
  <si>
    <t>Y81GSA5-5</t>
  </si>
  <si>
    <t>Y81HSA1-5</t>
  </si>
  <si>
    <t>Y81LSA2-5</t>
  </si>
  <si>
    <t>Y81LSA4-5</t>
  </si>
  <si>
    <t>Y81LSA6-5</t>
  </si>
  <si>
    <t>Y81LSA7-5</t>
  </si>
  <si>
    <t>Y81NSA1-5</t>
  </si>
  <si>
    <t>Y81PSA3-5</t>
  </si>
  <si>
    <t>Y81RSA10-5</t>
  </si>
  <si>
    <t>Y81RSA1-5</t>
  </si>
  <si>
    <t>Y81RSA2-5</t>
  </si>
  <si>
    <t>Y81RSA3-5</t>
  </si>
  <si>
    <t>Y81RSA9-5</t>
  </si>
  <si>
    <t>Y81WSA1-5</t>
  </si>
  <si>
    <t>Y81WSA2-5</t>
  </si>
  <si>
    <t>Y81WSA3-5</t>
  </si>
  <si>
    <t>Y81YSA1-5</t>
  </si>
  <si>
    <t>Y81YSA3-5</t>
  </si>
  <si>
    <t>Y81YSA4-5</t>
  </si>
  <si>
    <t>A5ASA5-1/4</t>
  </si>
  <si>
    <t>AQUALOCK IMPERMEABILIZANT 8000 MATE GRIS</t>
  </si>
  <si>
    <t>A5RSA8-1/4</t>
  </si>
  <si>
    <t>AQUALOCK IMPERMEABILIZANT 8000 MATE ROJO</t>
  </si>
  <si>
    <t>A5WSA10-1/4</t>
  </si>
  <si>
    <t>AQUALOCK IMPERMEABILIZANT 8000 MATE BLANCO</t>
  </si>
  <si>
    <t>A5LSA13-1/4</t>
  </si>
  <si>
    <t>AQUALOCK IMPERMEABILIZANT 8000 MATE AZUL</t>
  </si>
  <si>
    <t>A5BSA4-1/4</t>
  </si>
  <si>
    <t>AQUALOCK IMPERMEABILIZANT 8000 MATE NEGRO</t>
  </si>
  <si>
    <t>A5WSA10-1</t>
  </si>
  <si>
    <t>A5RSA8-1</t>
  </si>
  <si>
    <t>A5RSA9-1</t>
  </si>
  <si>
    <t>AQUALOCK IMPERMEABILIZANT 8000 MATE ROJO TEJA</t>
  </si>
  <si>
    <t>A5GSA11-1</t>
  </si>
  <si>
    <t>AQUALOCK IMPERMEABILIZANT 8000 MATE VERDE</t>
  </si>
  <si>
    <t>A5ASA5-1</t>
  </si>
  <si>
    <t>A5LSA13-1</t>
  </si>
  <si>
    <t>A5BSA4-1</t>
  </si>
  <si>
    <t>A5WSA10-5</t>
  </si>
  <si>
    <t>A5RSA8-5</t>
  </si>
  <si>
    <t>A5RSA9-5</t>
  </si>
  <si>
    <t>A5GSA11-5</t>
  </si>
  <si>
    <t>A5ASA5-5</t>
  </si>
  <si>
    <t>A5WSA851-1</t>
  </si>
  <si>
    <t>AQUALOCK IMPERMEABILIZANTE 8000 MATE BASE EXTRA WHITE</t>
  </si>
  <si>
    <t>A5WSA853-1</t>
  </si>
  <si>
    <t>AQUALOCK IMPERMEABILIZANTE 8000 MATE BASE DEEP</t>
  </si>
  <si>
    <t>A5TSA854-1</t>
  </si>
  <si>
    <t>AQUALOCK IMPERMEABILIZANTE 8000 MATE BASE ULTRA DEEP</t>
  </si>
  <si>
    <t>A5WSA851-5</t>
  </si>
  <si>
    <t>A5WSA853-5</t>
  </si>
  <si>
    <t>A5TSA854-5</t>
  </si>
  <si>
    <t>A5GSA12-1/4</t>
  </si>
  <si>
    <t>A5RSA10-1/4</t>
  </si>
  <si>
    <t>A5RSA11-1/4</t>
  </si>
  <si>
    <t>A5ASA6-1/4</t>
  </si>
  <si>
    <t>A5WSA11-1/4</t>
  </si>
  <si>
    <t>A5GSA12-1</t>
  </si>
  <si>
    <t>A5RSA10-1</t>
  </si>
  <si>
    <t>A5RSA11-1</t>
  </si>
  <si>
    <t>A5ASA6-1</t>
  </si>
  <si>
    <t>A5WSA11-1</t>
  </si>
  <si>
    <t>A5GSA12-5</t>
  </si>
  <si>
    <t>A5RSA10-5</t>
  </si>
  <si>
    <t>A5RSA11-5</t>
  </si>
  <si>
    <t>A5ASA6-5</t>
  </si>
  <si>
    <t>A5WSA11-5</t>
  </si>
  <si>
    <t>A5GSA10-1</t>
  </si>
  <si>
    <t>A5RSA6-1</t>
  </si>
  <si>
    <t>A5WSA9-1</t>
  </si>
  <si>
    <t>A5GSA10-5</t>
  </si>
  <si>
    <t>A5RSA6-5</t>
  </si>
  <si>
    <t>A5WSA9-5</t>
  </si>
  <si>
    <t>A5VSA2-1</t>
  </si>
  <si>
    <t xml:space="preserve">AQUALOCK REPELENTE BASE AGUA </t>
  </si>
  <si>
    <t>A5VSA2-5</t>
  </si>
  <si>
    <t>A5VSA1-1/4</t>
  </si>
  <si>
    <t>AQUALOCK REPELENTE DE AGUA SATINADO TRANSPARENTE</t>
  </si>
  <si>
    <t>A5VSA1-1</t>
  </si>
  <si>
    <t>A5VSA1-5</t>
  </si>
  <si>
    <t>A5WSA8-1/4</t>
  </si>
  <si>
    <t>AQUALOCK BLOQUEADOR DE AGUA MATE BLANCO</t>
  </si>
  <si>
    <t>A5WSA51-1/4</t>
  </si>
  <si>
    <t>AQUALOCK BLOQUEADOR DE AGUA MATE EXTRA WHITE</t>
  </si>
  <si>
    <t>A5WSA53-1/4</t>
  </si>
  <si>
    <t>AQUALOCK BLOQUEADOR DE AGUA MATE BASE DEEP</t>
  </si>
  <si>
    <t>A5TSA54-1/4</t>
  </si>
  <si>
    <t>AQUALOCK BLOQUEADOR DE AGUA MATE BASE ULTRA DEEP</t>
  </si>
  <si>
    <t>A5WSA8-1</t>
  </si>
  <si>
    <t>A5WSA51-1</t>
  </si>
  <si>
    <t>A5WSA53-1</t>
  </si>
  <si>
    <t>A5TSA54-1</t>
  </si>
  <si>
    <t>A5WSA8-5</t>
  </si>
  <si>
    <t>A5WSA51-5</t>
  </si>
  <si>
    <t>A5WSA53-5</t>
  </si>
  <si>
    <t>A5TSA54-5</t>
  </si>
  <si>
    <t>A5ASA9-1</t>
  </si>
  <si>
    <t>A5WSA12-1</t>
  </si>
  <si>
    <t>A5RSA14-1</t>
  </si>
  <si>
    <t>AQUALOCK SELLADOR DE GOTERAS ROJO</t>
  </si>
  <si>
    <t>A5ASA9-1/4</t>
  </si>
  <si>
    <t>A5WSA12-1/4</t>
  </si>
  <si>
    <t>A5RSA14-1/4</t>
  </si>
  <si>
    <t>A5ASA9-750ML</t>
  </si>
  <si>
    <t>A5WSA12-750ML</t>
  </si>
  <si>
    <t>A5RSA14-750ML</t>
  </si>
  <si>
    <t>A5WSA12-4ONZ</t>
  </si>
  <si>
    <t>AQUALOCK SELLADOR DE GOTERAS BLANCO</t>
  </si>
  <si>
    <t>B42W1-1</t>
  </si>
  <si>
    <t>BB SELLADOR BLOQUES D CONCRETO MATE BLANCO</t>
  </si>
  <si>
    <t>B42W1-5</t>
  </si>
  <si>
    <t>B45WSA1-1</t>
  </si>
  <si>
    <t>BB SELLADOR PARA TABLAYESO MATE BLANCO</t>
  </si>
  <si>
    <t>B45WSA1-5</t>
  </si>
  <si>
    <t>B45ASA1-1</t>
  </si>
  <si>
    <t>BB SELLADOR MULTIFUNCIONAL 6000 MATE GRIS</t>
  </si>
  <si>
    <t>B45WSA3-1</t>
  </si>
  <si>
    <t>BB SELLADOR MULTIFUNCIONAL 6000 MATE BLANCO</t>
  </si>
  <si>
    <t>B45ASA1-5</t>
  </si>
  <si>
    <t>B45WSA3-5</t>
  </si>
  <si>
    <t>B24WSA2-1</t>
  </si>
  <si>
    <t>BB SELLADOR MULTIFUNCIONAL 4000 MATE BLANCO</t>
  </si>
  <si>
    <t>B24WSA2-5</t>
  </si>
  <si>
    <t>B22WSA1-1</t>
  </si>
  <si>
    <t>BB SELLADOR MULTIFUNCIONAL 2000 MATE BLANCO</t>
  </si>
  <si>
    <t>B22WSA1-5</t>
  </si>
  <si>
    <t>A34CSA2-1</t>
  </si>
  <si>
    <t>A34CSA2-5</t>
  </si>
  <si>
    <t>A34WSA1-1</t>
  </si>
  <si>
    <t>A34WSA1-5</t>
  </si>
  <si>
    <t>B51ASA2-1</t>
  </si>
  <si>
    <t>PRIMERA MANO PARA PAREDES MATE COLOR GRIS</t>
  </si>
  <si>
    <t>B51ASA2-5</t>
  </si>
  <si>
    <t>A34CSA1-BOT</t>
  </si>
  <si>
    <t>A34CSA1-1</t>
  </si>
  <si>
    <t>A34CSA1-5</t>
  </si>
  <si>
    <t>S45CSA1-BOT</t>
  </si>
  <si>
    <t>S45CSA1-1</t>
  </si>
  <si>
    <t>S45CSA1-5</t>
  </si>
  <si>
    <t>N81WP1-4ONZ</t>
  </si>
  <si>
    <t>N81WP1-7ONZ</t>
  </si>
  <si>
    <t>N81WP1-28ONZ</t>
  </si>
  <si>
    <t>N81WP1-1</t>
  </si>
  <si>
    <t>B23WSA1-1</t>
  </si>
  <si>
    <t>BS APAREJO/ BLOQUEADOR MANCHAS MATE BLANCO</t>
  </si>
  <si>
    <t>B23ASA1-1</t>
  </si>
  <si>
    <t>BS APAREJO/ BLOQUEADOR MANCHAS MATE GRIS</t>
  </si>
  <si>
    <t>A44WRF1-5</t>
  </si>
  <si>
    <t>SP8GRY-600ML</t>
  </si>
  <si>
    <t>SP8WSA-600ML</t>
  </si>
  <si>
    <t>SH2GRY-300ML</t>
  </si>
  <si>
    <t>SH2WSA-300ML</t>
  </si>
  <si>
    <t>SP8GRY-300ML</t>
  </si>
  <si>
    <t>SP8WSA-300ML</t>
  </si>
  <si>
    <t>BC1WSA-280ML</t>
  </si>
  <si>
    <t>BC1CLR-280ML</t>
  </si>
  <si>
    <t>SS6CLR-280ML</t>
  </si>
  <si>
    <t>SS6WSA-280ML</t>
  </si>
  <si>
    <t>SS6BLK-280ML</t>
  </si>
  <si>
    <t>SS4CLR-280ML</t>
  </si>
  <si>
    <t>SS4WSA-280ML</t>
  </si>
  <si>
    <t>SA6BLK-300ML</t>
  </si>
  <si>
    <t>SA6WSA-300ML</t>
  </si>
  <si>
    <t>SA4CLR-300ML</t>
  </si>
  <si>
    <t>SA4WSA-300ML</t>
  </si>
  <si>
    <t>SA2WSA-300ML</t>
  </si>
  <si>
    <t>B69G31-1</t>
  </si>
  <si>
    <t>B69ASA21-1</t>
  </si>
  <si>
    <t>B69RSA7-1</t>
  </si>
  <si>
    <t>B69ASA23-1</t>
  </si>
  <si>
    <t>V66V19-1</t>
  </si>
  <si>
    <t>V66V20-1</t>
  </si>
  <si>
    <t>B50ASA1-1</t>
  </si>
  <si>
    <t>B50NSA1-1</t>
  </si>
  <si>
    <t>B50WSA4-1</t>
  </si>
  <si>
    <t>B50ASA1-5</t>
  </si>
  <si>
    <t>B50NSA1-5</t>
  </si>
  <si>
    <t>B50WSA4-5</t>
  </si>
  <si>
    <t>Y24ASA1-1</t>
  </si>
  <si>
    <t>Y24BSA1-1</t>
  </si>
  <si>
    <t>Y24GSA1-1</t>
  </si>
  <si>
    <t>Y24RSA1-1</t>
  </si>
  <si>
    <t>Y24WSA1-1</t>
  </si>
  <si>
    <t>Y24ASA1-5</t>
  </si>
  <si>
    <t>Y24RSA1-5</t>
  </si>
  <si>
    <t>Y24GSA1-5</t>
  </si>
  <si>
    <t>Y24WSA1-5</t>
  </si>
  <si>
    <t>Y24BSA1-5</t>
  </si>
  <si>
    <t>E41G10-1</t>
  </si>
  <si>
    <t>E41Y10SP-1</t>
  </si>
  <si>
    <t>E41G10-5</t>
  </si>
  <si>
    <t>E41Y10SP-5</t>
  </si>
  <si>
    <t>E41N1SP-1</t>
  </si>
  <si>
    <t>E61GSA1-1</t>
  </si>
  <si>
    <t>E61RSA4-1</t>
  </si>
  <si>
    <t>E61ASA6-1</t>
  </si>
  <si>
    <t>E61WSA1-1</t>
  </si>
  <si>
    <t>E61BSA1-1</t>
  </si>
  <si>
    <t>BB ANTICORROSIVO 6000 RUSTOP MATE NEGRO</t>
  </si>
  <si>
    <t>E61GSA1-5</t>
  </si>
  <si>
    <t>E61RSA4-5</t>
  </si>
  <si>
    <t>E61ASA6-5</t>
  </si>
  <si>
    <t>E61WSA1-5</t>
  </si>
  <si>
    <t>A99WSA3-1/4</t>
  </si>
  <si>
    <t>A99ASA3-1/4</t>
  </si>
  <si>
    <t>A99BSA2-1/4</t>
  </si>
  <si>
    <t>A99NSA11-1/4</t>
  </si>
  <si>
    <t>A99GSA5-1/4</t>
  </si>
  <si>
    <t>A99NSA17-1/4</t>
  </si>
  <si>
    <t>A99WSA3-1</t>
  </si>
  <si>
    <t>A99ASA3-1</t>
  </si>
  <si>
    <t>A99BSA2-1</t>
  </si>
  <si>
    <t>A99NSA11-1</t>
  </si>
  <si>
    <t>A99GSA5-1</t>
  </si>
  <si>
    <t>A99NSA17-1</t>
  </si>
  <si>
    <t>A99WSA3-5</t>
  </si>
  <si>
    <t>A99ASA3-5</t>
  </si>
  <si>
    <t>A99BSA2-5</t>
  </si>
  <si>
    <t>A99NSA11-5</t>
  </si>
  <si>
    <t>A99GSA5-5</t>
  </si>
  <si>
    <t>A98WSA1-1/4</t>
  </si>
  <si>
    <t>BB ANTICORROSIVO 4000 COLONIAL BRILLANTE BLANCO</t>
  </si>
  <si>
    <t>A98ASA1-1/4</t>
  </si>
  <si>
    <t>BB ANTICORROSIVO 4000 COLONIAL BRILLANTE GRIS</t>
  </si>
  <si>
    <t>A98BSA1-1/4</t>
  </si>
  <si>
    <t>BB ANTICORROSIVO 4000 COLONIAL BRILLANTE NEGRO</t>
  </si>
  <si>
    <t>A98RSA1-1/4</t>
  </si>
  <si>
    <t>BB ANTICORROSIVO 4000 COLONIAL BRILLANTE ROJO</t>
  </si>
  <si>
    <t>A98WSA1-1</t>
  </si>
  <si>
    <t>A98ASA1-1</t>
  </si>
  <si>
    <t>A98BSA1-1</t>
  </si>
  <si>
    <t>A98RSA1-1</t>
  </si>
  <si>
    <t>A98WSA1-5</t>
  </si>
  <si>
    <t>A98ASA1-5</t>
  </si>
  <si>
    <t>A98BSA1-5</t>
  </si>
  <si>
    <t>A98RSA1-5</t>
  </si>
  <si>
    <t>K65WSA1-1/4</t>
  </si>
  <si>
    <t>K65ASA1-1/4</t>
  </si>
  <si>
    <t>K65BSA1-1/4</t>
  </si>
  <si>
    <t>K65GSA1-1/4</t>
  </si>
  <si>
    <t>K65RSA1-1/4</t>
  </si>
  <si>
    <t>K65WSA1-1</t>
  </si>
  <si>
    <t>K65ASA1-1</t>
  </si>
  <si>
    <t>K65BSA1-1</t>
  </si>
  <si>
    <t>K65GSA1-1</t>
  </si>
  <si>
    <t>K65RSA1-1</t>
  </si>
  <si>
    <t>K65WSA1-5</t>
  </si>
  <si>
    <t>K65ASA1-5</t>
  </si>
  <si>
    <t>K65BSA1-5</t>
  </si>
  <si>
    <t>K65GSA1-5</t>
  </si>
  <si>
    <t>K65RSA1-5</t>
  </si>
  <si>
    <t>K67WSA1-1/4</t>
  </si>
  <si>
    <t>BB ANTICORROSIVO 2000 ESTRUCTU MATE BLANCO</t>
  </si>
  <si>
    <t>K67RSA1-1/4</t>
  </si>
  <si>
    <t>BB ANTICORROSIVO 2000 ESTRUCTU MATE ROJO OXIDO</t>
  </si>
  <si>
    <t>K67ASA1-1/4</t>
  </si>
  <si>
    <t>BB ANTICORROSIVO 2000 ESTRUCTU MATE GRIS RAL 7046</t>
  </si>
  <si>
    <t>K67BSA1-1/4</t>
  </si>
  <si>
    <t>BB ANTICORROSIVO 2000 ESTRUCTU MATE NEGRO</t>
  </si>
  <si>
    <t>K67WSA1-1</t>
  </si>
  <si>
    <t>K67RSA1-1</t>
  </si>
  <si>
    <t>K67ASA1-1</t>
  </si>
  <si>
    <t>K67BSA1-1</t>
  </si>
  <si>
    <t>K67WSA1-5</t>
  </si>
  <si>
    <t>K67ASA1-5</t>
  </si>
  <si>
    <t>K67RSA1-5</t>
  </si>
  <si>
    <t>K67BSA1-5</t>
  </si>
  <si>
    <t>C62LCR1-1/4</t>
  </si>
  <si>
    <t>C62LSA2-1/4</t>
  </si>
  <si>
    <t>C62WCR1-1/4</t>
  </si>
  <si>
    <t>C62ASA2-1/4</t>
  </si>
  <si>
    <t>C62BCR1-1/4</t>
  </si>
  <si>
    <t>C62RCR1-1/4</t>
  </si>
  <si>
    <t>C62RSA2-1/4</t>
  </si>
  <si>
    <t>C62GCR1-1/4</t>
  </si>
  <si>
    <t>C62LCR1-1</t>
  </si>
  <si>
    <t>C62LSA2-1</t>
  </si>
  <si>
    <t>C62WCR1-1</t>
  </si>
  <si>
    <t>C62ASA2-1</t>
  </si>
  <si>
    <t>C62BCR1-1</t>
  </si>
  <si>
    <t>C62RCR1-1</t>
  </si>
  <si>
    <t>C62RSA2-1</t>
  </si>
  <si>
    <t>C62GCR1-1</t>
  </si>
  <si>
    <t>C62LCR1-5</t>
  </si>
  <si>
    <t>C62LSA2-5</t>
  </si>
  <si>
    <t>C62WCR1-5</t>
  </si>
  <si>
    <t>C62ASA2-5</t>
  </si>
  <si>
    <t>C62BCR1-5</t>
  </si>
  <si>
    <t>C62RCR1-5</t>
  </si>
  <si>
    <t>C62RSA2-5</t>
  </si>
  <si>
    <t>C62GCR1-5</t>
  </si>
  <si>
    <t>K62LSA1-1/4</t>
  </si>
  <si>
    <t>K62WSA1-1/4</t>
  </si>
  <si>
    <t>K62ASA1-1/4</t>
  </si>
  <si>
    <t>K62BSA1-1/4</t>
  </si>
  <si>
    <t>K62RSA1-1/4</t>
  </si>
  <si>
    <t>K62GSA1-1/4</t>
  </si>
  <si>
    <t>K62LSA1-1</t>
  </si>
  <si>
    <t>K62WSA1-1</t>
  </si>
  <si>
    <t>K62ASA1-1</t>
  </si>
  <si>
    <t>K62BSA1-1</t>
  </si>
  <si>
    <t>K62RSA1-1</t>
  </si>
  <si>
    <t>K62GSA1-1</t>
  </si>
  <si>
    <t>K62WSA1-5</t>
  </si>
  <si>
    <t>K62ASA1-5</t>
  </si>
  <si>
    <t>K62BSA1-5</t>
  </si>
  <si>
    <t>K62RSA1-5</t>
  </si>
  <si>
    <t>K62GSA1-5</t>
  </si>
  <si>
    <t>N77ASA1-1/4</t>
  </si>
  <si>
    <t>ANTICORROSIVO COLORAMICA BRILLANTE GRIS</t>
  </si>
  <si>
    <t>N77BSA2-1/4</t>
  </si>
  <si>
    <t>ANTICORROSIVO COLORAMICA BRILLANTE NEGRO</t>
  </si>
  <si>
    <t>N77GSA2-1/4</t>
  </si>
  <si>
    <t>ANTICORROSIVO COLORAMICA BRILLANTE VERDE</t>
  </si>
  <si>
    <t>N77LSA1-1/4</t>
  </si>
  <si>
    <t>ANTICORROSIVO COLORAMICA BRILLANTE AZUL</t>
  </si>
  <si>
    <t>N77LSA2-1/4</t>
  </si>
  <si>
    <t>ANTICORROSIVO COLORAMICA BRILLANTE AZUL CORONA</t>
  </si>
  <si>
    <t>N77RSA3-1/4</t>
  </si>
  <si>
    <t>ANTICORROSIVO COLORAMICA BRILLANTE ROJO</t>
  </si>
  <si>
    <t>N77WSA1-1/4</t>
  </si>
  <si>
    <t>ANTICORROSIVO COLORAMICA BRILLANTE BLANCO</t>
  </si>
  <si>
    <t>N77YSA3-1/4</t>
  </si>
  <si>
    <t>ANTICORROSIVO COLORAMICA BRILLANTE AMARILLO</t>
  </si>
  <si>
    <t>N77ASA1-1</t>
  </si>
  <si>
    <t>N77BSA2-1</t>
  </si>
  <si>
    <t>N77GSA2-1</t>
  </si>
  <si>
    <t>N77LSA1-1</t>
  </si>
  <si>
    <t>N77LSA2-1</t>
  </si>
  <si>
    <t>N77RSA3-1</t>
  </si>
  <si>
    <t>N77WSA1-1</t>
  </si>
  <si>
    <t>N77YSA3-1</t>
  </si>
  <si>
    <t>N77ASA1-5</t>
  </si>
  <si>
    <t>N77BSA2-5</t>
  </si>
  <si>
    <t>N77GSA2-5</t>
  </si>
  <si>
    <t>N77RSA3-5</t>
  </si>
  <si>
    <t>N77WSA1-5</t>
  </si>
  <si>
    <t>B66ASA3-1/4</t>
  </si>
  <si>
    <t>B66GSA2-1/4</t>
  </si>
  <si>
    <t>B66RSA3-1/4</t>
  </si>
  <si>
    <t>B66WSA4-1/4</t>
  </si>
  <si>
    <t>B66RSA4-1/4</t>
  </si>
  <si>
    <t>B66BSA2-1/4</t>
  </si>
  <si>
    <t>B66ASA3-1</t>
  </si>
  <si>
    <t>KEM DIRECT-TO-METAL BASE AGUA MATE GRIS</t>
  </si>
  <si>
    <t>B66ASA6-1</t>
  </si>
  <si>
    <t>KEM DIRECT-TO-METAL BASE AGUA MATE GRIS RAL 7046</t>
  </si>
  <si>
    <t>B66GSA2-1</t>
  </si>
  <si>
    <t>B66RSA3-1</t>
  </si>
  <si>
    <t>KEM DIRECT-TO-METAL BASE AGUA MATE ROJO OXIDO</t>
  </si>
  <si>
    <t>B66WSA4-1</t>
  </si>
  <si>
    <t>KEM DIRECT-TO-METAL BASE AGUA MATE BLANCO</t>
  </si>
  <si>
    <t>B66RSA4-1</t>
  </si>
  <si>
    <t>KEM DIRECT-TO-METAL BASE AGUA MATE ROJO TEJA</t>
  </si>
  <si>
    <t>B66BSA2-1</t>
  </si>
  <si>
    <t>KEM DIRECT-TO-METAL BASE AGUA MATE NEGRO</t>
  </si>
  <si>
    <t>B66ASA3-5</t>
  </si>
  <si>
    <t>B66RSA3-5</t>
  </si>
  <si>
    <t>E62ASA1-1/4</t>
  </si>
  <si>
    <t>KEM DIRECT-TO-METAL BASE SOLVENTE MATE GRIS RAL 7046</t>
  </si>
  <si>
    <t>E62WSA1-1/4</t>
  </si>
  <si>
    <t>KEM DIRECT-TO-METAL BASE SOLVENTE MATE BLANCO</t>
  </si>
  <si>
    <t>E62RSA1-1/4</t>
  </si>
  <si>
    <t>KEM DIRECT-TO-METAL BASE SOLVENTE MATE ROJO OXIDO</t>
  </si>
  <si>
    <t>E62BSA1-1/4</t>
  </si>
  <si>
    <t>KEM DIRECT-TO-METAL BASE SOLVENTE MATE NEGRO</t>
  </si>
  <si>
    <t>E62ASA1-1</t>
  </si>
  <si>
    <t>E62ASA2-1</t>
  </si>
  <si>
    <t>KEM DIRECT-TO-METAL BASE SOLVENTE MATE GRIS RAL 7042</t>
  </si>
  <si>
    <t>E62GSA3-1</t>
  </si>
  <si>
    <t>E62WSA1-1</t>
  </si>
  <si>
    <t>E62LSA1-1</t>
  </si>
  <si>
    <t>E62RSA1-1</t>
  </si>
  <si>
    <t>E62BSA1-1</t>
  </si>
  <si>
    <t>E62ASA1-5</t>
  </si>
  <si>
    <t>E62ASA2-5</t>
  </si>
  <si>
    <t>E62WSA1-5</t>
  </si>
  <si>
    <t>E62RSA1-5</t>
  </si>
  <si>
    <t>E62BSA1-5</t>
  </si>
  <si>
    <t>E67ASA1-1/4</t>
  </si>
  <si>
    <t>E67GSA1-1/4</t>
  </si>
  <si>
    <t>E67RSA1-1/4</t>
  </si>
  <si>
    <t>E67WSA1-1/4</t>
  </si>
  <si>
    <t>KEM DIRECT-TO-METAL BASE SOLVENTE BRILLANTE BLANCO</t>
  </si>
  <si>
    <t>E67BSA1-1/4</t>
  </si>
  <si>
    <t>KEM DIRECT-TO-METAL BASE SOLVENTE BRILLANTE NEGRO</t>
  </si>
  <si>
    <t>E67ASA1-1</t>
  </si>
  <si>
    <t>KEM DIRECT-TO-METAL BASE SOLVENTE BTE GRIS RAL 7046</t>
  </si>
  <si>
    <t>E67ASA3-1</t>
  </si>
  <si>
    <t>KEM DIRECT-TO-METAL BASE SOLVENTE BRILLANTE HAZE GRAY</t>
  </si>
  <si>
    <t>E67BSA1-1</t>
  </si>
  <si>
    <t>E67BSA2-1</t>
  </si>
  <si>
    <t>E67GSA1-1</t>
  </si>
  <si>
    <t>E67GSA2-1</t>
  </si>
  <si>
    <t>KEM DIRECT-TO-METAL BASE SOLVENTE BRILLANTE VERDE MUSGO</t>
  </si>
  <si>
    <t>E67GSA3-1</t>
  </si>
  <si>
    <t>E67LSA2-1</t>
  </si>
  <si>
    <t>E67LSA3-1</t>
  </si>
  <si>
    <t>KEM DIRECT-TO-METAL BASE SOLVENTE BRILLANTE AZUL TAPA</t>
  </si>
  <si>
    <t>E67NSA2-1</t>
  </si>
  <si>
    <t>KEM DIRECT-TO-METAL BASE SOLVENTE BRILLANTE CAFE TABACO</t>
  </si>
  <si>
    <t>E67RSA1-1</t>
  </si>
  <si>
    <t>KEM DIRECT-TO-METAL BASE SOLVENTE BRILLANTE ROJO OXIDO</t>
  </si>
  <si>
    <t>E67RSA3-1</t>
  </si>
  <si>
    <t>E67WSA1-1</t>
  </si>
  <si>
    <t>E67WSA2-1</t>
  </si>
  <si>
    <t>KEM DIRECT-TO-METAL BASE SOLVENTE BRILLANTE BLANCO PURO</t>
  </si>
  <si>
    <t>E67YSA1-1</t>
  </si>
  <si>
    <t>E67ASA1-5</t>
  </si>
  <si>
    <t>E67RSA1-5</t>
  </si>
  <si>
    <t>E67GSA1-5</t>
  </si>
  <si>
    <t>E67ASA3-5</t>
  </si>
  <si>
    <t>E67WSA1-5</t>
  </si>
  <si>
    <t>E67LSA2-5</t>
  </si>
  <si>
    <t>A68WSA2-1/4</t>
  </si>
  <si>
    <t>A68GSA1-1</t>
  </si>
  <si>
    <t>A68LSA3-1</t>
  </si>
  <si>
    <t>A68RSA1-1</t>
  </si>
  <si>
    <t>A68WSA2-1</t>
  </si>
  <si>
    <t>B50GSA2-1</t>
  </si>
  <si>
    <t>B50RSA3-1</t>
  </si>
  <si>
    <t>B50WSA3-1</t>
  </si>
  <si>
    <t>B50GSA2-5</t>
  </si>
  <si>
    <t>B50RSA3-5</t>
  </si>
  <si>
    <t>B50WSA3-5</t>
  </si>
  <si>
    <t>B52BSA1-1/4</t>
  </si>
  <si>
    <t>KEM GALVANIZADO BASE AGUA MATE NEGRO</t>
  </si>
  <si>
    <t>B52ASA5-1/4</t>
  </si>
  <si>
    <t>KEM GALVANIZADO BASE AGUA MATE GRIS ANSI #70</t>
  </si>
  <si>
    <t>B52RSA3-1/4</t>
  </si>
  <si>
    <t>KEM GALVANIZADO BASE AGUA MATE ROJO TEJA</t>
  </si>
  <si>
    <t>B52GSA1-1/4</t>
  </si>
  <si>
    <t>KEM GALVANIZADO BASE AGUA MATE VERDE OXIDO</t>
  </si>
  <si>
    <t>B52NSA1-1/4</t>
  </si>
  <si>
    <t>KEM GALVANIZADO BASE AGUA MATE CAFE</t>
  </si>
  <si>
    <t>B52RSA2-1/4</t>
  </si>
  <si>
    <t>KEM GALVANIZADO BASE AGUA MATE ROJO OXIDO</t>
  </si>
  <si>
    <t>B52WSA1-1/4</t>
  </si>
  <si>
    <t>KEM GALVANIZADO BASE AGUA MATE BLANCO</t>
  </si>
  <si>
    <t>B52BSA1-1</t>
  </si>
  <si>
    <t>B52ASA5-1</t>
  </si>
  <si>
    <t>B52RSA3-1</t>
  </si>
  <si>
    <t>B52GSA1-1</t>
  </si>
  <si>
    <t>B52NSA1-1</t>
  </si>
  <si>
    <t>B52RSA2-1</t>
  </si>
  <si>
    <t>B52WSA1-1</t>
  </si>
  <si>
    <t>B52ASA6-1</t>
  </si>
  <si>
    <t>B52BSA1-5</t>
  </si>
  <si>
    <t>B52ASA5-5</t>
  </si>
  <si>
    <t>B52RSA3-5</t>
  </si>
  <si>
    <t>B52GSA1-5</t>
  </si>
  <si>
    <t>B52NSA1-5</t>
  </si>
  <si>
    <t>B52RSA2-5</t>
  </si>
  <si>
    <t>B52WSA1-5</t>
  </si>
  <si>
    <t>B52ASA6-5</t>
  </si>
  <si>
    <t>B65ASA1-1</t>
  </si>
  <si>
    <t>B65ESA1-1</t>
  </si>
  <si>
    <t>B65GSA2-1</t>
  </si>
  <si>
    <t>B65LSA2-1</t>
  </si>
  <si>
    <t>B65RSA2-1</t>
  </si>
  <si>
    <t>B65WSA1-1</t>
  </si>
  <si>
    <t>B65YSA2-1</t>
  </si>
  <si>
    <t>B65BSA1-1</t>
  </si>
  <si>
    <t>B65GSA4-1</t>
  </si>
  <si>
    <t>B65YSA1-1</t>
  </si>
  <si>
    <t>B65LSA1-1</t>
  </si>
  <si>
    <t>B65SSA3-1</t>
  </si>
  <si>
    <t>B65ASA2-1</t>
  </si>
  <si>
    <t>B65GSA1-1</t>
  </si>
  <si>
    <t>B65RSA1-1</t>
  </si>
  <si>
    <t>B65VSA1-1/4</t>
  </si>
  <si>
    <t>B69ASA18-1</t>
  </si>
  <si>
    <t>ESMALTE EPOXICO KEM CATI COAT BRILLANTE GRIS PARTE A</t>
  </si>
  <si>
    <t>B69ASA22-1</t>
  </si>
  <si>
    <t>B69B31-1</t>
  </si>
  <si>
    <t>ESMALTE EPOXICO KEM CATI COAT BRILLANTE NEGRO PARTE A</t>
  </si>
  <si>
    <t>B69G39-1</t>
  </si>
  <si>
    <t>ESMALTE EPOXICO KEM CATI COAT BRILLANTE VERDE PARTE A</t>
  </si>
  <si>
    <t>B69L39-1</t>
  </si>
  <si>
    <t>B69RSA6-1</t>
  </si>
  <si>
    <t>B69W36-1</t>
  </si>
  <si>
    <t>ESMALTE EPOXICO KEM CATI COAT BRILLANTE BLANCO PARTE A</t>
  </si>
  <si>
    <t>B69YSA8-1</t>
  </si>
  <si>
    <t>H81TSA1-1</t>
  </si>
  <si>
    <t>B65VSA2-1/16</t>
  </si>
  <si>
    <t>F85ASA2-1</t>
  </si>
  <si>
    <t>F85BSA1-1</t>
  </si>
  <si>
    <t>F85GSA1-1</t>
  </si>
  <si>
    <t>F85GSA2-1</t>
  </si>
  <si>
    <t>F85LSA1-1</t>
  </si>
  <si>
    <t>F85LSA5-1</t>
  </si>
  <si>
    <t>F85RSA1-1</t>
  </si>
  <si>
    <t>F85WSA1-1</t>
  </si>
  <si>
    <t>F85YSA2-1</t>
  </si>
  <si>
    <t>F85SSA2-1</t>
  </si>
  <si>
    <t>F85YSA1-1</t>
  </si>
  <si>
    <t>F85BSA1-5</t>
  </si>
  <si>
    <t>F85GSA1-5</t>
  </si>
  <si>
    <t>F85GSA2-5</t>
  </si>
  <si>
    <t>F85LSA1-5</t>
  </si>
  <si>
    <t>F85LSA5-5</t>
  </si>
  <si>
    <t>F85RSA1-5</t>
  </si>
  <si>
    <t>F85WSA1-5</t>
  </si>
  <si>
    <t>F85YSA2-5</t>
  </si>
  <si>
    <t>F85YSA1-5</t>
  </si>
  <si>
    <t>F80WSA51-1/4</t>
  </si>
  <si>
    <t>F80WSA53-1/4</t>
  </si>
  <si>
    <t>F80TSA54-1/4</t>
  </si>
  <si>
    <t>F80WSA51-1</t>
  </si>
  <si>
    <t>F80WSA53-1</t>
  </si>
  <si>
    <t>F80TSA54-1</t>
  </si>
  <si>
    <t>F80WSA51-5</t>
  </si>
  <si>
    <t>F80WSA53-5</t>
  </si>
  <si>
    <t>F80TSA54-5</t>
  </si>
  <si>
    <t>F65B2-1</t>
  </si>
  <si>
    <t>F65A2-1</t>
  </si>
  <si>
    <t>F65ASA15-1</t>
  </si>
  <si>
    <t>F65B1-1</t>
  </si>
  <si>
    <t>F65ESA5SP-1</t>
  </si>
  <si>
    <t>F65LSA12-1</t>
  </si>
  <si>
    <t>F65LSA26-1</t>
  </si>
  <si>
    <t>F65R1-1</t>
  </si>
  <si>
    <t>F65RSA15SP-1</t>
  </si>
  <si>
    <t>F65WSA8-1</t>
  </si>
  <si>
    <t>F65Y100-1</t>
  </si>
  <si>
    <t>F65Y12-1</t>
  </si>
  <si>
    <t>F80WSA1-1</t>
  </si>
  <si>
    <t>KEM ESMALTE INDUSTRIAL FAST DRY BRILLANTE BLANCO</t>
  </si>
  <si>
    <t>F80ASA1-1</t>
  </si>
  <si>
    <t>F80BSA1-1</t>
  </si>
  <si>
    <t>KEM ESMALTE INDUSTRIAL FAST DRY BRILLANTE NEGRO</t>
  </si>
  <si>
    <t>F80WSA1-5</t>
  </si>
  <si>
    <t>F80ASA1-5</t>
  </si>
  <si>
    <t>F80BSA1-5</t>
  </si>
  <si>
    <t>B4SSA2-1</t>
  </si>
  <si>
    <t>B4SSA3-1</t>
  </si>
  <si>
    <t>B4SSA4-1</t>
  </si>
  <si>
    <t>B4SSA5-1</t>
  </si>
  <si>
    <t>B4SSA2-1/4</t>
  </si>
  <si>
    <t>B4SSA3-1/4</t>
  </si>
  <si>
    <t>B4SSA4-1/4</t>
  </si>
  <si>
    <t>B4SSA5-1/4</t>
  </si>
  <si>
    <t>B4BSA3-1/4</t>
  </si>
  <si>
    <t>B4WSA7-1/4</t>
  </si>
  <si>
    <t xml:space="preserve">EXCELLO ESMALTE MATE BLANCO </t>
  </si>
  <si>
    <t>B4BSA1-1/4</t>
  </si>
  <si>
    <t>EXCELLO ESMALTE BRILLANTE NEGRO</t>
  </si>
  <si>
    <t>B4LSA10-1/4</t>
  </si>
  <si>
    <t>EXCELLO ESMALTE BRILLANTE AZUL BANDERA</t>
  </si>
  <si>
    <t>B4NSA8-1/4</t>
  </si>
  <si>
    <t>EXCELLO ESMALTE BRILLANTE CAFE TABACO</t>
  </si>
  <si>
    <t>B4RSA6-1/4</t>
  </si>
  <si>
    <t>EXCELLO ESMALTE BRILLANTE ROJO VIVO</t>
  </si>
  <si>
    <t>B4SSA1-1/4</t>
  </si>
  <si>
    <t>EXCELLO ESMALTE BRILLANTE ALUMINIO</t>
  </si>
  <si>
    <t>B4W56-1/4</t>
  </si>
  <si>
    <t>EXCELLO ESMALTE BRILLANTE BLANCO</t>
  </si>
  <si>
    <t>B4WSA2-1/4</t>
  </si>
  <si>
    <t>EXCELLO ESMALTE BRILLANTE BLANCO HUESO</t>
  </si>
  <si>
    <t>B4BSA3-1</t>
  </si>
  <si>
    <t>B4WSA7-1</t>
  </si>
  <si>
    <t>B4A43-1</t>
  </si>
  <si>
    <t>EXCELLO ESMALTE BRILLANTE GRIS PERLA</t>
  </si>
  <si>
    <t>B4BSA1-1</t>
  </si>
  <si>
    <t>B4ESA3-1</t>
  </si>
  <si>
    <t>EXCELLO ESMALTE BRILLANTE NARANJA</t>
  </si>
  <si>
    <t>B4ESA9-1</t>
  </si>
  <si>
    <t>EXCELLO ESMALTE BRILLANTE MELON</t>
  </si>
  <si>
    <t>B4GSA9-1</t>
  </si>
  <si>
    <t>EXCELLO ESMALTE BRILLANTE VERDE AQUA</t>
  </si>
  <si>
    <t>B4GSA11-1</t>
  </si>
  <si>
    <t>EXCELLO ESMALTE BRILLANTE VERDE AMAZONAS</t>
  </si>
  <si>
    <t>B4GSA23-1</t>
  </si>
  <si>
    <t>EXCELLO ESMALTE BRILLANTE VERDE JOHN DEERE</t>
  </si>
  <si>
    <t>B4GSA24-1</t>
  </si>
  <si>
    <t>EXCELLO ESMALTE BRILLANTE VERDE GRAMA</t>
  </si>
  <si>
    <t>B4H25-1</t>
  </si>
  <si>
    <t>EXCELLO ESMALTE BRILLANTE MARFIL CONCHA</t>
  </si>
  <si>
    <t>B4LSA10-1</t>
  </si>
  <si>
    <t>B4NSA1-1</t>
  </si>
  <si>
    <t>EXCELLO ESMALTE BRILLANTE BEIGE SUAVE</t>
  </si>
  <si>
    <t>B4NSA8-1</t>
  </si>
  <si>
    <t>B4RSA6-1</t>
  </si>
  <si>
    <t>B4RSA13-1</t>
  </si>
  <si>
    <t>EXCELLO ESMALTE BRILLANTE ROJO OXIDO</t>
  </si>
  <si>
    <t>B4SSA1-1</t>
  </si>
  <si>
    <t>B4W56-1</t>
  </si>
  <si>
    <t>B4WSA2-1</t>
  </si>
  <si>
    <t>B4WSA18-1</t>
  </si>
  <si>
    <t>EXCELLO ESMALTE BRILLANTE BLANCO PORCELANA</t>
  </si>
  <si>
    <t>B4YSA10-1</t>
  </si>
  <si>
    <t>EXCELLO ESMALTE BRILLANTE AMARILLO</t>
  </si>
  <si>
    <t>B4YSA22-1</t>
  </si>
  <si>
    <t>EXCELLO ESMALTE BRILLANTE AMARILLO CATERPILLAR</t>
  </si>
  <si>
    <t>B4WSA7-5</t>
  </si>
  <si>
    <t>B4LSA10-5</t>
  </si>
  <si>
    <t>B4W56-5</t>
  </si>
  <si>
    <t>B4WSA2-5</t>
  </si>
  <si>
    <t>B4ESA9-5</t>
  </si>
  <si>
    <t>B4NSA1-5</t>
  </si>
  <si>
    <t>B4WSA18-5</t>
  </si>
  <si>
    <t>B32WSA251-1</t>
  </si>
  <si>
    <t>EXCELLO STYLE PERFECT ALKYD MATE BASE EXTRA WHITE</t>
  </si>
  <si>
    <t>B32WSA253-1</t>
  </si>
  <si>
    <t>EXCELLO STYLE PERFECT ALKYD MATE BASE DEEP</t>
  </si>
  <si>
    <t>B32WSA251-5</t>
  </si>
  <si>
    <t>B39TSA54-1</t>
  </si>
  <si>
    <t>EXCELLO WEATHER PERFECT ESMALT BRILLANTE BASE ULTRADEEP</t>
  </si>
  <si>
    <t>B39WSA51-1</t>
  </si>
  <si>
    <t>EXCELLO WEATHER PERFECT ESMALT BRILLANTE BASE EXTRA WHITE</t>
  </si>
  <si>
    <t>B39WSA53-1</t>
  </si>
  <si>
    <t>B39TSA54-5</t>
  </si>
  <si>
    <t>B39WSA51-5</t>
  </si>
  <si>
    <t>B39WSA53-5</t>
  </si>
  <si>
    <t>EXCELLO WEATHER PERFECT ESMALT BRILLANTE BASE DEEP</t>
  </si>
  <si>
    <t>B82BSA3-1/4</t>
  </si>
  <si>
    <t>COLONIAL STYLE ESMALTE MATE NEGRO</t>
  </si>
  <si>
    <t>B82WSA6-1/4</t>
  </si>
  <si>
    <t xml:space="preserve">COLONIAL STYLE ESMALTE MATE BLANCO </t>
  </si>
  <si>
    <t>B82BSA3-1</t>
  </si>
  <si>
    <t>B82WSA6-1</t>
  </si>
  <si>
    <t>B82WSA6-5</t>
  </si>
  <si>
    <t>B82BSA1-1/4</t>
  </si>
  <si>
    <t>COLONIAL STYLE ESMALTE BRILLANTE NEGRO</t>
  </si>
  <si>
    <t>B82GSA13-1/4</t>
  </si>
  <si>
    <t>B82NSA3-1/4</t>
  </si>
  <si>
    <t>B82RSA6-1/4</t>
  </si>
  <si>
    <t>COLONIAL STYLE ESMALTE BRILLANTE ROJO CHINO</t>
  </si>
  <si>
    <t>B82RSA13-1/4</t>
  </si>
  <si>
    <t>COLONIAL STYLE ESMALTE BRILLANTE ROJO QUEMADO</t>
  </si>
  <si>
    <t>B82WSA1-1/4</t>
  </si>
  <si>
    <t>COLONIAL STYLE ESMALTE BRILLANTE BLANCO</t>
  </si>
  <si>
    <t>B82YSA12-1/4</t>
  </si>
  <si>
    <t>B82ASA8-1</t>
  </si>
  <si>
    <t>COLONIAL STYLE ESMALTE BRILLANTE GRIS CLARO</t>
  </si>
  <si>
    <t>B82ASA12-1</t>
  </si>
  <si>
    <t>COLONIAL STYLE ESMALTE BRILLANTE GRIS OSCURO</t>
  </si>
  <si>
    <t>B82BSA1-1</t>
  </si>
  <si>
    <t>B82ESA6-1</t>
  </si>
  <si>
    <t>COLONIAL STYLE ESMALTE BRILLANTE MELON</t>
  </si>
  <si>
    <t>B82GSA13-1</t>
  </si>
  <si>
    <t>COLONIAL STYLE ESMALTE BRILLANTE VERDE ESMERALDA</t>
  </si>
  <si>
    <t>B82GSA15-1</t>
  </si>
  <si>
    <t>COLONIAL STYLE ESMALTE BRILLANTE VERDE MANZANO</t>
  </si>
  <si>
    <t>B82GSA17-1</t>
  </si>
  <si>
    <t>COLONIAL STYLE ESMALTE BRILLANTE TURQUESA ALEGRE</t>
  </si>
  <si>
    <t>B82GSA18-1</t>
  </si>
  <si>
    <t>COLONIAL STYLE ESMALTE BRILLANTE VERDE PALMERA</t>
  </si>
  <si>
    <t>B82HSA6-1</t>
  </si>
  <si>
    <t>COLONIAL STYLE ESMALTE BRILLANTE CREMA</t>
  </si>
  <si>
    <t>B82LSA7-1</t>
  </si>
  <si>
    <t>COLONIAL STYLE ESMALTE BRILLANTE AZUL MEDIANO</t>
  </si>
  <si>
    <t>B82LSA13-1</t>
  </si>
  <si>
    <t>COLONIAL STYLE ESMALTE BRILLANTE AZUL CARIBE</t>
  </si>
  <si>
    <t>B82LSA14-1</t>
  </si>
  <si>
    <t>COLONIAL STYLE ESMALTE BRILLANTE CELESTE CIELO</t>
  </si>
  <si>
    <t>B82NSA3-1</t>
  </si>
  <si>
    <t>B82NSA4-1</t>
  </si>
  <si>
    <t>COLONIAL STYLE ESMALTE BRILLANTE CAFÉ OSCURO</t>
  </si>
  <si>
    <t>B82NSA9-1</t>
  </si>
  <si>
    <t>COLONIAL STYLE ESMALTE BRILLANTE CAFÉ TERRENAL</t>
  </si>
  <si>
    <t>B82RSA6-1</t>
  </si>
  <si>
    <t>B82RSA19-1</t>
  </si>
  <si>
    <t>COLONIAL STYLE ESMALTE BRILLANTE JALAPEÑO</t>
  </si>
  <si>
    <t>B82RSA13-1</t>
  </si>
  <si>
    <t>B82WSA1-1</t>
  </si>
  <si>
    <t>B82WSA3-1</t>
  </si>
  <si>
    <t>COLONIAL STYLE ESMALTE BRILLANTE BLANCO HUESO</t>
  </si>
  <si>
    <t>B82YSA14-1</t>
  </si>
  <si>
    <t>COLONIAL STYLE ESMALTE BRILLANTE AZAFRAN</t>
  </si>
  <si>
    <t>B82YSA12-1</t>
  </si>
  <si>
    <t xml:space="preserve">COLONIAL STYLE ESMALTE BRILLANTE AMARILLO CROMO </t>
  </si>
  <si>
    <t>B82ESA6-5</t>
  </si>
  <si>
    <t>B82WSA1-5</t>
  </si>
  <si>
    <t>B82WSA3-5</t>
  </si>
  <si>
    <t>K58BSA2-1/4</t>
  </si>
  <si>
    <t>PENINSULAR ESMALTE BRILLANTE NEGRO</t>
  </si>
  <si>
    <t>K58LSA6-1/4</t>
  </si>
  <si>
    <t xml:space="preserve">PENINSULAR ESMALTE BRILLANTE AZUL </t>
  </si>
  <si>
    <t>K58MSA1-1/4</t>
  </si>
  <si>
    <t>PENINSULAR ESMALTE BRILLANTE VINO TINTO</t>
  </si>
  <si>
    <t>K58NSA1-1/4</t>
  </si>
  <si>
    <t>PENINSULAR ESMALTE BRILLANTE CHOCOLATE</t>
  </si>
  <si>
    <t>K58RSA2-1/4</t>
  </si>
  <si>
    <t>PENINSULAR ESMALTE BRILLANTE BERMELLON</t>
  </si>
  <si>
    <t>K58LSA2-1/4</t>
  </si>
  <si>
    <t>PENINSULAR ESMALTE BRILLANTE CELESTE</t>
  </si>
  <si>
    <t>K58WSA1-1/4</t>
  </si>
  <si>
    <t>PENINSULAR ESMALTE BRILLANTE BLANCO</t>
  </si>
  <si>
    <t>K58HSA1-1/4</t>
  </si>
  <si>
    <t>PENINSULAR ESMALTE BRILLANTE MARFIL</t>
  </si>
  <si>
    <t>K58WSA2-1/4</t>
  </si>
  <si>
    <t>PENINSULAR ESMALTE BRILLANTE BLANCO HUESO</t>
  </si>
  <si>
    <t>K58YSA1-1/4</t>
  </si>
  <si>
    <t>PENINSULAR ESMALTE BRILLANTE AMARILLO</t>
  </si>
  <si>
    <t>K58ASA5-1</t>
  </si>
  <si>
    <t xml:space="preserve">PENINSULAR ESMALTE BRILLANTE GRIS PLATEADO </t>
  </si>
  <si>
    <t>K58BSA2-1</t>
  </si>
  <si>
    <t>K58GSA2-1</t>
  </si>
  <si>
    <t>PENINSULAR ESMALTE BRILLANTE AQUA</t>
  </si>
  <si>
    <t>K58GSA4-1</t>
  </si>
  <si>
    <t>PENINSULAR ESMALTE BRILLANTE VERDE INTENSO</t>
  </si>
  <si>
    <t>K58GSA5-1</t>
  </si>
  <si>
    <t>PENINSULAR ESMALTE BRILLANTE VERDE COCKTAIL</t>
  </si>
  <si>
    <t>K58GSA7-1</t>
  </si>
  <si>
    <t>PENINSULAR ESMALTE BRILLANTE VERDE MANZANA</t>
  </si>
  <si>
    <t>K58HSA1-1</t>
  </si>
  <si>
    <t>K58LSA2-1</t>
  </si>
  <si>
    <t>K58LSA6-1</t>
  </si>
  <si>
    <t>K58MSA1-1</t>
  </si>
  <si>
    <t>K58NSA1-1</t>
  </si>
  <si>
    <t>K58NSA2-1</t>
  </si>
  <si>
    <t>PENINSULAR ESMALTE BRILLANTE CAFÉ COBRIZO</t>
  </si>
  <si>
    <t>K58PSA2-1</t>
  </si>
  <si>
    <t>PENINSULAR ESMALTE BRILLANTE VIOLETA</t>
  </si>
  <si>
    <t>K58RSA2-1</t>
  </si>
  <si>
    <t>K58RSA6-1</t>
  </si>
  <si>
    <t>PENINSULAR ESMALTE BRILLANTE DECO-CORAL</t>
  </si>
  <si>
    <t>K58RSA10-1</t>
  </si>
  <si>
    <t>K58WSA1-1</t>
  </si>
  <si>
    <t>K58WSA2-1</t>
  </si>
  <si>
    <t>K58YSA1-1</t>
  </si>
  <si>
    <t>K58YSA6-1</t>
  </si>
  <si>
    <t>PENINSULAR ESMALTE BRILLANTE MOSTAZA</t>
  </si>
  <si>
    <t>K58ASA5-5</t>
  </si>
  <si>
    <t>PENINSULAR ESMALTE BRILLANTE GRIS PLATEADO</t>
  </si>
  <si>
    <t>K58LSA6-5</t>
  </si>
  <si>
    <t>K58WSA1-5</t>
  </si>
  <si>
    <t>K58WSA2-5</t>
  </si>
  <si>
    <t>K58HSA1-5</t>
  </si>
  <si>
    <t>Y82BSA1-1/4</t>
  </si>
  <si>
    <t>COLORAMICA ESMALTE BRILLANTE NEGRO</t>
  </si>
  <si>
    <t>Y82GSA3-1/4</t>
  </si>
  <si>
    <t>COLORAMICA ESMALTE BRILLANTE AQUA CRISTALINO</t>
  </si>
  <si>
    <t>Y82GSA4-1/4</t>
  </si>
  <si>
    <t>COLORAMICA ESMALTE BRILLANTE VERDE JARDIN</t>
  </si>
  <si>
    <t>Y82LSA1-1/4</t>
  </si>
  <si>
    <t>COLORAMICA ESMALTE BRILLANTE AZUL</t>
  </si>
  <si>
    <t>Y82LSA4-1/4</t>
  </si>
  <si>
    <t>COLORAMICA ESMALTE BRILLANTE CELESTE OCEANO</t>
  </si>
  <si>
    <t>Y82NSA1-1/4</t>
  </si>
  <si>
    <t>COLORAMICA ESMALTE BRILLANTE CHOCOLATE</t>
  </si>
  <si>
    <t>Y82NSA2-1/4</t>
  </si>
  <si>
    <t>Y82WSA1-1/4</t>
  </si>
  <si>
    <t>COLORAMICA ESMALTE BRILLANTE BLANCO</t>
  </si>
  <si>
    <t>Y82ASA1-1</t>
  </si>
  <si>
    <t>COLORAMICA ESMALTE BRILLANTE GRIS OSCURO</t>
  </si>
  <si>
    <t>Y82ASA2-1</t>
  </si>
  <si>
    <t>COLORAMICA ESMALTE BRILLANTE GRIS CLARO</t>
  </si>
  <si>
    <t>Y82BSA1-1</t>
  </si>
  <si>
    <t>Y82ESA1-1</t>
  </si>
  <si>
    <t>COLORAMICA ESMALTE BRILLANTE MELOCOTON</t>
  </si>
  <si>
    <t>Y82ESA2-1</t>
  </si>
  <si>
    <t>COLORAMICA ESMALTE BRILLANTE NARANJA INTENSO</t>
  </si>
  <si>
    <t>Y82ESA6-1</t>
  </si>
  <si>
    <t>COLORAMICA ESMALTE BRILLANTE NARANJA MANDARINA</t>
  </si>
  <si>
    <t>Y82GSA1-1</t>
  </si>
  <si>
    <t>COLORAMICA ESMALTE BRILLANTE VERDE OSCURO</t>
  </si>
  <si>
    <t>Y82GSA2-1</t>
  </si>
  <si>
    <t>COLORAMICA ESMALTE BRILLANTE VERDE AQUA</t>
  </si>
  <si>
    <t>Y82GSA3-1</t>
  </si>
  <si>
    <t>Y82GSA4-1</t>
  </si>
  <si>
    <t>Y82GSA5-1</t>
  </si>
  <si>
    <t>COLORAMICA ESMALTE BRILLANTE VERDE LIMA</t>
  </si>
  <si>
    <t>Y82GSA9-1</t>
  </si>
  <si>
    <t>COLORAMICA ESMALTE BRILLANTE VERDE MENTA</t>
  </si>
  <si>
    <t>Y82HSA2-1</t>
  </si>
  <si>
    <t>COLORAMICA ESMALTE BRILLANTE MARFIL CREMA</t>
  </si>
  <si>
    <t>Y82HSA3-1</t>
  </si>
  <si>
    <t>COLORAMICA ESMALTE BRILLANTE MARFIL SUAVE</t>
  </si>
  <si>
    <t>Y82HSA4-1</t>
  </si>
  <si>
    <t>COLORAMICA ESMALTE BRILLANTE MARFIL ESPECIAL</t>
  </si>
  <si>
    <t>Y82LSA1-1</t>
  </si>
  <si>
    <t>Y82LSA2-1</t>
  </si>
  <si>
    <t>COLORAMICA ESMALTE BRILLANTE CELESTE</t>
  </si>
  <si>
    <t>Y82LSA4-1</t>
  </si>
  <si>
    <t>Y82LSA5-1</t>
  </si>
  <si>
    <t>COLORAMICA ESMALTE BRILLANTE CELESTE SUAVE</t>
  </si>
  <si>
    <t>Y82LSA6-1</t>
  </si>
  <si>
    <t>COLORAMICA ESMALTE BRILLANTE AZUL GEMA</t>
  </si>
  <si>
    <t>Y82NSA1-1</t>
  </si>
  <si>
    <t>Y82NSA2-1</t>
  </si>
  <si>
    <t>COLORAMICA ESMALTE BRILLANTE BEIGE</t>
  </si>
  <si>
    <t>Y82PSA1-1</t>
  </si>
  <si>
    <t>COLORAMICA ESMALTE BRILLANTE MORADO</t>
  </si>
  <si>
    <t>Y82RSA1-1</t>
  </si>
  <si>
    <t>COLORAMICA ESMALTE BRILLANTE ROSADO</t>
  </si>
  <si>
    <t>Y82RSA3-1</t>
  </si>
  <si>
    <t>COLORAMICA ESMALTE BRILLANTE ROJO PASION</t>
  </si>
  <si>
    <t>Y82RSA4-1</t>
  </si>
  <si>
    <t>COLORAMICA ESMALTE BRILLANTE MARRON</t>
  </si>
  <si>
    <t>Y82YSA1-1</t>
  </si>
  <si>
    <t>COLORAMICA ESMALTE BRILLANTE AMARILLO</t>
  </si>
  <si>
    <t>Y82YSA2-1</t>
  </si>
  <si>
    <t>COLORAMICA ESMALTE BRILLANTE AMARILLO TRIGO</t>
  </si>
  <si>
    <t>Y82WSA1-1</t>
  </si>
  <si>
    <t>Y82WSA2-1</t>
  </si>
  <si>
    <t>COLORAMICA ESMALTE BRILLANTE BLANCO HUESO</t>
  </si>
  <si>
    <t>Y82ESA1-5</t>
  </si>
  <si>
    <t>Y82ESA6-5</t>
  </si>
  <si>
    <t>Y82GSA9-5</t>
  </si>
  <si>
    <t>Y82HSA2-5</t>
  </si>
  <si>
    <t>Y82HSA3-5</t>
  </si>
  <si>
    <t>Y82HSA4-5</t>
  </si>
  <si>
    <t>Y82LSA1-5</t>
  </si>
  <si>
    <t>Y82LSA2-5</t>
  </si>
  <si>
    <t>Y82LSA4-5</t>
  </si>
  <si>
    <t>Y82LSA5-5</t>
  </si>
  <si>
    <t>Y82NSA1-5</t>
  </si>
  <si>
    <t>Y82NSA2-5</t>
  </si>
  <si>
    <t>Y82RSA4-5</t>
  </si>
  <si>
    <t>Y82WSA1-5</t>
  </si>
  <si>
    <t>Y82WSA2-5</t>
  </si>
  <si>
    <t>Y82YSA1-5</t>
  </si>
  <si>
    <t>Y82YSA2-5</t>
  </si>
  <si>
    <t>Y82GSA1-5</t>
  </si>
  <si>
    <t>B96YSA1-1</t>
  </si>
  <si>
    <t>TRAFICO SEÑALIZACION PARA PARQUEOS SATINADO AMARILLO</t>
  </si>
  <si>
    <t>B96WSA1-1</t>
  </si>
  <si>
    <t>TRAFICO SEÑALIZACION PARA PARQUEOS SATINADO BLANCO</t>
  </si>
  <si>
    <t>B96RSA1-1</t>
  </si>
  <si>
    <t>TRAFICO SEÑALIZACION PARA PARQUEOS SATINADO ROJO</t>
  </si>
  <si>
    <t>B96ASA1-1</t>
  </si>
  <si>
    <t>TRAFICO SEÑALIZACION PARA PARQUEOS SATINADO GRIS</t>
  </si>
  <si>
    <t>B96LSA1-1</t>
  </si>
  <si>
    <t>TRAFICO SEÑALIZACION PARA PARQUEOS SATINADO AZUL</t>
  </si>
  <si>
    <t>B96BSA1-1</t>
  </si>
  <si>
    <t>TRAFICO SEÑALIZACION PARA PARQUEOS SATINADO NEGRO</t>
  </si>
  <si>
    <t>B96GSA1-1</t>
  </si>
  <si>
    <t>TRAFICO SEÑALIZACION PARA PARQUEOS SATINADO VERDE</t>
  </si>
  <si>
    <t>B96YSA1-5</t>
  </si>
  <si>
    <t>B96WSA1-5</t>
  </si>
  <si>
    <t>B97WSA1-1</t>
  </si>
  <si>
    <t>TRAFICO BASE AGUA MATE BLANCO TT-P-1952F</t>
  </si>
  <si>
    <t>B97YSA1-1</t>
  </si>
  <si>
    <t>TRAFICO BASE AGUA MATE AMARILLO TT-P-1952F</t>
  </si>
  <si>
    <t>B97BSA1-1</t>
  </si>
  <si>
    <t>TRAFICO BASE AGUA MATE NEGRO TT-P-1952F</t>
  </si>
  <si>
    <t>B97WSA1-5</t>
  </si>
  <si>
    <t>B97YSA1-5</t>
  </si>
  <si>
    <t>B97BSA1-5</t>
  </si>
  <si>
    <t>B99WSA1-1</t>
  </si>
  <si>
    <t>B99YSA1-1</t>
  </si>
  <si>
    <t>B99BSA1-1</t>
  </si>
  <si>
    <t>TRAFICO CAUCHO CLORADO MATE NEGRO TT-P-115F</t>
  </si>
  <si>
    <t>B99RSA1-1</t>
  </si>
  <si>
    <t>TRAFICO CAUCHO CLORADO MATE ROJO TT-P-115F</t>
  </si>
  <si>
    <t>B99WSA1-5</t>
  </si>
  <si>
    <t>B99YSA1-5</t>
  </si>
  <si>
    <t>B99BSA1-5</t>
  </si>
  <si>
    <t>B99RSA1-5</t>
  </si>
  <si>
    <t>B98WSA1-1</t>
  </si>
  <si>
    <t>B98YSA1-1</t>
  </si>
  <si>
    <t>B98WSA1-5</t>
  </si>
  <si>
    <t>B98YSA1-5</t>
  </si>
  <si>
    <t>6290253-6LBS</t>
  </si>
  <si>
    <t>50.155004-3.2OZ</t>
  </si>
  <si>
    <t>B58B600-1</t>
  </si>
  <si>
    <t>B58W610-1</t>
  </si>
  <si>
    <t>B58A600-1</t>
  </si>
  <si>
    <t>B58A604-1</t>
  </si>
  <si>
    <t>B58T604-1</t>
  </si>
  <si>
    <t>MACROPOXY 646 FAST CURE EPOXY SG ULTRADEEP BASE PART A</t>
  </si>
  <si>
    <t>B58V600-1</t>
  </si>
  <si>
    <t>B67W2001-1</t>
  </si>
  <si>
    <t>B67A2001-1</t>
  </si>
  <si>
    <t>B67T2004-1</t>
  </si>
  <si>
    <t>B67Y2000-1</t>
  </si>
  <si>
    <t>B67R2000-1</t>
  </si>
  <si>
    <t>B67V2002-1</t>
  </si>
  <si>
    <t>ARMORSEAL 1000 HS EPOXY HARDENER PART B</t>
  </si>
  <si>
    <t>B69A47K-1</t>
  </si>
  <si>
    <t>B50NZ6-1</t>
  </si>
  <si>
    <t>B50AZ6-1</t>
  </si>
  <si>
    <t>B50WZ1-1</t>
  </si>
  <si>
    <t>B50NZ6-5</t>
  </si>
  <si>
    <t>B50AZ6-5</t>
  </si>
  <si>
    <t>B50WZ1-5</t>
  </si>
  <si>
    <t>B69W16-1</t>
  </si>
  <si>
    <t>P60G2-1</t>
  </si>
  <si>
    <t>R7K242-1</t>
  </si>
  <si>
    <t>B59S1-1/4</t>
  </si>
  <si>
    <t>B59S1-1</t>
  </si>
  <si>
    <t>B59S3-1</t>
  </si>
  <si>
    <t>B59S8-1</t>
  </si>
  <si>
    <t>B61B2-1</t>
  </si>
  <si>
    <t>B61BSA1-1</t>
  </si>
  <si>
    <t>B50WSA2-1</t>
  </si>
  <si>
    <t>B50ESA2-1</t>
  </si>
  <si>
    <t>B50WSA2-5</t>
  </si>
  <si>
    <t>B50ESA2-5</t>
  </si>
  <si>
    <t>B50WSA1-1</t>
  </si>
  <si>
    <t>B50ESA1-1</t>
  </si>
  <si>
    <t>B50WSA1-5</t>
  </si>
  <si>
    <t>B50ESA1-5</t>
  </si>
  <si>
    <t>GPSA1-1</t>
  </si>
  <si>
    <t>T1F280-1/8</t>
  </si>
  <si>
    <t>T1F280-1/4</t>
  </si>
  <si>
    <t>T1F280-1</t>
  </si>
  <si>
    <t>N51R35-1</t>
  </si>
  <si>
    <t>N51B35-1</t>
  </si>
  <si>
    <t>N51L35-1</t>
  </si>
  <si>
    <t>N51R21-1</t>
  </si>
  <si>
    <t>N51B21-1</t>
  </si>
  <si>
    <t>N51L21-1</t>
  </si>
  <si>
    <t>N51R35-5</t>
  </si>
  <si>
    <t>N51B35-5</t>
  </si>
  <si>
    <t>N51L35-5</t>
  </si>
  <si>
    <t>N51R21-5</t>
  </si>
  <si>
    <t>N51B21-5</t>
  </si>
  <si>
    <t>N51L21-5</t>
  </si>
  <si>
    <t>N58WSA610-1</t>
  </si>
  <si>
    <t>N58BSA600-1</t>
  </si>
  <si>
    <t>N58VSA600-1</t>
  </si>
  <si>
    <t>N58WSA610-5</t>
  </si>
  <si>
    <t>N58BSA600-5</t>
  </si>
  <si>
    <t>N58VSA600-5</t>
  </si>
  <si>
    <t>N69RSA1-1</t>
  </si>
  <si>
    <t>MARINO PRIMARIO EPOXICO ROJO PARTE A</t>
  </si>
  <si>
    <t>N69ASA1-1</t>
  </si>
  <si>
    <t>MARINO PRIMARIO EPOXICO GRIS PARTE A</t>
  </si>
  <si>
    <t>N69WSA1-1</t>
  </si>
  <si>
    <t>N69VSA1-1</t>
  </si>
  <si>
    <t>N50NSA1-1</t>
  </si>
  <si>
    <t>MARINO PRIMARIO UNIVERSAL HS MATE ROJO OXIDO</t>
  </si>
  <si>
    <t>N50ASA1-1</t>
  </si>
  <si>
    <t>MARINO PRIMARIO UNIVERSAL HS MATE GRIS</t>
  </si>
  <si>
    <t>N50WSA1-1</t>
  </si>
  <si>
    <t>MARINO PRIMARIO UNIVERSAL HS MATE BLANCO</t>
  </si>
  <si>
    <t>N85WSA1-1</t>
  </si>
  <si>
    <t>MARINO ESMALTE ULTRA FAST DRY BRILLANTE BLANCO</t>
  </si>
  <si>
    <t>N85BSA1-1</t>
  </si>
  <si>
    <t>MARINO ESMALTE ULTRA FAST DRY BRILLANTE NEGRO</t>
  </si>
  <si>
    <t>N85RSA1-1</t>
  </si>
  <si>
    <t>MARINO ESMALTE ULTRA FAST DRY BRILLANTE ROJO SEGURIDAD</t>
  </si>
  <si>
    <t>N85YSA1-1</t>
  </si>
  <si>
    <t>N85GSA1-1</t>
  </si>
  <si>
    <t>N85LSA1-1</t>
  </si>
  <si>
    <t>N80WSA51-1</t>
  </si>
  <si>
    <t>N80WSA53-1</t>
  </si>
  <si>
    <t>N80TSA54-1</t>
  </si>
  <si>
    <t>N85WSA1-5</t>
  </si>
  <si>
    <t>N80WSA51-5</t>
  </si>
  <si>
    <t>N80WSA53-5</t>
  </si>
  <si>
    <t>N80TSA54-5</t>
  </si>
  <si>
    <t>N65WSA1-1</t>
  </si>
  <si>
    <t>N65BSA1-1</t>
  </si>
  <si>
    <t>N65RSA1-1</t>
  </si>
  <si>
    <t>N65ESA1-1</t>
  </si>
  <si>
    <t>N65YSA1-1</t>
  </si>
  <si>
    <t>N65GSA1-1</t>
  </si>
  <si>
    <t>N65LSA1-1</t>
  </si>
  <si>
    <t>N65ASA2-1</t>
  </si>
  <si>
    <t>N65YSA2-1</t>
  </si>
  <si>
    <t>N65LSA2-1</t>
  </si>
  <si>
    <t>N65VSA1-1/4</t>
  </si>
  <si>
    <t>MARINO ESMALTE POLIURETANO PARTE B</t>
  </si>
  <si>
    <t>B65W611-0.86</t>
  </si>
  <si>
    <t>ACROLON 218 HS ACRYLIC POLYURETHANE EXTRA WHITE</t>
  </si>
  <si>
    <t>B65T604-0.86</t>
  </si>
  <si>
    <t>ACROLON 218 HS ACRYLIC POLYURETHANE ULTRA DEEP BASE</t>
  </si>
  <si>
    <t>B65B600-0.86</t>
  </si>
  <si>
    <t>ACROLON 218 HS ACRYLIC POLYURETHANE BLACK</t>
  </si>
  <si>
    <t>B65Y600-0.86</t>
  </si>
  <si>
    <t>ACROLON 218 HS ACRYLIC POLYURETHANE SAFETY YELLOW</t>
  </si>
  <si>
    <t>B65V600-0.14</t>
  </si>
  <si>
    <t>ACROLON 218 HS ACRYLIC POLYURETHANE HARDENER</t>
  </si>
  <si>
    <t>B67W235-1</t>
  </si>
  <si>
    <t>DURA-PLATE 235 EPOXY MILL WHITE PART A</t>
  </si>
  <si>
    <t>B67W235-4</t>
  </si>
  <si>
    <t>B67V235-1/4</t>
  </si>
  <si>
    <t>DURA-PLATE 235 EPOXY HARDENER PART B</t>
  </si>
  <si>
    <t>B67V235-1</t>
  </si>
  <si>
    <t>B59A1200-1</t>
  </si>
  <si>
    <t>B59W5120-5</t>
  </si>
  <si>
    <t>FIRETEX FX5120 WATERBASED INTUMESCENT COATING WHITE</t>
  </si>
  <si>
    <t>B62A525-4</t>
  </si>
  <si>
    <t>SHER-GLASS FF GLASS FLAKE REINFORCED EPOXY HAZE GRAY</t>
  </si>
  <si>
    <t>B62V525-1</t>
  </si>
  <si>
    <t>SHER-GLASS FF GLASS FLAKE REINFORCED EPOXY HARDENER</t>
  </si>
  <si>
    <t>B69B60-4</t>
  </si>
  <si>
    <t>TARGUARD COAL TAR EPOXY PART A BLACK COLOR</t>
  </si>
  <si>
    <t>B69V60-1</t>
  </si>
  <si>
    <t>TARGUARD COAL TAR EPOXY PART B</t>
  </si>
  <si>
    <t>K46W2151-1</t>
  </si>
  <si>
    <t>PRO INDUSTRIAL PRE-CATALYZED EPOXY SG EXTRA WHITE BASE</t>
  </si>
  <si>
    <t>B62A55-4</t>
  </si>
  <si>
    <t>EPO-PHEN HI TEMP COATING GRAY</t>
  </si>
  <si>
    <t>B62V55-1</t>
  </si>
  <si>
    <t>EPO-PHEN HI TEMP COATING HARDENER</t>
  </si>
  <si>
    <t>CK920WA11-4</t>
  </si>
  <si>
    <t>PHENICON HS OFF WHITE PART A</t>
  </si>
  <si>
    <t>CK700C685-1</t>
  </si>
  <si>
    <t>PHENICON HS HARDENER PART B</t>
  </si>
  <si>
    <t>B62W210-4</t>
  </si>
  <si>
    <t xml:space="preserve">DURAPLATE UHS WHITE
</t>
  </si>
  <si>
    <t>B62V210-1</t>
  </si>
  <si>
    <t xml:space="preserve">DURAPLATE UHS HARDENER
</t>
  </si>
  <si>
    <t>B69V3-3.75</t>
  </si>
  <si>
    <t xml:space="preserve">ZINC CLAD II ETHYL SILICATE BINDER </t>
  </si>
  <si>
    <t>B69D11-73LBS</t>
  </si>
  <si>
    <t>ZINC CLAD II ETHYL SILICATE ZINC DUST (POLVO DE ZINC) (**)</t>
  </si>
  <si>
    <t>N11A350-1</t>
  </si>
  <si>
    <t>SEAGUARD 5000 HS EPOXY GRAY PART A</t>
  </si>
  <si>
    <t>N11V350-1</t>
  </si>
  <si>
    <t>SEAGUARD 5000 HS EPOXY GRAY PART B</t>
  </si>
  <si>
    <t>GP3561A50-1</t>
  </si>
  <si>
    <t>EPOXY RESIN GLAZE GRAY PART A</t>
  </si>
  <si>
    <t>GP3561B01-1/4</t>
  </si>
  <si>
    <t>EPOXY RESIN GLAZE PART B</t>
  </si>
  <si>
    <t>GP5350C01-50LB</t>
  </si>
  <si>
    <t>TRAFFICOTE FILLER 325 SILICA FLOUR</t>
  </si>
  <si>
    <t>GP5310C08-50LB</t>
  </si>
  <si>
    <t>5310 DRY SILICA SAND 20/40 MESH SAND</t>
  </si>
  <si>
    <t>GP3746A52-1</t>
  </si>
  <si>
    <t>HIGH PERFORMANCE EPOXY LIGHT GRAY PARTE A</t>
  </si>
  <si>
    <t>GP3746A01-1</t>
  </si>
  <si>
    <t>HIGH PERFORMANCE SL EPOXY CLEAR PART A</t>
  </si>
  <si>
    <t>GP3746B01-1</t>
  </si>
  <si>
    <t>HIGH PERFORMANCE SL EPOXY HARDENER PART B</t>
  </si>
  <si>
    <t>B65W220-1</t>
  </si>
  <si>
    <t>ARMORSEAL POLYURETHANE HS FLOOR ENAMEL EXTRA WHITE BASE PART A</t>
  </si>
  <si>
    <t>B65A220-1</t>
  </si>
  <si>
    <t>ARMORSEAL POLYURETHANE HS FLOOR ENAMEL HAZA GRAY PART A</t>
  </si>
  <si>
    <t>B65T220-1</t>
  </si>
  <si>
    <t xml:space="preserve">ARMORSEAL POLYURETHANE HS FLOOR ENAMEL ULTRADEEP BASE PART A </t>
  </si>
  <si>
    <t>B65V220-1</t>
  </si>
  <si>
    <t>ARMORSEAL POLYURETHANE HS FLOOR ENAMEL HARDENER PART B</t>
  </si>
  <si>
    <t>B70W8111-1</t>
  </si>
  <si>
    <t>ARMORSEAL 8100 WB EPOXY EXTRA WHITE PARTE A</t>
  </si>
  <si>
    <t>B70V8100-1/4</t>
  </si>
  <si>
    <t>ARMORSEAL 8100 WB EPOXY HARDENER PARTE B</t>
  </si>
  <si>
    <t>B65W921-1</t>
  </si>
  <si>
    <t>PRO INDUSTRIAL WATERBASED ACROLON  100 EXTRA WHITE PART A</t>
  </si>
  <si>
    <t>B65V620-1/4</t>
  </si>
  <si>
    <t>PRO INDUSTRIAL WATERBASED ACROLON 100EXTRA ENDURECEDOR PART B</t>
  </si>
  <si>
    <t>B73W311-1</t>
  </si>
  <si>
    <t>PRO-INDUSTRIAL WATERBASED CATALIZED EPOXY EXTRA WHITE PARTE A</t>
  </si>
  <si>
    <t>B73V300-1/4</t>
  </si>
  <si>
    <t>PRO-INDUSTRIAL  WATERBASED CATALIZED EPOXY HARDENER PARTE B</t>
  </si>
  <si>
    <t>MACROPOXY 5500LT EPOXY PARTE A BLANCO</t>
  </si>
  <si>
    <t>MACROPOXY 5500LT EPOXY PARTE B ENDURECEDOR ESTANDAR</t>
  </si>
  <si>
    <t>B58WX745-5</t>
  </si>
  <si>
    <t>B58VX740-5</t>
  </si>
  <si>
    <t>AC0070724-1/4</t>
  </si>
  <si>
    <t xml:space="preserve">GIS RED-SHADE YELL            </t>
  </si>
  <si>
    <t>AC0041675-1/4</t>
  </si>
  <si>
    <t xml:space="preserve">GIS ORANGE                    </t>
  </si>
  <si>
    <t>AC0041674-1/4</t>
  </si>
  <si>
    <t xml:space="preserve">GIS MAGENTA                   </t>
  </si>
  <si>
    <t>AC0041673-1/4</t>
  </si>
  <si>
    <t xml:space="preserve">GIS DPP RED                   </t>
  </si>
  <si>
    <t>AC0001741-1/4</t>
  </si>
  <si>
    <t xml:space="preserve">GIS WHITE                     </t>
  </si>
  <si>
    <t>AC0009736-1/4</t>
  </si>
  <si>
    <t xml:space="preserve">GIS PHTHALO GREEN             </t>
  </si>
  <si>
    <t>AC0008573-1/4</t>
  </si>
  <si>
    <t xml:space="preserve">GIS BURNT UMBER               </t>
  </si>
  <si>
    <t>AC0041683-1/4</t>
  </si>
  <si>
    <t xml:space="preserve">GIS RED OXIDE                 </t>
  </si>
  <si>
    <t>AC0070726-1/4</t>
  </si>
  <si>
    <t xml:space="preserve">GIS YELLOW OXIDE              </t>
  </si>
  <si>
    <t>AC0070725-1/4</t>
  </si>
  <si>
    <t xml:space="preserve">GIS G/S YELLOW                </t>
  </si>
  <si>
    <t>AC0030091-1/4</t>
  </si>
  <si>
    <t xml:space="preserve">GIS BLACK                     </t>
  </si>
  <si>
    <t>AC0050147-1/4</t>
  </si>
  <si>
    <t xml:space="preserve">GIS PHTHALO BLUE              </t>
  </si>
  <si>
    <t>D70T1-1/4</t>
  </si>
  <si>
    <t>TAPAPORO PARA MADERA NATURAL</t>
  </si>
  <si>
    <t>D70T1-1</t>
  </si>
  <si>
    <t>D80NSA1-7ONZ</t>
  </si>
  <si>
    <t>D80YSA1-7ONZ</t>
  </si>
  <si>
    <t>D80NSA1-28ONZ</t>
  </si>
  <si>
    <t>D80YSA1-28ONZ</t>
  </si>
  <si>
    <t>A17VSA3-1</t>
  </si>
  <si>
    <t>A17VSA3-BOT</t>
  </si>
  <si>
    <t>R99CSA1-BOT</t>
  </si>
  <si>
    <t>R99CSA1-1</t>
  </si>
  <si>
    <t>B71TSA1-1</t>
  </si>
  <si>
    <t>B71TSA1-5</t>
  </si>
  <si>
    <t>B71TSA1-1/4</t>
  </si>
  <si>
    <t>B71TSA1-1/8</t>
  </si>
  <si>
    <t>B71TSA1-1/16</t>
  </si>
  <si>
    <t>S61B3-BOT</t>
  </si>
  <si>
    <t>S61N8-BOT</t>
  </si>
  <si>
    <t>S61R3-BOT</t>
  </si>
  <si>
    <t>S61Y3-BOT</t>
  </si>
  <si>
    <t>S61NSA10-BOT</t>
  </si>
  <si>
    <t>S61N9-BOT</t>
  </si>
  <si>
    <t>S61N10-BOT</t>
  </si>
  <si>
    <t>S61N11-BOT</t>
  </si>
  <si>
    <t>S61NSA15-BOT</t>
  </si>
  <si>
    <t>S61YSA2-BOT</t>
  </si>
  <si>
    <t>S61NSA20-BOT</t>
  </si>
  <si>
    <t>S61NSA16-BOT</t>
  </si>
  <si>
    <t>S61NSA17-BOT</t>
  </si>
  <si>
    <t>S61NSA13-BOT</t>
  </si>
  <si>
    <t>S61NSA14-BOT</t>
  </si>
  <si>
    <t>S61NSA21-BOT</t>
  </si>
  <si>
    <t>S61B3-1</t>
  </si>
  <si>
    <t>S61N8-1</t>
  </si>
  <si>
    <t>S61R3-1</t>
  </si>
  <si>
    <t>S61R6-1</t>
  </si>
  <si>
    <t>TINTE AL THINNER (ALCOHOL) WINE SPECIALITY</t>
  </si>
  <si>
    <t>S61Y3-1</t>
  </si>
  <si>
    <t>S61NSA10-1</t>
  </si>
  <si>
    <t>S61N9-1</t>
  </si>
  <si>
    <t>S61N10-1</t>
  </si>
  <si>
    <t>S61N11-1</t>
  </si>
  <si>
    <t>S61NSA15-1</t>
  </si>
  <si>
    <t>S61YSA2-1</t>
  </si>
  <si>
    <t>S61NSA20-1</t>
  </si>
  <si>
    <t>S61NSA16-1</t>
  </si>
  <si>
    <t>S61NSA17-1</t>
  </si>
  <si>
    <t>S61NSA13-1</t>
  </si>
  <si>
    <t>S61NSA14-1</t>
  </si>
  <si>
    <t>S61NSA21-1</t>
  </si>
  <si>
    <t>A48BSA1-1/4</t>
  </si>
  <si>
    <t>A48N35-1/4</t>
  </si>
  <si>
    <t>A48N36-1/4</t>
  </si>
  <si>
    <t>A48N38-1/4</t>
  </si>
  <si>
    <t>A48NSA1-1/4</t>
  </si>
  <si>
    <t>A48NSA4-1/4</t>
  </si>
  <si>
    <t>A48R56-1/4</t>
  </si>
  <si>
    <t>A48WSA2-1/4</t>
  </si>
  <si>
    <t>A48Y23-1/4</t>
  </si>
  <si>
    <t>A48NSA13-1/4</t>
  </si>
  <si>
    <t>A48NSA15-1/4</t>
  </si>
  <si>
    <t>A48NSA16-1/4</t>
  </si>
  <si>
    <t>A48NSA14-1/4</t>
  </si>
  <si>
    <t>A48NSA17-1/4</t>
  </si>
  <si>
    <t>A48BSA1-1</t>
  </si>
  <si>
    <t>A48N35-1</t>
  </si>
  <si>
    <t>A48N36-1</t>
  </si>
  <si>
    <t>A48N38-1</t>
  </si>
  <si>
    <t>A48NSA1-1</t>
  </si>
  <si>
    <t>A48NSA4-1</t>
  </si>
  <si>
    <t>A48R56-1</t>
  </si>
  <si>
    <t>A48WSA2-1</t>
  </si>
  <si>
    <t>A48Y23-1</t>
  </si>
  <si>
    <t>A48NSA13-1</t>
  </si>
  <si>
    <t>A48NSA15-1</t>
  </si>
  <si>
    <t>A48NSA16-1</t>
  </si>
  <si>
    <t>A48NSA14-1</t>
  </si>
  <si>
    <t>A48NSA17-1</t>
  </si>
  <si>
    <t>S66NSA1-1</t>
  </si>
  <si>
    <t>S66NSA2-1</t>
  </si>
  <si>
    <t>S66NSA3-1</t>
  </si>
  <si>
    <t>S66BSA1-1</t>
  </si>
  <si>
    <t>S66NSA4-1</t>
  </si>
  <si>
    <t>S66NSA6-1</t>
  </si>
  <si>
    <t>S66NSA5-1</t>
  </si>
  <si>
    <t>S66RSA1-1</t>
  </si>
  <si>
    <t>S66NSA1-1/4</t>
  </si>
  <si>
    <t>S66NSA2-1/4</t>
  </si>
  <si>
    <t>S66NSA3-1/4</t>
  </si>
  <si>
    <t>S66BSA1-1/4</t>
  </si>
  <si>
    <t>S66NSA4-1/4</t>
  </si>
  <si>
    <t>S66NSA6-1/4</t>
  </si>
  <si>
    <t>S66NSA5-1/4</t>
  </si>
  <si>
    <t>S66RSA1-1/4</t>
  </si>
  <si>
    <t>A13NSA4-1/4</t>
  </si>
  <si>
    <t>A13NSA5-1/4</t>
  </si>
  <si>
    <t>A13NSA6-1/4</t>
  </si>
  <si>
    <t>A13RSA2-1/4</t>
  </si>
  <si>
    <t>A13RSA3-1/4</t>
  </si>
  <si>
    <t>A13YSA2-1/4</t>
  </si>
  <si>
    <t>A13TSA2-1/4</t>
  </si>
  <si>
    <t>T60F50-1/4</t>
  </si>
  <si>
    <t>T60F50-1</t>
  </si>
  <si>
    <t>T60FSA10-1/4</t>
  </si>
  <si>
    <t>T60FSA10-1</t>
  </si>
  <si>
    <t>T60FSA10-5</t>
  </si>
  <si>
    <t>T60FSA10-50</t>
  </si>
  <si>
    <t>T60FSA28-1</t>
  </si>
  <si>
    <t>SELLADOR SUPER CONCENTRADO NITRO AMBAR</t>
  </si>
  <si>
    <t>T60FSA28-1/4</t>
  </si>
  <si>
    <t>T60FSA26-1</t>
  </si>
  <si>
    <t>T65FSA1-1/4</t>
  </si>
  <si>
    <t>T65FSA1-1</t>
  </si>
  <si>
    <t>T70C50-1/4</t>
  </si>
  <si>
    <t>LACA NITRO PARA MADERA BRILLANTE #45</t>
  </si>
  <si>
    <t>T70C50-1</t>
  </si>
  <si>
    <t>T70C50-5</t>
  </si>
  <si>
    <t>T70FSA1-1/4</t>
  </si>
  <si>
    <t>LACA NITRO PARA MADERA MATE #95</t>
  </si>
  <si>
    <t>T70FSA1-1</t>
  </si>
  <si>
    <t>T70FSA1-5</t>
  </si>
  <si>
    <t>L61BSA1-1</t>
  </si>
  <si>
    <t>L61GSA1-1</t>
  </si>
  <si>
    <t>L61LSA3-1</t>
  </si>
  <si>
    <t>L61LSA4-1</t>
  </si>
  <si>
    <t>L61MSA1-1</t>
  </si>
  <si>
    <t>L61NSA1-1</t>
  </si>
  <si>
    <t>L61RSA1-1</t>
  </si>
  <si>
    <t>L61RSA2-1</t>
  </si>
  <si>
    <t>L61WSA2-1</t>
  </si>
  <si>
    <t>L61YSA1-1</t>
  </si>
  <si>
    <t>L61SSA1-1</t>
  </si>
  <si>
    <t>L61SSA2-1</t>
  </si>
  <si>
    <t>L61BSA1-1/4</t>
  </si>
  <si>
    <t>L61GSA1-1/4</t>
  </si>
  <si>
    <t>L61LSA3-1/4</t>
  </si>
  <si>
    <t>L61LSA4-1/4</t>
  </si>
  <si>
    <t>L61MSA1-1/4</t>
  </si>
  <si>
    <t>L61NSA1-1/4</t>
  </si>
  <si>
    <t>L61RSA1-1/4</t>
  </si>
  <si>
    <t>L61RSA2-1/4</t>
  </si>
  <si>
    <t>L61WSA2-1/4</t>
  </si>
  <si>
    <t>L61YSA1-1/4</t>
  </si>
  <si>
    <t>L61YSA2-1/4</t>
  </si>
  <si>
    <t>LACA PROFESIONAL PARA MADERA AMARILLO LIMON</t>
  </si>
  <si>
    <t>L61YSA3-1/4</t>
  </si>
  <si>
    <t>LACA PROFESIONAL PARA MADERA AMARILLO MEDIO</t>
  </si>
  <si>
    <t>L61BSA2-1</t>
  </si>
  <si>
    <t>L61WSA3-1</t>
  </si>
  <si>
    <t>L61BSA2-1/4</t>
  </si>
  <si>
    <t>L61WSA3-1/4</t>
  </si>
  <si>
    <t>P65ASA2-1/4</t>
  </si>
  <si>
    <t>PRIMER NITRO ESPECIAL GRIS</t>
  </si>
  <si>
    <t>P65WSA5-1/4</t>
  </si>
  <si>
    <t>PRIMER INDUSTRIAL BLANCO</t>
  </si>
  <si>
    <t>P65ASA2-1</t>
  </si>
  <si>
    <t>P65WSA5-1</t>
  </si>
  <si>
    <t>E64RSA1-1</t>
  </si>
  <si>
    <t>E64WSA1-1</t>
  </si>
  <si>
    <t>V79FSA1-1/4</t>
  </si>
  <si>
    <t>V79FSA2-1/4</t>
  </si>
  <si>
    <t>V79VSA1-1/4</t>
  </si>
  <si>
    <t>V79FSA1-1</t>
  </si>
  <si>
    <t>V79FSA2-1</t>
  </si>
  <si>
    <t>V79VSA1-1</t>
  </si>
  <si>
    <t>A67V1-1</t>
  </si>
  <si>
    <t>A67V1-1/4</t>
  </si>
  <si>
    <t>V82VSA1SP-1/4</t>
  </si>
  <si>
    <t>V82VSA1SP-1</t>
  </si>
  <si>
    <t>V83CSA2-1/4</t>
  </si>
  <si>
    <t>V83CSA2-1</t>
  </si>
  <si>
    <t>V83FSA2-1</t>
  </si>
  <si>
    <t>V83FSA2-1/4</t>
  </si>
  <si>
    <t>A67V4-1</t>
  </si>
  <si>
    <t>A67V4-1/4</t>
  </si>
  <si>
    <t>V82VSA2-1</t>
  </si>
  <si>
    <t>V82FSA4-1</t>
  </si>
  <si>
    <t>V82FSA3-1</t>
  </si>
  <si>
    <t>V82VSA2-1/4</t>
  </si>
  <si>
    <t>V82FSA4-1/4</t>
  </si>
  <si>
    <t>V82FSA3-1/4</t>
  </si>
  <si>
    <t>A38M3-1/4</t>
  </si>
  <si>
    <t>A38N23-1/4</t>
  </si>
  <si>
    <t>A38N39-1/4</t>
  </si>
  <si>
    <t>A38N40-1/4</t>
  </si>
  <si>
    <t>A38N41-1/4</t>
  </si>
  <si>
    <t>A38MSA1-1/4</t>
  </si>
  <si>
    <t>A38MSA2-1/4</t>
  </si>
  <si>
    <t>A38RSA1-1/4</t>
  </si>
  <si>
    <t>A38YSA1-1/4</t>
  </si>
  <si>
    <t>A38YSA1-1</t>
  </si>
  <si>
    <t>A38M3-1</t>
  </si>
  <si>
    <t>A38N23-1</t>
  </si>
  <si>
    <t>A38N39-1</t>
  </si>
  <si>
    <t>A38N40-1</t>
  </si>
  <si>
    <t>A38N41-1</t>
  </si>
  <si>
    <t>A38MSA1-1</t>
  </si>
  <si>
    <t>A38MSA2-1</t>
  </si>
  <si>
    <t>A38RSA1-1</t>
  </si>
  <si>
    <t>T75CSA1-1</t>
  </si>
  <si>
    <t>BARNIZ BASE AGUA BRILLANTE</t>
  </si>
  <si>
    <t>T75CSA1-1/4</t>
  </si>
  <si>
    <t>T75FSA2-1</t>
  </si>
  <si>
    <t>T75FSA2-1/4</t>
  </si>
  <si>
    <t>A69VSA2-1</t>
  </si>
  <si>
    <t>A69VSA2-1/4</t>
  </si>
  <si>
    <t>A69FSA2-1</t>
  </si>
  <si>
    <t>A69FSA2-1/4</t>
  </si>
  <si>
    <t>A39NSA1-1</t>
  </si>
  <si>
    <t>BARNIZ BASE AGUA PARA MADERA 3 EN 1 NOGAL</t>
  </si>
  <si>
    <t>A39NSA3-1</t>
  </si>
  <si>
    <t>BARNIZ BASE AGUA PARA MADERA 3 EN 1 NOGAL ROJIZO</t>
  </si>
  <si>
    <t>A39NSA4-1</t>
  </si>
  <si>
    <t>BARNIZ BASE AGUA PARA MADERA 3 EN 1 WENGUE</t>
  </si>
  <si>
    <t>A39RSA1-1</t>
  </si>
  <si>
    <t>BARNIZ BASE AGUA PARA MADERA 3 EN 1 CAOBA</t>
  </si>
  <si>
    <t>A39RSA2-1</t>
  </si>
  <si>
    <t>BARNIZ BASE AGUA PARA MADERA 3 EN 1 CAOBA AFRICANO</t>
  </si>
  <si>
    <t>A39YSA1-1</t>
  </si>
  <si>
    <t>BARNIZ BASE AGUA PARA MADERA 3 EN 1 ROBLE CLARO</t>
  </si>
  <si>
    <t>A39NSA1-1/4</t>
  </si>
  <si>
    <t>A39NSA3-1/4</t>
  </si>
  <si>
    <t>A39NSA4-1/4</t>
  </si>
  <si>
    <t>A39RSA1-1/4</t>
  </si>
  <si>
    <t>A39RSA2-1/4</t>
  </si>
  <si>
    <t>A39YSA1-1/4</t>
  </si>
  <si>
    <t>A18RSA1-1/4</t>
  </si>
  <si>
    <t>A18NSA2-1/4</t>
  </si>
  <si>
    <t>A18NSA3-1/4</t>
  </si>
  <si>
    <t>A18YSA1-1/4</t>
  </si>
  <si>
    <t>A18RSA1-1</t>
  </si>
  <si>
    <t>A18NSA2-1</t>
  </si>
  <si>
    <t>A18NSA3-1</t>
  </si>
  <si>
    <t>A18YSA1-1</t>
  </si>
  <si>
    <t>A18TSA1-1</t>
  </si>
  <si>
    <t>E65FSA3-1</t>
  </si>
  <si>
    <t>E65FSA3-1/4</t>
  </si>
  <si>
    <t>V54VSA1-1</t>
  </si>
  <si>
    <t>V54VSA1-1/4</t>
  </si>
  <si>
    <t>V54VSA1-1/8</t>
  </si>
  <si>
    <t>V54VSA2-1/4</t>
  </si>
  <si>
    <t>E65FSA5-1</t>
  </si>
  <si>
    <t>F63FSA6-1</t>
  </si>
  <si>
    <t>F63FSA7-1</t>
  </si>
  <si>
    <t>V54VSA3-1/8</t>
  </si>
  <si>
    <t>F63CSA4-1</t>
  </si>
  <si>
    <t>E65WSA1-1</t>
  </si>
  <si>
    <t>F63WSA1-1</t>
  </si>
  <si>
    <t>F64CSA1-1/4</t>
  </si>
  <si>
    <t>F64FSA1-1/4</t>
  </si>
  <si>
    <t>F64FSA2-1/4</t>
  </si>
  <si>
    <t>F64CSA1-1</t>
  </si>
  <si>
    <t>F64FSA2-1</t>
  </si>
  <si>
    <t>F64FSA1-1</t>
  </si>
  <si>
    <t>V54VSA4-1</t>
  </si>
  <si>
    <t>V54VSA4-1/4</t>
  </si>
  <si>
    <t>E66TSA1-1/4</t>
  </si>
  <si>
    <t>FONDO POLIESTER TRANSPARENTE INTERIOR</t>
  </si>
  <si>
    <t>E66TSA1-1</t>
  </si>
  <si>
    <t>F64WSA1-1</t>
  </si>
  <si>
    <t>F64WSA1-1/4</t>
  </si>
  <si>
    <t>F64WSA4-1</t>
  </si>
  <si>
    <t>F64WSA4-1/4</t>
  </si>
  <si>
    <t>F64BSA1-1</t>
  </si>
  <si>
    <t>F64BSA1-1/4</t>
  </si>
  <si>
    <t>F64BSA2-1</t>
  </si>
  <si>
    <t>F64BSA2-1/4</t>
  </si>
  <si>
    <t>A14TSA1-1/4</t>
  </si>
  <si>
    <t>BARNIZ PROTECTOR PARA DECK TRANSPARENTE</t>
  </si>
  <si>
    <t>A14TSA1-1</t>
  </si>
  <si>
    <t>R8KSA5-1</t>
  </si>
  <si>
    <t>REDUCTOR POLIURETANO INDUSTRIAL</t>
  </si>
  <si>
    <t>R8KSA6-1</t>
  </si>
  <si>
    <t>THINNER POLIURETANO INDUSTRIAL 6040</t>
  </si>
  <si>
    <t>R8KSA6-1/4</t>
  </si>
  <si>
    <t>R8KSA5-1/4</t>
  </si>
  <si>
    <t>K59NSA1-1/4</t>
  </si>
  <si>
    <t>K59RSA1-1/4</t>
  </si>
  <si>
    <t>K59RSA3-1/4</t>
  </si>
  <si>
    <t>K59VSA1-1/4</t>
  </si>
  <si>
    <t>K59YSA2-1/4</t>
  </si>
  <si>
    <t>K59YSA3-1/4</t>
  </si>
  <si>
    <t>K59NSA1-1</t>
  </si>
  <si>
    <t>K59RSA1-1</t>
  </si>
  <si>
    <t>K59RSA3-1</t>
  </si>
  <si>
    <t>K59VSA1-1</t>
  </si>
  <si>
    <t>K59YSA2-1</t>
  </si>
  <si>
    <t>K59YSA3-1</t>
  </si>
  <si>
    <t>F64CSA2-1</t>
  </si>
  <si>
    <t>F64CSA2-1/4</t>
  </si>
  <si>
    <t>F64FSA3-1</t>
  </si>
  <si>
    <t>F64FSA3-1/4</t>
  </si>
  <si>
    <t>F64FSA4-1</t>
  </si>
  <si>
    <t>F64FSA4-1/4</t>
  </si>
  <si>
    <t>V54VSA8-1</t>
  </si>
  <si>
    <t>V54VSA8-1/4</t>
  </si>
  <si>
    <t>T75CSA3-1</t>
  </si>
  <si>
    <t>T75CSA3-1.1LT</t>
  </si>
  <si>
    <t>A15TSA1-1</t>
  </si>
  <si>
    <t>A15TSA1-BOT</t>
  </si>
  <si>
    <t>A18CSA1-1</t>
  </si>
  <si>
    <t>A18CSA1-1.1LT</t>
  </si>
  <si>
    <t>R7K158-1</t>
  </si>
  <si>
    <t>SC155-1/4</t>
  </si>
  <si>
    <t>DESENGRASANTE AUTOMOTRIZ PARA SUPERFICIES PLASTICAS</t>
  </si>
  <si>
    <t>SC159-1</t>
  </si>
  <si>
    <t>USP90-21.ONZAS</t>
  </si>
  <si>
    <t xml:space="preserve">PASTA PARA MATIZAR </t>
  </si>
  <si>
    <t>R21KSA1-1/8</t>
  </si>
  <si>
    <t xml:space="preserve">REMOVEDOR DE PINTURA </t>
  </si>
  <si>
    <t>R21KSA1-1/4</t>
  </si>
  <si>
    <t>R21KSA1-1</t>
  </si>
  <si>
    <t>D2A123-1/4</t>
  </si>
  <si>
    <t>D2A123-1</t>
  </si>
  <si>
    <t>D2A140-1/4</t>
  </si>
  <si>
    <t>D2A140-1</t>
  </si>
  <si>
    <t>D2A145-1/4</t>
  </si>
  <si>
    <t>D2A145-1</t>
  </si>
  <si>
    <t>D2A146-0.75LT</t>
  </si>
  <si>
    <t>D2A146-3LT</t>
  </si>
  <si>
    <t>V2VSA1-1.ONZ</t>
  </si>
  <si>
    <t>V2VSA1-4.ONZ</t>
  </si>
  <si>
    <t>D3A2737-1/4</t>
  </si>
  <si>
    <t>MASILLA NITROCELULOSICA NEGRO</t>
  </si>
  <si>
    <t>D3A2747-1/4</t>
  </si>
  <si>
    <t>MASILLA NITROCELULOSICA GRIS</t>
  </si>
  <si>
    <t>D3R7-1/4</t>
  </si>
  <si>
    <t>MASILLA NITROCELULOSICA ROJO</t>
  </si>
  <si>
    <t>D3A2737-1</t>
  </si>
  <si>
    <t>D3A2747-1</t>
  </si>
  <si>
    <t>D3R7-1</t>
  </si>
  <si>
    <t>E2G980-1</t>
  </si>
  <si>
    <t>R7K981-1</t>
  </si>
  <si>
    <t>REDUCTOR ACTIVADOR PARA GBP PARTE B PARA E2G980</t>
  </si>
  <si>
    <t>UPO7229-1/4</t>
  </si>
  <si>
    <t>UPO25000-1/4</t>
  </si>
  <si>
    <t>V6V299-1/16</t>
  </si>
  <si>
    <t xml:space="preserve">ADITIVO AUTOMOTRIZ </t>
  </si>
  <si>
    <t>T1F270-1</t>
  </si>
  <si>
    <t xml:space="preserve">ADITIVO MATEANTE UNIVERSAL </t>
  </si>
  <si>
    <t>FFC1-1</t>
  </si>
  <si>
    <t>FFC1-1/4</t>
  </si>
  <si>
    <t>FMP2-1</t>
  </si>
  <si>
    <t>FMP2-1/4</t>
  </si>
  <si>
    <t>FTD1-1</t>
  </si>
  <si>
    <t>D1T13-1/4</t>
  </si>
  <si>
    <t>PASTA PARA PULIR BLANCO</t>
  </si>
  <si>
    <t>D1T2551-1/4</t>
  </si>
  <si>
    <t>PASTA PARA PULIR ROJO</t>
  </si>
  <si>
    <t>D1T13-1</t>
  </si>
  <si>
    <t>D1T2551-1</t>
  </si>
  <si>
    <t>D1T13-5</t>
  </si>
  <si>
    <t>D1T2551-5</t>
  </si>
  <si>
    <t>V74B155-1</t>
  </si>
  <si>
    <t xml:space="preserve">PINTURA NEGRA PARA CHASIS </t>
  </si>
  <si>
    <t>V74BSA1-1/4</t>
  </si>
  <si>
    <t>V74BSA1-1</t>
  </si>
  <si>
    <t>V74BSA2-1</t>
  </si>
  <si>
    <t>V74BSA2-1/4</t>
  </si>
  <si>
    <t>P6A47-1</t>
  </si>
  <si>
    <t>PRIMARIO AUTOMOTRIZ 2K ULTRA GRIS NEUTRAL</t>
  </si>
  <si>
    <t>P6A48-1/4</t>
  </si>
  <si>
    <t>PRIMARIO AUTOMOTRIZ 2K ULTRA GRIS CLARO</t>
  </si>
  <si>
    <t>P6A48-1</t>
  </si>
  <si>
    <t>P30B-1</t>
  </si>
  <si>
    <t>PRIMARIO AUTOMOTRIZ 2K SPECTRA NEGRO (PARTE A)</t>
  </si>
  <si>
    <t>P30W-1</t>
  </si>
  <si>
    <t>PRIMARIO AUTOMOTRIZ 2K SPECTRA BLANCO (PARTE A)</t>
  </si>
  <si>
    <t>S66-1</t>
  </si>
  <si>
    <t>PROMOTOR DE ADHERENCIA 2K TRANSPARENTE</t>
  </si>
  <si>
    <t>S41-1</t>
  </si>
  <si>
    <t>U7106-0.5LT</t>
  </si>
  <si>
    <t>TINTE ULTRA 7000 ROJO OXIDO</t>
  </si>
  <si>
    <t>U7140-0.5LT</t>
  </si>
  <si>
    <t>TINTE ULTRA 7000 AMARILLO OXIDO</t>
  </si>
  <si>
    <t>U7209-1</t>
  </si>
  <si>
    <t>TINTE ULTRA 7000 TRANSPARENTE DE MEZCLA</t>
  </si>
  <si>
    <t>U7215-1/4</t>
  </si>
  <si>
    <t>U7218-1</t>
  </si>
  <si>
    <t>TINTE ULTRA 7000 NEGRO</t>
  </si>
  <si>
    <t>U7281-1</t>
  </si>
  <si>
    <t>TINTE ULTRA 7000 NEGRO INTENSO</t>
  </si>
  <si>
    <t>U7282-1</t>
  </si>
  <si>
    <t>TINTE ULTRA 7000 BLANCO</t>
  </si>
  <si>
    <t>U7400-1</t>
  </si>
  <si>
    <t>TINTE ULTRA 7000 TRANSPARENTE MEZCLA MONOCAPAS</t>
  </si>
  <si>
    <t>U7303-1</t>
  </si>
  <si>
    <t>TINTE ULTRA 7000 SECANTE PARA MONOCAPA</t>
  </si>
  <si>
    <t>U7030-0.5LT</t>
  </si>
  <si>
    <t>TINTE ULTRA 7000 ROJO MONASTRAL HS</t>
  </si>
  <si>
    <t>U7031-1/4</t>
  </si>
  <si>
    <t>TINTE ULTRA 7000 ROJO BRILLANTE HS</t>
  </si>
  <si>
    <t>U7034-1/4</t>
  </si>
  <si>
    <t>TINTE ULTRA 7000 MARRON PERILENE HS</t>
  </si>
  <si>
    <t>U7037-0.5LT</t>
  </si>
  <si>
    <t>TINTE ULTRA 7000 MAGENTA AZULOSO</t>
  </si>
  <si>
    <t>U7107-0.5LT</t>
  </si>
  <si>
    <t>TINTE ULTRA 7000 AMARILLO ORGANICO</t>
  </si>
  <si>
    <t>U7124-0.5LT</t>
  </si>
  <si>
    <t>TINTE ULTRA 7000 NARANJA LF</t>
  </si>
  <si>
    <t>U7128-1/4</t>
  </si>
  <si>
    <t>TINTE ULTRA 7000 AMARILLO VANADATO</t>
  </si>
  <si>
    <t>U7134-0.5LT</t>
  </si>
  <si>
    <t>TINTE ULTRA 7000 AMARILLO DE BAJA OPACIDAD</t>
  </si>
  <si>
    <t>U7137-0.5LT</t>
  </si>
  <si>
    <t>TINTE ULTRA 7000 VERDE AMARILLENTO</t>
  </si>
  <si>
    <t>U7139-0.5LT</t>
  </si>
  <si>
    <t>TINTE ULTRA 7000 VIOLETA PT</t>
  </si>
  <si>
    <t>U7146-0.5LT</t>
  </si>
  <si>
    <t>TINTE ULTRA 7000 BLANCO MICRONIZADO</t>
  </si>
  <si>
    <t>U7151-0.5LT</t>
  </si>
  <si>
    <t>TINTE ULTRA 7000 CAFÉ COBRE</t>
  </si>
  <si>
    <t>U7201-1/4</t>
  </si>
  <si>
    <t>TINTE ULTRA 7000 METALICO FINO</t>
  </si>
  <si>
    <t>U7202-1/4</t>
  </si>
  <si>
    <t>U7203-1/4</t>
  </si>
  <si>
    <t>TINTE ULTRA 7000 METALICO GRANDE</t>
  </si>
  <si>
    <t>U7204-1/4</t>
  </si>
  <si>
    <t>TINTE ULTRA 7000 METALICO GRUESO</t>
  </si>
  <si>
    <t>U7205-0.5LT</t>
  </si>
  <si>
    <t>TINTE ULTRA 7000 PALIOCROMO ORO</t>
  </si>
  <si>
    <t>U7206-1/4</t>
  </si>
  <si>
    <t>TINTE ULTRA 7000 METALICO FINO BRILLANTE</t>
  </si>
  <si>
    <t>U7213-0.5LT</t>
  </si>
  <si>
    <t>TINTE ULTRA 7000 GRAFITO</t>
  </si>
  <si>
    <t>U7217-1</t>
  </si>
  <si>
    <t>TINTE ULTRA 7000 METALICO MEDIANO BRILLANTE</t>
  </si>
  <si>
    <t>U7221-0.5LT</t>
  </si>
  <si>
    <t>TINTE ULTRA 7000 NARANJA PALIOCROMO</t>
  </si>
  <si>
    <t>U7222-0.5LT</t>
  </si>
  <si>
    <t>TINTE ULTRA 7000 DORADO ROJIZO</t>
  </si>
  <si>
    <t>U7231-1/4</t>
  </si>
  <si>
    <t>TINTE ULTRA 7000 AMARILLO ROJIZO</t>
  </si>
  <si>
    <t>U7233-1/4</t>
  </si>
  <si>
    <t>TINTE ULTRA 7000 AZUL VERDOSO</t>
  </si>
  <si>
    <t>U7235-1/4</t>
  </si>
  <si>
    <t>TINTE ULTRA 7000 AZUL INDO</t>
  </si>
  <si>
    <t>U7236-0.5LT</t>
  </si>
  <si>
    <t>TINTE ULTRA 7000 MAGENTA H.S.</t>
  </si>
  <si>
    <t>U7237-1/4</t>
  </si>
  <si>
    <t>U7238-0.5LT</t>
  </si>
  <si>
    <t>TINTE ULTRA 7000 VERDE AZULOSO</t>
  </si>
  <si>
    <t>U7240-0.5LT</t>
  </si>
  <si>
    <t>TINTE ULTRA 7000 VIOLETA CARBA</t>
  </si>
  <si>
    <t>U7271-1/4</t>
  </si>
  <si>
    <t>TINTE ULTRA 7000 MATEANTE</t>
  </si>
  <si>
    <t>U7272-0.5LT</t>
  </si>
  <si>
    <t>TINTE ULTRA 7000 VIOLETA LS</t>
  </si>
  <si>
    <t>U7273-0.5LT</t>
  </si>
  <si>
    <t>TINTE ULTRA 7000 ROJO LS</t>
  </si>
  <si>
    <t>U7275-1/4</t>
  </si>
  <si>
    <t>TINTE ULTRA 7000 AMARILLO LS</t>
  </si>
  <si>
    <t>U7276-0.5LT</t>
  </si>
  <si>
    <t>TINTE ULTRA 7000 AZUL LS</t>
  </si>
  <si>
    <t>U7278-1/4</t>
  </si>
  <si>
    <t>U7279-0.5LT</t>
  </si>
  <si>
    <t>U7280-0.5LT</t>
  </si>
  <si>
    <t>TINTE ULTRA 7000 AZUL ROJIZO HS</t>
  </si>
  <si>
    <t>U7286-1/4</t>
  </si>
  <si>
    <t>U7287-0.5LT</t>
  </si>
  <si>
    <t>U7288-0.5LT</t>
  </si>
  <si>
    <t>TINTE ULTRA 7000 AMARILLO RAPIDO</t>
  </si>
  <si>
    <t>U7289-0.5LT</t>
  </si>
  <si>
    <t>PT7-150GRS</t>
  </si>
  <si>
    <t>TINTE ULTRA 7000 EN POLVO PERLA VERDE</t>
  </si>
  <si>
    <t>PT9-150GRS</t>
  </si>
  <si>
    <t>TINTE ULTRA 7000 EN POLVO PERLA BLANCA FINA</t>
  </si>
  <si>
    <t>PT10-1/32</t>
  </si>
  <si>
    <t>TINTE ULTRA 7000 EN POLVO PERLA BRONCE</t>
  </si>
  <si>
    <t>PT11-150GRS</t>
  </si>
  <si>
    <t>TINTE ULTRA 7000 EN POLVO PERLA ROJA</t>
  </si>
  <si>
    <t>PT12-150GRS</t>
  </si>
  <si>
    <t>TINTE ULTRA 7000 EN POLVO PERLA ROJA FINO</t>
  </si>
  <si>
    <t>PT13-150GRS</t>
  </si>
  <si>
    <t>TINTE ULTRA 7000 EN POLVO PERLA AZUL</t>
  </si>
  <si>
    <t>PT14-1/32</t>
  </si>
  <si>
    <t>TINTE ULTRA 7000 EN POLVO PERLA NARANJA</t>
  </si>
  <si>
    <t>PT15-150GRS</t>
  </si>
  <si>
    <t>TINTE ULTRA 7000 EN POLVO PERLA LILA</t>
  </si>
  <si>
    <t>PT16-150GRS</t>
  </si>
  <si>
    <t>TINTE ULTRA 7000 EN POLVO PERLA DORADO</t>
  </si>
  <si>
    <t>PT17-1/32</t>
  </si>
  <si>
    <t>TINTE ULTRA 7000 EN POLVO PERLA COBRE</t>
  </si>
  <si>
    <t>PT18-150GRS</t>
  </si>
  <si>
    <t>TINTE ULTRA 7000 EN POLVO PERLA ROJO INTERFERENCIA</t>
  </si>
  <si>
    <t>PT19-150GRS</t>
  </si>
  <si>
    <t>TINTE ULTRA 7000 EN POLVO PERLA VERDE MUSGO</t>
  </si>
  <si>
    <t>PT20-1/32</t>
  </si>
  <si>
    <t>TINTE ULTRA 7000 EN POLVO PERLA BLANCO FINO</t>
  </si>
  <si>
    <t>PT22-1/32</t>
  </si>
  <si>
    <t>PT23-150GRS</t>
  </si>
  <si>
    <t>TINTE ULTRA 7000 EN POLVO PERLA AZUL FINO</t>
  </si>
  <si>
    <t>PT24-1/32</t>
  </si>
  <si>
    <t>TINTE ULTRA 7000 EN POLVO PERLA VERDE FINO</t>
  </si>
  <si>
    <t>PT25-150GRS</t>
  </si>
  <si>
    <t>TINTE ULTRA 7000 EN POLVO PERLA VIOLETA FINO</t>
  </si>
  <si>
    <t>PT26-1/32</t>
  </si>
  <si>
    <t>TINTE ULTRA 7000 EN POLVO PERLA ROJO ESCARABAJO</t>
  </si>
  <si>
    <t>PT27-1/32</t>
  </si>
  <si>
    <t>TINTE ULTRA 7000 EN POLVO PERLA COBRE FINO</t>
  </si>
  <si>
    <t>PT28-1/32</t>
  </si>
  <si>
    <t>TINTE ULTRA 7000 EN POLVO PERLA DORADO FINO</t>
  </si>
  <si>
    <t>PT29-150GRS</t>
  </si>
  <si>
    <t>TINTE ULTRA 7000 EN POLVO PERLA BLANCO</t>
  </si>
  <si>
    <t>PT30-150GRS</t>
  </si>
  <si>
    <t>TINTE ULTRA 7000 EN POLVO PERLA BLANCO CRISTAL</t>
  </si>
  <si>
    <t>PT31-1/32</t>
  </si>
  <si>
    <t>PT32-1/32</t>
  </si>
  <si>
    <t>PT33-150GRS</t>
  </si>
  <si>
    <t>TINTE ULTRA 7000 EN POLVO PERLA ROJO RADIANTE</t>
  </si>
  <si>
    <t>PT34-150GRS</t>
  </si>
  <si>
    <t>TINTE ULTRA 7000 EN POLVO PERLA AZUL GALAXIA</t>
  </si>
  <si>
    <t>PT35-150GRS</t>
  </si>
  <si>
    <t>TINTE ULTRA 7000 EN POLVO PERLA VERDE ESTELAR</t>
  </si>
  <si>
    <t>PCFX5</t>
  </si>
  <si>
    <t>PCFX16</t>
  </si>
  <si>
    <t>PCFX17</t>
  </si>
  <si>
    <t>PCFX18</t>
  </si>
  <si>
    <t>PCFX19</t>
  </si>
  <si>
    <t>PCFX20</t>
  </si>
  <si>
    <t>PCFX21</t>
  </si>
  <si>
    <t>PCFX22</t>
  </si>
  <si>
    <t>PCFX23</t>
  </si>
  <si>
    <t>PCFX24</t>
  </si>
  <si>
    <t>PCFX25</t>
  </si>
  <si>
    <t>PCFX26</t>
  </si>
  <si>
    <t>PCFX27</t>
  </si>
  <si>
    <t>CC645-1/4</t>
  </si>
  <si>
    <t>CLEAR ULTRA 7000 UNIVERSAL URETANO</t>
  </si>
  <si>
    <t>CC645-1</t>
  </si>
  <si>
    <t>CC939-1/4</t>
  </si>
  <si>
    <t>CLEAR ULTRA 7000 PERFORMANCE PLUS</t>
  </si>
  <si>
    <t>CC939-1</t>
  </si>
  <si>
    <t>HPC15-1</t>
  </si>
  <si>
    <t>CC200-1</t>
  </si>
  <si>
    <t>1100727-1/4</t>
  </si>
  <si>
    <t>CLEAR ULTRA 7000 MATE</t>
  </si>
  <si>
    <t>U12739-1/4</t>
  </si>
  <si>
    <t>TINTE ULTRA 7000 NEGRO MATE MONOCAPA</t>
  </si>
  <si>
    <t>B72746-1/4</t>
  </si>
  <si>
    <t>SR15-1/4</t>
  </si>
  <si>
    <t xml:space="preserve">REDUCTOR SUPER ACELERADO </t>
  </si>
  <si>
    <t>AS8-1</t>
  </si>
  <si>
    <t xml:space="preserve">REDUCTOR ACELERADO U7000 </t>
  </si>
  <si>
    <t>US7590-1</t>
  </si>
  <si>
    <t xml:space="preserve">REDUCTOR ULTRASOLV #3 </t>
  </si>
  <si>
    <t>US5-1</t>
  </si>
  <si>
    <t>BCS75-1</t>
  </si>
  <si>
    <t>ESTABILIZADOR DE COLOR U7000 MEDIANO</t>
  </si>
  <si>
    <t>BCS85-1</t>
  </si>
  <si>
    <t>ESTABILIZADOR DE COLOR U7000 LENTO</t>
  </si>
  <si>
    <t>BCS95-1</t>
  </si>
  <si>
    <t>ESTABILIZADOR DE COLOR U7000 SUPER LENTO</t>
  </si>
  <si>
    <t>BS10-1</t>
  </si>
  <si>
    <t xml:space="preserve">FUNDENTE DE ACABADO AUTOMOTRIZ </t>
  </si>
  <si>
    <t>CCH690-1/4</t>
  </si>
  <si>
    <t>CCH690-1/8</t>
  </si>
  <si>
    <t>CCH690-1/16</t>
  </si>
  <si>
    <t>H38-1/4</t>
  </si>
  <si>
    <t>UH70-1/8</t>
  </si>
  <si>
    <t>UH80-1/4</t>
  </si>
  <si>
    <t>UH80-1/8</t>
  </si>
  <si>
    <t>UH80-1/16</t>
  </si>
  <si>
    <t>V6V79-1/8</t>
  </si>
  <si>
    <t>CATALIZADOR ULTRA 7000 (PARTE B PARA PRIMER P6A47)</t>
  </si>
  <si>
    <t>EBP7210-1</t>
  </si>
  <si>
    <t>BASE DE RELLENO POLIURETANO 2K GRIS CLARO (PARTE A)</t>
  </si>
  <si>
    <t>EBP7210-1/4</t>
  </si>
  <si>
    <t>EBP7210B-1</t>
  </si>
  <si>
    <t>EBP7210B-1/4</t>
  </si>
  <si>
    <t>EBP7220-1</t>
  </si>
  <si>
    <t>BASE DE RELLENO POLIURETANO 2K NEGRO (PARTE A)</t>
  </si>
  <si>
    <t>EBP7220-1/4</t>
  </si>
  <si>
    <t>EBP7225-1</t>
  </si>
  <si>
    <t>EBP7225-1/4</t>
  </si>
  <si>
    <t>EBP7230-1</t>
  </si>
  <si>
    <t>BASE DE RELLENO POLIURETANO 2K BLANCO (PARTE A)</t>
  </si>
  <si>
    <t>EBP7230-1/4</t>
  </si>
  <si>
    <t>EBPC1-1</t>
  </si>
  <si>
    <t>EB25106-1/4</t>
  </si>
  <si>
    <t>TINTE EXCELBASE BICAPA ROJO OXIDO</t>
  </si>
  <si>
    <t>EB25140-1/4</t>
  </si>
  <si>
    <t>EB25209-1</t>
  </si>
  <si>
    <t>TINTE EXCELBASE BICAPA TRANSPARENTE DE MEZCLA</t>
  </si>
  <si>
    <t>EB25215-1/4</t>
  </si>
  <si>
    <t>EB25218-1</t>
  </si>
  <si>
    <t>EB25281-1</t>
  </si>
  <si>
    <t>TINTE EXCELBASE BICAPA NEGRO HS</t>
  </si>
  <si>
    <t>EB25282-1</t>
  </si>
  <si>
    <t>TINTE EXCELBASE BICAPA BLANCO HS</t>
  </si>
  <si>
    <t>EB25030-1/4</t>
  </si>
  <si>
    <t>EB25031-1/4</t>
  </si>
  <si>
    <t>EB25034-1/4</t>
  </si>
  <si>
    <t>TINTE EXCELBASE BICAPA MARRON PERYLENE</t>
  </si>
  <si>
    <t>EB25036-1/4</t>
  </si>
  <si>
    <t>TINTE EXCELBASE BICAPA MAGENTA AZULOSO HS</t>
  </si>
  <si>
    <t>TINTE EXCELBASE BICAPA AZUL OCEANICO</t>
  </si>
  <si>
    <t>EB25107-1/4</t>
  </si>
  <si>
    <t>TINTE EXCELBASE AMARILLO ORG</t>
  </si>
  <si>
    <t>TINTE EXCELBASE BICAPA VIOLETA CARBA</t>
  </si>
  <si>
    <t>EB25124-1/4</t>
  </si>
  <si>
    <t>TINTE EXCELBASE NARANJA</t>
  </si>
  <si>
    <t>EB25128-1/4</t>
  </si>
  <si>
    <t>EB25134-1/4</t>
  </si>
  <si>
    <t>EB25137-1/4</t>
  </si>
  <si>
    <t>TINTE EXCELBASE BICAPA VERDE AMARILLO</t>
  </si>
  <si>
    <t>EB25139-1/4</t>
  </si>
  <si>
    <t>TINTE EXCELBASE BICAPA VIOLETA HS</t>
  </si>
  <si>
    <t>EB25146-1/4</t>
  </si>
  <si>
    <t>TINTE EXCELBASE BICAPA BLANCO MICRONIZADO</t>
  </si>
  <si>
    <t>EB25205-1/4</t>
  </si>
  <si>
    <t>TINTE EXCELBASE BICAPA PALIOCROMO</t>
  </si>
  <si>
    <t>EB25213-1/4</t>
  </si>
  <si>
    <t>TINTE EXCELBASE BICAPA GRAFITO</t>
  </si>
  <si>
    <t>EB25214-1/4</t>
  </si>
  <si>
    <t>EB25221-1/4</t>
  </si>
  <si>
    <t>TINTE EXCELBASE BICAPA PALIOCROMO NARANJA</t>
  </si>
  <si>
    <t>EB25222-1/4</t>
  </si>
  <si>
    <t>TINTE EXCELBASE BICAPA DORADO ROJIZO</t>
  </si>
  <si>
    <t>EB25231-1/4</t>
  </si>
  <si>
    <t>TINTE EXCELBASE BICAPA AMARILLO ROJIZO</t>
  </si>
  <si>
    <t>EB25233-1/4</t>
  </si>
  <si>
    <t>EB25235-1/4</t>
  </si>
  <si>
    <t>TINTE EXCELBASE BICAPA AZUL INDO</t>
  </si>
  <si>
    <t>EB25237-1/4</t>
  </si>
  <si>
    <t>EB25238-1/4</t>
  </si>
  <si>
    <t>TINTE EXCELBASE BICAPA VERDE AZULOSO</t>
  </si>
  <si>
    <t>EB25240-1/4</t>
  </si>
  <si>
    <t>EB25271-1/4</t>
  </si>
  <si>
    <t>TINTE EXCELBASE BICAPA MATEANTE</t>
  </si>
  <si>
    <t>EB25272-1/4</t>
  </si>
  <si>
    <t>TINTE EXCELBASE BICAPA VIOLETA LS</t>
  </si>
  <si>
    <t>EB25273-1/4</t>
  </si>
  <si>
    <t>EB25275-1/4</t>
  </si>
  <si>
    <t>EB25276-1/4</t>
  </si>
  <si>
    <t>TINTE EXCELBASE BICAPA AZUL LS</t>
  </si>
  <si>
    <t>EB25278-1/4</t>
  </si>
  <si>
    <t>TINTE EXCELBASE BICAPA ROJO RUBI</t>
  </si>
  <si>
    <t>EB25280-1/4</t>
  </si>
  <si>
    <t>TINTE EXCELBASE BICAPA AZUL ROJIZO HS</t>
  </si>
  <si>
    <t>EB25283-1/4</t>
  </si>
  <si>
    <t>EB25288-1/4</t>
  </si>
  <si>
    <t>TINTE EXCELBASE BICAPA AMARILLO RAPIDO</t>
  </si>
  <si>
    <t>EB25289-1/4</t>
  </si>
  <si>
    <t>EB25201-1</t>
  </si>
  <si>
    <t>TINTE EXCELBASE BICAPA METALICO FINO</t>
  </si>
  <si>
    <t>EB25202-1</t>
  </si>
  <si>
    <t>TINTE EXCELBASE BICAPA METALICO MEDIANO</t>
  </si>
  <si>
    <t>EB25203-1</t>
  </si>
  <si>
    <t>TINTE EXCELBASE BICAPA METALICO GRANDE</t>
  </si>
  <si>
    <t>EB25204-1</t>
  </si>
  <si>
    <t>TINTE EXCELBASE BICAPA METALICO GRUES0</t>
  </si>
  <si>
    <t>EB25206-1</t>
  </si>
  <si>
    <t>EB25217-1</t>
  </si>
  <si>
    <t>EB25SSA1-1</t>
  </si>
  <si>
    <t>EB25PT7-1/4</t>
  </si>
  <si>
    <t>EB25PT8-1/4</t>
  </si>
  <si>
    <t>EB25PT9-1/4</t>
  </si>
  <si>
    <t>EB25PT10-1/4</t>
  </si>
  <si>
    <t>EB25PT11-1/4</t>
  </si>
  <si>
    <t>EB25PT12-1/4</t>
  </si>
  <si>
    <t>EB25PT13-1/4</t>
  </si>
  <si>
    <t>EB25PT14-1/4</t>
  </si>
  <si>
    <t>TINTE EXCELBASE BICAPA PERLA NARANJA</t>
  </si>
  <si>
    <t>EB25PT15-1/4</t>
  </si>
  <si>
    <t>EB25PT16-1/4</t>
  </si>
  <si>
    <t>EB25PT17-1/4</t>
  </si>
  <si>
    <t>TINTE EXCELBASE BICAPA PERLA COBRE</t>
  </si>
  <si>
    <t>EB25PT18-1/4</t>
  </si>
  <si>
    <t>EB25PT19-1/4</t>
  </si>
  <si>
    <t>EB25PT20-1/4</t>
  </si>
  <si>
    <t>TINTE EXCELBASE BICAPA PERLA BLANCO FINO</t>
  </si>
  <si>
    <t>EB25PT22-1/4</t>
  </si>
  <si>
    <t>TINTE EXCELBASE BICAPA PERLA VERDE AQUA</t>
  </si>
  <si>
    <t>EB25PT23-1/4</t>
  </si>
  <si>
    <t>EB25PT24-1/4</t>
  </si>
  <si>
    <t>TINTE EXCELBASE BICAPA PERLA VERDE FINO</t>
  </si>
  <si>
    <t>EB25PT25-1/4</t>
  </si>
  <si>
    <t>TINTE EXCELBASE BICAPA PERLA VIOLETA FINO</t>
  </si>
  <si>
    <t>EB25PT26-1/4</t>
  </si>
  <si>
    <t>TINTE EXCELBASE BICAPA PERLA ROJO ESCARABAJO</t>
  </si>
  <si>
    <t>EB25PT29-1/4</t>
  </si>
  <si>
    <t>EB25PT30-1/4</t>
  </si>
  <si>
    <t>EB25PT31-1/4</t>
  </si>
  <si>
    <t>EB25PT32-1/4</t>
  </si>
  <si>
    <t>TINTE EXCELBASE BICAPA PERLA DORADO RAYO DE SOL</t>
  </si>
  <si>
    <t>EB25PT33-1/4</t>
  </si>
  <si>
    <t>EB25PT34-1/4</t>
  </si>
  <si>
    <t>EB25PT35-1/4</t>
  </si>
  <si>
    <t>EBT2000-1</t>
  </si>
  <si>
    <t>CLEARCOAT EXCELBASE 2K UNIVERSAL (PARTE A)</t>
  </si>
  <si>
    <t>EBT2000-1/4</t>
  </si>
  <si>
    <t>EBT4000-1</t>
  </si>
  <si>
    <t>EBT4000-1/4</t>
  </si>
  <si>
    <t>EBRC1-1/4</t>
  </si>
  <si>
    <t>EBRC1-1</t>
  </si>
  <si>
    <t>EBH7211-1/16</t>
  </si>
  <si>
    <t>CATALIZADOR EXCELBASE PARTE B UNIVERSAL</t>
  </si>
  <si>
    <t>EBH7211-1/8</t>
  </si>
  <si>
    <t>EBH7211-1/4</t>
  </si>
  <si>
    <t>EBH7215-1/16</t>
  </si>
  <si>
    <t>EBH7215-1/8</t>
  </si>
  <si>
    <t>EBH7215-1/4</t>
  </si>
  <si>
    <t>R8KSA1-1</t>
  </si>
  <si>
    <t>R8KSA2-1</t>
  </si>
  <si>
    <t>EBBSA1-1</t>
  </si>
  <si>
    <t>TINTE EXCELBASE MONOCAPA NEGRO</t>
  </si>
  <si>
    <t>EBBSA3-1</t>
  </si>
  <si>
    <t>TINTE EXCELBASE MONOCAPA NEGRO MATE</t>
  </si>
  <si>
    <t>EBRSA5-1/4</t>
  </si>
  <si>
    <t>TINTE EXCELBASE MONOCAPA ROJO OXIDO</t>
  </si>
  <si>
    <t>EBTSA1-1</t>
  </si>
  <si>
    <t>TINTE EXCELBASE MONOCAPA TRANSPARENTE DE MEZCLA</t>
  </si>
  <si>
    <t>EBWSA1-1</t>
  </si>
  <si>
    <t>TINTE EXCELBASE MONOCAPA BLANCO</t>
  </si>
  <si>
    <t>EBYSA4-1/4</t>
  </si>
  <si>
    <t>TINTE EXCELBASE MONOCAPA AMARILLO OXIDO</t>
  </si>
  <si>
    <t>EBESA1-1</t>
  </si>
  <si>
    <t>TINTE EXCELBASE MONOCAPA NARANJA</t>
  </si>
  <si>
    <t>EBGSA1-1</t>
  </si>
  <si>
    <t>TINTE EXCELBASE MONOCAPA VERDE AMARILLENTO</t>
  </si>
  <si>
    <t>EBGSA2-1</t>
  </si>
  <si>
    <t>TINTE EXCELBASE MONOCAPA VERDE AZULOSO</t>
  </si>
  <si>
    <t>EBLSA1-1</t>
  </si>
  <si>
    <t>TINTE EXCELBASE MONOCAPA AZUL VERDOSO</t>
  </si>
  <si>
    <t>EBLSA2-1</t>
  </si>
  <si>
    <t>TINTE EXCELBASE MONOCAPA AZUL ROJIZO</t>
  </si>
  <si>
    <t>EBMSA1-1</t>
  </si>
  <si>
    <t>TINTE EXCELBASE MONOCAPA MAGENTA</t>
  </si>
  <si>
    <t>EBMSA2-1</t>
  </si>
  <si>
    <t>TINTE EXCELBASE MONOCAPA MARRON</t>
  </si>
  <si>
    <t>EBNSA1-1/4</t>
  </si>
  <si>
    <t>TINTE EXCELBASE MONOCAPA DORADO</t>
  </si>
  <si>
    <t>EBPSA1-1/4</t>
  </si>
  <si>
    <t>TINTE EXCELBASE MONOCAPA VIOLETA CARBA</t>
  </si>
  <si>
    <t>EBRSA4-1</t>
  </si>
  <si>
    <t>TINTE EXCELBASE MONOCAPA ROJO BRILLANTE</t>
  </si>
  <si>
    <t>EBSSA1-1</t>
  </si>
  <si>
    <t>TINTE EXCELBASE MONOCAPA METALICO BRILLANTE</t>
  </si>
  <si>
    <t>EBYSA3-1</t>
  </si>
  <si>
    <t>TINTE EXCELBASE MONOCAPA AMARILLO VANADATO</t>
  </si>
  <si>
    <t>EBYSA5-1</t>
  </si>
  <si>
    <t>TINTE EXCELBASE MONOCAPA AMARILLO LIMON SP</t>
  </si>
  <si>
    <t>EBYSA6-1</t>
  </si>
  <si>
    <t>TINTE EXCELBASE MONOCAPA AMARILLO MEDIO SP</t>
  </si>
  <si>
    <t>P2A43-1/4</t>
  </si>
  <si>
    <t>PRIMARIO AUTOMOTRIZ ACRILICO GRIS CLARO</t>
  </si>
  <si>
    <t>P2A43-1</t>
  </si>
  <si>
    <t>L4W301-1</t>
  </si>
  <si>
    <t>TINTE LACA ACRILICA BLANCO</t>
  </si>
  <si>
    <t>L4Y303-1</t>
  </si>
  <si>
    <t>TINTE LACA ACRILICA AMARILLO OXIDO</t>
  </si>
  <si>
    <t>L4R304-1</t>
  </si>
  <si>
    <t>TINTE LACA ACRILICA ROJO OXIDO</t>
  </si>
  <si>
    <t>L4B320-1</t>
  </si>
  <si>
    <t>TINTE LACA ACRILICA EBANO</t>
  </si>
  <si>
    <t>T1C323-1</t>
  </si>
  <si>
    <t>TINTE LACA ACRILICA TRANSPARENTE DE MEZCLA</t>
  </si>
  <si>
    <t>L4L309-1</t>
  </si>
  <si>
    <t>TINTE LACA ACRILICA AZUL VERDOSO</t>
  </si>
  <si>
    <t>L4G311-1</t>
  </si>
  <si>
    <t>TINTE LACA ACRILICA VERDE AZULOSO</t>
  </si>
  <si>
    <t>L4N314-1</t>
  </si>
  <si>
    <t>TINTE LACA ACRILICA DORADO</t>
  </si>
  <si>
    <t>L4E317SP-1</t>
  </si>
  <si>
    <t>TINTE LACA ACRILICA NARANJA SP</t>
  </si>
  <si>
    <t>L4R330-1</t>
  </si>
  <si>
    <t>TINTE LACA ACRILICA ROJO BRILLANTE</t>
  </si>
  <si>
    <t>L4Y332SP-1</t>
  </si>
  <si>
    <t>TINTE LACA ACRILICA AMARILLO LIMON SP</t>
  </si>
  <si>
    <t>L4Y333SP-1</t>
  </si>
  <si>
    <t>TINTE LACA ACRILICA AMARILLO CROMO MEDIO SP</t>
  </si>
  <si>
    <t>L4S335-1</t>
  </si>
  <si>
    <t>TINTE LACA ACRILICA ALUMINIO BRILLANTE</t>
  </si>
  <si>
    <t>L4S352-1</t>
  </si>
  <si>
    <t>TINTE LACA ACRILICA METALICO MEDIO GRUESO</t>
  </si>
  <si>
    <t>L4R355-1</t>
  </si>
  <si>
    <t>TINTE LACA ACRILICA MAGENTA</t>
  </si>
  <si>
    <t>L10B1738-1</t>
  </si>
  <si>
    <t>TINTE LACA ACRILICA NEGRO</t>
  </si>
  <si>
    <t>L10W4148-1</t>
  </si>
  <si>
    <t>TINTE LACA ACRILICA SUPER BLANCO</t>
  </si>
  <si>
    <t>T1C276-1</t>
  </si>
  <si>
    <t xml:space="preserve">BARNIZ ACRILICO URETANO 2K </t>
  </si>
  <si>
    <t>V6V376-1/16</t>
  </si>
  <si>
    <t>CATALIZADOR PARA BARNIZ (PARTE B PARA T1C276)</t>
  </si>
  <si>
    <t>T1C285-1</t>
  </si>
  <si>
    <t>T1C285-1/4</t>
  </si>
  <si>
    <t>T1CSA285-1</t>
  </si>
  <si>
    <t>P2A32-1/4</t>
  </si>
  <si>
    <t>BASE AUTOMOTRIZ NITRO GRIS CLARO</t>
  </si>
  <si>
    <t>P2A40-1/4</t>
  </si>
  <si>
    <t>BASE AUTOMOTRIZ NITRO GRIS OSCURO</t>
  </si>
  <si>
    <t>P2N39-1/4</t>
  </si>
  <si>
    <t>BASE AUTOMOTRIZ NITRO ROJO OXIDO</t>
  </si>
  <si>
    <t>P2W38-1/4</t>
  </si>
  <si>
    <t>BASE AUTOMOTRIZ NITRO BLANCO</t>
  </si>
  <si>
    <t>P2A32-1</t>
  </si>
  <si>
    <t>P2A40-1</t>
  </si>
  <si>
    <t>P2N39-1</t>
  </si>
  <si>
    <t>P2W38-1</t>
  </si>
  <si>
    <t>L3W301-1</t>
  </si>
  <si>
    <t>LACA NITROCELULOSICA BLANCO</t>
  </si>
  <si>
    <t>L3Y303-1</t>
  </si>
  <si>
    <t>LACA NITROCELULOSICA AMARILLO OXIDO</t>
  </si>
  <si>
    <t>L3R304-1</t>
  </si>
  <si>
    <t>LACA NITROCELULOSICA ROJO OXIDO</t>
  </si>
  <si>
    <t>L3B320-1</t>
  </si>
  <si>
    <t>LACA NITROCELULOSICA EBANO</t>
  </si>
  <si>
    <t>T1C187-1</t>
  </si>
  <si>
    <t>LACA NITROCELULOSICA TRANSPARENTE DE MEZCLA</t>
  </si>
  <si>
    <t>L3L305-1</t>
  </si>
  <si>
    <t>LACA NITROCELULOSICA AZUL ROJIZO</t>
  </si>
  <si>
    <t>L3L309-1</t>
  </si>
  <si>
    <t>LACA NITROCELULOSICA AZUL VERDOSO</t>
  </si>
  <si>
    <t>L3G311-1</t>
  </si>
  <si>
    <t>LACA NITROCELULOSICA VERDE</t>
  </si>
  <si>
    <t>L3N314-1</t>
  </si>
  <si>
    <t>LACA NITROCELULOSICA DORADO</t>
  </si>
  <si>
    <t>L3E317SP-1</t>
  </si>
  <si>
    <t>LACA NITROCELULOSICA NARANJA SP</t>
  </si>
  <si>
    <t>L3R330-1</t>
  </si>
  <si>
    <t>LACA NITROCELULOSICA ROJO BRILLANTE</t>
  </si>
  <si>
    <t>L3Y332SP-1</t>
  </si>
  <si>
    <t>LACA NITROCELULOSICA AMARILLO LIMON SP</t>
  </si>
  <si>
    <t>L3Y333SP-1</t>
  </si>
  <si>
    <t>LACA NITROCELULOSICA AMARILLO CROMO MEDIO SP</t>
  </si>
  <si>
    <t>L3S335-1</t>
  </si>
  <si>
    <t>LACA NITROCELULOSICA METALICO BRILLANTE</t>
  </si>
  <si>
    <t>L3N342-1</t>
  </si>
  <si>
    <t>L3M341-1</t>
  </si>
  <si>
    <t>LACA NITROCELULOSICA MARRON BRILLANTE</t>
  </si>
  <si>
    <t>L3L346-1</t>
  </si>
  <si>
    <t>L3S350-1</t>
  </si>
  <si>
    <t>LACA NITROCELULOSICA METALICO MEDIO</t>
  </si>
  <si>
    <t>L3S352-1</t>
  </si>
  <si>
    <t>LACA NITROCELULOSICA METALICO MEDIO GRUESO</t>
  </si>
  <si>
    <t>L3L353-1/4</t>
  </si>
  <si>
    <t>L3R355-1</t>
  </si>
  <si>
    <t>LACA NITROCELULOSICA MAGENTA</t>
  </si>
  <si>
    <t>L3RSA4-1</t>
  </si>
  <si>
    <t>LACA NITROCELULOSICA ROJO DE MEZCLA</t>
  </si>
  <si>
    <t>L3UM7003-1/4</t>
  </si>
  <si>
    <t>L3UM7004-1/4</t>
  </si>
  <si>
    <t>L3UM7009-1/4</t>
  </si>
  <si>
    <t>LACA NITROCELULOSICA PERLA AZUL</t>
  </si>
  <si>
    <t>L3UM7010-1/4</t>
  </si>
  <si>
    <t>LACA NITROCELULOSICA PERLA VERDE</t>
  </si>
  <si>
    <t>L1B3137-1</t>
  </si>
  <si>
    <t>LACA NITROCELULOSICA NEGRO INTENSO</t>
  </si>
  <si>
    <t>L1R40SP-1</t>
  </si>
  <si>
    <t>LACA NITROCELULOSICA ROJO TOLUIDINE SP</t>
  </si>
  <si>
    <t>L1W3252-1</t>
  </si>
  <si>
    <t>T1C290-1</t>
  </si>
  <si>
    <t>T1C290-1/4</t>
  </si>
  <si>
    <t>V6V291-1/4</t>
  </si>
  <si>
    <t>V6V291-1/8</t>
  </si>
  <si>
    <t>V6V291-1/16</t>
  </si>
  <si>
    <t>E2R27-1</t>
  </si>
  <si>
    <t>SELLADOR KEM TRANSPORT ROJO OXIDO</t>
  </si>
  <si>
    <t>E3A4801-1/4</t>
  </si>
  <si>
    <t>BASE SINTETICA KEM TRANSPORT GRIS</t>
  </si>
  <si>
    <t>E3A4801-1</t>
  </si>
  <si>
    <t>F3W301-1</t>
  </si>
  <si>
    <t>ESMALTE SINTETICO AUTOMOTRIZ BLANCO</t>
  </si>
  <si>
    <t>F3Y303-1</t>
  </si>
  <si>
    <t>ESMALTE SINTETICO AUTOMOTRIZ AMARILLO OXIDO</t>
  </si>
  <si>
    <t>F3R304-1</t>
  </si>
  <si>
    <t>ESMALTE SINTETICO AUTOMOTRIZ ROJO OXIDO</t>
  </si>
  <si>
    <t>F3B320-1</t>
  </si>
  <si>
    <t>ESMALTE SINTETICO AUTOMOTRIZ EBANO</t>
  </si>
  <si>
    <t>V2V173-1</t>
  </si>
  <si>
    <t>ESMALTE SINTETICO AUTOMOTRIZ TRANSPARENTE DE MEZCLA</t>
  </si>
  <si>
    <t>V6V5SP-1</t>
  </si>
  <si>
    <t>ESMALTE SINTETICO AUTOMOTRIZ SECANTE KEM MIX</t>
  </si>
  <si>
    <t>F3L305-1</t>
  </si>
  <si>
    <t>ESMALTE SINTETICO AUTOMOTRIZ AZUL ROJIZO</t>
  </si>
  <si>
    <t>F3L309-1</t>
  </si>
  <si>
    <t>ESMALTE SINTETICO AUTOMOTRIZ AZUL VERDOSO</t>
  </si>
  <si>
    <t>F3G311-1</t>
  </si>
  <si>
    <t>ESMALTE SINTETICO AUTOMOTRIZ VERDE</t>
  </si>
  <si>
    <t>F3N314-1</t>
  </si>
  <si>
    <t>ESMALTE SINTETICO AUTOMOTRIZ DORADO</t>
  </si>
  <si>
    <t>F3E317SP-1</t>
  </si>
  <si>
    <t>ESMALTE SINTETICO AUTOMOTRIZ NARANJA SP</t>
  </si>
  <si>
    <t>F3M318-1</t>
  </si>
  <si>
    <t>ESMALTE SINTETICO AUTOMOTRIZ MARRON</t>
  </si>
  <si>
    <t>F3R330-1</t>
  </si>
  <si>
    <t>ESMALTE SINTETICO AUTOMOTRIZ ROJO BRILLANTE</t>
  </si>
  <si>
    <t>F3Y332SP-1</t>
  </si>
  <si>
    <t>ESMALTE SINTETICO AUTOMOTRIZ AMARILLO LIMON SP</t>
  </si>
  <si>
    <t>F3Y333SP-1</t>
  </si>
  <si>
    <t>ESMALTE SINTETICO AUTOMOTRIZ AMARILLO CROMO MEDIO SP</t>
  </si>
  <si>
    <t>F3S335-1</t>
  </si>
  <si>
    <t>ESMALTE SINTETICO AUTOMOTRIZ METALICO BRILLANTE</t>
  </si>
  <si>
    <t>F3N342-1</t>
  </si>
  <si>
    <t>ESMALTE SINTETICO AUTOMOTRIZ DORADO INTENSO</t>
  </si>
  <si>
    <t>F3S350-1</t>
  </si>
  <si>
    <t>ESMALTE SINTETICO AUTOMOTRIZ METALICO MEDIO</t>
  </si>
  <si>
    <t>F3S352-1</t>
  </si>
  <si>
    <t>ESMALTE SINTETICO AUTOMOTRIZ METALICO MEDIO GRUESO</t>
  </si>
  <si>
    <t>F3RSA4-1</t>
  </si>
  <si>
    <t>ESMALTE SINTETICO AUTOMOTRIZ ROJO PARA MEZCLAS</t>
  </si>
  <si>
    <t>F1B4009SP-1</t>
  </si>
  <si>
    <t>ESMALTE SINTETICO AUTOMOTRIZ NEGRO INTENSO SP</t>
  </si>
  <si>
    <t>F1R4953SP-1</t>
  </si>
  <si>
    <t>ESMALTE SINTETICO AUTOMOTRIZ ROJO TOLUIDINE SP</t>
  </si>
  <si>
    <t>F1W4000SP-1</t>
  </si>
  <si>
    <t>ESMALTE SINTETICO AUTOMOTRIZ BLANCO SP</t>
  </si>
  <si>
    <t>V6V253-1/16</t>
  </si>
  <si>
    <t>R4K183-1</t>
  </si>
  <si>
    <t>REDUCTOR SINTETICO KEM FLO-GLO -</t>
  </si>
  <si>
    <t>R1K3-1</t>
  </si>
  <si>
    <t>V.M. &amp; P. NAPHTHA</t>
  </si>
  <si>
    <t>R1K3-BOT</t>
  </si>
  <si>
    <t>R6K191-1</t>
  </si>
  <si>
    <t>RETARDADOR PARA LACAS</t>
  </si>
  <si>
    <t>R6K191-BOT</t>
  </si>
  <si>
    <t>R2K4-54</t>
  </si>
  <si>
    <t>INDUSTRIAL REDUCER</t>
  </si>
  <si>
    <t>R2K4-1</t>
  </si>
  <si>
    <t>R2K4-BOT</t>
  </si>
  <si>
    <t>R7K193-54</t>
  </si>
  <si>
    <t>OPEX RETARDER THINNER 11</t>
  </si>
  <si>
    <t>R7K193-1</t>
  </si>
  <si>
    <t>R7K203-BOT</t>
  </si>
  <si>
    <t>R7K203-1</t>
  </si>
  <si>
    <t>R7K203-54</t>
  </si>
  <si>
    <t>R8KSA4-1</t>
  </si>
  <si>
    <t>REDUCTOR P/POLIURETANO INDUSTR P/CLIMA CALIDO</t>
  </si>
  <si>
    <t>R7K128-54</t>
  </si>
  <si>
    <t>OPEX LACQUER THINNER 128</t>
  </si>
  <si>
    <t>R7K128-1</t>
  </si>
  <si>
    <t>R7K128-BOT</t>
  </si>
  <si>
    <t>R6K30-1</t>
  </si>
  <si>
    <t>SOLVENTE METIL AMIL KETONA</t>
  </si>
  <si>
    <t>R7K15-1</t>
  </si>
  <si>
    <t>SOLVENTE PARA COROTHANE -</t>
  </si>
  <si>
    <t>R8KSA3-1</t>
  </si>
  <si>
    <t>REDUCTOR P/POLIURETANO INDUSTR P/CLIMA NORMALES</t>
  </si>
  <si>
    <t>R8KSA3-BOT</t>
  </si>
  <si>
    <t>R7K54-1</t>
  </si>
  <si>
    <t>REDUCTOR EPOXICO #54 -</t>
  </si>
  <si>
    <t>R1K4-BOT</t>
  </si>
  <si>
    <t>MINERAL SPIRITS</t>
  </si>
  <si>
    <t>R1K4-1</t>
  </si>
  <si>
    <t>R1K4-54</t>
  </si>
  <si>
    <t>REDUCTOR EXCELBASE UNIVERSAL CLIMA FRESCO</t>
  </si>
  <si>
    <t>REDUCTOR EXCELBASE UNIVERSAL CLIMA CALIDO</t>
  </si>
  <si>
    <t>W4K263-1</t>
  </si>
  <si>
    <t>DUAL ETCH METAL CLEANER</t>
  </si>
  <si>
    <t>BROCHA ANGULAR 2PLG POLIESTER PURDY</t>
  </si>
  <si>
    <t>BROCHA ANGULAR 3PLG POLIESTER PURDY</t>
  </si>
  <si>
    <t>BROCHA PROFESIONAL  2PLG POLIESTER PURDY</t>
  </si>
  <si>
    <t>BROCHA PROFESIONAL 3PLG POLIESTER PURDY</t>
  </si>
  <si>
    <t>GBSY2200</t>
  </si>
  <si>
    <t xml:space="preserve">BROCHA CERDA BLANCA SINTETICA POLIESTER PAINTER ELITE 2" </t>
  </si>
  <si>
    <t>GBSY2280</t>
  </si>
  <si>
    <t xml:space="preserve">BROCHA CERDA BLANCA SINTETICA ANGULAR  POLIESTER PAINTER ELITE 2 1/2" </t>
  </si>
  <si>
    <t>GBSY2300</t>
  </si>
  <si>
    <t xml:space="preserve">BROCHA CERDA BLANCA SINTETICA POLIESTER PAINTER ELITE 3" </t>
  </si>
  <si>
    <t>GBSY2400</t>
  </si>
  <si>
    <t xml:space="preserve">BROCHA CERDA BLANCA SINTETICA POLIESTER PAINTER ELITE 4" </t>
  </si>
  <si>
    <t>BROCHA CERDA SINTETICA POLIESTER PAINTER PLUS 2"</t>
  </si>
  <si>
    <t>BROCHA CERDA SINTETICA POLIESTER PAINTER PLUS 3"</t>
  </si>
  <si>
    <t>BROCHA CERDA SINTETICA POLIESTER PAINTER PLUS 4"</t>
  </si>
  <si>
    <t>44068A</t>
  </si>
  <si>
    <t>BROCHA CERDA SINTETICA ANGULAR POLIESTER PAINTER PLUS 2"</t>
  </si>
  <si>
    <t>BROCHA CERDA NATURAL ESTANDAR PAINTER PLUS 1"</t>
  </si>
  <si>
    <t>BROCHA CERDA NATURAL ESTANDAR PAINTER PLUS 2"</t>
  </si>
  <si>
    <t>BROCHA CERDA NATURAL ESTANDAR PAINTER PLUS 3"</t>
  </si>
  <si>
    <t>BROCHA CERDA NATURAL ESTANDAR PAINTER PLUS 4"</t>
  </si>
  <si>
    <t>44060A</t>
  </si>
  <si>
    <t>BROCHA CERDA NATURAL ANGULAR ESTÁNDAR PAINTER PLUS 2"</t>
  </si>
  <si>
    <t>BROCHA CERDA NATURAL ECONOMICA  PAINTER PLASTIC 1"</t>
  </si>
  <si>
    <t>BROCHA CERDA NATURAL ECONOMICA  PAINTER PLASTIC 2"</t>
  </si>
  <si>
    <t>BROCHA CERDA NATURAL ECONOMICA  PAINTER PLASTIC 3"</t>
  </si>
  <si>
    <t>BROCHA CERDA NATURAL ECONOMICA  PAINTER PLASTIC 4"</t>
  </si>
  <si>
    <t>JGSY2400</t>
  </si>
  <si>
    <t>SET 2 BROCHA P ELITE 4''</t>
  </si>
  <si>
    <t>JGSY2740</t>
  </si>
  <si>
    <t>SET 2 BROCHAS P ELITE 3" Y  2.5'' ANGULAR</t>
  </si>
  <si>
    <t>JGST8200</t>
  </si>
  <si>
    <t>SET 2 BROCHAS P ELITE 2" Y NATURAL 2"</t>
  </si>
  <si>
    <t>14B670092</t>
  </si>
  <si>
    <t xml:space="preserve">RODILLO POLIESTER PURDY WHITE DOVE 9X3/8 </t>
  </si>
  <si>
    <t>14B863000</t>
  </si>
  <si>
    <t xml:space="preserve">RODILLO POLIESTER PURDY WHITE DOVE 3PACK 9X3/8 </t>
  </si>
  <si>
    <t>RODILLO POLIESTER PURDY WHITE DOVE 4.5x1/4 2PACK</t>
  </si>
  <si>
    <t xml:space="preserve">RODILLO PROFESIONAL CONTRACTOR PURDY 9X3/8 </t>
  </si>
  <si>
    <t xml:space="preserve">RODILLO PROFESIONAL CONTRACTOR PURDY 3PACK 9X3/8 </t>
  </si>
  <si>
    <t xml:space="preserve">RODILLO PARROT ESMALTE 4.5X1/4 2PACK </t>
  </si>
  <si>
    <t>RODILLO PARROT ESMALTE 9X1/4</t>
  </si>
  <si>
    <t>RODILLO COLOSSUS MICROFIBRA 9 x 3/4</t>
  </si>
  <si>
    <t>GR99020</t>
  </si>
  <si>
    <t>RODILLO DE MICROFIBRA GBS 3/8x 9"</t>
  </si>
  <si>
    <t>GR99021</t>
  </si>
  <si>
    <t>RODILLO DE MICROFIBRA GBS 3/4x 9"</t>
  </si>
  <si>
    <t>GR38010</t>
  </si>
  <si>
    <t>RODILLO DE MICROFIBRA GBS 3"</t>
  </si>
  <si>
    <t>GK38000</t>
  </si>
  <si>
    <t>SET DE RODILLO DE MICROFIBRA 3" CON MANERAL</t>
  </si>
  <si>
    <t>CGJ9900</t>
  </si>
  <si>
    <t>SET DE 3 RODILLOS DE MICROFIBRA GBS 3/8x 9"</t>
  </si>
  <si>
    <t>MX-44029</t>
  </si>
  <si>
    <t>RODILLO PROFESIONAL 3/8"X9"</t>
  </si>
  <si>
    <t>MX-44030</t>
  </si>
  <si>
    <t>RODILLO PROFESIONAL 3/4"X9"</t>
  </si>
  <si>
    <t>MX-44031</t>
  </si>
  <si>
    <t>RODILLO PROFESIONAL 1.1/4"X9"</t>
  </si>
  <si>
    <t>RODILLO ECONOMICO 3/8'X9"</t>
  </si>
  <si>
    <t>RODILLO MOHAIR EPOXICO 3/8"X9"</t>
  </si>
  <si>
    <t>RODILLO ESMALTE ENAMEL 3/8"X9"</t>
  </si>
  <si>
    <t>14C810600</t>
  </si>
  <si>
    <t>MINI SET WHITE DOVE PURDY 4 PIEZAS</t>
  </si>
  <si>
    <t>SET CONTRACTOR PURDY 4 PIEZAS</t>
  </si>
  <si>
    <t>GK80010</t>
  </si>
  <si>
    <t>SUPER KIT GBS 8 PIEZAS</t>
  </si>
  <si>
    <t>MX-CGJ8499</t>
  </si>
  <si>
    <t xml:space="preserve">SET DE BANDEJA CON RODILLO MICROFIBRA 3/8' Y MANERAL PROFESIONAL </t>
  </si>
  <si>
    <t>JUEGO POPULAR RODILLO ECO 3/8" CON BANDEJA Y MANERAL PROFESIONAL</t>
  </si>
  <si>
    <t>CGJ8408</t>
  </si>
  <si>
    <t xml:space="preserve">JUEGO POPULAR ECONOMICO DE BANDEJA CON RODILLO Y MANERAL ECONOMICO </t>
  </si>
  <si>
    <t>SET DE 2 RODILLITOS DE NYLON ARMAZON Y BANDEJA</t>
  </si>
  <si>
    <t>MX-44021</t>
  </si>
  <si>
    <t>SET DE 5 RODILLITOS DE NYLON  Y ARMAZON</t>
  </si>
  <si>
    <t>MX-44040</t>
  </si>
  <si>
    <t>BANDEJA ECONOMICA PLASTICA 9"</t>
  </si>
  <si>
    <t>GBC2400</t>
  </si>
  <si>
    <t xml:space="preserve">BANDEJITA DE PLASTICO 4" </t>
  </si>
  <si>
    <t>14A751129</t>
  </si>
  <si>
    <t>MANERAL PROFESIONAL PURDY 9"</t>
  </si>
  <si>
    <t>14A770014</t>
  </si>
  <si>
    <t xml:space="preserve">MANERAL PARA RODILLO PURDY  4-6" </t>
  </si>
  <si>
    <t>MANERAL PROFESIONAL 9"</t>
  </si>
  <si>
    <t>MANERAL PROROLL 4"</t>
  </si>
  <si>
    <t>GF38000</t>
  </si>
  <si>
    <t xml:space="preserve">MANERAL MINI 3" </t>
  </si>
  <si>
    <t>VARA EXTENSIBLE PURDY 8 - 16 PIES|- (2.40 - 4.80 MTS)</t>
  </si>
  <si>
    <t>EEA1002</t>
  </si>
  <si>
    <t>VARA ALUMINIO EXTENSIBLE GBS 2 MT.</t>
  </si>
  <si>
    <t>EEA1003</t>
  </si>
  <si>
    <t>VARA ALUMINIO EXTENSIBLE GBS 3 MT.</t>
  </si>
  <si>
    <t>14A900520</t>
  </si>
  <si>
    <t xml:space="preserve">HERRAMIENTA LIMPIADOR PARA BROCHA Y RODILLO PURDY </t>
  </si>
  <si>
    <t>14A900510</t>
  </si>
  <si>
    <t xml:space="preserve">HERRAMIENTA PURDY 5 EN 1 </t>
  </si>
  <si>
    <t>14A900360</t>
  </si>
  <si>
    <t>ESPATULA PURDY JOINT KNIFE 6</t>
  </si>
  <si>
    <t>14T921000</t>
  </si>
  <si>
    <t xml:space="preserve">CUBETA PARA PINTOR PURDY </t>
  </si>
  <si>
    <t>AR20457</t>
  </si>
  <si>
    <t>CEPILLO DE ALAMBRE CON MANGO</t>
  </si>
  <si>
    <t>ESPATULA FLEXIBLE 6 (HASTA AGOTAR EXISTENCIAS)</t>
  </si>
  <si>
    <t>ESPATULA RIGIDA 1.5 (HASTA AGOTAR EXISTENCIAS)</t>
  </si>
  <si>
    <t>SP-011</t>
  </si>
  <si>
    <t xml:space="preserve">SPRAY ABRO NEGRO BRILLANTE </t>
  </si>
  <si>
    <t>SP-012</t>
  </si>
  <si>
    <t xml:space="preserve">SPRAY ABRO NEGRO MATE </t>
  </si>
  <si>
    <t>SP-016</t>
  </si>
  <si>
    <t xml:space="preserve">SPRAY ABRO BLANCO BRILLANTE </t>
  </si>
  <si>
    <t>SP-020</t>
  </si>
  <si>
    <t xml:space="preserve">SPRAY ABRO BLANCO MATE </t>
  </si>
  <si>
    <t>SP-031</t>
  </si>
  <si>
    <t xml:space="preserve">SPRAY ABRO TRANSPARENTE </t>
  </si>
  <si>
    <t>SP-073</t>
  </si>
  <si>
    <t xml:space="preserve">SPRAY ABRO ROJO FUEGO </t>
  </si>
  <si>
    <t>SP-032</t>
  </si>
  <si>
    <t xml:space="preserve">SPRAY ABRO CELESTE </t>
  </si>
  <si>
    <t>SP-048</t>
  </si>
  <si>
    <t>SPRAY ABRO VERDE</t>
  </si>
  <si>
    <t>SP-053</t>
  </si>
  <si>
    <t xml:space="preserve">SPRAY  ABRO AMARILLO </t>
  </si>
  <si>
    <t>SP-067</t>
  </si>
  <si>
    <t>SPRAY ABRO CAFÉ</t>
  </si>
  <si>
    <t>SP-084</t>
  </si>
  <si>
    <t>SPRAY ABRO GRIS</t>
  </si>
  <si>
    <t>SP-045</t>
  </si>
  <si>
    <t>SPRAY ABRO VERDE CLARO</t>
  </si>
  <si>
    <t>SP-417</t>
  </si>
  <si>
    <t xml:space="preserve">SPRAY ABRO CROMADO </t>
  </si>
  <si>
    <t>SP-418</t>
  </si>
  <si>
    <t xml:space="preserve">SPRAY ABRO DORADO 18 KT </t>
  </si>
  <si>
    <t>SP-026</t>
  </si>
  <si>
    <t xml:space="preserve">SPRAY ABRO ALUMINIO </t>
  </si>
  <si>
    <t>ULDAM40</t>
  </si>
  <si>
    <t>LIJA EN SECO KOVAX FINKAT EAGLE P40</t>
  </si>
  <si>
    <t>ULCAM60</t>
  </si>
  <si>
    <t>LIJA EN SECO KOVAX FINKAT EAGLE P60</t>
  </si>
  <si>
    <t>ULCAM80</t>
  </si>
  <si>
    <t>LIJA EN SECO KOVAX FINKAT EAGLE P80</t>
  </si>
  <si>
    <t>ULCAM100</t>
  </si>
  <si>
    <t>LIJA EN SECO KOVAX FINKAT EAGLE P100</t>
  </si>
  <si>
    <t>KLAAM600</t>
  </si>
  <si>
    <t>LIJA EN SECO KOVAX FINKAT EAGLE P600</t>
  </si>
  <si>
    <t>KLAAM400</t>
  </si>
  <si>
    <t>LIJA EN SECO KOVAX FINKAT EAGLE P400</t>
  </si>
  <si>
    <t>KLAAM320</t>
  </si>
  <si>
    <t>LIJA EN SECO KOVAX FINKAT EAGLE P320</t>
  </si>
  <si>
    <t>KLAAM220</t>
  </si>
  <si>
    <t>LIJA EN SECO KOVAX FINKAT EAGLE P220</t>
  </si>
  <si>
    <t>KLAAM180</t>
  </si>
  <si>
    <t>LIJA EN SECO KOVAX FINKAT EAGLE P180</t>
  </si>
  <si>
    <t>KLAAM150</t>
  </si>
  <si>
    <t>LIJA EN SECO KOVAX FINKAT EAGLE P150</t>
  </si>
  <si>
    <t>KLAAM120</t>
  </si>
  <si>
    <t>LIJA EN SECO KOVAX FINKAT EAGLE P120</t>
  </si>
  <si>
    <t>CLOTH36</t>
  </si>
  <si>
    <t>LIJA PARA HIERRO BELLSTAR CLOTH #36</t>
  </si>
  <si>
    <t>CLOTH50</t>
  </si>
  <si>
    <t>LIJA PARA HIERRO BELLSTAR CLOTH #50</t>
  </si>
  <si>
    <t>CLOTH60</t>
  </si>
  <si>
    <t>LIJA PARA HIERRO BELLSTAR CLOTH #60</t>
  </si>
  <si>
    <t>CLOTH80</t>
  </si>
  <si>
    <t>LIJA PARA HIERRO BELLSTAR CLOTH #80</t>
  </si>
  <si>
    <t>CLOTH100</t>
  </si>
  <si>
    <t>LIJA PARA HIERRO BELLSTAR CLOTH #100</t>
  </si>
  <si>
    <t>CLOTH120</t>
  </si>
  <si>
    <t>LIJA PARA HIERRO BELLSTAR CLOTH #120</t>
  </si>
  <si>
    <t>CLOTH150</t>
  </si>
  <si>
    <t>LIJA PARA HIERRO BELLSTAR CLOTH #150</t>
  </si>
  <si>
    <t>CLOTH220</t>
  </si>
  <si>
    <t>LIJA PARA HIERRO BELLSTAR CLOTH #220</t>
  </si>
  <si>
    <t>NEXT2000</t>
  </si>
  <si>
    <t>LIJA DE AGUA KOVAX NEXT P2000</t>
  </si>
  <si>
    <t>NEXT1500</t>
  </si>
  <si>
    <t>LIJA DE AGUA KOVAX NEXT P1500</t>
  </si>
  <si>
    <t>NEXT1200</t>
  </si>
  <si>
    <t>LIJA DE AGUA KOVAX NEXT P1200</t>
  </si>
  <si>
    <t>NEXT1000</t>
  </si>
  <si>
    <t>LIJA DE AGUA KOVAX NEXT P1000</t>
  </si>
  <si>
    <t>NEXT600</t>
  </si>
  <si>
    <t>LIJA DE AGUA KOVAX NEXT P600</t>
  </si>
  <si>
    <t>NEXT400</t>
  </si>
  <si>
    <t>LIJA DE AGUA KOVAX NEXT P400</t>
  </si>
  <si>
    <t>NEXT320</t>
  </si>
  <si>
    <t>LIJA DE AGUA KOVAX NEXT P320</t>
  </si>
  <si>
    <t>NEXT220</t>
  </si>
  <si>
    <t>LIJA DE AGUA KOVAX NEXT P220</t>
  </si>
  <si>
    <t>NEXT180</t>
  </si>
  <si>
    <t>LIJA DE AGUA KOVAX NEXT P180</t>
  </si>
  <si>
    <t>NEXT150</t>
  </si>
  <si>
    <t>LIJA DE AGUA KOVAX NEXT P150</t>
  </si>
  <si>
    <t>NEXT100</t>
  </si>
  <si>
    <t>LIJA DE AGUA KOVAX NEXT P100</t>
  </si>
  <si>
    <t>KMAAMP600</t>
  </si>
  <si>
    <t>LIJA HIBRIDA WET OR DRY  KMAAM P600</t>
  </si>
  <si>
    <t>KMAAMP400</t>
  </si>
  <si>
    <t>LIJA HIBRIDA WET OR DRY  KMAAM P400</t>
  </si>
  <si>
    <t>KMAAMP320</t>
  </si>
  <si>
    <t>LIJA HIBRIDA WET OR DRY  KMAAM P320</t>
  </si>
  <si>
    <t>KMAAMP220</t>
  </si>
  <si>
    <t>LIJA HIBRIDA WET OR DRY  KMAAM P220</t>
  </si>
  <si>
    <t>KMAAMP180</t>
  </si>
  <si>
    <t>LIJA HIBRIDA WET OR DRY  KMAAM P180</t>
  </si>
  <si>
    <t>KMAAMP150</t>
  </si>
  <si>
    <t>LIJA HIBRIDA WET OR DRY  KMAAM P150</t>
  </si>
  <si>
    <t>KMAAMP120</t>
  </si>
  <si>
    <t>LIJA HIBRIDA WET OR DRY  KMAAM P120</t>
  </si>
  <si>
    <t>SGFAC1200</t>
  </si>
  <si>
    <t>LIJA DE AGUA KOVAX EAGLE SG P1200</t>
  </si>
  <si>
    <t>SGFAC1000</t>
  </si>
  <si>
    <t>LIJA DE AGUA KOVAX EAGLE SG P1000</t>
  </si>
  <si>
    <t>SGFAC800</t>
  </si>
  <si>
    <t>LIJA DE AGUA KOVAX EAGLE SG P800</t>
  </si>
  <si>
    <t>SGFAC600</t>
  </si>
  <si>
    <t>LIJA DE AGUA KOVAX EAGLE SG P600</t>
  </si>
  <si>
    <t>SGFAC400</t>
  </si>
  <si>
    <t>LIJA DE AGUA KOVAX EAGLE SG P400</t>
  </si>
  <si>
    <t>SGFAC320</t>
  </si>
  <si>
    <t>LIJA DE AGUA KOVAX EAGLE SG P320</t>
  </si>
  <si>
    <t>SGFAC220</t>
  </si>
  <si>
    <t>LIJA DE AGUA KOVAX EAGLE SG P220</t>
  </si>
  <si>
    <t>SGFAC180</t>
  </si>
  <si>
    <t>LIJA DE AGUA KOVAX EAGLE SG P180</t>
  </si>
  <si>
    <t>SGFAC150</t>
  </si>
  <si>
    <t>LIJA DE AGUA KOVAX EAGLE SG P150</t>
  </si>
  <si>
    <t>SGFAC120</t>
  </si>
  <si>
    <t>LIJA DE AGUA KOVAX EAGLE SG P120</t>
  </si>
  <si>
    <t>SGFCC100</t>
  </si>
  <si>
    <t>LIJA DE AGUA KOVAX EAGLE SG P100</t>
  </si>
  <si>
    <t>SGFCC80</t>
  </si>
  <si>
    <t>LIJA DE AGUA KOVAX EAGLE SG P80</t>
  </si>
  <si>
    <t>SGFCC60</t>
  </si>
  <si>
    <t>LIJA DE AGUA KOVAX EAGLE SG P60</t>
  </si>
  <si>
    <t>HANDPAD01</t>
  </si>
  <si>
    <t xml:space="preserve">HAND PAD VF MARRON  </t>
  </si>
  <si>
    <t>HANDPAD02</t>
  </si>
  <si>
    <t xml:space="preserve">HAND PAD UF GRIS  </t>
  </si>
  <si>
    <t>BANDA ABIERTA EN SECO KOVAX MAXCUT P50</t>
  </si>
  <si>
    <t>BANDA ABIERTA EN SECO KOVAX MAXCUT P60</t>
  </si>
  <si>
    <t>BANDA ABIERTA EN SECO KOVAX MAXCUT P80</t>
  </si>
  <si>
    <t>BANDA ABIERTA EN SECO KOVAX MAXCUT P120 (Nueva)</t>
  </si>
  <si>
    <t>BANDA ABIERTA EN SECO KOVAX MAXCUT P180 (Nueva)</t>
  </si>
  <si>
    <t>BANDA ABIERTA EN SECO KOVAX MAXFILM P80</t>
  </si>
  <si>
    <t>BANDA ABIERTA EN SECO KOVAX MAXFILM P100</t>
  </si>
  <si>
    <t>BANDA ABIERTA EN SECO KOVAX MAXFILM P120</t>
  </si>
  <si>
    <t>BANDA ABIERTA EN SECO KOVAX MAXFILM P150</t>
  </si>
  <si>
    <t>BANDA ABIERTA EN SECO KOVAX MAXFILM P180</t>
  </si>
  <si>
    <t>BANDA ABIERTA EN SECO KOVAX MAXFILM P220</t>
  </si>
  <si>
    <t>BANDA ABIERTA EN SECO KOVAX MAXFILM P320</t>
  </si>
  <si>
    <t>BANDA ABIERTA EN SECO KOVAX MAXFILM P400</t>
  </si>
  <si>
    <t>PFST40</t>
  </si>
  <si>
    <t>DISCO 6" EN SECO KOVAX PF P40</t>
  </si>
  <si>
    <t>MAXCUT50</t>
  </si>
  <si>
    <t>DISCO 6" EN SECO KOVAX MAXCUT P50</t>
  </si>
  <si>
    <t>MAXCUT60</t>
  </si>
  <si>
    <t>DISCO 6" EN SECO KOVAX MAXCUT P60</t>
  </si>
  <si>
    <t>MAXCUT80</t>
  </si>
  <si>
    <t>DISCO 6" EN SECO KOVAX MAXCUT P80</t>
  </si>
  <si>
    <t>MAXCUT120</t>
  </si>
  <si>
    <t>DISCO 6" EN SECO KOVAX MAXCUT P120</t>
  </si>
  <si>
    <t>MAXFILM100</t>
  </si>
  <si>
    <t>DISCO 6" EN SECO KOVAX MAXFILM P100</t>
  </si>
  <si>
    <t>MAXFILM120</t>
  </si>
  <si>
    <t>DISCO 6" EN SECO KOVAX MAXFILM P120</t>
  </si>
  <si>
    <t>MAXFILM150</t>
  </si>
  <si>
    <t>DISCO 6" EN SECO KOVAX MAXFILM P150</t>
  </si>
  <si>
    <t>MAXFILM180</t>
  </si>
  <si>
    <t>DISCO 6" EN SECO KOVAX MAXFILM P180</t>
  </si>
  <si>
    <t>MAXFILM220</t>
  </si>
  <si>
    <t>DISCO 6" EN SECO KOVAX MAXFILM P220</t>
  </si>
  <si>
    <t>MAXFILM320</t>
  </si>
  <si>
    <t>DISCO 6" EN SECO KOVAX MAXFILM P320</t>
  </si>
  <si>
    <t>MAXFILM400</t>
  </si>
  <si>
    <t>DISCO 6" EN SECO KOVAX MAXFILM P400</t>
  </si>
  <si>
    <t>MAXFILM600</t>
  </si>
  <si>
    <t>DISCO 6" EN SECO KOVAX MAXFILM P600</t>
  </si>
  <si>
    <t>PCAWM400</t>
  </si>
  <si>
    <t>DISCO 5" KOVAX PCAWM P400 SIN AGUJEROS (Nuevo)</t>
  </si>
  <si>
    <t>PCAWM320</t>
  </si>
  <si>
    <t>DISCO 5" KOVAX PCAWM P320 SIN AGUJEROS (Nuevo)</t>
  </si>
  <si>
    <t>PCAWM180</t>
  </si>
  <si>
    <t>DISCO 5" KOVAX PCAWM P180 SIN AGUJEROS (Nuevo)</t>
  </si>
  <si>
    <t>PCAWM100</t>
  </si>
  <si>
    <t>DISCO 5" KOVAX PCAWM P100 SIN AGUJEROS (Nuevo)</t>
  </si>
  <si>
    <t>PCAWM120</t>
  </si>
  <si>
    <t>DISCO 5" KOVAX PCAWM P120 SIN AGUJEROS (Nuevo)</t>
  </si>
  <si>
    <t>PCAWM150</t>
  </si>
  <si>
    <t>DISCO 5" KOVAX PCAWM P150 SIN AGUJEROS (Nuevo)</t>
  </si>
  <si>
    <t>PCAWM220</t>
  </si>
  <si>
    <t>DISCO 5" KOVAX PCAWM P220 SIN AGUJEROS (Nuevo)</t>
  </si>
  <si>
    <t>PCAWM40</t>
  </si>
  <si>
    <t>DISCO 5" KOVAX PCAWM P40 SIN AGUJEROS (Nuevo)</t>
  </si>
  <si>
    <t>PCAWM60</t>
  </si>
  <si>
    <t>DISCO 5" KOVAX PCAWM P60 SIN AGUJEROS (Nuevo)</t>
  </si>
  <si>
    <t>PCAWM80</t>
  </si>
  <si>
    <t>DISCO 5" KOVAX PCAWM P80 SIN AGUJEROS (Nuevo)</t>
  </si>
  <si>
    <t>X25W0040</t>
  </si>
  <si>
    <t>LIJA BANDA CERRADA 3X21 40</t>
  </si>
  <si>
    <t>X25W0060</t>
  </si>
  <si>
    <t>LIJA BANDA CERRADA 3X21 60</t>
  </si>
  <si>
    <t>X25W0080</t>
  </si>
  <si>
    <t>LIJA BANDA CERRADA 3X21 80</t>
  </si>
  <si>
    <t>X25W0100</t>
  </si>
  <si>
    <t>LIJA BANDA CERRADA 3X21 100</t>
  </si>
  <si>
    <t>X25W0120</t>
  </si>
  <si>
    <t>LIJA BANDA CERRADA 3X21 120</t>
  </si>
  <si>
    <t>JR-15A400</t>
  </si>
  <si>
    <t>ROLLO EN SECO P400 4.5X15MTS LIJA DE LONA MULTIPROPOSITO</t>
  </si>
  <si>
    <t>JR-15A320</t>
  </si>
  <si>
    <t>ROLLO EN SECO P320 4.5X15MTS LIJA DE LONA MULTIPROPOSITO</t>
  </si>
  <si>
    <t>JR-15A220</t>
  </si>
  <si>
    <t>ROLLO EN SECO P220 4.5X15MTS LIJA DE LONA MULTIPROPOSITO</t>
  </si>
  <si>
    <t>JR-15A180</t>
  </si>
  <si>
    <t>ROLLO EN SECO P180 4.5X15MTS LIJA DE LONA MULTIPROPOSITO</t>
  </si>
  <si>
    <t>JR-15A150</t>
  </si>
  <si>
    <t>ROLLO EN SECO P150 4.5X15MTS LIJA DE LONA MULTIPROPOSITO</t>
  </si>
  <si>
    <t>JR-15A120</t>
  </si>
  <si>
    <t>ROLLO EN SECO P120 4.5X15MTS LIJA DE LONA MULTIPROPOSITO</t>
  </si>
  <si>
    <t>JR-15A100</t>
  </si>
  <si>
    <t>ROLLO EN SECO P100 4.5X15MTS LIJA DE LONA MULTIPROPOSITO</t>
  </si>
  <si>
    <t>JR-15A80</t>
  </si>
  <si>
    <t>ROLLO EN SECO P80 4.5X15MTS LIJA DE LONA MULTIPROPOSITO</t>
  </si>
  <si>
    <t>JR-15A60</t>
  </si>
  <si>
    <t>ROLLO EN SECO P60 4.5X15MTS LIJA DE LONA MULTIPROPOSITO</t>
  </si>
  <si>
    <t>PLIEGO EN SECO KOVAX SUPER BUFLEX NEGRO 3000</t>
  </si>
  <si>
    <t>PLIEGO EN SECO KOVAX SUPER BUFLEX VERDE 2000</t>
  </si>
  <si>
    <t>DISCO 6" EN SECO KOVAX SUPER BUFLEX NEGRO 3000</t>
  </si>
  <si>
    <t>DISCO 6" EN SECO KOVAX SUPER BUFLEX VERDE 2000</t>
  </si>
  <si>
    <t>PLIEGO EN SECO SUPER ASSILEX KOVAX 320</t>
  </si>
  <si>
    <t>PLIEGO EN SECO SUPER ASSILEX KOVAX 400</t>
  </si>
  <si>
    <t>PLIEGO EN SECO KOVAX SUPER ASSILEX CELESTE 600</t>
  </si>
  <si>
    <t>PLIEGO EN SECO KOVAX SUPER ASSILEX AMARILLO 800</t>
  </si>
  <si>
    <t>PLIEGO EN SECO KOVAX SUPER ASSILEX NARANJA 1200</t>
  </si>
  <si>
    <t>DISCO 6" EN SECO KOVAX SUPER ASSILEX 400</t>
  </si>
  <si>
    <t>DISCO 6" EN SECO KOVAX SUPER ASSILEX CELESTE 600</t>
  </si>
  <si>
    <t>DISCO 6" EN SECO KOVAX SUPER ASSILEX AMARILLO 800</t>
  </si>
  <si>
    <t>DISCO 6" EN SECO KOVAX SUPER ASSILEX NARANJA 1200</t>
  </si>
  <si>
    <t xml:space="preserve">DISCO 6" EN SECO KOVAX SUPER ASSILEX ROSADO 1500 </t>
  </si>
  <si>
    <t>LIJADORA ORBITAL 6" VELCRO ASTRO</t>
  </si>
  <si>
    <t>PT225</t>
  </si>
  <si>
    <t xml:space="preserve">LIJADORA ORBITAL BOER TOOLS </t>
  </si>
  <si>
    <t>RESPALDO PAD 6" KOVAX  CON AGUJEROS</t>
  </si>
  <si>
    <t>RESPALDO REDONDO DRY BUFLEX PAD 6"</t>
  </si>
  <si>
    <t>INTERFACE RIGIDO 5' SIN AGUJEROS</t>
  </si>
  <si>
    <t>RESPALDO PAD RIGIDO DE 5"</t>
  </si>
  <si>
    <t>RESPALDO PAD VP 5" CON AGUJEROS</t>
  </si>
  <si>
    <t>BLD6</t>
  </si>
  <si>
    <t>BLOQUE PARA LIJAR DISCOS DE 6"</t>
  </si>
  <si>
    <t>BLOQUE DE MADERA DE LIJAR BANDAS ABIERTAS GRANDE</t>
  </si>
  <si>
    <t>BLOQUE DE MADERA DE LIJAR BANDAS ABIERTAS PEQUENO</t>
  </si>
  <si>
    <t>BLOQUE DE MADERA DE LIJAR BANDAS ABIERTAS MEDIANO</t>
  </si>
  <si>
    <t>AR00212</t>
  </si>
  <si>
    <t>SANDING BLOCK SUPER ASSILEX</t>
  </si>
  <si>
    <t xml:space="preserve">INTERFACE DE ALMOHADILLA DRY BUFLEX PAD M </t>
  </si>
  <si>
    <t>INTERFACE DE ALMOHADILLA MANUAL ASSILEX PAD L</t>
  </si>
  <si>
    <t>INTERFACE DE ALMOHADILLA ASSILEX PAD M</t>
  </si>
  <si>
    <t>INTERFACE DE ALMOHADILLA MANUAL ASSILEX PAD M</t>
  </si>
  <si>
    <t>INTERFACE REDONDO FLEXIBLE ASSILEX PAD 6"</t>
  </si>
  <si>
    <t>INTERFACE REDONDO RIGIDO ASSILEX PAD 6"</t>
  </si>
  <si>
    <t>AR835-1.5</t>
  </si>
  <si>
    <t>MASKING TAPE 835 PROF 1.5X60YDS</t>
  </si>
  <si>
    <t>AR835-1</t>
  </si>
  <si>
    <t>MASKING TAPE 835 PROF 1X60YDS</t>
  </si>
  <si>
    <t>AR835-3/4</t>
  </si>
  <si>
    <t>MASKING TAPE 835 PROF 3/4X60YDS</t>
  </si>
  <si>
    <t>AR833-3/4</t>
  </si>
  <si>
    <t>Masking Tape Arquitectonico 833 Superficies Rugosas 3/4X60 YDS</t>
  </si>
  <si>
    <t>AR833-1</t>
  </si>
  <si>
    <t>Masking Tape Arquitectonico 833 Superficies Rugosas 1X60 YDS</t>
  </si>
  <si>
    <t>AR833-1.5</t>
  </si>
  <si>
    <t>Masking Tape Arquitectonico 833 Superficies Rugosas 1.5X60 YDS</t>
  </si>
  <si>
    <t>AR833-2</t>
  </si>
  <si>
    <t>Masking Tape Arquitectonico 833 Superficies Rugosas 2X60 YDS</t>
  </si>
  <si>
    <t>AR20363</t>
  </si>
  <si>
    <t>Hystik 803 Masking Tape Multiusos 1"</t>
  </si>
  <si>
    <t>AR803-3/4</t>
  </si>
  <si>
    <t>Masking Tape 803  Multiuso 3/4X36</t>
  </si>
  <si>
    <t>AR832-3/4</t>
  </si>
  <si>
    <t>MASKING TAPE 832 AUT 3/4X60YDS</t>
  </si>
  <si>
    <t>AR832-2</t>
  </si>
  <si>
    <t>MASKING TAPE 832 AUT 2X60YDS</t>
  </si>
  <si>
    <t>AR815-3436</t>
  </si>
  <si>
    <t>Masking Tape Automotriz 815 3/4X36 YDS</t>
  </si>
  <si>
    <t>AR815-3/4</t>
  </si>
  <si>
    <t>Masking Tape Automotriz 815 3/4X60 YDS</t>
  </si>
  <si>
    <t>AR815-2</t>
  </si>
  <si>
    <t xml:space="preserve">Masking Tape Automotriz 815 2X36 YDS </t>
  </si>
  <si>
    <t>AR810-2</t>
  </si>
  <si>
    <t>MASKING TAPE 810 2x36</t>
  </si>
  <si>
    <t>AR810-3436</t>
  </si>
  <si>
    <t>MASKING TAPE 810 3/4x36</t>
  </si>
  <si>
    <t>AR810-3/4</t>
  </si>
  <si>
    <t>MASKING TAPE 810 3/4x60</t>
  </si>
  <si>
    <t>AR145-3</t>
  </si>
  <si>
    <t>CINTA DE FRANJEADO 145 3MMX33M</t>
  </si>
  <si>
    <t>AR145-6</t>
  </si>
  <si>
    <t>CINTA DE FRANJEADO 145 6MMX33M</t>
  </si>
  <si>
    <t>AR945-1218</t>
  </si>
  <si>
    <t>CINTA DOBLE CARA 945 12MMX18M</t>
  </si>
  <si>
    <t>MP90907HD</t>
  </si>
  <si>
    <t>PLASTICO PINTABLE FASTLINE 16" X 350 -</t>
  </si>
  <si>
    <t>FBBP7</t>
  </si>
  <si>
    <t>RESPALDO HUEVERA 7.125 ROSCA H 5/8-11</t>
  </si>
  <si>
    <t>FCWP8</t>
  </si>
  <si>
    <t>PELUSA 8 PULIR DE LANA 4 CAPAS</t>
  </si>
  <si>
    <t>FMFP8</t>
  </si>
  <si>
    <t>HUEVERA ESPUMA 8 WAFFLE NEGRA</t>
  </si>
  <si>
    <t>FUFP8</t>
  </si>
  <si>
    <t xml:space="preserve">HUEVERA ESPUMA 8 WAFFLE AZUL </t>
  </si>
  <si>
    <t>PISTOLA ASTRO EURO HE 1.3 MM</t>
  </si>
  <si>
    <t>PISTOLA ASTRO EURO HE 1.5 MM</t>
  </si>
  <si>
    <t>PISTOLA ASTRO EURO HE 1.7 MM</t>
  </si>
  <si>
    <t>PISTOLA ASTRO EURO HE 1.9 MM</t>
  </si>
  <si>
    <t>PISTOLA PARA ANTIGRAVA</t>
  </si>
  <si>
    <t>H-827B14</t>
  </si>
  <si>
    <t>PISTOLA HPLV 1.4 MM AZUL ACABADO (NUEVA)</t>
  </si>
  <si>
    <t>H-827B20</t>
  </si>
  <si>
    <t>PISTOLA HPLV 2.0 MM ROJA PRIMER (NUEVA)</t>
  </si>
  <si>
    <t>TAC RAGS FASTLINE ( PAÑO ANTI-ESTATICO )</t>
  </si>
  <si>
    <t>CT-210</t>
  </si>
  <si>
    <t>ABRO TOALLA MICROFIBRA</t>
  </si>
  <si>
    <t>FWD100W</t>
  </si>
  <si>
    <t xml:space="preserve">PAÑO DE LIMPIEZA FASTLINE BLANCO ESTANDAR TIPO WYPALL 9" x 16.5" (Nuevo) </t>
  </si>
  <si>
    <t>FWN125B</t>
  </si>
  <si>
    <t>PAÑO DE LIMPIEZA FASTLINE AZUL DE ALTO RENDIMIENTO TIPO WYPALL  9" x 16.5"  (Nuevo)</t>
  </si>
  <si>
    <t>MARCADOR AUTOMOTRIZ ROSADO -</t>
  </si>
  <si>
    <t>MARCADOR AUTOMOTRIZ VERDE</t>
  </si>
  <si>
    <t>AR20288</t>
  </si>
  <si>
    <t xml:space="preserve">FIBRA DE VIDRIO MT/YARDA </t>
  </si>
  <si>
    <t>AR20249</t>
  </si>
  <si>
    <t xml:space="preserve">FIBRA DE VIDRIO 1/2 LBA/YDA </t>
  </si>
  <si>
    <t>AR20240</t>
  </si>
  <si>
    <t>RESINA POLIESTER  CON CATALIZADOR 1/8'</t>
  </si>
  <si>
    <t>AR20287</t>
  </si>
  <si>
    <t>RESINA POLIESTER CON CATALIZADOR 1/4'</t>
  </si>
  <si>
    <t>AR20293</t>
  </si>
  <si>
    <t>VASO PLÁSTICO GRADUADO 1/16'</t>
  </si>
  <si>
    <t>VASO PLÁSTICO GRADUADO 1/8'</t>
  </si>
  <si>
    <t>VASO PLÁSTICO GRADUADO 1/4'</t>
  </si>
  <si>
    <t>FGD336C</t>
  </si>
  <si>
    <t>DISCOS 3" FASTLINE TIPO R P36 DE CERAMICA  (Nuevo)</t>
  </si>
  <si>
    <t>FGD336</t>
  </si>
  <si>
    <t>DISCOS 3" FASTLINE TIPO R P36 DE ZIRCONIA (Nuevo)</t>
  </si>
  <si>
    <t>FSD3</t>
  </si>
  <si>
    <t>DISCOS DE DESBASTE 3"  (Nuevo)</t>
  </si>
  <si>
    <t>FCW3116</t>
  </si>
  <si>
    <t>DISCO DE CORTE DE  3" x 1/16 (Nuevo)</t>
  </si>
  <si>
    <t>FS3X4</t>
  </si>
  <si>
    <t>APLICADOR DE MASILLA FASTLINE 4" (NUEVO)</t>
  </si>
  <si>
    <t>FS3X5</t>
  </si>
  <si>
    <t>APLICADOR DE MASILLA FASTLINE 5" (NUEVO)</t>
  </si>
  <si>
    <t>FS3X6</t>
  </si>
  <si>
    <t>APLICADOR DE MASILLA FASTLINE 6" (NUEVO)</t>
  </si>
  <si>
    <t>GRACO-826223</t>
  </si>
  <si>
    <t>GRACO-826121</t>
  </si>
  <si>
    <t>MANGUERA 1/4" x 25'</t>
  </si>
  <si>
    <t>GRACO-18B260</t>
  </si>
  <si>
    <t xml:space="preserve">KIT DE REPARACION BOMBA </t>
  </si>
  <si>
    <t>GRACO-246384</t>
  </si>
  <si>
    <t>FILTRO EASY OUT #60 GRIS</t>
  </si>
  <si>
    <t>GRACO-246382</t>
  </si>
  <si>
    <t>FILTRO EASY OUT #100 GRIS</t>
  </si>
  <si>
    <t>GRACO-246385</t>
  </si>
  <si>
    <t>FILTRO DE SUCCION -</t>
  </si>
  <si>
    <t>GRACO-17C487</t>
  </si>
  <si>
    <t>BOMBA PARA AIRLESS PROCONNECT -</t>
  </si>
  <si>
    <t>GRACO-248212</t>
  </si>
  <si>
    <t>KIT REPARACION BOMBA 695 -</t>
  </si>
  <si>
    <t>GRACO-244067</t>
  </si>
  <si>
    <t>FILTRO MESH 60 AIRLESS 695 -</t>
  </si>
  <si>
    <t>GRACO-244068</t>
  </si>
  <si>
    <t>FILTRO EASY OUT MALLA 100 -</t>
  </si>
  <si>
    <t>GRACO-286515</t>
  </si>
  <si>
    <t>BOQUILLA 515 RAC5 -</t>
  </si>
  <si>
    <t>GRACO-243161</t>
  </si>
  <si>
    <t>PORTABOQUILLA RAC 5 -</t>
  </si>
  <si>
    <t>GRACO-246215</t>
  </si>
  <si>
    <t>PORTABOQUILLA RAC X</t>
  </si>
  <si>
    <t>GRACO-LP421</t>
  </si>
  <si>
    <t>GRACO-LP517</t>
  </si>
  <si>
    <t>BOQUILLA LP517 BAJA PRESION VERDE</t>
  </si>
  <si>
    <t>GRACO-LP519</t>
  </si>
  <si>
    <t>BOQUILLA LP519 BAJA PRESION VERDE</t>
  </si>
  <si>
    <t>GRACO-LTX313</t>
  </si>
  <si>
    <t xml:space="preserve">BOQUILLA LTX313 -                                                                                   </t>
  </si>
  <si>
    <t>GRACO-LTX317</t>
  </si>
  <si>
    <t xml:space="preserve">BOQUILLA LTX317 -                                                                                   </t>
  </si>
  <si>
    <t>GRACO-LTX511</t>
  </si>
  <si>
    <t xml:space="preserve">BOQUILLAS LTX 511 </t>
  </si>
  <si>
    <t>GRACO-LTX515</t>
  </si>
  <si>
    <t xml:space="preserve">BOQUILLA LTX515 -                                                                                   </t>
  </si>
  <si>
    <t>GRACO-LTX517</t>
  </si>
  <si>
    <t>BOQUILLA LTX517 -</t>
  </si>
  <si>
    <t>GRACO-287020</t>
  </si>
  <si>
    <t xml:space="preserve"> EXTENCION DE 15 RAC X -</t>
  </si>
  <si>
    <t>GRACO-287022</t>
  </si>
  <si>
    <t>EXTENCION DE 30 RAC X -</t>
  </si>
  <si>
    <t>GRACO-288431</t>
  </si>
  <si>
    <t>PISTOLA FTX RAC 5 -</t>
  </si>
  <si>
    <t>GRACO-288420</t>
  </si>
  <si>
    <t>PISTOLA CONTRACTOR RAC X -</t>
  </si>
  <si>
    <t>GRACO-288488</t>
  </si>
  <si>
    <t>KIT REPARACION DE  PISTOLA</t>
  </si>
  <si>
    <t>GRACO-287032</t>
  </si>
  <si>
    <t xml:space="preserve">FILTRO DE PISTOLA MALLA 60 </t>
  </si>
  <si>
    <t>GRACO-287033</t>
  </si>
  <si>
    <t xml:space="preserve">FILTRO DE PISTOLA MALLA 100 </t>
  </si>
  <si>
    <t>GRACO-246453</t>
  </si>
  <si>
    <t xml:space="preserve">RAC X ONESEALS (5 PACK) </t>
  </si>
  <si>
    <t>GRACO-240794</t>
  </si>
  <si>
    <t>MANGUERA BLUE MAX II 1/4" x 50' -</t>
  </si>
  <si>
    <t>GRACO-156823</t>
  </si>
  <si>
    <t xml:space="preserve">UNION PARA MANGUERA 1/4"X1/4" </t>
  </si>
  <si>
    <t>GRACO-157705</t>
  </si>
  <si>
    <t>GRACO-206995</t>
  </si>
  <si>
    <t>LIQUIDO SELLADOR TSL 1/4' -</t>
  </si>
  <si>
    <t>GRACO-206994</t>
  </si>
  <si>
    <t>DISTRIBUIDOR:</t>
  </si>
  <si>
    <t>FECHA:</t>
  </si>
  <si>
    <t>ITEM</t>
  </si>
  <si>
    <t>CODIGO</t>
  </si>
  <si>
    <t>DESCRIPCIÓN</t>
  </si>
  <si>
    <t>COSTO UNITARIO</t>
  </si>
  <si>
    <t>IMPORTE</t>
  </si>
  <si>
    <t xml:space="preserve"> SOLICITUD DE PEDIDO SHERWIN WILLIAMS</t>
  </si>
  <si>
    <t>CANTIDAD</t>
  </si>
  <si>
    <t>REALIZADO POR:</t>
  </si>
  <si>
    <t>SUB-TOTAL =</t>
  </si>
  <si>
    <t>IVA =</t>
  </si>
  <si>
    <t>TOTAL =</t>
  </si>
  <si>
    <t>K53ASA5-5</t>
  </si>
  <si>
    <t>B5ASA56-1</t>
  </si>
  <si>
    <t>EXCELLO LATEX MATE BRUMA DE BOSQUE</t>
  </si>
  <si>
    <t>B5YSA81-1</t>
  </si>
  <si>
    <t>EXCELLO LATEX MATE SOLEADO</t>
  </si>
  <si>
    <t>B5YSA82-1</t>
  </si>
  <si>
    <t>EXCELLO LATEX MATE COLMENA</t>
  </si>
  <si>
    <t>B5RSA80-1</t>
  </si>
  <si>
    <t>EXCELLO LATEX MATE CORAL SUAVE</t>
  </si>
  <si>
    <t>B5ASA57-1</t>
  </si>
  <si>
    <t>EXCELLO LATEX MATE GRIS ACERO</t>
  </si>
  <si>
    <t>B5RSA81-1</t>
  </si>
  <si>
    <t>EXCELLO LATEX MATE ROJO HABANERO</t>
  </si>
  <si>
    <t>B5GSA81-1</t>
  </si>
  <si>
    <t>EXCELLO LATEX MATE VERDE OLIVO</t>
  </si>
  <si>
    <t>B5ASA58-1</t>
  </si>
  <si>
    <t>EXCELLO LATEX MATE PLATA</t>
  </si>
  <si>
    <t>B5NSA73-1</t>
  </si>
  <si>
    <t>B5NSA74-1</t>
  </si>
  <si>
    <t>B5RSA82-1</t>
  </si>
  <si>
    <t>EXCELLO LATEX MATE ROSA PASTEL</t>
  </si>
  <si>
    <t>B5LSA64-1</t>
  </si>
  <si>
    <t>EXCELLO LATEX MATE AZUL ZAFIRO</t>
  </si>
  <si>
    <t>B5PSA14-1</t>
  </si>
  <si>
    <t>EXCELLO LATEX MATE CIELO DULCE</t>
  </si>
  <si>
    <t>B5ASA56-5</t>
  </si>
  <si>
    <t>B5YSA81-5</t>
  </si>
  <si>
    <t>B5YSA82-5</t>
  </si>
  <si>
    <t>B5RSA80-5</t>
  </si>
  <si>
    <t>B5ASA57-5</t>
  </si>
  <si>
    <t>B5RSA81-5</t>
  </si>
  <si>
    <t>B5GSA81-5</t>
  </si>
  <si>
    <t>B5ASA58-5</t>
  </si>
  <si>
    <t>B5NSA73-5</t>
  </si>
  <si>
    <t>B5NSA74-5</t>
  </si>
  <si>
    <t>B5RSA82-5</t>
  </si>
  <si>
    <t>B5LSA64-5</t>
  </si>
  <si>
    <t>B5PSA14-5</t>
  </si>
  <si>
    <t>A5PLL25-1/4</t>
  </si>
  <si>
    <t>EXCELLO PILAS SATINADO AZUL CIELO</t>
  </si>
  <si>
    <t>A5PLLSA11-1/4</t>
  </si>
  <si>
    <t>EXCELLO PILAS SATINADO AZUL INTENSO</t>
  </si>
  <si>
    <t>A5PLW41-1/4</t>
  </si>
  <si>
    <t>EXCELLO PILAS SATINADO BLANCO</t>
  </si>
  <si>
    <t>B79RSA34-1</t>
  </si>
  <si>
    <t>B79PSA4-1</t>
  </si>
  <si>
    <t>B79ASA20-1</t>
  </si>
  <si>
    <t>B79GSA36-1</t>
  </si>
  <si>
    <t>B79LSA30-1</t>
  </si>
  <si>
    <t>B79LSA31-1</t>
  </si>
  <si>
    <t>B79GSA37-1</t>
  </si>
  <si>
    <t>B79NSA28-1</t>
  </si>
  <si>
    <t>B79ASA19-1</t>
  </si>
  <si>
    <t>B79RSA34-5</t>
  </si>
  <si>
    <t>B79PSA4-5</t>
  </si>
  <si>
    <t>B79ASA20-5</t>
  </si>
  <si>
    <t>B79GSA36-5</t>
  </si>
  <si>
    <t>B79LSA30-5</t>
  </si>
  <si>
    <t>B79LSA31-5</t>
  </si>
  <si>
    <t>B79GSA37-5</t>
  </si>
  <si>
    <t>B79NSA28-5</t>
  </si>
  <si>
    <t>B79ASA19-5</t>
  </si>
  <si>
    <t>K53ESA10-1</t>
  </si>
  <si>
    <t>K53ESA9-1</t>
  </si>
  <si>
    <t>K53NSA9-1</t>
  </si>
  <si>
    <t>K53RSA18-1</t>
  </si>
  <si>
    <t>K53RSA17-1</t>
  </si>
  <si>
    <t>K53NSA8-1</t>
  </si>
  <si>
    <t>K53RSA20-1</t>
  </si>
  <si>
    <t>K53RSA19-1</t>
  </si>
  <si>
    <t>K53PSA3-1</t>
  </si>
  <si>
    <t>K53YSA18-1</t>
  </si>
  <si>
    <t>K53YSA17-1</t>
  </si>
  <si>
    <t>K53LSA18-1</t>
  </si>
  <si>
    <t>K53GSA21-1</t>
  </si>
  <si>
    <t>K53GSA22-1</t>
  </si>
  <si>
    <t>K53ASA5-1</t>
  </si>
  <si>
    <t>K53NSA10-1</t>
  </si>
  <si>
    <t>K53ASA6-1</t>
  </si>
  <si>
    <t>K53ESA10-5</t>
  </si>
  <si>
    <t>K53ESA9-5</t>
  </si>
  <si>
    <t>K53NSA9-5</t>
  </si>
  <si>
    <t>K53RSA18-5</t>
  </si>
  <si>
    <t>K53RSA17-5</t>
  </si>
  <si>
    <t>K53NSA8-5</t>
  </si>
  <si>
    <t>K53RSA20-5</t>
  </si>
  <si>
    <t>K53RSA19-5</t>
  </si>
  <si>
    <t>K53PSA3-5</t>
  </si>
  <si>
    <t>K53YSA18-5</t>
  </si>
  <si>
    <t>K53YSA17-5</t>
  </si>
  <si>
    <t>K53LSA18-5</t>
  </si>
  <si>
    <t>K53GSA21-5</t>
  </si>
  <si>
    <t>K53GSA22-5</t>
  </si>
  <si>
    <t>K53NSA10-5</t>
  </si>
  <si>
    <t>K53ASA6-5</t>
  </si>
  <si>
    <t>Y24BSA1-1/4</t>
  </si>
  <si>
    <t>Y24RSA1-1/4</t>
  </si>
  <si>
    <t>Y24ASA1-1/4</t>
  </si>
  <si>
    <t>Y24WSA1-1/4</t>
  </si>
  <si>
    <t>E61GSA1-1/4</t>
  </si>
  <si>
    <t>E61RSA4-1/4</t>
  </si>
  <si>
    <t>E61ASA6-1/4</t>
  </si>
  <si>
    <t>E61WSA1-1/4</t>
  </si>
  <si>
    <t>E61BSA1-1/4</t>
  </si>
  <si>
    <t>B65WSA51-1</t>
  </si>
  <si>
    <t>B65TSA54-1</t>
  </si>
  <si>
    <t>F65WSA8-1/4</t>
  </si>
  <si>
    <t>B4LSA15-1/4</t>
  </si>
  <si>
    <t>B4LSA13-1/4</t>
  </si>
  <si>
    <t>B4LSA11-1/4</t>
  </si>
  <si>
    <t>B4ASA1-1/4</t>
  </si>
  <si>
    <t>B4ASA1-1</t>
  </si>
  <si>
    <t>B4LSA11-1</t>
  </si>
  <si>
    <t>B4LSA13-1</t>
  </si>
  <si>
    <t>B4LSA15-1</t>
  </si>
  <si>
    <t>B82PSA3-1/4</t>
  </si>
  <si>
    <t>B82ESA10-1/4</t>
  </si>
  <si>
    <t>B82ESA10-1</t>
  </si>
  <si>
    <t>B82PSA3-1</t>
  </si>
  <si>
    <t>K58ESA1-1/4</t>
  </si>
  <si>
    <t>K58LSA11-1/4</t>
  </si>
  <si>
    <t>K58ASA6-1/4</t>
  </si>
  <si>
    <t>K58RSA13-1/4</t>
  </si>
  <si>
    <t>K58ASA6-1</t>
  </si>
  <si>
    <t>K58ESA1-1</t>
  </si>
  <si>
    <t>K58LSA11-1</t>
  </si>
  <si>
    <t>K58RSA13-1</t>
  </si>
  <si>
    <t>HEAT FLEX 1200 PLUS GRAY PART A</t>
  </si>
  <si>
    <t>B59V1200-20NZ</t>
  </si>
  <si>
    <t>HEAT FLEX 1200 PLUS HARDENER PART B</t>
  </si>
  <si>
    <t xml:space="preserve">GP5310C03-50LB </t>
  </si>
  <si>
    <t>GP5310 DRY SILICA SAND 80-120</t>
  </si>
  <si>
    <t xml:space="preserve">GP5310C07-50LB </t>
  </si>
  <si>
    <t>GP5310 DRY SILICA SAND 40-60</t>
  </si>
  <si>
    <t>B70T8104-1</t>
  </si>
  <si>
    <t>ARMORSEAL FLOOR-PLEX 8100 WB EPOXY - GLOSS ULTRA DEEP, PARTE A</t>
  </si>
  <si>
    <t>L61NSA9-1</t>
  </si>
  <si>
    <t>L61LSA8-1</t>
  </si>
  <si>
    <t>L61SSA3-1</t>
  </si>
  <si>
    <t>L61RSA6-1</t>
  </si>
  <si>
    <t>L61RSA5-1</t>
  </si>
  <si>
    <t>L61ESA5-1/4</t>
  </si>
  <si>
    <t>L61LSA9-1/4</t>
  </si>
  <si>
    <t>L61SSA1-1/4</t>
  </si>
  <si>
    <t>L61SSA2-1/4</t>
  </si>
  <si>
    <t>P65BSA7-1/4</t>
  </si>
  <si>
    <t>P65BSA7-1</t>
  </si>
  <si>
    <t>P65RSA4-1</t>
  </si>
  <si>
    <t>F63CSA7-1</t>
  </si>
  <si>
    <t>ACABADO POLIURETANO 2K AS BRILLANTE MADERA</t>
  </si>
  <si>
    <t>F63CSA7-1/4</t>
  </si>
  <si>
    <t>F63FSA11-1</t>
  </si>
  <si>
    <t>ACABADO POLIURETANO 2K AS SATINADO MADERA</t>
  </si>
  <si>
    <t>F63FSA11-1/4</t>
  </si>
  <si>
    <t>F63FSA12-1</t>
  </si>
  <si>
    <t>ACABADO POLIURETANO 2K AS MATE MADERA</t>
  </si>
  <si>
    <t>F63FSA12-1/4</t>
  </si>
  <si>
    <t>EB25287-1/4</t>
  </si>
  <si>
    <r>
      <t xml:space="preserve">OPEX "DUAL" LACQUER THINNER  </t>
    </r>
    <r>
      <rPr>
        <b/>
        <sz val="11"/>
        <rFont val="Calibri"/>
        <family val="2"/>
      </rPr>
      <t>(ACRILICO)</t>
    </r>
  </si>
  <si>
    <t>ULTRA CLEAN  FAST SURFACER  (DESENGRASANTE AUTOMOTRIZ)</t>
  </si>
  <si>
    <t>HANDPAD03</t>
  </si>
  <si>
    <t>HANDPAD04</t>
  </si>
  <si>
    <t>CD90010</t>
  </si>
  <si>
    <t>CINTA DUCTO 48MMX10M</t>
  </si>
  <si>
    <t>CD90027</t>
  </si>
  <si>
    <t>CINTA DUCTO 48MMX27.4M</t>
  </si>
  <si>
    <t>REF7852</t>
  </si>
  <si>
    <t>CINTA REFLECTIVA 50MMX45.7M</t>
  </si>
  <si>
    <t>AR895-12</t>
  </si>
  <si>
    <t xml:space="preserve">EMBLEMSTIK 895 </t>
  </si>
  <si>
    <t>AR895-22</t>
  </si>
  <si>
    <t>AR500</t>
  </si>
  <si>
    <t>PLASTICO PINTABLE 500 4.88X106M</t>
  </si>
  <si>
    <t>AR840-152</t>
  </si>
  <si>
    <t>PAPEL P/ ENMASCARAR 152MMX230M, NUEVO</t>
  </si>
  <si>
    <t>AR840-457</t>
  </si>
  <si>
    <t>PAPEL P/ ENMASCARAR 457MMX230M, NUEVO</t>
  </si>
  <si>
    <t>CV21X27</t>
  </si>
  <si>
    <t>COVERSTIK 550MMX25M, NUEVO</t>
  </si>
  <si>
    <t>CV55X27</t>
  </si>
  <si>
    <t>COVERSTIK 1400MMX25M,NUEVO</t>
  </si>
  <si>
    <r>
      <t xml:space="preserve">SET DE BOQUILLA 1.3 PISTOLA ASTRO EURO  </t>
    </r>
    <r>
      <rPr>
        <b/>
        <sz val="11"/>
        <rFont val="Calibri"/>
        <family val="2"/>
      </rPr>
      <t>(Pedido Especial)</t>
    </r>
  </si>
  <si>
    <r>
      <t xml:space="preserve">SET DE BOQUILLA 1.5 P/PISTOLA ASTRO EURO  </t>
    </r>
    <r>
      <rPr>
        <b/>
        <sz val="11"/>
        <rFont val="Calibri"/>
        <family val="2"/>
      </rPr>
      <t>(Pedido Especial)</t>
    </r>
  </si>
  <si>
    <r>
      <t xml:space="preserve">SET DE BOQUILLA 1.9 PISTOLA ASTRO EURO </t>
    </r>
    <r>
      <rPr>
        <b/>
        <sz val="11"/>
        <rFont val="Calibri"/>
        <family val="2"/>
      </rPr>
      <t xml:space="preserve"> (Pedido Especial)</t>
    </r>
  </si>
  <si>
    <r>
      <t xml:space="preserve">MARCADOR AUTOMOTRIZ AMARILLO  </t>
    </r>
    <r>
      <rPr>
        <b/>
        <sz val="11"/>
        <rFont val="Calibri"/>
        <family val="2"/>
      </rPr>
      <t>(Pedido Especial)</t>
    </r>
  </si>
  <si>
    <r>
      <t>RESINA DE POLIESTER CON CATALIZADOR (GALON)</t>
    </r>
    <r>
      <rPr>
        <b/>
        <sz val="11"/>
        <rFont val="Calibri"/>
        <family val="2"/>
      </rPr>
      <t xml:space="preserve">  (Pedido Especial)</t>
    </r>
  </si>
  <si>
    <t>286FINA</t>
  </si>
  <si>
    <t>286 SOFTMASTER ESPONJA LIJADO FINA 114mmx139mm</t>
  </si>
  <si>
    <t>286SUPERFINA</t>
  </si>
  <si>
    <t>286 SOFTMASTER ESPONJA LIJADO SUPER FINA 114mmx139mm</t>
  </si>
  <si>
    <t>APPS01</t>
  </si>
  <si>
    <t>ADAPTADOR DE PPS PARA PSH6125 PARA PISTOLA SATA</t>
  </si>
  <si>
    <t>APPS05</t>
  </si>
  <si>
    <t>ADAPTADOR DE PPS PARA PSH6125 PARA PISTOLA ASTRO/WARWIK</t>
  </si>
  <si>
    <t>APPS12</t>
  </si>
  <si>
    <t>ADAPTADOR DE PPS PARA PSH6125 PARA PISTOLA SAGOLA</t>
  </si>
  <si>
    <t>PHS6125</t>
  </si>
  <si>
    <t>GRACO-288749</t>
  </si>
  <si>
    <t>GRACO-FFLP312</t>
  </si>
  <si>
    <t>GRACO-LP515</t>
  </si>
  <si>
    <t>INVERSIONES TECNO BAHIA</t>
  </si>
  <si>
    <t>MARIA JOSE OSEGUEDA</t>
  </si>
  <si>
    <t>PAD SIN IVA ABRIL 2026</t>
  </si>
  <si>
    <t>PAD CON IVA  ABRIL 2026</t>
  </si>
  <si>
    <t>PSM SIN IVA ABRIL 2026</t>
  </si>
  <si>
    <t>PSM CON IVA ABRIL 2026</t>
  </si>
  <si>
    <t>LOXON XP MATE ULTRA BLANCO</t>
  </si>
  <si>
    <t>COLORACCENTS ALKYD INTERIOR SEMI BRILLANTE BASE ULTRADEEP</t>
  </si>
  <si>
    <t>A86WSA51-1/4</t>
  </si>
  <si>
    <t>A86WSA53-1/4</t>
  </si>
  <si>
    <t>A86TSA54-1/4</t>
  </si>
  <si>
    <t>A87WSA1-1</t>
  </si>
  <si>
    <t>SUPERPAINT INTERIOR LATEX SATINADO BLANCO</t>
  </si>
  <si>
    <t>A87TSA54-1</t>
  </si>
  <si>
    <t>SUPERPAINT INTERIOR LATEX SATINADO ULTRA DEEP</t>
  </si>
  <si>
    <t>A87WSA51-1</t>
  </si>
  <si>
    <t>SUPERPAINT INTERIOR LATEX SATINADO EXTRA WHITE</t>
  </si>
  <si>
    <t>A87WSA53-1</t>
  </si>
  <si>
    <t>SUPERPAINT INTERIOR LATEX SATINADO DEEP</t>
  </si>
  <si>
    <t>A87WSA1-5</t>
  </si>
  <si>
    <t>A87TSA54-5</t>
  </si>
  <si>
    <t>A87WSA51-5</t>
  </si>
  <si>
    <t>A87WSA53-5</t>
  </si>
  <si>
    <t>A80WSA1-1/4</t>
  </si>
  <si>
    <t>A80WSA51-1/4</t>
  </si>
  <si>
    <t>A80WSA53-1/4</t>
  </si>
  <si>
    <t>A80TSA54-1/4</t>
  </si>
  <si>
    <t>SUPERPAINT EXTERIOR MATE BASE ULTRA DEEP</t>
  </si>
  <si>
    <t>A89WSA51-1/4</t>
  </si>
  <si>
    <t>SUPERPAINT EXTERIOR SATINADO BASE EXTRA WHITE</t>
  </si>
  <si>
    <t>A89WSA53-1/4</t>
  </si>
  <si>
    <t>A89TSA54-1/4</t>
  </si>
  <si>
    <t>SHERTECH 6000 LATEX ULTRA MATE BLANCO</t>
  </si>
  <si>
    <t>SHERTECH 6000 LATEX ULTRA MATE BASE EXTRA WHITE</t>
  </si>
  <si>
    <t>SHERTECH 6000 LATEX ULTRA MATE BASE DEEP</t>
  </si>
  <si>
    <t>SHERTECH 6000 LATEX ULTRA MATE BASE ULTRA DEEP</t>
  </si>
  <si>
    <t>SHERTECH 4000 LATEX ULTRA MATE BLANCO</t>
  </si>
  <si>
    <t>SHERTECH 4000 LATEX ULTRA MATE BASE EXTRA WHITE</t>
  </si>
  <si>
    <t>SHERTECH 4000 LATEX ULTRA MATE BASE DEEP</t>
  </si>
  <si>
    <t>SHERTECH 4000 LATEX ULTRA MATE BASE ULTRA DEEP</t>
  </si>
  <si>
    <t>EXCELLO LATEX MATE BLANCO HUESO</t>
  </si>
  <si>
    <t>EXCELLO LATEX MATE MELOCOTÓN</t>
  </si>
  <si>
    <t>EXCELLO LATEX MATE VERDE CARYMAR</t>
  </si>
  <si>
    <t xml:space="preserve">EXCELLO LATEX MATE BLANCO PORCELANA </t>
  </si>
  <si>
    <t>EXCELLO LATEX MATE CRISANTEMO</t>
  </si>
  <si>
    <t>EXCELLO LATEX MATE MOCA FRIO</t>
  </si>
  <si>
    <t>EXCELLO LATEX MATE MARRON</t>
  </si>
  <si>
    <t>EXCELLO STYLE PERFECT LATEX MATE BASE EXTRA WHITE</t>
  </si>
  <si>
    <t>EXCELLO STYLE PERFECT LATEX MATE BASE DEEP</t>
  </si>
  <si>
    <t>EXCELLO STYLE PERFECT LATEX MATE BASE LUMINIOUS WHITE</t>
  </si>
  <si>
    <t>EXCELLO STYLE PERFECT LATEX EG-SHEL BASE EXTRA WHITE</t>
  </si>
  <si>
    <t>EXCELLO STYLE PERFECT LATEX EG-SHEL BASE DEEP</t>
  </si>
  <si>
    <t>EXCELLO STYLE PERFECT LATEX SEMI BRILL BASE EXTRA WHITE</t>
  </si>
  <si>
    <t>EXCELLO STYLE PERFECT LATEX SEMI BRILLANTE BASE DEEP</t>
  </si>
  <si>
    <t>EXCELLO WEATHER PERFECT LATEX MATE BASE EXTRA WHITE</t>
  </si>
  <si>
    <t>EXCELLO WEATHER PERFECT LATEX MATE BASE DEEP</t>
  </si>
  <si>
    <t>EXCELLO WEATHER PERFECT LATEX MATE BASE ULTRA DEEP</t>
  </si>
  <si>
    <t>EXCELLO WEATHER PERFECT LATEX MATE BASE LIGHT YELLOW</t>
  </si>
  <si>
    <t>EXCELLO WEATHER PERFECT LATEX MATE BLANCO</t>
  </si>
  <si>
    <t>EXCELLO WEATHER PERFECT LATEX SATINADO BASE EXTRA WHITE</t>
  </si>
  <si>
    <t>EXCELLO WEATHER PERFECT LATEX SATINADO BASE DEEP</t>
  </si>
  <si>
    <t>EXCELLO WEATHER PERFECT LATEX SATINADO BASE ULTRADEEP</t>
  </si>
  <si>
    <t>EXCELLO WEATHER PERFECT LATEX SATINADO BASE LIGHT YELLOW</t>
  </si>
  <si>
    <t>EXCELLO WEATHER PERFECT LATEX SEMI BRILLANTE BASE ULTRADEEP</t>
  </si>
  <si>
    <t>EXCELLO WEATHER PERFECT LATEX SEMI BRILLANT BASE EXTRA WHITE</t>
  </si>
  <si>
    <t>EXCELLO WEATHER PERFECT LATEX SEMI BRILLANTE BASE DEEP</t>
  </si>
  <si>
    <t>EXCELLO WEATHER PERFECT LATEX SEMI BRILLAN BASE LIGHT YELLOW</t>
  </si>
  <si>
    <t>EXCELLO LATEX LIBRE DE OLOR MATE BLANCO</t>
  </si>
  <si>
    <t>EXCELLO LATEX LIBRE DE OLOR MATE BASE ULTRA DEEP</t>
  </si>
  <si>
    <t>EXCELLO LATEX CLIMA EXTREMO MATE BASE EXTRA WHITE</t>
  </si>
  <si>
    <t>EXCELLO LATEX CLIMA EXTREMO MATE BLANCO</t>
  </si>
  <si>
    <t>EXCELLO LATEX CLIMA EXTREMO MATE BLANCO HUESO</t>
  </si>
  <si>
    <t>EXCELLO LATEX CLIMA EXTREMO MATE BASE DEEP</t>
  </si>
  <si>
    <t>EXCELLO LATEX CLIMA EXTREMO MATE BASE ULTRA DEEP</t>
  </si>
  <si>
    <t>EXCELLO FLEXIBLE MATE BASE ULTRADEEP</t>
  </si>
  <si>
    <t>EXCELLO PISCINAS SATINADO AZUL CRISTAL</t>
  </si>
  <si>
    <t>A5W41-1/4</t>
  </si>
  <si>
    <t>EXCELLO PISCINAS SATINADO BLANCO</t>
  </si>
  <si>
    <t>EXCELLO PISCINAS SATINADO VERDE MAR</t>
  </si>
  <si>
    <t>EXCELLO CANCHAS DEPORTIVAS MATE AZUL OSCURO SW 2419</t>
  </si>
  <si>
    <t>BLEND A COLOR COLORANT NEW GREEN</t>
  </si>
  <si>
    <t>BLEND A COLOR COLORANT BLUE</t>
  </si>
  <si>
    <t>BLEND A COLOR COLORANT MAGENTA</t>
  </si>
  <si>
    <t>BLEND A COLOR COLORANT RAW UMBER</t>
  </si>
  <si>
    <t>BLEND A COLOR COLORANT NEW RED</t>
  </si>
  <si>
    <t>BLEND A COLOR COLORANT RED OXIDE</t>
  </si>
  <si>
    <t>BLEND A COLOR COLORANT YELLOW</t>
  </si>
  <si>
    <t>BLEND A COLOR COLORANT YELLOW OXIDE</t>
  </si>
  <si>
    <t>BLEND A COLOR COLORANT WHITE</t>
  </si>
  <si>
    <t>A60B1-1/4</t>
  </si>
  <si>
    <t>BLEND A COLOR COLORANT BLACK</t>
  </si>
  <si>
    <t>COLONIAL STYLE LATEX MATE GARDENIA</t>
  </si>
  <si>
    <t>COLONIAL STYLE LATEX MATE SUSPIRO VIOLETA</t>
  </si>
  <si>
    <t>COLONIAL STYLE LATEX MATE ESCARCHA PLATEADA</t>
  </si>
  <si>
    <t>COLONIAL STYLE LATEX MATE MELON VERDE</t>
  </si>
  <si>
    <t>COLONIAL STYLE LATEX MATE PRINCIPE AZUL</t>
  </si>
  <si>
    <t>COLONIAL STYLE LATEX MATE SUSPIRO BABY BLUE</t>
  </si>
  <si>
    <t>COLONIAL STYLE LATEX MATE ALBAHACA</t>
  </si>
  <si>
    <t>COLONIAL STYLE LATEX MATE CARAMELO</t>
  </si>
  <si>
    <t>COLONIAL STYLE LATEX MATE TORMENTA</t>
  </si>
  <si>
    <t>PENINSULAR LATEX MATE ZUMO DE NARANJA</t>
  </si>
  <si>
    <t>PENINSULAR LATEX MATE ATARDECER</t>
  </si>
  <si>
    <t>PENINSULAR LATEX MATE CORTEZA</t>
  </si>
  <si>
    <t>PENINSULAR LATEX MATE FRAMBUESA</t>
  </si>
  <si>
    <t>PENINSULAR LATEX MATE ROSA FLAMENCO</t>
  </si>
  <si>
    <t>PENINSULAR LATEX MATE CAFE OXIDO</t>
  </si>
  <si>
    <t>PENINSULAR LATEX MATE CARMESI</t>
  </si>
  <si>
    <t>PENINSULAR LATEX MATE ROJO ATREVIDO</t>
  </si>
  <si>
    <t>PENINSULAR LATEX MATE LILA</t>
  </si>
  <si>
    <t>PENINSULAR LATEX MATE AMARILLO FIESTA</t>
  </si>
  <si>
    <t>PENINSULAR LATEX MATE MIEL</t>
  </si>
  <si>
    <t>PENINSULAR LATEX MATE OLA DE MAR</t>
  </si>
  <si>
    <t>PENINSULAR LATEX MATE ESMERALDA</t>
  </si>
  <si>
    <t>PENINSULAR LATEX MATE TREBOL DE LA SUERTE</t>
  </si>
  <si>
    <t>PENINSULAR LATEX MATE GRIS CONCRETO</t>
  </si>
  <si>
    <t>PENINSULAR LATEX MATE CHAMPAN</t>
  </si>
  <si>
    <t>PENINSULAR LATEX MATE GRIS URBANO</t>
  </si>
  <si>
    <t>A5TSA854-1/4</t>
  </si>
  <si>
    <t>A5WSA853-1/4</t>
  </si>
  <si>
    <t>A5WSA851-1/4</t>
  </si>
  <si>
    <t>AQUALOCK6000 IMPERMEABILIZANTE AR MATE VERDE</t>
  </si>
  <si>
    <t>AQUALOCK6000 IMPERMEABILIZANTE AR MATE ROJO</t>
  </si>
  <si>
    <t>AQUALOCK6000 IMPERMEABILIZANTE AR MATE ROJO TEJA</t>
  </si>
  <si>
    <t>AQUALOCK6000 IMPERMEABILIZANTE AR MATE GRIS</t>
  </si>
  <si>
    <t>AQUALOCK6000 IMPERMEABILIZANTE AR MATE BLANCO</t>
  </si>
  <si>
    <t>AQUALOCK IMPERMEABILIZANT 4000 MATE VERDE</t>
  </si>
  <si>
    <t>AQUALOCK IMPERMEABILIZANT 4000 MATE ROJO</t>
  </si>
  <si>
    <t>AQUALOCK IMPERMEABILIZANT 4000 MATE BLANCO</t>
  </si>
  <si>
    <t>A5VSA2-BOT</t>
  </si>
  <si>
    <t>AQUALOCK SELLADOR DE GOTERAS GRIS</t>
  </si>
  <si>
    <t>BB SELLADOR MULTIFUNCIONAL  6000 MATE BLANCO</t>
  </si>
  <si>
    <t>BB SELLADOR CONCENTRADO MR MATE TRANSPARENTE</t>
  </si>
  <si>
    <t>BB SELLADOR P/SUPERF ALCALINAS MATE BLANCO</t>
  </si>
  <si>
    <t>BS ACOND SUPERF BASE AGUA MATE TRANSPARENTE</t>
  </si>
  <si>
    <t>BS REMOVEDOR INHIBIDOR DE HONGOS MATE TRANSPARENTE</t>
  </si>
  <si>
    <t>BS MASILLA P/ GRIETAS EXTERIOR/INTERIOR MATE BLANCO</t>
  </si>
  <si>
    <t>B23WSA1-1/4</t>
  </si>
  <si>
    <t xml:space="preserve">TEXTURA ACRÍLICA FINA WHITE </t>
  </si>
  <si>
    <t>SELLADOR POLIURETANO 8000 GRIS</t>
  </si>
  <si>
    <t>SELLADOR POLIURETANO 8000 BLANCO</t>
  </si>
  <si>
    <t>SELLADOR H20 GRIS</t>
  </si>
  <si>
    <t>SELLADOR H20 BLANCO</t>
  </si>
  <si>
    <t>SILICON COCINA Y BAÑOS BLANCO</t>
  </si>
  <si>
    <t>SILICON COCINA Y BAÑOS TRANSPARENTE</t>
  </si>
  <si>
    <t>SELLADOR DE SILICON 6000 TRANSPARENTE</t>
  </si>
  <si>
    <t>SELLADOR DE SILICON 6000 BLANCO</t>
  </si>
  <si>
    <t>SELLADOR DE SILICON 6000 NEGRO</t>
  </si>
  <si>
    <t>SELLADOR DE SILICON 4000 TRANSPARENTE</t>
  </si>
  <si>
    <t>SELLADOR DE SILICON 4000 BLANCO</t>
  </si>
  <si>
    <t>SELLADOR ACRÍLICO 6000 NEGRO</t>
  </si>
  <si>
    <t>SELLADOR ACRÍLICO 6000 BLANCO</t>
  </si>
  <si>
    <t>SELLADOR ACRÍLICO 4000 NEGRO</t>
  </si>
  <si>
    <t>SELLADOR ACRÍLICO 4000 BLANCO</t>
  </si>
  <si>
    <t>SELLADOR ACRÍLICO 2000 BLANCO</t>
  </si>
  <si>
    <t>ANTICORROSIVO EPOXICO KEM CATI COAT BRILLANTE VERDE PARTE A</t>
  </si>
  <si>
    <t>ANTICORROSIVO EPOXICO KEM CATI COAT BRILLANTE GRIS PARTE A</t>
  </si>
  <si>
    <t>ANTICORROSIVO EPOXICO KEM CATI COAT BRILLANTE ROJO PARTE A</t>
  </si>
  <si>
    <t xml:space="preserve">ANTICORROSIVO EPOXICO KEM CATI COAT BRILLANTE GRIS CLARO </t>
  </si>
  <si>
    <t>ESM IND EPOXICO KEM CATI COAT CATALIZADOR PARTE B</t>
  </si>
  <si>
    <t>ESM IND EPOXICO KEM CATI COAT FAST CURE CATALIZADOR PARTE B</t>
  </si>
  <si>
    <t>KEM ANTICORROSIVO UNIVERSAL HS ALQ MATE GRIS</t>
  </si>
  <si>
    <t>KEM ANTICORROSIVO UNIVERSAL HS ALQ MATE ROJO OXIDO</t>
  </si>
  <si>
    <t>KEM ANTICORROSIVO UNIVERSAL HS ALQ MATE BLANCO</t>
  </si>
  <si>
    <t>KEM ANTICOR ULTRA FAST DRY HS MATE NEGRO</t>
  </si>
  <si>
    <t>KEM ANTICOR ULTRA FAST DRY HS MATE ROJO</t>
  </si>
  <si>
    <t>KEM ANTICOR ULTRA FAST DRY HS MATE GRIS</t>
  </si>
  <si>
    <t>KEM ANTICOR ULTRA FAST DRY HS MATE BLANCO</t>
  </si>
  <si>
    <t>KEM ANTICOR ULTRA FAST DRY HS MATE VERDE</t>
  </si>
  <si>
    <t>KEM ANTICORROSIVO CROMATO DE ZINC ALQ MATE VERDE</t>
  </si>
  <si>
    <t>KEM ANTICORROSIVO CROMATO DE ZINC ALQ MATE AMARILLO</t>
  </si>
  <si>
    <t>KEM ANTICORROSIVO KROMIK METAL PRIMER ALK MATE MARRON</t>
  </si>
  <si>
    <t>W4KSA1-1</t>
  </si>
  <si>
    <t>BUILDERS BASE CONVERTIDOR DE OXIDO</t>
  </si>
  <si>
    <t>W4KSA1-BOT</t>
  </si>
  <si>
    <t>BB ANTICORROSIVO 6000 RUSTOP MATE CHROMATO VERDE</t>
  </si>
  <si>
    <t>BB ANTICORROSIVO 6000 RUSTOP MATE OXIDO ROJO</t>
  </si>
  <si>
    <t>BB ANTICORROSIVO 6000 RUSTOP MATE GRIS</t>
  </si>
  <si>
    <t>BB ANTICORROSIVO 6000 RUSTOP MATE BLANCO</t>
  </si>
  <si>
    <t>BB ANTICORROSIVO 4000 COLONIAL MATE BLANCO</t>
  </si>
  <si>
    <t>BB ANTICORROSIVO 4000 COLONIAL MATE GRIS</t>
  </si>
  <si>
    <t>BB ANTICORROSIVO 4000 COLONIAL MATE NEGRO</t>
  </si>
  <si>
    <t>BB ANTICORROSIVO 4000 COLONIAL MATE ROJO</t>
  </si>
  <si>
    <t xml:space="preserve">BB ANTICORROSIVO 4000 COLONIAL MATE VERDE </t>
  </si>
  <si>
    <t>BB ANTICORROSIVO 4000 COLONIAL MATE CAFE</t>
  </si>
  <si>
    <t>BB ANTICORROSIVO 4000 COLONIAL SATINADO BLANCO</t>
  </si>
  <si>
    <t>BB ANTICORROSIVO 4000 COLONIAL SATINADO GRIS</t>
  </si>
  <si>
    <t>BB ANTICORROSIVO 4000 COLONIAL SATINADO NEGRO</t>
  </si>
  <si>
    <t>BB ANTICORROSIVO 4000 COLONIAL SATINADO VERDE</t>
  </si>
  <si>
    <t>BB ANTICORROSIVO 4000 COLONIAL SATINADO ROJO</t>
  </si>
  <si>
    <t>BB ANTICORROSIVO 2000 ESTRUCTU BRILLANTE AZUL</t>
  </si>
  <si>
    <t>BB ANTICORROSIVO 2000 ESTRUCTU BRILLANTE AZUL BANDERA</t>
  </si>
  <si>
    <t>BB ANTICORROSIVO 2000 ESTRUCTU BRILLANTE BLANCO</t>
  </si>
  <si>
    <t>BB ANTICORROSIVO 2000 ESTRUCTU BRILLANTE GRIS</t>
  </si>
  <si>
    <t>BB ANTICORROSIVO 2000 ESTRUCTU BRILLANTE NEGRO</t>
  </si>
  <si>
    <t>BB ANTICORROSIVO 2000 ESTRUCTU BRILLANTE ROJO</t>
  </si>
  <si>
    <t>BB ANTICORROSIVO 2000 ESTRUCTU BRILLANTE ROJO TEJA</t>
  </si>
  <si>
    <t>BB ANTICORROSIVO 2000 ESTRUCTU BRILLANTE VERDE</t>
  </si>
  <si>
    <t>BB ANTICORROSIVO 2000 ESTRUCTU SATINADO AZUL</t>
  </si>
  <si>
    <t>BB ANTICORROSIVO 2000 ESTRUCTU SATINADO BLANCO</t>
  </si>
  <si>
    <t>BB ANTICORROSIVO 2000 ESTRUCTU SATINADO GRIS</t>
  </si>
  <si>
    <t>BB ANTICORROSIVO 2000 ESTRUCTU SATINADO NEGRO</t>
  </si>
  <si>
    <t>BB ANTICORROSIVO 2000 ESTRUCTU SATINADO ROJO</t>
  </si>
  <si>
    <t>BB ANTICORROSIVO 2000 ESTRUCTU SATINADO VERDE</t>
  </si>
  <si>
    <t>KEM DIRECT-TO-METAL BASE AGUA MATE VERDE OXIDO</t>
  </si>
  <si>
    <t>E62GSA3-1/4</t>
  </si>
  <si>
    <t xml:space="preserve">KEM DIRECT-TO-METAL BASE SOLVENTE MATE VERDE </t>
  </si>
  <si>
    <t>KEM DIRECT-TO-METAL BASE SOLVENTE MATE AZUL</t>
  </si>
  <si>
    <t>E62ASA11-5</t>
  </si>
  <si>
    <t>KEM DIRECT-TO-METAL BASE SOLVENTE MATE GRIS MEDIANO</t>
  </si>
  <si>
    <t>E62WSA11-5</t>
  </si>
  <si>
    <t>KEM DIRECT-TO-METAL BASE SOLVENTE MATE BLANCO ESPECIAL</t>
  </si>
  <si>
    <t xml:space="preserve">KEM DIRECT-TO-METAL BASE SOLVENTE BRILLANTE VERDE </t>
  </si>
  <si>
    <t>E67WSA2-1/4</t>
  </si>
  <si>
    <t>E67ASA3-1/4</t>
  </si>
  <si>
    <t>KEM DIRECT-TO-METAL BASE SOLVENTE BTE. NEGRO CARBON</t>
  </si>
  <si>
    <t>KEM DIRECT-TO-METAL BASE SOLVENTE BRILLANTE VERDE OLIVO</t>
  </si>
  <si>
    <t>KEM DIRECT-TO-METAL BASE SOLVENTE BTE. AZUL SEGURIDAD</t>
  </si>
  <si>
    <t>KEM DIRECT-TO-METAL BASE SOLVENTE BTE ROJO BERMELLON</t>
  </si>
  <si>
    <t>KEM DIRECT-TO-METAL BASE SOLV BTE AMARILLO CATERPILLAR</t>
  </si>
  <si>
    <t>KEM GALVITE BASE SOLVENTE ALQ SATINADO BLANCO PORCELANA</t>
  </si>
  <si>
    <t>KEM GALVITE BASE SOLVENTE ALQ SATINADO VERDE</t>
  </si>
  <si>
    <t>KEM GALVITE BASE SOLVENTE ALQ SATINADO AZUL</t>
  </si>
  <si>
    <t>KEM GALVITE BASE SOLVENTE ALQ SATINADO ROJO</t>
  </si>
  <si>
    <t>KEM GALVITE BASE AGUA ACRIL BRILLANTE VERDE</t>
  </si>
  <si>
    <t>KEM GALVITE BASE AGUA ACRIL BRILLANTE ROJO OXIDO</t>
  </si>
  <si>
    <t>KEM GALVITE BASE AGUA ACRIL BRILLANTE BLANCO</t>
  </si>
  <si>
    <t>KEM GALVANIZADO BASE AGUA MATE GRIS SCREEN</t>
  </si>
  <si>
    <t xml:space="preserve">ESMALTE IND POLIURETANO BRILLANTE GRIS MEDIANO </t>
  </si>
  <si>
    <t>ESMALTE IND POLIURETANO BRILLANTE NARANJA INT</t>
  </si>
  <si>
    <t xml:space="preserve">ESMALTE IND POLIURETANO BRILLANTE VERDE JOHN DEERE </t>
  </si>
  <si>
    <t xml:space="preserve">ESMALTE IND POLIURETANO BRILLANTE AZUL MARINO </t>
  </si>
  <si>
    <t xml:space="preserve">ESMALTE IND POLIURETANO BRILLANTE ROJO BERMELLON </t>
  </si>
  <si>
    <t>ESMALTE IND POLIURETANO BRILLANTE BLANCO PARTE A</t>
  </si>
  <si>
    <t xml:space="preserve">ESMALTE IND POLIURETANO BRILLANTE AMARILLO CATERP </t>
  </si>
  <si>
    <t xml:space="preserve">ESMALTE IND POLIURETANO BRILLANTE NEGRO </t>
  </si>
  <si>
    <t xml:space="preserve">ESMALTE IND POLIURETANO BRILLANTE VERDE </t>
  </si>
  <si>
    <t xml:space="preserve">ESMALTE IND POLIURETANO BRILLANTE AMARILLO SEG </t>
  </si>
  <si>
    <t xml:space="preserve">ESMALTE IND POLIURETANO BRILLANTE AZUL SEG </t>
  </si>
  <si>
    <t>ESMALTE IND POLIURETANO BRILLANTE ALUMINIO METALICO</t>
  </si>
  <si>
    <t>ESMALTE IND POLIURETANO BRILLANTE GRIS ANSI #70</t>
  </si>
  <si>
    <t xml:space="preserve">ESMALTE IND POLIURETANO BRILLANTE VERDE SEG </t>
  </si>
  <si>
    <t>ESMALTE IND POLIURETANO BRILLANTE ROJO SEGURIDAD</t>
  </si>
  <si>
    <t>ESMALTE IND POLIURETANO PARTE B</t>
  </si>
  <si>
    <t>ESMALTE IND POLIURETANO BRILLANTE BASE EW PARTE A</t>
  </si>
  <si>
    <t>ESMALTE IND POLIURETANO BRILLANTE BASE ULTRA DEEP P-A</t>
  </si>
  <si>
    <t>B65TSA54-4</t>
  </si>
  <si>
    <t>B65WSA51-4</t>
  </si>
  <si>
    <t xml:space="preserve">ESMALTE EPOXICO KEM CATI COAT BRILLANTE GRIS RAL 7000 </t>
  </si>
  <si>
    <t>ESMALTE EPOXICO KEM CATI COAT BRILLANTE AZUL PARTE A</t>
  </si>
  <si>
    <t>ESMALTE EPOXICO KEM CATI COAT BRILLANTE ROJO SEGURIDAD</t>
  </si>
  <si>
    <t>ESMALTE EPOXICO KEM CATI COAT BRILLANTE AMARILLO SEG PARTE A</t>
  </si>
  <si>
    <t>ESM IND EPOXICO KEM CATI COAT BRILLANTE CLEAR PART A</t>
  </si>
  <si>
    <t>CONVERTIDOR A POLIURETANO INDUSTRIAL</t>
  </si>
  <si>
    <t>F85BSA1-1/4</t>
  </si>
  <si>
    <t>KEM ESM IND ULTRA FAST DRY BS ALQ BRILLANTE NEGRO</t>
  </si>
  <si>
    <t>F85GSA1-1/4</t>
  </si>
  <si>
    <t>KEM ESM IND ULTRA FAST DRY BS ALQ BRILLANTE VERDE SEGURIDAD</t>
  </si>
  <si>
    <t>F85GSA2-1/4</t>
  </si>
  <si>
    <t>KEM ESM IND ULTRA FAST DRY BS ALQ BRILLANT VERDE AGRICOLA JD</t>
  </si>
  <si>
    <t>F85LSA1-1/4</t>
  </si>
  <si>
    <t>KEM ESM IND ULTRA FAST DRY BS ALQ BRILLANTE AZUL SEGURIDAD</t>
  </si>
  <si>
    <t>F85WSA1-1/4</t>
  </si>
  <si>
    <t>KEM ESM IND ULTRA FAST DRY BS ALQ BRILLANTE BLANCO</t>
  </si>
  <si>
    <t>F85YSA2-1/4</t>
  </si>
  <si>
    <t>KEM ESM IND ULTRA FAST DRY BS ALQ BRILL AMARILLO CATERPILLAR</t>
  </si>
  <si>
    <t>F85YSA1-1/4</t>
  </si>
  <si>
    <t>KEM ESM IND ULTRA FAST DRY BS ALQ BRILLANTE AMARILLO SEGURID</t>
  </si>
  <si>
    <t>F85LSA5-1/4</t>
  </si>
  <si>
    <t>KEM ESM IND ULTRA FAST DRY BS ALQ BRILLANTE AZUL MARINO</t>
  </si>
  <si>
    <t>F85RSA1-1/4</t>
  </si>
  <si>
    <t>KEM ESM IND ULTRA FAST DRY BS ALQ BRILLANTE ROJO SEGURIDAD</t>
  </si>
  <si>
    <t>KEM ESM IND ULTRA FAST DRY BS ALQ BRILLANTE GRIS</t>
  </si>
  <si>
    <t>KEM ESM IND ULTRA FAST DRY BS ALQ BTE AZUL MARINO</t>
  </si>
  <si>
    <t>KEM ESM IND ULTRA FAST DRY BS ALQ BRILLANTE ALUMINIO</t>
  </si>
  <si>
    <t>KEM ESM IND FASTER DRY BA SOLV ALQ BRILLANTE AZUL SEGURIDAD</t>
  </si>
  <si>
    <t>KEM ESMALTE IND FAST DRY ENTINTABLE BTE BASE EW</t>
  </si>
  <si>
    <t>KEM ESMALTE IND FAST DRY ENTINTABLE BTE BASE DEEP</t>
  </si>
  <si>
    <t>KEM ESMALTE IND FAST DRY ENTINTABLE BTE BASE ULTRA DEEP</t>
  </si>
  <si>
    <t>KEM ESMALTE IND KEM LUSTRAL ALQ MATE NEGRO</t>
  </si>
  <si>
    <t>KEM ESMALTE IND KEM LUSTRAL ALQ BRILLANTE ULTRA BLANCO</t>
  </si>
  <si>
    <t>KEM ESMALTE IND KEM LUSTRAL ALQ BRILLANTE GRIS MEDIANO</t>
  </si>
  <si>
    <t>KEM ESMALTE IND KEM LUSTRAL ALQ BRILLANTE HAZE GRAY</t>
  </si>
  <si>
    <t>KEM ESMALTE IND KEM LUSTRAL ALQ BRILLANTE NEGRO</t>
  </si>
  <si>
    <t>KEM ESMALTE IND KEM LUSTRAL ALQ BRILLANTE NARANJA</t>
  </si>
  <si>
    <t>KEM ESMALTE IND KEM LUSTRAL ALQ BRILLANTE AZUL MARINO</t>
  </si>
  <si>
    <t>KEM ESMALTE IND KEM LUSTRAL ALQ BRILLANTE AZUL DINAMICO</t>
  </si>
  <si>
    <t>KEM ESMALTE IND KEM LUSTRAL ALQ BRILLANTE BERMELLON</t>
  </si>
  <si>
    <t xml:space="preserve">KEM ESMALTE IND KEM LUSTRAL ALQ BRILLANTE ROJO </t>
  </si>
  <si>
    <t>KEM ESMALTE IND KEM LUSTRAL ALQ BRILL AMARILLO CATERPILLAR</t>
  </si>
  <si>
    <t>KEM ESMALTE IND KEM LUSTRAL ALQ BTE AMARILLO SEGURIDAD</t>
  </si>
  <si>
    <t>KEM ESMALTE INDUSTRIAL FAST DRY BRILL GRIS RAL 7046</t>
  </si>
  <si>
    <t>EXCELLO ESMALTE BRILLANTE PLATA</t>
  </si>
  <si>
    <t>EXCELLO ESMALTE BRILLANTE DORADO</t>
  </si>
  <si>
    <t>EXCELLO ESMALTE BRILLANTE BRONCE</t>
  </si>
  <si>
    <t>EXCELLO ESMALTE BRILLANTE COBRE</t>
  </si>
  <si>
    <t xml:space="preserve">EXCELLO ESMALTE MATE NEGRO   </t>
  </si>
  <si>
    <t>EXCELLO ESMALTE BRILLANTE CELESTE GLACIAR</t>
  </si>
  <si>
    <t>EXCELLO ESMALTE BRILLANTE AZUL DELMARE</t>
  </si>
  <si>
    <t>EXCELLO ESMALTE BRILLANTE AZUL PROFUNDIDAD DEL OCEANO</t>
  </si>
  <si>
    <t>EXCELLO ESMALTE BRILLANTE GRIS PURO</t>
  </si>
  <si>
    <t xml:space="preserve">COLONIAL STYLE ESMALTE BRILLANTE CAFÉ       </t>
  </si>
  <si>
    <t>COLONIAL STYLE ESMALTE BRILLANTE VIOLETA SUAVE</t>
  </si>
  <si>
    <t>COLONIAL STYLE ESMALTE BRILLANTE NARANJA CALABAZA</t>
  </si>
  <si>
    <t>PENINSULAR ESMALTE BRILLANTE NARANJA REBELDE</t>
  </si>
  <si>
    <t>PENINSULAR ESMALTE BRILLANTE VERDE AZULADO</t>
  </si>
  <si>
    <t>PENINSULAR ESMALTE BRILLANTE GRIS CENIZO</t>
  </si>
  <si>
    <t>PENINSULAR ESMALTE BRILLANTE ROJO FOGATA</t>
  </si>
  <si>
    <t>PENINSULAR ESMALTE BRILLANTE ROSADO FUCSIA</t>
  </si>
  <si>
    <t>Y82ASA2-1/4</t>
  </si>
  <si>
    <t>COLORÁMICA ESMALTE BRILLANTE GRIS CLARO</t>
  </si>
  <si>
    <t>Y82ESA6-1/4</t>
  </si>
  <si>
    <t xml:space="preserve">COLORÁMICA ESMALTE BRILLANTE NARANJA MANDARIN </t>
  </si>
  <si>
    <t>Y82GSA2-1/4</t>
  </si>
  <si>
    <t>Y82GSA9-1/4</t>
  </si>
  <si>
    <t>Y82LSA2-1/4</t>
  </si>
  <si>
    <t>Y82RSA3-1/4</t>
  </si>
  <si>
    <t>Y82RSA4-1/4</t>
  </si>
  <si>
    <t>Y82WSA2-1/4</t>
  </si>
  <si>
    <t>Y82YSA1-1/4</t>
  </si>
  <si>
    <t>TRAFICO CAUCHO CLORADO MATE BLANCO TT-P-115F</t>
  </si>
  <si>
    <t>TRAFICO CAUCHO CLORADO MATE AMARILLO TT-P-115F</t>
  </si>
  <si>
    <t>TRAFICO ALQUIDICO MATE BLANCO TT-P-115F</t>
  </si>
  <si>
    <t>TRAFICO ALQUIDICO MATE AMARILLO TT-P-115F</t>
  </si>
  <si>
    <t>KEM ADITIVO REFLECTORIZANTE PERLA DE VIDRIO DROP ON</t>
  </si>
  <si>
    <t>H&amp;C SHARKGRIP ADITIVO ANTI DESLIZANTE</t>
  </si>
  <si>
    <t>MACROPOXY 646 FAST CURE EPOXY COATING (PART A) NEGRO</t>
  </si>
  <si>
    <t>MACROPOXY 646 FAST CURE EPOXY COATING (PART A) MILL WHITE</t>
  </si>
  <si>
    <t>MACROPOXY 646 FAST CURE EPOXY GRAY COLOR PART A</t>
  </si>
  <si>
    <t>MACROPOXY 646 FLAKE FILLED EPOXY GRIS PARTE A</t>
  </si>
  <si>
    <t>MACROPOXY 646 FAST CURE EPOXY COATING (PART B) HARDENER</t>
  </si>
  <si>
    <t>ARMORSEAL 1000 HS EPOXY GLOSS WHITE PART A</t>
  </si>
  <si>
    <t>ARMORSEAL 1000 HS EPOXY GLOSS GRAY PART A</t>
  </si>
  <si>
    <t>ARMORSEAL 1000 HS EPOXY GLOSS ULTRADEEP PART A</t>
  </si>
  <si>
    <t>ARMORSEAL 1000 HS EPOXY GLOSS SAFETY YELLOW PART A</t>
  </si>
  <si>
    <t>ARMORSEAL 1000 HS EPOXY GLOSS TILE RED PART A</t>
  </si>
  <si>
    <t>ZINC CLAD 7 PRIMER EPOXICO MATE GRIS KIT</t>
  </si>
  <si>
    <t>KEM KROMIK UNIV METAL PRIMER ALQ MATE BROWN</t>
  </si>
  <si>
    <t>KEM KROMIK UNIV METAL PRIMER ALQ MATE GRAY</t>
  </si>
  <si>
    <t>KEM KROMIK UNIV METAL PRIMER ALQ MATE BLANCO</t>
  </si>
  <si>
    <t>CHEMICAL &amp; MOISTURE ESMALTE SATINADO BLANCO</t>
  </si>
  <si>
    <t>ACONDIC P/SUPERF METALICAS WASH PRIMER GREEN.PART A</t>
  </si>
  <si>
    <t>ACONDIC P/SUPERF METALICAS WASH PRIMER SOLV ACTIV PART B</t>
  </si>
  <si>
    <t>SILVER BRITE ALUMIN PAINT NO15 ALTA TEMP BRILLANTE ALUMINIO</t>
  </si>
  <si>
    <t>SILVER BRITE ALUMIN PAINT NO55 ALTA TEMP BRILLANTE ALUMINIO</t>
  </si>
  <si>
    <t>SILVER BRITE HI HEAT AL PAINT ALTA TEMP BRILLANTE ALUMINIO</t>
  </si>
  <si>
    <t>INTERIOR WATER TANK COATING ASFALTICO BRILLANTE NEGRO</t>
  </si>
  <si>
    <t>EBONOL ASFALTICO BRILLANTE NEGRO</t>
  </si>
  <si>
    <t>PRIMER P/TORRES DE HIERRO GALV ACRIL MATE BLANCO</t>
  </si>
  <si>
    <t>PRIMER P/TORRES DE HIERRO GALV ACRIL MATE NARANJA</t>
  </si>
  <si>
    <t>PINTURA PARA TORRES DE TELEC ACRIL BRILLAN BLANCO FS 17925</t>
  </si>
  <si>
    <t>PINTURA PARA TORRES DE TELEC ACRIL BRILLAN NARANJA FS 12197</t>
  </si>
  <si>
    <t xml:space="preserve">ADITIVO PARA CURVA SANITARIA </t>
  </si>
  <si>
    <t>A33ASA4-1/4</t>
  </si>
  <si>
    <t>DIRECT TO CONCRETE 4000 BS BRILLANTE GRIS RAL 7045</t>
  </si>
  <si>
    <t>A33BSA2-1/4</t>
  </si>
  <si>
    <t>DIRECT TO CONCRETE 4000 BS BRILLANTE NEGRO</t>
  </si>
  <si>
    <t>A33RSA3-1/4</t>
  </si>
  <si>
    <t>DIRECT TO CONCRETE 4000 BS BRILLANTE ROJO</t>
  </si>
  <si>
    <t>A33WSA2-1/4</t>
  </si>
  <si>
    <t>DIRECT TO CONCRETE 4000 BS BRILLANTE BLANCO</t>
  </si>
  <si>
    <t>A33RSA3-1</t>
  </si>
  <si>
    <t>A33ASA4-1</t>
  </si>
  <si>
    <t>A33BSA2-1</t>
  </si>
  <si>
    <t>A33LSA2-1</t>
  </si>
  <si>
    <t>DIRECT TO CONCRETE 4000 BS BRILLANTE AZUL RAL 5015</t>
  </si>
  <si>
    <t>A33WSA2-1</t>
  </si>
  <si>
    <t>A33GSA3-1</t>
  </si>
  <si>
    <t>DIRECT TO CONCRETE 4000 BS BRILLANTE VERDE RAL 6002</t>
  </si>
  <si>
    <t>A33YSA2-1</t>
  </si>
  <si>
    <t>DIRECT TO CONCRETE 4000 BS BRILLANTE AMARILLO RAL 1003</t>
  </si>
  <si>
    <t>A30CSA1-1/4</t>
  </si>
  <si>
    <t>DIRECT TO CONCRETE 6000 BS BRILLANTE TRANSPARENTE</t>
  </si>
  <si>
    <t>A30CSA1-1</t>
  </si>
  <si>
    <t>A30CSA1-5</t>
  </si>
  <si>
    <t>A30WSA51-1/4</t>
  </si>
  <si>
    <t>DIRECT TO CONCRETE 6000 BS ENTINTABLE SATINADO EW</t>
  </si>
  <si>
    <t>A30WSA51-1</t>
  </si>
  <si>
    <t>A30WSA51-5</t>
  </si>
  <si>
    <t>A30WSA53-1/4</t>
  </si>
  <si>
    <t>DIRECT TO CONCRETE 6000 BS ENTINTABLE SATINADO DEEP</t>
  </si>
  <si>
    <t>A30WSA53-1</t>
  </si>
  <si>
    <t>A30WSA53-5</t>
  </si>
  <si>
    <t>B69ASA8001-1</t>
  </si>
  <si>
    <t>DIRECT TO CONCRETE 8000 EPOXICO BRILLANTE GRIS PARTE A</t>
  </si>
  <si>
    <t>B69BSA8001-1</t>
  </si>
  <si>
    <t>DIRECT TO CONCRETE 8000 EPOXICO BRILLANTE NEGRO P-A</t>
  </si>
  <si>
    <t>B69GSA8001-1</t>
  </si>
  <si>
    <t xml:space="preserve">ESM IND EPOXICO KEM CATI COAT BRILLANTE VERDE </t>
  </si>
  <si>
    <t>B69LSA8001-1</t>
  </si>
  <si>
    <t>DIRECT TO CONCRETE 8000 EPOXICO BRILLANTE AZUL P- A</t>
  </si>
  <si>
    <t>B69RSA8001-1</t>
  </si>
  <si>
    <t>DIRECT TO CONCRETE 8000 EPOXICO BRILLANTE ROJO SEG P-A</t>
  </si>
  <si>
    <t>B69WSA8001-1</t>
  </si>
  <si>
    <t>DIRECT TO CONCRETE 8000 EPOXICO BRILLANTE BLANCO P-A</t>
  </si>
  <si>
    <t>B69YSA8001-1</t>
  </si>
  <si>
    <t>DIRECT TO CONCRETE 8000 EPOXICO BRILLANTE AMARILLO SEG P-A</t>
  </si>
  <si>
    <t>B69VSA8001-1</t>
  </si>
  <si>
    <t>DIRECT TO CONCRETE 8000 EPOXICO CATALIZADOR PARTE B</t>
  </si>
  <si>
    <t>B65WSA8001-1</t>
  </si>
  <si>
    <t>ESMALTE POLIURETANO 8000 BRILLANTE BLANCO P-A</t>
  </si>
  <si>
    <t>B65BSA8001-1</t>
  </si>
  <si>
    <t>ESMALTE POLIURETANO 8000 BRILLANTE NEGRO P-A</t>
  </si>
  <si>
    <t>B65YSA8001-1</t>
  </si>
  <si>
    <t>ESMALTE POLIURETANO 8000 BRILLANTE AMARILLO SEG P-A</t>
  </si>
  <si>
    <t>B65ASA8002-1</t>
  </si>
  <si>
    <t>ESMALTE POLIURETANO 8000 BRILLANTE GRIS</t>
  </si>
  <si>
    <t>B65WSA8051-1</t>
  </si>
  <si>
    <t>ESMALTE POLIURETANO 8000 BRILLANTE BASE EXTRA WHITE P-A</t>
  </si>
  <si>
    <t>B65TSA8054-1</t>
  </si>
  <si>
    <t>ESMALTE POLIURETANO 8000 BRILLANTE BASE ULTRA DEEP P-A</t>
  </si>
  <si>
    <t>B65VSA8001-1/4</t>
  </si>
  <si>
    <t>ESMALTE POLIURETANO 8000 ENDURECEDOR PARTE B</t>
  </si>
  <si>
    <t xml:space="preserve">ADITIVO MATEANTE PARA ALQUIDICOS </t>
  </si>
  <si>
    <t>MARINO ACABADO ANTIFOULING #35 MATE ROJO</t>
  </si>
  <si>
    <t>MARINO ACABADO SUMERGIBLE ANTIFOULING #35 MATE NEGRO</t>
  </si>
  <si>
    <t>MARINO ACABADO SUMERGIBLE ANTIFOULING #35 MATE AZUL</t>
  </si>
  <si>
    <t>MARINO ACABADO SUMERGIBLE ANTIFOULING #21 MATE ROJO</t>
  </si>
  <si>
    <t>MARINO ACABADO SUMERGIBLE ANTIFOULING #21 MATE NEGRO</t>
  </si>
  <si>
    <t>MARINO ACABADO SUMERGIBLE ANTIFOULING #21 MATE AZUL</t>
  </si>
  <si>
    <t>MARINO PRIMARIO EPOXICO SUMERGIBLE PARTE A BLANCO</t>
  </si>
  <si>
    <t>MARINO PRIMARIO EPOXICO SUMERGIBLE INMERSION P-A NEGRO</t>
  </si>
  <si>
    <t>MARINO PRIMARIO EPOXICO SUMERGIBLE PARTE B ENDURECEDOR</t>
  </si>
  <si>
    <t>MARINO PRIMARIO EPOXICO BLANCO PARTE A</t>
  </si>
  <si>
    <t>MARINO PRIMARIO EPOXICO ENDURECEDOR PARTE B</t>
  </si>
  <si>
    <t>MARINO ESMALTE ULTRA FAST DRY BTE AMARILLO SEGURIDAD P-A</t>
  </si>
  <si>
    <t>MARINO ESMALTE ULTRA FAST DRY BTE VERDE SEGURIDAD P-A</t>
  </si>
  <si>
    <t>MARINO ESMALTE ULTRA FAST DRY BTE AZUL SEGURIDAD P-A</t>
  </si>
  <si>
    <t>MARINO ESMALTE FAST DRY ENTINTABLE EXTRA WHITE</t>
  </si>
  <si>
    <t>MARINO ESMALTE FAST DRY ENTINTABLE DEEP</t>
  </si>
  <si>
    <t>MARINO ESMALTE FAST DRY ENTINTABLE ULTRA DEEP</t>
  </si>
  <si>
    <t>MARINO ESMALTE POLIURETANO BTE BLANCO PARTE A</t>
  </si>
  <si>
    <t>MARINO ESMALTE POLIURETANO BTE NEGRO PARTE A</t>
  </si>
  <si>
    <t>MARINO ESMALTE POLIURETANO BTE ROJO SEGURIDAD P-A</t>
  </si>
  <si>
    <t>MARINO ESMALTE POLIURETANO BTE NARANJA INTERNACIONAL P-A</t>
  </si>
  <si>
    <t>MARINO ESMALTE POLIURETANO BTE AMARILLO SEGURIDAD P-A</t>
  </si>
  <si>
    <t>MARINO ESMALTE POLIURETANO BTE VERDE SEGURIDAD P-A</t>
  </si>
  <si>
    <t>MARINO ESMALTE POLIURETANO BTE AZUL SEGURIDAD P-A</t>
  </si>
  <si>
    <t>MARINO ESMALTE POLIURETANO BTE GRIS ANSI 70 SEGURIDAD P-A</t>
  </si>
  <si>
    <t>MARINO ESMALTE POLIURETANO BTE AMARILLO CATERPILLAR P-A</t>
  </si>
  <si>
    <t>MARINO ESMALTE POLIURETANO BTE AZUL MARINO P-A</t>
  </si>
  <si>
    <t>GP3746W01-1</t>
  </si>
  <si>
    <t>GP3746   HIGH PERFORMANCE SL EPOXY   BASE EW PARTE A</t>
  </si>
  <si>
    <t>B70W8113-1</t>
  </si>
  <si>
    <t>GPDFPSLGY-1</t>
  </si>
  <si>
    <t>POLYCRETE SL PART A LIGHT GRAY</t>
  </si>
  <si>
    <t>GPDFPSLB1-1</t>
  </si>
  <si>
    <t>POLYCRETE SL PART B HARDENER</t>
  </si>
  <si>
    <t>GPDFPSLAG-27LB</t>
  </si>
  <si>
    <t xml:space="preserve">POLYCRETE SL PART C AGGREGATE </t>
  </si>
  <si>
    <t>B65T924-1</t>
  </si>
  <si>
    <t>PRO INDUSTRIAL WATERBASED ACROLON  100 BASE ULTRA DEEP PART A</t>
  </si>
  <si>
    <t>B58WX745-1</t>
  </si>
  <si>
    <t>B58VX740-1</t>
  </si>
  <si>
    <t>MASILLA BASE AGUA PARA MADERA CAOBA</t>
  </si>
  <si>
    <t>MASILLA BASE AGUA PARA MADERA PINO</t>
  </si>
  <si>
    <t>PRESERVANTE PARA MADERA TRANSPARENTE</t>
  </si>
  <si>
    <t>LIMPIADOR INDUSTRIAL PARA MADERA</t>
  </si>
  <si>
    <t>COLA PARA MADERA BLANCA</t>
  </si>
  <si>
    <t>TINTE AL THINNER (ALCOHOL) NEGRO</t>
  </si>
  <si>
    <t>TINTE AL THINNER (ALCOHOL) CAFÉ</t>
  </si>
  <si>
    <t>TINTE AL THINNER (ALCOHOL) ROJO</t>
  </si>
  <si>
    <t>TINTE AL THINNER (ALCOHOL) AMARILLO</t>
  </si>
  <si>
    <t>TINTE AL THINNER (ALCOHOL) CAFÉ AMERICANO</t>
  </si>
  <si>
    <t>TINTE AL THINNER (ALCOHOL) NOGAL DANES</t>
  </si>
  <si>
    <t>TINTE AL THINNER (ALCOHOL) CANELA OSCURO</t>
  </si>
  <si>
    <t>TINTE AL THINNER (ALCOHOL) ARCE COLONIAL</t>
  </si>
  <si>
    <t>TINTE AL THINNER (ALCOHOL) MIEL</t>
  </si>
  <si>
    <t>TINTE AL THINNER (ALCOHOL) CENIZARO</t>
  </si>
  <si>
    <t xml:space="preserve">TINTE AL THINNER (ALCOHOL) CAOBA </t>
  </si>
  <si>
    <t>TINTE AL THINNER (ALCOHOL) CEDRO</t>
  </si>
  <si>
    <t>TINTE AL THINNER (ALCOHOL) CAFE MADERA</t>
  </si>
  <si>
    <t>TINTE AL THINNER (ALCOHOL) CASTAÑO</t>
  </si>
  <si>
    <t>TINTE AL THINNER (ALCOHOL) CORTEZ</t>
  </si>
  <si>
    <t>TINTE AL THINNER (ALCOHOL) TABACO</t>
  </si>
  <si>
    <t>TINTE EXT/INT PARA MADERA NEGRO</t>
  </si>
  <si>
    <t>TINTE EXT/INT PARA MADERA ARCE COLONIAL</t>
  </si>
  <si>
    <t>TINTE EXT/INT PARA MADERA NOGAL DANES</t>
  </si>
  <si>
    <t>TINTE EXT/INT PARA MADERA SANDALO OSCURO</t>
  </si>
  <si>
    <t>TINTE EXT/INT PARA MADERA CANELA OSCURO</t>
  </si>
  <si>
    <t>TINTE EXT/INT PARA MADERA NOGAL</t>
  </si>
  <si>
    <t>TINTE EXT/INT PARA MADERA CAOBA AFRICANO</t>
  </si>
  <si>
    <t>TINTE EXT/INT PARA MADERA BLANCO</t>
  </si>
  <si>
    <t>TINTE EXT/INT PARA MADERA ROBLE CLARO</t>
  </si>
  <si>
    <t>TINTE EXT/INT PARA MADERA CAFE MADERA</t>
  </si>
  <si>
    <t>TINTE EXT/INT PARA MADERA CAOBA</t>
  </si>
  <si>
    <t>TINTE EXT/INT PARA MADERA LAPACHO</t>
  </si>
  <si>
    <t>TINTE EXT/INT PARA MADERA CEDRO</t>
  </si>
  <si>
    <t>TINTE EXT/INT PARA MADERA WENGUE</t>
  </si>
  <si>
    <t>TINTE AL ACEITE GLAZE CAOBA (TIPO EBONOL)</t>
  </si>
  <si>
    <t>TINTE AL ACEITE GLAZE NOGAL</t>
  </si>
  <si>
    <t>TINTE AL ACEITE GLAZE CEREZA</t>
  </si>
  <si>
    <t>TINTE AL ACEITE GLAZE NEGRO</t>
  </si>
  <si>
    <t>TINTE AL ACEITE GLAZE CORTEZ</t>
  </si>
  <si>
    <t>TINTE AL ACEITE GLAZE CAFÉ</t>
  </si>
  <si>
    <t>TINTE AL ACEITE GLAZE ARCE COLONIAL</t>
  </si>
  <si>
    <t>TINTE AL ACEITE GLAZE CAOBA AFRICANO</t>
  </si>
  <si>
    <t>TINTE BASE AGUA PARA MADERA NOGAL</t>
  </si>
  <si>
    <t>TINTE BASE AGUA PARA MADERA NOGAL ROJIZO</t>
  </si>
  <si>
    <t>TINTE BASE AGUA PARA MADERA WENGUE</t>
  </si>
  <si>
    <t>TINTE BASE AGUA PARA MADERA CAOBA AFRICANO</t>
  </si>
  <si>
    <t>TINTE BASE AGUA PARA MADERA CAOBA</t>
  </si>
  <si>
    <t>TINTE BASE AGUA PARA MADERA ROBLE CLARO</t>
  </si>
  <si>
    <t>BASE DE ENTINTADO TRANSPARENTE</t>
  </si>
  <si>
    <t>SELLADOR NITRO PARA MADERA TRANSPARENTE NATURAL</t>
  </si>
  <si>
    <t>SELLADOR NITRO PARA MADERA SUPERCONCENTRADO</t>
  </si>
  <si>
    <t>SELLADOR NITRO PARA MADERA LISTO A USAR NATURAL</t>
  </si>
  <si>
    <t>SELLADOR INDUSTRIAL P/MADERA BASE AGUA (TRANSPARENTE)</t>
  </si>
  <si>
    <t>LACA PROFESIONAL PARA MADERA NEGRO</t>
  </si>
  <si>
    <t>LACA PROFESIONAL PARA MADERA VERDE P.T</t>
  </si>
  <si>
    <t>LACA PROFESIONAL PARA MADERA AZUL ROJIZO</t>
  </si>
  <si>
    <t>LACA PROFESIONAL PARA MADERA AZUL VERDOSO</t>
  </si>
  <si>
    <t>LACA PROFESIONAL PARA MADERA MARRON</t>
  </si>
  <si>
    <t>LACA PROFESIONAL PARA MADERA DORADO ROJIZO</t>
  </si>
  <si>
    <t>LACA PROFESIONAL PARA MADERA ROJO OXIDO</t>
  </si>
  <si>
    <t>LACA PROFESIONAL PARA MADERA ROJO BRILLANTE</t>
  </si>
  <si>
    <t>LACA PROFESIONAL PARA MADERA BLANCA</t>
  </si>
  <si>
    <t>LACA PROFESIONAL PARA MADERA AMARILLO OXIDO</t>
  </si>
  <si>
    <t>LACA PROFESIONAL PARA MADERA METALICO BRILLANTE</t>
  </si>
  <si>
    <t>LACA PROFESIONAL PARA MADERA METALICO MEDIO GRUESO</t>
  </si>
  <si>
    <t>LACA PROFESIONAL PARA MADERA NC DORADA</t>
  </si>
  <si>
    <t>LACA PROFESIONAL PARA MADERA NC AZUL FTALO</t>
  </si>
  <si>
    <t>LACA PROFESIONAL PARA MADERA NC METALICO ALUMINIO</t>
  </si>
  <si>
    <t>LACA PROFESIONAL PARA MADERA NC MAGENTA</t>
  </si>
  <si>
    <t>LACA PROFESIONAL PARA MADERA NC ROJO</t>
  </si>
  <si>
    <t>LACA PROFESIONAL PARA MADERA AZUL VERDOZO</t>
  </si>
  <si>
    <t>LACA PROFESIONAL PARA MADERA NC NARANJA SP</t>
  </si>
  <si>
    <t>LACA PROFESIONAL PARA MADERA NC VIOLETA CARBA</t>
  </si>
  <si>
    <t>LACA PROFESIONAL PARA MADERA NEGRO DIRECTO</t>
  </si>
  <si>
    <t>LACA PROFESIONAL PARA MADERA BLANCO DIRECTO</t>
  </si>
  <si>
    <t>PRIMER PROFESIONAL NC NEGRO</t>
  </si>
  <si>
    <t>PRIMER PROFESIONAL NC ROJO OXIDO</t>
  </si>
  <si>
    <t>PRIMER BASE AGUA PARA MADERA TERRACOTA</t>
  </si>
  <si>
    <t>PRIMER B.A. P/MADERA BLANCO</t>
  </si>
  <si>
    <t>BARNIZ COPAL SATIN</t>
  </si>
  <si>
    <t>BARNIZ COPAL MATE</t>
  </si>
  <si>
    <t>BARNIZ COPAL BRILLANTE</t>
  </si>
  <si>
    <t>BARNIZ INTERIOR PARA MADERA BRILLANTE PARA PISOS</t>
  </si>
  <si>
    <t>BARNIZ POLIURETANO BRILLANTE PARA MUEBLES</t>
  </si>
  <si>
    <t>BARNIZ ARTESANAL BRILLANTE</t>
  </si>
  <si>
    <t xml:space="preserve">BARNIZ ARTESANAL SATIN </t>
  </si>
  <si>
    <t>V83FSA3-1</t>
  </si>
  <si>
    <t xml:space="preserve">BARNIZ ARTESANAL MATE </t>
  </si>
  <si>
    <t>V83FSA3-1/4</t>
  </si>
  <si>
    <t>BARNIZ EXTERIOR PARA MADERA MARINO BRILLANTE</t>
  </si>
  <si>
    <t>BARNIZ POLIURETANO EXTERIOR BRILLANTE</t>
  </si>
  <si>
    <t>BARNIZ POLIURETANO EXTERIOR MATE</t>
  </si>
  <si>
    <t>BARNIZ POLIURETANO EXTERIOR SATINADO</t>
  </si>
  <si>
    <t>BARNIZ TINTE PARA MADERA CAOBA</t>
  </si>
  <si>
    <t>BARNIZ TINTE PARA MADERA NOGAL</t>
  </si>
  <si>
    <t>BARNIZ TINTE PARA MADERA CANELA SUBIDO</t>
  </si>
  <si>
    <t>BARNIZ TINTE PARA MADERA ROBLE OSCURO</t>
  </si>
  <si>
    <t>BARNIZ TINTE PARA MADERA ROBLE CLARO</t>
  </si>
  <si>
    <t>BARNIZ TINTE PARA MADERA VINO</t>
  </si>
  <si>
    <t>BARNIZ TINTE PARA MADERA CAOBA INGLES</t>
  </si>
  <si>
    <t>BARNIZ TINTE PARA MADERA CAOBA AFRICANO</t>
  </si>
  <si>
    <t>BARNIZ TINTE PARA MADERA NOGAL CLARO</t>
  </si>
  <si>
    <t>BARNIZ BASE AGUA PARA MADERA SATINADO</t>
  </si>
  <si>
    <t>BARNIZ POLIURETANO BASE AGUA BRILLANTE EXTERIOR</t>
  </si>
  <si>
    <t>BARNIZ POLIURETANO BASE AGUA SATINADO EXTERIOR</t>
  </si>
  <si>
    <t>KEMVAR IMPREGNANTE CEDRO</t>
  </si>
  <si>
    <t>KEMVAR IMPREGNANTE NOGAL</t>
  </si>
  <si>
    <t>KEMVAR IMPREGNANTE WENGUE</t>
  </si>
  <si>
    <t>KEMVAR IMPREGNANTE TECA</t>
  </si>
  <si>
    <t>A18TSA1-1/4</t>
  </si>
  <si>
    <t>KEMVAR IMPREGNANTE TRANSPARENTE</t>
  </si>
  <si>
    <t>FONDO POLIURETANO CATALIZADO ALTA PRODUCTIVIDAD</t>
  </si>
  <si>
    <t xml:space="preserve">CATALIZADOR PARA SELLADOR POLIURETANO </t>
  </si>
  <si>
    <t xml:space="preserve">CATALIZADOR PARA INTERIOR POLIURETANO </t>
  </si>
  <si>
    <t>FONDO POLIURETANO CATALIZADO EXTERIOR/INTERIOR</t>
  </si>
  <si>
    <t>ACABADO POLIURETANO CATALIZADO EXTERIOR SATINADO</t>
  </si>
  <si>
    <t>ACABADO POLIURETANO CATALIZADO EXTERIOR MATE</t>
  </si>
  <si>
    <t xml:space="preserve">CATALIZADOR MULTIUSOS POLIURETANO </t>
  </si>
  <si>
    <t>ACABADO POLIURETANO CATALIZADO EXTERIOR</t>
  </si>
  <si>
    <t>FONDO POLIURETANO CATALIZADO BLANCO</t>
  </si>
  <si>
    <t>ACABADO POLIURETANO CATALIZADO BLANCO</t>
  </si>
  <si>
    <t>ACABADO POLIESTER HS BRILLANTE</t>
  </si>
  <si>
    <t>ACABADO POLIESTER HS SATINADO</t>
  </si>
  <si>
    <t>ACABADO POLIESTER HS MATE</t>
  </si>
  <si>
    <t>F64FSA5-1</t>
  </si>
  <si>
    <t>ACABADO POLIESTER HS ULTRA MATE</t>
  </si>
  <si>
    <t>CATALIZADOR P/ACABADO POLIESTER HS INTERIOR</t>
  </si>
  <si>
    <t>CATALIZADORP/ACABADO POLIESTER HS INTERIOR</t>
  </si>
  <si>
    <t>ACABADO POLiESTER BLANCO BRILLANTE</t>
  </si>
  <si>
    <t>FONDO ACABADO POLIESTER SATINADO BLANCO</t>
  </si>
  <si>
    <t>ACABADO POLiESTER NEGRO BRILLANTE</t>
  </si>
  <si>
    <t>FONDO ACABADO POLIESTER SATINADO NEGRO</t>
  </si>
  <si>
    <t>F64WSA5-1</t>
  </si>
  <si>
    <t>FONDO ACABADO POLIESTER MATE BLANCO</t>
  </si>
  <si>
    <t>F64WSA5-1/4</t>
  </si>
  <si>
    <t>F64BSA3-1</t>
  </si>
  <si>
    <t>FONDO ACABADO POLIESTER MATE NEGRO</t>
  </si>
  <si>
    <t>F64BSA3-1/4</t>
  </si>
  <si>
    <t>MAR-NOT BARNIZ TINTE ALQUIDICO NOGAL</t>
  </si>
  <si>
    <t>MAR-NOT BARNIZ TINTE ALQUIDICO CAOBA</t>
  </si>
  <si>
    <t>MAR-NOT BARNIZ TINTE ALQUIDICO CANELA SUBIDO</t>
  </si>
  <si>
    <t xml:space="preserve">MAR-NOT BARNIZ ALQUIDICO </t>
  </si>
  <si>
    <t>MAR-NOT BARNIZ TINTE ALQUIDICO ROBLE CLARO</t>
  </si>
  <si>
    <t>MAR-NOT BARNIZ TINTE ALQUIDICO ROBLE OSCURO</t>
  </si>
  <si>
    <t>ACABADO POLIESTER HS BRILLANTE EXTERIOR</t>
  </si>
  <si>
    <t>ACABADO POLIESTER HS SATINADO EXTERIOR</t>
  </si>
  <si>
    <t>ACABADO POLIESTER HS MATE EXTERIOR</t>
  </si>
  <si>
    <t>CATALIZADOR P/ACABADO POLIESTER HS EXTERIOR</t>
  </si>
  <si>
    <t>F64TSA154-1/4</t>
  </si>
  <si>
    <t>BASE ULTRA DEEP POLIESTER BRILLANTE INTERIOR</t>
  </si>
  <si>
    <t>F64TSA254-1/4</t>
  </si>
  <si>
    <t>BASE ULTRA DEEP POLIESTER SATINADO INTERIOR</t>
  </si>
  <si>
    <t>F64TSA354-1/4</t>
  </si>
  <si>
    <t>BASE ULTRA DEEP POLIESTER MATE INTERIOR</t>
  </si>
  <si>
    <t>F64WSA151-1/4</t>
  </si>
  <si>
    <t>BASE EXTRA WHITE POLIESTER BRILLANTE INTERIOR</t>
  </si>
  <si>
    <t>F64WSA251-1/4</t>
  </si>
  <si>
    <t>BASE EXTRA WHITE POLIESTER SATINADO INTERIOR</t>
  </si>
  <si>
    <t>F64WSA351-1/4</t>
  </si>
  <si>
    <t>BASE EXTRA WHITE POLIESTER MATE INTERIOR</t>
  </si>
  <si>
    <t>F64TSA154-1</t>
  </si>
  <si>
    <t>F64TSA254-1</t>
  </si>
  <si>
    <t>F64TSA354-1</t>
  </si>
  <si>
    <t>F64WSA151-1</t>
  </si>
  <si>
    <t>F64WSA251-1</t>
  </si>
  <si>
    <t>F64WSA351-1</t>
  </si>
  <si>
    <t>BARNIZ BASE AGUA PARA CONTACTO DE ALIMENTOS</t>
  </si>
  <si>
    <t>OIL FINISH ACEITE TECA</t>
  </si>
  <si>
    <t>KEMVAR RENOVADOR DE MADERA EXTERIOR</t>
  </si>
  <si>
    <t>PLASTIC SURFACE CLEANER ANTI-STATIC</t>
  </si>
  <si>
    <t>MASILLA PLASTICA FLEXIBLE JET BOND PESADO + CATALIZA V2VSA1</t>
  </si>
  <si>
    <t>JET BOND SUPER LIJABLE INCLUYE CATALIZADOR V2VSA1</t>
  </si>
  <si>
    <t>JET BOND MASILLAS PLASTICA FUNCIONAL</t>
  </si>
  <si>
    <t>JET BOND MASILLA PLASTICA FUNCIONAL</t>
  </si>
  <si>
    <t>7662-3LT</t>
  </si>
  <si>
    <t xml:space="preserve">MASILLA PLASTICA AMBER </t>
  </si>
  <si>
    <t xml:space="preserve">MASILLA PLASTICA 0.4KG     </t>
  </si>
  <si>
    <t>10186T</t>
  </si>
  <si>
    <t xml:space="preserve">MASILLA GLAZE TURBO T  </t>
  </si>
  <si>
    <t xml:space="preserve">CATALIZADOR PARA JET BOND </t>
  </si>
  <si>
    <t>ANTICORROSIVO AUTOMOTRIZ VERDE</t>
  </si>
  <si>
    <t>PRIMARIO ANTICORROSIVO EPOXICO GRIS OSCURO</t>
  </si>
  <si>
    <t>PROMOTOR DE ADHERENCIA PARA PLASTICOS</t>
  </si>
  <si>
    <t>PROMOTOR DE ADHERENCIA PARA PLASTICO</t>
  </si>
  <si>
    <t>V3K780-1/8</t>
  </si>
  <si>
    <t xml:space="preserve">RUBBING DE CORTE RAPIDO </t>
  </si>
  <si>
    <t xml:space="preserve">PULIDOR PARA USO A MAQUINA </t>
  </si>
  <si>
    <t xml:space="preserve">ABRILLANTADOR DE LLANTAS </t>
  </si>
  <si>
    <t>10091-1LT</t>
  </si>
  <si>
    <t xml:space="preserve">PASTA DE PULIDO T1 STRONG   </t>
  </si>
  <si>
    <t>11734-1LT</t>
  </si>
  <si>
    <t>REMOVEDOR DE HOLOGRAMAS    Y MICRORAYAS</t>
  </si>
  <si>
    <t xml:space="preserve">PINTURA PARA CHASIS NEGRO </t>
  </si>
  <si>
    <t xml:space="preserve">PROTECTOR ANTIGRAVA NEGRO </t>
  </si>
  <si>
    <t>PINTURA PARA BUMPERS NEGRO TEXTURIZADO</t>
  </si>
  <si>
    <t>CONVERTIDOR SELLADOR AUTOMOTRI TRANSPARENTE</t>
  </si>
  <si>
    <t>TINTE ULTRA 7000 METALICO MEDIANO</t>
  </si>
  <si>
    <t>U7214-1/4</t>
  </si>
  <si>
    <t>ULTRA VEHICLE REFINISH METALICO ULTRA FINO</t>
  </si>
  <si>
    <t>TINTE ULTRA 7000 AZUL OCEANICO</t>
  </si>
  <si>
    <t>TINTE ULTRA 7000 ROJO RUBI</t>
  </si>
  <si>
    <t>TINTE ULTA 7000 AZUL TRANSPARENTE</t>
  </si>
  <si>
    <t>TINTE ULTRA 7000 METALICO AZUL</t>
  </si>
  <si>
    <t>TINTE ULTA 7000 ROJO TRANSPARENTE</t>
  </si>
  <si>
    <t>TINTE ULTRA 7000 EN POLVO VERDE AQUA</t>
  </si>
  <si>
    <t>PEARL TONE SUNBEAM GOLD MICA</t>
  </si>
  <si>
    <t>PIGMENTO FX PLANET COLOR GALAXI CRISTAL</t>
  </si>
  <si>
    <t>PIGMENTO DE EFECTO PCF CRISTAL REFLECTIVO VIOLETA</t>
  </si>
  <si>
    <t>PIGMENTO FX PLANET COLOR GOLD CRISTAL</t>
  </si>
  <si>
    <t>PIGMENTO DE EFECTO PCF CRISTAL REFLECTIVO AZUL</t>
  </si>
  <si>
    <t>PIGMENTO DE EFECTO PCF CRISTAL REFLECTIVO VERDE</t>
  </si>
  <si>
    <t>PIGMENTO DE EFECTO PCF CRISTAL REFLECTIVO ROJO</t>
  </si>
  <si>
    <t>PIGMENTO DE EFECTO PCF CRISTAL REFLECTIVO OTOÑO</t>
  </si>
  <si>
    <t xml:space="preserve">PERLA CRISTAL ARCTIC FIRE </t>
  </si>
  <si>
    <t>PIGMENTO DE EFECTO PCF CRISTAL REFLECTIVO AZUL MAGICO</t>
  </si>
  <si>
    <t xml:space="preserve">PERLA CRISTAL TROPICAL SUN </t>
  </si>
  <si>
    <t>PIGMENTO FX PLANET COLOR VIOLA FANTASY EFECTO CRISTAL</t>
  </si>
  <si>
    <t>PIGMENTO DE EFECTO PCF CRISTAL DE EFECTO LAPIS LAZULI</t>
  </si>
  <si>
    <t>PIGMENTO DE EFECTO PCF CRISTAL DE EFECTO ROJO LAVA</t>
  </si>
  <si>
    <t xml:space="preserve">HP PROCESS CLEARCOAT (PART A) </t>
  </si>
  <si>
    <t xml:space="preserve">PREMIUM CLEAR </t>
  </si>
  <si>
    <t>ULTRA FINE MACHINE GREY METALLIC</t>
  </si>
  <si>
    <t xml:space="preserve">REDUCTOR ULTRASOLV #5 </t>
  </si>
  <si>
    <t>CATALIZADOR ULTRA 7000 (PARTE B PARA CC645)</t>
  </si>
  <si>
    <t>CATALIZADOR ULTRA 7000 (PARTE B PARA PRIMER P30)</t>
  </si>
  <si>
    <t>ENDURECEDOR DE SECADO AL AIRE HORNEO CORTO</t>
  </si>
  <si>
    <t>ENDURECEDOR DE SECADO AL AIRE HORNEO COMPLETO</t>
  </si>
  <si>
    <t>BASE DE RELLENO POLIURETANO 2K GRIS OSCURO</t>
  </si>
  <si>
    <t>PRIMER POLIURETANO 2K GRIS</t>
  </si>
  <si>
    <t xml:space="preserve">EXCELBASE PRIMER CONVERTER </t>
  </si>
  <si>
    <t>TINTE EXCELBASE BICAPA AMARILLO OXIDO</t>
  </si>
  <si>
    <t>TINTE EXCELBASE BICAPA CLEAR DE MEZCLA PARA TRICAPAS</t>
  </si>
  <si>
    <t>TINTE EXCELBASE BICAPA NEGRO</t>
  </si>
  <si>
    <t>TINTE EXCELBASE BICAPA ROJO MONASTRAL</t>
  </si>
  <si>
    <t>TINTE EXCELBASE BICAPA ROJO BRILL HS</t>
  </si>
  <si>
    <t>TINTE EXCELBASE AMARILLO VAN</t>
  </si>
  <si>
    <t>TINTE EXCELBASE OCRE TRANSP</t>
  </si>
  <si>
    <t>TINTE EXCELBASE BICAPA METALICO BRILLANTE SUPER FINO</t>
  </si>
  <si>
    <t>TINTE EXCELBASE BICAPA AZUL VERDOSO</t>
  </si>
  <si>
    <t>EB25236-1/4</t>
  </si>
  <si>
    <t>TINTE EXCELBASE BICAPA MAGENTA H.S.</t>
  </si>
  <si>
    <t>TINTE EXCELBASE BICAPA ROJO LS</t>
  </si>
  <si>
    <t>TINTE EXCELBASE BICAPA AMARILLO LS</t>
  </si>
  <si>
    <t>EB25279-1/4</t>
  </si>
  <si>
    <t>TINTE EXCELBASE BICAPA AZUL TRANSPARENTE</t>
  </si>
  <si>
    <t>TINTE EXCELBASE BICAPA ROJO BRILLANTE TRANSP</t>
  </si>
  <si>
    <t>TINTE EXCELBASE BICAPA ROJO TRANSPARENTE</t>
  </si>
  <si>
    <t>TINTE EXCELBASE BICAPA METAL BRTE FINO</t>
  </si>
  <si>
    <t>TINTE EXCELBASE BICAPA METALICO MEDIANO BRILLANTE</t>
  </si>
  <si>
    <t>TINTE EXCELBASE BICAPA ALUMINIO EXTRA GRUESO</t>
  </si>
  <si>
    <t>TINTE EXCELBASE MICA VERDE</t>
  </si>
  <si>
    <t>TINTE EXCELBASE MICA BLANCA</t>
  </si>
  <si>
    <t>TINTE EXCELBASE BICAPA MICA BLANCA FINA</t>
  </si>
  <si>
    <t>TINTE EXCELBASE BICAPA MICA BRONCE</t>
  </si>
  <si>
    <t>TINTE EXCELBASE MICA RUSSET</t>
  </si>
  <si>
    <t>TINTE EXCELBASE MICA RUSSET FINA</t>
  </si>
  <si>
    <t>TINTE EXCELBASE MICA AZUL</t>
  </si>
  <si>
    <t>TINTE EXCELBASE BICAPA MICA LILA</t>
  </si>
  <si>
    <t>TINTE EXCELBASE MICA DORADA</t>
  </si>
  <si>
    <t>TINTE EXCELBASE MICA COBRE</t>
  </si>
  <si>
    <t>TINTE EXCELBASE ROJO INTER</t>
  </si>
  <si>
    <t>TINTE EXCELBASE PERLA VERDE M</t>
  </si>
  <si>
    <t>TINTE EXCELBASE BICAPA MICA AZUL FINO</t>
  </si>
  <si>
    <t>TINTE EXCELBASE PERLA BLANCA FINA</t>
  </si>
  <si>
    <t>TINTE EXCELBASE MICA BLANCO CRISTAL</t>
  </si>
  <si>
    <t>TINTE EXCELBASE MICA ROJO RADIANTE</t>
  </si>
  <si>
    <t>TINTE EXCELBASE AZUL GALAXIA</t>
  </si>
  <si>
    <t>TINTE EXCELBASE BICAPA VERDE</t>
  </si>
  <si>
    <t>CLEAR COAT EXCELBASE 2K ULTRA HIGH SOLIDS (Parte A)</t>
  </si>
  <si>
    <t>CLEAR COAT EXCELBASE 2K ULTRA HIGH SOLIDS PARTE A</t>
  </si>
  <si>
    <t xml:space="preserve">EXCELBASE RAPID CLEAR </t>
  </si>
  <si>
    <t>CATALIZADOR EXCELBASE ACELERADO</t>
  </si>
  <si>
    <t xml:space="preserve">BARNIZ ACRILICO </t>
  </si>
  <si>
    <t>LACA NITROCELULOSICA DORADO INTENSO</t>
  </si>
  <si>
    <t>LACA NITROCELULOSICA P.T. BLUE</t>
  </si>
  <si>
    <t>LACA NITROCELULOSICA CARBAZOLE VIOLETA</t>
  </si>
  <si>
    <t>LACA NITROCELULOSICA PERLA BLANCO</t>
  </si>
  <si>
    <t>LACA NITROCELULOSICA PERLA ROJO</t>
  </si>
  <si>
    <t xml:space="preserve">OPEX CLEARCOAT 2K </t>
  </si>
  <si>
    <t xml:space="preserve">CATALIZADOR PARA CLEAR OPEX </t>
  </si>
  <si>
    <t xml:space="preserve">CATALIZADOR KEM TRANSPORT </t>
  </si>
  <si>
    <t>R7K193-BOT</t>
  </si>
  <si>
    <t>GBSY2330</t>
  </si>
  <si>
    <t>BROCHA ANGULAR PAINTER ELITESINTETICA 76.2 mm (3 pulg)</t>
  </si>
  <si>
    <t>GBSY2230</t>
  </si>
  <si>
    <t>BROCHA ANGULAR PAINTER ELITESINTETICA 50.8 mm (2 pulg)</t>
  </si>
  <si>
    <t>CGJ99120</t>
  </si>
  <si>
    <t>SET RODILLO MICROFIBRA BANDEJAY MANERAL STD</t>
  </si>
  <si>
    <t>14P240024</t>
  </si>
  <si>
    <t>VARA FIBRA EXTENSIBLE PURDY   (1.22 - 2.44 MTS)</t>
  </si>
  <si>
    <t>14P240048</t>
  </si>
  <si>
    <t>VARA FIBRA EXTENSIBLE PURDY   (0.60 - 1.2 MTS)</t>
  </si>
  <si>
    <t>14P240061</t>
  </si>
  <si>
    <t>VARA FIBRA EXTENSIBLE PURDY (1.83 - 3.66)</t>
  </si>
  <si>
    <t>14P240081</t>
  </si>
  <si>
    <t>VARA FIBRA EXTENSIBLE PURDY  (2.4 m - 4.9 MTS)</t>
  </si>
  <si>
    <t>SW0200BB</t>
  </si>
  <si>
    <t>SPRAY 6000 FAST DRY BLANCO BRILLANTE</t>
  </si>
  <si>
    <t>SW0100NB</t>
  </si>
  <si>
    <t>SPRAY 6000 FAST DRY NEGRO BRILLANTE</t>
  </si>
  <si>
    <t>SW1100NM</t>
  </si>
  <si>
    <t>SPRAY 6000 FAST DRY NEGRO MATE</t>
  </si>
  <si>
    <t>SW1200BM</t>
  </si>
  <si>
    <t>SPRAY 6000 FAST DRY BLANCO MATE</t>
  </si>
  <si>
    <t>SW0113GP</t>
  </si>
  <si>
    <t>SPRAY 6000 FAST DRY GRIS PERLA</t>
  </si>
  <si>
    <t>SW0500RC</t>
  </si>
  <si>
    <t>SPRAY 6000 FAST DRY ROJO CHINO</t>
  </si>
  <si>
    <t>SW0001TR</t>
  </si>
  <si>
    <t>SPRAY 6000 FAST DRY TRANSPARENTE</t>
  </si>
  <si>
    <t>SW0300AT</t>
  </si>
  <si>
    <t>SPRAY 6000 FAST DRY AZUL TRAFALGAR</t>
  </si>
  <si>
    <t>SW0700AL</t>
  </si>
  <si>
    <t>SPRAY 6000 FAST DRY AMARILLO LIMON</t>
  </si>
  <si>
    <t>SW0957CA</t>
  </si>
  <si>
    <t>SPRAY 6000 FAST DRY CAFE ANODIZADO</t>
  </si>
  <si>
    <t>SW0407VB</t>
  </si>
  <si>
    <t>SPRAY 6000 FAST DRY VERDE BOSQUE</t>
  </si>
  <si>
    <t>SWPA5103G</t>
  </si>
  <si>
    <t>SPRAY 6000 FAST DRY PRIMER ACRILICO GRIS</t>
  </si>
  <si>
    <t>SW0990CR</t>
  </si>
  <si>
    <t>SPRAY 6000 FAST DRY CROMO</t>
  </si>
  <si>
    <t>SW0970OR</t>
  </si>
  <si>
    <t>SPRAY 6000 FAST DRY ORO</t>
  </si>
  <si>
    <t>SW0950CB</t>
  </si>
  <si>
    <t>SPRAY 6000 FAST DRY COBRE</t>
  </si>
  <si>
    <t>SW0900AL</t>
  </si>
  <si>
    <t>SPRAY 6000 FAST DRY ALUMINIO</t>
  </si>
  <si>
    <t>SWAT5610NP</t>
  </si>
  <si>
    <t>SPRAY 6000 FAST DRY NEGRO PARDO ALTA TEMPERATURA</t>
  </si>
  <si>
    <t>SWAT5690AL</t>
  </si>
  <si>
    <t>SPRAY 6000 FAST DRY ALUMINIO ALTA TEMPERATURA</t>
  </si>
  <si>
    <t>NEXT120</t>
  </si>
  <si>
    <t>LIJA DE AGUA KOVAX NEXT P120</t>
  </si>
  <si>
    <t>KOVAX HAND PAD NARANJA 3000</t>
  </si>
  <si>
    <t>KOVAX HAND PAD AZUL 1000</t>
  </si>
  <si>
    <t>HANDPAD05</t>
  </si>
  <si>
    <t>KOVAX HANDPAD GRIS OSCURO 1500</t>
  </si>
  <si>
    <t>MAXCUT180</t>
  </si>
  <si>
    <t>KOVAX MAXCUTP180 DISCO EN SECO152 mm(6 pulg) LIJADO MASILLA</t>
  </si>
  <si>
    <t>GRACO-826284</t>
  </si>
  <si>
    <t xml:space="preserve">ULTIMATE XT 490 STAND </t>
  </si>
  <si>
    <t>GRACO-826311</t>
  </si>
  <si>
    <t xml:space="preserve">ULTIMATE 390 PC STAND </t>
  </si>
  <si>
    <t>GRACO-243104</t>
  </si>
  <si>
    <t xml:space="preserve">PUMP ARMOR                    </t>
  </si>
  <si>
    <t xml:space="preserve">LIQUIDO SELLADOR TSL 8ONZ </t>
  </si>
  <si>
    <t xml:space="preserve">FILTRO 60 MESH PARA PISTOLA  SG3 </t>
  </si>
  <si>
    <t xml:space="preserve">BOQUILLA BAJA PRESION  FFLP312 </t>
  </si>
  <si>
    <t xml:space="preserve">BOQUILLA LP515 </t>
  </si>
  <si>
    <r>
      <t xml:space="preserve">ARMORSEAL FLOOR-PLEX 8100 WB EPOXY - DEEP BASE, </t>
    </r>
    <r>
      <rPr>
        <b/>
        <sz val="11"/>
        <rFont val="Calibri"/>
        <family val="2"/>
      </rPr>
      <t>PARTE A</t>
    </r>
  </si>
  <si>
    <r>
      <t xml:space="preserve">VASO DESECHABLE DE MEZCLA STD </t>
    </r>
    <r>
      <rPr>
        <b/>
        <sz val="11"/>
        <rFont val="Calibri"/>
        <family val="2"/>
      </rPr>
      <t>(Solicitar en multiplos de 50)</t>
    </r>
  </si>
  <si>
    <r>
      <t xml:space="preserve">ULTIMATE MX II 695 SERIE ESTANDAR </t>
    </r>
    <r>
      <rPr>
        <b/>
        <sz val="10"/>
        <rFont val="Calibri"/>
        <family val="2"/>
      </rPr>
      <t>(HASTA AGOTAR EXISTENCIAS)</t>
    </r>
  </si>
  <si>
    <r>
      <t xml:space="preserve">BOQUILLA LP421 BAJA PRESION VERDE </t>
    </r>
    <r>
      <rPr>
        <b/>
        <sz val="10"/>
        <rFont val="Calibri"/>
        <family val="2"/>
      </rPr>
      <t>HASTA AGOTAR EXISTENCIAS</t>
    </r>
  </si>
  <si>
    <r>
      <t xml:space="preserve">UNION PARA MANGUERA 1/4"(M) X 3/8" (H)  </t>
    </r>
    <r>
      <rPr>
        <b/>
        <sz val="11"/>
        <rFont val="Calibri"/>
        <family val="2"/>
      </rPr>
      <t>HASTA AGOTAR EXISTENCIAS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</si>
</sst>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dd\-mm\-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9"/>
      <color theme="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0"/>
      <color theme="1"/>
      <name val="Verdana"/>
      <family val="2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0" fontId="4" fillId="0" borderId="0">
      <alignment vertical="top"/>
    </xf>
    <xf numFmtId="0" fontId="4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7" fillId="0" borderId="0"/>
    <xf numFmtId="0" fontId="4" fillId="0" borderId="0"/>
    <xf numFmtId="0" fontId="4" fillId="0" borderId="0"/>
  </cellStyleXfs>
  <cellXfs count="106">
    <xf numFmtId="0" fontId="0" fillId="0" borderId="0" xfId="0"/>
    <xf numFmtId="0" fontId="10" fillId="0" borderId="0" xfId="0" applyFont="1"/>
    <xf numFmtId="166" fontId="11" fillId="0" borderId="5" xfId="0" applyNumberFormat="1" applyFont="1" applyBorder="1" applyAlignment="1">
      <alignment vertical="center" wrapText="1"/>
    </xf>
    <xf numFmtId="0" fontId="9" fillId="0" borderId="5" xfId="0" applyFont="1" applyBorder="1"/>
    <xf numFmtId="0" fontId="11" fillId="4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165" fontId="9" fillId="0" borderId="0" xfId="1" applyFont="1" applyBorder="1"/>
    <xf numFmtId="165" fontId="11" fillId="4" borderId="5" xfId="1" applyFont="1" applyFill="1" applyBorder="1" applyAlignment="1">
      <alignment horizontal="center" vertical="center"/>
    </xf>
    <xf numFmtId="165" fontId="9" fillId="0" borderId="5" xfId="1" applyFont="1" applyBorder="1"/>
    <xf numFmtId="164" fontId="9" fillId="0" borderId="5" xfId="0" applyNumberFormat="1" applyFont="1" applyBorder="1"/>
    <xf numFmtId="165" fontId="11" fillId="0" borderId="5" xfId="1" applyFont="1" applyBorder="1" applyAlignment="1">
      <alignment vertical="center" wrapText="1"/>
    </xf>
    <xf numFmtId="49" fontId="9" fillId="0" borderId="0" xfId="0" applyNumberFormat="1" applyFont="1"/>
    <xf numFmtId="49" fontId="11" fillId="4" borderId="5" xfId="0" applyNumberFormat="1" applyFont="1" applyFill="1" applyBorder="1" applyAlignment="1">
      <alignment horizontal="center" vertical="center"/>
    </xf>
    <xf numFmtId="49" fontId="8" fillId="0" borderId="5" xfId="2" applyNumberFormat="1" applyFont="1" applyBorder="1" applyAlignment="1">
      <alignment horizontal="left"/>
    </xf>
    <xf numFmtId="49" fontId="9" fillId="0" borderId="5" xfId="0" applyNumberFormat="1" applyFont="1" applyBorder="1"/>
    <xf numFmtId="17" fontId="3" fillId="3" borderId="8" xfId="0" applyNumberFormat="1" applyFont="1" applyFill="1" applyBorder="1" applyAlignment="1">
      <alignment horizontal="center" vertical="center" wrapText="1"/>
    </xf>
    <xf numFmtId="17" fontId="3" fillId="3" borderId="1" xfId="0" applyNumberFormat="1" applyFont="1" applyFill="1" applyBorder="1" applyAlignment="1">
      <alignment horizontal="center" vertical="center" wrapText="1"/>
    </xf>
    <xf numFmtId="17" fontId="3" fillId="3" borderId="2" xfId="0" applyNumberFormat="1" applyFont="1" applyFill="1" applyBorder="1" applyAlignment="1">
      <alignment horizontal="center" vertical="center" wrapText="1"/>
    </xf>
    <xf numFmtId="4" fontId="8" fillId="0" borderId="3" xfId="2" applyNumberFormat="1" applyFont="1" applyBorder="1" applyAlignment="1">
      <alignment horizontal="left"/>
    </xf>
    <xf numFmtId="164" fontId="0" fillId="0" borderId="9" xfId="0" applyNumberFormat="1" applyBorder="1"/>
    <xf numFmtId="164" fontId="0" fillId="0" borderId="3" xfId="0" applyNumberFormat="1" applyBorder="1"/>
    <xf numFmtId="0" fontId="8" fillId="0" borderId="3" xfId="3" applyFont="1" applyBorder="1" applyAlignment="1">
      <alignment horizontal="left"/>
    </xf>
    <xf numFmtId="0" fontId="8" fillId="0" borderId="3" xfId="2" applyFont="1" applyBorder="1" applyAlignment="1">
      <alignment horizontal="left"/>
    </xf>
    <xf numFmtId="4" fontId="1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4" fontId="8" fillId="0" borderId="3" xfId="2" applyNumberFormat="1" applyFont="1" applyBorder="1" applyAlignment="1">
      <alignment horizontal="left" vertical="center"/>
    </xf>
    <xf numFmtId="0" fontId="1" fillId="0" borderId="3" xfId="2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3" fillId="0" borderId="3" xfId="6" applyFont="1" applyBorder="1" applyAlignment="1">
      <alignment horizontal="left"/>
    </xf>
    <xf numFmtId="0" fontId="8" fillId="0" borderId="3" xfId="6" applyFont="1" applyBorder="1" applyAlignment="1">
      <alignment horizontal="left"/>
    </xf>
    <xf numFmtId="0" fontId="8" fillId="0" borderId="3" xfId="7" applyFont="1" applyBorder="1" applyAlignment="1">
      <alignment horizontal="left"/>
    </xf>
    <xf numFmtId="0" fontId="8" fillId="0" borderId="3" xfId="10" applyFont="1" applyBorder="1"/>
    <xf numFmtId="164" fontId="0" fillId="0" borderId="4" xfId="0" applyNumberFormat="1" applyBorder="1"/>
    <xf numFmtId="17" fontId="3" fillId="3" borderId="8" xfId="0" applyNumberFormat="1" applyFont="1" applyFill="1" applyBorder="1" applyAlignment="1">
      <alignment horizontal="left" vertical="center" wrapText="1"/>
    </xf>
    <xf numFmtId="4" fontId="8" fillId="0" borderId="11" xfId="2" applyNumberFormat="1" applyFont="1" applyBorder="1" applyAlignment="1"/>
    <xf numFmtId="4" fontId="1" fillId="0" borderId="3" xfId="2" applyNumberFormat="1" applyFont="1" applyBorder="1" applyAlignment="1">
      <alignment horizontal="left"/>
    </xf>
    <xf numFmtId="0" fontId="1" fillId="0" borderId="3" xfId="2" applyFont="1" applyBorder="1" applyAlignment="1">
      <alignment horizontal="left"/>
    </xf>
    <xf numFmtId="0" fontId="1" fillId="0" borderId="3" xfId="3" applyFont="1" applyBorder="1" applyAlignment="1">
      <alignment horizontal="left"/>
    </xf>
    <xf numFmtId="4" fontId="8" fillId="0" borderId="4" xfId="2" applyNumberFormat="1" applyFont="1" applyBorder="1" applyAlignment="1">
      <alignment horizontal="left"/>
    </xf>
    <xf numFmtId="4" fontId="8" fillId="0" borderId="12" xfId="2" applyNumberFormat="1" applyFont="1" applyBorder="1" applyAlignment="1"/>
    <xf numFmtId="4" fontId="8" fillId="0" borderId="11" xfId="2" applyNumberFormat="1" applyFont="1" applyBorder="1" applyAlignment="1">
      <alignment horizontal="left" vertical="center" wrapText="1"/>
    </xf>
    <xf numFmtId="0" fontId="13" fillId="0" borderId="3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3" xfId="3" applyFont="1" applyBorder="1" applyAlignment="1">
      <alignment horizontal="left" vertical="center"/>
    </xf>
    <xf numFmtId="0" fontId="13" fillId="0" borderId="13" xfId="4" applyFont="1" applyBorder="1" applyAlignment="1">
      <alignment horizontal="left" vertical="center"/>
    </xf>
    <xf numFmtId="4" fontId="8" fillId="0" borderId="14" xfId="2" applyNumberFormat="1" applyFont="1" applyBorder="1" applyAlignment="1">
      <alignment horizontal="left"/>
    </xf>
    <xf numFmtId="0" fontId="8" fillId="0" borderId="3" xfId="3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" fillId="0" borderId="15" xfId="2" applyFont="1" applyBorder="1" applyAlignment="1">
      <alignment horizontal="left" vertical="center" wrapText="1"/>
    </xf>
    <xf numFmtId="0" fontId="1" fillId="0" borderId="4" xfId="4" applyFont="1" applyBorder="1" applyAlignment="1">
      <alignment horizontal="left" vertical="center"/>
    </xf>
    <xf numFmtId="4" fontId="8" fillId="0" borderId="12" xfId="2" applyNumberFormat="1" applyFont="1" applyBorder="1" applyAlignment="1">
      <alignment horizontal="left" vertical="center" wrapText="1"/>
    </xf>
    <xf numFmtId="0" fontId="8" fillId="0" borderId="9" xfId="2" applyFont="1" applyBorder="1" applyAlignment="1">
      <alignment horizontal="left" vertical="center"/>
    </xf>
    <xf numFmtId="4" fontId="8" fillId="0" borderId="16" xfId="2" applyNumberFormat="1" applyFont="1" applyBorder="1" applyAlignment="1">
      <alignment horizontal="left" vertical="center"/>
    </xf>
    <xf numFmtId="164" fontId="0" fillId="0" borderId="17" xfId="0" applyNumberFormat="1" applyBorder="1"/>
    <xf numFmtId="4" fontId="8" fillId="0" borderId="11" xfId="2" applyNumberFormat="1" applyFont="1" applyBorder="1" applyAlignment="1">
      <alignment horizontal="left" vertical="center"/>
    </xf>
    <xf numFmtId="4" fontId="8" fillId="0" borderId="11" xfId="2" applyNumberFormat="1" applyFont="1" applyBorder="1" applyAlignment="1">
      <alignment vertical="center"/>
    </xf>
    <xf numFmtId="0" fontId="1" fillId="0" borderId="11" xfId="5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13" fillId="0" borderId="18" xfId="6" applyFont="1" applyBorder="1" applyAlignment="1">
      <alignment horizontal="left"/>
    </xf>
    <xf numFmtId="0" fontId="15" fillId="0" borderId="14" xfId="7" applyFont="1" applyBorder="1" applyAlignment="1">
      <alignment horizontal="left"/>
    </xf>
    <xf numFmtId="0" fontId="14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14" xfId="6" applyBorder="1" applyAlignment="1">
      <alignment horizontal="left"/>
    </xf>
    <xf numFmtId="0" fontId="8" fillId="0" borderId="4" xfId="7" applyFont="1" applyBorder="1" applyAlignment="1">
      <alignment horizontal="left"/>
    </xf>
    <xf numFmtId="0" fontId="13" fillId="0" borderId="4" xfId="6" applyFont="1" applyBorder="1" applyAlignment="1">
      <alignment horizontal="left"/>
    </xf>
    <xf numFmtId="0" fontId="8" fillId="0" borderId="3" xfId="4" applyFont="1" applyBorder="1" applyAlignment="1">
      <alignment horizontal="left" vertical="center"/>
    </xf>
    <xf numFmtId="0" fontId="8" fillId="0" borderId="11" xfId="8" applyFont="1" applyBorder="1" applyAlignment="1">
      <alignment horizontal="left" vertical="center"/>
    </xf>
    <xf numFmtId="0" fontId="8" fillId="0" borderId="3" xfId="9" applyFont="1" applyBorder="1" applyAlignment="1">
      <alignment horizontal="left" vertical="center"/>
    </xf>
    <xf numFmtId="0" fontId="8" fillId="0" borderId="15" xfId="4" applyFont="1" applyBorder="1" applyAlignment="1">
      <alignment horizontal="left" vertical="center"/>
    </xf>
    <xf numFmtId="0" fontId="8" fillId="0" borderId="4" xfId="4" applyFont="1" applyBorder="1" applyAlignment="1">
      <alignment horizontal="left" vertical="center"/>
    </xf>
    <xf numFmtId="0" fontId="8" fillId="0" borderId="12" xfId="8" applyFont="1" applyBorder="1" applyAlignment="1">
      <alignment horizontal="left" vertical="center"/>
    </xf>
    <xf numFmtId="0" fontId="13" fillId="0" borderId="17" xfId="4" applyFont="1" applyBorder="1" applyAlignment="1">
      <alignment horizontal="left"/>
    </xf>
    <xf numFmtId="0" fontId="8" fillId="0" borderId="19" xfId="8" applyFont="1" applyBorder="1" applyAlignment="1">
      <alignment horizontal="left"/>
    </xf>
    <xf numFmtId="0" fontId="13" fillId="0" borderId="3" xfId="4" applyFont="1" applyBorder="1" applyAlignment="1">
      <alignment horizontal="left"/>
    </xf>
    <xf numFmtId="0" fontId="8" fillId="0" borderId="11" xfId="8" applyFont="1" applyBorder="1" applyAlignment="1">
      <alignment horizontal="left"/>
    </xf>
    <xf numFmtId="0" fontId="8" fillId="0" borderId="3" xfId="4" applyFont="1" applyBorder="1" applyAlignment="1">
      <alignment horizontal="left"/>
    </xf>
    <xf numFmtId="0" fontId="13" fillId="0" borderId="4" xfId="4" applyFont="1" applyBorder="1" applyAlignment="1">
      <alignment horizontal="left"/>
    </xf>
    <xf numFmtId="0" fontId="8" fillId="0" borderId="12" xfId="8" applyFont="1" applyBorder="1" applyAlignment="1">
      <alignment horizontal="left"/>
    </xf>
    <xf numFmtId="164" fontId="0" fillId="0" borderId="20" xfId="0" applyNumberFormat="1" applyBorder="1"/>
    <xf numFmtId="49" fontId="1" fillId="0" borderId="3" xfId="10" applyNumberFormat="1" applyFont="1" applyBorder="1" applyAlignment="1">
      <alignment horizontal="left"/>
    </xf>
    <xf numFmtId="0" fontId="1" fillId="0" borderId="3" xfId="10" applyFont="1" applyBorder="1" applyAlignment="1">
      <alignment horizontal="left"/>
    </xf>
    <xf numFmtId="49" fontId="1" fillId="0" borderId="14" xfId="11" applyNumberFormat="1" applyFont="1" applyBorder="1" applyAlignment="1">
      <alignment horizontal="left"/>
    </xf>
    <xf numFmtId="0" fontId="8" fillId="0" borderId="14" xfId="11" applyFont="1" applyBorder="1"/>
    <xf numFmtId="0" fontId="14" fillId="0" borderId="14" xfId="0" applyFont="1" applyBorder="1" applyAlignment="1">
      <alignment horizontal="left"/>
    </xf>
    <xf numFmtId="49" fontId="8" fillId="0" borderId="14" xfId="11" applyNumberFormat="1" applyFont="1" applyBorder="1" applyAlignment="1">
      <alignment horizontal="left"/>
    </xf>
    <xf numFmtId="0" fontId="8" fillId="5" borderId="14" xfId="11" applyFont="1" applyFill="1" applyBorder="1"/>
    <xf numFmtId="0" fontId="1" fillId="0" borderId="4" xfId="10" applyFont="1" applyBorder="1" applyAlignment="1">
      <alignment horizontal="left"/>
    </xf>
    <xf numFmtId="0" fontId="8" fillId="0" borderId="4" xfId="10" applyFont="1" applyBorder="1"/>
    <xf numFmtId="0" fontId="8" fillId="0" borderId="3" xfId="9" applyFont="1" applyBorder="1" applyAlignment="1">
      <alignment horizontal="left"/>
    </xf>
    <xf numFmtId="0" fontId="8" fillId="0" borderId="11" xfId="9" applyFont="1" applyBorder="1"/>
    <xf numFmtId="0" fontId="8" fillId="0" borderId="4" xfId="9" applyFont="1" applyBorder="1" applyAlignment="1">
      <alignment horizontal="left"/>
    </xf>
    <xf numFmtId="0" fontId="8" fillId="0" borderId="12" xfId="9" applyFont="1" applyBorder="1"/>
    <xf numFmtId="164" fontId="0" fillId="0" borderId="0" xfId="0" applyNumberFormat="1"/>
    <xf numFmtId="0" fontId="0" fillId="0" borderId="0" xfId="0" applyAlignment="1">
      <alignment horizontal="left"/>
    </xf>
    <xf numFmtId="0" fontId="11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vertical="center"/>
    </xf>
    <xf numFmtId="166" fontId="11" fillId="0" borderId="5" xfId="0" applyNumberFormat="1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</cellXfs>
  <cellStyles count="12">
    <cellStyle name="Moneda" xfId="1" builtinId="4"/>
    <cellStyle name="Normal" xfId="0" builtinId="0"/>
    <cellStyle name="Normal 2" xfId="9" xr:uid="{00000000-0005-0000-0000-000002000000}"/>
    <cellStyle name="Normal 2 4 2" xfId="4" xr:uid="{00000000-0005-0000-0000-000003000000}"/>
    <cellStyle name="Normal 2 4_Lista de precios Agos-2012 Linea Madera-Metal" xfId="6" xr:uid="{00000000-0005-0000-0000-000004000000}"/>
    <cellStyle name="Normal 3" xfId="5" xr:uid="{00000000-0005-0000-0000-000005000000}"/>
    <cellStyle name="Normal 3 3_Lista de precios Agos-2012 Linea Madera-Metal" xfId="7" xr:uid="{00000000-0005-0000-0000-000006000000}"/>
    <cellStyle name="Normal 5 2" xfId="2" xr:uid="{00000000-0005-0000-0000-000007000000}"/>
    <cellStyle name="Normal_ANALISIS DE PRECIO DE TRANFERENCIA 2002-2003 mia" xfId="3" xr:uid="{00000000-0005-0000-0000-000008000000}"/>
    <cellStyle name="Normal_Guia Anual Precios de transferencia 2003-2004_1" xfId="10" xr:uid="{00000000-0005-0000-0000-000009000000}"/>
    <cellStyle name="Normal_Guia Anual Precios de transferencia 2003-2004_1 2" xfId="11" xr:uid="{00000000-0005-0000-0000-00000A000000}"/>
    <cellStyle name="Normal_Precios transf. r alam 2" xfId="8" xr:uid="{00000000-0005-0000-0000-00000B000000}"/>
  </cellStyles>
  <dxfs count="21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amorales/Local%20Settings/Temporary%20Internet%20Files/Content.Outlook/JD3WIZ08/Documents%20and%20Settings/stenorio/Local%20Settings/Temporary%20Internet%20Files/OLK7C4/Dias%20de%20caducidad%20de%20PT%20y%20MP%20(1).xls" TargetMode="External"/><Relationship Id="rId1" Type="http://schemas.openxmlformats.org/officeDocument/2006/relationships/externalLinkPath" Target="/Documents%20and%20Settings/amorales/Local%20Settings/Temporary%20Internet%20Files/Content.Outlook/JD3WIZ08/Documents%20and%20Settings/stenorio/Local%20Settings/Temporary%20Internet%20Files/OLK7C4/Dias%20de%20caducidad%20de%20PT%20y%20MP%20(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ocuments%20and%20Settings/amorales/Local%20Settings/Temporary%20Internet%20Files/Content.Outlook/JD3WIZ08/Documents%20and%20Settings/stenorio/Local%20Settings/Temporary%20Internet%20Files/OLK7C4/Dias%20de%20caducidad%20de%20PT%20y%20MP%20(1).xls?384DE2B7" TargetMode="External"/><Relationship Id="rId1" Type="http://schemas.openxmlformats.org/officeDocument/2006/relationships/externalLinkPath" Target="file:///\\384DE2B7\Dias%20de%20caducidad%20de%20PT%20y%20MP%20(1)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jmendez/My%20Documents/LITERATURA/ESPECIFICACIONES%20TECNICAS%20PT.xls" TargetMode="External"/><Relationship Id="rId1" Type="http://schemas.openxmlformats.org/officeDocument/2006/relationships/externalLinkPath" Target="/Documents%20and%20Settings/jmendez/My%20Documents/LITERATURA/ESPECIFICACIONES%20TECNICAS%20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jmendez/My%20Documents/LITERATURA/ESPECIFICACIONES%20TECNICAS%20P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~1/txf74c/LOCALS~1/Temp/notesEA312D/2011%20P&amp;M%20Master%20Price%20File%20Effective%201-11.xlsx" TargetMode="External"/><Relationship Id="rId1" Type="http://schemas.openxmlformats.org/officeDocument/2006/relationships/externalLinkPath" Target="/DOCUME~1/txf74c/LOCALS~1/Temp/notesEA312D/2011%20P&amp;M%20Master%20Price%20File%20Effective%201-1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txf74c/LOCALS~1/Temp/notesEA312D/2011%20P&amp;M%20Master%20Price%20File%20Effective%201-1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H:/Documents%20and%20Settings/jmendez/My%20Documents/LITERATURA/ESPECIFICACIONES%20TECNICAS%20PT.xls" TargetMode="External"/><Relationship Id="rId1" Type="http://schemas.openxmlformats.org/officeDocument/2006/relationships/externalLinkPath" Target="/H:/Documents%20and%20Settings/jmendez/My%20Documents/LITERATURA/ESPECIFICACIONES%20TECNICAS%20P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:/Documents%20and%20Settings/jmendez/My%20Documents/LITERATURA/ESPECIFICACIONES%20TECNICAS%20PT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I:/Share/INFO/IMMKTG/Todd%20Hart%20Info/excel/Documents%20and%20Settings/jjkarr/Local%20Settings/Temporary%20Internet%20Files/OLK28/GP/GP%202005$list_Oct-05l.xls" TargetMode="External"/><Relationship Id="rId1" Type="http://schemas.openxmlformats.org/officeDocument/2006/relationships/externalLinkPath" Target="/I:/Share/INFO/IMMKTG/Todd%20Hart%20Info/excel/Documents%20and%20Settings/jjkarr/Local%20Settings/Temporary%20Internet%20Files/OLK28/GP/GP%202005$list_Oct-05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I:/Share/INFO/IMMKTG/Todd%20Hart%20Info/excel/Documents%20and%20Settings/jjkarr/Local%20Settings/Temporary%20Internet%20Files/OLK28/GP/GP%202005$list_Oct-05l.xls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sta%20de%20Precios%20Distribuidores%20(20%20de%20abril%202026).xls" TargetMode="External"/><Relationship Id="rId2" Type="http://schemas.openxmlformats.org/officeDocument/2006/relationships/externalLinkPath" Target="file:///C:\Users\tecno\Downloads\Lista%20de%20Precios%20Distribuidores%20(20%20de%20abril%202026).xls" TargetMode="External"/><Relationship Id="rId1" Type="http://schemas.openxmlformats.org/officeDocument/2006/relationships/externalLinkPath" Target="/Users/tecno/Downloads/Lista%20de%20Precios%20Distribuidores%20(20%20de%20abril%20202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T"/>
      <sheetName val="Sheet 1"/>
      <sheetName val="Sheet1"/>
    </sheetNames>
    <sheetDataSet>
      <sheetData sheetId="0" refreshError="1">
        <row r="1">
          <cell r="A1" t="str">
            <v>IMLITM</v>
          </cell>
          <cell r="B1" t="str">
            <v>IMDSC1</v>
          </cell>
          <cell r="C1" t="str">
            <v>Años</v>
          </cell>
          <cell r="D1" t="str">
            <v>CADUCIDAD DIAS</v>
          </cell>
        </row>
        <row r="2">
          <cell r="A2">
            <v>988</v>
          </cell>
          <cell r="B2" t="str">
            <v xml:space="preserve">SELF   ETCHING   PRIMER SPRAY </v>
          </cell>
          <cell r="C2">
            <v>2</v>
          </cell>
          <cell r="D2">
            <v>730</v>
          </cell>
        </row>
        <row r="3">
          <cell r="A3" t="str">
            <v>8449955-1/4</v>
          </cell>
          <cell r="B3" t="str">
            <v xml:space="preserve">LAMP BLACK                    </v>
          </cell>
          <cell r="C3">
            <v>3</v>
          </cell>
          <cell r="D3">
            <v>1095</v>
          </cell>
        </row>
        <row r="4">
          <cell r="A4" t="str">
            <v>A60B1</v>
          </cell>
          <cell r="B4" t="str">
            <v xml:space="preserve">BLEND - A - COLOR NEGRO       </v>
          </cell>
          <cell r="C4">
            <v>3</v>
          </cell>
          <cell r="D4">
            <v>1095</v>
          </cell>
        </row>
        <row r="5">
          <cell r="A5" t="str">
            <v>A60B1-1/4</v>
          </cell>
          <cell r="B5" t="str">
            <v xml:space="preserve">BLEND - A - COLOR NEGRO       </v>
          </cell>
          <cell r="C5">
            <v>3</v>
          </cell>
          <cell r="D5">
            <v>1095</v>
          </cell>
        </row>
        <row r="6">
          <cell r="A6" t="str">
            <v>A60G2</v>
          </cell>
          <cell r="B6" t="str">
            <v xml:space="preserve">BLEND - A - COLOR NUEVO VERDE </v>
          </cell>
          <cell r="C6">
            <v>3</v>
          </cell>
          <cell r="D6">
            <v>1095</v>
          </cell>
        </row>
        <row r="7">
          <cell r="A7" t="str">
            <v>A60G2-1/4</v>
          </cell>
          <cell r="B7" t="str">
            <v xml:space="preserve">BLEND - A - COLOR NUEVO VERDE </v>
          </cell>
          <cell r="C7">
            <v>3</v>
          </cell>
          <cell r="D7">
            <v>1095</v>
          </cell>
        </row>
        <row r="8">
          <cell r="A8" t="str">
            <v>A60L1</v>
          </cell>
          <cell r="B8" t="str">
            <v xml:space="preserve">BLEND - A - COLOR AZUL        </v>
          </cell>
          <cell r="C8">
            <v>3</v>
          </cell>
          <cell r="D8">
            <v>1095</v>
          </cell>
        </row>
        <row r="9">
          <cell r="A9" t="str">
            <v>A60L1-1/4</v>
          </cell>
          <cell r="B9" t="str">
            <v xml:space="preserve">BLEND - A - COLOR AZUL        </v>
          </cell>
          <cell r="C9">
            <v>3</v>
          </cell>
          <cell r="D9">
            <v>1095</v>
          </cell>
        </row>
        <row r="10">
          <cell r="A10" t="str">
            <v>A60N1</v>
          </cell>
          <cell r="B10" t="str">
            <v xml:space="preserve">BLEND - A - COLOR CASTAÑO     </v>
          </cell>
          <cell r="C10">
            <v>3</v>
          </cell>
          <cell r="D10">
            <v>1095</v>
          </cell>
        </row>
        <row r="11">
          <cell r="A11" t="str">
            <v>A60N1-1/4</v>
          </cell>
          <cell r="B11" t="str">
            <v xml:space="preserve">BLEND - A - COLOR CASTAÑ0     </v>
          </cell>
          <cell r="C11">
            <v>3</v>
          </cell>
          <cell r="D11">
            <v>1095</v>
          </cell>
        </row>
        <row r="12">
          <cell r="A12" t="str">
            <v>A60R1</v>
          </cell>
          <cell r="B12" t="str">
            <v xml:space="preserve">BLEND - A - COLOR MAGENTA     </v>
          </cell>
          <cell r="C12">
            <v>3</v>
          </cell>
          <cell r="D12">
            <v>1095</v>
          </cell>
        </row>
        <row r="13">
          <cell r="A13" t="str">
            <v>A60R1-1/4</v>
          </cell>
          <cell r="B13" t="str">
            <v xml:space="preserve">BLEND - A - COLOR MAGENTA     </v>
          </cell>
          <cell r="C13">
            <v>3</v>
          </cell>
          <cell r="D13">
            <v>1095</v>
          </cell>
        </row>
        <row r="14">
          <cell r="A14" t="str">
            <v>A60R2</v>
          </cell>
          <cell r="B14" t="str">
            <v xml:space="preserve">BLEND - A - COLOR ROJO OXIDO  </v>
          </cell>
          <cell r="C14">
            <v>3</v>
          </cell>
          <cell r="D14">
            <v>1095</v>
          </cell>
        </row>
        <row r="15">
          <cell r="A15" t="str">
            <v>A60R2-1/4</v>
          </cell>
          <cell r="B15" t="str">
            <v xml:space="preserve">BLEND - A - COLOR ROJO OXIDO  </v>
          </cell>
          <cell r="C15">
            <v>3</v>
          </cell>
          <cell r="D15">
            <v>1095</v>
          </cell>
        </row>
        <row r="16">
          <cell r="A16" t="str">
            <v>A60R3</v>
          </cell>
          <cell r="B16" t="str">
            <v xml:space="preserve">BLEND-A-COLOR  MAGENTA        </v>
          </cell>
          <cell r="C16">
            <v>3</v>
          </cell>
          <cell r="D16">
            <v>1095</v>
          </cell>
        </row>
        <row r="17">
          <cell r="A17" t="str">
            <v>A60R3-1/4</v>
          </cell>
          <cell r="B17" t="str">
            <v xml:space="preserve">BLEND - A - COLOR MAGENTA     </v>
          </cell>
          <cell r="C17">
            <v>3</v>
          </cell>
          <cell r="D17">
            <v>1095</v>
          </cell>
        </row>
        <row r="18">
          <cell r="A18" t="str">
            <v>A60R4</v>
          </cell>
          <cell r="B18" t="str">
            <v xml:space="preserve">BLEND - A - COLOR NUEVO ROJO  </v>
          </cell>
          <cell r="C18">
            <v>3</v>
          </cell>
          <cell r="D18">
            <v>1095</v>
          </cell>
        </row>
        <row r="19">
          <cell r="A19" t="str">
            <v>A60R4-1/4</v>
          </cell>
          <cell r="B19" t="str">
            <v xml:space="preserve">BLEND - A - COLOR NUEVO ROJO  </v>
          </cell>
          <cell r="C19">
            <v>3</v>
          </cell>
          <cell r="D19">
            <v>1095</v>
          </cell>
        </row>
        <row r="20">
          <cell r="A20" t="str">
            <v>A60W1</v>
          </cell>
          <cell r="B20" t="str">
            <v xml:space="preserve">BLEND - A - COLOR BLANCO      </v>
          </cell>
          <cell r="C20">
            <v>3</v>
          </cell>
          <cell r="D20">
            <v>1095</v>
          </cell>
        </row>
        <row r="21">
          <cell r="A21" t="str">
            <v>A60W1-1/4</v>
          </cell>
          <cell r="B21" t="str">
            <v xml:space="preserve">BLEND - A - COLOR BLANCO      </v>
          </cell>
          <cell r="C21">
            <v>3</v>
          </cell>
          <cell r="D21">
            <v>1095</v>
          </cell>
        </row>
        <row r="22">
          <cell r="A22" t="str">
            <v>A60Y1</v>
          </cell>
          <cell r="B22" t="str">
            <v xml:space="preserve">BLEND - A - COLOR AMARILLO    </v>
          </cell>
          <cell r="C22">
            <v>3</v>
          </cell>
          <cell r="D22">
            <v>1095</v>
          </cell>
        </row>
        <row r="23">
          <cell r="A23" t="str">
            <v>A60Y1-1/4</v>
          </cell>
          <cell r="B23" t="str">
            <v xml:space="preserve">BLEND - A - COLOR AMARILLO    </v>
          </cell>
          <cell r="C23">
            <v>3</v>
          </cell>
          <cell r="D23">
            <v>1095</v>
          </cell>
        </row>
        <row r="24">
          <cell r="A24" t="str">
            <v>A60Y3</v>
          </cell>
          <cell r="B24" t="str">
            <v>BLEND - A - COLOR AMARIL OXIDO</v>
          </cell>
          <cell r="C24">
            <v>3</v>
          </cell>
          <cell r="D24">
            <v>1095</v>
          </cell>
        </row>
        <row r="25">
          <cell r="A25" t="str">
            <v>A60Y3-1/4</v>
          </cell>
          <cell r="B25" t="str">
            <v>BLEND - A - COLOR AMARIL OXIDO</v>
          </cell>
          <cell r="C25">
            <v>3</v>
          </cell>
          <cell r="D25">
            <v>1095</v>
          </cell>
        </row>
        <row r="26">
          <cell r="A26" t="str">
            <v>AS8</v>
          </cell>
          <cell r="B26" t="str">
            <v xml:space="preserve">ACCELERATED REDUCER           </v>
          </cell>
          <cell r="C26">
            <v>1</v>
          </cell>
          <cell r="D26">
            <v>365</v>
          </cell>
        </row>
        <row r="27">
          <cell r="A27" t="str">
            <v>AS8-1</v>
          </cell>
          <cell r="B27" t="str">
            <v xml:space="preserve">ACCELERATED REDUCER           </v>
          </cell>
          <cell r="C27">
            <v>1</v>
          </cell>
          <cell r="D27">
            <v>365</v>
          </cell>
        </row>
        <row r="28">
          <cell r="A28" t="str">
            <v>B14VP1</v>
          </cell>
          <cell r="B28" t="str">
            <v xml:space="preserve">EXCELLO ALL PURPOSE VARNISH   </v>
          </cell>
          <cell r="C28">
            <v>1</v>
          </cell>
          <cell r="D28">
            <v>365</v>
          </cell>
        </row>
        <row r="29">
          <cell r="A29" t="str">
            <v>B14VP1-1</v>
          </cell>
          <cell r="B29" t="str">
            <v xml:space="preserve">EXCELLO ALL PURPOSE VARNISH   </v>
          </cell>
          <cell r="C29">
            <v>1</v>
          </cell>
          <cell r="D29">
            <v>365</v>
          </cell>
        </row>
        <row r="30">
          <cell r="A30" t="str">
            <v>B14VP1-1/4</v>
          </cell>
          <cell r="B30" t="str">
            <v xml:space="preserve">EXCELLO ALL PURPOSE  VARNISH  </v>
          </cell>
          <cell r="C30">
            <v>1</v>
          </cell>
          <cell r="D30">
            <v>365</v>
          </cell>
        </row>
        <row r="31">
          <cell r="A31" t="str">
            <v>B59S1</v>
          </cell>
          <cell r="B31" t="str">
            <v>SILVERBRIT ALUMINU PAINT No.15</v>
          </cell>
          <cell r="C31">
            <v>0.49863013698630138</v>
          </cell>
          <cell r="D31">
            <v>182</v>
          </cell>
        </row>
        <row r="32">
          <cell r="A32" t="str">
            <v>B59S1-1</v>
          </cell>
          <cell r="B32" t="str">
            <v>SILVERBRIT ALUMINU PAINT No.15</v>
          </cell>
          <cell r="C32">
            <v>0.49863013698630138</v>
          </cell>
          <cell r="D32">
            <v>182</v>
          </cell>
        </row>
        <row r="33">
          <cell r="A33" t="str">
            <v>B59S1-1/4</v>
          </cell>
          <cell r="B33" t="str">
            <v>SILVERBRIT ALUMINU PAINT No.15</v>
          </cell>
          <cell r="C33">
            <v>0.49863013698630138</v>
          </cell>
          <cell r="D33">
            <v>182</v>
          </cell>
        </row>
        <row r="34">
          <cell r="A34" t="str">
            <v>B59S1-5</v>
          </cell>
          <cell r="B34" t="str">
            <v>SILVERBRIT ALUMINU PAINT No.15</v>
          </cell>
          <cell r="C34">
            <v>0.49863013698630138</v>
          </cell>
          <cell r="D34">
            <v>182</v>
          </cell>
        </row>
        <row r="35">
          <cell r="A35" t="str">
            <v>B59S3</v>
          </cell>
          <cell r="B35" t="str">
            <v xml:space="preserve">SILVER BRITE HI-HEAT ALUM 55  </v>
          </cell>
          <cell r="C35">
            <v>0.49863013698630138</v>
          </cell>
          <cell r="D35">
            <v>182</v>
          </cell>
        </row>
        <row r="36">
          <cell r="A36" t="str">
            <v>B59S3-1</v>
          </cell>
          <cell r="B36" t="str">
            <v xml:space="preserve">SILVER BRITE HI-HEAT ALUM 55  </v>
          </cell>
          <cell r="C36">
            <v>0.49863013698630138</v>
          </cell>
          <cell r="D36">
            <v>182</v>
          </cell>
        </row>
        <row r="37">
          <cell r="A37" t="str">
            <v>B59S8</v>
          </cell>
          <cell r="B37" t="str">
            <v>SILVER-BRITE HI-HEAT ALU PAINT</v>
          </cell>
          <cell r="C37">
            <v>0.49863013698630138</v>
          </cell>
          <cell r="D37">
            <v>182</v>
          </cell>
        </row>
        <row r="38">
          <cell r="A38" t="str">
            <v>B59S8-1</v>
          </cell>
          <cell r="B38" t="str">
            <v>SILVER-BRITE HI-HEAT ALU PAINT</v>
          </cell>
          <cell r="C38">
            <v>0.49863013698630138</v>
          </cell>
          <cell r="D38">
            <v>182</v>
          </cell>
        </row>
        <row r="39">
          <cell r="A39" t="str">
            <v>BCS600</v>
          </cell>
          <cell r="B39" t="str">
            <v xml:space="preserve">BASECOAT STABILIZER  RAPIDO   </v>
          </cell>
          <cell r="C39">
            <v>1</v>
          </cell>
          <cell r="D39">
            <v>182</v>
          </cell>
        </row>
        <row r="40">
          <cell r="A40" t="str">
            <v>BCS600-1</v>
          </cell>
          <cell r="B40" t="str">
            <v xml:space="preserve">BASECOAT STABILIZER  RAPIDO   </v>
          </cell>
          <cell r="C40">
            <v>1</v>
          </cell>
          <cell r="D40">
            <v>182</v>
          </cell>
        </row>
        <row r="41">
          <cell r="A41" t="str">
            <v>BCS600-E</v>
          </cell>
          <cell r="B41" t="str">
            <v xml:space="preserve">BASECOAT STABILIZER RAPIDO    </v>
          </cell>
          <cell r="C41">
            <v>1</v>
          </cell>
          <cell r="D41">
            <v>182</v>
          </cell>
        </row>
        <row r="42">
          <cell r="A42" t="str">
            <v>BCS600E-1</v>
          </cell>
          <cell r="B42" t="str">
            <v xml:space="preserve">BASECOAT STABILIZER RAPIDO    </v>
          </cell>
          <cell r="C42">
            <v>1</v>
          </cell>
          <cell r="D42">
            <v>182</v>
          </cell>
        </row>
        <row r="43">
          <cell r="A43" t="str">
            <v>BCS605</v>
          </cell>
          <cell r="B43" t="str">
            <v xml:space="preserve">BASECOAT STABILIZER  STANDARD </v>
          </cell>
          <cell r="C43">
            <v>1</v>
          </cell>
          <cell r="D43">
            <v>182</v>
          </cell>
        </row>
        <row r="44">
          <cell r="A44" t="str">
            <v>BCS605-1</v>
          </cell>
          <cell r="B44" t="str">
            <v xml:space="preserve">BASECOAT STABILIZER  STANDARD </v>
          </cell>
          <cell r="C44">
            <v>1</v>
          </cell>
          <cell r="D44">
            <v>182</v>
          </cell>
        </row>
        <row r="45">
          <cell r="A45" t="str">
            <v>BCS605-E</v>
          </cell>
          <cell r="B45" t="str">
            <v xml:space="preserve">BASECOAT STABILIZER STANDARD  </v>
          </cell>
          <cell r="C45">
            <v>1</v>
          </cell>
          <cell r="D45">
            <v>182</v>
          </cell>
        </row>
        <row r="46">
          <cell r="A46" t="str">
            <v>BCS605E-1</v>
          </cell>
          <cell r="B46" t="str">
            <v xml:space="preserve">BASECOAT STABILIZER STANDARD  </v>
          </cell>
          <cell r="C46">
            <v>1</v>
          </cell>
          <cell r="D46">
            <v>182</v>
          </cell>
        </row>
        <row r="47">
          <cell r="A47" t="str">
            <v>BCS608</v>
          </cell>
          <cell r="B47" t="str">
            <v xml:space="preserve">BASECOAT  STABILIZER MEDIANO  </v>
          </cell>
          <cell r="C47">
            <v>1</v>
          </cell>
          <cell r="D47">
            <v>182</v>
          </cell>
        </row>
        <row r="48">
          <cell r="A48" t="str">
            <v>BCS608-1</v>
          </cell>
          <cell r="B48" t="str">
            <v xml:space="preserve">BASECOAT  STABILIZER MEDIANO  </v>
          </cell>
          <cell r="C48">
            <v>1</v>
          </cell>
          <cell r="D48">
            <v>182</v>
          </cell>
        </row>
        <row r="49">
          <cell r="A49" t="str">
            <v>BCS608-E</v>
          </cell>
          <cell r="B49" t="str">
            <v xml:space="preserve">BASECAOT STABILIZER MEDIANO   </v>
          </cell>
          <cell r="C49">
            <v>1</v>
          </cell>
          <cell r="D49">
            <v>182</v>
          </cell>
        </row>
        <row r="50">
          <cell r="A50" t="str">
            <v>BCS608E-1</v>
          </cell>
          <cell r="B50" t="str">
            <v xml:space="preserve">BASECAOT STABILIZER MEDIANO   </v>
          </cell>
          <cell r="C50">
            <v>1</v>
          </cell>
          <cell r="D50">
            <v>182</v>
          </cell>
        </row>
        <row r="51">
          <cell r="A51" t="str">
            <v>BCS-610</v>
          </cell>
          <cell r="B51" t="str">
            <v xml:space="preserve">ULTRA 7000 BASECOAT HI-TEMP   </v>
          </cell>
          <cell r="C51">
            <v>1</v>
          </cell>
          <cell r="D51">
            <v>182</v>
          </cell>
        </row>
        <row r="52">
          <cell r="A52" t="str">
            <v>BCS610-1</v>
          </cell>
          <cell r="B52" t="str">
            <v xml:space="preserve">ULTRA 7000 BASECOAT HI-TEMP   </v>
          </cell>
          <cell r="C52">
            <v>1</v>
          </cell>
          <cell r="D52">
            <v>182</v>
          </cell>
        </row>
        <row r="53">
          <cell r="A53" t="str">
            <v>BS10</v>
          </cell>
          <cell r="B53" t="str">
            <v xml:space="preserve">URETHANE BLENDING SOLVENT     </v>
          </cell>
          <cell r="C53">
            <v>1</v>
          </cell>
          <cell r="D53">
            <v>365</v>
          </cell>
        </row>
        <row r="54">
          <cell r="A54" t="str">
            <v>BS10-1</v>
          </cell>
          <cell r="B54" t="str">
            <v xml:space="preserve">URETHANE BLENDING SOLVENT     </v>
          </cell>
          <cell r="C54">
            <v>1</v>
          </cell>
          <cell r="D54">
            <v>365</v>
          </cell>
        </row>
        <row r="55">
          <cell r="A55" t="str">
            <v>BS9</v>
          </cell>
          <cell r="B55" t="str">
            <v xml:space="preserve">BLENDING SOLVENT              </v>
          </cell>
          <cell r="C55">
            <v>1</v>
          </cell>
          <cell r="D55">
            <v>365</v>
          </cell>
        </row>
        <row r="56">
          <cell r="A56" t="str">
            <v>BS9-1</v>
          </cell>
          <cell r="B56" t="str">
            <v xml:space="preserve">BLENDING SOLVENT              </v>
          </cell>
          <cell r="C56">
            <v>1</v>
          </cell>
          <cell r="D56">
            <v>365</v>
          </cell>
        </row>
        <row r="57">
          <cell r="A57" t="str">
            <v>CC630-1</v>
          </cell>
          <cell r="B57" t="str">
            <v xml:space="preserve">SPOT  PANEL   FAST  CLEARCOAT </v>
          </cell>
          <cell r="C57">
            <v>1</v>
          </cell>
          <cell r="D57">
            <v>365</v>
          </cell>
        </row>
        <row r="58">
          <cell r="A58" t="str">
            <v>CC637</v>
          </cell>
          <cell r="B58" t="str">
            <v xml:space="preserve">MAXIM  PERFORMANCE  CLEARCOAT </v>
          </cell>
          <cell r="C58">
            <v>1</v>
          </cell>
          <cell r="D58">
            <v>365</v>
          </cell>
        </row>
        <row r="59">
          <cell r="A59" t="str">
            <v>CC637-1</v>
          </cell>
          <cell r="B59" t="str">
            <v xml:space="preserve">MAXIM  PERFORMANCE  CLEARCOAT </v>
          </cell>
          <cell r="C59">
            <v>1</v>
          </cell>
          <cell r="D59">
            <v>365</v>
          </cell>
        </row>
        <row r="60">
          <cell r="A60" t="str">
            <v>CC639-1</v>
          </cell>
          <cell r="B60" t="str">
            <v xml:space="preserve">SUPER   GLAMOUR   CLEARCOAT   </v>
          </cell>
          <cell r="C60">
            <v>1</v>
          </cell>
          <cell r="D60">
            <v>365</v>
          </cell>
        </row>
        <row r="61">
          <cell r="A61" t="str">
            <v>CC645</v>
          </cell>
          <cell r="B61" t="str">
            <v xml:space="preserve">UNIVERSAL CLEARCOAT           </v>
          </cell>
          <cell r="C61">
            <v>1</v>
          </cell>
          <cell r="D61">
            <v>365</v>
          </cell>
        </row>
        <row r="62">
          <cell r="A62" t="str">
            <v>CC645-1</v>
          </cell>
          <cell r="B62" t="str">
            <v xml:space="preserve">UNIVERSAL CLEARCOAT           </v>
          </cell>
          <cell r="C62">
            <v>1</v>
          </cell>
          <cell r="D62">
            <v>365</v>
          </cell>
        </row>
        <row r="63">
          <cell r="A63" t="str">
            <v>CC645-1/4</v>
          </cell>
          <cell r="B63" t="str">
            <v xml:space="preserve">UNIVERSAL CLEARCOAT           </v>
          </cell>
          <cell r="C63">
            <v>1</v>
          </cell>
          <cell r="D63">
            <v>365</v>
          </cell>
        </row>
        <row r="64">
          <cell r="A64" t="str">
            <v>CC647-1/4</v>
          </cell>
          <cell r="B64" t="str">
            <v xml:space="preserve">ULTRA 7000 MATTE CLEARCOAT    </v>
          </cell>
          <cell r="C64">
            <v>1</v>
          </cell>
          <cell r="D64">
            <v>365</v>
          </cell>
        </row>
        <row r="65">
          <cell r="A65" t="str">
            <v>CC648-SPRAY</v>
          </cell>
          <cell r="B65" t="str">
            <v>ULTRA 7000 KUT IN CLEAR  SPRAY</v>
          </cell>
          <cell r="C65">
            <v>1</v>
          </cell>
          <cell r="D65">
            <v>365</v>
          </cell>
        </row>
        <row r="66">
          <cell r="A66" t="str">
            <v>CC649-1</v>
          </cell>
          <cell r="B66" t="str">
            <v xml:space="preserve">ULTRA 7000 KUT IN CLEAR       </v>
          </cell>
          <cell r="C66">
            <v>1</v>
          </cell>
          <cell r="D66">
            <v>365</v>
          </cell>
        </row>
        <row r="67">
          <cell r="A67" t="str">
            <v>CC930</v>
          </cell>
          <cell r="B67" t="str">
            <v xml:space="preserve">SPEED PLUS  REPAIR CLEARCOAT  </v>
          </cell>
          <cell r="C67">
            <v>1</v>
          </cell>
          <cell r="D67">
            <v>365</v>
          </cell>
        </row>
        <row r="68">
          <cell r="A68" t="str">
            <v>CC930-1</v>
          </cell>
          <cell r="B68" t="str">
            <v xml:space="preserve">SPEED PLUS  REPAIR CLEARCOAT  </v>
          </cell>
          <cell r="C68">
            <v>1</v>
          </cell>
          <cell r="D68">
            <v>365</v>
          </cell>
        </row>
        <row r="69">
          <cell r="A69" t="str">
            <v>CC930-1/4</v>
          </cell>
          <cell r="B69" t="str">
            <v xml:space="preserve">SPEED PLUS  REPAIR CLEARCOAT  </v>
          </cell>
          <cell r="C69">
            <v>1</v>
          </cell>
          <cell r="D69">
            <v>365</v>
          </cell>
        </row>
        <row r="70">
          <cell r="A70" t="str">
            <v>CC940-1</v>
          </cell>
          <cell r="B70" t="str">
            <v xml:space="preserve">HIGH PREMIUM PLUS CLEARCOAT   </v>
          </cell>
          <cell r="C70">
            <v>1</v>
          </cell>
          <cell r="D70">
            <v>365</v>
          </cell>
        </row>
        <row r="71">
          <cell r="A71" t="str">
            <v>CC947-1/4</v>
          </cell>
          <cell r="B71" t="str">
            <v xml:space="preserve">ULTRA 7000 MATTE CLEARCOAT    </v>
          </cell>
          <cell r="C71">
            <v>1</v>
          </cell>
          <cell r="D71">
            <v>365</v>
          </cell>
        </row>
        <row r="72">
          <cell r="A72" t="str">
            <v>CCH-690</v>
          </cell>
          <cell r="B72" t="str">
            <v xml:space="preserve">CLEARCOAT   HARDENER .        </v>
          </cell>
          <cell r="C72">
            <v>0.5</v>
          </cell>
          <cell r="D72">
            <v>182.5</v>
          </cell>
        </row>
        <row r="73">
          <cell r="A73" t="str">
            <v>CCH690-1/16</v>
          </cell>
          <cell r="B73" t="str">
            <v xml:space="preserve">CLEARCOAT   HARDENER .        </v>
          </cell>
          <cell r="C73">
            <v>0.5</v>
          </cell>
          <cell r="D73">
            <v>182.5</v>
          </cell>
        </row>
        <row r="74">
          <cell r="A74" t="str">
            <v>CCH690-1/4</v>
          </cell>
          <cell r="B74" t="str">
            <v xml:space="preserve">CLEARCOAT   HARDENER .        </v>
          </cell>
          <cell r="C74">
            <v>0.5</v>
          </cell>
          <cell r="D74">
            <v>182.5</v>
          </cell>
        </row>
        <row r="75">
          <cell r="A75" t="str">
            <v>CCH690-1/8</v>
          </cell>
          <cell r="B75" t="str">
            <v xml:space="preserve">CLEARCOAT   HARDENER .        </v>
          </cell>
          <cell r="C75">
            <v>0.5</v>
          </cell>
          <cell r="D75">
            <v>182.5</v>
          </cell>
        </row>
        <row r="76">
          <cell r="A76" t="str">
            <v>D1T13</v>
          </cell>
          <cell r="B76" t="str">
            <v xml:space="preserve">OPEX RUBBING COMPOUND BLANCO  </v>
          </cell>
          <cell r="C76">
            <v>0.49863013698630138</v>
          </cell>
          <cell r="D76">
            <v>182</v>
          </cell>
        </row>
        <row r="77">
          <cell r="A77" t="str">
            <v>D1T13-1</v>
          </cell>
          <cell r="B77" t="str">
            <v xml:space="preserve">OPEX RUBBING COMPOUND BLANCO  </v>
          </cell>
          <cell r="C77">
            <v>0.49863013698630138</v>
          </cell>
          <cell r="D77">
            <v>182</v>
          </cell>
        </row>
        <row r="78">
          <cell r="A78" t="str">
            <v>D1T13-1/4</v>
          </cell>
          <cell r="B78" t="str">
            <v xml:space="preserve">OPEX RUBBING COMPOUND BLANCO  </v>
          </cell>
          <cell r="C78">
            <v>0.49863013698630138</v>
          </cell>
          <cell r="D78">
            <v>182</v>
          </cell>
        </row>
        <row r="79">
          <cell r="A79" t="str">
            <v>D1T13-5</v>
          </cell>
          <cell r="B79" t="str">
            <v xml:space="preserve">OPEX RUBBING COMPOUND BLANCO  </v>
          </cell>
          <cell r="C79">
            <v>0.49863013698630138</v>
          </cell>
          <cell r="D79">
            <v>182</v>
          </cell>
        </row>
        <row r="80">
          <cell r="A80" t="str">
            <v>D1T2551</v>
          </cell>
          <cell r="B80" t="str">
            <v xml:space="preserve">OPEX RUBBING COMPOUND ROJO    </v>
          </cell>
          <cell r="C80">
            <v>0.49863013698630138</v>
          </cell>
          <cell r="D80">
            <v>182</v>
          </cell>
        </row>
        <row r="81">
          <cell r="A81" t="str">
            <v>D1T2551-1</v>
          </cell>
          <cell r="B81" t="str">
            <v xml:space="preserve">OPEX RUBBING COMPOUND ROJO    </v>
          </cell>
          <cell r="C81">
            <v>0.49863013698630138</v>
          </cell>
          <cell r="D81">
            <v>182</v>
          </cell>
        </row>
        <row r="82">
          <cell r="A82" t="str">
            <v>D1T2551-1/4</v>
          </cell>
          <cell r="B82" t="str">
            <v xml:space="preserve">OPEX RUBBING COMPOUND ROJO    </v>
          </cell>
          <cell r="C82">
            <v>0.49863013698630138</v>
          </cell>
          <cell r="D82">
            <v>182</v>
          </cell>
        </row>
        <row r="83">
          <cell r="A83" t="str">
            <v>D1T2551-5</v>
          </cell>
          <cell r="B83" t="str">
            <v xml:space="preserve">OPEX RUBBING COMPOUND ROJO    </v>
          </cell>
          <cell r="C83">
            <v>0.49863013698630138</v>
          </cell>
          <cell r="D83">
            <v>182</v>
          </cell>
        </row>
        <row r="84">
          <cell r="A84" t="str">
            <v>D2A123</v>
          </cell>
          <cell r="B84" t="str">
            <v>JET BOND (INCLUYE CATALIZADOR)</v>
          </cell>
          <cell r="C84">
            <v>0.49863013698630138</v>
          </cell>
          <cell r="D84">
            <v>182</v>
          </cell>
        </row>
        <row r="85">
          <cell r="A85" t="str">
            <v>D2A123-1</v>
          </cell>
          <cell r="B85" t="str">
            <v xml:space="preserve">JET BOND                      </v>
          </cell>
          <cell r="C85">
            <v>0.49863013698630138</v>
          </cell>
          <cell r="D85">
            <v>182</v>
          </cell>
        </row>
        <row r="86">
          <cell r="A86" t="str">
            <v>D2A123-1/4</v>
          </cell>
          <cell r="B86" t="str">
            <v xml:space="preserve">JET BOND                      </v>
          </cell>
          <cell r="C86">
            <v>0.49863013698630138</v>
          </cell>
          <cell r="D86">
            <v>182</v>
          </cell>
        </row>
        <row r="87">
          <cell r="A87" t="str">
            <v>D2A127</v>
          </cell>
          <cell r="B87" t="str">
            <v xml:space="preserve">MASILLA POLYESTER MEDIANA     </v>
          </cell>
          <cell r="C87">
            <v>0.49863013698630138</v>
          </cell>
          <cell r="D87">
            <v>182</v>
          </cell>
        </row>
        <row r="88">
          <cell r="A88" t="str">
            <v>D2A127-1</v>
          </cell>
          <cell r="B88" t="str">
            <v xml:space="preserve">MASILLA POLYESTER MEDIANA     </v>
          </cell>
          <cell r="C88">
            <v>0.49863013698630138</v>
          </cell>
          <cell r="D88">
            <v>182</v>
          </cell>
        </row>
        <row r="89">
          <cell r="A89" t="str">
            <v>D2A127-1/4</v>
          </cell>
          <cell r="B89" t="str">
            <v xml:space="preserve">MASILLA POLYESTER MEDIANA     </v>
          </cell>
          <cell r="C89">
            <v>0.49863013698630138</v>
          </cell>
          <cell r="D89">
            <v>182</v>
          </cell>
        </row>
        <row r="90">
          <cell r="A90" t="str">
            <v>D2A129</v>
          </cell>
          <cell r="B90" t="str">
            <v>JET BOND LIGHT  (INCL.  CATAL)</v>
          </cell>
          <cell r="C90">
            <v>0.49863013698630138</v>
          </cell>
          <cell r="D90">
            <v>182</v>
          </cell>
        </row>
        <row r="91">
          <cell r="A91" t="str">
            <v>D2A129-1</v>
          </cell>
          <cell r="B91" t="str">
            <v xml:space="preserve">JET BOND LIGHT                </v>
          </cell>
          <cell r="C91">
            <v>0.49863013698630138</v>
          </cell>
          <cell r="D91">
            <v>182</v>
          </cell>
        </row>
        <row r="92">
          <cell r="A92" t="str">
            <v>D2A129-1/4</v>
          </cell>
          <cell r="B92" t="str">
            <v xml:space="preserve">JET BOND LIGHT                </v>
          </cell>
          <cell r="C92">
            <v>0.49863013698630138</v>
          </cell>
          <cell r="D92">
            <v>182</v>
          </cell>
        </row>
        <row r="93">
          <cell r="A93" t="str">
            <v>D33YSA1</v>
          </cell>
          <cell r="B93" t="str">
            <v xml:space="preserve">TINTE INDUSTRIAL              </v>
          </cell>
          <cell r="C93">
            <v>0.49863013698630138</v>
          </cell>
          <cell r="D93">
            <v>182</v>
          </cell>
        </row>
        <row r="94">
          <cell r="A94" t="str">
            <v>D33YSA1-5</v>
          </cell>
          <cell r="B94" t="str">
            <v xml:space="preserve">TINTE INDUSTRIAL ROBLE CLARO  </v>
          </cell>
          <cell r="C94">
            <v>0.49863013698630138</v>
          </cell>
          <cell r="D94">
            <v>182</v>
          </cell>
        </row>
        <row r="95">
          <cell r="A95" t="str">
            <v>D3A2737</v>
          </cell>
          <cell r="B95" t="str">
            <v xml:space="preserve">OPEX GLAZING PUTTY NEGRO      </v>
          </cell>
          <cell r="C95">
            <v>0.49863013698630138</v>
          </cell>
          <cell r="D95">
            <v>182</v>
          </cell>
        </row>
        <row r="96">
          <cell r="A96" t="str">
            <v>D3A2737-1</v>
          </cell>
          <cell r="B96" t="str">
            <v xml:space="preserve">OPEX GLAZING PUTTY NEGRO      </v>
          </cell>
          <cell r="C96">
            <v>0.49863013698630138</v>
          </cell>
          <cell r="D96">
            <v>182</v>
          </cell>
        </row>
        <row r="97">
          <cell r="A97" t="str">
            <v>D3A2737-1/4</v>
          </cell>
          <cell r="B97" t="str">
            <v xml:space="preserve">OPEX GLAZING PUTTY NEGRO      </v>
          </cell>
          <cell r="C97">
            <v>0.49863013698630138</v>
          </cell>
          <cell r="D97">
            <v>182</v>
          </cell>
        </row>
        <row r="98">
          <cell r="A98" t="str">
            <v>D3A2747</v>
          </cell>
          <cell r="B98" t="str">
            <v xml:space="preserve">OPEX GLAZING PUTTY GRIS CLARO </v>
          </cell>
          <cell r="C98">
            <v>0.49863013698630138</v>
          </cell>
          <cell r="D98">
            <v>182</v>
          </cell>
        </row>
        <row r="99">
          <cell r="A99" t="str">
            <v>D3A2747-1</v>
          </cell>
          <cell r="B99" t="str">
            <v xml:space="preserve">OPEX GLAZING PUTTY GRIS CLARO </v>
          </cell>
          <cell r="C99">
            <v>0.49863013698630138</v>
          </cell>
          <cell r="D99">
            <v>182</v>
          </cell>
        </row>
        <row r="100">
          <cell r="A100" t="str">
            <v>D3A2747-1/4</v>
          </cell>
          <cell r="B100" t="str">
            <v xml:space="preserve">OPEX GLAZING PUTTY GRIS CLARO </v>
          </cell>
          <cell r="C100">
            <v>0.49863013698630138</v>
          </cell>
          <cell r="D100">
            <v>182</v>
          </cell>
        </row>
        <row r="101">
          <cell r="A101" t="str">
            <v>D3A2750-1/4</v>
          </cell>
          <cell r="B101" t="str">
            <v xml:space="preserve">POLYEST   PUTTY               </v>
          </cell>
          <cell r="C101">
            <v>0.49863013698630138</v>
          </cell>
          <cell r="D101">
            <v>182</v>
          </cell>
        </row>
        <row r="102">
          <cell r="A102" t="str">
            <v>D3R2748</v>
          </cell>
          <cell r="B102" t="str">
            <v xml:space="preserve">RED GLAZING PUTTY FE403       </v>
          </cell>
          <cell r="C102">
            <v>0.49863013698630138</v>
          </cell>
          <cell r="D102">
            <v>182</v>
          </cell>
        </row>
        <row r="103">
          <cell r="A103" t="str">
            <v>D3R2748-16ONZ</v>
          </cell>
          <cell r="B103" t="str">
            <v xml:space="preserve">RED GLAZING PUTTY             </v>
          </cell>
          <cell r="C103">
            <v>0.49863013698630138</v>
          </cell>
          <cell r="D103">
            <v>182</v>
          </cell>
        </row>
        <row r="104">
          <cell r="A104" t="str">
            <v>D3R7</v>
          </cell>
          <cell r="B104" t="str">
            <v xml:space="preserve">OPEX GLAZING PUTTY ROJO       </v>
          </cell>
          <cell r="C104">
            <v>0.49863013698630138</v>
          </cell>
          <cell r="D104">
            <v>182</v>
          </cell>
        </row>
        <row r="105">
          <cell r="A105" t="str">
            <v>D3R7-1</v>
          </cell>
          <cell r="B105" t="str">
            <v xml:space="preserve">OPEX GLAZING PUTTY ROJO       </v>
          </cell>
          <cell r="C105">
            <v>0.49863013698630138</v>
          </cell>
          <cell r="D105">
            <v>182</v>
          </cell>
        </row>
        <row r="106">
          <cell r="A106" t="str">
            <v>D3R7-1/4</v>
          </cell>
          <cell r="B106" t="str">
            <v xml:space="preserve">OPEX GLAZING PUTTY ROJO       </v>
          </cell>
          <cell r="C106">
            <v>0.49863013698630138</v>
          </cell>
          <cell r="D106">
            <v>182</v>
          </cell>
        </row>
        <row r="107">
          <cell r="A107" t="str">
            <v>EB20000-5</v>
          </cell>
          <cell r="B107" t="str">
            <v>TINTE EXCELBASE ALUMINIO ARMAD</v>
          </cell>
          <cell r="C107">
            <v>3</v>
          </cell>
          <cell r="D107">
            <v>1095</v>
          </cell>
        </row>
        <row r="108">
          <cell r="A108" t="str">
            <v>EB20010-1</v>
          </cell>
          <cell r="B108" t="str">
            <v xml:space="preserve">ALUMINIO BRILLANTE            </v>
          </cell>
          <cell r="C108">
            <v>3</v>
          </cell>
          <cell r="D108">
            <v>1095</v>
          </cell>
        </row>
        <row r="109">
          <cell r="A109" t="str">
            <v>EB20010-5</v>
          </cell>
          <cell r="B109" t="str">
            <v>TINTE EXCELBASE ALUMINIO BRILL</v>
          </cell>
          <cell r="C109">
            <v>3</v>
          </cell>
          <cell r="D109">
            <v>1095</v>
          </cell>
        </row>
        <row r="110">
          <cell r="A110" t="str">
            <v>EB20015-1/4</v>
          </cell>
          <cell r="B110" t="str">
            <v xml:space="preserve">ALUMINIO EXTRA FINO           </v>
          </cell>
          <cell r="C110">
            <v>3</v>
          </cell>
          <cell r="D110">
            <v>1095</v>
          </cell>
        </row>
        <row r="111">
          <cell r="A111" t="str">
            <v>EB20015-5</v>
          </cell>
          <cell r="B111" t="str">
            <v>TINTE EXCELBASE ALUM XTRA FINO</v>
          </cell>
          <cell r="C111">
            <v>3</v>
          </cell>
          <cell r="D111">
            <v>1095</v>
          </cell>
        </row>
        <row r="112">
          <cell r="A112" t="str">
            <v>EB20030-1/4</v>
          </cell>
          <cell r="B112" t="str">
            <v xml:space="preserve">ALUMINIO GRUESO               </v>
          </cell>
          <cell r="C112">
            <v>3</v>
          </cell>
          <cell r="D112">
            <v>1095</v>
          </cell>
        </row>
        <row r="113">
          <cell r="A113" t="str">
            <v>EB20030-5</v>
          </cell>
          <cell r="B113" t="str">
            <v>TINTE EXCELBASE ALUMINIO GRUES</v>
          </cell>
          <cell r="C113">
            <v>3</v>
          </cell>
          <cell r="D113">
            <v>1095</v>
          </cell>
        </row>
        <row r="114">
          <cell r="A114" t="str">
            <v>EB20031-1</v>
          </cell>
          <cell r="B114" t="str">
            <v xml:space="preserve">ALUMINIO GRUESO BRILLANTE     </v>
          </cell>
          <cell r="C114">
            <v>3</v>
          </cell>
          <cell r="D114">
            <v>1095</v>
          </cell>
        </row>
        <row r="115">
          <cell r="A115" t="str">
            <v>EB20031-5</v>
          </cell>
          <cell r="B115" t="str">
            <v>TINTE EXCELBASE ALUMINIO GRUES</v>
          </cell>
          <cell r="C115">
            <v>3</v>
          </cell>
          <cell r="D115">
            <v>1095</v>
          </cell>
        </row>
        <row r="116">
          <cell r="A116" t="str">
            <v>EB20040-1</v>
          </cell>
          <cell r="B116" t="str">
            <v xml:space="preserve">ALUMINIO MEDIANO              </v>
          </cell>
          <cell r="C116">
            <v>3</v>
          </cell>
          <cell r="D116">
            <v>1095</v>
          </cell>
        </row>
        <row r="117">
          <cell r="A117" t="str">
            <v>EB20040-5</v>
          </cell>
          <cell r="B117" t="str">
            <v>TINTE EXCELBASE ALUMINIO MEDIA</v>
          </cell>
          <cell r="C117">
            <v>3</v>
          </cell>
          <cell r="D117">
            <v>1095</v>
          </cell>
        </row>
        <row r="118">
          <cell r="A118" t="str">
            <v>EB20041-1</v>
          </cell>
          <cell r="B118" t="str">
            <v xml:space="preserve">ALUMINIO  MEDIANO BRILLANTE   </v>
          </cell>
          <cell r="C118">
            <v>3</v>
          </cell>
          <cell r="D118">
            <v>1095</v>
          </cell>
        </row>
        <row r="119">
          <cell r="A119" t="str">
            <v>EB20041-5</v>
          </cell>
          <cell r="B119" t="str">
            <v>TINTE EXCELBASE ALUMINIO MEDIA</v>
          </cell>
          <cell r="C119">
            <v>3</v>
          </cell>
          <cell r="D119">
            <v>1095</v>
          </cell>
        </row>
        <row r="120">
          <cell r="A120" t="str">
            <v>EB20042-1/4</v>
          </cell>
          <cell r="B120" t="str">
            <v xml:space="preserve">ALUMINIO  MEDIO FINO          </v>
          </cell>
          <cell r="C120">
            <v>3</v>
          </cell>
          <cell r="D120">
            <v>1095</v>
          </cell>
        </row>
        <row r="121">
          <cell r="A121" t="str">
            <v>EB20042-5</v>
          </cell>
          <cell r="B121" t="str">
            <v>TINTE EXCELBASE ALUMINIO MEDIO</v>
          </cell>
          <cell r="C121">
            <v>3</v>
          </cell>
          <cell r="D121">
            <v>1095</v>
          </cell>
        </row>
        <row r="122">
          <cell r="A122" t="str">
            <v>EB20043-1/4</v>
          </cell>
          <cell r="B122" t="str">
            <v xml:space="preserve">ALUMINIO MEDIO GRUESO         </v>
          </cell>
          <cell r="C122">
            <v>3</v>
          </cell>
          <cell r="D122">
            <v>1095</v>
          </cell>
        </row>
        <row r="123">
          <cell r="A123" t="str">
            <v>EB20043-5</v>
          </cell>
          <cell r="B123" t="str">
            <v>TINTE EXCELBASE ALUMINIO MEDIO</v>
          </cell>
          <cell r="C123">
            <v>3</v>
          </cell>
          <cell r="D123">
            <v>1095</v>
          </cell>
        </row>
        <row r="124">
          <cell r="A124" t="str">
            <v>EB20045-1</v>
          </cell>
          <cell r="B124" t="str">
            <v xml:space="preserve">ALUMINIO SUPER FINO           </v>
          </cell>
          <cell r="C124">
            <v>3</v>
          </cell>
          <cell r="D124">
            <v>1095</v>
          </cell>
        </row>
        <row r="125">
          <cell r="A125" t="str">
            <v>EB20045-5</v>
          </cell>
          <cell r="B125" t="str">
            <v xml:space="preserve">TINTE EXCELBASE ALUM SUPER FI </v>
          </cell>
          <cell r="C125">
            <v>3</v>
          </cell>
          <cell r="D125">
            <v>1095</v>
          </cell>
        </row>
        <row r="126">
          <cell r="A126" t="str">
            <v>EB20050-1/4</v>
          </cell>
          <cell r="B126" t="str">
            <v xml:space="preserve">AMARILLO CROMATO              </v>
          </cell>
          <cell r="C126">
            <v>3</v>
          </cell>
          <cell r="D126">
            <v>1095</v>
          </cell>
        </row>
        <row r="127">
          <cell r="A127" t="str">
            <v>EB20050-5</v>
          </cell>
          <cell r="B127" t="str">
            <v xml:space="preserve">TINTE EXCELBASE AMARILLO      </v>
          </cell>
          <cell r="C127">
            <v>3</v>
          </cell>
          <cell r="D127">
            <v>1095</v>
          </cell>
        </row>
        <row r="128">
          <cell r="A128" t="str">
            <v>EB20060-1</v>
          </cell>
          <cell r="B128" t="str">
            <v xml:space="preserve">AMARILLO LIMÓN                </v>
          </cell>
          <cell r="C128">
            <v>3</v>
          </cell>
          <cell r="D128">
            <v>1095</v>
          </cell>
        </row>
        <row r="129">
          <cell r="A129" t="str">
            <v>EB20060-5</v>
          </cell>
          <cell r="B129" t="str">
            <v>TINTE EXCELBASE AMARILLO LIMON</v>
          </cell>
          <cell r="C129">
            <v>3</v>
          </cell>
          <cell r="D129">
            <v>1095</v>
          </cell>
        </row>
        <row r="130">
          <cell r="A130" t="str">
            <v>EB20071-1/4</v>
          </cell>
          <cell r="B130" t="str">
            <v>AMARILLO TRANS. ROJ (Café Org)</v>
          </cell>
          <cell r="C130">
            <v>3</v>
          </cell>
          <cell r="D130">
            <v>1095</v>
          </cell>
        </row>
        <row r="131">
          <cell r="A131" t="str">
            <v>EB20071-5</v>
          </cell>
          <cell r="B131" t="str">
            <v>TINTE EXCELBASE AMARILLO TRANS</v>
          </cell>
          <cell r="C131">
            <v>3</v>
          </cell>
          <cell r="D131">
            <v>1095</v>
          </cell>
        </row>
        <row r="132">
          <cell r="A132" t="str">
            <v>EB20080-1/4</v>
          </cell>
          <cell r="B132" t="str">
            <v xml:space="preserve">AMARILLO ÓXIDO                </v>
          </cell>
          <cell r="C132">
            <v>3</v>
          </cell>
          <cell r="D132">
            <v>1095</v>
          </cell>
        </row>
        <row r="133">
          <cell r="A133" t="str">
            <v>EB20080-5</v>
          </cell>
          <cell r="B133" t="str">
            <v>TINTE EXCELBASE AMARILLO OXIDO</v>
          </cell>
          <cell r="C133">
            <v>3</v>
          </cell>
          <cell r="D133">
            <v>1095</v>
          </cell>
        </row>
        <row r="134">
          <cell r="A134" t="str">
            <v>EB20100-1/4</v>
          </cell>
          <cell r="B134" t="str">
            <v xml:space="preserve">AMARILLO  CROMATO  ROJIZO     </v>
          </cell>
          <cell r="C134">
            <v>3</v>
          </cell>
          <cell r="D134">
            <v>1095</v>
          </cell>
        </row>
        <row r="135">
          <cell r="A135" t="str">
            <v>EB20100-5</v>
          </cell>
          <cell r="B135" t="str">
            <v xml:space="preserve">TINTE EXCELBASE AMARILLO      </v>
          </cell>
          <cell r="C135">
            <v>3</v>
          </cell>
          <cell r="D135">
            <v>1095</v>
          </cell>
        </row>
        <row r="136">
          <cell r="A136" t="str">
            <v>EB20120-1/4</v>
          </cell>
          <cell r="B136" t="str">
            <v xml:space="preserve">AZUL ORGÁNICO TONO ROJIZO     </v>
          </cell>
          <cell r="C136">
            <v>3</v>
          </cell>
          <cell r="D136">
            <v>1095</v>
          </cell>
        </row>
        <row r="137">
          <cell r="A137" t="str">
            <v>EB20120-5</v>
          </cell>
          <cell r="B137" t="str">
            <v xml:space="preserve">TINTE EXCELBASE AZUL ORGANICO </v>
          </cell>
          <cell r="C137">
            <v>3</v>
          </cell>
          <cell r="D137">
            <v>1095</v>
          </cell>
        </row>
        <row r="138">
          <cell r="A138" t="str">
            <v>EB20121-1/4</v>
          </cell>
          <cell r="B138" t="str">
            <v xml:space="preserve">AZUL INDO                     </v>
          </cell>
          <cell r="C138">
            <v>3</v>
          </cell>
          <cell r="D138">
            <v>1095</v>
          </cell>
        </row>
        <row r="139">
          <cell r="A139" t="str">
            <v>EB20121-5</v>
          </cell>
          <cell r="B139" t="str">
            <v xml:space="preserve">TINTE EXCELBASE AZUL INDO     </v>
          </cell>
          <cell r="C139">
            <v>3</v>
          </cell>
          <cell r="D139">
            <v>1095</v>
          </cell>
        </row>
        <row r="140">
          <cell r="A140" t="str">
            <v>EB20122-1/4</v>
          </cell>
          <cell r="B140" t="str">
            <v xml:space="preserve">AZUL MONASTRAL                </v>
          </cell>
          <cell r="C140">
            <v>3</v>
          </cell>
          <cell r="D140">
            <v>1095</v>
          </cell>
        </row>
        <row r="141">
          <cell r="A141" t="str">
            <v>EB20122-5</v>
          </cell>
          <cell r="B141" t="str">
            <v xml:space="preserve">TINTE EXELBASE                </v>
          </cell>
          <cell r="C141">
            <v>3</v>
          </cell>
          <cell r="D141">
            <v>1095</v>
          </cell>
        </row>
        <row r="142">
          <cell r="A142" t="str">
            <v>EB20123-1/4</v>
          </cell>
          <cell r="B142" t="str">
            <v xml:space="preserve">AZUL MONASTRAL PLUS           </v>
          </cell>
          <cell r="C142">
            <v>3</v>
          </cell>
          <cell r="D142">
            <v>1095</v>
          </cell>
        </row>
        <row r="143">
          <cell r="A143" t="str">
            <v>EB20123-5</v>
          </cell>
          <cell r="B143" t="str">
            <v xml:space="preserve">TINTE EXCELBASE               </v>
          </cell>
          <cell r="C143">
            <v>3</v>
          </cell>
          <cell r="D143">
            <v>1095</v>
          </cell>
        </row>
        <row r="144">
          <cell r="A144" t="str">
            <v>EB20124-1/4</v>
          </cell>
          <cell r="B144" t="str">
            <v xml:space="preserve">AZUL NO BRONCE                </v>
          </cell>
          <cell r="C144">
            <v>3</v>
          </cell>
          <cell r="D144">
            <v>1095</v>
          </cell>
        </row>
        <row r="145">
          <cell r="A145" t="str">
            <v>EB20124-5</v>
          </cell>
          <cell r="B145" t="str">
            <v xml:space="preserve">TINTE EXELBASE                </v>
          </cell>
          <cell r="C145">
            <v>3</v>
          </cell>
          <cell r="D145">
            <v>1095</v>
          </cell>
        </row>
        <row r="146">
          <cell r="A146" t="str">
            <v>EB20125-1/4</v>
          </cell>
          <cell r="B146" t="str">
            <v xml:space="preserve">AZUL ORG. TONO VERDOSO        </v>
          </cell>
          <cell r="C146">
            <v>3</v>
          </cell>
          <cell r="D146">
            <v>1095</v>
          </cell>
        </row>
        <row r="147">
          <cell r="A147" t="str">
            <v>EB20125-5</v>
          </cell>
          <cell r="B147" t="str">
            <v xml:space="preserve">TINTES EXCELBASE AZUL ORG.    </v>
          </cell>
          <cell r="C147">
            <v>3</v>
          </cell>
          <cell r="D147">
            <v>1095</v>
          </cell>
        </row>
        <row r="148">
          <cell r="A148" t="str">
            <v>EB20126-1/4</v>
          </cell>
          <cell r="B148" t="str">
            <v xml:space="preserve">AZUL ULTRA                    </v>
          </cell>
          <cell r="C148">
            <v>3</v>
          </cell>
          <cell r="D148">
            <v>1095</v>
          </cell>
        </row>
        <row r="149">
          <cell r="A149" t="str">
            <v>EB20126-5</v>
          </cell>
          <cell r="B149" t="str">
            <v xml:space="preserve">TINTE EXCELBASE AZUL ULTRA    </v>
          </cell>
          <cell r="C149">
            <v>3</v>
          </cell>
          <cell r="D149">
            <v>1095</v>
          </cell>
        </row>
        <row r="150">
          <cell r="A150" t="str">
            <v>EB20127-1</v>
          </cell>
          <cell r="B150" t="str">
            <v xml:space="preserve">AZUL NO BRONCE PLUS           </v>
          </cell>
          <cell r="C150">
            <v>3</v>
          </cell>
          <cell r="D150">
            <v>1095</v>
          </cell>
        </row>
        <row r="151">
          <cell r="A151" t="str">
            <v>EB20127-5</v>
          </cell>
          <cell r="B151" t="str">
            <v>TINTE EXCELBASE AZUL NO BRONCE</v>
          </cell>
          <cell r="C151">
            <v>3</v>
          </cell>
          <cell r="D151">
            <v>1095</v>
          </cell>
        </row>
        <row r="152">
          <cell r="A152" t="str">
            <v>EB20130</v>
          </cell>
          <cell r="B152" t="str">
            <v xml:space="preserve">BLANCO                        </v>
          </cell>
          <cell r="C152">
            <v>3</v>
          </cell>
          <cell r="D152">
            <v>1095</v>
          </cell>
        </row>
        <row r="153">
          <cell r="A153" t="str">
            <v>EB20130-1</v>
          </cell>
          <cell r="B153" t="str">
            <v xml:space="preserve">BLANCO                        </v>
          </cell>
          <cell r="C153">
            <v>3</v>
          </cell>
          <cell r="D153">
            <v>1095</v>
          </cell>
        </row>
        <row r="154">
          <cell r="A154" t="str">
            <v>EB20130-5</v>
          </cell>
          <cell r="B154" t="str">
            <v xml:space="preserve">TINTE EXCELBASE BLANCO        </v>
          </cell>
          <cell r="C154">
            <v>3</v>
          </cell>
          <cell r="D154">
            <v>1095</v>
          </cell>
        </row>
        <row r="155">
          <cell r="A155" t="str">
            <v>EB20131</v>
          </cell>
          <cell r="B155" t="str">
            <v xml:space="preserve">TINTE EXCEL BASE              </v>
          </cell>
          <cell r="C155">
            <v>3</v>
          </cell>
          <cell r="D155">
            <v>1095</v>
          </cell>
        </row>
        <row r="156">
          <cell r="A156" t="str">
            <v>EB20131-1</v>
          </cell>
          <cell r="B156" t="str">
            <v xml:space="preserve">BLANCO BC                     </v>
          </cell>
          <cell r="C156">
            <v>3</v>
          </cell>
          <cell r="D156">
            <v>1095</v>
          </cell>
        </row>
        <row r="157">
          <cell r="A157" t="str">
            <v>EB20131-5</v>
          </cell>
          <cell r="B157" t="str">
            <v xml:space="preserve">TINTE EXCEL BASE BLANCO BC    </v>
          </cell>
          <cell r="C157">
            <v>3</v>
          </cell>
          <cell r="D157">
            <v>1095</v>
          </cell>
        </row>
        <row r="158">
          <cell r="A158" t="str">
            <v>EB20132-1/4</v>
          </cell>
          <cell r="B158" t="str">
            <v xml:space="preserve">BLANCO TORNASOL               </v>
          </cell>
          <cell r="C158">
            <v>3</v>
          </cell>
          <cell r="D158">
            <v>1095</v>
          </cell>
        </row>
        <row r="159">
          <cell r="A159" t="str">
            <v>EB20132-5</v>
          </cell>
          <cell r="B159" t="str">
            <v>TINTE EXCELBASE BLANCO TORNASO</v>
          </cell>
          <cell r="C159">
            <v>3</v>
          </cell>
          <cell r="D159">
            <v>1095</v>
          </cell>
        </row>
        <row r="160">
          <cell r="A160" t="str">
            <v>EB20133</v>
          </cell>
          <cell r="B160" t="str">
            <v xml:space="preserve">BLANCO AC                     </v>
          </cell>
          <cell r="C160">
            <v>3</v>
          </cell>
          <cell r="D160">
            <v>1095</v>
          </cell>
        </row>
        <row r="161">
          <cell r="A161" t="str">
            <v>EB20133-1</v>
          </cell>
          <cell r="B161" t="str">
            <v xml:space="preserve">BLANCO AC                     </v>
          </cell>
          <cell r="C161">
            <v>3</v>
          </cell>
          <cell r="D161">
            <v>1095</v>
          </cell>
        </row>
        <row r="162">
          <cell r="A162" t="str">
            <v>EB20150-5</v>
          </cell>
          <cell r="B162" t="str">
            <v xml:space="preserve">TINTE EXCELBASE CAFE ORGANICO </v>
          </cell>
          <cell r="C162">
            <v>3</v>
          </cell>
          <cell r="D162">
            <v>1095</v>
          </cell>
        </row>
        <row r="163">
          <cell r="A163" t="str">
            <v>EB20151-1/4</v>
          </cell>
          <cell r="B163" t="str">
            <v xml:space="preserve">CAFÉ DORADO ROJ (Amari. Org ) </v>
          </cell>
          <cell r="C163">
            <v>3</v>
          </cell>
          <cell r="D163">
            <v>1095</v>
          </cell>
        </row>
        <row r="164">
          <cell r="A164" t="str">
            <v>EB20151-5</v>
          </cell>
          <cell r="B164" t="str">
            <v xml:space="preserve">TINTE EXCELBASE CAFE DORADO   </v>
          </cell>
          <cell r="C164">
            <v>3</v>
          </cell>
          <cell r="D164">
            <v>1095</v>
          </cell>
        </row>
        <row r="165">
          <cell r="A165" t="str">
            <v>EB20155-1/4</v>
          </cell>
          <cell r="B165" t="str">
            <v xml:space="preserve">GOLD TONER                    </v>
          </cell>
          <cell r="C165">
            <v>3</v>
          </cell>
          <cell r="D165">
            <v>1095</v>
          </cell>
        </row>
        <row r="166">
          <cell r="A166" t="str">
            <v>EB20155-5</v>
          </cell>
          <cell r="B166" t="str">
            <v xml:space="preserve">TINTE EXCELBASE DORADO        </v>
          </cell>
          <cell r="C166">
            <v>3</v>
          </cell>
          <cell r="D166">
            <v>1095</v>
          </cell>
        </row>
        <row r="167">
          <cell r="A167" t="str">
            <v>EB20180-1/4</v>
          </cell>
          <cell r="B167" t="str">
            <v xml:space="preserve">NARANJA                       </v>
          </cell>
          <cell r="C167">
            <v>3</v>
          </cell>
          <cell r="D167">
            <v>1095</v>
          </cell>
        </row>
        <row r="168">
          <cell r="A168" t="str">
            <v>EB20180-5</v>
          </cell>
          <cell r="B168" t="str">
            <v xml:space="preserve">TINTE EXCELBASE NARANJA       </v>
          </cell>
          <cell r="C168">
            <v>3</v>
          </cell>
          <cell r="D168">
            <v>1095</v>
          </cell>
        </row>
        <row r="169">
          <cell r="A169" t="str">
            <v>EB20181-1/4</v>
          </cell>
          <cell r="B169" t="str">
            <v xml:space="preserve">NARANJA AMARILLENTO           </v>
          </cell>
          <cell r="C169">
            <v>3</v>
          </cell>
          <cell r="D169">
            <v>1095</v>
          </cell>
        </row>
        <row r="170">
          <cell r="A170" t="str">
            <v>EB20181-5</v>
          </cell>
          <cell r="B170" t="str">
            <v xml:space="preserve">EXCEL BASE NARANJA            </v>
          </cell>
          <cell r="C170">
            <v>3</v>
          </cell>
          <cell r="D170">
            <v>1095</v>
          </cell>
        </row>
        <row r="171">
          <cell r="A171" t="str">
            <v>EB20190</v>
          </cell>
          <cell r="B171" t="str">
            <v xml:space="preserve">TINTE EXCELBASE NEGRO         </v>
          </cell>
          <cell r="C171">
            <v>3</v>
          </cell>
          <cell r="D171">
            <v>1095</v>
          </cell>
        </row>
        <row r="172">
          <cell r="A172" t="str">
            <v>EB20190-1</v>
          </cell>
          <cell r="B172" t="str">
            <v xml:space="preserve">NEGRO                         </v>
          </cell>
          <cell r="C172">
            <v>3</v>
          </cell>
          <cell r="D172">
            <v>1095</v>
          </cell>
        </row>
        <row r="173">
          <cell r="A173" t="str">
            <v>EB20190-5</v>
          </cell>
          <cell r="B173" t="str">
            <v xml:space="preserve">TINTE EXCELBASE NEGRO         </v>
          </cell>
          <cell r="C173">
            <v>3</v>
          </cell>
          <cell r="D173">
            <v>1095</v>
          </cell>
        </row>
        <row r="174">
          <cell r="A174" t="str">
            <v>EB20191-1</v>
          </cell>
          <cell r="B174" t="str">
            <v xml:space="preserve">TRANSPARENTE PARA MEZCLA      </v>
          </cell>
          <cell r="C174">
            <v>3</v>
          </cell>
          <cell r="D174">
            <v>1095</v>
          </cell>
        </row>
        <row r="175">
          <cell r="A175" t="str">
            <v>EB20191-5</v>
          </cell>
          <cell r="B175" t="str">
            <v xml:space="preserve">TINTE EXCELBASE TRANSPARENTE  </v>
          </cell>
          <cell r="C175">
            <v>3</v>
          </cell>
          <cell r="D175">
            <v>1095</v>
          </cell>
        </row>
        <row r="176">
          <cell r="A176" t="str">
            <v>EB20200-1/4</v>
          </cell>
          <cell r="B176" t="str">
            <v xml:space="preserve">ROJO BRILLANTE                </v>
          </cell>
          <cell r="C176">
            <v>3</v>
          </cell>
          <cell r="D176">
            <v>1095</v>
          </cell>
        </row>
        <row r="177">
          <cell r="A177" t="str">
            <v>EB20200-5</v>
          </cell>
          <cell r="B177" t="str">
            <v>TINTE EXCELBASE ROJO BRILLANTE</v>
          </cell>
          <cell r="C177">
            <v>3</v>
          </cell>
          <cell r="D177">
            <v>1095</v>
          </cell>
        </row>
        <row r="178">
          <cell r="A178" t="str">
            <v>EB20201-1/4</v>
          </cell>
          <cell r="B178" t="str">
            <v xml:space="preserve">ROJO CANDENTE                 </v>
          </cell>
          <cell r="C178">
            <v>3</v>
          </cell>
          <cell r="D178">
            <v>1095</v>
          </cell>
        </row>
        <row r="179">
          <cell r="A179" t="str">
            <v>EB20201-5</v>
          </cell>
          <cell r="B179" t="str">
            <v xml:space="preserve">TINTE EXCELBASE ROJO CANDENTE </v>
          </cell>
          <cell r="C179">
            <v>3</v>
          </cell>
          <cell r="D179">
            <v>1095</v>
          </cell>
        </row>
        <row r="180">
          <cell r="A180" t="str">
            <v>EB20202-1/4</v>
          </cell>
          <cell r="B180" t="str">
            <v xml:space="preserve">ROJO PARA MEZCLA              </v>
          </cell>
          <cell r="C180">
            <v>3</v>
          </cell>
          <cell r="D180">
            <v>1095</v>
          </cell>
        </row>
        <row r="181">
          <cell r="A181" t="str">
            <v>EB20202-5</v>
          </cell>
          <cell r="B181" t="str">
            <v xml:space="preserve">TINTE EXCELBASE ROJO          </v>
          </cell>
          <cell r="C181">
            <v>3</v>
          </cell>
          <cell r="D181">
            <v>1095</v>
          </cell>
        </row>
        <row r="182">
          <cell r="A182" t="str">
            <v>EB20203-1/4</v>
          </cell>
          <cell r="B182" t="str">
            <v xml:space="preserve">ROJO ÓXIDO                    </v>
          </cell>
          <cell r="C182">
            <v>3</v>
          </cell>
          <cell r="D182">
            <v>1095</v>
          </cell>
        </row>
        <row r="183">
          <cell r="A183" t="str">
            <v>EB20203-5</v>
          </cell>
          <cell r="B183" t="str">
            <v xml:space="preserve">TINTE EXCELBASE ROJO OXIDO    </v>
          </cell>
          <cell r="C183">
            <v>3</v>
          </cell>
          <cell r="D183">
            <v>1095</v>
          </cell>
        </row>
        <row r="184">
          <cell r="A184" t="str">
            <v>EB20204-1/4</v>
          </cell>
          <cell r="B184" t="str">
            <v xml:space="preserve">ROJO VIVO                     </v>
          </cell>
          <cell r="C184">
            <v>3</v>
          </cell>
          <cell r="D184">
            <v>1095</v>
          </cell>
        </row>
        <row r="185">
          <cell r="A185" t="str">
            <v>EB20204-5</v>
          </cell>
          <cell r="B185" t="str">
            <v xml:space="preserve">TINTE EXCELBASE ROJO VIVO     </v>
          </cell>
          <cell r="C185">
            <v>3</v>
          </cell>
          <cell r="D185">
            <v>1095</v>
          </cell>
        </row>
        <row r="186">
          <cell r="A186" t="str">
            <v>EB20250-1/4</v>
          </cell>
          <cell r="B186" t="str">
            <v xml:space="preserve">VERDE ORGÁNICO                </v>
          </cell>
          <cell r="C186">
            <v>3</v>
          </cell>
          <cell r="D186">
            <v>1095</v>
          </cell>
        </row>
        <row r="187">
          <cell r="A187" t="str">
            <v>EB20250-5</v>
          </cell>
          <cell r="B187" t="str">
            <v>TINTE EXCELBASE VERDE ORGANICO</v>
          </cell>
          <cell r="C187">
            <v>3</v>
          </cell>
          <cell r="D187">
            <v>1095</v>
          </cell>
        </row>
        <row r="188">
          <cell r="A188" t="str">
            <v>EB20251-1/4</v>
          </cell>
          <cell r="B188" t="str">
            <v xml:space="preserve">VERDE AMARILLENTO             </v>
          </cell>
          <cell r="C188">
            <v>3</v>
          </cell>
          <cell r="D188">
            <v>1095</v>
          </cell>
        </row>
        <row r="189">
          <cell r="A189" t="str">
            <v>EB20251-5</v>
          </cell>
          <cell r="B189" t="str">
            <v xml:space="preserve">TINTE EXCELBASE VERDE AMARILL </v>
          </cell>
          <cell r="C189">
            <v>3</v>
          </cell>
          <cell r="D189">
            <v>1095</v>
          </cell>
        </row>
        <row r="190">
          <cell r="A190" t="str">
            <v>EB20252-1/4</v>
          </cell>
          <cell r="B190" t="str">
            <v xml:space="preserve">VERDE DORADO                  </v>
          </cell>
          <cell r="C190">
            <v>3</v>
          </cell>
          <cell r="D190">
            <v>1095</v>
          </cell>
        </row>
        <row r="191">
          <cell r="A191" t="str">
            <v>EB20252-5</v>
          </cell>
          <cell r="B191" t="str">
            <v xml:space="preserve">TINTE EXCELBASE VERDE DORADO  </v>
          </cell>
          <cell r="C191">
            <v>3</v>
          </cell>
          <cell r="D191">
            <v>1095</v>
          </cell>
        </row>
        <row r="192">
          <cell r="A192" t="str">
            <v>EB20260-1/4</v>
          </cell>
          <cell r="B192" t="str">
            <v xml:space="preserve">VIOLETA                       </v>
          </cell>
          <cell r="C192">
            <v>3</v>
          </cell>
          <cell r="D192">
            <v>1095</v>
          </cell>
        </row>
        <row r="193">
          <cell r="A193" t="str">
            <v>EB20260-5</v>
          </cell>
          <cell r="B193" t="str">
            <v xml:space="preserve">TINTE EXCELBASE VIOLETA       </v>
          </cell>
          <cell r="C193">
            <v>3</v>
          </cell>
          <cell r="D193">
            <v>1095</v>
          </cell>
        </row>
        <row r="194">
          <cell r="A194" t="str">
            <v>EB20270-1/4</v>
          </cell>
          <cell r="B194" t="str">
            <v xml:space="preserve">MARRÓN                        </v>
          </cell>
          <cell r="C194">
            <v>3</v>
          </cell>
          <cell r="D194">
            <v>1095</v>
          </cell>
        </row>
        <row r="195">
          <cell r="A195" t="str">
            <v>EB20270-5</v>
          </cell>
          <cell r="B195" t="str">
            <v xml:space="preserve">TINTE EXCELBASE MARRON        </v>
          </cell>
          <cell r="C195">
            <v>3</v>
          </cell>
          <cell r="D195">
            <v>1095</v>
          </cell>
        </row>
        <row r="196">
          <cell r="A196" t="str">
            <v>EB20271-1/4</v>
          </cell>
          <cell r="B196" t="str">
            <v xml:space="preserve">MARRÓN MAGENTA                </v>
          </cell>
          <cell r="C196">
            <v>3</v>
          </cell>
          <cell r="D196">
            <v>1095</v>
          </cell>
        </row>
        <row r="197">
          <cell r="A197" t="str">
            <v>EB20271-5</v>
          </cell>
          <cell r="B197" t="str">
            <v>TINTE EXCELBASE MARRON MAGENTA</v>
          </cell>
          <cell r="C197">
            <v>3</v>
          </cell>
          <cell r="D197">
            <v>1095</v>
          </cell>
        </row>
        <row r="198">
          <cell r="A198" t="str">
            <v>EB20272-1/4</v>
          </cell>
          <cell r="B198" t="str">
            <v xml:space="preserve">MARRÓN ALIZARINE              </v>
          </cell>
          <cell r="C198">
            <v>3</v>
          </cell>
          <cell r="D198">
            <v>1095</v>
          </cell>
        </row>
        <row r="199">
          <cell r="A199" t="str">
            <v>EB20272-5</v>
          </cell>
          <cell r="B199" t="str">
            <v>TINTE EXCELBASE MARRON ALIZARI</v>
          </cell>
          <cell r="C199">
            <v>3</v>
          </cell>
          <cell r="D199">
            <v>1095</v>
          </cell>
        </row>
        <row r="200">
          <cell r="A200" t="str">
            <v>EB20273-1/4</v>
          </cell>
          <cell r="B200" t="str">
            <v xml:space="preserve">MARRÓN DORADO                 </v>
          </cell>
          <cell r="C200">
            <v>3</v>
          </cell>
          <cell r="D200">
            <v>1095</v>
          </cell>
        </row>
        <row r="201">
          <cell r="A201" t="str">
            <v>EB20273-5</v>
          </cell>
          <cell r="B201" t="str">
            <v xml:space="preserve">TINTE EXCELBASE MARRON DORADO </v>
          </cell>
          <cell r="C201">
            <v>3</v>
          </cell>
          <cell r="D201">
            <v>1095</v>
          </cell>
        </row>
        <row r="202">
          <cell r="A202" t="str">
            <v>EB20274-1/4</v>
          </cell>
          <cell r="B202" t="str">
            <v xml:space="preserve">MARRÓN ROYAL                  </v>
          </cell>
          <cell r="C202">
            <v>3</v>
          </cell>
          <cell r="D202">
            <v>1095</v>
          </cell>
        </row>
        <row r="203">
          <cell r="A203" t="str">
            <v>EB20274-5</v>
          </cell>
          <cell r="B203" t="str">
            <v xml:space="preserve">TINTE EXCELBASE MARRON ROYAL  </v>
          </cell>
          <cell r="C203">
            <v>3</v>
          </cell>
          <cell r="D203">
            <v>1095</v>
          </cell>
        </row>
        <row r="204">
          <cell r="A204" t="str">
            <v>EB20275-1/4</v>
          </cell>
          <cell r="B204" t="str">
            <v xml:space="preserve">MARRÓN ROYAL MORADO           </v>
          </cell>
          <cell r="C204">
            <v>3</v>
          </cell>
          <cell r="D204">
            <v>1095</v>
          </cell>
        </row>
        <row r="205">
          <cell r="A205" t="str">
            <v>EB20275-5</v>
          </cell>
          <cell r="B205" t="str">
            <v xml:space="preserve">TINTE EXCELBASE MARRON ROYAL  </v>
          </cell>
          <cell r="C205">
            <v>3</v>
          </cell>
          <cell r="D205">
            <v>1095</v>
          </cell>
        </row>
        <row r="206">
          <cell r="A206" t="str">
            <v>EB20400-1/4</v>
          </cell>
          <cell r="B206" t="str">
            <v xml:space="preserve">PALIO ORO                     </v>
          </cell>
          <cell r="C206">
            <v>3</v>
          </cell>
          <cell r="D206">
            <v>1095</v>
          </cell>
        </row>
        <row r="207">
          <cell r="A207" t="str">
            <v>EB20400-5</v>
          </cell>
          <cell r="B207" t="str">
            <v xml:space="preserve">TINTE EXCELBASE PALIO ORO     </v>
          </cell>
          <cell r="C207">
            <v>3</v>
          </cell>
          <cell r="D207">
            <v>1095</v>
          </cell>
        </row>
        <row r="208">
          <cell r="A208" t="str">
            <v>EB20401-1/4</v>
          </cell>
          <cell r="B208" t="str">
            <v xml:space="preserve">PALIO NARANJA                 </v>
          </cell>
          <cell r="C208">
            <v>3</v>
          </cell>
          <cell r="D208">
            <v>1095</v>
          </cell>
        </row>
        <row r="209">
          <cell r="A209" t="str">
            <v>EB20401-5</v>
          </cell>
          <cell r="B209" t="str">
            <v xml:space="preserve">EXCELBASE PALIO NARANJA       </v>
          </cell>
          <cell r="C209">
            <v>3</v>
          </cell>
          <cell r="D209">
            <v>1095</v>
          </cell>
        </row>
        <row r="210">
          <cell r="A210" t="str">
            <v>EB20500-1/4</v>
          </cell>
          <cell r="B210" t="str">
            <v xml:space="preserve">PERLA AZUL                    </v>
          </cell>
          <cell r="C210">
            <v>3</v>
          </cell>
          <cell r="D210">
            <v>1095</v>
          </cell>
        </row>
        <row r="211">
          <cell r="A211" t="str">
            <v>EB20500-5</v>
          </cell>
          <cell r="B211" t="str">
            <v xml:space="preserve">PERLA AZUL                    </v>
          </cell>
          <cell r="C211">
            <v>3</v>
          </cell>
          <cell r="D211">
            <v>1095</v>
          </cell>
        </row>
        <row r="212">
          <cell r="A212" t="str">
            <v>EB20501-1/4</v>
          </cell>
          <cell r="B212" t="str">
            <v xml:space="preserve">PERLA AZUL FINA               </v>
          </cell>
          <cell r="C212">
            <v>3</v>
          </cell>
          <cell r="D212">
            <v>1095</v>
          </cell>
        </row>
        <row r="213">
          <cell r="A213" t="str">
            <v>EB20501-5</v>
          </cell>
          <cell r="B213" t="str">
            <v xml:space="preserve">PERLA AZUL FINA               </v>
          </cell>
          <cell r="C213">
            <v>3</v>
          </cell>
          <cell r="D213">
            <v>1095</v>
          </cell>
        </row>
        <row r="214">
          <cell r="A214" t="str">
            <v>EB20502-1/4</v>
          </cell>
          <cell r="B214" t="str">
            <v xml:space="preserve">PERLA BLANCA                  </v>
          </cell>
          <cell r="C214">
            <v>3</v>
          </cell>
          <cell r="D214">
            <v>1095</v>
          </cell>
        </row>
        <row r="215">
          <cell r="A215" t="str">
            <v>EB20502-5</v>
          </cell>
          <cell r="B215" t="str">
            <v xml:space="preserve">PERLA BLANCA                  </v>
          </cell>
          <cell r="C215">
            <v>3</v>
          </cell>
          <cell r="D215">
            <v>1095</v>
          </cell>
        </row>
        <row r="216">
          <cell r="A216" t="str">
            <v>EB20503-1/4</v>
          </cell>
          <cell r="B216" t="str">
            <v xml:space="preserve">PERLA BLANCA FINA             </v>
          </cell>
          <cell r="C216">
            <v>3</v>
          </cell>
          <cell r="D216">
            <v>1095</v>
          </cell>
        </row>
        <row r="217">
          <cell r="A217" t="str">
            <v>EB20503-5</v>
          </cell>
          <cell r="B217" t="str">
            <v xml:space="preserve">PERLA BLANCA FINA             </v>
          </cell>
          <cell r="C217">
            <v>3</v>
          </cell>
          <cell r="D217">
            <v>1095</v>
          </cell>
        </row>
        <row r="218">
          <cell r="A218" t="str">
            <v>EB20504-1/4</v>
          </cell>
          <cell r="B218" t="str">
            <v xml:space="preserve">PERLA BRONCE                  </v>
          </cell>
          <cell r="C218">
            <v>3</v>
          </cell>
          <cell r="D218">
            <v>1095</v>
          </cell>
        </row>
        <row r="219">
          <cell r="A219" t="str">
            <v>EB20504-5</v>
          </cell>
          <cell r="B219" t="str">
            <v xml:space="preserve">PERLA BRONCE                  </v>
          </cell>
          <cell r="C219">
            <v>3</v>
          </cell>
          <cell r="D219">
            <v>1095</v>
          </cell>
        </row>
        <row r="220">
          <cell r="A220" t="str">
            <v>EB20505-1/4</v>
          </cell>
          <cell r="B220" t="str">
            <v xml:space="preserve">PERLA COBRE                   </v>
          </cell>
          <cell r="C220">
            <v>3</v>
          </cell>
          <cell r="D220">
            <v>1095</v>
          </cell>
        </row>
        <row r="221">
          <cell r="A221" t="str">
            <v>EB20505-5</v>
          </cell>
          <cell r="B221" t="str">
            <v xml:space="preserve">PERLA COBRE                   </v>
          </cell>
          <cell r="C221">
            <v>3</v>
          </cell>
          <cell r="D221">
            <v>1095</v>
          </cell>
        </row>
        <row r="222">
          <cell r="A222" t="str">
            <v>EB20506-1/4</v>
          </cell>
          <cell r="B222" t="str">
            <v xml:space="preserve">PERLA DORADA                  </v>
          </cell>
          <cell r="C222">
            <v>3</v>
          </cell>
          <cell r="D222">
            <v>1095</v>
          </cell>
        </row>
        <row r="223">
          <cell r="A223" t="str">
            <v>EB20506-5</v>
          </cell>
          <cell r="B223" t="str">
            <v xml:space="preserve">PERLA DORADA                  </v>
          </cell>
          <cell r="C223">
            <v>3</v>
          </cell>
          <cell r="D223">
            <v>1095</v>
          </cell>
        </row>
        <row r="224">
          <cell r="A224" t="str">
            <v>EB20507-1/4</v>
          </cell>
          <cell r="B224" t="str">
            <v xml:space="preserve">PERLA  LILA  ( VIOLETA )      </v>
          </cell>
          <cell r="C224">
            <v>3</v>
          </cell>
          <cell r="D224">
            <v>1095</v>
          </cell>
        </row>
        <row r="225">
          <cell r="A225" t="str">
            <v>EB20507-5</v>
          </cell>
          <cell r="B225" t="str">
            <v xml:space="preserve">PERLA  LILA  ( VIOLETA )      </v>
          </cell>
          <cell r="C225">
            <v>3</v>
          </cell>
          <cell r="D225">
            <v>1095</v>
          </cell>
        </row>
        <row r="226">
          <cell r="A226" t="str">
            <v>EB20508-1/4</v>
          </cell>
          <cell r="B226" t="str">
            <v xml:space="preserve">PERLA ROJA  ( ROSA )          </v>
          </cell>
          <cell r="C226">
            <v>3</v>
          </cell>
          <cell r="D226">
            <v>1095</v>
          </cell>
        </row>
        <row r="227">
          <cell r="A227" t="str">
            <v>EB20508-5</v>
          </cell>
          <cell r="B227" t="str">
            <v xml:space="preserve">PERLA ROJA  ( ROSA )          </v>
          </cell>
          <cell r="C227">
            <v>3</v>
          </cell>
          <cell r="D227">
            <v>1095</v>
          </cell>
        </row>
        <row r="228">
          <cell r="A228" t="str">
            <v>EB20510-1/4</v>
          </cell>
          <cell r="B228" t="str">
            <v xml:space="preserve">PERLA RUSSET                  </v>
          </cell>
          <cell r="C228">
            <v>3</v>
          </cell>
          <cell r="D228">
            <v>1095</v>
          </cell>
        </row>
        <row r="229">
          <cell r="A229" t="str">
            <v>EB20510-5</v>
          </cell>
          <cell r="B229" t="str">
            <v xml:space="preserve">PERLA RUSSET                  </v>
          </cell>
          <cell r="C229">
            <v>3</v>
          </cell>
          <cell r="D229">
            <v>1095</v>
          </cell>
        </row>
        <row r="230">
          <cell r="A230" t="str">
            <v>EB20511-1/4</v>
          </cell>
          <cell r="B230" t="str">
            <v xml:space="preserve">PERLA RUSSET FINA             </v>
          </cell>
          <cell r="C230">
            <v>3</v>
          </cell>
          <cell r="D230">
            <v>1095</v>
          </cell>
        </row>
        <row r="231">
          <cell r="A231" t="str">
            <v>EB20511-5</v>
          </cell>
          <cell r="B231" t="str">
            <v xml:space="preserve">PERLA RUSSET FINA             </v>
          </cell>
          <cell r="C231">
            <v>3</v>
          </cell>
          <cell r="D231">
            <v>1095</v>
          </cell>
        </row>
        <row r="232">
          <cell r="A232" t="str">
            <v>EB20512-1/4</v>
          </cell>
          <cell r="B232" t="str">
            <v xml:space="preserve">PERLA VERDE                   </v>
          </cell>
          <cell r="C232">
            <v>3</v>
          </cell>
          <cell r="D232">
            <v>1095</v>
          </cell>
        </row>
        <row r="233">
          <cell r="A233" t="str">
            <v>EB20512-5</v>
          </cell>
          <cell r="B233" t="str">
            <v xml:space="preserve">PERLA VERDE                   </v>
          </cell>
          <cell r="C233">
            <v>3</v>
          </cell>
          <cell r="D233">
            <v>1095</v>
          </cell>
        </row>
        <row r="234">
          <cell r="A234" t="str">
            <v>EB20513-1/4</v>
          </cell>
          <cell r="B234" t="str">
            <v xml:space="preserve">PERLA VERDE MUSGO             </v>
          </cell>
          <cell r="C234">
            <v>3</v>
          </cell>
          <cell r="D234">
            <v>1095</v>
          </cell>
        </row>
        <row r="235">
          <cell r="A235" t="str">
            <v>EB20513-5</v>
          </cell>
          <cell r="B235" t="str">
            <v xml:space="preserve">PERLA VERDE MUSGO             </v>
          </cell>
          <cell r="C235">
            <v>3</v>
          </cell>
          <cell r="D235">
            <v>1095</v>
          </cell>
        </row>
        <row r="236">
          <cell r="A236" t="str">
            <v>EB20514-1/4</v>
          </cell>
          <cell r="B236" t="str">
            <v xml:space="preserve">PERLA VIOLETA (ROJO -VIOLETA) </v>
          </cell>
          <cell r="C236">
            <v>3</v>
          </cell>
          <cell r="D236">
            <v>1095</v>
          </cell>
        </row>
        <row r="237">
          <cell r="A237" t="str">
            <v>EB20514-5</v>
          </cell>
          <cell r="B237" t="str">
            <v xml:space="preserve">PERLA VIOLETA (ROJO -VIOLETA) </v>
          </cell>
          <cell r="C237">
            <v>3</v>
          </cell>
          <cell r="D237">
            <v>1095</v>
          </cell>
        </row>
        <row r="238">
          <cell r="A238" t="str">
            <v>EB20515-1/4</v>
          </cell>
          <cell r="B238" t="str">
            <v xml:space="preserve">PERLA BRONCE AC               </v>
          </cell>
          <cell r="C238">
            <v>3</v>
          </cell>
          <cell r="D238">
            <v>1095</v>
          </cell>
        </row>
        <row r="239">
          <cell r="A239" t="str">
            <v>EB20515-5</v>
          </cell>
          <cell r="B239" t="str">
            <v xml:space="preserve">PERLA BRONCE AC               </v>
          </cell>
          <cell r="C239">
            <v>3</v>
          </cell>
          <cell r="D239">
            <v>1095</v>
          </cell>
        </row>
        <row r="240">
          <cell r="A240" t="str">
            <v>EB20516-1/4</v>
          </cell>
          <cell r="B240" t="str">
            <v xml:space="preserve">PERLA  COBRE  AC              </v>
          </cell>
          <cell r="C240">
            <v>3</v>
          </cell>
          <cell r="D240">
            <v>1095</v>
          </cell>
        </row>
        <row r="241">
          <cell r="A241" t="str">
            <v>EB20516-5</v>
          </cell>
          <cell r="B241" t="str">
            <v xml:space="preserve">PERLA  COBRE  AC              </v>
          </cell>
          <cell r="C241">
            <v>3</v>
          </cell>
          <cell r="D241">
            <v>1095</v>
          </cell>
        </row>
        <row r="242">
          <cell r="A242" t="str">
            <v>EB20517-1/4</v>
          </cell>
          <cell r="B242" t="str">
            <v xml:space="preserve">PERLA  ROJO  AC               </v>
          </cell>
          <cell r="C242">
            <v>3</v>
          </cell>
          <cell r="D242">
            <v>1095</v>
          </cell>
        </row>
        <row r="243">
          <cell r="A243" t="str">
            <v>EB20517-5</v>
          </cell>
          <cell r="B243" t="str">
            <v xml:space="preserve">PERLA  ROJO  AC               </v>
          </cell>
          <cell r="C243">
            <v>3</v>
          </cell>
          <cell r="D243">
            <v>1095</v>
          </cell>
        </row>
        <row r="244">
          <cell r="A244" t="str">
            <v>EB20518-1/4</v>
          </cell>
          <cell r="B244" t="str">
            <v xml:space="preserve">EXCELBASE RED PEARL AC        </v>
          </cell>
          <cell r="C244">
            <v>3</v>
          </cell>
          <cell r="D244">
            <v>1095</v>
          </cell>
        </row>
        <row r="245">
          <cell r="A245" t="str">
            <v>EB20518-5</v>
          </cell>
          <cell r="B245" t="str">
            <v xml:space="preserve">EXCELBASE RED PEARL AC        </v>
          </cell>
          <cell r="C245">
            <v>3</v>
          </cell>
          <cell r="D245">
            <v>1095</v>
          </cell>
        </row>
        <row r="246">
          <cell r="A246" t="str">
            <v>EB20519-1/4</v>
          </cell>
          <cell r="B246" t="str">
            <v>EXCELBASE PERLA RUSSET FINA AC</v>
          </cell>
          <cell r="C246">
            <v>3</v>
          </cell>
          <cell r="D246">
            <v>1095</v>
          </cell>
        </row>
        <row r="247">
          <cell r="A247" t="str">
            <v>EB20519-5</v>
          </cell>
          <cell r="B247" t="str">
            <v>EXCELBASE PERLA RUSSET FINA AC</v>
          </cell>
          <cell r="C247">
            <v>3</v>
          </cell>
          <cell r="D247">
            <v>1095</v>
          </cell>
        </row>
        <row r="248">
          <cell r="A248" t="str">
            <v>EB20520-1/4</v>
          </cell>
          <cell r="B248" t="str">
            <v xml:space="preserve">GRAFITO                       </v>
          </cell>
          <cell r="C248">
            <v>3</v>
          </cell>
          <cell r="D248">
            <v>1095</v>
          </cell>
        </row>
        <row r="249">
          <cell r="A249" t="str">
            <v>EB20520-5</v>
          </cell>
          <cell r="B249" t="str">
            <v xml:space="preserve">GRAFITO                       </v>
          </cell>
          <cell r="C249">
            <v>3</v>
          </cell>
          <cell r="D249">
            <v>1095</v>
          </cell>
        </row>
        <row r="250">
          <cell r="A250" t="str">
            <v>EB20521-1/4</v>
          </cell>
          <cell r="B250" t="str">
            <v xml:space="preserve">FLATTEN G                     </v>
          </cell>
          <cell r="C250">
            <v>3</v>
          </cell>
          <cell r="D250">
            <v>1095</v>
          </cell>
        </row>
        <row r="251">
          <cell r="A251" t="str">
            <v>EB20521-5</v>
          </cell>
          <cell r="B251" t="str">
            <v xml:space="preserve">FLATTEN G                     </v>
          </cell>
          <cell r="C251">
            <v>3</v>
          </cell>
          <cell r="D251">
            <v>1095</v>
          </cell>
        </row>
        <row r="252">
          <cell r="A252" t="str">
            <v>EBBSA1</v>
          </cell>
          <cell r="B252" t="str">
            <v xml:space="preserve">NEGRO                         </v>
          </cell>
          <cell r="C252">
            <v>2</v>
          </cell>
          <cell r="D252">
            <v>730</v>
          </cell>
        </row>
        <row r="253">
          <cell r="A253" t="str">
            <v>EBBSA1-1</v>
          </cell>
          <cell r="B253" t="str">
            <v xml:space="preserve">NEGRO                         </v>
          </cell>
          <cell r="C253">
            <v>2</v>
          </cell>
          <cell r="D253">
            <v>730</v>
          </cell>
        </row>
        <row r="254">
          <cell r="A254" t="str">
            <v>EBESA1</v>
          </cell>
          <cell r="B254" t="str">
            <v xml:space="preserve">NARANJA P. T.                 </v>
          </cell>
          <cell r="C254">
            <v>2</v>
          </cell>
          <cell r="D254">
            <v>730</v>
          </cell>
        </row>
        <row r="255">
          <cell r="A255" t="str">
            <v>EBESA1-1</v>
          </cell>
          <cell r="B255" t="str">
            <v xml:space="preserve">NARANJA P. T.                 </v>
          </cell>
          <cell r="C255">
            <v>2</v>
          </cell>
          <cell r="D255">
            <v>730</v>
          </cell>
        </row>
        <row r="256">
          <cell r="A256" t="str">
            <v>EBGSA1</v>
          </cell>
          <cell r="B256" t="str">
            <v xml:space="preserve">VERDE AMARILLENTO             </v>
          </cell>
          <cell r="C256">
            <v>2</v>
          </cell>
          <cell r="D256">
            <v>730</v>
          </cell>
        </row>
        <row r="257">
          <cell r="A257" t="str">
            <v>EBGSA1-1</v>
          </cell>
          <cell r="B257" t="str">
            <v xml:space="preserve">VERDE AMARILLENTO             </v>
          </cell>
          <cell r="C257">
            <v>2</v>
          </cell>
          <cell r="D257">
            <v>730</v>
          </cell>
        </row>
        <row r="258">
          <cell r="A258" t="str">
            <v>EBGSA2</v>
          </cell>
          <cell r="B258" t="str">
            <v xml:space="preserve">VERDE AZULOSO                 </v>
          </cell>
          <cell r="C258">
            <v>2</v>
          </cell>
          <cell r="D258">
            <v>730</v>
          </cell>
        </row>
        <row r="259">
          <cell r="A259" t="str">
            <v>EBGSA2-1</v>
          </cell>
          <cell r="B259" t="str">
            <v xml:space="preserve">VERDE AZULOSO                 </v>
          </cell>
          <cell r="C259">
            <v>2</v>
          </cell>
          <cell r="D259">
            <v>730</v>
          </cell>
        </row>
        <row r="260">
          <cell r="A260" t="str">
            <v>EBGSA3</v>
          </cell>
          <cell r="B260" t="str">
            <v xml:space="preserve">POLYURETANO INDUSTRIAL        </v>
          </cell>
          <cell r="C260">
            <v>2</v>
          </cell>
          <cell r="D260">
            <v>730</v>
          </cell>
        </row>
        <row r="261">
          <cell r="A261" t="str">
            <v>EBGSA3-1</v>
          </cell>
          <cell r="B261" t="str">
            <v xml:space="preserve">POLYURETANO INDUSTRIAL        </v>
          </cell>
          <cell r="C261">
            <v>2</v>
          </cell>
          <cell r="D261">
            <v>730</v>
          </cell>
        </row>
        <row r="262">
          <cell r="A262" t="str">
            <v>EBH31789-1/4</v>
          </cell>
          <cell r="B262" t="str">
            <v xml:space="preserve">ENDURECEDOR PARA EBT 1000     </v>
          </cell>
          <cell r="C262">
            <v>3</v>
          </cell>
          <cell r="D262">
            <v>1095</v>
          </cell>
        </row>
        <row r="263">
          <cell r="A263" t="str">
            <v>EBH31792-1/4</v>
          </cell>
          <cell r="B263" t="str">
            <v xml:space="preserve">ENDURECEDOR PARA EBT 2000     </v>
          </cell>
          <cell r="C263">
            <v>3</v>
          </cell>
          <cell r="D263">
            <v>1095</v>
          </cell>
        </row>
        <row r="264">
          <cell r="A264" t="str">
            <v>EBH31794-1/4</v>
          </cell>
          <cell r="B264" t="str">
            <v xml:space="preserve">ENDURECEDOR PARA EBT 3000     </v>
          </cell>
          <cell r="C264">
            <v>3</v>
          </cell>
          <cell r="D264">
            <v>1095</v>
          </cell>
        </row>
        <row r="265">
          <cell r="A265" t="str">
            <v>EBH7211</v>
          </cell>
          <cell r="B265" t="str">
            <v xml:space="preserve">ENDURECEDOR PARA PRIMER       </v>
          </cell>
          <cell r="C265">
            <v>1</v>
          </cell>
          <cell r="D265">
            <v>365</v>
          </cell>
        </row>
        <row r="266">
          <cell r="A266" t="str">
            <v>EBH7211-1/16</v>
          </cell>
          <cell r="B266" t="str">
            <v xml:space="preserve">ENDURECEDOR PARA PRIMER       </v>
          </cell>
          <cell r="C266">
            <v>1</v>
          </cell>
          <cell r="D266">
            <v>365</v>
          </cell>
        </row>
        <row r="267">
          <cell r="A267" t="str">
            <v>EBH7211-1/4</v>
          </cell>
          <cell r="B267" t="str">
            <v xml:space="preserve">ENDURECEDOR PARA PRIMER       </v>
          </cell>
          <cell r="C267">
            <v>1</v>
          </cell>
          <cell r="D267">
            <v>365</v>
          </cell>
        </row>
        <row r="268">
          <cell r="A268" t="str">
            <v>EBH7211-1/8</v>
          </cell>
          <cell r="B268" t="str">
            <v xml:space="preserve">ENDURECEDOR PARA PRIMER       </v>
          </cell>
          <cell r="C268">
            <v>1</v>
          </cell>
          <cell r="D268">
            <v>365</v>
          </cell>
        </row>
        <row r="269">
          <cell r="A269" t="str">
            <v>EBHSA1</v>
          </cell>
          <cell r="B269" t="str">
            <v xml:space="preserve">POLYURETANO MONOCAPA          </v>
          </cell>
          <cell r="C269">
            <v>2</v>
          </cell>
          <cell r="D269">
            <v>730</v>
          </cell>
        </row>
        <row r="270">
          <cell r="A270" t="str">
            <v>EBHSA1-5</v>
          </cell>
          <cell r="B270" t="str">
            <v xml:space="preserve">POLYURETANO MONOCAPA          </v>
          </cell>
          <cell r="C270">
            <v>2</v>
          </cell>
          <cell r="D270">
            <v>730</v>
          </cell>
        </row>
        <row r="271">
          <cell r="A271" t="str">
            <v>EBLSA1</v>
          </cell>
          <cell r="B271" t="str">
            <v xml:space="preserve">AZUL ( VERDOSO )              </v>
          </cell>
          <cell r="C271">
            <v>2</v>
          </cell>
          <cell r="D271">
            <v>730</v>
          </cell>
        </row>
        <row r="272">
          <cell r="A272" t="str">
            <v>EBLSA1-1</v>
          </cell>
          <cell r="B272" t="str">
            <v xml:space="preserve">AZUL VERDOSO                  </v>
          </cell>
          <cell r="C272">
            <v>2</v>
          </cell>
          <cell r="D272">
            <v>730</v>
          </cell>
        </row>
        <row r="273">
          <cell r="A273" t="str">
            <v>EBLSA2</v>
          </cell>
          <cell r="B273" t="str">
            <v xml:space="preserve">AZUL ROJIZO                   </v>
          </cell>
          <cell r="C273">
            <v>2</v>
          </cell>
          <cell r="D273">
            <v>730</v>
          </cell>
        </row>
        <row r="274">
          <cell r="A274" t="str">
            <v>EBLSA2-1</v>
          </cell>
          <cell r="B274" t="str">
            <v xml:space="preserve">AZUL ROJIZO                   </v>
          </cell>
          <cell r="C274">
            <v>2</v>
          </cell>
          <cell r="D274">
            <v>730</v>
          </cell>
        </row>
        <row r="275">
          <cell r="A275" t="str">
            <v>EBMSA1</v>
          </cell>
          <cell r="B275" t="str">
            <v xml:space="preserve">MAGENTA                       </v>
          </cell>
          <cell r="C275">
            <v>2</v>
          </cell>
          <cell r="D275">
            <v>730</v>
          </cell>
        </row>
        <row r="276">
          <cell r="A276" t="str">
            <v>EBMSA1-1</v>
          </cell>
          <cell r="B276" t="str">
            <v xml:space="preserve">MAGENTA                       </v>
          </cell>
          <cell r="C276">
            <v>2</v>
          </cell>
          <cell r="D276">
            <v>730</v>
          </cell>
        </row>
        <row r="277">
          <cell r="A277" t="str">
            <v>EBMSA2</v>
          </cell>
          <cell r="B277" t="str">
            <v xml:space="preserve">MARRON                        </v>
          </cell>
          <cell r="C277">
            <v>2</v>
          </cell>
          <cell r="D277">
            <v>730</v>
          </cell>
        </row>
        <row r="278">
          <cell r="A278" t="str">
            <v>EBMSA2-1</v>
          </cell>
          <cell r="B278" t="str">
            <v xml:space="preserve">MARRON                        </v>
          </cell>
          <cell r="C278">
            <v>2</v>
          </cell>
          <cell r="D278">
            <v>730</v>
          </cell>
        </row>
        <row r="279">
          <cell r="A279" t="str">
            <v>EBP7210</v>
          </cell>
          <cell r="B279" t="str">
            <v xml:space="preserve">EXCELBASE PRIMER GRIS CLARO   </v>
          </cell>
          <cell r="C279">
            <v>1</v>
          </cell>
          <cell r="D279">
            <v>365</v>
          </cell>
        </row>
        <row r="280">
          <cell r="A280" t="str">
            <v>EBP7210-1</v>
          </cell>
          <cell r="B280" t="str">
            <v xml:space="preserve">EXCELBASE PRIMER GRIS CLARO   </v>
          </cell>
          <cell r="C280">
            <v>1</v>
          </cell>
          <cell r="D280">
            <v>365</v>
          </cell>
        </row>
        <row r="281">
          <cell r="A281" t="str">
            <v>EBP7210-1/4</v>
          </cell>
          <cell r="B281" t="str">
            <v xml:space="preserve">EXCELBASE PRIMER GRIS CLARO   </v>
          </cell>
          <cell r="C281">
            <v>1</v>
          </cell>
          <cell r="D281">
            <v>365</v>
          </cell>
        </row>
        <row r="282">
          <cell r="A282" t="str">
            <v>EBPSA1</v>
          </cell>
          <cell r="B282" t="str">
            <v xml:space="preserve">CARBA VIOLETA                 </v>
          </cell>
          <cell r="C282">
            <v>2</v>
          </cell>
          <cell r="D282">
            <v>730</v>
          </cell>
        </row>
        <row r="283">
          <cell r="A283" t="str">
            <v>EBPSA1-1</v>
          </cell>
          <cell r="B283" t="str">
            <v xml:space="preserve">CARBA VIOLETA                 </v>
          </cell>
          <cell r="C283">
            <v>2</v>
          </cell>
          <cell r="D283">
            <v>730</v>
          </cell>
        </row>
        <row r="284">
          <cell r="A284" t="str">
            <v>EBR32400-1</v>
          </cell>
          <cell r="B284" t="str">
            <v>REDUCTOR PARA EXCELBASE PRIMER</v>
          </cell>
          <cell r="C284">
            <v>1</v>
          </cell>
          <cell r="D284">
            <v>365</v>
          </cell>
        </row>
        <row r="285">
          <cell r="A285" t="str">
            <v>EBR32411-1</v>
          </cell>
          <cell r="B285" t="str">
            <v xml:space="preserve">REDUCTOR  EXCELBASE           </v>
          </cell>
          <cell r="C285">
            <v>1</v>
          </cell>
          <cell r="D285">
            <v>365</v>
          </cell>
        </row>
        <row r="286">
          <cell r="A286" t="str">
            <v>EBR32421-1</v>
          </cell>
          <cell r="B286" t="str">
            <v xml:space="preserve">REDUCTOR P/ EBT2000           </v>
          </cell>
          <cell r="C286">
            <v>1</v>
          </cell>
          <cell r="D286">
            <v>365</v>
          </cell>
        </row>
        <row r="287">
          <cell r="A287" t="str">
            <v>EBR32431-1</v>
          </cell>
          <cell r="B287" t="str">
            <v xml:space="preserve">REDUCTOR P/ EBT3000           </v>
          </cell>
          <cell r="C287">
            <v>1</v>
          </cell>
          <cell r="D287">
            <v>365</v>
          </cell>
        </row>
        <row r="288">
          <cell r="A288" t="str">
            <v>EBRSA2</v>
          </cell>
          <cell r="B288" t="str">
            <v xml:space="preserve">ROJO BRILLANTE                </v>
          </cell>
          <cell r="C288">
            <v>2</v>
          </cell>
          <cell r="D288">
            <v>730</v>
          </cell>
        </row>
        <row r="289">
          <cell r="A289" t="str">
            <v>EBRSA2-1</v>
          </cell>
          <cell r="B289" t="str">
            <v xml:space="preserve">ROJO BRILLANTE                </v>
          </cell>
          <cell r="C289">
            <v>2</v>
          </cell>
          <cell r="D289">
            <v>730</v>
          </cell>
        </row>
        <row r="290">
          <cell r="A290" t="str">
            <v>EBRSA3</v>
          </cell>
          <cell r="B290" t="str">
            <v xml:space="preserve">POLIURETANO MONOCAPA          </v>
          </cell>
          <cell r="C290">
            <v>2</v>
          </cell>
          <cell r="D290">
            <v>730</v>
          </cell>
        </row>
        <row r="291">
          <cell r="A291" t="str">
            <v>EBRSA3-1</v>
          </cell>
          <cell r="B291" t="str">
            <v xml:space="preserve">POLIURETANO MONOCAPA          </v>
          </cell>
          <cell r="C291">
            <v>2</v>
          </cell>
          <cell r="D291">
            <v>730</v>
          </cell>
        </row>
        <row r="292">
          <cell r="A292" t="str">
            <v>EBRSA4</v>
          </cell>
          <cell r="B292" t="str">
            <v xml:space="preserve">ROJO BTE.                     </v>
          </cell>
          <cell r="C292">
            <v>2</v>
          </cell>
          <cell r="D292">
            <v>730</v>
          </cell>
        </row>
        <row r="293">
          <cell r="A293" t="str">
            <v>EBRSA4-1</v>
          </cell>
          <cell r="B293" t="str">
            <v xml:space="preserve">ROJO BRILLANTE                </v>
          </cell>
          <cell r="C293">
            <v>2</v>
          </cell>
          <cell r="D293">
            <v>730</v>
          </cell>
        </row>
        <row r="294">
          <cell r="A294" t="str">
            <v>EBSSA1</v>
          </cell>
          <cell r="B294" t="str">
            <v xml:space="preserve">METALICO BRILLANTE            </v>
          </cell>
          <cell r="C294">
            <v>2</v>
          </cell>
          <cell r="D294">
            <v>730</v>
          </cell>
        </row>
        <row r="295">
          <cell r="A295" t="str">
            <v>EBSSA1-1</v>
          </cell>
          <cell r="B295" t="str">
            <v xml:space="preserve">METALICO BRILLANTE            </v>
          </cell>
          <cell r="C295">
            <v>2</v>
          </cell>
          <cell r="D295">
            <v>730</v>
          </cell>
        </row>
        <row r="296">
          <cell r="A296" t="str">
            <v>EBT1000-1</v>
          </cell>
          <cell r="B296" t="str">
            <v xml:space="preserve">TRANSPARENTE EBT1000          </v>
          </cell>
          <cell r="C296">
            <v>1</v>
          </cell>
          <cell r="D296">
            <v>365</v>
          </cell>
        </row>
        <row r="297">
          <cell r="A297" t="str">
            <v>EBT2000-1</v>
          </cell>
          <cell r="B297" t="str">
            <v xml:space="preserve">TRANSPARENTE EBT2000          </v>
          </cell>
          <cell r="C297">
            <v>1</v>
          </cell>
          <cell r="D297">
            <v>365</v>
          </cell>
        </row>
        <row r="298">
          <cell r="A298" t="str">
            <v>EBT2000-5</v>
          </cell>
          <cell r="B298" t="str">
            <v xml:space="preserve">TRANSPARENTE EBT 2000         </v>
          </cell>
          <cell r="C298">
            <v>1</v>
          </cell>
          <cell r="D298">
            <v>365</v>
          </cell>
        </row>
        <row r="299">
          <cell r="A299" t="str">
            <v>EBT3000</v>
          </cell>
          <cell r="B299" t="str">
            <v>TRANSPARENTE EBT3000 - # 22410</v>
          </cell>
          <cell r="C299">
            <v>1</v>
          </cell>
          <cell r="D299">
            <v>365</v>
          </cell>
        </row>
        <row r="300">
          <cell r="A300" t="str">
            <v>EBT3000-1</v>
          </cell>
          <cell r="B300" t="str">
            <v xml:space="preserve">TRANSPARENTE EBT3000          </v>
          </cell>
          <cell r="C300">
            <v>1</v>
          </cell>
          <cell r="D300">
            <v>365</v>
          </cell>
        </row>
        <row r="301">
          <cell r="A301" t="str">
            <v>EBTSA1</v>
          </cell>
          <cell r="B301" t="str">
            <v xml:space="preserve">TRANSPARENTE  P/ ENTREMEZCLA  </v>
          </cell>
          <cell r="C301">
            <v>2</v>
          </cell>
          <cell r="D301">
            <v>730</v>
          </cell>
        </row>
        <row r="302">
          <cell r="A302" t="str">
            <v>EBTSA1-1</v>
          </cell>
          <cell r="B302" t="str">
            <v xml:space="preserve">TRANSPARENTE DE ENTREMEZCLA   </v>
          </cell>
          <cell r="C302">
            <v>2</v>
          </cell>
          <cell r="D302">
            <v>730</v>
          </cell>
        </row>
        <row r="303">
          <cell r="A303" t="str">
            <v>EBWSA1</v>
          </cell>
          <cell r="B303" t="str">
            <v xml:space="preserve">BLANCO                        </v>
          </cell>
          <cell r="C303">
            <v>1</v>
          </cell>
          <cell r="D303">
            <v>365</v>
          </cell>
        </row>
        <row r="304">
          <cell r="A304" t="str">
            <v>EBWSA1-1</v>
          </cell>
          <cell r="B304" t="str">
            <v xml:space="preserve">BLANCO                        </v>
          </cell>
          <cell r="C304">
            <v>1</v>
          </cell>
          <cell r="D304">
            <v>365</v>
          </cell>
        </row>
        <row r="305">
          <cell r="A305" t="str">
            <v>EBWSA2</v>
          </cell>
          <cell r="B305" t="str">
            <v xml:space="preserve">POLYURETANO MONOCAPA BLANCO   </v>
          </cell>
          <cell r="C305">
            <v>1</v>
          </cell>
          <cell r="D305">
            <v>365</v>
          </cell>
        </row>
        <row r="306">
          <cell r="A306" t="str">
            <v>EBWSA2-1</v>
          </cell>
          <cell r="B306" t="str">
            <v xml:space="preserve">POLYURETANO MONOCAPA BLANCO   </v>
          </cell>
          <cell r="C306">
            <v>1</v>
          </cell>
          <cell r="D306">
            <v>365</v>
          </cell>
        </row>
        <row r="307">
          <cell r="A307" t="str">
            <v>EBWSA3</v>
          </cell>
          <cell r="B307" t="str">
            <v xml:space="preserve">POLYURETANO MONOCAPA          </v>
          </cell>
          <cell r="C307">
            <v>1</v>
          </cell>
          <cell r="D307">
            <v>365</v>
          </cell>
        </row>
        <row r="308">
          <cell r="A308" t="str">
            <v>EBWSA3-1</v>
          </cell>
          <cell r="B308" t="str">
            <v xml:space="preserve">POLYURETANO MONOCAPA          </v>
          </cell>
          <cell r="C308">
            <v>1</v>
          </cell>
          <cell r="D308">
            <v>365</v>
          </cell>
        </row>
        <row r="309">
          <cell r="A309" t="str">
            <v>EBYSA1</v>
          </cell>
          <cell r="B309" t="str">
            <v xml:space="preserve">AMARILLO  MEDIO ( ROJIZO )    </v>
          </cell>
          <cell r="C309">
            <v>1</v>
          </cell>
          <cell r="D309">
            <v>365</v>
          </cell>
        </row>
        <row r="310">
          <cell r="A310" t="str">
            <v>EBYSA1-1</v>
          </cell>
          <cell r="B310" t="str">
            <v xml:space="preserve">AMARILLO  MEDIO ROJIZO        </v>
          </cell>
          <cell r="C310">
            <v>1</v>
          </cell>
          <cell r="D310">
            <v>365</v>
          </cell>
        </row>
        <row r="311">
          <cell r="A311" t="str">
            <v>EBYSA2</v>
          </cell>
          <cell r="B311" t="str">
            <v xml:space="preserve">AMARILLO  LIMON (VERDOSO )    </v>
          </cell>
          <cell r="C311">
            <v>1</v>
          </cell>
          <cell r="D311">
            <v>365</v>
          </cell>
        </row>
        <row r="312">
          <cell r="A312" t="str">
            <v>EBYSA2-1</v>
          </cell>
          <cell r="B312" t="str">
            <v xml:space="preserve">AMARILLO  LIMON VERDOSO       </v>
          </cell>
          <cell r="C312">
            <v>1</v>
          </cell>
          <cell r="D312">
            <v>365</v>
          </cell>
        </row>
        <row r="313">
          <cell r="A313" t="str">
            <v>EBYSA3</v>
          </cell>
          <cell r="B313" t="str">
            <v xml:space="preserve">AMARILLO  VANADATO            </v>
          </cell>
          <cell r="C313">
            <v>1</v>
          </cell>
          <cell r="D313">
            <v>365</v>
          </cell>
        </row>
        <row r="314">
          <cell r="A314" t="str">
            <v>EBYSA3-1</v>
          </cell>
          <cell r="B314" t="str">
            <v xml:space="preserve">AMARILLO  VANADATO            </v>
          </cell>
          <cell r="C314">
            <v>1</v>
          </cell>
          <cell r="D314">
            <v>365</v>
          </cell>
        </row>
        <row r="315">
          <cell r="A315" t="str">
            <v>EBYSA4</v>
          </cell>
          <cell r="B315" t="str">
            <v xml:space="preserve">AMARILLO  OXIDO               </v>
          </cell>
          <cell r="C315">
            <v>1</v>
          </cell>
          <cell r="D315">
            <v>365</v>
          </cell>
        </row>
        <row r="316">
          <cell r="A316" t="str">
            <v>EBYSA4-1</v>
          </cell>
          <cell r="B316" t="str">
            <v xml:space="preserve">AMARILLO  OXIDO               </v>
          </cell>
          <cell r="C316">
            <v>1</v>
          </cell>
          <cell r="D316">
            <v>365</v>
          </cell>
        </row>
        <row r="317">
          <cell r="A317" t="str">
            <v>EBYSA5</v>
          </cell>
          <cell r="B317" t="str">
            <v xml:space="preserve">POLYURETANO MONOCAPA          </v>
          </cell>
          <cell r="C317">
            <v>1</v>
          </cell>
          <cell r="D317">
            <v>365</v>
          </cell>
        </row>
        <row r="318">
          <cell r="A318" t="str">
            <v>EBYSA5-1</v>
          </cell>
          <cell r="B318" t="str">
            <v xml:space="preserve">AMARILLO                      </v>
          </cell>
          <cell r="C318">
            <v>1</v>
          </cell>
          <cell r="D318">
            <v>365</v>
          </cell>
        </row>
        <row r="319">
          <cell r="A319" t="str">
            <v>F1ASA1-1</v>
          </cell>
          <cell r="B319" t="str">
            <v xml:space="preserve">KEM TRANSPORT CUSTOM GRIS     </v>
          </cell>
          <cell r="C319">
            <v>0.49863013698630138</v>
          </cell>
          <cell r="D319">
            <v>182</v>
          </cell>
        </row>
        <row r="320">
          <cell r="A320" t="str">
            <v>F1B4009</v>
          </cell>
          <cell r="B320" t="str">
            <v xml:space="preserve">CUSTOM COLOR INTENSE BLACK    </v>
          </cell>
          <cell r="C320">
            <v>0.49863013698630138</v>
          </cell>
          <cell r="D320">
            <v>182</v>
          </cell>
        </row>
        <row r="321">
          <cell r="A321" t="str">
            <v>F1B4009-1</v>
          </cell>
          <cell r="B321" t="str">
            <v xml:space="preserve">CUSTOM COLOR INTENSE BLACK    </v>
          </cell>
          <cell r="C321">
            <v>0.49863013698630138</v>
          </cell>
          <cell r="D321">
            <v>182</v>
          </cell>
        </row>
        <row r="322">
          <cell r="A322" t="str">
            <v>F73ASA28</v>
          </cell>
          <cell r="B322" t="str">
            <v xml:space="preserve">ESMALTE HORNEABLE ALQUIDICO   </v>
          </cell>
          <cell r="C322">
            <v>0.49863013698630138</v>
          </cell>
          <cell r="D322">
            <v>182</v>
          </cell>
        </row>
        <row r="323">
          <cell r="A323" t="str">
            <v>F73ASA28-5</v>
          </cell>
          <cell r="B323" t="str">
            <v>ESMALTE HORNEABLE ALK GRIS OSC</v>
          </cell>
          <cell r="C323">
            <v>0.49863013698630138</v>
          </cell>
          <cell r="D323">
            <v>182</v>
          </cell>
        </row>
        <row r="324">
          <cell r="A324" t="str">
            <v>F73B5</v>
          </cell>
          <cell r="B324" t="str">
            <v xml:space="preserve">ESMALTE HORNEA. NEGRO BRILL.  </v>
          </cell>
          <cell r="C324">
            <v>0.49863013698630138</v>
          </cell>
          <cell r="D324">
            <v>182</v>
          </cell>
        </row>
        <row r="325">
          <cell r="A325" t="str">
            <v>F73B5-5</v>
          </cell>
          <cell r="B325" t="str">
            <v xml:space="preserve">ESMALTE HORNEA. NEGRO BRILL   </v>
          </cell>
          <cell r="C325">
            <v>0.49863013698630138</v>
          </cell>
          <cell r="D325">
            <v>182</v>
          </cell>
        </row>
        <row r="326">
          <cell r="A326" t="str">
            <v>F73B5-50</v>
          </cell>
          <cell r="B326" t="str">
            <v xml:space="preserve">ESMALTE HORNEA. NEGRO BRILL   </v>
          </cell>
          <cell r="C326">
            <v>0.49863013698630138</v>
          </cell>
          <cell r="D326">
            <v>182</v>
          </cell>
        </row>
        <row r="327">
          <cell r="A327" t="str">
            <v>F73GSA27</v>
          </cell>
          <cell r="B327" t="str">
            <v xml:space="preserve">ESMALTE HORNEABLE             </v>
          </cell>
          <cell r="C327">
            <v>0.49863013698630138</v>
          </cell>
          <cell r="D327">
            <v>182</v>
          </cell>
        </row>
        <row r="328">
          <cell r="A328" t="str">
            <v>F73GSA27-5</v>
          </cell>
          <cell r="B328" t="str">
            <v>ESMALTE HORNEABLE VERDE BOSQUE</v>
          </cell>
          <cell r="C328">
            <v>0.49863013698630138</v>
          </cell>
          <cell r="D328">
            <v>182</v>
          </cell>
        </row>
        <row r="329">
          <cell r="A329" t="str">
            <v>F73LSA28</v>
          </cell>
          <cell r="B329" t="str">
            <v xml:space="preserve">ESMALTE HORNEABLE             </v>
          </cell>
          <cell r="C329">
            <v>0.49863013698630138</v>
          </cell>
          <cell r="D329">
            <v>182</v>
          </cell>
        </row>
        <row r="330">
          <cell r="A330" t="str">
            <v>F73LSA28-5</v>
          </cell>
          <cell r="B330" t="str">
            <v>ESMALTE HORNEABLE AZUL INTENSO</v>
          </cell>
          <cell r="C330">
            <v>0.49863013698630138</v>
          </cell>
          <cell r="D330">
            <v>182</v>
          </cell>
        </row>
        <row r="331">
          <cell r="A331" t="str">
            <v>F73NSA3</v>
          </cell>
          <cell r="B331" t="str">
            <v xml:space="preserve">ESMALTE HORNEA. CAFE LISO     </v>
          </cell>
          <cell r="C331">
            <v>0.49863013698630138</v>
          </cell>
          <cell r="D331">
            <v>182</v>
          </cell>
        </row>
        <row r="332">
          <cell r="A332" t="str">
            <v>F73NSA3-5</v>
          </cell>
          <cell r="B332" t="str">
            <v xml:space="preserve">ESMALTE HORNEA. CAFE LISO     </v>
          </cell>
          <cell r="C332">
            <v>0.49863013698630138</v>
          </cell>
          <cell r="D332">
            <v>182</v>
          </cell>
        </row>
        <row r="333">
          <cell r="A333" t="str">
            <v>F73NSA4</v>
          </cell>
          <cell r="B333" t="str">
            <v xml:space="preserve">ESMALTE HORNEA. BEIGE OSCURO  </v>
          </cell>
          <cell r="C333">
            <v>0.49863013698630138</v>
          </cell>
          <cell r="D333">
            <v>182</v>
          </cell>
        </row>
        <row r="334">
          <cell r="A334" t="str">
            <v>F73NSA4-5</v>
          </cell>
          <cell r="B334" t="str">
            <v xml:space="preserve">ESMALTE HORNEA. BEIGE OSCURO  </v>
          </cell>
          <cell r="C334">
            <v>0.49863013698630138</v>
          </cell>
          <cell r="D334">
            <v>182</v>
          </cell>
        </row>
        <row r="335">
          <cell r="A335" t="str">
            <v>F73NSA46</v>
          </cell>
          <cell r="B335" t="str">
            <v xml:space="preserve">ESMALTE HORNEABLE             </v>
          </cell>
          <cell r="C335">
            <v>0.49863013698630138</v>
          </cell>
          <cell r="D335">
            <v>182</v>
          </cell>
        </row>
        <row r="336">
          <cell r="A336" t="str">
            <v>F73NSA46-5</v>
          </cell>
          <cell r="B336" t="str">
            <v>ESMALTE HORNEABLE COBRE INTENS</v>
          </cell>
          <cell r="C336">
            <v>0.49863013698630138</v>
          </cell>
          <cell r="D336">
            <v>182</v>
          </cell>
        </row>
        <row r="337">
          <cell r="A337" t="str">
            <v>F73NSA57</v>
          </cell>
          <cell r="B337" t="str">
            <v xml:space="preserve">ESMALTE HORNEABLE ALQUIDICO   </v>
          </cell>
          <cell r="C337">
            <v>0.49863013698630138</v>
          </cell>
          <cell r="D337">
            <v>182</v>
          </cell>
        </row>
        <row r="338">
          <cell r="A338" t="str">
            <v>F73NSA57-5</v>
          </cell>
          <cell r="B338" t="str">
            <v xml:space="preserve">ESM HORNEABLE ALK COBRE INCO  </v>
          </cell>
          <cell r="C338">
            <v>0.49863013698630138</v>
          </cell>
          <cell r="D338">
            <v>182</v>
          </cell>
        </row>
        <row r="339">
          <cell r="A339" t="str">
            <v>F73SSA16</v>
          </cell>
          <cell r="B339" t="str">
            <v xml:space="preserve">ESMALTE HORNEABLE ALK.        </v>
          </cell>
          <cell r="C339">
            <v>0.49863013698630138</v>
          </cell>
          <cell r="D339">
            <v>182</v>
          </cell>
        </row>
        <row r="340">
          <cell r="A340" t="str">
            <v>F73SSA16-5</v>
          </cell>
          <cell r="B340" t="str">
            <v xml:space="preserve">ESM HORNEABLE ALK ALUMINIO    </v>
          </cell>
          <cell r="C340">
            <v>0.49863013698630138</v>
          </cell>
          <cell r="D340">
            <v>182</v>
          </cell>
        </row>
        <row r="341">
          <cell r="A341" t="str">
            <v>F73SSA20</v>
          </cell>
          <cell r="B341" t="str">
            <v xml:space="preserve">ESMALTE HORNEABLE             </v>
          </cell>
          <cell r="C341">
            <v>0.49863013698630138</v>
          </cell>
          <cell r="D341">
            <v>182</v>
          </cell>
        </row>
        <row r="342">
          <cell r="A342" t="str">
            <v>F73SSA20-5</v>
          </cell>
          <cell r="B342" t="str">
            <v>ESMALTE HORNEABLE GOLD METALIC</v>
          </cell>
          <cell r="C342">
            <v>0.49863013698630138</v>
          </cell>
          <cell r="D342">
            <v>182</v>
          </cell>
        </row>
        <row r="343">
          <cell r="A343" t="str">
            <v>F73SSA4</v>
          </cell>
          <cell r="B343" t="str">
            <v xml:space="preserve">ESMALTE HORN. GRIS            </v>
          </cell>
          <cell r="C343">
            <v>0.49863013698630138</v>
          </cell>
          <cell r="D343">
            <v>182</v>
          </cell>
        </row>
        <row r="344">
          <cell r="A344" t="str">
            <v>F73SSA4-1</v>
          </cell>
          <cell r="B344" t="str">
            <v xml:space="preserve">ESM HORN MARTILLADO PLATEADO  </v>
          </cell>
          <cell r="C344">
            <v>0.49863013698630138</v>
          </cell>
          <cell r="D344">
            <v>182</v>
          </cell>
        </row>
        <row r="345">
          <cell r="A345" t="str">
            <v>F73SSA4-5</v>
          </cell>
          <cell r="B345" t="str">
            <v xml:space="preserve">ESM HORN MARTILLADO PLATEADO  </v>
          </cell>
          <cell r="C345">
            <v>0.49863013698630138</v>
          </cell>
          <cell r="D345">
            <v>182</v>
          </cell>
        </row>
        <row r="346">
          <cell r="A346" t="str">
            <v>F73W2</v>
          </cell>
          <cell r="B346" t="str">
            <v xml:space="preserve">ESMALTE HORNEA. BLANCO BRILL. </v>
          </cell>
          <cell r="C346">
            <v>0.49863013698630138</v>
          </cell>
          <cell r="D346">
            <v>182</v>
          </cell>
        </row>
        <row r="347">
          <cell r="A347" t="str">
            <v>F73W2-1</v>
          </cell>
          <cell r="B347" t="str">
            <v xml:space="preserve">ESMALTE HORNEABLE BLANCO BRTE </v>
          </cell>
          <cell r="C347">
            <v>0.49863013698630138</v>
          </cell>
          <cell r="D347">
            <v>182</v>
          </cell>
        </row>
        <row r="348">
          <cell r="A348" t="str">
            <v>F73W2-5</v>
          </cell>
          <cell r="B348" t="str">
            <v xml:space="preserve">ESMALTE HORNEA. BLANCO BRILL. </v>
          </cell>
          <cell r="C348">
            <v>0.49863013698630138</v>
          </cell>
          <cell r="D348">
            <v>182</v>
          </cell>
        </row>
        <row r="349">
          <cell r="A349" t="str">
            <v>F73W2-50</v>
          </cell>
          <cell r="B349" t="str">
            <v xml:space="preserve">ESMALTE HORNEA. BLANCO BRILL. </v>
          </cell>
          <cell r="C349">
            <v>0.49863013698630138</v>
          </cell>
          <cell r="D349">
            <v>182</v>
          </cell>
        </row>
        <row r="350">
          <cell r="A350" t="str">
            <v>F73WSA29</v>
          </cell>
          <cell r="B350" t="str">
            <v xml:space="preserve">ESMALTE HORNEABLE ALQUIDICO   </v>
          </cell>
          <cell r="C350">
            <v>0.49863013698630138</v>
          </cell>
          <cell r="D350">
            <v>182</v>
          </cell>
        </row>
        <row r="351">
          <cell r="A351" t="str">
            <v>F73WSA29-50</v>
          </cell>
          <cell r="B351" t="str">
            <v xml:space="preserve">ESM HORNEABLE ALK BLANCO BTE  </v>
          </cell>
          <cell r="C351">
            <v>0.49863013698630138</v>
          </cell>
          <cell r="D351">
            <v>182</v>
          </cell>
        </row>
        <row r="352">
          <cell r="A352" t="str">
            <v>F75ASA4</v>
          </cell>
          <cell r="B352" t="str">
            <v xml:space="preserve">ESMALTE HORN.ALQUID.INDUST.   </v>
          </cell>
          <cell r="C352">
            <v>0.49863013698630138</v>
          </cell>
          <cell r="D352">
            <v>182</v>
          </cell>
        </row>
        <row r="353">
          <cell r="A353" t="str">
            <v>F75ASA4-5</v>
          </cell>
          <cell r="B353" t="str">
            <v xml:space="preserve">ESMALTE HORN ALK INDUST GRIS  </v>
          </cell>
          <cell r="C353">
            <v>0.49863013698630138</v>
          </cell>
          <cell r="D353">
            <v>182</v>
          </cell>
        </row>
        <row r="354">
          <cell r="A354" t="str">
            <v>F75BSA1</v>
          </cell>
          <cell r="B354" t="str">
            <v xml:space="preserve">ESMALTE HORNEABLE INDUSTRIAL  </v>
          </cell>
          <cell r="C354">
            <v>0.49863013698630138</v>
          </cell>
          <cell r="D354">
            <v>182</v>
          </cell>
        </row>
        <row r="355">
          <cell r="A355" t="str">
            <v>F75BSA1-50</v>
          </cell>
          <cell r="B355" t="str">
            <v xml:space="preserve">ESMALTE HORNEABLE IND NEGRO   </v>
          </cell>
          <cell r="C355">
            <v>0.49863013698630138</v>
          </cell>
          <cell r="D355">
            <v>182</v>
          </cell>
        </row>
        <row r="356">
          <cell r="A356" t="str">
            <v>F75GSA6</v>
          </cell>
          <cell r="B356" t="str">
            <v xml:space="preserve">ESMALTE HORNEABLE INDUSTRIAL  </v>
          </cell>
          <cell r="C356">
            <v>0.49863013698630138</v>
          </cell>
          <cell r="D356">
            <v>182</v>
          </cell>
        </row>
        <row r="357">
          <cell r="A357" t="str">
            <v>F75GSA6-50</v>
          </cell>
          <cell r="B357" t="str">
            <v xml:space="preserve">ESMALTE HORNEABLE IND VERDE   </v>
          </cell>
          <cell r="C357">
            <v>0.49863013698630138</v>
          </cell>
          <cell r="D357">
            <v>182</v>
          </cell>
        </row>
        <row r="358">
          <cell r="A358" t="str">
            <v>F75NSA3</v>
          </cell>
          <cell r="B358" t="str">
            <v xml:space="preserve">ESMALTE HORNEABLE INDUSTRIAL  </v>
          </cell>
          <cell r="C358">
            <v>0.49863013698630138</v>
          </cell>
          <cell r="D358">
            <v>182</v>
          </cell>
        </row>
        <row r="359">
          <cell r="A359" t="str">
            <v>F75NSA3-5</v>
          </cell>
          <cell r="B359" t="str">
            <v xml:space="preserve">ESM HORNEABLE IND BEIGE OSC   </v>
          </cell>
          <cell r="C359">
            <v>0.49863013698630138</v>
          </cell>
          <cell r="D359">
            <v>182</v>
          </cell>
        </row>
        <row r="360">
          <cell r="A360" t="str">
            <v>F75NSA5</v>
          </cell>
          <cell r="B360" t="str">
            <v xml:space="preserve">ESMALTE HORNEABLE ALKIDICO    </v>
          </cell>
          <cell r="C360">
            <v>0.49863013698630138</v>
          </cell>
          <cell r="D360">
            <v>182</v>
          </cell>
        </row>
        <row r="361">
          <cell r="A361" t="str">
            <v>F75NSA5-5</v>
          </cell>
          <cell r="B361" t="str">
            <v xml:space="preserve">ESMALTE HORNEABLE ALK CAFE    </v>
          </cell>
          <cell r="C361">
            <v>0.49863013698630138</v>
          </cell>
          <cell r="D361">
            <v>182</v>
          </cell>
        </row>
        <row r="362">
          <cell r="A362" t="str">
            <v>F75SSA4</v>
          </cell>
          <cell r="B362" t="str">
            <v xml:space="preserve">ESMALTE HORNEABLE             </v>
          </cell>
          <cell r="C362">
            <v>0.49863013698630138</v>
          </cell>
          <cell r="D362">
            <v>182</v>
          </cell>
        </row>
        <row r="363">
          <cell r="A363" t="str">
            <v>F75SSA4-5</v>
          </cell>
          <cell r="B363" t="str">
            <v xml:space="preserve">ESM HORNE ALUMINIO MARTILLADO </v>
          </cell>
          <cell r="C363">
            <v>0.49863013698630138</v>
          </cell>
          <cell r="D363">
            <v>182</v>
          </cell>
        </row>
        <row r="364">
          <cell r="A364" t="str">
            <v>F75WSA1</v>
          </cell>
          <cell r="B364" t="str">
            <v xml:space="preserve">ESMALTE HORNEABLE ALKYDICO    </v>
          </cell>
          <cell r="C364">
            <v>0.49863013698630138</v>
          </cell>
          <cell r="D364">
            <v>182</v>
          </cell>
        </row>
        <row r="365">
          <cell r="A365" t="str">
            <v>F75WSA1-5</v>
          </cell>
          <cell r="B365" t="str">
            <v xml:space="preserve">ESM HORNE ALK INDUST BLANCO   </v>
          </cell>
          <cell r="C365">
            <v>0.49863013698630138</v>
          </cell>
          <cell r="D365">
            <v>182</v>
          </cell>
        </row>
        <row r="366">
          <cell r="A366" t="str">
            <v>F75WSA1-50</v>
          </cell>
          <cell r="B366" t="str">
            <v xml:space="preserve">ESM HORNE ALK INDUST BLANCO   </v>
          </cell>
          <cell r="C366">
            <v>0.49863013698630138</v>
          </cell>
          <cell r="D366">
            <v>182</v>
          </cell>
        </row>
        <row r="367">
          <cell r="A367" t="str">
            <v>F75WSA2</v>
          </cell>
          <cell r="B367" t="str">
            <v xml:space="preserve">ESMALTE HORNEABLE INDUSTRIAL  </v>
          </cell>
          <cell r="C367">
            <v>0.49863013698630138</v>
          </cell>
          <cell r="D367">
            <v>182</v>
          </cell>
        </row>
        <row r="368">
          <cell r="A368" t="str">
            <v>F75WSA2-5</v>
          </cell>
          <cell r="B368" t="str">
            <v xml:space="preserve">ESM HORNE INDUST BLANCO PURO  </v>
          </cell>
          <cell r="C368">
            <v>0.49863013698630138</v>
          </cell>
          <cell r="D368">
            <v>182</v>
          </cell>
        </row>
        <row r="369">
          <cell r="A369" t="str">
            <v>F75WSA2-50</v>
          </cell>
          <cell r="B369" t="str">
            <v xml:space="preserve">ESM HORNE INDUST BLANCO PURO  </v>
          </cell>
          <cell r="C369">
            <v>0.49863013698630138</v>
          </cell>
          <cell r="D369">
            <v>182</v>
          </cell>
        </row>
        <row r="370">
          <cell r="A370" t="str">
            <v>F76ASA1</v>
          </cell>
          <cell r="B370" t="str">
            <v xml:space="preserve">ESMALTE HORNEABLE             </v>
          </cell>
          <cell r="C370">
            <v>0.49863013698630138</v>
          </cell>
          <cell r="D370">
            <v>182</v>
          </cell>
        </row>
        <row r="371">
          <cell r="A371" t="str">
            <v>F76ASA1-5</v>
          </cell>
          <cell r="B371" t="str">
            <v>ESMALTE HORNEABLE GRIS MULTICE</v>
          </cell>
          <cell r="C371">
            <v>0.49863013698630138</v>
          </cell>
          <cell r="D371">
            <v>182</v>
          </cell>
        </row>
        <row r="372">
          <cell r="A372" t="str">
            <v>F76BSA1</v>
          </cell>
          <cell r="B372" t="str">
            <v xml:space="preserve">ESMALTE HORNEABLE             </v>
          </cell>
          <cell r="C372">
            <v>0.49863013698630138</v>
          </cell>
          <cell r="D372">
            <v>182</v>
          </cell>
        </row>
        <row r="373">
          <cell r="A373" t="str">
            <v>F76BSA1-5</v>
          </cell>
          <cell r="B373" t="str">
            <v>ESMALTE HORNEABLE NEGRO INTENS</v>
          </cell>
          <cell r="C373">
            <v>0.49863013698630138</v>
          </cell>
          <cell r="D373">
            <v>182</v>
          </cell>
        </row>
        <row r="374">
          <cell r="A374" t="str">
            <v>F76ESA1</v>
          </cell>
          <cell r="B374" t="str">
            <v xml:space="preserve">ESMALTE HORNEABLE INDUSTRIAL  </v>
          </cell>
          <cell r="C374">
            <v>0.49863013698630138</v>
          </cell>
          <cell r="D374">
            <v>182</v>
          </cell>
        </row>
        <row r="375">
          <cell r="A375" t="str">
            <v>F76ESA1-5</v>
          </cell>
          <cell r="B375" t="str">
            <v xml:space="preserve">ESM HORNEABLE IND ANARANJADO  </v>
          </cell>
          <cell r="C375">
            <v>0.49863013698630138</v>
          </cell>
          <cell r="D375">
            <v>182</v>
          </cell>
        </row>
        <row r="376">
          <cell r="A376" t="str">
            <v>F76HSA1</v>
          </cell>
          <cell r="B376" t="str">
            <v xml:space="preserve">ESMALTE HORNEABLE             </v>
          </cell>
          <cell r="C376">
            <v>0.49863013698630138</v>
          </cell>
          <cell r="D376">
            <v>182</v>
          </cell>
        </row>
        <row r="377">
          <cell r="A377" t="str">
            <v>F76HSA1-50</v>
          </cell>
          <cell r="B377" t="str">
            <v>ESMALTE HORNEABLE BEIGE OFIMET</v>
          </cell>
          <cell r="C377">
            <v>0.49863013698630138</v>
          </cell>
          <cell r="D377">
            <v>182</v>
          </cell>
        </row>
        <row r="378">
          <cell r="A378" t="str">
            <v>F76NSA1</v>
          </cell>
          <cell r="B378" t="str">
            <v xml:space="preserve">ESMALTE HORNEABLE             </v>
          </cell>
          <cell r="C378">
            <v>0.49863013698630138</v>
          </cell>
          <cell r="D378">
            <v>182</v>
          </cell>
        </row>
        <row r="379">
          <cell r="A379" t="str">
            <v>F76NSA1-5</v>
          </cell>
          <cell r="B379" t="str">
            <v>ESMALTE HORNEABLE BEIGE OSCURO</v>
          </cell>
          <cell r="C379">
            <v>0.49863013698630138</v>
          </cell>
          <cell r="D379">
            <v>182</v>
          </cell>
        </row>
        <row r="380">
          <cell r="A380" t="str">
            <v>F76NSA1-50</v>
          </cell>
          <cell r="B380" t="str">
            <v>ESMALTE HORNEABLE BEIGE OSCURO</v>
          </cell>
          <cell r="C380">
            <v>0.49863013698630138</v>
          </cell>
          <cell r="D380">
            <v>182</v>
          </cell>
        </row>
        <row r="381">
          <cell r="A381" t="str">
            <v>F76NSA2</v>
          </cell>
          <cell r="B381" t="str">
            <v xml:space="preserve">ESMALTE HORNEABLE CAFE LISO   </v>
          </cell>
          <cell r="C381">
            <v>0.49863013698630138</v>
          </cell>
          <cell r="D381">
            <v>182</v>
          </cell>
        </row>
        <row r="382">
          <cell r="A382" t="str">
            <v>F76NSA2-5</v>
          </cell>
          <cell r="B382" t="str">
            <v xml:space="preserve">ESMALTE HORNEABLE CAFE LISO   </v>
          </cell>
          <cell r="C382">
            <v>0.49863013698630138</v>
          </cell>
          <cell r="D382">
            <v>182</v>
          </cell>
        </row>
        <row r="383">
          <cell r="A383" t="str">
            <v>F76NSA2-50</v>
          </cell>
          <cell r="B383" t="str">
            <v xml:space="preserve">ESMALTE HORNEABLE CAFE LISO   </v>
          </cell>
          <cell r="C383">
            <v>0.49863013698630138</v>
          </cell>
          <cell r="D383">
            <v>182</v>
          </cell>
        </row>
        <row r="384">
          <cell r="A384" t="str">
            <v>F76NSA3</v>
          </cell>
          <cell r="B384" t="str">
            <v xml:space="preserve">ESMALTE HORNEABLE             </v>
          </cell>
          <cell r="C384">
            <v>0.49863013698630138</v>
          </cell>
          <cell r="D384">
            <v>182</v>
          </cell>
        </row>
        <row r="385">
          <cell r="A385" t="str">
            <v>F76NSA3-50</v>
          </cell>
          <cell r="B385" t="str">
            <v xml:space="preserve">ESMALTE HORNEABLE CAFE SARTI  </v>
          </cell>
          <cell r="C385">
            <v>0.49863013698630138</v>
          </cell>
          <cell r="D385">
            <v>182</v>
          </cell>
        </row>
        <row r="386">
          <cell r="A386" t="str">
            <v>F76NSA4</v>
          </cell>
          <cell r="B386" t="str">
            <v xml:space="preserve">ESMALTE HORNEABLE INDUSTRIAL  </v>
          </cell>
          <cell r="C386">
            <v>0.49863013698630138</v>
          </cell>
          <cell r="D386">
            <v>182</v>
          </cell>
        </row>
        <row r="387">
          <cell r="A387" t="str">
            <v>F76NSA4-50</v>
          </cell>
          <cell r="B387" t="str">
            <v xml:space="preserve">ESMALTE HORNEABLE INDUS CAFÉ  </v>
          </cell>
          <cell r="C387">
            <v>0.49863013698630138</v>
          </cell>
          <cell r="D387">
            <v>182</v>
          </cell>
        </row>
        <row r="388">
          <cell r="A388" t="str">
            <v>F76WSA1</v>
          </cell>
          <cell r="B388" t="str">
            <v xml:space="preserve">ESMALTE HORNEABLE             </v>
          </cell>
          <cell r="C388">
            <v>0.49863013698630138</v>
          </cell>
          <cell r="D388">
            <v>182</v>
          </cell>
        </row>
        <row r="389">
          <cell r="A389" t="str">
            <v>F76WSA1-5</v>
          </cell>
          <cell r="B389" t="str">
            <v xml:space="preserve">ESMALTE HORNEABLE BLANCO      </v>
          </cell>
          <cell r="C389">
            <v>0.49863013698630138</v>
          </cell>
          <cell r="D389">
            <v>182</v>
          </cell>
        </row>
        <row r="390">
          <cell r="A390" t="str">
            <v>G78BSA11</v>
          </cell>
          <cell r="B390" t="str">
            <v xml:space="preserve">ESMALTE HORNEABLE ACRILICO    </v>
          </cell>
          <cell r="C390">
            <v>0.49863013698630138</v>
          </cell>
          <cell r="D390">
            <v>182</v>
          </cell>
        </row>
        <row r="391">
          <cell r="A391" t="str">
            <v>G78BSA11-1</v>
          </cell>
          <cell r="B391" t="str">
            <v xml:space="preserve">ESM HORNE ACRILICO NEGRO BRT  </v>
          </cell>
          <cell r="C391">
            <v>0.49863013698630138</v>
          </cell>
          <cell r="D391">
            <v>182</v>
          </cell>
        </row>
        <row r="392">
          <cell r="A392" t="str">
            <v>G78BSA11-5</v>
          </cell>
          <cell r="B392" t="str">
            <v xml:space="preserve">ESM HORNE ACRILICO NEGRO BRT  </v>
          </cell>
          <cell r="C392">
            <v>0.49863013698630138</v>
          </cell>
          <cell r="D392">
            <v>182</v>
          </cell>
        </row>
        <row r="393">
          <cell r="A393" t="str">
            <v>G78BSA11-50</v>
          </cell>
          <cell r="B393" t="str">
            <v xml:space="preserve">ESM HORNE ACRILICO NEGRO BRT  </v>
          </cell>
          <cell r="C393">
            <v>0.49863013698630138</v>
          </cell>
          <cell r="D393">
            <v>182</v>
          </cell>
        </row>
        <row r="394">
          <cell r="A394" t="str">
            <v>G78WSA17</v>
          </cell>
          <cell r="B394" t="str">
            <v xml:space="preserve">ESMALTE HORNEABLE ACRILICO    </v>
          </cell>
          <cell r="C394">
            <v>0.49863013698630138</v>
          </cell>
          <cell r="D394">
            <v>182</v>
          </cell>
        </row>
        <row r="395">
          <cell r="A395" t="str">
            <v>G78WSA17-50</v>
          </cell>
          <cell r="B395" t="str">
            <v xml:space="preserve">ESM HORNE ACRIL BLANCO ALMEN  </v>
          </cell>
          <cell r="C395">
            <v>0.49863013698630138</v>
          </cell>
          <cell r="D395">
            <v>182</v>
          </cell>
        </row>
        <row r="396">
          <cell r="A396" t="str">
            <v>G78WSA21</v>
          </cell>
          <cell r="B396" t="str">
            <v>ESMALT HORNE ACRILI ALMOND WHI</v>
          </cell>
          <cell r="C396">
            <v>0.49863013698630138</v>
          </cell>
          <cell r="D396">
            <v>182</v>
          </cell>
        </row>
        <row r="397">
          <cell r="A397" t="str">
            <v>G78WSA21-5</v>
          </cell>
          <cell r="B397" t="str">
            <v xml:space="preserve">ESM HORNE ACRIL BLANCO ALMEN  </v>
          </cell>
          <cell r="C397">
            <v>0.49863013698630138</v>
          </cell>
          <cell r="D397">
            <v>182</v>
          </cell>
        </row>
        <row r="398">
          <cell r="A398" t="str">
            <v>G78WSA21-50</v>
          </cell>
          <cell r="B398" t="str">
            <v xml:space="preserve">ESM HORNE ACRIL BLANCO ALMEN  </v>
          </cell>
          <cell r="C398">
            <v>0.49863013698630138</v>
          </cell>
          <cell r="D398">
            <v>182</v>
          </cell>
        </row>
        <row r="399">
          <cell r="A399" t="str">
            <v>G78WSA22</v>
          </cell>
          <cell r="B399" t="str">
            <v>ESMALT HORNE ACRILI SNOW WHITE</v>
          </cell>
          <cell r="C399">
            <v>0.49863013698630138</v>
          </cell>
          <cell r="D399">
            <v>182</v>
          </cell>
        </row>
        <row r="400">
          <cell r="A400" t="str">
            <v>G78WSA22-50</v>
          </cell>
          <cell r="B400" t="str">
            <v xml:space="preserve">ESM HORNE ACRI BCO.NIEVE      </v>
          </cell>
          <cell r="C400">
            <v>0.49863013698630138</v>
          </cell>
          <cell r="D400">
            <v>182</v>
          </cell>
        </row>
        <row r="401">
          <cell r="A401" t="str">
            <v>K59YSA1</v>
          </cell>
          <cell r="B401" t="str">
            <v>BARNIZ TINTE IND CORTEZ BLANCO</v>
          </cell>
          <cell r="C401">
            <v>0.49863013698630138</v>
          </cell>
          <cell r="D401">
            <v>182</v>
          </cell>
        </row>
        <row r="402">
          <cell r="A402" t="str">
            <v>K59YSA1-5</v>
          </cell>
          <cell r="B402" t="str">
            <v>BARNIZ TINTE IND CORTEZ BLANCO</v>
          </cell>
          <cell r="C402">
            <v>0.49863013698630138</v>
          </cell>
          <cell r="D402">
            <v>182</v>
          </cell>
        </row>
        <row r="403">
          <cell r="A403" t="str">
            <v>L10B1738</v>
          </cell>
          <cell r="B403" t="str">
            <v>SPRAYING ACRYLIC LACQUER BLACK</v>
          </cell>
          <cell r="C403">
            <v>0.49863013698630138</v>
          </cell>
          <cell r="D403">
            <v>182</v>
          </cell>
        </row>
        <row r="404">
          <cell r="A404" t="str">
            <v>L10B1738-1</v>
          </cell>
          <cell r="B404" t="str">
            <v>SPRAYING ACRYLIC LACQUER BLACK</v>
          </cell>
          <cell r="C404">
            <v>0.49863013698630138</v>
          </cell>
          <cell r="D404">
            <v>182</v>
          </cell>
        </row>
        <row r="405">
          <cell r="A405" t="str">
            <v>L10W4148</v>
          </cell>
          <cell r="B405" t="str">
            <v xml:space="preserve">SPRAY ACRYLIC LAC SUPER WHITE </v>
          </cell>
          <cell r="C405">
            <v>0.49863013698630138</v>
          </cell>
          <cell r="D405">
            <v>182</v>
          </cell>
        </row>
        <row r="406">
          <cell r="A406" t="str">
            <v>L10W4148-1</v>
          </cell>
          <cell r="B406" t="str">
            <v xml:space="preserve">SPRAY ACRYLIC LAC SUPER WHITE </v>
          </cell>
          <cell r="C406">
            <v>0.49863013698630138</v>
          </cell>
          <cell r="D406">
            <v>182</v>
          </cell>
        </row>
        <row r="407">
          <cell r="A407" t="str">
            <v>L10WCR4148</v>
          </cell>
          <cell r="B407" t="str">
            <v xml:space="preserve">SPRAYINC ACRILIC LACQUER      </v>
          </cell>
          <cell r="C407">
            <v>0.49863013698630138</v>
          </cell>
          <cell r="D407">
            <v>182</v>
          </cell>
        </row>
        <row r="408">
          <cell r="A408" t="str">
            <v>L10WCR4148-1</v>
          </cell>
          <cell r="B408" t="str">
            <v xml:space="preserve">SPRAYING ACRYLIC LACQ BLANCO  </v>
          </cell>
          <cell r="C408">
            <v>0.49863013698630138</v>
          </cell>
          <cell r="D408">
            <v>182</v>
          </cell>
        </row>
        <row r="409">
          <cell r="A409" t="str">
            <v>L1B3137</v>
          </cell>
          <cell r="B409" t="str">
            <v xml:space="preserve">OPEX SPRAY LAC INTENSE BLACK  </v>
          </cell>
          <cell r="C409">
            <v>0.49863013698630138</v>
          </cell>
          <cell r="D409">
            <v>182</v>
          </cell>
        </row>
        <row r="410">
          <cell r="A410" t="str">
            <v>L1B3137-1</v>
          </cell>
          <cell r="B410" t="str">
            <v xml:space="preserve">OPEX SPRAY LAC INTENSE BLACK  </v>
          </cell>
          <cell r="C410">
            <v>0.49863013698630138</v>
          </cell>
          <cell r="D410">
            <v>182</v>
          </cell>
        </row>
        <row r="411">
          <cell r="A411" t="str">
            <v>L1HSA1</v>
          </cell>
          <cell r="B411" t="str">
            <v xml:space="preserve">OPEX LACQUER BEIGE            </v>
          </cell>
          <cell r="C411">
            <v>0.49863013698630138</v>
          </cell>
          <cell r="D411">
            <v>182</v>
          </cell>
        </row>
        <row r="412">
          <cell r="A412" t="str">
            <v>L1HSA1-1</v>
          </cell>
          <cell r="B412" t="str">
            <v xml:space="preserve">OPEX LACQUER BEIGE            </v>
          </cell>
          <cell r="C412">
            <v>0.49863013698630138</v>
          </cell>
          <cell r="D412">
            <v>182</v>
          </cell>
        </row>
        <row r="413">
          <cell r="A413" t="str">
            <v>L1R40</v>
          </cell>
          <cell r="B413" t="str">
            <v xml:space="preserve">OPEX SPRAY LAC TOLUIDINE RED  </v>
          </cell>
          <cell r="C413">
            <v>0.49863013698630138</v>
          </cell>
          <cell r="D413">
            <v>182</v>
          </cell>
        </row>
        <row r="414">
          <cell r="A414" t="str">
            <v>L1R40-1</v>
          </cell>
          <cell r="B414" t="str">
            <v xml:space="preserve">OPEX SPRAY LAC TOLUIDINE RED  </v>
          </cell>
          <cell r="C414">
            <v>0.49863013698630138</v>
          </cell>
          <cell r="D414">
            <v>182</v>
          </cell>
        </row>
        <row r="415">
          <cell r="A415" t="str">
            <v>L1R40-SP</v>
          </cell>
          <cell r="B415" t="str">
            <v xml:space="preserve">OPEX SPRAYING LACQUER         </v>
          </cell>
          <cell r="C415">
            <v>0.49863013698630138</v>
          </cell>
          <cell r="D415">
            <v>182</v>
          </cell>
        </row>
        <row r="416">
          <cell r="A416" t="str">
            <v>L1R40SP-1</v>
          </cell>
          <cell r="B416" t="str">
            <v xml:space="preserve">OPEX SPRAYING LACQUER ROJO    </v>
          </cell>
          <cell r="C416">
            <v>0.49863013698630138</v>
          </cell>
          <cell r="D416">
            <v>182</v>
          </cell>
        </row>
        <row r="417">
          <cell r="A417" t="str">
            <v>L1SSA1</v>
          </cell>
          <cell r="B417" t="str">
            <v xml:space="preserve">OPEX LACQUER                  </v>
          </cell>
          <cell r="C417">
            <v>0.49863013698630138</v>
          </cell>
          <cell r="D417">
            <v>182</v>
          </cell>
        </row>
        <row r="418">
          <cell r="A418" t="str">
            <v>L1SSA1-1</v>
          </cell>
          <cell r="B418" t="str">
            <v xml:space="preserve">OPEX LACQUER ALUMINIO         </v>
          </cell>
          <cell r="C418">
            <v>0.49863013698630138</v>
          </cell>
          <cell r="D418">
            <v>182</v>
          </cell>
        </row>
        <row r="419">
          <cell r="A419" t="str">
            <v>L1W3252</v>
          </cell>
          <cell r="B419" t="str">
            <v xml:space="preserve">OPEX SPRAY LAC FLEET WHITE    </v>
          </cell>
          <cell r="C419">
            <v>0.49863013698630138</v>
          </cell>
          <cell r="D419">
            <v>182</v>
          </cell>
        </row>
        <row r="420">
          <cell r="A420" t="str">
            <v>L1W3252-1</v>
          </cell>
          <cell r="B420" t="str">
            <v xml:space="preserve">OPEX SPRAY LAC FLEET WHITE    </v>
          </cell>
          <cell r="C420">
            <v>0.49863013698630138</v>
          </cell>
          <cell r="D420">
            <v>182</v>
          </cell>
        </row>
        <row r="421">
          <cell r="A421" t="str">
            <v>L3B320</v>
          </cell>
          <cell r="B421" t="str">
            <v xml:space="preserve">OPEX MIX LAC EBANO            </v>
          </cell>
          <cell r="C421">
            <v>0.49863013698630138</v>
          </cell>
          <cell r="D421">
            <v>182</v>
          </cell>
        </row>
        <row r="422">
          <cell r="A422" t="str">
            <v>L3B320-1</v>
          </cell>
          <cell r="B422" t="str">
            <v xml:space="preserve">OPEX MIX LAC EBANO            </v>
          </cell>
          <cell r="C422">
            <v>0.49863013698630138</v>
          </cell>
          <cell r="D422">
            <v>182</v>
          </cell>
        </row>
        <row r="423">
          <cell r="A423" t="str">
            <v>L3B320-1.1/4</v>
          </cell>
          <cell r="B423" t="str">
            <v xml:space="preserve">OPEX MIX LAC EBANO            </v>
          </cell>
          <cell r="C423">
            <v>0.49863013698630138</v>
          </cell>
          <cell r="D423">
            <v>182</v>
          </cell>
        </row>
        <row r="424">
          <cell r="A424" t="str">
            <v>L3E317</v>
          </cell>
          <cell r="B424" t="str">
            <v xml:space="preserve">OPEX MIX LAC NARANJA          </v>
          </cell>
          <cell r="C424">
            <v>0.49863013698630138</v>
          </cell>
          <cell r="D424">
            <v>182</v>
          </cell>
        </row>
        <row r="425">
          <cell r="A425" t="str">
            <v>L3E317-1</v>
          </cell>
          <cell r="B425" t="str">
            <v xml:space="preserve">OPEX MIX LAC NARANJA          </v>
          </cell>
          <cell r="C425">
            <v>0.49863013698630138</v>
          </cell>
          <cell r="D425">
            <v>182</v>
          </cell>
        </row>
        <row r="426">
          <cell r="A426" t="str">
            <v>L3E317-SP</v>
          </cell>
          <cell r="B426" t="str">
            <v xml:space="preserve">OPEX MIXING LACQUER           </v>
          </cell>
          <cell r="C426">
            <v>0.49863013698630138</v>
          </cell>
          <cell r="D426">
            <v>182</v>
          </cell>
        </row>
        <row r="427">
          <cell r="A427" t="str">
            <v>L3E317SP-1</v>
          </cell>
          <cell r="B427" t="str">
            <v xml:space="preserve">OPEX MIXING LACQUER NARANJA   </v>
          </cell>
          <cell r="C427">
            <v>0.49863013698630138</v>
          </cell>
          <cell r="D427">
            <v>182</v>
          </cell>
        </row>
        <row r="428">
          <cell r="A428" t="str">
            <v>L3G311</v>
          </cell>
          <cell r="B428" t="str">
            <v xml:space="preserve">OPEX MIX LAC VERDE P.T.       </v>
          </cell>
          <cell r="C428">
            <v>0.49863013698630138</v>
          </cell>
          <cell r="D428">
            <v>182</v>
          </cell>
        </row>
        <row r="429">
          <cell r="A429" t="str">
            <v>L3G311-1</v>
          </cell>
          <cell r="B429" t="str">
            <v xml:space="preserve">OPEX MIX LAC VERDE P.T.       </v>
          </cell>
          <cell r="C429">
            <v>0.49863013698630138</v>
          </cell>
          <cell r="D429">
            <v>182</v>
          </cell>
        </row>
        <row r="430">
          <cell r="A430" t="str">
            <v>L3L305</v>
          </cell>
          <cell r="B430" t="str">
            <v xml:space="preserve">OPEX MIX LACQUER AZUL ROJIZO  </v>
          </cell>
          <cell r="C430">
            <v>0.49863013698630138</v>
          </cell>
          <cell r="D430">
            <v>182</v>
          </cell>
        </row>
        <row r="431">
          <cell r="A431" t="str">
            <v>L3L305-1</v>
          </cell>
          <cell r="B431" t="str">
            <v xml:space="preserve">OPEX MIX LACQUER AZUL ROJIZO  </v>
          </cell>
          <cell r="C431">
            <v>0.49863013698630138</v>
          </cell>
          <cell r="D431">
            <v>182</v>
          </cell>
        </row>
        <row r="432">
          <cell r="A432" t="str">
            <v>L3L309</v>
          </cell>
          <cell r="B432" t="str">
            <v xml:space="preserve">OPEX MIX LAC AZUL VERDOSO     </v>
          </cell>
          <cell r="C432">
            <v>0.49863013698630138</v>
          </cell>
          <cell r="D432">
            <v>182</v>
          </cell>
        </row>
        <row r="433">
          <cell r="A433" t="str">
            <v>L3L309-1</v>
          </cell>
          <cell r="B433" t="str">
            <v xml:space="preserve">OPEX MIX LAC AZUL VERDOSO     </v>
          </cell>
          <cell r="C433">
            <v>0.49863013698630138</v>
          </cell>
          <cell r="D433">
            <v>182</v>
          </cell>
        </row>
        <row r="434">
          <cell r="A434" t="str">
            <v>L3M318</v>
          </cell>
          <cell r="B434" t="str">
            <v xml:space="preserve">OPEX MIX LAC MARRON           </v>
          </cell>
          <cell r="C434">
            <v>0.49863013698630138</v>
          </cell>
          <cell r="D434">
            <v>182</v>
          </cell>
        </row>
        <row r="435">
          <cell r="A435" t="str">
            <v>L3M318-1</v>
          </cell>
          <cell r="B435" t="str">
            <v xml:space="preserve">OPEX MIX LAC MARRON           </v>
          </cell>
          <cell r="C435">
            <v>0.49863013698630138</v>
          </cell>
          <cell r="D435">
            <v>182</v>
          </cell>
        </row>
        <row r="436">
          <cell r="A436" t="str">
            <v>L3M341</v>
          </cell>
          <cell r="B436" t="str">
            <v xml:space="preserve">OPEX MIX LAC MARRON BRTE      </v>
          </cell>
          <cell r="C436">
            <v>0.49863013698630138</v>
          </cell>
          <cell r="D436">
            <v>182</v>
          </cell>
        </row>
        <row r="437">
          <cell r="A437" t="str">
            <v>L3M341-1</v>
          </cell>
          <cell r="B437" t="str">
            <v xml:space="preserve">OPEX MIX LAC MARRON BRTE      </v>
          </cell>
          <cell r="C437">
            <v>0.49863013698630138</v>
          </cell>
          <cell r="D437">
            <v>182</v>
          </cell>
        </row>
        <row r="438">
          <cell r="A438" t="str">
            <v>L3N314</v>
          </cell>
          <cell r="B438" t="str">
            <v xml:space="preserve">OPEX MIX LAC DORADO           </v>
          </cell>
          <cell r="C438">
            <v>0.49863013698630138</v>
          </cell>
          <cell r="D438">
            <v>182</v>
          </cell>
        </row>
        <row r="439">
          <cell r="A439" t="str">
            <v>L3N314-1</v>
          </cell>
          <cell r="B439" t="str">
            <v xml:space="preserve">OPEX MIX LAC DORADO           </v>
          </cell>
          <cell r="C439">
            <v>0.49863013698630138</v>
          </cell>
          <cell r="D439">
            <v>182</v>
          </cell>
        </row>
        <row r="440">
          <cell r="A440" t="str">
            <v>L3N342</v>
          </cell>
          <cell r="B440" t="str">
            <v xml:space="preserve">OPEX MIX LAC DORADO ROJIZO    </v>
          </cell>
          <cell r="C440">
            <v>0.49863013698630138</v>
          </cell>
          <cell r="D440">
            <v>182</v>
          </cell>
        </row>
        <row r="441">
          <cell r="A441" t="str">
            <v>L3N342-1</v>
          </cell>
          <cell r="B441" t="str">
            <v xml:space="preserve">OPEX MIX LAC DORADO ROJIZO    </v>
          </cell>
          <cell r="C441">
            <v>0.49863013698630138</v>
          </cell>
          <cell r="D441">
            <v>182</v>
          </cell>
        </row>
        <row r="442">
          <cell r="A442" t="str">
            <v>L3R304</v>
          </cell>
          <cell r="B442" t="str">
            <v xml:space="preserve">OPEX MIX LAC ROJO OXIDO       </v>
          </cell>
          <cell r="C442">
            <v>0.49863013698630138</v>
          </cell>
          <cell r="D442">
            <v>182</v>
          </cell>
        </row>
        <row r="443">
          <cell r="A443" t="str">
            <v>L3R304-1</v>
          </cell>
          <cell r="B443" t="str">
            <v xml:space="preserve">OPEX MIX LAC ROJO OXIDO       </v>
          </cell>
          <cell r="C443">
            <v>0.49863013698630138</v>
          </cell>
          <cell r="D443">
            <v>182</v>
          </cell>
        </row>
        <row r="444">
          <cell r="A444" t="str">
            <v>L3R330</v>
          </cell>
          <cell r="B444" t="str">
            <v xml:space="preserve">OPEX MIX LAC ROJO BRILLANTE   </v>
          </cell>
          <cell r="C444">
            <v>0.49863013698630138</v>
          </cell>
          <cell r="D444">
            <v>182</v>
          </cell>
        </row>
        <row r="445">
          <cell r="A445" t="str">
            <v>L3R330-1</v>
          </cell>
          <cell r="B445" t="str">
            <v xml:space="preserve">OPEX MIX LAC ROJO BRILLANTE   </v>
          </cell>
          <cell r="C445">
            <v>0.49863013698630138</v>
          </cell>
          <cell r="D445">
            <v>182</v>
          </cell>
        </row>
        <row r="446">
          <cell r="A446" t="str">
            <v>L3RSA4</v>
          </cell>
          <cell r="B446" t="str">
            <v xml:space="preserve">OPEX MIX LAC ROJO PARA MEZCLA </v>
          </cell>
          <cell r="C446">
            <v>0.49863013698630138</v>
          </cell>
          <cell r="D446">
            <v>182</v>
          </cell>
        </row>
        <row r="447">
          <cell r="A447" t="str">
            <v>L3RSA4-1</v>
          </cell>
          <cell r="B447" t="str">
            <v xml:space="preserve">OPEX MIX LAC ROJO PARA MEZCLA </v>
          </cell>
          <cell r="C447">
            <v>0.49863013698630138</v>
          </cell>
          <cell r="D447">
            <v>182</v>
          </cell>
        </row>
        <row r="448">
          <cell r="A448" t="str">
            <v>L3S335</v>
          </cell>
          <cell r="B448" t="str">
            <v xml:space="preserve">OPEX MIX LAC METALICO BRTE    </v>
          </cell>
          <cell r="C448">
            <v>0.49863013698630138</v>
          </cell>
          <cell r="D448">
            <v>182</v>
          </cell>
        </row>
        <row r="449">
          <cell r="A449" t="str">
            <v>L3S335-1</v>
          </cell>
          <cell r="B449" t="str">
            <v xml:space="preserve">OPEX MIX LAC METALICO BRTE    </v>
          </cell>
          <cell r="C449">
            <v>0.49863013698630138</v>
          </cell>
          <cell r="D449">
            <v>182</v>
          </cell>
        </row>
        <row r="450">
          <cell r="A450" t="str">
            <v>L3S350</v>
          </cell>
          <cell r="B450" t="str">
            <v xml:space="preserve">OPEX MIX LAC METALICO MEDIO   </v>
          </cell>
          <cell r="C450">
            <v>0.49863013698630138</v>
          </cell>
          <cell r="D450">
            <v>182</v>
          </cell>
        </row>
        <row r="451">
          <cell r="A451" t="str">
            <v>L3S350-1</v>
          </cell>
          <cell r="B451" t="str">
            <v xml:space="preserve">OPEX MIX LAC METALICO MEDIO   </v>
          </cell>
          <cell r="C451">
            <v>0.49863013698630138</v>
          </cell>
          <cell r="D451">
            <v>182</v>
          </cell>
        </row>
        <row r="452">
          <cell r="A452" t="str">
            <v>L3S352</v>
          </cell>
          <cell r="B452" t="str">
            <v xml:space="preserve">OPEX MIX LAC METALICO MED GSO </v>
          </cell>
          <cell r="C452">
            <v>0.49863013698630138</v>
          </cell>
          <cell r="D452">
            <v>182</v>
          </cell>
        </row>
        <row r="453">
          <cell r="A453" t="str">
            <v>L3S352-1</v>
          </cell>
          <cell r="B453" t="str">
            <v xml:space="preserve">OPEX MIX LAC METALICO MED GSO </v>
          </cell>
          <cell r="C453">
            <v>0.49863013698630138</v>
          </cell>
          <cell r="D453">
            <v>182</v>
          </cell>
        </row>
        <row r="454">
          <cell r="A454" t="str">
            <v>L3W301</v>
          </cell>
          <cell r="B454" t="str">
            <v xml:space="preserve">OPEX MIX LAC BLANCO           </v>
          </cell>
          <cell r="C454">
            <v>0.49863013698630138</v>
          </cell>
          <cell r="D454">
            <v>182</v>
          </cell>
        </row>
        <row r="455">
          <cell r="A455" t="str">
            <v>L3W301-1</v>
          </cell>
          <cell r="B455" t="str">
            <v xml:space="preserve">OPEX MIX LAC BLANCO           </v>
          </cell>
          <cell r="C455">
            <v>0.49863013698630138</v>
          </cell>
          <cell r="D455">
            <v>182</v>
          </cell>
        </row>
        <row r="456">
          <cell r="A456" t="str">
            <v>L3W301-1.1/4</v>
          </cell>
          <cell r="B456" t="str">
            <v xml:space="preserve">OPEX MIX LAC BLANCO           </v>
          </cell>
          <cell r="C456">
            <v>0.49863013698630138</v>
          </cell>
          <cell r="D456">
            <v>182</v>
          </cell>
        </row>
        <row r="457">
          <cell r="A457" t="str">
            <v>L3Y303</v>
          </cell>
          <cell r="B457" t="str">
            <v xml:space="preserve">OPEX MIX LAC AMARILLO OXIDO   </v>
          </cell>
          <cell r="C457">
            <v>0.49863013698630138</v>
          </cell>
          <cell r="D457">
            <v>182</v>
          </cell>
        </row>
        <row r="458">
          <cell r="A458" t="str">
            <v>L3Y303-1</v>
          </cell>
          <cell r="B458" t="str">
            <v xml:space="preserve">OPEX MIX LAC AMARILLO OXIDO   </v>
          </cell>
          <cell r="C458">
            <v>0.49863013698630138</v>
          </cell>
          <cell r="D458">
            <v>182</v>
          </cell>
        </row>
        <row r="459">
          <cell r="A459" t="str">
            <v>L3Y332</v>
          </cell>
          <cell r="B459" t="str">
            <v xml:space="preserve">OPEX MIX LAC AMARILLO LIMON   </v>
          </cell>
          <cell r="C459">
            <v>0.49863013698630138</v>
          </cell>
          <cell r="D459">
            <v>182</v>
          </cell>
        </row>
        <row r="460">
          <cell r="A460" t="str">
            <v>L3Y332-1</v>
          </cell>
          <cell r="B460" t="str">
            <v xml:space="preserve">OPEX MIX LAC AMARILLO LIMON   </v>
          </cell>
          <cell r="C460">
            <v>0.49863013698630138</v>
          </cell>
          <cell r="D460">
            <v>182</v>
          </cell>
        </row>
        <row r="461">
          <cell r="A461" t="str">
            <v>L3Y332-SP</v>
          </cell>
          <cell r="B461" t="str">
            <v xml:space="preserve">OPEX MIXING LACQUER LEMON     </v>
          </cell>
          <cell r="C461">
            <v>0.49863013698630138</v>
          </cell>
          <cell r="D461">
            <v>182</v>
          </cell>
        </row>
        <row r="462">
          <cell r="A462" t="str">
            <v>L3Y332SP-1</v>
          </cell>
          <cell r="B462" t="str">
            <v>OPEX MIX LAC AMARILLO LIMON SP</v>
          </cell>
          <cell r="C462">
            <v>0.49863013698630138</v>
          </cell>
          <cell r="D462">
            <v>182</v>
          </cell>
        </row>
        <row r="463">
          <cell r="A463" t="str">
            <v>L3Y333</v>
          </cell>
          <cell r="B463" t="str">
            <v xml:space="preserve">OPEX MIX LAC AMARILLO MEDIO   </v>
          </cell>
          <cell r="C463">
            <v>0.49863013698630138</v>
          </cell>
          <cell r="D463">
            <v>182</v>
          </cell>
        </row>
        <row r="464">
          <cell r="A464" t="str">
            <v>L3Y333-1</v>
          </cell>
          <cell r="B464" t="str">
            <v xml:space="preserve">OPEX MIX LAC AMARILLO MEDIO   </v>
          </cell>
          <cell r="C464">
            <v>0.49863013698630138</v>
          </cell>
          <cell r="D464">
            <v>182</v>
          </cell>
        </row>
        <row r="465">
          <cell r="A465" t="str">
            <v>L3Y333-SP</v>
          </cell>
          <cell r="B465" t="str">
            <v xml:space="preserve">OPEX MIXING LACQUER MEDIUM    </v>
          </cell>
          <cell r="C465">
            <v>0.49863013698630138</v>
          </cell>
          <cell r="D465">
            <v>182</v>
          </cell>
        </row>
        <row r="466">
          <cell r="A466" t="str">
            <v>L3Y333SP-1</v>
          </cell>
          <cell r="B466" t="str">
            <v>OPEX MIX LAC AMARILLO MEDIO SP</v>
          </cell>
          <cell r="C466">
            <v>0.49863013698630138</v>
          </cell>
          <cell r="D466">
            <v>182</v>
          </cell>
        </row>
        <row r="467">
          <cell r="A467" t="str">
            <v>L60BSA11</v>
          </cell>
          <cell r="B467" t="str">
            <v xml:space="preserve">LACA INDUSTRIAL NEGRO         </v>
          </cell>
          <cell r="C467">
            <v>0.49863013698630138</v>
          </cell>
          <cell r="D467">
            <v>182</v>
          </cell>
        </row>
        <row r="468">
          <cell r="A468" t="str">
            <v>L60BSA11-5</v>
          </cell>
          <cell r="B468" t="str">
            <v>LACA INDUSTRIAL NEGRO SATINADO</v>
          </cell>
          <cell r="C468">
            <v>0.49863013698630138</v>
          </cell>
          <cell r="D468">
            <v>182</v>
          </cell>
        </row>
        <row r="469">
          <cell r="A469" t="str">
            <v>L60BSA11-50</v>
          </cell>
          <cell r="B469" t="str">
            <v>LACA INDUSTRIAL NEGRO SATINADO</v>
          </cell>
          <cell r="C469">
            <v>0.49863013698630138</v>
          </cell>
          <cell r="D469">
            <v>182</v>
          </cell>
        </row>
        <row r="470">
          <cell r="A470" t="str">
            <v>L60BSA2</v>
          </cell>
          <cell r="B470" t="str">
            <v xml:space="preserve">OPEX INDUS. LACQUER (NEGRO)   </v>
          </cell>
          <cell r="C470">
            <v>0.49863013698630138</v>
          </cell>
          <cell r="D470">
            <v>182</v>
          </cell>
        </row>
        <row r="471">
          <cell r="A471" t="str">
            <v>L60BSA2-1</v>
          </cell>
          <cell r="B471" t="str">
            <v xml:space="preserve">OPEX INDUSTRIAL LACQUER NEGRO </v>
          </cell>
          <cell r="C471">
            <v>0.49863013698630138</v>
          </cell>
          <cell r="D471">
            <v>182</v>
          </cell>
        </row>
        <row r="472">
          <cell r="A472" t="str">
            <v>L60ESA2</v>
          </cell>
          <cell r="B472" t="str">
            <v xml:space="preserve">LACA INDUSTRIAL               </v>
          </cell>
          <cell r="C472">
            <v>0.49863013698630138</v>
          </cell>
          <cell r="D472">
            <v>182</v>
          </cell>
        </row>
        <row r="473">
          <cell r="A473" t="str">
            <v>L60ESA2-50</v>
          </cell>
          <cell r="B473" t="str">
            <v xml:space="preserve">LACA INDUSTRIAL NARANJA       </v>
          </cell>
          <cell r="C473">
            <v>0.49863013698630138</v>
          </cell>
          <cell r="D473">
            <v>182</v>
          </cell>
        </row>
        <row r="474">
          <cell r="A474" t="str">
            <v>L60ESA4</v>
          </cell>
          <cell r="B474" t="str">
            <v xml:space="preserve">RECUBRIMIENTO INDUSTRIAL      </v>
          </cell>
          <cell r="C474">
            <v>0.49863013698630138</v>
          </cell>
          <cell r="D474">
            <v>182</v>
          </cell>
        </row>
        <row r="475">
          <cell r="A475" t="str">
            <v>L60ESA4-5</v>
          </cell>
          <cell r="B475" t="str">
            <v xml:space="preserve">RECUBRIMIEN IND NARANJA TOMZA </v>
          </cell>
          <cell r="C475">
            <v>0.49863013698630138</v>
          </cell>
          <cell r="D475">
            <v>182</v>
          </cell>
        </row>
        <row r="476">
          <cell r="A476" t="str">
            <v>L60ESA4-50</v>
          </cell>
          <cell r="B476" t="str">
            <v xml:space="preserve">RECUBRIMIEN IND NARANJA TOMZA </v>
          </cell>
          <cell r="C476">
            <v>0.49863013698630138</v>
          </cell>
          <cell r="D476">
            <v>182</v>
          </cell>
        </row>
        <row r="477">
          <cell r="A477" t="str">
            <v>L60LSA20</v>
          </cell>
          <cell r="B477" t="str">
            <v xml:space="preserve">LACA INDUSTRIAL               </v>
          </cell>
          <cell r="C477">
            <v>0.49863013698630138</v>
          </cell>
          <cell r="D477">
            <v>182</v>
          </cell>
        </row>
        <row r="478">
          <cell r="A478" t="str">
            <v>L60LSA20-50</v>
          </cell>
          <cell r="B478" t="str">
            <v xml:space="preserve">LACA INDUS AZUL INTENSO MATE  </v>
          </cell>
          <cell r="C478">
            <v>0.49863013698630138</v>
          </cell>
          <cell r="D478">
            <v>182</v>
          </cell>
        </row>
        <row r="479">
          <cell r="A479" t="str">
            <v>L60NSA19</v>
          </cell>
          <cell r="B479" t="str">
            <v xml:space="preserve">LACA INDUSTRIAL               </v>
          </cell>
          <cell r="C479">
            <v>0.49863013698630138</v>
          </cell>
          <cell r="D479">
            <v>182</v>
          </cell>
        </row>
        <row r="480">
          <cell r="A480" t="str">
            <v>L60NSA19-5</v>
          </cell>
          <cell r="B480" t="str">
            <v xml:space="preserve">LACA INDUSTRIAL CAFE HECASA   </v>
          </cell>
          <cell r="C480">
            <v>0.49863013698630138</v>
          </cell>
          <cell r="D480">
            <v>182</v>
          </cell>
        </row>
        <row r="481">
          <cell r="A481" t="str">
            <v>L60RSA4</v>
          </cell>
          <cell r="B481" t="str">
            <v xml:space="preserve">OPEX INDUSTRIAL LACQUER       </v>
          </cell>
          <cell r="C481">
            <v>0.49863013698630138</v>
          </cell>
          <cell r="D481">
            <v>182</v>
          </cell>
        </row>
        <row r="482">
          <cell r="A482" t="str">
            <v>L60RSA4-1</v>
          </cell>
          <cell r="B482" t="str">
            <v xml:space="preserve">OPEX INDUSTRIAL LACQUER ROJO  </v>
          </cell>
          <cell r="C482">
            <v>0.49863013698630138</v>
          </cell>
          <cell r="D482">
            <v>182</v>
          </cell>
        </row>
        <row r="483">
          <cell r="A483" t="str">
            <v>L60RSA4-50</v>
          </cell>
          <cell r="B483" t="str">
            <v xml:space="preserve">OPEX INDUSTRIAL LACQUER ROJO  </v>
          </cell>
          <cell r="C483">
            <v>0.49863013698630138</v>
          </cell>
          <cell r="D483">
            <v>182</v>
          </cell>
        </row>
        <row r="484">
          <cell r="A484" t="str">
            <v>L60WSA3</v>
          </cell>
          <cell r="B484" t="str">
            <v xml:space="preserve">OPEX INDUS. LACQUER (BLANCO)  </v>
          </cell>
          <cell r="C484">
            <v>0.49863013698630138</v>
          </cell>
          <cell r="D484">
            <v>182</v>
          </cell>
        </row>
        <row r="485">
          <cell r="A485" t="str">
            <v>L60WSA3-1</v>
          </cell>
          <cell r="B485" t="str">
            <v xml:space="preserve">OPEX INDUS. LACQUER BLANCO    </v>
          </cell>
          <cell r="C485">
            <v>0.49863013698630138</v>
          </cell>
          <cell r="D485">
            <v>182</v>
          </cell>
        </row>
        <row r="486">
          <cell r="A486" t="str">
            <v>M68ESA7</v>
          </cell>
          <cell r="B486" t="str">
            <v xml:space="preserve">LACA PARA LAPICES             </v>
          </cell>
          <cell r="C486">
            <v>0.49863013698630138</v>
          </cell>
          <cell r="D486">
            <v>182</v>
          </cell>
        </row>
        <row r="487">
          <cell r="A487" t="str">
            <v>M68ESA7-5</v>
          </cell>
          <cell r="B487" t="str">
            <v xml:space="preserve">LACA PARA LAPICES NARANJA     </v>
          </cell>
          <cell r="C487">
            <v>0.49863013698630138</v>
          </cell>
          <cell r="D487">
            <v>182</v>
          </cell>
        </row>
        <row r="488">
          <cell r="A488" t="str">
            <v>M68GSA10</v>
          </cell>
          <cell r="B488" t="str">
            <v xml:space="preserve">LACA PARA LAPICES             </v>
          </cell>
          <cell r="C488">
            <v>0.49863013698630138</v>
          </cell>
          <cell r="D488">
            <v>182</v>
          </cell>
        </row>
        <row r="489">
          <cell r="A489" t="str">
            <v>M68GSA10-5</v>
          </cell>
          <cell r="B489" t="str">
            <v xml:space="preserve">LACA P/ LAPIZ VERDE ESMERALDA </v>
          </cell>
          <cell r="C489">
            <v>0.49863013698630138</v>
          </cell>
          <cell r="D489">
            <v>182</v>
          </cell>
        </row>
        <row r="490">
          <cell r="A490" t="str">
            <v>M68GSA8</v>
          </cell>
          <cell r="B490" t="str">
            <v xml:space="preserve">LACA PARA LAPICES             </v>
          </cell>
          <cell r="C490">
            <v>0.49863013698630138</v>
          </cell>
          <cell r="D490">
            <v>182</v>
          </cell>
        </row>
        <row r="491">
          <cell r="A491" t="str">
            <v>M68GSA8-5</v>
          </cell>
          <cell r="B491" t="str">
            <v xml:space="preserve">LACA PARA LAPICES VERDE CLARO </v>
          </cell>
          <cell r="C491">
            <v>0.49863013698630138</v>
          </cell>
          <cell r="D491">
            <v>182</v>
          </cell>
        </row>
        <row r="492">
          <cell r="A492" t="str">
            <v>M68GSA9</v>
          </cell>
          <cell r="B492" t="str">
            <v xml:space="preserve">LACA PARA LAPICES             </v>
          </cell>
          <cell r="C492">
            <v>0.49863013698630138</v>
          </cell>
          <cell r="D492">
            <v>182</v>
          </cell>
        </row>
        <row r="493">
          <cell r="A493" t="str">
            <v>M68GSA9-5</v>
          </cell>
          <cell r="B493" t="str">
            <v>LACA PARA LAPICES VERDE OSCURO</v>
          </cell>
          <cell r="C493">
            <v>0.49863013698630138</v>
          </cell>
          <cell r="D493">
            <v>182</v>
          </cell>
        </row>
        <row r="494">
          <cell r="A494" t="str">
            <v>M68LSA10</v>
          </cell>
          <cell r="B494" t="str">
            <v xml:space="preserve">LACA PARA LAPICES             </v>
          </cell>
          <cell r="C494">
            <v>0.49863013698630138</v>
          </cell>
          <cell r="D494">
            <v>182</v>
          </cell>
        </row>
        <row r="495">
          <cell r="A495" t="str">
            <v>M68LSA10-5</v>
          </cell>
          <cell r="B495" t="str">
            <v xml:space="preserve">LACA P/LAPIZ AZUL ULTRAMARINO </v>
          </cell>
          <cell r="C495">
            <v>0.49863013698630138</v>
          </cell>
          <cell r="D495">
            <v>182</v>
          </cell>
        </row>
        <row r="496">
          <cell r="A496" t="str">
            <v>M68LSA13</v>
          </cell>
          <cell r="B496" t="str">
            <v xml:space="preserve">LACA PARA LAPICES             </v>
          </cell>
          <cell r="C496">
            <v>0.49863013698630138</v>
          </cell>
          <cell r="D496">
            <v>182</v>
          </cell>
        </row>
        <row r="497">
          <cell r="A497" t="str">
            <v>M68LSA13-5</v>
          </cell>
          <cell r="B497" t="str">
            <v xml:space="preserve">LACA P/LAPIZ AZUL CHECK LINE  </v>
          </cell>
          <cell r="C497">
            <v>0.49863013698630138</v>
          </cell>
          <cell r="D497">
            <v>182</v>
          </cell>
        </row>
        <row r="498">
          <cell r="A498" t="str">
            <v>M68LSA8</v>
          </cell>
          <cell r="B498" t="str">
            <v xml:space="preserve">LACA PARA LAPICES             </v>
          </cell>
          <cell r="C498">
            <v>0.49863013698630138</v>
          </cell>
          <cell r="D498">
            <v>182</v>
          </cell>
        </row>
        <row r="499">
          <cell r="A499" t="str">
            <v>M68LSA8-5</v>
          </cell>
          <cell r="B499" t="str">
            <v xml:space="preserve">LACA PARA LAPICES CELESTE     </v>
          </cell>
          <cell r="C499">
            <v>0.49863013698630138</v>
          </cell>
          <cell r="D499">
            <v>182</v>
          </cell>
        </row>
        <row r="500">
          <cell r="A500" t="str">
            <v>M68LSA9</v>
          </cell>
          <cell r="B500" t="str">
            <v xml:space="preserve">LACA PARA LAPICES             </v>
          </cell>
          <cell r="C500">
            <v>0.49863013698630138</v>
          </cell>
          <cell r="D500">
            <v>182</v>
          </cell>
        </row>
        <row r="501">
          <cell r="A501" t="str">
            <v>M68LSA9-5</v>
          </cell>
          <cell r="B501" t="str">
            <v>LACA PARA LAPICES AZUL VIOLETA</v>
          </cell>
          <cell r="C501">
            <v>0.49863013698630138</v>
          </cell>
          <cell r="D501">
            <v>182</v>
          </cell>
        </row>
        <row r="502">
          <cell r="A502" t="str">
            <v>M68MSA1</v>
          </cell>
          <cell r="B502" t="str">
            <v xml:space="preserve">LACA PARA LAPICES CARIBE GOLD </v>
          </cell>
          <cell r="C502">
            <v>0.49863013698630138</v>
          </cell>
          <cell r="D502">
            <v>182</v>
          </cell>
        </row>
        <row r="503">
          <cell r="A503" t="str">
            <v>M68MSA1-5</v>
          </cell>
          <cell r="B503" t="str">
            <v xml:space="preserve">LACA PARA LAPICES CARIBE GOLD </v>
          </cell>
          <cell r="C503">
            <v>0.49863013698630138</v>
          </cell>
          <cell r="D503">
            <v>182</v>
          </cell>
        </row>
        <row r="504">
          <cell r="A504" t="str">
            <v>M68RSA10</v>
          </cell>
          <cell r="B504" t="str">
            <v xml:space="preserve">LACA PARA LAPICES             </v>
          </cell>
          <cell r="C504">
            <v>0.49863013698630138</v>
          </cell>
          <cell r="D504">
            <v>182</v>
          </cell>
        </row>
        <row r="505">
          <cell r="A505" t="str">
            <v>M68RSA10-5</v>
          </cell>
          <cell r="B505" t="str">
            <v xml:space="preserve">LACA PARA LAPICES ROSADO      </v>
          </cell>
          <cell r="C505">
            <v>0.49863013698630138</v>
          </cell>
          <cell r="D505">
            <v>182</v>
          </cell>
        </row>
        <row r="506">
          <cell r="A506" t="str">
            <v>M68RSA9</v>
          </cell>
          <cell r="B506" t="str">
            <v xml:space="preserve">LACA PARA LAPICES             </v>
          </cell>
          <cell r="C506">
            <v>0.49863013698630138</v>
          </cell>
          <cell r="D506">
            <v>182</v>
          </cell>
        </row>
        <row r="507">
          <cell r="A507" t="str">
            <v>M68RSA9-5</v>
          </cell>
          <cell r="B507" t="str">
            <v xml:space="preserve">LACA PARA LAPICES ROJO CEREZA </v>
          </cell>
          <cell r="C507">
            <v>0.49863013698630138</v>
          </cell>
          <cell r="D507">
            <v>182</v>
          </cell>
        </row>
        <row r="508">
          <cell r="A508" t="str">
            <v>M68TSA1</v>
          </cell>
          <cell r="B508" t="str">
            <v xml:space="preserve">LACA PARA LAPICES             </v>
          </cell>
          <cell r="C508">
            <v>0.49863013698630138</v>
          </cell>
          <cell r="D508">
            <v>182</v>
          </cell>
        </row>
        <row r="509">
          <cell r="A509" t="str">
            <v>M68TSA1-1</v>
          </cell>
          <cell r="B509" t="str">
            <v>LACA PARA LAPICES TRANSPARENTE</v>
          </cell>
          <cell r="C509">
            <v>0.49863013698630138</v>
          </cell>
          <cell r="D509">
            <v>182</v>
          </cell>
        </row>
        <row r="510">
          <cell r="A510" t="str">
            <v>M68TSA1-5</v>
          </cell>
          <cell r="B510" t="str">
            <v>LACA PARA LAPICES TRANSPARENTE</v>
          </cell>
          <cell r="C510">
            <v>0.49863013698630138</v>
          </cell>
          <cell r="D510">
            <v>182</v>
          </cell>
        </row>
        <row r="511">
          <cell r="A511" t="str">
            <v>M68WSA1</v>
          </cell>
          <cell r="B511" t="str">
            <v xml:space="preserve">LACA PARA LAPICES             </v>
          </cell>
          <cell r="C511">
            <v>0.49863013698630138</v>
          </cell>
          <cell r="D511">
            <v>182</v>
          </cell>
        </row>
        <row r="512">
          <cell r="A512" t="str">
            <v>M68WSA1-5</v>
          </cell>
          <cell r="B512" t="str">
            <v xml:space="preserve">LACA PARA LAPICES BLANCO      </v>
          </cell>
          <cell r="C512">
            <v>0.49863013698630138</v>
          </cell>
          <cell r="D512">
            <v>182</v>
          </cell>
        </row>
        <row r="513">
          <cell r="A513" t="str">
            <v>M68YSA14</v>
          </cell>
          <cell r="B513" t="str">
            <v xml:space="preserve">LACA PARA LAPICES             </v>
          </cell>
          <cell r="C513">
            <v>0.49863013698630138</v>
          </cell>
          <cell r="D513">
            <v>182</v>
          </cell>
        </row>
        <row r="514">
          <cell r="A514" t="str">
            <v>M68YSA14-5</v>
          </cell>
          <cell r="B514" t="str">
            <v xml:space="preserve">LACA P/LAPICES AMARI MONGOL   </v>
          </cell>
          <cell r="C514">
            <v>0.49863013698630138</v>
          </cell>
          <cell r="D514">
            <v>182</v>
          </cell>
        </row>
        <row r="515">
          <cell r="A515" t="str">
            <v>M68YSA16</v>
          </cell>
          <cell r="B515" t="str">
            <v xml:space="preserve">LACA PARA LAPICES AMARILLO    </v>
          </cell>
          <cell r="C515">
            <v>0.49863013698630138</v>
          </cell>
          <cell r="D515">
            <v>182</v>
          </cell>
        </row>
        <row r="516">
          <cell r="A516" t="str">
            <v>M68YSA16-5</v>
          </cell>
          <cell r="B516" t="str">
            <v xml:space="preserve">LACA PARA LAPICES AMARILLO    </v>
          </cell>
          <cell r="C516">
            <v>0.49863013698630138</v>
          </cell>
          <cell r="D516">
            <v>182</v>
          </cell>
        </row>
        <row r="517">
          <cell r="A517" t="str">
            <v>M91GSA2</v>
          </cell>
          <cell r="B517" t="str">
            <v xml:space="preserve">LACA PARA ESCOBAS             </v>
          </cell>
          <cell r="C517">
            <v>0.49863013698630138</v>
          </cell>
          <cell r="D517">
            <v>182</v>
          </cell>
        </row>
        <row r="518">
          <cell r="A518" t="str">
            <v>M91GSA2-5</v>
          </cell>
          <cell r="B518" t="str">
            <v xml:space="preserve">LACA PARA ESCOBAS VERDE CLARO </v>
          </cell>
          <cell r="C518">
            <v>0.49863013698630138</v>
          </cell>
          <cell r="D518">
            <v>182</v>
          </cell>
        </row>
        <row r="519">
          <cell r="A519" t="str">
            <v>M91LSA1</v>
          </cell>
          <cell r="B519" t="str">
            <v xml:space="preserve">LACA PARA ESCOBAS             </v>
          </cell>
          <cell r="C519">
            <v>0.49863013698630138</v>
          </cell>
          <cell r="D519">
            <v>182</v>
          </cell>
        </row>
        <row r="520">
          <cell r="A520" t="str">
            <v>M91LSA1-1</v>
          </cell>
          <cell r="B520" t="str">
            <v xml:space="preserve">LACA PARA ESCOBAS CELESTE     </v>
          </cell>
          <cell r="C520">
            <v>0.49863013698630138</v>
          </cell>
          <cell r="D520">
            <v>182</v>
          </cell>
        </row>
        <row r="521">
          <cell r="A521" t="str">
            <v>M91LSA1-5</v>
          </cell>
          <cell r="B521" t="str">
            <v xml:space="preserve">LACA PARA ESCOBAS CELESTE     </v>
          </cell>
          <cell r="C521">
            <v>0.49863013698630138</v>
          </cell>
          <cell r="D521">
            <v>182</v>
          </cell>
        </row>
        <row r="522">
          <cell r="A522" t="str">
            <v>M91LSA2</v>
          </cell>
          <cell r="B522" t="str">
            <v xml:space="preserve">LACA PARA ESCOBAS             </v>
          </cell>
          <cell r="C522">
            <v>0.49863013698630138</v>
          </cell>
          <cell r="D522">
            <v>182</v>
          </cell>
        </row>
        <row r="523">
          <cell r="A523" t="str">
            <v>M91LSA2-5</v>
          </cell>
          <cell r="B523" t="str">
            <v>LACA PARA ESCOBAS AZUL INTENSO</v>
          </cell>
          <cell r="C523">
            <v>0.49863013698630138</v>
          </cell>
          <cell r="D523">
            <v>182</v>
          </cell>
        </row>
        <row r="524">
          <cell r="A524" t="str">
            <v>M91RSA1</v>
          </cell>
          <cell r="B524" t="str">
            <v xml:space="preserve">LACA PARA ESCOBAS             </v>
          </cell>
          <cell r="C524">
            <v>0.49863013698630138</v>
          </cell>
          <cell r="D524">
            <v>182</v>
          </cell>
        </row>
        <row r="525">
          <cell r="A525" t="str">
            <v>M91RSA1-5</v>
          </cell>
          <cell r="B525" t="str">
            <v xml:space="preserve">LACA PARA ESCOBAS ROSADO      </v>
          </cell>
          <cell r="C525">
            <v>0.49863013698630138</v>
          </cell>
          <cell r="D525">
            <v>182</v>
          </cell>
        </row>
        <row r="526">
          <cell r="A526" t="str">
            <v>M91TSA2</v>
          </cell>
          <cell r="B526" t="str">
            <v xml:space="preserve">LACA TRANSPARENTE PARA        </v>
          </cell>
          <cell r="C526">
            <v>0.49863013698630138</v>
          </cell>
          <cell r="D526">
            <v>182</v>
          </cell>
        </row>
        <row r="527">
          <cell r="A527" t="str">
            <v>M91TSA2-5</v>
          </cell>
          <cell r="B527" t="str">
            <v xml:space="preserve">LACA TRANSP P/MANGOS DE PALA  </v>
          </cell>
          <cell r="C527">
            <v>0.49863013698630138</v>
          </cell>
          <cell r="D527">
            <v>182</v>
          </cell>
        </row>
        <row r="528">
          <cell r="A528" t="str">
            <v>M91TSA2-50</v>
          </cell>
          <cell r="B528" t="str">
            <v xml:space="preserve">LACA TRANSP P/MANGOS DE PALA  </v>
          </cell>
          <cell r="C528">
            <v>0.49863013698630138</v>
          </cell>
          <cell r="D528">
            <v>182</v>
          </cell>
        </row>
        <row r="529">
          <cell r="A529" t="str">
            <v>MBC49762-1/4</v>
          </cell>
          <cell r="B529" t="str">
            <v xml:space="preserve">LASER RED MIDCOAT             </v>
          </cell>
          <cell r="C529">
            <v>3</v>
          </cell>
          <cell r="D529">
            <v>1095</v>
          </cell>
        </row>
        <row r="530">
          <cell r="A530" t="str">
            <v>MCC49762-1/8</v>
          </cell>
          <cell r="B530" t="str">
            <v xml:space="preserve">MIDCOAT   CLEAR   RED         </v>
          </cell>
          <cell r="C530">
            <v>3</v>
          </cell>
          <cell r="D530">
            <v>1095</v>
          </cell>
        </row>
        <row r="531">
          <cell r="A531" t="str">
            <v>MCC52546-1/8</v>
          </cell>
          <cell r="B531" t="str">
            <v xml:space="preserve">CURRANT RED MIDCOAT CLEAR     </v>
          </cell>
          <cell r="C531">
            <v>3</v>
          </cell>
          <cell r="D531">
            <v>1095</v>
          </cell>
        </row>
        <row r="532">
          <cell r="A532" t="str">
            <v>MT20-1/8</v>
          </cell>
          <cell r="B532" t="str">
            <v xml:space="preserve">MULTI TONES GOLD SILVER       </v>
          </cell>
          <cell r="C532">
            <v>3</v>
          </cell>
          <cell r="D532">
            <v>1095</v>
          </cell>
        </row>
        <row r="533">
          <cell r="A533" t="str">
            <v>MT21-1/8</v>
          </cell>
          <cell r="B533" t="str">
            <v xml:space="preserve">MULTI TONES GREEN/PURPLE      </v>
          </cell>
          <cell r="C533">
            <v>3</v>
          </cell>
          <cell r="D533">
            <v>1095</v>
          </cell>
        </row>
        <row r="534">
          <cell r="A534" t="str">
            <v>MT22-1/8</v>
          </cell>
          <cell r="B534" t="str">
            <v xml:space="preserve">MULTI TONES CYAN/PURPLE       </v>
          </cell>
          <cell r="C534">
            <v>3</v>
          </cell>
          <cell r="D534">
            <v>1095</v>
          </cell>
        </row>
        <row r="535">
          <cell r="A535" t="str">
            <v>MT23-1/8</v>
          </cell>
          <cell r="B535" t="str">
            <v xml:space="preserve">MULTI TONES BLUE/RED          </v>
          </cell>
          <cell r="C535">
            <v>3</v>
          </cell>
          <cell r="D535">
            <v>1095</v>
          </cell>
        </row>
        <row r="536">
          <cell r="A536" t="str">
            <v>MT24-1/8</v>
          </cell>
          <cell r="B536" t="str">
            <v xml:space="preserve">MULTI TONES ORANGE/PURPLE     </v>
          </cell>
          <cell r="C536">
            <v>3</v>
          </cell>
          <cell r="D536">
            <v>1095</v>
          </cell>
        </row>
        <row r="537">
          <cell r="A537" t="str">
            <v>MT25-1/8</v>
          </cell>
          <cell r="B537" t="str">
            <v xml:space="preserve">MULTI TONES MAGENTA/GOLD      </v>
          </cell>
          <cell r="C537">
            <v>3</v>
          </cell>
          <cell r="D537">
            <v>1095</v>
          </cell>
        </row>
        <row r="538">
          <cell r="A538" t="str">
            <v>MT26-1/8</v>
          </cell>
          <cell r="B538" t="str">
            <v xml:space="preserve">MULTI TONES PLATEADO/VERDE    </v>
          </cell>
          <cell r="C538">
            <v>3</v>
          </cell>
          <cell r="D538">
            <v>1095</v>
          </cell>
        </row>
        <row r="539">
          <cell r="A539" t="str">
            <v>MT27-1/8</v>
          </cell>
          <cell r="B539" t="str">
            <v xml:space="preserve">MULTI TONES ROJO/DORADO       </v>
          </cell>
          <cell r="C539">
            <v>3</v>
          </cell>
          <cell r="D539">
            <v>1095</v>
          </cell>
        </row>
        <row r="540">
          <cell r="A540" t="str">
            <v>N77RSA2</v>
          </cell>
          <cell r="B540" t="str">
            <v xml:space="preserve">ANTICORRO ECON ROJO MONOLIT   </v>
          </cell>
          <cell r="C540">
            <v>0.49863013698630138</v>
          </cell>
          <cell r="D540">
            <v>182</v>
          </cell>
        </row>
        <row r="541">
          <cell r="A541" t="str">
            <v>N77RSA2-50</v>
          </cell>
          <cell r="B541" t="str">
            <v xml:space="preserve">ANTICORRO ECON ROJO MONOLIT   </v>
          </cell>
          <cell r="C541">
            <v>0.49863013698630138</v>
          </cell>
          <cell r="D541">
            <v>182</v>
          </cell>
        </row>
        <row r="542">
          <cell r="A542" t="str">
            <v>P1A60-1/4</v>
          </cell>
          <cell r="B542" t="str">
            <v xml:space="preserve">Q  SEAL ACRYLIC  SEALER GRIS  </v>
          </cell>
          <cell r="C542">
            <v>0.49863013698630138</v>
          </cell>
          <cell r="D542">
            <v>182</v>
          </cell>
        </row>
        <row r="543">
          <cell r="A543" t="str">
            <v>P1C62-1/4</v>
          </cell>
          <cell r="B543" t="str">
            <v>Q  SEAL ACRYLIC  SEALER TRANSP</v>
          </cell>
          <cell r="C543">
            <v>0.49863013698630138</v>
          </cell>
          <cell r="D543">
            <v>182</v>
          </cell>
        </row>
        <row r="544">
          <cell r="A544" t="str">
            <v>P2A32</v>
          </cell>
          <cell r="B544" t="str">
            <v xml:space="preserve">OPEX COMBO PRIMER GRIS CLARO  </v>
          </cell>
          <cell r="C544">
            <v>0.49863013698630138</v>
          </cell>
          <cell r="D544">
            <v>182</v>
          </cell>
        </row>
        <row r="545">
          <cell r="A545" t="str">
            <v>P2A32-1</v>
          </cell>
          <cell r="B545" t="str">
            <v xml:space="preserve">OPEX COMBO PRIMER GRIS CLARO  </v>
          </cell>
          <cell r="C545">
            <v>0.49863013698630138</v>
          </cell>
          <cell r="D545">
            <v>182</v>
          </cell>
        </row>
        <row r="546">
          <cell r="A546" t="str">
            <v>P2A32-1.1/4</v>
          </cell>
          <cell r="B546" t="str">
            <v xml:space="preserve">OPEX COMBO PRIMER GRIS CLARO  </v>
          </cell>
          <cell r="C546">
            <v>0.49863013698630138</v>
          </cell>
          <cell r="D546">
            <v>182</v>
          </cell>
        </row>
        <row r="547">
          <cell r="A547" t="str">
            <v>P2A32-1/4</v>
          </cell>
          <cell r="B547" t="str">
            <v xml:space="preserve">OPEX COMBO PRIMER GRIS CLARO  </v>
          </cell>
          <cell r="C547">
            <v>0.49863013698630138</v>
          </cell>
          <cell r="D547">
            <v>182</v>
          </cell>
        </row>
        <row r="548">
          <cell r="A548" t="str">
            <v>P2A32-5</v>
          </cell>
          <cell r="B548" t="str">
            <v xml:space="preserve">OPEX COMBO PRIMER GRIS CLARO  </v>
          </cell>
          <cell r="C548">
            <v>0.49863013698630138</v>
          </cell>
          <cell r="D548">
            <v>182</v>
          </cell>
        </row>
        <row r="549">
          <cell r="A549" t="str">
            <v>P2A34</v>
          </cell>
          <cell r="B549" t="str">
            <v xml:space="preserve">PRIMER AUTOMOTRIZ             </v>
          </cell>
          <cell r="C549">
            <v>0.49863013698630138</v>
          </cell>
          <cell r="D549">
            <v>182</v>
          </cell>
        </row>
        <row r="550">
          <cell r="A550" t="str">
            <v>P2A34-5</v>
          </cell>
          <cell r="B550" t="str">
            <v xml:space="preserve">PRIMER AUTOMOTRIZ GRIS        </v>
          </cell>
          <cell r="C550">
            <v>0.49863013698630138</v>
          </cell>
          <cell r="D550">
            <v>182</v>
          </cell>
        </row>
        <row r="551">
          <cell r="A551" t="str">
            <v>P2A40</v>
          </cell>
          <cell r="B551" t="str">
            <v xml:space="preserve">OPEX COMBO PRIMER GRIS OSCURO </v>
          </cell>
          <cell r="C551">
            <v>0.49863013698630138</v>
          </cell>
          <cell r="D551">
            <v>182</v>
          </cell>
        </row>
        <row r="552">
          <cell r="A552" t="str">
            <v>P2A40-1</v>
          </cell>
          <cell r="B552" t="str">
            <v xml:space="preserve">OPEX COMBO PRIMER GRIS OSCURO </v>
          </cell>
          <cell r="C552">
            <v>0.49863013698630138</v>
          </cell>
          <cell r="D552">
            <v>182</v>
          </cell>
        </row>
        <row r="553">
          <cell r="A553" t="str">
            <v>P2A40-1/4</v>
          </cell>
          <cell r="B553" t="str">
            <v xml:space="preserve">OPEX COMBO PRIMER GRIS OSCURO </v>
          </cell>
          <cell r="C553">
            <v>0.49863013698630138</v>
          </cell>
          <cell r="D553">
            <v>182</v>
          </cell>
        </row>
        <row r="554">
          <cell r="A554" t="str">
            <v>P2A40-5</v>
          </cell>
          <cell r="B554" t="str">
            <v xml:space="preserve">OPEX COMBO PRIMER GRIS OSCURO </v>
          </cell>
          <cell r="C554">
            <v>0.49863013698630138</v>
          </cell>
          <cell r="D554">
            <v>182</v>
          </cell>
        </row>
        <row r="555">
          <cell r="A555" t="str">
            <v>P2A40-50</v>
          </cell>
          <cell r="B555" t="str">
            <v xml:space="preserve">OPEX COMBO PRIMER GRIS OSCURO </v>
          </cell>
          <cell r="C555">
            <v>0.49863013698630138</v>
          </cell>
          <cell r="D555">
            <v>182</v>
          </cell>
        </row>
        <row r="556">
          <cell r="A556" t="str">
            <v>P2A43</v>
          </cell>
          <cell r="B556" t="str">
            <v xml:space="preserve">ULTRA-FILL  PRIMER SURFA GRIS </v>
          </cell>
          <cell r="C556">
            <v>0.49863013698630138</v>
          </cell>
          <cell r="D556">
            <v>182</v>
          </cell>
        </row>
        <row r="557">
          <cell r="A557" t="str">
            <v>P2A43-1</v>
          </cell>
          <cell r="B557" t="str">
            <v xml:space="preserve">ULTRA-FILL  PRIMER SURFA GRIS </v>
          </cell>
          <cell r="C557">
            <v>0.49863013698630138</v>
          </cell>
          <cell r="D557">
            <v>182</v>
          </cell>
        </row>
        <row r="558">
          <cell r="A558" t="str">
            <v>P2A43-1/4</v>
          </cell>
          <cell r="B558" t="str">
            <v xml:space="preserve">ULTRA-FILL  PRIMER SURFA GRIS </v>
          </cell>
          <cell r="C558">
            <v>0.49863013698630138</v>
          </cell>
          <cell r="D558">
            <v>182</v>
          </cell>
        </row>
        <row r="559">
          <cell r="A559" t="str">
            <v>P2N39</v>
          </cell>
          <cell r="B559" t="str">
            <v xml:space="preserve">OPEX COMBO PRIMER ROJO OXIDO  </v>
          </cell>
          <cell r="C559">
            <v>0.49863013698630138</v>
          </cell>
          <cell r="D559">
            <v>182</v>
          </cell>
        </row>
        <row r="560">
          <cell r="A560" t="str">
            <v>P2N39-1</v>
          </cell>
          <cell r="B560" t="str">
            <v xml:space="preserve">OPEX COMBO PRIMER ROJO OXIDO  </v>
          </cell>
          <cell r="C560">
            <v>0.49863013698630138</v>
          </cell>
          <cell r="D560">
            <v>182</v>
          </cell>
        </row>
        <row r="561">
          <cell r="A561" t="str">
            <v>P2N39-1/4</v>
          </cell>
          <cell r="B561" t="str">
            <v xml:space="preserve">OPEX COMBO PRIMER ROJO OXIDO  </v>
          </cell>
          <cell r="C561">
            <v>0.49863013698630138</v>
          </cell>
          <cell r="D561">
            <v>182</v>
          </cell>
        </row>
        <row r="562">
          <cell r="A562" t="str">
            <v>P2R39</v>
          </cell>
          <cell r="B562" t="str">
            <v xml:space="preserve">SUPER COMBO RED               </v>
          </cell>
          <cell r="C562">
            <v>0.49863013698630138</v>
          </cell>
          <cell r="D562">
            <v>182</v>
          </cell>
        </row>
        <row r="563">
          <cell r="A563" t="str">
            <v>P2R39-1</v>
          </cell>
          <cell r="B563" t="str">
            <v xml:space="preserve">SUPER COMBO ROJO              </v>
          </cell>
          <cell r="C563">
            <v>0.49863013698630138</v>
          </cell>
          <cell r="D563">
            <v>182</v>
          </cell>
        </row>
        <row r="564">
          <cell r="A564" t="str">
            <v>P2R39-1/4</v>
          </cell>
          <cell r="B564" t="str">
            <v xml:space="preserve">SUPER COMBO ROJO              </v>
          </cell>
          <cell r="C564">
            <v>0.49863013698630138</v>
          </cell>
          <cell r="D564">
            <v>182</v>
          </cell>
        </row>
        <row r="565">
          <cell r="A565" t="str">
            <v>P2W38</v>
          </cell>
          <cell r="B565" t="str">
            <v xml:space="preserve">OPEX COMBO PRIMER BLANCO      </v>
          </cell>
          <cell r="C565">
            <v>0.49863013698630138</v>
          </cell>
          <cell r="D565">
            <v>182</v>
          </cell>
        </row>
        <row r="566">
          <cell r="A566" t="str">
            <v>P2W38-1</v>
          </cell>
          <cell r="B566" t="str">
            <v xml:space="preserve">OPEX COMBO PRIMER BLANCO      </v>
          </cell>
          <cell r="C566">
            <v>0.49863013698630138</v>
          </cell>
          <cell r="D566">
            <v>182</v>
          </cell>
        </row>
        <row r="567">
          <cell r="A567" t="str">
            <v>P2W38-1/4</v>
          </cell>
          <cell r="B567" t="str">
            <v xml:space="preserve">OPEX COMBO PRIMER BLANCO      </v>
          </cell>
          <cell r="C567">
            <v>0.49863013698630138</v>
          </cell>
          <cell r="D567">
            <v>182</v>
          </cell>
        </row>
        <row r="568">
          <cell r="A568" t="str">
            <v>P2W38-5</v>
          </cell>
          <cell r="B568" t="str">
            <v xml:space="preserve">OPEX COMBO PRIMER BLANCO      </v>
          </cell>
          <cell r="C568">
            <v>0.49863013698630138</v>
          </cell>
          <cell r="D568">
            <v>182</v>
          </cell>
        </row>
        <row r="569">
          <cell r="A569" t="str">
            <v>P2YCR1</v>
          </cell>
          <cell r="B569" t="str">
            <v xml:space="preserve">OPEX COMBO PRIMER AMARILLO    </v>
          </cell>
          <cell r="C569">
            <v>0.49863013698630138</v>
          </cell>
          <cell r="D569">
            <v>182</v>
          </cell>
        </row>
        <row r="570">
          <cell r="A570" t="str">
            <v>P2YCR1-1</v>
          </cell>
          <cell r="B570" t="str">
            <v xml:space="preserve">OPEX COMBO PRIMER AMARILLO    </v>
          </cell>
          <cell r="C570">
            <v>0.49863013698630138</v>
          </cell>
          <cell r="D570">
            <v>182</v>
          </cell>
        </row>
        <row r="571">
          <cell r="A571" t="str">
            <v>P2YCR1-1/4</v>
          </cell>
          <cell r="B571" t="str">
            <v xml:space="preserve">OPEX COMBO PRIMER AMARILLO    </v>
          </cell>
          <cell r="C571">
            <v>0.49863013698630138</v>
          </cell>
          <cell r="D571">
            <v>182</v>
          </cell>
        </row>
        <row r="572">
          <cell r="A572" t="str">
            <v>P2YCR1-SP</v>
          </cell>
          <cell r="B572" t="str">
            <v xml:space="preserve">SUPER COMBO                   </v>
          </cell>
          <cell r="C572">
            <v>0.49863013698630138</v>
          </cell>
          <cell r="D572">
            <v>182</v>
          </cell>
        </row>
        <row r="573">
          <cell r="A573" t="str">
            <v>P2YCR1SP-1/4</v>
          </cell>
          <cell r="B573" t="str">
            <v xml:space="preserve">OPEX COMBO PRIMER AMARILLO    </v>
          </cell>
          <cell r="C573">
            <v>0.49863013698630138</v>
          </cell>
          <cell r="D573">
            <v>182</v>
          </cell>
        </row>
        <row r="574">
          <cell r="A574" t="str">
            <v>P30A-1</v>
          </cell>
          <cell r="B574" t="str">
            <v>ULTRA-FILL II 2K GRAY PRIM SEA</v>
          </cell>
          <cell r="C574">
            <v>3</v>
          </cell>
          <cell r="D574">
            <v>1095</v>
          </cell>
        </row>
        <row r="575">
          <cell r="A575" t="str">
            <v>P30B-1</v>
          </cell>
          <cell r="B575" t="str">
            <v>ULTRA-FILL II 2K GRAY PRIM SEA</v>
          </cell>
          <cell r="C575">
            <v>3</v>
          </cell>
          <cell r="D575">
            <v>1095</v>
          </cell>
        </row>
        <row r="576">
          <cell r="A576" t="str">
            <v>P30G-1</v>
          </cell>
          <cell r="B576" t="str">
            <v>ULTRA-FILL II 2K GRAY PRIM SEA</v>
          </cell>
          <cell r="C576">
            <v>3</v>
          </cell>
          <cell r="D576">
            <v>1095</v>
          </cell>
        </row>
        <row r="577">
          <cell r="A577" t="str">
            <v>P30L-1</v>
          </cell>
          <cell r="B577" t="str">
            <v>ULTRA-FILL II 2K GRAY PRIM SEA</v>
          </cell>
          <cell r="C577">
            <v>3</v>
          </cell>
          <cell r="D577">
            <v>1095</v>
          </cell>
        </row>
        <row r="578">
          <cell r="A578" t="str">
            <v>P30R-1</v>
          </cell>
          <cell r="B578" t="str">
            <v>ULTRA-FILL II 2K GRAY PRIM SEA</v>
          </cell>
          <cell r="C578">
            <v>3</v>
          </cell>
          <cell r="D578">
            <v>1095</v>
          </cell>
        </row>
        <row r="579">
          <cell r="A579" t="str">
            <v>P30W-1</v>
          </cell>
          <cell r="B579" t="str">
            <v>ULTRA-FILL II 2K GRAY PRIM SEA</v>
          </cell>
          <cell r="C579">
            <v>3</v>
          </cell>
          <cell r="D579">
            <v>1095</v>
          </cell>
        </row>
        <row r="580">
          <cell r="A580" t="str">
            <v>P30Y-1</v>
          </cell>
          <cell r="B580" t="str">
            <v>ULTRA-FILL II 2K GRAY PRIM SEA</v>
          </cell>
          <cell r="C580">
            <v>3</v>
          </cell>
          <cell r="D580">
            <v>1095</v>
          </cell>
        </row>
        <row r="581">
          <cell r="A581" t="str">
            <v>P3B21</v>
          </cell>
          <cell r="B581" t="str">
            <v xml:space="preserve">RED CHEK SEALER (MATA - ROJO) </v>
          </cell>
          <cell r="C581">
            <v>0.49863013698630138</v>
          </cell>
          <cell r="D581">
            <v>182</v>
          </cell>
        </row>
        <row r="582">
          <cell r="A582" t="str">
            <v>P3B21-1</v>
          </cell>
          <cell r="B582" t="str">
            <v xml:space="preserve">SELLADOR MATARROJOS           </v>
          </cell>
          <cell r="C582">
            <v>0.49863013698630138</v>
          </cell>
          <cell r="D582">
            <v>182</v>
          </cell>
        </row>
        <row r="583">
          <cell r="A583" t="str">
            <v>P50</v>
          </cell>
          <cell r="B583" t="str">
            <v xml:space="preserve">ULTRA FILL II PRIMER GRIS HS  </v>
          </cell>
          <cell r="C583">
            <v>3</v>
          </cell>
          <cell r="D583">
            <v>1095</v>
          </cell>
        </row>
        <row r="584">
          <cell r="A584" t="str">
            <v>P50-1</v>
          </cell>
          <cell r="B584" t="str">
            <v xml:space="preserve">ULTRA FILL II PRIMER GRIS HS  </v>
          </cell>
          <cell r="C584">
            <v>3</v>
          </cell>
          <cell r="D584">
            <v>1095</v>
          </cell>
        </row>
        <row r="585">
          <cell r="A585" t="str">
            <v>P50-1/4</v>
          </cell>
          <cell r="B585" t="str">
            <v xml:space="preserve">H.S. ULTRA FILL               </v>
          </cell>
          <cell r="C585">
            <v>3</v>
          </cell>
          <cell r="D585">
            <v>1095</v>
          </cell>
        </row>
        <row r="586">
          <cell r="A586" t="str">
            <v>P65ASA1</v>
          </cell>
          <cell r="B586" t="str">
            <v xml:space="preserve">MASILLA ESPECIAL PARA MADERA  </v>
          </cell>
          <cell r="C586">
            <v>0.49863013698630138</v>
          </cell>
          <cell r="D586">
            <v>182</v>
          </cell>
        </row>
        <row r="587">
          <cell r="A587" t="str">
            <v>P65ASA1-1</v>
          </cell>
          <cell r="B587" t="str">
            <v>MASILLA ESPECIAL P/MADERA GRIS</v>
          </cell>
          <cell r="C587">
            <v>0.49863013698630138</v>
          </cell>
          <cell r="D587">
            <v>182</v>
          </cell>
        </row>
        <row r="588">
          <cell r="A588" t="str">
            <v>P65ASA1-1/4</v>
          </cell>
          <cell r="B588" t="str">
            <v>MASILLA ESPECIAL P/MADERA GRIS</v>
          </cell>
          <cell r="C588">
            <v>0.49863013698630138</v>
          </cell>
          <cell r="D588">
            <v>182</v>
          </cell>
        </row>
        <row r="589">
          <cell r="A589" t="str">
            <v>P65BSA3</v>
          </cell>
          <cell r="B589" t="str">
            <v xml:space="preserve">MASILLA ESPECIAL PARA MADERA  </v>
          </cell>
          <cell r="C589">
            <v>0.49863013698630138</v>
          </cell>
          <cell r="D589">
            <v>182</v>
          </cell>
        </row>
        <row r="590">
          <cell r="A590" t="str">
            <v>P65BSA3-1</v>
          </cell>
          <cell r="B590" t="str">
            <v xml:space="preserve">MASILLA ESPECIAL P/MADE NEGRA </v>
          </cell>
          <cell r="C590">
            <v>0.49863013698630138</v>
          </cell>
          <cell r="D590">
            <v>182</v>
          </cell>
        </row>
        <row r="591">
          <cell r="A591" t="str">
            <v>P65BSA3-1/4</v>
          </cell>
          <cell r="B591" t="str">
            <v xml:space="preserve">MASILLA ESPECIAL P/MADE NEGRA </v>
          </cell>
          <cell r="C591">
            <v>0.49863013698630138</v>
          </cell>
          <cell r="D591">
            <v>182</v>
          </cell>
        </row>
        <row r="592">
          <cell r="A592" t="str">
            <v>P65RSA1</v>
          </cell>
          <cell r="B592" t="str">
            <v xml:space="preserve">MASILLA ESPECIAL PARA MADERA  </v>
          </cell>
          <cell r="C592">
            <v>0.49863013698630138</v>
          </cell>
          <cell r="D592">
            <v>182</v>
          </cell>
        </row>
        <row r="593">
          <cell r="A593" t="str">
            <v>P65RSA1-1</v>
          </cell>
          <cell r="B593" t="str">
            <v xml:space="preserve">MASILLA ESPECIAL P/MADE ROJA  </v>
          </cell>
          <cell r="C593">
            <v>0.49863013698630138</v>
          </cell>
          <cell r="D593">
            <v>182</v>
          </cell>
        </row>
        <row r="594">
          <cell r="A594" t="str">
            <v>P65RSA1-1/4</v>
          </cell>
          <cell r="B594" t="str">
            <v xml:space="preserve">MASILLA ESPECIAL P/MADE ROJA  </v>
          </cell>
          <cell r="C594">
            <v>0.49863013698630138</v>
          </cell>
          <cell r="D594">
            <v>182</v>
          </cell>
        </row>
        <row r="595">
          <cell r="A595" t="str">
            <v>P65WSA2</v>
          </cell>
          <cell r="B595" t="str">
            <v xml:space="preserve">MASILLA ESPECIAL BLANCA       </v>
          </cell>
          <cell r="C595">
            <v>0.49863013698630138</v>
          </cell>
          <cell r="D595">
            <v>182</v>
          </cell>
        </row>
        <row r="596">
          <cell r="A596" t="str">
            <v>P65WSA2-1</v>
          </cell>
          <cell r="B596" t="str">
            <v>MASILLA ESPECIAL BLANCA P/MADE</v>
          </cell>
          <cell r="C596">
            <v>0.49863013698630138</v>
          </cell>
          <cell r="D596">
            <v>182</v>
          </cell>
        </row>
        <row r="597">
          <cell r="A597" t="str">
            <v>P65WSA3</v>
          </cell>
          <cell r="B597" t="str">
            <v>TAPAPORO ESPECIAL PARA LAPICES</v>
          </cell>
          <cell r="C597">
            <v>0.49863013698630138</v>
          </cell>
          <cell r="D597">
            <v>182</v>
          </cell>
        </row>
        <row r="598">
          <cell r="A598" t="str">
            <v>P65WSA3-5</v>
          </cell>
          <cell r="B598" t="str">
            <v xml:space="preserve">TAPA PORO ESPECIAL P/LAPICES  </v>
          </cell>
          <cell r="C598">
            <v>0.49863013698630138</v>
          </cell>
          <cell r="D598">
            <v>182</v>
          </cell>
        </row>
        <row r="599">
          <cell r="A599" t="str">
            <v>P6A21-1/4</v>
          </cell>
          <cell r="B599" t="str">
            <v xml:space="preserve">ULTRA-FILL II POLYESTER # 21  </v>
          </cell>
          <cell r="C599">
            <v>0.49863013698630138</v>
          </cell>
          <cell r="D599">
            <v>182</v>
          </cell>
        </row>
        <row r="600">
          <cell r="A600" t="str">
            <v>P6A47</v>
          </cell>
          <cell r="B600" t="str">
            <v xml:space="preserve">ULTRA-FILL  I I TINTABLE PRIM </v>
          </cell>
          <cell r="C600">
            <v>2</v>
          </cell>
          <cell r="D600">
            <v>730</v>
          </cell>
        </row>
        <row r="601">
          <cell r="A601" t="str">
            <v>P6A47-1</v>
          </cell>
          <cell r="B601" t="str">
            <v xml:space="preserve">ULTRA-FILL  I I TINTABLE PRIM </v>
          </cell>
          <cell r="C601">
            <v>2</v>
          </cell>
          <cell r="D601">
            <v>730</v>
          </cell>
        </row>
        <row r="602">
          <cell r="A602" t="str">
            <v>P6A48</v>
          </cell>
          <cell r="B602" t="str">
            <v xml:space="preserve">ULTRA-FILL I I GRAY   PRIMER  </v>
          </cell>
          <cell r="C602">
            <v>2</v>
          </cell>
          <cell r="D602">
            <v>730</v>
          </cell>
        </row>
        <row r="603">
          <cell r="A603" t="str">
            <v>P6A48-1</v>
          </cell>
          <cell r="B603" t="str">
            <v xml:space="preserve">ULTRA-FILL I I GRAY   PRIMER  </v>
          </cell>
          <cell r="C603">
            <v>2</v>
          </cell>
          <cell r="D603">
            <v>730</v>
          </cell>
        </row>
        <row r="604">
          <cell r="A604" t="str">
            <v>P6A48-1/4</v>
          </cell>
          <cell r="B604" t="str">
            <v xml:space="preserve">ULTRA-FILL I I GRAY   PRIMER  </v>
          </cell>
          <cell r="C604">
            <v>2</v>
          </cell>
          <cell r="D604">
            <v>730</v>
          </cell>
        </row>
        <row r="605">
          <cell r="A605" t="str">
            <v>P6H49</v>
          </cell>
          <cell r="B605" t="str">
            <v xml:space="preserve">ULTRA-FILL I I BEIGE   PRIMER </v>
          </cell>
          <cell r="C605">
            <v>2</v>
          </cell>
          <cell r="D605">
            <v>730</v>
          </cell>
        </row>
        <row r="606">
          <cell r="A606" t="str">
            <v>P6H49-1</v>
          </cell>
          <cell r="B606" t="str">
            <v xml:space="preserve">ULTRA-FILL I I BEIGE   PRIMER </v>
          </cell>
          <cell r="C606">
            <v>2</v>
          </cell>
          <cell r="D606">
            <v>730</v>
          </cell>
        </row>
        <row r="607">
          <cell r="A607" t="str">
            <v>PT9-1/16</v>
          </cell>
          <cell r="B607" t="str">
            <v xml:space="preserve">PERLA  BLANCO FINO            </v>
          </cell>
          <cell r="C607">
            <v>2</v>
          </cell>
          <cell r="D607">
            <v>730</v>
          </cell>
        </row>
        <row r="608">
          <cell r="A608" t="str">
            <v>R1K213</v>
          </cell>
          <cell r="B608" t="str">
            <v xml:space="preserve">KRIL-KLEEN                    </v>
          </cell>
          <cell r="C608">
            <v>0.49863013698630138</v>
          </cell>
          <cell r="D608">
            <v>182</v>
          </cell>
        </row>
        <row r="609">
          <cell r="A609" t="str">
            <v>R1K213-1</v>
          </cell>
          <cell r="B609" t="str">
            <v xml:space="preserve">KRIL-KLEEN                    </v>
          </cell>
          <cell r="C609">
            <v>0.49863013698630138</v>
          </cell>
          <cell r="D609">
            <v>182</v>
          </cell>
        </row>
        <row r="610">
          <cell r="A610" t="str">
            <v>R1K3</v>
          </cell>
          <cell r="B610" t="str">
            <v xml:space="preserve">V.M. &amp; P. NAPHTHA .           </v>
          </cell>
          <cell r="C610">
            <v>0.49863013698630138</v>
          </cell>
          <cell r="D610">
            <v>182</v>
          </cell>
        </row>
        <row r="611">
          <cell r="A611" t="str">
            <v>R1K3-1</v>
          </cell>
          <cell r="B611" t="str">
            <v xml:space="preserve">V.M. &amp; P. NAPHTHA .           </v>
          </cell>
          <cell r="C611">
            <v>0.49863013698630138</v>
          </cell>
          <cell r="D611">
            <v>182</v>
          </cell>
        </row>
        <row r="612">
          <cell r="A612" t="str">
            <v>R1K3-BOT</v>
          </cell>
          <cell r="B612" t="str">
            <v xml:space="preserve">V.M. &amp; P. NAPHTHA .           </v>
          </cell>
          <cell r="C612">
            <v>0.49863013698630138</v>
          </cell>
          <cell r="D612">
            <v>182</v>
          </cell>
        </row>
        <row r="613">
          <cell r="A613" t="str">
            <v>R1K4</v>
          </cell>
          <cell r="B613" t="str">
            <v xml:space="preserve">MINERAL SPIRITS .             </v>
          </cell>
          <cell r="C613">
            <v>0.49863013698630138</v>
          </cell>
          <cell r="D613">
            <v>182</v>
          </cell>
        </row>
        <row r="614">
          <cell r="A614" t="str">
            <v>R1K4-1</v>
          </cell>
          <cell r="B614" t="str">
            <v xml:space="preserve">MINERAL SPIRITS .             </v>
          </cell>
          <cell r="C614">
            <v>0.49863013698630138</v>
          </cell>
          <cell r="D614">
            <v>182</v>
          </cell>
        </row>
        <row r="615">
          <cell r="A615" t="str">
            <v>R1K4-54</v>
          </cell>
          <cell r="B615" t="str">
            <v xml:space="preserve">MINERAL SPIRITS .             </v>
          </cell>
          <cell r="C615">
            <v>0.49863013698630138</v>
          </cell>
          <cell r="D615">
            <v>182</v>
          </cell>
        </row>
        <row r="616">
          <cell r="A616" t="str">
            <v>R1K4-BOT</v>
          </cell>
          <cell r="B616" t="str">
            <v xml:space="preserve">MINERAL SPIRITS .             </v>
          </cell>
          <cell r="C616">
            <v>0.49863013698630138</v>
          </cell>
          <cell r="D616">
            <v>182</v>
          </cell>
        </row>
        <row r="617">
          <cell r="A617" t="str">
            <v>R21KSA1</v>
          </cell>
          <cell r="B617" t="str">
            <v xml:space="preserve">PAINT REMOVER .               </v>
          </cell>
          <cell r="C617">
            <v>0.49863013698630138</v>
          </cell>
          <cell r="D617">
            <v>182</v>
          </cell>
        </row>
        <row r="618">
          <cell r="A618" t="str">
            <v>R21KSA1-1</v>
          </cell>
          <cell r="B618" t="str">
            <v xml:space="preserve">PAINT REMOVER                 </v>
          </cell>
          <cell r="C618">
            <v>0.49863013698630138</v>
          </cell>
          <cell r="D618">
            <v>182</v>
          </cell>
        </row>
        <row r="619">
          <cell r="A619" t="str">
            <v>R21KSA1-1/8</v>
          </cell>
          <cell r="B619" t="str">
            <v xml:space="preserve">PAINT REMOVER                 </v>
          </cell>
          <cell r="C619">
            <v>0.49863013698630138</v>
          </cell>
          <cell r="D619">
            <v>182</v>
          </cell>
        </row>
        <row r="620">
          <cell r="A620" t="str">
            <v>R2K4</v>
          </cell>
          <cell r="B620" t="str">
            <v xml:space="preserve">INDUSTRIAL REDUCER .          </v>
          </cell>
          <cell r="C620">
            <v>0.49863013698630138</v>
          </cell>
          <cell r="D620">
            <v>182</v>
          </cell>
        </row>
        <row r="621">
          <cell r="A621" t="str">
            <v>R2K4-1</v>
          </cell>
          <cell r="B621" t="str">
            <v xml:space="preserve">INDUSTRIAL REDUCER .          </v>
          </cell>
          <cell r="C621">
            <v>0.49863013698630138</v>
          </cell>
          <cell r="D621">
            <v>182</v>
          </cell>
        </row>
        <row r="622">
          <cell r="A622" t="str">
            <v>R2K4-54</v>
          </cell>
          <cell r="B622" t="str">
            <v xml:space="preserve">INDUSTRIAL REDUCER .          </v>
          </cell>
          <cell r="C622">
            <v>0.49863013698630138</v>
          </cell>
          <cell r="D622">
            <v>182</v>
          </cell>
        </row>
        <row r="623">
          <cell r="A623" t="str">
            <v>R2K4-BOT</v>
          </cell>
          <cell r="B623" t="str">
            <v xml:space="preserve">INDUSTRIAL REDUCER .          </v>
          </cell>
          <cell r="C623">
            <v>0.49863013698630138</v>
          </cell>
          <cell r="D623">
            <v>182</v>
          </cell>
        </row>
        <row r="624">
          <cell r="A624" t="str">
            <v>R4K183</v>
          </cell>
          <cell r="B624" t="str">
            <v xml:space="preserve">KEM  FLO-GLO REDUCER .        </v>
          </cell>
          <cell r="C624">
            <v>0.49863013698630138</v>
          </cell>
          <cell r="D624">
            <v>182</v>
          </cell>
        </row>
        <row r="625">
          <cell r="A625" t="str">
            <v>R4K183-1</v>
          </cell>
          <cell r="B625" t="str">
            <v xml:space="preserve">KEM  FLO-GLO REDUCER .        </v>
          </cell>
          <cell r="C625">
            <v>0.49863013698630138</v>
          </cell>
          <cell r="D625">
            <v>182</v>
          </cell>
        </row>
        <row r="626">
          <cell r="A626" t="str">
            <v>R4K183-54</v>
          </cell>
          <cell r="B626" t="str">
            <v xml:space="preserve">KEM  FLO-GLO REDUCER .        </v>
          </cell>
          <cell r="C626">
            <v>0.49863013698630138</v>
          </cell>
          <cell r="D626">
            <v>182</v>
          </cell>
        </row>
        <row r="627">
          <cell r="A627" t="str">
            <v>R4K183-BOT</v>
          </cell>
          <cell r="B627" t="str">
            <v xml:space="preserve">KEM  FLO-GLO REDUCER .        </v>
          </cell>
          <cell r="C627">
            <v>0.49863013698630138</v>
          </cell>
          <cell r="D627">
            <v>182</v>
          </cell>
        </row>
        <row r="628">
          <cell r="A628" t="str">
            <v>R6K1</v>
          </cell>
          <cell r="B628" t="str">
            <v xml:space="preserve">SHERWOOD  500  STAIN  REDUCER </v>
          </cell>
          <cell r="C628">
            <v>0.49863013698630138</v>
          </cell>
          <cell r="D628">
            <v>182</v>
          </cell>
        </row>
        <row r="629">
          <cell r="A629" t="str">
            <v>R6K191</v>
          </cell>
          <cell r="B629" t="str">
            <v xml:space="preserve">OPEX LACQUER  FLO .           </v>
          </cell>
          <cell r="C629">
            <v>0.49863013698630138</v>
          </cell>
          <cell r="D629">
            <v>182</v>
          </cell>
        </row>
        <row r="630">
          <cell r="A630" t="str">
            <v>R6K191-1</v>
          </cell>
          <cell r="B630" t="str">
            <v xml:space="preserve">OPEX LACQUER  FLO             </v>
          </cell>
          <cell r="C630">
            <v>0.49863013698630138</v>
          </cell>
          <cell r="D630">
            <v>182</v>
          </cell>
        </row>
        <row r="631">
          <cell r="A631" t="str">
            <v>R6K1-BOT</v>
          </cell>
          <cell r="B631" t="str">
            <v xml:space="preserve">SHERWOOD  500  STAIN  REDUCER </v>
          </cell>
          <cell r="C631">
            <v>0.49863013698630138</v>
          </cell>
          <cell r="D631">
            <v>182</v>
          </cell>
        </row>
        <row r="632">
          <cell r="A632" t="str">
            <v>R6KSA8</v>
          </cell>
          <cell r="B632" t="str">
            <v xml:space="preserve">THINNER ESPECIAL              </v>
          </cell>
          <cell r="C632">
            <v>0.49863013698630138</v>
          </cell>
          <cell r="D632">
            <v>182</v>
          </cell>
        </row>
        <row r="633">
          <cell r="A633" t="str">
            <v>R6KSA8-54</v>
          </cell>
          <cell r="B633" t="str">
            <v xml:space="preserve">THINNER ESPECIAL              </v>
          </cell>
          <cell r="C633">
            <v>0.49863013698630138</v>
          </cell>
          <cell r="D633">
            <v>182</v>
          </cell>
        </row>
        <row r="634">
          <cell r="A634" t="str">
            <v>R7K128</v>
          </cell>
          <cell r="B634" t="str">
            <v xml:space="preserve">OPEX LACQUER THINNER 128 .    </v>
          </cell>
          <cell r="C634">
            <v>0.49863013698630138</v>
          </cell>
          <cell r="D634">
            <v>182</v>
          </cell>
        </row>
        <row r="635">
          <cell r="A635" t="str">
            <v>R7K128-1</v>
          </cell>
          <cell r="B635" t="str">
            <v xml:space="preserve">OPEX LACQUER THINNER 128      </v>
          </cell>
          <cell r="C635">
            <v>0.49863013698630138</v>
          </cell>
          <cell r="D635">
            <v>182</v>
          </cell>
        </row>
        <row r="636">
          <cell r="A636" t="str">
            <v>R7K128-54</v>
          </cell>
          <cell r="B636" t="str">
            <v xml:space="preserve">OPEX LACQUER THINNER 128      </v>
          </cell>
          <cell r="C636">
            <v>0.49863013698630138</v>
          </cell>
          <cell r="D636">
            <v>182</v>
          </cell>
        </row>
        <row r="637">
          <cell r="A637" t="str">
            <v>R7K128-BOT</v>
          </cell>
          <cell r="B637" t="str">
            <v xml:space="preserve">OPEX LACQUER THINNER 128      </v>
          </cell>
          <cell r="C637">
            <v>0.49863013698630138</v>
          </cell>
          <cell r="D637">
            <v>182</v>
          </cell>
        </row>
        <row r="638">
          <cell r="A638" t="str">
            <v>R7K15</v>
          </cell>
          <cell r="B638" t="str">
            <v xml:space="preserve">SOLVENTE SC-15 (COROTHANE)    </v>
          </cell>
          <cell r="C638">
            <v>0.49863013698630138</v>
          </cell>
          <cell r="D638">
            <v>182</v>
          </cell>
        </row>
        <row r="639">
          <cell r="A639" t="str">
            <v>R7K15-1</v>
          </cell>
          <cell r="B639" t="str">
            <v xml:space="preserve">SOLVENTE SC-15 (COROTHANE)    </v>
          </cell>
          <cell r="C639">
            <v>0.49863013698630138</v>
          </cell>
          <cell r="D639">
            <v>182</v>
          </cell>
        </row>
        <row r="640">
          <cell r="A640" t="str">
            <v>R7K156</v>
          </cell>
          <cell r="B640" t="str">
            <v xml:space="preserve">SHER-WILL CLEAN .             </v>
          </cell>
          <cell r="C640">
            <v>0.49863013698630138</v>
          </cell>
          <cell r="D640">
            <v>182</v>
          </cell>
        </row>
        <row r="641">
          <cell r="A641" t="str">
            <v>R7K156-1</v>
          </cell>
          <cell r="B641" t="str">
            <v xml:space="preserve">SHER-WILL CLEAN               </v>
          </cell>
          <cell r="C641">
            <v>0.49863013698630138</v>
          </cell>
          <cell r="D641">
            <v>182</v>
          </cell>
        </row>
        <row r="642">
          <cell r="A642" t="str">
            <v>R7K158</v>
          </cell>
          <cell r="B642" t="str">
            <v xml:space="preserve">ULTRA-CLEAN   FAST  SURFACER  </v>
          </cell>
          <cell r="C642">
            <v>0.49863013698630138</v>
          </cell>
          <cell r="D642">
            <v>182</v>
          </cell>
        </row>
        <row r="643">
          <cell r="A643" t="str">
            <v>R7K158-1</v>
          </cell>
          <cell r="B643" t="str">
            <v xml:space="preserve">ULTRA-CLEAN   FAST  SURFACER  </v>
          </cell>
          <cell r="C643">
            <v>0.49863013698630138</v>
          </cell>
          <cell r="D643">
            <v>182</v>
          </cell>
        </row>
        <row r="644">
          <cell r="A644" t="str">
            <v>R7K193</v>
          </cell>
          <cell r="B644" t="str">
            <v xml:space="preserve">OPEX RETARDER  THINNER 11 .   </v>
          </cell>
          <cell r="C644">
            <v>0.49863013698630138</v>
          </cell>
          <cell r="D644">
            <v>182</v>
          </cell>
        </row>
        <row r="645">
          <cell r="A645" t="str">
            <v>R7K193-1</v>
          </cell>
          <cell r="B645" t="str">
            <v xml:space="preserve">OPEX RETARDER  THINNER 11     </v>
          </cell>
          <cell r="C645">
            <v>0.49863013698630138</v>
          </cell>
          <cell r="D645">
            <v>182</v>
          </cell>
        </row>
        <row r="646">
          <cell r="A646" t="str">
            <v>R7K193-54</v>
          </cell>
          <cell r="B646" t="str">
            <v xml:space="preserve">OPEX RETARDER THINER 11       </v>
          </cell>
          <cell r="C646">
            <v>0.49863013698630138</v>
          </cell>
          <cell r="D646">
            <v>182</v>
          </cell>
        </row>
        <row r="647">
          <cell r="A647" t="str">
            <v>R7K203</v>
          </cell>
          <cell r="B647" t="str">
            <v>OPEX "DUAL" LAC THINN.  ACRIL.</v>
          </cell>
          <cell r="C647">
            <v>0.49863013698630138</v>
          </cell>
          <cell r="D647">
            <v>182</v>
          </cell>
        </row>
        <row r="648">
          <cell r="A648" t="str">
            <v>R7K203-1</v>
          </cell>
          <cell r="B648" t="str">
            <v xml:space="preserve">OPEX DUAL LAC THINNER  ACRILI </v>
          </cell>
          <cell r="C648">
            <v>0.49863013698630138</v>
          </cell>
          <cell r="D648">
            <v>182</v>
          </cell>
        </row>
        <row r="649">
          <cell r="A649" t="str">
            <v>R7K203-54</v>
          </cell>
          <cell r="B649" t="str">
            <v xml:space="preserve">OPEX DUAL LAC THINNER  ACRILI </v>
          </cell>
          <cell r="C649">
            <v>0.49863013698630138</v>
          </cell>
          <cell r="D649">
            <v>182</v>
          </cell>
        </row>
        <row r="650">
          <cell r="A650" t="str">
            <v>R7K203-BOT</v>
          </cell>
          <cell r="B650" t="str">
            <v xml:space="preserve">OPEX DUAL LAC THINNER  ACRILI </v>
          </cell>
          <cell r="C650">
            <v>0.49863013698630138</v>
          </cell>
          <cell r="D650">
            <v>182</v>
          </cell>
        </row>
        <row r="651">
          <cell r="A651" t="str">
            <v>R7K206</v>
          </cell>
          <cell r="B651" t="str">
            <v xml:space="preserve">OPEX  DUAL " 206 "  RETARDER  </v>
          </cell>
          <cell r="C651">
            <v>0.49863013698630138</v>
          </cell>
          <cell r="D651">
            <v>182</v>
          </cell>
        </row>
        <row r="652">
          <cell r="A652" t="str">
            <v>R7K206-1</v>
          </cell>
          <cell r="B652" t="str">
            <v xml:space="preserve">OPEX  DUAL  206   RETARDER    </v>
          </cell>
          <cell r="C652">
            <v>0.49863013698630138</v>
          </cell>
          <cell r="D652">
            <v>182</v>
          </cell>
        </row>
        <row r="653">
          <cell r="A653" t="str">
            <v>R7K242</v>
          </cell>
          <cell r="B653" t="str">
            <v xml:space="preserve">WASH PRIMER CATALYST REDUCER  </v>
          </cell>
          <cell r="C653">
            <v>0.49863013698630138</v>
          </cell>
          <cell r="D653">
            <v>182</v>
          </cell>
        </row>
        <row r="654">
          <cell r="A654" t="str">
            <v>R7K242-1</v>
          </cell>
          <cell r="B654" t="str">
            <v xml:space="preserve">WASH PRIMER CATALYST REDUCER  </v>
          </cell>
          <cell r="C654">
            <v>0.49863013698630138</v>
          </cell>
          <cell r="D654">
            <v>182</v>
          </cell>
        </row>
        <row r="655">
          <cell r="A655" t="str">
            <v>R7K54</v>
          </cell>
          <cell r="B655" t="str">
            <v xml:space="preserve">EPOXY REDUCER # 54 .          </v>
          </cell>
          <cell r="C655">
            <v>0.49863013698630138</v>
          </cell>
          <cell r="D655">
            <v>182</v>
          </cell>
        </row>
        <row r="656">
          <cell r="A656" t="str">
            <v>R7K54-1</v>
          </cell>
          <cell r="B656" t="str">
            <v xml:space="preserve">EPOXY REDUCER # 54            </v>
          </cell>
          <cell r="C656">
            <v>0.49863013698630138</v>
          </cell>
          <cell r="D656">
            <v>182</v>
          </cell>
        </row>
        <row r="657">
          <cell r="A657" t="str">
            <v>R7K54-54</v>
          </cell>
          <cell r="B657" t="str">
            <v xml:space="preserve">EPOXY REDUCER # 54            </v>
          </cell>
          <cell r="C657">
            <v>0.49863013698630138</v>
          </cell>
          <cell r="D657">
            <v>182</v>
          </cell>
        </row>
        <row r="658">
          <cell r="A658" t="str">
            <v>R7K6252-1</v>
          </cell>
          <cell r="B658" t="str">
            <v xml:space="preserve">RETARDADOR UNIVERSAL          </v>
          </cell>
          <cell r="C658">
            <v>0.49863013698630138</v>
          </cell>
          <cell r="D658">
            <v>182</v>
          </cell>
        </row>
        <row r="659">
          <cell r="A659" t="str">
            <v>R7K981</v>
          </cell>
          <cell r="B659" t="str">
            <v xml:space="preserve">G.B.P.  ETCHING   ACTIVADOR   </v>
          </cell>
          <cell r="C659">
            <v>0.49863013698630138</v>
          </cell>
          <cell r="D659">
            <v>182</v>
          </cell>
        </row>
        <row r="660">
          <cell r="A660" t="str">
            <v>R7K981-1</v>
          </cell>
          <cell r="B660" t="str">
            <v xml:space="preserve">G.B.P.  ETCHING   ACTIVADOR   </v>
          </cell>
          <cell r="C660">
            <v>0.49863013698630138</v>
          </cell>
          <cell r="D660">
            <v>182</v>
          </cell>
        </row>
        <row r="661">
          <cell r="A661" t="str">
            <v>R7KSA12</v>
          </cell>
          <cell r="B661" t="str">
            <v xml:space="preserve">THINNER ESPECIAL              </v>
          </cell>
          <cell r="C661">
            <v>0.49863013698630138</v>
          </cell>
          <cell r="D661">
            <v>182</v>
          </cell>
        </row>
        <row r="662">
          <cell r="A662" t="str">
            <v>R7KSA12-54</v>
          </cell>
          <cell r="B662" t="str">
            <v xml:space="preserve">THINNER ESPECIAL              </v>
          </cell>
          <cell r="C662">
            <v>0.49863013698630138</v>
          </cell>
          <cell r="D662">
            <v>182</v>
          </cell>
        </row>
        <row r="663">
          <cell r="A663" t="str">
            <v>R8KSA1</v>
          </cell>
          <cell r="B663" t="str">
            <v>REDUCTOR UNIVERSAL POLYURETANO</v>
          </cell>
          <cell r="C663">
            <v>0.49863013698630138</v>
          </cell>
          <cell r="D663">
            <v>182</v>
          </cell>
        </row>
        <row r="664">
          <cell r="A664" t="str">
            <v>R8KSA1-1</v>
          </cell>
          <cell r="B664" t="str">
            <v>REDUCTOR UNIVERSAL POLYURETANO</v>
          </cell>
          <cell r="C664">
            <v>0.49863013698630138</v>
          </cell>
          <cell r="D664">
            <v>182</v>
          </cell>
        </row>
        <row r="665">
          <cell r="A665" t="str">
            <v>R8KSA2</v>
          </cell>
          <cell r="B665" t="str">
            <v xml:space="preserve">REDUCTOR CALIDO POLYURETANO   </v>
          </cell>
          <cell r="C665">
            <v>0.49863013698630138</v>
          </cell>
          <cell r="D665">
            <v>182</v>
          </cell>
        </row>
        <row r="666">
          <cell r="A666" t="str">
            <v>R8KSA2-1</v>
          </cell>
          <cell r="B666" t="str">
            <v xml:space="preserve">REDUCTOR CALIDO POLYURETANO   </v>
          </cell>
          <cell r="C666">
            <v>0.49863013698630138</v>
          </cell>
          <cell r="D666">
            <v>182</v>
          </cell>
        </row>
        <row r="667">
          <cell r="A667" t="str">
            <v>S39-1</v>
          </cell>
          <cell r="B667" t="str">
            <v xml:space="preserve">2K SEALER CONVERTER P30       </v>
          </cell>
          <cell r="C667">
            <v>3</v>
          </cell>
          <cell r="D667">
            <v>1095</v>
          </cell>
        </row>
        <row r="668">
          <cell r="A668" t="str">
            <v>S61-1/4</v>
          </cell>
          <cell r="B668" t="str">
            <v>ULTRA FILL II  SEALER / PROMOT</v>
          </cell>
          <cell r="C668">
            <v>2</v>
          </cell>
          <cell r="D668">
            <v>730</v>
          </cell>
        </row>
        <row r="669">
          <cell r="A669" t="str">
            <v>S63-1/4</v>
          </cell>
          <cell r="B669" t="str">
            <v xml:space="preserve">TRANSPARENT COLOR BLEND 1K    </v>
          </cell>
          <cell r="C669">
            <v>2</v>
          </cell>
          <cell r="D669">
            <v>730</v>
          </cell>
        </row>
        <row r="670">
          <cell r="A670" t="str">
            <v>S65-1</v>
          </cell>
          <cell r="B670" t="str">
            <v xml:space="preserve">PROMOTOR DE ADHERENCIA 2K     </v>
          </cell>
          <cell r="C670">
            <v>2</v>
          </cell>
          <cell r="D670">
            <v>730</v>
          </cell>
        </row>
        <row r="671">
          <cell r="A671" t="str">
            <v>S65-1/4</v>
          </cell>
          <cell r="B671" t="str">
            <v xml:space="preserve">PROMOTOR DE ADHERENCIA 2K     </v>
          </cell>
          <cell r="C671">
            <v>2</v>
          </cell>
          <cell r="D671">
            <v>730</v>
          </cell>
        </row>
        <row r="672">
          <cell r="A672" t="str">
            <v>SC155-1/4</v>
          </cell>
          <cell r="B672" t="str">
            <v>LOW VOC PLASTIC SURFACE CLEANE</v>
          </cell>
          <cell r="C672">
            <v>2</v>
          </cell>
          <cell r="D672">
            <v>730</v>
          </cell>
        </row>
        <row r="673">
          <cell r="A673" t="str">
            <v>SC159-1</v>
          </cell>
          <cell r="B673" t="str">
            <v>PLASTIC SURF CLEANER ANTI-STAT</v>
          </cell>
          <cell r="C673">
            <v>1</v>
          </cell>
          <cell r="D673">
            <v>365</v>
          </cell>
        </row>
        <row r="674">
          <cell r="A674" t="str">
            <v>T1C187</v>
          </cell>
          <cell r="B674" t="str">
            <v xml:space="preserve">OPEX MIXING LACQUER CLEAR .   </v>
          </cell>
          <cell r="C674">
            <v>0.49863013698630138</v>
          </cell>
          <cell r="D674">
            <v>182</v>
          </cell>
        </row>
        <row r="675">
          <cell r="A675" t="str">
            <v>T1C187-1</v>
          </cell>
          <cell r="B675" t="str">
            <v xml:space="preserve">OPEX MIXING LACQUER CLEAR     </v>
          </cell>
          <cell r="C675">
            <v>0.49863013698630138</v>
          </cell>
          <cell r="D675">
            <v>182</v>
          </cell>
        </row>
        <row r="676">
          <cell r="A676" t="str">
            <v>T1C187-1.1/4</v>
          </cell>
          <cell r="B676" t="str">
            <v xml:space="preserve">OPEX MIXING LACQUER CLEAR     </v>
          </cell>
          <cell r="C676">
            <v>0.49863013698630138</v>
          </cell>
          <cell r="D676">
            <v>182</v>
          </cell>
        </row>
        <row r="677">
          <cell r="A677" t="str">
            <v>T1C276</v>
          </cell>
          <cell r="B677" t="str">
            <v>ACRYLIC LAC URETHANE CLEARCOAT</v>
          </cell>
          <cell r="C677">
            <v>0.49863013698630138</v>
          </cell>
          <cell r="D677">
            <v>182</v>
          </cell>
        </row>
        <row r="678">
          <cell r="A678" t="str">
            <v>T1C276-1</v>
          </cell>
          <cell r="B678" t="str">
            <v>ACRYLIC LAC URETHANE CLEARCOAT</v>
          </cell>
          <cell r="C678">
            <v>0.49863013698630138</v>
          </cell>
          <cell r="D678">
            <v>182</v>
          </cell>
        </row>
        <row r="679">
          <cell r="A679" t="str">
            <v>T1C282</v>
          </cell>
          <cell r="B679" t="str">
            <v>POLYURET TRANSP PARA ACRILIC0S</v>
          </cell>
          <cell r="C679">
            <v>0.49863013698630138</v>
          </cell>
          <cell r="D679">
            <v>182</v>
          </cell>
        </row>
        <row r="680">
          <cell r="A680" t="str">
            <v>T1C282-1</v>
          </cell>
          <cell r="B680" t="str">
            <v>POLYURET TRANSP PARA ACRILIC0S</v>
          </cell>
          <cell r="C680">
            <v>0.49863013698630138</v>
          </cell>
          <cell r="D680">
            <v>182</v>
          </cell>
        </row>
        <row r="681">
          <cell r="A681" t="str">
            <v>T1C285</v>
          </cell>
          <cell r="B681" t="str">
            <v xml:space="preserve">ACRYLIC LACQUER CLEARCOAT     </v>
          </cell>
          <cell r="C681">
            <v>0.49863013698630138</v>
          </cell>
          <cell r="D681">
            <v>182</v>
          </cell>
        </row>
        <row r="682">
          <cell r="A682" t="str">
            <v>T1C285-1</v>
          </cell>
          <cell r="B682" t="str">
            <v xml:space="preserve">ACRYLIC LACQUER CLEARCOAT     </v>
          </cell>
          <cell r="C682">
            <v>0.49863013698630138</v>
          </cell>
          <cell r="D682">
            <v>182</v>
          </cell>
        </row>
        <row r="683">
          <cell r="A683" t="str">
            <v>T1C285-1.1/4</v>
          </cell>
          <cell r="B683" t="str">
            <v xml:space="preserve">ACRYLIC LACQUER CLEARCOAT     </v>
          </cell>
          <cell r="C683">
            <v>0.49863013698630138</v>
          </cell>
          <cell r="D683">
            <v>182</v>
          </cell>
        </row>
        <row r="684">
          <cell r="A684" t="str">
            <v>T1C285-1/4</v>
          </cell>
          <cell r="B684" t="str">
            <v xml:space="preserve">ACRYLIC LACQUER CLEARCOAT     </v>
          </cell>
          <cell r="C684">
            <v>0.49863013698630138</v>
          </cell>
          <cell r="D684">
            <v>182</v>
          </cell>
        </row>
        <row r="685">
          <cell r="A685" t="str">
            <v>T1C323</v>
          </cell>
          <cell r="B685" t="str">
            <v>ACRYLIC MIX LAC U.V.  BLOCKOUT</v>
          </cell>
          <cell r="C685">
            <v>0.49863013698630138</v>
          </cell>
          <cell r="D685">
            <v>182</v>
          </cell>
        </row>
        <row r="686">
          <cell r="A686" t="str">
            <v>T1C323-1</v>
          </cell>
          <cell r="B686" t="str">
            <v>ACRYLIC MIX LAC U.V.  BLOCKOUT</v>
          </cell>
          <cell r="C686">
            <v>0.49863013698630138</v>
          </cell>
          <cell r="D686">
            <v>182</v>
          </cell>
        </row>
        <row r="687">
          <cell r="A687" t="str">
            <v>T1C323-1.1/4</v>
          </cell>
          <cell r="B687" t="str">
            <v>ACRYLIC MIX LAC U.V.  BLOCKOUT</v>
          </cell>
          <cell r="C687">
            <v>0.49863013698630138</v>
          </cell>
          <cell r="D687">
            <v>182</v>
          </cell>
        </row>
        <row r="688">
          <cell r="A688" t="str">
            <v>T1CSA285</v>
          </cell>
          <cell r="B688" t="str">
            <v xml:space="preserve">ACRYLIC LAC CLEARCOAT H.S.    </v>
          </cell>
          <cell r="C688">
            <v>0.49863013698630138</v>
          </cell>
          <cell r="D688">
            <v>182</v>
          </cell>
        </row>
        <row r="689">
          <cell r="A689" t="str">
            <v>T1CSA285-1</v>
          </cell>
          <cell r="B689" t="str">
            <v xml:space="preserve">ACRYLIC LAC CLEARCOAT H.S.    </v>
          </cell>
          <cell r="C689">
            <v>0.49863013698630138</v>
          </cell>
          <cell r="D689">
            <v>182</v>
          </cell>
        </row>
        <row r="690">
          <cell r="A690" t="str">
            <v>T1CSA3</v>
          </cell>
          <cell r="B690" t="str">
            <v xml:space="preserve">CLEAR MADYMET                 </v>
          </cell>
          <cell r="C690">
            <v>0.49863013698630138</v>
          </cell>
          <cell r="D690">
            <v>182</v>
          </cell>
        </row>
        <row r="691">
          <cell r="A691" t="str">
            <v>T1CSA3-5</v>
          </cell>
          <cell r="B691" t="str">
            <v xml:space="preserve">CLEAR MADYMET                 </v>
          </cell>
          <cell r="C691">
            <v>0.49863013698630138</v>
          </cell>
          <cell r="D691">
            <v>182</v>
          </cell>
        </row>
        <row r="692">
          <cell r="A692" t="str">
            <v>T1F270</v>
          </cell>
          <cell r="B692" t="str">
            <v xml:space="preserve">UNIVERSAL FLATTING  COMPOUND  </v>
          </cell>
          <cell r="C692">
            <v>0.49863013698630138</v>
          </cell>
          <cell r="D692">
            <v>182</v>
          </cell>
        </row>
        <row r="693">
          <cell r="A693" t="str">
            <v>T1F270-1</v>
          </cell>
          <cell r="B693" t="str">
            <v xml:space="preserve">UNIVERSAL FLATTING  COMPOUND  </v>
          </cell>
          <cell r="C693">
            <v>0.49863013698630138</v>
          </cell>
          <cell r="D693">
            <v>182</v>
          </cell>
        </row>
        <row r="694">
          <cell r="A694" t="str">
            <v>T1F271</v>
          </cell>
          <cell r="B694" t="str">
            <v xml:space="preserve">EXTERIOR   FLATTENING BASE    </v>
          </cell>
          <cell r="C694">
            <v>0.49863013698630138</v>
          </cell>
          <cell r="D694">
            <v>182</v>
          </cell>
        </row>
        <row r="695">
          <cell r="A695" t="str">
            <v>T1F271-1</v>
          </cell>
          <cell r="B695" t="str">
            <v xml:space="preserve">EXTERIOR   FLATTENING BASE    </v>
          </cell>
          <cell r="C695">
            <v>0.49863013698630138</v>
          </cell>
          <cell r="D695">
            <v>182</v>
          </cell>
        </row>
        <row r="696">
          <cell r="A696" t="str">
            <v>T1F271-1/4</v>
          </cell>
          <cell r="B696" t="str">
            <v xml:space="preserve">EXTERIOR   FLATTENING BASE    </v>
          </cell>
          <cell r="C696">
            <v>0.49863013698630138</v>
          </cell>
          <cell r="D696">
            <v>182</v>
          </cell>
        </row>
        <row r="697">
          <cell r="A697" t="str">
            <v>T60FSA18-50</v>
          </cell>
          <cell r="B697" t="str">
            <v xml:space="preserve">SELLAD. SUPER CONCENTR. AMBAR </v>
          </cell>
          <cell r="C697">
            <v>0.49863013698630138</v>
          </cell>
          <cell r="D697">
            <v>182</v>
          </cell>
        </row>
        <row r="698">
          <cell r="A698" t="str">
            <v>T60FSA21</v>
          </cell>
          <cell r="B698" t="str">
            <v xml:space="preserve">SELLADOR P/MADERA LEGENDARIO  </v>
          </cell>
          <cell r="C698">
            <v>0.49863013698630138</v>
          </cell>
          <cell r="D698">
            <v>182</v>
          </cell>
        </row>
        <row r="699">
          <cell r="A699" t="str">
            <v>T60FSA21-5</v>
          </cell>
          <cell r="B699" t="str">
            <v xml:space="preserve">SELLADOR P/MADERA LEGENDARIO  </v>
          </cell>
          <cell r="C699">
            <v>0.49863013698630138</v>
          </cell>
          <cell r="D699">
            <v>182</v>
          </cell>
        </row>
        <row r="700">
          <cell r="A700" t="str">
            <v>T60FSA22</v>
          </cell>
          <cell r="B700" t="str">
            <v xml:space="preserve">NUEVO SELLADOR INDUSTRIAL     </v>
          </cell>
          <cell r="C700">
            <v>0.49863013698630138</v>
          </cell>
          <cell r="D700">
            <v>182</v>
          </cell>
        </row>
        <row r="701">
          <cell r="A701" t="str">
            <v>T60FSA22-1</v>
          </cell>
          <cell r="B701" t="str">
            <v xml:space="preserve">NUEVO SELLADOR IND BLANCO     </v>
          </cell>
          <cell r="C701">
            <v>0.49863013698630138</v>
          </cell>
          <cell r="D701">
            <v>182</v>
          </cell>
        </row>
        <row r="702">
          <cell r="A702" t="str">
            <v>T60FSA22-1/4</v>
          </cell>
          <cell r="B702" t="str">
            <v xml:space="preserve">NUEVO SELLADOR IND BLANCO     </v>
          </cell>
          <cell r="C702">
            <v>0.49863013698630138</v>
          </cell>
          <cell r="D702">
            <v>182</v>
          </cell>
        </row>
        <row r="703">
          <cell r="A703" t="str">
            <v>T60FSA22-5</v>
          </cell>
          <cell r="B703" t="str">
            <v xml:space="preserve">NUEVO SELLADOR IND BLANCO     </v>
          </cell>
          <cell r="C703">
            <v>0.49863013698630138</v>
          </cell>
          <cell r="D703">
            <v>182</v>
          </cell>
        </row>
        <row r="704">
          <cell r="A704" t="str">
            <v>T65FSA1</v>
          </cell>
          <cell r="B704" t="str">
            <v>SELLADOR INDUST P/MAD BASE AGU</v>
          </cell>
          <cell r="C704">
            <v>0.49863013698630138</v>
          </cell>
          <cell r="D704">
            <v>182</v>
          </cell>
        </row>
        <row r="705">
          <cell r="A705" t="str">
            <v>T65FSA1-1</v>
          </cell>
          <cell r="B705" t="str">
            <v xml:space="preserve">SELLADOR IND P/MAD BASE AGUA  </v>
          </cell>
          <cell r="C705">
            <v>0.49863013698630138</v>
          </cell>
          <cell r="D705">
            <v>182</v>
          </cell>
        </row>
        <row r="706">
          <cell r="A706" t="str">
            <v>T70C50</v>
          </cell>
          <cell r="B706" t="str">
            <v>H.B WOOD FIN. LAC. # 45 BRILL.</v>
          </cell>
          <cell r="C706">
            <v>0.49863013698630138</v>
          </cell>
          <cell r="D706">
            <v>182</v>
          </cell>
        </row>
        <row r="707">
          <cell r="A707" t="str">
            <v>T70C50-1</v>
          </cell>
          <cell r="B707" t="str">
            <v>H.B WOOD FIN. LAC. # 45 BRILL.</v>
          </cell>
          <cell r="C707">
            <v>0.49863013698630138</v>
          </cell>
          <cell r="D707">
            <v>182</v>
          </cell>
        </row>
        <row r="708">
          <cell r="A708" t="str">
            <v>T70C50-1/4</v>
          </cell>
          <cell r="B708" t="str">
            <v>H.B WOOD FIN. LAC. # 45 BRILL.</v>
          </cell>
          <cell r="C708">
            <v>0.49863013698630138</v>
          </cell>
          <cell r="D708">
            <v>182</v>
          </cell>
        </row>
        <row r="709">
          <cell r="A709" t="str">
            <v>T70C50-5</v>
          </cell>
          <cell r="B709" t="str">
            <v>H.B WOOD FIN. LAC. # 45 BRILL.</v>
          </cell>
          <cell r="C709">
            <v>0.49863013698630138</v>
          </cell>
          <cell r="D709">
            <v>182</v>
          </cell>
        </row>
        <row r="710">
          <cell r="A710" t="str">
            <v>T70C50-50</v>
          </cell>
          <cell r="B710" t="str">
            <v xml:space="preserve">H. B. WOOD FINISHING LAC # 45 </v>
          </cell>
          <cell r="C710">
            <v>0.49863013698630138</v>
          </cell>
          <cell r="D710">
            <v>182</v>
          </cell>
        </row>
        <row r="711">
          <cell r="A711" t="str">
            <v>T70CSA13</v>
          </cell>
          <cell r="B711" t="str">
            <v xml:space="preserve">LACA BRILLANTE EXTRAVISCOSA   </v>
          </cell>
          <cell r="C711">
            <v>0.49863013698630138</v>
          </cell>
          <cell r="D711">
            <v>182</v>
          </cell>
        </row>
        <row r="712">
          <cell r="A712" t="str">
            <v>T70CSA13-1</v>
          </cell>
          <cell r="B712" t="str">
            <v xml:space="preserve">LACA BRILLANTE EXTRAVISCOSA   </v>
          </cell>
          <cell r="C712">
            <v>0.49863013698630138</v>
          </cell>
          <cell r="D712">
            <v>182</v>
          </cell>
        </row>
        <row r="713">
          <cell r="A713" t="str">
            <v>T70CSA13-1/4</v>
          </cell>
          <cell r="B713" t="str">
            <v xml:space="preserve">LACA BRILLANTE EXTRAVISCOSA   </v>
          </cell>
          <cell r="C713">
            <v>0.49863013698630138</v>
          </cell>
          <cell r="D713">
            <v>182</v>
          </cell>
        </row>
        <row r="714">
          <cell r="A714" t="str">
            <v>T70CSA13-50</v>
          </cell>
          <cell r="B714" t="str">
            <v xml:space="preserve">LACA BRILLANTE EXTRAVISCOSA   </v>
          </cell>
          <cell r="C714">
            <v>0.49863013698630138</v>
          </cell>
          <cell r="D714">
            <v>182</v>
          </cell>
        </row>
        <row r="715">
          <cell r="A715" t="str">
            <v>T70CSA20</v>
          </cell>
          <cell r="B715" t="str">
            <v xml:space="preserve">LACA ACRYLICA TRANSPARENTE    </v>
          </cell>
          <cell r="C715">
            <v>0.49863013698630138</v>
          </cell>
          <cell r="D715">
            <v>182</v>
          </cell>
        </row>
        <row r="716">
          <cell r="A716" t="str">
            <v>T70CSA20-50</v>
          </cell>
          <cell r="B716" t="str">
            <v xml:space="preserve">LACA ACRILICA TRANSPAR BRT    </v>
          </cell>
          <cell r="C716">
            <v>0.49863013698630138</v>
          </cell>
          <cell r="D716">
            <v>182</v>
          </cell>
        </row>
        <row r="717">
          <cell r="A717" t="str">
            <v>T70CSA25</v>
          </cell>
          <cell r="B717" t="str">
            <v xml:space="preserve">LACA TRANSPARENTE BRILLANTE   </v>
          </cell>
          <cell r="C717">
            <v>0.49863013698630138</v>
          </cell>
          <cell r="D717">
            <v>182</v>
          </cell>
        </row>
        <row r="718">
          <cell r="A718" t="str">
            <v>T70CSA25-5</v>
          </cell>
          <cell r="B718" t="str">
            <v>LACA TRANSP BRTE P/HERRAMIENTA</v>
          </cell>
          <cell r="C718">
            <v>0.49863013698630138</v>
          </cell>
          <cell r="D718">
            <v>182</v>
          </cell>
        </row>
        <row r="719">
          <cell r="A719" t="str">
            <v>T70CSA25-50</v>
          </cell>
          <cell r="B719" t="str">
            <v>LACA TRANSP BRTE P/HERRAMIENTA</v>
          </cell>
          <cell r="C719">
            <v>0.49863013698630138</v>
          </cell>
          <cell r="D719">
            <v>182</v>
          </cell>
        </row>
        <row r="720">
          <cell r="A720" t="str">
            <v>T70CSA26</v>
          </cell>
          <cell r="B720" t="str">
            <v xml:space="preserve">LACA TRANSPARENTE BRILLANTE   </v>
          </cell>
          <cell r="C720">
            <v>0.49863013698630138</v>
          </cell>
          <cell r="D720">
            <v>182</v>
          </cell>
        </row>
        <row r="721">
          <cell r="A721" t="str">
            <v>T70CSA26-50</v>
          </cell>
          <cell r="B721" t="str">
            <v>LACA TRANSP BRTE P/HERRAMIENTA</v>
          </cell>
          <cell r="C721">
            <v>0.49863013698630138</v>
          </cell>
          <cell r="D721">
            <v>182</v>
          </cell>
        </row>
        <row r="722">
          <cell r="A722" t="str">
            <v>T70CSA27</v>
          </cell>
          <cell r="B722" t="str">
            <v xml:space="preserve">LACA P/MANGOS DE PALA NOGAL   </v>
          </cell>
          <cell r="C722">
            <v>0.49863013698630138</v>
          </cell>
          <cell r="D722">
            <v>182</v>
          </cell>
        </row>
        <row r="723">
          <cell r="A723" t="str">
            <v>T70CSA27-50</v>
          </cell>
          <cell r="B723" t="str">
            <v xml:space="preserve">LACA P/MANGOS DE PALA NOGAL   </v>
          </cell>
          <cell r="C723">
            <v>0.49863013698630138</v>
          </cell>
          <cell r="D723">
            <v>182</v>
          </cell>
        </row>
        <row r="724">
          <cell r="A724" t="str">
            <v>T70FSA1</v>
          </cell>
          <cell r="B724" t="str">
            <v xml:space="preserve">H.B WOOD FIN. LAC. # 95 MATE  </v>
          </cell>
          <cell r="C724">
            <v>0.49863013698630138</v>
          </cell>
          <cell r="D724">
            <v>182</v>
          </cell>
        </row>
        <row r="725">
          <cell r="A725" t="str">
            <v>T70FSA1-1</v>
          </cell>
          <cell r="B725" t="str">
            <v xml:space="preserve">H.B WOOD FIN. LAC. # 95 MATE  </v>
          </cell>
          <cell r="C725">
            <v>0.49863013698630138</v>
          </cell>
          <cell r="D725">
            <v>182</v>
          </cell>
        </row>
        <row r="726">
          <cell r="A726" t="str">
            <v>T70FSA1-5</v>
          </cell>
          <cell r="B726" t="str">
            <v xml:space="preserve">H.B WOOD FIN. LAC. # 95 MATE  </v>
          </cell>
          <cell r="C726">
            <v>0.49863013698630138</v>
          </cell>
          <cell r="D726">
            <v>182</v>
          </cell>
        </row>
        <row r="727">
          <cell r="A727" t="str">
            <v>T70FSA5</v>
          </cell>
          <cell r="B727" t="str">
            <v xml:space="preserve">LACA MATE EXTRA CONCENTRADA   </v>
          </cell>
          <cell r="C727">
            <v>0.49863013698630138</v>
          </cell>
          <cell r="D727">
            <v>182</v>
          </cell>
        </row>
        <row r="728">
          <cell r="A728" t="str">
            <v>T70FSA5-1</v>
          </cell>
          <cell r="B728" t="str">
            <v xml:space="preserve">LACA MATE EXTRA CONCENTRADA   </v>
          </cell>
          <cell r="C728">
            <v>0.49863013698630138</v>
          </cell>
          <cell r="D728">
            <v>182</v>
          </cell>
        </row>
        <row r="729">
          <cell r="A729" t="str">
            <v>T75FSA1</v>
          </cell>
          <cell r="B729" t="str">
            <v xml:space="preserve">LACA ACRILICA CAB SATINADO    </v>
          </cell>
          <cell r="C729">
            <v>0.49863013698630138</v>
          </cell>
          <cell r="D729">
            <v>182</v>
          </cell>
        </row>
        <row r="730">
          <cell r="A730" t="str">
            <v>T75FSA1-1/4</v>
          </cell>
          <cell r="B730" t="str">
            <v xml:space="preserve">LACA ACRILICA CAB SATINADO    </v>
          </cell>
          <cell r="C730">
            <v>0.49863013698630138</v>
          </cell>
          <cell r="D730">
            <v>182</v>
          </cell>
        </row>
        <row r="731">
          <cell r="A731" t="str">
            <v>TRG250-1</v>
          </cell>
          <cell r="B731" t="str">
            <v xml:space="preserve">TRUCK BED COATING  BLACK      </v>
          </cell>
          <cell r="C731">
            <v>0.49863013698630138</v>
          </cell>
          <cell r="D731">
            <v>182</v>
          </cell>
        </row>
        <row r="732">
          <cell r="A732" t="str">
            <v>U12739-1/4</v>
          </cell>
          <cell r="B732" t="str">
            <v xml:space="preserve">ULTRA ONE STAGE NEGRO MATE    </v>
          </cell>
          <cell r="C732">
            <v>0.49863013698630138</v>
          </cell>
          <cell r="D732">
            <v>182</v>
          </cell>
        </row>
        <row r="733">
          <cell r="A733" t="str">
            <v>U7000</v>
          </cell>
          <cell r="B733" t="str">
            <v xml:space="preserve">FINE METALLIC No 1            </v>
          </cell>
          <cell r="C733">
            <v>3</v>
          </cell>
          <cell r="D733">
            <v>1095</v>
          </cell>
        </row>
        <row r="734">
          <cell r="A734" t="str">
            <v>U7000-1/4</v>
          </cell>
          <cell r="B734" t="str">
            <v xml:space="preserve">FINE METALLIC No 1            </v>
          </cell>
          <cell r="C734">
            <v>3</v>
          </cell>
          <cell r="D734">
            <v>1095</v>
          </cell>
        </row>
        <row r="735">
          <cell r="A735" t="str">
            <v>U7001</v>
          </cell>
          <cell r="B735" t="str">
            <v xml:space="preserve">MEDIUM METALLIC  No.2         </v>
          </cell>
          <cell r="C735">
            <v>3</v>
          </cell>
          <cell r="D735">
            <v>1095</v>
          </cell>
        </row>
        <row r="736">
          <cell r="A736" t="str">
            <v>U7001-1/4</v>
          </cell>
          <cell r="B736" t="str">
            <v xml:space="preserve">MEDIUM METALLIC  No.2         </v>
          </cell>
          <cell r="C736">
            <v>3</v>
          </cell>
          <cell r="D736">
            <v>1095</v>
          </cell>
        </row>
        <row r="737">
          <cell r="A737" t="str">
            <v>U7002</v>
          </cell>
          <cell r="B737" t="str">
            <v xml:space="preserve">LARGE METALLIC No.3           </v>
          </cell>
          <cell r="C737">
            <v>3</v>
          </cell>
          <cell r="D737">
            <v>1095</v>
          </cell>
        </row>
        <row r="738">
          <cell r="A738" t="str">
            <v>U7002-1/4</v>
          </cell>
          <cell r="B738" t="str">
            <v xml:space="preserve">LARGE METALLIC No.3           </v>
          </cell>
          <cell r="C738">
            <v>3</v>
          </cell>
          <cell r="D738">
            <v>1095</v>
          </cell>
        </row>
        <row r="739">
          <cell r="A739" t="str">
            <v>U7003</v>
          </cell>
          <cell r="B739" t="str">
            <v xml:space="preserve">WHITE   MICA                  </v>
          </cell>
          <cell r="C739">
            <v>3</v>
          </cell>
          <cell r="D739">
            <v>1095</v>
          </cell>
        </row>
        <row r="740">
          <cell r="A740" t="str">
            <v>U7003-1/4</v>
          </cell>
          <cell r="B740" t="str">
            <v xml:space="preserve">WHITE   MICA                  </v>
          </cell>
          <cell r="C740">
            <v>3</v>
          </cell>
          <cell r="D740">
            <v>1095</v>
          </cell>
        </row>
        <row r="741">
          <cell r="A741" t="str">
            <v>U7004</v>
          </cell>
          <cell r="B741" t="str">
            <v xml:space="preserve">RUSSET   MICA                 </v>
          </cell>
          <cell r="C741">
            <v>3</v>
          </cell>
          <cell r="D741">
            <v>1095</v>
          </cell>
        </row>
        <row r="742">
          <cell r="A742" t="str">
            <v>U7004-1/4</v>
          </cell>
          <cell r="B742" t="str">
            <v xml:space="preserve">RUSSET   MICA                 </v>
          </cell>
          <cell r="C742">
            <v>3</v>
          </cell>
          <cell r="D742">
            <v>1095</v>
          </cell>
        </row>
        <row r="743">
          <cell r="A743" t="str">
            <v>U7005</v>
          </cell>
          <cell r="B743" t="str">
            <v xml:space="preserve">BRONZE   MICA                 </v>
          </cell>
          <cell r="C743">
            <v>3</v>
          </cell>
          <cell r="D743">
            <v>1095</v>
          </cell>
        </row>
        <row r="744">
          <cell r="A744" t="str">
            <v>U7005-1/4</v>
          </cell>
          <cell r="B744" t="str">
            <v xml:space="preserve">BRONZE   MICA                 </v>
          </cell>
          <cell r="C744">
            <v>3</v>
          </cell>
          <cell r="D744">
            <v>1095</v>
          </cell>
        </row>
        <row r="745">
          <cell r="A745" t="str">
            <v>U7006</v>
          </cell>
          <cell r="B745" t="str">
            <v xml:space="preserve">SMALL METALLIC FLAKE No. 4    </v>
          </cell>
          <cell r="C745">
            <v>3</v>
          </cell>
          <cell r="D745">
            <v>1095</v>
          </cell>
        </row>
        <row r="746">
          <cell r="A746" t="str">
            <v>U7006-1/4</v>
          </cell>
          <cell r="B746" t="str">
            <v xml:space="preserve">SMALL METALLIC FLAKE No. 4    </v>
          </cell>
          <cell r="C746">
            <v>3</v>
          </cell>
          <cell r="D746">
            <v>1095</v>
          </cell>
        </row>
        <row r="747">
          <cell r="A747" t="str">
            <v>U7007</v>
          </cell>
          <cell r="B747" t="str">
            <v xml:space="preserve">SMALL WHITE MICA              </v>
          </cell>
          <cell r="C747">
            <v>3</v>
          </cell>
          <cell r="D747">
            <v>1095</v>
          </cell>
        </row>
        <row r="748">
          <cell r="A748" t="str">
            <v>U7007-1/4</v>
          </cell>
          <cell r="B748" t="str">
            <v xml:space="preserve">PERLA BLANCA FINA             </v>
          </cell>
          <cell r="C748">
            <v>3</v>
          </cell>
          <cell r="D748">
            <v>1095</v>
          </cell>
        </row>
        <row r="749">
          <cell r="A749" t="str">
            <v>U7008</v>
          </cell>
          <cell r="B749" t="str">
            <v xml:space="preserve">SMALL RED MICA                </v>
          </cell>
          <cell r="C749">
            <v>3</v>
          </cell>
          <cell r="D749">
            <v>1095</v>
          </cell>
        </row>
        <row r="750">
          <cell r="A750" t="str">
            <v>U7008-1/4</v>
          </cell>
          <cell r="B750" t="str">
            <v xml:space="preserve">PERLA ROJA FINA               </v>
          </cell>
          <cell r="C750">
            <v>3</v>
          </cell>
          <cell r="D750">
            <v>1095</v>
          </cell>
        </row>
        <row r="751">
          <cell r="A751" t="str">
            <v>U7009</v>
          </cell>
          <cell r="B751" t="str">
            <v xml:space="preserve">BLUE   MICA.    (MICA  AZUL)  </v>
          </cell>
          <cell r="C751">
            <v>3</v>
          </cell>
          <cell r="D751">
            <v>1095</v>
          </cell>
        </row>
        <row r="752">
          <cell r="A752" t="str">
            <v>U7009-1/4</v>
          </cell>
          <cell r="B752" t="str">
            <v xml:space="preserve">PERLA  AZUL                   </v>
          </cell>
          <cell r="C752">
            <v>3</v>
          </cell>
          <cell r="D752">
            <v>1095</v>
          </cell>
        </row>
        <row r="753">
          <cell r="A753" t="str">
            <v>U7010</v>
          </cell>
          <cell r="B753" t="str">
            <v xml:space="preserve">GREEN MICA.    (MICA  VERDE)  </v>
          </cell>
          <cell r="C753">
            <v>3</v>
          </cell>
          <cell r="D753">
            <v>1095</v>
          </cell>
        </row>
        <row r="754">
          <cell r="A754" t="str">
            <v>U7010-1/4</v>
          </cell>
          <cell r="B754" t="str">
            <v xml:space="preserve">PERLA VERDE                   </v>
          </cell>
          <cell r="C754">
            <v>3</v>
          </cell>
          <cell r="D754">
            <v>1095</v>
          </cell>
        </row>
        <row r="755">
          <cell r="A755" t="str">
            <v>U7011</v>
          </cell>
          <cell r="B755" t="str">
            <v xml:space="preserve">BRIGHT BC  METALLIC  FINE     </v>
          </cell>
          <cell r="C755">
            <v>3</v>
          </cell>
          <cell r="D755">
            <v>1095</v>
          </cell>
        </row>
        <row r="756">
          <cell r="A756" t="str">
            <v>U7011-1/4</v>
          </cell>
          <cell r="B756" t="str">
            <v xml:space="preserve">BRIGHT BC  METALLIC  FINE     </v>
          </cell>
          <cell r="C756">
            <v>3</v>
          </cell>
          <cell r="D756">
            <v>1095</v>
          </cell>
        </row>
        <row r="757">
          <cell r="A757" t="str">
            <v>U7012</v>
          </cell>
          <cell r="B757" t="str">
            <v xml:space="preserve">BRIGHT BC METALLIC MEDIUM     </v>
          </cell>
          <cell r="C757">
            <v>3</v>
          </cell>
          <cell r="D757">
            <v>1095</v>
          </cell>
        </row>
        <row r="758">
          <cell r="A758" t="str">
            <v>U7012-1/4</v>
          </cell>
          <cell r="B758" t="str">
            <v xml:space="preserve">BRIGHT BC METALLIC MEDIUM     </v>
          </cell>
          <cell r="C758">
            <v>3</v>
          </cell>
          <cell r="D758">
            <v>1095</v>
          </cell>
        </row>
        <row r="759">
          <cell r="A759" t="str">
            <v>U7013</v>
          </cell>
          <cell r="B759" t="str">
            <v>ULTRA GRAPHITAN SPECIAL EFFECT</v>
          </cell>
          <cell r="C759">
            <v>3</v>
          </cell>
          <cell r="D759">
            <v>1095</v>
          </cell>
        </row>
        <row r="760">
          <cell r="A760" t="str">
            <v>U7013-1/4</v>
          </cell>
          <cell r="B760" t="str">
            <v xml:space="preserve">GRAPHITAN SPECIAL EFFECT      </v>
          </cell>
          <cell r="C760">
            <v>3</v>
          </cell>
          <cell r="D760">
            <v>1095</v>
          </cell>
        </row>
        <row r="761">
          <cell r="A761" t="str">
            <v>U7023</v>
          </cell>
          <cell r="B761" t="str">
            <v xml:space="preserve">ULTRA LARGE  PANCAKE ALUMINUM </v>
          </cell>
          <cell r="C761">
            <v>3</v>
          </cell>
          <cell r="D761">
            <v>1095</v>
          </cell>
        </row>
        <row r="762">
          <cell r="A762" t="str">
            <v>U7023-1/4</v>
          </cell>
          <cell r="B762" t="str">
            <v xml:space="preserve">LARGE  PANCAKE ALUMINUM       </v>
          </cell>
          <cell r="C762">
            <v>3</v>
          </cell>
          <cell r="D762">
            <v>1095</v>
          </cell>
        </row>
        <row r="763">
          <cell r="A763" t="str">
            <v>U7024</v>
          </cell>
          <cell r="B763" t="str">
            <v>ULTRA PALEOCHROM GOLD METALLIC</v>
          </cell>
          <cell r="C763">
            <v>3</v>
          </cell>
          <cell r="D763">
            <v>1095</v>
          </cell>
        </row>
        <row r="764">
          <cell r="A764" t="str">
            <v>U7024-1/4</v>
          </cell>
          <cell r="B764" t="str">
            <v xml:space="preserve">PALEOCHROM GOLD METALLIC      </v>
          </cell>
          <cell r="C764">
            <v>3</v>
          </cell>
          <cell r="D764">
            <v>1095</v>
          </cell>
        </row>
        <row r="765">
          <cell r="A765" t="str">
            <v>U7025</v>
          </cell>
          <cell r="B765" t="str">
            <v xml:space="preserve">ULTRA BLACK (NEGRO)           </v>
          </cell>
          <cell r="C765">
            <v>3</v>
          </cell>
          <cell r="D765">
            <v>1095</v>
          </cell>
        </row>
        <row r="766">
          <cell r="A766" t="str">
            <v>U7025-1</v>
          </cell>
          <cell r="B766" t="str">
            <v xml:space="preserve">ULTRA BLACK (NEGRO)           </v>
          </cell>
          <cell r="C766">
            <v>3</v>
          </cell>
          <cell r="D766">
            <v>1095</v>
          </cell>
        </row>
        <row r="767">
          <cell r="A767" t="str">
            <v>U7026</v>
          </cell>
          <cell r="B767" t="str">
            <v xml:space="preserve">ULTRA WHITE (BLANCO)          </v>
          </cell>
          <cell r="C767">
            <v>3</v>
          </cell>
          <cell r="D767">
            <v>1095</v>
          </cell>
        </row>
        <row r="768">
          <cell r="A768" t="str">
            <v>U7026-1</v>
          </cell>
          <cell r="B768" t="str">
            <v xml:space="preserve">ULTRA WHITE (BLANCO)          </v>
          </cell>
          <cell r="C768">
            <v>3</v>
          </cell>
          <cell r="D768">
            <v>1095</v>
          </cell>
        </row>
        <row r="769">
          <cell r="A769" t="str">
            <v>U7030</v>
          </cell>
          <cell r="B769" t="str">
            <v xml:space="preserve">ULTRA MONASTRAL RED           </v>
          </cell>
          <cell r="C769">
            <v>3</v>
          </cell>
          <cell r="D769">
            <v>1095</v>
          </cell>
        </row>
        <row r="770">
          <cell r="A770" t="str">
            <v>U7030-1/4</v>
          </cell>
          <cell r="B770" t="str">
            <v xml:space="preserve">ULTRA MONASTRAL RED           </v>
          </cell>
          <cell r="C770">
            <v>3</v>
          </cell>
          <cell r="D770">
            <v>1095</v>
          </cell>
        </row>
        <row r="771">
          <cell r="A771" t="str">
            <v>U7031</v>
          </cell>
          <cell r="B771" t="str">
            <v xml:space="preserve">ULTRA BRIGHT RED              </v>
          </cell>
          <cell r="C771">
            <v>3</v>
          </cell>
          <cell r="D771">
            <v>1095</v>
          </cell>
        </row>
        <row r="772">
          <cell r="A772" t="str">
            <v>U7031-1/4</v>
          </cell>
          <cell r="B772" t="str">
            <v xml:space="preserve">ULTRA BRIGHT RED              </v>
          </cell>
          <cell r="C772">
            <v>3</v>
          </cell>
          <cell r="D772">
            <v>1095</v>
          </cell>
        </row>
        <row r="773">
          <cell r="A773" t="str">
            <v>U7032-1/4</v>
          </cell>
          <cell r="B773" t="str">
            <v xml:space="preserve">ULTRA 7000 COPPER MICACEOUS   </v>
          </cell>
          <cell r="C773">
            <v>3</v>
          </cell>
          <cell r="D773">
            <v>1095</v>
          </cell>
        </row>
        <row r="774">
          <cell r="A774" t="str">
            <v>U7033</v>
          </cell>
          <cell r="B774" t="str">
            <v xml:space="preserve">ULTRA MAROON    H. S.         </v>
          </cell>
          <cell r="C774">
            <v>3</v>
          </cell>
          <cell r="D774">
            <v>1095</v>
          </cell>
        </row>
        <row r="775">
          <cell r="A775" t="str">
            <v>U7033-1/4</v>
          </cell>
          <cell r="B775" t="str">
            <v xml:space="preserve">ULTRA MAROON    H. S.         </v>
          </cell>
          <cell r="C775">
            <v>3</v>
          </cell>
          <cell r="D775">
            <v>1095</v>
          </cell>
        </row>
        <row r="776">
          <cell r="A776" t="str">
            <v>U7034</v>
          </cell>
          <cell r="B776" t="str">
            <v xml:space="preserve">ULTRA PERYLENE    MAROON      </v>
          </cell>
          <cell r="C776">
            <v>3</v>
          </cell>
          <cell r="D776">
            <v>1095</v>
          </cell>
        </row>
        <row r="777">
          <cell r="A777" t="str">
            <v>U7034-1/4</v>
          </cell>
          <cell r="B777" t="str">
            <v xml:space="preserve">ULTRA PERYLENE    MAROON      </v>
          </cell>
          <cell r="C777">
            <v>3</v>
          </cell>
          <cell r="D777">
            <v>1095</v>
          </cell>
        </row>
        <row r="778">
          <cell r="A778" t="str">
            <v>U7036</v>
          </cell>
          <cell r="B778" t="str">
            <v xml:space="preserve">ULTRA H. S.  MAGENTA          </v>
          </cell>
          <cell r="C778">
            <v>3</v>
          </cell>
          <cell r="D778">
            <v>1095</v>
          </cell>
        </row>
        <row r="779">
          <cell r="A779" t="str">
            <v>U7036-1/4</v>
          </cell>
          <cell r="B779" t="str">
            <v xml:space="preserve">ULTRA H. S.  MAGENTA          </v>
          </cell>
          <cell r="C779">
            <v>3</v>
          </cell>
          <cell r="D779">
            <v>1095</v>
          </cell>
        </row>
        <row r="780">
          <cell r="A780" t="str">
            <v>U7037</v>
          </cell>
          <cell r="B780" t="str">
            <v xml:space="preserve">ULTRA MAGENTA  (MAGENTA)      </v>
          </cell>
          <cell r="C780">
            <v>3</v>
          </cell>
          <cell r="D780">
            <v>1095</v>
          </cell>
        </row>
        <row r="781">
          <cell r="A781" t="str">
            <v>U7037-1/4</v>
          </cell>
          <cell r="B781" t="str">
            <v xml:space="preserve">ULTRA MAGENTA  (MAGENTA)      </v>
          </cell>
          <cell r="C781">
            <v>3</v>
          </cell>
          <cell r="D781">
            <v>1095</v>
          </cell>
        </row>
        <row r="782">
          <cell r="A782" t="str">
            <v>U7039-1/4</v>
          </cell>
          <cell r="B782" t="str">
            <v xml:space="preserve">ULTRA P. T. VIOLETA           </v>
          </cell>
          <cell r="C782">
            <v>3</v>
          </cell>
          <cell r="D782">
            <v>1095</v>
          </cell>
        </row>
        <row r="783">
          <cell r="A783" t="str">
            <v>U7046</v>
          </cell>
          <cell r="B783" t="str">
            <v xml:space="preserve">ULTRA OCEANIC  BLUE  (AZUL)   </v>
          </cell>
          <cell r="C783">
            <v>3</v>
          </cell>
          <cell r="D783">
            <v>1095</v>
          </cell>
        </row>
        <row r="784">
          <cell r="A784" t="str">
            <v>U7046-1/4</v>
          </cell>
          <cell r="B784" t="str">
            <v xml:space="preserve">ULTRA OCEANIC  BLUE  (AZUL)   </v>
          </cell>
          <cell r="C784">
            <v>3</v>
          </cell>
          <cell r="D784">
            <v>1095</v>
          </cell>
        </row>
        <row r="785">
          <cell r="A785" t="str">
            <v>U7048</v>
          </cell>
          <cell r="B785" t="str">
            <v xml:space="preserve">ULTRA AZURE   BLUE   (AZUL)   </v>
          </cell>
          <cell r="C785">
            <v>3</v>
          </cell>
          <cell r="D785">
            <v>1095</v>
          </cell>
        </row>
        <row r="786">
          <cell r="A786" t="str">
            <v>U7048-1/4</v>
          </cell>
          <cell r="B786" t="str">
            <v xml:space="preserve">ULTRA AZURE   BLUE   (AZUL)   </v>
          </cell>
          <cell r="C786">
            <v>3</v>
          </cell>
          <cell r="D786">
            <v>1095</v>
          </cell>
        </row>
        <row r="787">
          <cell r="A787" t="str">
            <v>U7070-1/4</v>
          </cell>
          <cell r="B787" t="str">
            <v xml:space="preserve">ULTRA G.S.   P. T.   BLUE     </v>
          </cell>
          <cell r="C787">
            <v>3</v>
          </cell>
          <cell r="D787">
            <v>1095</v>
          </cell>
        </row>
        <row r="788">
          <cell r="A788" t="str">
            <v>U7080</v>
          </cell>
          <cell r="B788" t="str">
            <v xml:space="preserve">ULTRA WHITE  (BLANCO)         </v>
          </cell>
          <cell r="C788">
            <v>3</v>
          </cell>
          <cell r="D788">
            <v>1095</v>
          </cell>
        </row>
        <row r="789">
          <cell r="A789" t="str">
            <v>U7080-1</v>
          </cell>
          <cell r="B789" t="str">
            <v xml:space="preserve">ULTRA WHITE  (BLANCO)         </v>
          </cell>
          <cell r="C789">
            <v>3</v>
          </cell>
          <cell r="D789">
            <v>1095</v>
          </cell>
        </row>
        <row r="790">
          <cell r="A790" t="str">
            <v>U7080-1/4</v>
          </cell>
          <cell r="B790" t="str">
            <v xml:space="preserve">ULTRA WHITE  (BLANCO)         </v>
          </cell>
          <cell r="C790">
            <v>3</v>
          </cell>
          <cell r="D790">
            <v>1095</v>
          </cell>
        </row>
        <row r="791">
          <cell r="A791" t="str">
            <v>U7081</v>
          </cell>
          <cell r="B791" t="str">
            <v xml:space="preserve">ULTRA BLACK ( NEGRO)          </v>
          </cell>
          <cell r="C791">
            <v>3</v>
          </cell>
          <cell r="D791">
            <v>1095</v>
          </cell>
        </row>
        <row r="792">
          <cell r="A792" t="str">
            <v>U7081-1</v>
          </cell>
          <cell r="B792" t="str">
            <v xml:space="preserve">ULTRA BLACK ( NEGRO)          </v>
          </cell>
          <cell r="C792">
            <v>3</v>
          </cell>
          <cell r="D792">
            <v>1095</v>
          </cell>
        </row>
        <row r="793">
          <cell r="A793" t="str">
            <v>U7081-1/4</v>
          </cell>
          <cell r="B793" t="str">
            <v xml:space="preserve">ULTRA BLACK ( NEGRO)          </v>
          </cell>
          <cell r="C793">
            <v>3</v>
          </cell>
          <cell r="D793">
            <v>1095</v>
          </cell>
        </row>
        <row r="794">
          <cell r="A794" t="str">
            <v>U7084</v>
          </cell>
          <cell r="B794" t="str">
            <v xml:space="preserve">ULTRA P.T.  ORANGE            </v>
          </cell>
          <cell r="C794">
            <v>3</v>
          </cell>
          <cell r="D794">
            <v>1095</v>
          </cell>
        </row>
        <row r="795">
          <cell r="A795" t="str">
            <v>U7084-1</v>
          </cell>
          <cell r="B795" t="str">
            <v xml:space="preserve">ULTRA P.T.  ORANGE            </v>
          </cell>
          <cell r="C795">
            <v>3</v>
          </cell>
          <cell r="D795">
            <v>1095</v>
          </cell>
        </row>
        <row r="796">
          <cell r="A796" t="str">
            <v>U7085-1</v>
          </cell>
          <cell r="B796" t="str">
            <v xml:space="preserve">ULTRA GOLD  (DORADO)          </v>
          </cell>
          <cell r="C796">
            <v>3</v>
          </cell>
          <cell r="D796">
            <v>1095</v>
          </cell>
        </row>
        <row r="797">
          <cell r="A797" t="str">
            <v>U7087-1</v>
          </cell>
          <cell r="B797" t="str">
            <v xml:space="preserve">ULTRA AMARILLO MEDIANO        </v>
          </cell>
          <cell r="C797">
            <v>3</v>
          </cell>
          <cell r="D797">
            <v>1095</v>
          </cell>
        </row>
        <row r="798">
          <cell r="A798" t="str">
            <v>U7088-1</v>
          </cell>
          <cell r="B798" t="str">
            <v xml:space="preserve">ULTRA AMARILLO LIMON          </v>
          </cell>
          <cell r="C798">
            <v>3</v>
          </cell>
          <cell r="D798">
            <v>1095</v>
          </cell>
        </row>
        <row r="799">
          <cell r="A799" t="str">
            <v>U7106</v>
          </cell>
          <cell r="B799" t="str">
            <v xml:space="preserve">ULTRA RUSSET RED              </v>
          </cell>
          <cell r="C799">
            <v>3</v>
          </cell>
          <cell r="D799">
            <v>1095</v>
          </cell>
        </row>
        <row r="800">
          <cell r="A800" t="str">
            <v>U7106-1/4</v>
          </cell>
          <cell r="B800" t="str">
            <v xml:space="preserve">ULTRA RUSSET RED              </v>
          </cell>
          <cell r="C800">
            <v>3</v>
          </cell>
          <cell r="D800">
            <v>1095</v>
          </cell>
        </row>
        <row r="801">
          <cell r="A801" t="str">
            <v>U7107</v>
          </cell>
          <cell r="B801" t="str">
            <v xml:space="preserve">ULTRA ORGANIC  YELLOW         </v>
          </cell>
          <cell r="C801">
            <v>3</v>
          </cell>
          <cell r="D801">
            <v>1095</v>
          </cell>
        </row>
        <row r="802">
          <cell r="A802" t="str">
            <v>U7107-1/4</v>
          </cell>
          <cell r="B802" t="str">
            <v xml:space="preserve">ULTRA ORGANIC  YELLOW         </v>
          </cell>
          <cell r="C802">
            <v>3</v>
          </cell>
          <cell r="D802">
            <v>1095</v>
          </cell>
        </row>
        <row r="803">
          <cell r="A803" t="str">
            <v>U7108</v>
          </cell>
          <cell r="B803" t="str">
            <v xml:space="preserve">ULTRA TRANSPARENT  RED        </v>
          </cell>
          <cell r="C803">
            <v>3</v>
          </cell>
          <cell r="D803">
            <v>1095</v>
          </cell>
        </row>
        <row r="804">
          <cell r="A804" t="str">
            <v>U7108-1</v>
          </cell>
          <cell r="B804" t="str">
            <v xml:space="preserve">ULTRA TRANSPARENT  RED        </v>
          </cell>
          <cell r="C804">
            <v>3</v>
          </cell>
          <cell r="D804">
            <v>1095</v>
          </cell>
        </row>
        <row r="805">
          <cell r="A805" t="str">
            <v>U7109</v>
          </cell>
          <cell r="B805" t="str">
            <v xml:space="preserve">ULTRA MIXING  CLEAR           </v>
          </cell>
          <cell r="C805">
            <v>3</v>
          </cell>
          <cell r="D805">
            <v>1095</v>
          </cell>
        </row>
        <row r="806">
          <cell r="A806" t="str">
            <v>U7109-1</v>
          </cell>
          <cell r="B806" t="str">
            <v xml:space="preserve">ULTRA MIXING  CLEAR           </v>
          </cell>
          <cell r="C806">
            <v>3</v>
          </cell>
          <cell r="D806">
            <v>1095</v>
          </cell>
        </row>
        <row r="807">
          <cell r="A807" t="str">
            <v>U7110</v>
          </cell>
          <cell r="B807" t="str">
            <v xml:space="preserve">ULTRA SUPER  WHITE            </v>
          </cell>
          <cell r="C807">
            <v>3</v>
          </cell>
          <cell r="D807">
            <v>1095</v>
          </cell>
        </row>
        <row r="808">
          <cell r="A808" t="str">
            <v>U7110-1</v>
          </cell>
          <cell r="B808" t="str">
            <v xml:space="preserve">ULTRA SUPER  WHITE            </v>
          </cell>
          <cell r="C808">
            <v>3</v>
          </cell>
          <cell r="D808">
            <v>1095</v>
          </cell>
        </row>
        <row r="809">
          <cell r="A809" t="str">
            <v>U7111</v>
          </cell>
          <cell r="B809" t="str">
            <v xml:space="preserve">ULTRA CARBA  VIOLET           </v>
          </cell>
          <cell r="C809">
            <v>3</v>
          </cell>
          <cell r="D809">
            <v>1095</v>
          </cell>
        </row>
        <row r="810">
          <cell r="A810" t="str">
            <v>U7111-1/4</v>
          </cell>
          <cell r="B810" t="str">
            <v xml:space="preserve">ULTRA CARBA  VIOLET           </v>
          </cell>
          <cell r="C810">
            <v>3</v>
          </cell>
          <cell r="D810">
            <v>1095</v>
          </cell>
        </row>
        <row r="811">
          <cell r="A811" t="str">
            <v>U7118</v>
          </cell>
          <cell r="B811" t="str">
            <v xml:space="preserve">ULTRA BLACK  (NEGRO H.S.)     </v>
          </cell>
          <cell r="C811">
            <v>3</v>
          </cell>
          <cell r="D811">
            <v>1095</v>
          </cell>
        </row>
        <row r="812">
          <cell r="A812" t="str">
            <v>U7118-1</v>
          </cell>
          <cell r="B812" t="str">
            <v xml:space="preserve">ULTRA BLACK  (NEGRO H.S.)     </v>
          </cell>
          <cell r="C812">
            <v>3</v>
          </cell>
          <cell r="D812">
            <v>1095</v>
          </cell>
        </row>
        <row r="813">
          <cell r="A813" t="str">
            <v>U7119</v>
          </cell>
          <cell r="B813" t="str">
            <v xml:space="preserve">ULTRA RED  (ROJO)             </v>
          </cell>
          <cell r="C813">
            <v>3</v>
          </cell>
          <cell r="D813">
            <v>1095</v>
          </cell>
        </row>
        <row r="814">
          <cell r="A814" t="str">
            <v>U7119-1/4</v>
          </cell>
          <cell r="B814" t="str">
            <v xml:space="preserve">ULTRA RED  (ROJO)             </v>
          </cell>
          <cell r="C814">
            <v>3</v>
          </cell>
          <cell r="D814">
            <v>1095</v>
          </cell>
        </row>
        <row r="815">
          <cell r="A815" t="str">
            <v>U7120</v>
          </cell>
          <cell r="B815" t="str">
            <v xml:space="preserve">ULTRA HS  PC  BLUE            </v>
          </cell>
          <cell r="C815">
            <v>3</v>
          </cell>
          <cell r="D815">
            <v>1095</v>
          </cell>
        </row>
        <row r="816">
          <cell r="A816" t="str">
            <v>U7120-1</v>
          </cell>
          <cell r="B816" t="str">
            <v xml:space="preserve">ULTRA HS  PC  BLUE            </v>
          </cell>
          <cell r="C816">
            <v>3</v>
          </cell>
          <cell r="D816">
            <v>1095</v>
          </cell>
        </row>
        <row r="817">
          <cell r="A817" t="str">
            <v>U7121</v>
          </cell>
          <cell r="B817" t="str">
            <v xml:space="preserve">ULTRA MAGENTA  (MAGENTA)      </v>
          </cell>
          <cell r="C817">
            <v>3</v>
          </cell>
          <cell r="D817">
            <v>1095</v>
          </cell>
        </row>
        <row r="818">
          <cell r="A818" t="str">
            <v>U7121-1</v>
          </cell>
          <cell r="B818" t="str">
            <v xml:space="preserve">ULTRA MAGENTA  (MAGENTA)      </v>
          </cell>
          <cell r="C818">
            <v>3</v>
          </cell>
          <cell r="D818">
            <v>1095</v>
          </cell>
        </row>
        <row r="819">
          <cell r="A819" t="str">
            <v>U7121-1/4</v>
          </cell>
          <cell r="B819" t="str">
            <v xml:space="preserve">H.S. MAGENTA                  </v>
          </cell>
          <cell r="C819">
            <v>3</v>
          </cell>
          <cell r="D819">
            <v>1095</v>
          </cell>
        </row>
        <row r="820">
          <cell r="A820" t="str">
            <v>U7122</v>
          </cell>
          <cell r="B820" t="str">
            <v xml:space="preserve">ULTRA RS GOLD H.S.            </v>
          </cell>
          <cell r="C820">
            <v>3</v>
          </cell>
          <cell r="D820">
            <v>1095</v>
          </cell>
        </row>
        <row r="821">
          <cell r="A821" t="str">
            <v>U7122-1/4</v>
          </cell>
          <cell r="B821" t="str">
            <v xml:space="preserve">ULTRA RS GOLD H.S.            </v>
          </cell>
          <cell r="C821">
            <v>3</v>
          </cell>
          <cell r="D821">
            <v>1095</v>
          </cell>
        </row>
        <row r="822">
          <cell r="A822" t="str">
            <v>U7123</v>
          </cell>
          <cell r="B822" t="str">
            <v xml:space="preserve">ULTRA MAROON  (MARRON)        </v>
          </cell>
          <cell r="C822">
            <v>3</v>
          </cell>
          <cell r="D822">
            <v>1095</v>
          </cell>
        </row>
        <row r="823">
          <cell r="A823" t="str">
            <v>U7123-1/4</v>
          </cell>
          <cell r="B823" t="str">
            <v xml:space="preserve">ULTRA MAROON  (MARRON)        </v>
          </cell>
          <cell r="C823">
            <v>3</v>
          </cell>
          <cell r="D823">
            <v>1095</v>
          </cell>
        </row>
        <row r="824">
          <cell r="A824" t="str">
            <v>U7124</v>
          </cell>
          <cell r="B824" t="str">
            <v xml:space="preserve">ULTRA L.F. ORANGE             </v>
          </cell>
          <cell r="C824">
            <v>3</v>
          </cell>
          <cell r="D824">
            <v>1095</v>
          </cell>
        </row>
        <row r="825">
          <cell r="A825" t="str">
            <v>U7124-1/4</v>
          </cell>
          <cell r="B825" t="str">
            <v xml:space="preserve">ULTRA L.F. ORANGE             </v>
          </cell>
          <cell r="C825">
            <v>3</v>
          </cell>
          <cell r="D825">
            <v>1095</v>
          </cell>
        </row>
        <row r="826">
          <cell r="A826" t="str">
            <v>U7125</v>
          </cell>
          <cell r="B826" t="str">
            <v xml:space="preserve">ULTRA L.F.  BUFF              </v>
          </cell>
          <cell r="C826">
            <v>3</v>
          </cell>
          <cell r="D826">
            <v>1095</v>
          </cell>
        </row>
        <row r="827">
          <cell r="A827" t="str">
            <v>U7125-1/4</v>
          </cell>
          <cell r="B827" t="str">
            <v xml:space="preserve">ULTRA L.F.  BUFF              </v>
          </cell>
          <cell r="C827">
            <v>3</v>
          </cell>
          <cell r="D827">
            <v>1095</v>
          </cell>
        </row>
        <row r="828">
          <cell r="A828" t="str">
            <v>U7127-1</v>
          </cell>
          <cell r="B828" t="str">
            <v xml:space="preserve">ULTRA SYSTEM         AMARILLO </v>
          </cell>
          <cell r="C828">
            <v>3</v>
          </cell>
          <cell r="D828">
            <v>1095</v>
          </cell>
        </row>
        <row r="829">
          <cell r="A829" t="str">
            <v>U7128</v>
          </cell>
          <cell r="B829" t="str">
            <v xml:space="preserve">ULTRA L.F. VANADATE YELLOW    </v>
          </cell>
          <cell r="C829">
            <v>3</v>
          </cell>
          <cell r="D829">
            <v>1095</v>
          </cell>
        </row>
        <row r="830">
          <cell r="A830" t="str">
            <v>U7128-1/4</v>
          </cell>
          <cell r="B830" t="str">
            <v xml:space="preserve">ULTRA L.F. VANADATE YELLOW    </v>
          </cell>
          <cell r="C830">
            <v>3</v>
          </cell>
          <cell r="D830">
            <v>1095</v>
          </cell>
        </row>
        <row r="831">
          <cell r="A831" t="str">
            <v>U7131</v>
          </cell>
          <cell r="B831" t="str">
            <v xml:space="preserve">ULTRA RED SHADE YELLOW        </v>
          </cell>
          <cell r="C831">
            <v>3</v>
          </cell>
          <cell r="D831">
            <v>1095</v>
          </cell>
        </row>
        <row r="832">
          <cell r="A832" t="str">
            <v>U7131-1/4</v>
          </cell>
          <cell r="B832" t="str">
            <v xml:space="preserve">ULTRA RED SHADE YELLOW        </v>
          </cell>
          <cell r="C832">
            <v>3</v>
          </cell>
          <cell r="D832">
            <v>1095</v>
          </cell>
        </row>
        <row r="833">
          <cell r="A833" t="str">
            <v>U7132</v>
          </cell>
          <cell r="B833" t="str">
            <v xml:space="preserve">ULTRA H.S. RED SHADE PT BLUE  </v>
          </cell>
          <cell r="C833">
            <v>3</v>
          </cell>
          <cell r="D833">
            <v>1095</v>
          </cell>
        </row>
        <row r="834">
          <cell r="A834" t="str">
            <v>U7132-1/4</v>
          </cell>
          <cell r="B834" t="str">
            <v xml:space="preserve">ULTRA H.S. RED SHADE PT BLUE  </v>
          </cell>
          <cell r="C834">
            <v>3</v>
          </cell>
          <cell r="D834">
            <v>1095</v>
          </cell>
        </row>
        <row r="835">
          <cell r="A835" t="str">
            <v>U7133</v>
          </cell>
          <cell r="B835" t="str">
            <v>ULTRA H.S GREEN  SHADE PT BLUE</v>
          </cell>
          <cell r="C835">
            <v>3</v>
          </cell>
          <cell r="D835">
            <v>1095</v>
          </cell>
        </row>
        <row r="836">
          <cell r="A836" t="str">
            <v>U7133-1/4</v>
          </cell>
          <cell r="B836" t="str">
            <v>ULTRA H.S GREEN  SHADE PT BLUE</v>
          </cell>
          <cell r="C836">
            <v>3</v>
          </cell>
          <cell r="D836">
            <v>1095</v>
          </cell>
        </row>
        <row r="837">
          <cell r="A837" t="str">
            <v>U7134</v>
          </cell>
          <cell r="B837" t="str">
            <v xml:space="preserve">ULTRA LOW  OPACITY  YELLOW    </v>
          </cell>
          <cell r="C837">
            <v>3</v>
          </cell>
          <cell r="D837">
            <v>1095</v>
          </cell>
        </row>
        <row r="838">
          <cell r="A838" t="str">
            <v>U7134-1/4</v>
          </cell>
          <cell r="B838" t="str">
            <v xml:space="preserve">ULTRA LOW  OPACITY  YELLOW    </v>
          </cell>
          <cell r="C838">
            <v>3</v>
          </cell>
          <cell r="D838">
            <v>1095</v>
          </cell>
        </row>
        <row r="839">
          <cell r="A839" t="str">
            <v>U7135</v>
          </cell>
          <cell r="B839" t="str">
            <v xml:space="preserve">ULTRA H.S. INDO  BLUE (AZUL)  </v>
          </cell>
          <cell r="C839">
            <v>3</v>
          </cell>
          <cell r="D839">
            <v>1095</v>
          </cell>
        </row>
        <row r="840">
          <cell r="A840" t="str">
            <v>U7135-1/4</v>
          </cell>
          <cell r="B840" t="str">
            <v xml:space="preserve">ULTRA H.S. INDO  BLUE (AZUL)  </v>
          </cell>
          <cell r="C840">
            <v>3</v>
          </cell>
          <cell r="D840">
            <v>1095</v>
          </cell>
        </row>
        <row r="841">
          <cell r="A841" t="str">
            <v>U7136</v>
          </cell>
          <cell r="B841" t="str">
            <v xml:space="preserve">ULTRA H.S. GOLDEN   MAROON    </v>
          </cell>
          <cell r="C841">
            <v>3</v>
          </cell>
          <cell r="D841">
            <v>1095</v>
          </cell>
        </row>
        <row r="842">
          <cell r="A842" t="str">
            <v>U7136-1/4</v>
          </cell>
          <cell r="B842" t="str">
            <v xml:space="preserve">ULTRA H.S. GOLDEN   MAROON    </v>
          </cell>
          <cell r="C842">
            <v>3</v>
          </cell>
          <cell r="D842">
            <v>1095</v>
          </cell>
        </row>
        <row r="843">
          <cell r="A843" t="str">
            <v>U7137</v>
          </cell>
          <cell r="B843" t="str">
            <v>ULTRA H.S.YELLLOW SHADE  GREEN</v>
          </cell>
          <cell r="C843">
            <v>3</v>
          </cell>
          <cell r="D843">
            <v>1095</v>
          </cell>
        </row>
        <row r="844">
          <cell r="A844" t="str">
            <v>U7137-1/4</v>
          </cell>
          <cell r="B844" t="str">
            <v>ULTRA H.S.YELLLOW SHADE  GREEN</v>
          </cell>
          <cell r="C844">
            <v>3</v>
          </cell>
          <cell r="D844">
            <v>1095</v>
          </cell>
        </row>
        <row r="845">
          <cell r="A845" t="str">
            <v>U7138</v>
          </cell>
          <cell r="B845" t="str">
            <v xml:space="preserve">ULTRA H.S.VERDE  PT  AZULOSO  </v>
          </cell>
          <cell r="C845">
            <v>3</v>
          </cell>
          <cell r="D845">
            <v>1095</v>
          </cell>
        </row>
        <row r="846">
          <cell r="A846" t="str">
            <v>U7138-1/4</v>
          </cell>
          <cell r="B846" t="str">
            <v xml:space="preserve">ULTRA H.S.VERDE  PT  AZULOSO  </v>
          </cell>
          <cell r="C846">
            <v>3</v>
          </cell>
          <cell r="D846">
            <v>1095</v>
          </cell>
        </row>
        <row r="847">
          <cell r="A847" t="str">
            <v>U7139</v>
          </cell>
          <cell r="B847" t="str">
            <v xml:space="preserve">ULTRA H.S.  PT  VIOLET        </v>
          </cell>
          <cell r="C847">
            <v>3</v>
          </cell>
          <cell r="D847">
            <v>1095</v>
          </cell>
        </row>
        <row r="848">
          <cell r="A848" t="str">
            <v>U7139-1/4</v>
          </cell>
          <cell r="B848" t="str">
            <v xml:space="preserve">ULTRA H.S.  PT  VIOLET        </v>
          </cell>
          <cell r="C848">
            <v>3</v>
          </cell>
          <cell r="D848">
            <v>1095</v>
          </cell>
        </row>
        <row r="849">
          <cell r="A849" t="str">
            <v>U7140</v>
          </cell>
          <cell r="B849" t="str">
            <v xml:space="preserve">ULTRA YELLOW  OXIDE           </v>
          </cell>
          <cell r="C849">
            <v>3</v>
          </cell>
          <cell r="D849">
            <v>1095</v>
          </cell>
        </row>
        <row r="850">
          <cell r="A850" t="str">
            <v>U7140-1/4</v>
          </cell>
          <cell r="B850" t="str">
            <v xml:space="preserve">ULTRA YELLOW  OXIDE           </v>
          </cell>
          <cell r="C850">
            <v>3</v>
          </cell>
          <cell r="D850">
            <v>1095</v>
          </cell>
        </row>
        <row r="851">
          <cell r="A851" t="str">
            <v>U7141</v>
          </cell>
          <cell r="B851" t="str">
            <v xml:space="preserve">ULTRA MOLY  ORANGE            </v>
          </cell>
          <cell r="C851">
            <v>3</v>
          </cell>
          <cell r="D851">
            <v>1095</v>
          </cell>
        </row>
        <row r="852">
          <cell r="A852" t="str">
            <v>U7141-1/4</v>
          </cell>
          <cell r="B852" t="str">
            <v xml:space="preserve">ULTRA MOLY  ORANGE            </v>
          </cell>
          <cell r="C852">
            <v>3</v>
          </cell>
          <cell r="D852">
            <v>1095</v>
          </cell>
        </row>
        <row r="853">
          <cell r="A853" t="str">
            <v>U7143</v>
          </cell>
          <cell r="B853" t="str">
            <v xml:space="preserve">ULTRA BLUE  SHADE  MAGENTA    </v>
          </cell>
          <cell r="C853">
            <v>3</v>
          </cell>
          <cell r="D853">
            <v>1095</v>
          </cell>
        </row>
        <row r="854">
          <cell r="A854" t="str">
            <v>U7143-1/4</v>
          </cell>
          <cell r="B854" t="str">
            <v xml:space="preserve">ULTRA BLUE  SHADE  MAGENTA    </v>
          </cell>
          <cell r="C854">
            <v>3</v>
          </cell>
          <cell r="D854">
            <v>1095</v>
          </cell>
        </row>
        <row r="855">
          <cell r="A855" t="str">
            <v>U7144</v>
          </cell>
          <cell r="B855" t="str">
            <v xml:space="preserve">ULTRA MONASTRAL  RED          </v>
          </cell>
          <cell r="C855">
            <v>3</v>
          </cell>
          <cell r="D855">
            <v>1095</v>
          </cell>
        </row>
        <row r="856">
          <cell r="A856" t="str">
            <v>U7144-1/4</v>
          </cell>
          <cell r="B856" t="str">
            <v xml:space="preserve">ULTRA MONASTRAL  RED          </v>
          </cell>
          <cell r="C856">
            <v>3</v>
          </cell>
          <cell r="D856">
            <v>1095</v>
          </cell>
        </row>
        <row r="857">
          <cell r="A857" t="str">
            <v>U7145</v>
          </cell>
          <cell r="B857" t="str">
            <v xml:space="preserve">ULTRA BRIGHT  RED             </v>
          </cell>
          <cell r="C857">
            <v>3</v>
          </cell>
          <cell r="D857">
            <v>1095</v>
          </cell>
        </row>
        <row r="858">
          <cell r="A858" t="str">
            <v>U7145-1/4</v>
          </cell>
          <cell r="B858" t="str">
            <v xml:space="preserve">ULTRA BRIGHT  RED             </v>
          </cell>
          <cell r="C858">
            <v>3</v>
          </cell>
          <cell r="D858">
            <v>1095</v>
          </cell>
        </row>
        <row r="859">
          <cell r="A859" t="str">
            <v>U7146</v>
          </cell>
          <cell r="B859" t="str">
            <v xml:space="preserve">ULTRA FROST   WHITE           </v>
          </cell>
          <cell r="C859">
            <v>3</v>
          </cell>
          <cell r="D859">
            <v>1095</v>
          </cell>
        </row>
        <row r="860">
          <cell r="A860" t="str">
            <v>U7146-1/4</v>
          </cell>
          <cell r="B860" t="str">
            <v xml:space="preserve">ULTRA FROST   WHITE           </v>
          </cell>
          <cell r="C860">
            <v>3</v>
          </cell>
          <cell r="D860">
            <v>1095</v>
          </cell>
        </row>
        <row r="861">
          <cell r="A861" t="str">
            <v>U7147-1/4</v>
          </cell>
          <cell r="B861" t="str">
            <v xml:space="preserve">ULTRA MARRON  PERYLENE        </v>
          </cell>
          <cell r="C861">
            <v>3</v>
          </cell>
          <cell r="D861">
            <v>1095</v>
          </cell>
        </row>
        <row r="862">
          <cell r="A862" t="str">
            <v>U7151</v>
          </cell>
          <cell r="B862" t="str">
            <v xml:space="preserve">ULTRA COPPER  BROWN           </v>
          </cell>
          <cell r="C862">
            <v>3</v>
          </cell>
          <cell r="D862">
            <v>1095</v>
          </cell>
        </row>
        <row r="863">
          <cell r="A863" t="str">
            <v>U7151-1/4</v>
          </cell>
          <cell r="B863" t="str">
            <v xml:space="preserve">ULTRA COPPER  BROWN           </v>
          </cell>
          <cell r="C863">
            <v>3</v>
          </cell>
          <cell r="D863">
            <v>1095</v>
          </cell>
        </row>
        <row r="864">
          <cell r="A864" t="str">
            <v>U7152-1</v>
          </cell>
          <cell r="B864" t="str">
            <v xml:space="preserve">ULTRA BC   WHITE  ( BLANCO )  </v>
          </cell>
          <cell r="C864">
            <v>3</v>
          </cell>
          <cell r="D864">
            <v>1095</v>
          </cell>
        </row>
        <row r="865">
          <cell r="A865" t="str">
            <v>U7153-1/4</v>
          </cell>
          <cell r="B865" t="str">
            <v xml:space="preserve">ULTRA LS   BLACK (NEGRO  LS)  </v>
          </cell>
          <cell r="C865">
            <v>3</v>
          </cell>
          <cell r="D865">
            <v>1095</v>
          </cell>
        </row>
        <row r="866">
          <cell r="A866" t="str">
            <v>U7154-1/4</v>
          </cell>
          <cell r="B866" t="str">
            <v xml:space="preserve">ULTRA LS  GREEN (VERDE  LS)   </v>
          </cell>
          <cell r="C866">
            <v>3</v>
          </cell>
          <cell r="D866">
            <v>1095</v>
          </cell>
        </row>
        <row r="867">
          <cell r="A867" t="str">
            <v>U7155-1/4</v>
          </cell>
          <cell r="B867" t="str">
            <v xml:space="preserve">ULTRA LS   BLUE (AZUL  LS)    </v>
          </cell>
          <cell r="C867">
            <v>3</v>
          </cell>
          <cell r="D867">
            <v>1095</v>
          </cell>
        </row>
        <row r="868">
          <cell r="A868" t="str">
            <v>U7156-1/4</v>
          </cell>
          <cell r="B868" t="str">
            <v>ULTRA LS  VIOLET (VIOLETA  LS)</v>
          </cell>
          <cell r="C868">
            <v>3</v>
          </cell>
          <cell r="D868">
            <v>1095</v>
          </cell>
        </row>
        <row r="869">
          <cell r="A869" t="str">
            <v>U7157-1/4</v>
          </cell>
          <cell r="B869" t="str">
            <v xml:space="preserve">ULTRA LS   ROJO  OXIDO  LS    </v>
          </cell>
          <cell r="C869">
            <v>3</v>
          </cell>
          <cell r="D869">
            <v>1095</v>
          </cell>
        </row>
        <row r="870">
          <cell r="A870" t="str">
            <v>U7159-1/4</v>
          </cell>
          <cell r="B870" t="str">
            <v xml:space="preserve">ULTRA LS   AMARILLO  OXIDO LS </v>
          </cell>
          <cell r="C870">
            <v>3</v>
          </cell>
          <cell r="D870">
            <v>1095</v>
          </cell>
        </row>
        <row r="871">
          <cell r="A871" t="str">
            <v>U7200-1/4</v>
          </cell>
          <cell r="B871" t="str">
            <v>ULTRA 7000 FINE BRIGHT METALIC</v>
          </cell>
          <cell r="C871">
            <v>3</v>
          </cell>
          <cell r="D871">
            <v>1095</v>
          </cell>
        </row>
        <row r="872">
          <cell r="A872" t="str">
            <v>U7201-1/4</v>
          </cell>
          <cell r="B872" t="str">
            <v xml:space="preserve">ULTRA 7000 SMALL METALLIC     </v>
          </cell>
          <cell r="C872">
            <v>3</v>
          </cell>
          <cell r="D872">
            <v>1095</v>
          </cell>
        </row>
        <row r="873">
          <cell r="A873" t="str">
            <v>U7202-1/4</v>
          </cell>
          <cell r="B873" t="str">
            <v xml:space="preserve">ULTRA 7000 MEDIUM METALLIC    </v>
          </cell>
          <cell r="C873">
            <v>3</v>
          </cell>
          <cell r="D873">
            <v>1095</v>
          </cell>
        </row>
        <row r="874">
          <cell r="A874" t="str">
            <v>U7203-1/4</v>
          </cell>
          <cell r="B874" t="str">
            <v xml:space="preserve">ULTRA 7000 LARGE METALLIC     </v>
          </cell>
          <cell r="C874">
            <v>3</v>
          </cell>
          <cell r="D874">
            <v>1095</v>
          </cell>
        </row>
        <row r="875">
          <cell r="A875" t="str">
            <v>U7204-1/4</v>
          </cell>
          <cell r="B875" t="str">
            <v xml:space="preserve">ULTRA 7000 COARSE METALLIC    </v>
          </cell>
          <cell r="C875">
            <v>3</v>
          </cell>
          <cell r="D875">
            <v>1095</v>
          </cell>
        </row>
        <row r="876">
          <cell r="A876" t="str">
            <v>U7205-1/4</v>
          </cell>
          <cell r="B876" t="str">
            <v xml:space="preserve">ULTRA 7000 PALIOCHROME GOLD   </v>
          </cell>
          <cell r="C876">
            <v>3</v>
          </cell>
          <cell r="D876">
            <v>1095</v>
          </cell>
        </row>
        <row r="877">
          <cell r="A877" t="str">
            <v>U7206-1/4</v>
          </cell>
          <cell r="B877" t="str">
            <v xml:space="preserve">ULTRA 7000 SMALL BRT METALLIC </v>
          </cell>
          <cell r="C877">
            <v>3</v>
          </cell>
          <cell r="D877">
            <v>1095</v>
          </cell>
        </row>
        <row r="878">
          <cell r="A878" t="str">
            <v>U7208-1/4</v>
          </cell>
          <cell r="B878" t="str">
            <v>ULTRA 7000 MEDIUM BRT METALLIC</v>
          </cell>
          <cell r="C878">
            <v>3</v>
          </cell>
          <cell r="D878">
            <v>1095</v>
          </cell>
        </row>
        <row r="879">
          <cell r="A879" t="str">
            <v>U7209-1/4</v>
          </cell>
          <cell r="B879" t="str">
            <v xml:space="preserve">ULTRA 7000 CLEAR BINDER       </v>
          </cell>
          <cell r="C879">
            <v>3</v>
          </cell>
          <cell r="D879">
            <v>1095</v>
          </cell>
        </row>
        <row r="880">
          <cell r="A880" t="str">
            <v>U7210-1</v>
          </cell>
          <cell r="B880" t="str">
            <v xml:space="preserve">ULTRA 7000 B/C MIXING CLEAR   </v>
          </cell>
          <cell r="C880">
            <v>3</v>
          </cell>
          <cell r="D880">
            <v>1095</v>
          </cell>
        </row>
        <row r="881">
          <cell r="A881" t="str">
            <v>U7213-1/4</v>
          </cell>
          <cell r="B881" t="str">
            <v xml:space="preserve">ULTRA 7000 GRAPHITAN          </v>
          </cell>
          <cell r="C881">
            <v>3</v>
          </cell>
          <cell r="D881">
            <v>1095</v>
          </cell>
        </row>
        <row r="882">
          <cell r="A882" t="str">
            <v>U7215-1/4</v>
          </cell>
          <cell r="B882" t="str">
            <v xml:space="preserve">ULTRA 7000 B/C MIXING CLEAR   </v>
          </cell>
          <cell r="C882">
            <v>3</v>
          </cell>
          <cell r="D882">
            <v>1095</v>
          </cell>
        </row>
        <row r="883">
          <cell r="A883" t="str">
            <v>U7221-1/4</v>
          </cell>
          <cell r="B883" t="str">
            <v>ULTRA 7000  PALIOCHROME ORANGE</v>
          </cell>
          <cell r="C883">
            <v>3</v>
          </cell>
          <cell r="D883">
            <v>1095</v>
          </cell>
        </row>
        <row r="884">
          <cell r="A884" t="str">
            <v>U7271-1/4</v>
          </cell>
          <cell r="B884" t="str">
            <v xml:space="preserve">ULTRA 7000 EFFECT ADDITIVE    </v>
          </cell>
          <cell r="C884">
            <v>3</v>
          </cell>
          <cell r="D884">
            <v>1095</v>
          </cell>
        </row>
        <row r="885">
          <cell r="A885" t="str">
            <v>U7272-1/4</v>
          </cell>
          <cell r="B885" t="str">
            <v xml:space="preserve">ULTRA LOW STRENGTH VIOLET     </v>
          </cell>
          <cell r="C885">
            <v>3</v>
          </cell>
          <cell r="D885">
            <v>1095</v>
          </cell>
        </row>
        <row r="886">
          <cell r="A886" t="str">
            <v>U7273-1/4</v>
          </cell>
          <cell r="B886" t="str">
            <v xml:space="preserve">ULTRA LOW STRENGTH RED        </v>
          </cell>
          <cell r="C886">
            <v>3</v>
          </cell>
          <cell r="D886">
            <v>1095</v>
          </cell>
        </row>
        <row r="887">
          <cell r="A887" t="str">
            <v>U7275-1/4</v>
          </cell>
          <cell r="B887" t="str">
            <v xml:space="preserve">ULTRA LOW STRENGTH YELLOW     </v>
          </cell>
          <cell r="C887">
            <v>3</v>
          </cell>
          <cell r="D887">
            <v>1095</v>
          </cell>
        </row>
        <row r="888">
          <cell r="A888" t="str">
            <v>U7276-1/4</v>
          </cell>
          <cell r="B888" t="str">
            <v xml:space="preserve">ULTRA LOW STRENGTH BLUE       </v>
          </cell>
          <cell r="C888">
            <v>3</v>
          </cell>
          <cell r="D888">
            <v>1095</v>
          </cell>
        </row>
        <row r="889">
          <cell r="A889" t="str">
            <v>U7277-1/4</v>
          </cell>
          <cell r="B889" t="str">
            <v xml:space="preserve">ULTRA TRANSP. RED SHADE BLUE  </v>
          </cell>
          <cell r="C889">
            <v>3</v>
          </cell>
          <cell r="D889">
            <v>1095</v>
          </cell>
        </row>
        <row r="890">
          <cell r="A890" t="str">
            <v>U7280-1/4</v>
          </cell>
          <cell r="B890" t="str">
            <v xml:space="preserve">ULTRA HS RED SHADE BLUE       </v>
          </cell>
          <cell r="C890">
            <v>3</v>
          </cell>
          <cell r="D890">
            <v>1095</v>
          </cell>
        </row>
        <row r="891">
          <cell r="A891" t="str">
            <v>U7281-1</v>
          </cell>
          <cell r="B891" t="str">
            <v xml:space="preserve">ULTRA 7000 DEEP BLACK         </v>
          </cell>
          <cell r="C891">
            <v>3</v>
          </cell>
          <cell r="D891">
            <v>1095</v>
          </cell>
        </row>
        <row r="892">
          <cell r="A892" t="str">
            <v>U7282-1</v>
          </cell>
          <cell r="B892" t="str">
            <v xml:space="preserve">ULTRA 7000 BC WHITE           </v>
          </cell>
          <cell r="C892">
            <v>3</v>
          </cell>
          <cell r="D892">
            <v>1095</v>
          </cell>
        </row>
        <row r="893">
          <cell r="A893" t="str">
            <v>U7282-1/4</v>
          </cell>
          <cell r="B893" t="str">
            <v xml:space="preserve">ULTRA 7000 WHITE B/C          </v>
          </cell>
          <cell r="C893">
            <v>3</v>
          </cell>
          <cell r="D893">
            <v>1095</v>
          </cell>
        </row>
        <row r="894">
          <cell r="A894" t="str">
            <v>U7283-1/4</v>
          </cell>
          <cell r="B894" t="str">
            <v xml:space="preserve">ULTRA 7000 BRILLIANT RED      </v>
          </cell>
          <cell r="C894">
            <v>3</v>
          </cell>
          <cell r="D894">
            <v>1095</v>
          </cell>
        </row>
        <row r="895">
          <cell r="A895" t="str">
            <v>U7284-1/4</v>
          </cell>
          <cell r="B895" t="str">
            <v xml:space="preserve">ULTRA 7000 SCARLET RED        </v>
          </cell>
          <cell r="C895">
            <v>3</v>
          </cell>
          <cell r="D895">
            <v>1095</v>
          </cell>
        </row>
        <row r="896">
          <cell r="A896" t="str">
            <v>U7300-1</v>
          </cell>
          <cell r="B896" t="str">
            <v xml:space="preserve">U LTRA  7000  BASECOAT  DRIER </v>
          </cell>
          <cell r="C896">
            <v>0.49863013698630138</v>
          </cell>
          <cell r="D896">
            <v>182</v>
          </cell>
        </row>
        <row r="897">
          <cell r="A897" t="str">
            <v>U7302-1</v>
          </cell>
          <cell r="B897" t="str">
            <v>ULTRA SECANTE PARA ULTRA TURBO</v>
          </cell>
          <cell r="C897">
            <v>1</v>
          </cell>
          <cell r="D897">
            <v>365</v>
          </cell>
        </row>
        <row r="898">
          <cell r="A898" t="str">
            <v>U7303</v>
          </cell>
          <cell r="B898" t="str">
            <v xml:space="preserve">ULTRA SECANTE MONOCAPA        </v>
          </cell>
          <cell r="C898">
            <v>1</v>
          </cell>
          <cell r="D898">
            <v>365</v>
          </cell>
        </row>
        <row r="899">
          <cell r="A899" t="str">
            <v>U7303-1</v>
          </cell>
          <cell r="B899" t="str">
            <v xml:space="preserve">ULTRA SECANTE MONOCAPA        </v>
          </cell>
          <cell r="C899">
            <v>1</v>
          </cell>
          <cell r="D899">
            <v>365</v>
          </cell>
        </row>
        <row r="900">
          <cell r="A900" t="str">
            <v>U7378-1</v>
          </cell>
          <cell r="B900" t="str">
            <v xml:space="preserve">ULTRA INTERIOR MIXING CLEAR   </v>
          </cell>
          <cell r="C900">
            <v>1</v>
          </cell>
          <cell r="D900">
            <v>365</v>
          </cell>
        </row>
        <row r="901">
          <cell r="A901" t="str">
            <v>U7379</v>
          </cell>
          <cell r="B901" t="str">
            <v xml:space="preserve">ULTRA TURBO MIXING CLEAR      </v>
          </cell>
          <cell r="C901">
            <v>1</v>
          </cell>
          <cell r="D901">
            <v>365</v>
          </cell>
        </row>
        <row r="902">
          <cell r="A902" t="str">
            <v>U7379-1</v>
          </cell>
          <cell r="B902" t="str">
            <v xml:space="preserve">ULTRA TURBO MIXING CLEAR      </v>
          </cell>
          <cell r="C902">
            <v>1</v>
          </cell>
          <cell r="D902">
            <v>365</v>
          </cell>
        </row>
        <row r="903">
          <cell r="A903" t="str">
            <v>U7380-1</v>
          </cell>
          <cell r="B903" t="str">
            <v xml:space="preserve">ULTRA TURBO MIXING CLEAR      </v>
          </cell>
          <cell r="C903">
            <v>1</v>
          </cell>
          <cell r="D903">
            <v>365</v>
          </cell>
        </row>
        <row r="904">
          <cell r="A904" t="str">
            <v>U7400</v>
          </cell>
          <cell r="B904" t="str">
            <v xml:space="preserve">ULTRA MIXING CLEAR TURBO      </v>
          </cell>
          <cell r="C904">
            <v>1</v>
          </cell>
          <cell r="D904">
            <v>365</v>
          </cell>
        </row>
        <row r="905">
          <cell r="A905" t="str">
            <v>U7400-1</v>
          </cell>
          <cell r="B905" t="str">
            <v xml:space="preserve">ULTRA MIXING CLEAR TURBO      </v>
          </cell>
          <cell r="C905">
            <v>1</v>
          </cell>
          <cell r="D905">
            <v>365</v>
          </cell>
        </row>
        <row r="906">
          <cell r="A906" t="str">
            <v>UB1738-1/4</v>
          </cell>
          <cell r="B906" t="str">
            <v xml:space="preserve">ULTRA  7000  BASECOAT  BLACK  </v>
          </cell>
          <cell r="C906">
            <v>2</v>
          </cell>
          <cell r="D906">
            <v>730</v>
          </cell>
        </row>
        <row r="907">
          <cell r="A907" t="str">
            <v>UB2739-1/4</v>
          </cell>
          <cell r="B907" t="str">
            <v>ULTRA 7000  BASECOAT  HS BLACK</v>
          </cell>
          <cell r="C907">
            <v>2</v>
          </cell>
          <cell r="D907">
            <v>730</v>
          </cell>
        </row>
        <row r="908">
          <cell r="A908" t="str">
            <v>UH200</v>
          </cell>
          <cell r="B908" t="str">
            <v xml:space="preserve">ULTRA HARDENER                </v>
          </cell>
          <cell r="C908">
            <v>0.5</v>
          </cell>
          <cell r="D908">
            <v>182.5</v>
          </cell>
        </row>
        <row r="909">
          <cell r="A909" t="str">
            <v>UH200-1/8</v>
          </cell>
          <cell r="B909" t="str">
            <v xml:space="preserve">ULTRA HARDENER                </v>
          </cell>
          <cell r="C909">
            <v>0.5</v>
          </cell>
          <cell r="D909">
            <v>182.5</v>
          </cell>
        </row>
        <row r="910">
          <cell r="A910" t="str">
            <v>UH70</v>
          </cell>
          <cell r="B910" t="str">
            <v xml:space="preserve">ACCELERATED HARDENER 70       </v>
          </cell>
          <cell r="C910">
            <v>0.5</v>
          </cell>
          <cell r="D910">
            <v>182.5</v>
          </cell>
        </row>
        <row r="911">
          <cell r="A911" t="str">
            <v>UH70-1/8</v>
          </cell>
          <cell r="B911" t="str">
            <v xml:space="preserve">ACCELERATED HARDENER 70       </v>
          </cell>
          <cell r="C911">
            <v>0.5</v>
          </cell>
          <cell r="D911">
            <v>182.5</v>
          </cell>
        </row>
        <row r="912">
          <cell r="A912" t="str">
            <v>UH80</v>
          </cell>
          <cell r="B912" t="str">
            <v xml:space="preserve">LOW VOC  CLEARCOAT   HARDENER </v>
          </cell>
          <cell r="C912">
            <v>0.5</v>
          </cell>
          <cell r="D912">
            <v>182.5</v>
          </cell>
        </row>
        <row r="913">
          <cell r="A913" t="str">
            <v>UH80-1/16</v>
          </cell>
          <cell r="B913" t="str">
            <v xml:space="preserve">LOW VOC  CLEARCOAT   HARDENER </v>
          </cell>
          <cell r="C913">
            <v>0.5</v>
          </cell>
          <cell r="D913">
            <v>182.5</v>
          </cell>
        </row>
        <row r="914">
          <cell r="A914" t="str">
            <v>UH80-1/4</v>
          </cell>
          <cell r="B914" t="str">
            <v xml:space="preserve">LOW VOC CLEARCOAT   HARDENER  </v>
          </cell>
          <cell r="C914">
            <v>0.5</v>
          </cell>
          <cell r="D914">
            <v>182.5</v>
          </cell>
        </row>
        <row r="915">
          <cell r="A915" t="str">
            <v>UH80-1/8</v>
          </cell>
          <cell r="B915" t="str">
            <v xml:space="preserve">LOW VOC  CLEARCOAT   HARDENER </v>
          </cell>
          <cell r="C915">
            <v>0.5</v>
          </cell>
          <cell r="D915">
            <v>182.5</v>
          </cell>
        </row>
        <row r="916">
          <cell r="A916" t="str">
            <v>UH-904</v>
          </cell>
          <cell r="B916" t="str">
            <v xml:space="preserve">CLEARCOAT HARDENER 904        </v>
          </cell>
          <cell r="C916">
            <v>0.5</v>
          </cell>
          <cell r="D916">
            <v>182.5</v>
          </cell>
        </row>
        <row r="917">
          <cell r="A917" t="str">
            <v>UH904-1/4</v>
          </cell>
          <cell r="B917" t="str">
            <v xml:space="preserve">CLEARCOAT HARDENER 904        </v>
          </cell>
          <cell r="C917">
            <v>0.5</v>
          </cell>
          <cell r="D917">
            <v>182.5</v>
          </cell>
        </row>
        <row r="918">
          <cell r="A918" t="str">
            <v>UH904-1/8</v>
          </cell>
          <cell r="B918" t="str">
            <v xml:space="preserve">CLEARCOAT HARDENER 904        </v>
          </cell>
          <cell r="C918">
            <v>0.5</v>
          </cell>
          <cell r="D918">
            <v>182.5</v>
          </cell>
        </row>
        <row r="919">
          <cell r="A919" t="str">
            <v>UHG40-1/4</v>
          </cell>
          <cell r="B919" t="str">
            <v xml:space="preserve">ULTRA ABRILLANTADOR   MANUAL  </v>
          </cell>
          <cell r="C919">
            <v>0.5</v>
          </cell>
          <cell r="D919">
            <v>182.5</v>
          </cell>
        </row>
        <row r="920">
          <cell r="A920" t="str">
            <v>UMG30-1/4</v>
          </cell>
          <cell r="B920" t="str">
            <v>ULTRA ABRILLANTADOR    MAQUINA</v>
          </cell>
          <cell r="C920">
            <v>0.49863013698630138</v>
          </cell>
          <cell r="D920">
            <v>182</v>
          </cell>
        </row>
        <row r="921">
          <cell r="A921" t="str">
            <v>UPC10-1/4</v>
          </cell>
          <cell r="B921" t="str">
            <v xml:space="preserve">ULTRA  PULIDOR MANUAL         </v>
          </cell>
          <cell r="C921">
            <v>0.49863013698630138</v>
          </cell>
          <cell r="D921">
            <v>182</v>
          </cell>
        </row>
        <row r="922">
          <cell r="A922" t="str">
            <v>UPL20-1/4</v>
          </cell>
          <cell r="B922" t="str">
            <v xml:space="preserve">ULTRA  PULIDOR A MÁQUINA      </v>
          </cell>
          <cell r="C922">
            <v>0.49863013698630138</v>
          </cell>
          <cell r="D922">
            <v>182</v>
          </cell>
        </row>
        <row r="923">
          <cell r="A923" t="str">
            <v>UPO7226-1/4</v>
          </cell>
          <cell r="B923" t="str">
            <v xml:space="preserve">PROMOTER DE ADHESION  CLEAR   </v>
          </cell>
          <cell r="C923">
            <v>1</v>
          </cell>
          <cell r="D923">
            <v>365</v>
          </cell>
        </row>
        <row r="924">
          <cell r="A924" t="str">
            <v>UPO7226-SPRAY</v>
          </cell>
          <cell r="B924" t="str">
            <v xml:space="preserve">PROMOTER DE ADHESION  CLEAR   </v>
          </cell>
          <cell r="C924">
            <v>1</v>
          </cell>
          <cell r="D924">
            <v>365</v>
          </cell>
        </row>
        <row r="925">
          <cell r="A925" t="str">
            <v>UPO7227-1/4</v>
          </cell>
          <cell r="B925" t="str">
            <v xml:space="preserve">PROMOTER DE ADHESION  NEGRO   </v>
          </cell>
          <cell r="C925">
            <v>1</v>
          </cell>
          <cell r="D925">
            <v>365</v>
          </cell>
        </row>
        <row r="926">
          <cell r="A926" t="str">
            <v>UPO7227-SPRAY</v>
          </cell>
          <cell r="B926" t="str">
            <v xml:space="preserve">PROMOTER DE ADHESION  NEGRO   </v>
          </cell>
          <cell r="C926">
            <v>1</v>
          </cell>
          <cell r="D926">
            <v>365</v>
          </cell>
        </row>
        <row r="927">
          <cell r="A927" t="str">
            <v>US1739-1/4</v>
          </cell>
          <cell r="B927" t="str">
            <v xml:space="preserve">ULTRA  ONE  STAGE NEGRO  MATE </v>
          </cell>
          <cell r="C927">
            <v>1</v>
          </cell>
          <cell r="D927">
            <v>365</v>
          </cell>
        </row>
        <row r="928">
          <cell r="A928" t="str">
            <v>US6080</v>
          </cell>
          <cell r="B928" t="str">
            <v xml:space="preserve">ULTRA  SOLV  # 2   RAPIDO     </v>
          </cell>
          <cell r="C928">
            <v>0.49863013698630138</v>
          </cell>
          <cell r="D928">
            <v>182</v>
          </cell>
        </row>
        <row r="929">
          <cell r="A929" t="str">
            <v>US6080-1</v>
          </cell>
          <cell r="B929" t="str">
            <v xml:space="preserve">ULTRA  SOLV  # 2   RAPIDO     </v>
          </cell>
          <cell r="C929">
            <v>0.49863013698630138</v>
          </cell>
          <cell r="D929">
            <v>182</v>
          </cell>
        </row>
        <row r="930">
          <cell r="A930" t="str">
            <v>US7590</v>
          </cell>
          <cell r="B930" t="str">
            <v xml:space="preserve">ULTRA  SOLV  # 3   MEDIANO    </v>
          </cell>
          <cell r="C930">
            <v>0.49863013698630138</v>
          </cell>
          <cell r="D930">
            <v>182</v>
          </cell>
        </row>
        <row r="931">
          <cell r="A931" t="str">
            <v>US7590-1</v>
          </cell>
          <cell r="B931" t="str">
            <v xml:space="preserve">ULTRA  SOLV  # 3   MEDIANO    </v>
          </cell>
          <cell r="C931">
            <v>0.49863013698630138</v>
          </cell>
          <cell r="D931">
            <v>182</v>
          </cell>
        </row>
        <row r="932">
          <cell r="A932" t="str">
            <v>US8095</v>
          </cell>
          <cell r="B932" t="str">
            <v xml:space="preserve">ULTRA  SOLV  # 5   LENTO      </v>
          </cell>
          <cell r="C932">
            <v>0.49863013698630138</v>
          </cell>
          <cell r="D932">
            <v>182</v>
          </cell>
        </row>
        <row r="933">
          <cell r="A933" t="str">
            <v>US8095-1</v>
          </cell>
          <cell r="B933" t="str">
            <v xml:space="preserve">ULTRA  SOLV  # 5   LENTO      </v>
          </cell>
          <cell r="C933">
            <v>0.49863013698630138</v>
          </cell>
          <cell r="D933">
            <v>182</v>
          </cell>
        </row>
        <row r="934">
          <cell r="A934" t="str">
            <v>USP90-21.ONZAS</v>
          </cell>
          <cell r="B934" t="str">
            <v xml:space="preserve">PASTA PARA MATIZAR            </v>
          </cell>
          <cell r="C934">
            <v>0.49863013698630138</v>
          </cell>
          <cell r="D934">
            <v>182</v>
          </cell>
        </row>
        <row r="935">
          <cell r="A935" t="str">
            <v>USS1738-1/4</v>
          </cell>
          <cell r="B935" t="str">
            <v xml:space="preserve">ULTRA  ONE  STAGE NEGRO  BRTE </v>
          </cell>
          <cell r="C935">
            <v>1</v>
          </cell>
          <cell r="D935">
            <v>365</v>
          </cell>
        </row>
        <row r="936">
          <cell r="A936" t="str">
            <v>V2V173</v>
          </cell>
          <cell r="B936" t="str">
            <v xml:space="preserve">KEM TRANSP MIX ENAM CLEAR     </v>
          </cell>
          <cell r="C936">
            <v>0.49863013698630138</v>
          </cell>
          <cell r="D936">
            <v>182</v>
          </cell>
        </row>
        <row r="937">
          <cell r="A937" t="str">
            <v>V2V173-1</v>
          </cell>
          <cell r="B937" t="str">
            <v xml:space="preserve">KEM TRANSP MIX ENAM CLEAR     </v>
          </cell>
          <cell r="C937">
            <v>0.49863013698630138</v>
          </cell>
          <cell r="D937">
            <v>182</v>
          </cell>
        </row>
        <row r="938">
          <cell r="A938" t="str">
            <v>V2V269-1</v>
          </cell>
          <cell r="B938" t="str">
            <v xml:space="preserve">TRANSP./ /MEZCLA ONE STAGE    </v>
          </cell>
          <cell r="C938">
            <v>0.49863013698630138</v>
          </cell>
          <cell r="D938">
            <v>182</v>
          </cell>
        </row>
        <row r="939">
          <cell r="A939" t="str">
            <v>V2VSA1</v>
          </cell>
          <cell r="B939" t="str">
            <v xml:space="preserve">CATALIZADOR DE JET BOND  1/4' </v>
          </cell>
          <cell r="C939">
            <v>0.49863013698630138</v>
          </cell>
          <cell r="D939">
            <v>182</v>
          </cell>
        </row>
        <row r="940">
          <cell r="A940" t="str">
            <v>V2VSA1-1.ONZ</v>
          </cell>
          <cell r="B940" t="str">
            <v xml:space="preserve">CATALIZADOR DE JET BOND  1/4' </v>
          </cell>
          <cell r="C940">
            <v>0.49863013698630138</v>
          </cell>
          <cell r="D940">
            <v>182</v>
          </cell>
        </row>
        <row r="941">
          <cell r="A941" t="str">
            <v>V2VSA1-4.ONZ</v>
          </cell>
          <cell r="B941" t="str">
            <v xml:space="preserve">CATALIZADOR DE JET BOND  1's  </v>
          </cell>
          <cell r="C941">
            <v>0.49863013698630138</v>
          </cell>
          <cell r="D941">
            <v>182</v>
          </cell>
        </row>
        <row r="942">
          <cell r="A942" t="str">
            <v>V3K780-1/8</v>
          </cell>
          <cell r="B942" t="str">
            <v xml:space="preserve">ELIMINADOR OJO DE PESCADO     </v>
          </cell>
          <cell r="C942">
            <v>0.49863013698630138</v>
          </cell>
          <cell r="D942">
            <v>182</v>
          </cell>
        </row>
        <row r="943">
          <cell r="A943" t="str">
            <v>V6V253</v>
          </cell>
          <cell r="B943" t="str">
            <v xml:space="preserve">CONVERTIDOR  A   POLYURETANO  </v>
          </cell>
          <cell r="C943">
            <v>0.49863013698630138</v>
          </cell>
          <cell r="D943">
            <v>182</v>
          </cell>
        </row>
        <row r="944">
          <cell r="A944" t="str">
            <v>V6V253-1/16</v>
          </cell>
          <cell r="B944" t="str">
            <v xml:space="preserve">CONVERTIDOR  A   POLYURETANO  </v>
          </cell>
          <cell r="C944">
            <v>0.49863013698630138</v>
          </cell>
          <cell r="D944">
            <v>182</v>
          </cell>
        </row>
        <row r="945">
          <cell r="A945" t="str">
            <v>V6V283</v>
          </cell>
          <cell r="B945" t="str">
            <v>CATALIZADOR P/ POLYURET TRANSP</v>
          </cell>
          <cell r="C945">
            <v>0.49863013698630138</v>
          </cell>
          <cell r="D945">
            <v>182</v>
          </cell>
        </row>
        <row r="946">
          <cell r="A946" t="str">
            <v>V6V283-1/8</v>
          </cell>
          <cell r="B946" t="str">
            <v>CATALIZADOR P/ POLYURET TRANSP</v>
          </cell>
          <cell r="C946">
            <v>0.49863013698630138</v>
          </cell>
          <cell r="D946">
            <v>182</v>
          </cell>
        </row>
        <row r="947">
          <cell r="A947" t="str">
            <v>V6V299</v>
          </cell>
          <cell r="B947" t="str">
            <v xml:space="preserve">ADITIVO FLEXIBILIZANTE        </v>
          </cell>
          <cell r="C947">
            <v>0.49863013698630138</v>
          </cell>
          <cell r="D947">
            <v>182</v>
          </cell>
        </row>
        <row r="948">
          <cell r="A948" t="str">
            <v>V6V299-1/16</v>
          </cell>
          <cell r="B948" t="str">
            <v xml:space="preserve">ADITIVO FLEXIBILIZANTE        </v>
          </cell>
          <cell r="C948">
            <v>0.49863013698630138</v>
          </cell>
          <cell r="D948">
            <v>182</v>
          </cell>
        </row>
        <row r="949">
          <cell r="A949" t="str">
            <v>V6V299-1/8</v>
          </cell>
          <cell r="B949" t="str">
            <v xml:space="preserve">ADITIVO FLEXIBILIZANTE        </v>
          </cell>
          <cell r="C949">
            <v>0.49863013698630138</v>
          </cell>
          <cell r="D949">
            <v>182</v>
          </cell>
        </row>
        <row r="950">
          <cell r="A950" t="str">
            <v>V6V301-1</v>
          </cell>
          <cell r="B950" t="str">
            <v xml:space="preserve">SECANTE PARA ONE STAGE        </v>
          </cell>
          <cell r="C950">
            <v>0.49863013698630138</v>
          </cell>
          <cell r="D950">
            <v>182</v>
          </cell>
        </row>
        <row r="951">
          <cell r="A951" t="str">
            <v>V6V376</v>
          </cell>
          <cell r="B951" t="str">
            <v xml:space="preserve">CATALIZADOR DE URETHANO       </v>
          </cell>
          <cell r="C951">
            <v>0.49863013698630138</v>
          </cell>
          <cell r="D951">
            <v>182</v>
          </cell>
        </row>
        <row r="952">
          <cell r="A952" t="str">
            <v>V6V376-1/16</v>
          </cell>
          <cell r="B952" t="str">
            <v xml:space="preserve">CATALIZADOR DE URETHANO       </v>
          </cell>
          <cell r="C952">
            <v>0.49863013698630138</v>
          </cell>
          <cell r="D952">
            <v>182</v>
          </cell>
        </row>
        <row r="953">
          <cell r="A953" t="str">
            <v>V6V5</v>
          </cell>
          <cell r="B953" t="str">
            <v xml:space="preserve">KEM-MIX (SECANTE)             </v>
          </cell>
          <cell r="C953">
            <v>0.49863013698630138</v>
          </cell>
          <cell r="D953">
            <v>182</v>
          </cell>
        </row>
        <row r="954">
          <cell r="A954" t="str">
            <v>V6V501-1</v>
          </cell>
          <cell r="B954" t="str">
            <v xml:space="preserve">TRANSP. P /ENTREMEZCLA        </v>
          </cell>
          <cell r="C954">
            <v>0.49863013698630138</v>
          </cell>
          <cell r="D954">
            <v>182</v>
          </cell>
        </row>
        <row r="955">
          <cell r="A955" t="str">
            <v>V6V5-1</v>
          </cell>
          <cell r="B955" t="str">
            <v xml:space="preserve">KEM-MIX  SECANTE P/ESMALTE    </v>
          </cell>
          <cell r="C955">
            <v>0.49863013698630138</v>
          </cell>
          <cell r="D955">
            <v>182</v>
          </cell>
        </row>
        <row r="956">
          <cell r="A956" t="str">
            <v>V6V5-SP</v>
          </cell>
          <cell r="B956" t="str">
            <v xml:space="preserve">KEM MIX LEAD FREE             </v>
          </cell>
          <cell r="C956">
            <v>0.49863013698630138</v>
          </cell>
          <cell r="D956">
            <v>182</v>
          </cell>
        </row>
        <row r="957">
          <cell r="A957" t="str">
            <v>V6V5SP-1</v>
          </cell>
          <cell r="B957" t="str">
            <v xml:space="preserve">KEM MIX SECANTE P/ESMALTE SP  </v>
          </cell>
          <cell r="C957">
            <v>0.49863013698630138</v>
          </cell>
          <cell r="D957">
            <v>182</v>
          </cell>
        </row>
        <row r="958">
          <cell r="A958" t="str">
            <v>V6V690</v>
          </cell>
          <cell r="B958" t="str">
            <v xml:space="preserve">CATALIZADOR POLIURETANO       </v>
          </cell>
          <cell r="C958">
            <v>0.49863013698630138</v>
          </cell>
          <cell r="D958">
            <v>182</v>
          </cell>
        </row>
        <row r="959">
          <cell r="A959" t="str">
            <v>V6V690-1/16</v>
          </cell>
          <cell r="B959" t="str">
            <v xml:space="preserve">CATALIZADOR POLIURETANO       </v>
          </cell>
          <cell r="C959">
            <v>0.49863013698630138</v>
          </cell>
          <cell r="D959">
            <v>182</v>
          </cell>
        </row>
        <row r="960">
          <cell r="A960" t="str">
            <v>V6V79</v>
          </cell>
          <cell r="B960" t="str">
            <v xml:space="preserve">ULTRA-FILL  I I   HARDENER .  </v>
          </cell>
          <cell r="C960">
            <v>0.49863013698630138</v>
          </cell>
          <cell r="D960">
            <v>182</v>
          </cell>
        </row>
        <row r="961">
          <cell r="A961" t="str">
            <v>V6V79-1/16</v>
          </cell>
          <cell r="B961" t="str">
            <v xml:space="preserve">ULTRA-FILL  I I   HARDENER .  </v>
          </cell>
          <cell r="C961">
            <v>0.49863013698630138</v>
          </cell>
          <cell r="D961">
            <v>182</v>
          </cell>
        </row>
        <row r="962">
          <cell r="A962" t="str">
            <v>V6V79-1/8</v>
          </cell>
          <cell r="B962" t="str">
            <v xml:space="preserve">ULTRA-FILL  I I   HARDENER .  </v>
          </cell>
          <cell r="C962">
            <v>0.49863013698630138</v>
          </cell>
          <cell r="D962">
            <v>182</v>
          </cell>
        </row>
        <row r="963">
          <cell r="A963" t="str">
            <v>V82VSA1</v>
          </cell>
          <cell r="B963" t="str">
            <v>BARNIZ BRILLAN P/MUEBLES CLEAR</v>
          </cell>
          <cell r="C963">
            <v>0.5</v>
          </cell>
          <cell r="D963">
            <v>182.5</v>
          </cell>
        </row>
        <row r="964">
          <cell r="A964" t="str">
            <v>V82VSA1-1</v>
          </cell>
          <cell r="B964" t="str">
            <v xml:space="preserve">BARNIZ BRTE P/MUEBLES CLEAR   </v>
          </cell>
          <cell r="C964">
            <v>0.5</v>
          </cell>
          <cell r="D964">
            <v>182.5</v>
          </cell>
        </row>
        <row r="965">
          <cell r="A965" t="str">
            <v>V82VSA1-1/4</v>
          </cell>
          <cell r="B965" t="str">
            <v xml:space="preserve">BARNIZ BRTE P/MUEBLES CLEAR   </v>
          </cell>
          <cell r="C965">
            <v>0.5</v>
          </cell>
          <cell r="D965">
            <v>182.5</v>
          </cell>
        </row>
        <row r="966">
          <cell r="A966" t="str">
            <v>W4K263</v>
          </cell>
          <cell r="B966" t="str">
            <v xml:space="preserve">DUAL -  ETCH   METAL  CLEANER </v>
          </cell>
          <cell r="C966">
            <v>0.5</v>
          </cell>
          <cell r="D966">
            <v>182.5</v>
          </cell>
        </row>
        <row r="967">
          <cell r="A967" t="str">
            <v>W4K263-1</v>
          </cell>
          <cell r="B967" t="str">
            <v xml:space="preserve">DUAL -  ETCH   METAL  CLEANER </v>
          </cell>
          <cell r="C967">
            <v>0.49863013698630138</v>
          </cell>
          <cell r="D967">
            <v>182</v>
          </cell>
        </row>
        <row r="968">
          <cell r="A968" t="str">
            <v>W4K288-1</v>
          </cell>
          <cell r="B968" t="str">
            <v xml:space="preserve">MET- L- ETCH   STEEL  CLEANER </v>
          </cell>
          <cell r="C968">
            <v>0.49863013698630138</v>
          </cell>
          <cell r="D968">
            <v>182</v>
          </cell>
        </row>
        <row r="969">
          <cell r="A969" t="str">
            <v>W4K289-1</v>
          </cell>
          <cell r="B969" t="str">
            <v xml:space="preserve">MET- L- MATE   FOSFATIZANTE   </v>
          </cell>
          <cell r="C969">
            <v>0.49863013698630138</v>
          </cell>
          <cell r="D969">
            <v>182</v>
          </cell>
        </row>
        <row r="970">
          <cell r="A970" t="str">
            <v>W7A2250-1</v>
          </cell>
          <cell r="B970" t="str">
            <v>AQUA-FILL  WATER BORNE  PRIMER</v>
          </cell>
          <cell r="C970">
            <v>0.49863013698630138</v>
          </cell>
          <cell r="D970">
            <v>182</v>
          </cell>
        </row>
        <row r="971">
          <cell r="A971" t="str">
            <v>B69V3</v>
          </cell>
          <cell r="B971" t="str">
            <v xml:space="preserve">ZINC CLAD II ETHYL SILICATE   </v>
          </cell>
          <cell r="C971">
            <v>0.73972602739726023</v>
          </cell>
          <cell r="D971">
            <v>270</v>
          </cell>
        </row>
        <row r="972">
          <cell r="A972" t="str">
            <v>B69V3-3-75</v>
          </cell>
          <cell r="B972" t="str">
            <v xml:space="preserve">ZINC CLAD II ETHYL SILICATE   </v>
          </cell>
          <cell r="C972">
            <v>0.73972602739726023</v>
          </cell>
          <cell r="D972">
            <v>270</v>
          </cell>
        </row>
        <row r="973">
          <cell r="A973" t="str">
            <v>A14NSA6</v>
          </cell>
          <cell r="B973" t="str">
            <v xml:space="preserve">EXTERIOR STAIN CEDAR          </v>
          </cell>
          <cell r="C973">
            <v>1</v>
          </cell>
          <cell r="D973">
            <v>365</v>
          </cell>
        </row>
        <row r="974">
          <cell r="A974" t="str">
            <v>A14NSA6-1</v>
          </cell>
          <cell r="B974" t="str">
            <v xml:space="preserve">EXTERIOR STAIN CEDAR          </v>
          </cell>
          <cell r="C974">
            <v>1</v>
          </cell>
          <cell r="D974">
            <v>365</v>
          </cell>
        </row>
        <row r="975">
          <cell r="A975" t="str">
            <v>A44WSA3</v>
          </cell>
          <cell r="B975" t="str">
            <v>TEXTURE PAINT BLANCO GRANULADO</v>
          </cell>
          <cell r="C975">
            <v>1</v>
          </cell>
          <cell r="D975">
            <v>365</v>
          </cell>
        </row>
        <row r="976">
          <cell r="A976" t="str">
            <v>A44WSA3-1</v>
          </cell>
          <cell r="B976" t="str">
            <v>TEXTURE PAINT BLANCO GRANULADO</v>
          </cell>
          <cell r="C976">
            <v>1</v>
          </cell>
          <cell r="D976">
            <v>365</v>
          </cell>
        </row>
        <row r="977">
          <cell r="A977" t="str">
            <v>A44WSA3-5</v>
          </cell>
          <cell r="B977" t="str">
            <v>TEXTURE PAINT BLANCO GRANULADO</v>
          </cell>
          <cell r="C977">
            <v>1</v>
          </cell>
          <cell r="D977">
            <v>365</v>
          </cell>
        </row>
        <row r="978">
          <cell r="A978" t="str">
            <v>A44WSA4</v>
          </cell>
          <cell r="B978" t="str">
            <v xml:space="preserve">TEXTURE PAINT BLANCO LISO     </v>
          </cell>
          <cell r="C978">
            <v>1</v>
          </cell>
          <cell r="D978">
            <v>365</v>
          </cell>
        </row>
        <row r="979">
          <cell r="A979" t="str">
            <v>A44WSA4-1</v>
          </cell>
          <cell r="B979" t="str">
            <v xml:space="preserve">TEXTURE PAINT BLANCO LISO     </v>
          </cell>
          <cell r="C979">
            <v>1</v>
          </cell>
          <cell r="D979">
            <v>365</v>
          </cell>
        </row>
        <row r="980">
          <cell r="A980" t="str">
            <v>A44WSA4-5</v>
          </cell>
          <cell r="B980" t="str">
            <v xml:space="preserve">TEXTURE PAINT BLANCO LISO     </v>
          </cell>
          <cell r="C980">
            <v>1</v>
          </cell>
          <cell r="D980">
            <v>365</v>
          </cell>
        </row>
        <row r="981">
          <cell r="A981" t="str">
            <v>A44WSA5</v>
          </cell>
          <cell r="B981" t="str">
            <v xml:space="preserve">TEXTURE PAINT GRAN BLANCO ANT </v>
          </cell>
          <cell r="C981">
            <v>1</v>
          </cell>
          <cell r="D981">
            <v>365</v>
          </cell>
        </row>
        <row r="982">
          <cell r="A982" t="str">
            <v>A44WSA5-5</v>
          </cell>
          <cell r="B982" t="str">
            <v xml:space="preserve">TEXTURE PAINT GRAN BLANCO ANT </v>
          </cell>
          <cell r="C982">
            <v>1</v>
          </cell>
          <cell r="D982">
            <v>365</v>
          </cell>
        </row>
        <row r="983">
          <cell r="A983" t="str">
            <v>A46T6</v>
          </cell>
          <cell r="B983" t="str">
            <v>ILLUSION  FAUX FIN GLAZ LIQUID</v>
          </cell>
          <cell r="C983">
            <v>1</v>
          </cell>
          <cell r="D983">
            <v>365</v>
          </cell>
        </row>
        <row r="984">
          <cell r="A984" t="str">
            <v>A46T6-1/4</v>
          </cell>
          <cell r="B984" t="str">
            <v>ILLUSION  FAUX FIN GLAZ LIQUID</v>
          </cell>
          <cell r="C984">
            <v>1</v>
          </cell>
          <cell r="D984">
            <v>365</v>
          </cell>
        </row>
        <row r="985">
          <cell r="A985" t="str">
            <v>A51B8</v>
          </cell>
          <cell r="B985" t="str">
            <v xml:space="preserve">PINTURA PARA PIZARRA NEGRO    </v>
          </cell>
          <cell r="C985">
            <v>1</v>
          </cell>
          <cell r="D985">
            <v>365</v>
          </cell>
        </row>
        <row r="986">
          <cell r="A986" t="str">
            <v>A51B8-1</v>
          </cell>
          <cell r="B986" t="str">
            <v xml:space="preserve">PINTURA PARA PIZARRA NEGRO    </v>
          </cell>
          <cell r="C986">
            <v>1</v>
          </cell>
          <cell r="D986">
            <v>365</v>
          </cell>
        </row>
        <row r="987">
          <cell r="A987" t="str">
            <v>A51B8-1/4</v>
          </cell>
          <cell r="B987" t="str">
            <v xml:space="preserve">PINTURA PARA PIZARRA NEGRO    </v>
          </cell>
          <cell r="C987">
            <v>1</v>
          </cell>
          <cell r="D987">
            <v>365</v>
          </cell>
        </row>
        <row r="988">
          <cell r="A988" t="str">
            <v>A51G67</v>
          </cell>
          <cell r="B988" t="str">
            <v xml:space="preserve">PINTURA PARA PIZARRA VERDE    </v>
          </cell>
          <cell r="C988">
            <v>1</v>
          </cell>
          <cell r="D988">
            <v>365</v>
          </cell>
        </row>
        <row r="989">
          <cell r="A989" t="str">
            <v>A51G67-1</v>
          </cell>
          <cell r="B989" t="str">
            <v xml:space="preserve">PINTURA PARA PIZARRA VERDE    </v>
          </cell>
          <cell r="C989">
            <v>1</v>
          </cell>
          <cell r="D989">
            <v>365</v>
          </cell>
        </row>
        <row r="990">
          <cell r="A990" t="str">
            <v>A51G67-1/4</v>
          </cell>
          <cell r="B990" t="str">
            <v xml:space="preserve">PINTURA PARA PIZARRA VERDE    </v>
          </cell>
          <cell r="C990">
            <v>1</v>
          </cell>
          <cell r="D990">
            <v>365</v>
          </cell>
        </row>
        <row r="991">
          <cell r="A991" t="str">
            <v>A5ASA4</v>
          </cell>
          <cell r="B991" t="str">
            <v>RECUBRIM GRIS P/AISLAMIE TERMI</v>
          </cell>
          <cell r="C991">
            <v>3</v>
          </cell>
          <cell r="D991">
            <v>1095</v>
          </cell>
        </row>
        <row r="992">
          <cell r="A992" t="str">
            <v>A5ASA4-1</v>
          </cell>
          <cell r="B992" t="str">
            <v>RECUBRIM GRIS P/AISLAMIE TERMI</v>
          </cell>
          <cell r="C992">
            <v>3</v>
          </cell>
          <cell r="D992">
            <v>1095</v>
          </cell>
        </row>
        <row r="993">
          <cell r="A993" t="str">
            <v>A5G70</v>
          </cell>
          <cell r="B993" t="str">
            <v xml:space="preserve">PINT PARA PISCINAS VERDE MAR  </v>
          </cell>
          <cell r="C993">
            <v>2</v>
          </cell>
          <cell r="D993">
            <v>730</v>
          </cell>
        </row>
        <row r="994">
          <cell r="A994" t="str">
            <v>A5G70-1</v>
          </cell>
          <cell r="B994" t="str">
            <v xml:space="preserve">PINT PARA PISCINAS VERDE MAR  </v>
          </cell>
          <cell r="C994">
            <v>2</v>
          </cell>
          <cell r="D994">
            <v>730</v>
          </cell>
        </row>
        <row r="995">
          <cell r="A995" t="str">
            <v>A5L25</v>
          </cell>
          <cell r="B995" t="str">
            <v xml:space="preserve">PINT P/PISCINAS AZUL CRISTAL  </v>
          </cell>
          <cell r="C995">
            <v>2</v>
          </cell>
          <cell r="D995">
            <v>730</v>
          </cell>
        </row>
        <row r="996">
          <cell r="A996" t="str">
            <v>A5L25-1</v>
          </cell>
          <cell r="B996" t="str">
            <v xml:space="preserve">PINT P/PISCINAS AZUL CRISTAL  </v>
          </cell>
          <cell r="C996">
            <v>2</v>
          </cell>
          <cell r="D996">
            <v>730</v>
          </cell>
        </row>
        <row r="997">
          <cell r="A997" t="str">
            <v>A5L25-1/4</v>
          </cell>
          <cell r="B997" t="str">
            <v xml:space="preserve">PINT P/PISCINAS AZUL CRISTAL  </v>
          </cell>
          <cell r="C997">
            <v>2</v>
          </cell>
          <cell r="D997">
            <v>730</v>
          </cell>
        </row>
        <row r="998">
          <cell r="A998" t="str">
            <v>A5LSA5</v>
          </cell>
          <cell r="B998" t="str">
            <v>SWIMMING POOL PAINT LIGHT BLUE</v>
          </cell>
          <cell r="C998">
            <v>2</v>
          </cell>
          <cell r="D998">
            <v>730</v>
          </cell>
        </row>
        <row r="999">
          <cell r="A999" t="str">
            <v>A5LSA5-1</v>
          </cell>
          <cell r="B999" t="str">
            <v>SWIMMING POOL PAINT LIGHT BLUE</v>
          </cell>
          <cell r="C999">
            <v>2</v>
          </cell>
          <cell r="D999">
            <v>730</v>
          </cell>
        </row>
        <row r="1000">
          <cell r="A1000" t="str">
            <v>A5LSA6</v>
          </cell>
          <cell r="B1000" t="str">
            <v xml:space="preserve">PINT P/PISCINAS AZUL CARIBE   </v>
          </cell>
          <cell r="C1000">
            <v>2</v>
          </cell>
          <cell r="D1000">
            <v>730</v>
          </cell>
        </row>
        <row r="1001">
          <cell r="A1001" t="str">
            <v>A5LSA6-1</v>
          </cell>
          <cell r="B1001" t="str">
            <v xml:space="preserve">PINT P/PISCINAS AZUL CARIBE   </v>
          </cell>
          <cell r="C1001">
            <v>2</v>
          </cell>
          <cell r="D1001">
            <v>730</v>
          </cell>
        </row>
        <row r="1002">
          <cell r="A1002" t="str">
            <v>A5LSA6-1/4</v>
          </cell>
          <cell r="B1002" t="str">
            <v>SWIMMING POOL PAINT AZUL CARIB</v>
          </cell>
          <cell r="C1002">
            <v>2</v>
          </cell>
          <cell r="D1002">
            <v>730</v>
          </cell>
        </row>
        <row r="1003">
          <cell r="A1003" t="str">
            <v>A5V3</v>
          </cell>
          <cell r="B1003" t="str">
            <v xml:space="preserve">SELLADOR PARA GYPSUM 0        </v>
          </cell>
          <cell r="C1003">
            <v>2</v>
          </cell>
          <cell r="D1003">
            <v>730</v>
          </cell>
        </row>
        <row r="1004">
          <cell r="A1004" t="str">
            <v>A5V3-1</v>
          </cell>
          <cell r="B1004" t="str">
            <v xml:space="preserve">SELLADOR PARA GYPSUM          </v>
          </cell>
          <cell r="C1004">
            <v>2</v>
          </cell>
          <cell r="D1004">
            <v>730</v>
          </cell>
        </row>
        <row r="1005">
          <cell r="A1005" t="str">
            <v>A5V3-1/4</v>
          </cell>
          <cell r="B1005" t="str">
            <v xml:space="preserve">SELLADOR PARA GYPSUM          </v>
          </cell>
          <cell r="C1005">
            <v>2</v>
          </cell>
          <cell r="D1005">
            <v>730</v>
          </cell>
        </row>
        <row r="1006">
          <cell r="A1006" t="str">
            <v>A5V3-5</v>
          </cell>
          <cell r="B1006" t="str">
            <v xml:space="preserve">SELLADOR PARA GYPSUM          </v>
          </cell>
          <cell r="C1006">
            <v>2</v>
          </cell>
          <cell r="D1006">
            <v>730</v>
          </cell>
        </row>
        <row r="1007">
          <cell r="A1007" t="str">
            <v>A5W41</v>
          </cell>
          <cell r="B1007" t="str">
            <v xml:space="preserve">PINTURA PARA PISCINAS BLANCO  </v>
          </cell>
          <cell r="C1007">
            <v>2</v>
          </cell>
          <cell r="D1007">
            <v>730</v>
          </cell>
        </row>
        <row r="1008">
          <cell r="A1008" t="str">
            <v>A5W41-1</v>
          </cell>
          <cell r="B1008" t="str">
            <v xml:space="preserve">PINTURA PARA PISCINAS BLANCO  </v>
          </cell>
          <cell r="C1008">
            <v>2</v>
          </cell>
          <cell r="D1008">
            <v>730</v>
          </cell>
        </row>
        <row r="1009">
          <cell r="A1009" t="str">
            <v>A67V4</v>
          </cell>
          <cell r="B1009" t="str">
            <v xml:space="preserve">BARNIZ MARINO                 </v>
          </cell>
          <cell r="C1009">
            <v>3</v>
          </cell>
          <cell r="D1009">
            <v>1095</v>
          </cell>
        </row>
        <row r="1010">
          <cell r="A1010" t="str">
            <v>A67V4-1</v>
          </cell>
          <cell r="B1010" t="str">
            <v xml:space="preserve">BARNIZ MARINO                 </v>
          </cell>
          <cell r="C1010">
            <v>3</v>
          </cell>
          <cell r="D1010">
            <v>1095</v>
          </cell>
        </row>
        <row r="1011">
          <cell r="A1011" t="str">
            <v>A67V4-1/4</v>
          </cell>
          <cell r="B1011" t="str">
            <v xml:space="preserve">BARNIZ MARINO                 </v>
          </cell>
          <cell r="C1011">
            <v>3</v>
          </cell>
          <cell r="D1011">
            <v>1095</v>
          </cell>
        </row>
        <row r="1012">
          <cell r="A1012" t="str">
            <v>A68GSA1</v>
          </cell>
          <cell r="B1012" t="str">
            <v>GALVITE PINTURA P TECHOS VERDE</v>
          </cell>
          <cell r="C1012">
            <v>1</v>
          </cell>
          <cell r="D1012">
            <v>365</v>
          </cell>
        </row>
        <row r="1013">
          <cell r="A1013" t="str">
            <v>A68GSA1-1</v>
          </cell>
          <cell r="B1013" t="str">
            <v>GALVITE PINTURA P TECHOS VERDE</v>
          </cell>
          <cell r="C1013">
            <v>1</v>
          </cell>
          <cell r="D1013">
            <v>365</v>
          </cell>
        </row>
        <row r="1014">
          <cell r="A1014" t="str">
            <v>A68RSA1</v>
          </cell>
          <cell r="B1014" t="str">
            <v xml:space="preserve">GALVITE PINTURA P TECHOS ROJO </v>
          </cell>
          <cell r="C1014">
            <v>1</v>
          </cell>
          <cell r="D1014">
            <v>365</v>
          </cell>
        </row>
        <row r="1015">
          <cell r="A1015" t="str">
            <v>A68RSA1-1</v>
          </cell>
          <cell r="B1015" t="str">
            <v xml:space="preserve">GALVITE PINTURA P TECHOS ROJO </v>
          </cell>
          <cell r="C1015">
            <v>1</v>
          </cell>
          <cell r="D1015">
            <v>365</v>
          </cell>
        </row>
        <row r="1016">
          <cell r="A1016" t="str">
            <v>A68WSA1</v>
          </cell>
          <cell r="B1016" t="str">
            <v xml:space="preserve">GALVITE PINT P TECHOS BLANCO  </v>
          </cell>
          <cell r="C1016">
            <v>1</v>
          </cell>
          <cell r="D1016">
            <v>365</v>
          </cell>
        </row>
        <row r="1017">
          <cell r="A1017" t="str">
            <v>A68WSA1-1</v>
          </cell>
          <cell r="B1017" t="str">
            <v xml:space="preserve">GALVITE PINT P TECHOS BLANCO  </v>
          </cell>
          <cell r="C1017">
            <v>1</v>
          </cell>
          <cell r="D1017">
            <v>365</v>
          </cell>
        </row>
        <row r="1018">
          <cell r="A1018" t="str">
            <v>A68WSA1-5</v>
          </cell>
          <cell r="B1018" t="str">
            <v>GALVITE PINTURA P/TECHO BLANCO</v>
          </cell>
          <cell r="C1018">
            <v>1</v>
          </cell>
          <cell r="D1018">
            <v>365</v>
          </cell>
        </row>
        <row r="1019">
          <cell r="A1019" t="str">
            <v>A68YSA1</v>
          </cell>
          <cell r="B1019" t="str">
            <v xml:space="preserve">GALVITE AMARILLO              </v>
          </cell>
          <cell r="C1019">
            <v>1</v>
          </cell>
          <cell r="D1019">
            <v>365</v>
          </cell>
        </row>
        <row r="1020">
          <cell r="A1020" t="str">
            <v>A68YSA1-5</v>
          </cell>
          <cell r="B1020" t="str">
            <v xml:space="preserve">GALVITE AMARILLO              </v>
          </cell>
          <cell r="C1020">
            <v>1</v>
          </cell>
          <cell r="D1020">
            <v>365</v>
          </cell>
        </row>
        <row r="1021">
          <cell r="A1021" t="str">
            <v>A86RSA4</v>
          </cell>
          <cell r="B1021" t="str">
            <v xml:space="preserve">PINTURA TRAFICO CAUCHO ROJ    </v>
          </cell>
          <cell r="C1021">
            <v>2</v>
          </cell>
          <cell r="D1021">
            <v>730</v>
          </cell>
        </row>
        <row r="1022">
          <cell r="A1022" t="str">
            <v>A86RSA4-1</v>
          </cell>
          <cell r="B1022" t="str">
            <v xml:space="preserve">PINTURA TRAFICO CAUCHO ROJ    </v>
          </cell>
          <cell r="C1022">
            <v>2</v>
          </cell>
          <cell r="D1022">
            <v>730</v>
          </cell>
        </row>
        <row r="1023">
          <cell r="A1023" t="str">
            <v>A86RSA4-5</v>
          </cell>
          <cell r="B1023" t="str">
            <v xml:space="preserve">PINTURA TRAFICO CAUCHO ROJ    </v>
          </cell>
          <cell r="C1023">
            <v>2</v>
          </cell>
          <cell r="D1023">
            <v>730</v>
          </cell>
        </row>
        <row r="1024">
          <cell r="A1024" t="str">
            <v>A86WCR12</v>
          </cell>
          <cell r="B1024" t="str">
            <v>PINT TRAF B CAUCHO CLORADO BCO</v>
          </cell>
          <cell r="C1024">
            <v>2</v>
          </cell>
          <cell r="D1024">
            <v>730</v>
          </cell>
        </row>
        <row r="1025">
          <cell r="A1025" t="str">
            <v>A86WCR12-1</v>
          </cell>
          <cell r="B1025" t="str">
            <v>PINT TRAF B CAUCHO CLORADO BCO</v>
          </cell>
          <cell r="C1025">
            <v>2</v>
          </cell>
          <cell r="D1025">
            <v>730</v>
          </cell>
        </row>
        <row r="1026">
          <cell r="A1026" t="str">
            <v>A86WCR12-5</v>
          </cell>
          <cell r="B1026" t="str">
            <v>PINT TRAF B CAUCHO CLORADO BCO</v>
          </cell>
          <cell r="C1026">
            <v>2</v>
          </cell>
          <cell r="D1026">
            <v>730</v>
          </cell>
        </row>
        <row r="1027">
          <cell r="A1027" t="str">
            <v>A86WCR12-50</v>
          </cell>
          <cell r="B1027" t="str">
            <v xml:space="preserve">PINTURA PARA TRAFICO BLANCA   </v>
          </cell>
          <cell r="C1027">
            <v>2</v>
          </cell>
          <cell r="D1027">
            <v>730</v>
          </cell>
        </row>
        <row r="1028">
          <cell r="A1028" t="str">
            <v>A86WSA15</v>
          </cell>
          <cell r="B1028" t="str">
            <v>PINT TRAFI CAUCHO M-248 TIPO N</v>
          </cell>
          <cell r="C1028">
            <v>2</v>
          </cell>
          <cell r="D1028">
            <v>730</v>
          </cell>
        </row>
        <row r="1029">
          <cell r="A1029" t="str">
            <v>A86WSA15-1</v>
          </cell>
          <cell r="B1029" t="str">
            <v>PINT TRAFI CAUCHO M-248 BLANCA</v>
          </cell>
          <cell r="C1029">
            <v>2</v>
          </cell>
          <cell r="D1029">
            <v>730</v>
          </cell>
        </row>
        <row r="1030">
          <cell r="A1030" t="str">
            <v>A86WSA15-5</v>
          </cell>
          <cell r="B1030" t="str">
            <v>PINT TRAFI CAUCHO M-248 BLANCA</v>
          </cell>
          <cell r="C1030">
            <v>2</v>
          </cell>
          <cell r="D1030">
            <v>730</v>
          </cell>
        </row>
        <row r="1031">
          <cell r="A1031" t="str">
            <v>A86YCR11</v>
          </cell>
          <cell r="B1031" t="str">
            <v>PINT TRAF B CAUC CLOR AMARILLO</v>
          </cell>
          <cell r="C1031">
            <v>2</v>
          </cell>
          <cell r="D1031">
            <v>730</v>
          </cell>
        </row>
        <row r="1032">
          <cell r="A1032" t="str">
            <v>A86YCR11-1</v>
          </cell>
          <cell r="B1032" t="str">
            <v>PINT TRAF B CAUC CLOR AMARILLO</v>
          </cell>
          <cell r="C1032">
            <v>2</v>
          </cell>
          <cell r="D1032">
            <v>730</v>
          </cell>
        </row>
        <row r="1033">
          <cell r="A1033" t="str">
            <v>A86YCR11-5</v>
          </cell>
          <cell r="B1033" t="str">
            <v>PINT TRAF B CAUC CLOR AMARILLO</v>
          </cell>
          <cell r="C1033">
            <v>2</v>
          </cell>
          <cell r="D1033">
            <v>730</v>
          </cell>
        </row>
        <row r="1034">
          <cell r="A1034" t="str">
            <v>A86YCR11-50</v>
          </cell>
          <cell r="B1034" t="str">
            <v xml:space="preserve">PINTURA PARA TRAFICO AMARILLO </v>
          </cell>
          <cell r="C1034">
            <v>2</v>
          </cell>
          <cell r="D1034">
            <v>730</v>
          </cell>
        </row>
        <row r="1035">
          <cell r="A1035" t="str">
            <v>A86YSA15</v>
          </cell>
          <cell r="B1035" t="str">
            <v>PINT P/TRAF CAUCHO CLORADO AMA</v>
          </cell>
          <cell r="C1035">
            <v>2</v>
          </cell>
          <cell r="D1035">
            <v>730</v>
          </cell>
        </row>
        <row r="1036">
          <cell r="A1036" t="str">
            <v>A86YSA15-1</v>
          </cell>
          <cell r="B1036" t="str">
            <v>PINT TRAF CAUCHO CLORADO AMARI</v>
          </cell>
          <cell r="C1036">
            <v>2</v>
          </cell>
          <cell r="D1036">
            <v>730</v>
          </cell>
        </row>
        <row r="1037">
          <cell r="A1037" t="str">
            <v>A86YSA15-5</v>
          </cell>
          <cell r="B1037" t="str">
            <v>PINT TRAF CAUCHO CLORADO AMARI</v>
          </cell>
          <cell r="C1037">
            <v>2</v>
          </cell>
          <cell r="D1037">
            <v>730</v>
          </cell>
        </row>
        <row r="1038">
          <cell r="A1038" t="str">
            <v>A86YSA18</v>
          </cell>
          <cell r="B1038" t="str">
            <v xml:space="preserve">PINT.AMARILLA SATINA CAUCHO   </v>
          </cell>
          <cell r="C1038">
            <v>2</v>
          </cell>
          <cell r="D1038">
            <v>730</v>
          </cell>
        </row>
        <row r="1039">
          <cell r="A1039" t="str">
            <v>A86YSA18-1</v>
          </cell>
          <cell r="B1039" t="str">
            <v xml:space="preserve">PINT.AMARILLA SATINA CAUCHO   </v>
          </cell>
          <cell r="C1039">
            <v>2</v>
          </cell>
          <cell r="D1039">
            <v>730</v>
          </cell>
        </row>
        <row r="1040">
          <cell r="A1040" t="str">
            <v>A86YSA21</v>
          </cell>
          <cell r="B1040" t="str">
            <v>PINTURA AMARI  P/TRAFIC AASHTO</v>
          </cell>
          <cell r="C1040">
            <v>2</v>
          </cell>
          <cell r="D1040">
            <v>730</v>
          </cell>
        </row>
        <row r="1041">
          <cell r="A1041" t="str">
            <v>A86YSA21-50</v>
          </cell>
          <cell r="B1041" t="str">
            <v>PINTURA AMARI  P/TRAFIC AASHTO</v>
          </cell>
          <cell r="C1041">
            <v>2</v>
          </cell>
          <cell r="D1041">
            <v>730</v>
          </cell>
        </row>
        <row r="1042">
          <cell r="A1042" t="str">
            <v>A99ASA3</v>
          </cell>
          <cell r="B1042" t="str">
            <v xml:space="preserve">COLONIAL ANTICORROSIVO GRIS   </v>
          </cell>
          <cell r="C1042">
            <v>1</v>
          </cell>
          <cell r="D1042">
            <v>365</v>
          </cell>
        </row>
        <row r="1043">
          <cell r="A1043" t="str">
            <v>A99ASA3-1</v>
          </cell>
          <cell r="B1043" t="str">
            <v xml:space="preserve">COLONIAL ANTICORROSIVO GRIS   </v>
          </cell>
          <cell r="C1043">
            <v>1</v>
          </cell>
          <cell r="D1043">
            <v>365</v>
          </cell>
        </row>
        <row r="1044">
          <cell r="A1044" t="str">
            <v>A99ASA3-1/4</v>
          </cell>
          <cell r="B1044" t="str">
            <v xml:space="preserve">COLONIAL ANTICORROSIVO GRIS   </v>
          </cell>
          <cell r="C1044">
            <v>1</v>
          </cell>
          <cell r="D1044">
            <v>365</v>
          </cell>
        </row>
        <row r="1045">
          <cell r="A1045" t="str">
            <v>A99ASA3-5</v>
          </cell>
          <cell r="B1045" t="str">
            <v xml:space="preserve">COLONIAL ANTICORROSIVO GRIS   </v>
          </cell>
          <cell r="C1045">
            <v>1</v>
          </cell>
          <cell r="D1045">
            <v>365</v>
          </cell>
        </row>
        <row r="1046">
          <cell r="A1046" t="str">
            <v>A99ASA3-50</v>
          </cell>
          <cell r="B1046" t="str">
            <v xml:space="preserve">COLONIAL ANTICORROSIVO GRIS   </v>
          </cell>
          <cell r="C1046">
            <v>1</v>
          </cell>
          <cell r="D1046">
            <v>365</v>
          </cell>
        </row>
        <row r="1047">
          <cell r="A1047" t="str">
            <v>A99BSA2</v>
          </cell>
          <cell r="B1047" t="str">
            <v xml:space="preserve">COLONIAL ANTICORROSIVO NEGRO  </v>
          </cell>
          <cell r="C1047">
            <v>1</v>
          </cell>
          <cell r="D1047">
            <v>365</v>
          </cell>
        </row>
        <row r="1048">
          <cell r="A1048" t="str">
            <v>A99BSA2-1</v>
          </cell>
          <cell r="B1048" t="str">
            <v xml:space="preserve">COLONIAL ANTICORROSIVO NEGRO  </v>
          </cell>
          <cell r="C1048">
            <v>1</v>
          </cell>
          <cell r="D1048">
            <v>365</v>
          </cell>
        </row>
        <row r="1049">
          <cell r="A1049" t="str">
            <v>A99BSA2-1/4</v>
          </cell>
          <cell r="B1049" t="str">
            <v xml:space="preserve">COLONIAL ANTICORROSIVO NEGRO  </v>
          </cell>
          <cell r="C1049">
            <v>1</v>
          </cell>
          <cell r="D1049">
            <v>365</v>
          </cell>
        </row>
        <row r="1050">
          <cell r="A1050" t="str">
            <v>A99BSA2-5</v>
          </cell>
          <cell r="B1050" t="str">
            <v xml:space="preserve">COLONIAL ANTICORROSIVO NEGRO  </v>
          </cell>
          <cell r="C1050">
            <v>1</v>
          </cell>
          <cell r="D1050">
            <v>365</v>
          </cell>
        </row>
        <row r="1051">
          <cell r="A1051" t="str">
            <v>A99BSA2-50</v>
          </cell>
          <cell r="B1051" t="str">
            <v xml:space="preserve">COLONIAL ANTICORROSIVO NEGRO  </v>
          </cell>
          <cell r="C1051">
            <v>1</v>
          </cell>
          <cell r="D1051">
            <v>365</v>
          </cell>
        </row>
        <row r="1052">
          <cell r="A1052" t="str">
            <v>A99GCR10</v>
          </cell>
          <cell r="B1052" t="str">
            <v>COLONIAL PINT TECHO VERDE BRTE</v>
          </cell>
          <cell r="C1052">
            <v>1</v>
          </cell>
          <cell r="D1052">
            <v>365</v>
          </cell>
        </row>
        <row r="1053">
          <cell r="A1053" t="str">
            <v>A99GCR10-1</v>
          </cell>
          <cell r="B1053" t="str">
            <v>COLONIAL PINT TECHO VERDE BRTE</v>
          </cell>
          <cell r="C1053">
            <v>1</v>
          </cell>
          <cell r="D1053">
            <v>365</v>
          </cell>
        </row>
        <row r="1054">
          <cell r="A1054" t="str">
            <v>A99GCR10-5</v>
          </cell>
          <cell r="B1054" t="str">
            <v>COLONIAL PINT TECHO VERDE BRTE</v>
          </cell>
          <cell r="C1054">
            <v>1</v>
          </cell>
          <cell r="D1054">
            <v>365</v>
          </cell>
        </row>
        <row r="1055">
          <cell r="A1055" t="str">
            <v>A99GSA5</v>
          </cell>
          <cell r="B1055" t="str">
            <v xml:space="preserve">COLONIAL ANTICORROSIVO VERDE  </v>
          </cell>
          <cell r="C1055">
            <v>1</v>
          </cell>
          <cell r="D1055">
            <v>365</v>
          </cell>
        </row>
        <row r="1056">
          <cell r="A1056" t="str">
            <v>A99GSA5-1</v>
          </cell>
          <cell r="B1056" t="str">
            <v xml:space="preserve">COLONIAL ANTICORROSIVO VERDE  </v>
          </cell>
          <cell r="C1056">
            <v>1</v>
          </cell>
          <cell r="D1056">
            <v>365</v>
          </cell>
        </row>
        <row r="1057">
          <cell r="A1057" t="str">
            <v>A99GSA5-1/4</v>
          </cell>
          <cell r="B1057" t="str">
            <v xml:space="preserve">COLONIAL ANTICORROSIVO VERDE  </v>
          </cell>
          <cell r="C1057">
            <v>1</v>
          </cell>
          <cell r="D1057">
            <v>365</v>
          </cell>
        </row>
        <row r="1058">
          <cell r="A1058" t="str">
            <v>A99GSA5-5</v>
          </cell>
          <cell r="B1058" t="str">
            <v xml:space="preserve">COLONIAL ANTICORROSIVO VERDE  </v>
          </cell>
          <cell r="C1058">
            <v>1</v>
          </cell>
          <cell r="D1058">
            <v>365</v>
          </cell>
        </row>
        <row r="1059">
          <cell r="A1059" t="str">
            <v>A99GSA5-50</v>
          </cell>
          <cell r="B1059" t="str">
            <v xml:space="preserve">COLONIAL ANTICORROSIVO VERDE  </v>
          </cell>
          <cell r="C1059">
            <v>1</v>
          </cell>
          <cell r="D1059">
            <v>365</v>
          </cell>
        </row>
        <row r="1060">
          <cell r="A1060" t="str">
            <v>A99NSA11</v>
          </cell>
          <cell r="B1060" t="str">
            <v xml:space="preserve">COLONIAL ANTICORROSIVO ROJO   </v>
          </cell>
          <cell r="C1060">
            <v>1</v>
          </cell>
          <cell r="D1060">
            <v>365</v>
          </cell>
        </row>
        <row r="1061">
          <cell r="A1061" t="str">
            <v>A99NSA11-1</v>
          </cell>
          <cell r="B1061" t="str">
            <v xml:space="preserve">COLONIAL ANTICORROSIVO ROJO   </v>
          </cell>
          <cell r="C1061">
            <v>1</v>
          </cell>
          <cell r="D1061">
            <v>365</v>
          </cell>
        </row>
        <row r="1062">
          <cell r="A1062" t="str">
            <v>A99NSA11-1/4</v>
          </cell>
          <cell r="B1062" t="str">
            <v xml:space="preserve">COLONIAL ANTICORROSIVO ROJO   </v>
          </cell>
          <cell r="C1062">
            <v>1</v>
          </cell>
          <cell r="D1062">
            <v>365</v>
          </cell>
        </row>
        <row r="1063">
          <cell r="A1063" t="str">
            <v>A99NSA11-5</v>
          </cell>
          <cell r="B1063" t="str">
            <v xml:space="preserve">COLONIAL ANTICORROSIVO ROJO   </v>
          </cell>
          <cell r="C1063">
            <v>1</v>
          </cell>
          <cell r="D1063">
            <v>365</v>
          </cell>
        </row>
        <row r="1064">
          <cell r="A1064" t="str">
            <v>A99NSA11-50</v>
          </cell>
          <cell r="B1064" t="str">
            <v xml:space="preserve">COLONIAL ANTICORROSIVO ROJO   </v>
          </cell>
          <cell r="C1064">
            <v>1</v>
          </cell>
          <cell r="D1064">
            <v>365</v>
          </cell>
        </row>
        <row r="1065">
          <cell r="A1065" t="str">
            <v>A99RCR4</v>
          </cell>
          <cell r="B1065" t="str">
            <v xml:space="preserve">COLONIAL PINT TECHOS ROJO BRI </v>
          </cell>
          <cell r="C1065">
            <v>1</v>
          </cell>
          <cell r="D1065">
            <v>365</v>
          </cell>
        </row>
        <row r="1066">
          <cell r="A1066" t="str">
            <v>A99RCR4-1</v>
          </cell>
          <cell r="B1066" t="str">
            <v xml:space="preserve">COLONIAL PINT TECHOS ROJO BRI </v>
          </cell>
          <cell r="C1066">
            <v>1</v>
          </cell>
          <cell r="D1066">
            <v>365</v>
          </cell>
        </row>
        <row r="1067">
          <cell r="A1067" t="str">
            <v>A99RCR4-5</v>
          </cell>
          <cell r="B1067" t="str">
            <v xml:space="preserve">COLONIAL PINT TECHOS ROJO BRI </v>
          </cell>
          <cell r="C1067">
            <v>1</v>
          </cell>
          <cell r="D1067">
            <v>365</v>
          </cell>
        </row>
        <row r="1068">
          <cell r="A1068" t="str">
            <v>A99WSA3</v>
          </cell>
          <cell r="B1068" t="str">
            <v xml:space="preserve">COLONIAL ANTICORROSIVO BLANCO </v>
          </cell>
          <cell r="C1068">
            <v>1</v>
          </cell>
          <cell r="D1068">
            <v>365</v>
          </cell>
        </row>
        <row r="1069">
          <cell r="A1069" t="str">
            <v>A99WSA3-1</v>
          </cell>
          <cell r="B1069" t="str">
            <v xml:space="preserve">COLONIAL ANTICORROSIVO BLANCO </v>
          </cell>
          <cell r="C1069">
            <v>1</v>
          </cell>
          <cell r="D1069">
            <v>365</v>
          </cell>
        </row>
        <row r="1070">
          <cell r="A1070" t="str">
            <v>A99WSA3-1/4</v>
          </cell>
          <cell r="B1070" t="str">
            <v xml:space="preserve">COLONIAL ANTICORROSIVO BLANCO </v>
          </cell>
          <cell r="C1070">
            <v>1</v>
          </cell>
          <cell r="D1070">
            <v>365</v>
          </cell>
        </row>
        <row r="1071">
          <cell r="A1071" t="str">
            <v>A99WSA3-5</v>
          </cell>
          <cell r="B1071" t="str">
            <v xml:space="preserve">COLONIAL ANTICORROSIVO BLANCO </v>
          </cell>
          <cell r="C1071">
            <v>1</v>
          </cell>
          <cell r="D1071">
            <v>365</v>
          </cell>
        </row>
        <row r="1072">
          <cell r="A1072" t="str">
            <v>A99WSA3-50</v>
          </cell>
          <cell r="B1072" t="str">
            <v xml:space="preserve">COLONIAL ANTICORROSIVO BLANCO </v>
          </cell>
          <cell r="C1072">
            <v>1</v>
          </cell>
          <cell r="D1072">
            <v>365</v>
          </cell>
        </row>
        <row r="1073">
          <cell r="A1073" t="str">
            <v>B11ASA1</v>
          </cell>
          <cell r="B1073" t="str">
            <v xml:space="preserve">RE5'B RUSTICO P HIERRO-METAL  </v>
          </cell>
          <cell r="C1073">
            <v>1</v>
          </cell>
          <cell r="D1073">
            <v>365</v>
          </cell>
        </row>
        <row r="1074">
          <cell r="A1074" t="str">
            <v>B11ASA1-1</v>
          </cell>
          <cell r="B1074" t="str">
            <v>RECUBRIMIENTO RUSTICO P/HIERRO</v>
          </cell>
          <cell r="C1074">
            <v>1</v>
          </cell>
          <cell r="D1074">
            <v>365</v>
          </cell>
        </row>
        <row r="1075">
          <cell r="A1075" t="str">
            <v>B11ASA1-5</v>
          </cell>
          <cell r="B1075" t="str">
            <v xml:space="preserve">RECUB RUSTICO P HIERRO-METAL  </v>
          </cell>
          <cell r="C1075">
            <v>1</v>
          </cell>
          <cell r="D1075">
            <v>365</v>
          </cell>
        </row>
        <row r="1076">
          <cell r="A1076" t="str">
            <v>B23WP1</v>
          </cell>
          <cell r="B1076" t="str">
            <v>BASE DE CAUCHO CLORADO INT-EXT</v>
          </cell>
          <cell r="C1076">
            <v>2</v>
          </cell>
          <cell r="D1076">
            <v>730</v>
          </cell>
        </row>
        <row r="1077">
          <cell r="A1077" t="str">
            <v>B23WP1-5</v>
          </cell>
          <cell r="B1077" t="str">
            <v>BASE DE CAUCHO CLORADO INT-EXT</v>
          </cell>
          <cell r="C1077">
            <v>2</v>
          </cell>
          <cell r="D1077">
            <v>730</v>
          </cell>
        </row>
        <row r="1078">
          <cell r="A1078" t="str">
            <v>B42HSA1</v>
          </cell>
          <cell r="B1078" t="str">
            <v xml:space="preserve">PINTURA PARA FIBROCE GARDENIA </v>
          </cell>
          <cell r="C1078">
            <v>1</v>
          </cell>
          <cell r="D1078">
            <v>365</v>
          </cell>
        </row>
        <row r="1079">
          <cell r="A1079" t="str">
            <v>B42HSA1-5</v>
          </cell>
          <cell r="B1079" t="str">
            <v xml:space="preserve">PINTURA PARA FIBROCE GARDENIA </v>
          </cell>
          <cell r="C1079">
            <v>1</v>
          </cell>
          <cell r="D1079">
            <v>365</v>
          </cell>
        </row>
        <row r="1080">
          <cell r="A1080" t="str">
            <v>B42LSA2</v>
          </cell>
          <cell r="B1080" t="str">
            <v>PINTURA P/FIBROCE AZUL MEDITER</v>
          </cell>
          <cell r="C1080">
            <v>1</v>
          </cell>
          <cell r="D1080">
            <v>365</v>
          </cell>
        </row>
        <row r="1081">
          <cell r="A1081" t="str">
            <v>B42LSA2-1</v>
          </cell>
          <cell r="B1081" t="str">
            <v>PINTURA P/FIBROCE AZUL MEDITER</v>
          </cell>
          <cell r="C1081">
            <v>1</v>
          </cell>
          <cell r="D1081">
            <v>365</v>
          </cell>
        </row>
        <row r="1082">
          <cell r="A1082" t="str">
            <v>B42LSA2-5</v>
          </cell>
          <cell r="B1082" t="str">
            <v>PINTURA P/FIBROCE AZUL MEDITER</v>
          </cell>
          <cell r="C1082">
            <v>1</v>
          </cell>
          <cell r="D1082">
            <v>365</v>
          </cell>
        </row>
        <row r="1083">
          <cell r="A1083" t="str">
            <v>B42LSA2-50</v>
          </cell>
          <cell r="B1083" t="str">
            <v>PINTURA P/FIBROCE AZUL MEDITER</v>
          </cell>
          <cell r="C1083">
            <v>1</v>
          </cell>
          <cell r="D1083">
            <v>365</v>
          </cell>
        </row>
        <row r="1084">
          <cell r="A1084" t="str">
            <v>B42RP8</v>
          </cell>
          <cell r="B1084" t="str">
            <v>PINTURA P/FIBROC ROJO TECHOLIT</v>
          </cell>
          <cell r="C1084">
            <v>1</v>
          </cell>
          <cell r="D1084">
            <v>365</v>
          </cell>
        </row>
        <row r="1085">
          <cell r="A1085" t="str">
            <v>B42RP8-1</v>
          </cell>
          <cell r="B1085" t="str">
            <v>PINTURA P/FIBROC ROJO TECHOLIT</v>
          </cell>
          <cell r="C1085">
            <v>1</v>
          </cell>
          <cell r="D1085">
            <v>365</v>
          </cell>
        </row>
        <row r="1086">
          <cell r="A1086" t="str">
            <v>B42RP8-5</v>
          </cell>
          <cell r="B1086" t="str">
            <v>PINTURA P/FIBROC ROJO TECHOLIT</v>
          </cell>
          <cell r="C1086">
            <v>1</v>
          </cell>
          <cell r="D1086">
            <v>365</v>
          </cell>
        </row>
        <row r="1087">
          <cell r="A1087" t="str">
            <v>B44VA4</v>
          </cell>
          <cell r="B1087" t="str">
            <v xml:space="preserve">BARNIZ PARA LADRILLO VISTO    </v>
          </cell>
          <cell r="C1087">
            <v>2</v>
          </cell>
          <cell r="D1087">
            <v>730</v>
          </cell>
        </row>
        <row r="1088">
          <cell r="A1088" t="str">
            <v>B44VA4-1</v>
          </cell>
          <cell r="B1088" t="str">
            <v xml:space="preserve">BARNIZ PARA LADRILLO VISTO    </v>
          </cell>
          <cell r="C1088">
            <v>2</v>
          </cell>
          <cell r="D1088">
            <v>730</v>
          </cell>
        </row>
        <row r="1089">
          <cell r="A1089" t="str">
            <v>B44VA4-1/4</v>
          </cell>
          <cell r="B1089" t="str">
            <v xml:space="preserve">BARNIZ PARA LADRILLO VISTO    </v>
          </cell>
          <cell r="C1089">
            <v>2</v>
          </cell>
          <cell r="D1089">
            <v>730</v>
          </cell>
        </row>
        <row r="1090">
          <cell r="A1090" t="str">
            <v>B44VA4-50</v>
          </cell>
          <cell r="B1090" t="str">
            <v xml:space="preserve">BARNIZ PARA LADRILLO VISTO    </v>
          </cell>
          <cell r="C1090">
            <v>2</v>
          </cell>
          <cell r="D1090">
            <v>730</v>
          </cell>
        </row>
        <row r="1091">
          <cell r="A1091" t="str">
            <v>B44VP1</v>
          </cell>
          <cell r="B1091" t="str">
            <v xml:space="preserve">SANDING SEALER DE AGUARRAS 0  </v>
          </cell>
          <cell r="C1091">
            <v>2</v>
          </cell>
          <cell r="D1091">
            <v>730</v>
          </cell>
        </row>
        <row r="1092">
          <cell r="A1092" t="str">
            <v>B44VP1-1</v>
          </cell>
          <cell r="B1092" t="str">
            <v xml:space="preserve">SANDING SEALER DE AGUARRAS    </v>
          </cell>
          <cell r="C1092">
            <v>2</v>
          </cell>
          <cell r="D1092">
            <v>730</v>
          </cell>
        </row>
        <row r="1093">
          <cell r="A1093" t="str">
            <v>B44VP1-1/4</v>
          </cell>
          <cell r="B1093" t="str">
            <v xml:space="preserve">SANDING SEALER DE AGUARRAS    </v>
          </cell>
          <cell r="C1093">
            <v>2</v>
          </cell>
          <cell r="D1093">
            <v>730</v>
          </cell>
        </row>
        <row r="1094">
          <cell r="A1094" t="str">
            <v>B44VSA1</v>
          </cell>
          <cell r="B1094" t="str">
            <v>SELLADOR PARA MADERA BASE AGUA</v>
          </cell>
          <cell r="C1094">
            <v>2</v>
          </cell>
          <cell r="D1094">
            <v>730</v>
          </cell>
        </row>
        <row r="1095">
          <cell r="A1095" t="str">
            <v>B44VSA1-1</v>
          </cell>
          <cell r="B1095" t="str">
            <v>SELLADOR PARA MADERA BASE AGUA</v>
          </cell>
          <cell r="C1095">
            <v>2</v>
          </cell>
          <cell r="D1095">
            <v>730</v>
          </cell>
        </row>
        <row r="1096">
          <cell r="A1096" t="str">
            <v>B44WSA1</v>
          </cell>
          <cell r="B1096" t="str">
            <v xml:space="preserve">BASE PARA FIBROLIT BLANCA     </v>
          </cell>
          <cell r="C1096">
            <v>2</v>
          </cell>
          <cell r="D1096">
            <v>730</v>
          </cell>
        </row>
        <row r="1097">
          <cell r="A1097" t="str">
            <v>B44WSA1-5</v>
          </cell>
          <cell r="B1097" t="str">
            <v xml:space="preserve">BASE PARA FIBROLIT BLANCA     </v>
          </cell>
          <cell r="C1097">
            <v>2</v>
          </cell>
          <cell r="D1097">
            <v>730</v>
          </cell>
        </row>
        <row r="1098">
          <cell r="A1098" t="str">
            <v>B45WSA1</v>
          </cell>
          <cell r="B1098" t="str">
            <v>SELLA BLAN RAP SECAD P/TABLYES</v>
          </cell>
          <cell r="C1098">
            <v>3</v>
          </cell>
          <cell r="D1098">
            <v>1095</v>
          </cell>
        </row>
        <row r="1099">
          <cell r="A1099" t="str">
            <v>B45WSA1-1</v>
          </cell>
          <cell r="B1099" t="str">
            <v>SELLA BLAN RAP SECAD P/TABLYES</v>
          </cell>
          <cell r="C1099">
            <v>3</v>
          </cell>
          <cell r="D1099">
            <v>1095</v>
          </cell>
        </row>
        <row r="1100">
          <cell r="A1100" t="str">
            <v>B45WSA1-5</v>
          </cell>
          <cell r="B1100" t="str">
            <v>SELLA BLAN RAP SECAD P/TABLYES</v>
          </cell>
          <cell r="C1100">
            <v>3</v>
          </cell>
          <cell r="D1100">
            <v>1095</v>
          </cell>
        </row>
        <row r="1101">
          <cell r="A1101" t="str">
            <v>B45WSA3</v>
          </cell>
          <cell r="B1101" t="str">
            <v xml:space="preserve">SELLADOR BLANCO P/CONCRETO    </v>
          </cell>
          <cell r="C1101">
            <v>3</v>
          </cell>
          <cell r="D1101">
            <v>1095</v>
          </cell>
        </row>
        <row r="1102">
          <cell r="A1102" t="str">
            <v>B45WSA3-1</v>
          </cell>
          <cell r="B1102" t="str">
            <v xml:space="preserve">SELLADOR BLANCO P/CONCRETO    </v>
          </cell>
          <cell r="C1102">
            <v>3</v>
          </cell>
          <cell r="D1102">
            <v>1095</v>
          </cell>
        </row>
        <row r="1103">
          <cell r="A1103" t="str">
            <v>B45WSA3-5</v>
          </cell>
          <cell r="B1103" t="str">
            <v xml:space="preserve">SELLADOR BLANCO P/CONCRETO    </v>
          </cell>
          <cell r="C1103">
            <v>3</v>
          </cell>
          <cell r="D1103">
            <v>1095</v>
          </cell>
        </row>
        <row r="1104">
          <cell r="A1104" t="str">
            <v>B49W2</v>
          </cell>
          <cell r="B1104" t="str">
            <v xml:space="preserve">INT.  ENAMEL UNDERCOAT WHITE  </v>
          </cell>
          <cell r="C1104">
            <v>1</v>
          </cell>
          <cell r="D1104">
            <v>365</v>
          </cell>
        </row>
        <row r="1105">
          <cell r="A1105" t="str">
            <v>B49W2-1</v>
          </cell>
          <cell r="B1105" t="str">
            <v xml:space="preserve">INT.  ENAMEL UNDERCOAT WHITE  </v>
          </cell>
          <cell r="C1105">
            <v>1</v>
          </cell>
          <cell r="D1105">
            <v>365</v>
          </cell>
        </row>
        <row r="1106">
          <cell r="A1106" t="str">
            <v>B51ASA1</v>
          </cell>
          <cell r="B1106" t="str">
            <v xml:space="preserve">PRIMERA MANO PARA PAREDES     </v>
          </cell>
          <cell r="C1106">
            <v>1</v>
          </cell>
          <cell r="D1106">
            <v>365</v>
          </cell>
        </row>
        <row r="1107">
          <cell r="A1107" t="str">
            <v>B51ASA1-5</v>
          </cell>
          <cell r="B1107" t="str">
            <v xml:space="preserve">PRIMERA MANO PARA PAREDES     </v>
          </cell>
          <cell r="C1107">
            <v>1</v>
          </cell>
          <cell r="D1107">
            <v>365</v>
          </cell>
        </row>
        <row r="1108">
          <cell r="A1108" t="str">
            <v>B51ASA1-50</v>
          </cell>
          <cell r="B1108" t="str">
            <v xml:space="preserve">PRIMERA MANO PARA PAREDES     </v>
          </cell>
          <cell r="C1108">
            <v>1</v>
          </cell>
          <cell r="D1108">
            <v>365</v>
          </cell>
        </row>
        <row r="1109">
          <cell r="A1109" t="str">
            <v>B53WW5</v>
          </cell>
          <cell r="B1109" t="str">
            <v xml:space="preserve">SELF CLEANING WHITE           </v>
          </cell>
          <cell r="C1109">
            <v>2</v>
          </cell>
          <cell r="D1109">
            <v>730</v>
          </cell>
        </row>
        <row r="1110">
          <cell r="A1110" t="str">
            <v>B53WW5-1</v>
          </cell>
          <cell r="B1110" t="str">
            <v xml:space="preserve">SELF CLEANING WHITE           </v>
          </cell>
          <cell r="C1110">
            <v>2</v>
          </cell>
          <cell r="D1110">
            <v>730</v>
          </cell>
        </row>
        <row r="1111">
          <cell r="A1111" t="str">
            <v>B53WW5-5</v>
          </cell>
          <cell r="B1111" t="str">
            <v xml:space="preserve">SELF CLEANING WHITE           </v>
          </cell>
          <cell r="C1111">
            <v>2</v>
          </cell>
          <cell r="D1111">
            <v>730</v>
          </cell>
        </row>
        <row r="1112">
          <cell r="A1112" t="str">
            <v>B60CSA1</v>
          </cell>
          <cell r="B1112" t="str">
            <v>ESM EPOX TILECLAD II CATALIZ B</v>
          </cell>
          <cell r="C1112">
            <v>1</v>
          </cell>
          <cell r="D1112">
            <v>365</v>
          </cell>
        </row>
        <row r="1113">
          <cell r="A1113" t="str">
            <v>B60CSA1-1</v>
          </cell>
          <cell r="B1113" t="str">
            <v>ESM EPOX TILECLAD II CATALIZ B</v>
          </cell>
          <cell r="C1113">
            <v>1</v>
          </cell>
          <cell r="D1113">
            <v>365</v>
          </cell>
        </row>
        <row r="1114">
          <cell r="A1114" t="str">
            <v>B62ASA3</v>
          </cell>
          <cell r="B1114" t="str">
            <v xml:space="preserve">ESM EPOX TILECLAD II GRIS A   </v>
          </cell>
          <cell r="C1114">
            <v>1</v>
          </cell>
          <cell r="D1114">
            <v>365</v>
          </cell>
        </row>
        <row r="1115">
          <cell r="A1115" t="str">
            <v>B62ASA3-1</v>
          </cell>
          <cell r="B1115" t="str">
            <v xml:space="preserve">ESM EPOX TILECLAD II GRIS A   </v>
          </cell>
          <cell r="C1115">
            <v>1</v>
          </cell>
          <cell r="D1115">
            <v>365</v>
          </cell>
        </row>
        <row r="1116">
          <cell r="A1116" t="str">
            <v>B62ASA5</v>
          </cell>
          <cell r="B1116" t="str">
            <v xml:space="preserve">TILE CLAD  II ENAM GRIS NAVAL </v>
          </cell>
          <cell r="C1116">
            <v>1</v>
          </cell>
          <cell r="D1116">
            <v>365</v>
          </cell>
        </row>
        <row r="1117">
          <cell r="A1117" t="str">
            <v>B62ASA5-1</v>
          </cell>
          <cell r="B1117" t="str">
            <v xml:space="preserve">TILE CLAD  II ENAM GRIS NAVAL </v>
          </cell>
          <cell r="C1117">
            <v>1</v>
          </cell>
          <cell r="D1117">
            <v>365</v>
          </cell>
        </row>
        <row r="1118">
          <cell r="A1118" t="str">
            <v>B62ASA7</v>
          </cell>
          <cell r="B1118" t="str">
            <v xml:space="preserve">TILE CLAD II ENAM ANCHOR GRAY </v>
          </cell>
          <cell r="C1118">
            <v>1</v>
          </cell>
          <cell r="D1118">
            <v>365</v>
          </cell>
        </row>
        <row r="1119">
          <cell r="A1119" t="str">
            <v>B62ASA7-1</v>
          </cell>
          <cell r="B1119" t="str">
            <v xml:space="preserve">TILE CLAD II ENAM ANCHOR GRAY </v>
          </cell>
          <cell r="C1119">
            <v>1</v>
          </cell>
          <cell r="D1119">
            <v>365</v>
          </cell>
        </row>
        <row r="1120">
          <cell r="A1120" t="str">
            <v>B62BSA1</v>
          </cell>
          <cell r="B1120" t="str">
            <v xml:space="preserve">ESM EPOX TILECLAD II NEGRO A  </v>
          </cell>
          <cell r="C1120">
            <v>1</v>
          </cell>
          <cell r="D1120">
            <v>365</v>
          </cell>
        </row>
        <row r="1121">
          <cell r="A1121" t="str">
            <v>B62BSA1-1</v>
          </cell>
          <cell r="B1121" t="str">
            <v xml:space="preserve">ESM EPOX TILECLAD II NEGRO A  </v>
          </cell>
          <cell r="C1121">
            <v>1</v>
          </cell>
          <cell r="D1121">
            <v>365</v>
          </cell>
        </row>
        <row r="1122">
          <cell r="A1122" t="str">
            <v>B62GSA4</v>
          </cell>
          <cell r="B1122" t="str">
            <v>ESM EPOX TILECLAD II VERDSEG A</v>
          </cell>
          <cell r="C1122">
            <v>1</v>
          </cell>
          <cell r="D1122">
            <v>365</v>
          </cell>
        </row>
        <row r="1123">
          <cell r="A1123" t="str">
            <v>B62GSA4-1</v>
          </cell>
          <cell r="B1123" t="str">
            <v>ESM EPOX TILECLAD II VERDSEG A</v>
          </cell>
          <cell r="C1123">
            <v>1</v>
          </cell>
          <cell r="D1123">
            <v>365</v>
          </cell>
        </row>
        <row r="1124">
          <cell r="A1124" t="str">
            <v>B62WSA2</v>
          </cell>
          <cell r="B1124" t="str">
            <v>ESM EPOX TILE CLAD II BLANCO A</v>
          </cell>
          <cell r="C1124">
            <v>1</v>
          </cell>
          <cell r="D1124">
            <v>365</v>
          </cell>
        </row>
        <row r="1125">
          <cell r="A1125" t="str">
            <v>B62WSA2-1</v>
          </cell>
          <cell r="B1125" t="str">
            <v>ESM EPOX TILE CLAD II BLANCO A</v>
          </cell>
          <cell r="C1125">
            <v>1</v>
          </cell>
          <cell r="D1125">
            <v>365</v>
          </cell>
        </row>
        <row r="1126">
          <cell r="A1126" t="str">
            <v>B62WSA2-1/4</v>
          </cell>
          <cell r="B1126" t="str">
            <v>TILE CLAD II ENAM BLANCO BRILL</v>
          </cell>
          <cell r="C1126">
            <v>1</v>
          </cell>
          <cell r="D1126">
            <v>365</v>
          </cell>
        </row>
        <row r="1127">
          <cell r="A1127" t="str">
            <v>B62YSA6</v>
          </cell>
          <cell r="B1127" t="str">
            <v>ES EPOX TILECLAD II AMAR SEG A</v>
          </cell>
          <cell r="C1127">
            <v>1</v>
          </cell>
          <cell r="D1127">
            <v>365</v>
          </cell>
        </row>
        <row r="1128">
          <cell r="A1128" t="str">
            <v>B62YSA6-1</v>
          </cell>
          <cell r="B1128" t="str">
            <v>ES EPOX TILECLAD II AMAR SEG A</v>
          </cell>
          <cell r="C1128">
            <v>1</v>
          </cell>
          <cell r="D1128">
            <v>365</v>
          </cell>
        </row>
        <row r="1129">
          <cell r="A1129" t="str">
            <v>B65A800-1</v>
          </cell>
          <cell r="B1129" t="str">
            <v>ARMOSEA FLOORTHA CRU HAZE GRAY</v>
          </cell>
          <cell r="C1129">
            <v>1</v>
          </cell>
          <cell r="D1129">
            <v>365</v>
          </cell>
        </row>
        <row r="1130">
          <cell r="A1130" t="str">
            <v>B65C800-1</v>
          </cell>
          <cell r="B1130" t="str">
            <v>ARMOSEA FLOORTHA CRU CLEAR BAS</v>
          </cell>
          <cell r="C1130">
            <v>1</v>
          </cell>
          <cell r="D1130">
            <v>365</v>
          </cell>
        </row>
        <row r="1131">
          <cell r="A1131" t="str">
            <v>B66BSA1</v>
          </cell>
          <cell r="B1131" t="str">
            <v>CORROSHER ANT MAT B AGUA NEGRO</v>
          </cell>
          <cell r="C1131">
            <v>1</v>
          </cell>
          <cell r="D1131">
            <v>365</v>
          </cell>
        </row>
        <row r="1132">
          <cell r="A1132" t="str">
            <v>B66BSA1-1</v>
          </cell>
          <cell r="B1132" t="str">
            <v xml:space="preserve">CORROSHER ANTICORR B/AGUA NEG </v>
          </cell>
          <cell r="C1132">
            <v>1</v>
          </cell>
          <cell r="D1132">
            <v>365</v>
          </cell>
        </row>
        <row r="1133">
          <cell r="A1133" t="str">
            <v>B66BSA1-5</v>
          </cell>
          <cell r="B1133" t="str">
            <v xml:space="preserve">CORROSHER ANTICORR B/AGUA NEG </v>
          </cell>
          <cell r="C1133">
            <v>1</v>
          </cell>
          <cell r="D1133">
            <v>365</v>
          </cell>
        </row>
        <row r="1134">
          <cell r="A1134" t="str">
            <v>B66GSA1</v>
          </cell>
          <cell r="B1134" t="str">
            <v xml:space="preserve">CORROSHER ANT MATE AGUA VERDE </v>
          </cell>
          <cell r="C1134">
            <v>1</v>
          </cell>
          <cell r="D1134">
            <v>365</v>
          </cell>
        </row>
        <row r="1135">
          <cell r="A1135" t="str">
            <v>B66GSA1-1</v>
          </cell>
          <cell r="B1135" t="str">
            <v xml:space="preserve">CORROSHER ANT MATE AGUA VERDE </v>
          </cell>
          <cell r="C1135">
            <v>1</v>
          </cell>
          <cell r="D1135">
            <v>365</v>
          </cell>
        </row>
        <row r="1136">
          <cell r="A1136" t="str">
            <v>B66GSA1-5</v>
          </cell>
          <cell r="B1136" t="str">
            <v xml:space="preserve">CORROSHER ANT MATE AGUA VERDE </v>
          </cell>
          <cell r="C1136">
            <v>1</v>
          </cell>
          <cell r="D1136">
            <v>365</v>
          </cell>
        </row>
        <row r="1137">
          <cell r="A1137" t="str">
            <v>B66LSA1</v>
          </cell>
          <cell r="B1137" t="str">
            <v>CORROSHER ANT MATE B AGUA AZUL</v>
          </cell>
          <cell r="C1137">
            <v>1</v>
          </cell>
          <cell r="D1137">
            <v>365</v>
          </cell>
        </row>
        <row r="1138">
          <cell r="A1138" t="str">
            <v>B66LSA1-1</v>
          </cell>
          <cell r="B1138" t="str">
            <v>CORROSHER ANT MATE B AGUA AZUL</v>
          </cell>
          <cell r="C1138">
            <v>1</v>
          </cell>
          <cell r="D1138">
            <v>365</v>
          </cell>
        </row>
        <row r="1139">
          <cell r="A1139" t="str">
            <v>B66LSA1-5</v>
          </cell>
          <cell r="B1139" t="str">
            <v>CORROSHER ANT MATE B AGUA AZUL</v>
          </cell>
          <cell r="C1139">
            <v>1</v>
          </cell>
          <cell r="D1139">
            <v>365</v>
          </cell>
        </row>
        <row r="1140">
          <cell r="A1140" t="str">
            <v>B66RSA1</v>
          </cell>
          <cell r="B1140" t="str">
            <v>CORROSH ANT MAT B AGUA ROJO OX</v>
          </cell>
          <cell r="C1140">
            <v>1</v>
          </cell>
          <cell r="D1140">
            <v>365</v>
          </cell>
        </row>
        <row r="1141">
          <cell r="A1141" t="str">
            <v>B66RSA1-1</v>
          </cell>
          <cell r="B1141" t="str">
            <v>CORROSH ANT MAT B AGUA ROJO OX</v>
          </cell>
          <cell r="C1141">
            <v>1</v>
          </cell>
          <cell r="D1141">
            <v>365</v>
          </cell>
        </row>
        <row r="1142">
          <cell r="A1142" t="str">
            <v>B66RSA1-5</v>
          </cell>
          <cell r="B1142" t="str">
            <v>CORROSH ANT MAT B AGUA ROJO OX</v>
          </cell>
          <cell r="C1142">
            <v>1</v>
          </cell>
          <cell r="D1142">
            <v>365</v>
          </cell>
        </row>
        <row r="1143">
          <cell r="A1143" t="str">
            <v>B66RSA2</v>
          </cell>
          <cell r="B1143" t="str">
            <v xml:space="preserve">CORROSCHER ANTICORROSIVO      </v>
          </cell>
          <cell r="C1143">
            <v>1</v>
          </cell>
          <cell r="D1143">
            <v>365</v>
          </cell>
        </row>
        <row r="1144">
          <cell r="A1144" t="str">
            <v>B66RSA2-1</v>
          </cell>
          <cell r="B1144" t="str">
            <v>CORROSHER ANT B AGUA ROJO TEJA</v>
          </cell>
          <cell r="C1144">
            <v>1</v>
          </cell>
          <cell r="D1144">
            <v>365</v>
          </cell>
        </row>
        <row r="1145">
          <cell r="A1145" t="str">
            <v>B66RSA2-5</v>
          </cell>
          <cell r="B1145" t="str">
            <v>CORROSHER ANT B AGUA ROJO TEJA</v>
          </cell>
          <cell r="C1145">
            <v>1</v>
          </cell>
          <cell r="D1145">
            <v>365</v>
          </cell>
        </row>
        <row r="1146">
          <cell r="A1146" t="str">
            <v>B66WSA1</v>
          </cell>
          <cell r="B1146" t="str">
            <v xml:space="preserve">CORROSHER ANT MATE B AGUA BCO </v>
          </cell>
          <cell r="C1146">
            <v>1</v>
          </cell>
          <cell r="D1146">
            <v>365</v>
          </cell>
        </row>
        <row r="1147">
          <cell r="A1147" t="str">
            <v>B66WSA1-1</v>
          </cell>
          <cell r="B1147" t="str">
            <v xml:space="preserve">CORROSHER ANT MATE B AGUA BCO </v>
          </cell>
          <cell r="C1147">
            <v>1</v>
          </cell>
          <cell r="D1147">
            <v>365</v>
          </cell>
        </row>
        <row r="1148">
          <cell r="A1148" t="str">
            <v>B66WSA1-5</v>
          </cell>
          <cell r="B1148" t="str">
            <v>CORROSHER ANT BASE AGUA BLANCO</v>
          </cell>
          <cell r="C1148">
            <v>1</v>
          </cell>
          <cell r="D1148">
            <v>365</v>
          </cell>
        </row>
        <row r="1149">
          <cell r="A1149" t="str">
            <v>B69A47-A</v>
          </cell>
          <cell r="B1149" t="str">
            <v xml:space="preserve">ZINC CLAD PRIMER N. 7 PARTE A </v>
          </cell>
          <cell r="C1149">
            <v>1</v>
          </cell>
          <cell r="D1149">
            <v>365</v>
          </cell>
        </row>
        <row r="1150">
          <cell r="A1150" t="str">
            <v>B69A47A-1</v>
          </cell>
          <cell r="B1150" t="str">
            <v xml:space="preserve">ZINC CLAD PRIMER N. 7 PARTE A </v>
          </cell>
          <cell r="C1150">
            <v>1</v>
          </cell>
          <cell r="D1150">
            <v>365</v>
          </cell>
        </row>
        <row r="1151">
          <cell r="A1151" t="str">
            <v>B69A47-B</v>
          </cell>
          <cell r="B1151" t="str">
            <v xml:space="preserve">ZINC CLAD PRIMER No.7 PARTE B </v>
          </cell>
          <cell r="C1151">
            <v>1</v>
          </cell>
          <cell r="D1151">
            <v>365</v>
          </cell>
        </row>
        <row r="1152">
          <cell r="A1152" t="str">
            <v>B69A47B-1/4</v>
          </cell>
          <cell r="B1152" t="str">
            <v xml:space="preserve">ZINC CLAD PRIMER No.7 PARTE B </v>
          </cell>
          <cell r="C1152">
            <v>1</v>
          </cell>
          <cell r="D1152">
            <v>365</v>
          </cell>
        </row>
        <row r="1153">
          <cell r="A1153" t="str">
            <v>B69A47-C</v>
          </cell>
          <cell r="B1153" t="str">
            <v xml:space="preserve">ZINC CLAD PRIMER No.7 PARTE C </v>
          </cell>
          <cell r="C1153">
            <v>1</v>
          </cell>
          <cell r="D1153">
            <v>365</v>
          </cell>
        </row>
        <row r="1154">
          <cell r="A1154" t="str">
            <v>B69A47C-1</v>
          </cell>
          <cell r="B1154" t="str">
            <v xml:space="preserve">ZINC CLAD PRIMER No.7 PARTE C </v>
          </cell>
          <cell r="C1154">
            <v>1</v>
          </cell>
          <cell r="D1154">
            <v>365</v>
          </cell>
        </row>
        <row r="1155">
          <cell r="A1155" t="str">
            <v>B69ASA11</v>
          </cell>
          <cell r="B1155" t="str">
            <v xml:space="preserve">ESM CHEMICAL &amp; MOISTURE GRIS  </v>
          </cell>
          <cell r="C1155">
            <v>1</v>
          </cell>
          <cell r="D1155">
            <v>365</v>
          </cell>
        </row>
        <row r="1156">
          <cell r="A1156" t="str">
            <v>B69ASA11-1</v>
          </cell>
          <cell r="B1156" t="str">
            <v xml:space="preserve">ESM CHEMICAL &amp; MOISTURE GRIS  </v>
          </cell>
          <cell r="C1156">
            <v>1</v>
          </cell>
          <cell r="D1156">
            <v>365</v>
          </cell>
        </row>
        <row r="1157">
          <cell r="A1157" t="str">
            <v>B69ASA12</v>
          </cell>
          <cell r="B1157" t="str">
            <v xml:space="preserve">PRIMER CHEMICAL&amp;MOISTURE GRIS </v>
          </cell>
          <cell r="C1157">
            <v>1</v>
          </cell>
          <cell r="D1157">
            <v>365</v>
          </cell>
        </row>
        <row r="1158">
          <cell r="A1158" t="str">
            <v>B69ASA12-1</v>
          </cell>
          <cell r="B1158" t="str">
            <v xml:space="preserve">PRIMER CHEMICAL&amp;MOISTURE GRIS </v>
          </cell>
          <cell r="C1158">
            <v>1</v>
          </cell>
          <cell r="D1158">
            <v>365</v>
          </cell>
        </row>
        <row r="1159">
          <cell r="A1159" t="str">
            <v>B69ASA16</v>
          </cell>
          <cell r="B1159" t="str">
            <v xml:space="preserve">KEM CATI COAT ENAM GRIS NAVAL </v>
          </cell>
          <cell r="C1159">
            <v>1</v>
          </cell>
          <cell r="D1159">
            <v>365</v>
          </cell>
        </row>
        <row r="1160">
          <cell r="A1160" t="str">
            <v>B69ASA16-1</v>
          </cell>
          <cell r="B1160" t="str">
            <v xml:space="preserve">KEM CATI COAT ENAM GRIS NAVAL </v>
          </cell>
          <cell r="C1160">
            <v>1</v>
          </cell>
          <cell r="D1160">
            <v>365</v>
          </cell>
        </row>
        <row r="1161">
          <cell r="A1161" t="str">
            <v>B69ASA17</v>
          </cell>
          <cell r="B1161" t="str">
            <v xml:space="preserve">CHEMICAL &amp; MOISTURE ENAM GRIS </v>
          </cell>
          <cell r="C1161">
            <v>1</v>
          </cell>
          <cell r="D1161">
            <v>365</v>
          </cell>
        </row>
        <row r="1162">
          <cell r="A1162" t="str">
            <v>B69ASA17-1</v>
          </cell>
          <cell r="B1162" t="str">
            <v xml:space="preserve">CHEMICAL &amp; MOISTURE ENAM GRIS </v>
          </cell>
          <cell r="C1162">
            <v>1</v>
          </cell>
          <cell r="D1162">
            <v>365</v>
          </cell>
        </row>
        <row r="1163">
          <cell r="A1163" t="str">
            <v>B69ASA18</v>
          </cell>
          <cell r="B1163" t="str">
            <v xml:space="preserve">KEM CATI COAT ENAMEL          </v>
          </cell>
          <cell r="C1163">
            <v>1</v>
          </cell>
          <cell r="D1163">
            <v>365</v>
          </cell>
        </row>
        <row r="1164">
          <cell r="A1164" t="str">
            <v>B69ASA18-1</v>
          </cell>
          <cell r="B1164" t="str">
            <v xml:space="preserve">KEM CATI COAT ENAMEL          </v>
          </cell>
          <cell r="C1164">
            <v>1</v>
          </cell>
          <cell r="D1164">
            <v>365</v>
          </cell>
        </row>
        <row r="1165">
          <cell r="A1165" t="str">
            <v>B69B31</v>
          </cell>
          <cell r="B1165" t="str">
            <v>ESM EPOX KEM CATI COAT NEGRO A</v>
          </cell>
          <cell r="C1165">
            <v>1</v>
          </cell>
          <cell r="D1165">
            <v>365</v>
          </cell>
        </row>
        <row r="1166">
          <cell r="A1166" t="str">
            <v>B69B31-1</v>
          </cell>
          <cell r="B1166" t="str">
            <v xml:space="preserve">ESM EPOX KEM CATI COAT NEGRO  </v>
          </cell>
          <cell r="C1166">
            <v>1</v>
          </cell>
          <cell r="D1166">
            <v>365</v>
          </cell>
        </row>
        <row r="1167">
          <cell r="A1167" t="str">
            <v>B69BSA3</v>
          </cell>
          <cell r="B1167" t="str">
            <v>CHEMICAL &amp; MOISTURE ENAM NEGRO</v>
          </cell>
          <cell r="C1167">
            <v>1</v>
          </cell>
          <cell r="D1167">
            <v>365</v>
          </cell>
        </row>
        <row r="1168">
          <cell r="A1168" t="str">
            <v>B69BSA3-1</v>
          </cell>
          <cell r="B1168" t="str">
            <v>CHEMICAL &amp; MOISTURE ENAM NEGRO</v>
          </cell>
          <cell r="C1168">
            <v>1</v>
          </cell>
          <cell r="D1168">
            <v>365</v>
          </cell>
        </row>
        <row r="1169">
          <cell r="A1169" t="str">
            <v>B69ESA4</v>
          </cell>
          <cell r="B1169" t="str">
            <v xml:space="preserve">CHEMICAL &amp; MOISTUR ENAM NARAN </v>
          </cell>
          <cell r="C1169">
            <v>1</v>
          </cell>
          <cell r="D1169">
            <v>365</v>
          </cell>
        </row>
        <row r="1170">
          <cell r="A1170" t="str">
            <v>B69ESA4-1</v>
          </cell>
          <cell r="B1170" t="str">
            <v xml:space="preserve">CHEMICAL &amp; MOISTUR  NARANJA   </v>
          </cell>
          <cell r="C1170">
            <v>1</v>
          </cell>
          <cell r="D1170">
            <v>365</v>
          </cell>
        </row>
        <row r="1171">
          <cell r="A1171" t="str">
            <v>B69G31</v>
          </cell>
          <cell r="B1171" t="str">
            <v>ES EP KEMCATICOATPRIMER VERD A</v>
          </cell>
          <cell r="C1171">
            <v>1</v>
          </cell>
          <cell r="D1171">
            <v>365</v>
          </cell>
        </row>
        <row r="1172">
          <cell r="A1172" t="str">
            <v>B69G31-1</v>
          </cell>
          <cell r="B1172" t="str">
            <v xml:space="preserve">KEM CATI COAT PRIMER VERDE    </v>
          </cell>
          <cell r="C1172">
            <v>1</v>
          </cell>
          <cell r="D1172">
            <v>365</v>
          </cell>
        </row>
        <row r="1173">
          <cell r="A1173" t="str">
            <v>B69G39</v>
          </cell>
          <cell r="B1173" t="str">
            <v>ES EP KEMCATICOATPRIMER VERD A</v>
          </cell>
          <cell r="C1173">
            <v>1</v>
          </cell>
          <cell r="D1173">
            <v>365</v>
          </cell>
        </row>
        <row r="1174">
          <cell r="A1174" t="str">
            <v>B69G39-1</v>
          </cell>
          <cell r="B1174" t="str">
            <v xml:space="preserve">KEM CATI COAT PRIMER VERDE    </v>
          </cell>
          <cell r="C1174">
            <v>1</v>
          </cell>
          <cell r="D1174">
            <v>365</v>
          </cell>
        </row>
        <row r="1175">
          <cell r="A1175" t="str">
            <v>B69GSA18</v>
          </cell>
          <cell r="B1175" t="str">
            <v>KEM CATI COAT ENAM  SAFETY VER</v>
          </cell>
          <cell r="C1175">
            <v>1</v>
          </cell>
          <cell r="D1175">
            <v>365</v>
          </cell>
        </row>
        <row r="1176">
          <cell r="A1176" t="str">
            <v>B69GSA18-1</v>
          </cell>
          <cell r="B1176" t="str">
            <v>KEM CATI COAT ENAM  SAFETY VER</v>
          </cell>
          <cell r="C1176">
            <v>1</v>
          </cell>
          <cell r="D1176">
            <v>365</v>
          </cell>
        </row>
        <row r="1177">
          <cell r="A1177" t="str">
            <v>B69GSA20</v>
          </cell>
          <cell r="B1177" t="str">
            <v xml:space="preserve">KEM CATI COAT PARA PISOS      </v>
          </cell>
          <cell r="C1177">
            <v>1</v>
          </cell>
          <cell r="D1177">
            <v>365</v>
          </cell>
        </row>
        <row r="1178">
          <cell r="A1178" t="str">
            <v>B69GSA20-1</v>
          </cell>
          <cell r="B1178" t="str">
            <v xml:space="preserve">KEM CATI COAT PARA PISOS      </v>
          </cell>
          <cell r="C1178">
            <v>1</v>
          </cell>
          <cell r="D1178">
            <v>365</v>
          </cell>
        </row>
        <row r="1179">
          <cell r="A1179" t="str">
            <v>B69GSA21</v>
          </cell>
          <cell r="B1179" t="str">
            <v xml:space="preserve">KEM CATI COAT ENAMEL          </v>
          </cell>
          <cell r="C1179">
            <v>1</v>
          </cell>
          <cell r="D1179">
            <v>365</v>
          </cell>
        </row>
        <row r="1180">
          <cell r="A1180" t="str">
            <v>B69GSA21-1</v>
          </cell>
          <cell r="B1180" t="str">
            <v xml:space="preserve">KEM CATI COAT ENAMEL          </v>
          </cell>
          <cell r="C1180">
            <v>1</v>
          </cell>
          <cell r="D1180">
            <v>365</v>
          </cell>
        </row>
        <row r="1181">
          <cell r="A1181" t="str">
            <v>B69L39</v>
          </cell>
          <cell r="B1181" t="str">
            <v xml:space="preserve">ESM EPOX KEM CATI COAT AZUL A </v>
          </cell>
          <cell r="C1181">
            <v>1</v>
          </cell>
          <cell r="D1181">
            <v>365</v>
          </cell>
        </row>
        <row r="1182">
          <cell r="A1182" t="str">
            <v>B69L39-1</v>
          </cell>
          <cell r="B1182" t="str">
            <v xml:space="preserve">ESM EPOX KEM CATI COAT AZUL   </v>
          </cell>
          <cell r="C1182">
            <v>1</v>
          </cell>
          <cell r="D1182">
            <v>365</v>
          </cell>
        </row>
        <row r="1183">
          <cell r="A1183" t="str">
            <v>B69LSA10</v>
          </cell>
          <cell r="B1183" t="str">
            <v xml:space="preserve">CHEMICAL &amp; MOISTURE ENAM AZUL </v>
          </cell>
          <cell r="C1183">
            <v>1</v>
          </cell>
          <cell r="D1183">
            <v>365</v>
          </cell>
        </row>
        <row r="1184">
          <cell r="A1184" t="str">
            <v>B69LSA10-1</v>
          </cell>
          <cell r="B1184" t="str">
            <v xml:space="preserve">CHEMICAL &amp; MOISTURE ENAM AZUL </v>
          </cell>
          <cell r="C1184">
            <v>1</v>
          </cell>
          <cell r="D1184">
            <v>365</v>
          </cell>
        </row>
        <row r="1185">
          <cell r="A1185" t="str">
            <v>B69N11</v>
          </cell>
          <cell r="B1185" t="str">
            <v xml:space="preserve">PRIMER CHEMICAL&amp;MOISTURE ROJO </v>
          </cell>
          <cell r="C1185">
            <v>1</v>
          </cell>
          <cell r="D1185">
            <v>365</v>
          </cell>
        </row>
        <row r="1186">
          <cell r="A1186" t="str">
            <v>B69N11-1</v>
          </cell>
          <cell r="B1186" t="str">
            <v>CHEMICAL &amp; MOISTUR PRIMER ROJO</v>
          </cell>
          <cell r="C1186">
            <v>1</v>
          </cell>
          <cell r="D1186">
            <v>365</v>
          </cell>
        </row>
        <row r="1187">
          <cell r="A1187" t="str">
            <v>B69N11-5</v>
          </cell>
          <cell r="B1187" t="str">
            <v>CHEMICAL &amp; MOISTUR PRIMER ROJO</v>
          </cell>
          <cell r="C1187">
            <v>1</v>
          </cell>
          <cell r="D1187">
            <v>365</v>
          </cell>
        </row>
        <row r="1188">
          <cell r="A1188" t="str">
            <v>B69N11-SP</v>
          </cell>
          <cell r="B1188" t="str">
            <v>CHEMICAL &amp; MOISTUR PRIMER ROJO</v>
          </cell>
          <cell r="C1188">
            <v>1</v>
          </cell>
          <cell r="D1188">
            <v>365</v>
          </cell>
        </row>
        <row r="1189">
          <cell r="A1189" t="str">
            <v>B69N11SP-1</v>
          </cell>
          <cell r="B1189" t="str">
            <v>CHEMICAL &amp; MOISTUR PRIMER ROJO</v>
          </cell>
          <cell r="C1189">
            <v>1</v>
          </cell>
          <cell r="D1189">
            <v>365</v>
          </cell>
        </row>
        <row r="1190">
          <cell r="A1190" t="str">
            <v>B69R39</v>
          </cell>
          <cell r="B1190" t="str">
            <v xml:space="preserve">ESM EPOX KEM CATI COAT ROJO A </v>
          </cell>
          <cell r="C1190">
            <v>1</v>
          </cell>
          <cell r="D1190">
            <v>365</v>
          </cell>
        </row>
        <row r="1191">
          <cell r="A1191" t="str">
            <v>B69R39-1</v>
          </cell>
          <cell r="B1191" t="str">
            <v xml:space="preserve">ESM EPOX KEM CATI COAT ROJO A </v>
          </cell>
          <cell r="C1191">
            <v>1</v>
          </cell>
          <cell r="D1191">
            <v>365</v>
          </cell>
        </row>
        <row r="1192">
          <cell r="A1192" t="str">
            <v>B69RSA5</v>
          </cell>
          <cell r="B1192" t="str">
            <v xml:space="preserve">CHEMICAL &amp; MOISTURE ENAM ROJO </v>
          </cell>
          <cell r="C1192">
            <v>1</v>
          </cell>
          <cell r="D1192">
            <v>365</v>
          </cell>
        </row>
        <row r="1193">
          <cell r="A1193" t="str">
            <v>B69RSA5-1</v>
          </cell>
          <cell r="B1193" t="str">
            <v xml:space="preserve">CHEMICAL &amp; MOISTURE ENAM ROJO </v>
          </cell>
          <cell r="C1193">
            <v>1</v>
          </cell>
          <cell r="D1193">
            <v>365</v>
          </cell>
        </row>
        <row r="1194">
          <cell r="A1194" t="str">
            <v>B69SSA1</v>
          </cell>
          <cell r="B1194" t="str">
            <v xml:space="preserve">KEM CATI COAT ENAMEL          </v>
          </cell>
          <cell r="C1194">
            <v>1</v>
          </cell>
          <cell r="D1194">
            <v>365</v>
          </cell>
        </row>
        <row r="1195">
          <cell r="A1195" t="str">
            <v>B69SSA1-1</v>
          </cell>
          <cell r="B1195" t="str">
            <v xml:space="preserve">KEM CATI COAT ENAMEL          </v>
          </cell>
          <cell r="C1195">
            <v>1</v>
          </cell>
          <cell r="D1195">
            <v>365</v>
          </cell>
        </row>
        <row r="1196">
          <cell r="A1196" t="str">
            <v>B69W16</v>
          </cell>
          <cell r="B1196" t="str">
            <v xml:space="preserve">ESM CHEMICAL&amp;MOISTURE BLANCO  </v>
          </cell>
          <cell r="C1196">
            <v>1</v>
          </cell>
          <cell r="D1196">
            <v>365</v>
          </cell>
        </row>
        <row r="1197">
          <cell r="A1197" t="str">
            <v>B69W16-1</v>
          </cell>
          <cell r="B1197" t="str">
            <v xml:space="preserve">ESM CHEMICAL&amp;MOISTURE BLANCO  </v>
          </cell>
          <cell r="C1197">
            <v>1</v>
          </cell>
          <cell r="D1197">
            <v>365</v>
          </cell>
        </row>
        <row r="1198">
          <cell r="A1198" t="str">
            <v>B69W36</v>
          </cell>
          <cell r="B1198" t="str">
            <v xml:space="preserve">ESM EPOX KEM CATI COAT BCO A  </v>
          </cell>
          <cell r="C1198">
            <v>1</v>
          </cell>
          <cell r="D1198">
            <v>365</v>
          </cell>
        </row>
        <row r="1199">
          <cell r="A1199" t="str">
            <v>B69W36-1</v>
          </cell>
          <cell r="B1199" t="str">
            <v xml:space="preserve">ESM EPOX KEM CATI COAT BCO A  </v>
          </cell>
          <cell r="C1199">
            <v>1</v>
          </cell>
          <cell r="D1199">
            <v>365</v>
          </cell>
        </row>
        <row r="1200">
          <cell r="A1200" t="str">
            <v>B69Y39</v>
          </cell>
          <cell r="B1200" t="str">
            <v>ESM EPOX KEM CATICOAT AMARIL A</v>
          </cell>
          <cell r="C1200">
            <v>1</v>
          </cell>
          <cell r="D1200">
            <v>365</v>
          </cell>
        </row>
        <row r="1201">
          <cell r="A1201" t="str">
            <v>B69Y39-1</v>
          </cell>
          <cell r="B1201" t="str">
            <v>ESM EPOX KEM CATICOAT AMARIL A</v>
          </cell>
          <cell r="C1201">
            <v>1</v>
          </cell>
          <cell r="D1201">
            <v>365</v>
          </cell>
        </row>
        <row r="1202">
          <cell r="A1202" t="str">
            <v>B69YSA6</v>
          </cell>
          <cell r="B1202" t="str">
            <v>ESM CHEMICAL&amp;MOISTURE AMARILLO</v>
          </cell>
          <cell r="C1202">
            <v>1</v>
          </cell>
          <cell r="D1202">
            <v>365</v>
          </cell>
        </row>
        <row r="1203">
          <cell r="A1203" t="str">
            <v>B69YSA6-1</v>
          </cell>
          <cell r="B1203" t="str">
            <v>ESM CHEMICAL&amp;MOISTURE AMARILLO</v>
          </cell>
          <cell r="C1203">
            <v>1</v>
          </cell>
          <cell r="D1203">
            <v>365</v>
          </cell>
        </row>
        <row r="1204">
          <cell r="A1204" t="str">
            <v>B69YSA8</v>
          </cell>
          <cell r="B1204" t="str">
            <v>KEM CATI COAT ENAM SAFETY YELL</v>
          </cell>
          <cell r="C1204">
            <v>1</v>
          </cell>
          <cell r="D1204">
            <v>365</v>
          </cell>
        </row>
        <row r="1205">
          <cell r="A1205" t="str">
            <v>B69YSA8-1</v>
          </cell>
          <cell r="B1205" t="str">
            <v>KEM CATI COAT ENAM SAFETY YELL</v>
          </cell>
          <cell r="C1205">
            <v>1</v>
          </cell>
          <cell r="D1205">
            <v>365</v>
          </cell>
        </row>
        <row r="1206">
          <cell r="A1206" t="str">
            <v>B97ASA1</v>
          </cell>
          <cell r="B1206" t="str">
            <v>PINTURA P/SEÑALIZACI BASE AGUA</v>
          </cell>
          <cell r="C1206">
            <v>1</v>
          </cell>
          <cell r="D1206">
            <v>365</v>
          </cell>
        </row>
        <row r="1207">
          <cell r="A1207" t="str">
            <v>B97ASA1-1</v>
          </cell>
          <cell r="B1207" t="str">
            <v xml:space="preserve">PINT P/SEÑALIZACI B/AGUA GRIS </v>
          </cell>
          <cell r="C1207">
            <v>1</v>
          </cell>
          <cell r="D1207">
            <v>365</v>
          </cell>
        </row>
        <row r="1208">
          <cell r="A1208" t="str">
            <v>B97BSA1</v>
          </cell>
          <cell r="B1208" t="str">
            <v>PINTURA NEGRA P/TRAF BASE AGUA</v>
          </cell>
          <cell r="C1208">
            <v>1</v>
          </cell>
          <cell r="D1208">
            <v>365</v>
          </cell>
        </row>
        <row r="1209">
          <cell r="A1209" t="str">
            <v>B97BSA1-1</v>
          </cell>
          <cell r="B1209" t="str">
            <v xml:space="preserve">PINT NEGRA P/TRAF BASE AGUA   </v>
          </cell>
          <cell r="C1209">
            <v>1</v>
          </cell>
          <cell r="D1209">
            <v>365</v>
          </cell>
        </row>
        <row r="1210">
          <cell r="A1210" t="str">
            <v>B97GSA1</v>
          </cell>
          <cell r="B1210" t="str">
            <v>PINT VERD P/SEÑALIZA BASE AGUA</v>
          </cell>
          <cell r="C1210">
            <v>1</v>
          </cell>
          <cell r="D1210">
            <v>365</v>
          </cell>
        </row>
        <row r="1211">
          <cell r="A1211" t="str">
            <v>B97GSA1-5</v>
          </cell>
          <cell r="B1211" t="str">
            <v>PINT VERD P/SEÑALIZA BASE AGUA</v>
          </cell>
          <cell r="C1211">
            <v>1</v>
          </cell>
          <cell r="D1211">
            <v>365</v>
          </cell>
        </row>
        <row r="1212">
          <cell r="A1212" t="str">
            <v>B97WD2257</v>
          </cell>
          <cell r="B1212" t="str">
            <v>PINT TRAF B AGUA QUICK DRY BCA</v>
          </cell>
          <cell r="C1212">
            <v>1</v>
          </cell>
          <cell r="D1212">
            <v>365</v>
          </cell>
        </row>
        <row r="1213">
          <cell r="A1213" t="str">
            <v>B97WD2257-1</v>
          </cell>
          <cell r="B1213" t="str">
            <v>PINT TRAF B AGUA QUICK DRY BCA</v>
          </cell>
          <cell r="C1213">
            <v>1</v>
          </cell>
          <cell r="D1213">
            <v>365</v>
          </cell>
        </row>
        <row r="1214">
          <cell r="A1214" t="str">
            <v>B97WD2257-5</v>
          </cell>
          <cell r="B1214" t="str">
            <v>PINT TRAF B AGUA QUICK DRY BCA</v>
          </cell>
          <cell r="C1214">
            <v>1</v>
          </cell>
          <cell r="D1214">
            <v>365</v>
          </cell>
        </row>
        <row r="1215">
          <cell r="A1215" t="str">
            <v>B97YD2262</v>
          </cell>
          <cell r="B1215" t="str">
            <v>PI TRAF B AGU QUICK DRY AMARIL</v>
          </cell>
          <cell r="C1215">
            <v>1</v>
          </cell>
          <cell r="D1215">
            <v>365</v>
          </cell>
        </row>
        <row r="1216">
          <cell r="A1216" t="str">
            <v>B97YD2262-1</v>
          </cell>
          <cell r="B1216" t="str">
            <v>PI TRAF B AGU QUICK DRY AMARIL</v>
          </cell>
          <cell r="C1216">
            <v>1</v>
          </cell>
          <cell r="D1216">
            <v>365</v>
          </cell>
        </row>
        <row r="1217">
          <cell r="A1217" t="str">
            <v>B97YD2262-5</v>
          </cell>
          <cell r="B1217" t="str">
            <v>PI TRAF B AGU QUICK DRY AMARIL</v>
          </cell>
          <cell r="C1217">
            <v>1</v>
          </cell>
          <cell r="D1217">
            <v>365</v>
          </cell>
        </row>
        <row r="1218">
          <cell r="A1218" t="str">
            <v>B97YD2262-SP</v>
          </cell>
          <cell r="B1218" t="str">
            <v>PINT TRAF AGUA QUICKDRY TM2117</v>
          </cell>
          <cell r="C1218">
            <v>1</v>
          </cell>
          <cell r="D1218">
            <v>365</v>
          </cell>
        </row>
        <row r="1219">
          <cell r="A1219" t="str">
            <v>B97YD2262SP-1</v>
          </cell>
          <cell r="B1219" t="str">
            <v>PINT TRAF AGUA QUICKDRY TM2117</v>
          </cell>
          <cell r="C1219">
            <v>1</v>
          </cell>
          <cell r="D1219">
            <v>365</v>
          </cell>
        </row>
        <row r="1220">
          <cell r="A1220" t="str">
            <v>B97YD2262SP-5</v>
          </cell>
          <cell r="B1220" t="str">
            <v>PINT TRAF AGUA QUICKDRY TM2117</v>
          </cell>
          <cell r="C1220">
            <v>1</v>
          </cell>
          <cell r="D1220">
            <v>365</v>
          </cell>
        </row>
        <row r="1221">
          <cell r="A1221" t="str">
            <v>C45N2</v>
          </cell>
          <cell r="B1221" t="str">
            <v xml:space="preserve">PINT. ANTI-INCRUS TROP MARRON </v>
          </cell>
          <cell r="C1221">
            <v>1</v>
          </cell>
          <cell r="D1221">
            <v>365</v>
          </cell>
        </row>
        <row r="1222">
          <cell r="A1222" t="str">
            <v>C45N2-1</v>
          </cell>
          <cell r="B1222" t="str">
            <v xml:space="preserve">PINT. ANTI-INCRUS TROP MARRON </v>
          </cell>
          <cell r="C1222">
            <v>1</v>
          </cell>
          <cell r="D1222">
            <v>365</v>
          </cell>
        </row>
        <row r="1223">
          <cell r="A1223" t="str">
            <v>C45N6</v>
          </cell>
          <cell r="B1223" t="str">
            <v>PINT ANTI-INCRUS ROJO DOBL POD</v>
          </cell>
          <cell r="C1223">
            <v>1</v>
          </cell>
          <cell r="D1223">
            <v>365</v>
          </cell>
        </row>
        <row r="1224">
          <cell r="A1224" t="str">
            <v>C45N6-1</v>
          </cell>
          <cell r="B1224" t="str">
            <v>PINT ANTI-INCRUS ROJO DOBL POD</v>
          </cell>
          <cell r="C1224">
            <v>1</v>
          </cell>
          <cell r="D1224">
            <v>365</v>
          </cell>
        </row>
        <row r="1225">
          <cell r="A1225" t="str">
            <v>C62ASA1</v>
          </cell>
          <cell r="B1225" t="str">
            <v xml:space="preserve">ANTICORROSIVO SEMIBRILLANTE   </v>
          </cell>
          <cell r="C1225">
            <v>1</v>
          </cell>
          <cell r="D1225">
            <v>365</v>
          </cell>
        </row>
        <row r="1226">
          <cell r="A1226" t="str">
            <v>C62ASA1-1</v>
          </cell>
          <cell r="B1226" t="str">
            <v xml:space="preserve">ANTICORROSIVO SEMIBRILLANTE   </v>
          </cell>
          <cell r="C1226">
            <v>1</v>
          </cell>
          <cell r="D1226">
            <v>365</v>
          </cell>
        </row>
        <row r="1227">
          <cell r="A1227" t="str">
            <v>C62ASA2</v>
          </cell>
          <cell r="B1227" t="str">
            <v>ANTICORROSIVO PARA ESTRUCTURAS</v>
          </cell>
          <cell r="C1227">
            <v>1</v>
          </cell>
          <cell r="D1227">
            <v>365</v>
          </cell>
        </row>
        <row r="1228">
          <cell r="A1228" t="str">
            <v>C62ASA2-1</v>
          </cell>
          <cell r="B1228" t="str">
            <v xml:space="preserve">ANTICORROS P ESTRUCTURAS GRIS </v>
          </cell>
          <cell r="C1228">
            <v>1</v>
          </cell>
          <cell r="D1228">
            <v>365</v>
          </cell>
        </row>
        <row r="1229">
          <cell r="A1229" t="str">
            <v>C62ASA2-1/4</v>
          </cell>
          <cell r="B1229" t="str">
            <v xml:space="preserve">ANTICORROS P ESTRUCTURAS GRIS </v>
          </cell>
          <cell r="C1229">
            <v>1</v>
          </cell>
          <cell r="D1229">
            <v>365</v>
          </cell>
        </row>
        <row r="1230">
          <cell r="A1230" t="str">
            <v>C62ASA2-5</v>
          </cell>
          <cell r="B1230" t="str">
            <v xml:space="preserve">ANTICORROS P ESTRUCTURAS GRIS </v>
          </cell>
          <cell r="C1230">
            <v>1</v>
          </cell>
          <cell r="D1230">
            <v>365</v>
          </cell>
        </row>
        <row r="1231">
          <cell r="A1231" t="str">
            <v>C62ASA2-50</v>
          </cell>
          <cell r="B1231" t="str">
            <v xml:space="preserve">ANTICORROS P ESTRUCTURAS GRIS </v>
          </cell>
          <cell r="C1231">
            <v>1</v>
          </cell>
          <cell r="D1231">
            <v>365</v>
          </cell>
        </row>
        <row r="1232">
          <cell r="A1232" t="str">
            <v>C62BCR1</v>
          </cell>
          <cell r="B1232" t="str">
            <v>ANTICORROS P ESTRUCTURAS NEGRO</v>
          </cell>
          <cell r="C1232">
            <v>1</v>
          </cell>
          <cell r="D1232">
            <v>365</v>
          </cell>
        </row>
        <row r="1233">
          <cell r="A1233" t="str">
            <v>C62BCR1-1</v>
          </cell>
          <cell r="B1233" t="str">
            <v>ANTICORROS P ESTRUCTURAS NEGRO</v>
          </cell>
          <cell r="C1233">
            <v>1</v>
          </cell>
          <cell r="D1233">
            <v>365</v>
          </cell>
        </row>
        <row r="1234">
          <cell r="A1234" t="str">
            <v>C62BCR1-1/4</v>
          </cell>
          <cell r="B1234" t="str">
            <v>ANTICORROS P ESTRUCTURAS NEGRO</v>
          </cell>
          <cell r="C1234">
            <v>1</v>
          </cell>
          <cell r="D1234">
            <v>365</v>
          </cell>
        </row>
        <row r="1235">
          <cell r="A1235" t="str">
            <v>C62BCR1-5</v>
          </cell>
          <cell r="B1235" t="str">
            <v>ANTICORROS P ESTRUCTURAS NEGRO</v>
          </cell>
          <cell r="C1235">
            <v>1</v>
          </cell>
          <cell r="D1235">
            <v>365</v>
          </cell>
        </row>
        <row r="1236">
          <cell r="A1236" t="str">
            <v>C62BCR1-50</v>
          </cell>
          <cell r="B1236" t="str">
            <v>ANTICORROS P ESTRUCTURAS NEGRO</v>
          </cell>
          <cell r="C1236">
            <v>1</v>
          </cell>
          <cell r="D1236">
            <v>365</v>
          </cell>
        </row>
        <row r="1237">
          <cell r="A1237" t="str">
            <v>C62GCR1</v>
          </cell>
          <cell r="B1237" t="str">
            <v>ANTICORROS P ESTRUCTURAS VERDE</v>
          </cell>
          <cell r="C1237">
            <v>1</v>
          </cell>
          <cell r="D1237">
            <v>365</v>
          </cell>
        </row>
        <row r="1238">
          <cell r="A1238" t="str">
            <v>C62GCR1-1</v>
          </cell>
          <cell r="B1238" t="str">
            <v>ANTICORROS P ESTRUCTURAS VERDE</v>
          </cell>
          <cell r="C1238">
            <v>1</v>
          </cell>
          <cell r="D1238">
            <v>365</v>
          </cell>
        </row>
        <row r="1239">
          <cell r="A1239" t="str">
            <v>C62GCR1-1/4</v>
          </cell>
          <cell r="B1239" t="str">
            <v>ANTICORROS P ESTRUCTURAS VERDE</v>
          </cell>
          <cell r="C1239">
            <v>1</v>
          </cell>
          <cell r="D1239">
            <v>365</v>
          </cell>
        </row>
        <row r="1240">
          <cell r="A1240" t="str">
            <v>C62GCR1-5</v>
          </cell>
          <cell r="B1240" t="str">
            <v>ANTICORROS P ESTRUCTURAS VERDE</v>
          </cell>
          <cell r="C1240">
            <v>1</v>
          </cell>
          <cell r="D1240">
            <v>365</v>
          </cell>
        </row>
        <row r="1241">
          <cell r="A1241" t="str">
            <v>C62GCR1-50</v>
          </cell>
          <cell r="B1241" t="str">
            <v>ANTICORROS P ESTRUCTURAS VERDE</v>
          </cell>
          <cell r="C1241">
            <v>1</v>
          </cell>
          <cell r="D1241">
            <v>365</v>
          </cell>
        </row>
        <row r="1242">
          <cell r="A1242" t="str">
            <v>C62LCR1</v>
          </cell>
          <cell r="B1242" t="str">
            <v xml:space="preserve">ANTICORROS P ESTRUCTURAS AZUL </v>
          </cell>
          <cell r="C1242">
            <v>1</v>
          </cell>
          <cell r="D1242">
            <v>365</v>
          </cell>
        </row>
        <row r="1243">
          <cell r="A1243" t="str">
            <v>C62LCR1-1</v>
          </cell>
          <cell r="B1243" t="str">
            <v xml:space="preserve">ANTICORROS P ESTRUCTURAS AZUL </v>
          </cell>
          <cell r="C1243">
            <v>1</v>
          </cell>
          <cell r="D1243">
            <v>365</v>
          </cell>
        </row>
        <row r="1244">
          <cell r="A1244" t="str">
            <v>C62LCR1-1/4</v>
          </cell>
          <cell r="B1244" t="str">
            <v xml:space="preserve">ANTICORROS P ESTRUCTURAS AZUL </v>
          </cell>
          <cell r="C1244">
            <v>1</v>
          </cell>
          <cell r="D1244">
            <v>365</v>
          </cell>
        </row>
        <row r="1245">
          <cell r="A1245" t="str">
            <v>C62LCR1-5</v>
          </cell>
          <cell r="B1245" t="str">
            <v xml:space="preserve">ANTICORROS P ESTRUCTURAS AZUL </v>
          </cell>
          <cell r="C1245">
            <v>1</v>
          </cell>
          <cell r="D1245">
            <v>365</v>
          </cell>
        </row>
        <row r="1246">
          <cell r="A1246" t="str">
            <v>C62LCR1-50</v>
          </cell>
          <cell r="B1246" t="str">
            <v xml:space="preserve">ANTICORROS P ESTRUCTURAS AZUL </v>
          </cell>
          <cell r="C1246">
            <v>1</v>
          </cell>
          <cell r="D1246">
            <v>365</v>
          </cell>
        </row>
        <row r="1247">
          <cell r="A1247" t="str">
            <v>C62LSA2</v>
          </cell>
          <cell r="B1247" t="str">
            <v xml:space="preserve">ANTICORROSIVO P/ESTRUCTURAS   </v>
          </cell>
          <cell r="C1247">
            <v>1</v>
          </cell>
          <cell r="D1247">
            <v>365</v>
          </cell>
        </row>
        <row r="1248">
          <cell r="A1248" t="str">
            <v>C62LSA2-1</v>
          </cell>
          <cell r="B1248" t="str">
            <v xml:space="preserve">ANTICORROS P ESTRUCTURAS AZUL </v>
          </cell>
          <cell r="C1248">
            <v>1</v>
          </cell>
          <cell r="D1248">
            <v>365</v>
          </cell>
        </row>
        <row r="1249">
          <cell r="A1249" t="str">
            <v>C62LSA2-1/4</v>
          </cell>
          <cell r="B1249" t="str">
            <v xml:space="preserve">ANTICORROS P ESTRUCTURAS AZUL </v>
          </cell>
          <cell r="C1249">
            <v>1</v>
          </cell>
          <cell r="D1249">
            <v>365</v>
          </cell>
        </row>
        <row r="1250">
          <cell r="A1250" t="str">
            <v>C62LSA2-5</v>
          </cell>
          <cell r="B1250" t="str">
            <v xml:space="preserve">ANTICORROS P ESTRUCTURAS AZUL </v>
          </cell>
          <cell r="C1250">
            <v>1</v>
          </cell>
          <cell r="D1250">
            <v>365</v>
          </cell>
        </row>
        <row r="1251">
          <cell r="A1251" t="str">
            <v>C62RCR1</v>
          </cell>
          <cell r="B1251" t="str">
            <v xml:space="preserve">ANTICORROS P ESTRUCTURAS ROJO </v>
          </cell>
          <cell r="C1251">
            <v>1</v>
          </cell>
          <cell r="D1251">
            <v>365</v>
          </cell>
        </row>
        <row r="1252">
          <cell r="A1252" t="str">
            <v>C62RCR1-1</v>
          </cell>
          <cell r="B1252" t="str">
            <v xml:space="preserve">ANTICORROS P ESTRUCTURAS ROJO </v>
          </cell>
          <cell r="C1252">
            <v>1</v>
          </cell>
          <cell r="D1252">
            <v>365</v>
          </cell>
        </row>
        <row r="1253">
          <cell r="A1253" t="str">
            <v>C62RCR1-1/4</v>
          </cell>
          <cell r="B1253" t="str">
            <v xml:space="preserve">ANTICORROS P ESTRUCTURAS ROJO </v>
          </cell>
          <cell r="C1253">
            <v>1</v>
          </cell>
          <cell r="D1253">
            <v>365</v>
          </cell>
        </row>
        <row r="1254">
          <cell r="A1254" t="str">
            <v>C62RCR1-5</v>
          </cell>
          <cell r="B1254" t="str">
            <v xml:space="preserve">ANTICORROS P ESTRUCTURAS ROJO </v>
          </cell>
          <cell r="C1254">
            <v>1</v>
          </cell>
          <cell r="D1254">
            <v>365</v>
          </cell>
        </row>
        <row r="1255">
          <cell r="A1255" t="str">
            <v>C62RCR1-50</v>
          </cell>
          <cell r="B1255" t="str">
            <v xml:space="preserve">ANTICORROS P ESTRUCTURAS ROJO </v>
          </cell>
          <cell r="C1255">
            <v>1</v>
          </cell>
          <cell r="D1255">
            <v>365</v>
          </cell>
        </row>
        <row r="1256">
          <cell r="A1256" t="str">
            <v>C62RSA2</v>
          </cell>
          <cell r="B1256" t="str">
            <v>ANTICORROSIVO PARA ESTRUCTURAS</v>
          </cell>
          <cell r="C1256">
            <v>1</v>
          </cell>
          <cell r="D1256">
            <v>365</v>
          </cell>
        </row>
        <row r="1257">
          <cell r="A1257" t="str">
            <v>C62RSA2-1</v>
          </cell>
          <cell r="B1257" t="str">
            <v xml:space="preserve">ANTICORROS P ESTRUCTURAS ROJO </v>
          </cell>
          <cell r="C1257">
            <v>1</v>
          </cell>
          <cell r="D1257">
            <v>365</v>
          </cell>
        </row>
        <row r="1258">
          <cell r="A1258" t="str">
            <v>C62RSA2-1/4</v>
          </cell>
          <cell r="B1258" t="str">
            <v xml:space="preserve">ANTICORROS P ESTRUCTURAS ROJO </v>
          </cell>
          <cell r="C1258">
            <v>1</v>
          </cell>
          <cell r="D1258">
            <v>365</v>
          </cell>
        </row>
        <row r="1259">
          <cell r="A1259" t="str">
            <v>C62RSA2-5</v>
          </cell>
          <cell r="B1259" t="str">
            <v xml:space="preserve">ANTICORROS P ESTRUCTURAS ROJO </v>
          </cell>
          <cell r="C1259">
            <v>1</v>
          </cell>
          <cell r="D1259">
            <v>365</v>
          </cell>
        </row>
        <row r="1260">
          <cell r="A1260" t="str">
            <v>C62WCR1</v>
          </cell>
          <cell r="B1260" t="str">
            <v>ANTICORROS  ESTRUCTURAS BLANCO</v>
          </cell>
          <cell r="C1260">
            <v>1</v>
          </cell>
          <cell r="D1260">
            <v>365</v>
          </cell>
        </row>
        <row r="1261">
          <cell r="A1261" t="str">
            <v>C62WCR1-1</v>
          </cell>
          <cell r="B1261" t="str">
            <v>ANTICORROS  ESTRUCTURAS BLANCO</v>
          </cell>
          <cell r="C1261">
            <v>1</v>
          </cell>
          <cell r="D1261">
            <v>365</v>
          </cell>
        </row>
        <row r="1262">
          <cell r="A1262" t="str">
            <v>C62WCR1-1/4</v>
          </cell>
          <cell r="B1262" t="str">
            <v>ANTICORROS  ESTRUCTURAS BLANCO</v>
          </cell>
          <cell r="C1262">
            <v>1</v>
          </cell>
          <cell r="D1262">
            <v>365</v>
          </cell>
        </row>
        <row r="1263">
          <cell r="A1263" t="str">
            <v>C62WCR1-5</v>
          </cell>
          <cell r="B1263" t="str">
            <v>ANTICORROS  ESTRUCTURAS BLANCO</v>
          </cell>
          <cell r="C1263">
            <v>1</v>
          </cell>
          <cell r="D1263">
            <v>365</v>
          </cell>
        </row>
        <row r="1264">
          <cell r="A1264" t="str">
            <v>C62WCR1-50</v>
          </cell>
          <cell r="B1264" t="str">
            <v>ANTICORROS  ESTRUCTURAS BLANCO</v>
          </cell>
          <cell r="C1264">
            <v>1</v>
          </cell>
          <cell r="D1264">
            <v>365</v>
          </cell>
        </row>
        <row r="1265">
          <cell r="A1265" t="str">
            <v>D70T1</v>
          </cell>
          <cell r="B1265" t="str">
            <v>FAST DRYING SEMIPASTE TAPAPORO</v>
          </cell>
          <cell r="C1265">
            <v>1</v>
          </cell>
          <cell r="D1265">
            <v>365</v>
          </cell>
        </row>
        <row r="1266">
          <cell r="A1266" t="str">
            <v>F33CSA1</v>
          </cell>
          <cell r="B1266" t="str">
            <v xml:space="preserve">PINTURA DE DEDO 0             </v>
          </cell>
          <cell r="C1266">
            <v>1</v>
          </cell>
          <cell r="D1266">
            <v>365</v>
          </cell>
        </row>
        <row r="1267">
          <cell r="A1267" t="str">
            <v>F33CSA1-5</v>
          </cell>
          <cell r="B1267" t="str">
            <v xml:space="preserve">PINTURA DE DEDO               </v>
          </cell>
          <cell r="C1267">
            <v>1</v>
          </cell>
          <cell r="D1267">
            <v>365</v>
          </cell>
        </row>
        <row r="1268">
          <cell r="A1268" t="str">
            <v>F3B320</v>
          </cell>
          <cell r="B1268" t="str">
            <v xml:space="preserve">KEM TRANSP MIX ENAM EBANO     </v>
          </cell>
          <cell r="C1268">
            <v>1</v>
          </cell>
          <cell r="D1268">
            <v>365</v>
          </cell>
        </row>
        <row r="1269">
          <cell r="A1269" t="str">
            <v>F3B320-1</v>
          </cell>
          <cell r="B1269" t="str">
            <v xml:space="preserve">KEM TRANSP MIX ENAM EBANO     </v>
          </cell>
          <cell r="C1269">
            <v>1</v>
          </cell>
          <cell r="D1269">
            <v>365</v>
          </cell>
        </row>
        <row r="1270">
          <cell r="A1270" t="str">
            <v>F3E317</v>
          </cell>
          <cell r="B1270" t="str">
            <v xml:space="preserve">KEM TRANSP MIX ENAM NARANJA   </v>
          </cell>
          <cell r="C1270">
            <v>1</v>
          </cell>
          <cell r="D1270">
            <v>365</v>
          </cell>
        </row>
        <row r="1271">
          <cell r="A1271" t="str">
            <v>F3E317-1</v>
          </cell>
          <cell r="B1271" t="str">
            <v xml:space="preserve">KEM TRANSP MIX ENAM NARANJA   </v>
          </cell>
          <cell r="C1271">
            <v>1</v>
          </cell>
          <cell r="D1271">
            <v>365</v>
          </cell>
        </row>
        <row r="1272">
          <cell r="A1272" t="str">
            <v>F3E317-SP</v>
          </cell>
          <cell r="B1272" t="str">
            <v xml:space="preserve">KEM TRANSPORT                 </v>
          </cell>
          <cell r="C1272">
            <v>1</v>
          </cell>
          <cell r="D1272">
            <v>365</v>
          </cell>
        </row>
        <row r="1273">
          <cell r="A1273" t="str">
            <v>F3E317SP-1</v>
          </cell>
          <cell r="B1273" t="str">
            <v>KEM TRANSP MIX ENAM NARANJA SP</v>
          </cell>
          <cell r="C1273">
            <v>1</v>
          </cell>
          <cell r="D1273">
            <v>365</v>
          </cell>
        </row>
        <row r="1274">
          <cell r="A1274" t="str">
            <v>F3G311</v>
          </cell>
          <cell r="B1274" t="str">
            <v xml:space="preserve">KEM TRANSP MIX ENAM VERDE     </v>
          </cell>
          <cell r="C1274">
            <v>1</v>
          </cell>
          <cell r="D1274">
            <v>365</v>
          </cell>
        </row>
        <row r="1275">
          <cell r="A1275" t="str">
            <v>F3G311-1</v>
          </cell>
          <cell r="B1275" t="str">
            <v xml:space="preserve">KEM TRANSP MIX ENAM VERDE     </v>
          </cell>
          <cell r="C1275">
            <v>1</v>
          </cell>
          <cell r="D1275">
            <v>365</v>
          </cell>
        </row>
        <row r="1276">
          <cell r="A1276" t="str">
            <v>F3L305</v>
          </cell>
          <cell r="B1276" t="str">
            <v xml:space="preserve">KEM TRANSP MIX ENAM AZUL RO   </v>
          </cell>
          <cell r="C1276">
            <v>1</v>
          </cell>
          <cell r="D1276">
            <v>365</v>
          </cell>
        </row>
        <row r="1277">
          <cell r="A1277" t="str">
            <v>F3L305-1</v>
          </cell>
          <cell r="B1277" t="str">
            <v>KEM TRANSP MIX ENAM AZUL ROJIZ</v>
          </cell>
          <cell r="C1277">
            <v>1</v>
          </cell>
          <cell r="D1277">
            <v>365</v>
          </cell>
        </row>
        <row r="1278">
          <cell r="A1278" t="str">
            <v>F3L309</v>
          </cell>
          <cell r="B1278" t="str">
            <v xml:space="preserve">KEM TRANSP MIX ENAM AZUL VE   </v>
          </cell>
          <cell r="C1278">
            <v>1</v>
          </cell>
          <cell r="D1278">
            <v>365</v>
          </cell>
        </row>
        <row r="1279">
          <cell r="A1279" t="str">
            <v>F3L309-1</v>
          </cell>
          <cell r="B1279" t="str">
            <v>KEM TRANSP MIX ENAM AZUL VERDO</v>
          </cell>
          <cell r="C1279">
            <v>1</v>
          </cell>
          <cell r="D1279">
            <v>365</v>
          </cell>
        </row>
        <row r="1280">
          <cell r="A1280" t="str">
            <v>F3M318</v>
          </cell>
          <cell r="B1280" t="str">
            <v xml:space="preserve">KEM TRANSP MIX ENAM MARRON    </v>
          </cell>
          <cell r="C1280">
            <v>1</v>
          </cell>
          <cell r="D1280">
            <v>365</v>
          </cell>
        </row>
        <row r="1281">
          <cell r="A1281" t="str">
            <v>F3M318-1</v>
          </cell>
          <cell r="B1281" t="str">
            <v xml:space="preserve">KEM TRANSP MIX ENAM MARRON    </v>
          </cell>
          <cell r="C1281">
            <v>1</v>
          </cell>
          <cell r="D1281">
            <v>365</v>
          </cell>
        </row>
        <row r="1282">
          <cell r="A1282" t="str">
            <v>F3N314</v>
          </cell>
          <cell r="B1282" t="str">
            <v xml:space="preserve">KEM TRANSP MIX ENAM DORADO    </v>
          </cell>
          <cell r="C1282">
            <v>1</v>
          </cell>
          <cell r="D1282">
            <v>365</v>
          </cell>
        </row>
        <row r="1283">
          <cell r="A1283" t="str">
            <v>F3N314-1</v>
          </cell>
          <cell r="B1283" t="str">
            <v xml:space="preserve">KEM TRANSP MIX ENAM DORADO    </v>
          </cell>
          <cell r="C1283">
            <v>1</v>
          </cell>
          <cell r="D1283">
            <v>365</v>
          </cell>
        </row>
        <row r="1284">
          <cell r="A1284" t="str">
            <v>F3N342</v>
          </cell>
          <cell r="B1284" t="str">
            <v>KEM TRANSP MIX ENAM GOLD INTEN</v>
          </cell>
          <cell r="C1284">
            <v>1</v>
          </cell>
          <cell r="D1284">
            <v>365</v>
          </cell>
        </row>
        <row r="1285">
          <cell r="A1285" t="str">
            <v>F3N342-1</v>
          </cell>
          <cell r="B1285" t="str">
            <v>KEM TRANSP MIX ENAM GOLD INTEN</v>
          </cell>
          <cell r="C1285">
            <v>1</v>
          </cell>
          <cell r="D1285">
            <v>365</v>
          </cell>
        </row>
        <row r="1286">
          <cell r="A1286" t="str">
            <v>F3R304</v>
          </cell>
          <cell r="B1286" t="str">
            <v>KEM TRANSP MIX ENAM ROJO OXIDO</v>
          </cell>
          <cell r="C1286">
            <v>1</v>
          </cell>
          <cell r="D1286">
            <v>365</v>
          </cell>
        </row>
        <row r="1287">
          <cell r="A1287" t="str">
            <v>F3R304-1</v>
          </cell>
          <cell r="B1287" t="str">
            <v>KEM TRANSP MIX ENAM ROJO OXIDO</v>
          </cell>
          <cell r="C1287">
            <v>1</v>
          </cell>
          <cell r="D1287">
            <v>365</v>
          </cell>
        </row>
        <row r="1288">
          <cell r="A1288" t="str">
            <v>F3R330</v>
          </cell>
          <cell r="B1288" t="str">
            <v xml:space="preserve">KEM TRANSP MIX ENAM ROJO BRTE </v>
          </cell>
          <cell r="C1288">
            <v>1</v>
          </cell>
          <cell r="D1288">
            <v>365</v>
          </cell>
        </row>
        <row r="1289">
          <cell r="A1289" t="str">
            <v>F3R330-1</v>
          </cell>
          <cell r="B1289" t="str">
            <v xml:space="preserve">KEM TRANSP MIX ENAM ROJO BRTE </v>
          </cell>
          <cell r="C1289">
            <v>1</v>
          </cell>
          <cell r="D1289">
            <v>365</v>
          </cell>
        </row>
        <row r="1290">
          <cell r="A1290" t="str">
            <v>F3RSA4</v>
          </cell>
          <cell r="B1290" t="str">
            <v>KEM TRANSP MIX ENAM ROJO MEZCL</v>
          </cell>
          <cell r="C1290">
            <v>1</v>
          </cell>
          <cell r="D1290">
            <v>365</v>
          </cell>
        </row>
        <row r="1291">
          <cell r="A1291" t="str">
            <v>F3RSA4-1</v>
          </cell>
          <cell r="B1291" t="str">
            <v>KEM TRANSP MIX ENAM ROJO MEZCL</v>
          </cell>
          <cell r="C1291">
            <v>1</v>
          </cell>
          <cell r="D1291">
            <v>365</v>
          </cell>
        </row>
        <row r="1292">
          <cell r="A1292" t="str">
            <v>F3S335</v>
          </cell>
          <cell r="B1292" t="str">
            <v xml:space="preserve">KEM TRANSP MIX ENAM MET BRTE  </v>
          </cell>
          <cell r="C1292">
            <v>1</v>
          </cell>
          <cell r="D1292">
            <v>365</v>
          </cell>
        </row>
        <row r="1293">
          <cell r="A1293" t="str">
            <v>F3S335-1</v>
          </cell>
          <cell r="B1293" t="str">
            <v xml:space="preserve">KEM TRANSP MIX ENAM MET BRTE  </v>
          </cell>
          <cell r="C1293">
            <v>1</v>
          </cell>
          <cell r="D1293">
            <v>365</v>
          </cell>
        </row>
        <row r="1294">
          <cell r="A1294" t="str">
            <v>F3S350</v>
          </cell>
          <cell r="B1294" t="str">
            <v xml:space="preserve">KEM TRANSP MIX ENAM MET MED   </v>
          </cell>
          <cell r="C1294">
            <v>1</v>
          </cell>
          <cell r="D1294">
            <v>365</v>
          </cell>
        </row>
        <row r="1295">
          <cell r="A1295" t="str">
            <v>F3S350-1</v>
          </cell>
          <cell r="B1295" t="str">
            <v xml:space="preserve">KEM TRANSP MIX ENAM MET MED   </v>
          </cell>
          <cell r="C1295">
            <v>1</v>
          </cell>
          <cell r="D1295">
            <v>365</v>
          </cell>
        </row>
        <row r="1296">
          <cell r="A1296" t="str">
            <v>F3S352</v>
          </cell>
          <cell r="B1296" t="str">
            <v>KEM TRANSP MIX ENAM MET MED GS</v>
          </cell>
          <cell r="C1296">
            <v>1</v>
          </cell>
          <cell r="D1296">
            <v>365</v>
          </cell>
        </row>
        <row r="1297">
          <cell r="A1297" t="str">
            <v>F3S352-1</v>
          </cell>
          <cell r="B1297" t="str">
            <v>KEM TRANSP MIX ENAM MET MED GS</v>
          </cell>
          <cell r="C1297">
            <v>1</v>
          </cell>
          <cell r="D1297">
            <v>365</v>
          </cell>
        </row>
        <row r="1298">
          <cell r="A1298" t="str">
            <v>F3W301</v>
          </cell>
          <cell r="B1298" t="str">
            <v xml:space="preserve">KEM TRANSP MIX ENAM BLANCO    </v>
          </cell>
          <cell r="C1298">
            <v>1</v>
          </cell>
          <cell r="D1298">
            <v>365</v>
          </cell>
        </row>
        <row r="1299">
          <cell r="A1299" t="str">
            <v>F3W301-1</v>
          </cell>
          <cell r="B1299" t="str">
            <v xml:space="preserve">KEM TRANSP MIX ENAM BLANCO    </v>
          </cell>
          <cell r="C1299">
            <v>1</v>
          </cell>
          <cell r="D1299">
            <v>365</v>
          </cell>
        </row>
        <row r="1300">
          <cell r="A1300" t="str">
            <v>F3Y303</v>
          </cell>
          <cell r="B1300" t="str">
            <v>KEM TRANSP MIX ENAM AMARILL OX</v>
          </cell>
          <cell r="C1300">
            <v>1</v>
          </cell>
          <cell r="D1300">
            <v>365</v>
          </cell>
        </row>
        <row r="1301">
          <cell r="A1301" t="str">
            <v>F3Y303-1</v>
          </cell>
          <cell r="B1301" t="str">
            <v>KEM TRANSP MIX ENAM AMARILL OX</v>
          </cell>
          <cell r="C1301">
            <v>1</v>
          </cell>
          <cell r="D1301">
            <v>365</v>
          </cell>
        </row>
        <row r="1302">
          <cell r="A1302" t="str">
            <v>F3Y332</v>
          </cell>
          <cell r="B1302" t="str">
            <v>KEM TRANSP MIX ENAM AMARILL LI</v>
          </cell>
          <cell r="C1302">
            <v>1</v>
          </cell>
          <cell r="D1302">
            <v>365</v>
          </cell>
        </row>
        <row r="1303">
          <cell r="A1303" t="str">
            <v>F3Y332-1</v>
          </cell>
          <cell r="B1303" t="str">
            <v>KEM TRANSP MIX ENAM AMARILL LI</v>
          </cell>
          <cell r="C1303">
            <v>1</v>
          </cell>
          <cell r="D1303">
            <v>365</v>
          </cell>
        </row>
        <row r="1304">
          <cell r="A1304" t="str">
            <v>F3Y332-SP</v>
          </cell>
          <cell r="B1304" t="str">
            <v xml:space="preserve">KEM TRANSPORT MIXING ENAMEL   </v>
          </cell>
          <cell r="C1304">
            <v>1</v>
          </cell>
          <cell r="D1304">
            <v>365</v>
          </cell>
        </row>
        <row r="1305">
          <cell r="A1305" t="str">
            <v>F3Y332SP-1</v>
          </cell>
          <cell r="B1305" t="str">
            <v xml:space="preserve">KEM TRANSP MIX AMARILLO SP    </v>
          </cell>
          <cell r="C1305">
            <v>1</v>
          </cell>
          <cell r="D1305">
            <v>365</v>
          </cell>
        </row>
        <row r="1306">
          <cell r="A1306" t="str">
            <v>F3Y333</v>
          </cell>
          <cell r="B1306" t="str">
            <v>KEM TRANSP MIX ENAM AMARILL ME</v>
          </cell>
          <cell r="C1306">
            <v>1</v>
          </cell>
          <cell r="D1306">
            <v>365</v>
          </cell>
        </row>
        <row r="1307">
          <cell r="A1307" t="str">
            <v>F3Y333-1</v>
          </cell>
          <cell r="B1307" t="str">
            <v>KEM TRANSP MIX ENAM AMARILL ME</v>
          </cell>
          <cell r="C1307">
            <v>1</v>
          </cell>
          <cell r="D1307">
            <v>365</v>
          </cell>
        </row>
        <row r="1308">
          <cell r="A1308" t="str">
            <v>F3Y333-SP</v>
          </cell>
          <cell r="B1308" t="str">
            <v xml:space="preserve">KEM TRANSPORT MIXING ENAMEL   </v>
          </cell>
          <cell r="C1308">
            <v>1</v>
          </cell>
          <cell r="D1308">
            <v>365</v>
          </cell>
        </row>
        <row r="1309">
          <cell r="A1309" t="str">
            <v>F3Y333SP-1</v>
          </cell>
          <cell r="B1309" t="str">
            <v>KEM TRANSP MIX ENAM AMARILL ME</v>
          </cell>
          <cell r="C1309">
            <v>1</v>
          </cell>
          <cell r="D1309">
            <v>365</v>
          </cell>
        </row>
        <row r="1310">
          <cell r="A1310" t="str">
            <v>H61ASA3</v>
          </cell>
          <cell r="B1310" t="str">
            <v xml:space="preserve">DIMENSO ONE COAT              </v>
          </cell>
          <cell r="C1310">
            <v>1</v>
          </cell>
          <cell r="D1310">
            <v>365</v>
          </cell>
        </row>
        <row r="1311">
          <cell r="A1311" t="str">
            <v>H61ASA3-1</v>
          </cell>
          <cell r="B1311" t="str">
            <v xml:space="preserve">DIMENSO ONE COAT GRIS OSCURO  </v>
          </cell>
          <cell r="C1311">
            <v>1</v>
          </cell>
          <cell r="D1311">
            <v>365</v>
          </cell>
        </row>
        <row r="1312">
          <cell r="A1312" t="str">
            <v>H61ASA4</v>
          </cell>
          <cell r="B1312" t="str">
            <v xml:space="preserve">DIMENSO ONE COAT              </v>
          </cell>
          <cell r="C1312">
            <v>1</v>
          </cell>
          <cell r="D1312">
            <v>365</v>
          </cell>
        </row>
        <row r="1313">
          <cell r="A1313" t="str">
            <v>H61ASA4-5</v>
          </cell>
          <cell r="B1313" t="str">
            <v xml:space="preserve">DIMENSO ONE COAT GRIS CLARO   </v>
          </cell>
          <cell r="C1313">
            <v>1</v>
          </cell>
          <cell r="D1313">
            <v>365</v>
          </cell>
        </row>
        <row r="1314">
          <cell r="A1314" t="str">
            <v>H61ASA5</v>
          </cell>
          <cell r="B1314" t="str">
            <v xml:space="preserve">DIMENSO ONE COAT         GRIS </v>
          </cell>
          <cell r="C1314">
            <v>1</v>
          </cell>
          <cell r="D1314">
            <v>365</v>
          </cell>
        </row>
        <row r="1315">
          <cell r="A1315" t="str">
            <v>H61ASA5-5</v>
          </cell>
          <cell r="B1315" t="str">
            <v xml:space="preserve">DIMENSO ONE COAT GRIS OSCURO  </v>
          </cell>
          <cell r="C1315">
            <v>1</v>
          </cell>
          <cell r="D1315">
            <v>365</v>
          </cell>
        </row>
        <row r="1316">
          <cell r="A1316" t="str">
            <v>H61LSA5</v>
          </cell>
          <cell r="B1316" t="str">
            <v xml:space="preserve">DIMENSO ONE COAT AZUL         </v>
          </cell>
          <cell r="C1316">
            <v>1</v>
          </cell>
          <cell r="D1316">
            <v>365</v>
          </cell>
        </row>
        <row r="1317">
          <cell r="A1317" t="str">
            <v>H61LSA5-1</v>
          </cell>
          <cell r="B1317" t="str">
            <v>DIMENSO ONE COAT AZUL METALICO</v>
          </cell>
          <cell r="C1317">
            <v>1</v>
          </cell>
          <cell r="D1317">
            <v>365</v>
          </cell>
        </row>
        <row r="1318">
          <cell r="A1318" t="str">
            <v>H61S11</v>
          </cell>
          <cell r="B1318" t="str">
            <v xml:space="preserve">DIMENSO ONE COAT SILVER .     </v>
          </cell>
          <cell r="C1318">
            <v>1</v>
          </cell>
          <cell r="D1318">
            <v>365</v>
          </cell>
        </row>
        <row r="1319">
          <cell r="A1319" t="str">
            <v>H61S11-1</v>
          </cell>
          <cell r="B1319" t="str">
            <v xml:space="preserve">DIMENSO ONE COAT SILVER       </v>
          </cell>
          <cell r="C1319">
            <v>1</v>
          </cell>
          <cell r="D1319">
            <v>365</v>
          </cell>
        </row>
        <row r="1320">
          <cell r="A1320" t="str">
            <v>H81TSA1</v>
          </cell>
          <cell r="B1320" t="str">
            <v>ES EPO BRI KEMCATICOAT CLEAR A</v>
          </cell>
          <cell r="C1320">
            <v>1</v>
          </cell>
          <cell r="D1320">
            <v>365</v>
          </cell>
        </row>
        <row r="1321">
          <cell r="A1321" t="str">
            <v>H81TSA1-1</v>
          </cell>
          <cell r="B1321" t="str">
            <v>ES EPO BRI KEMCATICOAT CLEAR A</v>
          </cell>
          <cell r="C1321">
            <v>1</v>
          </cell>
          <cell r="D1321">
            <v>365</v>
          </cell>
        </row>
        <row r="1322">
          <cell r="A1322" t="str">
            <v>K53ESA3</v>
          </cell>
          <cell r="B1322" t="str">
            <v>PENIN LATEX MATE NARANJA CLARO</v>
          </cell>
          <cell r="C1322">
            <v>1</v>
          </cell>
          <cell r="D1322">
            <v>365</v>
          </cell>
        </row>
        <row r="1323">
          <cell r="A1323" t="str">
            <v>K53ESA3-1</v>
          </cell>
          <cell r="B1323" t="str">
            <v>PENIN LATEX MATE NARANJA CLARO</v>
          </cell>
          <cell r="C1323">
            <v>1</v>
          </cell>
          <cell r="D1323">
            <v>365</v>
          </cell>
        </row>
        <row r="1324">
          <cell r="A1324" t="str">
            <v>K53ESA3-5</v>
          </cell>
          <cell r="B1324" t="str">
            <v>PENIN LATEX MATE NARANJA CLARO</v>
          </cell>
          <cell r="C1324">
            <v>1</v>
          </cell>
          <cell r="D1324">
            <v>365</v>
          </cell>
        </row>
        <row r="1325">
          <cell r="A1325" t="str">
            <v>K53GSA13</v>
          </cell>
          <cell r="B1325" t="str">
            <v>PENINSULAR LAT MATE VERD COCKT</v>
          </cell>
          <cell r="C1325">
            <v>1</v>
          </cell>
          <cell r="D1325">
            <v>365</v>
          </cell>
        </row>
        <row r="1326">
          <cell r="A1326" t="str">
            <v>K53GSA13-1</v>
          </cell>
          <cell r="B1326" t="str">
            <v>PENINSULAR LAT MATE VERD COCKT</v>
          </cell>
          <cell r="C1326">
            <v>1</v>
          </cell>
          <cell r="D1326">
            <v>365</v>
          </cell>
        </row>
        <row r="1327">
          <cell r="A1327" t="str">
            <v>K53GSA14</v>
          </cell>
          <cell r="B1327" t="str">
            <v xml:space="preserve">PENINSULAR LAT VERDE AVENTURA </v>
          </cell>
          <cell r="C1327">
            <v>1</v>
          </cell>
          <cell r="D1327">
            <v>365</v>
          </cell>
        </row>
        <row r="1328">
          <cell r="A1328" t="str">
            <v>K53GSA14-1</v>
          </cell>
          <cell r="B1328" t="str">
            <v xml:space="preserve">PENINSULAR LAT VERDE AVENTURA </v>
          </cell>
          <cell r="C1328">
            <v>1</v>
          </cell>
          <cell r="D1328">
            <v>365</v>
          </cell>
        </row>
        <row r="1329">
          <cell r="A1329" t="str">
            <v>K53GSA7</v>
          </cell>
          <cell r="B1329" t="str">
            <v xml:space="preserve">PENINS LATEX MATE VERDE MENTA </v>
          </cell>
          <cell r="C1329">
            <v>1</v>
          </cell>
          <cell r="D1329">
            <v>365</v>
          </cell>
        </row>
        <row r="1330">
          <cell r="A1330" t="str">
            <v>K53GSA7-1</v>
          </cell>
          <cell r="B1330" t="str">
            <v xml:space="preserve">PENINS LATEX MATE VERDE MENTA </v>
          </cell>
          <cell r="C1330">
            <v>1</v>
          </cell>
          <cell r="D1330">
            <v>365</v>
          </cell>
        </row>
        <row r="1331">
          <cell r="A1331" t="str">
            <v>K53GSA7-5</v>
          </cell>
          <cell r="B1331" t="str">
            <v xml:space="preserve">PENINS LATEX MATE VERDE MENTA </v>
          </cell>
          <cell r="C1331">
            <v>1</v>
          </cell>
          <cell r="D1331">
            <v>365</v>
          </cell>
        </row>
        <row r="1332">
          <cell r="A1332" t="str">
            <v>K53GSA8</v>
          </cell>
          <cell r="B1332" t="str">
            <v xml:space="preserve">PENINSULAR LATEX MATE AQUA    </v>
          </cell>
          <cell r="C1332">
            <v>1</v>
          </cell>
          <cell r="D1332">
            <v>365</v>
          </cell>
        </row>
        <row r="1333">
          <cell r="A1333" t="str">
            <v>K53GSA8-1</v>
          </cell>
          <cell r="B1333" t="str">
            <v xml:space="preserve">PENINSULAR LATEX MATE AQUA    </v>
          </cell>
          <cell r="C1333">
            <v>1</v>
          </cell>
          <cell r="D1333">
            <v>365</v>
          </cell>
        </row>
        <row r="1334">
          <cell r="A1334" t="str">
            <v>K53GSA8-5</v>
          </cell>
          <cell r="B1334" t="str">
            <v xml:space="preserve">PENINSULAR LATEX MATE AQUA    </v>
          </cell>
          <cell r="C1334">
            <v>1</v>
          </cell>
          <cell r="D1334">
            <v>365</v>
          </cell>
        </row>
        <row r="1335">
          <cell r="A1335" t="str">
            <v>K53HSA3</v>
          </cell>
          <cell r="B1335" t="str">
            <v>PENINS LATEX MATE MARFIL CREMA</v>
          </cell>
          <cell r="C1335">
            <v>1</v>
          </cell>
          <cell r="D1335">
            <v>365</v>
          </cell>
        </row>
        <row r="1336">
          <cell r="A1336" t="str">
            <v>K53HSA3-1</v>
          </cell>
          <cell r="B1336" t="str">
            <v>PENINS LATEX MATE MARFIL CREMA</v>
          </cell>
          <cell r="C1336">
            <v>1</v>
          </cell>
          <cell r="D1336">
            <v>365</v>
          </cell>
        </row>
        <row r="1337">
          <cell r="A1337" t="str">
            <v>K53HSA3-5</v>
          </cell>
          <cell r="B1337" t="str">
            <v>PENINS LATEX MATE MARFIL CREMA</v>
          </cell>
          <cell r="C1337">
            <v>1</v>
          </cell>
          <cell r="D1337">
            <v>365</v>
          </cell>
        </row>
        <row r="1338">
          <cell r="A1338" t="str">
            <v>K53HSA6</v>
          </cell>
          <cell r="B1338" t="str">
            <v xml:space="preserve">PENINSULAR LATEX MARFIL       </v>
          </cell>
          <cell r="C1338">
            <v>1</v>
          </cell>
          <cell r="D1338">
            <v>365</v>
          </cell>
        </row>
        <row r="1339">
          <cell r="A1339" t="str">
            <v>K53HSA6-5</v>
          </cell>
          <cell r="B1339" t="str">
            <v xml:space="preserve">PENINSULAR LATEX MARFIL       </v>
          </cell>
          <cell r="C1339">
            <v>1</v>
          </cell>
          <cell r="D1339">
            <v>365</v>
          </cell>
        </row>
        <row r="1340">
          <cell r="A1340" t="str">
            <v>K53LSA1</v>
          </cell>
          <cell r="B1340" t="str">
            <v xml:space="preserve">PENINSULAR LATEX MATE AZUL    </v>
          </cell>
          <cell r="C1340">
            <v>1</v>
          </cell>
          <cell r="D1340">
            <v>365</v>
          </cell>
        </row>
        <row r="1341">
          <cell r="A1341" t="str">
            <v>K53LSA10</v>
          </cell>
          <cell r="B1341" t="str">
            <v xml:space="preserve">PENINSULAR LATEX CELESTE      </v>
          </cell>
          <cell r="C1341">
            <v>1</v>
          </cell>
          <cell r="D1341">
            <v>365</v>
          </cell>
        </row>
        <row r="1342">
          <cell r="A1342" t="str">
            <v>K53LSA10-1</v>
          </cell>
          <cell r="B1342" t="str">
            <v xml:space="preserve">PENINSULAR LATEX CELESTE      </v>
          </cell>
          <cell r="C1342">
            <v>1</v>
          </cell>
          <cell r="D1342">
            <v>365</v>
          </cell>
        </row>
        <row r="1343">
          <cell r="A1343" t="str">
            <v>K53LSA10-5</v>
          </cell>
          <cell r="B1343" t="str">
            <v xml:space="preserve">PENINSULAR LATEX CELESTE      </v>
          </cell>
          <cell r="C1343">
            <v>1</v>
          </cell>
          <cell r="D1343">
            <v>365</v>
          </cell>
        </row>
        <row r="1344">
          <cell r="A1344" t="str">
            <v>K53LSA1-1</v>
          </cell>
          <cell r="B1344" t="str">
            <v xml:space="preserve">PENINSULAR LATEX MATE AZUL    </v>
          </cell>
          <cell r="C1344">
            <v>1</v>
          </cell>
          <cell r="D1344">
            <v>365</v>
          </cell>
        </row>
        <row r="1345">
          <cell r="A1345" t="str">
            <v>K53LSA11</v>
          </cell>
          <cell r="B1345" t="str">
            <v>PENINSULAR LATEX AZUL PROFUNDO</v>
          </cell>
          <cell r="C1345">
            <v>1</v>
          </cell>
          <cell r="D1345">
            <v>365</v>
          </cell>
        </row>
        <row r="1346">
          <cell r="A1346" t="str">
            <v>K53LSA11-1</v>
          </cell>
          <cell r="B1346" t="str">
            <v>PENINSULAR LATEX AZUL PROFUNDO</v>
          </cell>
          <cell r="C1346">
            <v>1</v>
          </cell>
          <cell r="D1346">
            <v>365</v>
          </cell>
        </row>
        <row r="1347">
          <cell r="A1347" t="str">
            <v>K53LSA1-5</v>
          </cell>
          <cell r="B1347" t="str">
            <v xml:space="preserve">PENINSULAR LATEX AZUL         </v>
          </cell>
          <cell r="C1347">
            <v>1</v>
          </cell>
          <cell r="D1347">
            <v>365</v>
          </cell>
        </row>
        <row r="1348">
          <cell r="A1348" t="str">
            <v>K53LSA3</v>
          </cell>
          <cell r="B1348" t="str">
            <v xml:space="preserve">PENINSULAR LATEX MATE CELESTE </v>
          </cell>
          <cell r="C1348">
            <v>1</v>
          </cell>
          <cell r="D1348">
            <v>365</v>
          </cell>
        </row>
        <row r="1349">
          <cell r="A1349" t="str">
            <v>K53LSA3-1</v>
          </cell>
          <cell r="B1349" t="str">
            <v xml:space="preserve">PENINSULAR LATEX MATE CELESTE </v>
          </cell>
          <cell r="C1349">
            <v>1</v>
          </cell>
          <cell r="D1349">
            <v>365</v>
          </cell>
        </row>
        <row r="1350">
          <cell r="A1350" t="str">
            <v>K53LSA3-5</v>
          </cell>
          <cell r="B1350" t="str">
            <v xml:space="preserve">PENINSULAR LATEX CELESTE      </v>
          </cell>
          <cell r="C1350">
            <v>1</v>
          </cell>
          <cell r="D1350">
            <v>365</v>
          </cell>
        </row>
        <row r="1351">
          <cell r="A1351" t="str">
            <v>K53LSA9</v>
          </cell>
          <cell r="B1351" t="str">
            <v>PENINSULAR LATEX CELESTE CLARO</v>
          </cell>
          <cell r="C1351">
            <v>1</v>
          </cell>
          <cell r="D1351">
            <v>365</v>
          </cell>
        </row>
        <row r="1352">
          <cell r="A1352" t="str">
            <v>K53LSA9-1</v>
          </cell>
          <cell r="B1352" t="str">
            <v>PENINSULAR LATEX CELESTE CLARO</v>
          </cell>
          <cell r="C1352">
            <v>1</v>
          </cell>
          <cell r="D1352">
            <v>365</v>
          </cell>
        </row>
        <row r="1353">
          <cell r="A1353" t="str">
            <v>K53LSA9-5</v>
          </cell>
          <cell r="B1353" t="str">
            <v>PENINSULAR LATEX CELESTE CLARO</v>
          </cell>
          <cell r="C1353">
            <v>1</v>
          </cell>
          <cell r="D1353">
            <v>365</v>
          </cell>
        </row>
        <row r="1354">
          <cell r="A1354" t="str">
            <v>K53MSA1</v>
          </cell>
          <cell r="B1354" t="str">
            <v>PENINSULAR LATEX MATE AMATISTA</v>
          </cell>
          <cell r="C1354">
            <v>1</v>
          </cell>
          <cell r="D1354">
            <v>365</v>
          </cell>
        </row>
        <row r="1355">
          <cell r="A1355" t="str">
            <v>K53MSA1-1</v>
          </cell>
          <cell r="B1355" t="str">
            <v>PENINSULAR LATEX MATE AMATISTA</v>
          </cell>
          <cell r="C1355">
            <v>1</v>
          </cell>
          <cell r="D1355">
            <v>365</v>
          </cell>
        </row>
        <row r="1356">
          <cell r="A1356" t="str">
            <v>K53NSA3</v>
          </cell>
          <cell r="B1356" t="str">
            <v xml:space="preserve">PENINSULAR LATEX MATE BEIGE   </v>
          </cell>
          <cell r="C1356">
            <v>1</v>
          </cell>
          <cell r="D1356">
            <v>365</v>
          </cell>
        </row>
        <row r="1357">
          <cell r="A1357" t="str">
            <v>K53NSA3-1</v>
          </cell>
          <cell r="B1357" t="str">
            <v xml:space="preserve">PENINSULAR LATEX MATE BEIGE   </v>
          </cell>
          <cell r="C1357">
            <v>1</v>
          </cell>
          <cell r="D1357">
            <v>365</v>
          </cell>
        </row>
        <row r="1358">
          <cell r="A1358" t="str">
            <v>K53NSA3-5</v>
          </cell>
          <cell r="B1358" t="str">
            <v xml:space="preserve">PENINSULAR LATEX BEIGE        </v>
          </cell>
          <cell r="C1358">
            <v>1</v>
          </cell>
          <cell r="D1358">
            <v>365</v>
          </cell>
        </row>
        <row r="1359">
          <cell r="A1359" t="str">
            <v>K53NSA5</v>
          </cell>
          <cell r="B1359" t="str">
            <v xml:space="preserve">PENINSULAR LATEX CAFE COBRIZO </v>
          </cell>
          <cell r="C1359">
            <v>1</v>
          </cell>
          <cell r="D1359">
            <v>365</v>
          </cell>
        </row>
        <row r="1360">
          <cell r="A1360" t="str">
            <v>K53NSA5-1</v>
          </cell>
          <cell r="B1360" t="str">
            <v xml:space="preserve">PENINSULAR LATEX CAFE COBRIZO </v>
          </cell>
          <cell r="C1360">
            <v>1</v>
          </cell>
          <cell r="D1360">
            <v>365</v>
          </cell>
        </row>
        <row r="1361">
          <cell r="A1361" t="str">
            <v>K53PSA1</v>
          </cell>
          <cell r="B1361" t="str">
            <v xml:space="preserve">PENINSULAR LATEX LILA         </v>
          </cell>
          <cell r="C1361">
            <v>1</v>
          </cell>
          <cell r="D1361">
            <v>365</v>
          </cell>
        </row>
        <row r="1362">
          <cell r="A1362" t="str">
            <v>K53PSA1-1</v>
          </cell>
          <cell r="B1362" t="str">
            <v xml:space="preserve">PENINSULAR LATEX LILA         </v>
          </cell>
          <cell r="C1362">
            <v>1</v>
          </cell>
          <cell r="D1362">
            <v>365</v>
          </cell>
        </row>
        <row r="1363">
          <cell r="A1363" t="str">
            <v>K53PSA1-5</v>
          </cell>
          <cell r="B1363" t="str">
            <v xml:space="preserve">PENINSULAR LATEX LILA         </v>
          </cell>
          <cell r="C1363">
            <v>1</v>
          </cell>
          <cell r="D1363">
            <v>365</v>
          </cell>
        </row>
        <row r="1364">
          <cell r="A1364" t="str">
            <v>K53PSA2</v>
          </cell>
          <cell r="B1364" t="str">
            <v>PENINSULAR LAT MAT LILA CAUTIV</v>
          </cell>
          <cell r="C1364">
            <v>1</v>
          </cell>
          <cell r="D1364">
            <v>365</v>
          </cell>
        </row>
        <row r="1365">
          <cell r="A1365" t="str">
            <v>K53PSA2-1</v>
          </cell>
          <cell r="B1365" t="str">
            <v>PENINSULAR LAT MAT LILA CAUTIV</v>
          </cell>
          <cell r="C1365">
            <v>1</v>
          </cell>
          <cell r="D1365">
            <v>365</v>
          </cell>
        </row>
        <row r="1366">
          <cell r="A1366" t="str">
            <v>K53RSA1</v>
          </cell>
          <cell r="B1366" t="str">
            <v xml:space="preserve">PENINSULAR LATEX MATE ROSADO  </v>
          </cell>
          <cell r="C1366">
            <v>1</v>
          </cell>
          <cell r="D1366">
            <v>365</v>
          </cell>
        </row>
        <row r="1367">
          <cell r="A1367" t="str">
            <v>K53RSA1-1</v>
          </cell>
          <cell r="B1367" t="str">
            <v xml:space="preserve">PENINSULAR LATEX MATE ROSADO  </v>
          </cell>
          <cell r="C1367">
            <v>1</v>
          </cell>
          <cell r="D1367">
            <v>365</v>
          </cell>
        </row>
        <row r="1368">
          <cell r="A1368" t="str">
            <v>K53RSA1-5</v>
          </cell>
          <cell r="B1368" t="str">
            <v xml:space="preserve">PENINSULAR LATEX ROSADO       </v>
          </cell>
          <cell r="C1368">
            <v>1</v>
          </cell>
          <cell r="D1368">
            <v>365</v>
          </cell>
        </row>
        <row r="1369">
          <cell r="A1369" t="str">
            <v>K53RSA4</v>
          </cell>
          <cell r="B1369" t="str">
            <v>PENINSULA LATEX MATE ROJO VINO</v>
          </cell>
          <cell r="C1369">
            <v>1</v>
          </cell>
          <cell r="D1369">
            <v>365</v>
          </cell>
        </row>
        <row r="1370">
          <cell r="A1370" t="str">
            <v>K53RSA4-1</v>
          </cell>
          <cell r="B1370" t="str">
            <v>PENINSULA LATEX MATE ROJO VINO</v>
          </cell>
          <cell r="C1370">
            <v>1</v>
          </cell>
          <cell r="D1370">
            <v>365</v>
          </cell>
        </row>
        <row r="1371">
          <cell r="A1371" t="str">
            <v>K53RSA4-5</v>
          </cell>
          <cell r="B1371" t="str">
            <v xml:space="preserve">PENINSULAR LATEX ROJO TEJA    </v>
          </cell>
          <cell r="C1371">
            <v>1</v>
          </cell>
          <cell r="D1371">
            <v>365</v>
          </cell>
        </row>
        <row r="1372">
          <cell r="A1372" t="str">
            <v>K53RSA7</v>
          </cell>
          <cell r="B1372" t="str">
            <v>PENINSULAR LATEX ROSA SEDUCTOR</v>
          </cell>
          <cell r="C1372">
            <v>1</v>
          </cell>
          <cell r="D1372">
            <v>365</v>
          </cell>
        </row>
        <row r="1373">
          <cell r="A1373" t="str">
            <v>K53RSA7-1</v>
          </cell>
          <cell r="B1373" t="str">
            <v>PENINSULAR LATEX ROSA SEDUCTOR</v>
          </cell>
          <cell r="C1373">
            <v>1</v>
          </cell>
          <cell r="D1373">
            <v>365</v>
          </cell>
        </row>
        <row r="1374">
          <cell r="A1374" t="str">
            <v>K53RSA8</v>
          </cell>
          <cell r="B1374" t="str">
            <v>PENINSULAR LAT ROJO TERCIOPELO</v>
          </cell>
          <cell r="C1374">
            <v>1</v>
          </cell>
          <cell r="D1374">
            <v>365</v>
          </cell>
        </row>
        <row r="1375">
          <cell r="A1375" t="str">
            <v>K53RSA8-1</v>
          </cell>
          <cell r="B1375" t="str">
            <v>PENINSULAR LAT ROJO TERCIOPELO</v>
          </cell>
          <cell r="C1375">
            <v>1</v>
          </cell>
          <cell r="D1375">
            <v>365</v>
          </cell>
        </row>
        <row r="1376">
          <cell r="A1376" t="str">
            <v>K53RSA8-5</v>
          </cell>
          <cell r="B1376" t="str">
            <v>PENINSULAR LAT ROJO TERCIOPELO</v>
          </cell>
          <cell r="C1376">
            <v>1</v>
          </cell>
          <cell r="D1376">
            <v>365</v>
          </cell>
        </row>
        <row r="1377">
          <cell r="A1377" t="str">
            <v>K53RSA9</v>
          </cell>
          <cell r="B1377" t="str">
            <v xml:space="preserve">PENINSULAR LATEX ROJO TERRAC  </v>
          </cell>
          <cell r="C1377">
            <v>1</v>
          </cell>
          <cell r="D1377">
            <v>365</v>
          </cell>
        </row>
        <row r="1378">
          <cell r="A1378" t="str">
            <v>K53RSA9-1</v>
          </cell>
          <cell r="B1378" t="str">
            <v xml:space="preserve">PENINSULAR LATEX ROJO TERRAC  </v>
          </cell>
          <cell r="C1378">
            <v>1</v>
          </cell>
          <cell r="D1378">
            <v>365</v>
          </cell>
        </row>
        <row r="1379">
          <cell r="A1379" t="str">
            <v>K53RSA9-5</v>
          </cell>
          <cell r="B1379" t="str">
            <v xml:space="preserve">PENINSULAR LATEX ROJO TERRAC  </v>
          </cell>
          <cell r="C1379">
            <v>1</v>
          </cell>
          <cell r="D1379">
            <v>365</v>
          </cell>
        </row>
        <row r="1380">
          <cell r="A1380" t="str">
            <v>K53WSA1</v>
          </cell>
          <cell r="B1380" t="str">
            <v xml:space="preserve">PENINSULAR LATEX MATE BLANCO  </v>
          </cell>
          <cell r="C1380">
            <v>1</v>
          </cell>
          <cell r="D1380">
            <v>365</v>
          </cell>
        </row>
        <row r="1381">
          <cell r="A1381" t="str">
            <v>K53WSA1-1</v>
          </cell>
          <cell r="B1381" t="str">
            <v xml:space="preserve">PENINSULAR LATEX MATE BLANCO  </v>
          </cell>
          <cell r="C1381">
            <v>1</v>
          </cell>
          <cell r="D1381">
            <v>365</v>
          </cell>
        </row>
        <row r="1382">
          <cell r="A1382" t="str">
            <v>K53WSA1-1/4</v>
          </cell>
          <cell r="B1382" t="str">
            <v xml:space="preserve">PENINSULAR LATEX BLANCO       </v>
          </cell>
          <cell r="C1382">
            <v>1</v>
          </cell>
          <cell r="D1382">
            <v>365</v>
          </cell>
        </row>
        <row r="1383">
          <cell r="A1383" t="str">
            <v>K53WSA1-5</v>
          </cell>
          <cell r="B1383" t="str">
            <v xml:space="preserve">PENINSULAR LATEX MATE BLANCO  </v>
          </cell>
          <cell r="C1383">
            <v>1</v>
          </cell>
          <cell r="D1383">
            <v>365</v>
          </cell>
        </row>
        <row r="1384">
          <cell r="A1384" t="str">
            <v>K53WSA1-50</v>
          </cell>
          <cell r="B1384" t="str">
            <v xml:space="preserve">PENINSULAR LATEX BLANCO       </v>
          </cell>
          <cell r="C1384">
            <v>1</v>
          </cell>
          <cell r="D1384">
            <v>365</v>
          </cell>
        </row>
        <row r="1385">
          <cell r="A1385" t="str">
            <v>K53WSA4</v>
          </cell>
          <cell r="B1385" t="str">
            <v>PENIN LATEX MATE NVO BCO HUESO</v>
          </cell>
          <cell r="C1385">
            <v>1</v>
          </cell>
          <cell r="D1385">
            <v>365</v>
          </cell>
        </row>
        <row r="1386">
          <cell r="A1386" t="str">
            <v>K53WSA4-1</v>
          </cell>
          <cell r="B1386" t="str">
            <v>PENIN LATEX MATE NVO BCO HUESO</v>
          </cell>
          <cell r="C1386">
            <v>1</v>
          </cell>
          <cell r="D1386">
            <v>365</v>
          </cell>
        </row>
        <row r="1387">
          <cell r="A1387" t="str">
            <v>K53WSA4-5</v>
          </cell>
          <cell r="B1387" t="str">
            <v>PENIN LATEX MATE NVO BCO HUESO</v>
          </cell>
          <cell r="C1387">
            <v>1</v>
          </cell>
          <cell r="D1387">
            <v>365</v>
          </cell>
        </row>
        <row r="1388">
          <cell r="A1388" t="str">
            <v>K53YSA1</v>
          </cell>
          <cell r="B1388" t="str">
            <v>PENINSULAR LATEX MATE AMARILLO</v>
          </cell>
          <cell r="C1388">
            <v>1</v>
          </cell>
          <cell r="D1388">
            <v>365</v>
          </cell>
        </row>
        <row r="1389">
          <cell r="A1389" t="str">
            <v>K53YSA1-1</v>
          </cell>
          <cell r="B1389" t="str">
            <v>PENINSULAR LATEX MATE AMARILLO</v>
          </cell>
          <cell r="C1389">
            <v>1</v>
          </cell>
          <cell r="D1389">
            <v>365</v>
          </cell>
        </row>
        <row r="1390">
          <cell r="A1390" t="str">
            <v>K53YSA1-5</v>
          </cell>
          <cell r="B1390" t="str">
            <v xml:space="preserve">PENINSULAR LATEX AMARILLO     </v>
          </cell>
          <cell r="C1390">
            <v>1</v>
          </cell>
          <cell r="D1390">
            <v>365</v>
          </cell>
        </row>
        <row r="1391">
          <cell r="A1391" t="str">
            <v>K53YSA6</v>
          </cell>
          <cell r="B1391" t="str">
            <v xml:space="preserve">PENINSULAR LATEX AMARILLO     </v>
          </cell>
          <cell r="C1391">
            <v>1</v>
          </cell>
          <cell r="D1391">
            <v>365</v>
          </cell>
        </row>
        <row r="1392">
          <cell r="A1392" t="str">
            <v>K53YSA6-1</v>
          </cell>
          <cell r="B1392" t="str">
            <v xml:space="preserve">PENINSULAR LATEX AMARILLO     </v>
          </cell>
          <cell r="C1392">
            <v>1</v>
          </cell>
          <cell r="D1392">
            <v>365</v>
          </cell>
        </row>
        <row r="1393">
          <cell r="A1393" t="str">
            <v>K53YSA6-5</v>
          </cell>
          <cell r="B1393" t="str">
            <v xml:space="preserve">PENINSULAR LATEX AMARILLO     </v>
          </cell>
          <cell r="C1393">
            <v>1</v>
          </cell>
          <cell r="D1393">
            <v>365</v>
          </cell>
        </row>
        <row r="1394">
          <cell r="A1394" t="str">
            <v>K53YSA7</v>
          </cell>
          <cell r="B1394" t="str">
            <v xml:space="preserve">PENINSULAR LATEX AMARILLO ORO </v>
          </cell>
          <cell r="C1394">
            <v>1</v>
          </cell>
          <cell r="D1394">
            <v>365</v>
          </cell>
        </row>
        <row r="1395">
          <cell r="A1395" t="str">
            <v>K53YSA7-1</v>
          </cell>
          <cell r="B1395" t="str">
            <v xml:space="preserve">PENINSULAR LATEX AMARILLO ORO </v>
          </cell>
          <cell r="C1395">
            <v>1</v>
          </cell>
          <cell r="D1395">
            <v>365</v>
          </cell>
        </row>
        <row r="1396">
          <cell r="A1396" t="str">
            <v>K53YSA8</v>
          </cell>
          <cell r="B1396" t="str">
            <v xml:space="preserve">PENINSULAR LATEX AMARILLO ANT </v>
          </cell>
          <cell r="C1396">
            <v>1</v>
          </cell>
          <cell r="D1396">
            <v>365</v>
          </cell>
        </row>
        <row r="1397">
          <cell r="A1397" t="str">
            <v>K53YSA8-1</v>
          </cell>
          <cell r="B1397" t="str">
            <v xml:space="preserve">PENINSULAR LATEX AMARILLO ANT </v>
          </cell>
          <cell r="C1397">
            <v>1</v>
          </cell>
          <cell r="D1397">
            <v>365</v>
          </cell>
        </row>
        <row r="1398">
          <cell r="A1398" t="str">
            <v>K53YSA8-5</v>
          </cell>
          <cell r="B1398" t="str">
            <v xml:space="preserve">PENINSULAR LATEX AMARILLO ANT </v>
          </cell>
          <cell r="C1398">
            <v>1</v>
          </cell>
          <cell r="D1398">
            <v>365</v>
          </cell>
        </row>
        <row r="1399">
          <cell r="A1399" t="str">
            <v>K58ASA2</v>
          </cell>
          <cell r="B1399" t="str">
            <v>PENIN ESM BRILLANTE GRIS TENUE</v>
          </cell>
          <cell r="C1399">
            <v>1</v>
          </cell>
          <cell r="D1399">
            <v>365</v>
          </cell>
        </row>
        <row r="1400">
          <cell r="A1400" t="str">
            <v>K58ASA2-1</v>
          </cell>
          <cell r="B1400" t="str">
            <v>PENIN ESM BRILLANTE GRIS TENUE</v>
          </cell>
          <cell r="C1400">
            <v>1</v>
          </cell>
          <cell r="D1400">
            <v>365</v>
          </cell>
        </row>
        <row r="1401">
          <cell r="A1401" t="str">
            <v>K58ASA2-1/4</v>
          </cell>
          <cell r="B1401" t="str">
            <v>PENIN ESM BRILLANTE GRIS TENUE</v>
          </cell>
          <cell r="C1401">
            <v>1</v>
          </cell>
          <cell r="D1401">
            <v>365</v>
          </cell>
        </row>
        <row r="1402">
          <cell r="A1402" t="str">
            <v>K58ASA5</v>
          </cell>
          <cell r="B1402" t="str">
            <v xml:space="preserve">PENINSULAR ESMALTE GRIS PLATA </v>
          </cell>
          <cell r="C1402">
            <v>1</v>
          </cell>
          <cell r="D1402">
            <v>365</v>
          </cell>
        </row>
        <row r="1403">
          <cell r="A1403" t="str">
            <v>K58ASA5-1</v>
          </cell>
          <cell r="B1403" t="str">
            <v xml:space="preserve">PENINSULAR ESMALTE GRIS PLATA </v>
          </cell>
          <cell r="C1403">
            <v>1</v>
          </cell>
          <cell r="D1403">
            <v>365</v>
          </cell>
        </row>
        <row r="1404">
          <cell r="A1404" t="str">
            <v>K58ASA5-1/4</v>
          </cell>
          <cell r="B1404" t="str">
            <v xml:space="preserve">PENINSULAR ESMALTE GRIS PLATA </v>
          </cell>
          <cell r="C1404">
            <v>1</v>
          </cell>
          <cell r="D1404">
            <v>365</v>
          </cell>
        </row>
        <row r="1405">
          <cell r="A1405" t="str">
            <v>K58ASA5-5</v>
          </cell>
          <cell r="B1405" t="str">
            <v xml:space="preserve">PENINSULAR ESMALTE GRIS PLATA </v>
          </cell>
          <cell r="C1405">
            <v>1</v>
          </cell>
          <cell r="D1405">
            <v>365</v>
          </cell>
        </row>
        <row r="1406">
          <cell r="A1406" t="str">
            <v>K58BSA2</v>
          </cell>
          <cell r="B1406" t="str">
            <v>PENINS ESMALTE BRILLANTE NEGRO</v>
          </cell>
          <cell r="C1406">
            <v>1</v>
          </cell>
          <cell r="D1406">
            <v>365</v>
          </cell>
        </row>
        <row r="1407">
          <cell r="A1407" t="str">
            <v>K58BSA2-1</v>
          </cell>
          <cell r="B1407" t="str">
            <v>PENINS ESMALTE BRILLANTE NEGRO</v>
          </cell>
          <cell r="C1407">
            <v>1</v>
          </cell>
          <cell r="D1407">
            <v>365</v>
          </cell>
        </row>
        <row r="1408">
          <cell r="A1408" t="str">
            <v>K58BSA2-1/4</v>
          </cell>
          <cell r="B1408" t="str">
            <v>PENINS ESMALTE BRILLANTE NEGRO</v>
          </cell>
          <cell r="C1408">
            <v>1</v>
          </cell>
          <cell r="D1408">
            <v>365</v>
          </cell>
        </row>
        <row r="1409">
          <cell r="A1409" t="str">
            <v>K58BSA2-5</v>
          </cell>
          <cell r="B1409" t="str">
            <v>PENINS ESMALTE BRILLANTE NEGRO</v>
          </cell>
          <cell r="C1409">
            <v>1</v>
          </cell>
          <cell r="D1409">
            <v>365</v>
          </cell>
        </row>
        <row r="1410">
          <cell r="A1410" t="str">
            <v>K58GSA2</v>
          </cell>
          <cell r="B1410" t="str">
            <v xml:space="preserve">PENINS ESMALTE BRILLANTE AQUA </v>
          </cell>
          <cell r="C1410">
            <v>1</v>
          </cell>
          <cell r="D1410">
            <v>365</v>
          </cell>
        </row>
        <row r="1411">
          <cell r="A1411" t="str">
            <v>K58GSA2-1</v>
          </cell>
          <cell r="B1411" t="str">
            <v xml:space="preserve">PENINS ESMALTE BRILLANTE AQUA </v>
          </cell>
          <cell r="C1411">
            <v>1</v>
          </cell>
          <cell r="D1411">
            <v>365</v>
          </cell>
        </row>
        <row r="1412">
          <cell r="A1412" t="str">
            <v>K58GSA2-1/4</v>
          </cell>
          <cell r="B1412" t="str">
            <v xml:space="preserve">PENINS ESMALTE BRILLANTE AQUA </v>
          </cell>
          <cell r="C1412">
            <v>1</v>
          </cell>
          <cell r="D1412">
            <v>365</v>
          </cell>
        </row>
        <row r="1413">
          <cell r="A1413" t="str">
            <v>K58GSA4</v>
          </cell>
          <cell r="B1413" t="str">
            <v>PENINSULAR ESMALTE VERDE INTEN</v>
          </cell>
          <cell r="C1413">
            <v>1</v>
          </cell>
          <cell r="D1413">
            <v>365</v>
          </cell>
        </row>
        <row r="1414">
          <cell r="A1414" t="str">
            <v>K58GSA4-1</v>
          </cell>
          <cell r="B1414" t="str">
            <v>PENINSULAR ESMALTE VERDE INTEN</v>
          </cell>
          <cell r="C1414">
            <v>1</v>
          </cell>
          <cell r="D1414">
            <v>365</v>
          </cell>
        </row>
        <row r="1415">
          <cell r="A1415" t="str">
            <v>K58GSA4-1/4</v>
          </cell>
          <cell r="B1415" t="str">
            <v>PENINSULAR ESMALTE VERDE INTEN</v>
          </cell>
          <cell r="C1415">
            <v>1</v>
          </cell>
          <cell r="D1415">
            <v>365</v>
          </cell>
        </row>
        <row r="1416">
          <cell r="A1416" t="str">
            <v>K58GSA4-5</v>
          </cell>
          <cell r="B1416" t="str">
            <v>PENINSULAR ESMALTE VERDE INTEN</v>
          </cell>
          <cell r="C1416">
            <v>1</v>
          </cell>
          <cell r="D1416">
            <v>365</v>
          </cell>
        </row>
        <row r="1417">
          <cell r="A1417" t="str">
            <v>K58GSA5</v>
          </cell>
          <cell r="B1417" t="str">
            <v xml:space="preserve">PENINSULAR ESMALTE VERD       </v>
          </cell>
          <cell r="C1417">
            <v>1</v>
          </cell>
          <cell r="D1417">
            <v>365</v>
          </cell>
        </row>
        <row r="1418">
          <cell r="A1418" t="str">
            <v>K58GSA5-1</v>
          </cell>
          <cell r="B1418" t="str">
            <v xml:space="preserve">PENINSULAR ESMALTE VERD       </v>
          </cell>
          <cell r="C1418">
            <v>1</v>
          </cell>
          <cell r="D1418">
            <v>365</v>
          </cell>
        </row>
        <row r="1419">
          <cell r="A1419" t="str">
            <v>K58GSA6</v>
          </cell>
          <cell r="B1419" t="str">
            <v xml:space="preserve">PENINSULAR ESMALTE VERDE      </v>
          </cell>
          <cell r="C1419">
            <v>1</v>
          </cell>
          <cell r="D1419">
            <v>365</v>
          </cell>
        </row>
        <row r="1420">
          <cell r="A1420" t="str">
            <v>K58GSA6-1</v>
          </cell>
          <cell r="B1420" t="str">
            <v xml:space="preserve">PENINSULAR ESMALTE VERDE      </v>
          </cell>
          <cell r="C1420">
            <v>1</v>
          </cell>
          <cell r="D1420">
            <v>365</v>
          </cell>
        </row>
        <row r="1421">
          <cell r="A1421" t="str">
            <v>K58HSA1</v>
          </cell>
          <cell r="B1421" t="str">
            <v>PENIN ESMALTE BRILLANTE MARFIL</v>
          </cell>
          <cell r="C1421">
            <v>1</v>
          </cell>
          <cell r="D1421">
            <v>365</v>
          </cell>
        </row>
        <row r="1422">
          <cell r="A1422" t="str">
            <v>K58HSA1-1</v>
          </cell>
          <cell r="B1422" t="str">
            <v>PENIN ESMALTE BRILLANTE MARFIL</v>
          </cell>
          <cell r="C1422">
            <v>1</v>
          </cell>
          <cell r="D1422">
            <v>365</v>
          </cell>
        </row>
        <row r="1423">
          <cell r="A1423" t="str">
            <v>K58HSA1-1/4</v>
          </cell>
          <cell r="B1423" t="str">
            <v>PENIN ESMALTE BRILLANTE MARFIL</v>
          </cell>
          <cell r="C1423">
            <v>1</v>
          </cell>
          <cell r="D1423">
            <v>365</v>
          </cell>
        </row>
        <row r="1424">
          <cell r="A1424" t="str">
            <v>K58HSA1-5</v>
          </cell>
          <cell r="B1424" t="str">
            <v>PENIN ESMALTE BRILLANTE MARFIL</v>
          </cell>
          <cell r="C1424">
            <v>1</v>
          </cell>
          <cell r="D1424">
            <v>365</v>
          </cell>
        </row>
        <row r="1425">
          <cell r="A1425" t="str">
            <v>K58LSA1</v>
          </cell>
          <cell r="B1425" t="str">
            <v>PENIN ESM BRILLAN AZUL FESTIVO</v>
          </cell>
          <cell r="C1425">
            <v>1</v>
          </cell>
          <cell r="D1425">
            <v>365</v>
          </cell>
        </row>
        <row r="1426">
          <cell r="A1426" t="str">
            <v>K58LSA1-1</v>
          </cell>
          <cell r="B1426" t="str">
            <v>PENIN ESM BRILLAN AZUL FESTIVO</v>
          </cell>
          <cell r="C1426">
            <v>1</v>
          </cell>
          <cell r="D1426">
            <v>365</v>
          </cell>
        </row>
        <row r="1427">
          <cell r="A1427" t="str">
            <v>K58LSA1-1/4</v>
          </cell>
          <cell r="B1427" t="str">
            <v>PENIN ESM BRILLAN AZUL FESTIVO</v>
          </cell>
          <cell r="C1427">
            <v>1</v>
          </cell>
          <cell r="D1427">
            <v>365</v>
          </cell>
        </row>
        <row r="1428">
          <cell r="A1428" t="str">
            <v>K58LSA2</v>
          </cell>
          <cell r="B1428" t="str">
            <v>PENIN ESMALT BRILLANTE CELESTE</v>
          </cell>
          <cell r="C1428">
            <v>1</v>
          </cell>
          <cell r="D1428">
            <v>365</v>
          </cell>
        </row>
        <row r="1429">
          <cell r="A1429" t="str">
            <v>K58LSA2-1</v>
          </cell>
          <cell r="B1429" t="str">
            <v>PENIN ESMALT BRILLANTE CELESTE</v>
          </cell>
          <cell r="C1429">
            <v>1</v>
          </cell>
          <cell r="D1429">
            <v>365</v>
          </cell>
        </row>
        <row r="1430">
          <cell r="A1430" t="str">
            <v>K58LSA2-1/4</v>
          </cell>
          <cell r="B1430" t="str">
            <v>PENIN ESMALT BRILLANTE CELESTE</v>
          </cell>
          <cell r="C1430">
            <v>1</v>
          </cell>
          <cell r="D1430">
            <v>365</v>
          </cell>
        </row>
        <row r="1431">
          <cell r="A1431" t="str">
            <v>K58LSA6</v>
          </cell>
          <cell r="B1431" t="str">
            <v xml:space="preserve">PENINSULAR ESMALTE AZUL       </v>
          </cell>
          <cell r="C1431">
            <v>1</v>
          </cell>
          <cell r="D1431">
            <v>365</v>
          </cell>
        </row>
        <row r="1432">
          <cell r="A1432" t="str">
            <v>K58LSA6-1</v>
          </cell>
          <cell r="B1432" t="str">
            <v xml:space="preserve">PENINSULAR ESMALTE AZUL       </v>
          </cell>
          <cell r="C1432">
            <v>1</v>
          </cell>
          <cell r="D1432">
            <v>365</v>
          </cell>
        </row>
        <row r="1433">
          <cell r="A1433" t="str">
            <v>K58LSA6-1/4</v>
          </cell>
          <cell r="B1433" t="str">
            <v xml:space="preserve">PENINSULAR ESMALTE AZUL       </v>
          </cell>
          <cell r="C1433">
            <v>1</v>
          </cell>
          <cell r="D1433">
            <v>365</v>
          </cell>
        </row>
        <row r="1434">
          <cell r="A1434" t="str">
            <v>K58LSA6-5</v>
          </cell>
          <cell r="B1434" t="str">
            <v xml:space="preserve">PENINSULAR ESMALTE AZUL       </v>
          </cell>
          <cell r="C1434">
            <v>1</v>
          </cell>
          <cell r="D1434">
            <v>365</v>
          </cell>
        </row>
        <row r="1435">
          <cell r="A1435" t="str">
            <v>K58LSA7</v>
          </cell>
          <cell r="B1435" t="str">
            <v xml:space="preserve">PENINSULAR ESMAL AZUL         </v>
          </cell>
          <cell r="C1435">
            <v>1</v>
          </cell>
          <cell r="D1435">
            <v>365</v>
          </cell>
        </row>
        <row r="1436">
          <cell r="A1436" t="str">
            <v>K58LSA7-1</v>
          </cell>
          <cell r="B1436" t="str">
            <v xml:space="preserve">PENINSULAR ESMAL AZUL         </v>
          </cell>
          <cell r="C1436">
            <v>1</v>
          </cell>
          <cell r="D1436">
            <v>365</v>
          </cell>
        </row>
        <row r="1437">
          <cell r="A1437" t="str">
            <v>K58MSA1</v>
          </cell>
          <cell r="B1437" t="str">
            <v>PENIN ESM BRILLANTE VINO TINTO</v>
          </cell>
          <cell r="C1437">
            <v>1</v>
          </cell>
          <cell r="D1437">
            <v>365</v>
          </cell>
        </row>
        <row r="1438">
          <cell r="A1438" t="str">
            <v>K58MSA1-1</v>
          </cell>
          <cell r="B1438" t="str">
            <v>PENIN ESM BRILLANTE VINO TINTO</v>
          </cell>
          <cell r="C1438">
            <v>1</v>
          </cell>
          <cell r="D1438">
            <v>365</v>
          </cell>
        </row>
        <row r="1439">
          <cell r="A1439" t="str">
            <v>K58MSA1-1/4</v>
          </cell>
          <cell r="B1439" t="str">
            <v>PENIN ESM BRILLANTE VINO TINTO</v>
          </cell>
          <cell r="C1439">
            <v>1</v>
          </cell>
          <cell r="D1439">
            <v>365</v>
          </cell>
        </row>
        <row r="1440">
          <cell r="A1440" t="str">
            <v>K58MSA2</v>
          </cell>
          <cell r="B1440" t="str">
            <v xml:space="preserve">PENINSULAR ESMALTE AMATISTA   </v>
          </cell>
          <cell r="C1440">
            <v>1</v>
          </cell>
          <cell r="D1440">
            <v>365</v>
          </cell>
        </row>
        <row r="1441">
          <cell r="A1441" t="str">
            <v>K58MSA2-1</v>
          </cell>
          <cell r="B1441" t="str">
            <v xml:space="preserve">PENINSULAR ESMALTE AMATISTA   </v>
          </cell>
          <cell r="C1441">
            <v>1</v>
          </cell>
          <cell r="D1441">
            <v>365</v>
          </cell>
        </row>
        <row r="1442">
          <cell r="A1442" t="str">
            <v>K58NSA1</v>
          </cell>
          <cell r="B1442" t="str">
            <v>PENINS ESM BRILLANTE CHOCOLATE</v>
          </cell>
          <cell r="C1442">
            <v>1</v>
          </cell>
          <cell r="D1442">
            <v>365</v>
          </cell>
        </row>
        <row r="1443">
          <cell r="A1443" t="str">
            <v>K58NSA1-1</v>
          </cell>
          <cell r="B1443" t="str">
            <v>PENINS ESM BRILLANTE CHOCOLATE</v>
          </cell>
          <cell r="C1443">
            <v>1</v>
          </cell>
          <cell r="D1443">
            <v>365</v>
          </cell>
        </row>
        <row r="1444">
          <cell r="A1444" t="str">
            <v>K58NSA1-1/4</v>
          </cell>
          <cell r="B1444" t="str">
            <v>PENINS ESM BRILLANTE CHOCOLATE</v>
          </cell>
          <cell r="C1444">
            <v>1</v>
          </cell>
          <cell r="D1444">
            <v>365</v>
          </cell>
        </row>
        <row r="1445">
          <cell r="A1445" t="str">
            <v>K58NSA2</v>
          </cell>
          <cell r="B1445" t="str">
            <v>PENINSULAR ESMALTE CAFE COBRIZ</v>
          </cell>
          <cell r="C1445">
            <v>1</v>
          </cell>
          <cell r="D1445">
            <v>365</v>
          </cell>
        </row>
        <row r="1446">
          <cell r="A1446" t="str">
            <v>K58NSA2-1</v>
          </cell>
          <cell r="B1446" t="str">
            <v>PENINSULAR ESMALTE CAFE COBRIZ</v>
          </cell>
          <cell r="C1446">
            <v>1</v>
          </cell>
          <cell r="D1446">
            <v>365</v>
          </cell>
        </row>
        <row r="1447">
          <cell r="A1447" t="str">
            <v>K58PSA1</v>
          </cell>
          <cell r="B1447" t="str">
            <v>PENINSULAR ESMALTE LILA CAUTIV</v>
          </cell>
          <cell r="C1447">
            <v>1</v>
          </cell>
          <cell r="D1447">
            <v>365</v>
          </cell>
        </row>
        <row r="1448">
          <cell r="A1448" t="str">
            <v>K58PSA1-1</v>
          </cell>
          <cell r="B1448" t="str">
            <v>PENINSULAR ESMALTE LILA CAUTIV</v>
          </cell>
          <cell r="C1448">
            <v>1</v>
          </cell>
          <cell r="D1448">
            <v>365</v>
          </cell>
        </row>
        <row r="1449">
          <cell r="A1449" t="str">
            <v>K58RSA2</v>
          </cell>
          <cell r="B1449" t="str">
            <v>PENINS ESM BRILLANTE BERMELLON</v>
          </cell>
          <cell r="C1449">
            <v>1</v>
          </cell>
          <cell r="D1449">
            <v>365</v>
          </cell>
        </row>
        <row r="1450">
          <cell r="A1450" t="str">
            <v>K58RSA2-1</v>
          </cell>
          <cell r="B1450" t="str">
            <v>PENINS ESM BRILLANTE BERMELLON</v>
          </cell>
          <cell r="C1450">
            <v>1</v>
          </cell>
          <cell r="D1450">
            <v>365</v>
          </cell>
        </row>
        <row r="1451">
          <cell r="A1451" t="str">
            <v>K58RSA2-1/4</v>
          </cell>
          <cell r="B1451" t="str">
            <v>PENINS ESM BRILLANTE BERMELLON</v>
          </cell>
          <cell r="C1451">
            <v>1</v>
          </cell>
          <cell r="D1451">
            <v>365</v>
          </cell>
        </row>
        <row r="1452">
          <cell r="A1452" t="str">
            <v>K58RSA6</v>
          </cell>
          <cell r="B1452" t="str">
            <v>PENIN ESM BRILLANTE DECO CORAL</v>
          </cell>
          <cell r="C1452">
            <v>1</v>
          </cell>
          <cell r="D1452">
            <v>365</v>
          </cell>
        </row>
        <row r="1453">
          <cell r="A1453" t="str">
            <v>K58RSA6-1</v>
          </cell>
          <cell r="B1453" t="str">
            <v>PENIN ESM BRILLANTE DECO CORAL</v>
          </cell>
          <cell r="C1453">
            <v>1</v>
          </cell>
          <cell r="D1453">
            <v>365</v>
          </cell>
        </row>
        <row r="1454">
          <cell r="A1454" t="str">
            <v>K58RSA6-1/4</v>
          </cell>
          <cell r="B1454" t="str">
            <v>PENIN ESM BRILLANTE DECO CORAL</v>
          </cell>
          <cell r="C1454">
            <v>1</v>
          </cell>
          <cell r="D1454">
            <v>365</v>
          </cell>
        </row>
        <row r="1455">
          <cell r="A1455" t="str">
            <v>K58RSA8</v>
          </cell>
          <cell r="B1455" t="str">
            <v xml:space="preserve">PENINSULAR ESMALTE ROSA SEDUC </v>
          </cell>
          <cell r="C1455">
            <v>1</v>
          </cell>
          <cell r="D1455">
            <v>365</v>
          </cell>
        </row>
        <row r="1456">
          <cell r="A1456" t="str">
            <v>K58RSA8-1</v>
          </cell>
          <cell r="B1456" t="str">
            <v xml:space="preserve">PENINSULAR ESMALTE ROSA SEDUC </v>
          </cell>
          <cell r="C1456">
            <v>1</v>
          </cell>
          <cell r="D1456">
            <v>365</v>
          </cell>
        </row>
        <row r="1457">
          <cell r="A1457" t="str">
            <v>K58RSA9</v>
          </cell>
          <cell r="B1457" t="str">
            <v>PENINSULAR ESMALT ROJO TERCIOP</v>
          </cell>
          <cell r="C1457">
            <v>1</v>
          </cell>
          <cell r="D1457">
            <v>365</v>
          </cell>
        </row>
        <row r="1458">
          <cell r="A1458" t="str">
            <v>K58RSA9-1</v>
          </cell>
          <cell r="B1458" t="str">
            <v>PENINSULAR ESMALT ROJO TERCIOP</v>
          </cell>
          <cell r="C1458">
            <v>1</v>
          </cell>
          <cell r="D1458">
            <v>365</v>
          </cell>
        </row>
        <row r="1459">
          <cell r="A1459" t="str">
            <v>K58WSA1</v>
          </cell>
          <cell r="B1459" t="str">
            <v>PENIN ESMALTE BRILLANTE BLANCO</v>
          </cell>
          <cell r="C1459">
            <v>1</v>
          </cell>
          <cell r="D1459">
            <v>365</v>
          </cell>
        </row>
        <row r="1460">
          <cell r="A1460" t="str">
            <v>K58WSA1-1</v>
          </cell>
          <cell r="B1460" t="str">
            <v>PENIN ESMALTE BRILLANTE BLANCO</v>
          </cell>
          <cell r="C1460">
            <v>1</v>
          </cell>
          <cell r="D1460">
            <v>365</v>
          </cell>
        </row>
        <row r="1461">
          <cell r="A1461" t="str">
            <v>K58WSA1-1/4</v>
          </cell>
          <cell r="B1461" t="str">
            <v>PENIN ESMALTE BRILLANTE BLANCO</v>
          </cell>
          <cell r="C1461">
            <v>1</v>
          </cell>
          <cell r="D1461">
            <v>365</v>
          </cell>
        </row>
        <row r="1462">
          <cell r="A1462" t="str">
            <v>K58WSA1-5</v>
          </cell>
          <cell r="B1462" t="str">
            <v>PENIN ESMALTE BRILLANTE BLANCO</v>
          </cell>
          <cell r="C1462">
            <v>1</v>
          </cell>
          <cell r="D1462">
            <v>365</v>
          </cell>
        </row>
        <row r="1463">
          <cell r="A1463" t="str">
            <v>K58WSA2</v>
          </cell>
          <cell r="B1463" t="str">
            <v>PENINS ESMALTE BRILL BCO HUESO</v>
          </cell>
          <cell r="C1463">
            <v>1</v>
          </cell>
          <cell r="D1463">
            <v>365</v>
          </cell>
        </row>
        <row r="1464">
          <cell r="A1464" t="str">
            <v>K58WSA2-1</v>
          </cell>
          <cell r="B1464" t="str">
            <v>PENINS ESMALTE BRILL BCO HUESO</v>
          </cell>
          <cell r="C1464">
            <v>1</v>
          </cell>
          <cell r="D1464">
            <v>365</v>
          </cell>
        </row>
        <row r="1465">
          <cell r="A1465" t="str">
            <v>K58WSA2-1/4</v>
          </cell>
          <cell r="B1465" t="str">
            <v>PENINS ESMALTE BRILL BCO HUESO</v>
          </cell>
          <cell r="C1465">
            <v>1</v>
          </cell>
          <cell r="D1465">
            <v>365</v>
          </cell>
        </row>
        <row r="1466">
          <cell r="A1466" t="str">
            <v>K58WSA2-5</v>
          </cell>
          <cell r="B1466" t="str">
            <v>PENINS ESMALTE BRILL BCO HUESO</v>
          </cell>
          <cell r="C1466">
            <v>1</v>
          </cell>
          <cell r="D1466">
            <v>365</v>
          </cell>
        </row>
        <row r="1467">
          <cell r="A1467" t="str">
            <v>K58YSA1</v>
          </cell>
          <cell r="B1467" t="str">
            <v xml:space="preserve">PENINS ESMALTE BRILL AMARILLO </v>
          </cell>
          <cell r="C1467">
            <v>1</v>
          </cell>
          <cell r="D1467">
            <v>365</v>
          </cell>
        </row>
        <row r="1468">
          <cell r="A1468" t="str">
            <v>K58YSA1-1</v>
          </cell>
          <cell r="B1468" t="str">
            <v xml:space="preserve">PENINS ESMALTE BRILL AMARILLO </v>
          </cell>
          <cell r="C1468">
            <v>1</v>
          </cell>
          <cell r="D1468">
            <v>365</v>
          </cell>
        </row>
        <row r="1469">
          <cell r="A1469" t="str">
            <v>K58YSA1-1/4</v>
          </cell>
          <cell r="B1469" t="str">
            <v>PENIN ESMAL BRILLANTE AMARILLO</v>
          </cell>
          <cell r="C1469">
            <v>1</v>
          </cell>
          <cell r="D1469">
            <v>365</v>
          </cell>
        </row>
        <row r="1470">
          <cell r="A1470" t="str">
            <v>K58YSA1-5</v>
          </cell>
          <cell r="B1470" t="str">
            <v xml:space="preserve">PENINSULAR ESMALTE AMARILLO   </v>
          </cell>
          <cell r="C1470">
            <v>1</v>
          </cell>
          <cell r="D1470">
            <v>365</v>
          </cell>
        </row>
        <row r="1471">
          <cell r="A1471" t="str">
            <v>K58YSA3</v>
          </cell>
          <cell r="B1471" t="str">
            <v>PENINS ESM BRIL AMARILLO CLARO</v>
          </cell>
          <cell r="C1471">
            <v>1</v>
          </cell>
          <cell r="D1471">
            <v>365</v>
          </cell>
        </row>
        <row r="1472">
          <cell r="A1472" t="str">
            <v>K58YSA3-1</v>
          </cell>
          <cell r="B1472" t="str">
            <v>PENINS ESM BRIL AMARILLO CLARO</v>
          </cell>
          <cell r="C1472">
            <v>1</v>
          </cell>
          <cell r="D1472">
            <v>365</v>
          </cell>
        </row>
        <row r="1473">
          <cell r="A1473" t="str">
            <v>K58YSA3-1/4</v>
          </cell>
          <cell r="B1473" t="str">
            <v>PENINS ESM BRIL AMARILLO CLARO</v>
          </cell>
          <cell r="C1473">
            <v>1</v>
          </cell>
          <cell r="D1473">
            <v>365</v>
          </cell>
        </row>
        <row r="1474">
          <cell r="A1474" t="str">
            <v>K58YSA5</v>
          </cell>
          <cell r="B1474" t="str">
            <v xml:space="preserve">PENINSULAR ESMALTE AMARI. ORO </v>
          </cell>
          <cell r="C1474">
            <v>1</v>
          </cell>
          <cell r="D1474">
            <v>365</v>
          </cell>
        </row>
        <row r="1475">
          <cell r="A1475" t="str">
            <v>K58YSA5-1</v>
          </cell>
          <cell r="B1475" t="str">
            <v xml:space="preserve">PENINSULAR ESMALTE AMAR ORO   </v>
          </cell>
          <cell r="C1475">
            <v>1</v>
          </cell>
          <cell r="D1475">
            <v>365</v>
          </cell>
        </row>
        <row r="1476">
          <cell r="A1476" t="str">
            <v>K62ASA1</v>
          </cell>
          <cell r="B1476" t="str">
            <v xml:space="preserve">ANTICORROS P ESTRUCTURAS GRIS </v>
          </cell>
          <cell r="C1476">
            <v>1</v>
          </cell>
          <cell r="D1476">
            <v>365</v>
          </cell>
        </row>
        <row r="1477">
          <cell r="A1477" t="str">
            <v>K62ASA1-1</v>
          </cell>
          <cell r="B1477" t="str">
            <v xml:space="preserve">ANTICORROS P ESTRUCTURAS GRIS </v>
          </cell>
          <cell r="C1477">
            <v>1</v>
          </cell>
          <cell r="D1477">
            <v>365</v>
          </cell>
        </row>
        <row r="1478">
          <cell r="A1478" t="str">
            <v>K62ASA1-1/4</v>
          </cell>
          <cell r="B1478" t="str">
            <v xml:space="preserve">ANTICORROS P ESTRUCTURAS GRIS </v>
          </cell>
          <cell r="C1478">
            <v>1</v>
          </cell>
          <cell r="D1478">
            <v>365</v>
          </cell>
        </row>
        <row r="1479">
          <cell r="A1479" t="str">
            <v>K62ASA1-5</v>
          </cell>
          <cell r="B1479" t="str">
            <v xml:space="preserve">ANTICORROS P ESTRUCTURAS GRIS </v>
          </cell>
          <cell r="C1479">
            <v>1</v>
          </cell>
          <cell r="D1479">
            <v>365</v>
          </cell>
        </row>
        <row r="1480">
          <cell r="A1480" t="str">
            <v>K62ASA1-50</v>
          </cell>
          <cell r="B1480" t="str">
            <v xml:space="preserve">ANTICORROS P ESTRUCTURAS GRIS </v>
          </cell>
          <cell r="C1480">
            <v>1</v>
          </cell>
          <cell r="D1480">
            <v>365</v>
          </cell>
        </row>
        <row r="1481">
          <cell r="A1481" t="str">
            <v>K62BSA1</v>
          </cell>
          <cell r="B1481" t="str">
            <v>ANTICORROS P ESTRUCTURAS NEGRO</v>
          </cell>
          <cell r="C1481">
            <v>1</v>
          </cell>
          <cell r="D1481">
            <v>365</v>
          </cell>
        </row>
        <row r="1482">
          <cell r="A1482" t="str">
            <v>K62BSA1-1</v>
          </cell>
          <cell r="B1482" t="str">
            <v>ANTICORROS P ESTRUCTURAS NEGRO</v>
          </cell>
          <cell r="C1482">
            <v>1</v>
          </cell>
          <cell r="D1482">
            <v>365</v>
          </cell>
        </row>
        <row r="1483">
          <cell r="A1483" t="str">
            <v>K62BSA1-1/4</v>
          </cell>
          <cell r="B1483" t="str">
            <v>ANTICORROS P ESTRUCTURAS NEGRO</v>
          </cell>
          <cell r="C1483">
            <v>1</v>
          </cell>
          <cell r="D1483">
            <v>365</v>
          </cell>
        </row>
        <row r="1484">
          <cell r="A1484" t="str">
            <v>K62BSA1-5</v>
          </cell>
          <cell r="B1484" t="str">
            <v>ANTICORROS P ESTRUCTURAS NEGRO</v>
          </cell>
          <cell r="C1484">
            <v>1</v>
          </cell>
          <cell r="D1484">
            <v>365</v>
          </cell>
        </row>
        <row r="1485">
          <cell r="A1485" t="str">
            <v>K62BSA1-50</v>
          </cell>
          <cell r="B1485" t="str">
            <v>ANTICORROS P ESTRUCTURAS NEGRO</v>
          </cell>
          <cell r="C1485">
            <v>1</v>
          </cell>
          <cell r="D1485">
            <v>365</v>
          </cell>
        </row>
        <row r="1486">
          <cell r="A1486" t="str">
            <v>K62GSA1</v>
          </cell>
          <cell r="B1486" t="str">
            <v>ANTICORROS P ESTRUCTURAS VERDE</v>
          </cell>
          <cell r="C1486">
            <v>1</v>
          </cell>
          <cell r="D1486">
            <v>365</v>
          </cell>
        </row>
        <row r="1487">
          <cell r="A1487" t="str">
            <v>K62GSA1-1</v>
          </cell>
          <cell r="B1487" t="str">
            <v>ANTICORROS P ESTRUCTURAS VERDE</v>
          </cell>
          <cell r="C1487">
            <v>1</v>
          </cell>
          <cell r="D1487">
            <v>365</v>
          </cell>
        </row>
        <row r="1488">
          <cell r="A1488" t="str">
            <v>K62GSA1-1/4</v>
          </cell>
          <cell r="B1488" t="str">
            <v>ANTICORROS P ESTRUCTURAS VERDE</v>
          </cell>
          <cell r="C1488">
            <v>1</v>
          </cell>
          <cell r="D1488">
            <v>365</v>
          </cell>
        </row>
        <row r="1489">
          <cell r="A1489" t="str">
            <v>K62GSA1-5</v>
          </cell>
          <cell r="B1489" t="str">
            <v>ANTICORROS P ESTRUCTURAS VERDE</v>
          </cell>
          <cell r="C1489">
            <v>1</v>
          </cell>
          <cell r="D1489">
            <v>365</v>
          </cell>
        </row>
        <row r="1490">
          <cell r="A1490" t="str">
            <v>K62GSA1-50</v>
          </cell>
          <cell r="B1490" t="str">
            <v>ANTICORROS P ESTRUCTURAS VERDE</v>
          </cell>
          <cell r="C1490">
            <v>1</v>
          </cell>
          <cell r="D1490">
            <v>365</v>
          </cell>
        </row>
        <row r="1491">
          <cell r="A1491" t="str">
            <v>K62LSA1</v>
          </cell>
          <cell r="B1491" t="str">
            <v>ANTICORROSIVO PARA ESTRUCTURAS</v>
          </cell>
          <cell r="C1491">
            <v>1</v>
          </cell>
          <cell r="D1491">
            <v>365</v>
          </cell>
        </row>
        <row r="1492">
          <cell r="A1492" t="str">
            <v>K62LSA1-1</v>
          </cell>
          <cell r="B1492" t="str">
            <v xml:space="preserve">ANTICORROS P ESTRUCTURAS AZUL </v>
          </cell>
          <cell r="C1492">
            <v>1</v>
          </cell>
          <cell r="D1492">
            <v>365</v>
          </cell>
        </row>
        <row r="1493">
          <cell r="A1493" t="str">
            <v>K62LSA1-5</v>
          </cell>
          <cell r="B1493" t="str">
            <v xml:space="preserve">ANTICORROS P ESTRUCTURAS AZUL </v>
          </cell>
          <cell r="C1493">
            <v>1</v>
          </cell>
          <cell r="D1493">
            <v>365</v>
          </cell>
        </row>
        <row r="1494">
          <cell r="A1494" t="str">
            <v>K62LSA4</v>
          </cell>
          <cell r="B1494" t="str">
            <v xml:space="preserve">ANTICORROSIVO P/ESTRUCTURAS   </v>
          </cell>
          <cell r="C1494">
            <v>1</v>
          </cell>
          <cell r="D1494">
            <v>365</v>
          </cell>
        </row>
        <row r="1495">
          <cell r="A1495" t="str">
            <v>K62LSA4-1</v>
          </cell>
          <cell r="B1495" t="str">
            <v xml:space="preserve">ANTICORROS P ESTRUCTURAS AZUL </v>
          </cell>
          <cell r="C1495">
            <v>1</v>
          </cell>
          <cell r="D1495">
            <v>365</v>
          </cell>
        </row>
        <row r="1496">
          <cell r="A1496" t="str">
            <v>K62LSA4-1/4</v>
          </cell>
          <cell r="B1496" t="str">
            <v xml:space="preserve">ANTICORROS P ESTRUCTURAS AZUL </v>
          </cell>
          <cell r="C1496">
            <v>1</v>
          </cell>
          <cell r="D1496">
            <v>365</v>
          </cell>
        </row>
        <row r="1497">
          <cell r="A1497" t="str">
            <v>K62LSA4-5</v>
          </cell>
          <cell r="B1497" t="str">
            <v xml:space="preserve">ANTICORROS P ESTRUCTURAS AZUL </v>
          </cell>
          <cell r="C1497">
            <v>1</v>
          </cell>
          <cell r="D1497">
            <v>365</v>
          </cell>
        </row>
        <row r="1498">
          <cell r="A1498" t="str">
            <v>K62RSA1</v>
          </cell>
          <cell r="B1498" t="str">
            <v xml:space="preserve">ANTICORROS P ESTRUCTURAS ROJO </v>
          </cell>
          <cell r="C1498">
            <v>1</v>
          </cell>
          <cell r="D1498">
            <v>365</v>
          </cell>
        </row>
        <row r="1499">
          <cell r="A1499" t="str">
            <v>K62RSA1-1</v>
          </cell>
          <cell r="B1499" t="str">
            <v xml:space="preserve">ANTICORROS P ESTRUCTURAS ROJO </v>
          </cell>
          <cell r="C1499">
            <v>1</v>
          </cell>
          <cell r="D1499">
            <v>365</v>
          </cell>
        </row>
        <row r="1500">
          <cell r="A1500" t="str">
            <v>K62RSA1-1/4</v>
          </cell>
          <cell r="B1500" t="str">
            <v xml:space="preserve">ANTICORROS P ESTRUCTURAS ROJO </v>
          </cell>
          <cell r="C1500">
            <v>1</v>
          </cell>
          <cell r="D1500">
            <v>365</v>
          </cell>
        </row>
        <row r="1501">
          <cell r="A1501" t="str">
            <v>K62RSA1-5</v>
          </cell>
          <cell r="B1501" t="str">
            <v xml:space="preserve">ANTICORROS P ESTRUCTURAS ROJO </v>
          </cell>
          <cell r="C1501">
            <v>1</v>
          </cell>
          <cell r="D1501">
            <v>365</v>
          </cell>
        </row>
        <row r="1502">
          <cell r="A1502" t="str">
            <v>K62RSA1-50</v>
          </cell>
          <cell r="B1502" t="str">
            <v xml:space="preserve">ANTICORROS P ESTRUCTURAS ROJO </v>
          </cell>
          <cell r="C1502">
            <v>1</v>
          </cell>
          <cell r="D1502">
            <v>365</v>
          </cell>
        </row>
        <row r="1503">
          <cell r="A1503" t="str">
            <v>K62RSA4</v>
          </cell>
          <cell r="B1503" t="str">
            <v>ANTICORROSIVO PARA ESTRUCTURAS</v>
          </cell>
          <cell r="C1503">
            <v>1</v>
          </cell>
          <cell r="D1503">
            <v>365</v>
          </cell>
        </row>
        <row r="1504">
          <cell r="A1504" t="str">
            <v>K62RSA4-1</v>
          </cell>
          <cell r="B1504" t="str">
            <v xml:space="preserve">ANTICORROS P ESTRUCTURAS ROJO </v>
          </cell>
          <cell r="C1504">
            <v>1</v>
          </cell>
          <cell r="D1504">
            <v>365</v>
          </cell>
        </row>
        <row r="1505">
          <cell r="A1505" t="str">
            <v>K62RSA4-1/4</v>
          </cell>
          <cell r="B1505" t="str">
            <v xml:space="preserve">ANTICORROS P ESTRUCTURAS ROJO </v>
          </cell>
          <cell r="C1505">
            <v>1</v>
          </cell>
          <cell r="D1505">
            <v>365</v>
          </cell>
        </row>
        <row r="1506">
          <cell r="A1506" t="str">
            <v>K62RSA4-5</v>
          </cell>
          <cell r="B1506" t="str">
            <v xml:space="preserve">ANTICORROS P ESTRUCTURAS ROJO </v>
          </cell>
          <cell r="C1506">
            <v>1</v>
          </cell>
          <cell r="D1506">
            <v>365</v>
          </cell>
        </row>
        <row r="1507">
          <cell r="A1507" t="str">
            <v>K62WSA1</v>
          </cell>
          <cell r="B1507" t="str">
            <v>ANTICORROS P ESTRUCTURA BLANCO</v>
          </cell>
          <cell r="C1507">
            <v>1</v>
          </cell>
          <cell r="D1507">
            <v>365</v>
          </cell>
        </row>
        <row r="1508">
          <cell r="A1508" t="str">
            <v>K62WSA1-1</v>
          </cell>
          <cell r="B1508" t="str">
            <v>ANTICORROS P ESTRUCTURA BLANCO</v>
          </cell>
          <cell r="C1508">
            <v>1</v>
          </cell>
          <cell r="D1508">
            <v>365</v>
          </cell>
        </row>
        <row r="1509">
          <cell r="A1509" t="str">
            <v>K62WSA1-1/4</v>
          </cell>
          <cell r="B1509" t="str">
            <v>ANTICORROS P ESTRUCTURA BLANCO</v>
          </cell>
          <cell r="C1509">
            <v>1</v>
          </cell>
          <cell r="D1509">
            <v>365</v>
          </cell>
        </row>
        <row r="1510">
          <cell r="A1510" t="str">
            <v>K62WSA1-5</v>
          </cell>
          <cell r="B1510" t="str">
            <v>ANTICORROS P ESTRUCTURA BLANCO</v>
          </cell>
          <cell r="C1510">
            <v>1</v>
          </cell>
          <cell r="D1510">
            <v>365</v>
          </cell>
        </row>
        <row r="1511">
          <cell r="A1511" t="str">
            <v>K62WSA1-50</v>
          </cell>
          <cell r="B1511" t="str">
            <v>ANTICORROS P ESTRUCTURA BLANCO</v>
          </cell>
          <cell r="C1511">
            <v>1</v>
          </cell>
          <cell r="D1511">
            <v>365</v>
          </cell>
        </row>
        <row r="1512">
          <cell r="A1512" t="str">
            <v>L4B302</v>
          </cell>
          <cell r="B1512" t="str">
            <v xml:space="preserve">ACRYLIC MIX LAC NEGRO AZULOSO </v>
          </cell>
          <cell r="C1512">
            <v>1</v>
          </cell>
          <cell r="D1512">
            <v>365</v>
          </cell>
        </row>
        <row r="1513">
          <cell r="A1513" t="str">
            <v>L4B302-1</v>
          </cell>
          <cell r="B1513" t="str">
            <v xml:space="preserve">ACRYLIC MIX LAC NEGRO AZULOSO </v>
          </cell>
          <cell r="C1513">
            <v>1</v>
          </cell>
          <cell r="D1513">
            <v>365</v>
          </cell>
        </row>
        <row r="1514">
          <cell r="A1514" t="str">
            <v>L4B320</v>
          </cell>
          <cell r="B1514" t="str">
            <v xml:space="preserve">ACRYLIC MIX LAC EBANO         </v>
          </cell>
          <cell r="C1514">
            <v>1</v>
          </cell>
          <cell r="D1514">
            <v>365</v>
          </cell>
        </row>
        <row r="1515">
          <cell r="A1515" t="str">
            <v>L4B320-1</v>
          </cell>
          <cell r="B1515" t="str">
            <v xml:space="preserve">ACRYLIC MIX LAC EBANO         </v>
          </cell>
          <cell r="C1515">
            <v>1</v>
          </cell>
          <cell r="D1515">
            <v>365</v>
          </cell>
        </row>
        <row r="1516">
          <cell r="A1516" t="str">
            <v>L4B320-1.1/4</v>
          </cell>
          <cell r="B1516" t="str">
            <v xml:space="preserve">ACRYLIC MIX LAC  EBANO        </v>
          </cell>
          <cell r="C1516">
            <v>1</v>
          </cell>
          <cell r="D1516">
            <v>365</v>
          </cell>
        </row>
        <row r="1517">
          <cell r="A1517" t="str">
            <v>L4B325</v>
          </cell>
          <cell r="B1517" t="str">
            <v xml:space="preserve">ACRYLIC MIX LAC NEGRO SOMBRA  </v>
          </cell>
          <cell r="C1517">
            <v>1</v>
          </cell>
          <cell r="D1517">
            <v>365</v>
          </cell>
        </row>
        <row r="1518">
          <cell r="A1518" t="str">
            <v>L4B325-1</v>
          </cell>
          <cell r="B1518" t="str">
            <v xml:space="preserve">ACRYLIC MIX LAC NEGRO SOMBRA  </v>
          </cell>
          <cell r="C1518">
            <v>1</v>
          </cell>
          <cell r="D1518">
            <v>365</v>
          </cell>
        </row>
        <row r="1519">
          <cell r="A1519" t="str">
            <v>L4E317</v>
          </cell>
          <cell r="B1519" t="str">
            <v>ACRYLIC MIXING LACQUER NARANJA</v>
          </cell>
          <cell r="C1519">
            <v>1</v>
          </cell>
          <cell r="D1519">
            <v>365</v>
          </cell>
        </row>
        <row r="1520">
          <cell r="A1520" t="str">
            <v>L4E317-1</v>
          </cell>
          <cell r="B1520" t="str">
            <v>ACRYLIC MIXING LACQUER NARANJA</v>
          </cell>
          <cell r="C1520">
            <v>1</v>
          </cell>
          <cell r="D1520">
            <v>365</v>
          </cell>
        </row>
        <row r="1521">
          <cell r="A1521" t="str">
            <v>L4E317-SP</v>
          </cell>
          <cell r="B1521" t="str">
            <v xml:space="preserve">SHER-LAC ACRYLIC MIXING       </v>
          </cell>
          <cell r="C1521">
            <v>1</v>
          </cell>
          <cell r="D1521">
            <v>365</v>
          </cell>
        </row>
        <row r="1522">
          <cell r="A1522" t="str">
            <v>L4E317SP-1</v>
          </cell>
          <cell r="B1522" t="str">
            <v xml:space="preserve">SHER-LAC ACRYLIC LAC NARANJA  </v>
          </cell>
          <cell r="C1522">
            <v>1</v>
          </cell>
          <cell r="D1522">
            <v>365</v>
          </cell>
        </row>
        <row r="1523">
          <cell r="A1523" t="str">
            <v>L4G311</v>
          </cell>
          <cell r="B1523" t="str">
            <v xml:space="preserve">ACRYLIC MIX LAC VERDE P.T.    </v>
          </cell>
          <cell r="C1523">
            <v>1</v>
          </cell>
          <cell r="D1523">
            <v>365</v>
          </cell>
        </row>
        <row r="1524">
          <cell r="A1524" t="str">
            <v>L4G311-1</v>
          </cell>
          <cell r="B1524" t="str">
            <v xml:space="preserve">ACRYLIC MIX LAC VERDE P.T.    </v>
          </cell>
          <cell r="C1524">
            <v>1</v>
          </cell>
          <cell r="D1524">
            <v>365</v>
          </cell>
        </row>
        <row r="1525">
          <cell r="A1525" t="str">
            <v>L4G337</v>
          </cell>
          <cell r="B1525" t="str">
            <v>ACRYLIC MIX LAC VERDE AMARILLO</v>
          </cell>
          <cell r="C1525">
            <v>1</v>
          </cell>
          <cell r="D1525">
            <v>365</v>
          </cell>
        </row>
        <row r="1526">
          <cell r="A1526" t="str">
            <v>L4G337-1</v>
          </cell>
          <cell r="B1526" t="str">
            <v>ACRYLIC MIX LAC VERDE AMARILLO</v>
          </cell>
          <cell r="C1526">
            <v>1</v>
          </cell>
          <cell r="D1526">
            <v>365</v>
          </cell>
        </row>
        <row r="1527">
          <cell r="A1527" t="str">
            <v>L4L305</v>
          </cell>
          <cell r="B1527" t="str">
            <v xml:space="preserve">ACRYLIC MIX LAC AZUL ROJIZO   </v>
          </cell>
          <cell r="C1527">
            <v>1</v>
          </cell>
          <cell r="D1527">
            <v>365</v>
          </cell>
        </row>
        <row r="1528">
          <cell r="A1528" t="str">
            <v>L4L305-1</v>
          </cell>
          <cell r="B1528" t="str">
            <v xml:space="preserve">ACRYLIC MIX LAC AZUL ROJIZO   </v>
          </cell>
          <cell r="C1528">
            <v>1</v>
          </cell>
          <cell r="D1528">
            <v>365</v>
          </cell>
        </row>
        <row r="1529">
          <cell r="A1529" t="str">
            <v>L4L309</v>
          </cell>
          <cell r="B1529" t="str">
            <v xml:space="preserve">ACRYLIC MIX LAC AZUL VERDOSO  </v>
          </cell>
          <cell r="C1529">
            <v>1</v>
          </cell>
          <cell r="D1529">
            <v>365</v>
          </cell>
        </row>
        <row r="1530">
          <cell r="A1530" t="str">
            <v>L4L309-1</v>
          </cell>
          <cell r="B1530" t="str">
            <v xml:space="preserve">ACRYLIC MIX LAC AZUL VERDOSO  </v>
          </cell>
          <cell r="C1530">
            <v>1</v>
          </cell>
          <cell r="D1530">
            <v>365</v>
          </cell>
        </row>
        <row r="1531">
          <cell r="A1531" t="str">
            <v>L4L313</v>
          </cell>
          <cell r="B1531" t="str">
            <v xml:space="preserve">ACRYLIC MIX LAC AZUL CHINO    </v>
          </cell>
          <cell r="C1531">
            <v>1</v>
          </cell>
          <cell r="D1531">
            <v>365</v>
          </cell>
        </row>
        <row r="1532">
          <cell r="A1532" t="str">
            <v>L4L313-1</v>
          </cell>
          <cell r="B1532" t="str">
            <v xml:space="preserve">ACRYLIC MIX LAC AZUL CHINO    </v>
          </cell>
          <cell r="C1532">
            <v>1</v>
          </cell>
          <cell r="D1532">
            <v>365</v>
          </cell>
        </row>
        <row r="1533">
          <cell r="A1533" t="str">
            <v>L4L315</v>
          </cell>
          <cell r="B1533" t="str">
            <v xml:space="preserve">ACRYLIC MIXING LACQUER AZUL   </v>
          </cell>
          <cell r="C1533">
            <v>1</v>
          </cell>
          <cell r="D1533">
            <v>365</v>
          </cell>
        </row>
        <row r="1534">
          <cell r="A1534" t="str">
            <v>L4L315-1</v>
          </cell>
          <cell r="B1534" t="str">
            <v xml:space="preserve">ACRYLIC MIXING LACQUER AZUL   </v>
          </cell>
          <cell r="C1534">
            <v>1</v>
          </cell>
          <cell r="D1534">
            <v>365</v>
          </cell>
        </row>
        <row r="1535">
          <cell r="A1535" t="str">
            <v>L4L339</v>
          </cell>
          <cell r="B1535" t="str">
            <v>ACRYLIC MIX LAC AZUL VERDE SOM</v>
          </cell>
          <cell r="C1535">
            <v>1</v>
          </cell>
          <cell r="D1535">
            <v>365</v>
          </cell>
        </row>
        <row r="1536">
          <cell r="A1536" t="str">
            <v>L4L339-1</v>
          </cell>
          <cell r="B1536" t="str">
            <v>ACRYLIC MIX LAC AZUL VERDE SOM</v>
          </cell>
          <cell r="C1536">
            <v>1</v>
          </cell>
          <cell r="D1536">
            <v>365</v>
          </cell>
        </row>
        <row r="1537">
          <cell r="A1537" t="str">
            <v>L4L346</v>
          </cell>
          <cell r="B1537" t="str">
            <v xml:space="preserve">ACRYLIC MIX LAC AZUL FTALO    </v>
          </cell>
          <cell r="C1537">
            <v>1</v>
          </cell>
          <cell r="D1537">
            <v>365</v>
          </cell>
        </row>
        <row r="1538">
          <cell r="A1538" t="str">
            <v>L4L346-1</v>
          </cell>
          <cell r="B1538" t="str">
            <v xml:space="preserve">ACRYLIC MIX LAC AZUL FTALO    </v>
          </cell>
          <cell r="C1538">
            <v>1</v>
          </cell>
          <cell r="D1538">
            <v>365</v>
          </cell>
        </row>
        <row r="1539">
          <cell r="A1539" t="str">
            <v>L4L353</v>
          </cell>
          <cell r="B1539" t="str">
            <v xml:space="preserve">ACRYLIC MIX LAC VIOLETA CARBA </v>
          </cell>
          <cell r="C1539">
            <v>1</v>
          </cell>
          <cell r="D1539">
            <v>365</v>
          </cell>
        </row>
        <row r="1540">
          <cell r="A1540" t="str">
            <v>L4L353-1</v>
          </cell>
          <cell r="B1540" t="str">
            <v xml:space="preserve">ACRYLIC MIX LAC VIOLETA CARBA </v>
          </cell>
          <cell r="C1540">
            <v>1</v>
          </cell>
          <cell r="D1540">
            <v>365</v>
          </cell>
        </row>
        <row r="1541">
          <cell r="A1541" t="str">
            <v>L4M318</v>
          </cell>
          <cell r="B1541" t="str">
            <v xml:space="preserve">ACRYLIC MIX LAC MARRON P.T.   </v>
          </cell>
          <cell r="C1541">
            <v>1</v>
          </cell>
          <cell r="D1541">
            <v>365</v>
          </cell>
        </row>
        <row r="1542">
          <cell r="A1542" t="str">
            <v>L4M318-1</v>
          </cell>
          <cell r="B1542" t="str">
            <v xml:space="preserve">ACRYLIC MIX LAC MARRON P.T.   </v>
          </cell>
          <cell r="C1542">
            <v>1</v>
          </cell>
          <cell r="D1542">
            <v>365</v>
          </cell>
        </row>
        <row r="1543">
          <cell r="A1543" t="str">
            <v>L4M321</v>
          </cell>
          <cell r="B1543" t="str">
            <v xml:space="preserve">ACRYLIC MIX LAC VIOLETA P.T.  </v>
          </cell>
          <cell r="C1543">
            <v>1</v>
          </cell>
          <cell r="D1543">
            <v>365</v>
          </cell>
        </row>
        <row r="1544">
          <cell r="A1544" t="str">
            <v>L4M321-1</v>
          </cell>
          <cell r="B1544" t="str">
            <v xml:space="preserve">ACRYLIC MIX LAC VIOLETA P.T.  </v>
          </cell>
          <cell r="C1544">
            <v>1</v>
          </cell>
          <cell r="D1544">
            <v>365</v>
          </cell>
        </row>
        <row r="1545">
          <cell r="A1545" t="str">
            <v>L4M338</v>
          </cell>
          <cell r="B1545" t="str">
            <v xml:space="preserve">ACRYLIC MIXING LACQUER MARRON </v>
          </cell>
          <cell r="C1545">
            <v>1</v>
          </cell>
          <cell r="D1545">
            <v>365</v>
          </cell>
        </row>
        <row r="1546">
          <cell r="A1546" t="str">
            <v>L4M338-1</v>
          </cell>
          <cell r="B1546" t="str">
            <v xml:space="preserve">ACRYLIC MIXING LACQUER MARRON </v>
          </cell>
          <cell r="C1546">
            <v>1</v>
          </cell>
          <cell r="D1546">
            <v>365</v>
          </cell>
        </row>
        <row r="1547">
          <cell r="A1547" t="str">
            <v>L4M338-1/4</v>
          </cell>
          <cell r="B1547" t="str">
            <v xml:space="preserve">ACRYLIC MIXING LACQUER MARRON </v>
          </cell>
          <cell r="C1547">
            <v>1</v>
          </cell>
          <cell r="D1547">
            <v>365</v>
          </cell>
        </row>
        <row r="1548">
          <cell r="A1548" t="str">
            <v>L4M341</v>
          </cell>
          <cell r="B1548" t="str">
            <v xml:space="preserve">ACRYLIC MIX LAC MARRON BRTE   </v>
          </cell>
          <cell r="C1548">
            <v>1</v>
          </cell>
          <cell r="D1548">
            <v>365</v>
          </cell>
        </row>
        <row r="1549">
          <cell r="A1549" t="str">
            <v>L4M341-1</v>
          </cell>
          <cell r="B1549" t="str">
            <v xml:space="preserve">ACRYLIC MIX LAC MARRON BRTE   </v>
          </cell>
          <cell r="C1549">
            <v>1</v>
          </cell>
          <cell r="D1549">
            <v>365</v>
          </cell>
        </row>
        <row r="1550">
          <cell r="A1550" t="str">
            <v>L4M405</v>
          </cell>
          <cell r="B1550" t="str">
            <v>ACRYLIC MIX LAC MARRON PERILEN</v>
          </cell>
          <cell r="C1550">
            <v>1</v>
          </cell>
          <cell r="D1550">
            <v>365</v>
          </cell>
        </row>
        <row r="1551">
          <cell r="A1551" t="str">
            <v>L4M405-1</v>
          </cell>
          <cell r="B1551" t="str">
            <v>ACRYLIC MIX LAC MARRON PERILEN</v>
          </cell>
          <cell r="C1551">
            <v>1</v>
          </cell>
          <cell r="D1551">
            <v>365</v>
          </cell>
        </row>
        <row r="1552">
          <cell r="A1552" t="str">
            <v>L4N314</v>
          </cell>
          <cell r="B1552" t="str">
            <v xml:space="preserve">ACRYLIC MIXING LACQUER DORADO </v>
          </cell>
          <cell r="C1552">
            <v>1</v>
          </cell>
          <cell r="D1552">
            <v>365</v>
          </cell>
        </row>
        <row r="1553">
          <cell r="A1553" t="str">
            <v>L4N314-1</v>
          </cell>
          <cell r="B1553" t="str">
            <v xml:space="preserve">ACRYLIC MIXING LACQUER DORADO </v>
          </cell>
          <cell r="C1553">
            <v>1</v>
          </cell>
          <cell r="D1553">
            <v>365</v>
          </cell>
        </row>
        <row r="1554">
          <cell r="A1554" t="str">
            <v>L4N342</v>
          </cell>
          <cell r="B1554" t="str">
            <v xml:space="preserve">ACRYLIC MIX LAC DORADO ROJIZO </v>
          </cell>
          <cell r="C1554">
            <v>1</v>
          </cell>
          <cell r="D1554">
            <v>365</v>
          </cell>
        </row>
        <row r="1555">
          <cell r="A1555" t="str">
            <v>L4N342-1</v>
          </cell>
          <cell r="B1555" t="str">
            <v xml:space="preserve">ACRYLIC MIX LAC DORADO ROJIZO </v>
          </cell>
          <cell r="C1555">
            <v>1</v>
          </cell>
          <cell r="D1555">
            <v>365</v>
          </cell>
        </row>
        <row r="1556">
          <cell r="A1556" t="str">
            <v>L4R304</v>
          </cell>
          <cell r="B1556" t="str">
            <v xml:space="preserve">ACRYLIC MIX LAC  ROJO OXIDO   </v>
          </cell>
          <cell r="C1556">
            <v>1</v>
          </cell>
          <cell r="D1556">
            <v>365</v>
          </cell>
        </row>
        <row r="1557">
          <cell r="A1557" t="str">
            <v>L4R304-1</v>
          </cell>
          <cell r="B1557" t="str">
            <v xml:space="preserve">ACRYLIC MIX LAC  ROJO OXIDO   </v>
          </cell>
          <cell r="C1557">
            <v>1</v>
          </cell>
          <cell r="D1557">
            <v>365</v>
          </cell>
        </row>
        <row r="1558">
          <cell r="A1558" t="str">
            <v>L4R330</v>
          </cell>
          <cell r="B1558" t="str">
            <v>ACRYLIC MIX LAC ROJO BRILLANTE</v>
          </cell>
          <cell r="C1558">
            <v>1</v>
          </cell>
          <cell r="D1558">
            <v>365</v>
          </cell>
        </row>
        <row r="1559">
          <cell r="A1559" t="str">
            <v>L4R330-1</v>
          </cell>
          <cell r="B1559" t="str">
            <v>ACRYLIC MIX LAC ROJO BRILLANTE</v>
          </cell>
          <cell r="C1559">
            <v>1</v>
          </cell>
          <cell r="D1559">
            <v>365</v>
          </cell>
        </row>
        <row r="1560">
          <cell r="A1560" t="str">
            <v>L4R348</v>
          </cell>
          <cell r="B1560" t="str">
            <v>ACRYLIC MIX LAC ROJO TRANSPARE</v>
          </cell>
          <cell r="C1560">
            <v>1</v>
          </cell>
          <cell r="D1560">
            <v>365</v>
          </cell>
        </row>
        <row r="1561">
          <cell r="A1561" t="str">
            <v>L4R348-1</v>
          </cell>
          <cell r="B1561" t="str">
            <v>ACRYLIC MIX LAC ROJO TRANSPARE</v>
          </cell>
          <cell r="C1561">
            <v>1</v>
          </cell>
          <cell r="D1561">
            <v>365</v>
          </cell>
        </row>
        <row r="1562">
          <cell r="A1562" t="str">
            <v>L4R354</v>
          </cell>
          <cell r="B1562" t="str">
            <v xml:space="preserve">ACRYLIC MIXING LACQUER ROJO   </v>
          </cell>
          <cell r="C1562">
            <v>1</v>
          </cell>
          <cell r="D1562">
            <v>365</v>
          </cell>
        </row>
        <row r="1563">
          <cell r="A1563" t="str">
            <v>L4R354-1</v>
          </cell>
          <cell r="B1563" t="str">
            <v xml:space="preserve">ACRYLIC MIX LACQUER ROJO      </v>
          </cell>
          <cell r="C1563">
            <v>1</v>
          </cell>
          <cell r="D1563">
            <v>365</v>
          </cell>
        </row>
        <row r="1564">
          <cell r="A1564" t="str">
            <v>L4R355</v>
          </cell>
          <cell r="B1564" t="str">
            <v>ACRYLIC MIXING LACQUER MAGENTA</v>
          </cell>
          <cell r="C1564">
            <v>1</v>
          </cell>
          <cell r="D1564">
            <v>365</v>
          </cell>
        </row>
        <row r="1565">
          <cell r="A1565" t="str">
            <v>L4R355-1</v>
          </cell>
          <cell r="B1565" t="str">
            <v xml:space="preserve">ACRYLIC MIX LACQUER MAGENTA   </v>
          </cell>
          <cell r="C1565">
            <v>1</v>
          </cell>
          <cell r="D1565">
            <v>365</v>
          </cell>
        </row>
        <row r="1566">
          <cell r="A1566" t="str">
            <v>L4R410</v>
          </cell>
          <cell r="B1566" t="str">
            <v xml:space="preserve">ACRYLIC MIX LAC PERYLENE ROJO </v>
          </cell>
          <cell r="C1566">
            <v>1</v>
          </cell>
          <cell r="D1566">
            <v>365</v>
          </cell>
        </row>
        <row r="1567">
          <cell r="A1567" t="str">
            <v>L4R410-1/4</v>
          </cell>
          <cell r="B1567" t="str">
            <v xml:space="preserve">ACRYLIC MIX LAC PERYLENE ROJO </v>
          </cell>
          <cell r="C1567">
            <v>1</v>
          </cell>
          <cell r="D1567">
            <v>365</v>
          </cell>
        </row>
        <row r="1568">
          <cell r="A1568" t="str">
            <v>L4RSA1</v>
          </cell>
          <cell r="B1568" t="str">
            <v>ACRYLIC MIX LAC ROJO  P/MEZCLA</v>
          </cell>
          <cell r="C1568">
            <v>1</v>
          </cell>
          <cell r="D1568">
            <v>365</v>
          </cell>
        </row>
        <row r="1569">
          <cell r="A1569" t="str">
            <v>L4RSA1-1</v>
          </cell>
          <cell r="B1569" t="str">
            <v>ACRYLIC MIX LAC ROJO  P/MEZCLA</v>
          </cell>
          <cell r="C1569">
            <v>1</v>
          </cell>
          <cell r="D1569">
            <v>365</v>
          </cell>
        </row>
        <row r="1570">
          <cell r="A1570" t="str">
            <v>L4S300</v>
          </cell>
          <cell r="B1570" t="str">
            <v>ACRYLIC MIX LAC BRIGHT WHI ALU</v>
          </cell>
          <cell r="C1570">
            <v>1</v>
          </cell>
          <cell r="D1570">
            <v>365</v>
          </cell>
        </row>
        <row r="1571">
          <cell r="A1571" t="str">
            <v>L4S300-1/4</v>
          </cell>
          <cell r="B1571" t="str">
            <v>ACRYLIC MIX LAC BRIGHT WHI ALU</v>
          </cell>
          <cell r="C1571">
            <v>1</v>
          </cell>
          <cell r="D1571">
            <v>365</v>
          </cell>
        </row>
        <row r="1572">
          <cell r="A1572" t="str">
            <v>L4S335</v>
          </cell>
          <cell r="B1572" t="str">
            <v xml:space="preserve">ACRYLIC MIX LAC METALICO BRTE </v>
          </cell>
          <cell r="C1572">
            <v>1</v>
          </cell>
          <cell r="D1572">
            <v>365</v>
          </cell>
        </row>
        <row r="1573">
          <cell r="A1573" t="str">
            <v>L4S335-1</v>
          </cell>
          <cell r="B1573" t="str">
            <v xml:space="preserve">ACRYLIC MIX LAC METALICO BRTE </v>
          </cell>
          <cell r="C1573">
            <v>1</v>
          </cell>
          <cell r="D1573">
            <v>365</v>
          </cell>
        </row>
        <row r="1574">
          <cell r="A1574" t="str">
            <v>L4S343</v>
          </cell>
          <cell r="B1574" t="str">
            <v xml:space="preserve">ACRYLIC MIX LAC METALICO GSO  </v>
          </cell>
          <cell r="C1574">
            <v>1</v>
          </cell>
          <cell r="D1574">
            <v>365</v>
          </cell>
        </row>
        <row r="1575">
          <cell r="A1575" t="str">
            <v>L4S343-1</v>
          </cell>
          <cell r="B1575" t="str">
            <v xml:space="preserve">ACRYLIC MIX LAC METALICO GSO  </v>
          </cell>
          <cell r="C1575">
            <v>1</v>
          </cell>
          <cell r="D1575">
            <v>365</v>
          </cell>
        </row>
        <row r="1576">
          <cell r="A1576" t="str">
            <v>L4S345</v>
          </cell>
          <cell r="B1576" t="str">
            <v>ACRYLIC MIX LAC MET PENETRANTE</v>
          </cell>
          <cell r="C1576">
            <v>1</v>
          </cell>
          <cell r="D1576">
            <v>365</v>
          </cell>
        </row>
        <row r="1577">
          <cell r="A1577" t="str">
            <v>L4S345-1/4</v>
          </cell>
          <cell r="B1577" t="str">
            <v>ACRYLIC MIX LAC MET PENETRANTE</v>
          </cell>
          <cell r="C1577">
            <v>1</v>
          </cell>
          <cell r="D1577">
            <v>365</v>
          </cell>
        </row>
        <row r="1578">
          <cell r="A1578" t="str">
            <v>L4S349</v>
          </cell>
          <cell r="B1578" t="str">
            <v xml:space="preserve">ACRYLIC MIX LAC METALICO FINO </v>
          </cell>
          <cell r="C1578">
            <v>1</v>
          </cell>
          <cell r="D1578">
            <v>365</v>
          </cell>
        </row>
        <row r="1579">
          <cell r="A1579" t="str">
            <v>L4S349-1</v>
          </cell>
          <cell r="B1579" t="str">
            <v xml:space="preserve">ACRYLIC MIX LAC METALICO FINO </v>
          </cell>
          <cell r="C1579">
            <v>1</v>
          </cell>
          <cell r="D1579">
            <v>365</v>
          </cell>
        </row>
        <row r="1580">
          <cell r="A1580" t="str">
            <v>L4S352</v>
          </cell>
          <cell r="B1580" t="str">
            <v xml:space="preserve">ACRYLIC MIX LAC MET MEDIO GSO </v>
          </cell>
          <cell r="C1580">
            <v>1</v>
          </cell>
          <cell r="D1580">
            <v>365</v>
          </cell>
        </row>
        <row r="1581">
          <cell r="A1581" t="str">
            <v>L4S352-1</v>
          </cell>
          <cell r="B1581" t="str">
            <v xml:space="preserve">ACRYLIC MIX LAC MET MEDIO GSO </v>
          </cell>
          <cell r="C1581">
            <v>1</v>
          </cell>
          <cell r="D1581">
            <v>365</v>
          </cell>
        </row>
        <row r="1582">
          <cell r="A1582" t="str">
            <v>L4SSA1</v>
          </cell>
          <cell r="B1582" t="str">
            <v xml:space="preserve">ACRYLIC MIX LAC ALUM EXT GSO  </v>
          </cell>
          <cell r="C1582">
            <v>1</v>
          </cell>
          <cell r="D1582">
            <v>365</v>
          </cell>
        </row>
        <row r="1583">
          <cell r="A1583" t="str">
            <v>L4SSA1-1</v>
          </cell>
          <cell r="B1583" t="str">
            <v xml:space="preserve">ACRYLIC MIX LAC ALUM EXT GSO  </v>
          </cell>
          <cell r="C1583">
            <v>1</v>
          </cell>
          <cell r="D1583">
            <v>365</v>
          </cell>
        </row>
        <row r="1584">
          <cell r="A1584" t="str">
            <v>L4SSA4</v>
          </cell>
          <cell r="B1584" t="str">
            <v xml:space="preserve">ACRYLIC MIX LAC ALUMINIO LIMP </v>
          </cell>
          <cell r="C1584">
            <v>1</v>
          </cell>
          <cell r="D1584">
            <v>365</v>
          </cell>
        </row>
        <row r="1585">
          <cell r="A1585" t="str">
            <v>L4SSA4-1</v>
          </cell>
          <cell r="B1585" t="str">
            <v xml:space="preserve">ACRYLIC MIX LAC ALUMINIO LIMP </v>
          </cell>
          <cell r="C1585">
            <v>1</v>
          </cell>
          <cell r="D1585">
            <v>365</v>
          </cell>
        </row>
        <row r="1586">
          <cell r="A1586" t="str">
            <v>L4W301</v>
          </cell>
          <cell r="B1586" t="str">
            <v xml:space="preserve">ACRYLIC MIXING LACQUER BLANCO </v>
          </cell>
          <cell r="C1586">
            <v>1</v>
          </cell>
          <cell r="D1586">
            <v>365</v>
          </cell>
        </row>
        <row r="1587">
          <cell r="A1587" t="str">
            <v>L4W301-1</v>
          </cell>
          <cell r="B1587" t="str">
            <v xml:space="preserve">ACRYLIC MIX LACQUER BLANCO    </v>
          </cell>
          <cell r="C1587">
            <v>1</v>
          </cell>
          <cell r="D1587">
            <v>365</v>
          </cell>
        </row>
        <row r="1588">
          <cell r="A1588" t="str">
            <v>L4W301-1.1/4</v>
          </cell>
          <cell r="B1588" t="str">
            <v xml:space="preserve">ACRYLIC MIX LACQUER BLANCO    </v>
          </cell>
          <cell r="C1588">
            <v>1</v>
          </cell>
          <cell r="D1588">
            <v>365</v>
          </cell>
        </row>
        <row r="1589">
          <cell r="A1589" t="str">
            <v>L4W415</v>
          </cell>
          <cell r="B1589" t="str">
            <v xml:space="preserve">ACRYLIC MIX LAC MICRONIZADO   </v>
          </cell>
          <cell r="C1589">
            <v>1</v>
          </cell>
          <cell r="D1589">
            <v>365</v>
          </cell>
        </row>
        <row r="1590">
          <cell r="A1590" t="str">
            <v>L4W415-1/4</v>
          </cell>
          <cell r="B1590" t="str">
            <v>ACRYLIC MIX LAC BLANCO MICRONI</v>
          </cell>
          <cell r="C1590">
            <v>1</v>
          </cell>
          <cell r="D1590">
            <v>365</v>
          </cell>
        </row>
        <row r="1591">
          <cell r="A1591" t="str">
            <v>L4Y303</v>
          </cell>
          <cell r="B1591" t="str">
            <v>ACRYLIC MIX LAC AMARILLO OXIDO</v>
          </cell>
          <cell r="C1591">
            <v>1</v>
          </cell>
          <cell r="D1591">
            <v>365</v>
          </cell>
        </row>
        <row r="1592">
          <cell r="A1592" t="str">
            <v>L4Y303-1</v>
          </cell>
          <cell r="B1592" t="str">
            <v>ACRYLIC MIX LAC AMARILLO OXIDO</v>
          </cell>
          <cell r="C1592">
            <v>1</v>
          </cell>
          <cell r="D1592">
            <v>365</v>
          </cell>
        </row>
        <row r="1593">
          <cell r="A1593" t="str">
            <v>L4Y332</v>
          </cell>
          <cell r="B1593" t="str">
            <v>ACRYLIC MIX LAC AMARILLO LIMON</v>
          </cell>
          <cell r="C1593">
            <v>1</v>
          </cell>
          <cell r="D1593">
            <v>365</v>
          </cell>
        </row>
        <row r="1594">
          <cell r="A1594" t="str">
            <v>L4Y332-1</v>
          </cell>
          <cell r="B1594" t="str">
            <v>ACRYLIC MIX LAC AMARILLO LIMON</v>
          </cell>
          <cell r="C1594">
            <v>1</v>
          </cell>
          <cell r="D1594">
            <v>365</v>
          </cell>
        </row>
        <row r="1595">
          <cell r="A1595" t="str">
            <v>L4Y332-SP</v>
          </cell>
          <cell r="B1595" t="str">
            <v xml:space="preserve">SHER-LAC ACRYLIC MIXING       </v>
          </cell>
          <cell r="C1595">
            <v>1</v>
          </cell>
          <cell r="D1595">
            <v>365</v>
          </cell>
        </row>
        <row r="1596">
          <cell r="A1596" t="str">
            <v>L4Y332SP-1</v>
          </cell>
          <cell r="B1596" t="str">
            <v>ACRYLIC MIX LAC AMARILLO LIMON</v>
          </cell>
          <cell r="C1596">
            <v>1</v>
          </cell>
          <cell r="D1596">
            <v>365</v>
          </cell>
        </row>
        <row r="1597">
          <cell r="A1597" t="str">
            <v>L4Y333</v>
          </cell>
          <cell r="B1597" t="str">
            <v>ACRYLIC MIX LAC AMARILLO MEDIO</v>
          </cell>
          <cell r="C1597">
            <v>1</v>
          </cell>
          <cell r="D1597">
            <v>365</v>
          </cell>
        </row>
        <row r="1598">
          <cell r="A1598" t="str">
            <v>L4Y333-1</v>
          </cell>
          <cell r="B1598" t="str">
            <v>ACRYLIC MIX LAC AMARILLO MEDIO</v>
          </cell>
          <cell r="C1598">
            <v>1</v>
          </cell>
          <cell r="D1598">
            <v>365</v>
          </cell>
        </row>
        <row r="1599">
          <cell r="A1599" t="str">
            <v>L4Y333-1.1/4</v>
          </cell>
          <cell r="B1599" t="str">
            <v>ACRYLIC MIX LAC AMARILLO MEDIO</v>
          </cell>
          <cell r="C1599">
            <v>1</v>
          </cell>
          <cell r="D1599">
            <v>365</v>
          </cell>
        </row>
        <row r="1600">
          <cell r="A1600" t="str">
            <v>L4Y333-SP</v>
          </cell>
          <cell r="B1600" t="str">
            <v>SHER-LAC ACRYLIC MIXING LACQUE</v>
          </cell>
          <cell r="C1600">
            <v>1</v>
          </cell>
          <cell r="D1600">
            <v>365</v>
          </cell>
        </row>
        <row r="1601">
          <cell r="A1601" t="str">
            <v>L4Y333SP-1</v>
          </cell>
          <cell r="B1601" t="str">
            <v>ACRYLIC MIX LAC AMARILLO MEDIO</v>
          </cell>
          <cell r="C1601">
            <v>1</v>
          </cell>
          <cell r="D1601">
            <v>365</v>
          </cell>
        </row>
        <row r="1602">
          <cell r="A1602" t="str">
            <v>L4Y334</v>
          </cell>
          <cell r="B1602" t="str">
            <v xml:space="preserve">ACRYLIC MIX LAC OCRE TRANSPAR </v>
          </cell>
          <cell r="C1602">
            <v>1</v>
          </cell>
          <cell r="D1602">
            <v>365</v>
          </cell>
        </row>
        <row r="1603">
          <cell r="A1603" t="str">
            <v>L4Y334-1</v>
          </cell>
          <cell r="B1603" t="str">
            <v xml:space="preserve">ACRYLIC MIX LAC OCRE TRANSPAR </v>
          </cell>
          <cell r="C1603">
            <v>1</v>
          </cell>
          <cell r="D1603">
            <v>365</v>
          </cell>
        </row>
        <row r="1604">
          <cell r="A1604" t="str">
            <v>L4Y344</v>
          </cell>
          <cell r="B1604" t="str">
            <v>ACRYLIC MIX LAC AMARILLO ROJIZ</v>
          </cell>
          <cell r="C1604">
            <v>1</v>
          </cell>
          <cell r="D1604">
            <v>365</v>
          </cell>
        </row>
        <row r="1605">
          <cell r="A1605" t="str">
            <v>L4Y344-1/4</v>
          </cell>
          <cell r="B1605" t="str">
            <v>ACRYLIC MIX LAC AMARILLO ROJIZ</v>
          </cell>
          <cell r="C1605">
            <v>1</v>
          </cell>
          <cell r="D1605">
            <v>365</v>
          </cell>
        </row>
        <row r="1606">
          <cell r="A1606" t="str">
            <v>L4Y351</v>
          </cell>
          <cell r="B1606" t="str">
            <v xml:space="preserve">ACRYLIC MIX LAC AMARILLO ORG  </v>
          </cell>
          <cell r="C1606">
            <v>1</v>
          </cell>
          <cell r="D1606">
            <v>365</v>
          </cell>
        </row>
        <row r="1607">
          <cell r="A1607" t="str">
            <v>L4Y351-1/4</v>
          </cell>
          <cell r="B1607" t="str">
            <v xml:space="preserve">ACRYLIC MIX LAC AMARILLO ORG  </v>
          </cell>
          <cell r="C1607">
            <v>1</v>
          </cell>
          <cell r="D1607">
            <v>365</v>
          </cell>
        </row>
        <row r="1608">
          <cell r="A1608" t="str">
            <v>N81W32</v>
          </cell>
          <cell r="B1608" t="str">
            <v xml:space="preserve">KEM PATCHING PASTE .          </v>
          </cell>
          <cell r="C1608">
            <v>1</v>
          </cell>
          <cell r="D1608">
            <v>365</v>
          </cell>
        </row>
        <row r="1609">
          <cell r="A1609" t="str">
            <v>N81W32-1</v>
          </cell>
          <cell r="B1609" t="str">
            <v xml:space="preserve">KEM PATCHING PASTE            </v>
          </cell>
          <cell r="C1609">
            <v>1</v>
          </cell>
          <cell r="D1609">
            <v>365</v>
          </cell>
        </row>
        <row r="1610">
          <cell r="A1610" t="str">
            <v>N81W32-1/4</v>
          </cell>
          <cell r="B1610" t="str">
            <v xml:space="preserve">KEM PATCHING PASTE            </v>
          </cell>
          <cell r="C1610">
            <v>1</v>
          </cell>
          <cell r="D1610">
            <v>365</v>
          </cell>
        </row>
        <row r="1611">
          <cell r="A1611" t="str">
            <v>N81WP1</v>
          </cell>
          <cell r="B1611" t="str">
            <v xml:space="preserve">PLASTIC PUTTY WHITE           </v>
          </cell>
          <cell r="C1611">
            <v>1</v>
          </cell>
          <cell r="D1611">
            <v>365</v>
          </cell>
        </row>
        <row r="1612">
          <cell r="A1612" t="str">
            <v>N81WP1-1</v>
          </cell>
          <cell r="B1612" t="str">
            <v xml:space="preserve">PLASTIC PUTTY WHITE           </v>
          </cell>
          <cell r="C1612">
            <v>1</v>
          </cell>
          <cell r="D1612">
            <v>365</v>
          </cell>
        </row>
        <row r="1613">
          <cell r="A1613" t="str">
            <v>PT10-1/16</v>
          </cell>
          <cell r="B1613" t="str">
            <v xml:space="preserve">PERLA BRONCE                  </v>
          </cell>
          <cell r="C1613">
            <v>1</v>
          </cell>
          <cell r="D1613">
            <v>365</v>
          </cell>
        </row>
        <row r="1614">
          <cell r="A1614" t="str">
            <v>PT11-1/16</v>
          </cell>
          <cell r="B1614" t="str">
            <v xml:space="preserve">PERLA  ROJIZO                 </v>
          </cell>
          <cell r="C1614">
            <v>1</v>
          </cell>
          <cell r="D1614">
            <v>365</v>
          </cell>
        </row>
        <row r="1615">
          <cell r="A1615" t="str">
            <v>PT12-1/16</v>
          </cell>
          <cell r="B1615" t="str">
            <v xml:space="preserve">PERLA  ROJIZO FINO            </v>
          </cell>
          <cell r="C1615">
            <v>1</v>
          </cell>
          <cell r="D1615">
            <v>365</v>
          </cell>
        </row>
        <row r="1616">
          <cell r="A1616" t="str">
            <v>PT13-1/16</v>
          </cell>
          <cell r="B1616" t="str">
            <v xml:space="preserve">PERLA AZUL INTERFERENCIA      </v>
          </cell>
          <cell r="C1616">
            <v>1</v>
          </cell>
          <cell r="D1616">
            <v>365</v>
          </cell>
        </row>
        <row r="1617">
          <cell r="A1617" t="str">
            <v>PT14-1/16</v>
          </cell>
          <cell r="B1617" t="str">
            <v xml:space="preserve">PERLA ANARANJADO              </v>
          </cell>
          <cell r="C1617">
            <v>1</v>
          </cell>
          <cell r="D1617">
            <v>365</v>
          </cell>
        </row>
        <row r="1618">
          <cell r="A1618" t="str">
            <v>PT15-1/16</v>
          </cell>
          <cell r="B1618" t="str">
            <v xml:space="preserve">PERLA LILA                    </v>
          </cell>
          <cell r="C1618">
            <v>1</v>
          </cell>
          <cell r="D1618">
            <v>365</v>
          </cell>
        </row>
        <row r="1619">
          <cell r="A1619" t="str">
            <v>PT16-1/16</v>
          </cell>
          <cell r="B1619" t="str">
            <v xml:space="preserve">PERLA DORADA                  </v>
          </cell>
          <cell r="C1619">
            <v>1</v>
          </cell>
          <cell r="D1619">
            <v>365</v>
          </cell>
        </row>
        <row r="1620">
          <cell r="A1620" t="str">
            <v>PT17-1/16</v>
          </cell>
          <cell r="B1620" t="str">
            <v xml:space="preserve">PERLA COBRE                   </v>
          </cell>
          <cell r="C1620">
            <v>1</v>
          </cell>
          <cell r="D1620">
            <v>365</v>
          </cell>
        </row>
        <row r="1621">
          <cell r="A1621" t="str">
            <v>PT18-1/16</v>
          </cell>
          <cell r="B1621" t="str">
            <v xml:space="preserve">PERLA ROJO INTERFERENCIA      </v>
          </cell>
          <cell r="C1621">
            <v>1</v>
          </cell>
          <cell r="D1621">
            <v>365</v>
          </cell>
        </row>
        <row r="1622">
          <cell r="A1622" t="str">
            <v>PT19-1/16</v>
          </cell>
          <cell r="B1622" t="str">
            <v xml:space="preserve">PERLA VERDE MUSGO             </v>
          </cell>
          <cell r="C1622">
            <v>1</v>
          </cell>
          <cell r="D1622">
            <v>365</v>
          </cell>
        </row>
        <row r="1623">
          <cell r="A1623" t="str">
            <v>PT20-1/16</v>
          </cell>
          <cell r="B1623" t="str">
            <v xml:space="preserve">PERLA BLANCO FINO             </v>
          </cell>
          <cell r="C1623">
            <v>1</v>
          </cell>
          <cell r="D1623">
            <v>365</v>
          </cell>
        </row>
        <row r="1624">
          <cell r="A1624" t="str">
            <v>PT21-1/16</v>
          </cell>
          <cell r="B1624" t="str">
            <v xml:space="preserve">PERLA GRIS AZULOSO            </v>
          </cell>
          <cell r="C1624">
            <v>1</v>
          </cell>
          <cell r="D1624">
            <v>365</v>
          </cell>
        </row>
        <row r="1625">
          <cell r="A1625" t="str">
            <v>PT22-1/16</v>
          </cell>
          <cell r="B1625" t="str">
            <v xml:space="preserve">PERLA VERDE AQUA              </v>
          </cell>
          <cell r="C1625">
            <v>1</v>
          </cell>
          <cell r="D1625">
            <v>365</v>
          </cell>
        </row>
        <row r="1626">
          <cell r="A1626" t="str">
            <v>PT23-1/16</v>
          </cell>
          <cell r="B1626" t="str">
            <v xml:space="preserve">PERLA AZUL FINO               </v>
          </cell>
          <cell r="C1626">
            <v>1</v>
          </cell>
          <cell r="D1626">
            <v>365</v>
          </cell>
        </row>
        <row r="1627">
          <cell r="A1627" t="str">
            <v>PT24-1/16</v>
          </cell>
          <cell r="B1627" t="str">
            <v xml:space="preserve">PERLA VERDE FINO              </v>
          </cell>
          <cell r="C1627">
            <v>1</v>
          </cell>
          <cell r="D1627">
            <v>365</v>
          </cell>
        </row>
        <row r="1628">
          <cell r="A1628" t="str">
            <v>PT25-1/16</v>
          </cell>
          <cell r="B1628" t="str">
            <v xml:space="preserve">PERLA VIOLETA FINO            </v>
          </cell>
          <cell r="C1628">
            <v>1</v>
          </cell>
          <cell r="D1628">
            <v>365</v>
          </cell>
        </row>
        <row r="1629">
          <cell r="A1629" t="str">
            <v>PT26-1/16</v>
          </cell>
          <cell r="B1629" t="str">
            <v xml:space="preserve">PERLA ROJO ESCARABAJO         </v>
          </cell>
          <cell r="C1629">
            <v>1</v>
          </cell>
          <cell r="D1629">
            <v>365</v>
          </cell>
        </row>
        <row r="1630">
          <cell r="A1630" t="str">
            <v>PT27-1/16</v>
          </cell>
          <cell r="B1630" t="str">
            <v xml:space="preserve">PERLA COBRE FINO              </v>
          </cell>
          <cell r="C1630">
            <v>1</v>
          </cell>
          <cell r="D1630">
            <v>365</v>
          </cell>
        </row>
        <row r="1631">
          <cell r="A1631" t="str">
            <v>PT28-1/16</v>
          </cell>
          <cell r="B1631" t="str">
            <v xml:space="preserve">PERLA DORADO FINO             </v>
          </cell>
          <cell r="C1631">
            <v>1</v>
          </cell>
          <cell r="D1631">
            <v>365</v>
          </cell>
        </row>
        <row r="1632">
          <cell r="A1632" t="str">
            <v>PT29-1/16</v>
          </cell>
          <cell r="B1632" t="str">
            <v xml:space="preserve">PERLA BLANCO                  </v>
          </cell>
          <cell r="C1632">
            <v>1</v>
          </cell>
          <cell r="D1632">
            <v>365</v>
          </cell>
        </row>
        <row r="1633">
          <cell r="A1633" t="str">
            <v>PT30-1/32</v>
          </cell>
          <cell r="B1633" t="str">
            <v xml:space="preserve">PERLA CRISTAL PLATEADO        </v>
          </cell>
          <cell r="C1633">
            <v>1</v>
          </cell>
          <cell r="D1633">
            <v>365</v>
          </cell>
        </row>
        <row r="1634">
          <cell r="A1634" t="str">
            <v>PT31-1/32</v>
          </cell>
          <cell r="B1634" t="str">
            <v xml:space="preserve">PERLA COBRE                   </v>
          </cell>
          <cell r="C1634">
            <v>1</v>
          </cell>
          <cell r="D1634">
            <v>365</v>
          </cell>
        </row>
        <row r="1635">
          <cell r="A1635" t="str">
            <v>PT32-1/32</v>
          </cell>
          <cell r="B1635" t="str">
            <v xml:space="preserve">PERLA  DORADO SOL             </v>
          </cell>
          <cell r="C1635">
            <v>1</v>
          </cell>
          <cell r="D1635">
            <v>365</v>
          </cell>
        </row>
        <row r="1636">
          <cell r="A1636" t="str">
            <v>PT33-1/32</v>
          </cell>
          <cell r="B1636" t="str">
            <v xml:space="preserve">PERLA ROJO RADIANTE           </v>
          </cell>
          <cell r="C1636">
            <v>1</v>
          </cell>
          <cell r="D1636">
            <v>365</v>
          </cell>
        </row>
        <row r="1637">
          <cell r="A1637" t="str">
            <v>PT34-1/32</v>
          </cell>
          <cell r="B1637" t="str">
            <v xml:space="preserve">PERLA AZUL GALAXIA            </v>
          </cell>
          <cell r="C1637">
            <v>1</v>
          </cell>
          <cell r="D1637">
            <v>365</v>
          </cell>
        </row>
        <row r="1638">
          <cell r="A1638" t="str">
            <v>PT35-1/32</v>
          </cell>
          <cell r="B1638" t="str">
            <v xml:space="preserve">PERLA VERDE                   </v>
          </cell>
          <cell r="C1638">
            <v>1</v>
          </cell>
          <cell r="D1638">
            <v>365</v>
          </cell>
        </row>
        <row r="1639">
          <cell r="A1639" t="str">
            <v>PT7-1/16</v>
          </cell>
          <cell r="B1639" t="str">
            <v xml:space="preserve">PERLA VERDE FINO              </v>
          </cell>
          <cell r="C1639">
            <v>1</v>
          </cell>
          <cell r="D1639">
            <v>365</v>
          </cell>
        </row>
        <row r="1640">
          <cell r="A1640" t="str">
            <v>PT8-1/16</v>
          </cell>
          <cell r="B1640" t="str">
            <v xml:space="preserve">PERLA BLANCO                  </v>
          </cell>
          <cell r="C1640">
            <v>1</v>
          </cell>
          <cell r="D1640">
            <v>365</v>
          </cell>
        </row>
        <row r="1641">
          <cell r="A1641" t="str">
            <v>S40CSA1</v>
          </cell>
          <cell r="B1641" t="str">
            <v>NEUTRALIZAD HONGOS/ALGAS/ MOHO</v>
          </cell>
          <cell r="C1641">
            <v>1</v>
          </cell>
          <cell r="D1641">
            <v>365</v>
          </cell>
        </row>
        <row r="1642">
          <cell r="A1642" t="str">
            <v>S40CSA1-1</v>
          </cell>
          <cell r="B1642" t="str">
            <v>NEUTRALIZAD HONGOS/ALGAS/ MOHO</v>
          </cell>
          <cell r="C1642">
            <v>1</v>
          </cell>
          <cell r="D1642">
            <v>365</v>
          </cell>
        </row>
        <row r="1643">
          <cell r="A1643" t="str">
            <v>T79B1</v>
          </cell>
          <cell r="B1643" t="str">
            <v xml:space="preserve">SHERWOOD 600 CRAC. LAC. NEGRO </v>
          </cell>
          <cell r="C1643">
            <v>1</v>
          </cell>
          <cell r="D1643">
            <v>365</v>
          </cell>
        </row>
        <row r="1644">
          <cell r="A1644" t="str">
            <v>T79B1-1</v>
          </cell>
          <cell r="B1644" t="str">
            <v xml:space="preserve">SHERWOOD 600 CRAC. LAC. NEGRO </v>
          </cell>
          <cell r="C1644">
            <v>1</v>
          </cell>
          <cell r="D1644">
            <v>365</v>
          </cell>
        </row>
        <row r="1645">
          <cell r="A1645" t="str">
            <v>T79B1-1/4</v>
          </cell>
          <cell r="B1645" t="str">
            <v xml:space="preserve">SHERWOOD 600 CRAC. LAC. NEGRO </v>
          </cell>
          <cell r="C1645">
            <v>1</v>
          </cell>
          <cell r="D1645">
            <v>365</v>
          </cell>
        </row>
        <row r="1646">
          <cell r="A1646" t="str">
            <v>T79G1</v>
          </cell>
          <cell r="B1646" t="str">
            <v xml:space="preserve">SHERWOOD 600 CRAC. LAC. VERDE </v>
          </cell>
          <cell r="C1646">
            <v>1</v>
          </cell>
          <cell r="D1646">
            <v>365</v>
          </cell>
        </row>
        <row r="1647">
          <cell r="A1647" t="str">
            <v>T79G1-1/4</v>
          </cell>
          <cell r="B1647" t="str">
            <v xml:space="preserve">SHERWOOD 600 CRAC. LAC. VERDE </v>
          </cell>
          <cell r="C1647">
            <v>1</v>
          </cell>
          <cell r="D1647">
            <v>365</v>
          </cell>
        </row>
        <row r="1648">
          <cell r="A1648" t="str">
            <v>T79L1</v>
          </cell>
          <cell r="B1648" t="str">
            <v xml:space="preserve">SHERWOOD 600 CRAC. LAC. AZUL  </v>
          </cell>
          <cell r="C1648">
            <v>1</v>
          </cell>
          <cell r="D1648">
            <v>365</v>
          </cell>
        </row>
        <row r="1649">
          <cell r="A1649" t="str">
            <v>T79L1-1/4</v>
          </cell>
          <cell r="B1649" t="str">
            <v xml:space="preserve">SHERWOOD 600 CRAC. LAC. AZUL  </v>
          </cell>
          <cell r="C1649">
            <v>1</v>
          </cell>
          <cell r="D1649">
            <v>365</v>
          </cell>
        </row>
        <row r="1650">
          <cell r="A1650" t="str">
            <v>T79R1</v>
          </cell>
          <cell r="B1650" t="str">
            <v xml:space="preserve">SHERWOOD 600 CRAC. LAC. ROJO  </v>
          </cell>
          <cell r="C1650">
            <v>1</v>
          </cell>
          <cell r="D1650">
            <v>365</v>
          </cell>
        </row>
        <row r="1651">
          <cell r="A1651" t="str">
            <v>T79R1-1/4</v>
          </cell>
          <cell r="B1651" t="str">
            <v xml:space="preserve">SHERWOOD 600 CRAC. LAC. ROJO  </v>
          </cell>
          <cell r="C1651">
            <v>1</v>
          </cell>
          <cell r="D1651">
            <v>365</v>
          </cell>
        </row>
        <row r="1652">
          <cell r="A1652" t="str">
            <v>T79W1</v>
          </cell>
          <cell r="B1652" t="str">
            <v>SHERWOOD 600 CRAC. LAC. BLANCO</v>
          </cell>
          <cell r="C1652">
            <v>1</v>
          </cell>
          <cell r="D1652">
            <v>365</v>
          </cell>
        </row>
        <row r="1653">
          <cell r="A1653" t="str">
            <v>T79W1-1/4</v>
          </cell>
          <cell r="B1653" t="str">
            <v>SHERWOOD 600 CRAC. LAC. BLANCO</v>
          </cell>
          <cell r="C1653">
            <v>1</v>
          </cell>
          <cell r="D1653">
            <v>365</v>
          </cell>
        </row>
        <row r="1654">
          <cell r="A1654" t="str">
            <v>UM7000</v>
          </cell>
          <cell r="B1654" t="str">
            <v>UNIMIX TINT BASE METALLIC No.1</v>
          </cell>
          <cell r="C1654">
            <v>1</v>
          </cell>
          <cell r="D1654">
            <v>365</v>
          </cell>
        </row>
        <row r="1655">
          <cell r="A1655" t="str">
            <v>UM7000-1/4</v>
          </cell>
          <cell r="B1655" t="str">
            <v>UNIMIX TINT BASE METALLIC No.1</v>
          </cell>
          <cell r="C1655">
            <v>1</v>
          </cell>
          <cell r="D1655">
            <v>365</v>
          </cell>
        </row>
        <row r="1656">
          <cell r="A1656" t="str">
            <v>UM7001</v>
          </cell>
          <cell r="B1656" t="str">
            <v>UNIMIX TINT BASE METALLIC No.2</v>
          </cell>
          <cell r="C1656">
            <v>1</v>
          </cell>
          <cell r="D1656">
            <v>365</v>
          </cell>
        </row>
        <row r="1657">
          <cell r="A1657" t="str">
            <v>UM7001-1/4</v>
          </cell>
          <cell r="B1657" t="str">
            <v>UNIMIX TINT BASE METALLIC No.2</v>
          </cell>
          <cell r="C1657">
            <v>1</v>
          </cell>
          <cell r="D1657">
            <v>365</v>
          </cell>
        </row>
        <row r="1658">
          <cell r="A1658" t="str">
            <v>UM7002</v>
          </cell>
          <cell r="B1658" t="str">
            <v>UNIMIX TINT BASE METALLIC No.3</v>
          </cell>
          <cell r="C1658">
            <v>1</v>
          </cell>
          <cell r="D1658">
            <v>365</v>
          </cell>
        </row>
        <row r="1659">
          <cell r="A1659" t="str">
            <v>UM7002-1/4</v>
          </cell>
          <cell r="B1659" t="str">
            <v>UNIMIX TINT BASE METALLIC No.3</v>
          </cell>
          <cell r="C1659">
            <v>1</v>
          </cell>
          <cell r="D1659">
            <v>365</v>
          </cell>
        </row>
        <row r="1660">
          <cell r="A1660" t="str">
            <v>UM7003</v>
          </cell>
          <cell r="B1660" t="str">
            <v xml:space="preserve">UNIMIX TINTING BASE WHITE     </v>
          </cell>
          <cell r="C1660">
            <v>1</v>
          </cell>
          <cell r="D1660">
            <v>365</v>
          </cell>
        </row>
        <row r="1661">
          <cell r="A1661" t="str">
            <v>UM7003-1/4</v>
          </cell>
          <cell r="B1661" t="str">
            <v xml:space="preserve">UNIMIX TINTING BASE WHITE     </v>
          </cell>
          <cell r="C1661">
            <v>1</v>
          </cell>
          <cell r="D1661">
            <v>365</v>
          </cell>
        </row>
        <row r="1662">
          <cell r="A1662" t="str">
            <v>UM7004</v>
          </cell>
          <cell r="B1662" t="str">
            <v xml:space="preserve">UNIMIX TINTING BASE RUSSET    </v>
          </cell>
          <cell r="C1662">
            <v>1</v>
          </cell>
          <cell r="D1662">
            <v>365</v>
          </cell>
        </row>
        <row r="1663">
          <cell r="A1663" t="str">
            <v>UM7004-1/4</v>
          </cell>
          <cell r="B1663" t="str">
            <v xml:space="preserve">UNIMIX TINTING BASE RUSSET    </v>
          </cell>
          <cell r="C1663">
            <v>1</v>
          </cell>
          <cell r="D1663">
            <v>365</v>
          </cell>
        </row>
        <row r="1664">
          <cell r="A1664" t="str">
            <v>UM7005</v>
          </cell>
          <cell r="B1664" t="str">
            <v xml:space="preserve">UNIMIX TINTING BASE BRONZE    </v>
          </cell>
          <cell r="C1664">
            <v>1</v>
          </cell>
          <cell r="D1664">
            <v>365</v>
          </cell>
        </row>
        <row r="1665">
          <cell r="A1665" t="str">
            <v>UM7005-1/4</v>
          </cell>
          <cell r="B1665" t="str">
            <v xml:space="preserve">UNIMIX TINTING BASE BRONZE    </v>
          </cell>
          <cell r="C1665">
            <v>1</v>
          </cell>
          <cell r="D1665">
            <v>365</v>
          </cell>
        </row>
        <row r="1666">
          <cell r="A1666" t="str">
            <v>UM7006</v>
          </cell>
          <cell r="B1666" t="str">
            <v>UNIMIX TINT BASE METALLIC No.4</v>
          </cell>
          <cell r="C1666">
            <v>1</v>
          </cell>
          <cell r="D1666">
            <v>365</v>
          </cell>
        </row>
        <row r="1667">
          <cell r="A1667" t="str">
            <v>UM7006-1/4</v>
          </cell>
          <cell r="B1667" t="str">
            <v>UNIMIX TINT BASE METALLIC No.4</v>
          </cell>
          <cell r="C1667">
            <v>1</v>
          </cell>
          <cell r="D1667">
            <v>365</v>
          </cell>
        </row>
        <row r="1668">
          <cell r="A1668" t="str">
            <v>UM7007</v>
          </cell>
          <cell r="B1668" t="str">
            <v xml:space="preserve">UNIMIX TINT BASE SMALL WHITE  </v>
          </cell>
          <cell r="C1668">
            <v>1</v>
          </cell>
          <cell r="D1668">
            <v>365</v>
          </cell>
        </row>
        <row r="1669">
          <cell r="A1669" t="str">
            <v>UM7007-1/4</v>
          </cell>
          <cell r="B1669" t="str">
            <v xml:space="preserve">UNIMIX TINT BASE SMALL WHITE  </v>
          </cell>
          <cell r="C1669">
            <v>1</v>
          </cell>
          <cell r="D1669">
            <v>365</v>
          </cell>
        </row>
        <row r="1670">
          <cell r="A1670" t="str">
            <v>UM7008</v>
          </cell>
          <cell r="B1670" t="str">
            <v xml:space="preserve">UNIMIX TINTING BASE SMALL RED </v>
          </cell>
          <cell r="C1670">
            <v>1</v>
          </cell>
          <cell r="D1670">
            <v>365</v>
          </cell>
        </row>
        <row r="1671">
          <cell r="A1671" t="str">
            <v>UM7008-1/4</v>
          </cell>
          <cell r="B1671" t="str">
            <v xml:space="preserve">UNIMIX TINTING BASE SMALL RED </v>
          </cell>
          <cell r="C1671">
            <v>1</v>
          </cell>
          <cell r="D1671">
            <v>365</v>
          </cell>
        </row>
        <row r="1672">
          <cell r="A1672" t="str">
            <v>UM7009</v>
          </cell>
          <cell r="B1672" t="str">
            <v xml:space="preserve">UNIMIX TINTING BASE BLUE      </v>
          </cell>
          <cell r="C1672">
            <v>1</v>
          </cell>
          <cell r="D1672">
            <v>365</v>
          </cell>
        </row>
        <row r="1673">
          <cell r="A1673" t="str">
            <v>UM7009-1/4</v>
          </cell>
          <cell r="B1673" t="str">
            <v xml:space="preserve">UNIMIX TINTING BASE BLUE      </v>
          </cell>
          <cell r="C1673">
            <v>1</v>
          </cell>
          <cell r="D1673">
            <v>365</v>
          </cell>
        </row>
        <row r="1674">
          <cell r="A1674" t="str">
            <v>UM7010</v>
          </cell>
          <cell r="B1674" t="str">
            <v xml:space="preserve">UNIMIX TINTING BASE GREEN     </v>
          </cell>
          <cell r="C1674">
            <v>1</v>
          </cell>
          <cell r="D1674">
            <v>365</v>
          </cell>
        </row>
        <row r="1675">
          <cell r="A1675" t="str">
            <v>UM7010-1/4</v>
          </cell>
          <cell r="B1675" t="str">
            <v xml:space="preserve">UNIMIX TINTING BASE GREEN     </v>
          </cell>
          <cell r="C1675">
            <v>1</v>
          </cell>
          <cell r="D1675">
            <v>365</v>
          </cell>
        </row>
        <row r="1676">
          <cell r="A1676" t="str">
            <v>UM7011</v>
          </cell>
          <cell r="B1676" t="str">
            <v>UNIMIX  BRIGHT METALLIC FINE .</v>
          </cell>
          <cell r="C1676">
            <v>1</v>
          </cell>
          <cell r="D1676">
            <v>365</v>
          </cell>
        </row>
        <row r="1677">
          <cell r="A1677" t="str">
            <v>UM7011-1/4</v>
          </cell>
          <cell r="B1677" t="str">
            <v xml:space="preserve">UNIMIX  BRIGHT METALLIC FINE  </v>
          </cell>
          <cell r="C1677">
            <v>1</v>
          </cell>
          <cell r="D1677">
            <v>365</v>
          </cell>
        </row>
        <row r="1678">
          <cell r="A1678" t="str">
            <v>UM7012</v>
          </cell>
          <cell r="B1678" t="str">
            <v>UNIMIX  BRIGHT METALLIC MEDIUM</v>
          </cell>
          <cell r="C1678">
            <v>1</v>
          </cell>
          <cell r="D1678">
            <v>365</v>
          </cell>
        </row>
        <row r="1679">
          <cell r="A1679" t="str">
            <v>UM7012-1/4</v>
          </cell>
          <cell r="B1679" t="str">
            <v>UNIMIX  BRIGHT METALLIC MEDIUM</v>
          </cell>
          <cell r="C1679">
            <v>1</v>
          </cell>
          <cell r="D1679">
            <v>365</v>
          </cell>
        </row>
        <row r="1680">
          <cell r="A1680" t="str">
            <v>V66V19</v>
          </cell>
          <cell r="B1680" t="str">
            <v xml:space="preserve">KEM CATI COAT CATALYST        </v>
          </cell>
          <cell r="C1680">
            <v>1</v>
          </cell>
          <cell r="D1680">
            <v>365</v>
          </cell>
        </row>
        <row r="1681">
          <cell r="A1681" t="str">
            <v>V66V19-1</v>
          </cell>
          <cell r="B1681" t="str">
            <v xml:space="preserve">KEM CATI COAT CATALYST        </v>
          </cell>
          <cell r="C1681">
            <v>1</v>
          </cell>
          <cell r="D1681">
            <v>365</v>
          </cell>
        </row>
        <row r="1682">
          <cell r="A1682" t="str">
            <v>V66V19-5</v>
          </cell>
          <cell r="B1682" t="str">
            <v xml:space="preserve">KEM CATI COAT                 </v>
          </cell>
          <cell r="C1682">
            <v>1</v>
          </cell>
          <cell r="D1682">
            <v>365</v>
          </cell>
        </row>
        <row r="1683">
          <cell r="A1683" t="str">
            <v>V74B155</v>
          </cell>
          <cell r="B1683" t="str">
            <v xml:space="preserve">CHASSIS UNDERFRAME BLACK      </v>
          </cell>
          <cell r="C1683">
            <v>1</v>
          </cell>
          <cell r="D1683">
            <v>365</v>
          </cell>
        </row>
        <row r="1684">
          <cell r="A1684" t="str">
            <v>V74B155-1</v>
          </cell>
          <cell r="B1684" t="str">
            <v xml:space="preserve">CHASSIS UNDERFRAME BLACK      </v>
          </cell>
          <cell r="C1684">
            <v>1</v>
          </cell>
          <cell r="D1684">
            <v>365</v>
          </cell>
        </row>
        <row r="1685">
          <cell r="A1685" t="str">
            <v>V74BSA1</v>
          </cell>
          <cell r="B1685" t="str">
            <v xml:space="preserve">PINTURA NEGRA PARA CHASSIS    </v>
          </cell>
          <cell r="C1685">
            <v>1</v>
          </cell>
          <cell r="D1685">
            <v>365</v>
          </cell>
        </row>
        <row r="1686">
          <cell r="A1686" t="str">
            <v>V74BSA1-1</v>
          </cell>
          <cell r="B1686" t="str">
            <v xml:space="preserve">PINTURA NEGRA PARA CHASSIS    </v>
          </cell>
          <cell r="C1686">
            <v>1</v>
          </cell>
          <cell r="D1686">
            <v>365</v>
          </cell>
        </row>
        <row r="1687">
          <cell r="A1687" t="str">
            <v>V74BSA1-1/4</v>
          </cell>
          <cell r="B1687" t="str">
            <v xml:space="preserve">PINTURA NEGRA PARA CHASSIS    </v>
          </cell>
          <cell r="C1687">
            <v>1</v>
          </cell>
          <cell r="D1687">
            <v>365</v>
          </cell>
        </row>
        <row r="1688">
          <cell r="A1688" t="str">
            <v>V83CSA2</v>
          </cell>
          <cell r="B1688" t="str">
            <v xml:space="preserve">BARNIZ ARTESANAL              </v>
          </cell>
          <cell r="C1688">
            <v>2</v>
          </cell>
          <cell r="D1688">
            <v>730</v>
          </cell>
        </row>
        <row r="1689">
          <cell r="A1689" t="str">
            <v>V83CSA2-1</v>
          </cell>
          <cell r="B1689" t="str">
            <v xml:space="preserve">BARNIZ ARTESANAL              </v>
          </cell>
          <cell r="C1689">
            <v>2</v>
          </cell>
          <cell r="D1689">
            <v>730</v>
          </cell>
        </row>
        <row r="1690">
          <cell r="A1690" t="str">
            <v>V83CSA2-1/4</v>
          </cell>
          <cell r="B1690" t="str">
            <v xml:space="preserve">BARNIZ ARTESANAL              </v>
          </cell>
          <cell r="C1690">
            <v>2</v>
          </cell>
          <cell r="D1690">
            <v>730</v>
          </cell>
        </row>
        <row r="1691">
          <cell r="A1691" t="str">
            <v>V83CSA3</v>
          </cell>
          <cell r="B1691" t="str">
            <v xml:space="preserve">BARNIZ ACRILICO PARA PISOS    </v>
          </cell>
          <cell r="C1691">
            <v>2</v>
          </cell>
          <cell r="D1691">
            <v>730</v>
          </cell>
        </row>
        <row r="1692">
          <cell r="A1692" t="str">
            <v>V83CSA3-1</v>
          </cell>
          <cell r="B1692" t="str">
            <v xml:space="preserve">BARNIZ ACRILICO PARA PISOS    </v>
          </cell>
          <cell r="C1692">
            <v>2</v>
          </cell>
          <cell r="D1692">
            <v>730</v>
          </cell>
        </row>
        <row r="1693">
          <cell r="A1693" t="str">
            <v>V83CSA3-50</v>
          </cell>
          <cell r="B1693" t="str">
            <v xml:space="preserve">BARNIZ ACRILICO PARA PISOS    </v>
          </cell>
          <cell r="C1693">
            <v>2</v>
          </cell>
          <cell r="D1693">
            <v>730</v>
          </cell>
        </row>
        <row r="1694">
          <cell r="A1694" t="str">
            <v>V83CSA4</v>
          </cell>
          <cell r="B1694" t="str">
            <v xml:space="preserve">BARNIZ ACRILICO PARA PISOS DE </v>
          </cell>
          <cell r="C1694">
            <v>2</v>
          </cell>
          <cell r="D1694">
            <v>730</v>
          </cell>
        </row>
        <row r="1695">
          <cell r="A1695" t="str">
            <v>V83CSA4-44</v>
          </cell>
          <cell r="B1695" t="str">
            <v>BARNIZ ACRILICO PISOS CONCRETO</v>
          </cell>
          <cell r="C1695">
            <v>2</v>
          </cell>
          <cell r="D1695">
            <v>730</v>
          </cell>
        </row>
        <row r="1696">
          <cell r="A1696" t="str">
            <v>V83FSA1</v>
          </cell>
          <cell r="B1696" t="str">
            <v xml:space="preserve">BARNIZ ARTESANAL VELVET       </v>
          </cell>
          <cell r="C1696">
            <v>2</v>
          </cell>
          <cell r="D1696">
            <v>730</v>
          </cell>
        </row>
        <row r="1697">
          <cell r="A1697" t="str">
            <v>V83FSA1-1</v>
          </cell>
          <cell r="B1697" t="str">
            <v xml:space="preserve">BARNIZ ARTESANAL VELVET       </v>
          </cell>
          <cell r="C1697">
            <v>2</v>
          </cell>
          <cell r="D1697">
            <v>730</v>
          </cell>
        </row>
        <row r="1698">
          <cell r="A1698" t="str">
            <v>W64CSA2</v>
          </cell>
          <cell r="B1698" t="str">
            <v xml:space="preserve">REMOVEDOR HONGOS/ALGAS/MOHO   </v>
          </cell>
          <cell r="C1698">
            <v>1</v>
          </cell>
          <cell r="D1698">
            <v>365</v>
          </cell>
        </row>
        <row r="1699">
          <cell r="A1699" t="str">
            <v>W64CSA2-1</v>
          </cell>
          <cell r="B1699" t="str">
            <v xml:space="preserve">REMOVEDOR HONGOS/ALGAS/MOHO   </v>
          </cell>
          <cell r="C1699">
            <v>1</v>
          </cell>
          <cell r="D1699">
            <v>365</v>
          </cell>
        </row>
        <row r="1700">
          <cell r="A1700" t="str">
            <v>Y81ESA1</v>
          </cell>
          <cell r="B1700" t="str">
            <v xml:space="preserve">COLORAMICA LATEX MANGO        </v>
          </cell>
          <cell r="C1700">
            <v>1</v>
          </cell>
          <cell r="D1700">
            <v>365</v>
          </cell>
        </row>
        <row r="1701">
          <cell r="A1701" t="str">
            <v>Y81ESA1-1</v>
          </cell>
          <cell r="B1701" t="str">
            <v xml:space="preserve">COLORAMICA LATEX MANGO        </v>
          </cell>
          <cell r="C1701">
            <v>1</v>
          </cell>
          <cell r="D1701">
            <v>365</v>
          </cell>
        </row>
        <row r="1702">
          <cell r="A1702" t="str">
            <v>Y81ESA1-1/4</v>
          </cell>
          <cell r="B1702" t="str">
            <v xml:space="preserve">COLORAMICA LATEX MANGO        </v>
          </cell>
          <cell r="C1702">
            <v>1</v>
          </cell>
          <cell r="D1702">
            <v>365</v>
          </cell>
        </row>
        <row r="1703">
          <cell r="A1703" t="str">
            <v>Y81ESA1-5</v>
          </cell>
          <cell r="B1703" t="str">
            <v xml:space="preserve">COLORAMICA LATEX MANGO        </v>
          </cell>
          <cell r="C1703">
            <v>1</v>
          </cell>
          <cell r="D1703">
            <v>365</v>
          </cell>
        </row>
        <row r="1704">
          <cell r="A1704" t="str">
            <v>Y81GSA1</v>
          </cell>
          <cell r="B1704" t="str">
            <v xml:space="preserve">COLOR LATEX MATE VERDE MENTA  </v>
          </cell>
          <cell r="C1704">
            <v>1</v>
          </cell>
          <cell r="D1704">
            <v>365</v>
          </cell>
        </row>
        <row r="1705">
          <cell r="A1705" t="str">
            <v>Y81GSA1-1</v>
          </cell>
          <cell r="B1705" t="str">
            <v xml:space="preserve">COLOR LATEX MATE VERDE MENTA  </v>
          </cell>
          <cell r="C1705">
            <v>1</v>
          </cell>
          <cell r="D1705">
            <v>365</v>
          </cell>
        </row>
        <row r="1706">
          <cell r="A1706" t="str">
            <v>Y81GSA1-1/4</v>
          </cell>
          <cell r="B1706" t="str">
            <v xml:space="preserve">COLORAMICA LATEX VERDE MENTA  </v>
          </cell>
          <cell r="C1706">
            <v>1</v>
          </cell>
          <cell r="D1706">
            <v>365</v>
          </cell>
        </row>
        <row r="1707">
          <cell r="A1707" t="str">
            <v>Y81GSA1-5</v>
          </cell>
          <cell r="B1707" t="str">
            <v xml:space="preserve">COLOR LATEX MATE VERDE MENTA  </v>
          </cell>
          <cell r="C1707">
            <v>1</v>
          </cell>
          <cell r="D1707">
            <v>365</v>
          </cell>
        </row>
        <row r="1708">
          <cell r="A1708" t="str">
            <v>Y81GSA2</v>
          </cell>
          <cell r="B1708" t="str">
            <v xml:space="preserve">COLORAMICA LATEX VERDE        </v>
          </cell>
          <cell r="C1708">
            <v>1</v>
          </cell>
          <cell r="D1708">
            <v>365</v>
          </cell>
        </row>
        <row r="1709">
          <cell r="A1709" t="str">
            <v>Y81GSA2-1</v>
          </cell>
          <cell r="B1709" t="str">
            <v xml:space="preserve">COLORAMICA LATEX VERDE        </v>
          </cell>
          <cell r="C1709">
            <v>1</v>
          </cell>
          <cell r="D1709">
            <v>365</v>
          </cell>
        </row>
        <row r="1710">
          <cell r="A1710" t="str">
            <v>Y81GSA2-1/4</v>
          </cell>
          <cell r="B1710" t="str">
            <v xml:space="preserve">COLORAMICA LATEX VERDE        </v>
          </cell>
          <cell r="C1710">
            <v>1</v>
          </cell>
          <cell r="D1710">
            <v>365</v>
          </cell>
        </row>
        <row r="1711">
          <cell r="A1711" t="str">
            <v>Y81GSA2-5</v>
          </cell>
          <cell r="B1711" t="str">
            <v xml:space="preserve">COLORAMICA LATEX VERDE        </v>
          </cell>
          <cell r="C1711">
            <v>1</v>
          </cell>
          <cell r="D1711">
            <v>365</v>
          </cell>
        </row>
        <row r="1712">
          <cell r="A1712" t="str">
            <v>Y81GSA3</v>
          </cell>
          <cell r="B1712" t="str">
            <v xml:space="preserve">COLORAMICA LATEX VERDE AQUA   </v>
          </cell>
          <cell r="C1712">
            <v>1</v>
          </cell>
          <cell r="D1712">
            <v>365</v>
          </cell>
        </row>
        <row r="1713">
          <cell r="A1713" t="str">
            <v>Y81GSA3-1</v>
          </cell>
          <cell r="B1713" t="str">
            <v xml:space="preserve">COLORAMICA LATEX VERDE AQUA   </v>
          </cell>
          <cell r="C1713">
            <v>1</v>
          </cell>
          <cell r="D1713">
            <v>365</v>
          </cell>
        </row>
        <row r="1714">
          <cell r="A1714" t="str">
            <v>Y81GSA3-1/4</v>
          </cell>
          <cell r="B1714" t="str">
            <v xml:space="preserve">COLORAMICA LATEX VERDE AQUA   </v>
          </cell>
          <cell r="C1714">
            <v>1</v>
          </cell>
          <cell r="D1714">
            <v>365</v>
          </cell>
        </row>
        <row r="1715">
          <cell r="A1715" t="str">
            <v>Y81GSA3-5</v>
          </cell>
          <cell r="B1715" t="str">
            <v xml:space="preserve">COLORAMICA LATEX VERDE AQUA   </v>
          </cell>
          <cell r="C1715">
            <v>1</v>
          </cell>
          <cell r="D1715">
            <v>365</v>
          </cell>
        </row>
        <row r="1716">
          <cell r="A1716" t="str">
            <v>Y81GSA4</v>
          </cell>
          <cell r="B1716" t="str">
            <v xml:space="preserve">COLORAMICA LATEX VERDE JARDIN </v>
          </cell>
          <cell r="C1716">
            <v>1</v>
          </cell>
          <cell r="D1716">
            <v>365</v>
          </cell>
        </row>
        <row r="1717">
          <cell r="A1717" t="str">
            <v>Y81GSA4-1</v>
          </cell>
          <cell r="B1717" t="str">
            <v xml:space="preserve">COLORAMICA LATEX VERDE JARDIN </v>
          </cell>
          <cell r="C1717">
            <v>1</v>
          </cell>
          <cell r="D1717">
            <v>365</v>
          </cell>
        </row>
        <row r="1718">
          <cell r="A1718" t="str">
            <v>Y81GSA4-1/4</v>
          </cell>
          <cell r="B1718" t="str">
            <v xml:space="preserve">COLORAMICA LATEX VERDE JARDIN </v>
          </cell>
          <cell r="C1718">
            <v>1</v>
          </cell>
          <cell r="D1718">
            <v>365</v>
          </cell>
        </row>
        <row r="1719">
          <cell r="A1719" t="str">
            <v>Y81GSA4-5</v>
          </cell>
          <cell r="B1719" t="str">
            <v xml:space="preserve">COLORAMICA LATEX VERDE JARDIN </v>
          </cell>
          <cell r="C1719">
            <v>1</v>
          </cell>
          <cell r="D1719">
            <v>365</v>
          </cell>
        </row>
        <row r="1720">
          <cell r="A1720" t="str">
            <v>Y81GSA5</v>
          </cell>
          <cell r="B1720" t="str">
            <v xml:space="preserve">COLORAMICA LATEX VERDE LAGUNA </v>
          </cell>
          <cell r="C1720">
            <v>1</v>
          </cell>
          <cell r="D1720">
            <v>365</v>
          </cell>
        </row>
        <row r="1721">
          <cell r="A1721" t="str">
            <v>Y81GSA5-1</v>
          </cell>
          <cell r="B1721" t="str">
            <v xml:space="preserve">COLORAMICA LATEX VERDE LAGUNA </v>
          </cell>
          <cell r="C1721">
            <v>1</v>
          </cell>
          <cell r="D1721">
            <v>365</v>
          </cell>
        </row>
        <row r="1722">
          <cell r="A1722" t="str">
            <v>Y81GSA5-1/4</v>
          </cell>
          <cell r="B1722" t="str">
            <v xml:space="preserve">COLORAMICA LATEX VERDE LAGUNA </v>
          </cell>
          <cell r="C1722">
            <v>1</v>
          </cell>
          <cell r="D1722">
            <v>365</v>
          </cell>
        </row>
        <row r="1723">
          <cell r="A1723" t="str">
            <v>Y81GSA5-5</v>
          </cell>
          <cell r="B1723" t="str">
            <v xml:space="preserve">COLORAMICA LATEX VERDE LAGUNA </v>
          </cell>
          <cell r="C1723">
            <v>1</v>
          </cell>
          <cell r="D1723">
            <v>365</v>
          </cell>
        </row>
        <row r="1724">
          <cell r="A1724" t="str">
            <v>Y81HSA1</v>
          </cell>
          <cell r="B1724" t="str">
            <v xml:space="preserve">COLORAMICA LATEX MATE MARFIL  </v>
          </cell>
          <cell r="C1724">
            <v>1</v>
          </cell>
          <cell r="D1724">
            <v>365</v>
          </cell>
        </row>
        <row r="1725">
          <cell r="A1725" t="str">
            <v>Y81HSA1-1</v>
          </cell>
          <cell r="B1725" t="str">
            <v xml:space="preserve">COLORAMICA LATEX MATE MARFIL  </v>
          </cell>
          <cell r="C1725">
            <v>1</v>
          </cell>
          <cell r="D1725">
            <v>365</v>
          </cell>
        </row>
        <row r="1726">
          <cell r="A1726" t="str">
            <v>Y81HSA1-1/4</v>
          </cell>
          <cell r="B1726" t="str">
            <v xml:space="preserve">COLORAMICA LATEX MARFIL       </v>
          </cell>
          <cell r="C1726">
            <v>1</v>
          </cell>
          <cell r="D1726">
            <v>365</v>
          </cell>
        </row>
        <row r="1727">
          <cell r="A1727" t="str">
            <v>Y81HSA1-5</v>
          </cell>
          <cell r="B1727" t="str">
            <v xml:space="preserve">COLORAMICA LATEX MATE MARFIL  </v>
          </cell>
          <cell r="C1727">
            <v>1</v>
          </cell>
          <cell r="D1727">
            <v>365</v>
          </cell>
        </row>
        <row r="1728">
          <cell r="A1728" t="str">
            <v>Y81LSA2</v>
          </cell>
          <cell r="B1728" t="str">
            <v xml:space="preserve">COLORAMICA LATEX MATE CELESTE </v>
          </cell>
          <cell r="C1728">
            <v>1</v>
          </cell>
          <cell r="D1728">
            <v>365</v>
          </cell>
        </row>
        <row r="1729">
          <cell r="A1729" t="str">
            <v>Y81LSA2-1</v>
          </cell>
          <cell r="B1729" t="str">
            <v xml:space="preserve">COLORAMICA LATEX MATE CELESTE </v>
          </cell>
          <cell r="C1729">
            <v>1</v>
          </cell>
          <cell r="D1729">
            <v>365</v>
          </cell>
        </row>
        <row r="1730">
          <cell r="A1730" t="str">
            <v>Y81LSA2-1/4</v>
          </cell>
          <cell r="B1730" t="str">
            <v xml:space="preserve">COLORAMICA LATEX CELESTE      </v>
          </cell>
          <cell r="C1730">
            <v>1</v>
          </cell>
          <cell r="D1730">
            <v>365</v>
          </cell>
        </row>
        <row r="1731">
          <cell r="A1731" t="str">
            <v>Y81LSA2-5</v>
          </cell>
          <cell r="B1731" t="str">
            <v xml:space="preserve">COLORAMICA LATEX MATE CELESTE </v>
          </cell>
          <cell r="C1731">
            <v>1</v>
          </cell>
          <cell r="D1731">
            <v>365</v>
          </cell>
        </row>
        <row r="1732">
          <cell r="A1732" t="str">
            <v>Y81LSA4</v>
          </cell>
          <cell r="B1732" t="str">
            <v xml:space="preserve">COLORAMICA LATEX AZUL GEMA    </v>
          </cell>
          <cell r="C1732">
            <v>1</v>
          </cell>
          <cell r="D1732">
            <v>365</v>
          </cell>
        </row>
        <row r="1733">
          <cell r="A1733" t="str">
            <v>Y81LSA4-1</v>
          </cell>
          <cell r="B1733" t="str">
            <v xml:space="preserve">COLORAMICA LATEX AZUL GEMA    </v>
          </cell>
          <cell r="C1733">
            <v>1</v>
          </cell>
          <cell r="D1733">
            <v>365</v>
          </cell>
        </row>
        <row r="1734">
          <cell r="A1734" t="str">
            <v>Y81LSA4-1/4</v>
          </cell>
          <cell r="B1734" t="str">
            <v xml:space="preserve">COLORAMICA LATEX AZUL GEMA    </v>
          </cell>
          <cell r="C1734">
            <v>1</v>
          </cell>
          <cell r="D1734">
            <v>365</v>
          </cell>
        </row>
        <row r="1735">
          <cell r="A1735" t="str">
            <v>Y81LSA4-5</v>
          </cell>
          <cell r="B1735" t="str">
            <v xml:space="preserve">COLORAMICA LATEX AZUL GEMA    </v>
          </cell>
          <cell r="C1735">
            <v>1</v>
          </cell>
          <cell r="D1735">
            <v>365</v>
          </cell>
        </row>
        <row r="1736">
          <cell r="A1736" t="str">
            <v>Y81LSA5</v>
          </cell>
          <cell r="B1736" t="str">
            <v xml:space="preserve">COLORAMICA LATEX AZUL         </v>
          </cell>
          <cell r="C1736">
            <v>1</v>
          </cell>
          <cell r="D1736">
            <v>365</v>
          </cell>
        </row>
        <row r="1737">
          <cell r="A1737" t="str">
            <v>Y81LSA5-1</v>
          </cell>
          <cell r="B1737" t="str">
            <v xml:space="preserve">COLORAMICA LATEX AZUL         </v>
          </cell>
          <cell r="C1737">
            <v>1</v>
          </cell>
          <cell r="D1737">
            <v>365</v>
          </cell>
        </row>
        <row r="1738">
          <cell r="A1738" t="str">
            <v>Y81LSA5-1/4</v>
          </cell>
          <cell r="B1738" t="str">
            <v xml:space="preserve">COLORAMICA LATEX AZUL         </v>
          </cell>
          <cell r="C1738">
            <v>1</v>
          </cell>
          <cell r="D1738">
            <v>365</v>
          </cell>
        </row>
        <row r="1739">
          <cell r="A1739" t="str">
            <v>Y81LSA5-5</v>
          </cell>
          <cell r="B1739" t="str">
            <v xml:space="preserve">COLORAMICA LATEX AZUL         </v>
          </cell>
          <cell r="C1739">
            <v>1</v>
          </cell>
          <cell r="D1739">
            <v>365</v>
          </cell>
        </row>
        <row r="1740">
          <cell r="A1740" t="str">
            <v>Y81LSA6</v>
          </cell>
          <cell r="B1740" t="str">
            <v xml:space="preserve">COLORAMICA LATEX AZUL CLARO   </v>
          </cell>
          <cell r="C1740">
            <v>1</v>
          </cell>
          <cell r="D1740">
            <v>365</v>
          </cell>
        </row>
        <row r="1741">
          <cell r="A1741" t="str">
            <v>Y81LSA6-1</v>
          </cell>
          <cell r="B1741" t="str">
            <v xml:space="preserve">COLORAMICA LATEX AZUL CLARO   </v>
          </cell>
          <cell r="C1741">
            <v>1</v>
          </cell>
          <cell r="D1741">
            <v>365</v>
          </cell>
        </row>
        <row r="1742">
          <cell r="A1742" t="str">
            <v>Y81LSA6-1/4</v>
          </cell>
          <cell r="B1742" t="str">
            <v xml:space="preserve">COLORAMICA LATEX AZUL CLARO   </v>
          </cell>
          <cell r="C1742">
            <v>1</v>
          </cell>
          <cell r="D1742">
            <v>365</v>
          </cell>
        </row>
        <row r="1743">
          <cell r="A1743" t="str">
            <v>Y81LSA6-5</v>
          </cell>
          <cell r="B1743" t="str">
            <v xml:space="preserve">COLORAMICA LATEX AZUL CLARO   </v>
          </cell>
          <cell r="C1743">
            <v>1</v>
          </cell>
          <cell r="D1743">
            <v>365</v>
          </cell>
        </row>
        <row r="1744">
          <cell r="A1744" t="str">
            <v>Y81LSA7</v>
          </cell>
          <cell r="B1744" t="str">
            <v xml:space="preserve">COLORAMICA LAT CELESTE OCEANO </v>
          </cell>
          <cell r="C1744">
            <v>1</v>
          </cell>
          <cell r="D1744">
            <v>365</v>
          </cell>
        </row>
        <row r="1745">
          <cell r="A1745" t="str">
            <v>Y81LSA7-1</v>
          </cell>
          <cell r="B1745" t="str">
            <v xml:space="preserve">COLORAMICA LAT CELESTE OCEANO </v>
          </cell>
          <cell r="C1745">
            <v>1</v>
          </cell>
          <cell r="D1745">
            <v>365</v>
          </cell>
        </row>
        <row r="1746">
          <cell r="A1746" t="str">
            <v>Y81LSA7-1/4</v>
          </cell>
          <cell r="B1746" t="str">
            <v xml:space="preserve">COLORAMICA LAT CELESTE OCEANO </v>
          </cell>
          <cell r="C1746">
            <v>1</v>
          </cell>
          <cell r="D1746">
            <v>365</v>
          </cell>
        </row>
        <row r="1747">
          <cell r="A1747" t="str">
            <v>Y81LSA7-5</v>
          </cell>
          <cell r="B1747" t="str">
            <v xml:space="preserve">COLORAMICA LAT CELESTE OCEANO </v>
          </cell>
          <cell r="C1747">
            <v>1</v>
          </cell>
          <cell r="D1747">
            <v>365</v>
          </cell>
        </row>
        <row r="1748">
          <cell r="A1748" t="str">
            <v>Y81NSA1</v>
          </cell>
          <cell r="B1748" t="str">
            <v xml:space="preserve">COLORAMICA LATEX BEIGE        </v>
          </cell>
          <cell r="C1748">
            <v>1</v>
          </cell>
          <cell r="D1748">
            <v>365</v>
          </cell>
        </row>
        <row r="1749">
          <cell r="A1749" t="str">
            <v>Y81NSA1-1</v>
          </cell>
          <cell r="B1749" t="str">
            <v xml:space="preserve">COLORAMICA LATEX BEIGE        </v>
          </cell>
          <cell r="C1749">
            <v>1</v>
          </cell>
          <cell r="D1749">
            <v>365</v>
          </cell>
        </row>
        <row r="1750">
          <cell r="A1750" t="str">
            <v>Y81NSA1-1/4</v>
          </cell>
          <cell r="B1750" t="str">
            <v xml:space="preserve">COLORAMICA LATEX BEIGE        </v>
          </cell>
          <cell r="C1750">
            <v>1</v>
          </cell>
          <cell r="D1750">
            <v>365</v>
          </cell>
        </row>
        <row r="1751">
          <cell r="A1751" t="str">
            <v>Y81NSA1-5</v>
          </cell>
          <cell r="B1751" t="str">
            <v xml:space="preserve">COLORAMICA LATEX BEIGE        </v>
          </cell>
          <cell r="C1751">
            <v>1</v>
          </cell>
          <cell r="D1751">
            <v>365</v>
          </cell>
        </row>
        <row r="1752">
          <cell r="A1752" t="str">
            <v>Y81PSA1</v>
          </cell>
          <cell r="B1752" t="str">
            <v xml:space="preserve">COLORAMICA LATEX MORADO       </v>
          </cell>
          <cell r="C1752">
            <v>1</v>
          </cell>
          <cell r="D1752">
            <v>365</v>
          </cell>
        </row>
        <row r="1753">
          <cell r="A1753" t="str">
            <v>Y81PSA1-1</v>
          </cell>
          <cell r="B1753" t="str">
            <v xml:space="preserve">COLORAMICA LATEX MORADO       </v>
          </cell>
          <cell r="C1753">
            <v>1</v>
          </cell>
          <cell r="D1753">
            <v>365</v>
          </cell>
        </row>
        <row r="1754">
          <cell r="A1754" t="str">
            <v>Y81PSA1-1/4</v>
          </cell>
          <cell r="B1754" t="str">
            <v xml:space="preserve">COLORAMICA LATEX MORADO       </v>
          </cell>
          <cell r="C1754">
            <v>1</v>
          </cell>
          <cell r="D1754">
            <v>365</v>
          </cell>
        </row>
        <row r="1755">
          <cell r="A1755" t="str">
            <v>Y81PSA1-5</v>
          </cell>
          <cell r="B1755" t="str">
            <v xml:space="preserve">COLORAMICA LATEX MORADO       </v>
          </cell>
          <cell r="C1755">
            <v>1</v>
          </cell>
          <cell r="D1755">
            <v>365</v>
          </cell>
        </row>
        <row r="1756">
          <cell r="A1756" t="str">
            <v>Y81PSA2</v>
          </cell>
          <cell r="B1756" t="str">
            <v xml:space="preserve">COLORAMICA LATEX MORADO CLARO </v>
          </cell>
          <cell r="C1756">
            <v>1</v>
          </cell>
          <cell r="D1756">
            <v>365</v>
          </cell>
        </row>
        <row r="1757">
          <cell r="A1757" t="str">
            <v>Y81PSA2-1</v>
          </cell>
          <cell r="B1757" t="str">
            <v xml:space="preserve">COLORAMICA LATEX MORADO CLARO </v>
          </cell>
          <cell r="C1757">
            <v>1</v>
          </cell>
          <cell r="D1757">
            <v>365</v>
          </cell>
        </row>
        <row r="1758">
          <cell r="A1758" t="str">
            <v>Y81PSA2-1/4</v>
          </cell>
          <cell r="B1758" t="str">
            <v xml:space="preserve">COLORAMICA LATEX MORADO CLARO </v>
          </cell>
          <cell r="C1758">
            <v>1</v>
          </cell>
          <cell r="D1758">
            <v>365</v>
          </cell>
        </row>
        <row r="1759">
          <cell r="A1759" t="str">
            <v>Y81PSA2-5</v>
          </cell>
          <cell r="B1759" t="str">
            <v xml:space="preserve">COLORAMICA LATEX MORADO CLARO </v>
          </cell>
          <cell r="C1759">
            <v>1</v>
          </cell>
          <cell r="D1759">
            <v>365</v>
          </cell>
        </row>
        <row r="1760">
          <cell r="A1760" t="str">
            <v>Y81PSA3</v>
          </cell>
          <cell r="B1760" t="str">
            <v xml:space="preserve">COLORAMICA LATEX VIOLETA      </v>
          </cell>
          <cell r="C1760">
            <v>1</v>
          </cell>
          <cell r="D1760">
            <v>365</v>
          </cell>
        </row>
        <row r="1761">
          <cell r="A1761" t="str">
            <v>Y81PSA3-1</v>
          </cell>
          <cell r="B1761" t="str">
            <v xml:space="preserve">COLORAMICA LATEX VIOLETA      </v>
          </cell>
          <cell r="C1761">
            <v>1</v>
          </cell>
          <cell r="D1761">
            <v>365</v>
          </cell>
        </row>
        <row r="1762">
          <cell r="A1762" t="str">
            <v>Y81PSA3-1/4</v>
          </cell>
          <cell r="B1762" t="str">
            <v xml:space="preserve">COLORAMICA LATEX VIOLETA      </v>
          </cell>
          <cell r="C1762">
            <v>1</v>
          </cell>
          <cell r="D1762">
            <v>365</v>
          </cell>
        </row>
        <row r="1763">
          <cell r="A1763" t="str">
            <v>Y81PSA3-5</v>
          </cell>
          <cell r="B1763" t="str">
            <v xml:space="preserve">COLORAMICA LATEX VIOLETA      </v>
          </cell>
          <cell r="C1763">
            <v>1</v>
          </cell>
          <cell r="D1763">
            <v>365</v>
          </cell>
        </row>
        <row r="1764">
          <cell r="A1764" t="str">
            <v>Y81RSA1</v>
          </cell>
          <cell r="B1764" t="str">
            <v>COLORAMICA LATEX ROJO TROPICAL</v>
          </cell>
          <cell r="C1764">
            <v>1</v>
          </cell>
          <cell r="D1764">
            <v>365</v>
          </cell>
        </row>
        <row r="1765">
          <cell r="A1765" t="str">
            <v>Y81RSA1-1</v>
          </cell>
          <cell r="B1765" t="str">
            <v>COLORAMICA LATEX ROJO TROPICAL</v>
          </cell>
          <cell r="C1765">
            <v>1</v>
          </cell>
          <cell r="D1765">
            <v>365</v>
          </cell>
        </row>
        <row r="1766">
          <cell r="A1766" t="str">
            <v>Y81RSA1-1/4</v>
          </cell>
          <cell r="B1766" t="str">
            <v>COLORAMICA LATEX ROJO TROPICAL</v>
          </cell>
          <cell r="C1766">
            <v>1</v>
          </cell>
          <cell r="D1766">
            <v>365</v>
          </cell>
        </row>
        <row r="1767">
          <cell r="A1767" t="str">
            <v>Y81RSA1-5</v>
          </cell>
          <cell r="B1767" t="str">
            <v>COLORAMICA LATEX ROJO TROPICAL</v>
          </cell>
          <cell r="C1767">
            <v>1</v>
          </cell>
          <cell r="D1767">
            <v>365</v>
          </cell>
        </row>
        <row r="1768">
          <cell r="A1768" t="str">
            <v>Y81RSA2</v>
          </cell>
          <cell r="B1768" t="str">
            <v xml:space="preserve">COLORAMICA LATEX MATE ROSADO  </v>
          </cell>
          <cell r="C1768">
            <v>1</v>
          </cell>
          <cell r="D1768">
            <v>365</v>
          </cell>
        </row>
        <row r="1769">
          <cell r="A1769" t="str">
            <v>Y81RSA2-1</v>
          </cell>
          <cell r="B1769" t="str">
            <v xml:space="preserve">COLORAMICA LATEX MATE ROSADO  </v>
          </cell>
          <cell r="C1769">
            <v>1</v>
          </cell>
          <cell r="D1769">
            <v>365</v>
          </cell>
        </row>
        <row r="1770">
          <cell r="A1770" t="str">
            <v>Y81RSA2-1/4</v>
          </cell>
          <cell r="B1770" t="str">
            <v xml:space="preserve">COLORAMICA LATEX ROSADO       </v>
          </cell>
          <cell r="C1770">
            <v>1</v>
          </cell>
          <cell r="D1770">
            <v>365</v>
          </cell>
        </row>
        <row r="1771">
          <cell r="A1771" t="str">
            <v>Y81RSA2-5</v>
          </cell>
          <cell r="B1771" t="str">
            <v xml:space="preserve">COLORAMICA LATEX MATE ROSADO  </v>
          </cell>
          <cell r="C1771">
            <v>1</v>
          </cell>
          <cell r="D1771">
            <v>365</v>
          </cell>
        </row>
        <row r="1772">
          <cell r="A1772" t="str">
            <v>Y81RSA3</v>
          </cell>
          <cell r="B1772" t="str">
            <v>COLOR LATEX MATE ROJO LADRILLO</v>
          </cell>
          <cell r="C1772">
            <v>1</v>
          </cell>
          <cell r="D1772">
            <v>365</v>
          </cell>
        </row>
        <row r="1773">
          <cell r="A1773" t="str">
            <v>Y81RSA3-1</v>
          </cell>
          <cell r="B1773" t="str">
            <v>COLOR LATEX MATE ROJO LADRILLO</v>
          </cell>
          <cell r="C1773">
            <v>1</v>
          </cell>
          <cell r="D1773">
            <v>365</v>
          </cell>
        </row>
        <row r="1774">
          <cell r="A1774" t="str">
            <v>Y81RSA3-1/4</v>
          </cell>
          <cell r="B1774" t="str">
            <v>COLORAMICA LATEX ROJO LADRILLO</v>
          </cell>
          <cell r="C1774">
            <v>1</v>
          </cell>
          <cell r="D1774">
            <v>365</v>
          </cell>
        </row>
        <row r="1775">
          <cell r="A1775" t="str">
            <v>Y81RSA3-5</v>
          </cell>
          <cell r="B1775" t="str">
            <v>COLOR LATEX MATE ROJO LADRILLO</v>
          </cell>
          <cell r="C1775">
            <v>1</v>
          </cell>
          <cell r="D1775">
            <v>365</v>
          </cell>
        </row>
        <row r="1776">
          <cell r="A1776" t="str">
            <v>Y81RSA4</v>
          </cell>
          <cell r="B1776" t="str">
            <v xml:space="preserve">COLORAMICA LATEX ROJO OXIDO   </v>
          </cell>
          <cell r="C1776">
            <v>1</v>
          </cell>
          <cell r="D1776">
            <v>365</v>
          </cell>
        </row>
        <row r="1777">
          <cell r="A1777" t="str">
            <v>Y81RSA4-5</v>
          </cell>
          <cell r="B1777" t="str">
            <v xml:space="preserve">COLORAMICA LATEX ROJO OXIDO   </v>
          </cell>
          <cell r="C1777">
            <v>1</v>
          </cell>
          <cell r="D1777">
            <v>365</v>
          </cell>
        </row>
        <row r="1778">
          <cell r="A1778" t="str">
            <v>Y81RSA6</v>
          </cell>
          <cell r="B1778" t="str">
            <v>COLORAMICA LATEX ROJO FESTIVAL</v>
          </cell>
          <cell r="C1778">
            <v>1</v>
          </cell>
          <cell r="D1778">
            <v>365</v>
          </cell>
        </row>
        <row r="1779">
          <cell r="A1779" t="str">
            <v>Y81RSA6-1</v>
          </cell>
          <cell r="B1779" t="str">
            <v>COLORAMICA LATEX ROJO FESTIVAL</v>
          </cell>
          <cell r="C1779">
            <v>1</v>
          </cell>
          <cell r="D1779">
            <v>365</v>
          </cell>
        </row>
        <row r="1780">
          <cell r="A1780" t="str">
            <v>Y81RSA6-1/4</v>
          </cell>
          <cell r="B1780" t="str">
            <v>COLORAMICA LATEX ROJO FESTIVAL</v>
          </cell>
          <cell r="C1780">
            <v>1</v>
          </cell>
          <cell r="D1780">
            <v>365</v>
          </cell>
        </row>
        <row r="1781">
          <cell r="A1781" t="str">
            <v>Y81RSA6-5</v>
          </cell>
          <cell r="B1781" t="str">
            <v>COLORAMICA LATEX ROJO FESTIVAL</v>
          </cell>
          <cell r="C1781">
            <v>1</v>
          </cell>
          <cell r="D1781">
            <v>365</v>
          </cell>
        </row>
        <row r="1782">
          <cell r="A1782" t="str">
            <v>Y81RSA7</v>
          </cell>
          <cell r="B1782" t="str">
            <v xml:space="preserve">COLORAMICA LAT ROJO TERRACOTA </v>
          </cell>
          <cell r="C1782">
            <v>1</v>
          </cell>
          <cell r="D1782">
            <v>365</v>
          </cell>
        </row>
        <row r="1783">
          <cell r="A1783" t="str">
            <v>Y81RSA7-1</v>
          </cell>
          <cell r="B1783" t="str">
            <v xml:space="preserve">COLORAMICA LAT ROJO TERRACOTA </v>
          </cell>
          <cell r="C1783">
            <v>1</v>
          </cell>
          <cell r="D1783">
            <v>365</v>
          </cell>
        </row>
        <row r="1784">
          <cell r="A1784" t="str">
            <v>Y81RSA7-1/4</v>
          </cell>
          <cell r="B1784" t="str">
            <v xml:space="preserve">COLORAMICA LAT ROJO TERRACOTA </v>
          </cell>
          <cell r="C1784">
            <v>1</v>
          </cell>
          <cell r="D1784">
            <v>365</v>
          </cell>
        </row>
        <row r="1785">
          <cell r="A1785" t="str">
            <v>Y81RSA7-5</v>
          </cell>
          <cell r="B1785" t="str">
            <v xml:space="preserve">COLORAMICA LAT ROJO TERRACOTA </v>
          </cell>
          <cell r="C1785">
            <v>1</v>
          </cell>
          <cell r="D1785">
            <v>365</v>
          </cell>
        </row>
        <row r="1786">
          <cell r="A1786" t="str">
            <v>Y81RSA8</v>
          </cell>
          <cell r="B1786" t="str">
            <v xml:space="preserve">COLORAMICA LAT  ROJO TARIMAS  </v>
          </cell>
          <cell r="C1786">
            <v>1</v>
          </cell>
          <cell r="D1786">
            <v>365</v>
          </cell>
        </row>
        <row r="1787">
          <cell r="A1787" t="str">
            <v>Y81RSA8-5</v>
          </cell>
          <cell r="B1787" t="str">
            <v xml:space="preserve">COLORAMICA LAT  ROJO TARIMAS  </v>
          </cell>
          <cell r="C1787">
            <v>1</v>
          </cell>
          <cell r="D1787">
            <v>365</v>
          </cell>
        </row>
        <row r="1788">
          <cell r="A1788" t="str">
            <v>Y81WSA1</v>
          </cell>
          <cell r="B1788" t="str">
            <v xml:space="preserve">COLORAMICA LATEX MATE BLANCO  </v>
          </cell>
          <cell r="C1788">
            <v>1</v>
          </cell>
          <cell r="D1788">
            <v>365</v>
          </cell>
        </row>
        <row r="1789">
          <cell r="A1789" t="str">
            <v>Y81WSA1-1</v>
          </cell>
          <cell r="B1789" t="str">
            <v xml:space="preserve">COLORAMICA LATEX MATE BLANCO  </v>
          </cell>
          <cell r="C1789">
            <v>1</v>
          </cell>
          <cell r="D1789">
            <v>365</v>
          </cell>
        </row>
        <row r="1790">
          <cell r="A1790" t="str">
            <v>Y81WSA1-1/4</v>
          </cell>
          <cell r="B1790" t="str">
            <v xml:space="preserve">COLORAMICA LATEX BLANCO       </v>
          </cell>
          <cell r="C1790">
            <v>1</v>
          </cell>
          <cell r="D1790">
            <v>365</v>
          </cell>
        </row>
        <row r="1791">
          <cell r="A1791" t="str">
            <v>Y81WSA1-5</v>
          </cell>
          <cell r="B1791" t="str">
            <v xml:space="preserve">COLORAMICA LATEX MATE BLANCO  </v>
          </cell>
          <cell r="C1791">
            <v>1</v>
          </cell>
          <cell r="D1791">
            <v>365</v>
          </cell>
        </row>
        <row r="1792">
          <cell r="A1792" t="str">
            <v>Y81WSA2</v>
          </cell>
          <cell r="B1792" t="str">
            <v xml:space="preserve">COLOR LATEX MATE BLANCO HUESO </v>
          </cell>
          <cell r="C1792">
            <v>1</v>
          </cell>
          <cell r="D1792">
            <v>365</v>
          </cell>
        </row>
        <row r="1793">
          <cell r="A1793" t="str">
            <v>Y81WSA2-1</v>
          </cell>
          <cell r="B1793" t="str">
            <v xml:space="preserve">COLOR LATEX MATE BLANCO HUESO </v>
          </cell>
          <cell r="C1793">
            <v>1</v>
          </cell>
          <cell r="D1793">
            <v>365</v>
          </cell>
        </row>
        <row r="1794">
          <cell r="A1794" t="str">
            <v>Y81WSA2-1/4</v>
          </cell>
          <cell r="B1794" t="str">
            <v xml:space="preserve">COLORAMICA LATEX BLANCO HUESO </v>
          </cell>
          <cell r="C1794">
            <v>1</v>
          </cell>
          <cell r="D1794">
            <v>365</v>
          </cell>
        </row>
        <row r="1795">
          <cell r="A1795" t="str">
            <v>Y81WSA2-5</v>
          </cell>
          <cell r="B1795" t="str">
            <v xml:space="preserve">COLOR LATEX MATE BLANCO HUESO </v>
          </cell>
          <cell r="C1795">
            <v>1</v>
          </cell>
          <cell r="D1795">
            <v>365</v>
          </cell>
        </row>
        <row r="1796">
          <cell r="A1796" t="str">
            <v>Y81WSA3</v>
          </cell>
          <cell r="B1796" t="str">
            <v xml:space="preserve">COLORAMICA LAT BLANCO ANTIGUO </v>
          </cell>
          <cell r="C1796">
            <v>1</v>
          </cell>
          <cell r="D1796">
            <v>365</v>
          </cell>
        </row>
        <row r="1797">
          <cell r="A1797" t="str">
            <v>Y81WSA3-1</v>
          </cell>
          <cell r="B1797" t="str">
            <v xml:space="preserve">COLORAMICA LAT BLANCO ANTIGUO </v>
          </cell>
          <cell r="C1797">
            <v>1</v>
          </cell>
          <cell r="D1797">
            <v>365</v>
          </cell>
        </row>
        <row r="1798">
          <cell r="A1798" t="str">
            <v>Y81WSA3-1/4</v>
          </cell>
          <cell r="B1798" t="str">
            <v xml:space="preserve">COLORAMICA LAT BLANCO ANTIGUO </v>
          </cell>
          <cell r="C1798">
            <v>1</v>
          </cell>
          <cell r="D1798">
            <v>365</v>
          </cell>
        </row>
        <row r="1799">
          <cell r="A1799" t="str">
            <v>Y81WSA3-5</v>
          </cell>
          <cell r="B1799" t="str">
            <v xml:space="preserve">COLORAMICA LAT BLANCO ANTIGUO </v>
          </cell>
          <cell r="C1799">
            <v>1</v>
          </cell>
          <cell r="D1799">
            <v>365</v>
          </cell>
        </row>
        <row r="1800">
          <cell r="A1800" t="str">
            <v>Y81YSA1</v>
          </cell>
          <cell r="B1800" t="str">
            <v>COLORAMICA LATEX MATE AMARILLO</v>
          </cell>
          <cell r="C1800">
            <v>1</v>
          </cell>
          <cell r="D1800">
            <v>365</v>
          </cell>
        </row>
        <row r="1801">
          <cell r="A1801" t="str">
            <v>Y81YSA1-1</v>
          </cell>
          <cell r="B1801" t="str">
            <v>COLORAMICA LATEX MATE AMARILLO</v>
          </cell>
          <cell r="C1801">
            <v>1</v>
          </cell>
          <cell r="D1801">
            <v>365</v>
          </cell>
        </row>
        <row r="1802">
          <cell r="A1802" t="str">
            <v>Y81YSA1-1/4</v>
          </cell>
          <cell r="B1802" t="str">
            <v xml:space="preserve">COLORAMICA LATEX AMARILLO     </v>
          </cell>
          <cell r="C1802">
            <v>1</v>
          </cell>
          <cell r="D1802">
            <v>365</v>
          </cell>
        </row>
        <row r="1803">
          <cell r="A1803" t="str">
            <v>Y81YSA1-5</v>
          </cell>
          <cell r="B1803" t="str">
            <v>COLORAMICA LATEX MATE AMARILLO</v>
          </cell>
          <cell r="C1803">
            <v>1</v>
          </cell>
          <cell r="D1803">
            <v>365</v>
          </cell>
        </row>
        <row r="1804">
          <cell r="A1804" t="str">
            <v>Y81YSA3</v>
          </cell>
          <cell r="B1804" t="str">
            <v xml:space="preserve">COLORAMICA LATEX AMARILLO ORO </v>
          </cell>
          <cell r="C1804">
            <v>1</v>
          </cell>
          <cell r="D1804">
            <v>365</v>
          </cell>
        </row>
        <row r="1805">
          <cell r="A1805" t="str">
            <v>Y81YSA3-1</v>
          </cell>
          <cell r="B1805" t="str">
            <v xml:space="preserve">COLORAMICA LATEX AMARILLO ORO </v>
          </cell>
          <cell r="C1805">
            <v>1</v>
          </cell>
          <cell r="D1805">
            <v>365</v>
          </cell>
        </row>
        <row r="1806">
          <cell r="A1806" t="str">
            <v>Y81YSA3-1/4</v>
          </cell>
          <cell r="B1806" t="str">
            <v xml:space="preserve">COLORAMICA LATEX AMARILLO ORO </v>
          </cell>
          <cell r="C1806">
            <v>1</v>
          </cell>
          <cell r="D1806">
            <v>365</v>
          </cell>
        </row>
        <row r="1807">
          <cell r="A1807" t="str">
            <v>Y81YSA3-5</v>
          </cell>
          <cell r="B1807" t="str">
            <v xml:space="preserve">COLORAMICA LATEX AMARILLO ORO </v>
          </cell>
          <cell r="C1807">
            <v>1</v>
          </cell>
          <cell r="D1807">
            <v>365</v>
          </cell>
        </row>
        <row r="1808">
          <cell r="A1808" t="str">
            <v>Y81YSA4</v>
          </cell>
          <cell r="B1808" t="str">
            <v xml:space="preserve">COLORAMICA LAT AMARI INTENSO  </v>
          </cell>
          <cell r="C1808">
            <v>1</v>
          </cell>
          <cell r="D1808">
            <v>365</v>
          </cell>
        </row>
        <row r="1809">
          <cell r="A1809" t="str">
            <v>Y81YSA4-1</v>
          </cell>
          <cell r="B1809" t="str">
            <v xml:space="preserve">COLORAMICA LAT AMARI INTENSO  </v>
          </cell>
          <cell r="C1809">
            <v>1</v>
          </cell>
          <cell r="D1809">
            <v>365</v>
          </cell>
        </row>
        <row r="1810">
          <cell r="A1810" t="str">
            <v>Y81YSA4-1/4</v>
          </cell>
          <cell r="B1810" t="str">
            <v xml:space="preserve">COLORAMICA LAT AMARI INTENSO  </v>
          </cell>
          <cell r="C1810">
            <v>1</v>
          </cell>
          <cell r="D1810">
            <v>365</v>
          </cell>
        </row>
        <row r="1811">
          <cell r="A1811" t="str">
            <v>Y81YSA4-5</v>
          </cell>
          <cell r="B1811" t="str">
            <v xml:space="preserve">COLORAMICA LAT AMARI INTENSO  </v>
          </cell>
          <cell r="C1811">
            <v>1</v>
          </cell>
          <cell r="D1811">
            <v>365</v>
          </cell>
        </row>
        <row r="1812">
          <cell r="A1812" t="str">
            <v>Y82ASA1</v>
          </cell>
          <cell r="B1812" t="str">
            <v>COLORAMICA ESMALTE GRIS OSCURO</v>
          </cell>
          <cell r="C1812">
            <v>1</v>
          </cell>
          <cell r="D1812">
            <v>365</v>
          </cell>
        </row>
        <row r="1813">
          <cell r="A1813" t="str">
            <v>Y82ASA1-1</v>
          </cell>
          <cell r="B1813" t="str">
            <v>COLORAMICA ESMALTE GRIS OSCURO</v>
          </cell>
          <cell r="C1813">
            <v>1</v>
          </cell>
          <cell r="D1813">
            <v>365</v>
          </cell>
        </row>
        <row r="1814">
          <cell r="A1814" t="str">
            <v>Y82ASA1-1/4</v>
          </cell>
          <cell r="B1814" t="str">
            <v>COLORAMICA ESMALTE GRIS OSCURO</v>
          </cell>
          <cell r="C1814">
            <v>1</v>
          </cell>
          <cell r="D1814">
            <v>365</v>
          </cell>
        </row>
        <row r="1815">
          <cell r="A1815" t="str">
            <v>Y82ASA1-5</v>
          </cell>
          <cell r="B1815" t="str">
            <v>COLORAMICA ESMALTE GRIS OSCURO</v>
          </cell>
          <cell r="C1815">
            <v>1</v>
          </cell>
          <cell r="D1815">
            <v>365</v>
          </cell>
        </row>
        <row r="1816">
          <cell r="A1816" t="str">
            <v>Y82ASA2</v>
          </cell>
          <cell r="B1816" t="str">
            <v xml:space="preserve">COLORAMICA ESMALTE GRIS CLARO </v>
          </cell>
          <cell r="C1816">
            <v>1</v>
          </cell>
          <cell r="D1816">
            <v>365</v>
          </cell>
        </row>
        <row r="1817">
          <cell r="A1817" t="str">
            <v>Y82ASA2-1</v>
          </cell>
          <cell r="B1817" t="str">
            <v xml:space="preserve">COLORAMICA ESMALTE GRIS CLARO </v>
          </cell>
          <cell r="C1817">
            <v>1</v>
          </cell>
          <cell r="D1817">
            <v>365</v>
          </cell>
        </row>
        <row r="1818">
          <cell r="A1818" t="str">
            <v>Y82ASA2-1/4</v>
          </cell>
          <cell r="B1818" t="str">
            <v xml:space="preserve">COLORAMICA ESMALTE GRIS CLARO </v>
          </cell>
          <cell r="C1818">
            <v>1</v>
          </cell>
          <cell r="D1818">
            <v>365</v>
          </cell>
        </row>
        <row r="1819">
          <cell r="A1819" t="str">
            <v>Y82ASA2-5</v>
          </cell>
          <cell r="B1819" t="str">
            <v xml:space="preserve">COLORAMICA ESMALTE GRIS CLARO </v>
          </cell>
          <cell r="C1819">
            <v>1</v>
          </cell>
          <cell r="D1819">
            <v>365</v>
          </cell>
        </row>
        <row r="1820">
          <cell r="A1820" t="str">
            <v>Y82BSA1</v>
          </cell>
          <cell r="B1820" t="str">
            <v xml:space="preserve">COLOR ESMALTE BRILLANTE NEGRO </v>
          </cell>
          <cell r="C1820">
            <v>1</v>
          </cell>
          <cell r="D1820">
            <v>365</v>
          </cell>
        </row>
        <row r="1821">
          <cell r="A1821" t="str">
            <v>Y82BSA1-1</v>
          </cell>
          <cell r="B1821" t="str">
            <v xml:space="preserve">COLOR ESMALTE BRILLANTE NEGRO </v>
          </cell>
          <cell r="C1821">
            <v>1</v>
          </cell>
          <cell r="D1821">
            <v>365</v>
          </cell>
        </row>
        <row r="1822">
          <cell r="A1822" t="str">
            <v>Y82BSA1-1/4</v>
          </cell>
          <cell r="B1822" t="str">
            <v xml:space="preserve">COLORAMICA ESMALTE NEGRO      </v>
          </cell>
          <cell r="C1822">
            <v>1</v>
          </cell>
          <cell r="D1822">
            <v>365</v>
          </cell>
        </row>
        <row r="1823">
          <cell r="A1823" t="str">
            <v>Y82BSA1-5</v>
          </cell>
          <cell r="B1823" t="str">
            <v xml:space="preserve">COLOR ESMALTE BRILLANTE NEGRO </v>
          </cell>
          <cell r="C1823">
            <v>1</v>
          </cell>
          <cell r="D1823">
            <v>365</v>
          </cell>
        </row>
        <row r="1824">
          <cell r="A1824" t="str">
            <v>Y82ESA1</v>
          </cell>
          <cell r="B1824" t="str">
            <v xml:space="preserve">COLOR ESM BRILLANTE MELOCOTON </v>
          </cell>
          <cell r="C1824">
            <v>1</v>
          </cell>
          <cell r="D1824">
            <v>365</v>
          </cell>
        </row>
        <row r="1825">
          <cell r="A1825" t="str">
            <v>Y82ESA1-1</v>
          </cell>
          <cell r="B1825" t="str">
            <v xml:space="preserve">COLOR ESM BRILLANTE MELOCOTON </v>
          </cell>
          <cell r="C1825">
            <v>1</v>
          </cell>
          <cell r="D1825">
            <v>365</v>
          </cell>
        </row>
        <row r="1826">
          <cell r="A1826" t="str">
            <v>Y82ESA1-1/4</v>
          </cell>
          <cell r="B1826" t="str">
            <v xml:space="preserve">COLORAMICA ESMALTE MELOCOTON  </v>
          </cell>
          <cell r="C1826">
            <v>1</v>
          </cell>
          <cell r="D1826">
            <v>365</v>
          </cell>
        </row>
        <row r="1827">
          <cell r="A1827" t="str">
            <v>Y82ESA1-5</v>
          </cell>
          <cell r="B1827" t="str">
            <v xml:space="preserve">COLOR ESM BRILLANTE MELOCOTON </v>
          </cell>
          <cell r="C1827">
            <v>1</v>
          </cell>
          <cell r="D1827">
            <v>365</v>
          </cell>
        </row>
        <row r="1828">
          <cell r="A1828" t="str">
            <v>Y82ESA2</v>
          </cell>
          <cell r="B1828" t="str">
            <v xml:space="preserve">COLORAMICA ESMALTE NARANJA    </v>
          </cell>
          <cell r="C1828">
            <v>1</v>
          </cell>
          <cell r="D1828">
            <v>365</v>
          </cell>
        </row>
        <row r="1829">
          <cell r="A1829" t="str">
            <v>Y82ESA2-1</v>
          </cell>
          <cell r="B1829" t="str">
            <v xml:space="preserve">COLORAMICA ESMALTE NARANJA    </v>
          </cell>
          <cell r="C1829">
            <v>1</v>
          </cell>
          <cell r="D1829">
            <v>365</v>
          </cell>
        </row>
        <row r="1830">
          <cell r="A1830" t="str">
            <v>Y82ESA2-1/4</v>
          </cell>
          <cell r="B1830" t="str">
            <v xml:space="preserve">COLORAMICA ESMALTE NARANJA    </v>
          </cell>
          <cell r="C1830">
            <v>1</v>
          </cell>
          <cell r="D1830">
            <v>365</v>
          </cell>
        </row>
        <row r="1831">
          <cell r="A1831" t="str">
            <v>Y82ESA2-5</v>
          </cell>
          <cell r="B1831" t="str">
            <v xml:space="preserve">COLORAMICA ESMALTE NARANJA    </v>
          </cell>
          <cell r="C1831">
            <v>1</v>
          </cell>
          <cell r="D1831">
            <v>365</v>
          </cell>
        </row>
        <row r="1832">
          <cell r="A1832" t="str">
            <v>Y82ESA4</v>
          </cell>
          <cell r="B1832" t="str">
            <v xml:space="preserve">COLORAMICA ESMALTE MELON      </v>
          </cell>
          <cell r="C1832">
            <v>1</v>
          </cell>
          <cell r="D1832">
            <v>365</v>
          </cell>
        </row>
        <row r="1833">
          <cell r="A1833" t="str">
            <v>Y82ESA4-1</v>
          </cell>
          <cell r="B1833" t="str">
            <v xml:space="preserve">COLORAMICA ESMALTE MELON      </v>
          </cell>
          <cell r="C1833">
            <v>1</v>
          </cell>
          <cell r="D1833">
            <v>365</v>
          </cell>
        </row>
        <row r="1834">
          <cell r="A1834" t="str">
            <v>Y82ESA5</v>
          </cell>
          <cell r="B1834" t="str">
            <v xml:space="preserve">COLORAMICA ESMALTE MELON      </v>
          </cell>
          <cell r="C1834">
            <v>1</v>
          </cell>
          <cell r="D1834">
            <v>365</v>
          </cell>
        </row>
        <row r="1835">
          <cell r="A1835" t="str">
            <v>Y82ESA5-1</v>
          </cell>
          <cell r="B1835" t="str">
            <v xml:space="preserve">COLORAMICA ESMALTE MELON      </v>
          </cell>
          <cell r="C1835">
            <v>1</v>
          </cell>
          <cell r="D1835">
            <v>365</v>
          </cell>
        </row>
        <row r="1836">
          <cell r="A1836" t="str">
            <v>Y82ESA5-5</v>
          </cell>
          <cell r="B1836" t="str">
            <v xml:space="preserve">COLORAMICA ESMALTE MELON      </v>
          </cell>
          <cell r="C1836">
            <v>1</v>
          </cell>
          <cell r="D1836">
            <v>365</v>
          </cell>
        </row>
        <row r="1837">
          <cell r="A1837" t="str">
            <v>Y82GSA1</v>
          </cell>
          <cell r="B1837" t="str">
            <v>COLOR ESM BRILLAN VERDE OS5'RO</v>
          </cell>
          <cell r="C1837">
            <v>1</v>
          </cell>
          <cell r="D1837">
            <v>365</v>
          </cell>
        </row>
        <row r="1838">
          <cell r="A1838" t="str">
            <v>Y82GSA1-1</v>
          </cell>
          <cell r="B1838" t="str">
            <v>COLOR ESM BRILLAN VERDE OSCURO</v>
          </cell>
          <cell r="C1838">
            <v>1</v>
          </cell>
          <cell r="D1838">
            <v>365</v>
          </cell>
        </row>
        <row r="1839">
          <cell r="A1839" t="str">
            <v>Y82GSA1-1/4</v>
          </cell>
          <cell r="B1839" t="str">
            <v xml:space="preserve">COLORAMICA ESMALTE VERDE OSC  </v>
          </cell>
          <cell r="C1839">
            <v>1</v>
          </cell>
          <cell r="D1839">
            <v>365</v>
          </cell>
        </row>
        <row r="1840">
          <cell r="A1840" t="str">
            <v>Y82GSA1-5</v>
          </cell>
          <cell r="B1840" t="str">
            <v>COLOR ESM BRILLAN VERDE OSCURO</v>
          </cell>
          <cell r="C1840">
            <v>1</v>
          </cell>
          <cell r="D1840">
            <v>365</v>
          </cell>
        </row>
        <row r="1841">
          <cell r="A1841" t="str">
            <v>Y82GSA2</v>
          </cell>
          <cell r="B1841" t="str">
            <v>COLOR ESM BRILLANTE VERDE AQUA</v>
          </cell>
          <cell r="C1841">
            <v>1</v>
          </cell>
          <cell r="D1841">
            <v>365</v>
          </cell>
        </row>
        <row r="1842">
          <cell r="A1842" t="str">
            <v>Y82GSA2-1</v>
          </cell>
          <cell r="B1842" t="str">
            <v>COLOR ESM BRILLANTE VERDE AQUA</v>
          </cell>
          <cell r="C1842">
            <v>1</v>
          </cell>
          <cell r="D1842">
            <v>365</v>
          </cell>
        </row>
        <row r="1843">
          <cell r="A1843" t="str">
            <v>Y82GSA2-1/4</v>
          </cell>
          <cell r="B1843" t="str">
            <v xml:space="preserve">COLORAMICA ESMALTE VERDE AQUA </v>
          </cell>
          <cell r="C1843">
            <v>1</v>
          </cell>
          <cell r="D1843">
            <v>365</v>
          </cell>
        </row>
        <row r="1844">
          <cell r="A1844" t="str">
            <v>Y82GSA2-5</v>
          </cell>
          <cell r="B1844" t="str">
            <v>COLOR ESM BRILLANTE VERDE AQUA</v>
          </cell>
          <cell r="C1844">
            <v>1</v>
          </cell>
          <cell r="D1844">
            <v>365</v>
          </cell>
        </row>
        <row r="1845">
          <cell r="A1845" t="str">
            <v>Y82GSA3</v>
          </cell>
          <cell r="B1845" t="str">
            <v>COLORAMICA ESM AQUA CRISTALINO</v>
          </cell>
          <cell r="C1845">
            <v>1</v>
          </cell>
          <cell r="D1845">
            <v>365</v>
          </cell>
        </row>
        <row r="1846">
          <cell r="A1846" t="str">
            <v>Y82GSA3-1</v>
          </cell>
          <cell r="B1846" t="str">
            <v>COLORAMICA ESM AQUA CRISTALINO</v>
          </cell>
          <cell r="C1846">
            <v>1</v>
          </cell>
          <cell r="D1846">
            <v>365</v>
          </cell>
        </row>
        <row r="1847">
          <cell r="A1847" t="str">
            <v>Y82GSA3-1/4</v>
          </cell>
          <cell r="B1847" t="str">
            <v>COLORAMICA ESM AQUA CRISTALINO</v>
          </cell>
          <cell r="C1847">
            <v>1</v>
          </cell>
          <cell r="D1847">
            <v>365</v>
          </cell>
        </row>
        <row r="1848">
          <cell r="A1848" t="str">
            <v>Y82GSA3-5</v>
          </cell>
          <cell r="B1848" t="str">
            <v>COLORAMICA ESM AQUA CRISTALINO</v>
          </cell>
          <cell r="C1848">
            <v>1</v>
          </cell>
          <cell r="D1848">
            <v>365</v>
          </cell>
        </row>
        <row r="1849">
          <cell r="A1849" t="str">
            <v>Y82GSA4</v>
          </cell>
          <cell r="B1849" t="str">
            <v xml:space="preserve">COLORAMICA ESM VERDE JARDIN   </v>
          </cell>
          <cell r="C1849">
            <v>1</v>
          </cell>
          <cell r="D1849">
            <v>365</v>
          </cell>
        </row>
        <row r="1850">
          <cell r="A1850" t="str">
            <v>Y82GSA4-1</v>
          </cell>
          <cell r="B1850" t="str">
            <v xml:space="preserve">COLORAMICA ESM VERDE JARDIN   </v>
          </cell>
          <cell r="C1850">
            <v>1</v>
          </cell>
          <cell r="D1850">
            <v>365</v>
          </cell>
        </row>
        <row r="1851">
          <cell r="A1851" t="str">
            <v>Y82GSA4-1/4</v>
          </cell>
          <cell r="B1851" t="str">
            <v xml:space="preserve">COLORAMICA ESM VERDE JARDIN   </v>
          </cell>
          <cell r="C1851">
            <v>1</v>
          </cell>
          <cell r="D1851">
            <v>365</v>
          </cell>
        </row>
        <row r="1852">
          <cell r="A1852" t="str">
            <v>Y82GSA4-5</v>
          </cell>
          <cell r="B1852" t="str">
            <v xml:space="preserve">COLORAMICA ESM VERDE JARDIN   </v>
          </cell>
          <cell r="C1852">
            <v>1</v>
          </cell>
          <cell r="D1852">
            <v>365</v>
          </cell>
        </row>
        <row r="1853">
          <cell r="A1853" t="str">
            <v>Y82GSA5</v>
          </cell>
          <cell r="B1853" t="str">
            <v xml:space="preserve">COLORAMICA ESMALTE VERDE LIMA </v>
          </cell>
          <cell r="C1853">
            <v>1</v>
          </cell>
          <cell r="D1853">
            <v>365</v>
          </cell>
        </row>
        <row r="1854">
          <cell r="A1854" t="str">
            <v>Y82GSA5-1</v>
          </cell>
          <cell r="B1854" t="str">
            <v xml:space="preserve">COLORAMICA ESMALTE VERDE LIMA </v>
          </cell>
          <cell r="C1854">
            <v>1</v>
          </cell>
          <cell r="D1854">
            <v>365</v>
          </cell>
        </row>
        <row r="1855">
          <cell r="A1855" t="str">
            <v>Y82GSA5-1/4</v>
          </cell>
          <cell r="B1855" t="str">
            <v xml:space="preserve">COLORAMICA ESMALTE VERDE LIMA </v>
          </cell>
          <cell r="C1855">
            <v>1</v>
          </cell>
          <cell r="D1855">
            <v>365</v>
          </cell>
        </row>
        <row r="1856">
          <cell r="A1856" t="str">
            <v>Y82GSA5-5</v>
          </cell>
          <cell r="B1856" t="str">
            <v xml:space="preserve">COLORAMICA ESMALTE VERDE LIMA </v>
          </cell>
          <cell r="C1856">
            <v>1</v>
          </cell>
          <cell r="D1856">
            <v>365</v>
          </cell>
        </row>
        <row r="1857">
          <cell r="A1857" t="str">
            <v>Y82GSA6</v>
          </cell>
          <cell r="B1857" t="str">
            <v xml:space="preserve">COLORAMICA ESM VERDE FOLLAJE  </v>
          </cell>
          <cell r="C1857">
            <v>1</v>
          </cell>
          <cell r="D1857">
            <v>365</v>
          </cell>
        </row>
        <row r="1858">
          <cell r="A1858" t="str">
            <v>Y82GSA6-1</v>
          </cell>
          <cell r="B1858" t="str">
            <v xml:space="preserve">COLORAMICA ESM VERDE FOLLAJE  </v>
          </cell>
          <cell r="C1858">
            <v>1</v>
          </cell>
          <cell r="D1858">
            <v>365</v>
          </cell>
        </row>
        <row r="1859">
          <cell r="A1859" t="str">
            <v>Y82GSA6-1/4</v>
          </cell>
          <cell r="B1859" t="str">
            <v xml:space="preserve">COLORAMICA ESM VERDE FOLLAJE  </v>
          </cell>
          <cell r="C1859">
            <v>1</v>
          </cell>
          <cell r="D1859">
            <v>365</v>
          </cell>
        </row>
        <row r="1860">
          <cell r="A1860" t="str">
            <v>Y82GSA6-5</v>
          </cell>
          <cell r="B1860" t="str">
            <v xml:space="preserve">COLORAMICA ESM VERDE FOLLAJE  </v>
          </cell>
          <cell r="C1860">
            <v>1</v>
          </cell>
          <cell r="D1860">
            <v>365</v>
          </cell>
        </row>
        <row r="1861">
          <cell r="A1861" t="str">
            <v>Y82GSA8</v>
          </cell>
          <cell r="B1861" t="str">
            <v>COLORAMICA ESMALTE VERDE MENTA</v>
          </cell>
          <cell r="C1861">
            <v>1</v>
          </cell>
          <cell r="D1861">
            <v>365</v>
          </cell>
        </row>
        <row r="1862">
          <cell r="A1862" t="str">
            <v>Y82GSA8-1</v>
          </cell>
          <cell r="B1862" t="str">
            <v>COLORAMICA ESMALTE VERDE MENTA</v>
          </cell>
          <cell r="C1862">
            <v>1</v>
          </cell>
          <cell r="D1862">
            <v>365</v>
          </cell>
        </row>
        <row r="1863">
          <cell r="A1863" t="str">
            <v>Y82GSA8-5</v>
          </cell>
          <cell r="B1863" t="str">
            <v>COLORAMICA ESMALTE VERDE MENTA</v>
          </cell>
          <cell r="C1863">
            <v>1</v>
          </cell>
          <cell r="D1863">
            <v>365</v>
          </cell>
        </row>
        <row r="1864">
          <cell r="A1864" t="str">
            <v>Y82HSA1</v>
          </cell>
          <cell r="B1864" t="str">
            <v xml:space="preserve">COLORAMICA ESMALTE MARFIL     </v>
          </cell>
          <cell r="C1864">
            <v>1</v>
          </cell>
          <cell r="D1864">
            <v>365</v>
          </cell>
        </row>
        <row r="1865">
          <cell r="A1865" t="str">
            <v>Y82HSA1-1</v>
          </cell>
          <cell r="B1865" t="str">
            <v xml:space="preserve">COLORAMICA ESMALTE MARFIL     </v>
          </cell>
          <cell r="C1865">
            <v>1</v>
          </cell>
          <cell r="D1865">
            <v>365</v>
          </cell>
        </row>
        <row r="1866">
          <cell r="A1866" t="str">
            <v>Y82HSA1-5</v>
          </cell>
          <cell r="B1866" t="str">
            <v xml:space="preserve">COLORAMICA ESMALTE MARFIL     </v>
          </cell>
          <cell r="C1866">
            <v>1</v>
          </cell>
          <cell r="D1866">
            <v>365</v>
          </cell>
        </row>
        <row r="1867">
          <cell r="A1867" t="str">
            <v>Y82HSA2</v>
          </cell>
          <cell r="B1867" t="str">
            <v xml:space="preserve">COLORAMICA ESM MARFIL CREMA   </v>
          </cell>
          <cell r="C1867">
            <v>1</v>
          </cell>
          <cell r="D1867">
            <v>365</v>
          </cell>
        </row>
        <row r="1868">
          <cell r="A1868" t="str">
            <v>Y82HSA2-1</v>
          </cell>
          <cell r="B1868" t="str">
            <v xml:space="preserve">COLORAMICA ESM MARFIL CREMA   </v>
          </cell>
          <cell r="C1868">
            <v>1</v>
          </cell>
          <cell r="D1868">
            <v>365</v>
          </cell>
        </row>
        <row r="1869">
          <cell r="A1869" t="str">
            <v>Y82HSA2-1/4</v>
          </cell>
          <cell r="B1869" t="str">
            <v xml:space="preserve">COLORAMICA ESM MARFIL CREMA   </v>
          </cell>
          <cell r="C1869">
            <v>1</v>
          </cell>
          <cell r="D1869">
            <v>365</v>
          </cell>
        </row>
        <row r="1870">
          <cell r="A1870" t="str">
            <v>Y82HSA2-5</v>
          </cell>
          <cell r="B1870" t="str">
            <v xml:space="preserve">COLORAMICA ESM MARFIL CREMA   </v>
          </cell>
          <cell r="C1870">
            <v>1</v>
          </cell>
          <cell r="D1870">
            <v>365</v>
          </cell>
        </row>
        <row r="1871">
          <cell r="A1871" t="str">
            <v>Y82HSA3</v>
          </cell>
          <cell r="B1871" t="str">
            <v xml:space="preserve">COLORAMICA ESM MARFIL SUAVE   </v>
          </cell>
          <cell r="C1871">
            <v>1</v>
          </cell>
          <cell r="D1871">
            <v>365</v>
          </cell>
        </row>
        <row r="1872">
          <cell r="A1872" t="str">
            <v>Y82HSA3-1</v>
          </cell>
          <cell r="B1872" t="str">
            <v xml:space="preserve">COLORAMICA ESM MARFIL SUAVE   </v>
          </cell>
          <cell r="C1872">
            <v>1</v>
          </cell>
          <cell r="D1872">
            <v>365</v>
          </cell>
        </row>
        <row r="1873">
          <cell r="A1873" t="str">
            <v>Y82HSA3-1/4</v>
          </cell>
          <cell r="B1873" t="str">
            <v xml:space="preserve">COLORAMICA ESM MARFIL SUAVE   </v>
          </cell>
          <cell r="C1873">
            <v>1</v>
          </cell>
          <cell r="D1873">
            <v>365</v>
          </cell>
        </row>
        <row r="1874">
          <cell r="A1874" t="str">
            <v>Y82HSA3-5</v>
          </cell>
          <cell r="B1874" t="str">
            <v xml:space="preserve">COLORAMICA ESM MARFIL SUAVE   </v>
          </cell>
          <cell r="C1874">
            <v>1</v>
          </cell>
          <cell r="D1874">
            <v>365</v>
          </cell>
        </row>
        <row r="1875">
          <cell r="A1875" t="str">
            <v>Y82HSA4</v>
          </cell>
          <cell r="B1875" t="str">
            <v>COLORAMICA ESM MARFIL ESPECIAL</v>
          </cell>
          <cell r="C1875">
            <v>1</v>
          </cell>
          <cell r="D1875">
            <v>365</v>
          </cell>
        </row>
        <row r="1876">
          <cell r="A1876" t="str">
            <v>Y82HSA4-1</v>
          </cell>
          <cell r="B1876" t="str">
            <v>COLORAMICA ESM MARFIL ESPECIAL</v>
          </cell>
          <cell r="C1876">
            <v>1</v>
          </cell>
          <cell r="D1876">
            <v>365</v>
          </cell>
        </row>
        <row r="1877">
          <cell r="A1877" t="str">
            <v>Y82HSA4-1/4</v>
          </cell>
          <cell r="B1877" t="str">
            <v>COLORAMICA ESM MARFIL ESPECIAL</v>
          </cell>
          <cell r="C1877">
            <v>1</v>
          </cell>
          <cell r="D1877">
            <v>365</v>
          </cell>
        </row>
        <row r="1878">
          <cell r="A1878" t="str">
            <v>Y82HSA4-5</v>
          </cell>
          <cell r="B1878" t="str">
            <v>COLORAMICA ESM MARFIL ESPECIAL</v>
          </cell>
          <cell r="C1878">
            <v>1</v>
          </cell>
          <cell r="D1878">
            <v>365</v>
          </cell>
        </row>
        <row r="1879">
          <cell r="A1879" t="str">
            <v>Y82LSA1</v>
          </cell>
          <cell r="B1879" t="str">
            <v xml:space="preserve">COLOR ESMALTE BRILLANTE AZUL  </v>
          </cell>
          <cell r="C1879">
            <v>1</v>
          </cell>
          <cell r="D1879">
            <v>365</v>
          </cell>
        </row>
        <row r="1880">
          <cell r="A1880" t="str">
            <v>Y82LSA1-1</v>
          </cell>
          <cell r="B1880" t="str">
            <v xml:space="preserve">COLOR ESMALTE BRILLANTE AZUL  </v>
          </cell>
          <cell r="C1880">
            <v>1</v>
          </cell>
          <cell r="D1880">
            <v>365</v>
          </cell>
        </row>
        <row r="1881">
          <cell r="A1881" t="str">
            <v>Y82LSA1-1/4</v>
          </cell>
          <cell r="B1881" t="str">
            <v xml:space="preserve">COLORAMICA ESMALTE AZUL       </v>
          </cell>
          <cell r="C1881">
            <v>1</v>
          </cell>
          <cell r="D1881">
            <v>365</v>
          </cell>
        </row>
        <row r="1882">
          <cell r="A1882" t="str">
            <v>Y82LSA1-5</v>
          </cell>
          <cell r="B1882" t="str">
            <v xml:space="preserve">COLOR ESMALTE BRILLANTE AZUL  </v>
          </cell>
          <cell r="C1882">
            <v>1</v>
          </cell>
          <cell r="D1882">
            <v>365</v>
          </cell>
        </row>
        <row r="1883">
          <cell r="A1883" t="str">
            <v>Y82LSA2</v>
          </cell>
          <cell r="B1883" t="str">
            <v xml:space="preserve">COLORAMICA ESMALTE CELESTE    </v>
          </cell>
          <cell r="C1883">
            <v>1</v>
          </cell>
          <cell r="D1883">
            <v>365</v>
          </cell>
        </row>
        <row r="1884">
          <cell r="A1884" t="str">
            <v>Y82LSA2-1</v>
          </cell>
          <cell r="B1884" t="str">
            <v xml:space="preserve">COLORAMICA ESMALTE CELESTE    </v>
          </cell>
          <cell r="C1884">
            <v>1</v>
          </cell>
          <cell r="D1884">
            <v>365</v>
          </cell>
        </row>
        <row r="1885">
          <cell r="A1885" t="str">
            <v>Y82LSA2-1/4</v>
          </cell>
          <cell r="B1885" t="str">
            <v xml:space="preserve">COLORAMICA ESMALTE CELESTE    </v>
          </cell>
          <cell r="C1885">
            <v>1</v>
          </cell>
          <cell r="D1885">
            <v>365</v>
          </cell>
        </row>
        <row r="1886">
          <cell r="A1886" t="str">
            <v>Y82LSA2-5</v>
          </cell>
          <cell r="B1886" t="str">
            <v xml:space="preserve">COLORAMICA ESMALTE CELESTE    </v>
          </cell>
          <cell r="C1886">
            <v>1</v>
          </cell>
          <cell r="D1886">
            <v>365</v>
          </cell>
        </row>
        <row r="1887">
          <cell r="A1887" t="str">
            <v>Y82LSA3</v>
          </cell>
          <cell r="B1887" t="str">
            <v xml:space="preserve">COLORAMICA ESMALTE AZUL CONT  </v>
          </cell>
          <cell r="C1887">
            <v>1</v>
          </cell>
          <cell r="D1887">
            <v>365</v>
          </cell>
        </row>
        <row r="1888">
          <cell r="A1888" t="str">
            <v>Y82LSA3-1</v>
          </cell>
          <cell r="B1888" t="str">
            <v xml:space="preserve">COLORAMICA ESMALTE AZUL CONT  </v>
          </cell>
          <cell r="C1888">
            <v>1</v>
          </cell>
          <cell r="D1888">
            <v>365</v>
          </cell>
        </row>
        <row r="1889">
          <cell r="A1889" t="str">
            <v>Y82LSA3-1/4</v>
          </cell>
          <cell r="B1889" t="str">
            <v xml:space="preserve">COLORAMICA ESMALTE AZUL CONT  </v>
          </cell>
          <cell r="C1889">
            <v>1</v>
          </cell>
          <cell r="D1889">
            <v>365</v>
          </cell>
        </row>
        <row r="1890">
          <cell r="A1890" t="str">
            <v>Y82LSA3-5</v>
          </cell>
          <cell r="B1890" t="str">
            <v xml:space="preserve">COLORAMICA ESMALTE AZUL CONT  </v>
          </cell>
          <cell r="C1890">
            <v>1</v>
          </cell>
          <cell r="D1890">
            <v>365</v>
          </cell>
        </row>
        <row r="1891">
          <cell r="A1891" t="str">
            <v>Y82LSA4</v>
          </cell>
          <cell r="B1891" t="str">
            <v xml:space="preserve">COLORAMICA ESM CELESTE OCEANO </v>
          </cell>
          <cell r="C1891">
            <v>1</v>
          </cell>
          <cell r="D1891">
            <v>365</v>
          </cell>
        </row>
        <row r="1892">
          <cell r="A1892" t="str">
            <v>Y82LSA4-1</v>
          </cell>
          <cell r="B1892" t="str">
            <v xml:space="preserve">COLORAMICA ESM CELESTE OCEANO </v>
          </cell>
          <cell r="C1892">
            <v>1</v>
          </cell>
          <cell r="D1892">
            <v>365</v>
          </cell>
        </row>
        <row r="1893">
          <cell r="A1893" t="str">
            <v>Y82LSA4-1/4</v>
          </cell>
          <cell r="B1893" t="str">
            <v xml:space="preserve">COLORAMICA ESM CELESTE OCEANO </v>
          </cell>
          <cell r="C1893">
            <v>1</v>
          </cell>
          <cell r="D1893">
            <v>365</v>
          </cell>
        </row>
        <row r="1894">
          <cell r="A1894" t="str">
            <v>Y82LSA4-5</v>
          </cell>
          <cell r="B1894" t="str">
            <v xml:space="preserve">COLORAMICA ESM CELESTE OCEANO </v>
          </cell>
          <cell r="C1894">
            <v>1</v>
          </cell>
          <cell r="D1894">
            <v>365</v>
          </cell>
        </row>
        <row r="1895">
          <cell r="A1895" t="str">
            <v>Y82LSA5</v>
          </cell>
          <cell r="B1895" t="str">
            <v xml:space="preserve">COLORAMICA ESM CELESTE SUAVE  </v>
          </cell>
          <cell r="C1895">
            <v>1</v>
          </cell>
          <cell r="D1895">
            <v>365</v>
          </cell>
        </row>
        <row r="1896">
          <cell r="A1896" t="str">
            <v>Y82LSA5-1</v>
          </cell>
          <cell r="B1896" t="str">
            <v xml:space="preserve">COLORAMICA ESM CELESTE SUAVE  </v>
          </cell>
          <cell r="C1896">
            <v>1</v>
          </cell>
          <cell r="D1896">
            <v>365</v>
          </cell>
        </row>
        <row r="1897">
          <cell r="A1897" t="str">
            <v>Y82LSA5-1/4</v>
          </cell>
          <cell r="B1897" t="str">
            <v xml:space="preserve">COLORAMICA ESM CELESTE SUAVE  </v>
          </cell>
          <cell r="C1897">
            <v>1</v>
          </cell>
          <cell r="D1897">
            <v>365</v>
          </cell>
        </row>
        <row r="1898">
          <cell r="A1898" t="str">
            <v>Y82LSA5-5</v>
          </cell>
          <cell r="B1898" t="str">
            <v xml:space="preserve">COLORAMICA ESM CELESTE SUAVE  </v>
          </cell>
          <cell r="C1898">
            <v>1</v>
          </cell>
          <cell r="D1898">
            <v>365</v>
          </cell>
        </row>
        <row r="1899">
          <cell r="A1899" t="str">
            <v>Y82LSA6</v>
          </cell>
          <cell r="B1899" t="str">
            <v xml:space="preserve">COLORAMICA ESMALTE AZUL GEMA  </v>
          </cell>
          <cell r="C1899">
            <v>1</v>
          </cell>
          <cell r="D1899">
            <v>365</v>
          </cell>
        </row>
        <row r="1900">
          <cell r="A1900" t="str">
            <v>Y82LSA6-1</v>
          </cell>
          <cell r="B1900" t="str">
            <v xml:space="preserve">COLORAMICA ESMALTE AZUL GEMA  </v>
          </cell>
          <cell r="C1900">
            <v>1</v>
          </cell>
          <cell r="D1900">
            <v>365</v>
          </cell>
        </row>
        <row r="1901">
          <cell r="A1901" t="str">
            <v>Y82LSA6-1/4</v>
          </cell>
          <cell r="B1901" t="str">
            <v xml:space="preserve">COLORAMICA ESMALTE AZUL GEMA  </v>
          </cell>
          <cell r="C1901">
            <v>1</v>
          </cell>
          <cell r="D1901">
            <v>365</v>
          </cell>
        </row>
        <row r="1902">
          <cell r="A1902" t="str">
            <v>Y82LSA6-5</v>
          </cell>
          <cell r="B1902" t="str">
            <v xml:space="preserve">COLORAMICA ESMALTE AZUL GEMA  </v>
          </cell>
          <cell r="C1902">
            <v>1</v>
          </cell>
          <cell r="D1902">
            <v>365</v>
          </cell>
        </row>
        <row r="1903">
          <cell r="A1903" t="str">
            <v>Y82NSA1</v>
          </cell>
          <cell r="B1903" t="str">
            <v xml:space="preserve">COLOR ESM BRILLANTE CHOCOLATE </v>
          </cell>
          <cell r="C1903">
            <v>1</v>
          </cell>
          <cell r="D1903">
            <v>365</v>
          </cell>
        </row>
        <row r="1904">
          <cell r="A1904" t="str">
            <v>Y82NSA1-1</v>
          </cell>
          <cell r="B1904" t="str">
            <v xml:space="preserve">COLOR ESM BRILLANTE CHOCOLATE </v>
          </cell>
          <cell r="C1904">
            <v>1</v>
          </cell>
          <cell r="D1904">
            <v>365</v>
          </cell>
        </row>
        <row r="1905">
          <cell r="A1905" t="str">
            <v>Y82NSA1-1/4</v>
          </cell>
          <cell r="B1905" t="str">
            <v xml:space="preserve">COLORAMICA ESMALTE BEIGE Q    </v>
          </cell>
          <cell r="C1905">
            <v>1</v>
          </cell>
          <cell r="D1905">
            <v>365</v>
          </cell>
        </row>
        <row r="1906">
          <cell r="A1906" t="str">
            <v>Y82NSA1-5</v>
          </cell>
          <cell r="B1906" t="str">
            <v xml:space="preserve">COLOR ESM BRILLANTE CHOCOLATE </v>
          </cell>
          <cell r="C1906">
            <v>1</v>
          </cell>
          <cell r="D1906">
            <v>365</v>
          </cell>
        </row>
        <row r="1907">
          <cell r="A1907" t="str">
            <v>Y82NSA2</v>
          </cell>
          <cell r="B1907" t="str">
            <v xml:space="preserve">COLORAMICA ESMALTE BEIGE      </v>
          </cell>
          <cell r="C1907">
            <v>1</v>
          </cell>
          <cell r="D1907">
            <v>365</v>
          </cell>
        </row>
        <row r="1908">
          <cell r="A1908" t="str">
            <v>Y82NSA2-1</v>
          </cell>
          <cell r="B1908" t="str">
            <v xml:space="preserve">COLORAMICA ESMALTE BEIGE      </v>
          </cell>
          <cell r="C1908">
            <v>1</v>
          </cell>
          <cell r="D1908">
            <v>365</v>
          </cell>
        </row>
        <row r="1909">
          <cell r="A1909" t="str">
            <v>Y82NSA2-1/4</v>
          </cell>
          <cell r="B1909" t="str">
            <v xml:space="preserve">COLORAMICA ESMALTE BEIGE      </v>
          </cell>
          <cell r="C1909">
            <v>1</v>
          </cell>
          <cell r="D1909">
            <v>365</v>
          </cell>
        </row>
        <row r="1910">
          <cell r="A1910" t="str">
            <v>Y82NSA2-5</v>
          </cell>
          <cell r="B1910" t="str">
            <v xml:space="preserve">COLORAMICA ESMALTE BEIGE      </v>
          </cell>
          <cell r="C1910">
            <v>1</v>
          </cell>
          <cell r="D1910">
            <v>365</v>
          </cell>
        </row>
        <row r="1911">
          <cell r="A1911" t="str">
            <v>Y82PSA1</v>
          </cell>
          <cell r="B1911" t="str">
            <v xml:space="preserve">COLORAMICA ESMALTE MORADO     </v>
          </cell>
          <cell r="C1911">
            <v>1</v>
          </cell>
          <cell r="D1911">
            <v>365</v>
          </cell>
        </row>
        <row r="1912">
          <cell r="A1912" t="str">
            <v>Y82PSA1-1</v>
          </cell>
          <cell r="B1912" t="str">
            <v xml:space="preserve">COLORAMICA ESMALTE MORADO     </v>
          </cell>
          <cell r="C1912">
            <v>1</v>
          </cell>
          <cell r="D1912">
            <v>365</v>
          </cell>
        </row>
        <row r="1913">
          <cell r="A1913" t="str">
            <v>Y82PSA1-1/4</v>
          </cell>
          <cell r="B1913" t="str">
            <v xml:space="preserve">COLORAMICA ESMALTE MORADO     </v>
          </cell>
          <cell r="C1913">
            <v>1</v>
          </cell>
          <cell r="D1913">
            <v>365</v>
          </cell>
        </row>
        <row r="1914">
          <cell r="A1914" t="str">
            <v>Y82PSA1-5</v>
          </cell>
          <cell r="B1914" t="str">
            <v xml:space="preserve">COLORAMICA ESMALTE MORADO     </v>
          </cell>
          <cell r="C1914">
            <v>1</v>
          </cell>
          <cell r="D1914">
            <v>365</v>
          </cell>
        </row>
        <row r="1915">
          <cell r="A1915" t="str">
            <v>Y82RSA1</v>
          </cell>
          <cell r="B1915" t="str">
            <v xml:space="preserve">COLORAMICA ESMALTE ROSADO     </v>
          </cell>
          <cell r="C1915">
            <v>1</v>
          </cell>
          <cell r="D1915">
            <v>365</v>
          </cell>
        </row>
        <row r="1916">
          <cell r="A1916" t="str">
            <v>Y82RSA1-1</v>
          </cell>
          <cell r="B1916" t="str">
            <v xml:space="preserve">COLORAMICA ESMALTE ROSADO     </v>
          </cell>
          <cell r="C1916">
            <v>1</v>
          </cell>
          <cell r="D1916">
            <v>365</v>
          </cell>
        </row>
        <row r="1917">
          <cell r="A1917" t="str">
            <v>Y82RSA1-1/4</v>
          </cell>
          <cell r="B1917" t="str">
            <v xml:space="preserve">COLORAMICA ESMALTE ROSADO     </v>
          </cell>
          <cell r="C1917">
            <v>1</v>
          </cell>
          <cell r="D1917">
            <v>365</v>
          </cell>
        </row>
        <row r="1918">
          <cell r="A1918" t="str">
            <v>Y82RSA1-5</v>
          </cell>
          <cell r="B1918" t="str">
            <v xml:space="preserve">COLORAMICA ESMALTE ROSADO     </v>
          </cell>
          <cell r="C1918">
            <v>1</v>
          </cell>
          <cell r="D1918">
            <v>365</v>
          </cell>
        </row>
        <row r="1919">
          <cell r="A1919" t="str">
            <v>Y82RSA3</v>
          </cell>
          <cell r="B1919" t="str">
            <v>COLORAMICA ESMALTE ROJO PASION</v>
          </cell>
          <cell r="C1919">
            <v>1</v>
          </cell>
          <cell r="D1919">
            <v>365</v>
          </cell>
        </row>
        <row r="1920">
          <cell r="A1920" t="str">
            <v>Y82RSA3-1</v>
          </cell>
          <cell r="B1920" t="str">
            <v>COLORAMICA ESMALTE ROJO PASION</v>
          </cell>
          <cell r="C1920">
            <v>1</v>
          </cell>
          <cell r="D1920">
            <v>365</v>
          </cell>
        </row>
        <row r="1921">
          <cell r="A1921" t="str">
            <v>Y82RSA3-1/4</v>
          </cell>
          <cell r="B1921" t="str">
            <v>COLORAMICA ESMALTE ROJO PASION</v>
          </cell>
          <cell r="C1921">
            <v>1</v>
          </cell>
          <cell r="D1921">
            <v>365</v>
          </cell>
        </row>
        <row r="1922">
          <cell r="A1922" t="str">
            <v>Y82RSA3-5</v>
          </cell>
          <cell r="B1922" t="str">
            <v>COLORAMICA ESMALTE ROJO PASION</v>
          </cell>
          <cell r="C1922">
            <v>1</v>
          </cell>
          <cell r="D1922">
            <v>365</v>
          </cell>
        </row>
        <row r="1923">
          <cell r="A1923" t="str">
            <v>Y82RSA4</v>
          </cell>
          <cell r="B1923" t="str">
            <v xml:space="preserve">COLORAMICA ESMALTE MARRON     </v>
          </cell>
          <cell r="C1923">
            <v>1</v>
          </cell>
          <cell r="D1923">
            <v>365</v>
          </cell>
        </row>
        <row r="1924">
          <cell r="A1924" t="str">
            <v>Y82RSA4-1</v>
          </cell>
          <cell r="B1924" t="str">
            <v xml:space="preserve">COLORAMICA ESMALTE MARRON     </v>
          </cell>
          <cell r="C1924">
            <v>1</v>
          </cell>
          <cell r="D1924">
            <v>365</v>
          </cell>
        </row>
        <row r="1925">
          <cell r="A1925" t="str">
            <v>Y82RSA4-1/4</v>
          </cell>
          <cell r="B1925" t="str">
            <v xml:space="preserve">COLORAMICA ESMALTE MARRON     </v>
          </cell>
          <cell r="C1925">
            <v>1</v>
          </cell>
          <cell r="D1925">
            <v>365</v>
          </cell>
        </row>
        <row r="1926">
          <cell r="A1926" t="str">
            <v>Y82RSA4-5</v>
          </cell>
          <cell r="B1926" t="str">
            <v xml:space="preserve">COLORAMICA ESMALTE MARRON     </v>
          </cell>
          <cell r="C1926">
            <v>1</v>
          </cell>
          <cell r="D1926">
            <v>365</v>
          </cell>
        </row>
        <row r="1927">
          <cell r="A1927" t="str">
            <v>Y82WSA1</v>
          </cell>
          <cell r="B1927" t="str">
            <v>COLOR ESMALTE BRILLANTE BLANCO</v>
          </cell>
          <cell r="C1927">
            <v>1</v>
          </cell>
          <cell r="D1927">
            <v>365</v>
          </cell>
        </row>
        <row r="1928">
          <cell r="A1928" t="str">
            <v>Y82WSA1-1</v>
          </cell>
          <cell r="B1928" t="str">
            <v>COLOR ESMALTE BRILLANTE BLANCO</v>
          </cell>
          <cell r="C1928">
            <v>1</v>
          </cell>
          <cell r="D1928">
            <v>365</v>
          </cell>
        </row>
        <row r="1929">
          <cell r="A1929" t="str">
            <v>Y82WSA1-1/4</v>
          </cell>
          <cell r="B1929" t="str">
            <v xml:space="preserve">COLORAMICA ESMALTE BLANCO     </v>
          </cell>
          <cell r="C1929">
            <v>1</v>
          </cell>
          <cell r="D1929">
            <v>365</v>
          </cell>
        </row>
        <row r="1930">
          <cell r="A1930" t="str">
            <v>Y82WSA1-5</v>
          </cell>
          <cell r="B1930" t="str">
            <v>COLOR ESMALTE BRILLANTE BLANCO</v>
          </cell>
          <cell r="C1930">
            <v>1</v>
          </cell>
          <cell r="D1930">
            <v>365</v>
          </cell>
        </row>
        <row r="1931">
          <cell r="A1931" t="str">
            <v>Y82WSA2</v>
          </cell>
          <cell r="B1931" t="str">
            <v xml:space="preserve">COLOR ESM BRILLANTE BCO HUESO </v>
          </cell>
          <cell r="C1931">
            <v>1</v>
          </cell>
          <cell r="D1931">
            <v>365</v>
          </cell>
        </row>
        <row r="1932">
          <cell r="A1932" t="str">
            <v>Y82WSA2-1</v>
          </cell>
          <cell r="B1932" t="str">
            <v xml:space="preserve">COLOR ESM BRILLANTE BCO HUESO </v>
          </cell>
          <cell r="C1932">
            <v>1</v>
          </cell>
          <cell r="D1932">
            <v>365</v>
          </cell>
        </row>
        <row r="1933">
          <cell r="A1933" t="str">
            <v>Y82WSA2-1/4</v>
          </cell>
          <cell r="B1933" t="str">
            <v xml:space="preserve">COLORAMICA ESM BLANCO HUESO   </v>
          </cell>
          <cell r="C1933">
            <v>1</v>
          </cell>
          <cell r="D1933">
            <v>365</v>
          </cell>
        </row>
        <row r="1934">
          <cell r="A1934" t="str">
            <v>Y82WSA2-5</v>
          </cell>
          <cell r="B1934" t="str">
            <v xml:space="preserve">COLOR ESM BRILLANTE BCO HUESO </v>
          </cell>
          <cell r="C1934">
            <v>1</v>
          </cell>
          <cell r="D1934">
            <v>365</v>
          </cell>
        </row>
        <row r="1935">
          <cell r="A1935" t="str">
            <v>Y82YSA1</v>
          </cell>
          <cell r="B1935" t="str">
            <v xml:space="preserve">COLORAMICA ESMALTE AMARILLO   </v>
          </cell>
          <cell r="C1935">
            <v>1</v>
          </cell>
          <cell r="D1935">
            <v>365</v>
          </cell>
        </row>
        <row r="1936">
          <cell r="A1936" t="str">
            <v>Y82YSA1-1</v>
          </cell>
          <cell r="B1936" t="str">
            <v xml:space="preserve">COLORAMICA ESMALTE AMARILLO   </v>
          </cell>
          <cell r="C1936">
            <v>1</v>
          </cell>
          <cell r="D1936">
            <v>365</v>
          </cell>
        </row>
        <row r="1937">
          <cell r="A1937" t="str">
            <v>Y82YSA1-1/4</v>
          </cell>
          <cell r="B1937" t="str">
            <v xml:space="preserve">COLORAMICA ESMALTE AMARILLO   </v>
          </cell>
          <cell r="C1937">
            <v>1</v>
          </cell>
          <cell r="D1937">
            <v>365</v>
          </cell>
        </row>
        <row r="1938">
          <cell r="A1938" t="str">
            <v>Y82YSA1-5</v>
          </cell>
          <cell r="B1938" t="str">
            <v xml:space="preserve">COLORAMICA ESMALTE AMARILLO   </v>
          </cell>
          <cell r="C1938">
            <v>1</v>
          </cell>
          <cell r="D1938">
            <v>365</v>
          </cell>
        </row>
        <row r="1939">
          <cell r="A1939" t="str">
            <v>Y82YSA2</v>
          </cell>
          <cell r="B1939" t="str">
            <v xml:space="preserve">COLORAMICA ESM AMARILLO TRIGO </v>
          </cell>
          <cell r="C1939">
            <v>1</v>
          </cell>
          <cell r="D1939">
            <v>365</v>
          </cell>
        </row>
        <row r="1940">
          <cell r="A1940" t="str">
            <v>Y82YSA2-1</v>
          </cell>
          <cell r="B1940" t="str">
            <v xml:space="preserve">COLORAMICA ESM AMARILLO TRIGO </v>
          </cell>
          <cell r="C1940">
            <v>1</v>
          </cell>
          <cell r="D1940">
            <v>365</v>
          </cell>
        </row>
        <row r="1941">
          <cell r="A1941" t="str">
            <v>Y82YSA2-1/4</v>
          </cell>
          <cell r="B1941" t="str">
            <v xml:space="preserve">COLORAMICA ESM AMARILLO TRIGO </v>
          </cell>
          <cell r="C1941">
            <v>1</v>
          </cell>
          <cell r="D1941">
            <v>365</v>
          </cell>
        </row>
        <row r="1942">
          <cell r="A1942" t="str">
            <v>Y82YSA2-5</v>
          </cell>
          <cell r="B1942" t="str">
            <v xml:space="preserve">COLORAMICA ESM AMARILLO TRIGO </v>
          </cell>
          <cell r="C1942">
            <v>1</v>
          </cell>
          <cell r="D1942">
            <v>365</v>
          </cell>
        </row>
        <row r="1943">
          <cell r="A1943" t="str">
            <v>Y82YSA4</v>
          </cell>
          <cell r="B1943" t="str">
            <v>COLORAMICA ESM AMARILLO CONVER</v>
          </cell>
          <cell r="C1943">
            <v>1</v>
          </cell>
          <cell r="D1943">
            <v>365</v>
          </cell>
        </row>
        <row r="1944">
          <cell r="A1944" t="str">
            <v>Y82YSA4-1</v>
          </cell>
          <cell r="B1944" t="str">
            <v>COLORAMICA ESM AMARILLO CONVER</v>
          </cell>
          <cell r="C1944">
            <v>1</v>
          </cell>
          <cell r="D1944">
            <v>365</v>
          </cell>
        </row>
        <row r="1945">
          <cell r="A1945" t="str">
            <v>A17V1</v>
          </cell>
          <cell r="B1945" t="str">
            <v xml:space="preserve">KEM WOOD PRESERVATIVE N. 1    </v>
          </cell>
          <cell r="C1945">
            <v>2</v>
          </cell>
          <cell r="D1945">
            <v>730</v>
          </cell>
        </row>
        <row r="1946">
          <cell r="A1946" t="str">
            <v>A17V1-1</v>
          </cell>
          <cell r="B1946" t="str">
            <v xml:space="preserve">KEM WOOD PRESERVATIVE N. 1    </v>
          </cell>
          <cell r="C1946">
            <v>2</v>
          </cell>
          <cell r="D1946">
            <v>730</v>
          </cell>
        </row>
        <row r="1947">
          <cell r="A1947" t="str">
            <v>A24ASA2</v>
          </cell>
          <cell r="B1947" t="str">
            <v>PINTURA SHALE GRAY PARA CANCHA</v>
          </cell>
          <cell r="C1947">
            <v>2</v>
          </cell>
          <cell r="D1947">
            <v>730</v>
          </cell>
        </row>
        <row r="1948">
          <cell r="A1948" t="str">
            <v>A24ASA2-1</v>
          </cell>
          <cell r="B1948" t="str">
            <v>PINTURA SHALE GRAY PARA CANCHA</v>
          </cell>
          <cell r="C1948">
            <v>2</v>
          </cell>
          <cell r="D1948">
            <v>730</v>
          </cell>
        </row>
        <row r="1949">
          <cell r="A1949" t="str">
            <v>A24GSA1</v>
          </cell>
          <cell r="B1949" t="str">
            <v>PINT P/CANCHAS DEPORTIVA VERDE</v>
          </cell>
          <cell r="C1949">
            <v>2</v>
          </cell>
          <cell r="D1949">
            <v>730</v>
          </cell>
        </row>
        <row r="1950">
          <cell r="A1950" t="str">
            <v>A24GSA1-1</v>
          </cell>
          <cell r="B1950" t="str">
            <v>PINT P/CANCHAS DEPORTIVA VERDE</v>
          </cell>
          <cell r="C1950">
            <v>2</v>
          </cell>
          <cell r="D1950">
            <v>730</v>
          </cell>
        </row>
        <row r="1951">
          <cell r="A1951" t="str">
            <v>A24GSA1-1/4</v>
          </cell>
          <cell r="B1951" t="str">
            <v>PINT P/CANCHAS DEPORTIVA VERDE</v>
          </cell>
          <cell r="C1951">
            <v>2</v>
          </cell>
          <cell r="D1951">
            <v>730</v>
          </cell>
        </row>
        <row r="1952">
          <cell r="A1952" t="str">
            <v>A24GSA1-5</v>
          </cell>
          <cell r="B1952" t="str">
            <v xml:space="preserve">PINT.P/CANCHAS DEPORT VERDE   </v>
          </cell>
          <cell r="C1952">
            <v>2</v>
          </cell>
          <cell r="D1952">
            <v>730</v>
          </cell>
        </row>
        <row r="1953">
          <cell r="A1953" t="str">
            <v>A24LSA1</v>
          </cell>
          <cell r="B1953" t="str">
            <v xml:space="preserve">PINTURA P/CANCHAS DEPORT AZUL </v>
          </cell>
          <cell r="C1953">
            <v>2</v>
          </cell>
          <cell r="D1953">
            <v>730</v>
          </cell>
        </row>
        <row r="1954">
          <cell r="A1954" t="str">
            <v>A24LSA1-1</v>
          </cell>
          <cell r="B1954" t="str">
            <v xml:space="preserve">PINTURA P/CANCHAS DEPORT AZUL </v>
          </cell>
          <cell r="C1954">
            <v>2</v>
          </cell>
          <cell r="D1954">
            <v>730</v>
          </cell>
        </row>
        <row r="1955">
          <cell r="A1955" t="str">
            <v>A24LSA3</v>
          </cell>
          <cell r="B1955" t="str">
            <v>PINTURA P/ CANCHAS DEPORT AZUL</v>
          </cell>
          <cell r="C1955">
            <v>2</v>
          </cell>
          <cell r="D1955">
            <v>730</v>
          </cell>
        </row>
        <row r="1956">
          <cell r="A1956" t="str">
            <v>A24LSA3-1</v>
          </cell>
          <cell r="B1956" t="str">
            <v>PINTURA P/ CANCHAS DEPORT AZUL</v>
          </cell>
          <cell r="C1956">
            <v>2</v>
          </cell>
          <cell r="D1956">
            <v>730</v>
          </cell>
        </row>
        <row r="1957">
          <cell r="A1957" t="str">
            <v>A24LSA3-47</v>
          </cell>
          <cell r="B1957" t="str">
            <v>PINTURA P/ CANCHAS DEPORT AZUL</v>
          </cell>
          <cell r="C1957">
            <v>2</v>
          </cell>
          <cell r="D1957">
            <v>730</v>
          </cell>
        </row>
        <row r="1958">
          <cell r="A1958" t="str">
            <v>A24RSA1</v>
          </cell>
          <cell r="B1958" t="str">
            <v>PINT P/CANCHAS DEPORTIVAS ROJO</v>
          </cell>
          <cell r="C1958">
            <v>2</v>
          </cell>
          <cell r="D1958">
            <v>730</v>
          </cell>
        </row>
        <row r="1959">
          <cell r="A1959" t="str">
            <v>A24RSA1-1</v>
          </cell>
          <cell r="B1959" t="str">
            <v>PINT P/CANCHAS DEPORTIVAS ROJO</v>
          </cell>
          <cell r="C1959">
            <v>2</v>
          </cell>
          <cell r="D1959">
            <v>730</v>
          </cell>
        </row>
        <row r="1960">
          <cell r="A1960" t="str">
            <v>A24WSA1</v>
          </cell>
          <cell r="B1960" t="str">
            <v>PINT P/CANCHAS DEPORTIVA BLANC</v>
          </cell>
          <cell r="C1960">
            <v>2</v>
          </cell>
          <cell r="D1960">
            <v>730</v>
          </cell>
        </row>
        <row r="1961">
          <cell r="A1961" t="str">
            <v>A24WSA1-1</v>
          </cell>
          <cell r="B1961" t="str">
            <v>PINT P/CANCHAS DEPORTIVA BLANC</v>
          </cell>
          <cell r="C1961">
            <v>2</v>
          </cell>
          <cell r="D1961">
            <v>730</v>
          </cell>
        </row>
        <row r="1962">
          <cell r="A1962" t="str">
            <v>A33A46</v>
          </cell>
          <cell r="B1962" t="str">
            <v xml:space="preserve">FLOOR ENAMEL GRIS             </v>
          </cell>
          <cell r="C1962">
            <v>2</v>
          </cell>
          <cell r="D1962">
            <v>730</v>
          </cell>
        </row>
        <row r="1963">
          <cell r="A1963" t="str">
            <v>A33A46-1</v>
          </cell>
          <cell r="B1963" t="str">
            <v xml:space="preserve">FLOOR ENAMEL GRIS             </v>
          </cell>
          <cell r="C1963">
            <v>2</v>
          </cell>
          <cell r="D1963">
            <v>730</v>
          </cell>
        </row>
        <row r="1964">
          <cell r="A1964" t="str">
            <v>A33A46-1/4</v>
          </cell>
          <cell r="B1964" t="str">
            <v xml:space="preserve">FLOOR ENAMEL GRIS             </v>
          </cell>
          <cell r="C1964">
            <v>2</v>
          </cell>
          <cell r="D1964">
            <v>730</v>
          </cell>
        </row>
        <row r="1965">
          <cell r="A1965" t="str">
            <v>A33GP1</v>
          </cell>
          <cell r="B1965" t="str">
            <v xml:space="preserve">FLOOR ENAMEL VERDE            </v>
          </cell>
          <cell r="C1965">
            <v>2</v>
          </cell>
          <cell r="D1965">
            <v>730</v>
          </cell>
        </row>
        <row r="1966">
          <cell r="A1966" t="str">
            <v>A33GP1-1</v>
          </cell>
          <cell r="B1966" t="str">
            <v xml:space="preserve">FLOOR ENAMEL VERDE            </v>
          </cell>
          <cell r="C1966">
            <v>2</v>
          </cell>
          <cell r="D1966">
            <v>730</v>
          </cell>
        </row>
        <row r="1967">
          <cell r="A1967" t="str">
            <v>A33GP1-1/4</v>
          </cell>
          <cell r="B1967" t="str">
            <v xml:space="preserve">FLOOR ENAMEL VERDE            </v>
          </cell>
          <cell r="C1967">
            <v>2</v>
          </cell>
          <cell r="D1967">
            <v>730</v>
          </cell>
        </row>
        <row r="1968">
          <cell r="A1968" t="str">
            <v>A33R85</v>
          </cell>
          <cell r="B1968" t="str">
            <v xml:space="preserve">FLOOR ENAMEL ROJO             </v>
          </cell>
          <cell r="C1968">
            <v>2</v>
          </cell>
          <cell r="D1968">
            <v>730</v>
          </cell>
        </row>
        <row r="1969">
          <cell r="A1969" t="str">
            <v>A33R85-1</v>
          </cell>
          <cell r="B1969" t="str">
            <v xml:space="preserve">FLOOR ENAMEL ROJO             </v>
          </cell>
          <cell r="C1969">
            <v>2</v>
          </cell>
          <cell r="D1969">
            <v>730</v>
          </cell>
        </row>
        <row r="1970">
          <cell r="A1970" t="str">
            <v>A33R85-1/4</v>
          </cell>
          <cell r="B1970" t="str">
            <v xml:space="preserve">FLOOR ENAMEL ROJO             </v>
          </cell>
          <cell r="C1970">
            <v>2</v>
          </cell>
          <cell r="D1970">
            <v>730</v>
          </cell>
        </row>
        <row r="1971">
          <cell r="A1971" t="str">
            <v>A38M3</v>
          </cell>
          <cell r="B1971" t="str">
            <v xml:space="preserve">FLO-LAC CAOBA                 </v>
          </cell>
          <cell r="C1971">
            <v>2</v>
          </cell>
          <cell r="D1971">
            <v>730</v>
          </cell>
        </row>
        <row r="1972">
          <cell r="A1972" t="str">
            <v>A38M3-1</v>
          </cell>
          <cell r="B1972" t="str">
            <v xml:space="preserve">FLO-LAC CAOBA                 </v>
          </cell>
          <cell r="C1972">
            <v>2</v>
          </cell>
          <cell r="D1972">
            <v>730</v>
          </cell>
        </row>
        <row r="1973">
          <cell r="A1973" t="str">
            <v>A38M3-1/4</v>
          </cell>
          <cell r="B1973" t="str">
            <v xml:space="preserve">FLO-LAC CAOBA                 </v>
          </cell>
          <cell r="C1973">
            <v>2</v>
          </cell>
          <cell r="D1973">
            <v>730</v>
          </cell>
        </row>
        <row r="1974">
          <cell r="A1974" t="str">
            <v>A38N23</v>
          </cell>
          <cell r="B1974" t="str">
            <v xml:space="preserve">FLO-LAC NOGAL                 </v>
          </cell>
          <cell r="C1974">
            <v>2</v>
          </cell>
          <cell r="D1974">
            <v>730</v>
          </cell>
        </row>
        <row r="1975">
          <cell r="A1975" t="str">
            <v>A38N23-1</v>
          </cell>
          <cell r="B1975" t="str">
            <v xml:space="preserve">FLO-LAC NOGAL                 </v>
          </cell>
          <cell r="C1975">
            <v>2</v>
          </cell>
          <cell r="D1975">
            <v>730</v>
          </cell>
        </row>
        <row r="1976">
          <cell r="A1976" t="str">
            <v>A38N23-1/4</v>
          </cell>
          <cell r="B1976" t="str">
            <v xml:space="preserve">FLO-LAC NOGAL                 </v>
          </cell>
          <cell r="C1976">
            <v>2</v>
          </cell>
          <cell r="D1976">
            <v>730</v>
          </cell>
        </row>
        <row r="1977">
          <cell r="A1977" t="str">
            <v>A38N39</v>
          </cell>
          <cell r="B1977" t="str">
            <v xml:space="preserve">FLO-LAC CANELA SUBIDO         </v>
          </cell>
          <cell r="C1977">
            <v>2</v>
          </cell>
          <cell r="D1977">
            <v>730</v>
          </cell>
        </row>
        <row r="1978">
          <cell r="A1978" t="str">
            <v>A38N39-1</v>
          </cell>
          <cell r="B1978" t="str">
            <v xml:space="preserve">FLO-LAC CANELA SUBIDO         </v>
          </cell>
          <cell r="C1978">
            <v>2</v>
          </cell>
          <cell r="D1978">
            <v>730</v>
          </cell>
        </row>
        <row r="1979">
          <cell r="A1979" t="str">
            <v>A38N39-1/4</v>
          </cell>
          <cell r="B1979" t="str">
            <v xml:space="preserve">FLO-LAC CANELA SUBIDO         </v>
          </cell>
          <cell r="C1979">
            <v>2</v>
          </cell>
          <cell r="D1979">
            <v>730</v>
          </cell>
        </row>
        <row r="1980">
          <cell r="A1980" t="str">
            <v>A38N40</v>
          </cell>
          <cell r="B1980" t="str">
            <v xml:space="preserve">FLO-LAC ROBLE OSCURO          </v>
          </cell>
          <cell r="C1980">
            <v>2</v>
          </cell>
          <cell r="D1980">
            <v>730</v>
          </cell>
        </row>
        <row r="1981">
          <cell r="A1981" t="str">
            <v>A38N40-1</v>
          </cell>
          <cell r="B1981" t="str">
            <v xml:space="preserve">FLO-LAC ROBLE OSCURO          </v>
          </cell>
          <cell r="C1981">
            <v>2</v>
          </cell>
          <cell r="D1981">
            <v>730</v>
          </cell>
        </row>
        <row r="1982">
          <cell r="A1982" t="str">
            <v>A38N40-1/4</v>
          </cell>
          <cell r="B1982" t="str">
            <v xml:space="preserve">FLO-LAC ROBLE OSCURO          </v>
          </cell>
          <cell r="C1982">
            <v>2</v>
          </cell>
          <cell r="D1982">
            <v>730</v>
          </cell>
        </row>
        <row r="1983">
          <cell r="A1983" t="str">
            <v>A38N41</v>
          </cell>
          <cell r="B1983" t="str">
            <v xml:space="preserve">FLO-LAC ROBLE CLARO           </v>
          </cell>
          <cell r="C1983">
            <v>2</v>
          </cell>
          <cell r="D1983">
            <v>730</v>
          </cell>
        </row>
        <row r="1984">
          <cell r="A1984" t="str">
            <v>A38N41-1</v>
          </cell>
          <cell r="B1984" t="str">
            <v xml:space="preserve">FLO-LAC ROBLE CLARO           </v>
          </cell>
          <cell r="C1984">
            <v>2</v>
          </cell>
          <cell r="D1984">
            <v>730</v>
          </cell>
        </row>
        <row r="1985">
          <cell r="A1985" t="str">
            <v>A38N41-1/4</v>
          </cell>
          <cell r="B1985" t="str">
            <v xml:space="preserve">FLO-LAC ROBLE CLARO           </v>
          </cell>
          <cell r="C1985">
            <v>2</v>
          </cell>
          <cell r="D1985">
            <v>730</v>
          </cell>
        </row>
        <row r="1986">
          <cell r="A1986" t="str">
            <v>A44HSA3</v>
          </cell>
          <cell r="B1986" t="str">
            <v xml:space="preserve">TEX-FLEX CREMA                </v>
          </cell>
          <cell r="C1986">
            <v>2</v>
          </cell>
          <cell r="D1986">
            <v>730</v>
          </cell>
        </row>
        <row r="1987">
          <cell r="A1987" t="str">
            <v>A44HSA3-5</v>
          </cell>
          <cell r="B1987" t="str">
            <v xml:space="preserve">TEX-FLEX CREMA                </v>
          </cell>
          <cell r="C1987">
            <v>2</v>
          </cell>
          <cell r="D1987">
            <v>730</v>
          </cell>
        </row>
        <row r="1988">
          <cell r="A1988" t="str">
            <v>A44YSA3</v>
          </cell>
          <cell r="B1988" t="str">
            <v xml:space="preserve">TEX FLEX AMARILLO MOSTAZA     </v>
          </cell>
          <cell r="C1988">
            <v>2</v>
          </cell>
          <cell r="D1988">
            <v>730</v>
          </cell>
        </row>
        <row r="1989">
          <cell r="A1989" t="str">
            <v>A44YSA3-5</v>
          </cell>
          <cell r="B1989" t="str">
            <v xml:space="preserve">TEX FLEX AMARILLO MOSTAZA     </v>
          </cell>
          <cell r="C1989">
            <v>2</v>
          </cell>
          <cell r="D1989">
            <v>730</v>
          </cell>
        </row>
        <row r="1990">
          <cell r="A1990" t="str">
            <v>A48BSA1</v>
          </cell>
          <cell r="B1990" t="str">
            <v xml:space="preserve">OIL STAIN NEGRO               </v>
          </cell>
          <cell r="C1990">
            <v>2</v>
          </cell>
          <cell r="D1990">
            <v>730</v>
          </cell>
        </row>
        <row r="1991">
          <cell r="A1991" t="str">
            <v>A48BSA1-1</v>
          </cell>
          <cell r="B1991" t="str">
            <v xml:space="preserve">OIL STAIN NEGRO               </v>
          </cell>
          <cell r="C1991">
            <v>2</v>
          </cell>
          <cell r="D1991">
            <v>730</v>
          </cell>
        </row>
        <row r="1992">
          <cell r="A1992" t="str">
            <v>A48BSA1-1/4</v>
          </cell>
          <cell r="B1992" t="str">
            <v xml:space="preserve">OIL STAIN NEGRO               </v>
          </cell>
          <cell r="C1992">
            <v>2</v>
          </cell>
          <cell r="D1992">
            <v>730</v>
          </cell>
        </row>
        <row r="1993">
          <cell r="A1993" t="str">
            <v>A48N35</v>
          </cell>
          <cell r="B1993" t="str">
            <v xml:space="preserve">OIL STAIN ARCE COLONIAL       </v>
          </cell>
          <cell r="C1993">
            <v>2</v>
          </cell>
          <cell r="D1993">
            <v>730</v>
          </cell>
        </row>
        <row r="1994">
          <cell r="A1994" t="str">
            <v>A48N35-1</v>
          </cell>
          <cell r="B1994" t="str">
            <v xml:space="preserve">OIL STAIN ARCE COLONIAL       </v>
          </cell>
          <cell r="C1994">
            <v>2</v>
          </cell>
          <cell r="D1994">
            <v>730</v>
          </cell>
        </row>
        <row r="1995">
          <cell r="A1995" t="str">
            <v>A48N35-1/4</v>
          </cell>
          <cell r="B1995" t="str">
            <v xml:space="preserve">OIL STAIN ARCE COLONIAL       </v>
          </cell>
          <cell r="C1995">
            <v>2</v>
          </cell>
          <cell r="D1995">
            <v>730</v>
          </cell>
        </row>
        <row r="1996">
          <cell r="A1996" t="str">
            <v>A48N36</v>
          </cell>
          <cell r="B1996" t="str">
            <v xml:space="preserve">OIL STAIN NOGAL DANES         </v>
          </cell>
          <cell r="C1996">
            <v>2</v>
          </cell>
          <cell r="D1996">
            <v>730</v>
          </cell>
        </row>
        <row r="1997">
          <cell r="A1997" t="str">
            <v>A48N36-1</v>
          </cell>
          <cell r="B1997" t="str">
            <v xml:space="preserve">OIL STAIN NOGAL DANES         </v>
          </cell>
          <cell r="C1997">
            <v>2</v>
          </cell>
          <cell r="D1997">
            <v>730</v>
          </cell>
        </row>
        <row r="1998">
          <cell r="A1998" t="str">
            <v>A48N36-1/4</v>
          </cell>
          <cell r="B1998" t="str">
            <v xml:space="preserve">OIL STAIN NOGAL DANES         </v>
          </cell>
          <cell r="C1998">
            <v>2</v>
          </cell>
          <cell r="D1998">
            <v>730</v>
          </cell>
        </row>
        <row r="1999">
          <cell r="A1999" t="str">
            <v>A48N38</v>
          </cell>
          <cell r="B1999" t="str">
            <v xml:space="preserve">OIL STAIN SANDALO OSCURO      </v>
          </cell>
          <cell r="C1999">
            <v>2</v>
          </cell>
          <cell r="D1999">
            <v>730</v>
          </cell>
        </row>
        <row r="2000">
          <cell r="A2000" t="str">
            <v>A48N38-1</v>
          </cell>
          <cell r="B2000" t="str">
            <v xml:space="preserve">OIL STAIN SANDALO OSCURO      </v>
          </cell>
          <cell r="C2000">
            <v>2</v>
          </cell>
          <cell r="D2000">
            <v>730</v>
          </cell>
        </row>
        <row r="2001">
          <cell r="A2001" t="str">
            <v>A48N38-1/4</v>
          </cell>
          <cell r="B2001" t="str">
            <v xml:space="preserve">OIL STAIN SANDALO OSCURO      </v>
          </cell>
          <cell r="C2001">
            <v>2</v>
          </cell>
          <cell r="D2001">
            <v>730</v>
          </cell>
        </row>
        <row r="2002">
          <cell r="A2002" t="str">
            <v>A48NSA1</v>
          </cell>
          <cell r="B2002" t="str">
            <v xml:space="preserve">OIL STAIN CANELA OSCURO       </v>
          </cell>
          <cell r="C2002">
            <v>2</v>
          </cell>
          <cell r="D2002">
            <v>730</v>
          </cell>
        </row>
        <row r="2003">
          <cell r="A2003" t="str">
            <v>A48NSA1-1</v>
          </cell>
          <cell r="B2003" t="str">
            <v xml:space="preserve">OIL STAIN CANELA OSCURO       </v>
          </cell>
          <cell r="C2003">
            <v>2</v>
          </cell>
          <cell r="D2003">
            <v>730</v>
          </cell>
        </row>
        <row r="2004">
          <cell r="A2004" t="str">
            <v>A48NSA1-1/4</v>
          </cell>
          <cell r="B2004" t="str">
            <v xml:space="preserve">OIL STAIN CANELA OSCURO       </v>
          </cell>
          <cell r="C2004">
            <v>2</v>
          </cell>
          <cell r="D2004">
            <v>730</v>
          </cell>
        </row>
        <row r="2005">
          <cell r="A2005" t="str">
            <v>A48NSA4</v>
          </cell>
          <cell r="B2005" t="str">
            <v xml:space="preserve">OIL STAIN NOGAL               </v>
          </cell>
          <cell r="C2005">
            <v>2</v>
          </cell>
          <cell r="D2005">
            <v>730</v>
          </cell>
        </row>
        <row r="2006">
          <cell r="A2006" t="str">
            <v>A48NSA4-1</v>
          </cell>
          <cell r="B2006" t="str">
            <v xml:space="preserve">OIL STAIN NOGAL               </v>
          </cell>
          <cell r="C2006">
            <v>2</v>
          </cell>
          <cell r="D2006">
            <v>730</v>
          </cell>
        </row>
        <row r="2007">
          <cell r="A2007" t="str">
            <v>A48NSA4-1/4</v>
          </cell>
          <cell r="B2007" t="str">
            <v xml:space="preserve">OIL STAIN NOGAL               </v>
          </cell>
          <cell r="C2007">
            <v>2</v>
          </cell>
          <cell r="D2007">
            <v>730</v>
          </cell>
        </row>
        <row r="2008">
          <cell r="A2008" t="str">
            <v>A48R56</v>
          </cell>
          <cell r="B2008" t="str">
            <v xml:space="preserve">OIL STAIN CAOBA AFRICANO      </v>
          </cell>
          <cell r="C2008">
            <v>2</v>
          </cell>
          <cell r="D2008">
            <v>730</v>
          </cell>
        </row>
        <row r="2009">
          <cell r="A2009" t="str">
            <v>A48R56-1</v>
          </cell>
          <cell r="B2009" t="str">
            <v xml:space="preserve">OIL STAIN CAOBA AFRICANO      </v>
          </cell>
          <cell r="C2009">
            <v>2</v>
          </cell>
          <cell r="D2009">
            <v>730</v>
          </cell>
        </row>
        <row r="2010">
          <cell r="A2010" t="str">
            <v>A48R56-1/4</v>
          </cell>
          <cell r="B2010" t="str">
            <v xml:space="preserve">OIL STAIN CAOBA AFRICANO      </v>
          </cell>
          <cell r="C2010">
            <v>2</v>
          </cell>
          <cell r="D2010">
            <v>730</v>
          </cell>
        </row>
        <row r="2011">
          <cell r="A2011" t="str">
            <v>A48WSA2</v>
          </cell>
          <cell r="B2011" t="str">
            <v xml:space="preserve">OIL STAIN BLANCO              </v>
          </cell>
          <cell r="C2011">
            <v>2</v>
          </cell>
          <cell r="D2011">
            <v>730</v>
          </cell>
        </row>
        <row r="2012">
          <cell r="A2012" t="str">
            <v>A48WSA2-1</v>
          </cell>
          <cell r="B2012" t="str">
            <v xml:space="preserve">OIL STAIN BLANCO              </v>
          </cell>
          <cell r="C2012">
            <v>2</v>
          </cell>
          <cell r="D2012">
            <v>730</v>
          </cell>
        </row>
        <row r="2013">
          <cell r="A2013" t="str">
            <v>A48WSA2-1/4</v>
          </cell>
          <cell r="B2013" t="str">
            <v xml:space="preserve">OIL STAIN BLANCO              </v>
          </cell>
          <cell r="C2013">
            <v>2</v>
          </cell>
          <cell r="D2013">
            <v>730</v>
          </cell>
        </row>
        <row r="2014">
          <cell r="A2014" t="str">
            <v>A48Y23</v>
          </cell>
          <cell r="B2014" t="str">
            <v xml:space="preserve">OIL STAIN ROBLE CLARO         </v>
          </cell>
          <cell r="C2014">
            <v>2</v>
          </cell>
          <cell r="D2014">
            <v>730</v>
          </cell>
        </row>
        <row r="2015">
          <cell r="A2015" t="str">
            <v>A48Y23-1</v>
          </cell>
          <cell r="B2015" t="str">
            <v xml:space="preserve">OIL STAIN ROBLE CLARO         </v>
          </cell>
          <cell r="C2015">
            <v>2</v>
          </cell>
          <cell r="D2015">
            <v>730</v>
          </cell>
        </row>
        <row r="2016">
          <cell r="A2016" t="str">
            <v>A48Y23-1/4</v>
          </cell>
          <cell r="B2016" t="str">
            <v xml:space="preserve">OIL STAIN ROBLE CLARO         </v>
          </cell>
          <cell r="C2016">
            <v>2</v>
          </cell>
          <cell r="D2016">
            <v>730</v>
          </cell>
        </row>
        <row r="2017">
          <cell r="A2017" t="str">
            <v>A57GSA1</v>
          </cell>
          <cell r="B2017" t="str">
            <v>EXCELLO PINT/TECHO VERDE CR NI</v>
          </cell>
          <cell r="C2017">
            <v>2</v>
          </cell>
          <cell r="D2017">
            <v>730</v>
          </cell>
        </row>
        <row r="2018">
          <cell r="A2018" t="str">
            <v>A57GSA1-1</v>
          </cell>
          <cell r="B2018" t="str">
            <v xml:space="preserve">EXCELLO PINT/TECHO VERDE      </v>
          </cell>
          <cell r="C2018">
            <v>2</v>
          </cell>
          <cell r="D2018">
            <v>730</v>
          </cell>
        </row>
        <row r="2019">
          <cell r="A2019" t="str">
            <v>A57GSA1-5</v>
          </cell>
          <cell r="B2019" t="str">
            <v xml:space="preserve">EXCELLO PINT/TECHO VERDE      </v>
          </cell>
          <cell r="C2019">
            <v>2</v>
          </cell>
          <cell r="D2019">
            <v>730</v>
          </cell>
        </row>
        <row r="2020">
          <cell r="A2020" t="str">
            <v>A57RSA2</v>
          </cell>
          <cell r="B2020" t="str">
            <v xml:space="preserve">EXCELLO PINT/TECHO ROJA. NC   </v>
          </cell>
          <cell r="C2020">
            <v>2</v>
          </cell>
          <cell r="D2020">
            <v>730</v>
          </cell>
        </row>
        <row r="2021">
          <cell r="A2021" t="str">
            <v>A57RSA2-1</v>
          </cell>
          <cell r="B2021" t="str">
            <v xml:space="preserve">EXCELLO PINT/TECHO ROJA       </v>
          </cell>
          <cell r="C2021">
            <v>2</v>
          </cell>
          <cell r="D2021">
            <v>730</v>
          </cell>
        </row>
        <row r="2022">
          <cell r="A2022" t="str">
            <v>A57RSA2-5</v>
          </cell>
          <cell r="B2022" t="str">
            <v xml:space="preserve">EXCELLO PINT/TECHO ROJA       </v>
          </cell>
          <cell r="C2022">
            <v>2</v>
          </cell>
          <cell r="D2022">
            <v>730</v>
          </cell>
        </row>
        <row r="2023">
          <cell r="A2023" t="str">
            <v>A57WSA1</v>
          </cell>
          <cell r="B2023" t="str">
            <v xml:space="preserve">EXCELLO PINTURA/TECHO BLANCA  </v>
          </cell>
          <cell r="C2023">
            <v>2</v>
          </cell>
          <cell r="D2023">
            <v>730</v>
          </cell>
        </row>
        <row r="2024">
          <cell r="A2024" t="str">
            <v>A57WSA1-1</v>
          </cell>
          <cell r="B2024" t="str">
            <v xml:space="preserve">EXCELLO PINTURA/TECH0 BLANCA  </v>
          </cell>
          <cell r="C2024">
            <v>2</v>
          </cell>
          <cell r="D2024">
            <v>730</v>
          </cell>
        </row>
        <row r="2025">
          <cell r="A2025" t="str">
            <v>A57WSA1-5</v>
          </cell>
          <cell r="B2025" t="str">
            <v xml:space="preserve">EXCELLO PINTURA/TECHO BLANCA  </v>
          </cell>
          <cell r="C2025">
            <v>2</v>
          </cell>
          <cell r="D2025">
            <v>730</v>
          </cell>
        </row>
        <row r="2026">
          <cell r="A2026" t="str">
            <v>A5ASA1</v>
          </cell>
          <cell r="B2026" t="str">
            <v xml:space="preserve">AQUALOCK GRIS                 </v>
          </cell>
          <cell r="C2026">
            <v>2</v>
          </cell>
          <cell r="D2026">
            <v>730</v>
          </cell>
        </row>
        <row r="2027">
          <cell r="A2027" t="str">
            <v>A5ASA1-1</v>
          </cell>
          <cell r="B2027" t="str">
            <v xml:space="preserve">AQUALOCK GRIS                 </v>
          </cell>
          <cell r="C2027">
            <v>2</v>
          </cell>
          <cell r="D2027">
            <v>730</v>
          </cell>
        </row>
        <row r="2028">
          <cell r="A2028" t="str">
            <v>A5ASA1-1/4</v>
          </cell>
          <cell r="B2028" t="str">
            <v xml:space="preserve">AQUALOCK GRIS                 </v>
          </cell>
          <cell r="C2028">
            <v>2</v>
          </cell>
          <cell r="D2028">
            <v>730</v>
          </cell>
        </row>
        <row r="2029">
          <cell r="A2029" t="str">
            <v>A5BSA1</v>
          </cell>
          <cell r="B2029" t="str">
            <v xml:space="preserve">AQUALOCK NEGRO                </v>
          </cell>
          <cell r="C2029">
            <v>2</v>
          </cell>
          <cell r="D2029">
            <v>730</v>
          </cell>
        </row>
        <row r="2030">
          <cell r="A2030" t="str">
            <v>A5BSA1-1</v>
          </cell>
          <cell r="B2030" t="str">
            <v xml:space="preserve">AQUALOCK NEGRO                </v>
          </cell>
          <cell r="C2030">
            <v>2</v>
          </cell>
          <cell r="D2030">
            <v>730</v>
          </cell>
        </row>
        <row r="2031">
          <cell r="A2031" t="str">
            <v>A5BSA1-1/4</v>
          </cell>
          <cell r="B2031" t="str">
            <v xml:space="preserve">AQUALOCK NEGRO                </v>
          </cell>
          <cell r="C2031">
            <v>2</v>
          </cell>
          <cell r="D2031">
            <v>730</v>
          </cell>
        </row>
        <row r="2032">
          <cell r="A2032" t="str">
            <v>A5GSA1</v>
          </cell>
          <cell r="B2032" t="str">
            <v xml:space="preserve">AQUALOCK VERDE                </v>
          </cell>
          <cell r="C2032">
            <v>2</v>
          </cell>
          <cell r="D2032">
            <v>730</v>
          </cell>
        </row>
        <row r="2033">
          <cell r="A2033" t="str">
            <v>A5GSA1-1</v>
          </cell>
          <cell r="B2033" t="str">
            <v xml:space="preserve">AQUALOCK VERDE                </v>
          </cell>
          <cell r="C2033">
            <v>2</v>
          </cell>
          <cell r="D2033">
            <v>730</v>
          </cell>
        </row>
        <row r="2034">
          <cell r="A2034" t="str">
            <v>A5GSA1-1/4</v>
          </cell>
          <cell r="B2034" t="str">
            <v xml:space="preserve">AQUALOCK VERDE                </v>
          </cell>
          <cell r="C2034">
            <v>2</v>
          </cell>
          <cell r="D2034">
            <v>730</v>
          </cell>
        </row>
        <row r="2035">
          <cell r="A2035" t="str">
            <v>A5GSA1-5</v>
          </cell>
          <cell r="B2035" t="str">
            <v xml:space="preserve">AQUALOCK VERDE                </v>
          </cell>
          <cell r="C2035">
            <v>2</v>
          </cell>
          <cell r="D2035">
            <v>730</v>
          </cell>
        </row>
        <row r="2036">
          <cell r="A2036" t="str">
            <v>A5GSA6</v>
          </cell>
          <cell r="B2036" t="str">
            <v xml:space="preserve">AQUALOCK VERDE OSCURO         </v>
          </cell>
          <cell r="C2036">
            <v>2</v>
          </cell>
          <cell r="D2036">
            <v>730</v>
          </cell>
        </row>
        <row r="2037">
          <cell r="A2037" t="str">
            <v>A5GSA6-1</v>
          </cell>
          <cell r="B2037" t="str">
            <v xml:space="preserve">AQUALOCK VERDE OSCURO         </v>
          </cell>
          <cell r="C2037">
            <v>2</v>
          </cell>
          <cell r="D2037">
            <v>730</v>
          </cell>
        </row>
        <row r="2038">
          <cell r="A2038" t="str">
            <v>A5GSA6-5</v>
          </cell>
          <cell r="B2038" t="str">
            <v xml:space="preserve">AQUALOCK VERDE OSCURO         </v>
          </cell>
          <cell r="C2038">
            <v>2</v>
          </cell>
          <cell r="D2038">
            <v>730</v>
          </cell>
        </row>
        <row r="2039">
          <cell r="A2039" t="str">
            <v>A5GSA6-50</v>
          </cell>
          <cell r="B2039" t="str">
            <v xml:space="preserve">AQUALOCK VERDE OSCURO         </v>
          </cell>
          <cell r="C2039">
            <v>2</v>
          </cell>
          <cell r="D2039">
            <v>730</v>
          </cell>
        </row>
        <row r="2040">
          <cell r="A2040" t="str">
            <v>A5GSA7</v>
          </cell>
          <cell r="B2040" t="str">
            <v>RECUBRIMI VERDE P/AISLAM TERMI</v>
          </cell>
          <cell r="C2040">
            <v>2</v>
          </cell>
          <cell r="D2040">
            <v>730</v>
          </cell>
        </row>
        <row r="2041">
          <cell r="A2041" t="str">
            <v>A5GSA7-1</v>
          </cell>
          <cell r="B2041" t="str">
            <v>RECUBRIMI VERDE P/AISLAM TERMI</v>
          </cell>
          <cell r="C2041">
            <v>2</v>
          </cell>
          <cell r="D2041">
            <v>730</v>
          </cell>
        </row>
        <row r="2042">
          <cell r="A2042" t="str">
            <v>A5LSA4</v>
          </cell>
          <cell r="B2042" t="str">
            <v xml:space="preserve">AQUALATEX AZUL                </v>
          </cell>
          <cell r="C2042">
            <v>2</v>
          </cell>
          <cell r="D2042">
            <v>730</v>
          </cell>
        </row>
        <row r="2043">
          <cell r="A2043" t="str">
            <v>A5LSA4-5</v>
          </cell>
          <cell r="B2043" t="str">
            <v xml:space="preserve">AQUALATEX AZUL                </v>
          </cell>
          <cell r="C2043">
            <v>2</v>
          </cell>
          <cell r="D2043">
            <v>730</v>
          </cell>
        </row>
        <row r="2044">
          <cell r="A2044" t="str">
            <v>A5LSA8</v>
          </cell>
          <cell r="B2044" t="str">
            <v xml:space="preserve">AQUALOCK AZUL 500             </v>
          </cell>
          <cell r="C2044">
            <v>2</v>
          </cell>
          <cell r="D2044">
            <v>730</v>
          </cell>
        </row>
        <row r="2045">
          <cell r="A2045" t="str">
            <v>A5LSA8-1</v>
          </cell>
          <cell r="B2045" t="str">
            <v xml:space="preserve">AQUALOCK AZUL 500             </v>
          </cell>
          <cell r="C2045">
            <v>2</v>
          </cell>
          <cell r="D2045">
            <v>730</v>
          </cell>
        </row>
        <row r="2046">
          <cell r="A2046" t="str">
            <v>A5LSA8-1/4</v>
          </cell>
          <cell r="B2046" t="str">
            <v xml:space="preserve">AQUALOCK AZUL                 </v>
          </cell>
          <cell r="C2046">
            <v>2</v>
          </cell>
          <cell r="D2046">
            <v>730</v>
          </cell>
        </row>
        <row r="2047">
          <cell r="A2047" t="str">
            <v>A5RSA1</v>
          </cell>
          <cell r="B2047" t="str">
            <v xml:space="preserve">AQUALOCK ROJO                 </v>
          </cell>
          <cell r="C2047">
            <v>2</v>
          </cell>
          <cell r="D2047">
            <v>730</v>
          </cell>
        </row>
        <row r="2048">
          <cell r="A2048" t="str">
            <v>A5RSA1-1</v>
          </cell>
          <cell r="B2048" t="str">
            <v xml:space="preserve">AQUALOCK ROJO                 </v>
          </cell>
          <cell r="C2048">
            <v>2</v>
          </cell>
          <cell r="D2048">
            <v>730</v>
          </cell>
        </row>
        <row r="2049">
          <cell r="A2049" t="str">
            <v>A5RSA1-1/4</v>
          </cell>
          <cell r="B2049" t="str">
            <v xml:space="preserve">AQUALOCK ROJO                 </v>
          </cell>
          <cell r="C2049">
            <v>2</v>
          </cell>
          <cell r="D2049">
            <v>730</v>
          </cell>
        </row>
        <row r="2050">
          <cell r="A2050" t="str">
            <v>A5RSA2</v>
          </cell>
          <cell r="B2050" t="str">
            <v xml:space="preserve">AQUALOCK ROJO TEJA            </v>
          </cell>
          <cell r="C2050">
            <v>2</v>
          </cell>
          <cell r="D2050">
            <v>730</v>
          </cell>
        </row>
        <row r="2051">
          <cell r="A2051" t="str">
            <v>A5RSA2-1</v>
          </cell>
          <cell r="B2051" t="str">
            <v xml:space="preserve">AQUALOCK ROJO TEJA            </v>
          </cell>
          <cell r="C2051">
            <v>2</v>
          </cell>
          <cell r="D2051">
            <v>730</v>
          </cell>
        </row>
        <row r="2052">
          <cell r="A2052" t="str">
            <v>A5RSA2-1/4</v>
          </cell>
          <cell r="B2052" t="str">
            <v xml:space="preserve">AQUALOCK ROJO TEJA            </v>
          </cell>
          <cell r="C2052">
            <v>2</v>
          </cell>
          <cell r="D2052">
            <v>730</v>
          </cell>
        </row>
        <row r="2053">
          <cell r="A2053" t="str">
            <v>A5RSA2-5</v>
          </cell>
          <cell r="B2053" t="str">
            <v xml:space="preserve">AQUALOCK ROJO TEJA            </v>
          </cell>
          <cell r="C2053">
            <v>2</v>
          </cell>
          <cell r="D2053">
            <v>730</v>
          </cell>
        </row>
        <row r="2054">
          <cell r="A2054" t="str">
            <v>A5RSA3</v>
          </cell>
          <cell r="B2054" t="str">
            <v xml:space="preserve">AQUALOCK ROJO TECHO           </v>
          </cell>
          <cell r="C2054">
            <v>2</v>
          </cell>
          <cell r="D2054">
            <v>730</v>
          </cell>
        </row>
        <row r="2055">
          <cell r="A2055" t="str">
            <v>A5RSA3-1</v>
          </cell>
          <cell r="B2055" t="str">
            <v xml:space="preserve">AQUALOCK ROJO TECHO           </v>
          </cell>
          <cell r="C2055">
            <v>2</v>
          </cell>
          <cell r="D2055">
            <v>730</v>
          </cell>
        </row>
        <row r="2056">
          <cell r="A2056" t="str">
            <v>A5RSA3-1/4</v>
          </cell>
          <cell r="B2056" t="str">
            <v xml:space="preserve">AQUALOCK ROJO TECHO           </v>
          </cell>
          <cell r="C2056">
            <v>2</v>
          </cell>
          <cell r="D2056">
            <v>730</v>
          </cell>
        </row>
        <row r="2057">
          <cell r="A2057" t="str">
            <v>A5RSA3-5</v>
          </cell>
          <cell r="B2057" t="str">
            <v xml:space="preserve">AQUALOCK ROJO TECHO           </v>
          </cell>
          <cell r="C2057">
            <v>2</v>
          </cell>
          <cell r="D2057">
            <v>730</v>
          </cell>
        </row>
        <row r="2058">
          <cell r="A2058" t="str">
            <v>A5VSA1</v>
          </cell>
          <cell r="B2058" t="str">
            <v xml:space="preserve">SILICONE HIGH WATER REPELLENT </v>
          </cell>
          <cell r="C2058">
            <v>2</v>
          </cell>
          <cell r="D2058">
            <v>730</v>
          </cell>
        </row>
        <row r="2059">
          <cell r="A2059" t="str">
            <v>A5VSA1-1</v>
          </cell>
          <cell r="B2059" t="str">
            <v xml:space="preserve">SILICONE HIGH WATER REPELENT  </v>
          </cell>
          <cell r="C2059">
            <v>2</v>
          </cell>
          <cell r="D2059">
            <v>730</v>
          </cell>
        </row>
        <row r="2060">
          <cell r="A2060" t="str">
            <v>A5WSA1</v>
          </cell>
          <cell r="B2060" t="str">
            <v xml:space="preserve">AQUALOCK BLANCO               </v>
          </cell>
          <cell r="C2060">
            <v>2</v>
          </cell>
          <cell r="D2060">
            <v>730</v>
          </cell>
        </row>
        <row r="2061">
          <cell r="A2061" t="str">
            <v>A5WSA1-1</v>
          </cell>
          <cell r="B2061" t="str">
            <v xml:space="preserve">AQUALOCK BLANCO               </v>
          </cell>
          <cell r="C2061">
            <v>2</v>
          </cell>
          <cell r="D2061">
            <v>730</v>
          </cell>
        </row>
        <row r="2062">
          <cell r="A2062" t="str">
            <v>A5WSA1-1.1/4</v>
          </cell>
          <cell r="B2062" t="str">
            <v xml:space="preserve">AQUALOCK BLANCO               </v>
          </cell>
          <cell r="C2062">
            <v>2</v>
          </cell>
          <cell r="D2062">
            <v>730</v>
          </cell>
        </row>
        <row r="2063">
          <cell r="A2063" t="str">
            <v>A5WSA1-1/4</v>
          </cell>
          <cell r="B2063" t="str">
            <v xml:space="preserve">AQUALOCK BLANCO               </v>
          </cell>
          <cell r="C2063">
            <v>2</v>
          </cell>
          <cell r="D2063">
            <v>730</v>
          </cell>
        </row>
        <row r="2064">
          <cell r="A2064" t="str">
            <v>A5WSA1-5</v>
          </cell>
          <cell r="B2064" t="str">
            <v xml:space="preserve">AQUALOCK BLANCO               </v>
          </cell>
          <cell r="C2064">
            <v>2</v>
          </cell>
          <cell r="D2064">
            <v>730</v>
          </cell>
        </row>
        <row r="2065">
          <cell r="A2065" t="str">
            <v>A5WSA1-50</v>
          </cell>
          <cell r="B2065" t="str">
            <v xml:space="preserve">AQUALOCK BLANCO               </v>
          </cell>
          <cell r="C2065">
            <v>2</v>
          </cell>
          <cell r="D2065">
            <v>730</v>
          </cell>
        </row>
        <row r="2066">
          <cell r="A2066" t="str">
            <v>A5WSA3</v>
          </cell>
          <cell r="B2066" t="str">
            <v xml:space="preserve">TERMO-AISLANTE PARA TECHOS    </v>
          </cell>
          <cell r="C2066">
            <v>2</v>
          </cell>
          <cell r="D2066">
            <v>730</v>
          </cell>
        </row>
        <row r="2067">
          <cell r="A2067" t="str">
            <v>A5WSA3-1</v>
          </cell>
          <cell r="B2067" t="str">
            <v xml:space="preserve">TERMO-AISLANTE PARA TECHOS    </v>
          </cell>
          <cell r="C2067">
            <v>2</v>
          </cell>
          <cell r="D2067">
            <v>730</v>
          </cell>
        </row>
        <row r="2068">
          <cell r="A2068" t="str">
            <v>A5WSA3-5</v>
          </cell>
          <cell r="B2068" t="str">
            <v>TERMOAISLANTE P/TECHOS FIBROCE</v>
          </cell>
          <cell r="C2068">
            <v>2</v>
          </cell>
          <cell r="D2068">
            <v>730</v>
          </cell>
        </row>
        <row r="2069">
          <cell r="A2069" t="str">
            <v>A5WSA3-50</v>
          </cell>
          <cell r="B2069" t="str">
            <v>TERMOAISLANTE P/TECHOS FIBROCE</v>
          </cell>
          <cell r="C2069">
            <v>2</v>
          </cell>
          <cell r="D2069">
            <v>730</v>
          </cell>
        </row>
        <row r="2070">
          <cell r="A2070" t="str">
            <v>A67V1</v>
          </cell>
          <cell r="B2070" t="str">
            <v xml:space="preserve">BARNIZ POLIURETANO PARA PISOS </v>
          </cell>
          <cell r="C2070">
            <v>2</v>
          </cell>
          <cell r="D2070">
            <v>730</v>
          </cell>
        </row>
        <row r="2071">
          <cell r="A2071" t="str">
            <v>A67V1-1</v>
          </cell>
          <cell r="B2071" t="str">
            <v xml:space="preserve">BARNIZ POLIURETANO PARA PISOS </v>
          </cell>
          <cell r="C2071">
            <v>2</v>
          </cell>
          <cell r="D2071">
            <v>730</v>
          </cell>
        </row>
        <row r="2072">
          <cell r="A2072" t="str">
            <v>A67V1-1/4</v>
          </cell>
          <cell r="B2072" t="str">
            <v xml:space="preserve">BARNIZ POLIURETANO PARA PISOS </v>
          </cell>
          <cell r="C2072">
            <v>2</v>
          </cell>
          <cell r="D2072">
            <v>730</v>
          </cell>
        </row>
        <row r="2073">
          <cell r="A2073" t="str">
            <v>A86BSA2</v>
          </cell>
          <cell r="B2073" t="str">
            <v>PINTURA TRAFICO TIP-115-E  ALK</v>
          </cell>
          <cell r="C2073">
            <v>2</v>
          </cell>
          <cell r="D2073">
            <v>730</v>
          </cell>
        </row>
        <row r="2074">
          <cell r="A2074" t="str">
            <v>A86BSA2-1</v>
          </cell>
          <cell r="B2074" t="str">
            <v>PINTURA TRAFICO TIP-115-E  ALK</v>
          </cell>
          <cell r="C2074">
            <v>2</v>
          </cell>
          <cell r="D2074">
            <v>730</v>
          </cell>
        </row>
        <row r="2075">
          <cell r="A2075" t="str">
            <v>A86BSA2-5</v>
          </cell>
          <cell r="B2075" t="str">
            <v xml:space="preserve">PINTURA TRAFICO TIP-115-E ALK </v>
          </cell>
          <cell r="C2075">
            <v>2</v>
          </cell>
          <cell r="D2075">
            <v>730</v>
          </cell>
        </row>
        <row r="2076">
          <cell r="A2076" t="str">
            <v>A86WSA19</v>
          </cell>
          <cell r="B2076" t="str">
            <v>PINTURA  P/TRAFIC AASHTO ALKID</v>
          </cell>
          <cell r="C2076">
            <v>2</v>
          </cell>
          <cell r="D2076">
            <v>730</v>
          </cell>
        </row>
        <row r="2077">
          <cell r="A2077" t="str">
            <v>A86WSA19-50</v>
          </cell>
          <cell r="B2077" t="str">
            <v xml:space="preserve">PINT TRAFIC AASHTO ALK BLANCA </v>
          </cell>
          <cell r="C2077">
            <v>2</v>
          </cell>
          <cell r="D2077">
            <v>730</v>
          </cell>
        </row>
        <row r="2078">
          <cell r="A2078" t="str">
            <v>A86WSA7</v>
          </cell>
          <cell r="B2078" t="str">
            <v xml:space="preserve">PINT TRAF BA ALQ TTP 115E BCO </v>
          </cell>
          <cell r="C2078">
            <v>2</v>
          </cell>
          <cell r="D2078">
            <v>730</v>
          </cell>
        </row>
        <row r="2079">
          <cell r="A2079" t="str">
            <v>A86WSA7-1</v>
          </cell>
          <cell r="B2079" t="str">
            <v xml:space="preserve">PINT TRAF ALK TTP 115E BLANCO </v>
          </cell>
          <cell r="C2079">
            <v>2</v>
          </cell>
          <cell r="D2079">
            <v>730</v>
          </cell>
        </row>
        <row r="2080">
          <cell r="A2080" t="str">
            <v>A86WSA7-5</v>
          </cell>
          <cell r="B2080" t="str">
            <v xml:space="preserve">PINT TRAF ALK TTP 115E BLANCO </v>
          </cell>
          <cell r="C2080">
            <v>2</v>
          </cell>
          <cell r="D2080">
            <v>730</v>
          </cell>
        </row>
        <row r="2081">
          <cell r="A2081" t="str">
            <v>A86YSA14</v>
          </cell>
          <cell r="B2081" t="str">
            <v>PINT TRAF BASE ALQUID AMARILLO</v>
          </cell>
          <cell r="C2081">
            <v>2</v>
          </cell>
          <cell r="D2081">
            <v>730</v>
          </cell>
        </row>
        <row r="2082">
          <cell r="A2082" t="str">
            <v>A86YSA14-1</v>
          </cell>
          <cell r="B2082" t="str">
            <v>PINT TRAF BASE ALQUID AMARILLO</v>
          </cell>
          <cell r="C2082">
            <v>2</v>
          </cell>
          <cell r="D2082">
            <v>730</v>
          </cell>
        </row>
        <row r="2083">
          <cell r="A2083" t="str">
            <v>A86YSA14-5</v>
          </cell>
          <cell r="B2083" t="str">
            <v>PINT TRAF BASE ALQUID AMARILLO</v>
          </cell>
          <cell r="C2083">
            <v>2</v>
          </cell>
          <cell r="D2083">
            <v>730</v>
          </cell>
        </row>
        <row r="2084">
          <cell r="A2084" t="str">
            <v>A86YSA14-SP</v>
          </cell>
          <cell r="B2084" t="str">
            <v>PINT TRAF TIP-85-E TYPE II AMA</v>
          </cell>
          <cell r="C2084">
            <v>2</v>
          </cell>
          <cell r="D2084">
            <v>730</v>
          </cell>
        </row>
        <row r="2085">
          <cell r="A2085" t="str">
            <v>A86YSA14SP-1</v>
          </cell>
          <cell r="B2085" t="str">
            <v>PINT TRAF TIP-85-E TYPE II AMA</v>
          </cell>
          <cell r="C2085">
            <v>2</v>
          </cell>
          <cell r="D2085">
            <v>730</v>
          </cell>
        </row>
        <row r="2086">
          <cell r="A2086" t="str">
            <v>B23WSA1</v>
          </cell>
          <cell r="B2086" t="str">
            <v>SELLADOR IMPERMEAB BCO P/FIBRO</v>
          </cell>
          <cell r="C2086">
            <v>2</v>
          </cell>
          <cell r="D2086">
            <v>730</v>
          </cell>
        </row>
        <row r="2087">
          <cell r="A2087" t="str">
            <v>B23WSA1-1</v>
          </cell>
          <cell r="B2087" t="str">
            <v>SELLADOR IMPERMEAB BCO P/FIBRO</v>
          </cell>
          <cell r="C2087">
            <v>2</v>
          </cell>
          <cell r="D2087">
            <v>730</v>
          </cell>
        </row>
        <row r="2088">
          <cell r="A2088" t="str">
            <v>B23WSA2-AE</v>
          </cell>
          <cell r="B2088" t="str">
            <v>SELLADOR P/CONCR 100% ACRI BCO</v>
          </cell>
          <cell r="C2088">
            <v>2</v>
          </cell>
          <cell r="D2088">
            <v>730</v>
          </cell>
        </row>
        <row r="2089">
          <cell r="A2089" t="str">
            <v>B23WSA2AE-5</v>
          </cell>
          <cell r="B2089" t="str">
            <v>SELLADOR P/CONCR 100% ACRI BCO</v>
          </cell>
          <cell r="C2089">
            <v>2</v>
          </cell>
          <cell r="D2089">
            <v>730</v>
          </cell>
        </row>
        <row r="2090">
          <cell r="A2090" t="str">
            <v>B24WSA1</v>
          </cell>
          <cell r="B2090" t="str">
            <v>SELL Y RELLE ESP BLANC P FIBRO</v>
          </cell>
          <cell r="C2090">
            <v>2</v>
          </cell>
          <cell r="D2090">
            <v>730</v>
          </cell>
        </row>
        <row r="2091">
          <cell r="A2091" t="str">
            <v>B24WSA1-1</v>
          </cell>
          <cell r="B2091" t="str">
            <v>SELL Y RELLE ESP BLANC P FIBRO</v>
          </cell>
          <cell r="C2091">
            <v>2</v>
          </cell>
          <cell r="D2091">
            <v>730</v>
          </cell>
        </row>
        <row r="2092">
          <cell r="A2092" t="str">
            <v>B24WSA1-5</v>
          </cell>
          <cell r="B2092" t="str">
            <v>SELL Y RELLE ESP BLANC P FIBRO</v>
          </cell>
          <cell r="C2092">
            <v>2</v>
          </cell>
          <cell r="D2092">
            <v>730</v>
          </cell>
        </row>
        <row r="2093">
          <cell r="A2093" t="str">
            <v>B24WSA2</v>
          </cell>
          <cell r="B2093" t="str">
            <v>SELLADOR BLANCO STD P/ CONCRET</v>
          </cell>
          <cell r="C2093">
            <v>2</v>
          </cell>
          <cell r="D2093">
            <v>730</v>
          </cell>
        </row>
        <row r="2094">
          <cell r="A2094" t="str">
            <v>B24WSA2-1</v>
          </cell>
          <cell r="B2094" t="str">
            <v>SELLADOR BLANCO STD P/CONCRETO</v>
          </cell>
          <cell r="C2094">
            <v>2</v>
          </cell>
          <cell r="D2094">
            <v>730</v>
          </cell>
        </row>
        <row r="2095">
          <cell r="A2095" t="str">
            <v>B24WSA2-5</v>
          </cell>
          <cell r="B2095" t="str">
            <v>SELLADOR BLANCO STD P/ CONCRET</v>
          </cell>
          <cell r="C2095">
            <v>2</v>
          </cell>
          <cell r="D2095">
            <v>730</v>
          </cell>
        </row>
        <row r="2096">
          <cell r="A2096" t="str">
            <v>B42W1</v>
          </cell>
          <cell r="B2096" t="str">
            <v xml:space="preserve">BLOC -TEX .                   </v>
          </cell>
          <cell r="C2096">
            <v>2</v>
          </cell>
          <cell r="D2096">
            <v>730</v>
          </cell>
        </row>
        <row r="2097">
          <cell r="A2097" t="str">
            <v>B42W1-1</v>
          </cell>
          <cell r="B2097" t="str">
            <v xml:space="preserve">BLOC -TEX .                   </v>
          </cell>
          <cell r="C2097">
            <v>2</v>
          </cell>
          <cell r="D2097">
            <v>730</v>
          </cell>
        </row>
        <row r="2098">
          <cell r="A2098" t="str">
            <v>B42W1-5</v>
          </cell>
          <cell r="B2098" t="str">
            <v xml:space="preserve">BLOC -TEX .                   </v>
          </cell>
          <cell r="C2098">
            <v>2</v>
          </cell>
          <cell r="D2098">
            <v>730</v>
          </cell>
        </row>
        <row r="2099">
          <cell r="A2099" t="str">
            <v>B45ASA1</v>
          </cell>
          <cell r="B2099" t="str">
            <v xml:space="preserve">SELLADOR GRIS P/CONCRETO      </v>
          </cell>
          <cell r="C2099">
            <v>2</v>
          </cell>
          <cell r="D2099">
            <v>730</v>
          </cell>
        </row>
        <row r="2100">
          <cell r="A2100" t="str">
            <v>B45ASA1-1</v>
          </cell>
          <cell r="B2100" t="str">
            <v xml:space="preserve">SELLADOR GRIS P/CONCRETO      </v>
          </cell>
          <cell r="C2100">
            <v>2</v>
          </cell>
          <cell r="D2100">
            <v>730</v>
          </cell>
        </row>
        <row r="2101">
          <cell r="A2101" t="str">
            <v>B45ASA1-5</v>
          </cell>
          <cell r="B2101" t="str">
            <v xml:space="preserve">SELLADOR GRIS P/CONCRETO      </v>
          </cell>
          <cell r="C2101">
            <v>2</v>
          </cell>
          <cell r="D2101">
            <v>730</v>
          </cell>
        </row>
        <row r="2102">
          <cell r="A2102" t="str">
            <v>B53RSA4158</v>
          </cell>
          <cell r="B2102" t="str">
            <v>EI ALQ BRIL SIST4000 B REALRED</v>
          </cell>
          <cell r="C2102">
            <v>3</v>
          </cell>
          <cell r="D2102">
            <v>1095</v>
          </cell>
        </row>
        <row r="2103">
          <cell r="A2103" t="str">
            <v>B53RSA4158-1</v>
          </cell>
          <cell r="B2103" t="str">
            <v>EI ALQ BRIL SIST4000 B REALRED</v>
          </cell>
          <cell r="C2103">
            <v>3</v>
          </cell>
          <cell r="D2103">
            <v>1095</v>
          </cell>
        </row>
        <row r="2104">
          <cell r="A2104" t="str">
            <v>B53RSA4158-1/4</v>
          </cell>
          <cell r="B2104" t="str">
            <v>EI ALQ BRIL SIST4000 B REALRED</v>
          </cell>
          <cell r="C2104">
            <v>3</v>
          </cell>
          <cell r="D2104">
            <v>1095</v>
          </cell>
        </row>
        <row r="2105">
          <cell r="A2105" t="str">
            <v>B53TSA4054</v>
          </cell>
          <cell r="B2105" t="str">
            <v>EI ALQ BRI SIST4000 B ULTRDEEP</v>
          </cell>
          <cell r="C2105">
            <v>3</v>
          </cell>
          <cell r="D2105">
            <v>1095</v>
          </cell>
        </row>
        <row r="2106">
          <cell r="A2106" t="str">
            <v>B53TSA4054-1</v>
          </cell>
          <cell r="B2106" t="str">
            <v>EI ALQ BRI SIST4000 B ULTRDEEP</v>
          </cell>
          <cell r="C2106">
            <v>3</v>
          </cell>
          <cell r="D2106">
            <v>1095</v>
          </cell>
        </row>
        <row r="2107">
          <cell r="A2107" t="str">
            <v>B53TSA4054-1/4</v>
          </cell>
          <cell r="B2107" t="str">
            <v>EI ALQ BRI SIST4000 B ULTRDEEP</v>
          </cell>
          <cell r="C2107">
            <v>3</v>
          </cell>
          <cell r="D2107">
            <v>1095</v>
          </cell>
        </row>
        <row r="2108">
          <cell r="A2108" t="str">
            <v>B53WSA4051</v>
          </cell>
          <cell r="B2108" t="str">
            <v>EI ALQ BRI SIST4000 B EX WHITE</v>
          </cell>
          <cell r="C2108">
            <v>3</v>
          </cell>
          <cell r="D2108">
            <v>1095</v>
          </cell>
        </row>
        <row r="2109">
          <cell r="A2109" t="str">
            <v>B53WSA4051-1</v>
          </cell>
          <cell r="B2109" t="str">
            <v>EI ALQ BRI SIST4000 B EX WHITE</v>
          </cell>
          <cell r="C2109">
            <v>3</v>
          </cell>
          <cell r="D2109">
            <v>1095</v>
          </cell>
        </row>
        <row r="2110">
          <cell r="A2110" t="str">
            <v>B53WSA4051-1/4</v>
          </cell>
          <cell r="B2110" t="str">
            <v>EI ALQ BRI SIST4000 B EX WHITE</v>
          </cell>
          <cell r="C2110">
            <v>3</v>
          </cell>
          <cell r="D2110">
            <v>1095</v>
          </cell>
        </row>
        <row r="2111">
          <cell r="A2111" t="str">
            <v>B53WSA4051-5</v>
          </cell>
          <cell r="B2111" t="str">
            <v>EI ALQ BRI SIST4000 B EX WHITE</v>
          </cell>
          <cell r="C2111">
            <v>3</v>
          </cell>
          <cell r="D2111">
            <v>1095</v>
          </cell>
        </row>
        <row r="2112">
          <cell r="A2112" t="str">
            <v>B53WSA4053</v>
          </cell>
          <cell r="B2112" t="str">
            <v>EI ALQ BRILL SIST4000 BAS DEEP</v>
          </cell>
          <cell r="C2112">
            <v>3</v>
          </cell>
          <cell r="D2112">
            <v>1095</v>
          </cell>
        </row>
        <row r="2113">
          <cell r="A2113" t="str">
            <v>B53WSA4053-1</v>
          </cell>
          <cell r="B2113" t="str">
            <v>EI ALQ BRILL SIST4000 BAS DEEP</v>
          </cell>
          <cell r="C2113">
            <v>3</v>
          </cell>
          <cell r="D2113">
            <v>1095</v>
          </cell>
        </row>
        <row r="2114">
          <cell r="A2114" t="str">
            <v>B53WSA4053-1/4</v>
          </cell>
          <cell r="B2114" t="str">
            <v>EI ALQ BRILL SIST4000 BAS DEEP</v>
          </cell>
          <cell r="C2114">
            <v>3</v>
          </cell>
          <cell r="D2114">
            <v>1095</v>
          </cell>
        </row>
        <row r="2115">
          <cell r="A2115" t="str">
            <v>B53WSA4053-5</v>
          </cell>
          <cell r="B2115" t="str">
            <v>ESMALTE IND ALK BRIL BASE DEEP</v>
          </cell>
          <cell r="C2115">
            <v>3</v>
          </cell>
          <cell r="D2115">
            <v>1095</v>
          </cell>
        </row>
        <row r="2116">
          <cell r="A2116" t="str">
            <v>B53YSA4157</v>
          </cell>
          <cell r="B2116" t="str">
            <v>EI ALQ BRI SI4000 B BRIGHYELLO</v>
          </cell>
          <cell r="C2116">
            <v>3</v>
          </cell>
          <cell r="D2116">
            <v>1095</v>
          </cell>
        </row>
        <row r="2117">
          <cell r="A2117" t="str">
            <v>B53YSA4157-1</v>
          </cell>
          <cell r="B2117" t="str">
            <v>EI ALQ BRI SI4000 B BRIGHYELLO</v>
          </cell>
          <cell r="C2117">
            <v>3</v>
          </cell>
          <cell r="D2117">
            <v>1095</v>
          </cell>
        </row>
        <row r="2118">
          <cell r="A2118" t="str">
            <v>B53YSA4157-1/4</v>
          </cell>
          <cell r="B2118" t="str">
            <v>EI ALQ BRI SI4000 B BRIGHYELLO</v>
          </cell>
          <cell r="C2118">
            <v>3</v>
          </cell>
          <cell r="D2118">
            <v>1095</v>
          </cell>
        </row>
        <row r="2119">
          <cell r="A2119" t="str">
            <v>B54ACR3</v>
          </cell>
          <cell r="B2119" t="str">
            <v>ESM IND FAST DRY BRILLANT GRIS</v>
          </cell>
          <cell r="C2119">
            <v>2</v>
          </cell>
          <cell r="D2119">
            <v>730</v>
          </cell>
        </row>
        <row r="2120">
          <cell r="A2120" t="str">
            <v>B54ACR3-1</v>
          </cell>
          <cell r="B2120" t="str">
            <v>ESM IND FAST DRY BRILLANT GRIS</v>
          </cell>
          <cell r="C2120">
            <v>2</v>
          </cell>
          <cell r="D2120">
            <v>730</v>
          </cell>
        </row>
        <row r="2121">
          <cell r="A2121" t="str">
            <v>B54ACR3-1/4</v>
          </cell>
          <cell r="B2121" t="str">
            <v>ESM IND FAST DRY BRILLANT GRIS</v>
          </cell>
          <cell r="C2121">
            <v>2</v>
          </cell>
          <cell r="D2121">
            <v>730</v>
          </cell>
        </row>
        <row r="2122">
          <cell r="A2122" t="str">
            <v>B54BCR1</v>
          </cell>
          <cell r="B2122" t="str">
            <v>ESM IND FAST DRY BRILLAN NEGRO</v>
          </cell>
          <cell r="C2122">
            <v>2</v>
          </cell>
          <cell r="D2122">
            <v>730</v>
          </cell>
        </row>
        <row r="2123">
          <cell r="A2123" t="str">
            <v>B54BCR1-1</v>
          </cell>
          <cell r="B2123" t="str">
            <v>ESM IND FAST DRY BRILLAN NEGRO</v>
          </cell>
          <cell r="C2123">
            <v>2</v>
          </cell>
          <cell r="D2123">
            <v>730</v>
          </cell>
        </row>
        <row r="2124">
          <cell r="A2124" t="str">
            <v>B54BCR1-1/4</v>
          </cell>
          <cell r="B2124" t="str">
            <v>ESM IND FAST DRY BRILLAN NEGRO</v>
          </cell>
          <cell r="C2124">
            <v>2</v>
          </cell>
          <cell r="D2124">
            <v>730</v>
          </cell>
        </row>
        <row r="2125">
          <cell r="A2125" t="str">
            <v>B54GCR1</v>
          </cell>
          <cell r="B2125" t="str">
            <v>ESM IND FAST DRY BRILLAN VERDE</v>
          </cell>
          <cell r="C2125">
            <v>2</v>
          </cell>
          <cell r="D2125">
            <v>730</v>
          </cell>
        </row>
        <row r="2126">
          <cell r="A2126" t="str">
            <v>B54GCR1-1</v>
          </cell>
          <cell r="B2126" t="str">
            <v>ESM IND FAST DRY BRILLAN VERDE</v>
          </cell>
          <cell r="C2126">
            <v>2</v>
          </cell>
          <cell r="D2126">
            <v>730</v>
          </cell>
        </row>
        <row r="2127">
          <cell r="A2127" t="str">
            <v>B54GCR1-1/4</v>
          </cell>
          <cell r="B2127" t="str">
            <v>ESM IND FAST DRY BRILLAN VERDE</v>
          </cell>
          <cell r="C2127">
            <v>2</v>
          </cell>
          <cell r="D2127">
            <v>730</v>
          </cell>
        </row>
        <row r="2128">
          <cell r="A2128" t="str">
            <v>B54LCR1</v>
          </cell>
          <cell r="B2128" t="str">
            <v>ESM IND FAST DRY BRILLANT AZUL</v>
          </cell>
          <cell r="C2128">
            <v>2</v>
          </cell>
          <cell r="D2128">
            <v>730</v>
          </cell>
        </row>
        <row r="2129">
          <cell r="A2129" t="str">
            <v>B54LCR1-1</v>
          </cell>
          <cell r="B2129" t="str">
            <v>ESM IND FAST DRY BRILLANT AZUL</v>
          </cell>
          <cell r="C2129">
            <v>2</v>
          </cell>
          <cell r="D2129">
            <v>730</v>
          </cell>
        </row>
        <row r="2130">
          <cell r="A2130" t="str">
            <v>B54LCR1-1/4</v>
          </cell>
          <cell r="B2130" t="str">
            <v>ESM IND FAST DRY BRILLANT AZUL</v>
          </cell>
          <cell r="C2130">
            <v>2</v>
          </cell>
          <cell r="D2130">
            <v>730</v>
          </cell>
        </row>
        <row r="2131">
          <cell r="A2131" t="str">
            <v>B54RCR1</v>
          </cell>
          <cell r="B2131" t="str">
            <v>ESM IND FAST DRY BRILLANT ROJO</v>
          </cell>
          <cell r="C2131">
            <v>2</v>
          </cell>
          <cell r="D2131">
            <v>730</v>
          </cell>
        </row>
        <row r="2132">
          <cell r="A2132" t="str">
            <v>B54RCR1-1</v>
          </cell>
          <cell r="B2132" t="str">
            <v>ESM IND FAST DRY BRILLANT ROJO</v>
          </cell>
          <cell r="C2132">
            <v>2</v>
          </cell>
          <cell r="D2132">
            <v>730</v>
          </cell>
        </row>
        <row r="2133">
          <cell r="A2133" t="str">
            <v>B54RCR1-1/4</v>
          </cell>
          <cell r="B2133" t="str">
            <v>ESM IND FAST DRY BRILLANT ROJO</v>
          </cell>
          <cell r="C2133">
            <v>2</v>
          </cell>
          <cell r="D2133">
            <v>730</v>
          </cell>
        </row>
        <row r="2134">
          <cell r="A2134" t="str">
            <v>B54WCR1</v>
          </cell>
          <cell r="B2134" t="str">
            <v>ESM IND FAST DRY BRILLANTE BCO</v>
          </cell>
          <cell r="C2134">
            <v>2</v>
          </cell>
          <cell r="D2134">
            <v>730</v>
          </cell>
        </row>
        <row r="2135">
          <cell r="A2135" t="str">
            <v>B54WCR1-1</v>
          </cell>
          <cell r="B2135" t="str">
            <v>ESM IND FAST DRY BRILLANTE BCO</v>
          </cell>
          <cell r="C2135">
            <v>2</v>
          </cell>
          <cell r="D2135">
            <v>730</v>
          </cell>
        </row>
        <row r="2136">
          <cell r="A2136" t="str">
            <v>B54WCR1-1/4</v>
          </cell>
          <cell r="B2136" t="str">
            <v>ESM IND FAST DRY BRILLANTE BCO</v>
          </cell>
          <cell r="C2136">
            <v>2</v>
          </cell>
          <cell r="D2136">
            <v>730</v>
          </cell>
        </row>
        <row r="2137">
          <cell r="A2137" t="str">
            <v>B54YCR1</v>
          </cell>
          <cell r="B2137" t="str">
            <v>ESM IND FAST DRY BRIL AMARILLO</v>
          </cell>
          <cell r="C2137">
            <v>2</v>
          </cell>
          <cell r="D2137">
            <v>730</v>
          </cell>
        </row>
        <row r="2138">
          <cell r="A2138" t="str">
            <v>B54YCR1-1</v>
          </cell>
          <cell r="B2138" t="str">
            <v>ESM IND FAST DRY BRIL AMARILLO</v>
          </cell>
          <cell r="C2138">
            <v>2</v>
          </cell>
          <cell r="D2138">
            <v>730</v>
          </cell>
        </row>
        <row r="2139">
          <cell r="A2139" t="str">
            <v>B54YCR1-1/4</v>
          </cell>
          <cell r="B2139" t="str">
            <v>ESM IND FAST DRY BRIL AMARILLO</v>
          </cell>
          <cell r="C2139">
            <v>2</v>
          </cell>
          <cell r="D2139">
            <v>730</v>
          </cell>
        </row>
        <row r="2140">
          <cell r="A2140" t="str">
            <v>B60V20-1</v>
          </cell>
          <cell r="B2140" t="str">
            <v>HI-SOLID  CATALYZED HARDENER B</v>
          </cell>
          <cell r="C2140">
            <v>2</v>
          </cell>
          <cell r="D2140">
            <v>730</v>
          </cell>
        </row>
        <row r="2141">
          <cell r="A2141" t="str">
            <v>B60V20-1/4</v>
          </cell>
          <cell r="B2141" t="str">
            <v>HIGHT SOLIDS CATALIZED HARDENE</v>
          </cell>
          <cell r="C2141">
            <v>2</v>
          </cell>
          <cell r="D2141">
            <v>730</v>
          </cell>
        </row>
        <row r="2142">
          <cell r="A2142" t="str">
            <v>B61B2</v>
          </cell>
          <cell r="B2142" t="str">
            <v xml:space="preserve">INTERIOR WATER TANK COATING   </v>
          </cell>
          <cell r="C2142">
            <v>2</v>
          </cell>
          <cell r="D2142">
            <v>730</v>
          </cell>
        </row>
        <row r="2143">
          <cell r="A2143" t="str">
            <v>B61B2-1</v>
          </cell>
          <cell r="B2143" t="str">
            <v xml:space="preserve">INTERIOR WATER TANK COATING   </v>
          </cell>
          <cell r="C2143">
            <v>2</v>
          </cell>
          <cell r="D2143">
            <v>730</v>
          </cell>
        </row>
        <row r="2144">
          <cell r="A2144" t="str">
            <v>B61BSA1</v>
          </cell>
          <cell r="B2144" t="str">
            <v xml:space="preserve">EBONOL                        </v>
          </cell>
          <cell r="C2144">
            <v>2</v>
          </cell>
          <cell r="D2144">
            <v>730</v>
          </cell>
        </row>
        <row r="2145">
          <cell r="A2145" t="str">
            <v>B61BSA1-1</v>
          </cell>
          <cell r="B2145" t="str">
            <v xml:space="preserve">EBONOL                        </v>
          </cell>
          <cell r="C2145">
            <v>2</v>
          </cell>
          <cell r="D2145">
            <v>730</v>
          </cell>
        </row>
        <row r="2146">
          <cell r="A2146" t="str">
            <v>B62W201-1</v>
          </cell>
          <cell r="B2146" t="str">
            <v xml:space="preserve">HI SOLID CATALYZED EXPOXY     </v>
          </cell>
          <cell r="C2146">
            <v>2</v>
          </cell>
          <cell r="D2146">
            <v>730</v>
          </cell>
        </row>
        <row r="2147">
          <cell r="A2147" t="str">
            <v>B62W201-4</v>
          </cell>
          <cell r="B2147" t="str">
            <v>HI-SOLID CATALYZED EPOXY BCO A</v>
          </cell>
          <cell r="C2147">
            <v>2</v>
          </cell>
          <cell r="D2147">
            <v>730</v>
          </cell>
        </row>
        <row r="2148">
          <cell r="A2148" t="str">
            <v>B66ASA2</v>
          </cell>
          <cell r="B2148" t="str">
            <v xml:space="preserve">DTM S/B GRIS PROVIVIENDA      </v>
          </cell>
          <cell r="C2148">
            <v>2</v>
          </cell>
          <cell r="D2148">
            <v>730</v>
          </cell>
        </row>
        <row r="2149">
          <cell r="A2149" t="str">
            <v>B66ASA2-1</v>
          </cell>
          <cell r="B2149" t="str">
            <v xml:space="preserve">DTM S/B GRIS PROVIVIENDA      </v>
          </cell>
          <cell r="C2149">
            <v>2</v>
          </cell>
          <cell r="D2149">
            <v>730</v>
          </cell>
        </row>
        <row r="2150">
          <cell r="A2150" t="str">
            <v>B66B11-1</v>
          </cell>
          <cell r="B2150" t="str">
            <v xml:space="preserve">DIRECT TO METAL NEGRO         </v>
          </cell>
          <cell r="C2150">
            <v>2</v>
          </cell>
          <cell r="D2150">
            <v>730</v>
          </cell>
        </row>
        <row r="2151">
          <cell r="A2151" t="str">
            <v>B66W101</v>
          </cell>
          <cell r="B2151" t="str">
            <v xml:space="preserve">DIRECT TO METAL BLANCO        </v>
          </cell>
          <cell r="C2151">
            <v>2</v>
          </cell>
          <cell r="D2151">
            <v>730</v>
          </cell>
        </row>
        <row r="2152">
          <cell r="A2152" t="str">
            <v>B66W101-1</v>
          </cell>
          <cell r="B2152" t="str">
            <v xml:space="preserve">DIRECT TO METAL BLANCO        </v>
          </cell>
          <cell r="C2152">
            <v>2</v>
          </cell>
          <cell r="D2152">
            <v>730</v>
          </cell>
        </row>
        <row r="2153">
          <cell r="A2153" t="str">
            <v>B69D11</v>
          </cell>
          <cell r="B2153" t="str">
            <v>ZINC CLAD II SILICAT ZINC DUST</v>
          </cell>
          <cell r="C2153">
            <v>2</v>
          </cell>
          <cell r="D2153">
            <v>730</v>
          </cell>
        </row>
        <row r="2154">
          <cell r="A2154" t="str">
            <v>B69D11-5</v>
          </cell>
          <cell r="B2154" t="str">
            <v>ZINC CLAD II SILICAT ZINC DUST</v>
          </cell>
          <cell r="C2154">
            <v>2</v>
          </cell>
          <cell r="D2154">
            <v>730</v>
          </cell>
        </row>
        <row r="2155">
          <cell r="A2155" t="str">
            <v>B79ASA10</v>
          </cell>
          <cell r="B2155" t="str">
            <v>COLONIAL STYLE LATEX MATE GRAY</v>
          </cell>
          <cell r="C2155">
            <v>2</v>
          </cell>
          <cell r="D2155">
            <v>730</v>
          </cell>
        </row>
        <row r="2156">
          <cell r="A2156" t="str">
            <v>B79ASA10-1</v>
          </cell>
          <cell r="B2156" t="str">
            <v>COLONIAL STYLE LATEX MATE GRAY</v>
          </cell>
          <cell r="C2156">
            <v>2</v>
          </cell>
          <cell r="D2156">
            <v>730</v>
          </cell>
        </row>
        <row r="2157">
          <cell r="A2157" t="str">
            <v>B79ASA10-5</v>
          </cell>
          <cell r="B2157" t="str">
            <v>COLONIAL STYLE LATEX MATE GRAY</v>
          </cell>
          <cell r="C2157">
            <v>2</v>
          </cell>
          <cell r="D2157">
            <v>730</v>
          </cell>
        </row>
        <row r="2158">
          <cell r="A2158" t="str">
            <v>B79ASA11</v>
          </cell>
          <cell r="B2158" t="str">
            <v>COLONIAL STYLE LATEX MATE GRIS</v>
          </cell>
          <cell r="C2158">
            <v>2</v>
          </cell>
          <cell r="D2158">
            <v>730</v>
          </cell>
        </row>
        <row r="2159">
          <cell r="A2159" t="str">
            <v>B79ASA11-1</v>
          </cell>
          <cell r="B2159" t="str">
            <v>COLONIAL STYLE LATEX MATE GRIS</v>
          </cell>
          <cell r="C2159">
            <v>2</v>
          </cell>
          <cell r="D2159">
            <v>730</v>
          </cell>
        </row>
        <row r="2160">
          <cell r="A2160" t="str">
            <v>B79ASA11-5</v>
          </cell>
          <cell r="B2160" t="str">
            <v>COLONIAL STYLE LATEX MATE GRIS</v>
          </cell>
          <cell r="C2160">
            <v>2</v>
          </cell>
          <cell r="D2160">
            <v>730</v>
          </cell>
        </row>
        <row r="2161">
          <cell r="A2161" t="str">
            <v>B79ASA12</v>
          </cell>
          <cell r="B2161" t="str">
            <v xml:space="preserve">COLONIAL STYL LAT MATE GRIS   </v>
          </cell>
          <cell r="C2161">
            <v>2</v>
          </cell>
          <cell r="D2161">
            <v>730</v>
          </cell>
        </row>
        <row r="2162">
          <cell r="A2162" t="str">
            <v>B79ASA12-1</v>
          </cell>
          <cell r="B2162" t="str">
            <v xml:space="preserve">COLONIAL STYL LAT MATE GRIS   </v>
          </cell>
          <cell r="C2162">
            <v>2</v>
          </cell>
          <cell r="D2162">
            <v>730</v>
          </cell>
        </row>
        <row r="2163">
          <cell r="A2163" t="str">
            <v>B79ASA13</v>
          </cell>
          <cell r="B2163" t="str">
            <v>COLONIAL STYLE LATEX MATE GRIS</v>
          </cell>
          <cell r="C2163">
            <v>2</v>
          </cell>
          <cell r="D2163">
            <v>730</v>
          </cell>
        </row>
        <row r="2164">
          <cell r="A2164" t="str">
            <v>B79ASA13-5</v>
          </cell>
          <cell r="B2164" t="str">
            <v>COLONIAL STYLE LATEX MATE GRIS</v>
          </cell>
          <cell r="C2164">
            <v>2</v>
          </cell>
          <cell r="D2164">
            <v>730</v>
          </cell>
        </row>
        <row r="2165">
          <cell r="A2165" t="str">
            <v>B79ASA6</v>
          </cell>
          <cell r="B2165" t="str">
            <v>COL ST LATE MAT GRIS SILVERADO</v>
          </cell>
          <cell r="C2165">
            <v>2</v>
          </cell>
          <cell r="D2165">
            <v>730</v>
          </cell>
        </row>
        <row r="2166">
          <cell r="A2166" t="str">
            <v>B79ASA6-1</v>
          </cell>
          <cell r="B2166" t="str">
            <v>COL ST LATE MAT GRIS SILVERADO</v>
          </cell>
          <cell r="C2166">
            <v>2</v>
          </cell>
          <cell r="D2166">
            <v>730</v>
          </cell>
        </row>
        <row r="2167">
          <cell r="A2167" t="str">
            <v>B79ASA6-1/4</v>
          </cell>
          <cell r="B2167" t="str">
            <v>COL ST LATE MAT GRIS SILVERADO</v>
          </cell>
          <cell r="C2167">
            <v>2</v>
          </cell>
          <cell r="D2167">
            <v>730</v>
          </cell>
        </row>
        <row r="2168">
          <cell r="A2168" t="str">
            <v>B79ASA6-5</v>
          </cell>
          <cell r="B2168" t="str">
            <v xml:space="preserve">COLONIAL LATEX GRIS SILVERADO </v>
          </cell>
          <cell r="C2168">
            <v>2</v>
          </cell>
          <cell r="D2168">
            <v>730</v>
          </cell>
        </row>
        <row r="2169">
          <cell r="A2169" t="str">
            <v>B79ASA9</v>
          </cell>
          <cell r="B2169" t="str">
            <v>COLONIAL STYLE MATE GRIS PLATA</v>
          </cell>
          <cell r="C2169">
            <v>2</v>
          </cell>
          <cell r="D2169">
            <v>730</v>
          </cell>
        </row>
        <row r="2170">
          <cell r="A2170" t="str">
            <v>B79ASA9-1</v>
          </cell>
          <cell r="B2170" t="str">
            <v>COLONIAL STYLE MATE GRIS PLATA</v>
          </cell>
          <cell r="C2170">
            <v>2</v>
          </cell>
          <cell r="D2170">
            <v>730</v>
          </cell>
        </row>
        <row r="2171">
          <cell r="A2171" t="str">
            <v>B79ASA9-1/4</v>
          </cell>
          <cell r="B2171" t="str">
            <v>COLONIAL STYLE MATE GRIS PLATA</v>
          </cell>
          <cell r="C2171">
            <v>2</v>
          </cell>
          <cell r="D2171">
            <v>730</v>
          </cell>
        </row>
        <row r="2172">
          <cell r="A2172" t="str">
            <v>B79ASA9-5</v>
          </cell>
          <cell r="B2172" t="str">
            <v>COLONIAL STYLE MATE GRIS PLATA</v>
          </cell>
          <cell r="C2172">
            <v>2</v>
          </cell>
          <cell r="D2172">
            <v>730</v>
          </cell>
        </row>
        <row r="2173">
          <cell r="A2173" t="str">
            <v>B79ESA10</v>
          </cell>
          <cell r="B2173" t="str">
            <v xml:space="preserve">COLONIAL STYL LAT MAT CORAL   </v>
          </cell>
          <cell r="C2173">
            <v>2</v>
          </cell>
          <cell r="D2173">
            <v>730</v>
          </cell>
        </row>
        <row r="2174">
          <cell r="A2174" t="str">
            <v>B79ESA10-1</v>
          </cell>
          <cell r="B2174" t="str">
            <v xml:space="preserve">COLONIAL STYL LAT MAT CORAL   </v>
          </cell>
          <cell r="C2174">
            <v>2</v>
          </cell>
          <cell r="D2174">
            <v>730</v>
          </cell>
        </row>
        <row r="2175">
          <cell r="A2175" t="str">
            <v>B79ESA11</v>
          </cell>
          <cell r="B2175" t="str">
            <v xml:space="preserve">COLONIAL STYLE LAT MATE PEACH </v>
          </cell>
          <cell r="C2175">
            <v>2</v>
          </cell>
          <cell r="D2175">
            <v>730</v>
          </cell>
        </row>
        <row r="2176">
          <cell r="A2176" t="str">
            <v>B79ESA11-5</v>
          </cell>
          <cell r="B2176" t="str">
            <v xml:space="preserve">COLONIAL STYLE LAT MATE PEACH </v>
          </cell>
          <cell r="C2176">
            <v>2</v>
          </cell>
          <cell r="D2176">
            <v>730</v>
          </cell>
        </row>
        <row r="2177">
          <cell r="A2177" t="str">
            <v>B79ESA12</v>
          </cell>
          <cell r="B2177" t="str">
            <v xml:space="preserve">COLONIAL STYLE LATEX MATE BOR </v>
          </cell>
          <cell r="C2177">
            <v>2</v>
          </cell>
          <cell r="D2177">
            <v>730</v>
          </cell>
        </row>
        <row r="2178">
          <cell r="A2178" t="str">
            <v>B79ESA12-5</v>
          </cell>
          <cell r="B2178" t="str">
            <v xml:space="preserve">COLONIAL STYLE LATEX MATE BOR </v>
          </cell>
          <cell r="C2178">
            <v>2</v>
          </cell>
          <cell r="D2178">
            <v>730</v>
          </cell>
        </row>
        <row r="2179">
          <cell r="A2179" t="str">
            <v>B79ESA2</v>
          </cell>
          <cell r="B2179" t="str">
            <v>COLONIAL STYL LATEX MATE MELON</v>
          </cell>
          <cell r="C2179">
            <v>2</v>
          </cell>
          <cell r="D2179">
            <v>730</v>
          </cell>
        </row>
        <row r="2180">
          <cell r="A2180" t="str">
            <v>B79ESA2-1</v>
          </cell>
          <cell r="B2180" t="str">
            <v>COLONIAL STYL LATEX MATE MELON</v>
          </cell>
          <cell r="C2180">
            <v>2</v>
          </cell>
          <cell r="D2180">
            <v>730</v>
          </cell>
        </row>
        <row r="2181">
          <cell r="A2181" t="str">
            <v>B79ESA2-1/4</v>
          </cell>
          <cell r="B2181" t="str">
            <v>COLONIAL STYL LATEX MATE MELON</v>
          </cell>
          <cell r="C2181">
            <v>2</v>
          </cell>
          <cell r="D2181">
            <v>730</v>
          </cell>
        </row>
        <row r="2182">
          <cell r="A2182" t="str">
            <v>B79ESA2-5</v>
          </cell>
          <cell r="B2182" t="str">
            <v>COLONIAL STYL LATEX MATE MELON</v>
          </cell>
          <cell r="C2182">
            <v>2</v>
          </cell>
          <cell r="D2182">
            <v>730</v>
          </cell>
        </row>
        <row r="2183">
          <cell r="A2183" t="str">
            <v>B79ESA7</v>
          </cell>
          <cell r="B2183" t="str">
            <v xml:space="preserve">COLONIAL STYLE LAT MATE MELOC </v>
          </cell>
          <cell r="C2183">
            <v>2</v>
          </cell>
          <cell r="D2183">
            <v>730</v>
          </cell>
        </row>
        <row r="2184">
          <cell r="A2184" t="str">
            <v>B79ESA7-1</v>
          </cell>
          <cell r="B2184" t="str">
            <v xml:space="preserve">COLONIAL STYLE LAT MATE MELOC </v>
          </cell>
          <cell r="C2184">
            <v>2</v>
          </cell>
          <cell r="D2184">
            <v>730</v>
          </cell>
        </row>
        <row r="2185">
          <cell r="A2185" t="str">
            <v>B79ESA7-1/4</v>
          </cell>
          <cell r="B2185" t="str">
            <v xml:space="preserve">COLONIAL STYLE LAT MATE MELOC </v>
          </cell>
          <cell r="C2185">
            <v>2</v>
          </cell>
          <cell r="D2185">
            <v>730</v>
          </cell>
        </row>
        <row r="2186">
          <cell r="A2186" t="str">
            <v>B79ESA7-5</v>
          </cell>
          <cell r="B2186" t="str">
            <v xml:space="preserve">COLONIAL STYLE LAT MATE MELOC </v>
          </cell>
          <cell r="C2186">
            <v>2</v>
          </cell>
          <cell r="D2186">
            <v>730</v>
          </cell>
        </row>
        <row r="2187">
          <cell r="A2187" t="str">
            <v>B79ESA8</v>
          </cell>
          <cell r="B2187" t="str">
            <v xml:space="preserve">COLONIAL STYLE LAT MATE PEACH </v>
          </cell>
          <cell r="C2187">
            <v>2</v>
          </cell>
          <cell r="D2187">
            <v>730</v>
          </cell>
        </row>
        <row r="2188">
          <cell r="A2188" t="str">
            <v>B79ESA8-1</v>
          </cell>
          <cell r="B2188" t="str">
            <v xml:space="preserve">COLONIAL STYLE LAT MATE PEACH </v>
          </cell>
          <cell r="C2188">
            <v>2</v>
          </cell>
          <cell r="D2188">
            <v>730</v>
          </cell>
        </row>
        <row r="2189">
          <cell r="A2189" t="str">
            <v>B79ESA9</v>
          </cell>
          <cell r="B2189" t="str">
            <v xml:space="preserve">COLONIAL STYLE LAT MATE PEACH </v>
          </cell>
          <cell r="C2189">
            <v>2</v>
          </cell>
          <cell r="D2189">
            <v>730</v>
          </cell>
        </row>
        <row r="2190">
          <cell r="A2190" t="str">
            <v>B79ESA9-1</v>
          </cell>
          <cell r="B2190" t="str">
            <v xml:space="preserve">COLONIAL STYLE LAT MATE PEACH </v>
          </cell>
          <cell r="C2190">
            <v>2</v>
          </cell>
          <cell r="D2190">
            <v>730</v>
          </cell>
        </row>
        <row r="2191">
          <cell r="A2191" t="str">
            <v>B79GSA15</v>
          </cell>
          <cell r="B2191" t="str">
            <v>COL STYL LATEX MAT VERDE MENTA</v>
          </cell>
          <cell r="C2191">
            <v>2</v>
          </cell>
          <cell r="D2191">
            <v>730</v>
          </cell>
        </row>
        <row r="2192">
          <cell r="A2192" t="str">
            <v>B79GSA15-1</v>
          </cell>
          <cell r="B2192" t="str">
            <v>COL STYL LATEX MAT VERDE MENTA</v>
          </cell>
          <cell r="C2192">
            <v>2</v>
          </cell>
          <cell r="D2192">
            <v>730</v>
          </cell>
        </row>
        <row r="2193">
          <cell r="A2193" t="str">
            <v>B79GSA15-1/4</v>
          </cell>
          <cell r="B2193" t="str">
            <v>COL STYL LATEX MAT VERDE MENTA</v>
          </cell>
          <cell r="C2193">
            <v>2</v>
          </cell>
          <cell r="D2193">
            <v>730</v>
          </cell>
        </row>
        <row r="2194">
          <cell r="A2194" t="str">
            <v>B79GSA15-5</v>
          </cell>
          <cell r="B2194" t="str">
            <v xml:space="preserve">COLONIAL LATEX VERDE MENTA    </v>
          </cell>
          <cell r="C2194">
            <v>2</v>
          </cell>
          <cell r="D2194">
            <v>730</v>
          </cell>
        </row>
        <row r="2195">
          <cell r="A2195" t="str">
            <v>B79GSA17</v>
          </cell>
          <cell r="B2195" t="str">
            <v xml:space="preserve">COLONIAL LATEX VERDE CAMPERO  </v>
          </cell>
          <cell r="C2195">
            <v>2</v>
          </cell>
          <cell r="D2195">
            <v>730</v>
          </cell>
        </row>
        <row r="2196">
          <cell r="A2196" t="str">
            <v>B79GSA17-1</v>
          </cell>
          <cell r="B2196" t="str">
            <v xml:space="preserve">COLONIAL LATEX VERDE CAMPERO  </v>
          </cell>
          <cell r="C2196">
            <v>2</v>
          </cell>
          <cell r="D2196">
            <v>730</v>
          </cell>
        </row>
        <row r="2197">
          <cell r="A2197" t="str">
            <v>B79GSA19</v>
          </cell>
          <cell r="B2197" t="str">
            <v xml:space="preserve">COLONIAL STYLE LAT MATE VERDE </v>
          </cell>
          <cell r="C2197">
            <v>2</v>
          </cell>
          <cell r="D2197">
            <v>730</v>
          </cell>
        </row>
        <row r="2198">
          <cell r="A2198" t="str">
            <v>B79GSA19-1</v>
          </cell>
          <cell r="B2198" t="str">
            <v xml:space="preserve">COLONIAL STYLE LAT MATE VERDE </v>
          </cell>
          <cell r="C2198">
            <v>2</v>
          </cell>
          <cell r="D2198">
            <v>730</v>
          </cell>
        </row>
        <row r="2199">
          <cell r="A2199" t="str">
            <v>B79GSA19-5</v>
          </cell>
          <cell r="B2199" t="str">
            <v xml:space="preserve">COLONIAL STYLE LAT MATE VERDE </v>
          </cell>
          <cell r="C2199">
            <v>2</v>
          </cell>
          <cell r="D2199">
            <v>730</v>
          </cell>
        </row>
        <row r="2200">
          <cell r="A2200" t="str">
            <v>B79GSA20</v>
          </cell>
          <cell r="B2200" t="str">
            <v xml:space="preserve">COLONIAL STYLE LAT MATE VERDE </v>
          </cell>
          <cell r="C2200">
            <v>2</v>
          </cell>
          <cell r="D2200">
            <v>730</v>
          </cell>
        </row>
        <row r="2201">
          <cell r="A2201" t="str">
            <v>B79GSA20-1</v>
          </cell>
          <cell r="B2201" t="str">
            <v xml:space="preserve">COLONIAL STYLE LAT MATE VERDE </v>
          </cell>
          <cell r="C2201">
            <v>2</v>
          </cell>
          <cell r="D2201">
            <v>730</v>
          </cell>
        </row>
        <row r="2202">
          <cell r="A2202" t="str">
            <v>B79GSA21</v>
          </cell>
          <cell r="B2202" t="str">
            <v xml:space="preserve">COLONIAL SYTL LAT MAT VERDE   </v>
          </cell>
          <cell r="C2202">
            <v>2</v>
          </cell>
          <cell r="D2202">
            <v>730</v>
          </cell>
        </row>
        <row r="2203">
          <cell r="A2203" t="str">
            <v>B79GSA21-5</v>
          </cell>
          <cell r="B2203" t="str">
            <v xml:space="preserve">COLONIAL SYTL LAT MAT VERDE   </v>
          </cell>
          <cell r="C2203">
            <v>2</v>
          </cell>
          <cell r="D2203">
            <v>730</v>
          </cell>
        </row>
        <row r="2204">
          <cell r="A2204" t="str">
            <v>B79GSA24</v>
          </cell>
          <cell r="B2204" t="str">
            <v xml:space="preserve">COLONIAL STYL LAT MATE VERDE  </v>
          </cell>
          <cell r="C2204">
            <v>2</v>
          </cell>
          <cell r="D2204">
            <v>730</v>
          </cell>
        </row>
        <row r="2205">
          <cell r="A2205" t="str">
            <v>B79GSA24-50</v>
          </cell>
          <cell r="B2205" t="str">
            <v xml:space="preserve">COLONIAL STYL LAT MATE VERDE  </v>
          </cell>
          <cell r="C2205">
            <v>2</v>
          </cell>
          <cell r="D2205">
            <v>730</v>
          </cell>
        </row>
        <row r="2206">
          <cell r="A2206" t="str">
            <v>B79GSA25</v>
          </cell>
          <cell r="B2206" t="str">
            <v xml:space="preserve">COLONIAL STYL LAT MATE VERDE  </v>
          </cell>
          <cell r="C2206">
            <v>2</v>
          </cell>
          <cell r="D2206">
            <v>730</v>
          </cell>
        </row>
        <row r="2207">
          <cell r="A2207" t="str">
            <v>B79GSA25-1</v>
          </cell>
          <cell r="B2207" t="str">
            <v xml:space="preserve">COLONIAL STYL LAT MATE VERDE  </v>
          </cell>
          <cell r="C2207">
            <v>2</v>
          </cell>
          <cell r="D2207">
            <v>730</v>
          </cell>
        </row>
        <row r="2208">
          <cell r="A2208" t="str">
            <v>B79GSA26</v>
          </cell>
          <cell r="B2208" t="str">
            <v xml:space="preserve">COLONIAL STYLE LAT MATE VERDE </v>
          </cell>
          <cell r="C2208">
            <v>2</v>
          </cell>
          <cell r="D2208">
            <v>730</v>
          </cell>
        </row>
        <row r="2209">
          <cell r="A2209" t="str">
            <v>B79GSA26-1</v>
          </cell>
          <cell r="B2209" t="str">
            <v xml:space="preserve">COLONIAL STYLE LAT MATE VERDE </v>
          </cell>
          <cell r="C2209">
            <v>2</v>
          </cell>
          <cell r="D2209">
            <v>730</v>
          </cell>
        </row>
        <row r="2210">
          <cell r="A2210" t="str">
            <v>B79GSA26-5</v>
          </cell>
          <cell r="B2210" t="str">
            <v xml:space="preserve">COLONIAL STYLE LAT MATE VERDE </v>
          </cell>
          <cell r="C2210">
            <v>2</v>
          </cell>
          <cell r="D2210">
            <v>730</v>
          </cell>
        </row>
        <row r="2211">
          <cell r="A2211" t="str">
            <v>B79GSA27</v>
          </cell>
          <cell r="B2211" t="str">
            <v xml:space="preserve">COLONIAL STYLE LAT MATE VERDE </v>
          </cell>
          <cell r="C2211">
            <v>2</v>
          </cell>
          <cell r="D2211">
            <v>730</v>
          </cell>
        </row>
        <row r="2212">
          <cell r="A2212" t="str">
            <v>B79GSA27-1</v>
          </cell>
          <cell r="B2212" t="str">
            <v xml:space="preserve">COLONIAL STYLE LAT MATE VERDE </v>
          </cell>
          <cell r="C2212">
            <v>2</v>
          </cell>
          <cell r="D2212">
            <v>730</v>
          </cell>
        </row>
        <row r="2213">
          <cell r="A2213" t="str">
            <v>B79GSA27-5</v>
          </cell>
          <cell r="B2213" t="str">
            <v xml:space="preserve">COLONIAL STYLE LAT MATE VERDE </v>
          </cell>
          <cell r="C2213">
            <v>2</v>
          </cell>
          <cell r="D2213">
            <v>730</v>
          </cell>
        </row>
        <row r="2214">
          <cell r="A2214" t="str">
            <v>B79GSA5</v>
          </cell>
          <cell r="B2214" t="str">
            <v xml:space="preserve">COL STYLE LATEX MATE TURQUESA </v>
          </cell>
          <cell r="C2214">
            <v>2</v>
          </cell>
          <cell r="D2214">
            <v>730</v>
          </cell>
        </row>
        <row r="2215">
          <cell r="A2215" t="str">
            <v>B79GSA5-1</v>
          </cell>
          <cell r="B2215" t="str">
            <v xml:space="preserve">COL STYLE LATEX MATE TURQUESA </v>
          </cell>
          <cell r="C2215">
            <v>2</v>
          </cell>
          <cell r="D2215">
            <v>730</v>
          </cell>
        </row>
        <row r="2216">
          <cell r="A2216" t="str">
            <v>B79GSA5-1/4</v>
          </cell>
          <cell r="B2216" t="str">
            <v xml:space="preserve">COL STYLE LATEX MATE TURQUESA </v>
          </cell>
          <cell r="C2216">
            <v>2</v>
          </cell>
          <cell r="D2216">
            <v>730</v>
          </cell>
        </row>
        <row r="2217">
          <cell r="A2217" t="str">
            <v>B79GSA5-5</v>
          </cell>
          <cell r="B2217" t="str">
            <v xml:space="preserve">COLONIAL LATEX TURQUESA       </v>
          </cell>
          <cell r="C2217">
            <v>2</v>
          </cell>
          <cell r="D2217">
            <v>730</v>
          </cell>
        </row>
        <row r="2218">
          <cell r="A2218" t="str">
            <v>B79HP4</v>
          </cell>
          <cell r="B2218" t="str">
            <v xml:space="preserve">COLONIAL STYLE LAT MATE CREMA </v>
          </cell>
          <cell r="C2218">
            <v>2</v>
          </cell>
          <cell r="D2218">
            <v>730</v>
          </cell>
        </row>
        <row r="2219">
          <cell r="A2219" t="str">
            <v>B79HP4-1</v>
          </cell>
          <cell r="B2219" t="str">
            <v xml:space="preserve">COLONIAL STYLE LAT MATE CREMA </v>
          </cell>
          <cell r="C2219">
            <v>2</v>
          </cell>
          <cell r="D2219">
            <v>730</v>
          </cell>
        </row>
        <row r="2220">
          <cell r="A2220" t="str">
            <v>B79HP4-5</v>
          </cell>
          <cell r="B2220" t="str">
            <v xml:space="preserve">COLONIAL STYLE LAT MATE CREMA </v>
          </cell>
          <cell r="C2220">
            <v>2</v>
          </cell>
          <cell r="D2220">
            <v>730</v>
          </cell>
        </row>
        <row r="2221">
          <cell r="A2221" t="str">
            <v>B79HSA12</v>
          </cell>
          <cell r="B2221" t="str">
            <v>COLONIAL STYLE LAT MATE TRAVER</v>
          </cell>
          <cell r="C2221">
            <v>2</v>
          </cell>
          <cell r="D2221">
            <v>730</v>
          </cell>
        </row>
        <row r="2222">
          <cell r="A2222" t="str">
            <v>B79HSA12-1</v>
          </cell>
          <cell r="B2222" t="str">
            <v>COLONIAL STYLE LAT MATE TRAVER</v>
          </cell>
          <cell r="C2222">
            <v>2</v>
          </cell>
          <cell r="D2222">
            <v>730</v>
          </cell>
        </row>
        <row r="2223">
          <cell r="A2223" t="str">
            <v>B79HSA12-5</v>
          </cell>
          <cell r="B2223" t="str">
            <v>COLONIAL STYLE LAT MATE TRAVER</v>
          </cell>
          <cell r="C2223">
            <v>2</v>
          </cell>
          <cell r="D2223">
            <v>730</v>
          </cell>
        </row>
        <row r="2224">
          <cell r="A2224" t="str">
            <v>B79HSA13</v>
          </cell>
          <cell r="B2224" t="str">
            <v>COLONIAL STYLE LAT MATE MARFIL</v>
          </cell>
          <cell r="C2224">
            <v>2</v>
          </cell>
          <cell r="D2224">
            <v>730</v>
          </cell>
        </row>
        <row r="2225">
          <cell r="A2225" t="str">
            <v>B79HSA13-1</v>
          </cell>
          <cell r="B2225" t="str">
            <v>COLONIAL STYLE LAT MATE MARFIL</v>
          </cell>
          <cell r="C2225">
            <v>2</v>
          </cell>
          <cell r="D2225">
            <v>730</v>
          </cell>
        </row>
        <row r="2226">
          <cell r="A2226" t="str">
            <v>B79HSA13-5</v>
          </cell>
          <cell r="B2226" t="str">
            <v>COLONIAL STYLE LAT MATE MARFIL</v>
          </cell>
          <cell r="C2226">
            <v>2</v>
          </cell>
          <cell r="D2226">
            <v>730</v>
          </cell>
        </row>
        <row r="2227">
          <cell r="A2227" t="str">
            <v>B79HSA14</v>
          </cell>
          <cell r="B2227" t="str">
            <v xml:space="preserve">COLONIAL LAT MARFIL           </v>
          </cell>
          <cell r="C2227">
            <v>2</v>
          </cell>
          <cell r="D2227">
            <v>730</v>
          </cell>
        </row>
        <row r="2228">
          <cell r="A2228" t="str">
            <v>B79HSA14-5</v>
          </cell>
          <cell r="B2228" t="str">
            <v xml:space="preserve">COLONIAL LAT MARFIL           </v>
          </cell>
          <cell r="C2228">
            <v>2</v>
          </cell>
          <cell r="D2228">
            <v>730</v>
          </cell>
        </row>
        <row r="2229">
          <cell r="A2229" t="str">
            <v>B79HSA15</v>
          </cell>
          <cell r="B2229" t="str">
            <v>COLONIAL STYLE LAT MATE MARFIL</v>
          </cell>
          <cell r="C2229">
            <v>2</v>
          </cell>
          <cell r="D2229">
            <v>730</v>
          </cell>
        </row>
        <row r="2230">
          <cell r="A2230" t="str">
            <v>B79HSA15-5</v>
          </cell>
          <cell r="B2230" t="str">
            <v>COLONIAL STYLE LAT MATE MARFIL</v>
          </cell>
          <cell r="C2230">
            <v>2</v>
          </cell>
          <cell r="D2230">
            <v>730</v>
          </cell>
        </row>
        <row r="2231">
          <cell r="A2231" t="str">
            <v>B79HSA17</v>
          </cell>
          <cell r="B2231" t="str">
            <v xml:space="preserve">COLONIAL STYLE MATE BEIGE     </v>
          </cell>
          <cell r="C2231">
            <v>2</v>
          </cell>
          <cell r="D2231">
            <v>730</v>
          </cell>
        </row>
        <row r="2232">
          <cell r="A2232" t="str">
            <v>B79HSA17-1</v>
          </cell>
          <cell r="B2232" t="str">
            <v xml:space="preserve">COLONIAL STYLE MATE BEIGE     </v>
          </cell>
          <cell r="C2232">
            <v>2</v>
          </cell>
          <cell r="D2232">
            <v>730</v>
          </cell>
        </row>
        <row r="2233">
          <cell r="A2233" t="str">
            <v>B79HSA17-5</v>
          </cell>
          <cell r="B2233" t="str">
            <v xml:space="preserve">COLONIAL STYLE MATE BEIGE     </v>
          </cell>
          <cell r="C2233">
            <v>2</v>
          </cell>
          <cell r="D2233">
            <v>730</v>
          </cell>
        </row>
        <row r="2234">
          <cell r="A2234" t="str">
            <v>B79HSA18</v>
          </cell>
          <cell r="B2234" t="str">
            <v>COLONIAL STYLE LAT MATE MARFIL</v>
          </cell>
          <cell r="C2234">
            <v>2</v>
          </cell>
          <cell r="D2234">
            <v>730</v>
          </cell>
        </row>
        <row r="2235">
          <cell r="A2235" t="str">
            <v>B79HSA18-1</v>
          </cell>
          <cell r="B2235" t="str">
            <v>COLONIAL STYLE LAT MATE MARFIL</v>
          </cell>
          <cell r="C2235">
            <v>2</v>
          </cell>
          <cell r="D2235">
            <v>730</v>
          </cell>
        </row>
        <row r="2236">
          <cell r="A2236" t="str">
            <v>B79HSA18-5</v>
          </cell>
          <cell r="B2236" t="str">
            <v>COLONIAL STYLE LAT MATE MARFIL</v>
          </cell>
          <cell r="C2236">
            <v>2</v>
          </cell>
          <cell r="D2236">
            <v>730</v>
          </cell>
        </row>
        <row r="2237">
          <cell r="A2237" t="str">
            <v>B79HSA7</v>
          </cell>
          <cell r="B2237" t="str">
            <v xml:space="preserve">COL STYLE LATEX MATE MARFIL   </v>
          </cell>
          <cell r="C2237">
            <v>2</v>
          </cell>
          <cell r="D2237">
            <v>730</v>
          </cell>
        </row>
        <row r="2238">
          <cell r="A2238" t="str">
            <v>B79HSA7-1</v>
          </cell>
          <cell r="B2238" t="str">
            <v xml:space="preserve">COL STYLE LATEX MATE MARFIL   </v>
          </cell>
          <cell r="C2238">
            <v>2</v>
          </cell>
          <cell r="D2238">
            <v>730</v>
          </cell>
        </row>
        <row r="2239">
          <cell r="A2239" t="str">
            <v>B79HSA7-1/4</v>
          </cell>
          <cell r="B2239" t="str">
            <v xml:space="preserve">COL STYLE LATEX MATE MARFIL   </v>
          </cell>
          <cell r="C2239">
            <v>2</v>
          </cell>
          <cell r="D2239">
            <v>730</v>
          </cell>
        </row>
        <row r="2240">
          <cell r="A2240" t="str">
            <v>B79HSA7-5</v>
          </cell>
          <cell r="B2240" t="str">
            <v xml:space="preserve">COL STYLE LATEX MATE MARFIL   </v>
          </cell>
          <cell r="C2240">
            <v>2</v>
          </cell>
          <cell r="D2240">
            <v>730</v>
          </cell>
        </row>
        <row r="2241">
          <cell r="A2241" t="str">
            <v>B79LSA13</v>
          </cell>
          <cell r="B2241" t="str">
            <v xml:space="preserve">COLONIAL LATEX CHEP BLUE      </v>
          </cell>
          <cell r="C2241">
            <v>2</v>
          </cell>
          <cell r="D2241">
            <v>730</v>
          </cell>
        </row>
        <row r="2242">
          <cell r="A2242" t="str">
            <v>B79LSA13-50</v>
          </cell>
          <cell r="B2242" t="str">
            <v xml:space="preserve">COLONIAL LATEX CHEP BLUE      </v>
          </cell>
          <cell r="C2242">
            <v>2</v>
          </cell>
          <cell r="D2242">
            <v>730</v>
          </cell>
        </row>
        <row r="2243">
          <cell r="A2243" t="str">
            <v>B79LSA18</v>
          </cell>
          <cell r="B2243" t="str">
            <v>COLONIAL STYLE LATEX MATE AZUL</v>
          </cell>
          <cell r="C2243">
            <v>2</v>
          </cell>
          <cell r="D2243">
            <v>730</v>
          </cell>
        </row>
        <row r="2244">
          <cell r="A2244" t="str">
            <v>B79LSA18-1</v>
          </cell>
          <cell r="B2244" t="str">
            <v>COLONIAL STYLE LATEX MATE AZUL</v>
          </cell>
          <cell r="C2244">
            <v>2</v>
          </cell>
          <cell r="D2244">
            <v>730</v>
          </cell>
        </row>
        <row r="2245">
          <cell r="A2245" t="str">
            <v>B79LSA18-1/4</v>
          </cell>
          <cell r="B2245" t="str">
            <v>COLONIAL STYLE LATEX MATE AZUL</v>
          </cell>
          <cell r="C2245">
            <v>2</v>
          </cell>
          <cell r="D2245">
            <v>730</v>
          </cell>
        </row>
        <row r="2246">
          <cell r="A2246" t="str">
            <v>B79LSA18-5</v>
          </cell>
          <cell r="B2246" t="str">
            <v>COLONIAL STYLE LATEX MATE AZUL</v>
          </cell>
          <cell r="C2246">
            <v>2</v>
          </cell>
          <cell r="D2246">
            <v>730</v>
          </cell>
        </row>
        <row r="2247">
          <cell r="A2247" t="str">
            <v>B79LSA19</v>
          </cell>
          <cell r="B2247" t="str">
            <v xml:space="preserve">COLONIAL STYLE LAT MATE AZUL  </v>
          </cell>
          <cell r="C2247">
            <v>2</v>
          </cell>
          <cell r="D2247">
            <v>730</v>
          </cell>
        </row>
        <row r="2248">
          <cell r="A2248" t="str">
            <v>B79LSA19-1</v>
          </cell>
          <cell r="B2248" t="str">
            <v>COLONIAL STYLE LATEX MATE AZUL</v>
          </cell>
          <cell r="C2248">
            <v>2</v>
          </cell>
          <cell r="D2248">
            <v>730</v>
          </cell>
        </row>
        <row r="2249">
          <cell r="A2249" t="str">
            <v>B79LSA19-1/4</v>
          </cell>
          <cell r="B2249" t="str">
            <v>COLONIAL STYLE LATEX MATE AZUL</v>
          </cell>
          <cell r="C2249">
            <v>2</v>
          </cell>
          <cell r="D2249">
            <v>730</v>
          </cell>
        </row>
        <row r="2250">
          <cell r="A2250" t="str">
            <v>B79LSA19-5</v>
          </cell>
          <cell r="B2250" t="str">
            <v xml:space="preserve">COLONIAL STYLE LAT MATE AZUL  </v>
          </cell>
          <cell r="C2250">
            <v>2</v>
          </cell>
          <cell r="D2250">
            <v>730</v>
          </cell>
        </row>
        <row r="2251">
          <cell r="A2251" t="str">
            <v>B79LSA20</v>
          </cell>
          <cell r="B2251" t="str">
            <v>COLONIAL STYLE LATEX MATE AZUL</v>
          </cell>
          <cell r="C2251">
            <v>2</v>
          </cell>
          <cell r="D2251">
            <v>730</v>
          </cell>
        </row>
        <row r="2252">
          <cell r="A2252" t="str">
            <v>B79LSA20-5</v>
          </cell>
          <cell r="B2252" t="str">
            <v>COLONIAL STYLE LATEX MATE AZUL</v>
          </cell>
          <cell r="C2252">
            <v>2</v>
          </cell>
          <cell r="D2252">
            <v>730</v>
          </cell>
        </row>
        <row r="2253">
          <cell r="A2253" t="str">
            <v>B79LSA5</v>
          </cell>
          <cell r="B2253" t="str">
            <v>COL STYL LATEX MAT AZULRIVIERA</v>
          </cell>
          <cell r="C2253">
            <v>2</v>
          </cell>
          <cell r="D2253">
            <v>730</v>
          </cell>
        </row>
        <row r="2254">
          <cell r="A2254" t="str">
            <v>B79LSA5-1</v>
          </cell>
          <cell r="B2254" t="str">
            <v xml:space="preserve">COL STYL LAT MAT AZUL RIVIERA </v>
          </cell>
          <cell r="C2254">
            <v>2</v>
          </cell>
          <cell r="D2254">
            <v>730</v>
          </cell>
        </row>
        <row r="2255">
          <cell r="A2255" t="str">
            <v>B79LSA5-1/4</v>
          </cell>
          <cell r="B2255" t="str">
            <v xml:space="preserve">COL STYL LAT MAT AZUL RIVIERA </v>
          </cell>
          <cell r="C2255">
            <v>2</v>
          </cell>
          <cell r="D2255">
            <v>730</v>
          </cell>
        </row>
        <row r="2256">
          <cell r="A2256" t="str">
            <v>B79LSA5-5</v>
          </cell>
          <cell r="B2256" t="str">
            <v xml:space="preserve">COLONIAL LATEX AZUL RIVIERA   </v>
          </cell>
          <cell r="C2256">
            <v>2</v>
          </cell>
          <cell r="D2256">
            <v>730</v>
          </cell>
        </row>
        <row r="2257">
          <cell r="A2257" t="str">
            <v>B79LSA7</v>
          </cell>
          <cell r="B2257" t="str">
            <v>COL ST LATE MAT TURQUESA CLARO</v>
          </cell>
          <cell r="C2257">
            <v>2</v>
          </cell>
          <cell r="D2257">
            <v>730</v>
          </cell>
        </row>
        <row r="2258">
          <cell r="A2258" t="str">
            <v>B79LSA7-1</v>
          </cell>
          <cell r="B2258" t="str">
            <v>COL ST LATE MAT TURQUESA CLARO</v>
          </cell>
          <cell r="C2258">
            <v>2</v>
          </cell>
          <cell r="D2258">
            <v>730</v>
          </cell>
        </row>
        <row r="2259">
          <cell r="A2259" t="str">
            <v>B79LSA7-1/4</v>
          </cell>
          <cell r="B2259" t="str">
            <v>COL ST LATE MAT TURQUESA CLARO</v>
          </cell>
          <cell r="C2259">
            <v>2</v>
          </cell>
          <cell r="D2259">
            <v>730</v>
          </cell>
        </row>
        <row r="2260">
          <cell r="A2260" t="str">
            <v>B79LSA7-5</v>
          </cell>
          <cell r="B2260" t="str">
            <v xml:space="preserve">COLONIAL LATEX TURQUESA CLARO </v>
          </cell>
          <cell r="C2260">
            <v>2</v>
          </cell>
          <cell r="D2260">
            <v>730</v>
          </cell>
        </row>
        <row r="2261">
          <cell r="A2261" t="str">
            <v>B79LSA9</v>
          </cell>
          <cell r="B2261" t="str">
            <v>COL ST LATE MATE CELESTE CIELO</v>
          </cell>
          <cell r="C2261">
            <v>2</v>
          </cell>
          <cell r="D2261">
            <v>730</v>
          </cell>
        </row>
        <row r="2262">
          <cell r="A2262" t="str">
            <v>B79LSA9-1</v>
          </cell>
          <cell r="B2262" t="str">
            <v>COL ST LATE MATE CELESTE CIELO</v>
          </cell>
          <cell r="C2262">
            <v>2</v>
          </cell>
          <cell r="D2262">
            <v>730</v>
          </cell>
        </row>
        <row r="2263">
          <cell r="A2263" t="str">
            <v>B79LSA9-1/4</v>
          </cell>
          <cell r="B2263" t="str">
            <v>COL ST LATE MATE CELESTE CIELO</v>
          </cell>
          <cell r="C2263">
            <v>2</v>
          </cell>
          <cell r="D2263">
            <v>730</v>
          </cell>
        </row>
        <row r="2264">
          <cell r="A2264" t="str">
            <v>B79LSA9-5</v>
          </cell>
          <cell r="B2264" t="str">
            <v>COL ST LATE MATE CELESTE CIELO</v>
          </cell>
          <cell r="C2264">
            <v>2</v>
          </cell>
          <cell r="D2264">
            <v>730</v>
          </cell>
        </row>
        <row r="2265">
          <cell r="A2265" t="str">
            <v>B79MSA1</v>
          </cell>
          <cell r="B2265" t="str">
            <v xml:space="preserve">COL STYL LATEX MATE MARRON    </v>
          </cell>
          <cell r="C2265">
            <v>2</v>
          </cell>
          <cell r="D2265">
            <v>730</v>
          </cell>
        </row>
        <row r="2266">
          <cell r="A2266" t="str">
            <v>B79MSA1-1</v>
          </cell>
          <cell r="B2266" t="str">
            <v xml:space="preserve">COL STYL LATEX MATE MARRON    </v>
          </cell>
          <cell r="C2266">
            <v>2</v>
          </cell>
          <cell r="D2266">
            <v>730</v>
          </cell>
        </row>
        <row r="2267">
          <cell r="A2267" t="str">
            <v>B79MSA1-1/4</v>
          </cell>
          <cell r="B2267" t="str">
            <v xml:space="preserve">COL STYL LATEX MATE MARRON    </v>
          </cell>
          <cell r="C2267">
            <v>2</v>
          </cell>
          <cell r="D2267">
            <v>730</v>
          </cell>
        </row>
        <row r="2268">
          <cell r="A2268" t="str">
            <v>B79MSA1-5</v>
          </cell>
          <cell r="B2268" t="str">
            <v xml:space="preserve">COLONIAL LATEX MARRON         </v>
          </cell>
          <cell r="C2268">
            <v>2</v>
          </cell>
          <cell r="D2268">
            <v>730</v>
          </cell>
        </row>
        <row r="2269">
          <cell r="A2269" t="str">
            <v>B79NSA12</v>
          </cell>
          <cell r="B2269" t="str">
            <v xml:space="preserve">COLONIAL STYLE LAT MATE BEIGE </v>
          </cell>
          <cell r="C2269">
            <v>2</v>
          </cell>
          <cell r="D2269">
            <v>730</v>
          </cell>
        </row>
        <row r="2270">
          <cell r="A2270" t="str">
            <v>B79NSA12-1</v>
          </cell>
          <cell r="B2270" t="str">
            <v xml:space="preserve">COLONIAL STYLE LAT MATE BEIGE </v>
          </cell>
          <cell r="C2270">
            <v>2</v>
          </cell>
          <cell r="D2270">
            <v>730</v>
          </cell>
        </row>
        <row r="2271">
          <cell r="A2271" t="str">
            <v>B79NSA12-5</v>
          </cell>
          <cell r="B2271" t="str">
            <v xml:space="preserve">COLONIAL STYLE LAT MATE BEIGE </v>
          </cell>
          <cell r="C2271">
            <v>2</v>
          </cell>
          <cell r="D2271">
            <v>730</v>
          </cell>
        </row>
        <row r="2272">
          <cell r="A2272" t="str">
            <v>B79NSA13</v>
          </cell>
          <cell r="B2272" t="str">
            <v xml:space="preserve">COLONIAL STYLE MATE PUEBLO    </v>
          </cell>
          <cell r="C2272">
            <v>2</v>
          </cell>
          <cell r="D2272">
            <v>730</v>
          </cell>
        </row>
        <row r="2273">
          <cell r="A2273" t="str">
            <v>B79NSA13-1</v>
          </cell>
          <cell r="B2273" t="str">
            <v xml:space="preserve">COLONIAL STYLE MATE PUEBLO    </v>
          </cell>
          <cell r="C2273">
            <v>2</v>
          </cell>
          <cell r="D2273">
            <v>730</v>
          </cell>
        </row>
        <row r="2274">
          <cell r="A2274" t="str">
            <v>B79NSA13-5</v>
          </cell>
          <cell r="B2274" t="str">
            <v xml:space="preserve">COLONIAL STYLE MATE PUEBLO    </v>
          </cell>
          <cell r="C2274">
            <v>2</v>
          </cell>
          <cell r="D2274">
            <v>730</v>
          </cell>
        </row>
        <row r="2275">
          <cell r="A2275" t="str">
            <v>B79NSA14</v>
          </cell>
          <cell r="B2275" t="str">
            <v>COLONIAL STYLE LAT BEIGE CORAL</v>
          </cell>
          <cell r="C2275">
            <v>2</v>
          </cell>
          <cell r="D2275">
            <v>730</v>
          </cell>
        </row>
        <row r="2276">
          <cell r="A2276" t="str">
            <v>B79NSA14-5</v>
          </cell>
          <cell r="B2276" t="str">
            <v>COLONIAL STYLE LAT BEIGE CORAL</v>
          </cell>
          <cell r="C2276">
            <v>2</v>
          </cell>
          <cell r="D2276">
            <v>730</v>
          </cell>
        </row>
        <row r="2277">
          <cell r="A2277" t="str">
            <v>B79NSA15</v>
          </cell>
          <cell r="B2277" t="str">
            <v>COLONIAL STYLE LATEX MATE CAFÉ</v>
          </cell>
          <cell r="C2277">
            <v>2</v>
          </cell>
          <cell r="D2277">
            <v>730</v>
          </cell>
        </row>
        <row r="2278">
          <cell r="A2278" t="str">
            <v>B79NSA15-1</v>
          </cell>
          <cell r="B2278" t="str">
            <v>COLONIAL STYLE LATEX MATE CAFÉ</v>
          </cell>
          <cell r="C2278">
            <v>2</v>
          </cell>
          <cell r="D2278">
            <v>730</v>
          </cell>
        </row>
        <row r="2279">
          <cell r="A2279" t="str">
            <v>B79NSA15-5</v>
          </cell>
          <cell r="B2279" t="str">
            <v>COLONIAL STYLE LATEX MATE CAFÉ</v>
          </cell>
          <cell r="C2279">
            <v>2</v>
          </cell>
          <cell r="D2279">
            <v>730</v>
          </cell>
        </row>
        <row r="2280">
          <cell r="A2280" t="str">
            <v>B79NSA17</v>
          </cell>
          <cell r="B2280" t="str">
            <v xml:space="preserve">COLONIAL STYLE LAT MATE BEIGE </v>
          </cell>
          <cell r="C2280">
            <v>2</v>
          </cell>
          <cell r="D2280">
            <v>730</v>
          </cell>
        </row>
        <row r="2281">
          <cell r="A2281" t="str">
            <v>B79NSA17-1</v>
          </cell>
          <cell r="B2281" t="str">
            <v xml:space="preserve">COLONIAL STYLE LAT MATE BEIGE </v>
          </cell>
          <cell r="C2281">
            <v>2</v>
          </cell>
          <cell r="D2281">
            <v>730</v>
          </cell>
        </row>
        <row r="2282">
          <cell r="A2282" t="str">
            <v>B79NSA17-5</v>
          </cell>
          <cell r="B2282" t="str">
            <v xml:space="preserve">COLONIAL STYLE LAT MATE BEIGE </v>
          </cell>
          <cell r="C2282">
            <v>2</v>
          </cell>
          <cell r="D2282">
            <v>730</v>
          </cell>
        </row>
        <row r="2283">
          <cell r="A2283" t="str">
            <v>B79NSA18</v>
          </cell>
          <cell r="B2283" t="str">
            <v>COLONIAL STYLE LATEX MATE CAFÉ</v>
          </cell>
          <cell r="C2283">
            <v>2</v>
          </cell>
          <cell r="D2283">
            <v>730</v>
          </cell>
        </row>
        <row r="2284">
          <cell r="A2284" t="str">
            <v>B79NSA18-1</v>
          </cell>
          <cell r="B2284" t="str">
            <v>COLONIAL STYLE LATEX MATE CAFÉ</v>
          </cell>
          <cell r="C2284">
            <v>2</v>
          </cell>
          <cell r="D2284">
            <v>730</v>
          </cell>
        </row>
        <row r="2285">
          <cell r="A2285" t="str">
            <v>B79NSA19</v>
          </cell>
          <cell r="B2285" t="str">
            <v xml:space="preserve">COLONIAL STYLE LAT MATE BEIGE </v>
          </cell>
          <cell r="C2285">
            <v>2</v>
          </cell>
          <cell r="D2285">
            <v>730</v>
          </cell>
        </row>
        <row r="2286">
          <cell r="A2286" t="str">
            <v>B79NSA19-1</v>
          </cell>
          <cell r="B2286" t="str">
            <v xml:space="preserve">COLONIAL STYLE LAT MATE BEIGE </v>
          </cell>
          <cell r="C2286">
            <v>2</v>
          </cell>
          <cell r="D2286">
            <v>730</v>
          </cell>
        </row>
        <row r="2287">
          <cell r="A2287" t="str">
            <v>B79NSA19-5</v>
          </cell>
          <cell r="B2287" t="str">
            <v xml:space="preserve">COLONIAL STYLE LAT MATE BEIGE </v>
          </cell>
          <cell r="C2287">
            <v>2</v>
          </cell>
          <cell r="D2287">
            <v>730</v>
          </cell>
        </row>
        <row r="2288">
          <cell r="A2288" t="str">
            <v>B79NSA20</v>
          </cell>
          <cell r="B2288" t="str">
            <v>COLONIAL STYLE LATEX MATE CAFÉ</v>
          </cell>
          <cell r="C2288">
            <v>2</v>
          </cell>
          <cell r="D2288">
            <v>730</v>
          </cell>
        </row>
        <row r="2289">
          <cell r="A2289" t="str">
            <v>B79NSA20-1</v>
          </cell>
          <cell r="B2289" t="str">
            <v>COLONIAL STYLE LATEX MATE CAFÉ</v>
          </cell>
          <cell r="C2289">
            <v>2</v>
          </cell>
          <cell r="D2289">
            <v>730</v>
          </cell>
        </row>
        <row r="2290">
          <cell r="A2290" t="str">
            <v>B79NSA20-5</v>
          </cell>
          <cell r="B2290" t="str">
            <v>COLONIAL STYLE LATEX MATE CAFÉ</v>
          </cell>
          <cell r="C2290">
            <v>2</v>
          </cell>
          <cell r="D2290">
            <v>730</v>
          </cell>
        </row>
        <row r="2291">
          <cell r="A2291" t="str">
            <v>B79NSA6</v>
          </cell>
          <cell r="B2291" t="str">
            <v xml:space="preserve">COL STYLE LATEX MATE BEIGE    </v>
          </cell>
          <cell r="C2291">
            <v>2</v>
          </cell>
          <cell r="D2291">
            <v>730</v>
          </cell>
        </row>
        <row r="2292">
          <cell r="A2292" t="str">
            <v>B79NSA6-1</v>
          </cell>
          <cell r="B2292" t="str">
            <v xml:space="preserve">COL STYLE LATEX MATE BEIGE    </v>
          </cell>
          <cell r="C2292">
            <v>2</v>
          </cell>
          <cell r="D2292">
            <v>730</v>
          </cell>
        </row>
        <row r="2293">
          <cell r="A2293" t="str">
            <v>B79NSA6-1/4</v>
          </cell>
          <cell r="B2293" t="str">
            <v xml:space="preserve">COL STYLE LATEX MATE BEIGE    </v>
          </cell>
          <cell r="C2293">
            <v>2</v>
          </cell>
          <cell r="D2293">
            <v>730</v>
          </cell>
        </row>
        <row r="2294">
          <cell r="A2294" t="str">
            <v>B79NSA6-5</v>
          </cell>
          <cell r="B2294" t="str">
            <v xml:space="preserve">COLONIAL LATEX BEIGE          </v>
          </cell>
          <cell r="C2294">
            <v>2</v>
          </cell>
          <cell r="D2294">
            <v>730</v>
          </cell>
        </row>
        <row r="2295">
          <cell r="A2295" t="str">
            <v>B79NSA7</v>
          </cell>
          <cell r="B2295" t="str">
            <v xml:space="preserve">COL STY LATEX MATE CASTAÑO    </v>
          </cell>
          <cell r="C2295">
            <v>2</v>
          </cell>
          <cell r="D2295">
            <v>730</v>
          </cell>
        </row>
        <row r="2296">
          <cell r="A2296" t="str">
            <v>B79NSA7-1</v>
          </cell>
          <cell r="B2296" t="str">
            <v xml:space="preserve">COL STY LATEX MATE CASTAÑO    </v>
          </cell>
          <cell r="C2296">
            <v>2</v>
          </cell>
          <cell r="D2296">
            <v>730</v>
          </cell>
        </row>
        <row r="2297">
          <cell r="A2297" t="str">
            <v>B79NSA7-1/4</v>
          </cell>
          <cell r="B2297" t="str">
            <v xml:space="preserve">COL STY LATEX MATE CASTAÑO    </v>
          </cell>
          <cell r="C2297">
            <v>2</v>
          </cell>
          <cell r="D2297">
            <v>730</v>
          </cell>
        </row>
        <row r="2298">
          <cell r="A2298" t="str">
            <v>B79NSA7-5</v>
          </cell>
          <cell r="B2298" t="str">
            <v xml:space="preserve">COLONIAL LATEX CASTAÑO        </v>
          </cell>
          <cell r="C2298">
            <v>2</v>
          </cell>
          <cell r="D2298">
            <v>730</v>
          </cell>
        </row>
        <row r="2299">
          <cell r="A2299" t="str">
            <v>B79NSA7-50</v>
          </cell>
          <cell r="B2299" t="str">
            <v xml:space="preserve">COLONIAL LATEX CASTAÑO        </v>
          </cell>
          <cell r="C2299">
            <v>2</v>
          </cell>
          <cell r="D2299">
            <v>730</v>
          </cell>
        </row>
        <row r="2300">
          <cell r="A2300" t="str">
            <v>B79PSA1</v>
          </cell>
          <cell r="B2300" t="str">
            <v>COLONIAL STYL LAT MATE PURPURA</v>
          </cell>
          <cell r="C2300">
            <v>2</v>
          </cell>
          <cell r="D2300">
            <v>730</v>
          </cell>
        </row>
        <row r="2301">
          <cell r="A2301" t="str">
            <v>B79PSA1-1</v>
          </cell>
          <cell r="B2301" t="str">
            <v>COLONIAL STYL LAT MATE PURPURA</v>
          </cell>
          <cell r="C2301">
            <v>2</v>
          </cell>
          <cell r="D2301">
            <v>730</v>
          </cell>
        </row>
        <row r="2302">
          <cell r="A2302" t="str">
            <v>B79RSA11</v>
          </cell>
          <cell r="B2302" t="str">
            <v>COL ST LATE MAT ROSADO PRINCES</v>
          </cell>
          <cell r="C2302">
            <v>2</v>
          </cell>
          <cell r="D2302">
            <v>730</v>
          </cell>
        </row>
        <row r="2303">
          <cell r="A2303" t="str">
            <v>B79RSA11-1</v>
          </cell>
          <cell r="B2303" t="str">
            <v>COL ST LATE MAT ROSADO PRINCES</v>
          </cell>
          <cell r="C2303">
            <v>2</v>
          </cell>
          <cell r="D2303">
            <v>730</v>
          </cell>
        </row>
        <row r="2304">
          <cell r="A2304" t="str">
            <v>B79RSA11-1/4</v>
          </cell>
          <cell r="B2304" t="str">
            <v>COL ST LATE MAT ROSADO PRINCES</v>
          </cell>
          <cell r="C2304">
            <v>2</v>
          </cell>
          <cell r="D2304">
            <v>730</v>
          </cell>
        </row>
        <row r="2305">
          <cell r="A2305" t="str">
            <v>B79RSA11-5</v>
          </cell>
          <cell r="B2305" t="str">
            <v>COLONIAL LATEX ROSADO PRINCESA</v>
          </cell>
          <cell r="C2305">
            <v>2</v>
          </cell>
          <cell r="D2305">
            <v>730</v>
          </cell>
        </row>
        <row r="2306">
          <cell r="A2306" t="str">
            <v>B79RSA15</v>
          </cell>
          <cell r="B2306" t="str">
            <v xml:space="preserve">COLONIAL STYLE LAT MATE ROJO  </v>
          </cell>
          <cell r="C2306">
            <v>2</v>
          </cell>
          <cell r="D2306">
            <v>730</v>
          </cell>
        </row>
        <row r="2307">
          <cell r="A2307" t="str">
            <v>B79RSA15-5</v>
          </cell>
          <cell r="B2307" t="str">
            <v xml:space="preserve">COLONIAL STYLE LAT MATE ROJO  </v>
          </cell>
          <cell r="C2307">
            <v>2</v>
          </cell>
          <cell r="D2307">
            <v>730</v>
          </cell>
        </row>
        <row r="2308">
          <cell r="A2308" t="str">
            <v>B79RSA19</v>
          </cell>
          <cell r="B2308" t="str">
            <v xml:space="preserve">COLONIAL STYLE LATEX  ROJO    </v>
          </cell>
          <cell r="C2308">
            <v>2</v>
          </cell>
          <cell r="D2308">
            <v>730</v>
          </cell>
        </row>
        <row r="2309">
          <cell r="A2309" t="str">
            <v>B79RSA19-1</v>
          </cell>
          <cell r="B2309" t="str">
            <v xml:space="preserve">COLONIAL STYLE LATEX  ROJO    </v>
          </cell>
          <cell r="C2309">
            <v>2</v>
          </cell>
          <cell r="D2309">
            <v>730</v>
          </cell>
        </row>
        <row r="2310">
          <cell r="A2310" t="str">
            <v>B79RSA19-5</v>
          </cell>
          <cell r="B2310" t="str">
            <v xml:space="preserve">COLONIAL STYLE LATEX  ROJO    </v>
          </cell>
          <cell r="C2310">
            <v>2</v>
          </cell>
          <cell r="D2310">
            <v>730</v>
          </cell>
        </row>
        <row r="2311">
          <cell r="A2311" t="str">
            <v>B79RSA20</v>
          </cell>
          <cell r="B2311" t="str">
            <v xml:space="preserve">COLONIAL STYLE LATEX  ROJO    </v>
          </cell>
          <cell r="C2311">
            <v>2</v>
          </cell>
          <cell r="D2311">
            <v>730</v>
          </cell>
        </row>
        <row r="2312">
          <cell r="A2312" t="str">
            <v>B79RSA20-1</v>
          </cell>
          <cell r="B2312" t="str">
            <v xml:space="preserve">COLONIAL STYLE LATEX  ROJO    </v>
          </cell>
          <cell r="C2312">
            <v>2</v>
          </cell>
          <cell r="D2312">
            <v>730</v>
          </cell>
        </row>
        <row r="2313">
          <cell r="A2313" t="str">
            <v>B79RSA20-5</v>
          </cell>
          <cell r="B2313" t="str">
            <v xml:space="preserve">COLONIAL STYLE LATEX  ROJO    </v>
          </cell>
          <cell r="C2313">
            <v>2</v>
          </cell>
          <cell r="D2313">
            <v>730</v>
          </cell>
        </row>
        <row r="2314">
          <cell r="A2314" t="str">
            <v>B79RSA21</v>
          </cell>
          <cell r="B2314" t="str">
            <v xml:space="preserve">COLONIAL STYLE MATE ROJO LAD  </v>
          </cell>
          <cell r="C2314">
            <v>2</v>
          </cell>
          <cell r="D2314">
            <v>730</v>
          </cell>
        </row>
        <row r="2315">
          <cell r="A2315" t="str">
            <v>B79RSA21-5</v>
          </cell>
          <cell r="B2315" t="str">
            <v xml:space="preserve">COLONIAL STYLE MATE ROJO LAD  </v>
          </cell>
          <cell r="C2315">
            <v>2</v>
          </cell>
          <cell r="D2315">
            <v>730</v>
          </cell>
        </row>
        <row r="2316">
          <cell r="A2316" t="str">
            <v>B79RSA22</v>
          </cell>
          <cell r="B2316" t="str">
            <v xml:space="preserve">COLONIAL STYL LAT MAT ROJO    </v>
          </cell>
          <cell r="C2316">
            <v>2</v>
          </cell>
          <cell r="D2316">
            <v>730</v>
          </cell>
        </row>
        <row r="2317">
          <cell r="A2317" t="str">
            <v>B79RSA22-1</v>
          </cell>
          <cell r="B2317" t="str">
            <v xml:space="preserve">COLONIAL STYL LAT MAT ROJO    </v>
          </cell>
          <cell r="C2317">
            <v>2</v>
          </cell>
          <cell r="D2317">
            <v>730</v>
          </cell>
        </row>
        <row r="2318">
          <cell r="A2318" t="str">
            <v>B79RSA23</v>
          </cell>
          <cell r="B2318" t="str">
            <v>COLONIAL STYLE LAT MATE JALAPE</v>
          </cell>
          <cell r="C2318">
            <v>2</v>
          </cell>
          <cell r="D2318">
            <v>730</v>
          </cell>
        </row>
        <row r="2319">
          <cell r="A2319" t="str">
            <v>B79RSA23-1</v>
          </cell>
          <cell r="B2319" t="str">
            <v>COLONIAL STYLE LAT MATE JALAPE</v>
          </cell>
          <cell r="C2319">
            <v>2</v>
          </cell>
          <cell r="D2319">
            <v>730</v>
          </cell>
        </row>
        <row r="2320">
          <cell r="A2320" t="str">
            <v>B79RSA24</v>
          </cell>
          <cell r="B2320" t="str">
            <v xml:space="preserve">COLONIAL STYL LAT MAT ROJO    </v>
          </cell>
          <cell r="C2320">
            <v>2</v>
          </cell>
          <cell r="D2320">
            <v>730</v>
          </cell>
        </row>
        <row r="2321">
          <cell r="A2321" t="str">
            <v>B79RSA24-1</v>
          </cell>
          <cell r="B2321" t="str">
            <v xml:space="preserve">COLONIAL STYL LAT MAT ROJO    </v>
          </cell>
          <cell r="C2321">
            <v>2</v>
          </cell>
          <cell r="D2321">
            <v>730</v>
          </cell>
        </row>
        <row r="2322">
          <cell r="A2322" t="str">
            <v>B79RSA25</v>
          </cell>
          <cell r="B2322" t="str">
            <v xml:space="preserve">COLONIAL STYLE LATEX  MARRON  </v>
          </cell>
          <cell r="C2322">
            <v>2</v>
          </cell>
          <cell r="D2322">
            <v>730</v>
          </cell>
        </row>
        <row r="2323">
          <cell r="A2323" t="str">
            <v>B79RSA25-5</v>
          </cell>
          <cell r="B2323" t="str">
            <v xml:space="preserve">COLONIAL STYLE LATEX  MARRON  </v>
          </cell>
          <cell r="C2323">
            <v>2</v>
          </cell>
          <cell r="D2323">
            <v>730</v>
          </cell>
        </row>
        <row r="2324">
          <cell r="A2324" t="str">
            <v>B79RSA8</v>
          </cell>
          <cell r="B2324" t="str">
            <v xml:space="preserve">COL STYLE LATEX MATE CORAL    </v>
          </cell>
          <cell r="C2324">
            <v>2</v>
          </cell>
          <cell r="D2324">
            <v>730</v>
          </cell>
        </row>
        <row r="2325">
          <cell r="A2325" t="str">
            <v>B79RSA8-1</v>
          </cell>
          <cell r="B2325" t="str">
            <v xml:space="preserve">COL STYLE LATEX MATE CORAL    </v>
          </cell>
          <cell r="C2325">
            <v>2</v>
          </cell>
          <cell r="D2325">
            <v>730</v>
          </cell>
        </row>
        <row r="2326">
          <cell r="A2326" t="str">
            <v>B79RSA8-1/4</v>
          </cell>
          <cell r="B2326" t="str">
            <v xml:space="preserve">COL STYLE LATEX MATE CORAL    </v>
          </cell>
          <cell r="C2326">
            <v>2</v>
          </cell>
          <cell r="D2326">
            <v>730</v>
          </cell>
        </row>
        <row r="2327">
          <cell r="A2327" t="str">
            <v>B79RSA8-5</v>
          </cell>
          <cell r="B2327" t="str">
            <v xml:space="preserve">COLONIAL LATEX CORAL          </v>
          </cell>
          <cell r="C2327">
            <v>2</v>
          </cell>
          <cell r="D2327">
            <v>730</v>
          </cell>
        </row>
        <row r="2328">
          <cell r="A2328" t="str">
            <v>B79TSA154</v>
          </cell>
          <cell r="B2328" t="str">
            <v xml:space="preserve">COLONIAL STYLE LATEX SATINADO </v>
          </cell>
          <cell r="C2328">
            <v>2</v>
          </cell>
          <cell r="D2328">
            <v>730</v>
          </cell>
        </row>
        <row r="2329">
          <cell r="A2329" t="str">
            <v>B79TSA154-1</v>
          </cell>
          <cell r="B2329" t="str">
            <v xml:space="preserve">COLONIAL STYLE LATEX SATINADO </v>
          </cell>
          <cell r="C2329">
            <v>2</v>
          </cell>
          <cell r="D2329">
            <v>730</v>
          </cell>
        </row>
        <row r="2330">
          <cell r="A2330" t="str">
            <v>B79TSA154-1/4</v>
          </cell>
          <cell r="B2330" t="str">
            <v xml:space="preserve">COLONIAL STYLE LATEX SATINADO </v>
          </cell>
          <cell r="C2330">
            <v>2</v>
          </cell>
          <cell r="D2330">
            <v>730</v>
          </cell>
        </row>
        <row r="2331">
          <cell r="A2331" t="str">
            <v>B79TSA154-5</v>
          </cell>
          <cell r="B2331" t="str">
            <v xml:space="preserve">COLONIAL STYLE LATEX SATINADO </v>
          </cell>
          <cell r="C2331">
            <v>2</v>
          </cell>
          <cell r="D2331">
            <v>730</v>
          </cell>
        </row>
        <row r="2332">
          <cell r="A2332" t="str">
            <v>B79TSA54</v>
          </cell>
          <cell r="B2332" t="str">
            <v>COLONIAL STYLE LATEX MATE BASE</v>
          </cell>
          <cell r="C2332">
            <v>2</v>
          </cell>
          <cell r="D2332">
            <v>730</v>
          </cell>
        </row>
        <row r="2333">
          <cell r="A2333" t="str">
            <v>B79TSA54-1</v>
          </cell>
          <cell r="B2333" t="str">
            <v>COLONIAL STYLE LATEX MATE BASE</v>
          </cell>
          <cell r="C2333">
            <v>2</v>
          </cell>
          <cell r="D2333">
            <v>730</v>
          </cell>
        </row>
        <row r="2334">
          <cell r="A2334" t="str">
            <v>B79TSA54-1/4</v>
          </cell>
          <cell r="B2334" t="str">
            <v>COLONIAL STYLE LATEX MATE BASE</v>
          </cell>
          <cell r="C2334">
            <v>2</v>
          </cell>
          <cell r="D2334">
            <v>730</v>
          </cell>
        </row>
        <row r="2335">
          <cell r="A2335" t="str">
            <v>B79TSA54-5</v>
          </cell>
          <cell r="B2335" t="str">
            <v>COLONIAL STYLE LATEX MATE BASE</v>
          </cell>
          <cell r="C2335">
            <v>2</v>
          </cell>
          <cell r="D2335">
            <v>730</v>
          </cell>
        </row>
        <row r="2336">
          <cell r="A2336" t="str">
            <v>B79WSA1</v>
          </cell>
          <cell r="B2336" t="str">
            <v xml:space="preserve">COL STYL LATEX MATE BLANCO    </v>
          </cell>
          <cell r="C2336">
            <v>2</v>
          </cell>
          <cell r="D2336">
            <v>730</v>
          </cell>
        </row>
        <row r="2337">
          <cell r="A2337" t="str">
            <v>B79WSA10</v>
          </cell>
          <cell r="B2337" t="str">
            <v xml:space="preserve">COL ST LAT MAT NUEV BCO HUESO </v>
          </cell>
          <cell r="C2337">
            <v>2</v>
          </cell>
          <cell r="D2337">
            <v>730</v>
          </cell>
        </row>
        <row r="2338">
          <cell r="A2338" t="str">
            <v>B79WSA10-1</v>
          </cell>
          <cell r="B2338" t="str">
            <v xml:space="preserve">COL ST LAT MAT NUEV BCO HUESO </v>
          </cell>
          <cell r="C2338">
            <v>2</v>
          </cell>
          <cell r="D2338">
            <v>730</v>
          </cell>
        </row>
        <row r="2339">
          <cell r="A2339" t="str">
            <v>B79WSA10-1/4</v>
          </cell>
          <cell r="B2339" t="str">
            <v xml:space="preserve">COL ST LAT MAT NUEV BCO HUESO </v>
          </cell>
          <cell r="C2339">
            <v>2</v>
          </cell>
          <cell r="D2339">
            <v>730</v>
          </cell>
        </row>
        <row r="2340">
          <cell r="A2340" t="str">
            <v>B79WSA10-5</v>
          </cell>
          <cell r="B2340" t="str">
            <v xml:space="preserve">COL ST LAT MAT NUEV BCO HUESO </v>
          </cell>
          <cell r="C2340">
            <v>2</v>
          </cell>
          <cell r="D2340">
            <v>730</v>
          </cell>
        </row>
        <row r="2341">
          <cell r="A2341" t="str">
            <v>B79WSA1-1</v>
          </cell>
          <cell r="B2341" t="str">
            <v xml:space="preserve">COL STYL LATEX MATE BLANCO    </v>
          </cell>
          <cell r="C2341">
            <v>2</v>
          </cell>
          <cell r="D2341">
            <v>730</v>
          </cell>
        </row>
        <row r="2342">
          <cell r="A2342" t="str">
            <v>B79WSA1-1/4</v>
          </cell>
          <cell r="B2342" t="str">
            <v xml:space="preserve">COL STYL LATEX MATE BLANCO    </v>
          </cell>
          <cell r="C2342">
            <v>2</v>
          </cell>
          <cell r="D2342">
            <v>730</v>
          </cell>
        </row>
        <row r="2343">
          <cell r="A2343" t="str">
            <v>B79WSA13</v>
          </cell>
          <cell r="B2343" t="str">
            <v>COLONIAL STYLE LAT BLANCO DOVE</v>
          </cell>
          <cell r="C2343">
            <v>2</v>
          </cell>
          <cell r="D2343">
            <v>730</v>
          </cell>
        </row>
        <row r="2344">
          <cell r="A2344" t="str">
            <v>B79WSA13-1</v>
          </cell>
          <cell r="B2344" t="str">
            <v>COLONIAL STYLE LAT BLANCO DOVE</v>
          </cell>
          <cell r="C2344">
            <v>2</v>
          </cell>
          <cell r="D2344">
            <v>730</v>
          </cell>
        </row>
        <row r="2345">
          <cell r="A2345" t="str">
            <v>B79WSA13-5</v>
          </cell>
          <cell r="B2345" t="str">
            <v>COLONIAL STYLE LAT BLANCO DOVE</v>
          </cell>
          <cell r="C2345">
            <v>2</v>
          </cell>
          <cell r="D2345">
            <v>730</v>
          </cell>
        </row>
        <row r="2346">
          <cell r="A2346" t="str">
            <v>B79WSA14</v>
          </cell>
          <cell r="B2346" t="str">
            <v>COLONIAL STYLE LAT MATE BLANCO</v>
          </cell>
          <cell r="C2346">
            <v>2</v>
          </cell>
          <cell r="D2346">
            <v>730</v>
          </cell>
        </row>
        <row r="2347">
          <cell r="A2347" t="str">
            <v>B79WSA14-1</v>
          </cell>
          <cell r="B2347" t="str">
            <v>COLONIAL STYLE LAT MATE BLANCO</v>
          </cell>
          <cell r="C2347">
            <v>2</v>
          </cell>
          <cell r="D2347">
            <v>730</v>
          </cell>
        </row>
        <row r="2348">
          <cell r="A2348" t="str">
            <v>B79WSA14-5</v>
          </cell>
          <cell r="B2348" t="str">
            <v>COLONIAL STYLE LAT MATE BLANCO</v>
          </cell>
          <cell r="C2348">
            <v>2</v>
          </cell>
          <cell r="D2348">
            <v>730</v>
          </cell>
        </row>
        <row r="2349">
          <cell r="A2349" t="str">
            <v>B79WSA1-5</v>
          </cell>
          <cell r="B2349" t="str">
            <v xml:space="preserve">COL STYL LATEX MATE BLANCO    </v>
          </cell>
          <cell r="C2349">
            <v>2</v>
          </cell>
          <cell r="D2349">
            <v>730</v>
          </cell>
        </row>
        <row r="2350">
          <cell r="A2350" t="str">
            <v>B79WSA15</v>
          </cell>
          <cell r="B2350" t="str">
            <v>COLONIAL STYLE LAT MAT BCO HUE</v>
          </cell>
          <cell r="C2350">
            <v>2</v>
          </cell>
          <cell r="D2350">
            <v>730</v>
          </cell>
        </row>
        <row r="2351">
          <cell r="A2351" t="str">
            <v>B79WSA1-50</v>
          </cell>
          <cell r="B2351" t="str">
            <v xml:space="preserve">COLONIAL LATEX BLANCO         </v>
          </cell>
          <cell r="C2351">
            <v>2</v>
          </cell>
          <cell r="D2351">
            <v>730</v>
          </cell>
        </row>
        <row r="2352">
          <cell r="A2352" t="str">
            <v>B79WSA15-1</v>
          </cell>
          <cell r="B2352" t="str">
            <v>COLONIAL STYLE LAT MAT BCO HUE</v>
          </cell>
          <cell r="C2352">
            <v>2</v>
          </cell>
          <cell r="D2352">
            <v>730</v>
          </cell>
        </row>
        <row r="2353">
          <cell r="A2353" t="str">
            <v>B79WSA151</v>
          </cell>
          <cell r="B2353" t="str">
            <v>COLONIAL STYLE LAT EXTRA WHITE</v>
          </cell>
          <cell r="C2353">
            <v>2</v>
          </cell>
          <cell r="D2353">
            <v>730</v>
          </cell>
        </row>
        <row r="2354">
          <cell r="A2354" t="str">
            <v>B79WSA151-1</v>
          </cell>
          <cell r="B2354" t="str">
            <v>COLONIAL STYLE LAT EXTRA WHITE</v>
          </cell>
          <cell r="C2354">
            <v>2</v>
          </cell>
          <cell r="D2354">
            <v>730</v>
          </cell>
        </row>
        <row r="2355">
          <cell r="A2355" t="str">
            <v>B79WSA151-1/4</v>
          </cell>
          <cell r="B2355" t="str">
            <v>COLONIAL STYLE LAT EXTRA WHITE</v>
          </cell>
          <cell r="C2355">
            <v>2</v>
          </cell>
          <cell r="D2355">
            <v>730</v>
          </cell>
        </row>
        <row r="2356">
          <cell r="A2356" t="str">
            <v>B79WSA151-5</v>
          </cell>
          <cell r="B2356" t="str">
            <v>COLONIAL STYLE LAT EXTRA WHITE</v>
          </cell>
          <cell r="C2356">
            <v>2</v>
          </cell>
          <cell r="D2356">
            <v>730</v>
          </cell>
        </row>
        <row r="2357">
          <cell r="A2357" t="str">
            <v>B79WSA153</v>
          </cell>
          <cell r="B2357" t="str">
            <v>COLONIAL STYLE LATEX  BASE DEE</v>
          </cell>
          <cell r="C2357">
            <v>2</v>
          </cell>
          <cell r="D2357">
            <v>730</v>
          </cell>
        </row>
        <row r="2358">
          <cell r="A2358" t="str">
            <v>B79WSA153-1</v>
          </cell>
          <cell r="B2358" t="str">
            <v>COLONIAL STYLE LATEX  BASE DEE</v>
          </cell>
          <cell r="C2358">
            <v>2</v>
          </cell>
          <cell r="D2358">
            <v>730</v>
          </cell>
        </row>
        <row r="2359">
          <cell r="A2359" t="str">
            <v>B79WSA153-1/4</v>
          </cell>
          <cell r="B2359" t="str">
            <v>COLONIAL STYLE LATEX  BASE DEE</v>
          </cell>
          <cell r="C2359">
            <v>2</v>
          </cell>
          <cell r="D2359">
            <v>730</v>
          </cell>
        </row>
        <row r="2360">
          <cell r="A2360" t="str">
            <v>B79WSA153-5</v>
          </cell>
          <cell r="B2360" t="str">
            <v>COLONIAL STYLE LATEX  BASE DEE</v>
          </cell>
          <cell r="C2360">
            <v>2</v>
          </cell>
          <cell r="D2360">
            <v>730</v>
          </cell>
        </row>
        <row r="2361">
          <cell r="A2361" t="str">
            <v>B79WSA15-5</v>
          </cell>
          <cell r="B2361" t="str">
            <v>COLONIAL STYLE LAT MAT BCO HUE</v>
          </cell>
          <cell r="C2361">
            <v>2</v>
          </cell>
          <cell r="D2361">
            <v>730</v>
          </cell>
        </row>
        <row r="2362">
          <cell r="A2362" t="str">
            <v>B79WSA16</v>
          </cell>
          <cell r="B2362" t="str">
            <v xml:space="preserve">COLONIAL STYLE LAT MATE CREMA </v>
          </cell>
          <cell r="C2362">
            <v>2</v>
          </cell>
          <cell r="D2362">
            <v>730</v>
          </cell>
        </row>
        <row r="2363">
          <cell r="A2363" t="str">
            <v>B79WSA16-1</v>
          </cell>
          <cell r="B2363" t="str">
            <v xml:space="preserve">COLONIAL STYLE LAT MATE CREMA </v>
          </cell>
          <cell r="C2363">
            <v>2</v>
          </cell>
          <cell r="D2363">
            <v>730</v>
          </cell>
        </row>
        <row r="2364">
          <cell r="A2364" t="str">
            <v>B79WSA16-5</v>
          </cell>
          <cell r="B2364" t="str">
            <v xml:space="preserve">COLONIAL STYLE LAT MATE CREMA </v>
          </cell>
          <cell r="C2364">
            <v>2</v>
          </cell>
          <cell r="D2364">
            <v>730</v>
          </cell>
        </row>
        <row r="2365">
          <cell r="A2365" t="str">
            <v>B79WSA17</v>
          </cell>
          <cell r="B2365" t="str">
            <v>COLONIAL LATEX SATINADO BLANCO</v>
          </cell>
          <cell r="C2365">
            <v>2</v>
          </cell>
          <cell r="D2365">
            <v>730</v>
          </cell>
        </row>
        <row r="2366">
          <cell r="A2366" t="str">
            <v>B79WSA17-1</v>
          </cell>
          <cell r="B2366" t="str">
            <v>COLONIAL LATEX SATINADO BLANCO</v>
          </cell>
          <cell r="C2366">
            <v>2</v>
          </cell>
          <cell r="D2366">
            <v>730</v>
          </cell>
        </row>
        <row r="2367">
          <cell r="A2367" t="str">
            <v>B79WSA17-5</v>
          </cell>
          <cell r="B2367" t="str">
            <v>COLONIAL LATEX SATINADO BLANCO</v>
          </cell>
          <cell r="C2367">
            <v>2</v>
          </cell>
          <cell r="D2367">
            <v>730</v>
          </cell>
        </row>
        <row r="2368">
          <cell r="A2368" t="str">
            <v>B79WSA18</v>
          </cell>
          <cell r="B2368" t="str">
            <v xml:space="preserve">COLONIAL STYLE MATE BCO ANT   </v>
          </cell>
          <cell r="C2368">
            <v>2</v>
          </cell>
          <cell r="D2368">
            <v>730</v>
          </cell>
        </row>
        <row r="2369">
          <cell r="A2369" t="str">
            <v>B79WSA18-5</v>
          </cell>
          <cell r="B2369" t="str">
            <v xml:space="preserve">COLONIAL STYLE MATE BCO ANT   </v>
          </cell>
          <cell r="C2369">
            <v>2</v>
          </cell>
          <cell r="D2369">
            <v>730</v>
          </cell>
        </row>
        <row r="2370">
          <cell r="A2370" t="str">
            <v>B79WSA51</v>
          </cell>
          <cell r="B2370" t="str">
            <v>COLONIAL STYLE MATE XTRA WHITE</v>
          </cell>
          <cell r="C2370">
            <v>2</v>
          </cell>
          <cell r="D2370">
            <v>730</v>
          </cell>
        </row>
        <row r="2371">
          <cell r="A2371" t="str">
            <v>B79WSA51-1</v>
          </cell>
          <cell r="B2371" t="str">
            <v>COLONIAL STYLE MATE XTRA WHITE</v>
          </cell>
          <cell r="C2371">
            <v>2</v>
          </cell>
          <cell r="D2371">
            <v>730</v>
          </cell>
        </row>
        <row r="2372">
          <cell r="A2372" t="str">
            <v>B79WSA51-1/4</v>
          </cell>
          <cell r="B2372" t="str">
            <v>COLONIAL STYLE MATE XTRA WHITE</v>
          </cell>
          <cell r="C2372">
            <v>2</v>
          </cell>
          <cell r="D2372">
            <v>730</v>
          </cell>
        </row>
        <row r="2373">
          <cell r="A2373" t="str">
            <v>B79WSA51-5</v>
          </cell>
          <cell r="B2373" t="str">
            <v>COLONIAL STYLE MATE XTRA WHITE</v>
          </cell>
          <cell r="C2373">
            <v>2</v>
          </cell>
          <cell r="D2373">
            <v>730</v>
          </cell>
        </row>
        <row r="2374">
          <cell r="A2374" t="str">
            <v>B79WSA53</v>
          </cell>
          <cell r="B2374" t="str">
            <v>COLONIAL STYLE LATEX BASE DEEP</v>
          </cell>
          <cell r="C2374">
            <v>2</v>
          </cell>
          <cell r="D2374">
            <v>730</v>
          </cell>
        </row>
        <row r="2375">
          <cell r="A2375" t="str">
            <v>B79WSA53-1</v>
          </cell>
          <cell r="B2375" t="str">
            <v>COLONIAL STYLE LATEX BASE DEEP</v>
          </cell>
          <cell r="C2375">
            <v>2</v>
          </cell>
          <cell r="D2375">
            <v>730</v>
          </cell>
        </row>
        <row r="2376">
          <cell r="A2376" t="str">
            <v>B79WSA53-1/4</v>
          </cell>
          <cell r="B2376" t="str">
            <v>COLONIAL STYLE LATEX BASE DEEP</v>
          </cell>
          <cell r="C2376">
            <v>2</v>
          </cell>
          <cell r="D2376">
            <v>730</v>
          </cell>
        </row>
        <row r="2377">
          <cell r="A2377" t="str">
            <v>B79WSA53-5</v>
          </cell>
          <cell r="B2377" t="str">
            <v>COLONIAL STYLE LATEX BASE DEEP</v>
          </cell>
          <cell r="C2377">
            <v>2</v>
          </cell>
          <cell r="D2377">
            <v>730</v>
          </cell>
        </row>
        <row r="2378">
          <cell r="A2378" t="str">
            <v>B79WSA8</v>
          </cell>
          <cell r="B2378" t="str">
            <v xml:space="preserve">COL STYLE LATEX MATE PERLA    </v>
          </cell>
          <cell r="C2378">
            <v>2</v>
          </cell>
          <cell r="D2378">
            <v>730</v>
          </cell>
        </row>
        <row r="2379">
          <cell r="A2379" t="str">
            <v>B79WSA8-1</v>
          </cell>
          <cell r="B2379" t="str">
            <v xml:space="preserve">COL STYLE LATEX MATE PERLA    </v>
          </cell>
          <cell r="C2379">
            <v>2</v>
          </cell>
          <cell r="D2379">
            <v>730</v>
          </cell>
        </row>
        <row r="2380">
          <cell r="A2380" t="str">
            <v>B79WSA8-1/4</v>
          </cell>
          <cell r="B2380" t="str">
            <v xml:space="preserve">COL STYLE LATEX MATE PERLA    </v>
          </cell>
          <cell r="C2380">
            <v>2</v>
          </cell>
          <cell r="D2380">
            <v>730</v>
          </cell>
        </row>
        <row r="2381">
          <cell r="A2381" t="str">
            <v>B79WSA9</v>
          </cell>
          <cell r="B2381" t="str">
            <v>COL ST LAT MAT BCO ANT AMERICA</v>
          </cell>
          <cell r="C2381">
            <v>2</v>
          </cell>
          <cell r="D2381">
            <v>730</v>
          </cell>
        </row>
        <row r="2382">
          <cell r="A2382" t="str">
            <v>B79WSA9-1</v>
          </cell>
          <cell r="B2382" t="str">
            <v>COL ST LAT MAT BCO ANT AMERICA</v>
          </cell>
          <cell r="C2382">
            <v>2</v>
          </cell>
          <cell r="D2382">
            <v>730</v>
          </cell>
        </row>
        <row r="2383">
          <cell r="A2383" t="str">
            <v>B79WSA9-1/4</v>
          </cell>
          <cell r="B2383" t="str">
            <v>COL ST LAT MAT BCO ANT AMERICA</v>
          </cell>
          <cell r="C2383">
            <v>2</v>
          </cell>
          <cell r="D2383">
            <v>730</v>
          </cell>
        </row>
        <row r="2384">
          <cell r="A2384" t="str">
            <v>B79WSA9-5</v>
          </cell>
          <cell r="B2384" t="str">
            <v>COL ST LAT MAT BCO ANT AMERICA</v>
          </cell>
          <cell r="C2384">
            <v>2</v>
          </cell>
          <cell r="D2384">
            <v>730</v>
          </cell>
        </row>
        <row r="2385">
          <cell r="A2385" t="str">
            <v>B79WSA9-50</v>
          </cell>
          <cell r="B2385" t="str">
            <v xml:space="preserve">COLONIAL LATEX BLANCO ANTIGUO </v>
          </cell>
          <cell r="C2385">
            <v>2</v>
          </cell>
          <cell r="D2385">
            <v>730</v>
          </cell>
        </row>
        <row r="2386">
          <cell r="A2386" t="str">
            <v>B79YSA11</v>
          </cell>
          <cell r="B2386" t="str">
            <v>COLONIAL STYLE LATEX MATE YELL</v>
          </cell>
          <cell r="C2386">
            <v>2</v>
          </cell>
          <cell r="D2386">
            <v>730</v>
          </cell>
        </row>
        <row r="2387">
          <cell r="A2387" t="str">
            <v>B79YSA11-1</v>
          </cell>
          <cell r="B2387" t="str">
            <v>COLONIAL STYLE LATEX MATE YELL</v>
          </cell>
          <cell r="C2387">
            <v>2</v>
          </cell>
          <cell r="D2387">
            <v>730</v>
          </cell>
        </row>
        <row r="2388">
          <cell r="A2388" t="str">
            <v>B79YSA11-5</v>
          </cell>
          <cell r="B2388" t="str">
            <v>COLONIAL STYLE LATEX MATE YELL</v>
          </cell>
          <cell r="C2388">
            <v>2</v>
          </cell>
          <cell r="D2388">
            <v>730</v>
          </cell>
        </row>
        <row r="2389">
          <cell r="A2389" t="str">
            <v>B79YSA12</v>
          </cell>
          <cell r="B2389" t="str">
            <v xml:space="preserve">COLONIAL STYLE LAT MATE AMARI </v>
          </cell>
          <cell r="C2389">
            <v>2</v>
          </cell>
          <cell r="D2389">
            <v>730</v>
          </cell>
        </row>
        <row r="2390">
          <cell r="A2390" t="str">
            <v>B79YSA12-1</v>
          </cell>
          <cell r="B2390" t="str">
            <v xml:space="preserve">COLONIAL STYLE LAT MATE AMARI </v>
          </cell>
          <cell r="C2390">
            <v>2</v>
          </cell>
          <cell r="D2390">
            <v>730</v>
          </cell>
        </row>
        <row r="2391">
          <cell r="A2391" t="str">
            <v>B79YSA12-5</v>
          </cell>
          <cell r="B2391" t="str">
            <v xml:space="preserve">COLONIAL STYLE LAT MATE AMARI </v>
          </cell>
          <cell r="C2391">
            <v>2</v>
          </cell>
          <cell r="D2391">
            <v>730</v>
          </cell>
        </row>
        <row r="2392">
          <cell r="A2392" t="str">
            <v>B79YSA13</v>
          </cell>
          <cell r="B2392" t="str">
            <v xml:space="preserve">COLONIAL STYLE LAT MATE AMARI </v>
          </cell>
          <cell r="C2392">
            <v>2</v>
          </cell>
          <cell r="D2392">
            <v>730</v>
          </cell>
        </row>
        <row r="2393">
          <cell r="A2393" t="str">
            <v>B79YSA13-1</v>
          </cell>
          <cell r="B2393" t="str">
            <v xml:space="preserve">COLONIAL STYLE LAT MATE AMARI </v>
          </cell>
          <cell r="C2393">
            <v>2</v>
          </cell>
          <cell r="D2393">
            <v>730</v>
          </cell>
        </row>
        <row r="2394">
          <cell r="A2394" t="str">
            <v>B79YSA13-5</v>
          </cell>
          <cell r="B2394" t="str">
            <v xml:space="preserve">COLONIAL STYLE LAT MATE AMARI </v>
          </cell>
          <cell r="C2394">
            <v>2</v>
          </cell>
          <cell r="D2394">
            <v>730</v>
          </cell>
        </row>
        <row r="2395">
          <cell r="A2395" t="str">
            <v>B79YSA14</v>
          </cell>
          <cell r="B2395" t="str">
            <v xml:space="preserve">COLONIAL STYLE LAT MATE AMARI </v>
          </cell>
          <cell r="C2395">
            <v>2</v>
          </cell>
          <cell r="D2395">
            <v>730</v>
          </cell>
        </row>
        <row r="2396">
          <cell r="A2396" t="str">
            <v>B79YSA14-1</v>
          </cell>
          <cell r="B2396" t="str">
            <v xml:space="preserve">COLONIAL STYLE LAT MATE AMARI </v>
          </cell>
          <cell r="C2396">
            <v>2</v>
          </cell>
          <cell r="D2396">
            <v>730</v>
          </cell>
        </row>
        <row r="2397">
          <cell r="A2397" t="str">
            <v>B79YSA14-5</v>
          </cell>
          <cell r="B2397" t="str">
            <v xml:space="preserve">COLONIAL STYLE LAT MATE AMARI </v>
          </cell>
          <cell r="C2397">
            <v>2</v>
          </cell>
          <cell r="D2397">
            <v>730</v>
          </cell>
        </row>
        <row r="2398">
          <cell r="A2398" t="str">
            <v>B79YSA16</v>
          </cell>
          <cell r="B2398" t="str">
            <v>COLONIAL STYL LAT MATE AZAFRAN</v>
          </cell>
          <cell r="C2398">
            <v>2</v>
          </cell>
          <cell r="D2398">
            <v>730</v>
          </cell>
        </row>
        <row r="2399">
          <cell r="A2399" t="str">
            <v>B79YSA16-1</v>
          </cell>
          <cell r="B2399" t="str">
            <v>COLONIAL STYL LAT MATE AZAFRAN</v>
          </cell>
          <cell r="C2399">
            <v>2</v>
          </cell>
          <cell r="D2399">
            <v>730</v>
          </cell>
        </row>
        <row r="2400">
          <cell r="A2400" t="str">
            <v>B79YSA17</v>
          </cell>
          <cell r="B2400" t="str">
            <v xml:space="preserve">COLONIAL STYLE LAT MATE AMARI </v>
          </cell>
          <cell r="C2400">
            <v>2</v>
          </cell>
          <cell r="D2400">
            <v>730</v>
          </cell>
        </row>
        <row r="2401">
          <cell r="A2401" t="str">
            <v>B79YSA17-1</v>
          </cell>
          <cell r="B2401" t="str">
            <v xml:space="preserve">COLONIAL STYLE LAT MATE AMARI </v>
          </cell>
          <cell r="C2401">
            <v>2</v>
          </cell>
          <cell r="D2401">
            <v>730</v>
          </cell>
        </row>
        <row r="2402">
          <cell r="A2402" t="str">
            <v>B79YSA17-5</v>
          </cell>
          <cell r="B2402" t="str">
            <v xml:space="preserve">COLONIAL STYLE LAT MATE AMARI </v>
          </cell>
          <cell r="C2402">
            <v>2</v>
          </cell>
          <cell r="D2402">
            <v>730</v>
          </cell>
        </row>
        <row r="2403">
          <cell r="A2403" t="str">
            <v>B79YSA3</v>
          </cell>
          <cell r="B2403" t="str">
            <v xml:space="preserve">COL STYLE LATEX MATE AMARILLO </v>
          </cell>
          <cell r="C2403">
            <v>2</v>
          </cell>
          <cell r="D2403">
            <v>730</v>
          </cell>
        </row>
        <row r="2404">
          <cell r="A2404" t="str">
            <v>B79YSA3-1</v>
          </cell>
          <cell r="B2404" t="str">
            <v xml:space="preserve">COL STYLE LATEX MATE AMARILLO </v>
          </cell>
          <cell r="C2404">
            <v>2</v>
          </cell>
          <cell r="D2404">
            <v>730</v>
          </cell>
        </row>
        <row r="2405">
          <cell r="A2405" t="str">
            <v>B79YSA3-1/4</v>
          </cell>
          <cell r="B2405" t="str">
            <v xml:space="preserve">COL STYLE LATEX MATE AMARILLO </v>
          </cell>
          <cell r="C2405">
            <v>2</v>
          </cell>
          <cell r="D2405">
            <v>730</v>
          </cell>
        </row>
        <row r="2406">
          <cell r="A2406" t="str">
            <v>B79YSA3-5</v>
          </cell>
          <cell r="B2406" t="str">
            <v xml:space="preserve">COLONIAL LATEX AMARILLO       </v>
          </cell>
          <cell r="C2406">
            <v>2</v>
          </cell>
          <cell r="D2406">
            <v>730</v>
          </cell>
        </row>
        <row r="2407">
          <cell r="A2407" t="str">
            <v>B82ASA12</v>
          </cell>
          <cell r="B2407" t="str">
            <v>COL ST ESMALT BRIL GRIS OS5'RO</v>
          </cell>
          <cell r="C2407">
            <v>2</v>
          </cell>
          <cell r="D2407">
            <v>730</v>
          </cell>
        </row>
        <row r="2408">
          <cell r="A2408" t="str">
            <v>B82ASA12-1</v>
          </cell>
          <cell r="B2408" t="str">
            <v>COL ST ESMALT BRIL GRIS OSCURO</v>
          </cell>
          <cell r="C2408">
            <v>2</v>
          </cell>
          <cell r="D2408">
            <v>730</v>
          </cell>
        </row>
        <row r="2409">
          <cell r="A2409" t="str">
            <v>B82ASA12-1/4</v>
          </cell>
          <cell r="B2409" t="str">
            <v>COL ST ESMALT BRIL GRIS OSCURO</v>
          </cell>
          <cell r="C2409">
            <v>2</v>
          </cell>
          <cell r="D2409">
            <v>730</v>
          </cell>
        </row>
        <row r="2410">
          <cell r="A2410" t="str">
            <v>B82ASA19</v>
          </cell>
          <cell r="B2410" t="str">
            <v xml:space="preserve">COLONIAL ESMALTE GRIS ARENA   </v>
          </cell>
          <cell r="C2410">
            <v>2</v>
          </cell>
          <cell r="D2410">
            <v>730</v>
          </cell>
        </row>
        <row r="2411">
          <cell r="A2411" t="str">
            <v>B82ASA19-1</v>
          </cell>
          <cell r="B2411" t="str">
            <v xml:space="preserve">COLONIAL ESMALTE GRIS ARENA   </v>
          </cell>
          <cell r="C2411">
            <v>2</v>
          </cell>
          <cell r="D2411">
            <v>730</v>
          </cell>
        </row>
        <row r="2412">
          <cell r="A2412" t="str">
            <v>B82ASA8</v>
          </cell>
          <cell r="B2412" t="str">
            <v>COL ST ESMALTE BRIL GRIS CLARO</v>
          </cell>
          <cell r="C2412">
            <v>2</v>
          </cell>
          <cell r="D2412">
            <v>730</v>
          </cell>
        </row>
        <row r="2413">
          <cell r="A2413" t="str">
            <v>B82ASA8-1</v>
          </cell>
          <cell r="B2413" t="str">
            <v>COL ST ESMALTE BRIL GRIS CLARO</v>
          </cell>
          <cell r="C2413">
            <v>2</v>
          </cell>
          <cell r="D2413">
            <v>730</v>
          </cell>
        </row>
        <row r="2414">
          <cell r="A2414" t="str">
            <v>B82ASA8-1/4</v>
          </cell>
          <cell r="B2414" t="str">
            <v>COL ST ESMALTE BRIL GRIS CLARO</v>
          </cell>
          <cell r="C2414">
            <v>2</v>
          </cell>
          <cell r="D2414">
            <v>730</v>
          </cell>
        </row>
        <row r="2415">
          <cell r="A2415" t="str">
            <v>B82BSA1</v>
          </cell>
          <cell r="B2415" t="str">
            <v>COL ST ESMALTE BRILLANTE NEGRO</v>
          </cell>
          <cell r="C2415">
            <v>2</v>
          </cell>
          <cell r="D2415">
            <v>730</v>
          </cell>
        </row>
        <row r="2416">
          <cell r="A2416" t="str">
            <v>B82BSA1-1</v>
          </cell>
          <cell r="B2416" t="str">
            <v>COL ST ESMALTE BRILLANTE NEGRO</v>
          </cell>
          <cell r="C2416">
            <v>2</v>
          </cell>
          <cell r="D2416">
            <v>730</v>
          </cell>
        </row>
        <row r="2417">
          <cell r="A2417" t="str">
            <v>B82BSA1-1/4</v>
          </cell>
          <cell r="B2417" t="str">
            <v>COL ST ESMALTE BRILLANTE NEGRO</v>
          </cell>
          <cell r="C2417">
            <v>2</v>
          </cell>
          <cell r="D2417">
            <v>730</v>
          </cell>
        </row>
        <row r="2418">
          <cell r="A2418" t="str">
            <v>B82BSA1-5</v>
          </cell>
          <cell r="B2418" t="str">
            <v>COL ST ESMALTE BRILLANTE NEGRO</v>
          </cell>
          <cell r="C2418">
            <v>2</v>
          </cell>
          <cell r="D2418">
            <v>730</v>
          </cell>
        </row>
        <row r="2419">
          <cell r="A2419" t="str">
            <v>B82BSA3</v>
          </cell>
          <cell r="B2419" t="str">
            <v xml:space="preserve">COL STYLE ESMALTE MATE NEGRO  </v>
          </cell>
          <cell r="C2419">
            <v>2</v>
          </cell>
          <cell r="D2419">
            <v>730</v>
          </cell>
        </row>
        <row r="2420">
          <cell r="A2420" t="str">
            <v>B82BSA3-1</v>
          </cell>
          <cell r="B2420" t="str">
            <v xml:space="preserve">COL STYLE ESMALTE MATE NEGRO  </v>
          </cell>
          <cell r="C2420">
            <v>2</v>
          </cell>
          <cell r="D2420">
            <v>730</v>
          </cell>
        </row>
        <row r="2421">
          <cell r="A2421" t="str">
            <v>B82BSA3-1/4</v>
          </cell>
          <cell r="B2421" t="str">
            <v xml:space="preserve">COL STYLE ESMALTE MATE NEGRO  </v>
          </cell>
          <cell r="C2421">
            <v>2</v>
          </cell>
          <cell r="D2421">
            <v>730</v>
          </cell>
        </row>
        <row r="2422">
          <cell r="A2422" t="str">
            <v>B82ESA6</v>
          </cell>
          <cell r="B2422" t="str">
            <v>COL STY ESMALT BRILLANTE MELON</v>
          </cell>
          <cell r="C2422">
            <v>2</v>
          </cell>
          <cell r="D2422">
            <v>730</v>
          </cell>
        </row>
        <row r="2423">
          <cell r="A2423" t="str">
            <v>B82ESA6-1</v>
          </cell>
          <cell r="B2423" t="str">
            <v>COL STY ESMALT BRILLANTE MELON</v>
          </cell>
          <cell r="C2423">
            <v>2</v>
          </cell>
          <cell r="D2423">
            <v>730</v>
          </cell>
        </row>
        <row r="2424">
          <cell r="A2424" t="str">
            <v>B82ESA6-1/4</v>
          </cell>
          <cell r="B2424" t="str">
            <v xml:space="preserve">COLONIAL ESMALTE MELON        </v>
          </cell>
          <cell r="C2424">
            <v>2</v>
          </cell>
          <cell r="D2424">
            <v>730</v>
          </cell>
        </row>
        <row r="2425">
          <cell r="A2425" t="str">
            <v>B82ESA6-5</v>
          </cell>
          <cell r="B2425" t="str">
            <v>COL STY ESMALT BRILLANTE MELON</v>
          </cell>
          <cell r="C2425">
            <v>2</v>
          </cell>
          <cell r="D2425">
            <v>730</v>
          </cell>
        </row>
        <row r="2426">
          <cell r="A2426" t="str">
            <v>B82ESA8</v>
          </cell>
          <cell r="B2426" t="str">
            <v xml:space="preserve">COLONIAL STYL ESMALT CORAL    </v>
          </cell>
          <cell r="C2426">
            <v>2</v>
          </cell>
          <cell r="D2426">
            <v>730</v>
          </cell>
        </row>
        <row r="2427">
          <cell r="A2427" t="str">
            <v>B82ESA8-1</v>
          </cell>
          <cell r="B2427" t="str">
            <v xml:space="preserve">COLONIAL STYL ESMALT CORAL    </v>
          </cell>
          <cell r="C2427">
            <v>2</v>
          </cell>
          <cell r="D2427">
            <v>730</v>
          </cell>
        </row>
        <row r="2428">
          <cell r="A2428" t="str">
            <v>B82GSA13</v>
          </cell>
          <cell r="B2428" t="str">
            <v>COL ST ESM BRI VERDE ESMERALDA</v>
          </cell>
          <cell r="C2428">
            <v>2</v>
          </cell>
          <cell r="D2428">
            <v>730</v>
          </cell>
        </row>
        <row r="2429">
          <cell r="A2429" t="str">
            <v>B82GSA13-1</v>
          </cell>
          <cell r="B2429" t="str">
            <v>COL ST ESM BRI VERDE ESMERALDA</v>
          </cell>
          <cell r="C2429">
            <v>2</v>
          </cell>
          <cell r="D2429">
            <v>730</v>
          </cell>
        </row>
        <row r="2430">
          <cell r="A2430" t="str">
            <v>B82GSA13-1/4</v>
          </cell>
          <cell r="B2430" t="str">
            <v>COL ST ESM BRI VERDE ESMERALDA</v>
          </cell>
          <cell r="C2430">
            <v>2</v>
          </cell>
          <cell r="D2430">
            <v>730</v>
          </cell>
        </row>
        <row r="2431">
          <cell r="A2431" t="str">
            <v>B82GSA14</v>
          </cell>
          <cell r="B2431" t="str">
            <v>COL ST ESM BRILLANT VERDE LIMA</v>
          </cell>
          <cell r="C2431">
            <v>2</v>
          </cell>
          <cell r="D2431">
            <v>730</v>
          </cell>
        </row>
        <row r="2432">
          <cell r="A2432" t="str">
            <v>B82GSA14-1</v>
          </cell>
          <cell r="B2432" t="str">
            <v>COL ST ESM BRILLANT VERDE LIMA</v>
          </cell>
          <cell r="C2432">
            <v>2</v>
          </cell>
          <cell r="D2432">
            <v>730</v>
          </cell>
        </row>
        <row r="2433">
          <cell r="A2433" t="str">
            <v>B82GSA14-1/4</v>
          </cell>
          <cell r="B2433" t="str">
            <v>COL ST ESM BRILLANT VERDE LIMA</v>
          </cell>
          <cell r="C2433">
            <v>2</v>
          </cell>
          <cell r="D2433">
            <v>730</v>
          </cell>
        </row>
        <row r="2434">
          <cell r="A2434" t="str">
            <v>B82GSA15</v>
          </cell>
          <cell r="B2434" t="str">
            <v>COL ST ESM BRILL VERDE MANZANO</v>
          </cell>
          <cell r="C2434">
            <v>2</v>
          </cell>
          <cell r="D2434">
            <v>730</v>
          </cell>
        </row>
        <row r="2435">
          <cell r="A2435" t="str">
            <v>B82GSA15-1</v>
          </cell>
          <cell r="B2435" t="str">
            <v>COL ST ESM BRILL VERDE MANZANO</v>
          </cell>
          <cell r="C2435">
            <v>2</v>
          </cell>
          <cell r="D2435">
            <v>730</v>
          </cell>
        </row>
        <row r="2436">
          <cell r="A2436" t="str">
            <v>B82GSA15-1/4</v>
          </cell>
          <cell r="B2436" t="str">
            <v>COL ST ESM BRILL VERDE MANZANO</v>
          </cell>
          <cell r="C2436">
            <v>2</v>
          </cell>
          <cell r="D2436">
            <v>730</v>
          </cell>
        </row>
        <row r="2437">
          <cell r="A2437" t="str">
            <v>B82GSA15-50</v>
          </cell>
          <cell r="B2437" t="str">
            <v>COLONIAL ESMALTE VERDE MANZANO</v>
          </cell>
          <cell r="C2437">
            <v>2</v>
          </cell>
          <cell r="D2437">
            <v>730</v>
          </cell>
        </row>
        <row r="2438">
          <cell r="A2438" t="str">
            <v>B82GSA17</v>
          </cell>
          <cell r="B2438" t="str">
            <v xml:space="preserve">COLONIAL ESMALTE TURQUEZA     </v>
          </cell>
          <cell r="C2438">
            <v>2</v>
          </cell>
          <cell r="D2438">
            <v>730</v>
          </cell>
        </row>
        <row r="2439">
          <cell r="A2439" t="str">
            <v>B82GSA17-1</v>
          </cell>
          <cell r="B2439" t="str">
            <v xml:space="preserve">COLONIAL ESMALTE TURQUEZA     </v>
          </cell>
          <cell r="C2439">
            <v>2</v>
          </cell>
          <cell r="D2439">
            <v>730</v>
          </cell>
        </row>
        <row r="2440">
          <cell r="A2440" t="str">
            <v>B82GSA17-1/4</v>
          </cell>
          <cell r="B2440" t="str">
            <v xml:space="preserve">COLONIAL ESMALTE TURQUEZA     </v>
          </cell>
          <cell r="C2440">
            <v>2</v>
          </cell>
          <cell r="D2440">
            <v>730</v>
          </cell>
        </row>
        <row r="2441">
          <cell r="A2441" t="str">
            <v>B82GSA17-5</v>
          </cell>
          <cell r="B2441" t="str">
            <v xml:space="preserve">COLONIAL ESMALTE TURQUEZA     </v>
          </cell>
          <cell r="C2441">
            <v>2</v>
          </cell>
          <cell r="D2441">
            <v>730</v>
          </cell>
        </row>
        <row r="2442">
          <cell r="A2442" t="str">
            <v>B82GSA18</v>
          </cell>
          <cell r="B2442" t="str">
            <v>COLONIAL ESMALTE VERDE PALMERA</v>
          </cell>
          <cell r="C2442">
            <v>2</v>
          </cell>
          <cell r="D2442">
            <v>730</v>
          </cell>
        </row>
        <row r="2443">
          <cell r="A2443" t="str">
            <v>B82GSA18-1</v>
          </cell>
          <cell r="B2443" t="str">
            <v>COLONIAL ESMALTE VERDE PALMERA</v>
          </cell>
          <cell r="C2443">
            <v>2</v>
          </cell>
          <cell r="D2443">
            <v>730</v>
          </cell>
        </row>
        <row r="2444">
          <cell r="A2444" t="str">
            <v>B82GSA5</v>
          </cell>
          <cell r="B2444" t="str">
            <v>COL ST ESMALTE BRILLA TURQUESA</v>
          </cell>
          <cell r="C2444">
            <v>2</v>
          </cell>
          <cell r="D2444">
            <v>730</v>
          </cell>
        </row>
        <row r="2445">
          <cell r="A2445" t="str">
            <v>B82GSA5-1</v>
          </cell>
          <cell r="B2445" t="str">
            <v>COL ST ESMALTE BRILLA TURQUESA</v>
          </cell>
          <cell r="C2445">
            <v>2</v>
          </cell>
          <cell r="D2445">
            <v>730</v>
          </cell>
        </row>
        <row r="2446">
          <cell r="A2446" t="str">
            <v>B82GSA5-1/4</v>
          </cell>
          <cell r="B2446" t="str">
            <v>COL ST ESMALTE BRILLA TURQUESA</v>
          </cell>
          <cell r="C2446">
            <v>2</v>
          </cell>
          <cell r="D2446">
            <v>730</v>
          </cell>
        </row>
        <row r="2447">
          <cell r="A2447" t="str">
            <v>B82HSA6</v>
          </cell>
          <cell r="B2447" t="str">
            <v xml:space="preserve">COL ST ESMALTE BRILLAN CREMA  </v>
          </cell>
          <cell r="C2447">
            <v>2</v>
          </cell>
          <cell r="D2447">
            <v>730</v>
          </cell>
        </row>
        <row r="2448">
          <cell r="A2448" t="str">
            <v>B82HSA6-1</v>
          </cell>
          <cell r="B2448" t="str">
            <v xml:space="preserve">COL ST ESMALTE BRILLAN CREMA  </v>
          </cell>
          <cell r="C2448">
            <v>2</v>
          </cell>
          <cell r="D2448">
            <v>730</v>
          </cell>
        </row>
        <row r="2449">
          <cell r="A2449" t="str">
            <v>B82HSA6-1/4</v>
          </cell>
          <cell r="B2449" t="str">
            <v xml:space="preserve">COL ST ESMALTE BRILLAN CREMA  </v>
          </cell>
          <cell r="C2449">
            <v>2</v>
          </cell>
          <cell r="D2449">
            <v>730</v>
          </cell>
        </row>
        <row r="2450">
          <cell r="A2450" t="str">
            <v>B82HSA6-5</v>
          </cell>
          <cell r="B2450" t="str">
            <v xml:space="preserve">COLONIAL ESMALTE CREMA        </v>
          </cell>
          <cell r="C2450">
            <v>2</v>
          </cell>
          <cell r="D2450">
            <v>730</v>
          </cell>
        </row>
        <row r="2451">
          <cell r="A2451" t="str">
            <v>B82LP16</v>
          </cell>
          <cell r="B2451" t="str">
            <v xml:space="preserve">COLONIAL ESMALTE AZUL CARIBE  </v>
          </cell>
          <cell r="C2451">
            <v>2</v>
          </cell>
          <cell r="D2451">
            <v>730</v>
          </cell>
        </row>
        <row r="2452">
          <cell r="A2452" t="str">
            <v>B82LP16-1</v>
          </cell>
          <cell r="B2452" t="str">
            <v xml:space="preserve">COLONIAL ESMALTE AZUL CARIBE  </v>
          </cell>
          <cell r="C2452">
            <v>2</v>
          </cell>
          <cell r="D2452">
            <v>730</v>
          </cell>
        </row>
        <row r="2453">
          <cell r="A2453" t="str">
            <v>B82LP16-5</v>
          </cell>
          <cell r="B2453" t="str">
            <v xml:space="preserve">COLONIAL ESMALTE AZUL CARIBE  </v>
          </cell>
          <cell r="C2453">
            <v>2</v>
          </cell>
          <cell r="D2453">
            <v>730</v>
          </cell>
        </row>
        <row r="2454">
          <cell r="A2454" t="str">
            <v>B82LSA13</v>
          </cell>
          <cell r="B2454" t="str">
            <v xml:space="preserve">COL ST ESM BRILLA AZUL CARIBE </v>
          </cell>
          <cell r="C2454">
            <v>2</v>
          </cell>
          <cell r="D2454">
            <v>730</v>
          </cell>
        </row>
        <row r="2455">
          <cell r="A2455" t="str">
            <v>B82LSA13-1</v>
          </cell>
          <cell r="B2455" t="str">
            <v xml:space="preserve">COL ST ESM BRILLA AZUL CARIBE </v>
          </cell>
          <cell r="C2455">
            <v>2</v>
          </cell>
          <cell r="D2455">
            <v>730</v>
          </cell>
        </row>
        <row r="2456">
          <cell r="A2456" t="str">
            <v>B82LSA13-1/4</v>
          </cell>
          <cell r="B2456" t="str">
            <v xml:space="preserve">COL ST ESM BRILLA AZUL CARIBE </v>
          </cell>
          <cell r="C2456">
            <v>2</v>
          </cell>
          <cell r="D2456">
            <v>730</v>
          </cell>
        </row>
        <row r="2457">
          <cell r="A2457" t="str">
            <v>B82LSA13-5</v>
          </cell>
          <cell r="B2457" t="str">
            <v xml:space="preserve">COLONIAL ESMALTE AZUL CARIBE  </v>
          </cell>
          <cell r="C2457">
            <v>2</v>
          </cell>
          <cell r="D2457">
            <v>730</v>
          </cell>
        </row>
        <row r="2458">
          <cell r="A2458" t="str">
            <v>B82LSA14</v>
          </cell>
          <cell r="B2458" t="str">
            <v>COL ST ESM BRILL CELESTE CIELO</v>
          </cell>
          <cell r="C2458">
            <v>2</v>
          </cell>
          <cell r="D2458">
            <v>730</v>
          </cell>
        </row>
        <row r="2459">
          <cell r="A2459" t="str">
            <v>B82LSA14-1</v>
          </cell>
          <cell r="B2459" t="str">
            <v>COL ST ESM BRILL CELESTE CIELO</v>
          </cell>
          <cell r="C2459">
            <v>2</v>
          </cell>
          <cell r="D2459">
            <v>730</v>
          </cell>
        </row>
        <row r="2460">
          <cell r="A2460" t="str">
            <v>B82LSA14-1/4</v>
          </cell>
          <cell r="B2460" t="str">
            <v>COLONIAL ESMALTE CELESTE CIELO</v>
          </cell>
          <cell r="C2460">
            <v>2</v>
          </cell>
          <cell r="D2460">
            <v>730</v>
          </cell>
        </row>
        <row r="2461">
          <cell r="A2461" t="str">
            <v>B82LSA17</v>
          </cell>
          <cell r="B2461" t="str">
            <v xml:space="preserve">COLONIAL ESMALTE AZUL BANDERA </v>
          </cell>
          <cell r="C2461">
            <v>2</v>
          </cell>
          <cell r="D2461">
            <v>730</v>
          </cell>
        </row>
        <row r="2462">
          <cell r="A2462" t="str">
            <v>B82LSA17-50</v>
          </cell>
          <cell r="B2462" t="str">
            <v xml:space="preserve">COLONIAL ESMALTE AZUL BANDERA </v>
          </cell>
          <cell r="C2462">
            <v>2</v>
          </cell>
          <cell r="D2462">
            <v>730</v>
          </cell>
        </row>
        <row r="2463">
          <cell r="A2463" t="str">
            <v>B82LSA7</v>
          </cell>
          <cell r="B2463" t="str">
            <v>COL STY ESM BRILL AZUL MEDIANO</v>
          </cell>
          <cell r="C2463">
            <v>2</v>
          </cell>
          <cell r="D2463">
            <v>730</v>
          </cell>
        </row>
        <row r="2464">
          <cell r="A2464" t="str">
            <v>B82LSA7-1</v>
          </cell>
          <cell r="B2464" t="str">
            <v>COL STY ESM BRILL AZUL MEDIANO</v>
          </cell>
          <cell r="C2464">
            <v>2</v>
          </cell>
          <cell r="D2464">
            <v>730</v>
          </cell>
        </row>
        <row r="2465">
          <cell r="A2465" t="str">
            <v>B82LSA7-1/4</v>
          </cell>
          <cell r="B2465" t="str">
            <v>COL STY ESM BRILL AZUL MEDIANO</v>
          </cell>
          <cell r="C2465">
            <v>2</v>
          </cell>
          <cell r="D2465">
            <v>730</v>
          </cell>
        </row>
        <row r="2466">
          <cell r="A2466" t="str">
            <v>B82NSA3</v>
          </cell>
          <cell r="B2466" t="str">
            <v xml:space="preserve">COL STY ESMALT BRILLANTE CAFÉ </v>
          </cell>
          <cell r="C2466">
            <v>2</v>
          </cell>
          <cell r="D2466">
            <v>730</v>
          </cell>
        </row>
        <row r="2467">
          <cell r="A2467" t="str">
            <v>B82NSA3-1</v>
          </cell>
          <cell r="B2467" t="str">
            <v xml:space="preserve">COL STY ESMALT BRILLANTE CAFÉ </v>
          </cell>
          <cell r="C2467">
            <v>2</v>
          </cell>
          <cell r="D2467">
            <v>730</v>
          </cell>
        </row>
        <row r="2468">
          <cell r="A2468" t="str">
            <v>B82NSA3-1/4</v>
          </cell>
          <cell r="B2468" t="str">
            <v xml:space="preserve">COL STY ESMALT BRILLANTE CAFÉ </v>
          </cell>
          <cell r="C2468">
            <v>2</v>
          </cell>
          <cell r="D2468">
            <v>730</v>
          </cell>
        </row>
        <row r="2469">
          <cell r="A2469" t="str">
            <v>B82NSA4</v>
          </cell>
          <cell r="B2469" t="str">
            <v>COL ST ESM BRILLAN CAFÉ OSCURO</v>
          </cell>
          <cell r="C2469">
            <v>2</v>
          </cell>
          <cell r="D2469">
            <v>730</v>
          </cell>
        </row>
        <row r="2470">
          <cell r="A2470" t="str">
            <v>B82NSA4-1</v>
          </cell>
          <cell r="B2470" t="str">
            <v>COL ST ESM BRILLAN CAFÉ OSCURO</v>
          </cell>
          <cell r="C2470">
            <v>2</v>
          </cell>
          <cell r="D2470">
            <v>730</v>
          </cell>
        </row>
        <row r="2471">
          <cell r="A2471" t="str">
            <v>B82NSA4-1/4</v>
          </cell>
          <cell r="B2471" t="str">
            <v>COL ST ESM BRILLAN CAFÉ OSCURO</v>
          </cell>
          <cell r="C2471">
            <v>2</v>
          </cell>
          <cell r="D2471">
            <v>730</v>
          </cell>
        </row>
        <row r="2472">
          <cell r="A2472" t="str">
            <v>B82NSA8</v>
          </cell>
          <cell r="B2472" t="str">
            <v xml:space="preserve">COLONIAL ESMALTE GRIS         </v>
          </cell>
          <cell r="C2472">
            <v>2</v>
          </cell>
          <cell r="D2472">
            <v>730</v>
          </cell>
        </row>
        <row r="2473">
          <cell r="A2473" t="str">
            <v>B82NSA8-1</v>
          </cell>
          <cell r="B2473" t="str">
            <v xml:space="preserve">COLONIAL ESMALTE GRIS         </v>
          </cell>
          <cell r="C2473">
            <v>2</v>
          </cell>
          <cell r="D2473">
            <v>730</v>
          </cell>
        </row>
        <row r="2474">
          <cell r="A2474" t="str">
            <v>B82NSA8-5</v>
          </cell>
          <cell r="B2474" t="str">
            <v xml:space="preserve">COLONIAL ESMALTE GRIS         </v>
          </cell>
          <cell r="C2474">
            <v>2</v>
          </cell>
          <cell r="D2474">
            <v>730</v>
          </cell>
        </row>
        <row r="2475">
          <cell r="A2475" t="str">
            <v>B82NSA9</v>
          </cell>
          <cell r="B2475" t="str">
            <v>COLONIAL STYL ESMALT CAFE TERR</v>
          </cell>
          <cell r="C2475">
            <v>2</v>
          </cell>
          <cell r="D2475">
            <v>730</v>
          </cell>
        </row>
        <row r="2476">
          <cell r="A2476" t="str">
            <v>B82NSA9-1</v>
          </cell>
          <cell r="B2476" t="str">
            <v>COLONIAL STYL ESMALT CAFE TERR</v>
          </cell>
          <cell r="C2476">
            <v>2</v>
          </cell>
          <cell r="D2476">
            <v>730</v>
          </cell>
        </row>
        <row r="2477">
          <cell r="A2477" t="str">
            <v>B82PSA1</v>
          </cell>
          <cell r="B2477" t="str">
            <v xml:space="preserve">COLONIAL STYL ESMALTE PURPURA </v>
          </cell>
          <cell r="C2477">
            <v>2</v>
          </cell>
          <cell r="D2477">
            <v>730</v>
          </cell>
        </row>
        <row r="2478">
          <cell r="A2478" t="str">
            <v>B82PSA1-1</v>
          </cell>
          <cell r="B2478" t="str">
            <v xml:space="preserve">COLONIAL STYL ESMALTE PURPURA </v>
          </cell>
          <cell r="C2478">
            <v>2</v>
          </cell>
          <cell r="D2478">
            <v>730</v>
          </cell>
        </row>
        <row r="2479">
          <cell r="A2479" t="str">
            <v>B82RSA13</v>
          </cell>
          <cell r="B2479" t="str">
            <v>COL ST ESM BRILLA ROJO QUEMADO</v>
          </cell>
          <cell r="C2479">
            <v>2</v>
          </cell>
          <cell r="D2479">
            <v>730</v>
          </cell>
        </row>
        <row r="2480">
          <cell r="A2480" t="str">
            <v>B82RSA13-1</v>
          </cell>
          <cell r="B2480" t="str">
            <v>COL ST ESM BRILLA ROJO QUEMADO</v>
          </cell>
          <cell r="C2480">
            <v>2</v>
          </cell>
          <cell r="D2480">
            <v>730</v>
          </cell>
        </row>
        <row r="2481">
          <cell r="A2481" t="str">
            <v>B82RSA13-1/4</v>
          </cell>
          <cell r="B2481" t="str">
            <v>COL ST ESM BRILLA ROJO QUEMADO</v>
          </cell>
          <cell r="C2481">
            <v>2</v>
          </cell>
          <cell r="D2481">
            <v>730</v>
          </cell>
        </row>
        <row r="2482">
          <cell r="A2482" t="str">
            <v>B82RSA13-5</v>
          </cell>
          <cell r="B2482" t="str">
            <v>COL ST ESM BRILLA ROJO QUEMADO</v>
          </cell>
          <cell r="C2482">
            <v>2</v>
          </cell>
          <cell r="D2482">
            <v>730</v>
          </cell>
        </row>
        <row r="2483">
          <cell r="A2483" t="str">
            <v>B82RSA16</v>
          </cell>
          <cell r="B2483" t="str">
            <v xml:space="preserve">COL ST ESM BRILLANT GERANIO   </v>
          </cell>
          <cell r="C2483">
            <v>2</v>
          </cell>
          <cell r="D2483">
            <v>730</v>
          </cell>
        </row>
        <row r="2484">
          <cell r="A2484" t="str">
            <v>B82RSA16-1</v>
          </cell>
          <cell r="B2484" t="str">
            <v xml:space="preserve">COL ST ESM BRILLANT GERANIO   </v>
          </cell>
          <cell r="C2484">
            <v>2</v>
          </cell>
          <cell r="D2484">
            <v>730</v>
          </cell>
        </row>
        <row r="2485">
          <cell r="A2485" t="str">
            <v>B82RSA16-1/4</v>
          </cell>
          <cell r="B2485" t="str">
            <v xml:space="preserve">COL ST ESM BRILLANT GERANIO   </v>
          </cell>
          <cell r="C2485">
            <v>2</v>
          </cell>
          <cell r="D2485">
            <v>730</v>
          </cell>
        </row>
        <row r="2486">
          <cell r="A2486" t="str">
            <v>B82RSA17</v>
          </cell>
          <cell r="B2486" t="str">
            <v xml:space="preserve">COLONIAL ESM ROJO COCA COLA   </v>
          </cell>
          <cell r="C2486">
            <v>2</v>
          </cell>
          <cell r="D2486">
            <v>730</v>
          </cell>
        </row>
        <row r="2487">
          <cell r="A2487" t="str">
            <v>B82RSA17-50</v>
          </cell>
          <cell r="B2487" t="str">
            <v xml:space="preserve">COLONIAL ESM ROJO COCA COLA   </v>
          </cell>
          <cell r="C2487">
            <v>2</v>
          </cell>
          <cell r="D2487">
            <v>730</v>
          </cell>
        </row>
        <row r="2488">
          <cell r="A2488" t="str">
            <v>B82RSA18</v>
          </cell>
          <cell r="B2488" t="str">
            <v>COLONIAL STYL ESMALT ROJO BAHI</v>
          </cell>
          <cell r="C2488">
            <v>2</v>
          </cell>
          <cell r="D2488">
            <v>730</v>
          </cell>
        </row>
        <row r="2489">
          <cell r="A2489" t="str">
            <v>B82RSA18-1</v>
          </cell>
          <cell r="B2489" t="str">
            <v>COLONIAL STYL ESMALT ROJO BAHI</v>
          </cell>
          <cell r="C2489">
            <v>2</v>
          </cell>
          <cell r="D2489">
            <v>730</v>
          </cell>
        </row>
        <row r="2490">
          <cell r="A2490" t="str">
            <v>B82RSA19</v>
          </cell>
          <cell r="B2490" t="str">
            <v>COLONIAL STYLE ESMALTE JALAPEÑ</v>
          </cell>
          <cell r="C2490">
            <v>2</v>
          </cell>
          <cell r="D2490">
            <v>730</v>
          </cell>
        </row>
        <row r="2491">
          <cell r="A2491" t="str">
            <v>B82RSA19-1</v>
          </cell>
          <cell r="B2491" t="str">
            <v>COLONIAL STYLE ESMALTE JALAPEÑ</v>
          </cell>
          <cell r="C2491">
            <v>2</v>
          </cell>
          <cell r="D2491">
            <v>730</v>
          </cell>
        </row>
        <row r="2492">
          <cell r="A2492" t="str">
            <v>B82RSA20</v>
          </cell>
          <cell r="B2492" t="str">
            <v>COLONIAL STYL ESMAL ROJO FUEGO</v>
          </cell>
          <cell r="C2492">
            <v>2</v>
          </cell>
          <cell r="D2492">
            <v>730</v>
          </cell>
        </row>
        <row r="2493">
          <cell r="A2493" t="str">
            <v>B82RSA20-1</v>
          </cell>
          <cell r="B2493" t="str">
            <v>COLONIAL STYL ESMAL ROJO FUEGO</v>
          </cell>
          <cell r="C2493">
            <v>2</v>
          </cell>
          <cell r="D2493">
            <v>730</v>
          </cell>
        </row>
        <row r="2494">
          <cell r="A2494" t="str">
            <v>B82RSA6</v>
          </cell>
          <cell r="B2494" t="str">
            <v>COL ST ESM BRILLANT ROJO CHINO</v>
          </cell>
          <cell r="C2494">
            <v>2</v>
          </cell>
          <cell r="D2494">
            <v>730</v>
          </cell>
        </row>
        <row r="2495">
          <cell r="A2495" t="str">
            <v>B82RSA6-1</v>
          </cell>
          <cell r="B2495" t="str">
            <v>COL ST ESM BRILLANT ROJO CHINO</v>
          </cell>
          <cell r="C2495">
            <v>2</v>
          </cell>
          <cell r="D2495">
            <v>730</v>
          </cell>
        </row>
        <row r="2496">
          <cell r="A2496" t="str">
            <v>B82RSA6-1/4</v>
          </cell>
          <cell r="B2496" t="str">
            <v>COL ST ESM BRILLANT ROJO CHINO</v>
          </cell>
          <cell r="C2496">
            <v>2</v>
          </cell>
          <cell r="D2496">
            <v>730</v>
          </cell>
        </row>
        <row r="2497">
          <cell r="A2497" t="str">
            <v>B82RSA6-5</v>
          </cell>
          <cell r="B2497" t="str">
            <v xml:space="preserve">COLONIAL ESMALTE ROJO CHINO   </v>
          </cell>
          <cell r="C2497">
            <v>2</v>
          </cell>
          <cell r="D2497">
            <v>730</v>
          </cell>
        </row>
        <row r="2498">
          <cell r="A2498" t="str">
            <v>B82RSA6-50</v>
          </cell>
          <cell r="B2498" t="str">
            <v xml:space="preserve">COLONIAL ESMALTE ROJO CHINO   </v>
          </cell>
          <cell r="C2498">
            <v>2</v>
          </cell>
          <cell r="D2498">
            <v>730</v>
          </cell>
        </row>
        <row r="2499">
          <cell r="A2499" t="str">
            <v>B82TSA254</v>
          </cell>
          <cell r="B2499" t="str">
            <v xml:space="preserve">COLONIAL ESM MATE BASE ULTRA  </v>
          </cell>
          <cell r="C2499">
            <v>2</v>
          </cell>
          <cell r="D2499">
            <v>730</v>
          </cell>
        </row>
        <row r="2500">
          <cell r="A2500" t="str">
            <v>B82TSA254-1</v>
          </cell>
          <cell r="B2500" t="str">
            <v xml:space="preserve">COLONIAL ESM MATE BASE ULTRA  </v>
          </cell>
          <cell r="C2500">
            <v>2</v>
          </cell>
          <cell r="D2500">
            <v>730</v>
          </cell>
        </row>
        <row r="2501">
          <cell r="A2501" t="str">
            <v>B82TSA254-1/4</v>
          </cell>
          <cell r="B2501" t="str">
            <v xml:space="preserve">COLONIAL ESM MATE BASE ULTRA  </v>
          </cell>
          <cell r="C2501">
            <v>2</v>
          </cell>
          <cell r="D2501">
            <v>730</v>
          </cell>
        </row>
        <row r="2502">
          <cell r="A2502" t="str">
            <v>B82TSA254-5</v>
          </cell>
          <cell r="B2502" t="str">
            <v xml:space="preserve">COLONIAL ESM MATE BASE ULTRA  </v>
          </cell>
          <cell r="C2502">
            <v>2</v>
          </cell>
          <cell r="D2502">
            <v>730</v>
          </cell>
        </row>
        <row r="2503">
          <cell r="A2503" t="str">
            <v>B82TSA54</v>
          </cell>
          <cell r="B2503" t="str">
            <v xml:space="preserve">COLONIAL ESM BRIL BASE ULTRA  </v>
          </cell>
          <cell r="C2503">
            <v>2</v>
          </cell>
          <cell r="D2503">
            <v>730</v>
          </cell>
        </row>
        <row r="2504">
          <cell r="A2504" t="str">
            <v>B82TSA54-1</v>
          </cell>
          <cell r="B2504" t="str">
            <v xml:space="preserve">COLONIAL ESM BRIL BASE ULTRA  </v>
          </cell>
          <cell r="C2504">
            <v>2</v>
          </cell>
          <cell r="D2504">
            <v>730</v>
          </cell>
        </row>
        <row r="2505">
          <cell r="A2505" t="str">
            <v>B82TSA54-1/4</v>
          </cell>
          <cell r="B2505" t="str">
            <v xml:space="preserve">COLONIAL ESM BRIL BASE ULTRA  </v>
          </cell>
          <cell r="C2505">
            <v>2</v>
          </cell>
          <cell r="D2505">
            <v>730</v>
          </cell>
        </row>
        <row r="2506">
          <cell r="A2506" t="str">
            <v>B82TSA54-5</v>
          </cell>
          <cell r="B2506" t="str">
            <v xml:space="preserve">COLONIAL ESM BRIL BASE ULTRA  </v>
          </cell>
          <cell r="C2506">
            <v>2</v>
          </cell>
          <cell r="D2506">
            <v>730</v>
          </cell>
        </row>
        <row r="2507">
          <cell r="A2507" t="str">
            <v>B82WSA1</v>
          </cell>
          <cell r="B2507" t="str">
            <v>COL STYLE ESM BRILLANTE BLANCO</v>
          </cell>
          <cell r="C2507">
            <v>2</v>
          </cell>
          <cell r="D2507">
            <v>730</v>
          </cell>
        </row>
        <row r="2508">
          <cell r="A2508" t="str">
            <v>B82WSA1-1</v>
          </cell>
          <cell r="B2508" t="str">
            <v>COL STYLE ESM BRILLANTE BLANCO</v>
          </cell>
          <cell r="C2508">
            <v>2</v>
          </cell>
          <cell r="D2508">
            <v>730</v>
          </cell>
        </row>
        <row r="2509">
          <cell r="A2509" t="str">
            <v>B82WSA1-1/4</v>
          </cell>
          <cell r="B2509" t="str">
            <v>COL STYLE ESM BRILLANTE BLANCO</v>
          </cell>
          <cell r="C2509">
            <v>2</v>
          </cell>
          <cell r="D2509">
            <v>730</v>
          </cell>
        </row>
        <row r="2510">
          <cell r="A2510" t="str">
            <v>B82WSA1-5</v>
          </cell>
          <cell r="B2510" t="str">
            <v>COL STYLE ESM BRILLANTE BLANCO</v>
          </cell>
          <cell r="C2510">
            <v>2</v>
          </cell>
          <cell r="D2510">
            <v>730</v>
          </cell>
        </row>
        <row r="2511">
          <cell r="A2511" t="str">
            <v>B82WSA1-50</v>
          </cell>
          <cell r="B2511" t="str">
            <v>COLONIAL ESMALTE BLANCO BRILLA</v>
          </cell>
          <cell r="C2511">
            <v>2</v>
          </cell>
          <cell r="D2511">
            <v>730</v>
          </cell>
        </row>
        <row r="2512">
          <cell r="A2512" t="str">
            <v>B82WSA251</v>
          </cell>
          <cell r="B2512" t="str">
            <v xml:space="preserve">COLONIAL ESM MATE BASE WHITE  </v>
          </cell>
          <cell r="C2512">
            <v>2</v>
          </cell>
          <cell r="D2512">
            <v>730</v>
          </cell>
        </row>
        <row r="2513">
          <cell r="A2513" t="str">
            <v>B82WSA251-1</v>
          </cell>
          <cell r="B2513" t="str">
            <v xml:space="preserve">COLONIAL ESM MATE BASE WHITE  </v>
          </cell>
          <cell r="C2513">
            <v>2</v>
          </cell>
          <cell r="D2513">
            <v>730</v>
          </cell>
        </row>
        <row r="2514">
          <cell r="A2514" t="str">
            <v>B82WSA251-1/4</v>
          </cell>
          <cell r="B2514" t="str">
            <v xml:space="preserve">COLONIAL ESM MATE BASE WHITE  </v>
          </cell>
          <cell r="C2514">
            <v>2</v>
          </cell>
          <cell r="D2514">
            <v>730</v>
          </cell>
        </row>
        <row r="2515">
          <cell r="A2515" t="str">
            <v>B82WSA251-5</v>
          </cell>
          <cell r="B2515" t="str">
            <v xml:space="preserve">COLONIAL ESM MATE BASE WHITE  </v>
          </cell>
          <cell r="C2515">
            <v>2</v>
          </cell>
          <cell r="D2515">
            <v>730</v>
          </cell>
        </row>
        <row r="2516">
          <cell r="A2516" t="str">
            <v>B82WSA253</v>
          </cell>
          <cell r="B2516" t="str">
            <v xml:space="preserve">COLONIAL STYLE ESM MATE DEEP  </v>
          </cell>
          <cell r="C2516">
            <v>2</v>
          </cell>
          <cell r="D2516">
            <v>730</v>
          </cell>
        </row>
        <row r="2517">
          <cell r="A2517" t="str">
            <v>B82WSA253-1</v>
          </cell>
          <cell r="B2517" t="str">
            <v xml:space="preserve">COLONIAL STYLE ESM MATE DEEP  </v>
          </cell>
          <cell r="C2517">
            <v>2</v>
          </cell>
          <cell r="D2517">
            <v>730</v>
          </cell>
        </row>
        <row r="2518">
          <cell r="A2518" t="str">
            <v>B82WSA253-1/4</v>
          </cell>
          <cell r="B2518" t="str">
            <v xml:space="preserve">COLONIAL STYLE ESM MATE DEEP  </v>
          </cell>
          <cell r="C2518">
            <v>2</v>
          </cell>
          <cell r="D2518">
            <v>730</v>
          </cell>
        </row>
        <row r="2519">
          <cell r="A2519" t="str">
            <v>B82WSA253-5</v>
          </cell>
          <cell r="B2519" t="str">
            <v xml:space="preserve">COLONIAL STYLE ESM MATE DEEP  </v>
          </cell>
          <cell r="C2519">
            <v>2</v>
          </cell>
          <cell r="D2519">
            <v>730</v>
          </cell>
        </row>
        <row r="2520">
          <cell r="A2520" t="str">
            <v>B82WSA3</v>
          </cell>
          <cell r="B2520" t="str">
            <v>COL ST ESM BRILLA BLANCO HUESO</v>
          </cell>
          <cell r="C2520">
            <v>2</v>
          </cell>
          <cell r="D2520">
            <v>730</v>
          </cell>
        </row>
        <row r="2521">
          <cell r="A2521" t="str">
            <v>B82WSA3-1</v>
          </cell>
          <cell r="B2521" t="str">
            <v>COL ST ESM BRILLA BLANCO HUESO</v>
          </cell>
          <cell r="C2521">
            <v>2</v>
          </cell>
          <cell r="D2521">
            <v>730</v>
          </cell>
        </row>
        <row r="2522">
          <cell r="A2522" t="str">
            <v>B82WSA3-1/4</v>
          </cell>
          <cell r="B2522" t="str">
            <v>COL ST ESM BRILLA BLANCO HUESO</v>
          </cell>
          <cell r="C2522">
            <v>2</v>
          </cell>
          <cell r="D2522">
            <v>730</v>
          </cell>
        </row>
        <row r="2523">
          <cell r="A2523" t="str">
            <v>B82WSA3-5</v>
          </cell>
          <cell r="B2523" t="str">
            <v>COL ST ESM BRILLA BLANCO HUESO</v>
          </cell>
          <cell r="C2523">
            <v>2</v>
          </cell>
          <cell r="D2523">
            <v>730</v>
          </cell>
        </row>
        <row r="2524">
          <cell r="A2524" t="str">
            <v>B82WSA3-50</v>
          </cell>
          <cell r="B2524" t="str">
            <v xml:space="preserve">COLONIAL ESMALTE BLANCO HUESO </v>
          </cell>
          <cell r="C2524">
            <v>2</v>
          </cell>
          <cell r="D2524">
            <v>730</v>
          </cell>
        </row>
        <row r="2525">
          <cell r="A2525" t="str">
            <v>B82WSA51</v>
          </cell>
          <cell r="B2525" t="str">
            <v>COLONIAL STYLE ESM BASE  WHITE</v>
          </cell>
          <cell r="C2525">
            <v>2</v>
          </cell>
          <cell r="D2525">
            <v>730</v>
          </cell>
        </row>
        <row r="2526">
          <cell r="A2526" t="str">
            <v>B82WSA51-1</v>
          </cell>
          <cell r="B2526" t="str">
            <v>COLONIAL STYLE ESM BASE  WHITE</v>
          </cell>
          <cell r="C2526">
            <v>2</v>
          </cell>
          <cell r="D2526">
            <v>730</v>
          </cell>
        </row>
        <row r="2527">
          <cell r="A2527" t="str">
            <v>B82WSA51-1/4</v>
          </cell>
          <cell r="B2527" t="str">
            <v>COLONIAL STYLE ESM BASE  WHITE</v>
          </cell>
          <cell r="C2527">
            <v>2</v>
          </cell>
          <cell r="D2527">
            <v>730</v>
          </cell>
        </row>
        <row r="2528">
          <cell r="A2528" t="str">
            <v>B82WSA51-5</v>
          </cell>
          <cell r="B2528" t="str">
            <v>COLONIAL STYLE ESM BASE  WHITE</v>
          </cell>
          <cell r="C2528">
            <v>2</v>
          </cell>
          <cell r="D2528">
            <v>730</v>
          </cell>
        </row>
        <row r="2529">
          <cell r="A2529" t="str">
            <v>B82WSA53</v>
          </cell>
          <cell r="B2529" t="str">
            <v xml:space="preserve">COLONIAL STYLE ESMALTE  DEEP  </v>
          </cell>
          <cell r="C2529">
            <v>2</v>
          </cell>
          <cell r="D2529">
            <v>730</v>
          </cell>
        </row>
        <row r="2530">
          <cell r="A2530" t="str">
            <v>B82WSA53-1</v>
          </cell>
          <cell r="B2530" t="str">
            <v xml:space="preserve">COLONIAL STYLE ESMALTE  DEEP  </v>
          </cell>
          <cell r="C2530">
            <v>2</v>
          </cell>
          <cell r="D2530">
            <v>730</v>
          </cell>
        </row>
        <row r="2531">
          <cell r="A2531" t="str">
            <v>B82WSA53-1/4</v>
          </cell>
          <cell r="B2531" t="str">
            <v xml:space="preserve">COLONIAL STYLE ESMALTE  DEEP  </v>
          </cell>
          <cell r="C2531">
            <v>2</v>
          </cell>
          <cell r="D2531">
            <v>730</v>
          </cell>
        </row>
        <row r="2532">
          <cell r="A2532" t="str">
            <v>B82WSA53-5</v>
          </cell>
          <cell r="B2532" t="str">
            <v xml:space="preserve">COLONIAL STYLE ESMALTE  DEEP  </v>
          </cell>
          <cell r="C2532">
            <v>2</v>
          </cell>
          <cell r="D2532">
            <v>730</v>
          </cell>
        </row>
        <row r="2533">
          <cell r="A2533" t="str">
            <v>B82WSA6</v>
          </cell>
          <cell r="B2533" t="str">
            <v xml:space="preserve">COLONIAL ST ESM MATE BLANCO   </v>
          </cell>
          <cell r="C2533">
            <v>2</v>
          </cell>
          <cell r="D2533">
            <v>730</v>
          </cell>
        </row>
        <row r="2534">
          <cell r="A2534" t="str">
            <v>B82WSA6-1</v>
          </cell>
          <cell r="B2534" t="str">
            <v xml:space="preserve">COLONIAL ST ESM MATE BLANCO   </v>
          </cell>
          <cell r="C2534">
            <v>2</v>
          </cell>
          <cell r="D2534">
            <v>730</v>
          </cell>
        </row>
        <row r="2535">
          <cell r="A2535" t="str">
            <v>B82WSA6-1/4</v>
          </cell>
          <cell r="B2535" t="str">
            <v xml:space="preserve">COLONIAL ST ESM MATE BLANCO   </v>
          </cell>
          <cell r="C2535">
            <v>2</v>
          </cell>
          <cell r="D2535">
            <v>730</v>
          </cell>
        </row>
        <row r="2536">
          <cell r="A2536" t="str">
            <v>B82WSA6-5</v>
          </cell>
          <cell r="B2536" t="str">
            <v xml:space="preserve">COLONIAL ST ESM MATE BLANCO   </v>
          </cell>
          <cell r="C2536">
            <v>2</v>
          </cell>
          <cell r="D2536">
            <v>730</v>
          </cell>
        </row>
        <row r="2537">
          <cell r="A2537" t="str">
            <v>B82WSA9</v>
          </cell>
          <cell r="B2537" t="str">
            <v xml:space="preserve">COLONIAL ESMALTE BLANCO       </v>
          </cell>
          <cell r="C2537">
            <v>2</v>
          </cell>
          <cell r="D2537">
            <v>730</v>
          </cell>
        </row>
        <row r="2538">
          <cell r="A2538" t="str">
            <v>B82WSA9-1</v>
          </cell>
          <cell r="B2538" t="str">
            <v xml:space="preserve">COLONIAL ESMALTE BLANCO       </v>
          </cell>
          <cell r="C2538">
            <v>2</v>
          </cell>
          <cell r="D2538">
            <v>730</v>
          </cell>
        </row>
        <row r="2539">
          <cell r="A2539" t="str">
            <v>B82WSA9-5</v>
          </cell>
          <cell r="B2539" t="str">
            <v xml:space="preserve">COLONIAL ESMALTE BLANCO       </v>
          </cell>
          <cell r="C2539">
            <v>2</v>
          </cell>
          <cell r="D2539">
            <v>730</v>
          </cell>
        </row>
        <row r="2540">
          <cell r="A2540" t="str">
            <v>B82YSA12</v>
          </cell>
          <cell r="B2540" t="str">
            <v>COL ST ESM BRIL AMARILLO CROMO</v>
          </cell>
          <cell r="C2540">
            <v>2</v>
          </cell>
          <cell r="D2540">
            <v>730</v>
          </cell>
        </row>
        <row r="2541">
          <cell r="A2541" t="str">
            <v>B82YSA12-1</v>
          </cell>
          <cell r="B2541" t="str">
            <v>COL ST ESM BRIL AMARILLO CROMO</v>
          </cell>
          <cell r="C2541">
            <v>2</v>
          </cell>
          <cell r="D2541">
            <v>730</v>
          </cell>
        </row>
        <row r="2542">
          <cell r="A2542" t="str">
            <v>B82YSA12-1/4</v>
          </cell>
          <cell r="B2542" t="str">
            <v>COL ST ESM BRIL AMARILLO CROMO</v>
          </cell>
          <cell r="C2542">
            <v>2</v>
          </cell>
          <cell r="D2542">
            <v>730</v>
          </cell>
        </row>
        <row r="2543">
          <cell r="A2543" t="str">
            <v>B82YSA12-5</v>
          </cell>
          <cell r="B2543" t="str">
            <v xml:space="preserve">COLONIAL ESMALTE AMARILLO CRO </v>
          </cell>
          <cell r="C2543">
            <v>2</v>
          </cell>
          <cell r="D2543">
            <v>730</v>
          </cell>
        </row>
        <row r="2544">
          <cell r="A2544" t="str">
            <v>B82YSA14</v>
          </cell>
          <cell r="B2544" t="str">
            <v>COLONIAL STYLE ESMALTE AZAFRAN</v>
          </cell>
          <cell r="C2544">
            <v>2</v>
          </cell>
          <cell r="D2544">
            <v>730</v>
          </cell>
        </row>
        <row r="2545">
          <cell r="A2545" t="str">
            <v>B82YSA14-1</v>
          </cell>
          <cell r="B2545" t="str">
            <v>COLONIAL STYLE ESMALTE AZAFRAN</v>
          </cell>
          <cell r="C2545">
            <v>2</v>
          </cell>
          <cell r="D2545">
            <v>730</v>
          </cell>
        </row>
        <row r="2546">
          <cell r="A2546" t="str">
            <v>B82YSA14-5</v>
          </cell>
          <cell r="B2546" t="str">
            <v>COLONIAL STYLE ESMALTE AZAFRAN</v>
          </cell>
          <cell r="C2546">
            <v>2</v>
          </cell>
          <cell r="D2546">
            <v>730</v>
          </cell>
        </row>
        <row r="2547">
          <cell r="A2547" t="str">
            <v>B82YSA3</v>
          </cell>
          <cell r="B2547" t="str">
            <v xml:space="preserve">COL STYLE ESMA BRILL AMARILLO </v>
          </cell>
          <cell r="C2547">
            <v>2</v>
          </cell>
          <cell r="D2547">
            <v>730</v>
          </cell>
        </row>
        <row r="2548">
          <cell r="A2548" t="str">
            <v>B82YSA3-1</v>
          </cell>
          <cell r="B2548" t="str">
            <v xml:space="preserve">COL STYLE ESMA BRILL AMARILLO </v>
          </cell>
          <cell r="C2548">
            <v>2</v>
          </cell>
          <cell r="D2548">
            <v>730</v>
          </cell>
        </row>
        <row r="2549">
          <cell r="A2549" t="str">
            <v>B82YSA3-1/4</v>
          </cell>
          <cell r="B2549" t="str">
            <v>COLONIAL STY ESM BRIL AMARILLO</v>
          </cell>
          <cell r="C2549">
            <v>2</v>
          </cell>
          <cell r="D2549">
            <v>730</v>
          </cell>
        </row>
        <row r="2550">
          <cell r="A2550" t="str">
            <v>C45B2</v>
          </cell>
          <cell r="B2550" t="str">
            <v xml:space="preserve">804 PINTURA ANTICORROSIVA     </v>
          </cell>
          <cell r="C2550">
            <v>2</v>
          </cell>
          <cell r="D2550">
            <v>730</v>
          </cell>
        </row>
        <row r="2551">
          <cell r="A2551" t="str">
            <v>C45B2-1</v>
          </cell>
          <cell r="B2551" t="str">
            <v xml:space="preserve">804 PINTURA ANTICORROSIVA     </v>
          </cell>
          <cell r="C2551">
            <v>2</v>
          </cell>
          <cell r="D2551">
            <v>730</v>
          </cell>
        </row>
        <row r="2552">
          <cell r="A2552" t="str">
            <v>E41N1</v>
          </cell>
          <cell r="B2552" t="str">
            <v xml:space="preserve">KROMIK METAL PRIMER           </v>
          </cell>
          <cell r="C2552">
            <v>2</v>
          </cell>
          <cell r="D2552">
            <v>730</v>
          </cell>
        </row>
        <row r="2553">
          <cell r="A2553" t="str">
            <v>E41N1-1</v>
          </cell>
          <cell r="B2553" t="str">
            <v xml:space="preserve">KROMIK METAL PRIMER           </v>
          </cell>
          <cell r="C2553">
            <v>2</v>
          </cell>
          <cell r="D2553">
            <v>730</v>
          </cell>
        </row>
        <row r="2554">
          <cell r="A2554" t="str">
            <v>E41N1-5</v>
          </cell>
          <cell r="B2554" t="str">
            <v xml:space="preserve">KROMIK METAL PRIMER           </v>
          </cell>
          <cell r="C2554">
            <v>2</v>
          </cell>
          <cell r="D2554">
            <v>730</v>
          </cell>
        </row>
        <row r="2555">
          <cell r="A2555" t="str">
            <v>E41N1-50</v>
          </cell>
          <cell r="B2555" t="str">
            <v xml:space="preserve">KROMIK METAL PRIMER           </v>
          </cell>
          <cell r="C2555">
            <v>2</v>
          </cell>
          <cell r="D2555">
            <v>730</v>
          </cell>
        </row>
        <row r="2556">
          <cell r="A2556" t="str">
            <v>E41N1-SP</v>
          </cell>
          <cell r="B2556" t="str">
            <v xml:space="preserve">KROMIC METAL PRIMER           </v>
          </cell>
          <cell r="C2556">
            <v>2</v>
          </cell>
          <cell r="D2556">
            <v>730</v>
          </cell>
        </row>
        <row r="2557">
          <cell r="A2557" t="str">
            <v>E41N1SP-5</v>
          </cell>
          <cell r="B2557" t="str">
            <v xml:space="preserve">KROMIC METAL PRIMER           </v>
          </cell>
          <cell r="C2557">
            <v>2</v>
          </cell>
          <cell r="D2557">
            <v>730</v>
          </cell>
        </row>
        <row r="2558">
          <cell r="A2558" t="str">
            <v>E41Y10</v>
          </cell>
          <cell r="B2558" t="str">
            <v xml:space="preserve">ZINC CHROMATE PRIMER          </v>
          </cell>
          <cell r="C2558">
            <v>2</v>
          </cell>
          <cell r="D2558">
            <v>730</v>
          </cell>
        </row>
        <row r="2559">
          <cell r="A2559" t="str">
            <v>E41Y10-1</v>
          </cell>
          <cell r="B2559" t="str">
            <v xml:space="preserve">ZINC CHROMATE PRIMER          </v>
          </cell>
          <cell r="C2559">
            <v>2</v>
          </cell>
          <cell r="D2559">
            <v>730</v>
          </cell>
        </row>
        <row r="2560">
          <cell r="A2560" t="str">
            <v>E41Y10-5</v>
          </cell>
          <cell r="B2560" t="str">
            <v xml:space="preserve">ZINC CHROMATE PRIMER          </v>
          </cell>
          <cell r="C2560">
            <v>2</v>
          </cell>
          <cell r="D2560">
            <v>730</v>
          </cell>
        </row>
        <row r="2561">
          <cell r="A2561" t="str">
            <v>E41Y10-SP</v>
          </cell>
          <cell r="B2561" t="str">
            <v xml:space="preserve">ZINC CHROMATE PRIMER          </v>
          </cell>
          <cell r="C2561">
            <v>2</v>
          </cell>
          <cell r="D2561">
            <v>730</v>
          </cell>
        </row>
        <row r="2562">
          <cell r="A2562" t="str">
            <v>E41Y10SP-1</v>
          </cell>
          <cell r="B2562" t="str">
            <v xml:space="preserve">ZINC CHROMATE PRIMER          </v>
          </cell>
          <cell r="C2562">
            <v>2</v>
          </cell>
          <cell r="D2562">
            <v>730</v>
          </cell>
        </row>
        <row r="2563">
          <cell r="A2563" t="str">
            <v>E41Y10SP-5</v>
          </cell>
          <cell r="B2563" t="str">
            <v xml:space="preserve">ZINC CHROMATE PRIMER          </v>
          </cell>
          <cell r="C2563">
            <v>2</v>
          </cell>
          <cell r="D2563">
            <v>730</v>
          </cell>
        </row>
        <row r="2564">
          <cell r="A2564" t="str">
            <v>E60FSA1</v>
          </cell>
          <cell r="B2564" t="str">
            <v xml:space="preserve">SELLADOR POLIURETANO PARA     </v>
          </cell>
          <cell r="C2564">
            <v>2</v>
          </cell>
          <cell r="D2564">
            <v>730</v>
          </cell>
        </row>
        <row r="2565">
          <cell r="A2565" t="str">
            <v>E60FSA1-1</v>
          </cell>
          <cell r="B2565" t="str">
            <v xml:space="preserve">SELLADOR POLIURETANO  MADERA  </v>
          </cell>
          <cell r="C2565">
            <v>2</v>
          </cell>
          <cell r="D2565">
            <v>730</v>
          </cell>
        </row>
        <row r="2566">
          <cell r="A2566" t="str">
            <v>E61ESA2</v>
          </cell>
          <cell r="B2566" t="str">
            <v xml:space="preserve">EXCELLO RUSTOP MINIO          </v>
          </cell>
          <cell r="C2566">
            <v>2</v>
          </cell>
          <cell r="D2566">
            <v>730</v>
          </cell>
        </row>
        <row r="2567">
          <cell r="A2567" t="str">
            <v>E61ESA2-1</v>
          </cell>
          <cell r="B2567" t="str">
            <v xml:space="preserve">EXCELLO RUSTOP MINIO          </v>
          </cell>
          <cell r="C2567">
            <v>2</v>
          </cell>
          <cell r="D2567">
            <v>730</v>
          </cell>
        </row>
        <row r="2568">
          <cell r="A2568" t="str">
            <v>E61ESA2-1/4</v>
          </cell>
          <cell r="B2568" t="str">
            <v xml:space="preserve">EXCELLO RUSTOP MINIO          </v>
          </cell>
          <cell r="C2568">
            <v>2</v>
          </cell>
          <cell r="D2568">
            <v>730</v>
          </cell>
        </row>
        <row r="2569">
          <cell r="A2569" t="str">
            <v>E61ESA2-5</v>
          </cell>
          <cell r="B2569" t="str">
            <v xml:space="preserve">EXCELLO RUSTOP MINIO          </v>
          </cell>
          <cell r="C2569">
            <v>2</v>
          </cell>
          <cell r="D2569">
            <v>730</v>
          </cell>
        </row>
        <row r="2570">
          <cell r="A2570" t="str">
            <v>E61ESA2-50</v>
          </cell>
          <cell r="B2570" t="str">
            <v xml:space="preserve">EXCELLO RUSTOP MINIO          </v>
          </cell>
          <cell r="C2570">
            <v>2</v>
          </cell>
          <cell r="D2570">
            <v>730</v>
          </cell>
        </row>
        <row r="2571">
          <cell r="A2571" t="str">
            <v>E61ESA9</v>
          </cell>
          <cell r="B2571" t="str">
            <v>EXCELLO RUSTOP  MINIO ESPECIAL</v>
          </cell>
          <cell r="C2571">
            <v>2</v>
          </cell>
          <cell r="D2571">
            <v>730</v>
          </cell>
        </row>
        <row r="2572">
          <cell r="A2572" t="str">
            <v>E61ESA9-1</v>
          </cell>
          <cell r="B2572" t="str">
            <v>EXCELLO RUSTOP  MINIO ESPECIAL</v>
          </cell>
          <cell r="C2572">
            <v>2</v>
          </cell>
          <cell r="D2572">
            <v>730</v>
          </cell>
        </row>
        <row r="2573">
          <cell r="A2573" t="str">
            <v>E61ESA9-1/4</v>
          </cell>
          <cell r="B2573" t="str">
            <v>EXCELLO RUSTOP  MINIO ESPECIAL</v>
          </cell>
          <cell r="C2573">
            <v>2</v>
          </cell>
          <cell r="D2573">
            <v>730</v>
          </cell>
        </row>
        <row r="2574">
          <cell r="A2574" t="str">
            <v>E61ESA9-5</v>
          </cell>
          <cell r="B2574" t="str">
            <v>EXCELLO RUSTOP  MINIO ESPECIAL</v>
          </cell>
          <cell r="C2574">
            <v>2</v>
          </cell>
          <cell r="D2574">
            <v>730</v>
          </cell>
        </row>
        <row r="2575">
          <cell r="A2575" t="str">
            <v>E61GSA1</v>
          </cell>
          <cell r="B2575" t="str">
            <v xml:space="preserve">EXCELLO RUSTOP CHROMATO VERDE </v>
          </cell>
          <cell r="C2575">
            <v>2</v>
          </cell>
          <cell r="D2575">
            <v>730</v>
          </cell>
        </row>
        <row r="2576">
          <cell r="A2576" t="str">
            <v>E61GSA1-1</v>
          </cell>
          <cell r="B2576" t="str">
            <v xml:space="preserve">EXCELLO RUSTOP CHROMATO VERDE </v>
          </cell>
          <cell r="C2576">
            <v>2</v>
          </cell>
          <cell r="D2576">
            <v>730</v>
          </cell>
        </row>
        <row r="2577">
          <cell r="A2577" t="str">
            <v>E61GSA1-1/4</v>
          </cell>
          <cell r="B2577" t="str">
            <v xml:space="preserve">EXCELLO RUSTOP CHROMATO VERDE </v>
          </cell>
          <cell r="C2577">
            <v>2</v>
          </cell>
          <cell r="D2577">
            <v>730</v>
          </cell>
        </row>
        <row r="2578">
          <cell r="A2578" t="str">
            <v>E61GSA1-5</v>
          </cell>
          <cell r="B2578" t="str">
            <v xml:space="preserve">EXCELLO RUSTOP CHROMATO VERDE </v>
          </cell>
          <cell r="C2578">
            <v>2</v>
          </cell>
          <cell r="D2578">
            <v>730</v>
          </cell>
        </row>
        <row r="2579">
          <cell r="A2579" t="str">
            <v>E61GSA1-50</v>
          </cell>
          <cell r="B2579" t="str">
            <v xml:space="preserve">EXCELLO RUSTOP CHROMATO VERDE </v>
          </cell>
          <cell r="C2579">
            <v>2</v>
          </cell>
          <cell r="D2579">
            <v>730</v>
          </cell>
        </row>
        <row r="2580">
          <cell r="A2580" t="str">
            <v>E61RSA4</v>
          </cell>
          <cell r="B2580" t="str">
            <v xml:space="preserve">EXCELLO RUSTOP OXIDO ROJO     </v>
          </cell>
          <cell r="C2580">
            <v>2</v>
          </cell>
          <cell r="D2580">
            <v>730</v>
          </cell>
        </row>
        <row r="2581">
          <cell r="A2581" t="str">
            <v>E61RSA4-1</v>
          </cell>
          <cell r="B2581" t="str">
            <v xml:space="preserve">EXCELLO RUSTOP OXIDO ROJO     </v>
          </cell>
          <cell r="C2581">
            <v>2</v>
          </cell>
          <cell r="D2581">
            <v>730</v>
          </cell>
        </row>
        <row r="2582">
          <cell r="A2582" t="str">
            <v>E61RSA4-1/4</v>
          </cell>
          <cell r="B2582" t="str">
            <v xml:space="preserve">EXCELLO RUSTOP OXIDO ROJO     </v>
          </cell>
          <cell r="C2582">
            <v>2</v>
          </cell>
          <cell r="D2582">
            <v>730</v>
          </cell>
        </row>
        <row r="2583">
          <cell r="A2583" t="str">
            <v>E61RSA4-5</v>
          </cell>
          <cell r="B2583" t="str">
            <v xml:space="preserve">EXCELLO RUSTOP OXIDO ROJO     </v>
          </cell>
          <cell r="C2583">
            <v>2</v>
          </cell>
          <cell r="D2583">
            <v>730</v>
          </cell>
        </row>
        <row r="2584">
          <cell r="A2584" t="str">
            <v>E61RSA4-50</v>
          </cell>
          <cell r="B2584" t="str">
            <v xml:space="preserve">EXCELLO RUSTOP OXIDO ROJO     </v>
          </cell>
          <cell r="C2584">
            <v>2</v>
          </cell>
          <cell r="D2584">
            <v>730</v>
          </cell>
        </row>
        <row r="2585">
          <cell r="A2585" t="str">
            <v>E65FSA1</v>
          </cell>
          <cell r="B2585" t="str">
            <v xml:space="preserve">SELLADOR POLIURETANO   H.S.   </v>
          </cell>
          <cell r="C2585">
            <v>2</v>
          </cell>
          <cell r="D2585">
            <v>730</v>
          </cell>
        </row>
        <row r="2586">
          <cell r="A2586" t="str">
            <v>E65FSA1-1</v>
          </cell>
          <cell r="B2586" t="str">
            <v xml:space="preserve">SELLADOR POLIURETANO   H.S.   </v>
          </cell>
          <cell r="C2586">
            <v>2</v>
          </cell>
          <cell r="D2586">
            <v>730</v>
          </cell>
        </row>
        <row r="2587">
          <cell r="A2587" t="str">
            <v>F65A2</v>
          </cell>
          <cell r="B2587" t="str">
            <v>KEM LUSTRAL ENAME GRIS MEDIANO</v>
          </cell>
          <cell r="C2587">
            <v>3</v>
          </cell>
          <cell r="D2587">
            <v>1095</v>
          </cell>
        </row>
        <row r="2588">
          <cell r="A2588" t="str">
            <v>F65A2-1</v>
          </cell>
          <cell r="B2588" t="str">
            <v>KEM LUSTRAL ENAME GRIS MEDIANO</v>
          </cell>
          <cell r="C2588">
            <v>3</v>
          </cell>
          <cell r="D2588">
            <v>1095</v>
          </cell>
        </row>
        <row r="2589">
          <cell r="A2589" t="str">
            <v>F65A2-1/4</v>
          </cell>
          <cell r="B2589" t="str">
            <v>KEM LUSTRAL ENAME GRIS MEDIANO</v>
          </cell>
          <cell r="C2589">
            <v>3</v>
          </cell>
          <cell r="D2589">
            <v>1095</v>
          </cell>
        </row>
        <row r="2590">
          <cell r="A2590" t="str">
            <v>F65A2-5</v>
          </cell>
          <cell r="B2590" t="str">
            <v xml:space="preserve">KEM LUSTRAL GRIS MEDIANO      </v>
          </cell>
          <cell r="C2590">
            <v>3</v>
          </cell>
          <cell r="D2590">
            <v>1095</v>
          </cell>
        </row>
        <row r="2591">
          <cell r="A2591" t="str">
            <v>F65A2-50</v>
          </cell>
          <cell r="B2591" t="str">
            <v xml:space="preserve">KEM LUSTRAL GRIS MEDIANO      </v>
          </cell>
          <cell r="C2591">
            <v>3</v>
          </cell>
          <cell r="D2591">
            <v>1095</v>
          </cell>
        </row>
        <row r="2592">
          <cell r="A2592" t="str">
            <v>F65B1</v>
          </cell>
          <cell r="B2592" t="str">
            <v>KEM LUSTRAL ENAMEL NEGRO BRILL</v>
          </cell>
          <cell r="C2592">
            <v>3</v>
          </cell>
          <cell r="D2592">
            <v>1095</v>
          </cell>
        </row>
        <row r="2593">
          <cell r="A2593" t="str">
            <v>F65B1-1</v>
          </cell>
          <cell r="B2593" t="str">
            <v>KEM LUSTRAL ENAMEL NEGRO BRILL</v>
          </cell>
          <cell r="C2593">
            <v>3</v>
          </cell>
          <cell r="D2593">
            <v>1095</v>
          </cell>
        </row>
        <row r="2594">
          <cell r="A2594" t="str">
            <v>F65B1-1/4</v>
          </cell>
          <cell r="B2594" t="str">
            <v>KEM LUSTRAL ENAMEL NEGRO BRILL</v>
          </cell>
          <cell r="C2594">
            <v>3</v>
          </cell>
          <cell r="D2594">
            <v>1095</v>
          </cell>
        </row>
        <row r="2595">
          <cell r="A2595" t="str">
            <v>F65B1-5</v>
          </cell>
          <cell r="B2595" t="str">
            <v xml:space="preserve">KEM LUSTRAL NEGRO BRILLANTE   </v>
          </cell>
          <cell r="C2595">
            <v>3</v>
          </cell>
          <cell r="D2595">
            <v>1095</v>
          </cell>
        </row>
        <row r="2596">
          <cell r="A2596" t="str">
            <v>F65B2</v>
          </cell>
          <cell r="B2596" t="str">
            <v xml:space="preserve">KEM LUSTRAL ENAMEL NEGRO MATE </v>
          </cell>
          <cell r="C2596">
            <v>3</v>
          </cell>
          <cell r="D2596">
            <v>1095</v>
          </cell>
        </row>
        <row r="2597">
          <cell r="A2597" t="str">
            <v>F65B2-1</v>
          </cell>
          <cell r="B2597" t="str">
            <v xml:space="preserve">KEM LUSTRAL ENAMEL NEGRO MATE </v>
          </cell>
          <cell r="C2597">
            <v>3</v>
          </cell>
          <cell r="D2597">
            <v>1095</v>
          </cell>
        </row>
        <row r="2598">
          <cell r="A2598" t="str">
            <v>F65B2-1/4</v>
          </cell>
          <cell r="B2598" t="str">
            <v xml:space="preserve">KEM LUSTRAL ENAMEL NEGRO MATE </v>
          </cell>
          <cell r="C2598">
            <v>3</v>
          </cell>
          <cell r="D2598">
            <v>1095</v>
          </cell>
        </row>
        <row r="2599">
          <cell r="A2599" t="str">
            <v>F65E2</v>
          </cell>
          <cell r="B2599" t="str">
            <v>KEM LUSTRAL ENAM NARANJA INTER</v>
          </cell>
          <cell r="C2599">
            <v>3</v>
          </cell>
          <cell r="D2599">
            <v>1095</v>
          </cell>
        </row>
        <row r="2600">
          <cell r="A2600" t="str">
            <v>F65E2-1</v>
          </cell>
          <cell r="B2600" t="str">
            <v>KEM LUSTRAL ENAM NARANJA INTER</v>
          </cell>
          <cell r="C2600">
            <v>3</v>
          </cell>
          <cell r="D2600">
            <v>1095</v>
          </cell>
        </row>
        <row r="2601">
          <cell r="A2601" t="str">
            <v>F65E2-1/4</v>
          </cell>
          <cell r="B2601" t="str">
            <v>KEM LUSTRAL ENAM NARANJA INTER</v>
          </cell>
          <cell r="C2601">
            <v>3</v>
          </cell>
          <cell r="D2601">
            <v>1095</v>
          </cell>
        </row>
        <row r="2602">
          <cell r="A2602" t="str">
            <v>F65ESA4</v>
          </cell>
          <cell r="B2602" t="str">
            <v>KEM LUSTRAL ENAM NARANJA TOYOT</v>
          </cell>
          <cell r="C2602">
            <v>3</v>
          </cell>
          <cell r="D2602">
            <v>1095</v>
          </cell>
        </row>
        <row r="2603">
          <cell r="A2603" t="str">
            <v>F65ESA4-1</v>
          </cell>
          <cell r="B2603" t="str">
            <v>KEM LUSTRAL ENAM NARANJA TOYOT</v>
          </cell>
          <cell r="C2603">
            <v>3</v>
          </cell>
          <cell r="D2603">
            <v>1095</v>
          </cell>
        </row>
        <row r="2604">
          <cell r="A2604" t="str">
            <v>F65ESA4-1/4</v>
          </cell>
          <cell r="B2604" t="str">
            <v>KEM LUSTRAL ENAM NARANJA TOYOT</v>
          </cell>
          <cell r="C2604">
            <v>3</v>
          </cell>
          <cell r="D2604">
            <v>1095</v>
          </cell>
        </row>
        <row r="2605">
          <cell r="A2605" t="str">
            <v>F65ESA5</v>
          </cell>
          <cell r="B2605" t="str">
            <v xml:space="preserve">KEM LUSTRAL ENAMEL  NARANJA   </v>
          </cell>
          <cell r="C2605">
            <v>3</v>
          </cell>
          <cell r="D2605">
            <v>1095</v>
          </cell>
        </row>
        <row r="2606">
          <cell r="A2606" t="str">
            <v>F65ESA5-1</v>
          </cell>
          <cell r="B2606" t="str">
            <v xml:space="preserve">KEM LUSTRAL ENAMEL  NARANJA   </v>
          </cell>
          <cell r="C2606">
            <v>3</v>
          </cell>
          <cell r="D2606">
            <v>1095</v>
          </cell>
        </row>
        <row r="2607">
          <cell r="A2607" t="str">
            <v>F65ESA5-1/4</v>
          </cell>
          <cell r="B2607" t="str">
            <v xml:space="preserve">KEM LUSTRAL ENAMEL  NARANJA   </v>
          </cell>
          <cell r="C2607">
            <v>3</v>
          </cell>
          <cell r="D2607">
            <v>1095</v>
          </cell>
        </row>
        <row r="2608">
          <cell r="A2608" t="str">
            <v>F65ESA5-SP</v>
          </cell>
          <cell r="B2608" t="str">
            <v xml:space="preserve">KEM LUSTRAL ENAMEL  NARANJA   </v>
          </cell>
          <cell r="C2608">
            <v>3</v>
          </cell>
          <cell r="D2608">
            <v>1095</v>
          </cell>
        </row>
        <row r="2609">
          <cell r="A2609" t="str">
            <v>F65ESA5SP-1</v>
          </cell>
          <cell r="B2609" t="str">
            <v xml:space="preserve">KEM LUSTRAL ENAMEL  NARANJA   </v>
          </cell>
          <cell r="C2609">
            <v>3</v>
          </cell>
          <cell r="D2609">
            <v>1095</v>
          </cell>
        </row>
        <row r="2610">
          <cell r="A2610" t="str">
            <v>F65ESA5SP-1/4</v>
          </cell>
          <cell r="B2610" t="str">
            <v xml:space="preserve">KEM LUSTRAL ENAMEL  NARANJA   </v>
          </cell>
          <cell r="C2610">
            <v>3</v>
          </cell>
          <cell r="D2610">
            <v>1095</v>
          </cell>
        </row>
        <row r="2611">
          <cell r="A2611" t="str">
            <v>F65G6</v>
          </cell>
          <cell r="B2611" t="str">
            <v>KEM LUSTRAL ENAM VERDE MEDIANO</v>
          </cell>
          <cell r="C2611">
            <v>3</v>
          </cell>
          <cell r="D2611">
            <v>1095</v>
          </cell>
        </row>
        <row r="2612">
          <cell r="A2612" t="str">
            <v>F65G6-1</v>
          </cell>
          <cell r="B2612" t="str">
            <v>KEM LUSTRAL ENAM VERDE MEDIANO</v>
          </cell>
          <cell r="C2612">
            <v>3</v>
          </cell>
          <cell r="D2612">
            <v>1095</v>
          </cell>
        </row>
        <row r="2613">
          <cell r="A2613" t="str">
            <v>F65G6-1/4</v>
          </cell>
          <cell r="B2613" t="str">
            <v>KEM LUSTRAL ENAM VERDE MEDIANO</v>
          </cell>
          <cell r="C2613">
            <v>3</v>
          </cell>
          <cell r="D2613">
            <v>1095</v>
          </cell>
        </row>
        <row r="2614">
          <cell r="A2614" t="str">
            <v>F65G9</v>
          </cell>
          <cell r="B2614" t="str">
            <v>KEM LUSTRAL ENAM VERDE ESMERAL</v>
          </cell>
          <cell r="C2614">
            <v>3</v>
          </cell>
          <cell r="D2614">
            <v>1095</v>
          </cell>
        </row>
        <row r="2615">
          <cell r="A2615" t="str">
            <v>F65G9-1</v>
          </cell>
          <cell r="B2615" t="str">
            <v>KEM LUSTRAL ENAM VERDE ESMERAL</v>
          </cell>
          <cell r="C2615">
            <v>3</v>
          </cell>
          <cell r="D2615">
            <v>1095</v>
          </cell>
        </row>
        <row r="2616">
          <cell r="A2616" t="str">
            <v>F65G9-1/4</v>
          </cell>
          <cell r="B2616" t="str">
            <v>KEM LUSTRAL ENAM VERDE ESMERAL</v>
          </cell>
          <cell r="C2616">
            <v>3</v>
          </cell>
          <cell r="D2616">
            <v>1095</v>
          </cell>
        </row>
        <row r="2617">
          <cell r="A2617" t="str">
            <v>F65GSA1</v>
          </cell>
          <cell r="B2617" t="str">
            <v>KEM LUSTRAL ENAMEL VERDE OSCUR</v>
          </cell>
          <cell r="C2617">
            <v>3</v>
          </cell>
          <cell r="D2617">
            <v>1095</v>
          </cell>
        </row>
        <row r="2618">
          <cell r="A2618" t="str">
            <v>F65GSA1-1</v>
          </cell>
          <cell r="B2618" t="str">
            <v>KEM LUSTRAL ENAMEL VERDE OSCUR</v>
          </cell>
          <cell r="C2618">
            <v>3</v>
          </cell>
          <cell r="D2618">
            <v>1095</v>
          </cell>
        </row>
        <row r="2619">
          <cell r="A2619" t="str">
            <v>F65GSA14</v>
          </cell>
          <cell r="B2619" t="str">
            <v xml:space="preserve">KEM LUSTRAL ENAMEL VERDE      </v>
          </cell>
          <cell r="C2619">
            <v>3</v>
          </cell>
          <cell r="D2619">
            <v>1095</v>
          </cell>
        </row>
        <row r="2620">
          <cell r="A2620" t="str">
            <v>F65GSA14-1</v>
          </cell>
          <cell r="B2620" t="str">
            <v xml:space="preserve">KEM LUSTRAL ENAMEL VERDE      </v>
          </cell>
          <cell r="C2620">
            <v>3</v>
          </cell>
          <cell r="D2620">
            <v>1095</v>
          </cell>
        </row>
        <row r="2621">
          <cell r="A2621" t="str">
            <v>F65GSA14-1/4</v>
          </cell>
          <cell r="B2621" t="str">
            <v xml:space="preserve">KEM LUSTRAL ENAMEL VERDE      </v>
          </cell>
          <cell r="C2621">
            <v>3</v>
          </cell>
          <cell r="D2621">
            <v>1095</v>
          </cell>
        </row>
        <row r="2622">
          <cell r="A2622" t="str">
            <v>F65GSA14-5</v>
          </cell>
          <cell r="B2622" t="str">
            <v xml:space="preserve">KEM LUSTRAL VERDE             </v>
          </cell>
          <cell r="C2622">
            <v>3</v>
          </cell>
          <cell r="D2622">
            <v>1095</v>
          </cell>
        </row>
        <row r="2623">
          <cell r="A2623" t="str">
            <v>F65GSA14-50</v>
          </cell>
          <cell r="B2623" t="str">
            <v xml:space="preserve">KEM LUSTRAL VERDE             </v>
          </cell>
          <cell r="C2623">
            <v>3</v>
          </cell>
          <cell r="D2623">
            <v>1095</v>
          </cell>
        </row>
        <row r="2624">
          <cell r="A2624" t="str">
            <v>F65GSA25</v>
          </cell>
          <cell r="B2624" t="str">
            <v xml:space="preserve">KEM LUSTRAL VERDE             </v>
          </cell>
          <cell r="C2624">
            <v>3</v>
          </cell>
          <cell r="D2624">
            <v>1095</v>
          </cell>
        </row>
        <row r="2625">
          <cell r="A2625" t="str">
            <v>F65GSA25-1</v>
          </cell>
          <cell r="B2625" t="str">
            <v xml:space="preserve">KEM LUSTRAL VERDE             </v>
          </cell>
          <cell r="C2625">
            <v>3</v>
          </cell>
          <cell r="D2625">
            <v>1095</v>
          </cell>
        </row>
        <row r="2626">
          <cell r="A2626" t="str">
            <v>F65GSA27</v>
          </cell>
          <cell r="B2626" t="str">
            <v xml:space="preserve">KEM LUSTRAL VERDE             </v>
          </cell>
          <cell r="C2626">
            <v>3</v>
          </cell>
          <cell r="D2626">
            <v>1095</v>
          </cell>
        </row>
        <row r="2627">
          <cell r="A2627" t="str">
            <v>F65GSA27-1</v>
          </cell>
          <cell r="B2627" t="str">
            <v xml:space="preserve">KEM LUSTRAL VERDE             </v>
          </cell>
          <cell r="C2627">
            <v>3</v>
          </cell>
          <cell r="D2627">
            <v>1095</v>
          </cell>
        </row>
        <row r="2628">
          <cell r="A2628" t="str">
            <v>F65GSA28</v>
          </cell>
          <cell r="B2628" t="str">
            <v xml:space="preserve">KEM LUSTRAL ENAMEL VERDE      </v>
          </cell>
          <cell r="C2628">
            <v>3</v>
          </cell>
          <cell r="D2628">
            <v>1095</v>
          </cell>
        </row>
        <row r="2629">
          <cell r="A2629" t="str">
            <v>F65GSA28-50</v>
          </cell>
          <cell r="B2629" t="str">
            <v xml:space="preserve">KEM LUSTRAL ENAMEL VERDE      </v>
          </cell>
          <cell r="C2629">
            <v>3</v>
          </cell>
          <cell r="D2629">
            <v>1095</v>
          </cell>
        </row>
        <row r="2630">
          <cell r="A2630" t="str">
            <v>F65H100</v>
          </cell>
          <cell r="B2630" t="str">
            <v xml:space="preserve">KEM LUSTRAL ENAMEL  MARFIL    </v>
          </cell>
          <cell r="C2630">
            <v>3</v>
          </cell>
          <cell r="D2630">
            <v>1095</v>
          </cell>
        </row>
        <row r="2631">
          <cell r="A2631" t="str">
            <v>F65H100-1</v>
          </cell>
          <cell r="B2631" t="str">
            <v xml:space="preserve">KEM LUSTRAL ENAMEL  MARFIL    </v>
          </cell>
          <cell r="C2631">
            <v>3</v>
          </cell>
          <cell r="D2631">
            <v>1095</v>
          </cell>
        </row>
        <row r="2632">
          <cell r="A2632" t="str">
            <v>F65H100-1/4</v>
          </cell>
          <cell r="B2632" t="str">
            <v xml:space="preserve">KEM LUSTRAL ENAMEL  MARFIL    </v>
          </cell>
          <cell r="C2632">
            <v>3</v>
          </cell>
          <cell r="D2632">
            <v>1095</v>
          </cell>
        </row>
        <row r="2633">
          <cell r="A2633" t="str">
            <v>F65H100-50</v>
          </cell>
          <cell r="B2633" t="str">
            <v xml:space="preserve">KEM LUSTRAL MARFIL            </v>
          </cell>
          <cell r="C2633">
            <v>3</v>
          </cell>
          <cell r="D2633">
            <v>1095</v>
          </cell>
        </row>
        <row r="2634">
          <cell r="A2634" t="str">
            <v>F65HSA14</v>
          </cell>
          <cell r="B2634" t="str">
            <v xml:space="preserve">KEM LUSTRAL ENAMEL            </v>
          </cell>
          <cell r="C2634">
            <v>3</v>
          </cell>
          <cell r="D2634">
            <v>1095</v>
          </cell>
        </row>
        <row r="2635">
          <cell r="A2635" t="str">
            <v>F65HSA14-1</v>
          </cell>
          <cell r="B2635" t="str">
            <v xml:space="preserve">KEM LUSTRAL ENAMEL            </v>
          </cell>
          <cell r="C2635">
            <v>3</v>
          </cell>
          <cell r="D2635">
            <v>1095</v>
          </cell>
        </row>
        <row r="2636">
          <cell r="A2636" t="str">
            <v>F65HSA15</v>
          </cell>
          <cell r="B2636" t="str">
            <v xml:space="preserve">KEM LUSTRAL ENAMEL CREMA      </v>
          </cell>
          <cell r="C2636">
            <v>3</v>
          </cell>
          <cell r="D2636">
            <v>1095</v>
          </cell>
        </row>
        <row r="2637">
          <cell r="A2637" t="str">
            <v>F65HSA15-1</v>
          </cell>
          <cell r="B2637" t="str">
            <v xml:space="preserve">KEM LUSTRAL ENAMEL CREMA      </v>
          </cell>
          <cell r="C2637">
            <v>3</v>
          </cell>
          <cell r="D2637">
            <v>1095</v>
          </cell>
        </row>
        <row r="2638">
          <cell r="A2638" t="str">
            <v>F65L3</v>
          </cell>
          <cell r="B2638" t="str">
            <v xml:space="preserve">KEM LUSTRAL ENAMEL AZUL CLARO </v>
          </cell>
          <cell r="C2638">
            <v>3</v>
          </cell>
          <cell r="D2638">
            <v>1095</v>
          </cell>
        </row>
        <row r="2639">
          <cell r="A2639" t="str">
            <v>F65L3-1</v>
          </cell>
          <cell r="B2639" t="str">
            <v xml:space="preserve">KEM LUSTRAL ENAMEL AZUL CLARO </v>
          </cell>
          <cell r="C2639">
            <v>3</v>
          </cell>
          <cell r="D2639">
            <v>1095</v>
          </cell>
        </row>
        <row r="2640">
          <cell r="A2640" t="str">
            <v>F65L3-1/4</v>
          </cell>
          <cell r="B2640" t="str">
            <v xml:space="preserve">KEM LUSTRAL ENAMEL AZUL CLARO </v>
          </cell>
          <cell r="C2640">
            <v>3</v>
          </cell>
          <cell r="D2640">
            <v>1095</v>
          </cell>
        </row>
        <row r="2641">
          <cell r="A2641" t="str">
            <v>F65LSA10</v>
          </cell>
          <cell r="B2641" t="str">
            <v xml:space="preserve">KEM LUSTRAL ENAMEL AZUL CIELO </v>
          </cell>
          <cell r="C2641">
            <v>3</v>
          </cell>
          <cell r="D2641">
            <v>1095</v>
          </cell>
        </row>
        <row r="2642">
          <cell r="A2642" t="str">
            <v>F65LSA10-1</v>
          </cell>
          <cell r="B2642" t="str">
            <v xml:space="preserve">KEM LUSTRAL ENAMEL AZUL CIELO </v>
          </cell>
          <cell r="C2642">
            <v>3</v>
          </cell>
          <cell r="D2642">
            <v>1095</v>
          </cell>
        </row>
        <row r="2643">
          <cell r="A2643" t="str">
            <v>F65LSA10-1/4</v>
          </cell>
          <cell r="B2643" t="str">
            <v xml:space="preserve">KEM LUSTRAL ENAMEL AZUL CIELO </v>
          </cell>
          <cell r="C2643">
            <v>3</v>
          </cell>
          <cell r="D2643">
            <v>1095</v>
          </cell>
        </row>
        <row r="2644">
          <cell r="A2644" t="str">
            <v>F65LSA11</v>
          </cell>
          <cell r="B2644" t="str">
            <v xml:space="preserve">KEM LUSTRAL ENAMEL  AZUL      </v>
          </cell>
          <cell r="C2644">
            <v>3</v>
          </cell>
          <cell r="D2644">
            <v>1095</v>
          </cell>
        </row>
        <row r="2645">
          <cell r="A2645" t="str">
            <v>F65LSA11-1</v>
          </cell>
          <cell r="B2645" t="str">
            <v xml:space="preserve">KEM LUSTRAL ENAMEL  AZUL      </v>
          </cell>
          <cell r="C2645">
            <v>3</v>
          </cell>
          <cell r="D2645">
            <v>1095</v>
          </cell>
        </row>
        <row r="2646">
          <cell r="A2646" t="str">
            <v>F65LSA11-1/4</v>
          </cell>
          <cell r="B2646" t="str">
            <v xml:space="preserve">KEM LUSTRAL ENAMEL  AZUL      </v>
          </cell>
          <cell r="C2646">
            <v>3</v>
          </cell>
          <cell r="D2646">
            <v>1095</v>
          </cell>
        </row>
        <row r="2647">
          <cell r="A2647" t="str">
            <v>F65LSA11-5</v>
          </cell>
          <cell r="B2647" t="str">
            <v xml:space="preserve">KEM LUSTRAL AZUL              </v>
          </cell>
          <cell r="C2647">
            <v>3</v>
          </cell>
          <cell r="D2647">
            <v>1095</v>
          </cell>
        </row>
        <row r="2648">
          <cell r="A2648" t="str">
            <v>F65LSA12</v>
          </cell>
          <cell r="B2648" t="str">
            <v>KEM LUSTRAL ENAMEL AZUL MARINO</v>
          </cell>
          <cell r="C2648">
            <v>3</v>
          </cell>
          <cell r="D2648">
            <v>1095</v>
          </cell>
        </row>
        <row r="2649">
          <cell r="A2649" t="str">
            <v>F65LSA12-1</v>
          </cell>
          <cell r="B2649" t="str">
            <v>KEM LUSTRAL ENAMEL AZUL MARINO</v>
          </cell>
          <cell r="C2649">
            <v>3</v>
          </cell>
          <cell r="D2649">
            <v>1095</v>
          </cell>
        </row>
        <row r="2650">
          <cell r="A2650" t="str">
            <v>F65LSA12-1/4</v>
          </cell>
          <cell r="B2650" t="str">
            <v>KEM LUSTRAL ENAMEL AZUL MARINO</v>
          </cell>
          <cell r="C2650">
            <v>3</v>
          </cell>
          <cell r="D2650">
            <v>1095</v>
          </cell>
        </row>
        <row r="2651">
          <cell r="A2651" t="str">
            <v>F65LSA24</v>
          </cell>
          <cell r="B2651" t="str">
            <v xml:space="preserve">KEM LUSTRAL AZUL BANDERA      </v>
          </cell>
          <cell r="C2651">
            <v>3</v>
          </cell>
          <cell r="D2651">
            <v>1095</v>
          </cell>
        </row>
        <row r="2652">
          <cell r="A2652" t="str">
            <v>F65LSA24-1</v>
          </cell>
          <cell r="B2652" t="str">
            <v xml:space="preserve">KEM LUSTRAL AZUL BANDERA      </v>
          </cell>
          <cell r="C2652">
            <v>3</v>
          </cell>
          <cell r="D2652">
            <v>1095</v>
          </cell>
        </row>
        <row r="2653">
          <cell r="A2653" t="str">
            <v>F65LSA24-49</v>
          </cell>
          <cell r="B2653" t="str">
            <v xml:space="preserve">KEM LUSTRAL AZUL BANDERA      </v>
          </cell>
          <cell r="C2653">
            <v>3</v>
          </cell>
          <cell r="D2653">
            <v>1095</v>
          </cell>
        </row>
        <row r="2654">
          <cell r="A2654" t="str">
            <v>F65LSA24-50</v>
          </cell>
          <cell r="B2654" t="str">
            <v xml:space="preserve">KEM LUSTRAL AZUL BANDERA.     </v>
          </cell>
          <cell r="C2654">
            <v>3</v>
          </cell>
          <cell r="D2654">
            <v>1095</v>
          </cell>
        </row>
        <row r="2655">
          <cell r="A2655" t="str">
            <v>F65LSA25</v>
          </cell>
          <cell r="B2655" t="str">
            <v xml:space="preserve">KEM LUSTRAL ENAMEL MATE       </v>
          </cell>
          <cell r="C2655">
            <v>3</v>
          </cell>
          <cell r="D2655">
            <v>1095</v>
          </cell>
        </row>
        <row r="2656">
          <cell r="A2656" t="str">
            <v>F65LSA25-5</v>
          </cell>
          <cell r="B2656" t="str">
            <v xml:space="preserve">KEM LUSTRAL ENAMEL AZUL MATE  </v>
          </cell>
          <cell r="C2656">
            <v>3</v>
          </cell>
          <cell r="D2656">
            <v>1095</v>
          </cell>
        </row>
        <row r="2657">
          <cell r="A2657" t="str">
            <v>F65LSA9</v>
          </cell>
          <cell r="B2657" t="str">
            <v xml:space="preserve">KEM LUSTRAL AZUL              </v>
          </cell>
          <cell r="C2657">
            <v>3</v>
          </cell>
          <cell r="D2657">
            <v>1095</v>
          </cell>
        </row>
        <row r="2658">
          <cell r="A2658" t="str">
            <v>F65LSA9-5</v>
          </cell>
          <cell r="B2658" t="str">
            <v xml:space="preserve">KEM LUSTRAL AZUL              </v>
          </cell>
          <cell r="C2658">
            <v>3</v>
          </cell>
          <cell r="D2658">
            <v>1095</v>
          </cell>
        </row>
        <row r="2659">
          <cell r="A2659" t="str">
            <v>F65NSA2</v>
          </cell>
          <cell r="B2659" t="str">
            <v xml:space="preserve">KEM LUSTRAL ENAMEL TABACO     </v>
          </cell>
          <cell r="C2659">
            <v>3</v>
          </cell>
          <cell r="D2659">
            <v>1095</v>
          </cell>
        </row>
        <row r="2660">
          <cell r="A2660" t="str">
            <v>F65NSA2-1</v>
          </cell>
          <cell r="B2660" t="str">
            <v xml:space="preserve">KEM LUSTRAL ENAMEL TABACO     </v>
          </cell>
          <cell r="C2660">
            <v>3</v>
          </cell>
          <cell r="D2660">
            <v>1095</v>
          </cell>
        </row>
        <row r="2661">
          <cell r="A2661" t="str">
            <v>F65NSA2-1/4</v>
          </cell>
          <cell r="B2661" t="str">
            <v xml:space="preserve">KEM LUSTRAL ENAMEL TABACO     </v>
          </cell>
          <cell r="C2661">
            <v>3</v>
          </cell>
          <cell r="D2661">
            <v>1095</v>
          </cell>
        </row>
        <row r="2662">
          <cell r="A2662" t="str">
            <v>F65R1</v>
          </cell>
          <cell r="B2662" t="str">
            <v xml:space="preserve">KEM LUSTRAL ENAMEL BERMELLON  </v>
          </cell>
          <cell r="C2662">
            <v>3</v>
          </cell>
          <cell r="D2662">
            <v>1095</v>
          </cell>
        </row>
        <row r="2663">
          <cell r="A2663" t="str">
            <v>F65R1-1</v>
          </cell>
          <cell r="B2663" t="str">
            <v xml:space="preserve">KEM LUSTRAL ENAMEL BERMELLON  </v>
          </cell>
          <cell r="C2663">
            <v>3</v>
          </cell>
          <cell r="D2663">
            <v>1095</v>
          </cell>
        </row>
        <row r="2664">
          <cell r="A2664" t="str">
            <v>F65R1-1/4</v>
          </cell>
          <cell r="B2664" t="str">
            <v xml:space="preserve">KEM LUSTRAL ENAMEL BERMELLON  </v>
          </cell>
          <cell r="C2664">
            <v>3</v>
          </cell>
          <cell r="D2664">
            <v>1095</v>
          </cell>
        </row>
        <row r="2665">
          <cell r="A2665" t="str">
            <v>F65R1-5</v>
          </cell>
          <cell r="B2665" t="str">
            <v xml:space="preserve">KEM LUSTRAL BERMELLON         </v>
          </cell>
          <cell r="C2665">
            <v>3</v>
          </cell>
          <cell r="D2665">
            <v>1095</v>
          </cell>
        </row>
        <row r="2666">
          <cell r="A2666" t="str">
            <v>F65RSA15</v>
          </cell>
          <cell r="B2666" t="str">
            <v xml:space="preserve">KEM LUSTRAL ROJO              </v>
          </cell>
          <cell r="C2666">
            <v>3</v>
          </cell>
          <cell r="D2666">
            <v>1095</v>
          </cell>
        </row>
        <row r="2667">
          <cell r="A2667" t="str">
            <v>F65RSA15-1</v>
          </cell>
          <cell r="B2667" t="str">
            <v xml:space="preserve">KEM LUSTRAL ROJO              </v>
          </cell>
          <cell r="C2667">
            <v>3</v>
          </cell>
          <cell r="D2667">
            <v>1095</v>
          </cell>
        </row>
        <row r="2668">
          <cell r="A2668" t="str">
            <v>F65W1</v>
          </cell>
          <cell r="B2668" t="str">
            <v>KEM LUSTRAL ENAMEL BLANCO BRIL</v>
          </cell>
          <cell r="C2668">
            <v>3</v>
          </cell>
          <cell r="D2668">
            <v>1095</v>
          </cell>
        </row>
        <row r="2669">
          <cell r="A2669" t="str">
            <v>F65W1-1</v>
          </cell>
          <cell r="B2669" t="str">
            <v>KEM LUSTRAL ENAMEL BLANCO BRIL</v>
          </cell>
          <cell r="C2669">
            <v>3</v>
          </cell>
          <cell r="D2669">
            <v>1095</v>
          </cell>
        </row>
        <row r="2670">
          <cell r="A2670" t="str">
            <v>F65W1-1/4</v>
          </cell>
          <cell r="B2670" t="str">
            <v>KEM LUSTRAL ENAMEL BLANCO BRIL</v>
          </cell>
          <cell r="C2670">
            <v>3</v>
          </cell>
          <cell r="D2670">
            <v>1095</v>
          </cell>
        </row>
        <row r="2671">
          <cell r="A2671" t="str">
            <v>F65W1-5</v>
          </cell>
          <cell r="B2671" t="str">
            <v xml:space="preserve">KEM LUSTRAL BLANCO BRILLANTE  </v>
          </cell>
          <cell r="C2671">
            <v>3</v>
          </cell>
          <cell r="D2671">
            <v>1095</v>
          </cell>
        </row>
        <row r="2672">
          <cell r="A2672" t="str">
            <v>F65W1-50</v>
          </cell>
          <cell r="B2672" t="str">
            <v xml:space="preserve">KEM LUSTRAL BLANCO BRILLANTE  </v>
          </cell>
          <cell r="C2672">
            <v>3</v>
          </cell>
          <cell r="D2672">
            <v>1095</v>
          </cell>
        </row>
        <row r="2673">
          <cell r="A2673" t="str">
            <v>F65WP15</v>
          </cell>
          <cell r="B2673" t="str">
            <v xml:space="preserve">KEM LUSTRAL ENAMEL BLANCO SAT </v>
          </cell>
          <cell r="C2673">
            <v>3</v>
          </cell>
          <cell r="D2673">
            <v>1095</v>
          </cell>
        </row>
        <row r="2674">
          <cell r="A2674" t="str">
            <v>F65WP15-1</v>
          </cell>
          <cell r="B2674" t="str">
            <v xml:space="preserve">KEM LUSTRAL ENAMEL BLANCO SAT </v>
          </cell>
          <cell r="C2674">
            <v>3</v>
          </cell>
          <cell r="D2674">
            <v>1095</v>
          </cell>
        </row>
        <row r="2675">
          <cell r="A2675" t="str">
            <v>F65WSA11</v>
          </cell>
          <cell r="B2675" t="str">
            <v xml:space="preserve">KEM LUSTRAL ENAM SIMPLE WHITE </v>
          </cell>
          <cell r="C2675">
            <v>3</v>
          </cell>
          <cell r="D2675">
            <v>1095</v>
          </cell>
        </row>
        <row r="2676">
          <cell r="A2676" t="str">
            <v>F65WSA11-1</v>
          </cell>
          <cell r="B2676" t="str">
            <v xml:space="preserve">KEM LUSTRAL ENAM SIMPLE WHITE </v>
          </cell>
          <cell r="C2676">
            <v>3</v>
          </cell>
          <cell r="D2676">
            <v>1095</v>
          </cell>
        </row>
        <row r="2677">
          <cell r="A2677" t="str">
            <v>F65WSA8</v>
          </cell>
          <cell r="B2677" t="str">
            <v>KEM LUSTRAL ENAMEL ULTR BLANCO</v>
          </cell>
          <cell r="C2677">
            <v>3</v>
          </cell>
          <cell r="D2677">
            <v>1095</v>
          </cell>
        </row>
        <row r="2678">
          <cell r="A2678" t="str">
            <v>F65WSA8-1</v>
          </cell>
          <cell r="B2678" t="str">
            <v>KEM LUSTRAL ENAMEL ULTR BLANCO</v>
          </cell>
          <cell r="C2678">
            <v>3</v>
          </cell>
          <cell r="D2678">
            <v>1095</v>
          </cell>
        </row>
        <row r="2679">
          <cell r="A2679" t="str">
            <v>F65WSA8-1/4</v>
          </cell>
          <cell r="B2679" t="str">
            <v>KEM LUSTRAL ENAMEL ULTR BLANCO</v>
          </cell>
          <cell r="C2679">
            <v>3</v>
          </cell>
          <cell r="D2679">
            <v>1095</v>
          </cell>
        </row>
        <row r="2680">
          <cell r="A2680" t="str">
            <v>F65WSA8-5</v>
          </cell>
          <cell r="B2680" t="str">
            <v xml:space="preserve">KEM LUSTRAL ULTRA BLANCO      </v>
          </cell>
          <cell r="C2680">
            <v>3</v>
          </cell>
          <cell r="D2680">
            <v>1095</v>
          </cell>
        </row>
        <row r="2681">
          <cell r="A2681" t="str">
            <v>F65WSA8-50</v>
          </cell>
          <cell r="B2681" t="str">
            <v xml:space="preserve">KEM LUSTRAL ULTRA BLANCO      </v>
          </cell>
          <cell r="C2681">
            <v>3</v>
          </cell>
          <cell r="D2681">
            <v>1095</v>
          </cell>
        </row>
        <row r="2682">
          <cell r="A2682" t="str">
            <v>F65Y100</v>
          </cell>
          <cell r="B2682" t="str">
            <v>KEM LUSTRAL ENA AMARI CATERPIL</v>
          </cell>
          <cell r="C2682">
            <v>3</v>
          </cell>
          <cell r="D2682">
            <v>1095</v>
          </cell>
        </row>
        <row r="2683">
          <cell r="A2683" t="str">
            <v>F65Y100-1</v>
          </cell>
          <cell r="B2683" t="str">
            <v>KEM LUSTRAL ENA AMARI CATERPIL</v>
          </cell>
          <cell r="C2683">
            <v>3</v>
          </cell>
          <cell r="D2683">
            <v>1095</v>
          </cell>
        </row>
        <row r="2684">
          <cell r="A2684" t="str">
            <v>F65Y100-1/4</v>
          </cell>
          <cell r="B2684" t="str">
            <v>KEM LUSTRAL ENA AMARI CATERPIL</v>
          </cell>
          <cell r="C2684">
            <v>3</v>
          </cell>
          <cell r="D2684">
            <v>1095</v>
          </cell>
        </row>
        <row r="2685">
          <cell r="A2685" t="str">
            <v>F65Y12</v>
          </cell>
          <cell r="B2685" t="str">
            <v>KEM LUSTRAL ENAMEL AMARI CLARO</v>
          </cell>
          <cell r="C2685">
            <v>3</v>
          </cell>
          <cell r="D2685">
            <v>1095</v>
          </cell>
        </row>
        <row r="2686">
          <cell r="A2686" t="str">
            <v>F65Y12-1</v>
          </cell>
          <cell r="B2686" t="str">
            <v>KEM LUSTRAL ENAMEL AMARI CLARO</v>
          </cell>
          <cell r="C2686">
            <v>3</v>
          </cell>
          <cell r="D2686">
            <v>1095</v>
          </cell>
        </row>
        <row r="2687">
          <cell r="A2687" t="str">
            <v>F65Y12-1/4</v>
          </cell>
          <cell r="B2687" t="str">
            <v>KEM LUSTRAL ENAMEL AMARI CLARO</v>
          </cell>
          <cell r="C2687">
            <v>3</v>
          </cell>
          <cell r="D2687">
            <v>1095</v>
          </cell>
        </row>
        <row r="2688">
          <cell r="A2688" t="str">
            <v>F65Y12-5</v>
          </cell>
          <cell r="B2688" t="str">
            <v xml:space="preserve">KEM LUSTRAL AMARILLO CLARO    </v>
          </cell>
          <cell r="C2688">
            <v>3</v>
          </cell>
          <cell r="D2688">
            <v>1095</v>
          </cell>
        </row>
        <row r="2689">
          <cell r="A2689" t="str">
            <v>N11A350-1</v>
          </cell>
          <cell r="B2689" t="str">
            <v xml:space="preserve">SEAGUAR 5000HS EPOX GRIS      </v>
          </cell>
          <cell r="C2689">
            <v>2</v>
          </cell>
          <cell r="D2689">
            <v>730</v>
          </cell>
        </row>
        <row r="2690">
          <cell r="A2690" t="str">
            <v>N11A350-5</v>
          </cell>
          <cell r="B2690" t="str">
            <v xml:space="preserve">SEAGUAR 5000HS EPOXY GRIS     </v>
          </cell>
          <cell r="C2690">
            <v>2</v>
          </cell>
          <cell r="D2690">
            <v>730</v>
          </cell>
        </row>
        <row r="2691">
          <cell r="A2691" t="str">
            <v>N11V350-1</v>
          </cell>
          <cell r="B2691" t="str">
            <v xml:space="preserve">SEAGUAR 5000HS CATALIZADOR    </v>
          </cell>
          <cell r="C2691">
            <v>2</v>
          </cell>
          <cell r="D2691">
            <v>730</v>
          </cell>
        </row>
        <row r="2692">
          <cell r="A2692" t="str">
            <v>N11V350-5</v>
          </cell>
          <cell r="B2692" t="str">
            <v xml:space="preserve">SEAGUAR 5000HS CATALIZADOR    </v>
          </cell>
          <cell r="C2692">
            <v>2</v>
          </cell>
          <cell r="D2692">
            <v>730</v>
          </cell>
        </row>
        <row r="2693">
          <cell r="A2693" t="str">
            <v>P60G2</v>
          </cell>
          <cell r="B2693" t="str">
            <v xml:space="preserve">WASH PRIMER GREEN             </v>
          </cell>
          <cell r="C2693">
            <v>1</v>
          </cell>
          <cell r="D2693">
            <v>365</v>
          </cell>
        </row>
        <row r="2694">
          <cell r="A2694" t="str">
            <v>P60G2-1</v>
          </cell>
          <cell r="B2694" t="str">
            <v xml:space="preserve">WASH PRIMER GREEN             </v>
          </cell>
          <cell r="C2694">
            <v>1</v>
          </cell>
          <cell r="D2694">
            <v>365</v>
          </cell>
        </row>
        <row r="2695">
          <cell r="A2695" t="str">
            <v>S61B3</v>
          </cell>
          <cell r="B2695" t="str">
            <v xml:space="preserve">SHERWOOD 500 NEGRO            </v>
          </cell>
          <cell r="C2695">
            <v>2</v>
          </cell>
          <cell r="D2695">
            <v>730</v>
          </cell>
        </row>
        <row r="2696">
          <cell r="A2696" t="str">
            <v>S61B3-BOT</v>
          </cell>
          <cell r="B2696" t="str">
            <v xml:space="preserve">SHERWOOD 500 NEGRO            </v>
          </cell>
          <cell r="C2696">
            <v>2</v>
          </cell>
          <cell r="D2696">
            <v>730</v>
          </cell>
        </row>
        <row r="2697">
          <cell r="A2697" t="str">
            <v>S61L2</v>
          </cell>
          <cell r="B2697" t="str">
            <v xml:space="preserve">SHERWOOD 500 AZUL             </v>
          </cell>
          <cell r="C2697">
            <v>2</v>
          </cell>
          <cell r="D2697">
            <v>730</v>
          </cell>
        </row>
        <row r="2698">
          <cell r="A2698" t="str">
            <v>S61L2-BOT</v>
          </cell>
          <cell r="B2698" t="str">
            <v xml:space="preserve">SHERWOOD 500 AZUL             </v>
          </cell>
          <cell r="C2698">
            <v>2</v>
          </cell>
          <cell r="D2698">
            <v>730</v>
          </cell>
        </row>
        <row r="2699">
          <cell r="A2699" t="str">
            <v>S61N10</v>
          </cell>
          <cell r="B2699" t="str">
            <v xml:space="preserve">SHERWOOD 500  CANELA OSCURO   </v>
          </cell>
          <cell r="C2699">
            <v>2</v>
          </cell>
          <cell r="D2699">
            <v>730</v>
          </cell>
        </row>
        <row r="2700">
          <cell r="A2700" t="str">
            <v>S61N10-BOT</v>
          </cell>
          <cell r="B2700" t="str">
            <v xml:space="preserve">SHERWOOD 500  CANELA OSCURO   </v>
          </cell>
          <cell r="C2700">
            <v>2</v>
          </cell>
          <cell r="D2700">
            <v>730</v>
          </cell>
        </row>
        <row r="2701">
          <cell r="A2701" t="str">
            <v>S61N11</v>
          </cell>
          <cell r="B2701" t="str">
            <v xml:space="preserve">SHERWOOD 500 ARCE COLONIAL    </v>
          </cell>
          <cell r="C2701">
            <v>2</v>
          </cell>
          <cell r="D2701">
            <v>730</v>
          </cell>
        </row>
        <row r="2702">
          <cell r="A2702" t="str">
            <v>S61N11-BOT</v>
          </cell>
          <cell r="B2702" t="str">
            <v xml:space="preserve">SHERWOOD 500 ARCE COLONIAL    </v>
          </cell>
          <cell r="C2702">
            <v>2</v>
          </cell>
          <cell r="D2702">
            <v>730</v>
          </cell>
        </row>
        <row r="2703">
          <cell r="A2703" t="str">
            <v>S61N8</v>
          </cell>
          <cell r="B2703" t="str">
            <v xml:space="preserve">SHERWOOD 500 CAFÉ             </v>
          </cell>
          <cell r="C2703">
            <v>2</v>
          </cell>
          <cell r="D2703">
            <v>730</v>
          </cell>
        </row>
        <row r="2704">
          <cell r="A2704" t="str">
            <v>S61N8-BOT</v>
          </cell>
          <cell r="B2704" t="str">
            <v xml:space="preserve">SHERWOOD 500 CAFÉ             </v>
          </cell>
          <cell r="C2704">
            <v>2</v>
          </cell>
          <cell r="D2704">
            <v>730</v>
          </cell>
        </row>
        <row r="2705">
          <cell r="A2705" t="str">
            <v>S61N9</v>
          </cell>
          <cell r="B2705" t="str">
            <v xml:space="preserve">SHERWOOD 500 NOGAL DANES      </v>
          </cell>
          <cell r="C2705">
            <v>2</v>
          </cell>
          <cell r="D2705">
            <v>730</v>
          </cell>
        </row>
        <row r="2706">
          <cell r="A2706" t="str">
            <v>S61N9-BOT</v>
          </cell>
          <cell r="B2706" t="str">
            <v xml:space="preserve">SHERWOOD 500 NOGAL DANES      </v>
          </cell>
          <cell r="C2706">
            <v>2</v>
          </cell>
          <cell r="D2706">
            <v>730</v>
          </cell>
        </row>
        <row r="2707">
          <cell r="A2707" t="str">
            <v>S61NSA10</v>
          </cell>
          <cell r="B2707" t="str">
            <v xml:space="preserve">SHERWOOD 500                  </v>
          </cell>
          <cell r="C2707">
            <v>2</v>
          </cell>
          <cell r="D2707">
            <v>730</v>
          </cell>
        </row>
        <row r="2708">
          <cell r="A2708" t="str">
            <v>S61NSA10-BOT</v>
          </cell>
          <cell r="B2708" t="str">
            <v xml:space="preserve">SHERWOOD 500 CAFE AM          </v>
          </cell>
          <cell r="C2708">
            <v>2</v>
          </cell>
          <cell r="D2708">
            <v>730</v>
          </cell>
        </row>
        <row r="2709">
          <cell r="A2709" t="str">
            <v>S61NSA9</v>
          </cell>
          <cell r="B2709" t="str">
            <v xml:space="preserve">SHERWOOD 500 LEGENDARIO       </v>
          </cell>
          <cell r="C2709">
            <v>2</v>
          </cell>
          <cell r="D2709">
            <v>730</v>
          </cell>
        </row>
        <row r="2710">
          <cell r="A2710" t="str">
            <v>S61NSA9-1</v>
          </cell>
          <cell r="B2710" t="str">
            <v xml:space="preserve">SHERWOOD 500 CAFE LEGENDARIO  </v>
          </cell>
          <cell r="C2710">
            <v>2</v>
          </cell>
          <cell r="D2710">
            <v>730</v>
          </cell>
        </row>
        <row r="2711">
          <cell r="A2711" t="str">
            <v>S61NSA9-5</v>
          </cell>
          <cell r="B2711" t="str">
            <v xml:space="preserve">SHERWOOD 500 CAFE LEGENDARIO  </v>
          </cell>
          <cell r="C2711">
            <v>2</v>
          </cell>
          <cell r="D2711">
            <v>730</v>
          </cell>
        </row>
        <row r="2712">
          <cell r="A2712" t="str">
            <v>S61R3</v>
          </cell>
          <cell r="B2712" t="str">
            <v xml:space="preserve">SHERWOOD 500 ROJO             </v>
          </cell>
          <cell r="C2712">
            <v>2</v>
          </cell>
          <cell r="D2712">
            <v>730</v>
          </cell>
        </row>
        <row r="2713">
          <cell r="A2713" t="str">
            <v>S61R3-BOT</v>
          </cell>
          <cell r="B2713" t="str">
            <v xml:space="preserve">SHERWOOD 500 ROJO             </v>
          </cell>
          <cell r="C2713">
            <v>2</v>
          </cell>
          <cell r="D2713">
            <v>730</v>
          </cell>
        </row>
        <row r="2714">
          <cell r="A2714" t="str">
            <v>S61R4</v>
          </cell>
          <cell r="B2714" t="str">
            <v xml:space="preserve">SHERWOOD 500  CAOBA AFRICANO  </v>
          </cell>
          <cell r="C2714">
            <v>2</v>
          </cell>
          <cell r="D2714">
            <v>730</v>
          </cell>
        </row>
        <row r="2715">
          <cell r="A2715" t="str">
            <v>S61R4-BOT</v>
          </cell>
          <cell r="B2715" t="str">
            <v xml:space="preserve">SHERWOOD 500  CAOBA AFRICANO  </v>
          </cell>
          <cell r="C2715">
            <v>2</v>
          </cell>
          <cell r="D2715">
            <v>730</v>
          </cell>
        </row>
        <row r="2716">
          <cell r="A2716" t="str">
            <v>S61R5</v>
          </cell>
          <cell r="B2716" t="str">
            <v xml:space="preserve">SHERWOOD 500                  </v>
          </cell>
          <cell r="C2716">
            <v>2</v>
          </cell>
          <cell r="D2716">
            <v>730</v>
          </cell>
        </row>
        <row r="2717">
          <cell r="A2717" t="str">
            <v>S61R5-1</v>
          </cell>
          <cell r="B2717" t="str">
            <v>SHERWOOD 500 ROJO WINE JEWELRY</v>
          </cell>
          <cell r="C2717">
            <v>2</v>
          </cell>
          <cell r="D2717">
            <v>730</v>
          </cell>
        </row>
        <row r="2718">
          <cell r="A2718" t="str">
            <v>S61R6</v>
          </cell>
          <cell r="B2718" t="str">
            <v xml:space="preserve">SHERWOOD 500                  </v>
          </cell>
          <cell r="C2718">
            <v>2</v>
          </cell>
          <cell r="D2718">
            <v>730</v>
          </cell>
        </row>
        <row r="2719">
          <cell r="A2719" t="str">
            <v>S61R6-1</v>
          </cell>
          <cell r="B2719" t="str">
            <v>SHERWOOD 500 ROJO WINE SPECIAL</v>
          </cell>
          <cell r="C2719">
            <v>2</v>
          </cell>
          <cell r="D2719">
            <v>730</v>
          </cell>
        </row>
        <row r="2720">
          <cell r="A2720" t="str">
            <v>S61Y3</v>
          </cell>
          <cell r="B2720" t="str">
            <v xml:space="preserve">SHERWOOD 500 AMARILLO         </v>
          </cell>
          <cell r="C2720">
            <v>2</v>
          </cell>
          <cell r="D2720">
            <v>730</v>
          </cell>
        </row>
        <row r="2721">
          <cell r="A2721" t="str">
            <v>S61Y3-BOT</v>
          </cell>
          <cell r="B2721" t="str">
            <v xml:space="preserve">SHERWOOD 500 AMARILLO         </v>
          </cell>
          <cell r="C2721">
            <v>2</v>
          </cell>
          <cell r="D2721">
            <v>730</v>
          </cell>
        </row>
        <row r="2722">
          <cell r="A2722" t="str">
            <v>T60F50</v>
          </cell>
          <cell r="B2722" t="str">
            <v xml:space="preserve">SELLADOR #46   CONCENTRADO    </v>
          </cell>
          <cell r="C2722">
            <v>2</v>
          </cell>
          <cell r="D2722">
            <v>730</v>
          </cell>
        </row>
        <row r="2723">
          <cell r="A2723" t="str">
            <v>T60F50-1</v>
          </cell>
          <cell r="B2723" t="str">
            <v xml:space="preserve">SELLADOR #46   CONCENTRADO    </v>
          </cell>
          <cell r="C2723">
            <v>2</v>
          </cell>
          <cell r="D2723">
            <v>730</v>
          </cell>
        </row>
        <row r="2724">
          <cell r="A2724" t="str">
            <v>T60F50-1/4</v>
          </cell>
          <cell r="B2724" t="str">
            <v xml:space="preserve">SELLADOR #46   CONCENTRADO    </v>
          </cell>
          <cell r="C2724">
            <v>2</v>
          </cell>
          <cell r="D2724">
            <v>730</v>
          </cell>
        </row>
        <row r="2725">
          <cell r="A2725" t="str">
            <v>T60F50-5</v>
          </cell>
          <cell r="B2725" t="str">
            <v xml:space="preserve">SELLADOR #46   CONCENTRADO    </v>
          </cell>
          <cell r="C2725">
            <v>2</v>
          </cell>
          <cell r="D2725">
            <v>730</v>
          </cell>
        </row>
        <row r="2726">
          <cell r="A2726" t="str">
            <v>T60F50-50</v>
          </cell>
          <cell r="B2726" t="str">
            <v xml:space="preserve">SELLADOR #46   CONCENTRADO    </v>
          </cell>
          <cell r="C2726">
            <v>2</v>
          </cell>
          <cell r="D2726">
            <v>730</v>
          </cell>
        </row>
        <row r="2727">
          <cell r="A2727" t="str">
            <v>T60FSA10</v>
          </cell>
          <cell r="B2727" t="str">
            <v xml:space="preserve">SELLAD. SUPER CONCENTR.       </v>
          </cell>
          <cell r="C2727">
            <v>2</v>
          </cell>
          <cell r="D2727">
            <v>730</v>
          </cell>
        </row>
        <row r="2728">
          <cell r="A2728" t="str">
            <v>T60FSA10-1</v>
          </cell>
          <cell r="B2728" t="str">
            <v xml:space="preserve">SELLADOR SUPER CONCENTRADO    </v>
          </cell>
          <cell r="C2728">
            <v>2</v>
          </cell>
          <cell r="D2728">
            <v>730</v>
          </cell>
        </row>
        <row r="2729">
          <cell r="A2729" t="str">
            <v>T60FSA10-1/4</v>
          </cell>
          <cell r="B2729" t="str">
            <v xml:space="preserve">SELLADOR SUPER CONCENTRADO    </v>
          </cell>
          <cell r="C2729">
            <v>2</v>
          </cell>
          <cell r="D2729">
            <v>730</v>
          </cell>
        </row>
        <row r="2730">
          <cell r="A2730" t="str">
            <v>T60FSA10-5</v>
          </cell>
          <cell r="B2730" t="str">
            <v xml:space="preserve">SELLADOR SUPER CONCENTRADO    </v>
          </cell>
          <cell r="C2730">
            <v>2</v>
          </cell>
          <cell r="D2730">
            <v>730</v>
          </cell>
        </row>
        <row r="2731">
          <cell r="A2731" t="str">
            <v>T60FSA10-50</v>
          </cell>
          <cell r="B2731" t="str">
            <v xml:space="preserve">SELLADOR SUPER CONCENTRADO    </v>
          </cell>
          <cell r="C2731">
            <v>2</v>
          </cell>
          <cell r="D2731">
            <v>730</v>
          </cell>
        </row>
        <row r="2732">
          <cell r="A2732" t="str">
            <v>T60FSA18</v>
          </cell>
          <cell r="B2732" t="str">
            <v>SELLAD. SUPER CONCENTR.  AMBAR</v>
          </cell>
          <cell r="C2732">
            <v>2</v>
          </cell>
          <cell r="D2732">
            <v>730</v>
          </cell>
        </row>
        <row r="2733">
          <cell r="A2733" t="str">
            <v>T60FSA18-1</v>
          </cell>
          <cell r="B2733" t="str">
            <v xml:space="preserve">SELLAD. SUPER CONCENTR. AMBAR </v>
          </cell>
          <cell r="C2733">
            <v>2</v>
          </cell>
          <cell r="D2733">
            <v>730</v>
          </cell>
        </row>
        <row r="2734">
          <cell r="A2734" t="str">
            <v>T60FSA18-5</v>
          </cell>
          <cell r="B2734" t="str">
            <v xml:space="preserve">SELLAD. SUPER CONCENTR. AMBAR </v>
          </cell>
          <cell r="C2734">
            <v>2</v>
          </cell>
          <cell r="D2734">
            <v>730</v>
          </cell>
        </row>
        <row r="2735">
          <cell r="A2735" t="str">
            <v>V66V21</v>
          </cell>
          <cell r="B2735" t="str">
            <v xml:space="preserve">KEMVAR  CATALYST  CATALIZADOR </v>
          </cell>
          <cell r="C2735">
            <v>2</v>
          </cell>
          <cell r="D2735">
            <v>730</v>
          </cell>
        </row>
        <row r="2736">
          <cell r="A2736" t="str">
            <v>V66V21-1/32</v>
          </cell>
          <cell r="B2736" t="str">
            <v xml:space="preserve">KEMVAR  CATALYST  CATALIZADOR </v>
          </cell>
          <cell r="C2736">
            <v>2</v>
          </cell>
          <cell r="D2736">
            <v>730</v>
          </cell>
        </row>
        <row r="2737">
          <cell r="A2737" t="str">
            <v>V79VSA1</v>
          </cell>
          <cell r="B2737" t="str">
            <v xml:space="preserve">BARNIZ COPAL .                </v>
          </cell>
          <cell r="C2737">
            <v>2</v>
          </cell>
          <cell r="D2737">
            <v>730</v>
          </cell>
        </row>
        <row r="2738">
          <cell r="A2738" t="str">
            <v>V79VSA1-1</v>
          </cell>
          <cell r="B2738" t="str">
            <v xml:space="preserve">BARNIZ COPAL                  </v>
          </cell>
          <cell r="C2738">
            <v>2</v>
          </cell>
          <cell r="D2738">
            <v>730</v>
          </cell>
        </row>
        <row r="2739">
          <cell r="A2739" t="str">
            <v>V79VSA1-1/4</v>
          </cell>
          <cell r="B2739" t="str">
            <v xml:space="preserve">BARNIZ COPAL                  </v>
          </cell>
          <cell r="C2739">
            <v>2</v>
          </cell>
          <cell r="D2739">
            <v>730</v>
          </cell>
        </row>
        <row r="2740">
          <cell r="A2740" t="str">
            <v>V84F16</v>
          </cell>
          <cell r="B2740" t="str">
            <v xml:space="preserve">KEMVAR  MATE .                </v>
          </cell>
          <cell r="C2740">
            <v>2</v>
          </cell>
          <cell r="D2740">
            <v>730</v>
          </cell>
        </row>
        <row r="2741">
          <cell r="A2741" t="str">
            <v>V84F16-1</v>
          </cell>
          <cell r="B2741" t="str">
            <v xml:space="preserve">KEMVAR  MATE                  </v>
          </cell>
          <cell r="C2741">
            <v>2</v>
          </cell>
          <cell r="D2741">
            <v>730</v>
          </cell>
        </row>
        <row r="2742">
          <cell r="A2742" t="str">
            <v>V84FSA1</v>
          </cell>
          <cell r="B2742" t="str">
            <v xml:space="preserve">SHERWOOD KEM VAR              </v>
          </cell>
          <cell r="C2742">
            <v>2</v>
          </cell>
          <cell r="D2742">
            <v>730</v>
          </cell>
        </row>
        <row r="2743">
          <cell r="A2743" t="str">
            <v>V84FSA1-1</v>
          </cell>
          <cell r="B2743" t="str">
            <v xml:space="preserve">SHERWOOD KEMVAR CAOBA         </v>
          </cell>
          <cell r="C2743">
            <v>2</v>
          </cell>
          <cell r="D2743">
            <v>730</v>
          </cell>
        </row>
        <row r="2744">
          <cell r="A2744" t="str">
            <v>V84V12</v>
          </cell>
          <cell r="B2744" t="str">
            <v xml:space="preserve">KEMVAR  BRILLANTE .           </v>
          </cell>
          <cell r="C2744">
            <v>2</v>
          </cell>
          <cell r="D2744">
            <v>730</v>
          </cell>
        </row>
        <row r="2745">
          <cell r="A2745" t="str">
            <v>V84V12-1</v>
          </cell>
          <cell r="B2745" t="str">
            <v xml:space="preserve">KEMVAR  BRILLANTE             </v>
          </cell>
          <cell r="C2745">
            <v>2</v>
          </cell>
          <cell r="D2745">
            <v>730</v>
          </cell>
        </row>
        <row r="2746">
          <cell r="A2746" t="str">
            <v>50.055004-3.2.ONZ</v>
          </cell>
          <cell r="B2746" t="str">
            <v>SHARGRIP SLIP RESISTANT ADITIV</v>
          </cell>
          <cell r="C2746">
            <v>3</v>
          </cell>
          <cell r="D2746">
            <v>1095</v>
          </cell>
        </row>
        <row r="2747">
          <cell r="A2747" t="str">
            <v>A20WSA51</v>
          </cell>
          <cell r="B2747" t="str">
            <v>SP INT LATEX SEMI BA EXT WHITE</v>
          </cell>
          <cell r="C2747">
            <v>3</v>
          </cell>
          <cell r="D2747">
            <v>1095</v>
          </cell>
        </row>
        <row r="2748">
          <cell r="A2748" t="str">
            <v>A20WSA51-1</v>
          </cell>
          <cell r="B2748" t="str">
            <v>SP INT LATEX SEMI BA EXT WHITE</v>
          </cell>
          <cell r="C2748">
            <v>3</v>
          </cell>
          <cell r="D2748">
            <v>1095</v>
          </cell>
        </row>
        <row r="2749">
          <cell r="A2749" t="str">
            <v>A20WSA51-1/4</v>
          </cell>
          <cell r="B2749" t="str">
            <v>SP INT LATEX SEMI BA EXT WHITE</v>
          </cell>
          <cell r="C2749">
            <v>3</v>
          </cell>
          <cell r="D2749">
            <v>1095</v>
          </cell>
        </row>
        <row r="2750">
          <cell r="A2750" t="str">
            <v>A20WSA51-5</v>
          </cell>
          <cell r="B2750" t="str">
            <v xml:space="preserve">STYLE PERFECT LATEX SEMIBTE   </v>
          </cell>
          <cell r="C2750">
            <v>3</v>
          </cell>
          <cell r="D2750">
            <v>1095</v>
          </cell>
        </row>
        <row r="2751">
          <cell r="A2751" t="str">
            <v>A20WSA53</v>
          </cell>
          <cell r="B2751" t="str">
            <v xml:space="preserve">SP INT LATEX SEMI BAS DEEP    </v>
          </cell>
          <cell r="C2751">
            <v>3</v>
          </cell>
          <cell r="D2751">
            <v>1095</v>
          </cell>
        </row>
        <row r="2752">
          <cell r="A2752" t="str">
            <v>A20WSA53-1</v>
          </cell>
          <cell r="B2752" t="str">
            <v xml:space="preserve">SP INT LATEX SEMI BAS DEEP    </v>
          </cell>
          <cell r="C2752">
            <v>3</v>
          </cell>
          <cell r="D2752">
            <v>1095</v>
          </cell>
        </row>
        <row r="2753">
          <cell r="A2753" t="str">
            <v>A20WSA53-1/4</v>
          </cell>
          <cell r="B2753" t="str">
            <v xml:space="preserve">STYLE PERFECT LATEX SEMIBTE   </v>
          </cell>
          <cell r="C2753">
            <v>3</v>
          </cell>
          <cell r="D2753">
            <v>1095</v>
          </cell>
        </row>
        <row r="2754">
          <cell r="A2754" t="str">
            <v>A20WSA53-5</v>
          </cell>
          <cell r="B2754" t="str">
            <v xml:space="preserve">STYLE PERFECT LATEX SEMIBTE   </v>
          </cell>
          <cell r="C2754">
            <v>3</v>
          </cell>
          <cell r="D2754">
            <v>1095</v>
          </cell>
        </row>
        <row r="2755">
          <cell r="A2755" t="str">
            <v>A21WSA17</v>
          </cell>
          <cell r="B2755" t="str">
            <v xml:space="preserve">SP INT LATEX MATE B EXT WHITE </v>
          </cell>
          <cell r="C2755">
            <v>3</v>
          </cell>
          <cell r="D2755">
            <v>1095</v>
          </cell>
        </row>
        <row r="2756">
          <cell r="A2756" t="str">
            <v>A21WSA17-1</v>
          </cell>
          <cell r="B2756" t="str">
            <v xml:space="preserve">SP INT LATEX MATE B EXT WHITE </v>
          </cell>
          <cell r="C2756">
            <v>3</v>
          </cell>
          <cell r="D2756">
            <v>1095</v>
          </cell>
        </row>
        <row r="2757">
          <cell r="A2757" t="str">
            <v>A21WSA51</v>
          </cell>
          <cell r="B2757" t="str">
            <v xml:space="preserve">SP INT LATEX MATE B EXT WHITE </v>
          </cell>
          <cell r="C2757">
            <v>3</v>
          </cell>
          <cell r="D2757">
            <v>1095</v>
          </cell>
        </row>
        <row r="2758">
          <cell r="A2758" t="str">
            <v>A21WSA51-1</v>
          </cell>
          <cell r="B2758" t="str">
            <v xml:space="preserve">SP INT LATEX MATE B EXT WHITE </v>
          </cell>
          <cell r="C2758">
            <v>3</v>
          </cell>
          <cell r="D2758">
            <v>1095</v>
          </cell>
        </row>
        <row r="2759">
          <cell r="A2759" t="str">
            <v>A21WSA51-1/4</v>
          </cell>
          <cell r="B2759" t="str">
            <v xml:space="preserve">SP INT LATEX MATE B EXT WHITE </v>
          </cell>
          <cell r="C2759">
            <v>3</v>
          </cell>
          <cell r="D2759">
            <v>1095</v>
          </cell>
        </row>
        <row r="2760">
          <cell r="A2760" t="str">
            <v>A21WSA51-5</v>
          </cell>
          <cell r="B2760" t="str">
            <v xml:space="preserve">SP INT LATEX MATE B EXT WHITE </v>
          </cell>
          <cell r="C2760">
            <v>3</v>
          </cell>
          <cell r="D2760">
            <v>1095</v>
          </cell>
        </row>
        <row r="2761">
          <cell r="A2761" t="str">
            <v>A21WSA53</v>
          </cell>
          <cell r="B2761" t="str">
            <v xml:space="preserve">SP INT LATEX MATE BASE DEEP   </v>
          </cell>
          <cell r="C2761">
            <v>3</v>
          </cell>
          <cell r="D2761">
            <v>1095</v>
          </cell>
        </row>
        <row r="2762">
          <cell r="A2762" t="str">
            <v>A21WSA53-1</v>
          </cell>
          <cell r="B2762" t="str">
            <v xml:space="preserve">SP INT LATEX MATE BASE DEEP   </v>
          </cell>
          <cell r="C2762">
            <v>3</v>
          </cell>
          <cell r="D2762">
            <v>1095</v>
          </cell>
        </row>
        <row r="2763">
          <cell r="A2763" t="str">
            <v>A21WSA53-1/4</v>
          </cell>
          <cell r="B2763" t="str">
            <v xml:space="preserve">SP INT LATEX MATE BASE DEEP   </v>
          </cell>
          <cell r="C2763">
            <v>3</v>
          </cell>
          <cell r="D2763">
            <v>1095</v>
          </cell>
        </row>
        <row r="2764">
          <cell r="A2764" t="str">
            <v>A21WSA53-5</v>
          </cell>
          <cell r="B2764" t="str">
            <v xml:space="preserve">SP INT LATEX MATE BASE DEEP   </v>
          </cell>
          <cell r="C2764">
            <v>3</v>
          </cell>
          <cell r="D2764">
            <v>1095</v>
          </cell>
        </row>
        <row r="2765">
          <cell r="A2765" t="str">
            <v>A22TSA54</v>
          </cell>
          <cell r="B2765" t="str">
            <v xml:space="preserve">STYLE PERFECT LATEX EG-SHEL   </v>
          </cell>
          <cell r="C2765">
            <v>3</v>
          </cell>
          <cell r="D2765">
            <v>1095</v>
          </cell>
        </row>
        <row r="2766">
          <cell r="A2766" t="str">
            <v>A22TSA54-5</v>
          </cell>
          <cell r="B2766" t="str">
            <v xml:space="preserve">STYLE PERFECT LATEX EG-SHEL   </v>
          </cell>
          <cell r="C2766">
            <v>3</v>
          </cell>
          <cell r="D2766">
            <v>1095</v>
          </cell>
        </row>
        <row r="2767">
          <cell r="A2767" t="str">
            <v>A22WSA2</v>
          </cell>
          <cell r="B2767" t="str">
            <v xml:space="preserve">STYLE PERFECT LAT INT EG-SHEL </v>
          </cell>
          <cell r="C2767">
            <v>3</v>
          </cell>
          <cell r="D2767">
            <v>1095</v>
          </cell>
        </row>
        <row r="2768">
          <cell r="A2768" t="str">
            <v>A22WSA2-5</v>
          </cell>
          <cell r="B2768" t="str">
            <v xml:space="preserve">STYLE PERFECT LAT INT EG-SHEL </v>
          </cell>
          <cell r="C2768">
            <v>3</v>
          </cell>
          <cell r="D2768">
            <v>1095</v>
          </cell>
        </row>
        <row r="2769">
          <cell r="A2769" t="str">
            <v>A22WSA51</v>
          </cell>
          <cell r="B2769" t="str">
            <v>SP INT LATE EG-SHEL B EXT WHIT</v>
          </cell>
          <cell r="C2769">
            <v>3</v>
          </cell>
          <cell r="D2769">
            <v>1095</v>
          </cell>
        </row>
        <row r="2770">
          <cell r="A2770" t="str">
            <v>A22WSA51-1</v>
          </cell>
          <cell r="B2770" t="str">
            <v>SP INT LATE EG-SHEL B EXT WHIT</v>
          </cell>
          <cell r="C2770">
            <v>3</v>
          </cell>
          <cell r="D2770">
            <v>1095</v>
          </cell>
        </row>
        <row r="2771">
          <cell r="A2771" t="str">
            <v>A22WSA51-1/4</v>
          </cell>
          <cell r="B2771" t="str">
            <v>SP INT LATE EG-SHEL B EXT WHIT</v>
          </cell>
          <cell r="C2771">
            <v>3</v>
          </cell>
          <cell r="D2771">
            <v>1095</v>
          </cell>
        </row>
        <row r="2772">
          <cell r="A2772" t="str">
            <v>A22WSA51-5</v>
          </cell>
          <cell r="B2772" t="str">
            <v>STYLE PERFCT INT LATEX EG-SHEL</v>
          </cell>
          <cell r="C2772">
            <v>3</v>
          </cell>
          <cell r="D2772">
            <v>1095</v>
          </cell>
        </row>
        <row r="2773">
          <cell r="A2773" t="str">
            <v>A22WSA53</v>
          </cell>
          <cell r="B2773" t="str">
            <v xml:space="preserve">STYLE PERFECT LAT EGSHEL BASE </v>
          </cell>
          <cell r="C2773">
            <v>3</v>
          </cell>
          <cell r="D2773">
            <v>1095</v>
          </cell>
        </row>
        <row r="2774">
          <cell r="A2774" t="str">
            <v>A22WSA53-1</v>
          </cell>
          <cell r="B2774" t="str">
            <v>STYLE PERFECT LAT EGSHELL BASE</v>
          </cell>
          <cell r="C2774">
            <v>3</v>
          </cell>
          <cell r="D2774">
            <v>1095</v>
          </cell>
        </row>
        <row r="2775">
          <cell r="A2775" t="str">
            <v>A22WSA53-5</v>
          </cell>
          <cell r="B2775" t="str">
            <v xml:space="preserve">STYLE PERFECT LAT EGSHEL BASE </v>
          </cell>
          <cell r="C2775">
            <v>3</v>
          </cell>
          <cell r="D2775">
            <v>1095</v>
          </cell>
        </row>
        <row r="2776">
          <cell r="A2776" t="str">
            <v>A25ASA1</v>
          </cell>
          <cell r="B2776" t="str">
            <v xml:space="preserve">KEM LATEX ACRILICO P/EXT GRIS </v>
          </cell>
          <cell r="C2776">
            <v>3</v>
          </cell>
          <cell r="D2776">
            <v>1095</v>
          </cell>
        </row>
        <row r="2777">
          <cell r="A2777" t="str">
            <v>A25ASA1-5</v>
          </cell>
          <cell r="B2777" t="str">
            <v xml:space="preserve">KEM LATEX ACRILICO P/EXT GRIS </v>
          </cell>
          <cell r="C2777">
            <v>3</v>
          </cell>
          <cell r="D2777">
            <v>1095</v>
          </cell>
        </row>
        <row r="2778">
          <cell r="A2778" t="str">
            <v>A25CSA1</v>
          </cell>
          <cell r="B2778" t="str">
            <v xml:space="preserve">KEM LATEX ACRILICO            </v>
          </cell>
          <cell r="C2778">
            <v>3</v>
          </cell>
          <cell r="D2778">
            <v>1095</v>
          </cell>
        </row>
        <row r="2779">
          <cell r="A2779" t="str">
            <v>A25CSA1-5</v>
          </cell>
          <cell r="B2779" t="str">
            <v xml:space="preserve">KEM LATEX ACRILICO            </v>
          </cell>
          <cell r="C2779">
            <v>3</v>
          </cell>
          <cell r="D2779">
            <v>1095</v>
          </cell>
        </row>
        <row r="2780">
          <cell r="A2780" t="str">
            <v>A25GSA1</v>
          </cell>
          <cell r="B2780" t="str">
            <v xml:space="preserve">KEM LATEX ACRILICO PINTURA    </v>
          </cell>
          <cell r="C2780">
            <v>3</v>
          </cell>
          <cell r="D2780">
            <v>1095</v>
          </cell>
        </row>
        <row r="2781">
          <cell r="A2781" t="str">
            <v>A25GSA1-5</v>
          </cell>
          <cell r="B2781" t="str">
            <v xml:space="preserve">KEM LATEX ACRILICO PINTURA    </v>
          </cell>
          <cell r="C2781">
            <v>3</v>
          </cell>
          <cell r="D2781">
            <v>1095</v>
          </cell>
        </row>
        <row r="2782">
          <cell r="A2782" t="str">
            <v>A27WSA13</v>
          </cell>
          <cell r="B2782" t="str">
            <v>CLASSIC 99 LATEX MATE INTERIOR</v>
          </cell>
          <cell r="C2782">
            <v>3</v>
          </cell>
          <cell r="D2782">
            <v>1095</v>
          </cell>
        </row>
        <row r="2783">
          <cell r="A2783" t="str">
            <v>A27WSA13-5</v>
          </cell>
          <cell r="B2783" t="str">
            <v>CLASSIC 99 LATEX MATE INTERIOR</v>
          </cell>
          <cell r="C2783">
            <v>3</v>
          </cell>
          <cell r="D2783">
            <v>1095</v>
          </cell>
        </row>
        <row r="2784">
          <cell r="A2784" t="str">
            <v>A27WSA4</v>
          </cell>
          <cell r="B2784" t="str">
            <v>CLAS99 LAT MAT INT ULTRA BLANC</v>
          </cell>
          <cell r="C2784">
            <v>3</v>
          </cell>
          <cell r="D2784">
            <v>1095</v>
          </cell>
        </row>
        <row r="2785">
          <cell r="A2785" t="str">
            <v>A27WSA4-1</v>
          </cell>
          <cell r="B2785" t="str">
            <v>CLAS99 LAT MAT INT ULTRA BLANC</v>
          </cell>
          <cell r="C2785">
            <v>3</v>
          </cell>
          <cell r="D2785">
            <v>1095</v>
          </cell>
        </row>
        <row r="2786">
          <cell r="A2786" t="str">
            <v>A27WSA4-1.1/4</v>
          </cell>
          <cell r="B2786" t="str">
            <v>CLAS99 LAT MAT INT ULTRA BLANC</v>
          </cell>
          <cell r="C2786">
            <v>3</v>
          </cell>
          <cell r="D2786">
            <v>1095</v>
          </cell>
        </row>
        <row r="2787">
          <cell r="A2787" t="str">
            <v>A27WSA4-5</v>
          </cell>
          <cell r="B2787" t="str">
            <v>CLASSIC 99 LATEX MATE INTERIOR</v>
          </cell>
          <cell r="C2787">
            <v>3</v>
          </cell>
          <cell r="D2787">
            <v>1095</v>
          </cell>
        </row>
        <row r="2788">
          <cell r="A2788" t="str">
            <v>A27WSA51</v>
          </cell>
          <cell r="B2788" t="str">
            <v>CLAS99 LAT MAT INT B EXT WHITE</v>
          </cell>
          <cell r="C2788">
            <v>3</v>
          </cell>
          <cell r="D2788">
            <v>1095</v>
          </cell>
        </row>
        <row r="2789">
          <cell r="A2789" t="str">
            <v>A27WSA51-1</v>
          </cell>
          <cell r="B2789" t="str">
            <v>CLAS99 LAT MAT INT B EXT WHITE</v>
          </cell>
          <cell r="C2789">
            <v>3</v>
          </cell>
          <cell r="D2789">
            <v>1095</v>
          </cell>
        </row>
        <row r="2790">
          <cell r="A2790" t="str">
            <v>A27WSA51-5</v>
          </cell>
          <cell r="B2790" t="str">
            <v xml:space="preserve">CLASSIC 99 INT. LATEX MATE    </v>
          </cell>
          <cell r="C2790">
            <v>3</v>
          </cell>
          <cell r="D2790">
            <v>1095</v>
          </cell>
        </row>
        <row r="2791">
          <cell r="A2791" t="str">
            <v>A27WSA53</v>
          </cell>
          <cell r="B2791" t="str">
            <v xml:space="preserve">CLAS99 LATEX MAT INT BAS DEEP </v>
          </cell>
          <cell r="C2791">
            <v>3</v>
          </cell>
          <cell r="D2791">
            <v>1095</v>
          </cell>
        </row>
        <row r="2792">
          <cell r="A2792" t="str">
            <v>A27WSA53-1</v>
          </cell>
          <cell r="B2792" t="str">
            <v xml:space="preserve">CLAS99 LATEX MAT INT BAS DEEP </v>
          </cell>
          <cell r="C2792">
            <v>3</v>
          </cell>
          <cell r="D2792">
            <v>1095</v>
          </cell>
        </row>
        <row r="2793">
          <cell r="A2793" t="str">
            <v>A27WSA53-5</v>
          </cell>
          <cell r="B2793" t="str">
            <v xml:space="preserve">CLASSIC 99 INT. FLAT LATEX    </v>
          </cell>
          <cell r="C2793">
            <v>3</v>
          </cell>
          <cell r="D2793">
            <v>1095</v>
          </cell>
        </row>
        <row r="2794">
          <cell r="A2794" t="str">
            <v>A66FSA1</v>
          </cell>
          <cell r="B2794" t="str">
            <v xml:space="preserve">MAR-NOT SATI VARNISH          </v>
          </cell>
          <cell r="C2794">
            <v>3</v>
          </cell>
          <cell r="D2794">
            <v>1095</v>
          </cell>
        </row>
        <row r="2795">
          <cell r="A2795" t="str">
            <v>A66FSA1-1</v>
          </cell>
          <cell r="B2795" t="str">
            <v xml:space="preserve">MAR-NOT SATI VARNISH          </v>
          </cell>
          <cell r="C2795">
            <v>3</v>
          </cell>
          <cell r="D2795">
            <v>1095</v>
          </cell>
        </row>
        <row r="2796">
          <cell r="A2796" t="str">
            <v>A66FSA1-1/4</v>
          </cell>
          <cell r="B2796" t="str">
            <v xml:space="preserve">MAR-NOT SATI VARNISH          </v>
          </cell>
          <cell r="C2796">
            <v>3</v>
          </cell>
          <cell r="D2796">
            <v>1095</v>
          </cell>
        </row>
        <row r="2797">
          <cell r="A2797" t="str">
            <v>A66FSA2</v>
          </cell>
          <cell r="B2797" t="str">
            <v xml:space="preserve">MAR-NOT EXTRA MATE VARNISH    </v>
          </cell>
          <cell r="C2797">
            <v>3</v>
          </cell>
          <cell r="D2797">
            <v>1095</v>
          </cell>
        </row>
        <row r="2798">
          <cell r="A2798" t="str">
            <v>A66FSA2-1</v>
          </cell>
          <cell r="B2798" t="str">
            <v xml:space="preserve">MAR-NOT EXTRA MATE VARNISH    </v>
          </cell>
          <cell r="C2798">
            <v>3</v>
          </cell>
          <cell r="D2798">
            <v>1095</v>
          </cell>
        </row>
        <row r="2799">
          <cell r="A2799" t="str">
            <v>A66FSA2-1/4</v>
          </cell>
          <cell r="B2799" t="str">
            <v xml:space="preserve">MAR-NOT EXTRA MATE VARNISH    </v>
          </cell>
          <cell r="C2799">
            <v>3</v>
          </cell>
          <cell r="D2799">
            <v>1095</v>
          </cell>
        </row>
        <row r="2800">
          <cell r="A2800" t="str">
            <v>A66V5</v>
          </cell>
          <cell r="B2800" t="str">
            <v>MAR-NOT BRILLANTE VARNISH 01 .</v>
          </cell>
          <cell r="C2800">
            <v>3</v>
          </cell>
          <cell r="D2800">
            <v>1095</v>
          </cell>
        </row>
        <row r="2801">
          <cell r="A2801" t="str">
            <v>A66V5-1</v>
          </cell>
          <cell r="B2801" t="str">
            <v>MAR-NOT BRILLANTE VARNISH 01 .</v>
          </cell>
          <cell r="C2801">
            <v>3</v>
          </cell>
          <cell r="D2801">
            <v>1095</v>
          </cell>
        </row>
        <row r="2802">
          <cell r="A2802" t="str">
            <v>A66V5-1/4</v>
          </cell>
          <cell r="B2802" t="str">
            <v>MAR-NOT BRILLANTE VARNISH 01 .</v>
          </cell>
          <cell r="C2802">
            <v>3</v>
          </cell>
          <cell r="D2802">
            <v>1095</v>
          </cell>
        </row>
        <row r="2803">
          <cell r="A2803" t="str">
            <v>A6ASA1</v>
          </cell>
          <cell r="B2803" t="str">
            <v>A-100 LATEX MATE EXTERIOR GRIS</v>
          </cell>
          <cell r="C2803">
            <v>3</v>
          </cell>
          <cell r="D2803">
            <v>1095</v>
          </cell>
        </row>
        <row r="2804">
          <cell r="A2804" t="str">
            <v>A6ASA1-1</v>
          </cell>
          <cell r="B2804" t="str">
            <v>A-100 LATEX MATE EXTERIOR GRIS</v>
          </cell>
          <cell r="C2804">
            <v>3</v>
          </cell>
          <cell r="D2804">
            <v>1095</v>
          </cell>
        </row>
        <row r="2805">
          <cell r="A2805" t="str">
            <v>A6ESA1</v>
          </cell>
          <cell r="B2805" t="str">
            <v xml:space="preserve">A-100 LATEX MATE MELOCOTON    </v>
          </cell>
          <cell r="C2805">
            <v>3</v>
          </cell>
          <cell r="D2805">
            <v>1095</v>
          </cell>
        </row>
        <row r="2806">
          <cell r="A2806" t="str">
            <v>A6ESA1-5</v>
          </cell>
          <cell r="B2806" t="str">
            <v xml:space="preserve">A-100 LATEX MATE MELOCOTON    </v>
          </cell>
          <cell r="C2806">
            <v>3</v>
          </cell>
          <cell r="D2806">
            <v>1095</v>
          </cell>
        </row>
        <row r="2807">
          <cell r="A2807" t="str">
            <v>A6HSA3</v>
          </cell>
          <cell r="B2807" t="str">
            <v>A-100 LATEX MATE EXT BEIGE OSC</v>
          </cell>
          <cell r="C2807">
            <v>3</v>
          </cell>
          <cell r="D2807">
            <v>1095</v>
          </cell>
        </row>
        <row r="2808">
          <cell r="A2808" t="str">
            <v>A6HSA3-50</v>
          </cell>
          <cell r="B2808" t="str">
            <v>A-100 LATEX MATE EXT BEIGE OSC</v>
          </cell>
          <cell r="C2808">
            <v>3</v>
          </cell>
          <cell r="D2808">
            <v>1095</v>
          </cell>
        </row>
        <row r="2809">
          <cell r="A2809" t="str">
            <v>A6NSA2</v>
          </cell>
          <cell r="B2809" t="str">
            <v>A-100 LATEX MATE EXT SENS SAND</v>
          </cell>
          <cell r="C2809">
            <v>3</v>
          </cell>
          <cell r="D2809">
            <v>1095</v>
          </cell>
        </row>
        <row r="2810">
          <cell r="A2810" t="str">
            <v>A6NSA2-1</v>
          </cell>
          <cell r="B2810" t="str">
            <v>A-100 LATEX MATE EXT SENS SAND</v>
          </cell>
          <cell r="C2810">
            <v>3</v>
          </cell>
          <cell r="D2810">
            <v>1095</v>
          </cell>
        </row>
        <row r="2811">
          <cell r="A2811" t="str">
            <v>A6NSA2-5</v>
          </cell>
          <cell r="B2811" t="str">
            <v>A-100 LATEX MATE EXT SENS SAND</v>
          </cell>
          <cell r="C2811">
            <v>3</v>
          </cell>
          <cell r="D2811">
            <v>1095</v>
          </cell>
        </row>
        <row r="2812">
          <cell r="A2812" t="str">
            <v>A6NSA2-50</v>
          </cell>
          <cell r="B2812" t="str">
            <v>A-100 LATEX MATE EXT SENS SAND</v>
          </cell>
          <cell r="C2812">
            <v>3</v>
          </cell>
          <cell r="D2812">
            <v>1095</v>
          </cell>
        </row>
        <row r="2813">
          <cell r="A2813" t="str">
            <v>A6NSA3</v>
          </cell>
          <cell r="B2813" t="str">
            <v xml:space="preserve">A-100 LATEX MATE BEIGE SW6093 </v>
          </cell>
          <cell r="C2813">
            <v>3</v>
          </cell>
          <cell r="D2813">
            <v>1095</v>
          </cell>
        </row>
        <row r="2814">
          <cell r="A2814" t="str">
            <v>A6NSA3-1</v>
          </cell>
          <cell r="B2814" t="str">
            <v xml:space="preserve">A-100 LATEX MATE BEIGE SW6093 </v>
          </cell>
          <cell r="C2814">
            <v>3</v>
          </cell>
          <cell r="D2814">
            <v>1095</v>
          </cell>
        </row>
        <row r="2815">
          <cell r="A2815" t="str">
            <v>A6NSA3-50</v>
          </cell>
          <cell r="B2815" t="str">
            <v xml:space="preserve">A-100 LATEX MATE BEIGE SW6093 </v>
          </cell>
          <cell r="C2815">
            <v>3</v>
          </cell>
          <cell r="D2815">
            <v>1095</v>
          </cell>
        </row>
        <row r="2816">
          <cell r="A2816" t="str">
            <v>A6TSA54</v>
          </cell>
          <cell r="B2816" t="str">
            <v>A-100 LATE MAT EX B ULTRA DEEP</v>
          </cell>
          <cell r="C2816">
            <v>3</v>
          </cell>
          <cell r="D2816">
            <v>1095</v>
          </cell>
        </row>
        <row r="2817">
          <cell r="A2817" t="str">
            <v>A6TSA54-1</v>
          </cell>
          <cell r="B2817" t="str">
            <v>A-100 LATE MAT EX B ULTRA DEEP</v>
          </cell>
          <cell r="C2817">
            <v>3</v>
          </cell>
          <cell r="D2817">
            <v>1095</v>
          </cell>
        </row>
        <row r="2818">
          <cell r="A2818" t="str">
            <v>A6TSA54-5</v>
          </cell>
          <cell r="B2818" t="str">
            <v>A-100 LATEX MATE EXT ULTRADEEP</v>
          </cell>
          <cell r="C2818">
            <v>3</v>
          </cell>
          <cell r="D2818">
            <v>1095</v>
          </cell>
        </row>
        <row r="2819">
          <cell r="A2819" t="str">
            <v>A6WSA16</v>
          </cell>
          <cell r="B2819" t="str">
            <v>A-100 LAT MATE EXT ULTRA BLANC</v>
          </cell>
          <cell r="C2819">
            <v>3</v>
          </cell>
          <cell r="D2819">
            <v>1095</v>
          </cell>
        </row>
        <row r="2820">
          <cell r="A2820" t="str">
            <v>A6WSA16-1</v>
          </cell>
          <cell r="B2820" t="str">
            <v>A-100 LAT MATE EXT ULTRA BLANC</v>
          </cell>
          <cell r="C2820">
            <v>3</v>
          </cell>
          <cell r="D2820">
            <v>1095</v>
          </cell>
        </row>
        <row r="2821">
          <cell r="A2821" t="str">
            <v>A6WSA16-1.1/4</v>
          </cell>
          <cell r="B2821" t="str">
            <v>A-100 LAT MATE EXT ULTRA BLANC</v>
          </cell>
          <cell r="C2821">
            <v>3</v>
          </cell>
          <cell r="D2821">
            <v>1095</v>
          </cell>
        </row>
        <row r="2822">
          <cell r="A2822" t="str">
            <v>A6WSA16-5</v>
          </cell>
          <cell r="B2822" t="str">
            <v>A-100 LATEX MATE EXT ULTRA BLA</v>
          </cell>
          <cell r="C2822">
            <v>3</v>
          </cell>
          <cell r="D2822">
            <v>1095</v>
          </cell>
        </row>
        <row r="2823">
          <cell r="A2823" t="str">
            <v>A6WSA17</v>
          </cell>
          <cell r="B2823" t="str">
            <v>A-100 LATEX MATE EXT BCO DOVER</v>
          </cell>
          <cell r="C2823">
            <v>3</v>
          </cell>
          <cell r="D2823">
            <v>1095</v>
          </cell>
        </row>
        <row r="2824">
          <cell r="A2824" t="str">
            <v>A6WSA17-5</v>
          </cell>
          <cell r="B2824" t="str">
            <v>A-100 LATEX MATE EXT BCO DOVER</v>
          </cell>
          <cell r="C2824">
            <v>3</v>
          </cell>
          <cell r="D2824">
            <v>1095</v>
          </cell>
        </row>
        <row r="2825">
          <cell r="A2825" t="str">
            <v>A6WSA51</v>
          </cell>
          <cell r="B2825" t="str">
            <v>A-100 LAT MATE EXT B EXT WHITE</v>
          </cell>
          <cell r="C2825">
            <v>3</v>
          </cell>
          <cell r="D2825">
            <v>1095</v>
          </cell>
        </row>
        <row r="2826">
          <cell r="A2826" t="str">
            <v>A6WSA51-1</v>
          </cell>
          <cell r="B2826" t="str">
            <v>A-100 LAT MATE EXT B EXT WHITE</v>
          </cell>
          <cell r="C2826">
            <v>3</v>
          </cell>
          <cell r="D2826">
            <v>1095</v>
          </cell>
        </row>
        <row r="2827">
          <cell r="A2827" t="str">
            <v>A6WSA51-5</v>
          </cell>
          <cell r="B2827" t="str">
            <v>A-100 LAT MATE EXT BASE XWHITE</v>
          </cell>
          <cell r="C2827">
            <v>3</v>
          </cell>
          <cell r="D2827">
            <v>1095</v>
          </cell>
        </row>
        <row r="2828">
          <cell r="A2828" t="str">
            <v>A6WSA53</v>
          </cell>
          <cell r="B2828" t="str">
            <v>A-100 LATEX MATE EXT BASE DEEP</v>
          </cell>
          <cell r="C2828">
            <v>3</v>
          </cell>
          <cell r="D2828">
            <v>1095</v>
          </cell>
        </row>
        <row r="2829">
          <cell r="A2829" t="str">
            <v>A6WSA53-1</v>
          </cell>
          <cell r="B2829" t="str">
            <v>A-100 LATEX MATE EXT BASE DEEP</v>
          </cell>
          <cell r="C2829">
            <v>3</v>
          </cell>
          <cell r="D2829">
            <v>1095</v>
          </cell>
        </row>
        <row r="2830">
          <cell r="A2830" t="str">
            <v>A6WSA53-5</v>
          </cell>
          <cell r="B2830" t="str">
            <v>A-100 LATEX MATE EXTERIOR DEEP</v>
          </cell>
          <cell r="C2830">
            <v>3</v>
          </cell>
          <cell r="D2830">
            <v>1095</v>
          </cell>
        </row>
        <row r="2831">
          <cell r="A2831" t="str">
            <v>A6YSA56</v>
          </cell>
          <cell r="B2831" t="str">
            <v>A-100LAT MAT EXT B LIGHTYELLOW</v>
          </cell>
          <cell r="C2831">
            <v>3</v>
          </cell>
          <cell r="D2831">
            <v>1095</v>
          </cell>
        </row>
        <row r="2832">
          <cell r="A2832" t="str">
            <v>A6YSA56-1</v>
          </cell>
          <cell r="B2832" t="str">
            <v>A-100LAT MAT EXT B LIGHTYELLOW</v>
          </cell>
          <cell r="C2832">
            <v>3</v>
          </cell>
          <cell r="D2832">
            <v>1095</v>
          </cell>
        </row>
        <row r="2833">
          <cell r="A2833" t="str">
            <v>A8ASA5</v>
          </cell>
          <cell r="B2833" t="str">
            <v xml:space="preserve">EXCELLO LATEX SEMIBTE SW 7073 </v>
          </cell>
          <cell r="C2833">
            <v>3</v>
          </cell>
          <cell r="D2833">
            <v>1095</v>
          </cell>
        </row>
        <row r="2834">
          <cell r="A2834" t="str">
            <v>A8ASA5-5</v>
          </cell>
          <cell r="B2834" t="str">
            <v xml:space="preserve">EXCELLO LATEX SEMIBTE SW 7073 </v>
          </cell>
          <cell r="C2834">
            <v>3</v>
          </cell>
          <cell r="D2834">
            <v>1095</v>
          </cell>
        </row>
        <row r="2835">
          <cell r="A2835" t="str">
            <v>A8HSA15</v>
          </cell>
          <cell r="B2835" t="str">
            <v>EXCELLO LATEX SEMIBR BRASI NUT</v>
          </cell>
          <cell r="C2835">
            <v>3</v>
          </cell>
          <cell r="D2835">
            <v>1095</v>
          </cell>
        </row>
        <row r="2836">
          <cell r="A2836" t="str">
            <v>A8HSA15-5</v>
          </cell>
          <cell r="B2836" t="str">
            <v>EXCELLO LATEX SEMIBR BRASI NUT</v>
          </cell>
          <cell r="C2836">
            <v>3</v>
          </cell>
          <cell r="D2836">
            <v>1095</v>
          </cell>
        </row>
        <row r="2837">
          <cell r="A2837" t="str">
            <v>A8HSA7</v>
          </cell>
          <cell r="B2837" t="str">
            <v xml:space="preserve">EXCELLO LAT SEMI BRTE IVORY   </v>
          </cell>
          <cell r="C2837">
            <v>3</v>
          </cell>
          <cell r="D2837">
            <v>1095</v>
          </cell>
        </row>
        <row r="2838">
          <cell r="A2838" t="str">
            <v>A8HSA7-5</v>
          </cell>
          <cell r="B2838" t="str">
            <v xml:space="preserve">EXCELLO LAT SEMI BRTE IVORY   </v>
          </cell>
          <cell r="C2838">
            <v>3</v>
          </cell>
          <cell r="D2838">
            <v>1095</v>
          </cell>
        </row>
        <row r="2839">
          <cell r="A2839" t="str">
            <v>A8HSA8</v>
          </cell>
          <cell r="B2839" t="str">
            <v>EXCELLO LAT SEMBRTE PAPER LANT</v>
          </cell>
          <cell r="C2839">
            <v>3</v>
          </cell>
          <cell r="D2839">
            <v>1095</v>
          </cell>
        </row>
        <row r="2840">
          <cell r="A2840" t="str">
            <v>A8HSA8-1</v>
          </cell>
          <cell r="B2840" t="str">
            <v>EXCELLO LAT SEMBRTE PAPER LANT</v>
          </cell>
          <cell r="C2840">
            <v>3</v>
          </cell>
          <cell r="D2840">
            <v>1095</v>
          </cell>
        </row>
        <row r="2841">
          <cell r="A2841" t="str">
            <v>A8RSA8</v>
          </cell>
          <cell r="B2841" t="str">
            <v>EXCELLO LAT SEMIBR ROJO DIGICE</v>
          </cell>
          <cell r="C2841">
            <v>3</v>
          </cell>
          <cell r="D2841">
            <v>1095</v>
          </cell>
        </row>
        <row r="2842">
          <cell r="A2842" t="str">
            <v>A8RSA8-1</v>
          </cell>
          <cell r="B2842" t="str">
            <v>EXCELLO LAT SEMIBR ROJO DIGICE</v>
          </cell>
          <cell r="C2842">
            <v>3</v>
          </cell>
          <cell r="D2842">
            <v>1095</v>
          </cell>
        </row>
        <row r="2843">
          <cell r="A2843" t="str">
            <v>A8RSA8-5</v>
          </cell>
          <cell r="B2843" t="str">
            <v>EXCELLO LAT SEMIBR ROJO DIGICE</v>
          </cell>
          <cell r="C2843">
            <v>3</v>
          </cell>
          <cell r="D2843">
            <v>1095</v>
          </cell>
        </row>
        <row r="2844">
          <cell r="A2844" t="str">
            <v>A8W57</v>
          </cell>
          <cell r="B2844" t="str">
            <v>EXCELLO LATEX SEMI-BRIL BLANCO</v>
          </cell>
          <cell r="C2844">
            <v>3</v>
          </cell>
          <cell r="D2844">
            <v>1095</v>
          </cell>
        </row>
        <row r="2845">
          <cell r="A2845" t="str">
            <v>A8W57-1</v>
          </cell>
          <cell r="B2845" t="str">
            <v>EXCELLO LATEX SEMI-BRIL BLANCO</v>
          </cell>
          <cell r="C2845">
            <v>3</v>
          </cell>
          <cell r="D2845">
            <v>1095</v>
          </cell>
        </row>
        <row r="2846">
          <cell r="A2846" t="str">
            <v>A8W57-5</v>
          </cell>
          <cell r="B2846" t="str">
            <v>EXCELLO LATEX SEMI-BRIL BLANCO</v>
          </cell>
          <cell r="C2846">
            <v>3</v>
          </cell>
          <cell r="D2846">
            <v>1095</v>
          </cell>
        </row>
        <row r="2847">
          <cell r="A2847" t="str">
            <v>A8WSA12</v>
          </cell>
          <cell r="B2847" t="str">
            <v xml:space="preserve">EXCELLO LATEX SEMIBRTE FROST  </v>
          </cell>
          <cell r="C2847">
            <v>3</v>
          </cell>
          <cell r="D2847">
            <v>1095</v>
          </cell>
        </row>
        <row r="2848">
          <cell r="A2848" t="str">
            <v>A8WSA12-5</v>
          </cell>
          <cell r="B2848" t="str">
            <v xml:space="preserve">EXCELLO LATEX SEMIBRTE FROST  </v>
          </cell>
          <cell r="C2848">
            <v>3</v>
          </cell>
          <cell r="D2848">
            <v>1095</v>
          </cell>
        </row>
        <row r="2849">
          <cell r="A2849" t="str">
            <v>A8WSA17</v>
          </cell>
          <cell r="B2849" t="str">
            <v>EXCE LAT SEMI BRIL ULTRA BLANC</v>
          </cell>
          <cell r="C2849">
            <v>3</v>
          </cell>
          <cell r="D2849">
            <v>1095</v>
          </cell>
        </row>
        <row r="2850">
          <cell r="A2850" t="str">
            <v>A8WSA17-1</v>
          </cell>
          <cell r="B2850" t="str">
            <v>EXCE LAT SEMI BRIL ULTRA BLANC</v>
          </cell>
          <cell r="C2850">
            <v>3</v>
          </cell>
          <cell r="D2850">
            <v>1095</v>
          </cell>
        </row>
        <row r="2851">
          <cell r="A2851" t="str">
            <v>A8WSA17-5</v>
          </cell>
          <cell r="B2851" t="str">
            <v>EXCE LAT SEMI BRIL ULTRA BLANC</v>
          </cell>
          <cell r="C2851">
            <v>3</v>
          </cell>
          <cell r="D2851">
            <v>1095</v>
          </cell>
        </row>
        <row r="2852">
          <cell r="A2852" t="str">
            <v>A8WSA7</v>
          </cell>
          <cell r="B2852" t="str">
            <v>EXCE LAT SEMI-BRIL BLANC HUESO</v>
          </cell>
          <cell r="C2852">
            <v>3</v>
          </cell>
          <cell r="D2852">
            <v>1095</v>
          </cell>
        </row>
        <row r="2853">
          <cell r="A2853" t="str">
            <v>A8WSA7-1</v>
          </cell>
          <cell r="B2853" t="str">
            <v>EXCE LAT SEMI-BRIL BLANC HUESO</v>
          </cell>
          <cell r="C2853">
            <v>3</v>
          </cell>
          <cell r="D2853">
            <v>1095</v>
          </cell>
        </row>
        <row r="2854">
          <cell r="A2854" t="str">
            <v>A8WSA7-5</v>
          </cell>
          <cell r="B2854" t="str">
            <v>EXCE LAT SEMI-BRIL BLANC HUESO</v>
          </cell>
          <cell r="C2854">
            <v>3</v>
          </cell>
          <cell r="D2854">
            <v>1095</v>
          </cell>
        </row>
        <row r="2855">
          <cell r="A2855" t="str">
            <v>A8YSA2</v>
          </cell>
          <cell r="B2855" t="str">
            <v>EXCELLO LATEX SEMIBTE.AMARILLO</v>
          </cell>
          <cell r="C2855">
            <v>3</v>
          </cell>
          <cell r="D2855">
            <v>1095</v>
          </cell>
        </row>
        <row r="2856">
          <cell r="A2856" t="str">
            <v>A8YSA2-5</v>
          </cell>
          <cell r="B2856" t="str">
            <v>EXCELLO LATEX SEMIBTE AMARILLO</v>
          </cell>
          <cell r="C2856">
            <v>3</v>
          </cell>
          <cell r="D2856">
            <v>1095</v>
          </cell>
        </row>
        <row r="2857">
          <cell r="A2857" t="str">
            <v>A95ESA8</v>
          </cell>
          <cell r="B2857" t="str">
            <v xml:space="preserve">KEM PARED - EX VALENCIA       </v>
          </cell>
          <cell r="C2857">
            <v>3</v>
          </cell>
          <cell r="D2857">
            <v>1095</v>
          </cell>
        </row>
        <row r="2858">
          <cell r="A2858" t="str">
            <v>A95ESA8-1</v>
          </cell>
          <cell r="B2858" t="str">
            <v xml:space="preserve">KEM PARED - EX VALENCIA       </v>
          </cell>
          <cell r="C2858">
            <v>3</v>
          </cell>
          <cell r="D2858">
            <v>1095</v>
          </cell>
        </row>
        <row r="2859">
          <cell r="A2859" t="str">
            <v>A95GSA10</v>
          </cell>
          <cell r="B2859" t="str">
            <v xml:space="preserve">KEM PARED - EX VERDE GRAMA    </v>
          </cell>
          <cell r="C2859">
            <v>3</v>
          </cell>
          <cell r="D2859">
            <v>1095</v>
          </cell>
        </row>
        <row r="2860">
          <cell r="A2860" t="str">
            <v>A95GSA10-1</v>
          </cell>
          <cell r="B2860" t="str">
            <v xml:space="preserve">KEM PARED - EX VERDE GRAMA    </v>
          </cell>
          <cell r="C2860">
            <v>3</v>
          </cell>
          <cell r="D2860">
            <v>1095</v>
          </cell>
        </row>
        <row r="2861">
          <cell r="A2861" t="str">
            <v>A95GSA19</v>
          </cell>
          <cell r="B2861" t="str">
            <v xml:space="preserve">KEM PARED - EX VERDE SILVER   </v>
          </cell>
          <cell r="C2861">
            <v>3</v>
          </cell>
          <cell r="D2861">
            <v>1095</v>
          </cell>
        </row>
        <row r="2862">
          <cell r="A2862" t="str">
            <v>A95GSA19-1</v>
          </cell>
          <cell r="B2862" t="str">
            <v xml:space="preserve">KEM PARED - EX VERDE SILVER   </v>
          </cell>
          <cell r="C2862">
            <v>3</v>
          </cell>
          <cell r="D2862">
            <v>1095</v>
          </cell>
        </row>
        <row r="2863">
          <cell r="A2863" t="str">
            <v>A95HSA7</v>
          </cell>
          <cell r="B2863" t="str">
            <v xml:space="preserve">KEM PARED - EX BEIGE ESPECIAL </v>
          </cell>
          <cell r="C2863">
            <v>3</v>
          </cell>
          <cell r="D2863">
            <v>1095</v>
          </cell>
        </row>
        <row r="2864">
          <cell r="A2864" t="str">
            <v>A95HSA7-1</v>
          </cell>
          <cell r="B2864" t="str">
            <v xml:space="preserve">KEM PARED - EX BEIGE ESPECIAL </v>
          </cell>
          <cell r="C2864">
            <v>3</v>
          </cell>
          <cell r="D2864">
            <v>1095</v>
          </cell>
        </row>
        <row r="2865">
          <cell r="A2865" t="str">
            <v>A95LSA14</v>
          </cell>
          <cell r="B2865" t="str">
            <v xml:space="preserve">KEM PARED - EX AZUL ANTARTICO </v>
          </cell>
          <cell r="C2865">
            <v>3</v>
          </cell>
          <cell r="D2865">
            <v>1095</v>
          </cell>
        </row>
        <row r="2866">
          <cell r="A2866" t="str">
            <v>A95LSA14-1</v>
          </cell>
          <cell r="B2866" t="str">
            <v xml:space="preserve">KEM PARED - EX AZUL ANTARTICO </v>
          </cell>
          <cell r="C2866">
            <v>3</v>
          </cell>
          <cell r="D2866">
            <v>1095</v>
          </cell>
        </row>
        <row r="2867">
          <cell r="A2867" t="str">
            <v>A95NSA10</v>
          </cell>
          <cell r="B2867" t="str">
            <v xml:space="preserve">KEM PARED - EX CAFE FACHALETA </v>
          </cell>
          <cell r="C2867">
            <v>3</v>
          </cell>
          <cell r="D2867">
            <v>1095</v>
          </cell>
        </row>
        <row r="2868">
          <cell r="A2868" t="str">
            <v>A95NSA10-1</v>
          </cell>
          <cell r="B2868" t="str">
            <v xml:space="preserve">KEM PARED - EX CAFE FACHALETA </v>
          </cell>
          <cell r="C2868">
            <v>3</v>
          </cell>
          <cell r="D2868">
            <v>1095</v>
          </cell>
        </row>
        <row r="2869">
          <cell r="A2869" t="str">
            <v>A95NSA3</v>
          </cell>
          <cell r="B2869" t="str">
            <v xml:space="preserve">KEM PARED - EX CAFE HABANO    </v>
          </cell>
          <cell r="C2869">
            <v>3</v>
          </cell>
          <cell r="D2869">
            <v>1095</v>
          </cell>
        </row>
        <row r="2870">
          <cell r="A2870" t="str">
            <v>A95NSA3-1</v>
          </cell>
          <cell r="B2870" t="str">
            <v xml:space="preserve">KEM PARED - EX CAFE HABANO    </v>
          </cell>
          <cell r="C2870">
            <v>3</v>
          </cell>
          <cell r="D2870">
            <v>1095</v>
          </cell>
        </row>
        <row r="2871">
          <cell r="A2871" t="str">
            <v>A95RSA14</v>
          </cell>
          <cell r="B2871" t="str">
            <v xml:space="preserve">KEM PARED - EX ROJO OX BLOOD  </v>
          </cell>
          <cell r="C2871">
            <v>3</v>
          </cell>
          <cell r="D2871">
            <v>1095</v>
          </cell>
        </row>
        <row r="2872">
          <cell r="A2872" t="str">
            <v>A95RSA14-1</v>
          </cell>
          <cell r="B2872" t="str">
            <v xml:space="preserve">KEM PARED - EX ROJO OX BLOOD  </v>
          </cell>
          <cell r="C2872">
            <v>3</v>
          </cell>
          <cell r="D2872">
            <v>1095</v>
          </cell>
        </row>
        <row r="2873">
          <cell r="A2873" t="str">
            <v>A95V76</v>
          </cell>
          <cell r="B2873" t="str">
            <v>KEM PAREDEX PENETRATING LIQUID</v>
          </cell>
          <cell r="C2873">
            <v>3</v>
          </cell>
          <cell r="D2873">
            <v>1095</v>
          </cell>
        </row>
        <row r="2874">
          <cell r="A2874" t="str">
            <v>A95V76-1</v>
          </cell>
          <cell r="B2874" t="str">
            <v>KEM PAREDEX PENETRATING LIQUID</v>
          </cell>
          <cell r="C2874">
            <v>3</v>
          </cell>
          <cell r="D2874">
            <v>1095</v>
          </cell>
        </row>
        <row r="2875">
          <cell r="A2875" t="str">
            <v>A95V76-1/4</v>
          </cell>
          <cell r="B2875" t="str">
            <v xml:space="preserve">PARED-EX PENETRATING LIQUID   </v>
          </cell>
          <cell r="C2875">
            <v>3</v>
          </cell>
          <cell r="D2875">
            <v>1095</v>
          </cell>
        </row>
        <row r="2876">
          <cell r="A2876" t="str">
            <v>A95V76-5</v>
          </cell>
          <cell r="B2876" t="str">
            <v xml:space="preserve">PARED-EX PENETRATING LIQUID   </v>
          </cell>
          <cell r="C2876">
            <v>3</v>
          </cell>
          <cell r="D2876">
            <v>1095</v>
          </cell>
        </row>
        <row r="2877">
          <cell r="A2877" t="str">
            <v>A95V76-50</v>
          </cell>
          <cell r="B2877" t="str">
            <v xml:space="preserve">PARED-EX PENETRATING LIQUID   </v>
          </cell>
          <cell r="C2877">
            <v>3</v>
          </cell>
          <cell r="D2877">
            <v>1095</v>
          </cell>
        </row>
        <row r="2878">
          <cell r="A2878" t="str">
            <v>A95WSA11</v>
          </cell>
          <cell r="B2878" t="str">
            <v xml:space="preserve">KEM PARED - EX ULTRA BLANCO   </v>
          </cell>
          <cell r="C2878">
            <v>3</v>
          </cell>
          <cell r="D2878">
            <v>1095</v>
          </cell>
        </row>
        <row r="2879">
          <cell r="A2879" t="str">
            <v>A95WSA11-1</v>
          </cell>
          <cell r="B2879" t="str">
            <v xml:space="preserve">KEM PARED - EX ULTRA BLANCO   </v>
          </cell>
          <cell r="C2879">
            <v>3</v>
          </cell>
          <cell r="D2879">
            <v>1095</v>
          </cell>
        </row>
        <row r="2880">
          <cell r="A2880" t="str">
            <v>A95WSA18</v>
          </cell>
          <cell r="B2880" t="str">
            <v>KEM PARED-EX BLANCO REAL INTER</v>
          </cell>
          <cell r="C2880">
            <v>3</v>
          </cell>
          <cell r="D2880">
            <v>1095</v>
          </cell>
        </row>
        <row r="2881">
          <cell r="A2881" t="str">
            <v>A95WSA18-5</v>
          </cell>
          <cell r="B2881" t="str">
            <v>KEM PARED-EX BLANCO REAL INTER</v>
          </cell>
          <cell r="C2881">
            <v>3</v>
          </cell>
          <cell r="D2881">
            <v>1095</v>
          </cell>
        </row>
        <row r="2882">
          <cell r="A2882" t="str">
            <v>A95YSA11</v>
          </cell>
          <cell r="B2882" t="str">
            <v>KEM PARED -EX AMARILLO GIRASOL</v>
          </cell>
          <cell r="C2882">
            <v>3</v>
          </cell>
          <cell r="D2882">
            <v>1095</v>
          </cell>
        </row>
        <row r="2883">
          <cell r="A2883" t="str">
            <v>A95YSA11-1</v>
          </cell>
          <cell r="B2883" t="str">
            <v>KEM PARED -EX AMARILLO GIRASOL</v>
          </cell>
          <cell r="C2883">
            <v>3</v>
          </cell>
          <cell r="D2883">
            <v>1095</v>
          </cell>
        </row>
        <row r="2884">
          <cell r="A2884" t="str">
            <v>A95YSA18</v>
          </cell>
          <cell r="B2884" t="str">
            <v xml:space="preserve">KEM PARED - EX FOLKLORE GOLD  </v>
          </cell>
          <cell r="C2884">
            <v>3</v>
          </cell>
          <cell r="D2884">
            <v>1095</v>
          </cell>
        </row>
        <row r="2885">
          <cell r="A2885" t="str">
            <v>A95YSA18-1</v>
          </cell>
          <cell r="B2885" t="str">
            <v xml:space="preserve">KEM PARED - EX FOLKLORE GOLD  </v>
          </cell>
          <cell r="C2885">
            <v>3</v>
          </cell>
          <cell r="D2885">
            <v>1095</v>
          </cell>
        </row>
        <row r="2886">
          <cell r="A2886" t="str">
            <v>A95YSA19</v>
          </cell>
          <cell r="B2886" t="str">
            <v>KEM PARED-EX AMARI REAL INTERC</v>
          </cell>
          <cell r="C2886">
            <v>3</v>
          </cell>
          <cell r="D2886">
            <v>1095</v>
          </cell>
        </row>
        <row r="2887">
          <cell r="A2887" t="str">
            <v>A95YSA19-5</v>
          </cell>
          <cell r="B2887" t="str">
            <v>KEM PARED-EX AMARI REAL INTERC</v>
          </cell>
          <cell r="C2887">
            <v>3</v>
          </cell>
          <cell r="D2887">
            <v>1095</v>
          </cell>
        </row>
        <row r="2888">
          <cell r="A2888" t="str">
            <v>B32WSA251</v>
          </cell>
          <cell r="B2888" t="str">
            <v>SP ESMA ALQ MATE B EXTRA WHITE</v>
          </cell>
          <cell r="C2888">
            <v>3</v>
          </cell>
          <cell r="D2888">
            <v>1095</v>
          </cell>
        </row>
        <row r="2889">
          <cell r="A2889" t="str">
            <v>B32WSA251-1</v>
          </cell>
          <cell r="B2889" t="str">
            <v>SP ESMA ALK MATE B EXTRA WHITE</v>
          </cell>
          <cell r="C2889">
            <v>3</v>
          </cell>
          <cell r="D2889">
            <v>1095</v>
          </cell>
        </row>
        <row r="2890">
          <cell r="A2890" t="str">
            <v>B32WSA251-1/4</v>
          </cell>
          <cell r="B2890" t="str">
            <v>SP ESMA ALK MATE B EXTRA WHITE</v>
          </cell>
          <cell r="C2890">
            <v>3</v>
          </cell>
          <cell r="D2890">
            <v>1095</v>
          </cell>
        </row>
        <row r="2891">
          <cell r="A2891" t="str">
            <v>B32WSA251-5</v>
          </cell>
          <cell r="B2891" t="str">
            <v>SP ESMA ALK MATE B EXTRA WHITE</v>
          </cell>
          <cell r="C2891">
            <v>3</v>
          </cell>
          <cell r="D2891">
            <v>1095</v>
          </cell>
        </row>
        <row r="2892">
          <cell r="A2892" t="str">
            <v>B32WSA253</v>
          </cell>
          <cell r="B2892" t="str">
            <v>SP ESMA ALQ MATE B EXTRA WHITE</v>
          </cell>
          <cell r="C2892">
            <v>3</v>
          </cell>
          <cell r="D2892">
            <v>1095</v>
          </cell>
        </row>
        <row r="2893">
          <cell r="A2893" t="str">
            <v>B32WSA253-1</v>
          </cell>
          <cell r="B2893" t="str">
            <v>SP ESMA ALK MATE B EXTRA WHITE</v>
          </cell>
          <cell r="C2893">
            <v>3</v>
          </cell>
          <cell r="D2893">
            <v>1095</v>
          </cell>
        </row>
        <row r="2894">
          <cell r="A2894" t="str">
            <v>B32WSA253-1/4</v>
          </cell>
          <cell r="B2894" t="str">
            <v xml:space="preserve">SP ESMALTE ALK MATE BASE DEEP </v>
          </cell>
          <cell r="C2894">
            <v>3</v>
          </cell>
          <cell r="D2894">
            <v>1095</v>
          </cell>
        </row>
        <row r="2895">
          <cell r="A2895" t="str">
            <v>B36NSA1</v>
          </cell>
          <cell r="B2895" t="str">
            <v xml:space="preserve">WEATHER PERFECT LATEX SW 6095 </v>
          </cell>
          <cell r="C2895">
            <v>3</v>
          </cell>
          <cell r="D2895">
            <v>1095</v>
          </cell>
        </row>
        <row r="2896">
          <cell r="A2896" t="str">
            <v>B36NSA1-50</v>
          </cell>
          <cell r="B2896" t="str">
            <v xml:space="preserve">WEATHER PERFECT LATEX SW 6095 </v>
          </cell>
          <cell r="C2896">
            <v>3</v>
          </cell>
          <cell r="D2896">
            <v>1095</v>
          </cell>
        </row>
        <row r="2897">
          <cell r="A2897" t="str">
            <v>B36TSA354</v>
          </cell>
          <cell r="B2897" t="str">
            <v>WP LATEX MATE EXT B ULTRA DEEP</v>
          </cell>
          <cell r="C2897">
            <v>3</v>
          </cell>
          <cell r="D2897">
            <v>1095</v>
          </cell>
        </row>
        <row r="2898">
          <cell r="A2898" t="str">
            <v>B36TSA354-1</v>
          </cell>
          <cell r="B2898" t="str">
            <v>WP LATEX MATE EXT B ULTRA DEEP</v>
          </cell>
          <cell r="C2898">
            <v>3</v>
          </cell>
          <cell r="D2898">
            <v>1095</v>
          </cell>
        </row>
        <row r="2899">
          <cell r="A2899" t="str">
            <v>B36TSA354-1/4</v>
          </cell>
          <cell r="B2899" t="str">
            <v>WP LATEX MATE EXT B ULTRA DEEP</v>
          </cell>
          <cell r="C2899">
            <v>3</v>
          </cell>
          <cell r="D2899">
            <v>1095</v>
          </cell>
        </row>
        <row r="2900">
          <cell r="A2900" t="str">
            <v>B36TSA354-5</v>
          </cell>
          <cell r="B2900" t="str">
            <v>WP LATEX MATE EXT B ULTRA DEEP</v>
          </cell>
          <cell r="C2900">
            <v>3</v>
          </cell>
          <cell r="D2900">
            <v>1095</v>
          </cell>
        </row>
        <row r="2901">
          <cell r="A2901" t="str">
            <v>B36WSA351</v>
          </cell>
          <cell r="B2901" t="str">
            <v>WP LATE MATE EXT B EXTRA WHITE</v>
          </cell>
          <cell r="C2901">
            <v>3</v>
          </cell>
          <cell r="D2901">
            <v>1095</v>
          </cell>
        </row>
        <row r="2902">
          <cell r="A2902" t="str">
            <v>B36WSA351-1</v>
          </cell>
          <cell r="B2902" t="str">
            <v>WP LATE MATE EXT B EXTRA WHITE</v>
          </cell>
          <cell r="C2902">
            <v>3</v>
          </cell>
          <cell r="D2902">
            <v>1095</v>
          </cell>
        </row>
        <row r="2903">
          <cell r="A2903" t="str">
            <v>B36WSA351-1/4</v>
          </cell>
          <cell r="B2903" t="str">
            <v>WP LATE MATE EXT B EXTRA WHITE</v>
          </cell>
          <cell r="C2903">
            <v>3</v>
          </cell>
          <cell r="D2903">
            <v>1095</v>
          </cell>
        </row>
        <row r="2904">
          <cell r="A2904" t="str">
            <v>B36WSA351-5</v>
          </cell>
          <cell r="B2904" t="str">
            <v>WP LATE MATE EXT B EXTRA WHITE</v>
          </cell>
          <cell r="C2904">
            <v>3</v>
          </cell>
          <cell r="D2904">
            <v>1095</v>
          </cell>
        </row>
        <row r="2905">
          <cell r="A2905" t="str">
            <v>B36WSA351-50</v>
          </cell>
          <cell r="B2905" t="str">
            <v>WEATHER P LAT MAT EXT  X WHITE</v>
          </cell>
          <cell r="C2905">
            <v>3</v>
          </cell>
          <cell r="D2905">
            <v>1095</v>
          </cell>
        </row>
        <row r="2906">
          <cell r="A2906" t="str">
            <v>B36WSA353</v>
          </cell>
          <cell r="B2906" t="str">
            <v xml:space="preserve">WP LATEX MATE EXT BASE DEEP   </v>
          </cell>
          <cell r="C2906">
            <v>3</v>
          </cell>
          <cell r="D2906">
            <v>1095</v>
          </cell>
        </row>
        <row r="2907">
          <cell r="A2907" t="str">
            <v>B36WSA353-1</v>
          </cell>
          <cell r="B2907" t="str">
            <v xml:space="preserve">WP LATEX MATE EXT BASE DEEP   </v>
          </cell>
          <cell r="C2907">
            <v>3</v>
          </cell>
          <cell r="D2907">
            <v>1095</v>
          </cell>
        </row>
        <row r="2908">
          <cell r="A2908" t="str">
            <v>B36WSA353-1/4</v>
          </cell>
          <cell r="B2908" t="str">
            <v xml:space="preserve">WP LATEX MATE EXT BASE DEEP   </v>
          </cell>
          <cell r="C2908">
            <v>3</v>
          </cell>
          <cell r="D2908">
            <v>1095</v>
          </cell>
        </row>
        <row r="2909">
          <cell r="A2909" t="str">
            <v>B36WSA353-5</v>
          </cell>
          <cell r="B2909" t="str">
            <v xml:space="preserve">WP LATEX MATE EXT BASE DEEP   </v>
          </cell>
          <cell r="C2909">
            <v>3</v>
          </cell>
          <cell r="D2909">
            <v>1095</v>
          </cell>
        </row>
        <row r="2910">
          <cell r="A2910" t="str">
            <v>B36YSA356</v>
          </cell>
          <cell r="B2910" t="str">
            <v>WP LATE MATE EXT B LIGHTYELLOW</v>
          </cell>
          <cell r="C2910">
            <v>3</v>
          </cell>
          <cell r="D2910">
            <v>1095</v>
          </cell>
        </row>
        <row r="2911">
          <cell r="A2911" t="str">
            <v>B36YSA356-1</v>
          </cell>
          <cell r="B2911" t="str">
            <v>WP LATE MATE EXT B LIGHTYELLOW</v>
          </cell>
          <cell r="C2911">
            <v>3</v>
          </cell>
          <cell r="D2911">
            <v>1095</v>
          </cell>
        </row>
        <row r="2912">
          <cell r="A2912" t="str">
            <v>B36YSA356-1/4</v>
          </cell>
          <cell r="B2912" t="str">
            <v>WP LATE MATE EXT B LIGHTYELLOW</v>
          </cell>
          <cell r="C2912">
            <v>3</v>
          </cell>
          <cell r="D2912">
            <v>1095</v>
          </cell>
        </row>
        <row r="2913">
          <cell r="A2913" t="str">
            <v>B36YSA356-5</v>
          </cell>
          <cell r="B2913" t="str">
            <v>WP LATE MATE EXT B LIGHTYELLOW</v>
          </cell>
          <cell r="C2913">
            <v>3</v>
          </cell>
          <cell r="D2913">
            <v>1095</v>
          </cell>
        </row>
        <row r="2914">
          <cell r="A2914" t="str">
            <v>B42WSA41</v>
          </cell>
          <cell r="B2914" t="str">
            <v xml:space="preserve">COLOR-PRIME LATEX BASE WHITE  </v>
          </cell>
          <cell r="C2914">
            <v>3</v>
          </cell>
          <cell r="D2914">
            <v>1095</v>
          </cell>
        </row>
        <row r="2915">
          <cell r="A2915" t="str">
            <v>B42WSA41-1</v>
          </cell>
          <cell r="B2915" t="str">
            <v xml:space="preserve">COLOR-PRIME LATEX BASE WHITE  </v>
          </cell>
          <cell r="C2915">
            <v>3</v>
          </cell>
          <cell r="D2915">
            <v>1095</v>
          </cell>
        </row>
        <row r="2916">
          <cell r="A2916" t="str">
            <v>B42WSA41-1/4</v>
          </cell>
          <cell r="B2916" t="str">
            <v xml:space="preserve">COLOR-PRIME LATEX BASE WHITE  </v>
          </cell>
          <cell r="C2916">
            <v>3</v>
          </cell>
          <cell r="D2916">
            <v>1095</v>
          </cell>
        </row>
        <row r="2917">
          <cell r="A2917" t="str">
            <v>B42WSA41-5</v>
          </cell>
          <cell r="B2917" t="str">
            <v xml:space="preserve">COLOR-PRIME LATEX BASE WHITE  </v>
          </cell>
          <cell r="C2917">
            <v>3</v>
          </cell>
          <cell r="D2917">
            <v>1095</v>
          </cell>
        </row>
        <row r="2918">
          <cell r="A2918" t="str">
            <v>B42WSA43</v>
          </cell>
          <cell r="B2918" t="str">
            <v xml:space="preserve">COLOR-PRIME LATEX BASE DEEP   </v>
          </cell>
          <cell r="C2918">
            <v>3</v>
          </cell>
          <cell r="D2918">
            <v>1095</v>
          </cell>
        </row>
        <row r="2919">
          <cell r="A2919" t="str">
            <v>B42WSA43-1</v>
          </cell>
          <cell r="B2919" t="str">
            <v xml:space="preserve">COLOR-PRIME LATEX BASE DEEP   </v>
          </cell>
          <cell r="C2919">
            <v>3</v>
          </cell>
          <cell r="D2919">
            <v>1095</v>
          </cell>
        </row>
        <row r="2920">
          <cell r="A2920" t="str">
            <v>B42WSA43-1/4</v>
          </cell>
          <cell r="B2920" t="str">
            <v xml:space="preserve">COLOR-PRIME LATEX BASE DEEP   </v>
          </cell>
          <cell r="C2920">
            <v>3</v>
          </cell>
          <cell r="D2920">
            <v>1095</v>
          </cell>
        </row>
        <row r="2921">
          <cell r="A2921" t="str">
            <v>B42WSA43-5</v>
          </cell>
          <cell r="B2921" t="str">
            <v xml:space="preserve">COLOR-PRIME LATEX BASE DEEP   </v>
          </cell>
          <cell r="C2921">
            <v>3</v>
          </cell>
          <cell r="D2921">
            <v>1095</v>
          </cell>
        </row>
        <row r="2922">
          <cell r="A2922" t="str">
            <v>B4A43</v>
          </cell>
          <cell r="B2922" t="str">
            <v>EXCELLO ESMAL BRILL GRIS PERLA</v>
          </cell>
          <cell r="C2922">
            <v>3</v>
          </cell>
          <cell r="D2922">
            <v>1095</v>
          </cell>
        </row>
        <row r="2923">
          <cell r="A2923" t="str">
            <v>B4A43-1</v>
          </cell>
          <cell r="B2923" t="str">
            <v>EXCELLO ESMAL BRILL GRIS PERLA</v>
          </cell>
          <cell r="C2923">
            <v>3</v>
          </cell>
          <cell r="D2923">
            <v>1095</v>
          </cell>
        </row>
        <row r="2924">
          <cell r="A2924" t="str">
            <v>B4A43-1/4</v>
          </cell>
          <cell r="B2924" t="str">
            <v>EXCELLO ESMAL BRILL GRIS PERLA</v>
          </cell>
          <cell r="C2924">
            <v>3</v>
          </cell>
          <cell r="D2924">
            <v>1095</v>
          </cell>
        </row>
        <row r="2925">
          <cell r="A2925" t="str">
            <v>B4A43-5</v>
          </cell>
          <cell r="B2925" t="str">
            <v xml:space="preserve">EXCELLO ESMALTE GRIS PERLA    </v>
          </cell>
          <cell r="C2925">
            <v>3</v>
          </cell>
          <cell r="D2925">
            <v>1095</v>
          </cell>
        </row>
        <row r="2926">
          <cell r="A2926" t="str">
            <v>B4A43-50</v>
          </cell>
          <cell r="B2926" t="str">
            <v xml:space="preserve">EXCELLO ESMALTE GRIS PERLA    </v>
          </cell>
          <cell r="C2926">
            <v>3</v>
          </cell>
          <cell r="D2926">
            <v>1095</v>
          </cell>
        </row>
        <row r="2927">
          <cell r="A2927" t="str">
            <v>B4ASA7</v>
          </cell>
          <cell r="B2927" t="str">
            <v>EXCELLO ESM SEMIBTE GRIS FREUN</v>
          </cell>
          <cell r="C2927">
            <v>3</v>
          </cell>
          <cell r="D2927">
            <v>1095</v>
          </cell>
        </row>
        <row r="2928">
          <cell r="A2928" t="str">
            <v>B4ASA7-5</v>
          </cell>
          <cell r="B2928" t="str">
            <v>EXCELLO ESM SEMIBT GRIS FREUND</v>
          </cell>
          <cell r="C2928">
            <v>3</v>
          </cell>
          <cell r="D2928">
            <v>1095</v>
          </cell>
        </row>
        <row r="2929">
          <cell r="A2929" t="str">
            <v>B4BSA1</v>
          </cell>
          <cell r="B2929" t="str">
            <v>EXCELLO ESMALT BRILLANTE NEGRO</v>
          </cell>
          <cell r="C2929">
            <v>3</v>
          </cell>
          <cell r="D2929">
            <v>1095</v>
          </cell>
        </row>
        <row r="2930">
          <cell r="A2930" t="str">
            <v>B4BSA1-1</v>
          </cell>
          <cell r="B2930" t="str">
            <v>EXCELLO ESMALT BRILLANTE NEGRO</v>
          </cell>
          <cell r="C2930">
            <v>3</v>
          </cell>
          <cell r="D2930">
            <v>1095</v>
          </cell>
        </row>
        <row r="2931">
          <cell r="A2931" t="str">
            <v>B4BSA1-1/4</v>
          </cell>
          <cell r="B2931" t="str">
            <v>EXCELLO ESMALT BRILLANTE NEGRO</v>
          </cell>
          <cell r="C2931">
            <v>3</v>
          </cell>
          <cell r="D2931">
            <v>1095</v>
          </cell>
        </row>
        <row r="2932">
          <cell r="A2932" t="str">
            <v>B4BSA1-5</v>
          </cell>
          <cell r="B2932" t="str">
            <v xml:space="preserve">EXCELLO ESMALTE NEGRO         </v>
          </cell>
          <cell r="C2932">
            <v>3</v>
          </cell>
          <cell r="D2932">
            <v>1095</v>
          </cell>
        </row>
        <row r="2933">
          <cell r="A2933" t="str">
            <v>B4BSA3</v>
          </cell>
          <cell r="B2933" t="str">
            <v xml:space="preserve">EXCELLO ESMALTE MATE NEGRO    </v>
          </cell>
          <cell r="C2933">
            <v>3</v>
          </cell>
          <cell r="D2933">
            <v>1095</v>
          </cell>
        </row>
        <row r="2934">
          <cell r="A2934" t="str">
            <v>B4BSA3-1</v>
          </cell>
          <cell r="B2934" t="str">
            <v xml:space="preserve">EXCELLO ESMALTE MATE NEGRO    </v>
          </cell>
          <cell r="C2934">
            <v>3</v>
          </cell>
          <cell r="D2934">
            <v>1095</v>
          </cell>
        </row>
        <row r="2935">
          <cell r="A2935" t="str">
            <v>B4BSA3-1/4</v>
          </cell>
          <cell r="B2935" t="str">
            <v xml:space="preserve">EXCELLO ESMALTE MATE NEGRO    </v>
          </cell>
          <cell r="C2935">
            <v>3</v>
          </cell>
          <cell r="D2935">
            <v>1095</v>
          </cell>
        </row>
        <row r="2936">
          <cell r="A2936" t="str">
            <v>B4ESA3</v>
          </cell>
          <cell r="B2936" t="str">
            <v>EXCELLO ESMALT BRILLAN NARANJA</v>
          </cell>
          <cell r="C2936">
            <v>3</v>
          </cell>
          <cell r="D2936">
            <v>1095</v>
          </cell>
        </row>
        <row r="2937">
          <cell r="A2937" t="str">
            <v>B4ESA3-1</v>
          </cell>
          <cell r="B2937" t="str">
            <v>EXCELLO ESMALT BRILLAN NARANJA</v>
          </cell>
          <cell r="C2937">
            <v>3</v>
          </cell>
          <cell r="D2937">
            <v>1095</v>
          </cell>
        </row>
        <row r="2938">
          <cell r="A2938" t="str">
            <v>B4ESA3-1/4</v>
          </cell>
          <cell r="B2938" t="str">
            <v>EXCELLO ESMALT BRILLAN NARANJA</v>
          </cell>
          <cell r="C2938">
            <v>3</v>
          </cell>
          <cell r="D2938">
            <v>1095</v>
          </cell>
        </row>
        <row r="2939">
          <cell r="A2939" t="str">
            <v>B4ESA3-50</v>
          </cell>
          <cell r="B2939" t="str">
            <v xml:space="preserve">EXCELLO ESMALTE NARANJA       </v>
          </cell>
          <cell r="C2939">
            <v>3</v>
          </cell>
          <cell r="D2939">
            <v>1095</v>
          </cell>
        </row>
        <row r="2940">
          <cell r="A2940" t="str">
            <v>B4ESA4</v>
          </cell>
          <cell r="B2940" t="str">
            <v xml:space="preserve">EXCELLO ESMALTE MELOCOTON     </v>
          </cell>
          <cell r="C2940">
            <v>3</v>
          </cell>
          <cell r="D2940">
            <v>1095</v>
          </cell>
        </row>
        <row r="2941">
          <cell r="A2941" t="str">
            <v>B4ESA4-5</v>
          </cell>
          <cell r="B2941" t="str">
            <v xml:space="preserve">EXCELLO ESMALTE MELOCOTON     </v>
          </cell>
          <cell r="C2941">
            <v>3</v>
          </cell>
          <cell r="D2941">
            <v>1095</v>
          </cell>
        </row>
        <row r="2942">
          <cell r="A2942" t="str">
            <v>B4G85</v>
          </cell>
          <cell r="B2942" t="str">
            <v>EXCELLO ESM BRIL VERDE INTENSO</v>
          </cell>
          <cell r="C2942">
            <v>3</v>
          </cell>
          <cell r="D2942">
            <v>1095</v>
          </cell>
        </row>
        <row r="2943">
          <cell r="A2943" t="str">
            <v>B4G85-1</v>
          </cell>
          <cell r="B2943" t="str">
            <v>EXCELLO ESM BRIL VERDE INTENSO</v>
          </cell>
          <cell r="C2943">
            <v>3</v>
          </cell>
          <cell r="D2943">
            <v>1095</v>
          </cell>
        </row>
        <row r="2944">
          <cell r="A2944" t="str">
            <v>B4G85-1/4</v>
          </cell>
          <cell r="B2944" t="str">
            <v>EXCELLO ESM BRIL VERDE INTENSO</v>
          </cell>
          <cell r="C2944">
            <v>3</v>
          </cell>
          <cell r="D2944">
            <v>1095</v>
          </cell>
        </row>
        <row r="2945">
          <cell r="A2945" t="str">
            <v>B4G85-5</v>
          </cell>
          <cell r="B2945" t="str">
            <v xml:space="preserve">EXCELLO ESMALTE VERDE INTENSO </v>
          </cell>
          <cell r="C2945">
            <v>3</v>
          </cell>
          <cell r="D2945">
            <v>1095</v>
          </cell>
        </row>
        <row r="2946">
          <cell r="A2946" t="str">
            <v>B4GSA11</v>
          </cell>
          <cell r="B2946" t="str">
            <v>EXCELLO ESM BRIL VERDE AMAZONA</v>
          </cell>
          <cell r="C2946">
            <v>3</v>
          </cell>
          <cell r="D2946">
            <v>1095</v>
          </cell>
        </row>
        <row r="2947">
          <cell r="A2947" t="str">
            <v>B4GSA11-1</v>
          </cell>
          <cell r="B2947" t="str">
            <v>EXCELLO ESM BRIL VERDE AMAZONA</v>
          </cell>
          <cell r="C2947">
            <v>3</v>
          </cell>
          <cell r="D2947">
            <v>1095</v>
          </cell>
        </row>
        <row r="2948">
          <cell r="A2948" t="str">
            <v>B4GSA11-1/4</v>
          </cell>
          <cell r="B2948" t="str">
            <v>EXCELLO ESM BRIL VERDE AMAZONA</v>
          </cell>
          <cell r="C2948">
            <v>3</v>
          </cell>
          <cell r="D2948">
            <v>1095</v>
          </cell>
        </row>
        <row r="2949">
          <cell r="A2949" t="str">
            <v>B4GSA11-5</v>
          </cell>
          <cell r="B2949" t="str">
            <v>EXCELLO ESMALTE VERDE AMAZONAS</v>
          </cell>
          <cell r="C2949">
            <v>3</v>
          </cell>
          <cell r="D2949">
            <v>1095</v>
          </cell>
        </row>
        <row r="2950">
          <cell r="A2950" t="str">
            <v>B4GSA11-50</v>
          </cell>
          <cell r="B2950" t="str">
            <v>EXCELLO ESMALTE VERDE AMAZONAS</v>
          </cell>
          <cell r="C2950">
            <v>3</v>
          </cell>
          <cell r="D2950">
            <v>1095</v>
          </cell>
        </row>
        <row r="2951">
          <cell r="A2951" t="str">
            <v>B4GSA20</v>
          </cell>
          <cell r="B2951" t="str">
            <v>EXCELLO ESM DRIED THYME SW6186</v>
          </cell>
          <cell r="C2951">
            <v>3</v>
          </cell>
          <cell r="D2951">
            <v>1095</v>
          </cell>
        </row>
        <row r="2952">
          <cell r="A2952" t="str">
            <v>B4GSA20-1</v>
          </cell>
          <cell r="B2952" t="str">
            <v>EXCELLO ESM DRIED THYME SW6186</v>
          </cell>
          <cell r="C2952">
            <v>3</v>
          </cell>
          <cell r="D2952">
            <v>1095</v>
          </cell>
        </row>
        <row r="2953">
          <cell r="A2953" t="str">
            <v>B4GSA21</v>
          </cell>
          <cell r="B2953" t="str">
            <v xml:space="preserve">EXCELLO ESM AQUA CRISTALINO   </v>
          </cell>
          <cell r="C2953">
            <v>3</v>
          </cell>
          <cell r="D2953">
            <v>1095</v>
          </cell>
        </row>
        <row r="2954">
          <cell r="A2954" t="str">
            <v>B4GSA21-5</v>
          </cell>
          <cell r="B2954" t="str">
            <v xml:space="preserve">EXCELLO ESM AQUA CRISTALINO   </v>
          </cell>
          <cell r="C2954">
            <v>3</v>
          </cell>
          <cell r="D2954">
            <v>1095</v>
          </cell>
        </row>
        <row r="2955">
          <cell r="A2955" t="str">
            <v>B4GSA9</v>
          </cell>
          <cell r="B2955" t="str">
            <v>EXCELLO ESMALT BRIL VERDE AQUA</v>
          </cell>
          <cell r="C2955">
            <v>3</v>
          </cell>
          <cell r="D2955">
            <v>1095</v>
          </cell>
        </row>
        <row r="2956">
          <cell r="A2956" t="str">
            <v>B4GSA9-1</v>
          </cell>
          <cell r="B2956" t="str">
            <v>EXCELLO ESMALT BRIL VERDE AQUA</v>
          </cell>
          <cell r="C2956">
            <v>3</v>
          </cell>
          <cell r="D2956">
            <v>1095</v>
          </cell>
        </row>
        <row r="2957">
          <cell r="A2957" t="str">
            <v>B4GSA9-1/4</v>
          </cell>
          <cell r="B2957" t="str">
            <v>EXCELLO ESMALT BRIL VERDE AQUA</v>
          </cell>
          <cell r="C2957">
            <v>3</v>
          </cell>
          <cell r="D2957">
            <v>1095</v>
          </cell>
        </row>
        <row r="2958">
          <cell r="A2958" t="str">
            <v>B4GSA9-5</v>
          </cell>
          <cell r="B2958" t="str">
            <v xml:space="preserve">EXCELLO ESMALTE VERDE AQUA    </v>
          </cell>
          <cell r="C2958">
            <v>3</v>
          </cell>
          <cell r="D2958">
            <v>1095</v>
          </cell>
        </row>
        <row r="2959">
          <cell r="A2959" t="str">
            <v>B4H25</v>
          </cell>
          <cell r="B2959" t="str">
            <v>EXCELLO ESMA BRIL MARFILCONCHA</v>
          </cell>
          <cell r="C2959">
            <v>3</v>
          </cell>
          <cell r="D2959">
            <v>1095</v>
          </cell>
        </row>
        <row r="2960">
          <cell r="A2960" t="str">
            <v>B4H25-1</v>
          </cell>
          <cell r="B2960" t="str">
            <v>EXCELLO ESMA BRIL MARFILCONCHA</v>
          </cell>
          <cell r="C2960">
            <v>3</v>
          </cell>
          <cell r="D2960">
            <v>1095</v>
          </cell>
        </row>
        <row r="2961">
          <cell r="A2961" t="str">
            <v>B4H25-1/4</v>
          </cell>
          <cell r="B2961" t="str">
            <v>EXCELLO ESMA BRIL MARFILCONCHA</v>
          </cell>
          <cell r="C2961">
            <v>3</v>
          </cell>
          <cell r="D2961">
            <v>1095</v>
          </cell>
        </row>
        <row r="2962">
          <cell r="A2962" t="str">
            <v>B4H25-5</v>
          </cell>
          <cell r="B2962" t="str">
            <v xml:space="preserve">EXCELLO ESMALTE MARFIL CONCHA </v>
          </cell>
          <cell r="C2962">
            <v>3</v>
          </cell>
          <cell r="D2962">
            <v>1095</v>
          </cell>
        </row>
        <row r="2963">
          <cell r="A2963" t="str">
            <v>B4HSA15</v>
          </cell>
          <cell r="B2963" t="str">
            <v xml:space="preserve">EXCELLO ESM SATINA BRASIL NUT </v>
          </cell>
          <cell r="C2963">
            <v>3</v>
          </cell>
          <cell r="D2963">
            <v>1095</v>
          </cell>
        </row>
        <row r="2964">
          <cell r="A2964" t="str">
            <v>B4HSA15-5</v>
          </cell>
          <cell r="B2964" t="str">
            <v xml:space="preserve">EXCELLO ESM SATINA BRASIL NUT </v>
          </cell>
          <cell r="C2964">
            <v>3</v>
          </cell>
          <cell r="D2964">
            <v>1095</v>
          </cell>
        </row>
        <row r="2965">
          <cell r="A2965" t="str">
            <v>B4LSA10</v>
          </cell>
          <cell r="B2965" t="str">
            <v>EXCELLO ESMA BRIL AZUL BANDERA</v>
          </cell>
          <cell r="C2965">
            <v>3</v>
          </cell>
          <cell r="D2965">
            <v>1095</v>
          </cell>
        </row>
        <row r="2966">
          <cell r="A2966" t="str">
            <v>B4LSA10-1</v>
          </cell>
          <cell r="B2966" t="str">
            <v>EXCELLO ESMA BRIL AZUL BANDERA</v>
          </cell>
          <cell r="C2966">
            <v>3</v>
          </cell>
          <cell r="D2966">
            <v>1095</v>
          </cell>
        </row>
        <row r="2967">
          <cell r="A2967" t="str">
            <v>B4LSA10-1/4</v>
          </cell>
          <cell r="B2967" t="str">
            <v>EXCELLO ESMA BRIL AZUL BANDERA</v>
          </cell>
          <cell r="C2967">
            <v>3</v>
          </cell>
          <cell r="D2967">
            <v>1095</v>
          </cell>
        </row>
        <row r="2968">
          <cell r="A2968" t="str">
            <v>B4LSA10-5</v>
          </cell>
          <cell r="B2968" t="str">
            <v>EXCELLO ESMA BRIL AZUL BANDERA</v>
          </cell>
          <cell r="C2968">
            <v>3</v>
          </cell>
          <cell r="D2968">
            <v>1095</v>
          </cell>
        </row>
        <row r="2969">
          <cell r="A2969" t="str">
            <v>B4LSA14</v>
          </cell>
          <cell r="B2969" t="str">
            <v>EXCELLO ESM SEMIBTE AZUL FREUN</v>
          </cell>
          <cell r="C2969">
            <v>3</v>
          </cell>
          <cell r="D2969">
            <v>1095</v>
          </cell>
        </row>
        <row r="2970">
          <cell r="A2970" t="str">
            <v>B4LSA14-5</v>
          </cell>
          <cell r="B2970" t="str">
            <v>EXCELLO ESM SEMIBT AZUL FREUND</v>
          </cell>
          <cell r="C2970">
            <v>3</v>
          </cell>
          <cell r="D2970">
            <v>1095</v>
          </cell>
        </row>
        <row r="2971">
          <cell r="A2971" t="str">
            <v>B4LSA7</v>
          </cell>
          <cell r="B2971" t="str">
            <v>EXCELLO ESMA BRIL CELESTE NUBE</v>
          </cell>
          <cell r="C2971">
            <v>3</v>
          </cell>
          <cell r="D2971">
            <v>1095</v>
          </cell>
        </row>
        <row r="2972">
          <cell r="A2972" t="str">
            <v>B4LSA7-1</v>
          </cell>
          <cell r="B2972" t="str">
            <v>EXCELLO ESMA BRIL CELESTE NUBE</v>
          </cell>
          <cell r="C2972">
            <v>3</v>
          </cell>
          <cell r="D2972">
            <v>1095</v>
          </cell>
        </row>
        <row r="2973">
          <cell r="A2973" t="str">
            <v>B4LSA7-1/4</v>
          </cell>
          <cell r="B2973" t="str">
            <v>EXCELLO ESMA BRIL CELESTE NUBE</v>
          </cell>
          <cell r="C2973">
            <v>3</v>
          </cell>
          <cell r="D2973">
            <v>1095</v>
          </cell>
        </row>
        <row r="2974">
          <cell r="A2974" t="str">
            <v>B4LSA9</v>
          </cell>
          <cell r="B2974" t="str">
            <v>EXCELLO ESMALTE BRIL AZUL VIVO</v>
          </cell>
          <cell r="C2974">
            <v>3</v>
          </cell>
          <cell r="D2974">
            <v>1095</v>
          </cell>
        </row>
        <row r="2975">
          <cell r="A2975" t="str">
            <v>B4LSA9-1</v>
          </cell>
          <cell r="B2975" t="str">
            <v>EXCELLO ESMALTE BRIL AZUL VIVO</v>
          </cell>
          <cell r="C2975">
            <v>3</v>
          </cell>
          <cell r="D2975">
            <v>1095</v>
          </cell>
        </row>
        <row r="2976">
          <cell r="A2976" t="str">
            <v>B4LSA9-1/4</v>
          </cell>
          <cell r="B2976" t="str">
            <v>EXCELLO ESMALTE BRIL AZUL VIVO</v>
          </cell>
          <cell r="C2976">
            <v>3</v>
          </cell>
          <cell r="D2976">
            <v>1095</v>
          </cell>
        </row>
        <row r="2977">
          <cell r="A2977" t="str">
            <v>B4LSA9-50</v>
          </cell>
          <cell r="B2977" t="str">
            <v xml:space="preserve">EXCELLO ESMALTE AZUL VIVO     </v>
          </cell>
          <cell r="C2977">
            <v>3</v>
          </cell>
          <cell r="D2977">
            <v>1095</v>
          </cell>
        </row>
        <row r="2978">
          <cell r="A2978" t="str">
            <v>B4NSA1</v>
          </cell>
          <cell r="B2978" t="str">
            <v>EXCELLO ESMAL BRIL BEIGE SUAVE</v>
          </cell>
          <cell r="C2978">
            <v>3</v>
          </cell>
          <cell r="D2978">
            <v>1095</v>
          </cell>
        </row>
        <row r="2979">
          <cell r="A2979" t="str">
            <v>B4NSA1-1</v>
          </cell>
          <cell r="B2979" t="str">
            <v>EXCELLO ESMAL BRIL BEIGE SUAVE</v>
          </cell>
          <cell r="C2979">
            <v>3</v>
          </cell>
          <cell r="D2979">
            <v>1095</v>
          </cell>
        </row>
        <row r="2980">
          <cell r="A2980" t="str">
            <v>B4NSA1-1/4</v>
          </cell>
          <cell r="B2980" t="str">
            <v>EXCELLO ESMAL BRIL BEIGE SUAVE</v>
          </cell>
          <cell r="C2980">
            <v>3</v>
          </cell>
          <cell r="D2980">
            <v>1095</v>
          </cell>
        </row>
        <row r="2981">
          <cell r="A2981" t="str">
            <v>B4NSA1-5</v>
          </cell>
          <cell r="B2981" t="str">
            <v xml:space="preserve">EXCELLO ESMALTE BEIGE SUAVE   </v>
          </cell>
          <cell r="C2981">
            <v>3</v>
          </cell>
          <cell r="D2981">
            <v>1095</v>
          </cell>
        </row>
        <row r="2982">
          <cell r="A2982" t="str">
            <v>B4NSA7</v>
          </cell>
          <cell r="B2982" t="str">
            <v>EXCELLO ESMA BRIL CAFEPROFUNDO</v>
          </cell>
          <cell r="C2982">
            <v>3</v>
          </cell>
          <cell r="D2982">
            <v>1095</v>
          </cell>
        </row>
        <row r="2983">
          <cell r="A2983" t="str">
            <v>B4NSA7-1</v>
          </cell>
          <cell r="B2983" t="str">
            <v>EXCELLO ESM BRIL CAFÉ PROFUNDO</v>
          </cell>
          <cell r="C2983">
            <v>3</v>
          </cell>
          <cell r="D2983">
            <v>1095</v>
          </cell>
        </row>
        <row r="2984">
          <cell r="A2984" t="str">
            <v>B4NSA7-1/4</v>
          </cell>
          <cell r="B2984" t="str">
            <v>EXCELLO ESM BRIL CAFÉ PROFUNDO</v>
          </cell>
          <cell r="C2984">
            <v>3</v>
          </cell>
          <cell r="D2984">
            <v>1095</v>
          </cell>
        </row>
        <row r="2985">
          <cell r="A2985" t="str">
            <v>B4NSA7-5</v>
          </cell>
          <cell r="B2985" t="str">
            <v xml:space="preserve">EXCELLO ESMALTE CAFE PROFUNDO </v>
          </cell>
          <cell r="C2985">
            <v>3</v>
          </cell>
          <cell r="D2985">
            <v>1095</v>
          </cell>
        </row>
        <row r="2986">
          <cell r="A2986" t="str">
            <v>B4RSA6</v>
          </cell>
          <cell r="B2986" t="str">
            <v>EXCELLO ESMALTE BRIL ROJO VIVO</v>
          </cell>
          <cell r="C2986">
            <v>3</v>
          </cell>
          <cell r="D2986">
            <v>1095</v>
          </cell>
        </row>
        <row r="2987">
          <cell r="A2987" t="str">
            <v>B4RSA6-1</v>
          </cell>
          <cell r="B2987" t="str">
            <v>EXCELLO ESMALTE BRIL ROJO VIVO</v>
          </cell>
          <cell r="C2987">
            <v>3</v>
          </cell>
          <cell r="D2987">
            <v>1095</v>
          </cell>
        </row>
        <row r="2988">
          <cell r="A2988" t="str">
            <v>B4RSA6-1/4</v>
          </cell>
          <cell r="B2988" t="str">
            <v>EXCELLO ESMALTE BRIL ROJO VIVO</v>
          </cell>
          <cell r="C2988">
            <v>3</v>
          </cell>
          <cell r="D2988">
            <v>1095</v>
          </cell>
        </row>
        <row r="2989">
          <cell r="A2989" t="str">
            <v>B4RSA6-5</v>
          </cell>
          <cell r="B2989" t="str">
            <v xml:space="preserve">EXCELLO ESMALTE ROJO VIVO     </v>
          </cell>
          <cell r="C2989">
            <v>3</v>
          </cell>
          <cell r="D2989">
            <v>1095</v>
          </cell>
        </row>
        <row r="2990">
          <cell r="A2990" t="str">
            <v>B4RSA8</v>
          </cell>
          <cell r="B2990" t="str">
            <v>EXCELLO ESMA BRIL ROSADO RUBOR</v>
          </cell>
          <cell r="C2990">
            <v>3</v>
          </cell>
          <cell r="D2990">
            <v>1095</v>
          </cell>
        </row>
        <row r="2991">
          <cell r="A2991" t="str">
            <v>B4RSA8-1</v>
          </cell>
          <cell r="B2991" t="str">
            <v>EXCELLO ESMA BRIL ROSADO RUBOR</v>
          </cell>
          <cell r="C2991">
            <v>3</v>
          </cell>
          <cell r="D2991">
            <v>1095</v>
          </cell>
        </row>
        <row r="2992">
          <cell r="A2992" t="str">
            <v>B4RSA8-1/4</v>
          </cell>
          <cell r="B2992" t="str">
            <v>EXCELLO ESMA BRIL ROSADO RUBOR</v>
          </cell>
          <cell r="C2992">
            <v>3</v>
          </cell>
          <cell r="D2992">
            <v>1095</v>
          </cell>
        </row>
        <row r="2993">
          <cell r="A2993" t="str">
            <v>B4SSA1</v>
          </cell>
          <cell r="B2993" t="str">
            <v>EXCELLO ESMALTE BRILL ALUMINIO</v>
          </cell>
          <cell r="C2993">
            <v>3</v>
          </cell>
          <cell r="D2993">
            <v>1095</v>
          </cell>
        </row>
        <row r="2994">
          <cell r="A2994" t="str">
            <v>B4SSA1-1</v>
          </cell>
          <cell r="B2994" t="str">
            <v>EXCELLO ESMALTE BRILL ALUMINIO</v>
          </cell>
          <cell r="C2994">
            <v>3</v>
          </cell>
          <cell r="D2994">
            <v>1095</v>
          </cell>
        </row>
        <row r="2995">
          <cell r="A2995" t="str">
            <v>B4SSA1-1/4</v>
          </cell>
          <cell r="B2995" t="str">
            <v>EXCELLO ESMALTE BRILL ALUMINIO</v>
          </cell>
          <cell r="C2995">
            <v>3</v>
          </cell>
          <cell r="D2995">
            <v>1095</v>
          </cell>
        </row>
        <row r="2996">
          <cell r="A2996" t="str">
            <v>B4SSA1-5</v>
          </cell>
          <cell r="B2996" t="str">
            <v xml:space="preserve">EXCELLO ESMALTE ALUMINIO      </v>
          </cell>
          <cell r="C2996">
            <v>3</v>
          </cell>
          <cell r="D2996">
            <v>1095</v>
          </cell>
        </row>
        <row r="2997">
          <cell r="A2997" t="str">
            <v>B4W56</v>
          </cell>
          <cell r="B2997" t="str">
            <v>EXCELLO ESMALTE BRILLAN BLANCO</v>
          </cell>
          <cell r="C2997">
            <v>3</v>
          </cell>
          <cell r="D2997">
            <v>1095</v>
          </cell>
        </row>
        <row r="2998">
          <cell r="A2998" t="str">
            <v>B4W56-1</v>
          </cell>
          <cell r="B2998" t="str">
            <v>EXCELLO ESMALTE BRILLAN BLANCO</v>
          </cell>
          <cell r="C2998">
            <v>3</v>
          </cell>
          <cell r="D2998">
            <v>1095</v>
          </cell>
        </row>
        <row r="2999">
          <cell r="A2999" t="str">
            <v>B4W56-1/4</v>
          </cell>
          <cell r="B2999" t="str">
            <v>EXCELLO ESMALTE BRILLAN BLANCO</v>
          </cell>
          <cell r="C2999">
            <v>3</v>
          </cell>
          <cell r="D2999">
            <v>1095</v>
          </cell>
        </row>
        <row r="3000">
          <cell r="A3000" t="str">
            <v>B4W56-5</v>
          </cell>
          <cell r="B3000" t="str">
            <v>EXCELLO ESMALTE BRILLAN BLANCO</v>
          </cell>
          <cell r="C3000">
            <v>3</v>
          </cell>
          <cell r="D3000">
            <v>1095</v>
          </cell>
        </row>
        <row r="3001">
          <cell r="A3001" t="str">
            <v>B4W56-50</v>
          </cell>
          <cell r="B3001" t="str">
            <v xml:space="preserve">EXCELLO ESMALTE BLANCO        </v>
          </cell>
          <cell r="C3001">
            <v>3</v>
          </cell>
          <cell r="D3001">
            <v>1095</v>
          </cell>
        </row>
        <row r="3002">
          <cell r="A3002" t="str">
            <v>B4WSA10</v>
          </cell>
          <cell r="B3002" t="str">
            <v>EXCE ESM BRIL BLAN ANT ESPANOL</v>
          </cell>
          <cell r="C3002">
            <v>3</v>
          </cell>
          <cell r="D3002">
            <v>1095</v>
          </cell>
        </row>
        <row r="3003">
          <cell r="A3003" t="str">
            <v>B4WSA10-1</v>
          </cell>
          <cell r="B3003" t="str">
            <v>EXCE ESM BRIL BLAN ANT ESPANOL</v>
          </cell>
          <cell r="C3003">
            <v>3</v>
          </cell>
          <cell r="D3003">
            <v>1095</v>
          </cell>
        </row>
        <row r="3004">
          <cell r="A3004" t="str">
            <v>B4WSA10-1/4</v>
          </cell>
          <cell r="B3004" t="str">
            <v>EXCE ESM BRIL BLAN ANT ESPANOL</v>
          </cell>
          <cell r="C3004">
            <v>3</v>
          </cell>
          <cell r="D3004">
            <v>1095</v>
          </cell>
        </row>
        <row r="3005">
          <cell r="A3005" t="str">
            <v>B4WSA15</v>
          </cell>
          <cell r="B3005" t="str">
            <v>EXCELLO ESM SATIN BLANC SW6126</v>
          </cell>
          <cell r="C3005">
            <v>3</v>
          </cell>
          <cell r="D3005">
            <v>1095</v>
          </cell>
        </row>
        <row r="3006">
          <cell r="A3006" t="str">
            <v>B4WSA15-1</v>
          </cell>
          <cell r="B3006" t="str">
            <v>EXCELLO ESM SATIN BLANC SW6126</v>
          </cell>
          <cell r="C3006">
            <v>3</v>
          </cell>
          <cell r="D3006">
            <v>1095</v>
          </cell>
        </row>
        <row r="3007">
          <cell r="A3007" t="str">
            <v>B4WSA15-5</v>
          </cell>
          <cell r="B3007" t="str">
            <v>EXCELLO ESM SATIN BLANC SW6126</v>
          </cell>
          <cell r="C3007">
            <v>3</v>
          </cell>
          <cell r="D3007">
            <v>1095</v>
          </cell>
        </row>
        <row r="3008">
          <cell r="A3008" t="str">
            <v>B4WSA16</v>
          </cell>
          <cell r="B3008" t="str">
            <v xml:space="preserve">EXCELLO ESM BLANCO LILA UES   </v>
          </cell>
          <cell r="C3008">
            <v>3</v>
          </cell>
          <cell r="D3008">
            <v>1095</v>
          </cell>
        </row>
        <row r="3009">
          <cell r="A3009" t="str">
            <v>B4WSA16-5</v>
          </cell>
          <cell r="B3009" t="str">
            <v xml:space="preserve">EXCELLO ESM BLANCO LILA UES   </v>
          </cell>
          <cell r="C3009">
            <v>3</v>
          </cell>
          <cell r="D3009">
            <v>1095</v>
          </cell>
        </row>
        <row r="3010">
          <cell r="A3010" t="str">
            <v>B4WSA2</v>
          </cell>
          <cell r="B3010" t="str">
            <v>EXCELLO ESMA BRIL BLANCO HUESO</v>
          </cell>
          <cell r="C3010">
            <v>3</v>
          </cell>
          <cell r="D3010">
            <v>1095</v>
          </cell>
        </row>
        <row r="3011">
          <cell r="A3011" t="str">
            <v>B4WSA2-1</v>
          </cell>
          <cell r="B3011" t="str">
            <v>EXCELLO ESMA BRIL BLANCO HUESO</v>
          </cell>
          <cell r="C3011">
            <v>3</v>
          </cell>
          <cell r="D3011">
            <v>1095</v>
          </cell>
        </row>
        <row r="3012">
          <cell r="A3012" t="str">
            <v>B4WSA2-1/4</v>
          </cell>
          <cell r="B3012" t="str">
            <v>EXCELLO ESMA BRIL BLANCO HUESO</v>
          </cell>
          <cell r="C3012">
            <v>3</v>
          </cell>
          <cell r="D3012">
            <v>1095</v>
          </cell>
        </row>
        <row r="3013">
          <cell r="A3013" t="str">
            <v>B4WSA2-5</v>
          </cell>
          <cell r="B3013" t="str">
            <v>EXCELLO ESMA BRIL BLANCO HUESO</v>
          </cell>
          <cell r="C3013">
            <v>3</v>
          </cell>
          <cell r="D3013">
            <v>1095</v>
          </cell>
        </row>
        <row r="3014">
          <cell r="A3014" t="str">
            <v>B4WSA7</v>
          </cell>
          <cell r="B3014" t="str">
            <v xml:space="preserve">EXCELLO ESMALTE BLANCO MATE   </v>
          </cell>
          <cell r="C3014">
            <v>3</v>
          </cell>
          <cell r="D3014">
            <v>1095</v>
          </cell>
        </row>
        <row r="3015">
          <cell r="A3015" t="str">
            <v>B4WSA7-1</v>
          </cell>
          <cell r="B3015" t="str">
            <v xml:space="preserve">EXCELLO ESMALTE BLANCO MATE   </v>
          </cell>
          <cell r="C3015">
            <v>3</v>
          </cell>
          <cell r="D3015">
            <v>1095</v>
          </cell>
        </row>
        <row r="3016">
          <cell r="A3016" t="str">
            <v>B4WSA7-1/4</v>
          </cell>
          <cell r="B3016" t="str">
            <v xml:space="preserve">EXCELLO ESMALTE BLANCO MATE   </v>
          </cell>
          <cell r="C3016">
            <v>3</v>
          </cell>
          <cell r="D3016">
            <v>1095</v>
          </cell>
        </row>
        <row r="3017">
          <cell r="A3017" t="str">
            <v>B4WSA7-5</v>
          </cell>
          <cell r="B3017" t="str">
            <v xml:space="preserve">EXCELLO ESMALTE BLANCO MATE   </v>
          </cell>
          <cell r="C3017">
            <v>3</v>
          </cell>
          <cell r="D3017">
            <v>1095</v>
          </cell>
        </row>
        <row r="3018">
          <cell r="A3018" t="str">
            <v>B4YSA10</v>
          </cell>
          <cell r="B3018" t="str">
            <v>EXCELLO ESMALT BRILLA AMARILLO</v>
          </cell>
          <cell r="C3018">
            <v>3</v>
          </cell>
          <cell r="D3018">
            <v>1095</v>
          </cell>
        </row>
        <row r="3019">
          <cell r="A3019" t="str">
            <v>B4YSA10-1</v>
          </cell>
          <cell r="B3019" t="str">
            <v>EXCELLO ESMALT BRILLA AMARILLO</v>
          </cell>
          <cell r="C3019">
            <v>3</v>
          </cell>
          <cell r="D3019">
            <v>1095</v>
          </cell>
        </row>
        <row r="3020">
          <cell r="A3020" t="str">
            <v>B4YSA10-1/4</v>
          </cell>
          <cell r="B3020" t="str">
            <v>EXCELLO ESMALT BRILLA AMARILLO</v>
          </cell>
          <cell r="C3020">
            <v>3</v>
          </cell>
          <cell r="D3020">
            <v>1095</v>
          </cell>
        </row>
        <row r="3021">
          <cell r="A3021" t="str">
            <v>B4YSA10-5</v>
          </cell>
          <cell r="B3021" t="str">
            <v xml:space="preserve">EXCELLO ESMALTE AMARILLO      </v>
          </cell>
          <cell r="C3021">
            <v>3</v>
          </cell>
          <cell r="D3021">
            <v>1095</v>
          </cell>
        </row>
        <row r="3022">
          <cell r="A3022" t="str">
            <v>B4YSA19</v>
          </cell>
          <cell r="B3022" t="str">
            <v>EXCELLO ESM BRTE AMARI SW-6678</v>
          </cell>
          <cell r="C3022">
            <v>3</v>
          </cell>
          <cell r="D3022">
            <v>1095</v>
          </cell>
        </row>
        <row r="3023">
          <cell r="A3023" t="str">
            <v>B4YSA19-5</v>
          </cell>
          <cell r="B3023" t="str">
            <v>EXCELLO ESM BRTE AMARI SW-6678</v>
          </cell>
          <cell r="C3023">
            <v>3</v>
          </cell>
          <cell r="D3023">
            <v>1095</v>
          </cell>
        </row>
        <row r="3024">
          <cell r="A3024" t="str">
            <v>B50A1A-1</v>
          </cell>
          <cell r="B3024" t="str">
            <v>GALVANIZED IRON PRIMER PARTE A</v>
          </cell>
          <cell r="C3024">
            <v>3</v>
          </cell>
          <cell r="D3024">
            <v>1095</v>
          </cell>
        </row>
        <row r="3025">
          <cell r="A3025" t="str">
            <v>B50NZ6</v>
          </cell>
          <cell r="B3025" t="str">
            <v xml:space="preserve">KEM KROMIK UNIVERSAL PRIMER   </v>
          </cell>
          <cell r="C3025">
            <v>3</v>
          </cell>
          <cell r="D3025">
            <v>1095</v>
          </cell>
        </row>
        <row r="3026">
          <cell r="A3026" t="str">
            <v>B50NZ6-1</v>
          </cell>
          <cell r="B3026" t="str">
            <v xml:space="preserve">KEM KROMIK UNIVERSAL PRIMER   </v>
          </cell>
          <cell r="C3026">
            <v>3</v>
          </cell>
          <cell r="D3026">
            <v>1095</v>
          </cell>
        </row>
        <row r="3027">
          <cell r="A3027" t="str">
            <v>B50NZ6-5</v>
          </cell>
          <cell r="B3027" t="str">
            <v xml:space="preserve">KEM KROMIK UNIVERSAL PRIMER   </v>
          </cell>
          <cell r="C3027">
            <v>3</v>
          </cell>
          <cell r="D3027">
            <v>1095</v>
          </cell>
        </row>
        <row r="3028">
          <cell r="A3028" t="str">
            <v>B58B600-1</v>
          </cell>
          <cell r="B3028" t="str">
            <v xml:space="preserve">MACROPOXY 646 FAST CURE       </v>
          </cell>
          <cell r="C3028">
            <v>3</v>
          </cell>
          <cell r="D3028">
            <v>1095</v>
          </cell>
        </row>
        <row r="3029">
          <cell r="A3029" t="str">
            <v>B58V600-1</v>
          </cell>
          <cell r="B3029" t="str">
            <v xml:space="preserve">MACROPOXY 646 FAST CURE       </v>
          </cell>
          <cell r="C3029">
            <v>3</v>
          </cell>
          <cell r="D3029">
            <v>1095</v>
          </cell>
        </row>
        <row r="3030">
          <cell r="A3030" t="str">
            <v>B5A36</v>
          </cell>
          <cell r="B3030" t="str">
            <v xml:space="preserve">EXCELLO LATEX MATE GRIS PERLA </v>
          </cell>
          <cell r="C3030">
            <v>3</v>
          </cell>
          <cell r="D3030">
            <v>1095</v>
          </cell>
        </row>
        <row r="3031">
          <cell r="A3031" t="str">
            <v>B5A36-1</v>
          </cell>
          <cell r="B3031" t="str">
            <v xml:space="preserve">EXCELLO LATEX MATE GRIS PERLA </v>
          </cell>
          <cell r="C3031">
            <v>3</v>
          </cell>
          <cell r="D3031">
            <v>1095</v>
          </cell>
        </row>
        <row r="3032">
          <cell r="A3032" t="str">
            <v>B5A36-1/4</v>
          </cell>
          <cell r="B3032" t="str">
            <v xml:space="preserve">EXCELLO LATEX MATE GRIS PERLA </v>
          </cell>
          <cell r="C3032">
            <v>3</v>
          </cell>
          <cell r="D3032">
            <v>1095</v>
          </cell>
        </row>
        <row r="3033">
          <cell r="A3033" t="str">
            <v>B5A36-5</v>
          </cell>
          <cell r="B3033" t="str">
            <v xml:space="preserve">EXCELLO LATEX MATE GRIS PERLA </v>
          </cell>
          <cell r="C3033">
            <v>3</v>
          </cell>
          <cell r="D3033">
            <v>1095</v>
          </cell>
        </row>
        <row r="3034">
          <cell r="A3034" t="str">
            <v>B5ASA14</v>
          </cell>
          <cell r="B3034" t="str">
            <v>EXCELLO LAT SATIN BLANC SW1011</v>
          </cell>
          <cell r="C3034">
            <v>3</v>
          </cell>
          <cell r="D3034">
            <v>1095</v>
          </cell>
        </row>
        <row r="3035">
          <cell r="A3035" t="str">
            <v>B5ASA14-5</v>
          </cell>
          <cell r="B3035" t="str">
            <v>EXCELLO LAT SATIN BLANC SW1011</v>
          </cell>
          <cell r="C3035">
            <v>3</v>
          </cell>
          <cell r="D3035">
            <v>1095</v>
          </cell>
        </row>
        <row r="3036">
          <cell r="A3036" t="str">
            <v>B5ASA18</v>
          </cell>
          <cell r="B3036" t="str">
            <v>EXCELLO LAT GRIS CLARO SW-1262</v>
          </cell>
          <cell r="C3036">
            <v>3</v>
          </cell>
          <cell r="D3036">
            <v>1095</v>
          </cell>
        </row>
        <row r="3037">
          <cell r="A3037" t="str">
            <v>B5ASA18-5</v>
          </cell>
          <cell r="B3037" t="str">
            <v>EXCELLO LAT GRIS CLARO SW-1262</v>
          </cell>
          <cell r="C3037">
            <v>3</v>
          </cell>
          <cell r="D3037">
            <v>1095</v>
          </cell>
        </row>
        <row r="3038">
          <cell r="A3038" t="str">
            <v>B5ASA20-AE</v>
          </cell>
          <cell r="B3038" t="str">
            <v xml:space="preserve">EXCELLO LAT MATE GRIS SW 6198 </v>
          </cell>
          <cell r="C3038">
            <v>3</v>
          </cell>
          <cell r="D3038">
            <v>1095</v>
          </cell>
        </row>
        <row r="3039">
          <cell r="A3039" t="str">
            <v>B5ASA20AE-5</v>
          </cell>
          <cell r="B3039" t="str">
            <v xml:space="preserve">EXCELLO LAT MATE GRIS SW 6198 </v>
          </cell>
          <cell r="C3039">
            <v>3</v>
          </cell>
          <cell r="D3039">
            <v>1095</v>
          </cell>
        </row>
        <row r="3040">
          <cell r="A3040" t="str">
            <v>B5ASA22</v>
          </cell>
          <cell r="B3040" t="str">
            <v xml:space="preserve">EXCELLO LAT MATE GRIS SW6001  </v>
          </cell>
          <cell r="C3040">
            <v>3</v>
          </cell>
          <cell r="D3040">
            <v>1095</v>
          </cell>
        </row>
        <row r="3041">
          <cell r="A3041" t="str">
            <v>B5ASA22-1</v>
          </cell>
          <cell r="B3041" t="str">
            <v xml:space="preserve">EXCELLO LAT MATE GRIS SW6001  </v>
          </cell>
          <cell r="C3041">
            <v>3</v>
          </cell>
          <cell r="D3041">
            <v>1095</v>
          </cell>
        </row>
        <row r="3042">
          <cell r="A3042" t="str">
            <v>B5ASA22-5</v>
          </cell>
          <cell r="B3042" t="str">
            <v xml:space="preserve">EXCELLO LAT MATE GRIS SW6001  </v>
          </cell>
          <cell r="C3042">
            <v>3</v>
          </cell>
          <cell r="D3042">
            <v>1095</v>
          </cell>
        </row>
        <row r="3043">
          <cell r="A3043" t="str">
            <v>B5ASA24-AE</v>
          </cell>
          <cell r="B3043" t="str">
            <v xml:space="preserve">EXCELLO LAT MATE GRAY SW 6169 </v>
          </cell>
          <cell r="C3043">
            <v>3</v>
          </cell>
          <cell r="D3043">
            <v>1095</v>
          </cell>
        </row>
        <row r="3044">
          <cell r="A3044" t="str">
            <v>B5ASA24AE-5</v>
          </cell>
          <cell r="B3044" t="str">
            <v xml:space="preserve">EXCELLO LAT MATE GRAY SW 6169 </v>
          </cell>
          <cell r="C3044">
            <v>3</v>
          </cell>
          <cell r="D3044">
            <v>1095</v>
          </cell>
        </row>
        <row r="3045">
          <cell r="A3045" t="str">
            <v>B5ASA25</v>
          </cell>
          <cell r="B3045" t="str">
            <v xml:space="preserve">EXCELLO LATEX MATE GRIS CEL   </v>
          </cell>
          <cell r="C3045">
            <v>3</v>
          </cell>
          <cell r="D3045">
            <v>1095</v>
          </cell>
        </row>
        <row r="3046">
          <cell r="A3046" t="str">
            <v>B5ASA25-1</v>
          </cell>
          <cell r="B3046" t="str">
            <v xml:space="preserve">EXCELLO LATEX MATE GRIS CEL   </v>
          </cell>
          <cell r="C3046">
            <v>3</v>
          </cell>
          <cell r="D3046">
            <v>1095</v>
          </cell>
        </row>
        <row r="3047">
          <cell r="A3047" t="str">
            <v>B5ASA26</v>
          </cell>
          <cell r="B3047" t="str">
            <v xml:space="preserve">EXCELLO LATEX MATE GRIS CLARO </v>
          </cell>
          <cell r="C3047">
            <v>3</v>
          </cell>
          <cell r="D3047">
            <v>1095</v>
          </cell>
        </row>
        <row r="3048">
          <cell r="A3048" t="str">
            <v>B5ASA26-5</v>
          </cell>
          <cell r="B3048" t="str">
            <v xml:space="preserve">EXCELLO LATEX MATE GRIS CLARO </v>
          </cell>
          <cell r="C3048">
            <v>3</v>
          </cell>
          <cell r="D3048">
            <v>1095</v>
          </cell>
        </row>
        <row r="3049">
          <cell r="A3049" t="str">
            <v>B5ASA27</v>
          </cell>
          <cell r="B3049" t="str">
            <v>EXCELLO LATEX MATE GRIS OSCURO</v>
          </cell>
          <cell r="C3049">
            <v>3</v>
          </cell>
          <cell r="D3049">
            <v>1095</v>
          </cell>
        </row>
        <row r="3050">
          <cell r="A3050" t="str">
            <v>B5ASA27-5</v>
          </cell>
          <cell r="B3050" t="str">
            <v>EXCELLO LATEX MATE GRIS OSCURO</v>
          </cell>
          <cell r="C3050">
            <v>3</v>
          </cell>
          <cell r="D3050">
            <v>1095</v>
          </cell>
        </row>
        <row r="3051">
          <cell r="A3051" t="str">
            <v>B5ASA8</v>
          </cell>
          <cell r="B3051" t="str">
            <v xml:space="preserve">EXCELLO LATEX ZODIAC GREY     </v>
          </cell>
          <cell r="C3051">
            <v>3</v>
          </cell>
          <cell r="D3051">
            <v>1095</v>
          </cell>
        </row>
        <row r="3052">
          <cell r="A3052" t="str">
            <v>B5ASA8-1</v>
          </cell>
          <cell r="B3052" t="str">
            <v xml:space="preserve">EXCELLO LATEX ZODIAC GREY     </v>
          </cell>
          <cell r="C3052">
            <v>3</v>
          </cell>
          <cell r="D3052">
            <v>1095</v>
          </cell>
        </row>
        <row r="3053">
          <cell r="A3053" t="str">
            <v>B5ASA8-5</v>
          </cell>
          <cell r="B3053" t="str">
            <v xml:space="preserve">EXCELLO LATEX ZODIAC GREY     </v>
          </cell>
          <cell r="C3053">
            <v>3</v>
          </cell>
          <cell r="D3053">
            <v>1095</v>
          </cell>
        </row>
        <row r="3054">
          <cell r="A3054" t="str">
            <v>B5ASA9</v>
          </cell>
          <cell r="B3054" t="str">
            <v xml:space="preserve">EXCELLO LATEX SNOWFIELD       </v>
          </cell>
          <cell r="C3054">
            <v>3</v>
          </cell>
          <cell r="D3054">
            <v>1095</v>
          </cell>
        </row>
        <row r="3055">
          <cell r="A3055" t="str">
            <v>B5ASA9-1</v>
          </cell>
          <cell r="B3055" t="str">
            <v xml:space="preserve">EXCELLO LATEX SNOWFIELD       </v>
          </cell>
          <cell r="C3055">
            <v>3</v>
          </cell>
          <cell r="D3055">
            <v>1095</v>
          </cell>
        </row>
        <row r="3056">
          <cell r="A3056" t="str">
            <v>B5ASA9-5</v>
          </cell>
          <cell r="B3056" t="str">
            <v xml:space="preserve">EXCELLO LATEX SNOWFIELD       </v>
          </cell>
          <cell r="C3056">
            <v>3</v>
          </cell>
          <cell r="D3056">
            <v>1095</v>
          </cell>
        </row>
        <row r="3057">
          <cell r="A3057" t="str">
            <v>B5BSA1</v>
          </cell>
          <cell r="B3057" t="str">
            <v xml:space="preserve">EXCELLO LATEX MATE NEGRO      </v>
          </cell>
          <cell r="C3057">
            <v>3</v>
          </cell>
          <cell r="D3057">
            <v>1095</v>
          </cell>
        </row>
        <row r="3058">
          <cell r="A3058" t="str">
            <v>B5BSA1-1</v>
          </cell>
          <cell r="B3058" t="str">
            <v xml:space="preserve">EXCELLO LATEX MATE NEGRO      </v>
          </cell>
          <cell r="C3058">
            <v>3</v>
          </cell>
          <cell r="D3058">
            <v>1095</v>
          </cell>
        </row>
        <row r="3059">
          <cell r="A3059" t="str">
            <v>B5BSA1-1/4</v>
          </cell>
          <cell r="B3059" t="str">
            <v xml:space="preserve">EXCELLO LATEX MATE NEGRO      </v>
          </cell>
          <cell r="C3059">
            <v>3</v>
          </cell>
          <cell r="D3059">
            <v>1095</v>
          </cell>
        </row>
        <row r="3060">
          <cell r="A3060" t="str">
            <v>B5BSA1-5</v>
          </cell>
          <cell r="B3060" t="str">
            <v xml:space="preserve">EXCELLO LATEX NEGRO           </v>
          </cell>
          <cell r="C3060">
            <v>3</v>
          </cell>
          <cell r="D3060">
            <v>1095</v>
          </cell>
        </row>
        <row r="3061">
          <cell r="A3061" t="str">
            <v>B5BSA1-BC</v>
          </cell>
          <cell r="B3061" t="str">
            <v xml:space="preserve">EXCELLO LATEX NEGRO-BC 0      </v>
          </cell>
          <cell r="C3061">
            <v>3</v>
          </cell>
          <cell r="D3061">
            <v>1095</v>
          </cell>
        </row>
        <row r="3062">
          <cell r="A3062" t="str">
            <v>B5BSA1BC-5</v>
          </cell>
          <cell r="B3062" t="str">
            <v xml:space="preserve">EXCELLO LATEX NEGRO-BC        </v>
          </cell>
          <cell r="C3062">
            <v>3</v>
          </cell>
          <cell r="D3062">
            <v>1095</v>
          </cell>
        </row>
        <row r="3063">
          <cell r="A3063" t="str">
            <v>B5ESA11</v>
          </cell>
          <cell r="B3063" t="str">
            <v xml:space="preserve">EXCELLO LATEX MELON           </v>
          </cell>
          <cell r="C3063">
            <v>3</v>
          </cell>
          <cell r="D3063">
            <v>1095</v>
          </cell>
        </row>
        <row r="3064">
          <cell r="A3064" t="str">
            <v>B5ESA11-1</v>
          </cell>
          <cell r="B3064" t="str">
            <v xml:space="preserve">EXCELLO LATEX MELON           </v>
          </cell>
          <cell r="C3064">
            <v>3</v>
          </cell>
          <cell r="D3064">
            <v>1095</v>
          </cell>
        </row>
        <row r="3065">
          <cell r="A3065" t="str">
            <v>B5ESA11-1/4</v>
          </cell>
          <cell r="B3065" t="str">
            <v xml:space="preserve">EXCELLO LATEX MELON           </v>
          </cell>
          <cell r="C3065">
            <v>3</v>
          </cell>
          <cell r="D3065">
            <v>1095</v>
          </cell>
        </row>
        <row r="3066">
          <cell r="A3066" t="str">
            <v>B5ESA11-5</v>
          </cell>
          <cell r="B3066" t="str">
            <v xml:space="preserve">EXCELLO LATEX MELON           </v>
          </cell>
          <cell r="C3066">
            <v>3</v>
          </cell>
          <cell r="D3066">
            <v>1095</v>
          </cell>
        </row>
        <row r="3067">
          <cell r="A3067" t="str">
            <v>B5ESA17</v>
          </cell>
          <cell r="B3067" t="str">
            <v xml:space="preserve">CT INT LATEX SATIN MANDARINA  </v>
          </cell>
          <cell r="C3067">
            <v>3</v>
          </cell>
          <cell r="D3067">
            <v>1095</v>
          </cell>
        </row>
        <row r="3068">
          <cell r="A3068" t="str">
            <v>B5ESA17-1</v>
          </cell>
          <cell r="B3068" t="str">
            <v xml:space="preserve">CT INT LATEX SATIN MANDARINA  </v>
          </cell>
          <cell r="C3068">
            <v>3</v>
          </cell>
          <cell r="D3068">
            <v>1095</v>
          </cell>
        </row>
        <row r="3069">
          <cell r="A3069" t="str">
            <v>B5ESA17-1/4</v>
          </cell>
          <cell r="B3069" t="str">
            <v xml:space="preserve">CT INT LATEX SATIN MANDARINA  </v>
          </cell>
          <cell r="C3069">
            <v>3</v>
          </cell>
          <cell r="D3069">
            <v>1095</v>
          </cell>
        </row>
        <row r="3070">
          <cell r="A3070" t="str">
            <v>B5ESA18</v>
          </cell>
          <cell r="B3070" t="str">
            <v>EXCELLO LAT SATIN PANTONE 021C</v>
          </cell>
          <cell r="C3070">
            <v>3</v>
          </cell>
          <cell r="D3070">
            <v>1095</v>
          </cell>
        </row>
        <row r="3071">
          <cell r="A3071" t="str">
            <v>B5ESA18-1</v>
          </cell>
          <cell r="B3071" t="str">
            <v>EXCELLO LAT SATIN PANTONE 021C</v>
          </cell>
          <cell r="C3071">
            <v>3</v>
          </cell>
          <cell r="D3071">
            <v>1095</v>
          </cell>
        </row>
        <row r="3072">
          <cell r="A3072" t="str">
            <v>B5ESA24</v>
          </cell>
          <cell r="B3072" t="str">
            <v xml:space="preserve">EXCELLO LATEX MATE NARANJA    </v>
          </cell>
          <cell r="C3072">
            <v>3</v>
          </cell>
          <cell r="D3072">
            <v>1095</v>
          </cell>
        </row>
        <row r="3073">
          <cell r="A3073" t="str">
            <v>B5ESA24-1</v>
          </cell>
          <cell r="B3073" t="str">
            <v xml:space="preserve">EXCELLO LATEX MATE NARANJA    </v>
          </cell>
          <cell r="C3073">
            <v>3</v>
          </cell>
          <cell r="D3073">
            <v>1095</v>
          </cell>
        </row>
        <row r="3074">
          <cell r="A3074" t="str">
            <v>B5ESA26-AE</v>
          </cell>
          <cell r="B3074" t="str">
            <v xml:space="preserve">EXCELLO LATEX MATE SPUN SUGAR </v>
          </cell>
          <cell r="C3074">
            <v>3</v>
          </cell>
          <cell r="D3074">
            <v>1095</v>
          </cell>
        </row>
        <row r="3075">
          <cell r="A3075" t="str">
            <v>B5ESA26AE-5</v>
          </cell>
          <cell r="B3075" t="str">
            <v xml:space="preserve">EXCELLO LATEX MATE SPUN SUGAR </v>
          </cell>
          <cell r="C3075">
            <v>3</v>
          </cell>
          <cell r="D3075">
            <v>1095</v>
          </cell>
        </row>
        <row r="3076">
          <cell r="A3076" t="str">
            <v>B5ESA28</v>
          </cell>
          <cell r="B3076" t="str">
            <v xml:space="preserve">EXCELLO LATEX MATE NARANJA    </v>
          </cell>
          <cell r="C3076">
            <v>3</v>
          </cell>
          <cell r="D3076">
            <v>1095</v>
          </cell>
        </row>
        <row r="3077">
          <cell r="A3077" t="str">
            <v>B5ESA28-5</v>
          </cell>
          <cell r="B3077" t="str">
            <v xml:space="preserve">EXCELLO LATEX MATE NARANJA    </v>
          </cell>
          <cell r="C3077">
            <v>3</v>
          </cell>
          <cell r="D3077">
            <v>1095</v>
          </cell>
        </row>
        <row r="3078">
          <cell r="A3078" t="str">
            <v>B5ESA3</v>
          </cell>
          <cell r="B3078" t="str">
            <v xml:space="preserve">EXCELLO LATEX MATE MELOCOTON  </v>
          </cell>
          <cell r="C3078">
            <v>3</v>
          </cell>
          <cell r="D3078">
            <v>1095</v>
          </cell>
        </row>
        <row r="3079">
          <cell r="A3079" t="str">
            <v>B5ESA3-1</v>
          </cell>
          <cell r="B3079" t="str">
            <v xml:space="preserve">EXCELLO LATEX MATE MELOCOTON  </v>
          </cell>
          <cell r="C3079">
            <v>3</v>
          </cell>
          <cell r="D3079">
            <v>1095</v>
          </cell>
        </row>
        <row r="3080">
          <cell r="A3080" t="str">
            <v>B5ESA3-1/4</v>
          </cell>
          <cell r="B3080" t="str">
            <v xml:space="preserve">EXCELLO LATEX MATE MELOCOTON  </v>
          </cell>
          <cell r="C3080">
            <v>3</v>
          </cell>
          <cell r="D3080">
            <v>1095</v>
          </cell>
        </row>
        <row r="3081">
          <cell r="A3081" t="str">
            <v>B5ESA3-5</v>
          </cell>
          <cell r="B3081" t="str">
            <v xml:space="preserve">EXCELLO LATEX MATE MELOCOTON  </v>
          </cell>
          <cell r="C3081">
            <v>3</v>
          </cell>
          <cell r="D3081">
            <v>1095</v>
          </cell>
        </row>
        <row r="3082">
          <cell r="A3082" t="str">
            <v>B5ESA3-50</v>
          </cell>
          <cell r="B3082" t="str">
            <v xml:space="preserve">EXCELLO LATEX MELOCOTON       </v>
          </cell>
          <cell r="C3082">
            <v>3</v>
          </cell>
          <cell r="D3082">
            <v>1095</v>
          </cell>
        </row>
        <row r="3083">
          <cell r="A3083" t="str">
            <v>B5G84</v>
          </cell>
          <cell r="B3083" t="str">
            <v>EXCELLO LATEX MAT VERDE ALEGRE</v>
          </cell>
          <cell r="C3083">
            <v>3</v>
          </cell>
          <cell r="D3083">
            <v>1095</v>
          </cell>
        </row>
        <row r="3084">
          <cell r="A3084" t="str">
            <v>B5G84-1</v>
          </cell>
          <cell r="B3084" t="str">
            <v>EXCELLO LATEX MAT VERDE ALEGRE</v>
          </cell>
          <cell r="C3084">
            <v>3</v>
          </cell>
          <cell r="D3084">
            <v>1095</v>
          </cell>
        </row>
        <row r="3085">
          <cell r="A3085" t="str">
            <v>B5G84-1/4</v>
          </cell>
          <cell r="B3085" t="str">
            <v>EXCELLO LATEX MAT VERDE ALEGRE</v>
          </cell>
          <cell r="C3085">
            <v>3</v>
          </cell>
          <cell r="D3085">
            <v>1095</v>
          </cell>
        </row>
        <row r="3086">
          <cell r="A3086" t="str">
            <v>B5G84-5</v>
          </cell>
          <cell r="B3086" t="str">
            <v xml:space="preserve">EXCELLO LATEX VERDE ALEGRE    </v>
          </cell>
          <cell r="C3086">
            <v>3</v>
          </cell>
          <cell r="D3086">
            <v>1095</v>
          </cell>
        </row>
        <row r="3087">
          <cell r="A3087" t="str">
            <v>B5GSA12</v>
          </cell>
          <cell r="B3087" t="str">
            <v>EXCE LATEX MAT AQUA CRISTALINO</v>
          </cell>
          <cell r="C3087">
            <v>3</v>
          </cell>
          <cell r="D3087">
            <v>1095</v>
          </cell>
        </row>
        <row r="3088">
          <cell r="A3088" t="str">
            <v>B5GSA12-1</v>
          </cell>
          <cell r="B3088" t="str">
            <v>EXCE LATEX MAT AQUA CRISTALINO</v>
          </cell>
          <cell r="C3088">
            <v>3</v>
          </cell>
          <cell r="D3088">
            <v>1095</v>
          </cell>
        </row>
        <row r="3089">
          <cell r="A3089" t="str">
            <v>B5GSA12-1/4</v>
          </cell>
          <cell r="B3089" t="str">
            <v>EXCE LATEX MAT AQUA CRISTALINO</v>
          </cell>
          <cell r="C3089">
            <v>3</v>
          </cell>
          <cell r="D3089">
            <v>1095</v>
          </cell>
        </row>
        <row r="3090">
          <cell r="A3090" t="str">
            <v>B5GSA12-5</v>
          </cell>
          <cell r="B3090" t="str">
            <v xml:space="preserve">EXCELLO LATEX AQUA CRISTALINO </v>
          </cell>
          <cell r="C3090">
            <v>3</v>
          </cell>
          <cell r="D3090">
            <v>1095</v>
          </cell>
        </row>
        <row r="3091">
          <cell r="A3091" t="str">
            <v>B5GSA13</v>
          </cell>
          <cell r="B3091" t="str">
            <v>EXCE LAT MAT VERDE REFRESCANTE</v>
          </cell>
          <cell r="C3091">
            <v>3</v>
          </cell>
          <cell r="D3091">
            <v>1095</v>
          </cell>
        </row>
        <row r="3092">
          <cell r="A3092" t="str">
            <v>B5GSA13-1</v>
          </cell>
          <cell r="B3092" t="str">
            <v>EXCE LAT MAT VERDE REFRESCANTE</v>
          </cell>
          <cell r="C3092">
            <v>3</v>
          </cell>
          <cell r="D3092">
            <v>1095</v>
          </cell>
        </row>
        <row r="3093">
          <cell r="A3093" t="str">
            <v>B5GSA13-1/4</v>
          </cell>
          <cell r="B3093" t="str">
            <v>EXCE LAT MAT VERDE REFRESCANTE</v>
          </cell>
          <cell r="C3093">
            <v>3</v>
          </cell>
          <cell r="D3093">
            <v>1095</v>
          </cell>
        </row>
        <row r="3094">
          <cell r="A3094" t="str">
            <v>B5GSA13-5</v>
          </cell>
          <cell r="B3094" t="str">
            <v xml:space="preserve">EXCELLO LAT VERDE REFRESCANTE </v>
          </cell>
          <cell r="C3094">
            <v>3</v>
          </cell>
          <cell r="D3094">
            <v>1095</v>
          </cell>
        </row>
        <row r="3095">
          <cell r="A3095" t="str">
            <v>B5GSA13-50</v>
          </cell>
          <cell r="B3095" t="str">
            <v xml:space="preserve">EXCELLO LAT VERDE REFRESCANTE </v>
          </cell>
          <cell r="C3095">
            <v>3</v>
          </cell>
          <cell r="D3095">
            <v>1095</v>
          </cell>
        </row>
        <row r="3096">
          <cell r="A3096" t="str">
            <v>B5GSA15</v>
          </cell>
          <cell r="B3096" t="str">
            <v>EXCELLO LATEX MATE VERDE MUSGO</v>
          </cell>
          <cell r="C3096">
            <v>3</v>
          </cell>
          <cell r="D3096">
            <v>1095</v>
          </cell>
        </row>
        <row r="3097">
          <cell r="A3097" t="str">
            <v>B5GSA15-1</v>
          </cell>
          <cell r="B3097" t="str">
            <v>EXCELLO LATEX MATE VERDE MUSGO</v>
          </cell>
          <cell r="C3097">
            <v>3</v>
          </cell>
          <cell r="D3097">
            <v>1095</v>
          </cell>
        </row>
        <row r="3098">
          <cell r="A3098" t="str">
            <v>B5GSA15-1/4</v>
          </cell>
          <cell r="B3098" t="str">
            <v>EXCELLO LATEX MATE VERDE MUSGO</v>
          </cell>
          <cell r="C3098">
            <v>3</v>
          </cell>
          <cell r="D3098">
            <v>1095</v>
          </cell>
        </row>
        <row r="3099">
          <cell r="A3099" t="str">
            <v>B5GSA15-5</v>
          </cell>
          <cell r="B3099" t="str">
            <v xml:space="preserve">EXCELLO LATEX ARTESANAL VERDE </v>
          </cell>
          <cell r="C3099">
            <v>3</v>
          </cell>
          <cell r="D3099">
            <v>1095</v>
          </cell>
        </row>
        <row r="3100">
          <cell r="A3100" t="str">
            <v>B5GSA30</v>
          </cell>
          <cell r="B3100" t="str">
            <v>CT INT LATEX SAT VERDE HELECHO</v>
          </cell>
          <cell r="C3100">
            <v>3</v>
          </cell>
          <cell r="D3100">
            <v>1095</v>
          </cell>
        </row>
        <row r="3101">
          <cell r="A3101" t="str">
            <v>B5GSA30-1</v>
          </cell>
          <cell r="B3101" t="str">
            <v>CT INT LATEX SAT VERDE HELECHO</v>
          </cell>
          <cell r="C3101">
            <v>3</v>
          </cell>
          <cell r="D3101">
            <v>1095</v>
          </cell>
        </row>
        <row r="3102">
          <cell r="A3102" t="str">
            <v>B5GSA30-1/4</v>
          </cell>
          <cell r="B3102" t="str">
            <v>CT INT LATEX SAT VERDE HELECHO</v>
          </cell>
          <cell r="C3102">
            <v>3</v>
          </cell>
          <cell r="D3102">
            <v>1095</v>
          </cell>
        </row>
        <row r="3103">
          <cell r="A3103" t="str">
            <v>B5GSA31</v>
          </cell>
          <cell r="B3103" t="str">
            <v xml:space="preserve">EXCELLO LATEX MATE DILLWEED   </v>
          </cell>
          <cell r="C3103">
            <v>3</v>
          </cell>
          <cell r="D3103">
            <v>1095</v>
          </cell>
        </row>
        <row r="3104">
          <cell r="A3104" t="str">
            <v>B5GSA31-5</v>
          </cell>
          <cell r="B3104" t="str">
            <v xml:space="preserve">EXCELLO LATEX MATE DILLWEED   </v>
          </cell>
          <cell r="C3104">
            <v>3</v>
          </cell>
          <cell r="D3104">
            <v>1095</v>
          </cell>
        </row>
        <row r="3105">
          <cell r="A3105" t="str">
            <v>B5GSA33-AE</v>
          </cell>
          <cell r="B3105" t="str">
            <v xml:space="preserve">EXCELLO LATEX WILD SAGE       </v>
          </cell>
          <cell r="C3105">
            <v>3</v>
          </cell>
          <cell r="D3105">
            <v>1095</v>
          </cell>
        </row>
        <row r="3106">
          <cell r="A3106" t="str">
            <v>B5GSA33AE-1</v>
          </cell>
          <cell r="B3106" t="str">
            <v xml:space="preserve">EXCELLO LATEX WILD SAGE       </v>
          </cell>
          <cell r="C3106">
            <v>3</v>
          </cell>
          <cell r="D3106">
            <v>1095</v>
          </cell>
        </row>
        <row r="3107">
          <cell r="A3107" t="str">
            <v>B5GSA33AE-5</v>
          </cell>
          <cell r="B3107" t="str">
            <v xml:space="preserve">EXCELLO LATEX WILD SAGE       </v>
          </cell>
          <cell r="C3107">
            <v>3</v>
          </cell>
          <cell r="D3107">
            <v>1095</v>
          </cell>
        </row>
        <row r="3108">
          <cell r="A3108" t="str">
            <v>B5GSA35</v>
          </cell>
          <cell r="B3108" t="str">
            <v>EXCELLO LATEX MATE VERDE MUSGO</v>
          </cell>
          <cell r="C3108">
            <v>3</v>
          </cell>
          <cell r="D3108">
            <v>1095</v>
          </cell>
        </row>
        <row r="3109">
          <cell r="A3109" t="str">
            <v>B5GSA35-1</v>
          </cell>
          <cell r="B3109" t="str">
            <v>EXCELLO LATEX MATE VERDE MUSGO</v>
          </cell>
          <cell r="C3109">
            <v>3</v>
          </cell>
          <cell r="D3109">
            <v>1095</v>
          </cell>
        </row>
        <row r="3110">
          <cell r="A3110" t="str">
            <v>B5GSA39</v>
          </cell>
          <cell r="B3110" t="str">
            <v>EXCELLO LATEX MATE VERDE RURAL</v>
          </cell>
          <cell r="C3110">
            <v>3</v>
          </cell>
          <cell r="D3110">
            <v>1095</v>
          </cell>
        </row>
        <row r="3111">
          <cell r="A3111" t="str">
            <v>B5GSA39-5</v>
          </cell>
          <cell r="B3111" t="str">
            <v>EXCELLO LATEX MATE VERDE RURAL</v>
          </cell>
          <cell r="C3111">
            <v>3</v>
          </cell>
          <cell r="D3111">
            <v>1095</v>
          </cell>
        </row>
        <row r="3112">
          <cell r="A3112" t="str">
            <v>B5GSA40</v>
          </cell>
          <cell r="B3112" t="str">
            <v>EXCELLO LAT MATE VERDE SW-6192</v>
          </cell>
          <cell r="C3112">
            <v>3</v>
          </cell>
          <cell r="D3112">
            <v>1095</v>
          </cell>
        </row>
        <row r="3113">
          <cell r="A3113" t="str">
            <v>B5GSA40-5</v>
          </cell>
          <cell r="B3113" t="str">
            <v>EXCELLO LAT MATE VERDE SW-6192</v>
          </cell>
          <cell r="C3113">
            <v>3</v>
          </cell>
          <cell r="D3113">
            <v>1095</v>
          </cell>
        </row>
        <row r="3114">
          <cell r="A3114" t="str">
            <v>B5GSA47</v>
          </cell>
          <cell r="B3114" t="str">
            <v>EXCELLO LAT MATE VERDE SW-6192</v>
          </cell>
          <cell r="C3114">
            <v>3</v>
          </cell>
          <cell r="D3114">
            <v>1095</v>
          </cell>
        </row>
        <row r="3115">
          <cell r="A3115" t="str">
            <v>B5GSA47-5</v>
          </cell>
          <cell r="B3115" t="str">
            <v>EXCELLO LAT MATE VERDE SW-6192</v>
          </cell>
          <cell r="C3115">
            <v>3</v>
          </cell>
          <cell r="D3115">
            <v>1095</v>
          </cell>
        </row>
        <row r="3116">
          <cell r="A3116" t="str">
            <v>B5GSA51</v>
          </cell>
          <cell r="B3116" t="str">
            <v xml:space="preserve">EXCELLO LAT MATE SVELTED SAGE </v>
          </cell>
          <cell r="C3116">
            <v>3</v>
          </cell>
          <cell r="D3116">
            <v>1095</v>
          </cell>
        </row>
        <row r="3117">
          <cell r="A3117" t="str">
            <v>B5GSA51-5</v>
          </cell>
          <cell r="B3117" t="str">
            <v xml:space="preserve">EXCELLO LAT MATE SVELTED SAGE </v>
          </cell>
          <cell r="C3117">
            <v>3</v>
          </cell>
          <cell r="D3117">
            <v>1095</v>
          </cell>
        </row>
        <row r="3118">
          <cell r="A3118" t="str">
            <v>B5GSA52</v>
          </cell>
          <cell r="B3118" t="str">
            <v xml:space="preserve">EXCELLO LATEX MATE  SW 6186   </v>
          </cell>
          <cell r="C3118">
            <v>3</v>
          </cell>
          <cell r="D3118">
            <v>1095</v>
          </cell>
        </row>
        <row r="3119">
          <cell r="A3119" t="str">
            <v>B5GSA52-5</v>
          </cell>
          <cell r="B3119" t="str">
            <v xml:space="preserve">EXCELLO LATEX MATE  SW 6186   </v>
          </cell>
          <cell r="C3119">
            <v>3</v>
          </cell>
          <cell r="D3119">
            <v>1095</v>
          </cell>
        </row>
        <row r="3120">
          <cell r="A3120" t="str">
            <v>B5GSA53</v>
          </cell>
          <cell r="B3120" t="str">
            <v xml:space="preserve">EXCELLO LATEX VERDE INTENSO   </v>
          </cell>
          <cell r="C3120">
            <v>3</v>
          </cell>
          <cell r="D3120">
            <v>1095</v>
          </cell>
        </row>
        <row r="3121">
          <cell r="A3121" t="str">
            <v>B5GSA53-5</v>
          </cell>
          <cell r="B3121" t="str">
            <v xml:space="preserve">EXCELLO LATEX VERDE INTENSO   </v>
          </cell>
          <cell r="C3121">
            <v>3</v>
          </cell>
          <cell r="D3121">
            <v>1095</v>
          </cell>
        </row>
        <row r="3122">
          <cell r="A3122" t="str">
            <v>B5GSA54</v>
          </cell>
          <cell r="B3122" t="str">
            <v xml:space="preserve">EXCELLO LATEX MATE VERDE      </v>
          </cell>
          <cell r="C3122">
            <v>3</v>
          </cell>
          <cell r="D3122">
            <v>1095</v>
          </cell>
        </row>
        <row r="3123">
          <cell r="A3123" t="str">
            <v>B5GSA54-5</v>
          </cell>
          <cell r="B3123" t="str">
            <v xml:space="preserve">EXCELLO LATEX MATE VERDE      </v>
          </cell>
          <cell r="C3123">
            <v>3</v>
          </cell>
          <cell r="D3123">
            <v>1095</v>
          </cell>
        </row>
        <row r="3124">
          <cell r="A3124" t="str">
            <v>B5GSA55-AE</v>
          </cell>
          <cell r="B3124" t="str">
            <v xml:space="preserve">EXCELLO LATEX VERDE FERTICA   </v>
          </cell>
          <cell r="C3124">
            <v>3</v>
          </cell>
          <cell r="D3124">
            <v>1095</v>
          </cell>
        </row>
        <row r="3125">
          <cell r="A3125" t="str">
            <v>B5GSA55AE-5</v>
          </cell>
          <cell r="B3125" t="str">
            <v xml:space="preserve">EXCELLO LATEX VERDE FERTICA   </v>
          </cell>
          <cell r="C3125">
            <v>3</v>
          </cell>
          <cell r="D3125">
            <v>1095</v>
          </cell>
        </row>
        <row r="3126">
          <cell r="A3126" t="str">
            <v>B5H22</v>
          </cell>
          <cell r="B3126" t="str">
            <v xml:space="preserve">EXCELLO LATEX MATE MARFIL     </v>
          </cell>
          <cell r="C3126">
            <v>3</v>
          </cell>
          <cell r="D3126">
            <v>1095</v>
          </cell>
        </row>
        <row r="3127">
          <cell r="A3127" t="str">
            <v>B5H22-1</v>
          </cell>
          <cell r="B3127" t="str">
            <v xml:space="preserve">EXCELLO LATEX MATE MARFIL     </v>
          </cell>
          <cell r="C3127">
            <v>3</v>
          </cell>
          <cell r="D3127">
            <v>1095</v>
          </cell>
        </row>
        <row r="3128">
          <cell r="A3128" t="str">
            <v>B5H22-1/4</v>
          </cell>
          <cell r="B3128" t="str">
            <v xml:space="preserve">EXCELLO LATEX MATE MARFIL     </v>
          </cell>
          <cell r="C3128">
            <v>3</v>
          </cell>
          <cell r="D3128">
            <v>1095</v>
          </cell>
        </row>
        <row r="3129">
          <cell r="A3129" t="str">
            <v>B5H22-5</v>
          </cell>
          <cell r="B3129" t="str">
            <v xml:space="preserve">EXCELLO LATEX MATE MARFIL     </v>
          </cell>
          <cell r="C3129">
            <v>3</v>
          </cell>
          <cell r="D3129">
            <v>1095</v>
          </cell>
        </row>
        <row r="3130">
          <cell r="A3130" t="str">
            <v>B5H22-50</v>
          </cell>
          <cell r="B3130" t="str">
            <v xml:space="preserve">EXCELLO LATEX MARFIL          </v>
          </cell>
          <cell r="C3130">
            <v>3</v>
          </cell>
          <cell r="D3130">
            <v>1095</v>
          </cell>
        </row>
        <row r="3131">
          <cell r="A3131" t="str">
            <v>B5H22-AE</v>
          </cell>
          <cell r="B3131" t="str">
            <v xml:space="preserve">EXCELLO LATEX MATE MARFIL     </v>
          </cell>
          <cell r="C3131">
            <v>3</v>
          </cell>
          <cell r="D3131">
            <v>1095</v>
          </cell>
        </row>
        <row r="3132">
          <cell r="A3132" t="str">
            <v>B5H22AE-1</v>
          </cell>
          <cell r="B3132" t="str">
            <v xml:space="preserve">EXCELLO LATEX MATE MARFIL     </v>
          </cell>
          <cell r="C3132">
            <v>3</v>
          </cell>
          <cell r="D3132">
            <v>1095</v>
          </cell>
        </row>
        <row r="3133">
          <cell r="A3133" t="str">
            <v>B5H22AE-1/4</v>
          </cell>
          <cell r="B3133" t="str">
            <v xml:space="preserve">EXCELLO LATEX MARFIL          </v>
          </cell>
          <cell r="C3133">
            <v>3</v>
          </cell>
          <cell r="D3133">
            <v>1095</v>
          </cell>
        </row>
        <row r="3134">
          <cell r="A3134" t="str">
            <v>B5H22AE-5</v>
          </cell>
          <cell r="B3134" t="str">
            <v xml:space="preserve">EXCELLO LATEX MATE MARFIL     </v>
          </cell>
          <cell r="C3134">
            <v>3</v>
          </cell>
          <cell r="D3134">
            <v>1095</v>
          </cell>
        </row>
        <row r="3135">
          <cell r="A3135" t="str">
            <v>B5HSA11</v>
          </cell>
          <cell r="B3135" t="str">
            <v xml:space="preserve">EXCELLO LATEX MARFIL COMALAPA </v>
          </cell>
          <cell r="C3135">
            <v>3</v>
          </cell>
          <cell r="D3135">
            <v>1095</v>
          </cell>
        </row>
        <row r="3136">
          <cell r="A3136" t="str">
            <v>B5HSA11-5</v>
          </cell>
          <cell r="B3136" t="str">
            <v xml:space="preserve">EXCELLO LATEX MARFIL COMALAPA </v>
          </cell>
          <cell r="C3136">
            <v>3</v>
          </cell>
          <cell r="D3136">
            <v>1095</v>
          </cell>
        </row>
        <row r="3137">
          <cell r="A3137" t="str">
            <v>B5HSA12</v>
          </cell>
          <cell r="B3137" t="str">
            <v xml:space="preserve">EXCELLO LATEX MARFIL ESPECIAL </v>
          </cell>
          <cell r="C3137">
            <v>3</v>
          </cell>
          <cell r="D3137">
            <v>1095</v>
          </cell>
        </row>
        <row r="3138">
          <cell r="A3138" t="str">
            <v>B5HSA12-5</v>
          </cell>
          <cell r="B3138" t="str">
            <v xml:space="preserve">EXCELLO LATEX MARFIL ESPECIAL </v>
          </cell>
          <cell r="C3138">
            <v>3</v>
          </cell>
          <cell r="D3138">
            <v>1095</v>
          </cell>
        </row>
        <row r="3139">
          <cell r="A3139" t="str">
            <v>B5HSA18</v>
          </cell>
          <cell r="B3139" t="str">
            <v xml:space="preserve">EXCELLO LATEX MARFIL OSCURO   </v>
          </cell>
          <cell r="C3139">
            <v>3</v>
          </cell>
          <cell r="D3139">
            <v>1095</v>
          </cell>
        </row>
        <row r="3140">
          <cell r="A3140" t="str">
            <v>B5HSA18-5</v>
          </cell>
          <cell r="B3140" t="str">
            <v xml:space="preserve">EXCELLO LATEX MARFIL OSCURO   </v>
          </cell>
          <cell r="C3140">
            <v>3</v>
          </cell>
          <cell r="D3140">
            <v>1095</v>
          </cell>
        </row>
        <row r="3141">
          <cell r="A3141" t="str">
            <v>B5HSA24-AE</v>
          </cell>
          <cell r="B3141" t="str">
            <v>EXCELLO LAT MATE BILTMORE BUFF</v>
          </cell>
          <cell r="C3141">
            <v>3</v>
          </cell>
          <cell r="D3141">
            <v>1095</v>
          </cell>
        </row>
        <row r="3142">
          <cell r="A3142" t="str">
            <v>B5HSA24AE-1</v>
          </cell>
          <cell r="B3142" t="str">
            <v>EXCELLO LAT MATE BILTMORE BUFF</v>
          </cell>
          <cell r="C3142">
            <v>3</v>
          </cell>
          <cell r="D3142">
            <v>1095</v>
          </cell>
        </row>
        <row r="3143">
          <cell r="A3143" t="str">
            <v>B5HSA24AE-5</v>
          </cell>
          <cell r="B3143" t="str">
            <v>EXCELLO LAT MATE BILTMORE BUFF</v>
          </cell>
          <cell r="C3143">
            <v>3</v>
          </cell>
          <cell r="D3143">
            <v>1095</v>
          </cell>
        </row>
        <row r="3144">
          <cell r="A3144" t="str">
            <v>B5HSA26-AE</v>
          </cell>
          <cell r="B3144" t="str">
            <v xml:space="preserve">EXCELLO LAT MATE CONCORD BUFF </v>
          </cell>
          <cell r="C3144">
            <v>3</v>
          </cell>
          <cell r="D3144">
            <v>1095</v>
          </cell>
        </row>
        <row r="3145">
          <cell r="A3145" t="str">
            <v>B5HSA26AE-1</v>
          </cell>
          <cell r="B3145" t="str">
            <v xml:space="preserve">EXCELLO LAT MATE CONCORD BUFF </v>
          </cell>
          <cell r="C3145">
            <v>3</v>
          </cell>
          <cell r="D3145">
            <v>1095</v>
          </cell>
        </row>
        <row r="3146">
          <cell r="A3146" t="str">
            <v>B5HSA26AE-5</v>
          </cell>
          <cell r="B3146" t="str">
            <v xml:space="preserve">EXCELLO LAT MATE CONCORD BUFF </v>
          </cell>
          <cell r="C3146">
            <v>3</v>
          </cell>
          <cell r="D3146">
            <v>1095</v>
          </cell>
        </row>
        <row r="3147">
          <cell r="A3147" t="str">
            <v>B5HSA26AE-50</v>
          </cell>
          <cell r="B3147" t="str">
            <v xml:space="preserve">EXCELLO LAT MATE CONCORD BUFF </v>
          </cell>
          <cell r="C3147">
            <v>3</v>
          </cell>
          <cell r="D3147">
            <v>1095</v>
          </cell>
        </row>
        <row r="3148">
          <cell r="A3148" t="str">
            <v>B5HSA33</v>
          </cell>
          <cell r="B3148" t="str">
            <v>EXCELLO LAT MATE NAPERY SW6386</v>
          </cell>
          <cell r="C3148">
            <v>3</v>
          </cell>
          <cell r="D3148">
            <v>1095</v>
          </cell>
        </row>
        <row r="3149">
          <cell r="A3149" t="str">
            <v>B5HSA33-5</v>
          </cell>
          <cell r="B3149" t="str">
            <v>EXCELLO LAT MATE NAPERY SW6386</v>
          </cell>
          <cell r="C3149">
            <v>3</v>
          </cell>
          <cell r="D3149">
            <v>1095</v>
          </cell>
        </row>
        <row r="3150">
          <cell r="A3150" t="str">
            <v>B5HSA34</v>
          </cell>
          <cell r="B3150" t="str">
            <v>EXCELLO LAT MATE MARFIL FUJITA</v>
          </cell>
          <cell r="C3150">
            <v>3</v>
          </cell>
          <cell r="D3150">
            <v>1095</v>
          </cell>
        </row>
        <row r="3151">
          <cell r="A3151" t="str">
            <v>B5HSA34-5</v>
          </cell>
          <cell r="B3151" t="str">
            <v>EXCELLO LAT MATE MARFIL FUJITA</v>
          </cell>
          <cell r="C3151">
            <v>3</v>
          </cell>
          <cell r="D3151">
            <v>1095</v>
          </cell>
        </row>
        <row r="3152">
          <cell r="A3152" t="str">
            <v>B5HSA35</v>
          </cell>
          <cell r="B3152" t="str">
            <v xml:space="preserve">EXCELLO LATEX MATE MARFIL     </v>
          </cell>
          <cell r="C3152">
            <v>3</v>
          </cell>
          <cell r="D3152">
            <v>1095</v>
          </cell>
        </row>
        <row r="3153">
          <cell r="A3153" t="str">
            <v>B5HSA35-1</v>
          </cell>
          <cell r="B3153" t="str">
            <v xml:space="preserve">EXCELLO LATEX MATE MARFIL     </v>
          </cell>
          <cell r="C3153">
            <v>3</v>
          </cell>
          <cell r="D3153">
            <v>1095</v>
          </cell>
        </row>
        <row r="3154">
          <cell r="A3154" t="str">
            <v>B5HSA36</v>
          </cell>
          <cell r="B3154" t="str">
            <v xml:space="preserve">EXCELLO LATEX MATE GOLDEN     </v>
          </cell>
          <cell r="C3154">
            <v>3</v>
          </cell>
          <cell r="D3154">
            <v>1095</v>
          </cell>
        </row>
        <row r="3155">
          <cell r="A3155" t="str">
            <v>B5HSA36-50</v>
          </cell>
          <cell r="B3155" t="str">
            <v xml:space="preserve">EXCELLO LATEX MATE GOLDEN     </v>
          </cell>
          <cell r="C3155">
            <v>3</v>
          </cell>
          <cell r="D3155">
            <v>1095</v>
          </cell>
        </row>
        <row r="3156">
          <cell r="A3156" t="str">
            <v>B5HSA37</v>
          </cell>
          <cell r="B3156" t="str">
            <v xml:space="preserve">EXCELLO LAT MATE BRASIL NUT   </v>
          </cell>
          <cell r="C3156">
            <v>3</v>
          </cell>
          <cell r="D3156">
            <v>1095</v>
          </cell>
        </row>
        <row r="3157">
          <cell r="A3157" t="str">
            <v>B5HSA37-5</v>
          </cell>
          <cell r="B3157" t="str">
            <v xml:space="preserve">EXCELLO LAT MATE BRASIL NUT   </v>
          </cell>
          <cell r="C3157">
            <v>3</v>
          </cell>
          <cell r="D3157">
            <v>1095</v>
          </cell>
        </row>
        <row r="3158">
          <cell r="A3158" t="str">
            <v>B5HSA6</v>
          </cell>
          <cell r="B3158" t="str">
            <v>EXCELLO LATEX MAT MARFIL SUAVE</v>
          </cell>
          <cell r="C3158">
            <v>3</v>
          </cell>
          <cell r="D3158">
            <v>1095</v>
          </cell>
        </row>
        <row r="3159">
          <cell r="A3159" t="str">
            <v>B5HSA6-1</v>
          </cell>
          <cell r="B3159" t="str">
            <v>EXCELLO LATEX MAT MARFIL SUAVE</v>
          </cell>
          <cell r="C3159">
            <v>3</v>
          </cell>
          <cell r="D3159">
            <v>1095</v>
          </cell>
        </row>
        <row r="3160">
          <cell r="A3160" t="str">
            <v>B5HSA6-1/4</v>
          </cell>
          <cell r="B3160" t="str">
            <v>EXCELLO LATEX MAT MARFIL SUAVE</v>
          </cell>
          <cell r="C3160">
            <v>3</v>
          </cell>
          <cell r="D3160">
            <v>1095</v>
          </cell>
        </row>
        <row r="3161">
          <cell r="A3161" t="str">
            <v>B5HSA6-5</v>
          </cell>
          <cell r="B3161" t="str">
            <v>EXCELLO LATEX MAT MARFIL SUAVE</v>
          </cell>
          <cell r="C3161">
            <v>3</v>
          </cell>
          <cell r="D3161">
            <v>1095</v>
          </cell>
        </row>
        <row r="3162">
          <cell r="A3162" t="str">
            <v>B5HSA6-50</v>
          </cell>
          <cell r="B3162" t="str">
            <v xml:space="preserve">EXCELLO LATEX MARFIL SUAVE    </v>
          </cell>
          <cell r="C3162">
            <v>3</v>
          </cell>
          <cell r="D3162">
            <v>1095</v>
          </cell>
        </row>
        <row r="3163">
          <cell r="A3163" t="str">
            <v>B5HSA6-AE</v>
          </cell>
          <cell r="B3163" t="str">
            <v>EXCELLO LATEX MAT MARFIL SUAVE</v>
          </cell>
          <cell r="C3163">
            <v>3</v>
          </cell>
          <cell r="D3163">
            <v>1095</v>
          </cell>
        </row>
        <row r="3164">
          <cell r="A3164" t="str">
            <v>B5HSA6AE-1</v>
          </cell>
          <cell r="B3164" t="str">
            <v>EXCELLO LATEX MAT MARFIL SUAVE</v>
          </cell>
          <cell r="C3164">
            <v>3</v>
          </cell>
          <cell r="D3164">
            <v>1095</v>
          </cell>
        </row>
        <row r="3165">
          <cell r="A3165" t="str">
            <v>B5HSA6AE-5</v>
          </cell>
          <cell r="B3165" t="str">
            <v>EXCELLO LATEX MAT MARFIL SUAVE</v>
          </cell>
          <cell r="C3165">
            <v>3</v>
          </cell>
          <cell r="D3165">
            <v>1095</v>
          </cell>
        </row>
        <row r="3166">
          <cell r="A3166" t="str">
            <v>B5LSA1</v>
          </cell>
          <cell r="B3166" t="str">
            <v xml:space="preserve">EXCELLO LATEX MATE AZUL       </v>
          </cell>
          <cell r="C3166">
            <v>3</v>
          </cell>
          <cell r="D3166">
            <v>1095</v>
          </cell>
        </row>
        <row r="3167">
          <cell r="A3167" t="str">
            <v>B5LSA10</v>
          </cell>
          <cell r="B3167" t="str">
            <v>EXCE LAT MATE CELESTE INFINITO</v>
          </cell>
          <cell r="C3167">
            <v>3</v>
          </cell>
          <cell r="D3167">
            <v>1095</v>
          </cell>
        </row>
        <row r="3168">
          <cell r="A3168" t="str">
            <v>B5LSA10-1</v>
          </cell>
          <cell r="B3168" t="str">
            <v>EXCE LAT MATE CELESTE INFINITO</v>
          </cell>
          <cell r="C3168">
            <v>3</v>
          </cell>
          <cell r="D3168">
            <v>1095</v>
          </cell>
        </row>
        <row r="3169">
          <cell r="A3169" t="str">
            <v>B5LSA10-1/4</v>
          </cell>
          <cell r="B3169" t="str">
            <v>EXCE LAT MATE CELESTE INFINITO</v>
          </cell>
          <cell r="C3169">
            <v>3</v>
          </cell>
          <cell r="D3169">
            <v>1095</v>
          </cell>
        </row>
        <row r="3170">
          <cell r="A3170" t="str">
            <v>B5LSA10-5</v>
          </cell>
          <cell r="B3170" t="str">
            <v>EXCE LAT MATE CELESTE INFINITO</v>
          </cell>
          <cell r="C3170">
            <v>3</v>
          </cell>
          <cell r="D3170">
            <v>1095</v>
          </cell>
        </row>
        <row r="3171">
          <cell r="A3171" t="str">
            <v>B5LSA1-1</v>
          </cell>
          <cell r="B3171" t="str">
            <v xml:space="preserve">EXCELLO LATEX MATE AZUL       </v>
          </cell>
          <cell r="C3171">
            <v>3</v>
          </cell>
          <cell r="D3171">
            <v>1095</v>
          </cell>
        </row>
        <row r="3172">
          <cell r="A3172" t="str">
            <v>B5LSA1-1/4</v>
          </cell>
          <cell r="B3172" t="str">
            <v xml:space="preserve">EXCELLO LATEX MATE AZUL       </v>
          </cell>
          <cell r="C3172">
            <v>3</v>
          </cell>
          <cell r="D3172">
            <v>1095</v>
          </cell>
        </row>
        <row r="3173">
          <cell r="A3173" t="str">
            <v>B5LSA14</v>
          </cell>
          <cell r="B3173" t="str">
            <v>EXCELLO LATEX MAT AZUL BANDERA</v>
          </cell>
          <cell r="C3173">
            <v>3</v>
          </cell>
          <cell r="D3173">
            <v>1095</v>
          </cell>
        </row>
        <row r="3174">
          <cell r="A3174" t="str">
            <v>B5LSA14-1</v>
          </cell>
          <cell r="B3174" t="str">
            <v>EXCELLO LATEX MAT AZUL BANDERA</v>
          </cell>
          <cell r="C3174">
            <v>3</v>
          </cell>
          <cell r="D3174">
            <v>1095</v>
          </cell>
        </row>
        <row r="3175">
          <cell r="A3175" t="str">
            <v>B5LSA14-5</v>
          </cell>
          <cell r="B3175" t="str">
            <v>EXCELLO LATEX MAT AZUL BANDERA</v>
          </cell>
          <cell r="C3175">
            <v>3</v>
          </cell>
          <cell r="D3175">
            <v>1095</v>
          </cell>
        </row>
        <row r="3176">
          <cell r="A3176" t="str">
            <v>B5LSA1-5</v>
          </cell>
          <cell r="B3176" t="str">
            <v xml:space="preserve">EXCELLO LATEX AZUL            </v>
          </cell>
          <cell r="C3176">
            <v>3</v>
          </cell>
          <cell r="D3176">
            <v>1095</v>
          </cell>
        </row>
        <row r="3177">
          <cell r="A3177" t="str">
            <v>B5LSA21</v>
          </cell>
          <cell r="B3177" t="str">
            <v>CT INT LATEX SAT AZUL MARIPOSA</v>
          </cell>
          <cell r="C3177">
            <v>3</v>
          </cell>
          <cell r="D3177">
            <v>1095</v>
          </cell>
        </row>
        <row r="3178">
          <cell r="A3178" t="str">
            <v>B5LSA21-1</v>
          </cell>
          <cell r="B3178" t="str">
            <v>CT INT LATEX SAT AZUL MARIPOSA</v>
          </cell>
          <cell r="C3178">
            <v>3</v>
          </cell>
          <cell r="D3178">
            <v>1095</v>
          </cell>
        </row>
        <row r="3179">
          <cell r="A3179" t="str">
            <v>B5LSA21-1/4</v>
          </cell>
          <cell r="B3179" t="str">
            <v>CT INT LATEX SAT AZUL MARIPOSA</v>
          </cell>
          <cell r="C3179">
            <v>3</v>
          </cell>
          <cell r="D3179">
            <v>1095</v>
          </cell>
        </row>
        <row r="3180">
          <cell r="A3180" t="str">
            <v>B5LSA37</v>
          </cell>
          <cell r="B3180" t="str">
            <v xml:space="preserve">EXCELLO LATEX SATINADO AZUL   </v>
          </cell>
          <cell r="C3180">
            <v>3</v>
          </cell>
          <cell r="D3180">
            <v>1095</v>
          </cell>
        </row>
        <row r="3181">
          <cell r="A3181" t="str">
            <v>B5LSA37-5</v>
          </cell>
          <cell r="B3181" t="str">
            <v xml:space="preserve">EXCELLO LATEX SATINADO AZUL   </v>
          </cell>
          <cell r="C3181">
            <v>3</v>
          </cell>
          <cell r="D3181">
            <v>1095</v>
          </cell>
        </row>
        <row r="3182">
          <cell r="A3182" t="str">
            <v>B5LSA38</v>
          </cell>
          <cell r="B3182" t="str">
            <v xml:space="preserve">EXCELLO LATEX SATINADO AZUL   </v>
          </cell>
          <cell r="C3182">
            <v>3</v>
          </cell>
          <cell r="D3182">
            <v>1095</v>
          </cell>
        </row>
        <row r="3183">
          <cell r="A3183" t="str">
            <v>B5LSA38-5</v>
          </cell>
          <cell r="B3183" t="str">
            <v xml:space="preserve">EXCELLO LATEX SATINADO AZUL   </v>
          </cell>
          <cell r="C3183">
            <v>3</v>
          </cell>
          <cell r="D3183">
            <v>1095</v>
          </cell>
        </row>
        <row r="3184">
          <cell r="A3184" t="str">
            <v>B5LSA39</v>
          </cell>
          <cell r="B3184" t="str">
            <v>EXCELLO LAT MATE MATE AZUL TUL</v>
          </cell>
          <cell r="C3184">
            <v>3</v>
          </cell>
          <cell r="D3184">
            <v>1095</v>
          </cell>
        </row>
        <row r="3185">
          <cell r="A3185" t="str">
            <v>B5LSA39-1</v>
          </cell>
          <cell r="B3185" t="str">
            <v>EXCELLO LAT MATE MATE AZUL TUL</v>
          </cell>
          <cell r="C3185">
            <v>3</v>
          </cell>
          <cell r="D3185">
            <v>1095</v>
          </cell>
        </row>
        <row r="3186">
          <cell r="A3186" t="str">
            <v>B5LSA42-AE</v>
          </cell>
          <cell r="B3186" t="str">
            <v xml:space="preserve">EXCELLO LATEX CELESTE         </v>
          </cell>
          <cell r="C3186">
            <v>3</v>
          </cell>
          <cell r="D3186">
            <v>1095</v>
          </cell>
        </row>
        <row r="3187">
          <cell r="A3187" t="str">
            <v>B5LSA42AE-5</v>
          </cell>
          <cell r="B3187" t="str">
            <v xml:space="preserve">EXCELLO LATEX CELESTE         </v>
          </cell>
          <cell r="C3187">
            <v>3</v>
          </cell>
          <cell r="D3187">
            <v>1095</v>
          </cell>
        </row>
        <row r="3188">
          <cell r="A3188" t="str">
            <v>B5LSA43-AE</v>
          </cell>
          <cell r="B3188" t="str">
            <v xml:space="preserve">EXCELLO LATEX MATE AZUL       </v>
          </cell>
          <cell r="C3188">
            <v>3</v>
          </cell>
          <cell r="D3188">
            <v>1095</v>
          </cell>
        </row>
        <row r="3189">
          <cell r="A3189" t="str">
            <v>B5LSA43AE-5</v>
          </cell>
          <cell r="B3189" t="str">
            <v xml:space="preserve">EXCELLO LATEX MATE AZUL       </v>
          </cell>
          <cell r="C3189">
            <v>3</v>
          </cell>
          <cell r="D3189">
            <v>1095</v>
          </cell>
        </row>
        <row r="3190">
          <cell r="A3190" t="str">
            <v>B5LSA44-AE</v>
          </cell>
          <cell r="B3190" t="str">
            <v xml:space="preserve">EXCELLO LATEX MATE AZUL       </v>
          </cell>
          <cell r="C3190">
            <v>3</v>
          </cell>
          <cell r="D3190">
            <v>1095</v>
          </cell>
        </row>
        <row r="3191">
          <cell r="A3191" t="str">
            <v>B5LSA44AE-5</v>
          </cell>
          <cell r="B3191" t="str">
            <v xml:space="preserve">EXCELLO LATEX MATE AZUL       </v>
          </cell>
          <cell r="C3191">
            <v>3</v>
          </cell>
          <cell r="D3191">
            <v>1095</v>
          </cell>
        </row>
        <row r="3192">
          <cell r="A3192" t="str">
            <v>B5LSA46</v>
          </cell>
          <cell r="B3192" t="str">
            <v xml:space="preserve">EXCELLO LATEX MATE AZUL TELEF </v>
          </cell>
          <cell r="C3192">
            <v>3</v>
          </cell>
          <cell r="D3192">
            <v>1095</v>
          </cell>
        </row>
        <row r="3193">
          <cell r="A3193" t="str">
            <v>B5LSA46-5</v>
          </cell>
          <cell r="B3193" t="str">
            <v xml:space="preserve">EXCELLO LATEX MATE AZUL TELEF </v>
          </cell>
          <cell r="C3193">
            <v>3</v>
          </cell>
          <cell r="D3193">
            <v>1095</v>
          </cell>
        </row>
        <row r="3194">
          <cell r="A3194" t="str">
            <v>B5LSA5</v>
          </cell>
          <cell r="B3194" t="str">
            <v>EXCE LATEX MAT AZUL CENICIENTA</v>
          </cell>
          <cell r="C3194">
            <v>3</v>
          </cell>
          <cell r="D3194">
            <v>1095</v>
          </cell>
        </row>
        <row r="3195">
          <cell r="A3195" t="str">
            <v>B5LSA5-1</v>
          </cell>
          <cell r="B3195" t="str">
            <v>EXCE LATEX MAT AZUL CENICIENTA</v>
          </cell>
          <cell r="C3195">
            <v>3</v>
          </cell>
          <cell r="D3195">
            <v>1095</v>
          </cell>
        </row>
        <row r="3196">
          <cell r="A3196" t="str">
            <v>B5LSA5-1/4</v>
          </cell>
          <cell r="B3196" t="str">
            <v>EXCE LATEX MAT AZUL CENICIENTA</v>
          </cell>
          <cell r="C3196">
            <v>3</v>
          </cell>
          <cell r="D3196">
            <v>1095</v>
          </cell>
        </row>
        <row r="3197">
          <cell r="A3197" t="str">
            <v>B5LSA5-5</v>
          </cell>
          <cell r="B3197" t="str">
            <v xml:space="preserve">EXCELLO LATEX AZUL CENICIENTA </v>
          </cell>
          <cell r="C3197">
            <v>3</v>
          </cell>
          <cell r="D3197">
            <v>1095</v>
          </cell>
        </row>
        <row r="3198">
          <cell r="A3198" t="str">
            <v>B5LSA5-50</v>
          </cell>
          <cell r="B3198" t="str">
            <v xml:space="preserve">EXCELLO LATEX AZUL CENICIENTA </v>
          </cell>
          <cell r="C3198">
            <v>3</v>
          </cell>
          <cell r="D3198">
            <v>1095</v>
          </cell>
        </row>
        <row r="3199">
          <cell r="A3199" t="str">
            <v>B5MSA2</v>
          </cell>
          <cell r="B3199" t="str">
            <v>CT INT LATEX SAT FUCSIA SALVAJ</v>
          </cell>
          <cell r="C3199">
            <v>3</v>
          </cell>
          <cell r="D3199">
            <v>1095</v>
          </cell>
        </row>
        <row r="3200">
          <cell r="A3200" t="str">
            <v>B5MSA2-1</v>
          </cell>
          <cell r="B3200" t="str">
            <v>CT INT LATEX SAT FUCSIA SALVAJ</v>
          </cell>
          <cell r="C3200">
            <v>3</v>
          </cell>
          <cell r="D3200">
            <v>1095</v>
          </cell>
        </row>
        <row r="3201">
          <cell r="A3201" t="str">
            <v>B5MSA2-1/4</v>
          </cell>
          <cell r="B3201" t="str">
            <v>CT INT LATEX SAT FUCSIA SALVAJ</v>
          </cell>
          <cell r="C3201">
            <v>3</v>
          </cell>
          <cell r="D3201">
            <v>1095</v>
          </cell>
        </row>
        <row r="3202">
          <cell r="A3202" t="str">
            <v>B5MSA3</v>
          </cell>
          <cell r="B3202" t="str">
            <v xml:space="preserve">EXCELLO LATEX MATE MARRON     </v>
          </cell>
          <cell r="C3202">
            <v>3</v>
          </cell>
          <cell r="D3202">
            <v>1095</v>
          </cell>
        </row>
        <row r="3203">
          <cell r="A3203" t="str">
            <v>B5MSA3-5</v>
          </cell>
          <cell r="B3203" t="str">
            <v xml:space="preserve">EXCELLO LATEX MATE MARRON     </v>
          </cell>
          <cell r="C3203">
            <v>3</v>
          </cell>
          <cell r="D3203">
            <v>1095</v>
          </cell>
        </row>
        <row r="3204">
          <cell r="A3204" t="str">
            <v>B5MSA4</v>
          </cell>
          <cell r="B3204" t="str">
            <v xml:space="preserve">EXCELLO LATEX VINO INTENSO    </v>
          </cell>
          <cell r="C3204">
            <v>3</v>
          </cell>
          <cell r="D3204">
            <v>1095</v>
          </cell>
        </row>
        <row r="3205">
          <cell r="A3205" t="str">
            <v>B5MSA4-5</v>
          </cell>
          <cell r="B3205" t="str">
            <v xml:space="preserve">EXCELLO LATEX VINO INTENSO    </v>
          </cell>
          <cell r="C3205">
            <v>3</v>
          </cell>
          <cell r="D3205">
            <v>1095</v>
          </cell>
        </row>
        <row r="3206">
          <cell r="A3206" t="str">
            <v>B5N62</v>
          </cell>
          <cell r="B3206" t="str">
            <v>EXCELLO LATEX MATE BEIGE ARENA</v>
          </cell>
          <cell r="C3206">
            <v>3</v>
          </cell>
          <cell r="D3206">
            <v>1095</v>
          </cell>
        </row>
        <row r="3207">
          <cell r="A3207" t="str">
            <v>B5N62-1</v>
          </cell>
          <cell r="B3207" t="str">
            <v>EXCELLO LATEX MATE BEIGE ARENA</v>
          </cell>
          <cell r="C3207">
            <v>3</v>
          </cell>
          <cell r="D3207">
            <v>1095</v>
          </cell>
        </row>
        <row r="3208">
          <cell r="A3208" t="str">
            <v>B5N62-1/4</v>
          </cell>
          <cell r="B3208" t="str">
            <v>EXCELLO LATEX MATE BEIGE ARENA</v>
          </cell>
          <cell r="C3208">
            <v>3</v>
          </cell>
          <cell r="D3208">
            <v>1095</v>
          </cell>
        </row>
        <row r="3209">
          <cell r="A3209" t="str">
            <v>B5N62-5</v>
          </cell>
          <cell r="B3209" t="str">
            <v xml:space="preserve">EXCELLO LATEX BEIGE ARENA     </v>
          </cell>
          <cell r="C3209">
            <v>3</v>
          </cell>
          <cell r="D3209">
            <v>1095</v>
          </cell>
        </row>
        <row r="3210">
          <cell r="A3210" t="str">
            <v>B5NSA10</v>
          </cell>
          <cell r="B3210" t="str">
            <v xml:space="preserve">EXCELLO LATEX BEIGE COMALAPA  </v>
          </cell>
          <cell r="C3210">
            <v>3</v>
          </cell>
          <cell r="D3210">
            <v>1095</v>
          </cell>
        </row>
        <row r="3211">
          <cell r="A3211" t="str">
            <v>B5NSA10-5</v>
          </cell>
          <cell r="B3211" t="str">
            <v xml:space="preserve">EXCELLO LATEX BEIGE COMALAPA  </v>
          </cell>
          <cell r="C3211">
            <v>3</v>
          </cell>
          <cell r="D3211">
            <v>1095</v>
          </cell>
        </row>
        <row r="3212">
          <cell r="A3212" t="str">
            <v>B5NSA18</v>
          </cell>
          <cell r="B3212" t="str">
            <v xml:space="preserve">CT INT LATEX SAT CAFE ZAPOTE  </v>
          </cell>
          <cell r="C3212">
            <v>3</v>
          </cell>
          <cell r="D3212">
            <v>1095</v>
          </cell>
        </row>
        <row r="3213">
          <cell r="A3213" t="str">
            <v>B5NSA18-1</v>
          </cell>
          <cell r="B3213" t="str">
            <v xml:space="preserve">CT INT LATEX SAT CAFE ZAPOTE  </v>
          </cell>
          <cell r="C3213">
            <v>3</v>
          </cell>
          <cell r="D3213">
            <v>1095</v>
          </cell>
        </row>
        <row r="3214">
          <cell r="A3214" t="str">
            <v>B5NSA18-1/4</v>
          </cell>
          <cell r="B3214" t="str">
            <v xml:space="preserve">CT INT LATEX SAT CAFE ZAPOTE  </v>
          </cell>
          <cell r="C3214">
            <v>3</v>
          </cell>
          <cell r="D3214">
            <v>1095</v>
          </cell>
        </row>
        <row r="3215">
          <cell r="A3215" t="str">
            <v>B5NSA3</v>
          </cell>
          <cell r="B3215" t="str">
            <v>EXCELLO LATEX MATE CAFE MADERA</v>
          </cell>
          <cell r="C3215">
            <v>3</v>
          </cell>
          <cell r="D3215">
            <v>1095</v>
          </cell>
        </row>
        <row r="3216">
          <cell r="A3216" t="str">
            <v>B5NSA30-AE</v>
          </cell>
          <cell r="B3216" t="str">
            <v xml:space="preserve">EXCELLO LATEX MATE CAFE NOGAL </v>
          </cell>
          <cell r="C3216">
            <v>3</v>
          </cell>
          <cell r="D3216">
            <v>1095</v>
          </cell>
        </row>
        <row r="3217">
          <cell r="A3217" t="str">
            <v>B5NSA30AE-5</v>
          </cell>
          <cell r="B3217" t="str">
            <v xml:space="preserve">EXCELLO LATEX MATE CAFE NOGAL </v>
          </cell>
          <cell r="C3217">
            <v>3</v>
          </cell>
          <cell r="D3217">
            <v>1095</v>
          </cell>
        </row>
        <row r="3218">
          <cell r="A3218" t="str">
            <v>B5NSA3-1</v>
          </cell>
          <cell r="B3218" t="str">
            <v>EXCELLO LATEX MATE CAFE MADERA</v>
          </cell>
          <cell r="C3218">
            <v>3</v>
          </cell>
          <cell r="D3218">
            <v>1095</v>
          </cell>
        </row>
        <row r="3219">
          <cell r="A3219" t="str">
            <v>B5NSA3-1/4</v>
          </cell>
          <cell r="B3219" t="str">
            <v>EXCELLO LATEX MATE CAFE MADERA</v>
          </cell>
          <cell r="C3219">
            <v>3</v>
          </cell>
          <cell r="D3219">
            <v>1095</v>
          </cell>
        </row>
        <row r="3220">
          <cell r="A3220" t="str">
            <v>B5NSA3-5</v>
          </cell>
          <cell r="B3220" t="str">
            <v xml:space="preserve">EXCELLO LATEX CAFE MADEIRA    </v>
          </cell>
          <cell r="C3220">
            <v>3</v>
          </cell>
          <cell r="D3220">
            <v>1095</v>
          </cell>
        </row>
        <row r="3221">
          <cell r="A3221" t="str">
            <v>B5NSA35</v>
          </cell>
          <cell r="B3221" t="str">
            <v xml:space="preserve">EXCELLO LATEX SATINADO BEIGE  </v>
          </cell>
          <cell r="C3221">
            <v>3</v>
          </cell>
          <cell r="D3221">
            <v>1095</v>
          </cell>
        </row>
        <row r="3222">
          <cell r="A3222" t="str">
            <v>B5NSA35-5</v>
          </cell>
          <cell r="B3222" t="str">
            <v xml:space="preserve">EXCELLO LATEX SATINADO BEIGE  </v>
          </cell>
          <cell r="C3222">
            <v>3</v>
          </cell>
          <cell r="D3222">
            <v>1095</v>
          </cell>
        </row>
        <row r="3223">
          <cell r="A3223" t="str">
            <v>B5NSA36</v>
          </cell>
          <cell r="B3223" t="str">
            <v xml:space="preserve">EXCELLO LATEX SATINADO BEIGE  </v>
          </cell>
          <cell r="C3223">
            <v>3</v>
          </cell>
          <cell r="D3223">
            <v>1095</v>
          </cell>
        </row>
        <row r="3224">
          <cell r="A3224" t="str">
            <v>B5NSA36-5</v>
          </cell>
          <cell r="B3224" t="str">
            <v xml:space="preserve">EXCELLO LATEX SATINADO BEIGE  </v>
          </cell>
          <cell r="C3224">
            <v>3</v>
          </cell>
          <cell r="D3224">
            <v>1095</v>
          </cell>
        </row>
        <row r="3225">
          <cell r="A3225" t="str">
            <v>B5NSA38</v>
          </cell>
          <cell r="B3225" t="str">
            <v xml:space="preserve">EXCELLO LATEX MATE BEIGE      </v>
          </cell>
          <cell r="C3225">
            <v>3</v>
          </cell>
          <cell r="D3225">
            <v>1095</v>
          </cell>
        </row>
        <row r="3226">
          <cell r="A3226" t="str">
            <v>B5NSA38-50</v>
          </cell>
          <cell r="B3226" t="str">
            <v xml:space="preserve">EXCELLO LATEX MATE BEIGE      </v>
          </cell>
          <cell r="C3226">
            <v>3</v>
          </cell>
          <cell r="D3226">
            <v>1095</v>
          </cell>
        </row>
        <row r="3227">
          <cell r="A3227" t="str">
            <v>B5NSA39</v>
          </cell>
          <cell r="B3227" t="str">
            <v xml:space="preserve">EXCELLO LATEX MATE BEIGE OSC  </v>
          </cell>
          <cell r="C3227">
            <v>3</v>
          </cell>
          <cell r="D3227">
            <v>1095</v>
          </cell>
        </row>
        <row r="3228">
          <cell r="A3228" t="str">
            <v>B5NSA39-50</v>
          </cell>
          <cell r="B3228" t="str">
            <v xml:space="preserve">EXCELLO LATEX MATE BEIGE OSC  </v>
          </cell>
          <cell r="C3228">
            <v>3</v>
          </cell>
          <cell r="D3228">
            <v>1095</v>
          </cell>
        </row>
        <row r="3229">
          <cell r="A3229" t="str">
            <v>B5NSA40</v>
          </cell>
          <cell r="B3229" t="str">
            <v xml:space="preserve">EXCELLO LATEX MATE BEIGE EXP  </v>
          </cell>
          <cell r="C3229">
            <v>3</v>
          </cell>
          <cell r="D3229">
            <v>1095</v>
          </cell>
        </row>
        <row r="3230">
          <cell r="A3230" t="str">
            <v>B5NSA40-1</v>
          </cell>
          <cell r="B3230" t="str">
            <v xml:space="preserve">EXCELLO LATEX MATE BEIGE EXP  </v>
          </cell>
          <cell r="C3230">
            <v>3</v>
          </cell>
          <cell r="D3230">
            <v>1095</v>
          </cell>
        </row>
        <row r="3231">
          <cell r="A3231" t="str">
            <v>B5NSA40-5</v>
          </cell>
          <cell r="B3231" t="str">
            <v xml:space="preserve">EXCELLO LATEX MATE BEIGE EXP  </v>
          </cell>
          <cell r="C3231">
            <v>3</v>
          </cell>
          <cell r="D3231">
            <v>1095</v>
          </cell>
        </row>
        <row r="3232">
          <cell r="A3232" t="str">
            <v>B5NSA44-AE</v>
          </cell>
          <cell r="B3232" t="str">
            <v xml:space="preserve">EXCELLO LATEX MATE BEIGE DOR  </v>
          </cell>
          <cell r="C3232">
            <v>3</v>
          </cell>
          <cell r="D3232">
            <v>1095</v>
          </cell>
        </row>
        <row r="3233">
          <cell r="A3233" t="str">
            <v>B5NSA44AE-1</v>
          </cell>
          <cell r="B3233" t="str">
            <v xml:space="preserve">EXCELLO LATEX MATE BEIGE DOR  </v>
          </cell>
          <cell r="C3233">
            <v>3</v>
          </cell>
          <cell r="D3233">
            <v>1095</v>
          </cell>
        </row>
        <row r="3234">
          <cell r="A3234" t="str">
            <v>B5NSA44AE-5</v>
          </cell>
          <cell r="B3234" t="str">
            <v xml:space="preserve">EXCELLO LATEX MATE BEIGE DOR  </v>
          </cell>
          <cell r="C3234">
            <v>3</v>
          </cell>
          <cell r="D3234">
            <v>1095</v>
          </cell>
        </row>
        <row r="3235">
          <cell r="A3235" t="str">
            <v>B5NSA48-AE</v>
          </cell>
          <cell r="B3235" t="str">
            <v xml:space="preserve">EXCELLO LATEX MATE BEIGE      </v>
          </cell>
          <cell r="C3235">
            <v>3</v>
          </cell>
          <cell r="D3235">
            <v>1095</v>
          </cell>
        </row>
        <row r="3236">
          <cell r="A3236" t="str">
            <v>B5NSA48AE-1</v>
          </cell>
          <cell r="B3236" t="str">
            <v xml:space="preserve">EXCELLO LATEX MATE BEIGE      </v>
          </cell>
          <cell r="C3236">
            <v>3</v>
          </cell>
          <cell r="D3236">
            <v>1095</v>
          </cell>
        </row>
        <row r="3237">
          <cell r="A3237" t="str">
            <v>B5NSA48AE-5</v>
          </cell>
          <cell r="B3237" t="str">
            <v xml:space="preserve">EXCELLO LATEX MATE BEIGE      </v>
          </cell>
          <cell r="C3237">
            <v>3</v>
          </cell>
          <cell r="D3237">
            <v>1095</v>
          </cell>
        </row>
        <row r="3238">
          <cell r="A3238" t="str">
            <v>B5NSA51</v>
          </cell>
          <cell r="B3238" t="str">
            <v xml:space="preserve">EXCELLO LATEX MATE CAFÉ       </v>
          </cell>
          <cell r="C3238">
            <v>3</v>
          </cell>
          <cell r="D3238">
            <v>1095</v>
          </cell>
        </row>
        <row r="3239">
          <cell r="A3239" t="str">
            <v>B5NSA51-5</v>
          </cell>
          <cell r="B3239" t="str">
            <v xml:space="preserve">EXCELLO LATEX MATE CAFÉ       </v>
          </cell>
          <cell r="C3239">
            <v>3</v>
          </cell>
          <cell r="D3239">
            <v>1095</v>
          </cell>
        </row>
        <row r="3240">
          <cell r="A3240" t="str">
            <v>B5NSA52</v>
          </cell>
          <cell r="B3240" t="str">
            <v xml:space="preserve">EXCELLO LATEX MATE COBLE      </v>
          </cell>
          <cell r="C3240">
            <v>3</v>
          </cell>
          <cell r="D3240">
            <v>1095</v>
          </cell>
        </row>
        <row r="3241">
          <cell r="A3241" t="str">
            <v>B5NSA52-5</v>
          </cell>
          <cell r="B3241" t="str">
            <v xml:space="preserve">EXCELLO LATEX MATE COBLE      </v>
          </cell>
          <cell r="C3241">
            <v>3</v>
          </cell>
          <cell r="D3241">
            <v>1095</v>
          </cell>
        </row>
        <row r="3242">
          <cell r="A3242" t="str">
            <v>B5PSA4</v>
          </cell>
          <cell r="B3242" t="str">
            <v xml:space="preserve">CT INT LATEX SAT MORA SALVAJE </v>
          </cell>
          <cell r="C3242">
            <v>3</v>
          </cell>
          <cell r="D3242">
            <v>1095</v>
          </cell>
        </row>
        <row r="3243">
          <cell r="A3243" t="str">
            <v>B5PSA4-1</v>
          </cell>
          <cell r="B3243" t="str">
            <v xml:space="preserve">CT INT LATEX SAT MORA SALVAJE </v>
          </cell>
          <cell r="C3243">
            <v>3</v>
          </cell>
          <cell r="D3243">
            <v>1095</v>
          </cell>
        </row>
        <row r="3244">
          <cell r="A3244" t="str">
            <v>B5PSA4-1/4</v>
          </cell>
          <cell r="B3244" t="str">
            <v xml:space="preserve">CT INT LATEX SAT MORA SALVAJE </v>
          </cell>
          <cell r="C3244">
            <v>3</v>
          </cell>
          <cell r="D3244">
            <v>1095</v>
          </cell>
        </row>
        <row r="3245">
          <cell r="A3245" t="str">
            <v>B5PSA5</v>
          </cell>
          <cell r="B3245" t="str">
            <v xml:space="preserve">EXCELLO LATEX MATE MORADO     </v>
          </cell>
          <cell r="C3245">
            <v>3</v>
          </cell>
          <cell r="D3245">
            <v>1095</v>
          </cell>
        </row>
        <row r="3246">
          <cell r="A3246" t="str">
            <v>B5PSA5-1</v>
          </cell>
          <cell r="B3246" t="str">
            <v xml:space="preserve">EXCELLO LATEX MATE MORADO     </v>
          </cell>
          <cell r="C3246">
            <v>3</v>
          </cell>
          <cell r="D3246">
            <v>1095</v>
          </cell>
        </row>
        <row r="3247">
          <cell r="A3247" t="str">
            <v>B5PSA5-5</v>
          </cell>
          <cell r="B3247" t="str">
            <v xml:space="preserve">EXCELLO LATEX MATE MORADO     </v>
          </cell>
          <cell r="C3247">
            <v>3</v>
          </cell>
          <cell r="D3247">
            <v>1095</v>
          </cell>
        </row>
        <row r="3248">
          <cell r="A3248" t="str">
            <v>B5RSA1</v>
          </cell>
          <cell r="B3248" t="str">
            <v xml:space="preserve">EXCELLO LATEX MATE ROJO       </v>
          </cell>
          <cell r="C3248">
            <v>3</v>
          </cell>
          <cell r="D3248">
            <v>1095</v>
          </cell>
        </row>
        <row r="3249">
          <cell r="A3249" t="str">
            <v>B5RSA10</v>
          </cell>
          <cell r="B3249" t="str">
            <v xml:space="preserve">EXCELLO LATEX ROJO VIVO       </v>
          </cell>
          <cell r="C3249">
            <v>3</v>
          </cell>
          <cell r="D3249">
            <v>1095</v>
          </cell>
        </row>
        <row r="3250">
          <cell r="A3250" t="str">
            <v>B5RSA10-1</v>
          </cell>
          <cell r="B3250" t="str">
            <v xml:space="preserve">EXCELLO LATEX ROJO VIVO       </v>
          </cell>
          <cell r="C3250">
            <v>3</v>
          </cell>
          <cell r="D3250">
            <v>1095</v>
          </cell>
        </row>
        <row r="3251">
          <cell r="A3251" t="str">
            <v>B5RSA10-5</v>
          </cell>
          <cell r="B3251" t="str">
            <v xml:space="preserve">EXCELLO LATEX ROJO VIVO       </v>
          </cell>
          <cell r="C3251">
            <v>3</v>
          </cell>
          <cell r="D3251">
            <v>1095</v>
          </cell>
        </row>
        <row r="3252">
          <cell r="A3252" t="str">
            <v>B5RSA1-1</v>
          </cell>
          <cell r="B3252" t="str">
            <v xml:space="preserve">EXCELLO LATEX MATE ROJO       </v>
          </cell>
          <cell r="C3252">
            <v>3</v>
          </cell>
          <cell r="D3252">
            <v>1095</v>
          </cell>
        </row>
        <row r="3253">
          <cell r="A3253" t="str">
            <v>B5RSA1-1/4</v>
          </cell>
          <cell r="B3253" t="str">
            <v xml:space="preserve">EXCELLO LATEX MATE ROJO       </v>
          </cell>
          <cell r="C3253">
            <v>3</v>
          </cell>
          <cell r="D3253">
            <v>1095</v>
          </cell>
        </row>
        <row r="3254">
          <cell r="A3254" t="str">
            <v>B5RSA12</v>
          </cell>
          <cell r="B3254" t="str">
            <v>EXCE LATEX MAT ROSADO ESPUMOSO</v>
          </cell>
          <cell r="C3254">
            <v>3</v>
          </cell>
          <cell r="D3254">
            <v>1095</v>
          </cell>
        </row>
        <row r="3255">
          <cell r="A3255" t="str">
            <v>B5RSA12-1</v>
          </cell>
          <cell r="B3255" t="str">
            <v>EXCE LATEX MAT ROSADO ESPUMOSO</v>
          </cell>
          <cell r="C3255">
            <v>3</v>
          </cell>
          <cell r="D3255">
            <v>1095</v>
          </cell>
        </row>
        <row r="3256">
          <cell r="A3256" t="str">
            <v>B5RSA12-1/4</v>
          </cell>
          <cell r="B3256" t="str">
            <v>EXCE LATEX MAT ROSADO ESPUMOSO</v>
          </cell>
          <cell r="C3256">
            <v>3</v>
          </cell>
          <cell r="D3256">
            <v>1095</v>
          </cell>
        </row>
        <row r="3257">
          <cell r="A3257" t="str">
            <v>B5RSA12-5</v>
          </cell>
          <cell r="B3257" t="str">
            <v xml:space="preserve">EXCELLO LATEX ROSADO ESPUMOSO </v>
          </cell>
          <cell r="C3257">
            <v>3</v>
          </cell>
          <cell r="D3257">
            <v>1095</v>
          </cell>
        </row>
        <row r="3258">
          <cell r="A3258" t="str">
            <v>B5RSA13</v>
          </cell>
          <cell r="B3258" t="str">
            <v xml:space="preserve">EXCELLO LATEX ROJO COLA       </v>
          </cell>
          <cell r="C3258">
            <v>3</v>
          </cell>
          <cell r="D3258">
            <v>1095</v>
          </cell>
        </row>
        <row r="3259">
          <cell r="A3259" t="str">
            <v>B5RSA13-1</v>
          </cell>
          <cell r="B3259" t="str">
            <v xml:space="preserve">EXCELLO LATEX ROJO COLA       </v>
          </cell>
          <cell r="C3259">
            <v>3</v>
          </cell>
          <cell r="D3259">
            <v>1095</v>
          </cell>
        </row>
        <row r="3260">
          <cell r="A3260" t="str">
            <v>B5RSA1-5</v>
          </cell>
          <cell r="B3260" t="str">
            <v xml:space="preserve">EXCELLO LATEX ROJO            </v>
          </cell>
          <cell r="C3260">
            <v>3</v>
          </cell>
          <cell r="D3260">
            <v>1095</v>
          </cell>
        </row>
        <row r="3261">
          <cell r="A3261" t="str">
            <v>B5RSA17</v>
          </cell>
          <cell r="B3261" t="str">
            <v>EXCE LAT MAT ROJOLADRILQUEMADO</v>
          </cell>
          <cell r="C3261">
            <v>3</v>
          </cell>
          <cell r="D3261">
            <v>1095</v>
          </cell>
        </row>
        <row r="3262">
          <cell r="A3262" t="str">
            <v>B5RSA17-1</v>
          </cell>
          <cell r="B3262" t="str">
            <v xml:space="preserve">EXCE LAT MAT ROJO LAD QUEMADO </v>
          </cell>
          <cell r="C3262">
            <v>3</v>
          </cell>
          <cell r="D3262">
            <v>1095</v>
          </cell>
        </row>
        <row r="3263">
          <cell r="A3263" t="str">
            <v>B5RSA17-1/4</v>
          </cell>
          <cell r="B3263" t="str">
            <v xml:space="preserve">EXCE LAT MAT ROJO LAD QUEMADO </v>
          </cell>
          <cell r="C3263">
            <v>3</v>
          </cell>
          <cell r="D3263">
            <v>1095</v>
          </cell>
        </row>
        <row r="3264">
          <cell r="A3264" t="str">
            <v>B5RSA17-5</v>
          </cell>
          <cell r="B3264" t="str">
            <v xml:space="preserve">EXCE LAT MAT ROJO LAD QUEMADO </v>
          </cell>
          <cell r="C3264">
            <v>3</v>
          </cell>
          <cell r="D3264">
            <v>1095</v>
          </cell>
        </row>
        <row r="3265">
          <cell r="A3265" t="str">
            <v>B5RSA17-50</v>
          </cell>
          <cell r="B3265" t="str">
            <v xml:space="preserve">EXCE LAT MAT ROJO LAD QUEMADO </v>
          </cell>
          <cell r="C3265">
            <v>3</v>
          </cell>
          <cell r="D3265">
            <v>1095</v>
          </cell>
        </row>
        <row r="3266">
          <cell r="A3266" t="str">
            <v>B5RSA3</v>
          </cell>
          <cell r="B3266" t="str">
            <v>EXCELLO LATEX MATE ROSA PALIDO</v>
          </cell>
          <cell r="C3266">
            <v>3</v>
          </cell>
          <cell r="D3266">
            <v>1095</v>
          </cell>
        </row>
        <row r="3267">
          <cell r="A3267" t="str">
            <v>B5RSA3-1</v>
          </cell>
          <cell r="B3267" t="str">
            <v>EXCELLO LATEX MATE ROSA PALIDO</v>
          </cell>
          <cell r="C3267">
            <v>3</v>
          </cell>
          <cell r="D3267">
            <v>1095</v>
          </cell>
        </row>
        <row r="3268">
          <cell r="A3268" t="str">
            <v>B5RSA3-1/4</v>
          </cell>
          <cell r="B3268" t="str">
            <v>EXCELLO LATEX MATE ROSA PALIDO</v>
          </cell>
          <cell r="C3268">
            <v>3</v>
          </cell>
          <cell r="D3268">
            <v>1095</v>
          </cell>
        </row>
        <row r="3269">
          <cell r="A3269" t="str">
            <v>B5RSA34</v>
          </cell>
          <cell r="B3269" t="str">
            <v xml:space="preserve">CT INT LATEX SAT ROJO SANDIA  </v>
          </cell>
          <cell r="C3269">
            <v>3</v>
          </cell>
          <cell r="D3269">
            <v>1095</v>
          </cell>
        </row>
        <row r="3270">
          <cell r="A3270" t="str">
            <v>B5RSA34-1</v>
          </cell>
          <cell r="B3270" t="str">
            <v xml:space="preserve">CT INT LATEX SAT ROJO SANDIA  </v>
          </cell>
          <cell r="C3270">
            <v>3</v>
          </cell>
          <cell r="D3270">
            <v>1095</v>
          </cell>
        </row>
        <row r="3271">
          <cell r="A3271" t="str">
            <v>B5RSA34-1/4</v>
          </cell>
          <cell r="B3271" t="str">
            <v xml:space="preserve">CT INT LATEX SAT ROJO SANDIA  </v>
          </cell>
          <cell r="C3271">
            <v>3</v>
          </cell>
          <cell r="D3271">
            <v>1095</v>
          </cell>
        </row>
        <row r="3272">
          <cell r="A3272" t="str">
            <v>B5RSA3-5</v>
          </cell>
          <cell r="B3272" t="str">
            <v xml:space="preserve">EXCELLO LATEX ROSA PALIDO     </v>
          </cell>
          <cell r="C3272">
            <v>3</v>
          </cell>
          <cell r="D3272">
            <v>1095</v>
          </cell>
        </row>
        <row r="3273">
          <cell r="A3273" t="str">
            <v>B5RSA35</v>
          </cell>
          <cell r="B3273" t="str">
            <v xml:space="preserve">CT INT LATEX SAT ROSA MAYA    </v>
          </cell>
          <cell r="C3273">
            <v>3</v>
          </cell>
          <cell r="D3273">
            <v>1095</v>
          </cell>
        </row>
        <row r="3274">
          <cell r="A3274" t="str">
            <v>B5RSA35-1</v>
          </cell>
          <cell r="B3274" t="str">
            <v xml:space="preserve">CT INT LATEX SAT ROSA MAYA    </v>
          </cell>
          <cell r="C3274">
            <v>3</v>
          </cell>
          <cell r="D3274">
            <v>1095</v>
          </cell>
        </row>
        <row r="3275">
          <cell r="A3275" t="str">
            <v>B5RSA35-1/4</v>
          </cell>
          <cell r="B3275" t="str">
            <v xml:space="preserve">CT INT LATEX SAT ROSA MAYA    </v>
          </cell>
          <cell r="C3275">
            <v>3</v>
          </cell>
          <cell r="D3275">
            <v>1095</v>
          </cell>
        </row>
        <row r="3276">
          <cell r="A3276" t="str">
            <v>B5RSA36</v>
          </cell>
          <cell r="B3276" t="str">
            <v xml:space="preserve">EXCELLO LATEX MATE ROJO       </v>
          </cell>
          <cell r="C3276">
            <v>3</v>
          </cell>
          <cell r="D3276">
            <v>1095</v>
          </cell>
        </row>
        <row r="3277">
          <cell r="A3277" t="str">
            <v>B5RSA36-1</v>
          </cell>
          <cell r="B3277" t="str">
            <v xml:space="preserve">EXCELLO LATEX MATE ROJO       </v>
          </cell>
          <cell r="C3277">
            <v>3</v>
          </cell>
          <cell r="D3277">
            <v>1095</v>
          </cell>
        </row>
        <row r="3278">
          <cell r="A3278" t="str">
            <v>B5RSA36-5</v>
          </cell>
          <cell r="B3278" t="str">
            <v xml:space="preserve">EXCELLO LATEX MATE ROJO       </v>
          </cell>
          <cell r="C3278">
            <v>3</v>
          </cell>
          <cell r="D3278">
            <v>1095</v>
          </cell>
        </row>
        <row r="3279">
          <cell r="A3279" t="str">
            <v>B5RSA46-AE</v>
          </cell>
          <cell r="B3279" t="str">
            <v xml:space="preserve">EXCELLO LATEX MATE CORAL MOD  </v>
          </cell>
          <cell r="C3279">
            <v>3</v>
          </cell>
          <cell r="D3279">
            <v>1095</v>
          </cell>
        </row>
        <row r="3280">
          <cell r="A3280" t="str">
            <v>B5RSA46AE-1</v>
          </cell>
          <cell r="B3280" t="str">
            <v xml:space="preserve">EXCELLO LATEX MATE CORAL MOD  </v>
          </cell>
          <cell r="C3280">
            <v>3</v>
          </cell>
          <cell r="D3280">
            <v>1095</v>
          </cell>
        </row>
        <row r="3281">
          <cell r="A3281" t="str">
            <v>B5RSA46AE-5</v>
          </cell>
          <cell r="B3281" t="str">
            <v xml:space="preserve">EXCELLO LATEX MATE CORAL MOD  </v>
          </cell>
          <cell r="C3281">
            <v>3</v>
          </cell>
          <cell r="D3281">
            <v>1095</v>
          </cell>
        </row>
        <row r="3282">
          <cell r="A3282" t="str">
            <v>B5RSA5</v>
          </cell>
          <cell r="B3282" t="str">
            <v>EXCE LAT MAT ROJO LADRILLO ESP</v>
          </cell>
          <cell r="C3282">
            <v>3</v>
          </cell>
          <cell r="D3282">
            <v>1095</v>
          </cell>
        </row>
        <row r="3283">
          <cell r="A3283" t="str">
            <v>B5RSA50-AE</v>
          </cell>
          <cell r="B3283" t="str">
            <v xml:space="preserve">EXCELLO LATEX MATE SEDONA     </v>
          </cell>
          <cell r="C3283">
            <v>3</v>
          </cell>
          <cell r="D3283">
            <v>1095</v>
          </cell>
        </row>
        <row r="3284">
          <cell r="A3284" t="str">
            <v>B5RSA50AE-1</v>
          </cell>
          <cell r="B3284" t="str">
            <v xml:space="preserve">EXCELLO LATEX MATE SEDONA     </v>
          </cell>
          <cell r="C3284">
            <v>3</v>
          </cell>
          <cell r="D3284">
            <v>1095</v>
          </cell>
        </row>
        <row r="3285">
          <cell r="A3285" t="str">
            <v>B5RSA5-1</v>
          </cell>
          <cell r="B3285" t="str">
            <v>EXCE LAT MAT ROJO LADRILLO ESP</v>
          </cell>
          <cell r="C3285">
            <v>3</v>
          </cell>
          <cell r="D3285">
            <v>1095</v>
          </cell>
        </row>
        <row r="3286">
          <cell r="A3286" t="str">
            <v>B5RSA5-1/4</v>
          </cell>
          <cell r="B3286" t="str">
            <v xml:space="preserve">EXCELLO LATEX ROJO LADR ESP   </v>
          </cell>
          <cell r="C3286">
            <v>3</v>
          </cell>
          <cell r="D3286">
            <v>1095</v>
          </cell>
        </row>
        <row r="3287">
          <cell r="A3287" t="str">
            <v>B5RSA51-AE</v>
          </cell>
          <cell r="B3287" t="str">
            <v xml:space="preserve">EXCELLO LATEX MATE SUMMER     </v>
          </cell>
          <cell r="C3287">
            <v>3</v>
          </cell>
          <cell r="D3287">
            <v>1095</v>
          </cell>
        </row>
        <row r="3288">
          <cell r="A3288" t="str">
            <v>B5RSA51AE-1</v>
          </cell>
          <cell r="B3288" t="str">
            <v xml:space="preserve">EXCELLO LATEX MATE SUMMER     </v>
          </cell>
          <cell r="C3288">
            <v>3</v>
          </cell>
          <cell r="D3288">
            <v>1095</v>
          </cell>
        </row>
        <row r="3289">
          <cell r="A3289" t="str">
            <v>B5RSA54-AE</v>
          </cell>
          <cell r="B3289" t="str">
            <v xml:space="preserve">EXCELLO LATEX ROJO LADRILLO   </v>
          </cell>
          <cell r="C3289">
            <v>3</v>
          </cell>
          <cell r="D3289">
            <v>1095</v>
          </cell>
        </row>
        <row r="3290">
          <cell r="A3290" t="str">
            <v>B5RSA54AE-5</v>
          </cell>
          <cell r="B3290" t="str">
            <v xml:space="preserve">EXCELLO LATEX ROJO LADRILLO   </v>
          </cell>
          <cell r="C3290">
            <v>3</v>
          </cell>
          <cell r="D3290">
            <v>1095</v>
          </cell>
        </row>
        <row r="3291">
          <cell r="A3291" t="str">
            <v>B5RSA5-5</v>
          </cell>
          <cell r="B3291" t="str">
            <v xml:space="preserve">EXCELLO LATEX ROJO LADR ESP   </v>
          </cell>
          <cell r="C3291">
            <v>3</v>
          </cell>
          <cell r="D3291">
            <v>1095</v>
          </cell>
        </row>
        <row r="3292">
          <cell r="A3292" t="str">
            <v>B5RSA56</v>
          </cell>
          <cell r="B3292" t="str">
            <v xml:space="preserve">EXCELLO LATEX MATE ROJO OXIDO </v>
          </cell>
          <cell r="C3292">
            <v>3</v>
          </cell>
          <cell r="D3292">
            <v>1095</v>
          </cell>
        </row>
        <row r="3293">
          <cell r="A3293" t="str">
            <v>B5RSA56-5</v>
          </cell>
          <cell r="B3293" t="str">
            <v xml:space="preserve">EXCELLO LATEX MATE ROJO OXIDO </v>
          </cell>
          <cell r="C3293">
            <v>3</v>
          </cell>
          <cell r="D3293">
            <v>1095</v>
          </cell>
        </row>
        <row r="3294">
          <cell r="A3294" t="str">
            <v>B5RSA57</v>
          </cell>
          <cell r="B3294" t="str">
            <v xml:space="preserve">EXCELLO LATEX MATE CORAL      </v>
          </cell>
          <cell r="C3294">
            <v>3</v>
          </cell>
          <cell r="D3294">
            <v>1095</v>
          </cell>
        </row>
        <row r="3295">
          <cell r="A3295" t="str">
            <v>B5RSA57-5</v>
          </cell>
          <cell r="B3295" t="str">
            <v xml:space="preserve">EXCELLO LATEX MATE CORAL      </v>
          </cell>
          <cell r="C3295">
            <v>3</v>
          </cell>
          <cell r="D3295">
            <v>1095</v>
          </cell>
        </row>
        <row r="3296">
          <cell r="A3296" t="str">
            <v>B5RSA59</v>
          </cell>
          <cell r="B3296" t="str">
            <v>EXCELLO LATEX MATE ROJO MAPFRE</v>
          </cell>
          <cell r="C3296">
            <v>3</v>
          </cell>
          <cell r="D3296">
            <v>1095</v>
          </cell>
        </row>
        <row r="3297">
          <cell r="A3297" t="str">
            <v>B5RSA59-5</v>
          </cell>
          <cell r="B3297" t="str">
            <v>EXCELLO LATEX MATE ROJO MAPFRE</v>
          </cell>
          <cell r="C3297">
            <v>3</v>
          </cell>
          <cell r="D3297">
            <v>1095</v>
          </cell>
        </row>
        <row r="3298">
          <cell r="A3298" t="str">
            <v>B5RSA6</v>
          </cell>
          <cell r="B3298" t="str">
            <v>EXCEL LATEX MAT ROSADO CHIFFON</v>
          </cell>
          <cell r="C3298">
            <v>3</v>
          </cell>
          <cell r="D3298">
            <v>1095</v>
          </cell>
        </row>
        <row r="3299">
          <cell r="A3299" t="str">
            <v>B5RSA6-1</v>
          </cell>
          <cell r="B3299" t="str">
            <v>EXCEL LATEX MAT ROSADO CHIFFON</v>
          </cell>
          <cell r="C3299">
            <v>3</v>
          </cell>
          <cell r="D3299">
            <v>1095</v>
          </cell>
        </row>
        <row r="3300">
          <cell r="A3300" t="str">
            <v>B5RSA6-1/4</v>
          </cell>
          <cell r="B3300" t="str">
            <v>EXCEL LATEX MAT ROSADO CHIFFON</v>
          </cell>
          <cell r="C3300">
            <v>3</v>
          </cell>
          <cell r="D3300">
            <v>1095</v>
          </cell>
        </row>
        <row r="3301">
          <cell r="A3301" t="str">
            <v>B5RSA6-5</v>
          </cell>
          <cell r="B3301" t="str">
            <v xml:space="preserve">EXCELLO LATEX ROSADO CHIFFON  </v>
          </cell>
          <cell r="C3301">
            <v>3</v>
          </cell>
          <cell r="D3301">
            <v>1095</v>
          </cell>
        </row>
        <row r="3302">
          <cell r="A3302" t="str">
            <v>B5RSA7</v>
          </cell>
          <cell r="B3302" t="str">
            <v xml:space="preserve">EXCELLO LATEX ROJO LADRILLO   </v>
          </cell>
          <cell r="C3302">
            <v>3</v>
          </cell>
          <cell r="D3302">
            <v>1095</v>
          </cell>
        </row>
        <row r="3303">
          <cell r="A3303" t="str">
            <v>B5RSA7-1</v>
          </cell>
          <cell r="B3303" t="str">
            <v xml:space="preserve">EXCELLO LATEX ROJO LADRILLO   </v>
          </cell>
          <cell r="C3303">
            <v>3</v>
          </cell>
          <cell r="D3303">
            <v>1095</v>
          </cell>
        </row>
        <row r="3304">
          <cell r="A3304" t="str">
            <v>B5RSA8</v>
          </cell>
          <cell r="B3304" t="str">
            <v>EXCELL LATEX MAT ROJO LADRILLO</v>
          </cell>
          <cell r="C3304">
            <v>3</v>
          </cell>
          <cell r="D3304">
            <v>1095</v>
          </cell>
        </row>
        <row r="3305">
          <cell r="A3305" t="str">
            <v>B5RSA8-1</v>
          </cell>
          <cell r="B3305" t="str">
            <v>EXCELL LATEX MAT ROJO LADRILLO</v>
          </cell>
          <cell r="C3305">
            <v>3</v>
          </cell>
          <cell r="D3305">
            <v>1095</v>
          </cell>
        </row>
        <row r="3306">
          <cell r="A3306" t="str">
            <v>B5RSA8-1/4</v>
          </cell>
          <cell r="B3306" t="str">
            <v>EXCELL LATEX MAT ROJO LADRILLO</v>
          </cell>
          <cell r="C3306">
            <v>3</v>
          </cell>
          <cell r="D3306">
            <v>1095</v>
          </cell>
        </row>
        <row r="3307">
          <cell r="A3307" t="str">
            <v>B5RSA8-5</v>
          </cell>
          <cell r="B3307" t="str">
            <v>EXCELL LATEX MAT ROJO LADRILLO</v>
          </cell>
          <cell r="C3307">
            <v>3</v>
          </cell>
          <cell r="D3307">
            <v>1095</v>
          </cell>
        </row>
        <row r="3308">
          <cell r="A3308" t="str">
            <v>B5RSA8-50</v>
          </cell>
          <cell r="B3308" t="str">
            <v xml:space="preserve">EXCELLO LATEX ROJO LADRILLO   </v>
          </cell>
          <cell r="C3308">
            <v>3</v>
          </cell>
          <cell r="D3308">
            <v>1095</v>
          </cell>
        </row>
        <row r="3309">
          <cell r="A3309" t="str">
            <v>B5RSA9</v>
          </cell>
          <cell r="B3309" t="str">
            <v>EXCELLO LATEX ROJO PARA TECHOS</v>
          </cell>
          <cell r="C3309">
            <v>3</v>
          </cell>
          <cell r="D3309">
            <v>1095</v>
          </cell>
        </row>
        <row r="3310">
          <cell r="A3310" t="str">
            <v>B5RSA9-1</v>
          </cell>
          <cell r="B3310" t="str">
            <v>EXCELLO LATEX ROJO PARA TECHOS</v>
          </cell>
          <cell r="C3310">
            <v>3</v>
          </cell>
          <cell r="D3310">
            <v>1095</v>
          </cell>
        </row>
        <row r="3311">
          <cell r="A3311" t="str">
            <v>B5W54</v>
          </cell>
          <cell r="B3311" t="str">
            <v>EXCELLO LATEX MAT BLANCO ANTIG</v>
          </cell>
          <cell r="C3311">
            <v>3</v>
          </cell>
          <cell r="D3311">
            <v>1095</v>
          </cell>
        </row>
        <row r="3312">
          <cell r="A3312" t="str">
            <v>B5W54-1</v>
          </cell>
          <cell r="B3312" t="str">
            <v>EXCELLO LATEX MAT BLANCO ANTIG</v>
          </cell>
          <cell r="C3312">
            <v>3</v>
          </cell>
          <cell r="D3312">
            <v>1095</v>
          </cell>
        </row>
        <row r="3313">
          <cell r="A3313" t="str">
            <v>B5W54-1/4</v>
          </cell>
          <cell r="B3313" t="str">
            <v>EXCELLO LATEX MAT BLANCO ANTIG</v>
          </cell>
          <cell r="C3313">
            <v>3</v>
          </cell>
          <cell r="D3313">
            <v>1095</v>
          </cell>
        </row>
        <row r="3314">
          <cell r="A3314" t="str">
            <v>B5W54-5</v>
          </cell>
          <cell r="B3314" t="str">
            <v>EXCELLO LATEX MAT BLANCO ANTIG</v>
          </cell>
          <cell r="C3314">
            <v>3</v>
          </cell>
          <cell r="D3314">
            <v>1095</v>
          </cell>
        </row>
        <row r="3315">
          <cell r="A3315" t="str">
            <v>B5W57</v>
          </cell>
          <cell r="B3315" t="str">
            <v xml:space="preserve">EXCELLO LATEX MATE BLANCO     </v>
          </cell>
          <cell r="C3315">
            <v>3</v>
          </cell>
          <cell r="D3315">
            <v>1095</v>
          </cell>
        </row>
        <row r="3316">
          <cell r="A3316" t="str">
            <v>B5W57-1</v>
          </cell>
          <cell r="B3316" t="str">
            <v xml:space="preserve">EXCELLO LATEX MATE BLANCO     </v>
          </cell>
          <cell r="C3316">
            <v>3</v>
          </cell>
          <cell r="D3316">
            <v>1095</v>
          </cell>
        </row>
        <row r="3317">
          <cell r="A3317" t="str">
            <v>B5W57-1/4</v>
          </cell>
          <cell r="B3317" t="str">
            <v xml:space="preserve">EXCELLO LATEX MATE BLANCO     </v>
          </cell>
          <cell r="C3317">
            <v>3</v>
          </cell>
          <cell r="D3317">
            <v>1095</v>
          </cell>
        </row>
        <row r="3318">
          <cell r="A3318" t="str">
            <v>B5W57-5</v>
          </cell>
          <cell r="B3318" t="str">
            <v xml:space="preserve">EXCELLO LATEX MATE BLANCO     </v>
          </cell>
          <cell r="C3318">
            <v>3</v>
          </cell>
          <cell r="D3318">
            <v>1095</v>
          </cell>
        </row>
        <row r="3319">
          <cell r="A3319" t="str">
            <v>B5W57-50</v>
          </cell>
          <cell r="B3319" t="str">
            <v xml:space="preserve">EXCELLO LATEX BLANCO          </v>
          </cell>
          <cell r="C3319">
            <v>3</v>
          </cell>
          <cell r="D3319">
            <v>1095</v>
          </cell>
        </row>
        <row r="3320">
          <cell r="A3320" t="str">
            <v>B5W57-AE</v>
          </cell>
          <cell r="B3320" t="str">
            <v xml:space="preserve">EXCELLO LATEX MATE BLANCO     </v>
          </cell>
          <cell r="C3320">
            <v>3</v>
          </cell>
          <cell r="D3320">
            <v>1095</v>
          </cell>
        </row>
        <row r="3321">
          <cell r="A3321" t="str">
            <v>B5W57AE-1</v>
          </cell>
          <cell r="B3321" t="str">
            <v xml:space="preserve">EXCELLO LATEX MATE BLANCO     </v>
          </cell>
          <cell r="C3321">
            <v>3</v>
          </cell>
          <cell r="D3321">
            <v>1095</v>
          </cell>
        </row>
        <row r="3322">
          <cell r="A3322" t="str">
            <v>B5W57AE-1/4</v>
          </cell>
          <cell r="B3322" t="str">
            <v xml:space="preserve">EXCELLO LATEX BLANCO          </v>
          </cell>
          <cell r="C3322">
            <v>3</v>
          </cell>
          <cell r="D3322">
            <v>1095</v>
          </cell>
        </row>
        <row r="3323">
          <cell r="A3323" t="str">
            <v>B5W57AE-5</v>
          </cell>
          <cell r="B3323" t="str">
            <v xml:space="preserve">EXCELLO LATEX MATE BLANCO     </v>
          </cell>
          <cell r="C3323">
            <v>3</v>
          </cell>
          <cell r="D3323">
            <v>1095</v>
          </cell>
        </row>
        <row r="3324">
          <cell r="A3324" t="str">
            <v>B5WSA10</v>
          </cell>
          <cell r="B3324" t="str">
            <v>EXCELLO LATEX MAT BLANCO DOVER</v>
          </cell>
          <cell r="C3324">
            <v>3</v>
          </cell>
          <cell r="D3324">
            <v>1095</v>
          </cell>
        </row>
        <row r="3325">
          <cell r="A3325" t="str">
            <v>B5WSA10-1</v>
          </cell>
          <cell r="B3325" t="str">
            <v>EXCELLO LATEX MAT BLANCO DOVER</v>
          </cell>
          <cell r="C3325">
            <v>3</v>
          </cell>
          <cell r="D3325">
            <v>1095</v>
          </cell>
        </row>
        <row r="3326">
          <cell r="A3326" t="str">
            <v>B5WSA10-1/4</v>
          </cell>
          <cell r="B3326" t="str">
            <v>EXCELLO LATEX MAT BLANCO DOVER</v>
          </cell>
          <cell r="C3326">
            <v>3</v>
          </cell>
          <cell r="D3326">
            <v>1095</v>
          </cell>
        </row>
        <row r="3327">
          <cell r="A3327" t="str">
            <v>B5WSA10-5</v>
          </cell>
          <cell r="B3327" t="str">
            <v>EXCELLO LATEX MAT BLANCO DOVER</v>
          </cell>
          <cell r="C3327">
            <v>3</v>
          </cell>
          <cell r="D3327">
            <v>1095</v>
          </cell>
        </row>
        <row r="3328">
          <cell r="A3328" t="str">
            <v>B5WSA10-50</v>
          </cell>
          <cell r="B3328" t="str">
            <v xml:space="preserve">EXCELLO LATEX BLANCO DOVER    </v>
          </cell>
          <cell r="C3328">
            <v>3</v>
          </cell>
          <cell r="D3328">
            <v>1095</v>
          </cell>
        </row>
        <row r="3329">
          <cell r="A3329" t="str">
            <v>B5WSA11</v>
          </cell>
          <cell r="B3329" t="str">
            <v>EXCELLO LATEX MATE BLANCO LILA</v>
          </cell>
          <cell r="C3329">
            <v>3</v>
          </cell>
          <cell r="D3329">
            <v>1095</v>
          </cell>
        </row>
        <row r="3330">
          <cell r="A3330" t="str">
            <v>B5WSA11-1</v>
          </cell>
          <cell r="B3330" t="str">
            <v>EXCELLO LATEX MATE BLANCO LILA</v>
          </cell>
          <cell r="C3330">
            <v>3</v>
          </cell>
          <cell r="D3330">
            <v>1095</v>
          </cell>
        </row>
        <row r="3331">
          <cell r="A3331" t="str">
            <v>B5WSA11-1/4</v>
          </cell>
          <cell r="B3331" t="str">
            <v>EXCELLO LATEX MATE BLANCO LILA</v>
          </cell>
          <cell r="C3331">
            <v>3</v>
          </cell>
          <cell r="D3331">
            <v>1095</v>
          </cell>
        </row>
        <row r="3332">
          <cell r="A3332" t="str">
            <v>B5WSA11-5</v>
          </cell>
          <cell r="B3332" t="str">
            <v>EXCELLO LATEX MATE BLANCO LILA</v>
          </cell>
          <cell r="C3332">
            <v>3</v>
          </cell>
          <cell r="D3332">
            <v>1095</v>
          </cell>
        </row>
        <row r="3333">
          <cell r="A3333" t="str">
            <v>B5WSA12</v>
          </cell>
          <cell r="B3333" t="str">
            <v xml:space="preserve">EXCELLO LATEX MATE BCO NAVAJO </v>
          </cell>
          <cell r="C3333">
            <v>3</v>
          </cell>
          <cell r="D3333">
            <v>1095</v>
          </cell>
        </row>
        <row r="3334">
          <cell r="A3334" t="str">
            <v>B5WSA12-1</v>
          </cell>
          <cell r="B3334" t="str">
            <v xml:space="preserve">EXCELLO LATEX MATE BCO NAVAJO </v>
          </cell>
          <cell r="C3334">
            <v>3</v>
          </cell>
          <cell r="D3334">
            <v>1095</v>
          </cell>
        </row>
        <row r="3335">
          <cell r="A3335" t="str">
            <v>B5WSA12-1/4</v>
          </cell>
          <cell r="B3335" t="str">
            <v xml:space="preserve">EXCELLO LATEX MATE BCO NAVAJO </v>
          </cell>
          <cell r="C3335">
            <v>3</v>
          </cell>
          <cell r="D3335">
            <v>1095</v>
          </cell>
        </row>
        <row r="3336">
          <cell r="A3336" t="str">
            <v>B5WSA12-5</v>
          </cell>
          <cell r="B3336" t="str">
            <v xml:space="preserve">EXCELLO LATEX MATE BCO NAVAJO </v>
          </cell>
          <cell r="C3336">
            <v>3</v>
          </cell>
          <cell r="D3336">
            <v>1095</v>
          </cell>
        </row>
        <row r="3337">
          <cell r="A3337" t="str">
            <v>B5WSA13</v>
          </cell>
          <cell r="B3337" t="str">
            <v xml:space="preserve">EXCELLO LATEX MATE BCO LUNA   </v>
          </cell>
          <cell r="C3337">
            <v>3</v>
          </cell>
          <cell r="D3337">
            <v>1095</v>
          </cell>
        </row>
        <row r="3338">
          <cell r="A3338" t="str">
            <v>B5WSA13-1</v>
          </cell>
          <cell r="B3338" t="str">
            <v xml:space="preserve">EXCELLO LATEX MATE BCO LUNA   </v>
          </cell>
          <cell r="C3338">
            <v>3</v>
          </cell>
          <cell r="D3338">
            <v>1095</v>
          </cell>
        </row>
        <row r="3339">
          <cell r="A3339" t="str">
            <v>B5WSA13-1/4</v>
          </cell>
          <cell r="B3339" t="str">
            <v>EXCELLO LATEX MATE BLANCO LUNA</v>
          </cell>
          <cell r="C3339">
            <v>3</v>
          </cell>
          <cell r="D3339">
            <v>1095</v>
          </cell>
        </row>
        <row r="3340">
          <cell r="A3340" t="str">
            <v>B5WSA13-5</v>
          </cell>
          <cell r="B3340" t="str">
            <v xml:space="preserve">EXCELLO LATEX BLANCO LUNA     </v>
          </cell>
          <cell r="C3340">
            <v>3</v>
          </cell>
          <cell r="D3340">
            <v>1095</v>
          </cell>
        </row>
        <row r="3341">
          <cell r="A3341" t="str">
            <v>B5WSA16</v>
          </cell>
          <cell r="B3341" t="str">
            <v xml:space="preserve">EXCE LATEX MATE NEW BCO OSTRA </v>
          </cell>
          <cell r="C3341">
            <v>3</v>
          </cell>
          <cell r="D3341">
            <v>1095</v>
          </cell>
        </row>
        <row r="3342">
          <cell r="A3342" t="str">
            <v>B5WSA16-1</v>
          </cell>
          <cell r="B3342" t="str">
            <v>EXCE LATEX MATE N BLANCO OSTRA</v>
          </cell>
          <cell r="C3342">
            <v>3</v>
          </cell>
          <cell r="D3342">
            <v>1095</v>
          </cell>
        </row>
        <row r="3343">
          <cell r="A3343" t="str">
            <v>B5WSA16-1/4</v>
          </cell>
          <cell r="B3343" t="str">
            <v>EXCE LATEX MATE N BLANCO OSTRA</v>
          </cell>
          <cell r="C3343">
            <v>3</v>
          </cell>
          <cell r="D3343">
            <v>1095</v>
          </cell>
        </row>
        <row r="3344">
          <cell r="A3344" t="str">
            <v>B5WSA16-5</v>
          </cell>
          <cell r="B3344" t="str">
            <v>EXCE LATEX MATE N BLANCO OSTRA</v>
          </cell>
          <cell r="C3344">
            <v>3</v>
          </cell>
          <cell r="D3344">
            <v>1095</v>
          </cell>
        </row>
        <row r="3345">
          <cell r="A3345" t="str">
            <v>B5WSA18</v>
          </cell>
          <cell r="B3345" t="str">
            <v xml:space="preserve">EXCELLO LATEX BLANCO SIMAN    </v>
          </cell>
          <cell r="C3345">
            <v>3</v>
          </cell>
          <cell r="D3345">
            <v>1095</v>
          </cell>
        </row>
        <row r="3346">
          <cell r="A3346" t="str">
            <v>B5WSA18-5</v>
          </cell>
          <cell r="B3346" t="str">
            <v xml:space="preserve">EXCELLO LATEX BLANCO SIMAN    </v>
          </cell>
          <cell r="C3346">
            <v>3</v>
          </cell>
          <cell r="D3346">
            <v>1095</v>
          </cell>
        </row>
        <row r="3347">
          <cell r="A3347" t="str">
            <v>B5WSA30-AE</v>
          </cell>
          <cell r="B3347" t="str">
            <v>EXCELLO LATEX MATE SUMMER WHIT</v>
          </cell>
          <cell r="C3347">
            <v>3</v>
          </cell>
          <cell r="D3347">
            <v>1095</v>
          </cell>
        </row>
        <row r="3348">
          <cell r="A3348" t="str">
            <v>B5WSA30AE-1</v>
          </cell>
          <cell r="B3348" t="str">
            <v>EXCELLO LATEX MATE SUMMER WHIT</v>
          </cell>
          <cell r="C3348">
            <v>3</v>
          </cell>
          <cell r="D3348">
            <v>1095</v>
          </cell>
        </row>
        <row r="3349">
          <cell r="A3349" t="str">
            <v>B5WSA31</v>
          </cell>
          <cell r="B3349" t="str">
            <v xml:space="preserve">EXCELLO LATEX MATE BLANCO     </v>
          </cell>
          <cell r="C3349">
            <v>3</v>
          </cell>
          <cell r="D3349">
            <v>1095</v>
          </cell>
        </row>
        <row r="3350">
          <cell r="A3350" t="str">
            <v>B5WSA31-5</v>
          </cell>
          <cell r="B3350" t="str">
            <v xml:space="preserve">EXCELLO LATEX MATE BLANCO     </v>
          </cell>
          <cell r="C3350">
            <v>3</v>
          </cell>
          <cell r="D3350">
            <v>1095</v>
          </cell>
        </row>
        <row r="3351">
          <cell r="A3351" t="str">
            <v>B5WSA35</v>
          </cell>
          <cell r="B3351" t="str">
            <v xml:space="preserve">EXCELLO LATEX SATINADO BLANCO </v>
          </cell>
          <cell r="C3351">
            <v>3</v>
          </cell>
          <cell r="D3351">
            <v>1095</v>
          </cell>
        </row>
        <row r="3352">
          <cell r="A3352" t="str">
            <v>B5WSA35-5</v>
          </cell>
          <cell r="B3352" t="str">
            <v xml:space="preserve">EXCELLO LATEX SATINADO BLANCO </v>
          </cell>
          <cell r="C3352">
            <v>3</v>
          </cell>
          <cell r="D3352">
            <v>1095</v>
          </cell>
        </row>
        <row r="3353">
          <cell r="A3353" t="str">
            <v>B5WSA37</v>
          </cell>
          <cell r="B3353" t="str">
            <v xml:space="preserve">EXCELLO LATEX MATE BLANCO ANT </v>
          </cell>
          <cell r="C3353">
            <v>3</v>
          </cell>
          <cell r="D3353">
            <v>1095</v>
          </cell>
        </row>
        <row r="3354">
          <cell r="A3354" t="str">
            <v>B5WSA37-1</v>
          </cell>
          <cell r="B3354" t="str">
            <v xml:space="preserve">EXCELLO LATEX MATE BLANCO ANT </v>
          </cell>
          <cell r="C3354">
            <v>3</v>
          </cell>
          <cell r="D3354">
            <v>1095</v>
          </cell>
        </row>
        <row r="3355">
          <cell r="A3355" t="str">
            <v>B5WSA38</v>
          </cell>
          <cell r="B3355" t="str">
            <v>EXCELLO LATEX MATE BLANCO REAL</v>
          </cell>
          <cell r="C3355">
            <v>3</v>
          </cell>
          <cell r="D3355">
            <v>1095</v>
          </cell>
        </row>
        <row r="3356">
          <cell r="A3356" t="str">
            <v>B5WSA38-5</v>
          </cell>
          <cell r="B3356" t="str">
            <v>EXCELLO LATEX MATE BLANCO REAL</v>
          </cell>
          <cell r="C3356">
            <v>3</v>
          </cell>
          <cell r="D3356">
            <v>1095</v>
          </cell>
        </row>
        <row r="3357">
          <cell r="A3357" t="str">
            <v>B5WSA43</v>
          </cell>
          <cell r="B3357" t="str">
            <v>EXCELLO LAT MATE RESERVE WHITE</v>
          </cell>
          <cell r="C3357">
            <v>3</v>
          </cell>
          <cell r="D3357">
            <v>1095</v>
          </cell>
        </row>
        <row r="3358">
          <cell r="A3358" t="str">
            <v>B5WSA43-1</v>
          </cell>
          <cell r="B3358" t="str">
            <v>EXCELLO LAT MATE RESERVE WHITE</v>
          </cell>
          <cell r="C3358">
            <v>3</v>
          </cell>
          <cell r="D3358">
            <v>1095</v>
          </cell>
        </row>
        <row r="3359">
          <cell r="A3359" t="str">
            <v>B5WSA43-5</v>
          </cell>
          <cell r="B3359" t="str">
            <v>EXCELLO LAT MATE RESERVE WHITE</v>
          </cell>
          <cell r="C3359">
            <v>3</v>
          </cell>
          <cell r="D3359">
            <v>1095</v>
          </cell>
        </row>
        <row r="3360">
          <cell r="A3360" t="str">
            <v>B5WSA44-AE</v>
          </cell>
          <cell r="B3360" t="str">
            <v>EXCELLO LATEX MATE SPARE WHITE</v>
          </cell>
          <cell r="C3360">
            <v>3</v>
          </cell>
          <cell r="D3360">
            <v>1095</v>
          </cell>
        </row>
        <row r="3361">
          <cell r="A3361" t="str">
            <v>B5WSA44AE-5</v>
          </cell>
          <cell r="B3361" t="str">
            <v>EXCELLO LATEX MATE SPARE WHITE</v>
          </cell>
          <cell r="C3361">
            <v>3</v>
          </cell>
          <cell r="D3361">
            <v>1095</v>
          </cell>
        </row>
        <row r="3362">
          <cell r="A3362" t="str">
            <v>B5WSA45</v>
          </cell>
          <cell r="B3362" t="str">
            <v xml:space="preserve">EXCELLO LATEX MATE BLANCO MAT </v>
          </cell>
          <cell r="C3362">
            <v>3</v>
          </cell>
          <cell r="D3362">
            <v>1095</v>
          </cell>
        </row>
        <row r="3363">
          <cell r="A3363" t="str">
            <v>B5WSA45-5</v>
          </cell>
          <cell r="B3363" t="str">
            <v xml:space="preserve">EXCELLO LATEX MATE BLANCO MAT </v>
          </cell>
          <cell r="C3363">
            <v>3</v>
          </cell>
          <cell r="D3363">
            <v>1095</v>
          </cell>
        </row>
        <row r="3364">
          <cell r="A3364" t="str">
            <v>B5WSA46</v>
          </cell>
          <cell r="B3364" t="str">
            <v>EXCELLO LAT MATE BLANCO DIGICE</v>
          </cell>
          <cell r="C3364">
            <v>3</v>
          </cell>
          <cell r="D3364">
            <v>1095</v>
          </cell>
        </row>
        <row r="3365">
          <cell r="A3365" t="str">
            <v>B5WSA46-1</v>
          </cell>
          <cell r="B3365" t="str">
            <v>EXCELLO LAT MATE BLANCO DIGICE</v>
          </cell>
          <cell r="C3365">
            <v>3</v>
          </cell>
          <cell r="D3365">
            <v>1095</v>
          </cell>
        </row>
        <row r="3366">
          <cell r="A3366" t="str">
            <v>B5WSA46-5</v>
          </cell>
          <cell r="B3366" t="str">
            <v>EXCELLO LAT MATE BLANCO DIGICE</v>
          </cell>
          <cell r="C3366">
            <v>3</v>
          </cell>
          <cell r="D3366">
            <v>1095</v>
          </cell>
        </row>
        <row r="3367">
          <cell r="A3367" t="str">
            <v>B5WSA7</v>
          </cell>
          <cell r="B3367" t="str">
            <v xml:space="preserve">EXCELLO LATEX MATE BCO HUESO  </v>
          </cell>
          <cell r="C3367">
            <v>3</v>
          </cell>
          <cell r="D3367">
            <v>1095</v>
          </cell>
        </row>
        <row r="3368">
          <cell r="A3368" t="str">
            <v>B5WSA7-1</v>
          </cell>
          <cell r="B3368" t="str">
            <v xml:space="preserve">EXCELLO LATEX MATE BCO HUESO  </v>
          </cell>
          <cell r="C3368">
            <v>3</v>
          </cell>
          <cell r="D3368">
            <v>1095</v>
          </cell>
        </row>
        <row r="3369">
          <cell r="A3369" t="str">
            <v>B5WSA7-1/4</v>
          </cell>
          <cell r="B3369" t="str">
            <v xml:space="preserve">EXCELLO LATEX MATE BCO HUESO  </v>
          </cell>
          <cell r="C3369">
            <v>3</v>
          </cell>
          <cell r="D3369">
            <v>1095</v>
          </cell>
        </row>
        <row r="3370">
          <cell r="A3370" t="str">
            <v>B5WSA7-5</v>
          </cell>
          <cell r="B3370" t="str">
            <v xml:space="preserve">EXCELLO LATEX MATE BCO HUESO  </v>
          </cell>
          <cell r="C3370">
            <v>3</v>
          </cell>
          <cell r="D3370">
            <v>1095</v>
          </cell>
        </row>
        <row r="3371">
          <cell r="A3371" t="str">
            <v>B5WSA7-50</v>
          </cell>
          <cell r="B3371" t="str">
            <v xml:space="preserve">EXCELLO LATEX BLANCO HUESO    </v>
          </cell>
          <cell r="C3371">
            <v>3</v>
          </cell>
          <cell r="D3371">
            <v>1095</v>
          </cell>
        </row>
        <row r="3372">
          <cell r="A3372" t="str">
            <v>B5WSA7-AE</v>
          </cell>
          <cell r="B3372" t="str">
            <v xml:space="preserve">EXCELLO LATEX BLANCO HUESO    </v>
          </cell>
          <cell r="C3372">
            <v>3</v>
          </cell>
          <cell r="D3372">
            <v>1095</v>
          </cell>
        </row>
        <row r="3373">
          <cell r="A3373" t="str">
            <v>B5WSA7AE-1</v>
          </cell>
          <cell r="B3373" t="str">
            <v xml:space="preserve">EXCELLO LATEX BLANCO HUESO    </v>
          </cell>
          <cell r="C3373">
            <v>3</v>
          </cell>
          <cell r="D3373">
            <v>1095</v>
          </cell>
        </row>
        <row r="3374">
          <cell r="A3374" t="str">
            <v>B5WSA7AE-1/4</v>
          </cell>
          <cell r="B3374" t="str">
            <v xml:space="preserve">EXCELLO LATEX BLANCO HUESO    </v>
          </cell>
          <cell r="C3374">
            <v>3</v>
          </cell>
          <cell r="D3374">
            <v>1095</v>
          </cell>
        </row>
        <row r="3375">
          <cell r="A3375" t="str">
            <v>B5WSA7AE-5</v>
          </cell>
          <cell r="B3375" t="str">
            <v xml:space="preserve">EXCELLO LATEX BLANCO HUESO    </v>
          </cell>
          <cell r="C3375">
            <v>3</v>
          </cell>
          <cell r="D3375">
            <v>1095</v>
          </cell>
        </row>
        <row r="3376">
          <cell r="A3376" t="str">
            <v>B5Y304</v>
          </cell>
          <cell r="B3376" t="str">
            <v xml:space="preserve">WEATHER PERFECT YELLOW CORN   </v>
          </cell>
          <cell r="C3376">
            <v>3</v>
          </cell>
          <cell r="D3376">
            <v>1095</v>
          </cell>
        </row>
        <row r="3377">
          <cell r="A3377" t="str">
            <v>B5Y304-1</v>
          </cell>
          <cell r="B3377" t="str">
            <v xml:space="preserve">WEATHER PERFECT YELLOW CORN   </v>
          </cell>
          <cell r="C3377">
            <v>3</v>
          </cell>
          <cell r="D3377">
            <v>1095</v>
          </cell>
        </row>
        <row r="3378">
          <cell r="A3378" t="str">
            <v>B5YSA11</v>
          </cell>
          <cell r="B3378" t="str">
            <v>EXCELLO LATEX MATE PIÑA COLADA</v>
          </cell>
          <cell r="C3378">
            <v>3</v>
          </cell>
          <cell r="D3378">
            <v>1095</v>
          </cell>
        </row>
        <row r="3379">
          <cell r="A3379" t="str">
            <v>B5YSA11-1</v>
          </cell>
          <cell r="B3379" t="str">
            <v>EXCELLO LATEX MATE PIÑA COLADA</v>
          </cell>
          <cell r="C3379">
            <v>3</v>
          </cell>
          <cell r="D3379">
            <v>1095</v>
          </cell>
        </row>
        <row r="3380">
          <cell r="A3380" t="str">
            <v>B5YSA11-1/4</v>
          </cell>
          <cell r="B3380" t="str">
            <v>EXCELLO LATEX MATE PIÑA COLADA</v>
          </cell>
          <cell r="C3380">
            <v>3</v>
          </cell>
          <cell r="D3380">
            <v>1095</v>
          </cell>
        </row>
        <row r="3381">
          <cell r="A3381" t="str">
            <v>B5YSA11-5</v>
          </cell>
          <cell r="B3381" t="str">
            <v xml:space="preserve">EXCELLO LATE MATE PIÑA COLADA </v>
          </cell>
          <cell r="C3381">
            <v>3</v>
          </cell>
          <cell r="D3381">
            <v>1095</v>
          </cell>
        </row>
        <row r="3382">
          <cell r="A3382" t="str">
            <v>B5YSA12</v>
          </cell>
          <cell r="B3382" t="str">
            <v>EXC LAT MAT AMARIL ALBARICOQUE</v>
          </cell>
          <cell r="C3382">
            <v>3</v>
          </cell>
          <cell r="D3382">
            <v>1095</v>
          </cell>
        </row>
        <row r="3383">
          <cell r="A3383" t="str">
            <v>B5YSA12-1</v>
          </cell>
          <cell r="B3383" t="str">
            <v>EXC LAT MAT AMARIL ALBARICOQUE</v>
          </cell>
          <cell r="C3383">
            <v>3</v>
          </cell>
          <cell r="D3383">
            <v>1095</v>
          </cell>
        </row>
        <row r="3384">
          <cell r="A3384" t="str">
            <v>B5YSA12-1/4</v>
          </cell>
          <cell r="B3384" t="str">
            <v>EXC LAT MAT AMARIL ALBARICOQUE</v>
          </cell>
          <cell r="C3384">
            <v>3</v>
          </cell>
          <cell r="D3384">
            <v>1095</v>
          </cell>
        </row>
        <row r="3385">
          <cell r="A3385" t="str">
            <v>B5YSA12-5</v>
          </cell>
          <cell r="B3385" t="str">
            <v>EXC LAT MAT AMARIL ALBARICOQUE</v>
          </cell>
          <cell r="C3385">
            <v>3</v>
          </cell>
          <cell r="D3385">
            <v>1095</v>
          </cell>
        </row>
        <row r="3386">
          <cell r="A3386" t="str">
            <v>B5YSA12-50</v>
          </cell>
          <cell r="B3386" t="str">
            <v>EXCELLO LATEX AMARI ALBARICOQU</v>
          </cell>
          <cell r="C3386">
            <v>3</v>
          </cell>
          <cell r="D3386">
            <v>1095</v>
          </cell>
        </row>
        <row r="3387">
          <cell r="A3387" t="str">
            <v>B5YSA19</v>
          </cell>
          <cell r="B3387" t="str">
            <v>COLOR TROPICAL INTEN AMARI SOL</v>
          </cell>
          <cell r="C3387">
            <v>3</v>
          </cell>
          <cell r="D3387">
            <v>1095</v>
          </cell>
        </row>
        <row r="3388">
          <cell r="A3388" t="str">
            <v>B5YSA19-1</v>
          </cell>
          <cell r="B3388" t="str">
            <v>COLOR TROPICAL INTEN AMARI SOL</v>
          </cell>
          <cell r="C3388">
            <v>3</v>
          </cell>
          <cell r="D3388">
            <v>1095</v>
          </cell>
        </row>
        <row r="3389">
          <cell r="A3389" t="str">
            <v>B5YSA19-1/4</v>
          </cell>
          <cell r="B3389" t="str">
            <v>COLOR TROPICAL INTEN AMARI SOL</v>
          </cell>
          <cell r="C3389">
            <v>3</v>
          </cell>
          <cell r="D3389">
            <v>1095</v>
          </cell>
        </row>
        <row r="3390">
          <cell r="A3390" t="str">
            <v>B5YSA26</v>
          </cell>
          <cell r="B3390" t="str">
            <v>EXCELLO LATEX AMARILLO SONRISA</v>
          </cell>
          <cell r="C3390">
            <v>3</v>
          </cell>
          <cell r="D3390">
            <v>1095</v>
          </cell>
        </row>
        <row r="3391">
          <cell r="A3391" t="str">
            <v>B5YSA26-1</v>
          </cell>
          <cell r="B3391" t="str">
            <v>EXCELLO LATEX AMARILLO SONRISA</v>
          </cell>
          <cell r="C3391">
            <v>3</v>
          </cell>
          <cell r="D3391">
            <v>1095</v>
          </cell>
        </row>
        <row r="3392">
          <cell r="A3392" t="str">
            <v>B5YSA26-5</v>
          </cell>
          <cell r="B3392" t="str">
            <v>EXCELLO LATEX AMARILLO SONRISA</v>
          </cell>
          <cell r="C3392">
            <v>3</v>
          </cell>
          <cell r="D3392">
            <v>1095</v>
          </cell>
        </row>
        <row r="3393">
          <cell r="A3393" t="str">
            <v>B5YSA27</v>
          </cell>
          <cell r="B3393" t="str">
            <v xml:space="preserve">CT INT LATEX SAT AMARILLO SOL </v>
          </cell>
          <cell r="C3393">
            <v>3</v>
          </cell>
          <cell r="D3393">
            <v>1095</v>
          </cell>
        </row>
        <row r="3394">
          <cell r="A3394" t="str">
            <v>B5YSA27-1</v>
          </cell>
          <cell r="B3394" t="str">
            <v xml:space="preserve">CT INT LATEX SAT AMARILLO SOL </v>
          </cell>
          <cell r="C3394">
            <v>3</v>
          </cell>
          <cell r="D3394">
            <v>1095</v>
          </cell>
        </row>
        <row r="3395">
          <cell r="A3395" t="str">
            <v>B5YSA27-1/4</v>
          </cell>
          <cell r="B3395" t="str">
            <v xml:space="preserve">CT INT LATEX SAT AMARILLO SOL </v>
          </cell>
          <cell r="C3395">
            <v>3</v>
          </cell>
          <cell r="D3395">
            <v>1095</v>
          </cell>
        </row>
        <row r="3396">
          <cell r="A3396" t="str">
            <v>B5YSA33</v>
          </cell>
          <cell r="B3396" t="str">
            <v>EXCELLO LATEX MATE YELLOW CORN</v>
          </cell>
          <cell r="C3396">
            <v>3</v>
          </cell>
          <cell r="D3396">
            <v>1095</v>
          </cell>
        </row>
        <row r="3397">
          <cell r="A3397" t="str">
            <v>B5YSA33-1</v>
          </cell>
          <cell r="B3397" t="str">
            <v>EXCELLO LATEX MATE YELLOW CORN</v>
          </cell>
          <cell r="C3397">
            <v>3</v>
          </cell>
          <cell r="D3397">
            <v>1095</v>
          </cell>
        </row>
        <row r="3398">
          <cell r="A3398" t="str">
            <v>B5YSA35-AE</v>
          </cell>
          <cell r="B3398" t="str">
            <v xml:space="preserve">EXCELLO LATEX MATE MAIZE      </v>
          </cell>
          <cell r="C3398">
            <v>3</v>
          </cell>
          <cell r="D3398">
            <v>1095</v>
          </cell>
        </row>
        <row r="3399">
          <cell r="A3399" t="str">
            <v>B5YSA35AE-1</v>
          </cell>
          <cell r="B3399" t="str">
            <v xml:space="preserve">EXCELLO LATEX MATE MAIZE      </v>
          </cell>
          <cell r="C3399">
            <v>3</v>
          </cell>
          <cell r="D3399">
            <v>1095</v>
          </cell>
        </row>
        <row r="3400">
          <cell r="A3400" t="str">
            <v>B5YSA35AE-5</v>
          </cell>
          <cell r="B3400" t="str">
            <v xml:space="preserve">EXCELLO LATEX MATE MAIZE      </v>
          </cell>
          <cell r="C3400">
            <v>3</v>
          </cell>
          <cell r="D3400">
            <v>1095</v>
          </cell>
        </row>
        <row r="3401">
          <cell r="A3401" t="str">
            <v>B5YSA39-AE</v>
          </cell>
          <cell r="B3401" t="str">
            <v>EXCELLO LAT MATE LUXURIAN GOLD</v>
          </cell>
          <cell r="C3401">
            <v>3</v>
          </cell>
          <cell r="D3401">
            <v>1095</v>
          </cell>
        </row>
        <row r="3402">
          <cell r="A3402" t="str">
            <v>B5YSA39AE-1</v>
          </cell>
          <cell r="B3402" t="str">
            <v>EXCELLO LAT MATE LUXURIAN GOLD</v>
          </cell>
          <cell r="C3402">
            <v>3</v>
          </cell>
          <cell r="D3402">
            <v>1095</v>
          </cell>
        </row>
        <row r="3403">
          <cell r="A3403" t="str">
            <v>B5YSA40-AE</v>
          </cell>
          <cell r="B3403" t="str">
            <v>EXCELLO LATEX MATE BEACON YELL</v>
          </cell>
          <cell r="C3403">
            <v>3</v>
          </cell>
          <cell r="D3403">
            <v>1095</v>
          </cell>
        </row>
        <row r="3404">
          <cell r="A3404" t="str">
            <v>B5YSA40AE-1</v>
          </cell>
          <cell r="B3404" t="str">
            <v>EXCELLO LATEX MATE BEACON YELL</v>
          </cell>
          <cell r="C3404">
            <v>3</v>
          </cell>
          <cell r="D3404">
            <v>1095</v>
          </cell>
        </row>
        <row r="3405">
          <cell r="A3405" t="str">
            <v>B5YSA40AE-5</v>
          </cell>
          <cell r="B3405" t="str">
            <v>EXCELLO LATEX MATE BEACON YELL</v>
          </cell>
          <cell r="C3405">
            <v>3</v>
          </cell>
          <cell r="D3405">
            <v>1095</v>
          </cell>
        </row>
        <row r="3406">
          <cell r="A3406" t="str">
            <v>B5YSA41</v>
          </cell>
          <cell r="B3406" t="str">
            <v>EXCELLO LATEX MATE YELLOW GOLD</v>
          </cell>
          <cell r="C3406">
            <v>3</v>
          </cell>
          <cell r="D3406">
            <v>1095</v>
          </cell>
        </row>
        <row r="3407">
          <cell r="A3407" t="str">
            <v>B5YSA41-1</v>
          </cell>
          <cell r="B3407" t="str">
            <v>EXCELLO LATEX MATE YELLOW GOLD</v>
          </cell>
          <cell r="C3407">
            <v>3</v>
          </cell>
          <cell r="D3407">
            <v>1095</v>
          </cell>
        </row>
        <row r="3408">
          <cell r="A3408" t="str">
            <v>B5YSA41-5</v>
          </cell>
          <cell r="B3408" t="str">
            <v>EXCELLO LATEX MATE YELLOW GOLD</v>
          </cell>
          <cell r="C3408">
            <v>3</v>
          </cell>
          <cell r="D3408">
            <v>1095</v>
          </cell>
        </row>
        <row r="3409">
          <cell r="A3409" t="str">
            <v>B5YSA42</v>
          </cell>
          <cell r="B3409" t="str">
            <v xml:space="preserve">EXCELLO LATEX MATE AMARILLO   </v>
          </cell>
          <cell r="C3409">
            <v>3</v>
          </cell>
          <cell r="D3409">
            <v>1095</v>
          </cell>
        </row>
        <row r="3410">
          <cell r="A3410" t="str">
            <v>B5YSA42-5</v>
          </cell>
          <cell r="B3410" t="str">
            <v xml:space="preserve">EXCELLO LATEX MATE AMARILLO   </v>
          </cell>
          <cell r="C3410">
            <v>3</v>
          </cell>
          <cell r="D3410">
            <v>1095</v>
          </cell>
        </row>
        <row r="3411">
          <cell r="A3411" t="str">
            <v>B5YSA46</v>
          </cell>
          <cell r="B3411" t="str">
            <v xml:space="preserve">EXCELLO LATEX MATE MOSTAZA    </v>
          </cell>
          <cell r="C3411">
            <v>3</v>
          </cell>
          <cell r="D3411">
            <v>1095</v>
          </cell>
        </row>
        <row r="3412">
          <cell r="A3412" t="str">
            <v>B5YSA46-1</v>
          </cell>
          <cell r="B3412" t="str">
            <v xml:space="preserve">EXCELLO LATEX MATE MOSTAZA    </v>
          </cell>
          <cell r="C3412">
            <v>3</v>
          </cell>
          <cell r="D3412">
            <v>1095</v>
          </cell>
        </row>
        <row r="3413">
          <cell r="A3413" t="str">
            <v>B5YSA46-5</v>
          </cell>
          <cell r="B3413" t="str">
            <v xml:space="preserve">EXCELLO LATEX MATE MOSTAZA    </v>
          </cell>
          <cell r="C3413">
            <v>3</v>
          </cell>
          <cell r="D3413">
            <v>1095</v>
          </cell>
        </row>
        <row r="3414">
          <cell r="A3414" t="str">
            <v>B5YSA49-AE</v>
          </cell>
          <cell r="B3414" t="str">
            <v xml:space="preserve">EXCELLO LATEX MATE ORNAM GOLD </v>
          </cell>
          <cell r="C3414">
            <v>3</v>
          </cell>
          <cell r="D3414">
            <v>1095</v>
          </cell>
        </row>
        <row r="3415">
          <cell r="A3415" t="str">
            <v>B5YSA49AE-5</v>
          </cell>
          <cell r="B3415" t="str">
            <v xml:space="preserve">EXCELLO LATEX MATE ORNAM GOLD </v>
          </cell>
          <cell r="C3415">
            <v>3</v>
          </cell>
          <cell r="D3415">
            <v>1095</v>
          </cell>
        </row>
        <row r="3416">
          <cell r="A3416" t="str">
            <v>B5YSA59</v>
          </cell>
          <cell r="B3416" t="str">
            <v>EXCELLO LAT MATE AMARI TROPICA</v>
          </cell>
          <cell r="C3416">
            <v>3</v>
          </cell>
          <cell r="D3416">
            <v>1095</v>
          </cell>
        </row>
        <row r="3417">
          <cell r="A3417" t="str">
            <v>B5YSA59-1</v>
          </cell>
          <cell r="B3417" t="str">
            <v>EXCELLO LAT MATE AMARI TROPICA</v>
          </cell>
          <cell r="C3417">
            <v>3</v>
          </cell>
          <cell r="D3417">
            <v>1095</v>
          </cell>
        </row>
        <row r="3418">
          <cell r="A3418" t="str">
            <v>B5YSA59-5</v>
          </cell>
          <cell r="B3418" t="str">
            <v>EXCELLO LAT MATE AMARI TROPICA</v>
          </cell>
          <cell r="C3418">
            <v>3</v>
          </cell>
          <cell r="D3418">
            <v>1095</v>
          </cell>
        </row>
        <row r="3419">
          <cell r="A3419" t="str">
            <v>B5YSA60</v>
          </cell>
          <cell r="B3419" t="str">
            <v xml:space="preserve">EXCELLO LATEX MATE AMARILLO   </v>
          </cell>
          <cell r="C3419">
            <v>3</v>
          </cell>
          <cell r="D3419">
            <v>1095</v>
          </cell>
        </row>
        <row r="3420">
          <cell r="A3420" t="str">
            <v>B5YSA60-5</v>
          </cell>
          <cell r="B3420" t="str">
            <v xml:space="preserve">EXCELLO LATEX MATE AMARILLO   </v>
          </cell>
          <cell r="C3420">
            <v>3</v>
          </cell>
          <cell r="D3420">
            <v>1095</v>
          </cell>
        </row>
        <row r="3421">
          <cell r="A3421" t="str">
            <v>B5YSA61</v>
          </cell>
          <cell r="B3421" t="str">
            <v>EXCELLO LATEX MATE GOLD SW 613</v>
          </cell>
          <cell r="C3421">
            <v>3</v>
          </cell>
          <cell r="D3421">
            <v>1095</v>
          </cell>
        </row>
        <row r="3422">
          <cell r="A3422" t="str">
            <v>B5YSA61-5</v>
          </cell>
          <cell r="B3422" t="str">
            <v>EXCELLO LATEX MATE GOLD SW 613</v>
          </cell>
          <cell r="C3422">
            <v>3</v>
          </cell>
          <cell r="D3422">
            <v>1095</v>
          </cell>
        </row>
        <row r="3423">
          <cell r="A3423" t="str">
            <v>B5YSA62</v>
          </cell>
          <cell r="B3423" t="str">
            <v xml:space="preserve">EXCELLO LAT MATE  ISNA SW2331 </v>
          </cell>
          <cell r="C3423">
            <v>3</v>
          </cell>
          <cell r="D3423">
            <v>1095</v>
          </cell>
        </row>
        <row r="3424">
          <cell r="A3424" t="str">
            <v>B5YSA62-1</v>
          </cell>
          <cell r="B3424" t="str">
            <v xml:space="preserve">EXCELLO LAT MATE  ISNA SW2331 </v>
          </cell>
          <cell r="C3424">
            <v>3</v>
          </cell>
          <cell r="D3424">
            <v>1095</v>
          </cell>
        </row>
        <row r="3425">
          <cell r="A3425" t="str">
            <v>B5YSA63</v>
          </cell>
          <cell r="B3425" t="str">
            <v xml:space="preserve">EXCELLO LATEX MATE AMARILLO   </v>
          </cell>
          <cell r="C3425">
            <v>3</v>
          </cell>
          <cell r="D3425">
            <v>1095</v>
          </cell>
        </row>
        <row r="3426">
          <cell r="A3426" t="str">
            <v>B5YSA63-5</v>
          </cell>
          <cell r="B3426" t="str">
            <v xml:space="preserve">EXCELLO LATEX MATE AMARILLO   </v>
          </cell>
          <cell r="C3426">
            <v>3</v>
          </cell>
          <cell r="D3426">
            <v>1095</v>
          </cell>
        </row>
        <row r="3427">
          <cell r="A3427" t="str">
            <v>B60V15-1/4</v>
          </cell>
          <cell r="B3427" t="str">
            <v xml:space="preserve">WATER BASED CATALYZED EPOXY   </v>
          </cell>
          <cell r="C3427">
            <v>3</v>
          </cell>
          <cell r="D3427">
            <v>1095</v>
          </cell>
        </row>
        <row r="3428">
          <cell r="A3428" t="str">
            <v>B67A2001-1</v>
          </cell>
          <cell r="B3428" t="str">
            <v xml:space="preserve">ARMORSEAL 1000 HS EPOXY       </v>
          </cell>
          <cell r="C3428">
            <v>3</v>
          </cell>
          <cell r="D3428">
            <v>1095</v>
          </cell>
        </row>
        <row r="3429">
          <cell r="A3429" t="str">
            <v>B67V2002-1</v>
          </cell>
          <cell r="B3429" t="str">
            <v xml:space="preserve">ARMORSEAL 1000 HS EPOXY       </v>
          </cell>
          <cell r="C3429">
            <v>3</v>
          </cell>
          <cell r="D3429">
            <v>1095</v>
          </cell>
        </row>
        <row r="3430">
          <cell r="A3430" t="str">
            <v>B67W2001-1</v>
          </cell>
          <cell r="B3430" t="str">
            <v xml:space="preserve">ARMORSEAL 1000 HS EPOXY       </v>
          </cell>
          <cell r="C3430">
            <v>3</v>
          </cell>
          <cell r="D3430">
            <v>1095</v>
          </cell>
        </row>
        <row r="3431">
          <cell r="A3431" t="str">
            <v>K7LSA3</v>
          </cell>
          <cell r="B3431" t="str">
            <v xml:space="preserve">SUPER KEM TONE TURQUESA SUAVE </v>
          </cell>
          <cell r="C3431">
            <v>3</v>
          </cell>
          <cell r="D3431">
            <v>1095</v>
          </cell>
        </row>
        <row r="3432">
          <cell r="A3432" t="str">
            <v>K7LSA3-1</v>
          </cell>
          <cell r="B3432" t="str">
            <v xml:space="preserve">SUPER KEM TONE TURQUESA SUAVE </v>
          </cell>
          <cell r="C3432">
            <v>3</v>
          </cell>
          <cell r="D3432">
            <v>1095</v>
          </cell>
        </row>
        <row r="3433">
          <cell r="A3433" t="str">
            <v>K7WSA4</v>
          </cell>
          <cell r="B3433" t="str">
            <v xml:space="preserve">SUPER KEM TONE ULTRA BLANCO   </v>
          </cell>
          <cell r="C3433">
            <v>3</v>
          </cell>
          <cell r="D3433">
            <v>1095</v>
          </cell>
        </row>
        <row r="3434">
          <cell r="A3434" t="str">
            <v>K7WSA4-1</v>
          </cell>
          <cell r="B3434" t="str">
            <v xml:space="preserve">SUPER KEM TONE ULTRA BLANCO   </v>
          </cell>
          <cell r="C3434">
            <v>3</v>
          </cell>
          <cell r="D3434">
            <v>1095</v>
          </cell>
        </row>
        <row r="3435">
          <cell r="A3435" t="str">
            <v>K7WSA6</v>
          </cell>
          <cell r="B3435" t="str">
            <v xml:space="preserve">SUPER KEM TONE CAMEO CREAM    </v>
          </cell>
          <cell r="C3435">
            <v>3</v>
          </cell>
          <cell r="D3435">
            <v>1095</v>
          </cell>
        </row>
        <row r="3436">
          <cell r="A3436" t="str">
            <v>K7WSA6-1</v>
          </cell>
          <cell r="B3436" t="str">
            <v xml:space="preserve">SUPER KEM TONE CAMEO CREAM    </v>
          </cell>
          <cell r="C3436">
            <v>3</v>
          </cell>
          <cell r="D3436">
            <v>1095</v>
          </cell>
        </row>
        <row r="3437">
          <cell r="A3437" t="str">
            <v>Y14RSA158</v>
          </cell>
          <cell r="B3437" t="str">
            <v>CA ESM ALQ SEMI INT B REAL RED</v>
          </cell>
          <cell r="C3437">
            <v>3</v>
          </cell>
          <cell r="D3437">
            <v>1095</v>
          </cell>
        </row>
        <row r="3438">
          <cell r="A3438" t="str">
            <v>Y14RSA158-1</v>
          </cell>
          <cell r="B3438" t="str">
            <v xml:space="preserve">CA ESM ALQ SEMI INT REAL RED  </v>
          </cell>
          <cell r="C3438">
            <v>3</v>
          </cell>
          <cell r="D3438">
            <v>1095</v>
          </cell>
        </row>
        <row r="3439">
          <cell r="A3439" t="str">
            <v>Y14RSA158-1/4</v>
          </cell>
          <cell r="B3439" t="str">
            <v>COLORACCENTS ALKYD SEMIBTE RED</v>
          </cell>
          <cell r="C3439">
            <v>3</v>
          </cell>
          <cell r="D3439">
            <v>1095</v>
          </cell>
        </row>
        <row r="3440">
          <cell r="A3440" t="str">
            <v>Y14RSA158-5</v>
          </cell>
          <cell r="B3440" t="str">
            <v>COLORACCENTS ALKYD SEMIBTE RED</v>
          </cell>
          <cell r="C3440">
            <v>3</v>
          </cell>
          <cell r="D3440">
            <v>1095</v>
          </cell>
        </row>
        <row r="3441">
          <cell r="A3441" t="str">
            <v>Y14TSA154</v>
          </cell>
          <cell r="B3441" t="str">
            <v>CA ESM ALQ SEMI INT B ULTRDEEP</v>
          </cell>
          <cell r="C3441">
            <v>3</v>
          </cell>
          <cell r="D3441">
            <v>1095</v>
          </cell>
        </row>
        <row r="3442">
          <cell r="A3442" t="str">
            <v>Y14TSA154-1</v>
          </cell>
          <cell r="B3442" t="str">
            <v xml:space="preserve">CA ESM ALQ SEMI INT ULTRDEEP  </v>
          </cell>
          <cell r="C3442">
            <v>3</v>
          </cell>
          <cell r="D3442">
            <v>1095</v>
          </cell>
        </row>
        <row r="3443">
          <cell r="A3443" t="str">
            <v>Y14TSA154-1/4</v>
          </cell>
          <cell r="B3443" t="str">
            <v>COLORACCENTS ALK SEMIBTE UDEEP</v>
          </cell>
          <cell r="C3443">
            <v>3</v>
          </cell>
          <cell r="D3443">
            <v>1095</v>
          </cell>
        </row>
        <row r="3444">
          <cell r="A3444" t="str">
            <v>Y14TSA154-5</v>
          </cell>
          <cell r="B3444" t="str">
            <v>COLORACCENTS ALK SEMIBTE UDEEP</v>
          </cell>
          <cell r="C3444">
            <v>3</v>
          </cell>
          <cell r="D3444">
            <v>1095</v>
          </cell>
        </row>
        <row r="3445">
          <cell r="A3445" t="str">
            <v>Y14YSA157</v>
          </cell>
          <cell r="B3445" t="str">
            <v>CA ES AL SEMI INT B BRIGHYELLO</v>
          </cell>
          <cell r="C3445">
            <v>3</v>
          </cell>
          <cell r="D3445">
            <v>1095</v>
          </cell>
        </row>
        <row r="3446">
          <cell r="A3446" t="str">
            <v>Y14YSA157-1</v>
          </cell>
          <cell r="B3446" t="str">
            <v>CA ES AL SEMI INT BRIGHT YELLO</v>
          </cell>
          <cell r="C3446">
            <v>3</v>
          </cell>
          <cell r="D3446">
            <v>1095</v>
          </cell>
        </row>
        <row r="3447">
          <cell r="A3447" t="str">
            <v>Y14YSA157-1/4</v>
          </cell>
          <cell r="B3447" t="str">
            <v>COLORACCENTS ALK.SEMIBTEYELLOW</v>
          </cell>
          <cell r="C3447">
            <v>3</v>
          </cell>
          <cell r="D3447">
            <v>1095</v>
          </cell>
        </row>
        <row r="3448">
          <cell r="A3448" t="str">
            <v>Y14YSA157-5</v>
          </cell>
          <cell r="B3448" t="str">
            <v>COLORACCENTS ALK.SEMIBTEYELLOW</v>
          </cell>
          <cell r="C3448">
            <v>3</v>
          </cell>
          <cell r="D3448">
            <v>1095</v>
          </cell>
        </row>
        <row r="3449">
          <cell r="A3449" t="str">
            <v>Y21RSA158</v>
          </cell>
          <cell r="B3449" t="str">
            <v xml:space="preserve">CA LATEX MATE INT B REAL RED  </v>
          </cell>
          <cell r="C3449">
            <v>3</v>
          </cell>
          <cell r="D3449">
            <v>1095</v>
          </cell>
        </row>
        <row r="3450">
          <cell r="A3450" t="str">
            <v>Y21RSA158-1</v>
          </cell>
          <cell r="B3450" t="str">
            <v xml:space="preserve">CA LATEX MATE INT B REAL RED  </v>
          </cell>
          <cell r="C3450">
            <v>3</v>
          </cell>
          <cell r="D3450">
            <v>1095</v>
          </cell>
        </row>
        <row r="3451">
          <cell r="A3451" t="str">
            <v>Y21RSA158-1/4</v>
          </cell>
          <cell r="B3451" t="str">
            <v xml:space="preserve">CA LATEX MATE INT B REAL RED  </v>
          </cell>
          <cell r="C3451">
            <v>3</v>
          </cell>
          <cell r="D3451">
            <v>1095</v>
          </cell>
        </row>
        <row r="3452">
          <cell r="A3452" t="str">
            <v>Y21TSA154</v>
          </cell>
          <cell r="B3452" t="str">
            <v>CA LATEX MATE INT B ULTRA DEEP</v>
          </cell>
          <cell r="C3452">
            <v>3</v>
          </cell>
          <cell r="D3452">
            <v>1095</v>
          </cell>
        </row>
        <row r="3453">
          <cell r="A3453" t="str">
            <v>Y21TSA154-1</v>
          </cell>
          <cell r="B3453" t="str">
            <v xml:space="preserve">CA LATEX MATE INT ULTRA DEEP  </v>
          </cell>
          <cell r="C3453">
            <v>3</v>
          </cell>
          <cell r="D3453">
            <v>1095</v>
          </cell>
        </row>
        <row r="3454">
          <cell r="A3454" t="str">
            <v>Y21TSA154-1/4</v>
          </cell>
          <cell r="B3454" t="str">
            <v xml:space="preserve">CA LATEX MATE INT ULTRA DEEP  </v>
          </cell>
          <cell r="C3454">
            <v>3</v>
          </cell>
          <cell r="D3454">
            <v>1095</v>
          </cell>
        </row>
        <row r="3455">
          <cell r="A3455" t="str">
            <v>Y21TSA154-5</v>
          </cell>
          <cell r="B3455" t="str">
            <v>COLORACCENT INT  LATEX ULTDEEP</v>
          </cell>
          <cell r="C3455">
            <v>3</v>
          </cell>
          <cell r="D3455">
            <v>1095</v>
          </cell>
        </row>
        <row r="3456">
          <cell r="A3456" t="str">
            <v>Y21YSA157</v>
          </cell>
          <cell r="B3456" t="str">
            <v>CA LATEX MATE INT B BRIGHYELLO</v>
          </cell>
          <cell r="C3456">
            <v>3</v>
          </cell>
          <cell r="D3456">
            <v>1095</v>
          </cell>
        </row>
        <row r="3457">
          <cell r="A3457" t="str">
            <v>Y21YSA157-1</v>
          </cell>
          <cell r="B3457" t="str">
            <v xml:space="preserve">CA LATEX MATE INT BRIGHYELLO  </v>
          </cell>
          <cell r="C3457">
            <v>3</v>
          </cell>
          <cell r="D3457">
            <v>1095</v>
          </cell>
        </row>
        <row r="3458">
          <cell r="A3458" t="str">
            <v>Y21YSA157-1/4</v>
          </cell>
          <cell r="B3458" t="str">
            <v xml:space="preserve">CA LATEX MATE INT BRIGHYELLO  </v>
          </cell>
          <cell r="C3458">
            <v>3</v>
          </cell>
          <cell r="D3458">
            <v>1095</v>
          </cell>
        </row>
        <row r="3459">
          <cell r="A3459" t="str">
            <v>Y21YSA157-5</v>
          </cell>
          <cell r="B3459" t="str">
            <v>COLORACCENT FLAT LAT INT YELLO</v>
          </cell>
          <cell r="C3459">
            <v>3</v>
          </cell>
          <cell r="D3459">
            <v>1095</v>
          </cell>
        </row>
        <row r="3460">
          <cell r="A3460" t="str">
            <v>Y38RSA158</v>
          </cell>
          <cell r="B3460" t="str">
            <v xml:space="preserve">CA LATEX SATIN INT B REAL RED </v>
          </cell>
          <cell r="C3460">
            <v>3</v>
          </cell>
          <cell r="D3460">
            <v>1095</v>
          </cell>
        </row>
        <row r="3461">
          <cell r="A3461" t="str">
            <v>Y38RSA158-1</v>
          </cell>
          <cell r="B3461" t="str">
            <v xml:space="preserve">CA LATEX SATIN INT REAL RED   </v>
          </cell>
          <cell r="C3461">
            <v>3</v>
          </cell>
          <cell r="D3461">
            <v>1095</v>
          </cell>
        </row>
        <row r="3462">
          <cell r="A3462" t="str">
            <v>Y38RSA158-1/4</v>
          </cell>
          <cell r="B3462" t="str">
            <v xml:space="preserve">COLORACCENT LAT INT SAT  RED  </v>
          </cell>
          <cell r="C3462">
            <v>3</v>
          </cell>
          <cell r="D3462">
            <v>1095</v>
          </cell>
        </row>
        <row r="3463">
          <cell r="A3463" t="str">
            <v>Y38RSA158-5</v>
          </cell>
          <cell r="B3463" t="str">
            <v xml:space="preserve">COLORACCENT LAT INT SAT  RED  </v>
          </cell>
          <cell r="C3463">
            <v>3</v>
          </cell>
          <cell r="D3463">
            <v>1095</v>
          </cell>
        </row>
        <row r="3464">
          <cell r="A3464" t="str">
            <v>Y38TSA154</v>
          </cell>
          <cell r="B3464" t="str">
            <v>CA LATEX SATIN INT B ULTRADEEP</v>
          </cell>
          <cell r="C3464">
            <v>3</v>
          </cell>
          <cell r="D3464">
            <v>1095</v>
          </cell>
        </row>
        <row r="3465">
          <cell r="A3465" t="str">
            <v>Y38TSA154-1</v>
          </cell>
          <cell r="B3465" t="str">
            <v xml:space="preserve">CA LATEX SATIN INT ULTRADEEP  </v>
          </cell>
          <cell r="C3465">
            <v>3</v>
          </cell>
          <cell r="D3465">
            <v>1095</v>
          </cell>
        </row>
        <row r="3466">
          <cell r="A3466" t="str">
            <v>Y38TSA154-1/4</v>
          </cell>
          <cell r="B3466" t="str">
            <v>COLORACCEN LAT INT SAT ULTDEEP</v>
          </cell>
          <cell r="C3466">
            <v>3</v>
          </cell>
          <cell r="D3466">
            <v>1095</v>
          </cell>
        </row>
        <row r="3467">
          <cell r="A3467" t="str">
            <v>Y38TSA154-5</v>
          </cell>
          <cell r="B3467" t="str">
            <v>COLORACCEN LAT INT SAT ULTDEEP</v>
          </cell>
          <cell r="C3467">
            <v>3</v>
          </cell>
          <cell r="D3467">
            <v>1095</v>
          </cell>
        </row>
        <row r="3468">
          <cell r="A3468" t="str">
            <v>Y38YSA157</v>
          </cell>
          <cell r="B3468" t="str">
            <v>CA LATEX SATI INT B BRIGHYELLO</v>
          </cell>
          <cell r="C3468">
            <v>3</v>
          </cell>
          <cell r="D3468">
            <v>1095</v>
          </cell>
        </row>
        <row r="3469">
          <cell r="A3469" t="str">
            <v>Y38YSA157-1</v>
          </cell>
          <cell r="B3469" t="str">
            <v xml:space="preserve">CA LATEX SATI INT BRIGHYELLO  </v>
          </cell>
          <cell r="C3469">
            <v>3</v>
          </cell>
          <cell r="D3469">
            <v>1095</v>
          </cell>
        </row>
        <row r="3470">
          <cell r="A3470" t="str">
            <v>Y38YSA157-1/4</v>
          </cell>
          <cell r="B3470" t="str">
            <v>COLORACCENT LAT INT.SAT YELLOW</v>
          </cell>
          <cell r="C3470">
            <v>3</v>
          </cell>
          <cell r="D3470">
            <v>1095</v>
          </cell>
        </row>
        <row r="3471">
          <cell r="A3471" t="str">
            <v>Y38YSA157-5</v>
          </cell>
          <cell r="B3471" t="str">
            <v>COLORACCENT LAT INT.SAT YELLOW</v>
          </cell>
          <cell r="C3471">
            <v>3</v>
          </cell>
          <cell r="D3471">
            <v>1095</v>
          </cell>
        </row>
        <row r="3472">
          <cell r="A3472" t="str">
            <v>Y4RSA58</v>
          </cell>
          <cell r="B3472" t="str">
            <v>EXT A LATEX MATE B PRIMARE RED</v>
          </cell>
          <cell r="C3472">
            <v>3</v>
          </cell>
          <cell r="D3472">
            <v>1095</v>
          </cell>
        </row>
        <row r="3473">
          <cell r="A3473" t="str">
            <v>Y4RSA58-1</v>
          </cell>
          <cell r="B3473" t="str">
            <v xml:space="preserve">EXT A LATEX MATE PRIMARE RED  </v>
          </cell>
          <cell r="C3473">
            <v>3</v>
          </cell>
          <cell r="D3473">
            <v>1095</v>
          </cell>
        </row>
        <row r="3474">
          <cell r="A3474" t="str">
            <v>Y4RSA58-1/4</v>
          </cell>
          <cell r="B3474" t="str">
            <v xml:space="preserve">EXT ACCENT LAT MATE BASE RED  </v>
          </cell>
          <cell r="C3474">
            <v>3</v>
          </cell>
          <cell r="D3474">
            <v>1095</v>
          </cell>
        </row>
        <row r="3475">
          <cell r="A3475" t="str">
            <v>Y4RSA58-5</v>
          </cell>
          <cell r="B3475" t="str">
            <v xml:space="preserve">EXT ACCENT LAT MATE BASE RED  </v>
          </cell>
          <cell r="C3475">
            <v>3</v>
          </cell>
          <cell r="D3475">
            <v>1095</v>
          </cell>
        </row>
        <row r="3476">
          <cell r="A3476" t="str">
            <v>Y4TSA54</v>
          </cell>
          <cell r="B3476" t="str">
            <v xml:space="preserve">EXT A LATEX MATE BASE CHROMA  </v>
          </cell>
          <cell r="C3476">
            <v>3</v>
          </cell>
          <cell r="D3476">
            <v>1095</v>
          </cell>
        </row>
        <row r="3477">
          <cell r="A3477" t="str">
            <v>Y4TSA54-1</v>
          </cell>
          <cell r="B3477" t="str">
            <v xml:space="preserve">EXT A LATEX MATE BASE CHROMA  </v>
          </cell>
          <cell r="C3477">
            <v>3</v>
          </cell>
          <cell r="D3477">
            <v>1095</v>
          </cell>
        </row>
        <row r="3478">
          <cell r="A3478" t="str">
            <v>Y4TSA54-1/4</v>
          </cell>
          <cell r="B3478" t="str">
            <v xml:space="preserve">EXT ACCENT LAT MATE  CHROMA   </v>
          </cell>
          <cell r="C3478">
            <v>3</v>
          </cell>
          <cell r="D3478">
            <v>1095</v>
          </cell>
        </row>
        <row r="3479">
          <cell r="A3479" t="str">
            <v>Y4TSA54-5</v>
          </cell>
          <cell r="B3479" t="str">
            <v xml:space="preserve">EXT ACCENT LAT MATE  CHROMA   </v>
          </cell>
          <cell r="C3479">
            <v>3</v>
          </cell>
          <cell r="D3479">
            <v>1095</v>
          </cell>
        </row>
        <row r="3480">
          <cell r="A3480" t="str">
            <v>Y4YSA57</v>
          </cell>
          <cell r="B3480" t="str">
            <v>EXT A LATEX MATE B VIVIDYELLOW</v>
          </cell>
          <cell r="C3480">
            <v>3</v>
          </cell>
          <cell r="D3480">
            <v>1095</v>
          </cell>
        </row>
        <row r="3481">
          <cell r="A3481" t="str">
            <v>Y4YSA57-1</v>
          </cell>
          <cell r="B3481" t="str">
            <v xml:space="preserve">EXT A LATEX MATE VIVIDYELLOW  </v>
          </cell>
          <cell r="C3481">
            <v>3</v>
          </cell>
          <cell r="D3481">
            <v>1095</v>
          </cell>
        </row>
        <row r="3482">
          <cell r="A3482" t="str">
            <v>Y4YSA57-1/4</v>
          </cell>
          <cell r="B3482" t="str">
            <v xml:space="preserve">EXT ACCENT LAT MATE  YELLOW   </v>
          </cell>
          <cell r="C3482">
            <v>3</v>
          </cell>
          <cell r="D3482">
            <v>1095</v>
          </cell>
        </row>
        <row r="3483">
          <cell r="A3483" t="str">
            <v>Y4YSA57-5</v>
          </cell>
          <cell r="B3483" t="str">
            <v xml:space="preserve">EXT ACCENT LAT MATE  YELLOW   </v>
          </cell>
          <cell r="C3483">
            <v>3</v>
          </cell>
          <cell r="D3483">
            <v>1095</v>
          </cell>
        </row>
        <row r="3484">
          <cell r="A3484" t="str">
            <v>D70T1-1</v>
          </cell>
          <cell r="B3484" t="str">
            <v>FAST DRYING SEMIPASTE TAPAPORO</v>
          </cell>
          <cell r="C3484">
            <v>0.49863013698630138</v>
          </cell>
          <cell r="D3484">
            <v>182</v>
          </cell>
        </row>
        <row r="3485">
          <cell r="A3485" t="str">
            <v>E2A36</v>
          </cell>
          <cell r="B3485" t="str">
            <v xml:space="preserve">JET SEAL CRAY PRIMER          </v>
          </cell>
          <cell r="C3485">
            <v>0.49863013698630138</v>
          </cell>
          <cell r="D3485">
            <v>182</v>
          </cell>
        </row>
        <row r="3486">
          <cell r="A3486" t="str">
            <v>E2A36-1</v>
          </cell>
          <cell r="B3486" t="str">
            <v xml:space="preserve">JET SEAL GRAY PRIMER          </v>
          </cell>
          <cell r="C3486">
            <v>0.49863013698630138</v>
          </cell>
          <cell r="D3486">
            <v>182</v>
          </cell>
        </row>
        <row r="3487">
          <cell r="A3487" t="str">
            <v>E2G980</v>
          </cell>
          <cell r="B3487" t="str">
            <v xml:space="preserve">G.B.P.  ETCHING   FILLER      </v>
          </cell>
          <cell r="C3487">
            <v>1</v>
          </cell>
          <cell r="D3487">
            <v>365</v>
          </cell>
        </row>
        <row r="3488">
          <cell r="A3488" t="str">
            <v>E2G980-1</v>
          </cell>
          <cell r="B3488" t="str">
            <v xml:space="preserve">G.B.P.  ETCHING   FILLER      </v>
          </cell>
          <cell r="C3488">
            <v>1</v>
          </cell>
          <cell r="D3488">
            <v>365</v>
          </cell>
        </row>
        <row r="3489">
          <cell r="A3489" t="str">
            <v>E2G980-1/4</v>
          </cell>
          <cell r="B3489" t="str">
            <v xml:space="preserve">G.B.P. ETCHING FILLER         </v>
          </cell>
          <cell r="C3489">
            <v>1</v>
          </cell>
          <cell r="D3489">
            <v>365</v>
          </cell>
        </row>
        <row r="3490">
          <cell r="A3490" t="str">
            <v>E2R27</v>
          </cell>
          <cell r="B3490" t="str">
            <v xml:space="preserve">JET SEAL PRIM SEAL  RED OXIDE </v>
          </cell>
          <cell r="C3490">
            <v>0.49863013698630138</v>
          </cell>
          <cell r="D3490">
            <v>182</v>
          </cell>
        </row>
        <row r="3491">
          <cell r="A3491" t="str">
            <v>E2R27-1</v>
          </cell>
          <cell r="B3491" t="str">
            <v xml:space="preserve">JET SEAL PRIM SEAL  RED OXIDE </v>
          </cell>
          <cell r="C3491">
            <v>0.49863013698630138</v>
          </cell>
          <cell r="D3491">
            <v>182</v>
          </cell>
        </row>
        <row r="3492">
          <cell r="A3492" t="str">
            <v>E3A4801</v>
          </cell>
          <cell r="B3492" t="str">
            <v xml:space="preserve">KEM PRIMER SURFACER  GRIS     </v>
          </cell>
          <cell r="C3492">
            <v>0.49863013698630138</v>
          </cell>
          <cell r="D3492">
            <v>182</v>
          </cell>
        </row>
        <row r="3493">
          <cell r="A3493" t="str">
            <v>E3A4801-1</v>
          </cell>
          <cell r="B3493" t="str">
            <v xml:space="preserve">KEM PRIMER SURFACER  GRIS     </v>
          </cell>
          <cell r="C3493">
            <v>0.49863013698630138</v>
          </cell>
          <cell r="D3493">
            <v>182</v>
          </cell>
        </row>
        <row r="3494">
          <cell r="A3494" t="str">
            <v>E3A4801-1/4</v>
          </cell>
          <cell r="B3494" t="str">
            <v xml:space="preserve">KEM PRIMER SURFACER  GRIS     </v>
          </cell>
          <cell r="C3494">
            <v>0.49863013698630138</v>
          </cell>
          <cell r="D3494">
            <v>182</v>
          </cell>
        </row>
        <row r="3495">
          <cell r="A3495" t="str">
            <v>E41E1</v>
          </cell>
          <cell r="B3495" t="str">
            <v xml:space="preserve">Q. D. RED LEAD PRIMER         </v>
          </cell>
          <cell r="C3495">
            <v>0.49863013698630138</v>
          </cell>
          <cell r="D3495">
            <v>182</v>
          </cell>
        </row>
        <row r="3496">
          <cell r="A3496" t="str">
            <v>E41E1-1</v>
          </cell>
          <cell r="B3496" t="str">
            <v xml:space="preserve">Q. D. RED LEAD PRIMER         </v>
          </cell>
          <cell r="C3496">
            <v>0.49863013698630138</v>
          </cell>
          <cell r="D3496">
            <v>182</v>
          </cell>
        </row>
        <row r="3497">
          <cell r="A3497" t="str">
            <v>E61R9</v>
          </cell>
          <cell r="B3497" t="str">
            <v>KEM FASTDRY PRIMARIO OXIDE RED</v>
          </cell>
          <cell r="C3497">
            <v>0.49863013698630138</v>
          </cell>
          <cell r="D3497">
            <v>182</v>
          </cell>
        </row>
        <row r="3498">
          <cell r="A3498" t="str">
            <v>E61R9-1</v>
          </cell>
          <cell r="B3498" t="str">
            <v>KEM FASTDRY PRIMARIO OXIDE RED</v>
          </cell>
          <cell r="C3498">
            <v>0.49863013698630138</v>
          </cell>
          <cell r="D3498">
            <v>182</v>
          </cell>
        </row>
        <row r="3499">
          <cell r="A3499" t="str">
            <v>E68WSA1</v>
          </cell>
          <cell r="B3499" t="str">
            <v xml:space="preserve">MONOBAKE PRIMER               </v>
          </cell>
          <cell r="C3499">
            <v>0.49863013698630138</v>
          </cell>
          <cell r="D3499">
            <v>182</v>
          </cell>
        </row>
        <row r="3500">
          <cell r="A3500" t="str">
            <v>E68WSA1-1</v>
          </cell>
          <cell r="B3500" t="str">
            <v xml:space="preserve">MONOBAKE PRIMER WHITE         </v>
          </cell>
          <cell r="C3500">
            <v>0.49863013698630138</v>
          </cell>
          <cell r="D3500">
            <v>182</v>
          </cell>
        </row>
        <row r="3501">
          <cell r="A3501" t="str">
            <v>E68WSA1-5</v>
          </cell>
          <cell r="B3501" t="str">
            <v xml:space="preserve">MONOBAKE PRIMER WHITE         </v>
          </cell>
          <cell r="C3501">
            <v>0.49863013698630138</v>
          </cell>
          <cell r="D3501">
            <v>182</v>
          </cell>
        </row>
        <row r="3502">
          <cell r="A3502" t="str">
            <v>E6C61-1</v>
          </cell>
          <cell r="B3502" t="str">
            <v xml:space="preserve">SELLADOR TRANSPARENTE         </v>
          </cell>
          <cell r="C3502">
            <v>0.49863013698630138</v>
          </cell>
          <cell r="D3502">
            <v>182</v>
          </cell>
        </row>
        <row r="3503">
          <cell r="A3503" t="str">
            <v>E6C61-1/4</v>
          </cell>
          <cell r="B3503" t="str">
            <v xml:space="preserve">ULTRA-FILL  I I  TRANSPA SEAL </v>
          </cell>
          <cell r="C3503">
            <v>0.49863013698630138</v>
          </cell>
          <cell r="D3503">
            <v>182</v>
          </cell>
        </row>
        <row r="3504">
          <cell r="A3504" t="str">
            <v>E6H59-1/4</v>
          </cell>
          <cell r="B3504" t="str">
            <v xml:space="preserve">ULTRA-FILL  I I  NEUTRAL SEAL </v>
          </cell>
          <cell r="C3504">
            <v>0.49863013698630138</v>
          </cell>
          <cell r="D3504">
            <v>182</v>
          </cell>
        </row>
        <row r="3505">
          <cell r="A3505" t="str">
            <v>EB20000-1/4</v>
          </cell>
          <cell r="B3505" t="str">
            <v>ALUMINIO ARMADORA EXTRA GRUESO</v>
          </cell>
          <cell r="C3505">
            <v>3</v>
          </cell>
          <cell r="D3505">
            <v>1095</v>
          </cell>
        </row>
        <row r="3506">
          <cell r="A3506" t="str">
            <v>F1R4953</v>
          </cell>
          <cell r="B3506" t="str">
            <v xml:space="preserve">CUSTOM COLOR TOLUIDINE RED    </v>
          </cell>
          <cell r="C3506">
            <v>0.5</v>
          </cell>
          <cell r="D3506">
            <v>182.5</v>
          </cell>
        </row>
        <row r="3507">
          <cell r="A3507" t="str">
            <v>F1R4953-1</v>
          </cell>
          <cell r="B3507" t="str">
            <v xml:space="preserve">CUSTOM COLOR TOLUIDINE RED    </v>
          </cell>
          <cell r="C3507">
            <v>0.5</v>
          </cell>
          <cell r="D3507">
            <v>182.5</v>
          </cell>
        </row>
        <row r="3508">
          <cell r="A3508" t="str">
            <v>F1W4000</v>
          </cell>
          <cell r="B3508" t="str">
            <v xml:space="preserve">CUSTOM COLOR WHITE            </v>
          </cell>
          <cell r="C3508">
            <v>0.5</v>
          </cell>
          <cell r="D3508">
            <v>182.5</v>
          </cell>
        </row>
        <row r="3509">
          <cell r="A3509" t="str">
            <v>F1W4000-1</v>
          </cell>
          <cell r="B3509" t="str">
            <v xml:space="preserve">CUSTOM COLOR WHITE            </v>
          </cell>
          <cell r="C3509">
            <v>0.5</v>
          </cell>
          <cell r="D3509">
            <v>182.5</v>
          </cell>
        </row>
        <row r="3510">
          <cell r="A3510" t="str">
            <v>F63C50</v>
          </cell>
          <cell r="B3510" t="str">
            <v xml:space="preserve">BARNIZ POLIURET BRILL.  H.S.  </v>
          </cell>
          <cell r="C3510">
            <v>1</v>
          </cell>
          <cell r="D3510">
            <v>365</v>
          </cell>
        </row>
        <row r="3511">
          <cell r="A3511" t="str">
            <v>F63C50-1</v>
          </cell>
          <cell r="B3511" t="str">
            <v xml:space="preserve">BARNIZ POLIURET BRILL.  H.S.  </v>
          </cell>
          <cell r="C3511">
            <v>1</v>
          </cell>
          <cell r="D3511">
            <v>365</v>
          </cell>
        </row>
        <row r="3512">
          <cell r="A3512" t="str">
            <v>F63CSA2</v>
          </cell>
          <cell r="B3512" t="str">
            <v>TRANSPARENTE POLIURET HS P/MAD</v>
          </cell>
          <cell r="C3512">
            <v>1</v>
          </cell>
          <cell r="D3512">
            <v>365</v>
          </cell>
        </row>
        <row r="3513">
          <cell r="A3513" t="str">
            <v>F63CSA2-1</v>
          </cell>
          <cell r="B3513" t="str">
            <v xml:space="preserve">TRANSPARENTE P/MADERA INT/EXT </v>
          </cell>
          <cell r="C3513">
            <v>1</v>
          </cell>
          <cell r="D3513">
            <v>365</v>
          </cell>
        </row>
        <row r="3514">
          <cell r="A3514" t="str">
            <v>F63FSA1</v>
          </cell>
          <cell r="B3514" t="str">
            <v xml:space="preserve">BARNIZ POLIURET MATE   H.S.   </v>
          </cell>
          <cell r="C3514">
            <v>1</v>
          </cell>
          <cell r="D3514">
            <v>365</v>
          </cell>
        </row>
        <row r="3515">
          <cell r="A3515" t="str">
            <v>F63FSA1-1</v>
          </cell>
          <cell r="B3515" t="str">
            <v xml:space="preserve">BARNIZ POLIURET MATE   H.S.   </v>
          </cell>
          <cell r="C3515">
            <v>1</v>
          </cell>
          <cell r="D3515">
            <v>365</v>
          </cell>
        </row>
        <row r="3516">
          <cell r="A3516" t="str">
            <v>F63FSA2</v>
          </cell>
          <cell r="B3516" t="str">
            <v xml:space="preserve">BARNIZ POLIURET SATIN.   H.S. </v>
          </cell>
          <cell r="C3516">
            <v>1</v>
          </cell>
          <cell r="D3516">
            <v>365</v>
          </cell>
        </row>
        <row r="3517">
          <cell r="A3517" t="str">
            <v>F63FSA2-1</v>
          </cell>
          <cell r="B3517" t="str">
            <v xml:space="preserve">BARNIZ POLIURET SATIN.   H.S. </v>
          </cell>
          <cell r="C3517">
            <v>1</v>
          </cell>
          <cell r="D3517">
            <v>365</v>
          </cell>
        </row>
        <row r="3518">
          <cell r="A3518" t="str">
            <v>F68ASA8</v>
          </cell>
          <cell r="B3518" t="str">
            <v xml:space="preserve">SUPER FAST DRY                </v>
          </cell>
          <cell r="C3518">
            <v>0.49863013698630138</v>
          </cell>
          <cell r="D3518">
            <v>182</v>
          </cell>
        </row>
        <row r="3519">
          <cell r="A3519" t="str">
            <v>F68ASA8-5</v>
          </cell>
          <cell r="B3519" t="str">
            <v xml:space="preserve">SUPER FAST DRY GRIS           </v>
          </cell>
          <cell r="C3519">
            <v>0.49863013698630138</v>
          </cell>
          <cell r="D3519">
            <v>182</v>
          </cell>
        </row>
        <row r="3520">
          <cell r="A3520" t="str">
            <v>F68BSA5</v>
          </cell>
          <cell r="B3520" t="str">
            <v xml:space="preserve">SUPER FAST DRY                </v>
          </cell>
          <cell r="C3520">
            <v>0.49863013698630138</v>
          </cell>
          <cell r="D3520">
            <v>182</v>
          </cell>
        </row>
        <row r="3521">
          <cell r="A3521" t="str">
            <v>F68BSA5-1</v>
          </cell>
          <cell r="B3521" t="str">
            <v xml:space="preserve">SUPER FAST DRY NEGRO          </v>
          </cell>
          <cell r="C3521">
            <v>0.49863013698630138</v>
          </cell>
          <cell r="D3521">
            <v>182</v>
          </cell>
        </row>
        <row r="3522">
          <cell r="A3522" t="str">
            <v>F68GSA6</v>
          </cell>
          <cell r="B3522" t="str">
            <v xml:space="preserve">SUPER FAST DRY                </v>
          </cell>
          <cell r="C3522">
            <v>0.49863013698630138</v>
          </cell>
          <cell r="D3522">
            <v>182</v>
          </cell>
        </row>
        <row r="3523">
          <cell r="A3523" t="str">
            <v>F68GSA6-1</v>
          </cell>
          <cell r="B3523" t="str">
            <v>SUPER FAST DRY VERDE JOHN DEER</v>
          </cell>
          <cell r="C3523">
            <v>0.49863013698630138</v>
          </cell>
          <cell r="D3523">
            <v>182</v>
          </cell>
        </row>
        <row r="3524">
          <cell r="A3524" t="str">
            <v>F68NSA6</v>
          </cell>
          <cell r="B3524" t="str">
            <v xml:space="preserve">SUPER FAST DRY                </v>
          </cell>
          <cell r="C3524">
            <v>0.49863013698630138</v>
          </cell>
          <cell r="D3524">
            <v>182</v>
          </cell>
        </row>
        <row r="3525">
          <cell r="A3525" t="str">
            <v>F68NSA6-1</v>
          </cell>
          <cell r="B3525" t="str">
            <v xml:space="preserve">SUPER FAST DRY BEIGE CLARO    </v>
          </cell>
          <cell r="C3525">
            <v>0.49863013698630138</v>
          </cell>
          <cell r="D3525">
            <v>182</v>
          </cell>
        </row>
        <row r="3526">
          <cell r="A3526" t="str">
            <v>F68RSA11</v>
          </cell>
          <cell r="B3526" t="str">
            <v xml:space="preserve">SUPER FAST DRY                </v>
          </cell>
          <cell r="C3526">
            <v>0.49863013698630138</v>
          </cell>
          <cell r="D3526">
            <v>182</v>
          </cell>
        </row>
        <row r="3527">
          <cell r="A3527" t="str">
            <v>F68RSA11-5</v>
          </cell>
          <cell r="B3527" t="str">
            <v xml:space="preserve">SUPER FAST DRY ROJO TEXACO    </v>
          </cell>
          <cell r="C3527">
            <v>0.49863013698630138</v>
          </cell>
          <cell r="D3527">
            <v>182</v>
          </cell>
        </row>
        <row r="3528">
          <cell r="A3528" t="str">
            <v>F68WSA6</v>
          </cell>
          <cell r="B3528" t="str">
            <v xml:space="preserve">SUPER FAST DRY                </v>
          </cell>
          <cell r="C3528">
            <v>0.49863013698630138</v>
          </cell>
          <cell r="D3528">
            <v>182</v>
          </cell>
        </row>
        <row r="3529">
          <cell r="A3529" t="str">
            <v>F68WSA6-1</v>
          </cell>
          <cell r="B3529" t="str">
            <v xml:space="preserve">SUPER FAST DRY BLANCO         </v>
          </cell>
          <cell r="C3529">
            <v>0.49863013698630138</v>
          </cell>
          <cell r="D3529">
            <v>182</v>
          </cell>
        </row>
        <row r="3530">
          <cell r="A3530" t="str">
            <v>F68WSA6-5</v>
          </cell>
          <cell r="B3530" t="str">
            <v xml:space="preserve">SUPER FAST DRY BLANCO         </v>
          </cell>
          <cell r="C3530">
            <v>0.49863013698630138</v>
          </cell>
          <cell r="D3530">
            <v>182</v>
          </cell>
        </row>
        <row r="3531">
          <cell r="A3531" t="str">
            <v>F74C51</v>
          </cell>
          <cell r="B3531" t="str">
            <v xml:space="preserve">BARNIZ POLIURETANO BRILLANTE  </v>
          </cell>
          <cell r="C3531">
            <v>0.49863013698630138</v>
          </cell>
          <cell r="D3531">
            <v>182</v>
          </cell>
        </row>
        <row r="3532">
          <cell r="A3532" t="str">
            <v>F74C51-1</v>
          </cell>
          <cell r="B3532" t="str">
            <v xml:space="preserve">BARNIZ POLIURETANO BRILLANTE  </v>
          </cell>
          <cell r="C3532">
            <v>0.49863013698630138</v>
          </cell>
          <cell r="D3532">
            <v>182</v>
          </cell>
        </row>
        <row r="3533">
          <cell r="A3533" t="str">
            <v>F74FSA1</v>
          </cell>
          <cell r="B3533" t="str">
            <v xml:space="preserve">BARNIZ POLIURETANO MATE       </v>
          </cell>
          <cell r="C3533">
            <v>0.49863013698630138</v>
          </cell>
          <cell r="D3533">
            <v>182</v>
          </cell>
        </row>
        <row r="3534">
          <cell r="A3534" t="str">
            <v>F74FSA1-1</v>
          </cell>
          <cell r="B3534" t="str">
            <v xml:space="preserve">BARNIZ POLIURETANO MATE       </v>
          </cell>
          <cell r="C3534">
            <v>0.49863013698630138</v>
          </cell>
          <cell r="D3534">
            <v>182</v>
          </cell>
        </row>
        <row r="3535">
          <cell r="A3535" t="str">
            <v>F74FSA2</v>
          </cell>
          <cell r="B3535" t="str">
            <v xml:space="preserve">BARNIZ POLIURETANO SATINADO   </v>
          </cell>
          <cell r="C3535">
            <v>0.49863013698630138</v>
          </cell>
          <cell r="D3535">
            <v>182</v>
          </cell>
        </row>
        <row r="3536">
          <cell r="A3536" t="str">
            <v>F74FSA2-1</v>
          </cell>
          <cell r="B3536" t="str">
            <v xml:space="preserve">BARNIZ POLIURETANO SATINADO   </v>
          </cell>
          <cell r="C3536">
            <v>0.49863013698630138</v>
          </cell>
          <cell r="D3536">
            <v>182</v>
          </cell>
        </row>
        <row r="3537">
          <cell r="A3537" t="str">
            <v>F78BSA1</v>
          </cell>
          <cell r="B3537" t="str">
            <v xml:space="preserve">ESMALTE NEGRO MATE BASE AGUA  </v>
          </cell>
          <cell r="C3537">
            <v>0.49863013698630138</v>
          </cell>
          <cell r="D3537">
            <v>182</v>
          </cell>
        </row>
        <row r="3538">
          <cell r="A3538" t="str">
            <v>F78BSA1-50</v>
          </cell>
          <cell r="B3538" t="str">
            <v xml:space="preserve">ESM NEGRO MATE  AGUA P/HERRAM </v>
          </cell>
          <cell r="C3538">
            <v>0.49863013698630138</v>
          </cell>
          <cell r="D3538">
            <v>182</v>
          </cell>
        </row>
        <row r="3539">
          <cell r="A3539" t="str">
            <v>F78TSA1</v>
          </cell>
          <cell r="B3539" t="str">
            <v>TRANSPARENTE REDUCIBLE EN AGUA</v>
          </cell>
          <cell r="C3539">
            <v>0.49863013698630138</v>
          </cell>
          <cell r="D3539">
            <v>182</v>
          </cell>
        </row>
        <row r="3540">
          <cell r="A3540" t="str">
            <v>F78TSA1-49</v>
          </cell>
          <cell r="B3540" t="str">
            <v xml:space="preserve">CLEAR BASE AGUA P/HERRAMIENTA </v>
          </cell>
          <cell r="C3540">
            <v>0.49863013698630138</v>
          </cell>
          <cell r="D3540">
            <v>182</v>
          </cell>
        </row>
        <row r="3541">
          <cell r="A3541" t="str">
            <v>F78TSA1-50</v>
          </cell>
          <cell r="B3541" t="str">
            <v xml:space="preserve">CLEAR BASE AGUA P/HERRAMIENTA </v>
          </cell>
          <cell r="C3541">
            <v>0.49863013698630138</v>
          </cell>
          <cell r="D3541">
            <v>182</v>
          </cell>
        </row>
        <row r="3542">
          <cell r="A3542" t="str">
            <v>F78TSA2</v>
          </cell>
          <cell r="B3542" t="str">
            <v>TRANSPARENTE BRILLAN BASE AGUA</v>
          </cell>
          <cell r="C3542">
            <v>0.49863013698630138</v>
          </cell>
          <cell r="D3542">
            <v>182</v>
          </cell>
        </row>
        <row r="3543">
          <cell r="A3543" t="str">
            <v>F78TSA2-50</v>
          </cell>
          <cell r="B3543" t="str">
            <v xml:space="preserve">CLEAR BASE AGUA P/HERRAMIENTA </v>
          </cell>
          <cell r="C3543">
            <v>0.49863013698630138</v>
          </cell>
          <cell r="D3543">
            <v>182</v>
          </cell>
        </row>
        <row r="3544">
          <cell r="A3544" t="str">
            <v>FX1-1/4</v>
          </cell>
          <cell r="B3544" t="str">
            <v xml:space="preserve">SPECIAL EFFECTS MAPLE         </v>
          </cell>
          <cell r="C3544">
            <v>1</v>
          </cell>
          <cell r="D3544">
            <v>365</v>
          </cell>
        </row>
        <row r="3545">
          <cell r="A3545" t="str">
            <v>FX2-1/4</v>
          </cell>
          <cell r="B3545" t="str">
            <v xml:space="preserve">SPECIAL EFFECTS JADE          </v>
          </cell>
          <cell r="C3545">
            <v>1</v>
          </cell>
          <cell r="D3545">
            <v>365</v>
          </cell>
        </row>
        <row r="3546">
          <cell r="A3546" t="str">
            <v>FX3-1/4</v>
          </cell>
          <cell r="B3546" t="str">
            <v xml:space="preserve">SPECIAL EFFECTS SCARAB        </v>
          </cell>
          <cell r="C3546">
            <v>1</v>
          </cell>
          <cell r="D3546">
            <v>365</v>
          </cell>
        </row>
        <row r="3547">
          <cell r="A3547" t="str">
            <v>FX4-1/4</v>
          </cell>
          <cell r="B3547" t="str">
            <v xml:space="preserve">SPECIAL EFFECTS SAPHIRE       </v>
          </cell>
          <cell r="C3547">
            <v>1</v>
          </cell>
          <cell r="D3547">
            <v>365</v>
          </cell>
        </row>
        <row r="3548">
          <cell r="A3548" t="str">
            <v>H38-1/4</v>
          </cell>
          <cell r="B3548" t="str">
            <v xml:space="preserve">PRIMER 2K  HARDENER           </v>
          </cell>
          <cell r="C3548">
            <v>0.49863013698630138</v>
          </cell>
          <cell r="D3548">
            <v>182</v>
          </cell>
        </row>
        <row r="3549">
          <cell r="A3549" t="str">
            <v>H38-1/8</v>
          </cell>
          <cell r="B3549" t="str">
            <v xml:space="preserve">PRIMER 2K  HARDENER           </v>
          </cell>
          <cell r="C3549">
            <v>0.49863013698630138</v>
          </cell>
          <cell r="D3549">
            <v>182</v>
          </cell>
        </row>
        <row r="3550">
          <cell r="A3550" t="str">
            <v>K3WSA2</v>
          </cell>
          <cell r="B3550" t="str">
            <v xml:space="preserve">KEM GLO ENAMEL ULTRA BLANCO   </v>
          </cell>
          <cell r="C3550">
            <v>3</v>
          </cell>
          <cell r="D3550">
            <v>1095</v>
          </cell>
        </row>
        <row r="3551">
          <cell r="A3551" t="str">
            <v>K3WSA2-1</v>
          </cell>
          <cell r="B3551" t="str">
            <v xml:space="preserve">KEM GLO ENAMEL ULTRA BLANCO   </v>
          </cell>
          <cell r="C3551">
            <v>3</v>
          </cell>
          <cell r="D3551">
            <v>1095</v>
          </cell>
        </row>
      </sheetData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"/>
      <sheetName val="Sheet 1"/>
      <sheetName val="Sheet1"/>
    </sheetNames>
    <sheetDataSet>
      <sheetData sheetId="0" refreshError="1">
        <row r="1">
          <cell r="A1" t="str">
            <v>IMLITM</v>
          </cell>
          <cell r="B1" t="str">
            <v>IMDSC1</v>
          </cell>
          <cell r="C1" t="str">
            <v>Años</v>
          </cell>
          <cell r="D1" t="str">
            <v>CADUCIDAD DIAS</v>
          </cell>
        </row>
        <row r="2">
          <cell r="A2">
            <v>988</v>
          </cell>
          <cell r="B2" t="str">
            <v xml:space="preserve">SELF   ETCHING   PRIMER SPRAY </v>
          </cell>
          <cell r="C2">
            <v>2</v>
          </cell>
          <cell r="D2">
            <v>730</v>
          </cell>
        </row>
        <row r="3">
          <cell r="A3" t="str">
            <v>8449955-1/4</v>
          </cell>
          <cell r="B3" t="str">
            <v xml:space="preserve">LAMP BLACK                    </v>
          </cell>
          <cell r="C3">
            <v>3</v>
          </cell>
          <cell r="D3">
            <v>1095</v>
          </cell>
        </row>
        <row r="4">
          <cell r="A4" t="str">
            <v>A60B1</v>
          </cell>
          <cell r="B4" t="str">
            <v xml:space="preserve">BLEND - A - COLOR NEGRO       </v>
          </cell>
          <cell r="C4">
            <v>3</v>
          </cell>
          <cell r="D4">
            <v>1095</v>
          </cell>
        </row>
        <row r="5">
          <cell r="A5" t="str">
            <v>A60B1-1/4</v>
          </cell>
          <cell r="B5" t="str">
            <v xml:space="preserve">BLEND - A - COLOR NEGRO       </v>
          </cell>
          <cell r="C5">
            <v>3</v>
          </cell>
          <cell r="D5">
            <v>1095</v>
          </cell>
        </row>
        <row r="6">
          <cell r="A6" t="str">
            <v>A60G2</v>
          </cell>
          <cell r="B6" t="str">
            <v xml:space="preserve">BLEND - A - COLOR NUEVO VERDE </v>
          </cell>
          <cell r="C6">
            <v>3</v>
          </cell>
          <cell r="D6">
            <v>1095</v>
          </cell>
        </row>
        <row r="7">
          <cell r="A7" t="str">
            <v>A60G2-1/4</v>
          </cell>
          <cell r="B7" t="str">
            <v xml:space="preserve">BLEND - A - COLOR NUEVO VERDE </v>
          </cell>
          <cell r="C7">
            <v>3</v>
          </cell>
          <cell r="D7">
            <v>1095</v>
          </cell>
        </row>
        <row r="8">
          <cell r="A8" t="str">
            <v>A60L1</v>
          </cell>
          <cell r="B8" t="str">
            <v xml:space="preserve">BLEND - A - COLOR AZUL        </v>
          </cell>
          <cell r="C8">
            <v>3</v>
          </cell>
          <cell r="D8">
            <v>1095</v>
          </cell>
        </row>
        <row r="9">
          <cell r="A9" t="str">
            <v>A60L1-1/4</v>
          </cell>
          <cell r="B9" t="str">
            <v xml:space="preserve">BLEND - A - COLOR AZUL        </v>
          </cell>
          <cell r="C9">
            <v>3</v>
          </cell>
          <cell r="D9">
            <v>1095</v>
          </cell>
        </row>
        <row r="10">
          <cell r="A10" t="str">
            <v>A60N1</v>
          </cell>
          <cell r="B10" t="str">
            <v xml:space="preserve">BLEND - A - COLOR CASTAÑO     </v>
          </cell>
          <cell r="C10">
            <v>3</v>
          </cell>
          <cell r="D10">
            <v>1095</v>
          </cell>
        </row>
        <row r="11">
          <cell r="A11" t="str">
            <v>A60N1-1/4</v>
          </cell>
          <cell r="B11" t="str">
            <v xml:space="preserve">BLEND - A - COLOR CASTAÑ0     </v>
          </cell>
          <cell r="C11">
            <v>3</v>
          </cell>
          <cell r="D11">
            <v>1095</v>
          </cell>
        </row>
        <row r="12">
          <cell r="A12" t="str">
            <v>A60R1</v>
          </cell>
          <cell r="B12" t="str">
            <v xml:space="preserve">BLEND - A - COLOR MAGENTA     </v>
          </cell>
          <cell r="C12">
            <v>3</v>
          </cell>
          <cell r="D12">
            <v>1095</v>
          </cell>
        </row>
        <row r="13">
          <cell r="A13" t="str">
            <v>A60R1-1/4</v>
          </cell>
          <cell r="B13" t="str">
            <v xml:space="preserve">BLEND - A - COLOR MAGENTA     </v>
          </cell>
          <cell r="C13">
            <v>3</v>
          </cell>
          <cell r="D13">
            <v>1095</v>
          </cell>
        </row>
        <row r="14">
          <cell r="A14" t="str">
            <v>A60R2</v>
          </cell>
          <cell r="B14" t="str">
            <v xml:space="preserve">BLEND - A - COLOR ROJO OXIDO  </v>
          </cell>
          <cell r="C14">
            <v>3</v>
          </cell>
          <cell r="D14">
            <v>1095</v>
          </cell>
        </row>
        <row r="15">
          <cell r="A15" t="str">
            <v>A60R2-1/4</v>
          </cell>
          <cell r="B15" t="str">
            <v xml:space="preserve">BLEND - A - COLOR ROJO OXIDO  </v>
          </cell>
          <cell r="C15">
            <v>3</v>
          </cell>
          <cell r="D15">
            <v>1095</v>
          </cell>
        </row>
        <row r="16">
          <cell r="A16" t="str">
            <v>A60R3</v>
          </cell>
          <cell r="B16" t="str">
            <v xml:space="preserve">BLEND-A-COLOR  MAGENTA        </v>
          </cell>
          <cell r="C16">
            <v>3</v>
          </cell>
          <cell r="D16">
            <v>1095</v>
          </cell>
        </row>
        <row r="17">
          <cell r="A17" t="str">
            <v>A60R3-1/4</v>
          </cell>
          <cell r="B17" t="str">
            <v xml:space="preserve">BLEND - A - COLOR MAGENTA     </v>
          </cell>
          <cell r="C17">
            <v>3</v>
          </cell>
          <cell r="D17">
            <v>1095</v>
          </cell>
        </row>
        <row r="18">
          <cell r="A18" t="str">
            <v>A60R4</v>
          </cell>
          <cell r="B18" t="str">
            <v xml:space="preserve">BLEND - A - COLOR NUEVO ROJO  </v>
          </cell>
          <cell r="C18">
            <v>3</v>
          </cell>
          <cell r="D18">
            <v>1095</v>
          </cell>
        </row>
        <row r="19">
          <cell r="A19" t="str">
            <v>A60R4-1/4</v>
          </cell>
          <cell r="B19" t="str">
            <v xml:space="preserve">BLEND - A - COLOR NUEVO ROJO  </v>
          </cell>
          <cell r="C19">
            <v>3</v>
          </cell>
          <cell r="D19">
            <v>1095</v>
          </cell>
        </row>
        <row r="20">
          <cell r="A20" t="str">
            <v>A60W1</v>
          </cell>
          <cell r="B20" t="str">
            <v xml:space="preserve">BLEND - A - COLOR BLANCO      </v>
          </cell>
          <cell r="C20">
            <v>3</v>
          </cell>
          <cell r="D20">
            <v>1095</v>
          </cell>
        </row>
        <row r="21">
          <cell r="A21" t="str">
            <v>A60W1-1/4</v>
          </cell>
          <cell r="B21" t="str">
            <v xml:space="preserve">BLEND - A - COLOR BLANCO      </v>
          </cell>
          <cell r="C21">
            <v>3</v>
          </cell>
          <cell r="D21">
            <v>1095</v>
          </cell>
        </row>
        <row r="22">
          <cell r="A22" t="str">
            <v>A60Y1</v>
          </cell>
          <cell r="B22" t="str">
            <v xml:space="preserve">BLEND - A - COLOR AMARILLO    </v>
          </cell>
          <cell r="C22">
            <v>3</v>
          </cell>
          <cell r="D22">
            <v>1095</v>
          </cell>
        </row>
        <row r="23">
          <cell r="A23" t="str">
            <v>A60Y1-1/4</v>
          </cell>
          <cell r="B23" t="str">
            <v xml:space="preserve">BLEND - A - COLOR AMARILLO    </v>
          </cell>
          <cell r="C23">
            <v>3</v>
          </cell>
          <cell r="D23">
            <v>1095</v>
          </cell>
        </row>
        <row r="24">
          <cell r="A24" t="str">
            <v>A60Y3</v>
          </cell>
          <cell r="B24" t="str">
            <v>BLEND - A - COLOR AMARIL OXIDO</v>
          </cell>
          <cell r="C24">
            <v>3</v>
          </cell>
          <cell r="D24">
            <v>1095</v>
          </cell>
        </row>
        <row r="25">
          <cell r="A25" t="str">
            <v>A60Y3-1/4</v>
          </cell>
          <cell r="B25" t="str">
            <v>BLEND - A - COLOR AMARIL OXIDO</v>
          </cell>
          <cell r="C25">
            <v>3</v>
          </cell>
          <cell r="D25">
            <v>1095</v>
          </cell>
        </row>
        <row r="26">
          <cell r="A26" t="str">
            <v>AS8</v>
          </cell>
          <cell r="B26" t="str">
            <v xml:space="preserve">ACCELERATED REDUCER           </v>
          </cell>
          <cell r="C26">
            <v>1</v>
          </cell>
          <cell r="D26">
            <v>365</v>
          </cell>
        </row>
        <row r="27">
          <cell r="A27" t="str">
            <v>AS8-1</v>
          </cell>
          <cell r="B27" t="str">
            <v xml:space="preserve">ACCELERATED REDUCER           </v>
          </cell>
          <cell r="C27">
            <v>1</v>
          </cell>
          <cell r="D27">
            <v>365</v>
          </cell>
        </row>
        <row r="28">
          <cell r="A28" t="str">
            <v>B14VP1</v>
          </cell>
          <cell r="B28" t="str">
            <v xml:space="preserve">EXCELLO ALL PURPOSE VARNISH   </v>
          </cell>
          <cell r="C28">
            <v>1</v>
          </cell>
          <cell r="D28">
            <v>365</v>
          </cell>
        </row>
        <row r="29">
          <cell r="A29" t="str">
            <v>B14VP1-1</v>
          </cell>
          <cell r="B29" t="str">
            <v xml:space="preserve">EXCELLO ALL PURPOSE VARNISH   </v>
          </cell>
          <cell r="C29">
            <v>1</v>
          </cell>
          <cell r="D29">
            <v>365</v>
          </cell>
        </row>
        <row r="30">
          <cell r="A30" t="str">
            <v>B14VP1-1/4</v>
          </cell>
          <cell r="B30" t="str">
            <v xml:space="preserve">EXCELLO ALL PURPOSE  VARNISH  </v>
          </cell>
          <cell r="C30">
            <v>1</v>
          </cell>
          <cell r="D30">
            <v>365</v>
          </cell>
        </row>
        <row r="31">
          <cell r="A31" t="str">
            <v>B59S1</v>
          </cell>
          <cell r="B31" t="str">
            <v>SILVERBRIT ALUMINU PAINT No.15</v>
          </cell>
          <cell r="C31">
            <v>0.49863013698630138</v>
          </cell>
          <cell r="D31">
            <v>182</v>
          </cell>
        </row>
        <row r="32">
          <cell r="A32" t="str">
            <v>B59S1-1</v>
          </cell>
          <cell r="B32" t="str">
            <v>SILVERBRIT ALUMINU PAINT No.15</v>
          </cell>
          <cell r="C32">
            <v>0.49863013698630138</v>
          </cell>
          <cell r="D32">
            <v>182</v>
          </cell>
        </row>
        <row r="33">
          <cell r="A33" t="str">
            <v>B59S1-1/4</v>
          </cell>
          <cell r="B33" t="str">
            <v>SILVERBRIT ALUMINU PAINT No.15</v>
          </cell>
          <cell r="C33">
            <v>0.49863013698630138</v>
          </cell>
          <cell r="D33">
            <v>182</v>
          </cell>
        </row>
        <row r="34">
          <cell r="A34" t="str">
            <v>B59S1-5</v>
          </cell>
          <cell r="B34" t="str">
            <v>SILVERBRIT ALUMINU PAINT No.15</v>
          </cell>
          <cell r="C34">
            <v>0.49863013698630138</v>
          </cell>
          <cell r="D34">
            <v>182</v>
          </cell>
        </row>
        <row r="35">
          <cell r="A35" t="str">
            <v>B59S3</v>
          </cell>
          <cell r="B35" t="str">
            <v xml:space="preserve">SILVER BRITE HI-HEAT ALUM 55  </v>
          </cell>
          <cell r="C35">
            <v>0.49863013698630138</v>
          </cell>
          <cell r="D35">
            <v>182</v>
          </cell>
        </row>
        <row r="36">
          <cell r="A36" t="str">
            <v>B59S3-1</v>
          </cell>
          <cell r="B36" t="str">
            <v xml:space="preserve">SILVER BRITE HI-HEAT ALUM 55  </v>
          </cell>
          <cell r="C36">
            <v>0.49863013698630138</v>
          </cell>
          <cell r="D36">
            <v>182</v>
          </cell>
        </row>
        <row r="37">
          <cell r="A37" t="str">
            <v>B59S8</v>
          </cell>
          <cell r="B37" t="str">
            <v>SILVER-BRITE HI-HEAT ALU PAINT</v>
          </cell>
          <cell r="C37">
            <v>0.49863013698630138</v>
          </cell>
          <cell r="D37">
            <v>182</v>
          </cell>
        </row>
        <row r="38">
          <cell r="A38" t="str">
            <v>B59S8-1</v>
          </cell>
          <cell r="B38" t="str">
            <v>SILVER-BRITE HI-HEAT ALU PAINT</v>
          </cell>
          <cell r="C38">
            <v>0.49863013698630138</v>
          </cell>
          <cell r="D38">
            <v>182</v>
          </cell>
        </row>
        <row r="39">
          <cell r="A39" t="str">
            <v>BCS600</v>
          </cell>
          <cell r="B39" t="str">
            <v xml:space="preserve">BASECOAT STABILIZER  RAPIDO   </v>
          </cell>
          <cell r="C39">
            <v>1</v>
          </cell>
          <cell r="D39">
            <v>182</v>
          </cell>
        </row>
        <row r="40">
          <cell r="A40" t="str">
            <v>BCS600-1</v>
          </cell>
          <cell r="B40" t="str">
            <v xml:space="preserve">BASECOAT STABILIZER  RAPIDO   </v>
          </cell>
          <cell r="C40">
            <v>1</v>
          </cell>
          <cell r="D40">
            <v>182</v>
          </cell>
        </row>
        <row r="41">
          <cell r="A41" t="str">
            <v>BCS600-E</v>
          </cell>
          <cell r="B41" t="str">
            <v xml:space="preserve">BASECOAT STABILIZER RAPIDO    </v>
          </cell>
          <cell r="C41">
            <v>1</v>
          </cell>
          <cell r="D41">
            <v>182</v>
          </cell>
        </row>
        <row r="42">
          <cell r="A42" t="str">
            <v>BCS600E-1</v>
          </cell>
          <cell r="B42" t="str">
            <v xml:space="preserve">BASECOAT STABILIZER RAPIDO    </v>
          </cell>
          <cell r="C42">
            <v>1</v>
          </cell>
          <cell r="D42">
            <v>182</v>
          </cell>
        </row>
        <row r="43">
          <cell r="A43" t="str">
            <v>BCS605</v>
          </cell>
          <cell r="B43" t="str">
            <v xml:space="preserve">BASECOAT STABILIZER  STANDARD </v>
          </cell>
          <cell r="C43">
            <v>1</v>
          </cell>
          <cell r="D43">
            <v>182</v>
          </cell>
        </row>
        <row r="44">
          <cell r="A44" t="str">
            <v>BCS605-1</v>
          </cell>
          <cell r="B44" t="str">
            <v xml:space="preserve">BASECOAT STABILIZER  STANDARD </v>
          </cell>
          <cell r="C44">
            <v>1</v>
          </cell>
          <cell r="D44">
            <v>182</v>
          </cell>
        </row>
        <row r="45">
          <cell r="A45" t="str">
            <v>BCS605-E</v>
          </cell>
          <cell r="B45" t="str">
            <v xml:space="preserve">BASECOAT STABILIZER STANDARD  </v>
          </cell>
          <cell r="C45">
            <v>1</v>
          </cell>
          <cell r="D45">
            <v>182</v>
          </cell>
        </row>
        <row r="46">
          <cell r="A46" t="str">
            <v>BCS605E-1</v>
          </cell>
          <cell r="B46" t="str">
            <v xml:space="preserve">BASECOAT STABILIZER STANDARD  </v>
          </cell>
          <cell r="C46">
            <v>1</v>
          </cell>
          <cell r="D46">
            <v>182</v>
          </cell>
        </row>
        <row r="47">
          <cell r="A47" t="str">
            <v>BCS608</v>
          </cell>
          <cell r="B47" t="str">
            <v xml:space="preserve">BASECOAT  STABILIZER MEDIANO  </v>
          </cell>
          <cell r="C47">
            <v>1</v>
          </cell>
          <cell r="D47">
            <v>182</v>
          </cell>
        </row>
        <row r="48">
          <cell r="A48" t="str">
            <v>BCS608-1</v>
          </cell>
          <cell r="B48" t="str">
            <v xml:space="preserve">BASECOAT  STABILIZER MEDIANO  </v>
          </cell>
          <cell r="C48">
            <v>1</v>
          </cell>
          <cell r="D48">
            <v>182</v>
          </cell>
        </row>
        <row r="49">
          <cell r="A49" t="str">
            <v>BCS608-E</v>
          </cell>
          <cell r="B49" t="str">
            <v xml:space="preserve">BASECAOT STABILIZER MEDIANO   </v>
          </cell>
          <cell r="C49">
            <v>1</v>
          </cell>
          <cell r="D49">
            <v>182</v>
          </cell>
        </row>
        <row r="50">
          <cell r="A50" t="str">
            <v>BCS608E-1</v>
          </cell>
          <cell r="B50" t="str">
            <v xml:space="preserve">BASECAOT STABILIZER MEDIANO   </v>
          </cell>
          <cell r="C50">
            <v>1</v>
          </cell>
          <cell r="D50">
            <v>182</v>
          </cell>
        </row>
        <row r="51">
          <cell r="A51" t="str">
            <v>BCS-610</v>
          </cell>
          <cell r="B51" t="str">
            <v xml:space="preserve">ULTRA 7000 BASECOAT HI-TEMP   </v>
          </cell>
          <cell r="C51">
            <v>1</v>
          </cell>
          <cell r="D51">
            <v>182</v>
          </cell>
        </row>
        <row r="52">
          <cell r="A52" t="str">
            <v>BCS610-1</v>
          </cell>
          <cell r="B52" t="str">
            <v xml:space="preserve">ULTRA 7000 BASECOAT HI-TEMP   </v>
          </cell>
          <cell r="C52">
            <v>1</v>
          </cell>
          <cell r="D52">
            <v>182</v>
          </cell>
        </row>
        <row r="53">
          <cell r="A53" t="str">
            <v>BS10</v>
          </cell>
          <cell r="B53" t="str">
            <v xml:space="preserve">URETHANE BLENDING SOLVENT     </v>
          </cell>
          <cell r="C53">
            <v>1</v>
          </cell>
          <cell r="D53">
            <v>365</v>
          </cell>
        </row>
        <row r="54">
          <cell r="A54" t="str">
            <v>BS10-1</v>
          </cell>
          <cell r="B54" t="str">
            <v xml:space="preserve">URETHANE BLENDING SOLVENT     </v>
          </cell>
          <cell r="C54">
            <v>1</v>
          </cell>
          <cell r="D54">
            <v>365</v>
          </cell>
        </row>
        <row r="55">
          <cell r="A55" t="str">
            <v>BS9</v>
          </cell>
          <cell r="B55" t="str">
            <v xml:space="preserve">BLENDING SOLVENT              </v>
          </cell>
          <cell r="C55">
            <v>1</v>
          </cell>
          <cell r="D55">
            <v>365</v>
          </cell>
        </row>
        <row r="56">
          <cell r="A56" t="str">
            <v>BS9-1</v>
          </cell>
          <cell r="B56" t="str">
            <v xml:space="preserve">BLENDING SOLVENT              </v>
          </cell>
          <cell r="C56">
            <v>1</v>
          </cell>
          <cell r="D56">
            <v>365</v>
          </cell>
        </row>
        <row r="57">
          <cell r="A57" t="str">
            <v>CC630-1</v>
          </cell>
          <cell r="B57" t="str">
            <v xml:space="preserve">SPOT  PANEL   FAST  CLEARCOAT </v>
          </cell>
          <cell r="C57">
            <v>1</v>
          </cell>
          <cell r="D57">
            <v>365</v>
          </cell>
        </row>
        <row r="58">
          <cell r="A58" t="str">
            <v>CC637</v>
          </cell>
          <cell r="B58" t="str">
            <v xml:space="preserve">MAXIM  PERFORMANCE  CLEARCOAT </v>
          </cell>
          <cell r="C58">
            <v>1</v>
          </cell>
          <cell r="D58">
            <v>365</v>
          </cell>
        </row>
        <row r="59">
          <cell r="A59" t="str">
            <v>CC637-1</v>
          </cell>
          <cell r="B59" t="str">
            <v xml:space="preserve">MAXIM  PERFORMANCE  CLEARCOAT </v>
          </cell>
          <cell r="C59">
            <v>1</v>
          </cell>
          <cell r="D59">
            <v>365</v>
          </cell>
        </row>
        <row r="60">
          <cell r="A60" t="str">
            <v>CC639-1</v>
          </cell>
          <cell r="B60" t="str">
            <v xml:space="preserve">SUPER   GLAMOUR   CLEARCOAT   </v>
          </cell>
          <cell r="C60">
            <v>1</v>
          </cell>
          <cell r="D60">
            <v>365</v>
          </cell>
        </row>
        <row r="61">
          <cell r="A61" t="str">
            <v>CC645</v>
          </cell>
          <cell r="B61" t="str">
            <v xml:space="preserve">UNIVERSAL CLEARCOAT           </v>
          </cell>
          <cell r="C61">
            <v>1</v>
          </cell>
          <cell r="D61">
            <v>365</v>
          </cell>
        </row>
        <row r="62">
          <cell r="A62" t="str">
            <v>CC645-1</v>
          </cell>
          <cell r="B62" t="str">
            <v xml:space="preserve">UNIVERSAL CLEARCOAT           </v>
          </cell>
          <cell r="C62">
            <v>1</v>
          </cell>
          <cell r="D62">
            <v>365</v>
          </cell>
        </row>
        <row r="63">
          <cell r="A63" t="str">
            <v>CC645-1/4</v>
          </cell>
          <cell r="B63" t="str">
            <v xml:space="preserve">UNIVERSAL CLEARCOAT           </v>
          </cell>
          <cell r="C63">
            <v>1</v>
          </cell>
          <cell r="D63">
            <v>365</v>
          </cell>
        </row>
        <row r="64">
          <cell r="A64" t="str">
            <v>CC647-1/4</v>
          </cell>
          <cell r="B64" t="str">
            <v xml:space="preserve">ULTRA 7000 MATTE CLEARCOAT    </v>
          </cell>
          <cell r="C64">
            <v>1</v>
          </cell>
          <cell r="D64">
            <v>365</v>
          </cell>
        </row>
        <row r="65">
          <cell r="A65" t="str">
            <v>CC648-SPRAY</v>
          </cell>
          <cell r="B65" t="str">
            <v>ULTRA 7000 KUT IN CLEAR  SPRAY</v>
          </cell>
          <cell r="C65">
            <v>1</v>
          </cell>
          <cell r="D65">
            <v>365</v>
          </cell>
        </row>
        <row r="66">
          <cell r="A66" t="str">
            <v>CC649-1</v>
          </cell>
          <cell r="B66" t="str">
            <v xml:space="preserve">ULTRA 7000 KUT IN CLEAR       </v>
          </cell>
          <cell r="C66">
            <v>1</v>
          </cell>
          <cell r="D66">
            <v>365</v>
          </cell>
        </row>
        <row r="67">
          <cell r="A67" t="str">
            <v>CC930</v>
          </cell>
          <cell r="B67" t="str">
            <v xml:space="preserve">SPEED PLUS  REPAIR CLEARCOAT  </v>
          </cell>
          <cell r="C67">
            <v>1</v>
          </cell>
          <cell r="D67">
            <v>365</v>
          </cell>
        </row>
        <row r="68">
          <cell r="A68" t="str">
            <v>CC930-1</v>
          </cell>
          <cell r="B68" t="str">
            <v xml:space="preserve">SPEED PLUS  REPAIR CLEARCOAT  </v>
          </cell>
          <cell r="C68">
            <v>1</v>
          </cell>
          <cell r="D68">
            <v>365</v>
          </cell>
        </row>
        <row r="69">
          <cell r="A69" t="str">
            <v>CC930-1/4</v>
          </cell>
          <cell r="B69" t="str">
            <v xml:space="preserve">SPEED PLUS  REPAIR CLEARCOAT  </v>
          </cell>
          <cell r="C69">
            <v>1</v>
          </cell>
          <cell r="D69">
            <v>365</v>
          </cell>
        </row>
        <row r="70">
          <cell r="A70" t="str">
            <v>CC940-1</v>
          </cell>
          <cell r="B70" t="str">
            <v xml:space="preserve">HIGH PREMIUM PLUS CLEARCOAT   </v>
          </cell>
          <cell r="C70">
            <v>1</v>
          </cell>
          <cell r="D70">
            <v>365</v>
          </cell>
        </row>
        <row r="71">
          <cell r="A71" t="str">
            <v>CC947-1/4</v>
          </cell>
          <cell r="B71" t="str">
            <v xml:space="preserve">ULTRA 7000 MATTE CLEARCOAT    </v>
          </cell>
          <cell r="C71">
            <v>1</v>
          </cell>
          <cell r="D71">
            <v>365</v>
          </cell>
        </row>
        <row r="72">
          <cell r="A72" t="str">
            <v>CCH-690</v>
          </cell>
          <cell r="B72" t="str">
            <v xml:space="preserve">CLEARCOAT   HARDENER .        </v>
          </cell>
          <cell r="C72">
            <v>0.5</v>
          </cell>
          <cell r="D72">
            <v>182.5</v>
          </cell>
        </row>
        <row r="73">
          <cell r="A73" t="str">
            <v>CCH690-1/16</v>
          </cell>
          <cell r="B73" t="str">
            <v xml:space="preserve">CLEARCOAT   HARDENER .        </v>
          </cell>
          <cell r="C73">
            <v>0.5</v>
          </cell>
          <cell r="D73">
            <v>182.5</v>
          </cell>
        </row>
        <row r="74">
          <cell r="A74" t="str">
            <v>CCH690-1/4</v>
          </cell>
          <cell r="B74" t="str">
            <v xml:space="preserve">CLEARCOAT   HARDENER .        </v>
          </cell>
          <cell r="C74">
            <v>0.5</v>
          </cell>
          <cell r="D74">
            <v>182.5</v>
          </cell>
        </row>
        <row r="75">
          <cell r="A75" t="str">
            <v>CCH690-1/8</v>
          </cell>
          <cell r="B75" t="str">
            <v xml:space="preserve">CLEARCOAT   HARDENER .        </v>
          </cell>
          <cell r="C75">
            <v>0.5</v>
          </cell>
          <cell r="D75">
            <v>182.5</v>
          </cell>
        </row>
        <row r="76">
          <cell r="A76" t="str">
            <v>D1T13</v>
          </cell>
          <cell r="B76" t="str">
            <v xml:space="preserve">OPEX RUBBING COMPOUND BLANCO  </v>
          </cell>
          <cell r="C76">
            <v>0.49863013698630138</v>
          </cell>
          <cell r="D76">
            <v>182</v>
          </cell>
        </row>
        <row r="77">
          <cell r="A77" t="str">
            <v>D1T13-1</v>
          </cell>
          <cell r="B77" t="str">
            <v xml:space="preserve">OPEX RUBBING COMPOUND BLANCO  </v>
          </cell>
          <cell r="C77">
            <v>0.49863013698630138</v>
          </cell>
          <cell r="D77">
            <v>182</v>
          </cell>
        </row>
        <row r="78">
          <cell r="A78" t="str">
            <v>D1T13-1/4</v>
          </cell>
          <cell r="B78" t="str">
            <v xml:space="preserve">OPEX RUBBING COMPOUND BLANCO  </v>
          </cell>
          <cell r="C78">
            <v>0.49863013698630138</v>
          </cell>
          <cell r="D78">
            <v>182</v>
          </cell>
        </row>
        <row r="79">
          <cell r="A79" t="str">
            <v>D1T13-5</v>
          </cell>
          <cell r="B79" t="str">
            <v xml:space="preserve">OPEX RUBBING COMPOUND BLANCO  </v>
          </cell>
          <cell r="C79">
            <v>0.49863013698630138</v>
          </cell>
          <cell r="D79">
            <v>182</v>
          </cell>
        </row>
        <row r="80">
          <cell r="A80" t="str">
            <v>D1T2551</v>
          </cell>
          <cell r="B80" t="str">
            <v xml:space="preserve">OPEX RUBBING COMPOUND ROJO    </v>
          </cell>
          <cell r="C80">
            <v>0.49863013698630138</v>
          </cell>
          <cell r="D80">
            <v>182</v>
          </cell>
        </row>
        <row r="81">
          <cell r="A81" t="str">
            <v>D1T2551-1</v>
          </cell>
          <cell r="B81" t="str">
            <v xml:space="preserve">OPEX RUBBING COMPOUND ROJO    </v>
          </cell>
          <cell r="C81">
            <v>0.49863013698630138</v>
          </cell>
          <cell r="D81">
            <v>182</v>
          </cell>
        </row>
        <row r="82">
          <cell r="A82" t="str">
            <v>D1T2551-1/4</v>
          </cell>
          <cell r="B82" t="str">
            <v xml:space="preserve">OPEX RUBBING COMPOUND ROJO    </v>
          </cell>
          <cell r="C82">
            <v>0.49863013698630138</v>
          </cell>
          <cell r="D82">
            <v>182</v>
          </cell>
        </row>
        <row r="83">
          <cell r="A83" t="str">
            <v>D1T2551-5</v>
          </cell>
          <cell r="B83" t="str">
            <v xml:space="preserve">OPEX RUBBING COMPOUND ROJO    </v>
          </cell>
          <cell r="C83">
            <v>0.49863013698630138</v>
          </cell>
          <cell r="D83">
            <v>182</v>
          </cell>
        </row>
        <row r="84">
          <cell r="A84" t="str">
            <v>D2A123</v>
          </cell>
          <cell r="B84" t="str">
            <v>JET BOND (INCLUYE CATALIZADOR)</v>
          </cell>
          <cell r="C84">
            <v>0.49863013698630138</v>
          </cell>
          <cell r="D84">
            <v>182</v>
          </cell>
        </row>
        <row r="85">
          <cell r="A85" t="str">
            <v>D2A123-1</v>
          </cell>
          <cell r="B85" t="str">
            <v xml:space="preserve">JET BOND                      </v>
          </cell>
          <cell r="C85">
            <v>0.49863013698630138</v>
          </cell>
          <cell r="D85">
            <v>182</v>
          </cell>
        </row>
        <row r="86">
          <cell r="A86" t="str">
            <v>D2A123-1/4</v>
          </cell>
          <cell r="B86" t="str">
            <v xml:space="preserve">JET BOND                      </v>
          </cell>
          <cell r="C86">
            <v>0.49863013698630138</v>
          </cell>
          <cell r="D86">
            <v>182</v>
          </cell>
        </row>
        <row r="87">
          <cell r="A87" t="str">
            <v>D2A127</v>
          </cell>
          <cell r="B87" t="str">
            <v xml:space="preserve">MASILLA POLYESTER MEDIANA     </v>
          </cell>
          <cell r="C87">
            <v>0.49863013698630138</v>
          </cell>
          <cell r="D87">
            <v>182</v>
          </cell>
        </row>
        <row r="88">
          <cell r="A88" t="str">
            <v>D2A127-1</v>
          </cell>
          <cell r="B88" t="str">
            <v xml:space="preserve">MASILLA POLYESTER MEDIANA     </v>
          </cell>
          <cell r="C88">
            <v>0.49863013698630138</v>
          </cell>
          <cell r="D88">
            <v>182</v>
          </cell>
        </row>
        <row r="89">
          <cell r="A89" t="str">
            <v>D2A127-1/4</v>
          </cell>
          <cell r="B89" t="str">
            <v xml:space="preserve">MASILLA POLYESTER MEDIANA     </v>
          </cell>
          <cell r="C89">
            <v>0.49863013698630138</v>
          </cell>
          <cell r="D89">
            <v>182</v>
          </cell>
        </row>
        <row r="90">
          <cell r="A90" t="str">
            <v>D2A129</v>
          </cell>
          <cell r="B90" t="str">
            <v>JET BOND LIGHT  (INCL.  CATAL)</v>
          </cell>
          <cell r="C90">
            <v>0.49863013698630138</v>
          </cell>
          <cell r="D90">
            <v>182</v>
          </cell>
        </row>
        <row r="91">
          <cell r="A91" t="str">
            <v>D2A129-1</v>
          </cell>
          <cell r="B91" t="str">
            <v xml:space="preserve">JET BOND LIGHT                </v>
          </cell>
          <cell r="C91">
            <v>0.49863013698630138</v>
          </cell>
          <cell r="D91">
            <v>182</v>
          </cell>
        </row>
        <row r="92">
          <cell r="A92" t="str">
            <v>D2A129-1/4</v>
          </cell>
          <cell r="B92" t="str">
            <v xml:space="preserve">JET BOND LIGHT                </v>
          </cell>
          <cell r="C92">
            <v>0.49863013698630138</v>
          </cell>
          <cell r="D92">
            <v>182</v>
          </cell>
        </row>
        <row r="93">
          <cell r="A93" t="str">
            <v>D33YSA1</v>
          </cell>
          <cell r="B93" t="str">
            <v xml:space="preserve">TINTE INDUSTRIAL              </v>
          </cell>
          <cell r="C93">
            <v>0.49863013698630138</v>
          </cell>
          <cell r="D93">
            <v>182</v>
          </cell>
        </row>
        <row r="94">
          <cell r="A94" t="str">
            <v>D33YSA1-5</v>
          </cell>
          <cell r="B94" t="str">
            <v xml:space="preserve">TINTE INDUSTRIAL ROBLE CLARO  </v>
          </cell>
          <cell r="C94">
            <v>0.49863013698630138</v>
          </cell>
          <cell r="D94">
            <v>182</v>
          </cell>
        </row>
        <row r="95">
          <cell r="A95" t="str">
            <v>D3A2737</v>
          </cell>
          <cell r="B95" t="str">
            <v xml:space="preserve">OPEX GLAZING PUTTY NEGRO      </v>
          </cell>
          <cell r="C95">
            <v>0.49863013698630138</v>
          </cell>
          <cell r="D95">
            <v>182</v>
          </cell>
        </row>
        <row r="96">
          <cell r="A96" t="str">
            <v>D3A2737-1</v>
          </cell>
          <cell r="B96" t="str">
            <v xml:space="preserve">OPEX GLAZING PUTTY NEGRO      </v>
          </cell>
          <cell r="C96">
            <v>0.49863013698630138</v>
          </cell>
          <cell r="D96">
            <v>182</v>
          </cell>
        </row>
        <row r="97">
          <cell r="A97" t="str">
            <v>D3A2737-1/4</v>
          </cell>
          <cell r="B97" t="str">
            <v xml:space="preserve">OPEX GLAZING PUTTY NEGRO      </v>
          </cell>
          <cell r="C97">
            <v>0.49863013698630138</v>
          </cell>
          <cell r="D97">
            <v>182</v>
          </cell>
        </row>
        <row r="98">
          <cell r="A98" t="str">
            <v>D3A2747</v>
          </cell>
          <cell r="B98" t="str">
            <v xml:space="preserve">OPEX GLAZING PUTTY GRIS CLARO </v>
          </cell>
          <cell r="C98">
            <v>0.49863013698630138</v>
          </cell>
          <cell r="D98">
            <v>182</v>
          </cell>
        </row>
        <row r="99">
          <cell r="A99" t="str">
            <v>D3A2747-1</v>
          </cell>
          <cell r="B99" t="str">
            <v xml:space="preserve">OPEX GLAZING PUTTY GRIS CLARO </v>
          </cell>
          <cell r="C99">
            <v>0.49863013698630138</v>
          </cell>
          <cell r="D99">
            <v>182</v>
          </cell>
        </row>
        <row r="100">
          <cell r="A100" t="str">
            <v>D3A2747-1/4</v>
          </cell>
          <cell r="B100" t="str">
            <v xml:space="preserve">OPEX GLAZING PUTTY GRIS CLARO </v>
          </cell>
          <cell r="C100">
            <v>0.49863013698630138</v>
          </cell>
          <cell r="D100">
            <v>182</v>
          </cell>
        </row>
        <row r="101">
          <cell r="A101" t="str">
            <v>D3A2750-1/4</v>
          </cell>
          <cell r="B101" t="str">
            <v xml:space="preserve">POLYEST   PUTTY               </v>
          </cell>
          <cell r="C101">
            <v>0.49863013698630138</v>
          </cell>
          <cell r="D101">
            <v>182</v>
          </cell>
        </row>
        <row r="102">
          <cell r="A102" t="str">
            <v>D3R2748</v>
          </cell>
          <cell r="B102" t="str">
            <v xml:space="preserve">RED GLAZING PUTTY FE403       </v>
          </cell>
          <cell r="C102">
            <v>0.49863013698630138</v>
          </cell>
          <cell r="D102">
            <v>182</v>
          </cell>
        </row>
        <row r="103">
          <cell r="A103" t="str">
            <v>D3R2748-16ONZ</v>
          </cell>
          <cell r="B103" t="str">
            <v xml:space="preserve">RED GLAZING PUTTY             </v>
          </cell>
          <cell r="C103">
            <v>0.49863013698630138</v>
          </cell>
          <cell r="D103">
            <v>182</v>
          </cell>
        </row>
        <row r="104">
          <cell r="A104" t="str">
            <v>D3R7</v>
          </cell>
          <cell r="B104" t="str">
            <v xml:space="preserve">OPEX GLAZING PUTTY ROJO       </v>
          </cell>
          <cell r="C104">
            <v>0.49863013698630138</v>
          </cell>
          <cell r="D104">
            <v>182</v>
          </cell>
        </row>
        <row r="105">
          <cell r="A105" t="str">
            <v>D3R7-1</v>
          </cell>
          <cell r="B105" t="str">
            <v xml:space="preserve">OPEX GLAZING PUTTY ROJO       </v>
          </cell>
          <cell r="C105">
            <v>0.49863013698630138</v>
          </cell>
          <cell r="D105">
            <v>182</v>
          </cell>
        </row>
        <row r="106">
          <cell r="A106" t="str">
            <v>D3R7-1/4</v>
          </cell>
          <cell r="B106" t="str">
            <v xml:space="preserve">OPEX GLAZING PUTTY ROJO       </v>
          </cell>
          <cell r="C106">
            <v>0.49863013698630138</v>
          </cell>
          <cell r="D106">
            <v>182</v>
          </cell>
        </row>
        <row r="107">
          <cell r="A107" t="str">
            <v>EB20000-5</v>
          </cell>
          <cell r="B107" t="str">
            <v>TINTE EXCELBASE ALUMINIO ARMAD</v>
          </cell>
          <cell r="C107">
            <v>3</v>
          </cell>
          <cell r="D107">
            <v>1095</v>
          </cell>
        </row>
        <row r="108">
          <cell r="A108" t="str">
            <v>EB20010-1</v>
          </cell>
          <cell r="B108" t="str">
            <v xml:space="preserve">ALUMINIO BRILLANTE            </v>
          </cell>
          <cell r="C108">
            <v>3</v>
          </cell>
          <cell r="D108">
            <v>1095</v>
          </cell>
        </row>
        <row r="109">
          <cell r="A109" t="str">
            <v>EB20010-5</v>
          </cell>
          <cell r="B109" t="str">
            <v>TINTE EXCELBASE ALUMINIO BRILL</v>
          </cell>
          <cell r="C109">
            <v>3</v>
          </cell>
          <cell r="D109">
            <v>1095</v>
          </cell>
        </row>
        <row r="110">
          <cell r="A110" t="str">
            <v>EB20015-1/4</v>
          </cell>
          <cell r="B110" t="str">
            <v xml:space="preserve">ALUMINIO EXTRA FINO           </v>
          </cell>
          <cell r="C110">
            <v>3</v>
          </cell>
          <cell r="D110">
            <v>1095</v>
          </cell>
        </row>
        <row r="111">
          <cell r="A111" t="str">
            <v>EB20015-5</v>
          </cell>
          <cell r="B111" t="str">
            <v>TINTE EXCELBASE ALUM XTRA FINO</v>
          </cell>
          <cell r="C111">
            <v>3</v>
          </cell>
          <cell r="D111">
            <v>1095</v>
          </cell>
        </row>
        <row r="112">
          <cell r="A112" t="str">
            <v>EB20030-1/4</v>
          </cell>
          <cell r="B112" t="str">
            <v xml:space="preserve">ALUMINIO GRUESO               </v>
          </cell>
          <cell r="C112">
            <v>3</v>
          </cell>
          <cell r="D112">
            <v>1095</v>
          </cell>
        </row>
        <row r="113">
          <cell r="A113" t="str">
            <v>EB20030-5</v>
          </cell>
          <cell r="B113" t="str">
            <v>TINTE EXCELBASE ALUMINIO GRUES</v>
          </cell>
          <cell r="C113">
            <v>3</v>
          </cell>
          <cell r="D113">
            <v>1095</v>
          </cell>
        </row>
        <row r="114">
          <cell r="A114" t="str">
            <v>EB20031-1</v>
          </cell>
          <cell r="B114" t="str">
            <v xml:space="preserve">ALUMINIO GRUESO BRILLANTE     </v>
          </cell>
          <cell r="C114">
            <v>3</v>
          </cell>
          <cell r="D114">
            <v>1095</v>
          </cell>
        </row>
        <row r="115">
          <cell r="A115" t="str">
            <v>EB20031-5</v>
          </cell>
          <cell r="B115" t="str">
            <v>TINTE EXCELBASE ALUMINIO GRUES</v>
          </cell>
          <cell r="C115">
            <v>3</v>
          </cell>
          <cell r="D115">
            <v>1095</v>
          </cell>
        </row>
        <row r="116">
          <cell r="A116" t="str">
            <v>EB20040-1</v>
          </cell>
          <cell r="B116" t="str">
            <v xml:space="preserve">ALUMINIO MEDIANO              </v>
          </cell>
          <cell r="C116">
            <v>3</v>
          </cell>
          <cell r="D116">
            <v>1095</v>
          </cell>
        </row>
        <row r="117">
          <cell r="A117" t="str">
            <v>EB20040-5</v>
          </cell>
          <cell r="B117" t="str">
            <v>TINTE EXCELBASE ALUMINIO MEDIA</v>
          </cell>
          <cell r="C117">
            <v>3</v>
          </cell>
          <cell r="D117">
            <v>1095</v>
          </cell>
        </row>
        <row r="118">
          <cell r="A118" t="str">
            <v>EB20041-1</v>
          </cell>
          <cell r="B118" t="str">
            <v xml:space="preserve">ALUMINIO  MEDIANO BRILLANTE   </v>
          </cell>
          <cell r="C118">
            <v>3</v>
          </cell>
          <cell r="D118">
            <v>1095</v>
          </cell>
        </row>
        <row r="119">
          <cell r="A119" t="str">
            <v>EB20041-5</v>
          </cell>
          <cell r="B119" t="str">
            <v>TINTE EXCELBASE ALUMINIO MEDIA</v>
          </cell>
          <cell r="C119">
            <v>3</v>
          </cell>
          <cell r="D119">
            <v>1095</v>
          </cell>
        </row>
        <row r="120">
          <cell r="A120" t="str">
            <v>EB20042-1/4</v>
          </cell>
          <cell r="B120" t="str">
            <v xml:space="preserve">ALUMINIO  MEDIO FINO          </v>
          </cell>
          <cell r="C120">
            <v>3</v>
          </cell>
          <cell r="D120">
            <v>1095</v>
          </cell>
        </row>
        <row r="121">
          <cell r="A121" t="str">
            <v>EB20042-5</v>
          </cell>
          <cell r="B121" t="str">
            <v>TINTE EXCELBASE ALUMINIO MEDIO</v>
          </cell>
          <cell r="C121">
            <v>3</v>
          </cell>
          <cell r="D121">
            <v>1095</v>
          </cell>
        </row>
        <row r="122">
          <cell r="A122" t="str">
            <v>EB20043-1/4</v>
          </cell>
          <cell r="B122" t="str">
            <v xml:space="preserve">ALUMINIO MEDIO GRUESO         </v>
          </cell>
          <cell r="C122">
            <v>3</v>
          </cell>
          <cell r="D122">
            <v>1095</v>
          </cell>
        </row>
        <row r="123">
          <cell r="A123" t="str">
            <v>EB20043-5</v>
          </cell>
          <cell r="B123" t="str">
            <v>TINTE EXCELBASE ALUMINIO MEDIO</v>
          </cell>
          <cell r="C123">
            <v>3</v>
          </cell>
          <cell r="D123">
            <v>1095</v>
          </cell>
        </row>
        <row r="124">
          <cell r="A124" t="str">
            <v>EB20045-1</v>
          </cell>
          <cell r="B124" t="str">
            <v xml:space="preserve">ALUMINIO SUPER FINO           </v>
          </cell>
          <cell r="C124">
            <v>3</v>
          </cell>
          <cell r="D124">
            <v>1095</v>
          </cell>
        </row>
        <row r="125">
          <cell r="A125" t="str">
            <v>EB20045-5</v>
          </cell>
          <cell r="B125" t="str">
            <v xml:space="preserve">TINTE EXCELBASE ALUM SUPER FI </v>
          </cell>
          <cell r="C125">
            <v>3</v>
          </cell>
          <cell r="D125">
            <v>1095</v>
          </cell>
        </row>
        <row r="126">
          <cell r="A126" t="str">
            <v>EB20050-1/4</v>
          </cell>
          <cell r="B126" t="str">
            <v xml:space="preserve">AMARILLO CROMATO              </v>
          </cell>
          <cell r="C126">
            <v>3</v>
          </cell>
          <cell r="D126">
            <v>1095</v>
          </cell>
        </row>
        <row r="127">
          <cell r="A127" t="str">
            <v>EB20050-5</v>
          </cell>
          <cell r="B127" t="str">
            <v xml:space="preserve">TINTE EXCELBASE AMARILLO      </v>
          </cell>
          <cell r="C127">
            <v>3</v>
          </cell>
          <cell r="D127">
            <v>1095</v>
          </cell>
        </row>
        <row r="128">
          <cell r="A128" t="str">
            <v>EB20060-1</v>
          </cell>
          <cell r="B128" t="str">
            <v xml:space="preserve">AMARILLO LIMÓN                </v>
          </cell>
          <cell r="C128">
            <v>3</v>
          </cell>
          <cell r="D128">
            <v>1095</v>
          </cell>
        </row>
        <row r="129">
          <cell r="A129" t="str">
            <v>EB20060-5</v>
          </cell>
          <cell r="B129" t="str">
            <v>TINTE EXCELBASE AMARILLO LIMON</v>
          </cell>
          <cell r="C129">
            <v>3</v>
          </cell>
          <cell r="D129">
            <v>1095</v>
          </cell>
        </row>
        <row r="130">
          <cell r="A130" t="str">
            <v>EB20071-1/4</v>
          </cell>
          <cell r="B130" t="str">
            <v>AMARILLO TRANS. ROJ (Café Org)</v>
          </cell>
          <cell r="C130">
            <v>3</v>
          </cell>
          <cell r="D130">
            <v>1095</v>
          </cell>
        </row>
        <row r="131">
          <cell r="A131" t="str">
            <v>EB20071-5</v>
          </cell>
          <cell r="B131" t="str">
            <v>TINTE EXCELBASE AMARILLO TRANS</v>
          </cell>
          <cell r="C131">
            <v>3</v>
          </cell>
          <cell r="D131">
            <v>1095</v>
          </cell>
        </row>
        <row r="132">
          <cell r="A132" t="str">
            <v>EB20080-1/4</v>
          </cell>
          <cell r="B132" t="str">
            <v xml:space="preserve">AMARILLO ÓXIDO                </v>
          </cell>
          <cell r="C132">
            <v>3</v>
          </cell>
          <cell r="D132">
            <v>1095</v>
          </cell>
        </row>
        <row r="133">
          <cell r="A133" t="str">
            <v>EB20080-5</v>
          </cell>
          <cell r="B133" t="str">
            <v>TINTE EXCELBASE AMARILLO OXIDO</v>
          </cell>
          <cell r="C133">
            <v>3</v>
          </cell>
          <cell r="D133">
            <v>1095</v>
          </cell>
        </row>
        <row r="134">
          <cell r="A134" t="str">
            <v>EB20100-1/4</v>
          </cell>
          <cell r="B134" t="str">
            <v xml:space="preserve">AMARILLO  CROMATO  ROJIZO     </v>
          </cell>
          <cell r="C134">
            <v>3</v>
          </cell>
          <cell r="D134">
            <v>1095</v>
          </cell>
        </row>
        <row r="135">
          <cell r="A135" t="str">
            <v>EB20100-5</v>
          </cell>
          <cell r="B135" t="str">
            <v xml:space="preserve">TINTE EXCELBASE AMARILLO      </v>
          </cell>
          <cell r="C135">
            <v>3</v>
          </cell>
          <cell r="D135">
            <v>1095</v>
          </cell>
        </row>
        <row r="136">
          <cell r="A136" t="str">
            <v>EB20120-1/4</v>
          </cell>
          <cell r="B136" t="str">
            <v xml:space="preserve">AZUL ORGÁNICO TONO ROJIZO     </v>
          </cell>
          <cell r="C136">
            <v>3</v>
          </cell>
          <cell r="D136">
            <v>1095</v>
          </cell>
        </row>
        <row r="137">
          <cell r="A137" t="str">
            <v>EB20120-5</v>
          </cell>
          <cell r="B137" t="str">
            <v xml:space="preserve">TINTE EXCELBASE AZUL ORGANICO </v>
          </cell>
          <cell r="C137">
            <v>3</v>
          </cell>
          <cell r="D137">
            <v>1095</v>
          </cell>
        </row>
        <row r="138">
          <cell r="A138" t="str">
            <v>EB20121-1/4</v>
          </cell>
          <cell r="B138" t="str">
            <v xml:space="preserve">AZUL INDO                     </v>
          </cell>
          <cell r="C138">
            <v>3</v>
          </cell>
          <cell r="D138">
            <v>1095</v>
          </cell>
        </row>
        <row r="139">
          <cell r="A139" t="str">
            <v>EB20121-5</v>
          </cell>
          <cell r="B139" t="str">
            <v xml:space="preserve">TINTE EXCELBASE AZUL INDO     </v>
          </cell>
          <cell r="C139">
            <v>3</v>
          </cell>
          <cell r="D139">
            <v>1095</v>
          </cell>
        </row>
        <row r="140">
          <cell r="A140" t="str">
            <v>EB20122-1/4</v>
          </cell>
          <cell r="B140" t="str">
            <v xml:space="preserve">AZUL MONASTRAL                </v>
          </cell>
          <cell r="C140">
            <v>3</v>
          </cell>
          <cell r="D140">
            <v>1095</v>
          </cell>
        </row>
        <row r="141">
          <cell r="A141" t="str">
            <v>EB20122-5</v>
          </cell>
          <cell r="B141" t="str">
            <v xml:space="preserve">TINTE EXELBASE                </v>
          </cell>
          <cell r="C141">
            <v>3</v>
          </cell>
          <cell r="D141">
            <v>1095</v>
          </cell>
        </row>
        <row r="142">
          <cell r="A142" t="str">
            <v>EB20123-1/4</v>
          </cell>
          <cell r="B142" t="str">
            <v xml:space="preserve">AZUL MONASTRAL PLUS           </v>
          </cell>
          <cell r="C142">
            <v>3</v>
          </cell>
          <cell r="D142">
            <v>1095</v>
          </cell>
        </row>
        <row r="143">
          <cell r="A143" t="str">
            <v>EB20123-5</v>
          </cell>
          <cell r="B143" t="str">
            <v xml:space="preserve">TINTE EXCELBASE               </v>
          </cell>
          <cell r="C143">
            <v>3</v>
          </cell>
          <cell r="D143">
            <v>1095</v>
          </cell>
        </row>
        <row r="144">
          <cell r="A144" t="str">
            <v>EB20124-1/4</v>
          </cell>
          <cell r="B144" t="str">
            <v xml:space="preserve">AZUL NO BRONCE                </v>
          </cell>
          <cell r="C144">
            <v>3</v>
          </cell>
          <cell r="D144">
            <v>1095</v>
          </cell>
        </row>
        <row r="145">
          <cell r="A145" t="str">
            <v>EB20124-5</v>
          </cell>
          <cell r="B145" t="str">
            <v xml:space="preserve">TINTE EXELBASE                </v>
          </cell>
          <cell r="C145">
            <v>3</v>
          </cell>
          <cell r="D145">
            <v>1095</v>
          </cell>
        </row>
        <row r="146">
          <cell r="A146" t="str">
            <v>EB20125-1/4</v>
          </cell>
          <cell r="B146" t="str">
            <v xml:space="preserve">AZUL ORG. TONO VERDOSO        </v>
          </cell>
          <cell r="C146">
            <v>3</v>
          </cell>
          <cell r="D146">
            <v>1095</v>
          </cell>
        </row>
        <row r="147">
          <cell r="A147" t="str">
            <v>EB20125-5</v>
          </cell>
          <cell r="B147" t="str">
            <v xml:space="preserve">TINTES EXCELBASE AZUL ORG.    </v>
          </cell>
          <cell r="C147">
            <v>3</v>
          </cell>
          <cell r="D147">
            <v>1095</v>
          </cell>
        </row>
        <row r="148">
          <cell r="A148" t="str">
            <v>EB20126-1/4</v>
          </cell>
          <cell r="B148" t="str">
            <v xml:space="preserve">AZUL ULTRA                    </v>
          </cell>
          <cell r="C148">
            <v>3</v>
          </cell>
          <cell r="D148">
            <v>1095</v>
          </cell>
        </row>
        <row r="149">
          <cell r="A149" t="str">
            <v>EB20126-5</v>
          </cell>
          <cell r="B149" t="str">
            <v xml:space="preserve">TINTE EXCELBASE AZUL ULTRA    </v>
          </cell>
          <cell r="C149">
            <v>3</v>
          </cell>
          <cell r="D149">
            <v>1095</v>
          </cell>
        </row>
        <row r="150">
          <cell r="A150" t="str">
            <v>EB20127-1</v>
          </cell>
          <cell r="B150" t="str">
            <v xml:space="preserve">AZUL NO BRONCE PLUS           </v>
          </cell>
          <cell r="C150">
            <v>3</v>
          </cell>
          <cell r="D150">
            <v>1095</v>
          </cell>
        </row>
        <row r="151">
          <cell r="A151" t="str">
            <v>EB20127-5</v>
          </cell>
          <cell r="B151" t="str">
            <v>TINTE EXCELBASE AZUL NO BRONCE</v>
          </cell>
          <cell r="C151">
            <v>3</v>
          </cell>
          <cell r="D151">
            <v>1095</v>
          </cell>
        </row>
        <row r="152">
          <cell r="A152" t="str">
            <v>EB20130</v>
          </cell>
          <cell r="B152" t="str">
            <v xml:space="preserve">BLANCO                        </v>
          </cell>
          <cell r="C152">
            <v>3</v>
          </cell>
          <cell r="D152">
            <v>1095</v>
          </cell>
        </row>
        <row r="153">
          <cell r="A153" t="str">
            <v>EB20130-1</v>
          </cell>
          <cell r="B153" t="str">
            <v xml:space="preserve">BLANCO                        </v>
          </cell>
          <cell r="C153">
            <v>3</v>
          </cell>
          <cell r="D153">
            <v>1095</v>
          </cell>
        </row>
        <row r="154">
          <cell r="A154" t="str">
            <v>EB20130-5</v>
          </cell>
          <cell r="B154" t="str">
            <v xml:space="preserve">TINTE EXCELBASE BLANCO        </v>
          </cell>
          <cell r="C154">
            <v>3</v>
          </cell>
          <cell r="D154">
            <v>1095</v>
          </cell>
        </row>
        <row r="155">
          <cell r="A155" t="str">
            <v>EB20131</v>
          </cell>
          <cell r="B155" t="str">
            <v xml:space="preserve">TINTE EXCEL BASE              </v>
          </cell>
          <cell r="C155">
            <v>3</v>
          </cell>
          <cell r="D155">
            <v>1095</v>
          </cell>
        </row>
        <row r="156">
          <cell r="A156" t="str">
            <v>EB20131-1</v>
          </cell>
          <cell r="B156" t="str">
            <v xml:space="preserve">BLANCO BC                     </v>
          </cell>
          <cell r="C156">
            <v>3</v>
          </cell>
          <cell r="D156">
            <v>1095</v>
          </cell>
        </row>
        <row r="157">
          <cell r="A157" t="str">
            <v>EB20131-5</v>
          </cell>
          <cell r="B157" t="str">
            <v xml:space="preserve">TINTE EXCEL BASE BLANCO BC    </v>
          </cell>
          <cell r="C157">
            <v>3</v>
          </cell>
          <cell r="D157">
            <v>1095</v>
          </cell>
        </row>
        <row r="158">
          <cell r="A158" t="str">
            <v>EB20132-1/4</v>
          </cell>
          <cell r="B158" t="str">
            <v xml:space="preserve">BLANCO TORNASOL               </v>
          </cell>
          <cell r="C158">
            <v>3</v>
          </cell>
          <cell r="D158">
            <v>1095</v>
          </cell>
        </row>
        <row r="159">
          <cell r="A159" t="str">
            <v>EB20132-5</v>
          </cell>
          <cell r="B159" t="str">
            <v>TINTE EXCELBASE BLANCO TORNASO</v>
          </cell>
          <cell r="C159">
            <v>3</v>
          </cell>
          <cell r="D159">
            <v>1095</v>
          </cell>
        </row>
        <row r="160">
          <cell r="A160" t="str">
            <v>EB20133</v>
          </cell>
          <cell r="B160" t="str">
            <v xml:space="preserve">BLANCO AC                     </v>
          </cell>
          <cell r="C160">
            <v>3</v>
          </cell>
          <cell r="D160">
            <v>1095</v>
          </cell>
        </row>
        <row r="161">
          <cell r="A161" t="str">
            <v>EB20133-1</v>
          </cell>
          <cell r="B161" t="str">
            <v xml:space="preserve">BLANCO AC                     </v>
          </cell>
          <cell r="C161">
            <v>3</v>
          </cell>
          <cell r="D161">
            <v>1095</v>
          </cell>
        </row>
        <row r="162">
          <cell r="A162" t="str">
            <v>EB20150-5</v>
          </cell>
          <cell r="B162" t="str">
            <v xml:space="preserve">TINTE EXCELBASE CAFE ORGANICO </v>
          </cell>
          <cell r="C162">
            <v>3</v>
          </cell>
          <cell r="D162">
            <v>1095</v>
          </cell>
        </row>
        <row r="163">
          <cell r="A163" t="str">
            <v>EB20151-1/4</v>
          </cell>
          <cell r="B163" t="str">
            <v xml:space="preserve">CAFÉ DORADO ROJ (Amari. Org ) </v>
          </cell>
          <cell r="C163">
            <v>3</v>
          </cell>
          <cell r="D163">
            <v>1095</v>
          </cell>
        </row>
        <row r="164">
          <cell r="A164" t="str">
            <v>EB20151-5</v>
          </cell>
          <cell r="B164" t="str">
            <v xml:space="preserve">TINTE EXCELBASE CAFE DORADO   </v>
          </cell>
          <cell r="C164">
            <v>3</v>
          </cell>
          <cell r="D164">
            <v>1095</v>
          </cell>
        </row>
        <row r="165">
          <cell r="A165" t="str">
            <v>EB20155-1/4</v>
          </cell>
          <cell r="B165" t="str">
            <v xml:space="preserve">GOLD TONER                    </v>
          </cell>
          <cell r="C165">
            <v>3</v>
          </cell>
          <cell r="D165">
            <v>1095</v>
          </cell>
        </row>
        <row r="166">
          <cell r="A166" t="str">
            <v>EB20155-5</v>
          </cell>
          <cell r="B166" t="str">
            <v xml:space="preserve">TINTE EXCELBASE DORADO        </v>
          </cell>
          <cell r="C166">
            <v>3</v>
          </cell>
          <cell r="D166">
            <v>1095</v>
          </cell>
        </row>
        <row r="167">
          <cell r="A167" t="str">
            <v>EB20180-1/4</v>
          </cell>
          <cell r="B167" t="str">
            <v xml:space="preserve">NARANJA                       </v>
          </cell>
          <cell r="C167">
            <v>3</v>
          </cell>
          <cell r="D167">
            <v>1095</v>
          </cell>
        </row>
        <row r="168">
          <cell r="A168" t="str">
            <v>EB20180-5</v>
          </cell>
          <cell r="B168" t="str">
            <v xml:space="preserve">TINTE EXCELBASE NARANJA       </v>
          </cell>
          <cell r="C168">
            <v>3</v>
          </cell>
          <cell r="D168">
            <v>1095</v>
          </cell>
        </row>
        <row r="169">
          <cell r="A169" t="str">
            <v>EB20181-1/4</v>
          </cell>
          <cell r="B169" t="str">
            <v xml:space="preserve">NARANJA AMARILLENTO           </v>
          </cell>
          <cell r="C169">
            <v>3</v>
          </cell>
          <cell r="D169">
            <v>1095</v>
          </cell>
        </row>
        <row r="170">
          <cell r="A170" t="str">
            <v>EB20181-5</v>
          </cell>
          <cell r="B170" t="str">
            <v xml:space="preserve">EXCEL BASE NARANJA            </v>
          </cell>
          <cell r="C170">
            <v>3</v>
          </cell>
          <cell r="D170">
            <v>1095</v>
          </cell>
        </row>
        <row r="171">
          <cell r="A171" t="str">
            <v>EB20190</v>
          </cell>
          <cell r="B171" t="str">
            <v xml:space="preserve">TINTE EXCELBASE NEGRO         </v>
          </cell>
          <cell r="C171">
            <v>3</v>
          </cell>
          <cell r="D171">
            <v>1095</v>
          </cell>
        </row>
        <row r="172">
          <cell r="A172" t="str">
            <v>EB20190-1</v>
          </cell>
          <cell r="B172" t="str">
            <v xml:space="preserve">NEGRO                         </v>
          </cell>
          <cell r="C172">
            <v>3</v>
          </cell>
          <cell r="D172">
            <v>1095</v>
          </cell>
        </row>
        <row r="173">
          <cell r="A173" t="str">
            <v>EB20190-5</v>
          </cell>
          <cell r="B173" t="str">
            <v xml:space="preserve">TINTE EXCELBASE NEGRO         </v>
          </cell>
          <cell r="C173">
            <v>3</v>
          </cell>
          <cell r="D173">
            <v>1095</v>
          </cell>
        </row>
        <row r="174">
          <cell r="A174" t="str">
            <v>EB20191-1</v>
          </cell>
          <cell r="B174" t="str">
            <v xml:space="preserve">TRANSPARENTE PARA MEZCLA      </v>
          </cell>
          <cell r="C174">
            <v>3</v>
          </cell>
          <cell r="D174">
            <v>1095</v>
          </cell>
        </row>
        <row r="175">
          <cell r="A175" t="str">
            <v>EB20191-5</v>
          </cell>
          <cell r="B175" t="str">
            <v xml:space="preserve">TINTE EXCELBASE TRANSPARENTE  </v>
          </cell>
          <cell r="C175">
            <v>3</v>
          </cell>
          <cell r="D175">
            <v>1095</v>
          </cell>
        </row>
        <row r="176">
          <cell r="A176" t="str">
            <v>EB20200-1/4</v>
          </cell>
          <cell r="B176" t="str">
            <v xml:space="preserve">ROJO BRILLANTE                </v>
          </cell>
          <cell r="C176">
            <v>3</v>
          </cell>
          <cell r="D176">
            <v>1095</v>
          </cell>
        </row>
        <row r="177">
          <cell r="A177" t="str">
            <v>EB20200-5</v>
          </cell>
          <cell r="B177" t="str">
            <v>TINTE EXCELBASE ROJO BRILLANTE</v>
          </cell>
          <cell r="C177">
            <v>3</v>
          </cell>
          <cell r="D177">
            <v>1095</v>
          </cell>
        </row>
        <row r="178">
          <cell r="A178" t="str">
            <v>EB20201-1/4</v>
          </cell>
          <cell r="B178" t="str">
            <v xml:space="preserve">ROJO CANDENTE                 </v>
          </cell>
          <cell r="C178">
            <v>3</v>
          </cell>
          <cell r="D178">
            <v>1095</v>
          </cell>
        </row>
        <row r="179">
          <cell r="A179" t="str">
            <v>EB20201-5</v>
          </cell>
          <cell r="B179" t="str">
            <v xml:space="preserve">TINTE EXCELBASE ROJO CANDENTE </v>
          </cell>
          <cell r="C179">
            <v>3</v>
          </cell>
          <cell r="D179">
            <v>1095</v>
          </cell>
        </row>
        <row r="180">
          <cell r="A180" t="str">
            <v>EB20202-1/4</v>
          </cell>
          <cell r="B180" t="str">
            <v xml:space="preserve">ROJO PARA MEZCLA              </v>
          </cell>
          <cell r="C180">
            <v>3</v>
          </cell>
          <cell r="D180">
            <v>1095</v>
          </cell>
        </row>
        <row r="181">
          <cell r="A181" t="str">
            <v>EB20202-5</v>
          </cell>
          <cell r="B181" t="str">
            <v xml:space="preserve">TINTE EXCELBASE ROJO          </v>
          </cell>
          <cell r="C181">
            <v>3</v>
          </cell>
          <cell r="D181">
            <v>1095</v>
          </cell>
        </row>
        <row r="182">
          <cell r="A182" t="str">
            <v>EB20203-1/4</v>
          </cell>
          <cell r="B182" t="str">
            <v xml:space="preserve">ROJO ÓXIDO                    </v>
          </cell>
          <cell r="C182">
            <v>3</v>
          </cell>
          <cell r="D182">
            <v>1095</v>
          </cell>
        </row>
        <row r="183">
          <cell r="A183" t="str">
            <v>EB20203-5</v>
          </cell>
          <cell r="B183" t="str">
            <v xml:space="preserve">TINTE EXCELBASE ROJO OXIDO    </v>
          </cell>
          <cell r="C183">
            <v>3</v>
          </cell>
          <cell r="D183">
            <v>1095</v>
          </cell>
        </row>
        <row r="184">
          <cell r="A184" t="str">
            <v>EB20204-1/4</v>
          </cell>
          <cell r="B184" t="str">
            <v xml:space="preserve">ROJO VIVO                     </v>
          </cell>
          <cell r="C184">
            <v>3</v>
          </cell>
          <cell r="D184">
            <v>1095</v>
          </cell>
        </row>
        <row r="185">
          <cell r="A185" t="str">
            <v>EB20204-5</v>
          </cell>
          <cell r="B185" t="str">
            <v xml:space="preserve">TINTE EXCELBASE ROJO VIVO     </v>
          </cell>
          <cell r="C185">
            <v>3</v>
          </cell>
          <cell r="D185">
            <v>1095</v>
          </cell>
        </row>
        <row r="186">
          <cell r="A186" t="str">
            <v>EB20250-1/4</v>
          </cell>
          <cell r="B186" t="str">
            <v xml:space="preserve">VERDE ORGÁNICO                </v>
          </cell>
          <cell r="C186">
            <v>3</v>
          </cell>
          <cell r="D186">
            <v>1095</v>
          </cell>
        </row>
        <row r="187">
          <cell r="A187" t="str">
            <v>EB20250-5</v>
          </cell>
          <cell r="B187" t="str">
            <v>TINTE EXCELBASE VERDE ORGANICO</v>
          </cell>
          <cell r="C187">
            <v>3</v>
          </cell>
          <cell r="D187">
            <v>1095</v>
          </cell>
        </row>
        <row r="188">
          <cell r="A188" t="str">
            <v>EB20251-1/4</v>
          </cell>
          <cell r="B188" t="str">
            <v xml:space="preserve">VERDE AMARILLENTO             </v>
          </cell>
          <cell r="C188">
            <v>3</v>
          </cell>
          <cell r="D188">
            <v>1095</v>
          </cell>
        </row>
        <row r="189">
          <cell r="A189" t="str">
            <v>EB20251-5</v>
          </cell>
          <cell r="B189" t="str">
            <v xml:space="preserve">TINTE EXCELBASE VERDE AMARILL </v>
          </cell>
          <cell r="C189">
            <v>3</v>
          </cell>
          <cell r="D189">
            <v>1095</v>
          </cell>
        </row>
        <row r="190">
          <cell r="A190" t="str">
            <v>EB20252-1/4</v>
          </cell>
          <cell r="B190" t="str">
            <v xml:space="preserve">VERDE DORADO                  </v>
          </cell>
          <cell r="C190">
            <v>3</v>
          </cell>
          <cell r="D190">
            <v>1095</v>
          </cell>
        </row>
        <row r="191">
          <cell r="A191" t="str">
            <v>EB20252-5</v>
          </cell>
          <cell r="B191" t="str">
            <v xml:space="preserve">TINTE EXCELBASE VERDE DORADO  </v>
          </cell>
          <cell r="C191">
            <v>3</v>
          </cell>
          <cell r="D191">
            <v>1095</v>
          </cell>
        </row>
        <row r="192">
          <cell r="A192" t="str">
            <v>EB20260-1/4</v>
          </cell>
          <cell r="B192" t="str">
            <v xml:space="preserve">VIOLETA                       </v>
          </cell>
          <cell r="C192">
            <v>3</v>
          </cell>
          <cell r="D192">
            <v>1095</v>
          </cell>
        </row>
        <row r="193">
          <cell r="A193" t="str">
            <v>EB20260-5</v>
          </cell>
          <cell r="B193" t="str">
            <v xml:space="preserve">TINTE EXCELBASE VIOLETA       </v>
          </cell>
          <cell r="C193">
            <v>3</v>
          </cell>
          <cell r="D193">
            <v>1095</v>
          </cell>
        </row>
        <row r="194">
          <cell r="A194" t="str">
            <v>EB20270-1/4</v>
          </cell>
          <cell r="B194" t="str">
            <v xml:space="preserve">MARRÓN                        </v>
          </cell>
          <cell r="C194">
            <v>3</v>
          </cell>
          <cell r="D194">
            <v>1095</v>
          </cell>
        </row>
        <row r="195">
          <cell r="A195" t="str">
            <v>EB20270-5</v>
          </cell>
          <cell r="B195" t="str">
            <v xml:space="preserve">TINTE EXCELBASE MARRON        </v>
          </cell>
          <cell r="C195">
            <v>3</v>
          </cell>
          <cell r="D195">
            <v>1095</v>
          </cell>
        </row>
        <row r="196">
          <cell r="A196" t="str">
            <v>EB20271-1/4</v>
          </cell>
          <cell r="B196" t="str">
            <v xml:space="preserve">MARRÓN MAGENTA                </v>
          </cell>
          <cell r="C196">
            <v>3</v>
          </cell>
          <cell r="D196">
            <v>1095</v>
          </cell>
        </row>
        <row r="197">
          <cell r="A197" t="str">
            <v>EB20271-5</v>
          </cell>
          <cell r="B197" t="str">
            <v>TINTE EXCELBASE MARRON MAGENTA</v>
          </cell>
          <cell r="C197">
            <v>3</v>
          </cell>
          <cell r="D197">
            <v>1095</v>
          </cell>
        </row>
        <row r="198">
          <cell r="A198" t="str">
            <v>EB20272-1/4</v>
          </cell>
          <cell r="B198" t="str">
            <v xml:space="preserve">MARRÓN ALIZARINE              </v>
          </cell>
          <cell r="C198">
            <v>3</v>
          </cell>
          <cell r="D198">
            <v>1095</v>
          </cell>
        </row>
        <row r="199">
          <cell r="A199" t="str">
            <v>EB20272-5</v>
          </cell>
          <cell r="B199" t="str">
            <v>TINTE EXCELBASE MARRON ALIZARI</v>
          </cell>
          <cell r="C199">
            <v>3</v>
          </cell>
          <cell r="D199">
            <v>1095</v>
          </cell>
        </row>
        <row r="200">
          <cell r="A200" t="str">
            <v>EB20273-1/4</v>
          </cell>
          <cell r="B200" t="str">
            <v xml:space="preserve">MARRÓN DORADO                 </v>
          </cell>
          <cell r="C200">
            <v>3</v>
          </cell>
          <cell r="D200">
            <v>1095</v>
          </cell>
        </row>
        <row r="201">
          <cell r="A201" t="str">
            <v>EB20273-5</v>
          </cell>
          <cell r="B201" t="str">
            <v xml:space="preserve">TINTE EXCELBASE MARRON DORADO </v>
          </cell>
          <cell r="C201">
            <v>3</v>
          </cell>
          <cell r="D201">
            <v>1095</v>
          </cell>
        </row>
        <row r="202">
          <cell r="A202" t="str">
            <v>EB20274-1/4</v>
          </cell>
          <cell r="B202" t="str">
            <v xml:space="preserve">MARRÓN ROYAL                  </v>
          </cell>
          <cell r="C202">
            <v>3</v>
          </cell>
          <cell r="D202">
            <v>1095</v>
          </cell>
        </row>
        <row r="203">
          <cell r="A203" t="str">
            <v>EB20274-5</v>
          </cell>
          <cell r="B203" t="str">
            <v xml:space="preserve">TINTE EXCELBASE MARRON ROYAL  </v>
          </cell>
          <cell r="C203">
            <v>3</v>
          </cell>
          <cell r="D203">
            <v>1095</v>
          </cell>
        </row>
        <row r="204">
          <cell r="A204" t="str">
            <v>EB20275-1/4</v>
          </cell>
          <cell r="B204" t="str">
            <v xml:space="preserve">MARRÓN ROYAL MORADO           </v>
          </cell>
          <cell r="C204">
            <v>3</v>
          </cell>
          <cell r="D204">
            <v>1095</v>
          </cell>
        </row>
        <row r="205">
          <cell r="A205" t="str">
            <v>EB20275-5</v>
          </cell>
          <cell r="B205" t="str">
            <v xml:space="preserve">TINTE EXCELBASE MARRON ROYAL  </v>
          </cell>
          <cell r="C205">
            <v>3</v>
          </cell>
          <cell r="D205">
            <v>1095</v>
          </cell>
        </row>
        <row r="206">
          <cell r="A206" t="str">
            <v>EB20400-1/4</v>
          </cell>
          <cell r="B206" t="str">
            <v xml:space="preserve">PALIO ORO                     </v>
          </cell>
          <cell r="C206">
            <v>3</v>
          </cell>
          <cell r="D206">
            <v>1095</v>
          </cell>
        </row>
        <row r="207">
          <cell r="A207" t="str">
            <v>EB20400-5</v>
          </cell>
          <cell r="B207" t="str">
            <v xml:space="preserve">TINTE EXCELBASE PALIO ORO     </v>
          </cell>
          <cell r="C207">
            <v>3</v>
          </cell>
          <cell r="D207">
            <v>1095</v>
          </cell>
        </row>
        <row r="208">
          <cell r="A208" t="str">
            <v>EB20401-1/4</v>
          </cell>
          <cell r="B208" t="str">
            <v xml:space="preserve">PALIO NARANJA                 </v>
          </cell>
          <cell r="C208">
            <v>3</v>
          </cell>
          <cell r="D208">
            <v>1095</v>
          </cell>
        </row>
        <row r="209">
          <cell r="A209" t="str">
            <v>EB20401-5</v>
          </cell>
          <cell r="B209" t="str">
            <v xml:space="preserve">EXCELBASE PALIO NARANJA       </v>
          </cell>
          <cell r="C209">
            <v>3</v>
          </cell>
          <cell r="D209">
            <v>1095</v>
          </cell>
        </row>
        <row r="210">
          <cell r="A210" t="str">
            <v>EB20500-1/4</v>
          </cell>
          <cell r="B210" t="str">
            <v xml:space="preserve">PERLA AZUL                    </v>
          </cell>
          <cell r="C210">
            <v>3</v>
          </cell>
          <cell r="D210">
            <v>1095</v>
          </cell>
        </row>
        <row r="211">
          <cell r="A211" t="str">
            <v>EB20500-5</v>
          </cell>
          <cell r="B211" t="str">
            <v xml:space="preserve">PERLA AZUL                    </v>
          </cell>
          <cell r="C211">
            <v>3</v>
          </cell>
          <cell r="D211">
            <v>1095</v>
          </cell>
        </row>
        <row r="212">
          <cell r="A212" t="str">
            <v>EB20501-1/4</v>
          </cell>
          <cell r="B212" t="str">
            <v xml:space="preserve">PERLA AZUL FINA               </v>
          </cell>
          <cell r="C212">
            <v>3</v>
          </cell>
          <cell r="D212">
            <v>1095</v>
          </cell>
        </row>
        <row r="213">
          <cell r="A213" t="str">
            <v>EB20501-5</v>
          </cell>
          <cell r="B213" t="str">
            <v xml:space="preserve">PERLA AZUL FINA               </v>
          </cell>
          <cell r="C213">
            <v>3</v>
          </cell>
          <cell r="D213">
            <v>1095</v>
          </cell>
        </row>
        <row r="214">
          <cell r="A214" t="str">
            <v>EB20502-1/4</v>
          </cell>
          <cell r="B214" t="str">
            <v xml:space="preserve">PERLA BLANCA                  </v>
          </cell>
          <cell r="C214">
            <v>3</v>
          </cell>
          <cell r="D214">
            <v>1095</v>
          </cell>
        </row>
        <row r="215">
          <cell r="A215" t="str">
            <v>EB20502-5</v>
          </cell>
          <cell r="B215" t="str">
            <v xml:space="preserve">PERLA BLANCA                  </v>
          </cell>
          <cell r="C215">
            <v>3</v>
          </cell>
          <cell r="D215">
            <v>1095</v>
          </cell>
        </row>
        <row r="216">
          <cell r="A216" t="str">
            <v>EB20503-1/4</v>
          </cell>
          <cell r="B216" t="str">
            <v xml:space="preserve">PERLA BLANCA FINA             </v>
          </cell>
          <cell r="C216">
            <v>3</v>
          </cell>
          <cell r="D216">
            <v>1095</v>
          </cell>
        </row>
        <row r="217">
          <cell r="A217" t="str">
            <v>EB20503-5</v>
          </cell>
          <cell r="B217" t="str">
            <v xml:space="preserve">PERLA BLANCA FINA             </v>
          </cell>
          <cell r="C217">
            <v>3</v>
          </cell>
          <cell r="D217">
            <v>1095</v>
          </cell>
        </row>
        <row r="218">
          <cell r="A218" t="str">
            <v>EB20504-1/4</v>
          </cell>
          <cell r="B218" t="str">
            <v xml:space="preserve">PERLA BRONCE                  </v>
          </cell>
          <cell r="C218">
            <v>3</v>
          </cell>
          <cell r="D218">
            <v>1095</v>
          </cell>
        </row>
        <row r="219">
          <cell r="A219" t="str">
            <v>EB20504-5</v>
          </cell>
          <cell r="B219" t="str">
            <v xml:space="preserve">PERLA BRONCE                  </v>
          </cell>
          <cell r="C219">
            <v>3</v>
          </cell>
          <cell r="D219">
            <v>1095</v>
          </cell>
        </row>
        <row r="220">
          <cell r="A220" t="str">
            <v>EB20505-1/4</v>
          </cell>
          <cell r="B220" t="str">
            <v xml:space="preserve">PERLA COBRE                   </v>
          </cell>
          <cell r="C220">
            <v>3</v>
          </cell>
          <cell r="D220">
            <v>1095</v>
          </cell>
        </row>
        <row r="221">
          <cell r="A221" t="str">
            <v>EB20505-5</v>
          </cell>
          <cell r="B221" t="str">
            <v xml:space="preserve">PERLA COBRE                   </v>
          </cell>
          <cell r="C221">
            <v>3</v>
          </cell>
          <cell r="D221">
            <v>1095</v>
          </cell>
        </row>
        <row r="222">
          <cell r="A222" t="str">
            <v>EB20506-1/4</v>
          </cell>
          <cell r="B222" t="str">
            <v xml:space="preserve">PERLA DORADA                  </v>
          </cell>
          <cell r="C222">
            <v>3</v>
          </cell>
          <cell r="D222">
            <v>1095</v>
          </cell>
        </row>
        <row r="223">
          <cell r="A223" t="str">
            <v>EB20506-5</v>
          </cell>
          <cell r="B223" t="str">
            <v xml:space="preserve">PERLA DORADA                  </v>
          </cell>
          <cell r="C223">
            <v>3</v>
          </cell>
          <cell r="D223">
            <v>1095</v>
          </cell>
        </row>
        <row r="224">
          <cell r="A224" t="str">
            <v>EB20507-1/4</v>
          </cell>
          <cell r="B224" t="str">
            <v xml:space="preserve">PERLA  LILA  ( VIOLETA )      </v>
          </cell>
          <cell r="C224">
            <v>3</v>
          </cell>
          <cell r="D224">
            <v>1095</v>
          </cell>
        </row>
        <row r="225">
          <cell r="A225" t="str">
            <v>EB20507-5</v>
          </cell>
          <cell r="B225" t="str">
            <v xml:space="preserve">PERLA  LILA  ( VIOLETA )      </v>
          </cell>
          <cell r="C225">
            <v>3</v>
          </cell>
          <cell r="D225">
            <v>1095</v>
          </cell>
        </row>
        <row r="226">
          <cell r="A226" t="str">
            <v>EB20508-1/4</v>
          </cell>
          <cell r="B226" t="str">
            <v xml:space="preserve">PERLA ROJA  ( ROSA )          </v>
          </cell>
          <cell r="C226">
            <v>3</v>
          </cell>
          <cell r="D226">
            <v>1095</v>
          </cell>
        </row>
        <row r="227">
          <cell r="A227" t="str">
            <v>EB20508-5</v>
          </cell>
          <cell r="B227" t="str">
            <v xml:space="preserve">PERLA ROJA  ( ROSA )          </v>
          </cell>
          <cell r="C227">
            <v>3</v>
          </cell>
          <cell r="D227">
            <v>1095</v>
          </cell>
        </row>
        <row r="228">
          <cell r="A228" t="str">
            <v>EB20510-1/4</v>
          </cell>
          <cell r="B228" t="str">
            <v xml:space="preserve">PERLA RUSSET                  </v>
          </cell>
          <cell r="C228">
            <v>3</v>
          </cell>
          <cell r="D228">
            <v>1095</v>
          </cell>
        </row>
        <row r="229">
          <cell r="A229" t="str">
            <v>EB20510-5</v>
          </cell>
          <cell r="B229" t="str">
            <v xml:space="preserve">PERLA RUSSET                  </v>
          </cell>
          <cell r="C229">
            <v>3</v>
          </cell>
          <cell r="D229">
            <v>1095</v>
          </cell>
        </row>
        <row r="230">
          <cell r="A230" t="str">
            <v>EB20511-1/4</v>
          </cell>
          <cell r="B230" t="str">
            <v xml:space="preserve">PERLA RUSSET FINA             </v>
          </cell>
          <cell r="C230">
            <v>3</v>
          </cell>
          <cell r="D230">
            <v>1095</v>
          </cell>
        </row>
        <row r="231">
          <cell r="A231" t="str">
            <v>EB20511-5</v>
          </cell>
          <cell r="B231" t="str">
            <v xml:space="preserve">PERLA RUSSET FINA             </v>
          </cell>
          <cell r="C231">
            <v>3</v>
          </cell>
          <cell r="D231">
            <v>1095</v>
          </cell>
        </row>
        <row r="232">
          <cell r="A232" t="str">
            <v>EB20512-1/4</v>
          </cell>
          <cell r="B232" t="str">
            <v xml:space="preserve">PERLA VERDE                   </v>
          </cell>
          <cell r="C232">
            <v>3</v>
          </cell>
          <cell r="D232">
            <v>1095</v>
          </cell>
        </row>
        <row r="233">
          <cell r="A233" t="str">
            <v>EB20512-5</v>
          </cell>
          <cell r="B233" t="str">
            <v xml:space="preserve">PERLA VERDE                   </v>
          </cell>
          <cell r="C233">
            <v>3</v>
          </cell>
          <cell r="D233">
            <v>1095</v>
          </cell>
        </row>
        <row r="234">
          <cell r="A234" t="str">
            <v>EB20513-1/4</v>
          </cell>
          <cell r="B234" t="str">
            <v xml:space="preserve">PERLA VERDE MUSGO             </v>
          </cell>
          <cell r="C234">
            <v>3</v>
          </cell>
          <cell r="D234">
            <v>1095</v>
          </cell>
        </row>
        <row r="235">
          <cell r="A235" t="str">
            <v>EB20513-5</v>
          </cell>
          <cell r="B235" t="str">
            <v xml:space="preserve">PERLA VERDE MUSGO             </v>
          </cell>
          <cell r="C235">
            <v>3</v>
          </cell>
          <cell r="D235">
            <v>1095</v>
          </cell>
        </row>
        <row r="236">
          <cell r="A236" t="str">
            <v>EB20514-1/4</v>
          </cell>
          <cell r="B236" t="str">
            <v xml:space="preserve">PERLA VIOLETA (ROJO -VIOLETA) </v>
          </cell>
          <cell r="C236">
            <v>3</v>
          </cell>
          <cell r="D236">
            <v>1095</v>
          </cell>
        </row>
        <row r="237">
          <cell r="A237" t="str">
            <v>EB20514-5</v>
          </cell>
          <cell r="B237" t="str">
            <v xml:space="preserve">PERLA VIOLETA (ROJO -VIOLETA) </v>
          </cell>
          <cell r="C237">
            <v>3</v>
          </cell>
          <cell r="D237">
            <v>1095</v>
          </cell>
        </row>
        <row r="238">
          <cell r="A238" t="str">
            <v>EB20515-1/4</v>
          </cell>
          <cell r="B238" t="str">
            <v xml:space="preserve">PERLA BRONCE AC               </v>
          </cell>
          <cell r="C238">
            <v>3</v>
          </cell>
          <cell r="D238">
            <v>1095</v>
          </cell>
        </row>
        <row r="239">
          <cell r="A239" t="str">
            <v>EB20515-5</v>
          </cell>
          <cell r="B239" t="str">
            <v xml:space="preserve">PERLA BRONCE AC               </v>
          </cell>
          <cell r="C239">
            <v>3</v>
          </cell>
          <cell r="D239">
            <v>1095</v>
          </cell>
        </row>
        <row r="240">
          <cell r="A240" t="str">
            <v>EB20516-1/4</v>
          </cell>
          <cell r="B240" t="str">
            <v xml:space="preserve">PERLA  COBRE  AC              </v>
          </cell>
          <cell r="C240">
            <v>3</v>
          </cell>
          <cell r="D240">
            <v>1095</v>
          </cell>
        </row>
        <row r="241">
          <cell r="A241" t="str">
            <v>EB20516-5</v>
          </cell>
          <cell r="B241" t="str">
            <v xml:space="preserve">PERLA  COBRE  AC              </v>
          </cell>
          <cell r="C241">
            <v>3</v>
          </cell>
          <cell r="D241">
            <v>1095</v>
          </cell>
        </row>
        <row r="242">
          <cell r="A242" t="str">
            <v>EB20517-1/4</v>
          </cell>
          <cell r="B242" t="str">
            <v xml:space="preserve">PERLA  ROJO  AC               </v>
          </cell>
          <cell r="C242">
            <v>3</v>
          </cell>
          <cell r="D242">
            <v>1095</v>
          </cell>
        </row>
        <row r="243">
          <cell r="A243" t="str">
            <v>EB20517-5</v>
          </cell>
          <cell r="B243" t="str">
            <v xml:space="preserve">PERLA  ROJO  AC               </v>
          </cell>
          <cell r="C243">
            <v>3</v>
          </cell>
          <cell r="D243">
            <v>1095</v>
          </cell>
        </row>
        <row r="244">
          <cell r="A244" t="str">
            <v>EB20518-1/4</v>
          </cell>
          <cell r="B244" t="str">
            <v xml:space="preserve">EXCELBASE RED PEARL AC        </v>
          </cell>
          <cell r="C244">
            <v>3</v>
          </cell>
          <cell r="D244">
            <v>1095</v>
          </cell>
        </row>
        <row r="245">
          <cell r="A245" t="str">
            <v>EB20518-5</v>
          </cell>
          <cell r="B245" t="str">
            <v xml:space="preserve">EXCELBASE RED PEARL AC        </v>
          </cell>
          <cell r="C245">
            <v>3</v>
          </cell>
          <cell r="D245">
            <v>1095</v>
          </cell>
        </row>
        <row r="246">
          <cell r="A246" t="str">
            <v>EB20519-1/4</v>
          </cell>
          <cell r="B246" t="str">
            <v>EXCELBASE PERLA RUSSET FINA AC</v>
          </cell>
          <cell r="C246">
            <v>3</v>
          </cell>
          <cell r="D246">
            <v>1095</v>
          </cell>
        </row>
        <row r="247">
          <cell r="A247" t="str">
            <v>EB20519-5</v>
          </cell>
          <cell r="B247" t="str">
            <v>EXCELBASE PERLA RUSSET FINA AC</v>
          </cell>
          <cell r="C247">
            <v>3</v>
          </cell>
          <cell r="D247">
            <v>1095</v>
          </cell>
        </row>
        <row r="248">
          <cell r="A248" t="str">
            <v>EB20520-1/4</v>
          </cell>
          <cell r="B248" t="str">
            <v xml:space="preserve">GRAFITO                       </v>
          </cell>
          <cell r="C248">
            <v>3</v>
          </cell>
          <cell r="D248">
            <v>1095</v>
          </cell>
        </row>
        <row r="249">
          <cell r="A249" t="str">
            <v>EB20520-5</v>
          </cell>
          <cell r="B249" t="str">
            <v xml:space="preserve">GRAFITO                       </v>
          </cell>
          <cell r="C249">
            <v>3</v>
          </cell>
          <cell r="D249">
            <v>1095</v>
          </cell>
        </row>
        <row r="250">
          <cell r="A250" t="str">
            <v>EB20521-1/4</v>
          </cell>
          <cell r="B250" t="str">
            <v xml:space="preserve">FLATTEN G                     </v>
          </cell>
          <cell r="C250">
            <v>3</v>
          </cell>
          <cell r="D250">
            <v>1095</v>
          </cell>
        </row>
        <row r="251">
          <cell r="A251" t="str">
            <v>EB20521-5</v>
          </cell>
          <cell r="B251" t="str">
            <v xml:space="preserve">FLATTEN G                     </v>
          </cell>
          <cell r="C251">
            <v>3</v>
          </cell>
          <cell r="D251">
            <v>1095</v>
          </cell>
        </row>
        <row r="252">
          <cell r="A252" t="str">
            <v>EBBSA1</v>
          </cell>
          <cell r="B252" t="str">
            <v xml:space="preserve">NEGRO                         </v>
          </cell>
          <cell r="C252">
            <v>2</v>
          </cell>
          <cell r="D252">
            <v>730</v>
          </cell>
        </row>
        <row r="253">
          <cell r="A253" t="str">
            <v>EBBSA1-1</v>
          </cell>
          <cell r="B253" t="str">
            <v xml:space="preserve">NEGRO                         </v>
          </cell>
          <cell r="C253">
            <v>2</v>
          </cell>
          <cell r="D253">
            <v>730</v>
          </cell>
        </row>
        <row r="254">
          <cell r="A254" t="str">
            <v>EBESA1</v>
          </cell>
          <cell r="B254" t="str">
            <v xml:space="preserve">NARANJA P. T.                 </v>
          </cell>
          <cell r="C254">
            <v>2</v>
          </cell>
          <cell r="D254">
            <v>730</v>
          </cell>
        </row>
        <row r="255">
          <cell r="A255" t="str">
            <v>EBESA1-1</v>
          </cell>
          <cell r="B255" t="str">
            <v xml:space="preserve">NARANJA P. T.                 </v>
          </cell>
          <cell r="C255">
            <v>2</v>
          </cell>
          <cell r="D255">
            <v>730</v>
          </cell>
        </row>
        <row r="256">
          <cell r="A256" t="str">
            <v>EBGSA1</v>
          </cell>
          <cell r="B256" t="str">
            <v xml:space="preserve">VERDE AMARILLENTO             </v>
          </cell>
          <cell r="C256">
            <v>2</v>
          </cell>
          <cell r="D256">
            <v>730</v>
          </cell>
        </row>
        <row r="257">
          <cell r="A257" t="str">
            <v>EBGSA1-1</v>
          </cell>
          <cell r="B257" t="str">
            <v xml:space="preserve">VERDE AMARILLENTO             </v>
          </cell>
          <cell r="C257">
            <v>2</v>
          </cell>
          <cell r="D257">
            <v>730</v>
          </cell>
        </row>
        <row r="258">
          <cell r="A258" t="str">
            <v>EBGSA2</v>
          </cell>
          <cell r="B258" t="str">
            <v xml:space="preserve">VERDE AZULOSO                 </v>
          </cell>
          <cell r="C258">
            <v>2</v>
          </cell>
          <cell r="D258">
            <v>730</v>
          </cell>
        </row>
        <row r="259">
          <cell r="A259" t="str">
            <v>EBGSA2-1</v>
          </cell>
          <cell r="B259" t="str">
            <v xml:space="preserve">VERDE AZULOSO                 </v>
          </cell>
          <cell r="C259">
            <v>2</v>
          </cell>
          <cell r="D259">
            <v>730</v>
          </cell>
        </row>
        <row r="260">
          <cell r="A260" t="str">
            <v>EBGSA3</v>
          </cell>
          <cell r="B260" t="str">
            <v xml:space="preserve">POLYURETANO INDUSTRIAL        </v>
          </cell>
          <cell r="C260">
            <v>2</v>
          </cell>
          <cell r="D260">
            <v>730</v>
          </cell>
        </row>
        <row r="261">
          <cell r="A261" t="str">
            <v>EBGSA3-1</v>
          </cell>
          <cell r="B261" t="str">
            <v xml:space="preserve">POLYURETANO INDUSTRIAL        </v>
          </cell>
          <cell r="C261">
            <v>2</v>
          </cell>
          <cell r="D261">
            <v>730</v>
          </cell>
        </row>
        <row r="262">
          <cell r="A262" t="str">
            <v>EBH31789-1/4</v>
          </cell>
          <cell r="B262" t="str">
            <v xml:space="preserve">ENDURECEDOR PARA EBT 1000     </v>
          </cell>
          <cell r="C262">
            <v>3</v>
          </cell>
          <cell r="D262">
            <v>1095</v>
          </cell>
        </row>
        <row r="263">
          <cell r="A263" t="str">
            <v>EBH31792-1/4</v>
          </cell>
          <cell r="B263" t="str">
            <v xml:space="preserve">ENDURECEDOR PARA EBT 2000     </v>
          </cell>
          <cell r="C263">
            <v>3</v>
          </cell>
          <cell r="D263">
            <v>1095</v>
          </cell>
        </row>
        <row r="264">
          <cell r="A264" t="str">
            <v>EBH31794-1/4</v>
          </cell>
          <cell r="B264" t="str">
            <v xml:space="preserve">ENDURECEDOR PARA EBT 3000     </v>
          </cell>
          <cell r="C264">
            <v>3</v>
          </cell>
          <cell r="D264">
            <v>1095</v>
          </cell>
        </row>
        <row r="265">
          <cell r="A265" t="str">
            <v>EBH7211</v>
          </cell>
          <cell r="B265" t="str">
            <v xml:space="preserve">ENDURECEDOR PARA PRIMER       </v>
          </cell>
          <cell r="C265">
            <v>1</v>
          </cell>
          <cell r="D265">
            <v>365</v>
          </cell>
        </row>
        <row r="266">
          <cell r="A266" t="str">
            <v>EBH7211-1/16</v>
          </cell>
          <cell r="B266" t="str">
            <v xml:space="preserve">ENDURECEDOR PARA PRIMER       </v>
          </cell>
          <cell r="C266">
            <v>1</v>
          </cell>
          <cell r="D266">
            <v>365</v>
          </cell>
        </row>
        <row r="267">
          <cell r="A267" t="str">
            <v>EBH7211-1/4</v>
          </cell>
          <cell r="B267" t="str">
            <v xml:space="preserve">ENDURECEDOR PARA PRIMER       </v>
          </cell>
          <cell r="C267">
            <v>1</v>
          </cell>
          <cell r="D267">
            <v>365</v>
          </cell>
        </row>
        <row r="268">
          <cell r="A268" t="str">
            <v>EBH7211-1/8</v>
          </cell>
          <cell r="B268" t="str">
            <v xml:space="preserve">ENDURECEDOR PARA PRIMER       </v>
          </cell>
          <cell r="C268">
            <v>1</v>
          </cell>
          <cell r="D268">
            <v>365</v>
          </cell>
        </row>
        <row r="269">
          <cell r="A269" t="str">
            <v>EBHSA1</v>
          </cell>
          <cell r="B269" t="str">
            <v xml:space="preserve">POLYURETANO MONOCAPA          </v>
          </cell>
          <cell r="C269">
            <v>2</v>
          </cell>
          <cell r="D269">
            <v>730</v>
          </cell>
        </row>
        <row r="270">
          <cell r="A270" t="str">
            <v>EBHSA1-5</v>
          </cell>
          <cell r="B270" t="str">
            <v xml:space="preserve">POLYURETANO MONOCAPA          </v>
          </cell>
          <cell r="C270">
            <v>2</v>
          </cell>
          <cell r="D270">
            <v>730</v>
          </cell>
        </row>
        <row r="271">
          <cell r="A271" t="str">
            <v>EBLSA1</v>
          </cell>
          <cell r="B271" t="str">
            <v xml:space="preserve">AZUL ( VERDOSO )              </v>
          </cell>
          <cell r="C271">
            <v>2</v>
          </cell>
          <cell r="D271">
            <v>730</v>
          </cell>
        </row>
        <row r="272">
          <cell r="A272" t="str">
            <v>EBLSA1-1</v>
          </cell>
          <cell r="B272" t="str">
            <v xml:space="preserve">AZUL VERDOSO                  </v>
          </cell>
          <cell r="C272">
            <v>2</v>
          </cell>
          <cell r="D272">
            <v>730</v>
          </cell>
        </row>
        <row r="273">
          <cell r="A273" t="str">
            <v>EBLSA2</v>
          </cell>
          <cell r="B273" t="str">
            <v xml:space="preserve">AZUL ROJIZO                   </v>
          </cell>
          <cell r="C273">
            <v>2</v>
          </cell>
          <cell r="D273">
            <v>730</v>
          </cell>
        </row>
        <row r="274">
          <cell r="A274" t="str">
            <v>EBLSA2-1</v>
          </cell>
          <cell r="B274" t="str">
            <v xml:space="preserve">AZUL ROJIZO                   </v>
          </cell>
          <cell r="C274">
            <v>2</v>
          </cell>
          <cell r="D274">
            <v>730</v>
          </cell>
        </row>
        <row r="275">
          <cell r="A275" t="str">
            <v>EBMSA1</v>
          </cell>
          <cell r="B275" t="str">
            <v xml:space="preserve">MAGENTA                       </v>
          </cell>
          <cell r="C275">
            <v>2</v>
          </cell>
          <cell r="D275">
            <v>730</v>
          </cell>
        </row>
        <row r="276">
          <cell r="A276" t="str">
            <v>EBMSA1-1</v>
          </cell>
          <cell r="B276" t="str">
            <v xml:space="preserve">MAGENTA                       </v>
          </cell>
          <cell r="C276">
            <v>2</v>
          </cell>
          <cell r="D276">
            <v>730</v>
          </cell>
        </row>
        <row r="277">
          <cell r="A277" t="str">
            <v>EBMSA2</v>
          </cell>
          <cell r="B277" t="str">
            <v xml:space="preserve">MARRON                        </v>
          </cell>
          <cell r="C277">
            <v>2</v>
          </cell>
          <cell r="D277">
            <v>730</v>
          </cell>
        </row>
        <row r="278">
          <cell r="A278" t="str">
            <v>EBMSA2-1</v>
          </cell>
          <cell r="B278" t="str">
            <v xml:space="preserve">MARRON                        </v>
          </cell>
          <cell r="C278">
            <v>2</v>
          </cell>
          <cell r="D278">
            <v>730</v>
          </cell>
        </row>
        <row r="279">
          <cell r="A279" t="str">
            <v>EBP7210</v>
          </cell>
          <cell r="B279" t="str">
            <v xml:space="preserve">EXCELBASE PRIMER GRIS CLARO   </v>
          </cell>
          <cell r="C279">
            <v>1</v>
          </cell>
          <cell r="D279">
            <v>365</v>
          </cell>
        </row>
        <row r="280">
          <cell r="A280" t="str">
            <v>EBP7210-1</v>
          </cell>
          <cell r="B280" t="str">
            <v xml:space="preserve">EXCELBASE PRIMER GRIS CLARO   </v>
          </cell>
          <cell r="C280">
            <v>1</v>
          </cell>
          <cell r="D280">
            <v>365</v>
          </cell>
        </row>
        <row r="281">
          <cell r="A281" t="str">
            <v>EBP7210-1/4</v>
          </cell>
          <cell r="B281" t="str">
            <v xml:space="preserve">EXCELBASE PRIMER GRIS CLARO   </v>
          </cell>
          <cell r="C281">
            <v>1</v>
          </cell>
          <cell r="D281">
            <v>365</v>
          </cell>
        </row>
        <row r="282">
          <cell r="A282" t="str">
            <v>EBPSA1</v>
          </cell>
          <cell r="B282" t="str">
            <v xml:space="preserve">CARBA VIOLETA                 </v>
          </cell>
          <cell r="C282">
            <v>2</v>
          </cell>
          <cell r="D282">
            <v>730</v>
          </cell>
        </row>
        <row r="283">
          <cell r="A283" t="str">
            <v>EBPSA1-1</v>
          </cell>
          <cell r="B283" t="str">
            <v xml:space="preserve">CARBA VIOLETA                 </v>
          </cell>
          <cell r="C283">
            <v>2</v>
          </cell>
          <cell r="D283">
            <v>730</v>
          </cell>
        </row>
        <row r="284">
          <cell r="A284" t="str">
            <v>EBR32400-1</v>
          </cell>
          <cell r="B284" t="str">
            <v>REDUCTOR PARA EXCELBASE PRIMER</v>
          </cell>
          <cell r="C284">
            <v>1</v>
          </cell>
          <cell r="D284">
            <v>365</v>
          </cell>
        </row>
        <row r="285">
          <cell r="A285" t="str">
            <v>EBR32411-1</v>
          </cell>
          <cell r="B285" t="str">
            <v xml:space="preserve">REDUCTOR  EXCELBASE           </v>
          </cell>
          <cell r="C285">
            <v>1</v>
          </cell>
          <cell r="D285">
            <v>365</v>
          </cell>
        </row>
        <row r="286">
          <cell r="A286" t="str">
            <v>EBR32421-1</v>
          </cell>
          <cell r="B286" t="str">
            <v xml:space="preserve">REDUCTOR P/ EBT2000           </v>
          </cell>
          <cell r="C286">
            <v>1</v>
          </cell>
          <cell r="D286">
            <v>365</v>
          </cell>
        </row>
        <row r="287">
          <cell r="A287" t="str">
            <v>EBR32431-1</v>
          </cell>
          <cell r="B287" t="str">
            <v xml:space="preserve">REDUCTOR P/ EBT3000           </v>
          </cell>
          <cell r="C287">
            <v>1</v>
          </cell>
          <cell r="D287">
            <v>365</v>
          </cell>
        </row>
        <row r="288">
          <cell r="A288" t="str">
            <v>EBRSA2</v>
          </cell>
          <cell r="B288" t="str">
            <v xml:space="preserve">ROJO BRILLANTE                </v>
          </cell>
          <cell r="C288">
            <v>2</v>
          </cell>
          <cell r="D288">
            <v>730</v>
          </cell>
        </row>
        <row r="289">
          <cell r="A289" t="str">
            <v>EBRSA2-1</v>
          </cell>
          <cell r="B289" t="str">
            <v xml:space="preserve">ROJO BRILLANTE                </v>
          </cell>
          <cell r="C289">
            <v>2</v>
          </cell>
          <cell r="D289">
            <v>730</v>
          </cell>
        </row>
        <row r="290">
          <cell r="A290" t="str">
            <v>EBRSA3</v>
          </cell>
          <cell r="B290" t="str">
            <v xml:space="preserve">POLIURETANO MONOCAPA          </v>
          </cell>
          <cell r="C290">
            <v>2</v>
          </cell>
          <cell r="D290">
            <v>730</v>
          </cell>
        </row>
        <row r="291">
          <cell r="A291" t="str">
            <v>EBRSA3-1</v>
          </cell>
          <cell r="B291" t="str">
            <v xml:space="preserve">POLIURETANO MONOCAPA          </v>
          </cell>
          <cell r="C291">
            <v>2</v>
          </cell>
          <cell r="D291">
            <v>730</v>
          </cell>
        </row>
        <row r="292">
          <cell r="A292" t="str">
            <v>EBRSA4</v>
          </cell>
          <cell r="B292" t="str">
            <v xml:space="preserve">ROJO BTE.                     </v>
          </cell>
          <cell r="C292">
            <v>2</v>
          </cell>
          <cell r="D292">
            <v>730</v>
          </cell>
        </row>
        <row r="293">
          <cell r="A293" t="str">
            <v>EBRSA4-1</v>
          </cell>
          <cell r="B293" t="str">
            <v xml:space="preserve">ROJO BRILLANTE                </v>
          </cell>
          <cell r="C293">
            <v>2</v>
          </cell>
          <cell r="D293">
            <v>730</v>
          </cell>
        </row>
        <row r="294">
          <cell r="A294" t="str">
            <v>EBSSA1</v>
          </cell>
          <cell r="B294" t="str">
            <v xml:space="preserve">METALICO BRILLANTE            </v>
          </cell>
          <cell r="C294">
            <v>2</v>
          </cell>
          <cell r="D294">
            <v>730</v>
          </cell>
        </row>
        <row r="295">
          <cell r="A295" t="str">
            <v>EBSSA1-1</v>
          </cell>
          <cell r="B295" t="str">
            <v xml:space="preserve">METALICO BRILLANTE            </v>
          </cell>
          <cell r="C295">
            <v>2</v>
          </cell>
          <cell r="D295">
            <v>730</v>
          </cell>
        </row>
        <row r="296">
          <cell r="A296" t="str">
            <v>EBT1000-1</v>
          </cell>
          <cell r="B296" t="str">
            <v xml:space="preserve">TRANSPARENTE EBT1000          </v>
          </cell>
          <cell r="C296">
            <v>1</v>
          </cell>
          <cell r="D296">
            <v>365</v>
          </cell>
        </row>
        <row r="297">
          <cell r="A297" t="str">
            <v>EBT2000-1</v>
          </cell>
          <cell r="B297" t="str">
            <v xml:space="preserve">TRANSPARENTE EBT2000          </v>
          </cell>
          <cell r="C297">
            <v>1</v>
          </cell>
          <cell r="D297">
            <v>365</v>
          </cell>
        </row>
        <row r="298">
          <cell r="A298" t="str">
            <v>EBT2000-5</v>
          </cell>
          <cell r="B298" t="str">
            <v xml:space="preserve">TRANSPARENTE EBT 2000         </v>
          </cell>
          <cell r="C298">
            <v>1</v>
          </cell>
          <cell r="D298">
            <v>365</v>
          </cell>
        </row>
        <row r="299">
          <cell r="A299" t="str">
            <v>EBT3000</v>
          </cell>
          <cell r="B299" t="str">
            <v>TRANSPARENTE EBT3000 - # 22410</v>
          </cell>
          <cell r="C299">
            <v>1</v>
          </cell>
          <cell r="D299">
            <v>365</v>
          </cell>
        </row>
        <row r="300">
          <cell r="A300" t="str">
            <v>EBT3000-1</v>
          </cell>
          <cell r="B300" t="str">
            <v xml:space="preserve">TRANSPARENTE EBT3000          </v>
          </cell>
          <cell r="C300">
            <v>1</v>
          </cell>
          <cell r="D300">
            <v>365</v>
          </cell>
        </row>
        <row r="301">
          <cell r="A301" t="str">
            <v>EBTSA1</v>
          </cell>
          <cell r="B301" t="str">
            <v xml:space="preserve">TRANSPARENTE  P/ ENTREMEZCLA  </v>
          </cell>
          <cell r="C301">
            <v>2</v>
          </cell>
          <cell r="D301">
            <v>730</v>
          </cell>
        </row>
        <row r="302">
          <cell r="A302" t="str">
            <v>EBTSA1-1</v>
          </cell>
          <cell r="B302" t="str">
            <v xml:space="preserve">TRANSPARENTE DE ENTREMEZCLA   </v>
          </cell>
          <cell r="C302">
            <v>2</v>
          </cell>
          <cell r="D302">
            <v>730</v>
          </cell>
        </row>
        <row r="303">
          <cell r="A303" t="str">
            <v>EBWSA1</v>
          </cell>
          <cell r="B303" t="str">
            <v xml:space="preserve">BLANCO                        </v>
          </cell>
          <cell r="C303">
            <v>1</v>
          </cell>
          <cell r="D303">
            <v>365</v>
          </cell>
        </row>
        <row r="304">
          <cell r="A304" t="str">
            <v>EBWSA1-1</v>
          </cell>
          <cell r="B304" t="str">
            <v xml:space="preserve">BLANCO                        </v>
          </cell>
          <cell r="C304">
            <v>1</v>
          </cell>
          <cell r="D304">
            <v>365</v>
          </cell>
        </row>
        <row r="305">
          <cell r="A305" t="str">
            <v>EBWSA2</v>
          </cell>
          <cell r="B305" t="str">
            <v xml:space="preserve">POLYURETANO MONOCAPA BLANCO   </v>
          </cell>
          <cell r="C305">
            <v>1</v>
          </cell>
          <cell r="D305">
            <v>365</v>
          </cell>
        </row>
        <row r="306">
          <cell r="A306" t="str">
            <v>EBWSA2-1</v>
          </cell>
          <cell r="B306" t="str">
            <v xml:space="preserve">POLYURETANO MONOCAPA BLANCO   </v>
          </cell>
          <cell r="C306">
            <v>1</v>
          </cell>
          <cell r="D306">
            <v>365</v>
          </cell>
        </row>
        <row r="307">
          <cell r="A307" t="str">
            <v>EBWSA3</v>
          </cell>
          <cell r="B307" t="str">
            <v xml:space="preserve">POLYURETANO MONOCAPA          </v>
          </cell>
          <cell r="C307">
            <v>1</v>
          </cell>
          <cell r="D307">
            <v>365</v>
          </cell>
        </row>
        <row r="308">
          <cell r="A308" t="str">
            <v>EBWSA3-1</v>
          </cell>
          <cell r="B308" t="str">
            <v xml:space="preserve">POLYURETANO MONOCAPA          </v>
          </cell>
          <cell r="C308">
            <v>1</v>
          </cell>
          <cell r="D308">
            <v>365</v>
          </cell>
        </row>
        <row r="309">
          <cell r="A309" t="str">
            <v>EBYSA1</v>
          </cell>
          <cell r="B309" t="str">
            <v xml:space="preserve">AMARILLO  MEDIO ( ROJIZO )    </v>
          </cell>
          <cell r="C309">
            <v>1</v>
          </cell>
          <cell r="D309">
            <v>365</v>
          </cell>
        </row>
        <row r="310">
          <cell r="A310" t="str">
            <v>EBYSA1-1</v>
          </cell>
          <cell r="B310" t="str">
            <v xml:space="preserve">AMARILLO  MEDIO ROJIZO        </v>
          </cell>
          <cell r="C310">
            <v>1</v>
          </cell>
          <cell r="D310">
            <v>365</v>
          </cell>
        </row>
        <row r="311">
          <cell r="A311" t="str">
            <v>EBYSA2</v>
          </cell>
          <cell r="B311" t="str">
            <v xml:space="preserve">AMARILLO  LIMON (VERDOSO )    </v>
          </cell>
          <cell r="C311">
            <v>1</v>
          </cell>
          <cell r="D311">
            <v>365</v>
          </cell>
        </row>
        <row r="312">
          <cell r="A312" t="str">
            <v>EBYSA2-1</v>
          </cell>
          <cell r="B312" t="str">
            <v xml:space="preserve">AMARILLO  LIMON VERDOSO       </v>
          </cell>
          <cell r="C312">
            <v>1</v>
          </cell>
          <cell r="D312">
            <v>365</v>
          </cell>
        </row>
        <row r="313">
          <cell r="A313" t="str">
            <v>EBYSA3</v>
          </cell>
          <cell r="B313" t="str">
            <v xml:space="preserve">AMARILLO  VANADATO            </v>
          </cell>
          <cell r="C313">
            <v>1</v>
          </cell>
          <cell r="D313">
            <v>365</v>
          </cell>
        </row>
        <row r="314">
          <cell r="A314" t="str">
            <v>EBYSA3-1</v>
          </cell>
          <cell r="B314" t="str">
            <v xml:space="preserve">AMARILLO  VANADATO            </v>
          </cell>
          <cell r="C314">
            <v>1</v>
          </cell>
          <cell r="D314">
            <v>365</v>
          </cell>
        </row>
        <row r="315">
          <cell r="A315" t="str">
            <v>EBYSA4</v>
          </cell>
          <cell r="B315" t="str">
            <v xml:space="preserve">AMARILLO  OXIDO               </v>
          </cell>
          <cell r="C315">
            <v>1</v>
          </cell>
          <cell r="D315">
            <v>365</v>
          </cell>
        </row>
        <row r="316">
          <cell r="A316" t="str">
            <v>EBYSA4-1</v>
          </cell>
          <cell r="B316" t="str">
            <v xml:space="preserve">AMARILLO  OXIDO               </v>
          </cell>
          <cell r="C316">
            <v>1</v>
          </cell>
          <cell r="D316">
            <v>365</v>
          </cell>
        </row>
        <row r="317">
          <cell r="A317" t="str">
            <v>EBYSA5</v>
          </cell>
          <cell r="B317" t="str">
            <v xml:space="preserve">POLYURETANO MONOCAPA          </v>
          </cell>
          <cell r="C317">
            <v>1</v>
          </cell>
          <cell r="D317">
            <v>365</v>
          </cell>
        </row>
        <row r="318">
          <cell r="A318" t="str">
            <v>EBYSA5-1</v>
          </cell>
          <cell r="B318" t="str">
            <v xml:space="preserve">AMARILLO                      </v>
          </cell>
          <cell r="C318">
            <v>1</v>
          </cell>
          <cell r="D318">
            <v>365</v>
          </cell>
        </row>
        <row r="319">
          <cell r="A319" t="str">
            <v>F1ASA1-1</v>
          </cell>
          <cell r="B319" t="str">
            <v xml:space="preserve">KEM TRANSPORT CUSTOM GRIS     </v>
          </cell>
          <cell r="C319">
            <v>0.49863013698630138</v>
          </cell>
          <cell r="D319">
            <v>182</v>
          </cell>
        </row>
        <row r="320">
          <cell r="A320" t="str">
            <v>F1B4009</v>
          </cell>
          <cell r="B320" t="str">
            <v xml:space="preserve">CUSTOM COLOR INTENSE BLACK    </v>
          </cell>
          <cell r="C320">
            <v>0.49863013698630138</v>
          </cell>
          <cell r="D320">
            <v>182</v>
          </cell>
        </row>
        <row r="321">
          <cell r="A321" t="str">
            <v>F1B4009-1</v>
          </cell>
          <cell r="B321" t="str">
            <v xml:space="preserve">CUSTOM COLOR INTENSE BLACK    </v>
          </cell>
          <cell r="C321">
            <v>0.49863013698630138</v>
          </cell>
          <cell r="D321">
            <v>182</v>
          </cell>
        </row>
        <row r="322">
          <cell r="A322" t="str">
            <v>F73ASA28</v>
          </cell>
          <cell r="B322" t="str">
            <v xml:space="preserve">ESMALTE HORNEABLE ALQUIDICO   </v>
          </cell>
          <cell r="C322">
            <v>0.49863013698630138</v>
          </cell>
          <cell r="D322">
            <v>182</v>
          </cell>
        </row>
        <row r="323">
          <cell r="A323" t="str">
            <v>F73ASA28-5</v>
          </cell>
          <cell r="B323" t="str">
            <v>ESMALTE HORNEABLE ALK GRIS OSC</v>
          </cell>
          <cell r="C323">
            <v>0.49863013698630138</v>
          </cell>
          <cell r="D323">
            <v>182</v>
          </cell>
        </row>
        <row r="324">
          <cell r="A324" t="str">
            <v>F73B5</v>
          </cell>
          <cell r="B324" t="str">
            <v xml:space="preserve">ESMALTE HORNEA. NEGRO BRILL.  </v>
          </cell>
          <cell r="C324">
            <v>0.49863013698630138</v>
          </cell>
          <cell r="D324">
            <v>182</v>
          </cell>
        </row>
        <row r="325">
          <cell r="A325" t="str">
            <v>F73B5-5</v>
          </cell>
          <cell r="B325" t="str">
            <v xml:space="preserve">ESMALTE HORNEA. NEGRO BRILL   </v>
          </cell>
          <cell r="C325">
            <v>0.49863013698630138</v>
          </cell>
          <cell r="D325">
            <v>182</v>
          </cell>
        </row>
        <row r="326">
          <cell r="A326" t="str">
            <v>F73B5-50</v>
          </cell>
          <cell r="B326" t="str">
            <v xml:space="preserve">ESMALTE HORNEA. NEGRO BRILL   </v>
          </cell>
          <cell r="C326">
            <v>0.49863013698630138</v>
          </cell>
          <cell r="D326">
            <v>182</v>
          </cell>
        </row>
        <row r="327">
          <cell r="A327" t="str">
            <v>F73GSA27</v>
          </cell>
          <cell r="B327" t="str">
            <v xml:space="preserve">ESMALTE HORNEABLE             </v>
          </cell>
          <cell r="C327">
            <v>0.49863013698630138</v>
          </cell>
          <cell r="D327">
            <v>182</v>
          </cell>
        </row>
        <row r="328">
          <cell r="A328" t="str">
            <v>F73GSA27-5</v>
          </cell>
          <cell r="B328" t="str">
            <v>ESMALTE HORNEABLE VERDE BOSQUE</v>
          </cell>
          <cell r="C328">
            <v>0.49863013698630138</v>
          </cell>
          <cell r="D328">
            <v>182</v>
          </cell>
        </row>
        <row r="329">
          <cell r="A329" t="str">
            <v>F73LSA28</v>
          </cell>
          <cell r="B329" t="str">
            <v xml:space="preserve">ESMALTE HORNEABLE             </v>
          </cell>
          <cell r="C329">
            <v>0.49863013698630138</v>
          </cell>
          <cell r="D329">
            <v>182</v>
          </cell>
        </row>
        <row r="330">
          <cell r="A330" t="str">
            <v>F73LSA28-5</v>
          </cell>
          <cell r="B330" t="str">
            <v>ESMALTE HORNEABLE AZUL INTENSO</v>
          </cell>
          <cell r="C330">
            <v>0.49863013698630138</v>
          </cell>
          <cell r="D330">
            <v>182</v>
          </cell>
        </row>
        <row r="331">
          <cell r="A331" t="str">
            <v>F73NSA3</v>
          </cell>
          <cell r="B331" t="str">
            <v xml:space="preserve">ESMALTE HORNEA. CAFE LISO     </v>
          </cell>
          <cell r="C331">
            <v>0.49863013698630138</v>
          </cell>
          <cell r="D331">
            <v>182</v>
          </cell>
        </row>
        <row r="332">
          <cell r="A332" t="str">
            <v>F73NSA3-5</v>
          </cell>
          <cell r="B332" t="str">
            <v xml:space="preserve">ESMALTE HORNEA. CAFE LISO     </v>
          </cell>
          <cell r="C332">
            <v>0.49863013698630138</v>
          </cell>
          <cell r="D332">
            <v>182</v>
          </cell>
        </row>
        <row r="333">
          <cell r="A333" t="str">
            <v>F73NSA4</v>
          </cell>
          <cell r="B333" t="str">
            <v xml:space="preserve">ESMALTE HORNEA. BEIGE OSCURO  </v>
          </cell>
          <cell r="C333">
            <v>0.49863013698630138</v>
          </cell>
          <cell r="D333">
            <v>182</v>
          </cell>
        </row>
        <row r="334">
          <cell r="A334" t="str">
            <v>F73NSA4-5</v>
          </cell>
          <cell r="B334" t="str">
            <v xml:space="preserve">ESMALTE HORNEA. BEIGE OSCURO  </v>
          </cell>
          <cell r="C334">
            <v>0.49863013698630138</v>
          </cell>
          <cell r="D334">
            <v>182</v>
          </cell>
        </row>
        <row r="335">
          <cell r="A335" t="str">
            <v>F73NSA46</v>
          </cell>
          <cell r="B335" t="str">
            <v xml:space="preserve">ESMALTE HORNEABLE             </v>
          </cell>
          <cell r="C335">
            <v>0.49863013698630138</v>
          </cell>
          <cell r="D335">
            <v>182</v>
          </cell>
        </row>
        <row r="336">
          <cell r="A336" t="str">
            <v>F73NSA46-5</v>
          </cell>
          <cell r="B336" t="str">
            <v>ESMALTE HORNEABLE COBRE INTENS</v>
          </cell>
          <cell r="C336">
            <v>0.49863013698630138</v>
          </cell>
          <cell r="D336">
            <v>182</v>
          </cell>
        </row>
        <row r="337">
          <cell r="A337" t="str">
            <v>F73NSA57</v>
          </cell>
          <cell r="B337" t="str">
            <v xml:space="preserve">ESMALTE HORNEABLE ALQUIDICO   </v>
          </cell>
          <cell r="C337">
            <v>0.49863013698630138</v>
          </cell>
          <cell r="D337">
            <v>182</v>
          </cell>
        </row>
        <row r="338">
          <cell r="A338" t="str">
            <v>F73NSA57-5</v>
          </cell>
          <cell r="B338" t="str">
            <v xml:space="preserve">ESM HORNEABLE ALK COBRE INCO  </v>
          </cell>
          <cell r="C338">
            <v>0.49863013698630138</v>
          </cell>
          <cell r="D338">
            <v>182</v>
          </cell>
        </row>
        <row r="339">
          <cell r="A339" t="str">
            <v>F73SSA16</v>
          </cell>
          <cell r="B339" t="str">
            <v xml:space="preserve">ESMALTE HORNEABLE ALK.        </v>
          </cell>
          <cell r="C339">
            <v>0.49863013698630138</v>
          </cell>
          <cell r="D339">
            <v>182</v>
          </cell>
        </row>
        <row r="340">
          <cell r="A340" t="str">
            <v>F73SSA16-5</v>
          </cell>
          <cell r="B340" t="str">
            <v xml:space="preserve">ESM HORNEABLE ALK ALUMINIO    </v>
          </cell>
          <cell r="C340">
            <v>0.49863013698630138</v>
          </cell>
          <cell r="D340">
            <v>182</v>
          </cell>
        </row>
        <row r="341">
          <cell r="A341" t="str">
            <v>F73SSA20</v>
          </cell>
          <cell r="B341" t="str">
            <v xml:space="preserve">ESMALTE HORNEABLE             </v>
          </cell>
          <cell r="C341">
            <v>0.49863013698630138</v>
          </cell>
          <cell r="D341">
            <v>182</v>
          </cell>
        </row>
        <row r="342">
          <cell r="A342" t="str">
            <v>F73SSA20-5</v>
          </cell>
          <cell r="B342" t="str">
            <v>ESMALTE HORNEABLE GOLD METALIC</v>
          </cell>
          <cell r="C342">
            <v>0.49863013698630138</v>
          </cell>
          <cell r="D342">
            <v>182</v>
          </cell>
        </row>
        <row r="343">
          <cell r="A343" t="str">
            <v>F73SSA4</v>
          </cell>
          <cell r="B343" t="str">
            <v xml:space="preserve">ESMALTE HORN. GRIS            </v>
          </cell>
          <cell r="C343">
            <v>0.49863013698630138</v>
          </cell>
          <cell r="D343">
            <v>182</v>
          </cell>
        </row>
        <row r="344">
          <cell r="A344" t="str">
            <v>F73SSA4-1</v>
          </cell>
          <cell r="B344" t="str">
            <v xml:space="preserve">ESM HORN MARTILLADO PLATEADO  </v>
          </cell>
          <cell r="C344">
            <v>0.49863013698630138</v>
          </cell>
          <cell r="D344">
            <v>182</v>
          </cell>
        </row>
        <row r="345">
          <cell r="A345" t="str">
            <v>F73SSA4-5</v>
          </cell>
          <cell r="B345" t="str">
            <v xml:space="preserve">ESM HORN MARTILLADO PLATEADO  </v>
          </cell>
          <cell r="C345">
            <v>0.49863013698630138</v>
          </cell>
          <cell r="D345">
            <v>182</v>
          </cell>
        </row>
        <row r="346">
          <cell r="A346" t="str">
            <v>F73W2</v>
          </cell>
          <cell r="B346" t="str">
            <v xml:space="preserve">ESMALTE HORNEA. BLANCO BRILL. </v>
          </cell>
          <cell r="C346">
            <v>0.49863013698630138</v>
          </cell>
          <cell r="D346">
            <v>182</v>
          </cell>
        </row>
        <row r="347">
          <cell r="A347" t="str">
            <v>F73W2-1</v>
          </cell>
          <cell r="B347" t="str">
            <v xml:space="preserve">ESMALTE HORNEABLE BLANCO BRTE </v>
          </cell>
          <cell r="C347">
            <v>0.49863013698630138</v>
          </cell>
          <cell r="D347">
            <v>182</v>
          </cell>
        </row>
        <row r="348">
          <cell r="A348" t="str">
            <v>F73W2-5</v>
          </cell>
          <cell r="B348" t="str">
            <v xml:space="preserve">ESMALTE HORNEA. BLANCO BRILL. </v>
          </cell>
          <cell r="C348">
            <v>0.49863013698630138</v>
          </cell>
          <cell r="D348">
            <v>182</v>
          </cell>
        </row>
        <row r="349">
          <cell r="A349" t="str">
            <v>F73W2-50</v>
          </cell>
          <cell r="B349" t="str">
            <v xml:space="preserve">ESMALTE HORNEA. BLANCO BRILL. </v>
          </cell>
          <cell r="C349">
            <v>0.49863013698630138</v>
          </cell>
          <cell r="D349">
            <v>182</v>
          </cell>
        </row>
        <row r="350">
          <cell r="A350" t="str">
            <v>F73WSA29</v>
          </cell>
          <cell r="B350" t="str">
            <v xml:space="preserve">ESMALTE HORNEABLE ALQUIDICO   </v>
          </cell>
          <cell r="C350">
            <v>0.49863013698630138</v>
          </cell>
          <cell r="D350">
            <v>182</v>
          </cell>
        </row>
        <row r="351">
          <cell r="A351" t="str">
            <v>F73WSA29-50</v>
          </cell>
          <cell r="B351" t="str">
            <v xml:space="preserve">ESM HORNEABLE ALK BLANCO BTE  </v>
          </cell>
          <cell r="C351">
            <v>0.49863013698630138</v>
          </cell>
          <cell r="D351">
            <v>182</v>
          </cell>
        </row>
        <row r="352">
          <cell r="A352" t="str">
            <v>F75ASA4</v>
          </cell>
          <cell r="B352" t="str">
            <v xml:space="preserve">ESMALTE HORN.ALQUID.INDUST.   </v>
          </cell>
          <cell r="C352">
            <v>0.49863013698630138</v>
          </cell>
          <cell r="D352">
            <v>182</v>
          </cell>
        </row>
        <row r="353">
          <cell r="A353" t="str">
            <v>F75ASA4-5</v>
          </cell>
          <cell r="B353" t="str">
            <v xml:space="preserve">ESMALTE HORN ALK INDUST GRIS  </v>
          </cell>
          <cell r="C353">
            <v>0.49863013698630138</v>
          </cell>
          <cell r="D353">
            <v>182</v>
          </cell>
        </row>
        <row r="354">
          <cell r="A354" t="str">
            <v>F75BSA1</v>
          </cell>
          <cell r="B354" t="str">
            <v xml:space="preserve">ESMALTE HORNEABLE INDUSTRIAL  </v>
          </cell>
          <cell r="C354">
            <v>0.49863013698630138</v>
          </cell>
          <cell r="D354">
            <v>182</v>
          </cell>
        </row>
        <row r="355">
          <cell r="A355" t="str">
            <v>F75BSA1-50</v>
          </cell>
          <cell r="B355" t="str">
            <v xml:space="preserve">ESMALTE HORNEABLE IND NEGRO   </v>
          </cell>
          <cell r="C355">
            <v>0.49863013698630138</v>
          </cell>
          <cell r="D355">
            <v>182</v>
          </cell>
        </row>
        <row r="356">
          <cell r="A356" t="str">
            <v>F75GSA6</v>
          </cell>
          <cell r="B356" t="str">
            <v xml:space="preserve">ESMALTE HORNEABLE INDUSTRIAL  </v>
          </cell>
          <cell r="C356">
            <v>0.49863013698630138</v>
          </cell>
          <cell r="D356">
            <v>182</v>
          </cell>
        </row>
        <row r="357">
          <cell r="A357" t="str">
            <v>F75GSA6-50</v>
          </cell>
          <cell r="B357" t="str">
            <v xml:space="preserve">ESMALTE HORNEABLE IND VERDE   </v>
          </cell>
          <cell r="C357">
            <v>0.49863013698630138</v>
          </cell>
          <cell r="D357">
            <v>182</v>
          </cell>
        </row>
        <row r="358">
          <cell r="A358" t="str">
            <v>F75NSA3</v>
          </cell>
          <cell r="B358" t="str">
            <v xml:space="preserve">ESMALTE HORNEABLE INDUSTRIAL  </v>
          </cell>
          <cell r="C358">
            <v>0.49863013698630138</v>
          </cell>
          <cell r="D358">
            <v>182</v>
          </cell>
        </row>
        <row r="359">
          <cell r="A359" t="str">
            <v>F75NSA3-5</v>
          </cell>
          <cell r="B359" t="str">
            <v xml:space="preserve">ESM HORNEABLE IND BEIGE OSC   </v>
          </cell>
          <cell r="C359">
            <v>0.49863013698630138</v>
          </cell>
          <cell r="D359">
            <v>182</v>
          </cell>
        </row>
        <row r="360">
          <cell r="A360" t="str">
            <v>F75NSA5</v>
          </cell>
          <cell r="B360" t="str">
            <v xml:space="preserve">ESMALTE HORNEABLE ALKIDICO    </v>
          </cell>
          <cell r="C360">
            <v>0.49863013698630138</v>
          </cell>
          <cell r="D360">
            <v>182</v>
          </cell>
        </row>
        <row r="361">
          <cell r="A361" t="str">
            <v>F75NSA5-5</v>
          </cell>
          <cell r="B361" t="str">
            <v xml:space="preserve">ESMALTE HORNEABLE ALK CAFE    </v>
          </cell>
          <cell r="C361">
            <v>0.49863013698630138</v>
          </cell>
          <cell r="D361">
            <v>182</v>
          </cell>
        </row>
        <row r="362">
          <cell r="A362" t="str">
            <v>F75SSA4</v>
          </cell>
          <cell r="B362" t="str">
            <v xml:space="preserve">ESMALTE HORNEABLE             </v>
          </cell>
          <cell r="C362">
            <v>0.49863013698630138</v>
          </cell>
          <cell r="D362">
            <v>182</v>
          </cell>
        </row>
        <row r="363">
          <cell r="A363" t="str">
            <v>F75SSA4-5</v>
          </cell>
          <cell r="B363" t="str">
            <v xml:space="preserve">ESM HORNE ALUMINIO MARTILLADO </v>
          </cell>
          <cell r="C363">
            <v>0.49863013698630138</v>
          </cell>
          <cell r="D363">
            <v>182</v>
          </cell>
        </row>
        <row r="364">
          <cell r="A364" t="str">
            <v>F75WSA1</v>
          </cell>
          <cell r="B364" t="str">
            <v xml:space="preserve">ESMALTE HORNEABLE ALKYDICO    </v>
          </cell>
          <cell r="C364">
            <v>0.49863013698630138</v>
          </cell>
          <cell r="D364">
            <v>182</v>
          </cell>
        </row>
        <row r="365">
          <cell r="A365" t="str">
            <v>F75WSA1-5</v>
          </cell>
          <cell r="B365" t="str">
            <v xml:space="preserve">ESM HORNE ALK INDUST BLANCO   </v>
          </cell>
          <cell r="C365">
            <v>0.49863013698630138</v>
          </cell>
          <cell r="D365">
            <v>182</v>
          </cell>
        </row>
        <row r="366">
          <cell r="A366" t="str">
            <v>F75WSA1-50</v>
          </cell>
          <cell r="B366" t="str">
            <v xml:space="preserve">ESM HORNE ALK INDUST BLANCO   </v>
          </cell>
          <cell r="C366">
            <v>0.49863013698630138</v>
          </cell>
          <cell r="D366">
            <v>182</v>
          </cell>
        </row>
        <row r="367">
          <cell r="A367" t="str">
            <v>F75WSA2</v>
          </cell>
          <cell r="B367" t="str">
            <v xml:space="preserve">ESMALTE HORNEABLE INDUSTRIAL  </v>
          </cell>
          <cell r="C367">
            <v>0.49863013698630138</v>
          </cell>
          <cell r="D367">
            <v>182</v>
          </cell>
        </row>
        <row r="368">
          <cell r="A368" t="str">
            <v>F75WSA2-5</v>
          </cell>
          <cell r="B368" t="str">
            <v xml:space="preserve">ESM HORNE INDUST BLANCO PURO  </v>
          </cell>
          <cell r="C368">
            <v>0.49863013698630138</v>
          </cell>
          <cell r="D368">
            <v>182</v>
          </cell>
        </row>
        <row r="369">
          <cell r="A369" t="str">
            <v>F75WSA2-50</v>
          </cell>
          <cell r="B369" t="str">
            <v xml:space="preserve">ESM HORNE INDUST BLANCO PURO  </v>
          </cell>
          <cell r="C369">
            <v>0.49863013698630138</v>
          </cell>
          <cell r="D369">
            <v>182</v>
          </cell>
        </row>
        <row r="370">
          <cell r="A370" t="str">
            <v>F76ASA1</v>
          </cell>
          <cell r="B370" t="str">
            <v xml:space="preserve">ESMALTE HORNEABLE             </v>
          </cell>
          <cell r="C370">
            <v>0.49863013698630138</v>
          </cell>
          <cell r="D370">
            <v>182</v>
          </cell>
        </row>
        <row r="371">
          <cell r="A371" t="str">
            <v>F76ASA1-5</v>
          </cell>
          <cell r="B371" t="str">
            <v>ESMALTE HORNEABLE GRIS MULTICE</v>
          </cell>
          <cell r="C371">
            <v>0.49863013698630138</v>
          </cell>
          <cell r="D371">
            <v>182</v>
          </cell>
        </row>
        <row r="372">
          <cell r="A372" t="str">
            <v>F76BSA1</v>
          </cell>
          <cell r="B372" t="str">
            <v xml:space="preserve">ESMALTE HORNEABLE             </v>
          </cell>
          <cell r="C372">
            <v>0.49863013698630138</v>
          </cell>
          <cell r="D372">
            <v>182</v>
          </cell>
        </row>
        <row r="373">
          <cell r="A373" t="str">
            <v>F76BSA1-5</v>
          </cell>
          <cell r="B373" t="str">
            <v>ESMALTE HORNEABLE NEGRO INTENS</v>
          </cell>
          <cell r="C373">
            <v>0.49863013698630138</v>
          </cell>
          <cell r="D373">
            <v>182</v>
          </cell>
        </row>
        <row r="374">
          <cell r="A374" t="str">
            <v>F76ESA1</v>
          </cell>
          <cell r="B374" t="str">
            <v xml:space="preserve">ESMALTE HORNEABLE INDUSTRIAL  </v>
          </cell>
          <cell r="C374">
            <v>0.49863013698630138</v>
          </cell>
          <cell r="D374">
            <v>182</v>
          </cell>
        </row>
        <row r="375">
          <cell r="A375" t="str">
            <v>F76ESA1-5</v>
          </cell>
          <cell r="B375" t="str">
            <v xml:space="preserve">ESM HORNEABLE IND ANARANJADO  </v>
          </cell>
          <cell r="C375">
            <v>0.49863013698630138</v>
          </cell>
          <cell r="D375">
            <v>182</v>
          </cell>
        </row>
        <row r="376">
          <cell r="A376" t="str">
            <v>F76HSA1</v>
          </cell>
          <cell r="B376" t="str">
            <v xml:space="preserve">ESMALTE HORNEABLE             </v>
          </cell>
          <cell r="C376">
            <v>0.49863013698630138</v>
          </cell>
          <cell r="D376">
            <v>182</v>
          </cell>
        </row>
        <row r="377">
          <cell r="A377" t="str">
            <v>F76HSA1-50</v>
          </cell>
          <cell r="B377" t="str">
            <v>ESMALTE HORNEABLE BEIGE OFIMET</v>
          </cell>
          <cell r="C377">
            <v>0.49863013698630138</v>
          </cell>
          <cell r="D377">
            <v>182</v>
          </cell>
        </row>
        <row r="378">
          <cell r="A378" t="str">
            <v>F76NSA1</v>
          </cell>
          <cell r="B378" t="str">
            <v xml:space="preserve">ESMALTE HORNEABLE             </v>
          </cell>
          <cell r="C378">
            <v>0.49863013698630138</v>
          </cell>
          <cell r="D378">
            <v>182</v>
          </cell>
        </row>
        <row r="379">
          <cell r="A379" t="str">
            <v>F76NSA1-5</v>
          </cell>
          <cell r="B379" t="str">
            <v>ESMALTE HORNEABLE BEIGE OSCURO</v>
          </cell>
          <cell r="C379">
            <v>0.49863013698630138</v>
          </cell>
          <cell r="D379">
            <v>182</v>
          </cell>
        </row>
        <row r="380">
          <cell r="A380" t="str">
            <v>F76NSA1-50</v>
          </cell>
          <cell r="B380" t="str">
            <v>ESMALTE HORNEABLE BEIGE OSCURO</v>
          </cell>
          <cell r="C380">
            <v>0.49863013698630138</v>
          </cell>
          <cell r="D380">
            <v>182</v>
          </cell>
        </row>
        <row r="381">
          <cell r="A381" t="str">
            <v>F76NSA2</v>
          </cell>
          <cell r="B381" t="str">
            <v xml:space="preserve">ESMALTE HORNEABLE CAFE LISO   </v>
          </cell>
          <cell r="C381">
            <v>0.49863013698630138</v>
          </cell>
          <cell r="D381">
            <v>182</v>
          </cell>
        </row>
        <row r="382">
          <cell r="A382" t="str">
            <v>F76NSA2-5</v>
          </cell>
          <cell r="B382" t="str">
            <v xml:space="preserve">ESMALTE HORNEABLE CAFE LISO   </v>
          </cell>
          <cell r="C382">
            <v>0.49863013698630138</v>
          </cell>
          <cell r="D382">
            <v>182</v>
          </cell>
        </row>
        <row r="383">
          <cell r="A383" t="str">
            <v>F76NSA2-50</v>
          </cell>
          <cell r="B383" t="str">
            <v xml:space="preserve">ESMALTE HORNEABLE CAFE LISO   </v>
          </cell>
          <cell r="C383">
            <v>0.49863013698630138</v>
          </cell>
          <cell r="D383">
            <v>182</v>
          </cell>
        </row>
        <row r="384">
          <cell r="A384" t="str">
            <v>F76NSA3</v>
          </cell>
          <cell r="B384" t="str">
            <v xml:space="preserve">ESMALTE HORNEABLE             </v>
          </cell>
          <cell r="C384">
            <v>0.49863013698630138</v>
          </cell>
          <cell r="D384">
            <v>182</v>
          </cell>
        </row>
        <row r="385">
          <cell r="A385" t="str">
            <v>F76NSA3-50</v>
          </cell>
          <cell r="B385" t="str">
            <v xml:space="preserve">ESMALTE HORNEABLE CAFE SARTI  </v>
          </cell>
          <cell r="C385">
            <v>0.49863013698630138</v>
          </cell>
          <cell r="D385">
            <v>182</v>
          </cell>
        </row>
        <row r="386">
          <cell r="A386" t="str">
            <v>F76NSA4</v>
          </cell>
          <cell r="B386" t="str">
            <v xml:space="preserve">ESMALTE HORNEABLE INDUSTRIAL  </v>
          </cell>
          <cell r="C386">
            <v>0.49863013698630138</v>
          </cell>
          <cell r="D386">
            <v>182</v>
          </cell>
        </row>
        <row r="387">
          <cell r="A387" t="str">
            <v>F76NSA4-50</v>
          </cell>
          <cell r="B387" t="str">
            <v xml:space="preserve">ESMALTE HORNEABLE INDUS CAFÉ  </v>
          </cell>
          <cell r="C387">
            <v>0.49863013698630138</v>
          </cell>
          <cell r="D387">
            <v>182</v>
          </cell>
        </row>
        <row r="388">
          <cell r="A388" t="str">
            <v>F76WSA1</v>
          </cell>
          <cell r="B388" t="str">
            <v xml:space="preserve">ESMALTE HORNEABLE             </v>
          </cell>
          <cell r="C388">
            <v>0.49863013698630138</v>
          </cell>
          <cell r="D388">
            <v>182</v>
          </cell>
        </row>
        <row r="389">
          <cell r="A389" t="str">
            <v>F76WSA1-5</v>
          </cell>
          <cell r="B389" t="str">
            <v xml:space="preserve">ESMALTE HORNEABLE BLANCO      </v>
          </cell>
          <cell r="C389">
            <v>0.49863013698630138</v>
          </cell>
          <cell r="D389">
            <v>182</v>
          </cell>
        </row>
        <row r="390">
          <cell r="A390" t="str">
            <v>G78BSA11</v>
          </cell>
          <cell r="B390" t="str">
            <v xml:space="preserve">ESMALTE HORNEABLE ACRILICO    </v>
          </cell>
          <cell r="C390">
            <v>0.49863013698630138</v>
          </cell>
          <cell r="D390">
            <v>182</v>
          </cell>
        </row>
        <row r="391">
          <cell r="A391" t="str">
            <v>G78BSA11-1</v>
          </cell>
          <cell r="B391" t="str">
            <v xml:space="preserve">ESM HORNE ACRILICO NEGRO BRT  </v>
          </cell>
          <cell r="C391">
            <v>0.49863013698630138</v>
          </cell>
          <cell r="D391">
            <v>182</v>
          </cell>
        </row>
        <row r="392">
          <cell r="A392" t="str">
            <v>G78BSA11-5</v>
          </cell>
          <cell r="B392" t="str">
            <v xml:space="preserve">ESM HORNE ACRILICO NEGRO BRT  </v>
          </cell>
          <cell r="C392">
            <v>0.49863013698630138</v>
          </cell>
          <cell r="D392">
            <v>182</v>
          </cell>
        </row>
        <row r="393">
          <cell r="A393" t="str">
            <v>G78BSA11-50</v>
          </cell>
          <cell r="B393" t="str">
            <v xml:space="preserve">ESM HORNE ACRILICO NEGRO BRT  </v>
          </cell>
          <cell r="C393">
            <v>0.49863013698630138</v>
          </cell>
          <cell r="D393">
            <v>182</v>
          </cell>
        </row>
        <row r="394">
          <cell r="A394" t="str">
            <v>G78WSA17</v>
          </cell>
          <cell r="B394" t="str">
            <v xml:space="preserve">ESMALTE HORNEABLE ACRILICO    </v>
          </cell>
          <cell r="C394">
            <v>0.49863013698630138</v>
          </cell>
          <cell r="D394">
            <v>182</v>
          </cell>
        </row>
        <row r="395">
          <cell r="A395" t="str">
            <v>G78WSA17-50</v>
          </cell>
          <cell r="B395" t="str">
            <v xml:space="preserve">ESM HORNE ACRIL BLANCO ALMEN  </v>
          </cell>
          <cell r="C395">
            <v>0.49863013698630138</v>
          </cell>
          <cell r="D395">
            <v>182</v>
          </cell>
        </row>
        <row r="396">
          <cell r="A396" t="str">
            <v>G78WSA21</v>
          </cell>
          <cell r="B396" t="str">
            <v>ESMALT HORNE ACRILI ALMOND WHI</v>
          </cell>
          <cell r="C396">
            <v>0.49863013698630138</v>
          </cell>
          <cell r="D396">
            <v>182</v>
          </cell>
        </row>
        <row r="397">
          <cell r="A397" t="str">
            <v>G78WSA21-5</v>
          </cell>
          <cell r="B397" t="str">
            <v xml:space="preserve">ESM HORNE ACRIL BLANCO ALMEN  </v>
          </cell>
          <cell r="C397">
            <v>0.49863013698630138</v>
          </cell>
          <cell r="D397">
            <v>182</v>
          </cell>
        </row>
        <row r="398">
          <cell r="A398" t="str">
            <v>G78WSA21-50</v>
          </cell>
          <cell r="B398" t="str">
            <v xml:space="preserve">ESM HORNE ACRIL BLANCO ALMEN  </v>
          </cell>
          <cell r="C398">
            <v>0.49863013698630138</v>
          </cell>
          <cell r="D398">
            <v>182</v>
          </cell>
        </row>
        <row r="399">
          <cell r="A399" t="str">
            <v>G78WSA22</v>
          </cell>
          <cell r="B399" t="str">
            <v>ESMALT HORNE ACRILI SNOW WHITE</v>
          </cell>
          <cell r="C399">
            <v>0.49863013698630138</v>
          </cell>
          <cell r="D399">
            <v>182</v>
          </cell>
        </row>
        <row r="400">
          <cell r="A400" t="str">
            <v>G78WSA22-50</v>
          </cell>
          <cell r="B400" t="str">
            <v xml:space="preserve">ESM HORNE ACRI BCO.NIEVE      </v>
          </cell>
          <cell r="C400">
            <v>0.49863013698630138</v>
          </cell>
          <cell r="D400">
            <v>182</v>
          </cell>
        </row>
        <row r="401">
          <cell r="A401" t="str">
            <v>K59YSA1</v>
          </cell>
          <cell r="B401" t="str">
            <v>BARNIZ TINTE IND CORTEZ BLANCO</v>
          </cell>
          <cell r="C401">
            <v>0.49863013698630138</v>
          </cell>
          <cell r="D401">
            <v>182</v>
          </cell>
        </row>
        <row r="402">
          <cell r="A402" t="str">
            <v>K59YSA1-5</v>
          </cell>
          <cell r="B402" t="str">
            <v>BARNIZ TINTE IND CORTEZ BLANCO</v>
          </cell>
          <cell r="C402">
            <v>0.49863013698630138</v>
          </cell>
          <cell r="D402">
            <v>182</v>
          </cell>
        </row>
        <row r="403">
          <cell r="A403" t="str">
            <v>L10B1738</v>
          </cell>
          <cell r="B403" t="str">
            <v>SPRAYING ACRYLIC LACQUER BLACK</v>
          </cell>
          <cell r="C403">
            <v>0.49863013698630138</v>
          </cell>
          <cell r="D403">
            <v>182</v>
          </cell>
        </row>
        <row r="404">
          <cell r="A404" t="str">
            <v>L10B1738-1</v>
          </cell>
          <cell r="B404" t="str">
            <v>SPRAYING ACRYLIC LACQUER BLACK</v>
          </cell>
          <cell r="C404">
            <v>0.49863013698630138</v>
          </cell>
          <cell r="D404">
            <v>182</v>
          </cell>
        </row>
        <row r="405">
          <cell r="A405" t="str">
            <v>L10W4148</v>
          </cell>
          <cell r="B405" t="str">
            <v xml:space="preserve">SPRAY ACRYLIC LAC SUPER WHITE </v>
          </cell>
          <cell r="C405">
            <v>0.49863013698630138</v>
          </cell>
          <cell r="D405">
            <v>182</v>
          </cell>
        </row>
        <row r="406">
          <cell r="A406" t="str">
            <v>L10W4148-1</v>
          </cell>
          <cell r="B406" t="str">
            <v xml:space="preserve">SPRAY ACRYLIC LAC SUPER WHITE </v>
          </cell>
          <cell r="C406">
            <v>0.49863013698630138</v>
          </cell>
          <cell r="D406">
            <v>182</v>
          </cell>
        </row>
        <row r="407">
          <cell r="A407" t="str">
            <v>L10WCR4148</v>
          </cell>
          <cell r="B407" t="str">
            <v xml:space="preserve">SPRAYINC ACRILIC LACQUER      </v>
          </cell>
          <cell r="C407">
            <v>0.49863013698630138</v>
          </cell>
          <cell r="D407">
            <v>182</v>
          </cell>
        </row>
        <row r="408">
          <cell r="A408" t="str">
            <v>L10WCR4148-1</v>
          </cell>
          <cell r="B408" t="str">
            <v xml:space="preserve">SPRAYING ACRYLIC LACQ BLANCO  </v>
          </cell>
          <cell r="C408">
            <v>0.49863013698630138</v>
          </cell>
          <cell r="D408">
            <v>182</v>
          </cell>
        </row>
        <row r="409">
          <cell r="A409" t="str">
            <v>L1B3137</v>
          </cell>
          <cell r="B409" t="str">
            <v xml:space="preserve">OPEX SPRAY LAC INTENSE BLACK  </v>
          </cell>
          <cell r="C409">
            <v>0.49863013698630138</v>
          </cell>
          <cell r="D409">
            <v>182</v>
          </cell>
        </row>
        <row r="410">
          <cell r="A410" t="str">
            <v>L1B3137-1</v>
          </cell>
          <cell r="B410" t="str">
            <v xml:space="preserve">OPEX SPRAY LAC INTENSE BLACK  </v>
          </cell>
          <cell r="C410">
            <v>0.49863013698630138</v>
          </cell>
          <cell r="D410">
            <v>182</v>
          </cell>
        </row>
        <row r="411">
          <cell r="A411" t="str">
            <v>L1HSA1</v>
          </cell>
          <cell r="B411" t="str">
            <v xml:space="preserve">OPEX LACQUER BEIGE            </v>
          </cell>
          <cell r="C411">
            <v>0.49863013698630138</v>
          </cell>
          <cell r="D411">
            <v>182</v>
          </cell>
        </row>
        <row r="412">
          <cell r="A412" t="str">
            <v>L1HSA1-1</v>
          </cell>
          <cell r="B412" t="str">
            <v xml:space="preserve">OPEX LACQUER BEIGE            </v>
          </cell>
          <cell r="C412">
            <v>0.49863013698630138</v>
          </cell>
          <cell r="D412">
            <v>182</v>
          </cell>
        </row>
        <row r="413">
          <cell r="A413" t="str">
            <v>L1R40</v>
          </cell>
          <cell r="B413" t="str">
            <v xml:space="preserve">OPEX SPRAY LAC TOLUIDINE RED  </v>
          </cell>
          <cell r="C413">
            <v>0.49863013698630138</v>
          </cell>
          <cell r="D413">
            <v>182</v>
          </cell>
        </row>
        <row r="414">
          <cell r="A414" t="str">
            <v>L1R40-1</v>
          </cell>
          <cell r="B414" t="str">
            <v xml:space="preserve">OPEX SPRAY LAC TOLUIDINE RED  </v>
          </cell>
          <cell r="C414">
            <v>0.49863013698630138</v>
          </cell>
          <cell r="D414">
            <v>182</v>
          </cell>
        </row>
        <row r="415">
          <cell r="A415" t="str">
            <v>L1R40-SP</v>
          </cell>
          <cell r="B415" t="str">
            <v xml:space="preserve">OPEX SPRAYING LACQUER         </v>
          </cell>
          <cell r="C415">
            <v>0.49863013698630138</v>
          </cell>
          <cell r="D415">
            <v>182</v>
          </cell>
        </row>
        <row r="416">
          <cell r="A416" t="str">
            <v>L1R40SP-1</v>
          </cell>
          <cell r="B416" t="str">
            <v xml:space="preserve">OPEX SPRAYING LACQUER ROJO    </v>
          </cell>
          <cell r="C416">
            <v>0.49863013698630138</v>
          </cell>
          <cell r="D416">
            <v>182</v>
          </cell>
        </row>
        <row r="417">
          <cell r="A417" t="str">
            <v>L1SSA1</v>
          </cell>
          <cell r="B417" t="str">
            <v xml:space="preserve">OPEX LACQUER                  </v>
          </cell>
          <cell r="C417">
            <v>0.49863013698630138</v>
          </cell>
          <cell r="D417">
            <v>182</v>
          </cell>
        </row>
        <row r="418">
          <cell r="A418" t="str">
            <v>L1SSA1-1</v>
          </cell>
          <cell r="B418" t="str">
            <v xml:space="preserve">OPEX LACQUER ALUMINIO         </v>
          </cell>
          <cell r="C418">
            <v>0.49863013698630138</v>
          </cell>
          <cell r="D418">
            <v>182</v>
          </cell>
        </row>
        <row r="419">
          <cell r="A419" t="str">
            <v>L1W3252</v>
          </cell>
          <cell r="B419" t="str">
            <v xml:space="preserve">OPEX SPRAY LAC FLEET WHITE    </v>
          </cell>
          <cell r="C419">
            <v>0.49863013698630138</v>
          </cell>
          <cell r="D419">
            <v>182</v>
          </cell>
        </row>
        <row r="420">
          <cell r="A420" t="str">
            <v>L1W3252-1</v>
          </cell>
          <cell r="B420" t="str">
            <v xml:space="preserve">OPEX SPRAY LAC FLEET WHITE    </v>
          </cell>
          <cell r="C420">
            <v>0.49863013698630138</v>
          </cell>
          <cell r="D420">
            <v>182</v>
          </cell>
        </row>
        <row r="421">
          <cell r="A421" t="str">
            <v>L3B320</v>
          </cell>
          <cell r="B421" t="str">
            <v xml:space="preserve">OPEX MIX LAC EBANO            </v>
          </cell>
          <cell r="C421">
            <v>0.49863013698630138</v>
          </cell>
          <cell r="D421">
            <v>182</v>
          </cell>
        </row>
        <row r="422">
          <cell r="A422" t="str">
            <v>L3B320-1</v>
          </cell>
          <cell r="B422" t="str">
            <v xml:space="preserve">OPEX MIX LAC EBANO            </v>
          </cell>
          <cell r="C422">
            <v>0.49863013698630138</v>
          </cell>
          <cell r="D422">
            <v>182</v>
          </cell>
        </row>
        <row r="423">
          <cell r="A423" t="str">
            <v>L3B320-1.1/4</v>
          </cell>
          <cell r="B423" t="str">
            <v xml:space="preserve">OPEX MIX LAC EBANO            </v>
          </cell>
          <cell r="C423">
            <v>0.49863013698630138</v>
          </cell>
          <cell r="D423">
            <v>182</v>
          </cell>
        </row>
        <row r="424">
          <cell r="A424" t="str">
            <v>L3E317</v>
          </cell>
          <cell r="B424" t="str">
            <v xml:space="preserve">OPEX MIX LAC NARANJA          </v>
          </cell>
          <cell r="C424">
            <v>0.49863013698630138</v>
          </cell>
          <cell r="D424">
            <v>182</v>
          </cell>
        </row>
        <row r="425">
          <cell r="A425" t="str">
            <v>L3E317-1</v>
          </cell>
          <cell r="B425" t="str">
            <v xml:space="preserve">OPEX MIX LAC NARANJA          </v>
          </cell>
          <cell r="C425">
            <v>0.49863013698630138</v>
          </cell>
          <cell r="D425">
            <v>182</v>
          </cell>
        </row>
        <row r="426">
          <cell r="A426" t="str">
            <v>L3E317-SP</v>
          </cell>
          <cell r="B426" t="str">
            <v xml:space="preserve">OPEX MIXING LACQUER           </v>
          </cell>
          <cell r="C426">
            <v>0.49863013698630138</v>
          </cell>
          <cell r="D426">
            <v>182</v>
          </cell>
        </row>
        <row r="427">
          <cell r="A427" t="str">
            <v>L3E317SP-1</v>
          </cell>
          <cell r="B427" t="str">
            <v xml:space="preserve">OPEX MIXING LACQUER NARANJA   </v>
          </cell>
          <cell r="C427">
            <v>0.49863013698630138</v>
          </cell>
          <cell r="D427">
            <v>182</v>
          </cell>
        </row>
        <row r="428">
          <cell r="A428" t="str">
            <v>L3G311</v>
          </cell>
          <cell r="B428" t="str">
            <v xml:space="preserve">OPEX MIX LAC VERDE P.T.       </v>
          </cell>
          <cell r="C428">
            <v>0.49863013698630138</v>
          </cell>
          <cell r="D428">
            <v>182</v>
          </cell>
        </row>
        <row r="429">
          <cell r="A429" t="str">
            <v>L3G311-1</v>
          </cell>
          <cell r="B429" t="str">
            <v xml:space="preserve">OPEX MIX LAC VERDE P.T.       </v>
          </cell>
          <cell r="C429">
            <v>0.49863013698630138</v>
          </cell>
          <cell r="D429">
            <v>182</v>
          </cell>
        </row>
        <row r="430">
          <cell r="A430" t="str">
            <v>L3L305</v>
          </cell>
          <cell r="B430" t="str">
            <v xml:space="preserve">OPEX MIX LACQUER AZUL ROJIZO  </v>
          </cell>
          <cell r="C430">
            <v>0.49863013698630138</v>
          </cell>
          <cell r="D430">
            <v>182</v>
          </cell>
        </row>
        <row r="431">
          <cell r="A431" t="str">
            <v>L3L305-1</v>
          </cell>
          <cell r="B431" t="str">
            <v xml:space="preserve">OPEX MIX LACQUER AZUL ROJIZO  </v>
          </cell>
          <cell r="C431">
            <v>0.49863013698630138</v>
          </cell>
          <cell r="D431">
            <v>182</v>
          </cell>
        </row>
        <row r="432">
          <cell r="A432" t="str">
            <v>L3L309</v>
          </cell>
          <cell r="B432" t="str">
            <v xml:space="preserve">OPEX MIX LAC AZUL VERDOSO     </v>
          </cell>
          <cell r="C432">
            <v>0.49863013698630138</v>
          </cell>
          <cell r="D432">
            <v>182</v>
          </cell>
        </row>
        <row r="433">
          <cell r="A433" t="str">
            <v>L3L309-1</v>
          </cell>
          <cell r="B433" t="str">
            <v xml:space="preserve">OPEX MIX LAC AZUL VERDOSO     </v>
          </cell>
          <cell r="C433">
            <v>0.49863013698630138</v>
          </cell>
          <cell r="D433">
            <v>182</v>
          </cell>
        </row>
        <row r="434">
          <cell r="A434" t="str">
            <v>L3M318</v>
          </cell>
          <cell r="B434" t="str">
            <v xml:space="preserve">OPEX MIX LAC MARRON           </v>
          </cell>
          <cell r="C434">
            <v>0.49863013698630138</v>
          </cell>
          <cell r="D434">
            <v>182</v>
          </cell>
        </row>
        <row r="435">
          <cell r="A435" t="str">
            <v>L3M318-1</v>
          </cell>
          <cell r="B435" t="str">
            <v xml:space="preserve">OPEX MIX LAC MARRON           </v>
          </cell>
          <cell r="C435">
            <v>0.49863013698630138</v>
          </cell>
          <cell r="D435">
            <v>182</v>
          </cell>
        </row>
        <row r="436">
          <cell r="A436" t="str">
            <v>L3M341</v>
          </cell>
          <cell r="B436" t="str">
            <v xml:space="preserve">OPEX MIX LAC MARRON BRTE      </v>
          </cell>
          <cell r="C436">
            <v>0.49863013698630138</v>
          </cell>
          <cell r="D436">
            <v>182</v>
          </cell>
        </row>
        <row r="437">
          <cell r="A437" t="str">
            <v>L3M341-1</v>
          </cell>
          <cell r="B437" t="str">
            <v xml:space="preserve">OPEX MIX LAC MARRON BRTE      </v>
          </cell>
          <cell r="C437">
            <v>0.49863013698630138</v>
          </cell>
          <cell r="D437">
            <v>182</v>
          </cell>
        </row>
        <row r="438">
          <cell r="A438" t="str">
            <v>L3N314</v>
          </cell>
          <cell r="B438" t="str">
            <v xml:space="preserve">OPEX MIX LAC DORADO           </v>
          </cell>
          <cell r="C438">
            <v>0.49863013698630138</v>
          </cell>
          <cell r="D438">
            <v>182</v>
          </cell>
        </row>
        <row r="439">
          <cell r="A439" t="str">
            <v>L3N314-1</v>
          </cell>
          <cell r="B439" t="str">
            <v xml:space="preserve">OPEX MIX LAC DORADO           </v>
          </cell>
          <cell r="C439">
            <v>0.49863013698630138</v>
          </cell>
          <cell r="D439">
            <v>182</v>
          </cell>
        </row>
        <row r="440">
          <cell r="A440" t="str">
            <v>L3N342</v>
          </cell>
          <cell r="B440" t="str">
            <v xml:space="preserve">OPEX MIX LAC DORADO ROJIZO    </v>
          </cell>
          <cell r="C440">
            <v>0.49863013698630138</v>
          </cell>
          <cell r="D440">
            <v>182</v>
          </cell>
        </row>
        <row r="441">
          <cell r="A441" t="str">
            <v>L3N342-1</v>
          </cell>
          <cell r="B441" t="str">
            <v xml:space="preserve">OPEX MIX LAC DORADO ROJIZO    </v>
          </cell>
          <cell r="C441">
            <v>0.49863013698630138</v>
          </cell>
          <cell r="D441">
            <v>182</v>
          </cell>
        </row>
        <row r="442">
          <cell r="A442" t="str">
            <v>L3R304</v>
          </cell>
          <cell r="B442" t="str">
            <v xml:space="preserve">OPEX MIX LAC ROJO OXIDO       </v>
          </cell>
          <cell r="C442">
            <v>0.49863013698630138</v>
          </cell>
          <cell r="D442">
            <v>182</v>
          </cell>
        </row>
        <row r="443">
          <cell r="A443" t="str">
            <v>L3R304-1</v>
          </cell>
          <cell r="B443" t="str">
            <v xml:space="preserve">OPEX MIX LAC ROJO OXIDO       </v>
          </cell>
          <cell r="C443">
            <v>0.49863013698630138</v>
          </cell>
          <cell r="D443">
            <v>182</v>
          </cell>
        </row>
        <row r="444">
          <cell r="A444" t="str">
            <v>L3R330</v>
          </cell>
          <cell r="B444" t="str">
            <v xml:space="preserve">OPEX MIX LAC ROJO BRILLANTE   </v>
          </cell>
          <cell r="C444">
            <v>0.49863013698630138</v>
          </cell>
          <cell r="D444">
            <v>182</v>
          </cell>
        </row>
        <row r="445">
          <cell r="A445" t="str">
            <v>L3R330-1</v>
          </cell>
          <cell r="B445" t="str">
            <v xml:space="preserve">OPEX MIX LAC ROJO BRILLANTE   </v>
          </cell>
          <cell r="C445">
            <v>0.49863013698630138</v>
          </cell>
          <cell r="D445">
            <v>182</v>
          </cell>
        </row>
        <row r="446">
          <cell r="A446" t="str">
            <v>L3RSA4</v>
          </cell>
          <cell r="B446" t="str">
            <v xml:space="preserve">OPEX MIX LAC ROJO PARA MEZCLA </v>
          </cell>
          <cell r="C446">
            <v>0.49863013698630138</v>
          </cell>
          <cell r="D446">
            <v>182</v>
          </cell>
        </row>
        <row r="447">
          <cell r="A447" t="str">
            <v>L3RSA4-1</v>
          </cell>
          <cell r="B447" t="str">
            <v xml:space="preserve">OPEX MIX LAC ROJO PARA MEZCLA </v>
          </cell>
          <cell r="C447">
            <v>0.49863013698630138</v>
          </cell>
          <cell r="D447">
            <v>182</v>
          </cell>
        </row>
        <row r="448">
          <cell r="A448" t="str">
            <v>L3S335</v>
          </cell>
          <cell r="B448" t="str">
            <v xml:space="preserve">OPEX MIX LAC METALICO BRTE    </v>
          </cell>
          <cell r="C448">
            <v>0.49863013698630138</v>
          </cell>
          <cell r="D448">
            <v>182</v>
          </cell>
        </row>
        <row r="449">
          <cell r="A449" t="str">
            <v>L3S335-1</v>
          </cell>
          <cell r="B449" t="str">
            <v xml:space="preserve">OPEX MIX LAC METALICO BRTE    </v>
          </cell>
          <cell r="C449">
            <v>0.49863013698630138</v>
          </cell>
          <cell r="D449">
            <v>182</v>
          </cell>
        </row>
        <row r="450">
          <cell r="A450" t="str">
            <v>L3S350</v>
          </cell>
          <cell r="B450" t="str">
            <v xml:space="preserve">OPEX MIX LAC METALICO MEDIO   </v>
          </cell>
          <cell r="C450">
            <v>0.49863013698630138</v>
          </cell>
          <cell r="D450">
            <v>182</v>
          </cell>
        </row>
        <row r="451">
          <cell r="A451" t="str">
            <v>L3S350-1</v>
          </cell>
          <cell r="B451" t="str">
            <v xml:space="preserve">OPEX MIX LAC METALICO MEDIO   </v>
          </cell>
          <cell r="C451">
            <v>0.49863013698630138</v>
          </cell>
          <cell r="D451">
            <v>182</v>
          </cell>
        </row>
        <row r="452">
          <cell r="A452" t="str">
            <v>L3S352</v>
          </cell>
          <cell r="B452" t="str">
            <v xml:space="preserve">OPEX MIX LAC METALICO MED GSO </v>
          </cell>
          <cell r="C452">
            <v>0.49863013698630138</v>
          </cell>
          <cell r="D452">
            <v>182</v>
          </cell>
        </row>
        <row r="453">
          <cell r="A453" t="str">
            <v>L3S352-1</v>
          </cell>
          <cell r="B453" t="str">
            <v xml:space="preserve">OPEX MIX LAC METALICO MED GSO </v>
          </cell>
          <cell r="C453">
            <v>0.49863013698630138</v>
          </cell>
          <cell r="D453">
            <v>182</v>
          </cell>
        </row>
        <row r="454">
          <cell r="A454" t="str">
            <v>L3W301</v>
          </cell>
          <cell r="B454" t="str">
            <v xml:space="preserve">OPEX MIX LAC BLANCO           </v>
          </cell>
          <cell r="C454">
            <v>0.49863013698630138</v>
          </cell>
          <cell r="D454">
            <v>182</v>
          </cell>
        </row>
        <row r="455">
          <cell r="A455" t="str">
            <v>L3W301-1</v>
          </cell>
          <cell r="B455" t="str">
            <v xml:space="preserve">OPEX MIX LAC BLANCO           </v>
          </cell>
          <cell r="C455">
            <v>0.49863013698630138</v>
          </cell>
          <cell r="D455">
            <v>182</v>
          </cell>
        </row>
        <row r="456">
          <cell r="A456" t="str">
            <v>L3W301-1.1/4</v>
          </cell>
          <cell r="B456" t="str">
            <v xml:space="preserve">OPEX MIX LAC BLANCO           </v>
          </cell>
          <cell r="C456">
            <v>0.49863013698630138</v>
          </cell>
          <cell r="D456">
            <v>182</v>
          </cell>
        </row>
        <row r="457">
          <cell r="A457" t="str">
            <v>L3Y303</v>
          </cell>
          <cell r="B457" t="str">
            <v xml:space="preserve">OPEX MIX LAC AMARILLO OXIDO   </v>
          </cell>
          <cell r="C457">
            <v>0.49863013698630138</v>
          </cell>
          <cell r="D457">
            <v>182</v>
          </cell>
        </row>
        <row r="458">
          <cell r="A458" t="str">
            <v>L3Y303-1</v>
          </cell>
          <cell r="B458" t="str">
            <v xml:space="preserve">OPEX MIX LAC AMARILLO OXIDO   </v>
          </cell>
          <cell r="C458">
            <v>0.49863013698630138</v>
          </cell>
          <cell r="D458">
            <v>182</v>
          </cell>
        </row>
        <row r="459">
          <cell r="A459" t="str">
            <v>L3Y332</v>
          </cell>
          <cell r="B459" t="str">
            <v xml:space="preserve">OPEX MIX LAC AMARILLO LIMON   </v>
          </cell>
          <cell r="C459">
            <v>0.49863013698630138</v>
          </cell>
          <cell r="D459">
            <v>182</v>
          </cell>
        </row>
        <row r="460">
          <cell r="A460" t="str">
            <v>L3Y332-1</v>
          </cell>
          <cell r="B460" t="str">
            <v xml:space="preserve">OPEX MIX LAC AMARILLO LIMON   </v>
          </cell>
          <cell r="C460">
            <v>0.49863013698630138</v>
          </cell>
          <cell r="D460">
            <v>182</v>
          </cell>
        </row>
        <row r="461">
          <cell r="A461" t="str">
            <v>L3Y332-SP</v>
          </cell>
          <cell r="B461" t="str">
            <v xml:space="preserve">OPEX MIXING LACQUER LEMON     </v>
          </cell>
          <cell r="C461">
            <v>0.49863013698630138</v>
          </cell>
          <cell r="D461">
            <v>182</v>
          </cell>
        </row>
        <row r="462">
          <cell r="A462" t="str">
            <v>L3Y332SP-1</v>
          </cell>
          <cell r="B462" t="str">
            <v>OPEX MIX LAC AMARILLO LIMON SP</v>
          </cell>
          <cell r="C462">
            <v>0.49863013698630138</v>
          </cell>
          <cell r="D462">
            <v>182</v>
          </cell>
        </row>
        <row r="463">
          <cell r="A463" t="str">
            <v>L3Y333</v>
          </cell>
          <cell r="B463" t="str">
            <v xml:space="preserve">OPEX MIX LAC AMARILLO MEDIO   </v>
          </cell>
          <cell r="C463">
            <v>0.49863013698630138</v>
          </cell>
          <cell r="D463">
            <v>182</v>
          </cell>
        </row>
        <row r="464">
          <cell r="A464" t="str">
            <v>L3Y333-1</v>
          </cell>
          <cell r="B464" t="str">
            <v xml:space="preserve">OPEX MIX LAC AMARILLO MEDIO   </v>
          </cell>
          <cell r="C464">
            <v>0.49863013698630138</v>
          </cell>
          <cell r="D464">
            <v>182</v>
          </cell>
        </row>
        <row r="465">
          <cell r="A465" t="str">
            <v>L3Y333-SP</v>
          </cell>
          <cell r="B465" t="str">
            <v xml:space="preserve">OPEX MIXING LACQUER MEDIUM    </v>
          </cell>
          <cell r="C465">
            <v>0.49863013698630138</v>
          </cell>
          <cell r="D465">
            <v>182</v>
          </cell>
        </row>
        <row r="466">
          <cell r="A466" t="str">
            <v>L3Y333SP-1</v>
          </cell>
          <cell r="B466" t="str">
            <v>OPEX MIX LAC AMARILLO MEDIO SP</v>
          </cell>
          <cell r="C466">
            <v>0.49863013698630138</v>
          </cell>
          <cell r="D466">
            <v>182</v>
          </cell>
        </row>
        <row r="467">
          <cell r="A467" t="str">
            <v>L60BSA11</v>
          </cell>
          <cell r="B467" t="str">
            <v xml:space="preserve">LACA INDUSTRIAL NEGRO         </v>
          </cell>
          <cell r="C467">
            <v>0.49863013698630138</v>
          </cell>
          <cell r="D467">
            <v>182</v>
          </cell>
        </row>
        <row r="468">
          <cell r="A468" t="str">
            <v>L60BSA11-5</v>
          </cell>
          <cell r="B468" t="str">
            <v>LACA INDUSTRIAL NEGRO SATINADO</v>
          </cell>
          <cell r="C468">
            <v>0.49863013698630138</v>
          </cell>
          <cell r="D468">
            <v>182</v>
          </cell>
        </row>
        <row r="469">
          <cell r="A469" t="str">
            <v>L60BSA11-50</v>
          </cell>
          <cell r="B469" t="str">
            <v>LACA INDUSTRIAL NEGRO SATINADO</v>
          </cell>
          <cell r="C469">
            <v>0.49863013698630138</v>
          </cell>
          <cell r="D469">
            <v>182</v>
          </cell>
        </row>
        <row r="470">
          <cell r="A470" t="str">
            <v>L60BSA2</v>
          </cell>
          <cell r="B470" t="str">
            <v xml:space="preserve">OPEX INDUS. LACQUER (NEGRO)   </v>
          </cell>
          <cell r="C470">
            <v>0.49863013698630138</v>
          </cell>
          <cell r="D470">
            <v>182</v>
          </cell>
        </row>
        <row r="471">
          <cell r="A471" t="str">
            <v>L60BSA2-1</v>
          </cell>
          <cell r="B471" t="str">
            <v xml:space="preserve">OPEX INDUSTRIAL LACQUER NEGRO </v>
          </cell>
          <cell r="C471">
            <v>0.49863013698630138</v>
          </cell>
          <cell r="D471">
            <v>182</v>
          </cell>
        </row>
        <row r="472">
          <cell r="A472" t="str">
            <v>L60ESA2</v>
          </cell>
          <cell r="B472" t="str">
            <v xml:space="preserve">LACA INDUSTRIAL               </v>
          </cell>
          <cell r="C472">
            <v>0.49863013698630138</v>
          </cell>
          <cell r="D472">
            <v>182</v>
          </cell>
        </row>
        <row r="473">
          <cell r="A473" t="str">
            <v>L60ESA2-50</v>
          </cell>
          <cell r="B473" t="str">
            <v xml:space="preserve">LACA INDUSTRIAL NARANJA       </v>
          </cell>
          <cell r="C473">
            <v>0.49863013698630138</v>
          </cell>
          <cell r="D473">
            <v>182</v>
          </cell>
        </row>
        <row r="474">
          <cell r="A474" t="str">
            <v>L60ESA4</v>
          </cell>
          <cell r="B474" t="str">
            <v xml:space="preserve">RECUBRIMIENTO INDUSTRIAL      </v>
          </cell>
          <cell r="C474">
            <v>0.49863013698630138</v>
          </cell>
          <cell r="D474">
            <v>182</v>
          </cell>
        </row>
        <row r="475">
          <cell r="A475" t="str">
            <v>L60ESA4-5</v>
          </cell>
          <cell r="B475" t="str">
            <v xml:space="preserve">RECUBRIMIEN IND NARANJA TOMZA </v>
          </cell>
          <cell r="C475">
            <v>0.49863013698630138</v>
          </cell>
          <cell r="D475">
            <v>182</v>
          </cell>
        </row>
        <row r="476">
          <cell r="A476" t="str">
            <v>L60ESA4-50</v>
          </cell>
          <cell r="B476" t="str">
            <v xml:space="preserve">RECUBRIMIEN IND NARANJA TOMZA </v>
          </cell>
          <cell r="C476">
            <v>0.49863013698630138</v>
          </cell>
          <cell r="D476">
            <v>182</v>
          </cell>
        </row>
        <row r="477">
          <cell r="A477" t="str">
            <v>L60LSA20</v>
          </cell>
          <cell r="B477" t="str">
            <v xml:space="preserve">LACA INDUSTRIAL               </v>
          </cell>
          <cell r="C477">
            <v>0.49863013698630138</v>
          </cell>
          <cell r="D477">
            <v>182</v>
          </cell>
        </row>
        <row r="478">
          <cell r="A478" t="str">
            <v>L60LSA20-50</v>
          </cell>
          <cell r="B478" t="str">
            <v xml:space="preserve">LACA INDUS AZUL INTENSO MATE  </v>
          </cell>
          <cell r="C478">
            <v>0.49863013698630138</v>
          </cell>
          <cell r="D478">
            <v>182</v>
          </cell>
        </row>
        <row r="479">
          <cell r="A479" t="str">
            <v>L60NSA19</v>
          </cell>
          <cell r="B479" t="str">
            <v xml:space="preserve">LACA INDUSTRIAL               </v>
          </cell>
          <cell r="C479">
            <v>0.49863013698630138</v>
          </cell>
          <cell r="D479">
            <v>182</v>
          </cell>
        </row>
        <row r="480">
          <cell r="A480" t="str">
            <v>L60NSA19-5</v>
          </cell>
          <cell r="B480" t="str">
            <v xml:space="preserve">LACA INDUSTRIAL CAFE HECASA   </v>
          </cell>
          <cell r="C480">
            <v>0.49863013698630138</v>
          </cell>
          <cell r="D480">
            <v>182</v>
          </cell>
        </row>
        <row r="481">
          <cell r="A481" t="str">
            <v>L60RSA4</v>
          </cell>
          <cell r="B481" t="str">
            <v xml:space="preserve">OPEX INDUSTRIAL LACQUER       </v>
          </cell>
          <cell r="C481">
            <v>0.49863013698630138</v>
          </cell>
          <cell r="D481">
            <v>182</v>
          </cell>
        </row>
        <row r="482">
          <cell r="A482" t="str">
            <v>L60RSA4-1</v>
          </cell>
          <cell r="B482" t="str">
            <v xml:space="preserve">OPEX INDUSTRIAL LACQUER ROJO  </v>
          </cell>
          <cell r="C482">
            <v>0.49863013698630138</v>
          </cell>
          <cell r="D482">
            <v>182</v>
          </cell>
        </row>
        <row r="483">
          <cell r="A483" t="str">
            <v>L60RSA4-50</v>
          </cell>
          <cell r="B483" t="str">
            <v xml:space="preserve">OPEX INDUSTRIAL LACQUER ROJO  </v>
          </cell>
          <cell r="C483">
            <v>0.49863013698630138</v>
          </cell>
          <cell r="D483">
            <v>182</v>
          </cell>
        </row>
        <row r="484">
          <cell r="A484" t="str">
            <v>L60WSA3</v>
          </cell>
          <cell r="B484" t="str">
            <v xml:space="preserve">OPEX INDUS. LACQUER (BLANCO)  </v>
          </cell>
          <cell r="C484">
            <v>0.49863013698630138</v>
          </cell>
          <cell r="D484">
            <v>182</v>
          </cell>
        </row>
        <row r="485">
          <cell r="A485" t="str">
            <v>L60WSA3-1</v>
          </cell>
          <cell r="B485" t="str">
            <v xml:space="preserve">OPEX INDUS. LACQUER BLANCO    </v>
          </cell>
          <cell r="C485">
            <v>0.49863013698630138</v>
          </cell>
          <cell r="D485">
            <v>182</v>
          </cell>
        </row>
        <row r="486">
          <cell r="A486" t="str">
            <v>M68ESA7</v>
          </cell>
          <cell r="B486" t="str">
            <v xml:space="preserve">LACA PARA LAPICES             </v>
          </cell>
          <cell r="C486">
            <v>0.49863013698630138</v>
          </cell>
          <cell r="D486">
            <v>182</v>
          </cell>
        </row>
        <row r="487">
          <cell r="A487" t="str">
            <v>M68ESA7-5</v>
          </cell>
          <cell r="B487" t="str">
            <v xml:space="preserve">LACA PARA LAPICES NARANJA     </v>
          </cell>
          <cell r="C487">
            <v>0.49863013698630138</v>
          </cell>
          <cell r="D487">
            <v>182</v>
          </cell>
        </row>
        <row r="488">
          <cell r="A488" t="str">
            <v>M68GSA10</v>
          </cell>
          <cell r="B488" t="str">
            <v xml:space="preserve">LACA PARA LAPICES             </v>
          </cell>
          <cell r="C488">
            <v>0.49863013698630138</v>
          </cell>
          <cell r="D488">
            <v>182</v>
          </cell>
        </row>
        <row r="489">
          <cell r="A489" t="str">
            <v>M68GSA10-5</v>
          </cell>
          <cell r="B489" t="str">
            <v xml:space="preserve">LACA P/ LAPIZ VERDE ESMERALDA </v>
          </cell>
          <cell r="C489">
            <v>0.49863013698630138</v>
          </cell>
          <cell r="D489">
            <v>182</v>
          </cell>
        </row>
        <row r="490">
          <cell r="A490" t="str">
            <v>M68GSA8</v>
          </cell>
          <cell r="B490" t="str">
            <v xml:space="preserve">LACA PARA LAPICES             </v>
          </cell>
          <cell r="C490">
            <v>0.49863013698630138</v>
          </cell>
          <cell r="D490">
            <v>182</v>
          </cell>
        </row>
        <row r="491">
          <cell r="A491" t="str">
            <v>M68GSA8-5</v>
          </cell>
          <cell r="B491" t="str">
            <v xml:space="preserve">LACA PARA LAPICES VERDE CLARO </v>
          </cell>
          <cell r="C491">
            <v>0.49863013698630138</v>
          </cell>
          <cell r="D491">
            <v>182</v>
          </cell>
        </row>
        <row r="492">
          <cell r="A492" t="str">
            <v>M68GSA9</v>
          </cell>
          <cell r="B492" t="str">
            <v xml:space="preserve">LACA PARA LAPICES             </v>
          </cell>
          <cell r="C492">
            <v>0.49863013698630138</v>
          </cell>
          <cell r="D492">
            <v>182</v>
          </cell>
        </row>
        <row r="493">
          <cell r="A493" t="str">
            <v>M68GSA9-5</v>
          </cell>
          <cell r="B493" t="str">
            <v>LACA PARA LAPICES VERDE OSCURO</v>
          </cell>
          <cell r="C493">
            <v>0.49863013698630138</v>
          </cell>
          <cell r="D493">
            <v>182</v>
          </cell>
        </row>
        <row r="494">
          <cell r="A494" t="str">
            <v>M68LSA10</v>
          </cell>
          <cell r="B494" t="str">
            <v xml:space="preserve">LACA PARA LAPICES             </v>
          </cell>
          <cell r="C494">
            <v>0.49863013698630138</v>
          </cell>
          <cell r="D494">
            <v>182</v>
          </cell>
        </row>
        <row r="495">
          <cell r="A495" t="str">
            <v>M68LSA10-5</v>
          </cell>
          <cell r="B495" t="str">
            <v xml:space="preserve">LACA P/LAPIZ AZUL ULTRAMARINO </v>
          </cell>
          <cell r="C495">
            <v>0.49863013698630138</v>
          </cell>
          <cell r="D495">
            <v>182</v>
          </cell>
        </row>
        <row r="496">
          <cell r="A496" t="str">
            <v>M68LSA13</v>
          </cell>
          <cell r="B496" t="str">
            <v xml:space="preserve">LACA PARA LAPICES             </v>
          </cell>
          <cell r="C496">
            <v>0.49863013698630138</v>
          </cell>
          <cell r="D496">
            <v>182</v>
          </cell>
        </row>
        <row r="497">
          <cell r="A497" t="str">
            <v>M68LSA13-5</v>
          </cell>
          <cell r="B497" t="str">
            <v xml:space="preserve">LACA P/LAPIZ AZUL CHECK LINE  </v>
          </cell>
          <cell r="C497">
            <v>0.49863013698630138</v>
          </cell>
          <cell r="D497">
            <v>182</v>
          </cell>
        </row>
        <row r="498">
          <cell r="A498" t="str">
            <v>M68LSA8</v>
          </cell>
          <cell r="B498" t="str">
            <v xml:space="preserve">LACA PARA LAPICES             </v>
          </cell>
          <cell r="C498">
            <v>0.49863013698630138</v>
          </cell>
          <cell r="D498">
            <v>182</v>
          </cell>
        </row>
        <row r="499">
          <cell r="A499" t="str">
            <v>M68LSA8-5</v>
          </cell>
          <cell r="B499" t="str">
            <v xml:space="preserve">LACA PARA LAPICES CELESTE     </v>
          </cell>
          <cell r="C499">
            <v>0.49863013698630138</v>
          </cell>
          <cell r="D499">
            <v>182</v>
          </cell>
        </row>
        <row r="500">
          <cell r="A500" t="str">
            <v>M68LSA9</v>
          </cell>
          <cell r="B500" t="str">
            <v xml:space="preserve">LACA PARA LAPICES             </v>
          </cell>
          <cell r="C500">
            <v>0.49863013698630138</v>
          </cell>
          <cell r="D500">
            <v>182</v>
          </cell>
        </row>
        <row r="501">
          <cell r="A501" t="str">
            <v>M68LSA9-5</v>
          </cell>
          <cell r="B501" t="str">
            <v>LACA PARA LAPICES AZUL VIOLETA</v>
          </cell>
          <cell r="C501">
            <v>0.49863013698630138</v>
          </cell>
          <cell r="D501">
            <v>182</v>
          </cell>
        </row>
        <row r="502">
          <cell r="A502" t="str">
            <v>M68MSA1</v>
          </cell>
          <cell r="B502" t="str">
            <v xml:space="preserve">LACA PARA LAPICES CARIBE GOLD </v>
          </cell>
          <cell r="C502">
            <v>0.49863013698630138</v>
          </cell>
          <cell r="D502">
            <v>182</v>
          </cell>
        </row>
        <row r="503">
          <cell r="A503" t="str">
            <v>M68MSA1-5</v>
          </cell>
          <cell r="B503" t="str">
            <v xml:space="preserve">LACA PARA LAPICES CARIBE GOLD </v>
          </cell>
          <cell r="C503">
            <v>0.49863013698630138</v>
          </cell>
          <cell r="D503">
            <v>182</v>
          </cell>
        </row>
        <row r="504">
          <cell r="A504" t="str">
            <v>M68RSA10</v>
          </cell>
          <cell r="B504" t="str">
            <v xml:space="preserve">LACA PARA LAPICES             </v>
          </cell>
          <cell r="C504">
            <v>0.49863013698630138</v>
          </cell>
          <cell r="D504">
            <v>182</v>
          </cell>
        </row>
        <row r="505">
          <cell r="A505" t="str">
            <v>M68RSA10-5</v>
          </cell>
          <cell r="B505" t="str">
            <v xml:space="preserve">LACA PARA LAPICES ROSADO      </v>
          </cell>
          <cell r="C505">
            <v>0.49863013698630138</v>
          </cell>
          <cell r="D505">
            <v>182</v>
          </cell>
        </row>
        <row r="506">
          <cell r="A506" t="str">
            <v>M68RSA9</v>
          </cell>
          <cell r="B506" t="str">
            <v xml:space="preserve">LACA PARA LAPICES             </v>
          </cell>
          <cell r="C506">
            <v>0.49863013698630138</v>
          </cell>
          <cell r="D506">
            <v>182</v>
          </cell>
        </row>
        <row r="507">
          <cell r="A507" t="str">
            <v>M68RSA9-5</v>
          </cell>
          <cell r="B507" t="str">
            <v xml:space="preserve">LACA PARA LAPICES ROJO CEREZA </v>
          </cell>
          <cell r="C507">
            <v>0.49863013698630138</v>
          </cell>
          <cell r="D507">
            <v>182</v>
          </cell>
        </row>
        <row r="508">
          <cell r="A508" t="str">
            <v>M68TSA1</v>
          </cell>
          <cell r="B508" t="str">
            <v xml:space="preserve">LACA PARA LAPICES             </v>
          </cell>
          <cell r="C508">
            <v>0.49863013698630138</v>
          </cell>
          <cell r="D508">
            <v>182</v>
          </cell>
        </row>
        <row r="509">
          <cell r="A509" t="str">
            <v>M68TSA1-1</v>
          </cell>
          <cell r="B509" t="str">
            <v>LACA PARA LAPICES TRANSPARENTE</v>
          </cell>
          <cell r="C509">
            <v>0.49863013698630138</v>
          </cell>
          <cell r="D509">
            <v>182</v>
          </cell>
        </row>
        <row r="510">
          <cell r="A510" t="str">
            <v>M68TSA1-5</v>
          </cell>
          <cell r="B510" t="str">
            <v>LACA PARA LAPICES TRANSPARENTE</v>
          </cell>
          <cell r="C510">
            <v>0.49863013698630138</v>
          </cell>
          <cell r="D510">
            <v>182</v>
          </cell>
        </row>
        <row r="511">
          <cell r="A511" t="str">
            <v>M68WSA1</v>
          </cell>
          <cell r="B511" t="str">
            <v xml:space="preserve">LACA PARA LAPICES             </v>
          </cell>
          <cell r="C511">
            <v>0.49863013698630138</v>
          </cell>
          <cell r="D511">
            <v>182</v>
          </cell>
        </row>
        <row r="512">
          <cell r="A512" t="str">
            <v>M68WSA1-5</v>
          </cell>
          <cell r="B512" t="str">
            <v xml:space="preserve">LACA PARA LAPICES BLANCO      </v>
          </cell>
          <cell r="C512">
            <v>0.49863013698630138</v>
          </cell>
          <cell r="D512">
            <v>182</v>
          </cell>
        </row>
        <row r="513">
          <cell r="A513" t="str">
            <v>M68YSA14</v>
          </cell>
          <cell r="B513" t="str">
            <v xml:space="preserve">LACA PARA LAPICES             </v>
          </cell>
          <cell r="C513">
            <v>0.49863013698630138</v>
          </cell>
          <cell r="D513">
            <v>182</v>
          </cell>
        </row>
        <row r="514">
          <cell r="A514" t="str">
            <v>M68YSA14-5</v>
          </cell>
          <cell r="B514" t="str">
            <v xml:space="preserve">LACA P/LAPICES AMARI MONGOL   </v>
          </cell>
          <cell r="C514">
            <v>0.49863013698630138</v>
          </cell>
          <cell r="D514">
            <v>182</v>
          </cell>
        </row>
        <row r="515">
          <cell r="A515" t="str">
            <v>M68YSA16</v>
          </cell>
          <cell r="B515" t="str">
            <v xml:space="preserve">LACA PARA LAPICES AMARILLO    </v>
          </cell>
          <cell r="C515">
            <v>0.49863013698630138</v>
          </cell>
          <cell r="D515">
            <v>182</v>
          </cell>
        </row>
        <row r="516">
          <cell r="A516" t="str">
            <v>M68YSA16-5</v>
          </cell>
          <cell r="B516" t="str">
            <v xml:space="preserve">LACA PARA LAPICES AMARILLO    </v>
          </cell>
          <cell r="C516">
            <v>0.49863013698630138</v>
          </cell>
          <cell r="D516">
            <v>182</v>
          </cell>
        </row>
        <row r="517">
          <cell r="A517" t="str">
            <v>M91GSA2</v>
          </cell>
          <cell r="B517" t="str">
            <v xml:space="preserve">LACA PARA ESCOBAS             </v>
          </cell>
          <cell r="C517">
            <v>0.49863013698630138</v>
          </cell>
          <cell r="D517">
            <v>182</v>
          </cell>
        </row>
        <row r="518">
          <cell r="A518" t="str">
            <v>M91GSA2-5</v>
          </cell>
          <cell r="B518" t="str">
            <v xml:space="preserve">LACA PARA ESCOBAS VERDE CLARO </v>
          </cell>
          <cell r="C518">
            <v>0.49863013698630138</v>
          </cell>
          <cell r="D518">
            <v>182</v>
          </cell>
        </row>
        <row r="519">
          <cell r="A519" t="str">
            <v>M91LSA1</v>
          </cell>
          <cell r="B519" t="str">
            <v xml:space="preserve">LACA PARA ESCOBAS             </v>
          </cell>
          <cell r="C519">
            <v>0.49863013698630138</v>
          </cell>
          <cell r="D519">
            <v>182</v>
          </cell>
        </row>
        <row r="520">
          <cell r="A520" t="str">
            <v>M91LSA1-1</v>
          </cell>
          <cell r="B520" t="str">
            <v xml:space="preserve">LACA PARA ESCOBAS CELESTE     </v>
          </cell>
          <cell r="C520">
            <v>0.49863013698630138</v>
          </cell>
          <cell r="D520">
            <v>182</v>
          </cell>
        </row>
        <row r="521">
          <cell r="A521" t="str">
            <v>M91LSA1-5</v>
          </cell>
          <cell r="B521" t="str">
            <v xml:space="preserve">LACA PARA ESCOBAS CELESTE     </v>
          </cell>
          <cell r="C521">
            <v>0.49863013698630138</v>
          </cell>
          <cell r="D521">
            <v>182</v>
          </cell>
        </row>
        <row r="522">
          <cell r="A522" t="str">
            <v>M91LSA2</v>
          </cell>
          <cell r="B522" t="str">
            <v xml:space="preserve">LACA PARA ESCOBAS             </v>
          </cell>
          <cell r="C522">
            <v>0.49863013698630138</v>
          </cell>
          <cell r="D522">
            <v>182</v>
          </cell>
        </row>
        <row r="523">
          <cell r="A523" t="str">
            <v>M91LSA2-5</v>
          </cell>
          <cell r="B523" t="str">
            <v>LACA PARA ESCOBAS AZUL INTENSO</v>
          </cell>
          <cell r="C523">
            <v>0.49863013698630138</v>
          </cell>
          <cell r="D523">
            <v>182</v>
          </cell>
        </row>
        <row r="524">
          <cell r="A524" t="str">
            <v>M91RSA1</v>
          </cell>
          <cell r="B524" t="str">
            <v xml:space="preserve">LACA PARA ESCOBAS             </v>
          </cell>
          <cell r="C524">
            <v>0.49863013698630138</v>
          </cell>
          <cell r="D524">
            <v>182</v>
          </cell>
        </row>
        <row r="525">
          <cell r="A525" t="str">
            <v>M91RSA1-5</v>
          </cell>
          <cell r="B525" t="str">
            <v xml:space="preserve">LACA PARA ESCOBAS ROSADO      </v>
          </cell>
          <cell r="C525">
            <v>0.49863013698630138</v>
          </cell>
          <cell r="D525">
            <v>182</v>
          </cell>
        </row>
        <row r="526">
          <cell r="A526" t="str">
            <v>M91TSA2</v>
          </cell>
          <cell r="B526" t="str">
            <v xml:space="preserve">LACA TRANSPARENTE PARA        </v>
          </cell>
          <cell r="C526">
            <v>0.49863013698630138</v>
          </cell>
          <cell r="D526">
            <v>182</v>
          </cell>
        </row>
        <row r="527">
          <cell r="A527" t="str">
            <v>M91TSA2-5</v>
          </cell>
          <cell r="B527" t="str">
            <v xml:space="preserve">LACA TRANSP P/MANGOS DE PALA  </v>
          </cell>
          <cell r="C527">
            <v>0.49863013698630138</v>
          </cell>
          <cell r="D527">
            <v>182</v>
          </cell>
        </row>
        <row r="528">
          <cell r="A528" t="str">
            <v>M91TSA2-50</v>
          </cell>
          <cell r="B528" t="str">
            <v xml:space="preserve">LACA TRANSP P/MANGOS DE PALA  </v>
          </cell>
          <cell r="C528">
            <v>0.49863013698630138</v>
          </cell>
          <cell r="D528">
            <v>182</v>
          </cell>
        </row>
        <row r="529">
          <cell r="A529" t="str">
            <v>MBC49762-1/4</v>
          </cell>
          <cell r="B529" t="str">
            <v xml:space="preserve">LASER RED MIDCOAT             </v>
          </cell>
          <cell r="C529">
            <v>3</v>
          </cell>
          <cell r="D529">
            <v>1095</v>
          </cell>
        </row>
        <row r="530">
          <cell r="A530" t="str">
            <v>MCC49762-1/8</v>
          </cell>
          <cell r="B530" t="str">
            <v xml:space="preserve">MIDCOAT   CLEAR   RED         </v>
          </cell>
          <cell r="C530">
            <v>3</v>
          </cell>
          <cell r="D530">
            <v>1095</v>
          </cell>
        </row>
        <row r="531">
          <cell r="A531" t="str">
            <v>MCC52546-1/8</v>
          </cell>
          <cell r="B531" t="str">
            <v xml:space="preserve">CURRANT RED MIDCOAT CLEAR     </v>
          </cell>
          <cell r="C531">
            <v>3</v>
          </cell>
          <cell r="D531">
            <v>1095</v>
          </cell>
        </row>
        <row r="532">
          <cell r="A532" t="str">
            <v>MT20-1/8</v>
          </cell>
          <cell r="B532" t="str">
            <v xml:space="preserve">MULTI TONES GOLD SILVER       </v>
          </cell>
          <cell r="C532">
            <v>3</v>
          </cell>
          <cell r="D532">
            <v>1095</v>
          </cell>
        </row>
        <row r="533">
          <cell r="A533" t="str">
            <v>MT21-1/8</v>
          </cell>
          <cell r="B533" t="str">
            <v xml:space="preserve">MULTI TONES GREEN/PURPLE      </v>
          </cell>
          <cell r="C533">
            <v>3</v>
          </cell>
          <cell r="D533">
            <v>1095</v>
          </cell>
        </row>
        <row r="534">
          <cell r="A534" t="str">
            <v>MT22-1/8</v>
          </cell>
          <cell r="B534" t="str">
            <v xml:space="preserve">MULTI TONES CYAN/PURPLE       </v>
          </cell>
          <cell r="C534">
            <v>3</v>
          </cell>
          <cell r="D534">
            <v>1095</v>
          </cell>
        </row>
        <row r="535">
          <cell r="A535" t="str">
            <v>MT23-1/8</v>
          </cell>
          <cell r="B535" t="str">
            <v xml:space="preserve">MULTI TONES BLUE/RED          </v>
          </cell>
          <cell r="C535">
            <v>3</v>
          </cell>
          <cell r="D535">
            <v>1095</v>
          </cell>
        </row>
        <row r="536">
          <cell r="A536" t="str">
            <v>MT24-1/8</v>
          </cell>
          <cell r="B536" t="str">
            <v xml:space="preserve">MULTI TONES ORANGE/PURPLE     </v>
          </cell>
          <cell r="C536">
            <v>3</v>
          </cell>
          <cell r="D536">
            <v>1095</v>
          </cell>
        </row>
        <row r="537">
          <cell r="A537" t="str">
            <v>MT25-1/8</v>
          </cell>
          <cell r="B537" t="str">
            <v xml:space="preserve">MULTI TONES MAGENTA/GOLD      </v>
          </cell>
          <cell r="C537">
            <v>3</v>
          </cell>
          <cell r="D537">
            <v>1095</v>
          </cell>
        </row>
        <row r="538">
          <cell r="A538" t="str">
            <v>MT26-1/8</v>
          </cell>
          <cell r="B538" t="str">
            <v xml:space="preserve">MULTI TONES PLATEADO/VERDE    </v>
          </cell>
          <cell r="C538">
            <v>3</v>
          </cell>
          <cell r="D538">
            <v>1095</v>
          </cell>
        </row>
        <row r="539">
          <cell r="A539" t="str">
            <v>MT27-1/8</v>
          </cell>
          <cell r="B539" t="str">
            <v xml:space="preserve">MULTI TONES ROJO/DORADO       </v>
          </cell>
          <cell r="C539">
            <v>3</v>
          </cell>
          <cell r="D539">
            <v>1095</v>
          </cell>
        </row>
        <row r="540">
          <cell r="A540" t="str">
            <v>N77RSA2</v>
          </cell>
          <cell r="B540" t="str">
            <v xml:space="preserve">ANTICORRO ECON ROJO MONOLIT   </v>
          </cell>
          <cell r="C540">
            <v>0.49863013698630138</v>
          </cell>
          <cell r="D540">
            <v>182</v>
          </cell>
        </row>
        <row r="541">
          <cell r="A541" t="str">
            <v>N77RSA2-50</v>
          </cell>
          <cell r="B541" t="str">
            <v xml:space="preserve">ANTICORRO ECON ROJO MONOLIT   </v>
          </cell>
          <cell r="C541">
            <v>0.49863013698630138</v>
          </cell>
          <cell r="D541">
            <v>182</v>
          </cell>
        </row>
        <row r="542">
          <cell r="A542" t="str">
            <v>P1A60-1/4</v>
          </cell>
          <cell r="B542" t="str">
            <v xml:space="preserve">Q  SEAL ACRYLIC  SEALER GRIS  </v>
          </cell>
          <cell r="C542">
            <v>0.49863013698630138</v>
          </cell>
          <cell r="D542">
            <v>182</v>
          </cell>
        </row>
        <row r="543">
          <cell r="A543" t="str">
            <v>P1C62-1/4</v>
          </cell>
          <cell r="B543" t="str">
            <v>Q  SEAL ACRYLIC  SEALER TRANSP</v>
          </cell>
          <cell r="C543">
            <v>0.49863013698630138</v>
          </cell>
          <cell r="D543">
            <v>182</v>
          </cell>
        </row>
        <row r="544">
          <cell r="A544" t="str">
            <v>P2A32</v>
          </cell>
          <cell r="B544" t="str">
            <v xml:space="preserve">OPEX COMBO PRIMER GRIS CLARO  </v>
          </cell>
          <cell r="C544">
            <v>0.49863013698630138</v>
          </cell>
          <cell r="D544">
            <v>182</v>
          </cell>
        </row>
        <row r="545">
          <cell r="A545" t="str">
            <v>P2A32-1</v>
          </cell>
          <cell r="B545" t="str">
            <v xml:space="preserve">OPEX COMBO PRIMER GRIS CLARO  </v>
          </cell>
          <cell r="C545">
            <v>0.49863013698630138</v>
          </cell>
          <cell r="D545">
            <v>182</v>
          </cell>
        </row>
        <row r="546">
          <cell r="A546" t="str">
            <v>P2A32-1.1/4</v>
          </cell>
          <cell r="B546" t="str">
            <v xml:space="preserve">OPEX COMBO PRIMER GRIS CLARO  </v>
          </cell>
          <cell r="C546">
            <v>0.49863013698630138</v>
          </cell>
          <cell r="D546">
            <v>182</v>
          </cell>
        </row>
        <row r="547">
          <cell r="A547" t="str">
            <v>P2A32-1/4</v>
          </cell>
          <cell r="B547" t="str">
            <v xml:space="preserve">OPEX COMBO PRIMER GRIS CLARO  </v>
          </cell>
          <cell r="C547">
            <v>0.49863013698630138</v>
          </cell>
          <cell r="D547">
            <v>182</v>
          </cell>
        </row>
        <row r="548">
          <cell r="A548" t="str">
            <v>P2A32-5</v>
          </cell>
          <cell r="B548" t="str">
            <v xml:space="preserve">OPEX COMBO PRIMER GRIS CLARO  </v>
          </cell>
          <cell r="C548">
            <v>0.49863013698630138</v>
          </cell>
          <cell r="D548">
            <v>182</v>
          </cell>
        </row>
        <row r="549">
          <cell r="A549" t="str">
            <v>P2A34</v>
          </cell>
          <cell r="B549" t="str">
            <v xml:space="preserve">PRIMER AUTOMOTRIZ             </v>
          </cell>
          <cell r="C549">
            <v>0.49863013698630138</v>
          </cell>
          <cell r="D549">
            <v>182</v>
          </cell>
        </row>
        <row r="550">
          <cell r="A550" t="str">
            <v>P2A34-5</v>
          </cell>
          <cell r="B550" t="str">
            <v xml:space="preserve">PRIMER AUTOMOTRIZ GRIS        </v>
          </cell>
          <cell r="C550">
            <v>0.49863013698630138</v>
          </cell>
          <cell r="D550">
            <v>182</v>
          </cell>
        </row>
        <row r="551">
          <cell r="A551" t="str">
            <v>P2A40</v>
          </cell>
          <cell r="B551" t="str">
            <v xml:space="preserve">OPEX COMBO PRIMER GRIS OSCURO </v>
          </cell>
          <cell r="C551">
            <v>0.49863013698630138</v>
          </cell>
          <cell r="D551">
            <v>182</v>
          </cell>
        </row>
        <row r="552">
          <cell r="A552" t="str">
            <v>P2A40-1</v>
          </cell>
          <cell r="B552" t="str">
            <v xml:space="preserve">OPEX COMBO PRIMER GRIS OSCURO </v>
          </cell>
          <cell r="C552">
            <v>0.49863013698630138</v>
          </cell>
          <cell r="D552">
            <v>182</v>
          </cell>
        </row>
        <row r="553">
          <cell r="A553" t="str">
            <v>P2A40-1/4</v>
          </cell>
          <cell r="B553" t="str">
            <v xml:space="preserve">OPEX COMBO PRIMER GRIS OSCURO </v>
          </cell>
          <cell r="C553">
            <v>0.49863013698630138</v>
          </cell>
          <cell r="D553">
            <v>182</v>
          </cell>
        </row>
        <row r="554">
          <cell r="A554" t="str">
            <v>P2A40-5</v>
          </cell>
          <cell r="B554" t="str">
            <v xml:space="preserve">OPEX COMBO PRIMER GRIS OSCURO </v>
          </cell>
          <cell r="C554">
            <v>0.49863013698630138</v>
          </cell>
          <cell r="D554">
            <v>182</v>
          </cell>
        </row>
        <row r="555">
          <cell r="A555" t="str">
            <v>P2A40-50</v>
          </cell>
          <cell r="B555" t="str">
            <v xml:space="preserve">OPEX COMBO PRIMER GRIS OSCURO </v>
          </cell>
          <cell r="C555">
            <v>0.49863013698630138</v>
          </cell>
          <cell r="D555">
            <v>182</v>
          </cell>
        </row>
        <row r="556">
          <cell r="A556" t="str">
            <v>P2A43</v>
          </cell>
          <cell r="B556" t="str">
            <v xml:space="preserve">ULTRA-FILL  PRIMER SURFA GRIS </v>
          </cell>
          <cell r="C556">
            <v>0.49863013698630138</v>
          </cell>
          <cell r="D556">
            <v>182</v>
          </cell>
        </row>
        <row r="557">
          <cell r="A557" t="str">
            <v>P2A43-1</v>
          </cell>
          <cell r="B557" t="str">
            <v xml:space="preserve">ULTRA-FILL  PRIMER SURFA GRIS </v>
          </cell>
          <cell r="C557">
            <v>0.49863013698630138</v>
          </cell>
          <cell r="D557">
            <v>182</v>
          </cell>
        </row>
        <row r="558">
          <cell r="A558" t="str">
            <v>P2A43-1/4</v>
          </cell>
          <cell r="B558" t="str">
            <v xml:space="preserve">ULTRA-FILL  PRIMER SURFA GRIS </v>
          </cell>
          <cell r="C558">
            <v>0.49863013698630138</v>
          </cell>
          <cell r="D558">
            <v>182</v>
          </cell>
        </row>
        <row r="559">
          <cell r="A559" t="str">
            <v>P2N39</v>
          </cell>
          <cell r="B559" t="str">
            <v xml:space="preserve">OPEX COMBO PRIMER ROJO OXIDO  </v>
          </cell>
          <cell r="C559">
            <v>0.49863013698630138</v>
          </cell>
          <cell r="D559">
            <v>182</v>
          </cell>
        </row>
        <row r="560">
          <cell r="A560" t="str">
            <v>P2N39-1</v>
          </cell>
          <cell r="B560" t="str">
            <v xml:space="preserve">OPEX COMBO PRIMER ROJO OXIDO  </v>
          </cell>
          <cell r="C560">
            <v>0.49863013698630138</v>
          </cell>
          <cell r="D560">
            <v>182</v>
          </cell>
        </row>
        <row r="561">
          <cell r="A561" t="str">
            <v>P2N39-1/4</v>
          </cell>
          <cell r="B561" t="str">
            <v xml:space="preserve">OPEX COMBO PRIMER ROJO OXIDO  </v>
          </cell>
          <cell r="C561">
            <v>0.49863013698630138</v>
          </cell>
          <cell r="D561">
            <v>182</v>
          </cell>
        </row>
        <row r="562">
          <cell r="A562" t="str">
            <v>P2R39</v>
          </cell>
          <cell r="B562" t="str">
            <v xml:space="preserve">SUPER COMBO RED               </v>
          </cell>
          <cell r="C562">
            <v>0.49863013698630138</v>
          </cell>
          <cell r="D562">
            <v>182</v>
          </cell>
        </row>
        <row r="563">
          <cell r="A563" t="str">
            <v>P2R39-1</v>
          </cell>
          <cell r="B563" t="str">
            <v xml:space="preserve">SUPER COMBO ROJO              </v>
          </cell>
          <cell r="C563">
            <v>0.49863013698630138</v>
          </cell>
          <cell r="D563">
            <v>182</v>
          </cell>
        </row>
        <row r="564">
          <cell r="A564" t="str">
            <v>P2R39-1/4</v>
          </cell>
          <cell r="B564" t="str">
            <v xml:space="preserve">SUPER COMBO ROJO              </v>
          </cell>
          <cell r="C564">
            <v>0.49863013698630138</v>
          </cell>
          <cell r="D564">
            <v>182</v>
          </cell>
        </row>
        <row r="565">
          <cell r="A565" t="str">
            <v>P2W38</v>
          </cell>
          <cell r="B565" t="str">
            <v xml:space="preserve">OPEX COMBO PRIMER BLANCO      </v>
          </cell>
          <cell r="C565">
            <v>0.49863013698630138</v>
          </cell>
          <cell r="D565">
            <v>182</v>
          </cell>
        </row>
        <row r="566">
          <cell r="A566" t="str">
            <v>P2W38-1</v>
          </cell>
          <cell r="B566" t="str">
            <v xml:space="preserve">OPEX COMBO PRIMER BLANCO      </v>
          </cell>
          <cell r="C566">
            <v>0.49863013698630138</v>
          </cell>
          <cell r="D566">
            <v>182</v>
          </cell>
        </row>
        <row r="567">
          <cell r="A567" t="str">
            <v>P2W38-1/4</v>
          </cell>
          <cell r="B567" t="str">
            <v xml:space="preserve">OPEX COMBO PRIMER BLANCO      </v>
          </cell>
          <cell r="C567">
            <v>0.49863013698630138</v>
          </cell>
          <cell r="D567">
            <v>182</v>
          </cell>
        </row>
        <row r="568">
          <cell r="A568" t="str">
            <v>P2W38-5</v>
          </cell>
          <cell r="B568" t="str">
            <v xml:space="preserve">OPEX COMBO PRIMER BLANCO      </v>
          </cell>
          <cell r="C568">
            <v>0.49863013698630138</v>
          </cell>
          <cell r="D568">
            <v>182</v>
          </cell>
        </row>
        <row r="569">
          <cell r="A569" t="str">
            <v>P2YCR1</v>
          </cell>
          <cell r="B569" t="str">
            <v xml:space="preserve">OPEX COMBO PRIMER AMARILLO    </v>
          </cell>
          <cell r="C569">
            <v>0.49863013698630138</v>
          </cell>
          <cell r="D569">
            <v>182</v>
          </cell>
        </row>
        <row r="570">
          <cell r="A570" t="str">
            <v>P2YCR1-1</v>
          </cell>
          <cell r="B570" t="str">
            <v xml:space="preserve">OPEX COMBO PRIMER AMARILLO    </v>
          </cell>
          <cell r="C570">
            <v>0.49863013698630138</v>
          </cell>
          <cell r="D570">
            <v>182</v>
          </cell>
        </row>
        <row r="571">
          <cell r="A571" t="str">
            <v>P2YCR1-1/4</v>
          </cell>
          <cell r="B571" t="str">
            <v xml:space="preserve">OPEX COMBO PRIMER AMARILLO    </v>
          </cell>
          <cell r="C571">
            <v>0.49863013698630138</v>
          </cell>
          <cell r="D571">
            <v>182</v>
          </cell>
        </row>
        <row r="572">
          <cell r="A572" t="str">
            <v>P2YCR1-SP</v>
          </cell>
          <cell r="B572" t="str">
            <v xml:space="preserve">SUPER COMBO                   </v>
          </cell>
          <cell r="C572">
            <v>0.49863013698630138</v>
          </cell>
          <cell r="D572">
            <v>182</v>
          </cell>
        </row>
        <row r="573">
          <cell r="A573" t="str">
            <v>P2YCR1SP-1/4</v>
          </cell>
          <cell r="B573" t="str">
            <v xml:space="preserve">OPEX COMBO PRIMER AMARILLO    </v>
          </cell>
          <cell r="C573">
            <v>0.49863013698630138</v>
          </cell>
          <cell r="D573">
            <v>182</v>
          </cell>
        </row>
        <row r="574">
          <cell r="A574" t="str">
            <v>P30A-1</v>
          </cell>
          <cell r="B574" t="str">
            <v>ULTRA-FILL II 2K GRAY PRIM SEA</v>
          </cell>
          <cell r="C574">
            <v>3</v>
          </cell>
          <cell r="D574">
            <v>1095</v>
          </cell>
        </row>
        <row r="575">
          <cell r="A575" t="str">
            <v>P30B-1</v>
          </cell>
          <cell r="B575" t="str">
            <v>ULTRA-FILL II 2K GRAY PRIM SEA</v>
          </cell>
          <cell r="C575">
            <v>3</v>
          </cell>
          <cell r="D575">
            <v>1095</v>
          </cell>
        </row>
        <row r="576">
          <cell r="A576" t="str">
            <v>P30G-1</v>
          </cell>
          <cell r="B576" t="str">
            <v>ULTRA-FILL II 2K GRAY PRIM SEA</v>
          </cell>
          <cell r="C576">
            <v>3</v>
          </cell>
          <cell r="D576">
            <v>1095</v>
          </cell>
        </row>
        <row r="577">
          <cell r="A577" t="str">
            <v>P30L-1</v>
          </cell>
          <cell r="B577" t="str">
            <v>ULTRA-FILL II 2K GRAY PRIM SEA</v>
          </cell>
          <cell r="C577">
            <v>3</v>
          </cell>
          <cell r="D577">
            <v>1095</v>
          </cell>
        </row>
        <row r="578">
          <cell r="A578" t="str">
            <v>P30R-1</v>
          </cell>
          <cell r="B578" t="str">
            <v>ULTRA-FILL II 2K GRAY PRIM SEA</v>
          </cell>
          <cell r="C578">
            <v>3</v>
          </cell>
          <cell r="D578">
            <v>1095</v>
          </cell>
        </row>
        <row r="579">
          <cell r="A579" t="str">
            <v>P30W-1</v>
          </cell>
          <cell r="B579" t="str">
            <v>ULTRA-FILL II 2K GRAY PRIM SEA</v>
          </cell>
          <cell r="C579">
            <v>3</v>
          </cell>
          <cell r="D579">
            <v>1095</v>
          </cell>
        </row>
        <row r="580">
          <cell r="A580" t="str">
            <v>P30Y-1</v>
          </cell>
          <cell r="B580" t="str">
            <v>ULTRA-FILL II 2K GRAY PRIM SEA</v>
          </cell>
          <cell r="C580">
            <v>3</v>
          </cell>
          <cell r="D580">
            <v>1095</v>
          </cell>
        </row>
        <row r="581">
          <cell r="A581" t="str">
            <v>P3B21</v>
          </cell>
          <cell r="B581" t="str">
            <v xml:space="preserve">RED CHEK SEALER (MATA - ROJO) </v>
          </cell>
          <cell r="C581">
            <v>0.49863013698630138</v>
          </cell>
          <cell r="D581">
            <v>182</v>
          </cell>
        </row>
        <row r="582">
          <cell r="A582" t="str">
            <v>P3B21-1</v>
          </cell>
          <cell r="B582" t="str">
            <v xml:space="preserve">SELLADOR MATARROJOS           </v>
          </cell>
          <cell r="C582">
            <v>0.49863013698630138</v>
          </cell>
          <cell r="D582">
            <v>182</v>
          </cell>
        </row>
        <row r="583">
          <cell r="A583" t="str">
            <v>P50</v>
          </cell>
          <cell r="B583" t="str">
            <v xml:space="preserve">ULTRA FILL II PRIMER GRIS HS  </v>
          </cell>
          <cell r="C583">
            <v>3</v>
          </cell>
          <cell r="D583">
            <v>1095</v>
          </cell>
        </row>
        <row r="584">
          <cell r="A584" t="str">
            <v>P50-1</v>
          </cell>
          <cell r="B584" t="str">
            <v xml:space="preserve">ULTRA FILL II PRIMER GRIS HS  </v>
          </cell>
          <cell r="C584">
            <v>3</v>
          </cell>
          <cell r="D584">
            <v>1095</v>
          </cell>
        </row>
        <row r="585">
          <cell r="A585" t="str">
            <v>P50-1/4</v>
          </cell>
          <cell r="B585" t="str">
            <v xml:space="preserve">H.S. ULTRA FILL               </v>
          </cell>
          <cell r="C585">
            <v>3</v>
          </cell>
          <cell r="D585">
            <v>1095</v>
          </cell>
        </row>
        <row r="586">
          <cell r="A586" t="str">
            <v>P65ASA1</v>
          </cell>
          <cell r="B586" t="str">
            <v xml:space="preserve">MASILLA ESPECIAL PARA MADERA  </v>
          </cell>
          <cell r="C586">
            <v>0.49863013698630138</v>
          </cell>
          <cell r="D586">
            <v>182</v>
          </cell>
        </row>
        <row r="587">
          <cell r="A587" t="str">
            <v>P65ASA1-1</v>
          </cell>
          <cell r="B587" t="str">
            <v>MASILLA ESPECIAL P/MADERA GRIS</v>
          </cell>
          <cell r="C587">
            <v>0.49863013698630138</v>
          </cell>
          <cell r="D587">
            <v>182</v>
          </cell>
        </row>
        <row r="588">
          <cell r="A588" t="str">
            <v>P65ASA1-1/4</v>
          </cell>
          <cell r="B588" t="str">
            <v>MASILLA ESPECIAL P/MADERA GRIS</v>
          </cell>
          <cell r="C588">
            <v>0.49863013698630138</v>
          </cell>
          <cell r="D588">
            <v>182</v>
          </cell>
        </row>
        <row r="589">
          <cell r="A589" t="str">
            <v>P65BSA3</v>
          </cell>
          <cell r="B589" t="str">
            <v xml:space="preserve">MASILLA ESPECIAL PARA MADERA  </v>
          </cell>
          <cell r="C589">
            <v>0.49863013698630138</v>
          </cell>
          <cell r="D589">
            <v>182</v>
          </cell>
        </row>
        <row r="590">
          <cell r="A590" t="str">
            <v>P65BSA3-1</v>
          </cell>
          <cell r="B590" t="str">
            <v xml:space="preserve">MASILLA ESPECIAL P/MADE NEGRA </v>
          </cell>
          <cell r="C590">
            <v>0.49863013698630138</v>
          </cell>
          <cell r="D590">
            <v>182</v>
          </cell>
        </row>
        <row r="591">
          <cell r="A591" t="str">
            <v>P65BSA3-1/4</v>
          </cell>
          <cell r="B591" t="str">
            <v xml:space="preserve">MASILLA ESPECIAL P/MADE NEGRA </v>
          </cell>
          <cell r="C591">
            <v>0.49863013698630138</v>
          </cell>
          <cell r="D591">
            <v>182</v>
          </cell>
        </row>
        <row r="592">
          <cell r="A592" t="str">
            <v>P65RSA1</v>
          </cell>
          <cell r="B592" t="str">
            <v xml:space="preserve">MASILLA ESPECIAL PARA MADERA  </v>
          </cell>
          <cell r="C592">
            <v>0.49863013698630138</v>
          </cell>
          <cell r="D592">
            <v>182</v>
          </cell>
        </row>
        <row r="593">
          <cell r="A593" t="str">
            <v>P65RSA1-1</v>
          </cell>
          <cell r="B593" t="str">
            <v xml:space="preserve">MASILLA ESPECIAL P/MADE ROJA  </v>
          </cell>
          <cell r="C593">
            <v>0.49863013698630138</v>
          </cell>
          <cell r="D593">
            <v>182</v>
          </cell>
        </row>
        <row r="594">
          <cell r="A594" t="str">
            <v>P65RSA1-1/4</v>
          </cell>
          <cell r="B594" t="str">
            <v xml:space="preserve">MASILLA ESPECIAL P/MADE ROJA  </v>
          </cell>
          <cell r="C594">
            <v>0.49863013698630138</v>
          </cell>
          <cell r="D594">
            <v>182</v>
          </cell>
        </row>
        <row r="595">
          <cell r="A595" t="str">
            <v>P65WSA2</v>
          </cell>
          <cell r="B595" t="str">
            <v xml:space="preserve">MASILLA ESPECIAL BLANCA       </v>
          </cell>
          <cell r="C595">
            <v>0.49863013698630138</v>
          </cell>
          <cell r="D595">
            <v>182</v>
          </cell>
        </row>
        <row r="596">
          <cell r="A596" t="str">
            <v>P65WSA2-1</v>
          </cell>
          <cell r="B596" t="str">
            <v>MASILLA ESPECIAL BLANCA P/MADE</v>
          </cell>
          <cell r="C596">
            <v>0.49863013698630138</v>
          </cell>
          <cell r="D596">
            <v>182</v>
          </cell>
        </row>
        <row r="597">
          <cell r="A597" t="str">
            <v>P65WSA3</v>
          </cell>
          <cell r="B597" t="str">
            <v>TAPAPORO ESPECIAL PARA LAPICES</v>
          </cell>
          <cell r="C597">
            <v>0.49863013698630138</v>
          </cell>
          <cell r="D597">
            <v>182</v>
          </cell>
        </row>
        <row r="598">
          <cell r="A598" t="str">
            <v>P65WSA3-5</v>
          </cell>
          <cell r="B598" t="str">
            <v xml:space="preserve">TAPA PORO ESPECIAL P/LAPICES  </v>
          </cell>
          <cell r="C598">
            <v>0.49863013698630138</v>
          </cell>
          <cell r="D598">
            <v>182</v>
          </cell>
        </row>
        <row r="599">
          <cell r="A599" t="str">
            <v>P6A21-1/4</v>
          </cell>
          <cell r="B599" t="str">
            <v xml:space="preserve">ULTRA-FILL II POLYESTER # 21  </v>
          </cell>
          <cell r="C599">
            <v>0.49863013698630138</v>
          </cell>
          <cell r="D599">
            <v>182</v>
          </cell>
        </row>
        <row r="600">
          <cell r="A600" t="str">
            <v>P6A47</v>
          </cell>
          <cell r="B600" t="str">
            <v xml:space="preserve">ULTRA-FILL  I I TINTABLE PRIM </v>
          </cell>
          <cell r="C600">
            <v>2</v>
          </cell>
          <cell r="D600">
            <v>730</v>
          </cell>
        </row>
        <row r="601">
          <cell r="A601" t="str">
            <v>P6A47-1</v>
          </cell>
          <cell r="B601" t="str">
            <v xml:space="preserve">ULTRA-FILL  I I TINTABLE PRIM </v>
          </cell>
          <cell r="C601">
            <v>2</v>
          </cell>
          <cell r="D601">
            <v>730</v>
          </cell>
        </row>
        <row r="602">
          <cell r="A602" t="str">
            <v>P6A48</v>
          </cell>
          <cell r="B602" t="str">
            <v xml:space="preserve">ULTRA-FILL I I GRAY   PRIMER  </v>
          </cell>
          <cell r="C602">
            <v>2</v>
          </cell>
          <cell r="D602">
            <v>730</v>
          </cell>
        </row>
        <row r="603">
          <cell r="A603" t="str">
            <v>P6A48-1</v>
          </cell>
          <cell r="B603" t="str">
            <v xml:space="preserve">ULTRA-FILL I I GRAY   PRIMER  </v>
          </cell>
          <cell r="C603">
            <v>2</v>
          </cell>
          <cell r="D603">
            <v>730</v>
          </cell>
        </row>
        <row r="604">
          <cell r="A604" t="str">
            <v>P6A48-1/4</v>
          </cell>
          <cell r="B604" t="str">
            <v xml:space="preserve">ULTRA-FILL I I GRAY   PRIMER  </v>
          </cell>
          <cell r="C604">
            <v>2</v>
          </cell>
          <cell r="D604">
            <v>730</v>
          </cell>
        </row>
        <row r="605">
          <cell r="A605" t="str">
            <v>P6H49</v>
          </cell>
          <cell r="B605" t="str">
            <v xml:space="preserve">ULTRA-FILL I I BEIGE   PRIMER </v>
          </cell>
          <cell r="C605">
            <v>2</v>
          </cell>
          <cell r="D605">
            <v>730</v>
          </cell>
        </row>
        <row r="606">
          <cell r="A606" t="str">
            <v>P6H49-1</v>
          </cell>
          <cell r="B606" t="str">
            <v xml:space="preserve">ULTRA-FILL I I BEIGE   PRIMER </v>
          </cell>
          <cell r="C606">
            <v>2</v>
          </cell>
          <cell r="D606">
            <v>730</v>
          </cell>
        </row>
        <row r="607">
          <cell r="A607" t="str">
            <v>PT9-1/16</v>
          </cell>
          <cell r="B607" t="str">
            <v xml:space="preserve">PERLA  BLANCO FINO            </v>
          </cell>
          <cell r="C607">
            <v>2</v>
          </cell>
          <cell r="D607">
            <v>730</v>
          </cell>
        </row>
        <row r="608">
          <cell r="A608" t="str">
            <v>R1K213</v>
          </cell>
          <cell r="B608" t="str">
            <v xml:space="preserve">KRIL-KLEEN                    </v>
          </cell>
          <cell r="C608">
            <v>0.49863013698630138</v>
          </cell>
          <cell r="D608">
            <v>182</v>
          </cell>
        </row>
        <row r="609">
          <cell r="A609" t="str">
            <v>R1K213-1</v>
          </cell>
          <cell r="B609" t="str">
            <v xml:space="preserve">KRIL-KLEEN                    </v>
          </cell>
          <cell r="C609">
            <v>0.49863013698630138</v>
          </cell>
          <cell r="D609">
            <v>182</v>
          </cell>
        </row>
        <row r="610">
          <cell r="A610" t="str">
            <v>R1K3</v>
          </cell>
          <cell r="B610" t="str">
            <v xml:space="preserve">V.M. &amp; P. NAPHTHA .           </v>
          </cell>
          <cell r="C610">
            <v>0.49863013698630138</v>
          </cell>
          <cell r="D610">
            <v>182</v>
          </cell>
        </row>
        <row r="611">
          <cell r="A611" t="str">
            <v>R1K3-1</v>
          </cell>
          <cell r="B611" t="str">
            <v xml:space="preserve">V.M. &amp; P. NAPHTHA .           </v>
          </cell>
          <cell r="C611">
            <v>0.49863013698630138</v>
          </cell>
          <cell r="D611">
            <v>182</v>
          </cell>
        </row>
        <row r="612">
          <cell r="A612" t="str">
            <v>R1K3-BOT</v>
          </cell>
          <cell r="B612" t="str">
            <v xml:space="preserve">V.M. &amp; P. NAPHTHA .           </v>
          </cell>
          <cell r="C612">
            <v>0.49863013698630138</v>
          </cell>
          <cell r="D612">
            <v>182</v>
          </cell>
        </row>
        <row r="613">
          <cell r="A613" t="str">
            <v>R1K4</v>
          </cell>
          <cell r="B613" t="str">
            <v xml:space="preserve">MINERAL SPIRITS .             </v>
          </cell>
          <cell r="C613">
            <v>0.49863013698630138</v>
          </cell>
          <cell r="D613">
            <v>182</v>
          </cell>
        </row>
        <row r="614">
          <cell r="A614" t="str">
            <v>R1K4-1</v>
          </cell>
          <cell r="B614" t="str">
            <v xml:space="preserve">MINERAL SPIRITS .             </v>
          </cell>
          <cell r="C614">
            <v>0.49863013698630138</v>
          </cell>
          <cell r="D614">
            <v>182</v>
          </cell>
        </row>
        <row r="615">
          <cell r="A615" t="str">
            <v>R1K4-54</v>
          </cell>
          <cell r="B615" t="str">
            <v xml:space="preserve">MINERAL SPIRITS .             </v>
          </cell>
          <cell r="C615">
            <v>0.49863013698630138</v>
          </cell>
          <cell r="D615">
            <v>182</v>
          </cell>
        </row>
        <row r="616">
          <cell r="A616" t="str">
            <v>R1K4-BOT</v>
          </cell>
          <cell r="B616" t="str">
            <v xml:space="preserve">MINERAL SPIRITS .             </v>
          </cell>
          <cell r="C616">
            <v>0.49863013698630138</v>
          </cell>
          <cell r="D616">
            <v>182</v>
          </cell>
        </row>
        <row r="617">
          <cell r="A617" t="str">
            <v>R21KSA1</v>
          </cell>
          <cell r="B617" t="str">
            <v xml:space="preserve">PAINT REMOVER .               </v>
          </cell>
          <cell r="C617">
            <v>0.49863013698630138</v>
          </cell>
          <cell r="D617">
            <v>182</v>
          </cell>
        </row>
        <row r="618">
          <cell r="A618" t="str">
            <v>R21KSA1-1</v>
          </cell>
          <cell r="B618" t="str">
            <v xml:space="preserve">PAINT REMOVER                 </v>
          </cell>
          <cell r="C618">
            <v>0.49863013698630138</v>
          </cell>
          <cell r="D618">
            <v>182</v>
          </cell>
        </row>
        <row r="619">
          <cell r="A619" t="str">
            <v>R21KSA1-1/8</v>
          </cell>
          <cell r="B619" t="str">
            <v xml:space="preserve">PAINT REMOVER                 </v>
          </cell>
          <cell r="C619">
            <v>0.49863013698630138</v>
          </cell>
          <cell r="D619">
            <v>182</v>
          </cell>
        </row>
        <row r="620">
          <cell r="A620" t="str">
            <v>R2K4</v>
          </cell>
          <cell r="B620" t="str">
            <v xml:space="preserve">INDUSTRIAL REDUCER .          </v>
          </cell>
          <cell r="C620">
            <v>0.49863013698630138</v>
          </cell>
          <cell r="D620">
            <v>182</v>
          </cell>
        </row>
        <row r="621">
          <cell r="A621" t="str">
            <v>R2K4-1</v>
          </cell>
          <cell r="B621" t="str">
            <v xml:space="preserve">INDUSTRIAL REDUCER .          </v>
          </cell>
          <cell r="C621">
            <v>0.49863013698630138</v>
          </cell>
          <cell r="D621">
            <v>182</v>
          </cell>
        </row>
        <row r="622">
          <cell r="A622" t="str">
            <v>R2K4-54</v>
          </cell>
          <cell r="B622" t="str">
            <v xml:space="preserve">INDUSTRIAL REDUCER .          </v>
          </cell>
          <cell r="C622">
            <v>0.49863013698630138</v>
          </cell>
          <cell r="D622">
            <v>182</v>
          </cell>
        </row>
        <row r="623">
          <cell r="A623" t="str">
            <v>R2K4-BOT</v>
          </cell>
          <cell r="B623" t="str">
            <v xml:space="preserve">INDUSTRIAL REDUCER .          </v>
          </cell>
          <cell r="C623">
            <v>0.49863013698630138</v>
          </cell>
          <cell r="D623">
            <v>182</v>
          </cell>
        </row>
        <row r="624">
          <cell r="A624" t="str">
            <v>R4K183</v>
          </cell>
          <cell r="B624" t="str">
            <v xml:space="preserve">KEM  FLO-GLO REDUCER .        </v>
          </cell>
          <cell r="C624">
            <v>0.49863013698630138</v>
          </cell>
          <cell r="D624">
            <v>182</v>
          </cell>
        </row>
        <row r="625">
          <cell r="A625" t="str">
            <v>R4K183-1</v>
          </cell>
          <cell r="B625" t="str">
            <v xml:space="preserve">KEM  FLO-GLO REDUCER .        </v>
          </cell>
          <cell r="C625">
            <v>0.49863013698630138</v>
          </cell>
          <cell r="D625">
            <v>182</v>
          </cell>
        </row>
        <row r="626">
          <cell r="A626" t="str">
            <v>R4K183-54</v>
          </cell>
          <cell r="B626" t="str">
            <v xml:space="preserve">KEM  FLO-GLO REDUCER .        </v>
          </cell>
          <cell r="C626">
            <v>0.49863013698630138</v>
          </cell>
          <cell r="D626">
            <v>182</v>
          </cell>
        </row>
        <row r="627">
          <cell r="A627" t="str">
            <v>R4K183-BOT</v>
          </cell>
          <cell r="B627" t="str">
            <v xml:space="preserve">KEM  FLO-GLO REDUCER .        </v>
          </cell>
          <cell r="C627">
            <v>0.49863013698630138</v>
          </cell>
          <cell r="D627">
            <v>182</v>
          </cell>
        </row>
        <row r="628">
          <cell r="A628" t="str">
            <v>R6K1</v>
          </cell>
          <cell r="B628" t="str">
            <v xml:space="preserve">SHERWOOD  500  STAIN  REDUCER </v>
          </cell>
          <cell r="C628">
            <v>0.49863013698630138</v>
          </cell>
          <cell r="D628">
            <v>182</v>
          </cell>
        </row>
        <row r="629">
          <cell r="A629" t="str">
            <v>R6K191</v>
          </cell>
          <cell r="B629" t="str">
            <v xml:space="preserve">OPEX LACQUER  FLO .           </v>
          </cell>
          <cell r="C629">
            <v>0.49863013698630138</v>
          </cell>
          <cell r="D629">
            <v>182</v>
          </cell>
        </row>
        <row r="630">
          <cell r="A630" t="str">
            <v>R6K191-1</v>
          </cell>
          <cell r="B630" t="str">
            <v xml:space="preserve">OPEX LACQUER  FLO             </v>
          </cell>
          <cell r="C630">
            <v>0.49863013698630138</v>
          </cell>
          <cell r="D630">
            <v>182</v>
          </cell>
        </row>
        <row r="631">
          <cell r="A631" t="str">
            <v>R6K1-BOT</v>
          </cell>
          <cell r="B631" t="str">
            <v xml:space="preserve">SHERWOOD  500  STAIN  REDUCER </v>
          </cell>
          <cell r="C631">
            <v>0.49863013698630138</v>
          </cell>
          <cell r="D631">
            <v>182</v>
          </cell>
        </row>
        <row r="632">
          <cell r="A632" t="str">
            <v>R6KSA8</v>
          </cell>
          <cell r="B632" t="str">
            <v xml:space="preserve">THINNER ESPECIAL              </v>
          </cell>
          <cell r="C632">
            <v>0.49863013698630138</v>
          </cell>
          <cell r="D632">
            <v>182</v>
          </cell>
        </row>
        <row r="633">
          <cell r="A633" t="str">
            <v>R6KSA8-54</v>
          </cell>
          <cell r="B633" t="str">
            <v xml:space="preserve">THINNER ESPECIAL              </v>
          </cell>
          <cell r="C633">
            <v>0.49863013698630138</v>
          </cell>
          <cell r="D633">
            <v>182</v>
          </cell>
        </row>
        <row r="634">
          <cell r="A634" t="str">
            <v>R7K128</v>
          </cell>
          <cell r="B634" t="str">
            <v xml:space="preserve">OPEX LACQUER THINNER 128 .    </v>
          </cell>
          <cell r="C634">
            <v>0.49863013698630138</v>
          </cell>
          <cell r="D634">
            <v>182</v>
          </cell>
        </row>
        <row r="635">
          <cell r="A635" t="str">
            <v>R7K128-1</v>
          </cell>
          <cell r="B635" t="str">
            <v xml:space="preserve">OPEX LACQUER THINNER 128      </v>
          </cell>
          <cell r="C635">
            <v>0.49863013698630138</v>
          </cell>
          <cell r="D635">
            <v>182</v>
          </cell>
        </row>
        <row r="636">
          <cell r="A636" t="str">
            <v>R7K128-54</v>
          </cell>
          <cell r="B636" t="str">
            <v xml:space="preserve">OPEX LACQUER THINNER 128      </v>
          </cell>
          <cell r="C636">
            <v>0.49863013698630138</v>
          </cell>
          <cell r="D636">
            <v>182</v>
          </cell>
        </row>
        <row r="637">
          <cell r="A637" t="str">
            <v>R7K128-BOT</v>
          </cell>
          <cell r="B637" t="str">
            <v xml:space="preserve">OPEX LACQUER THINNER 128      </v>
          </cell>
          <cell r="C637">
            <v>0.49863013698630138</v>
          </cell>
          <cell r="D637">
            <v>182</v>
          </cell>
        </row>
        <row r="638">
          <cell r="A638" t="str">
            <v>R7K15</v>
          </cell>
          <cell r="B638" t="str">
            <v xml:space="preserve">SOLVENTE SC-15 (COROTHANE)    </v>
          </cell>
          <cell r="C638">
            <v>0.49863013698630138</v>
          </cell>
          <cell r="D638">
            <v>182</v>
          </cell>
        </row>
        <row r="639">
          <cell r="A639" t="str">
            <v>R7K15-1</v>
          </cell>
          <cell r="B639" t="str">
            <v xml:space="preserve">SOLVENTE SC-15 (COROTHANE)    </v>
          </cell>
          <cell r="C639">
            <v>0.49863013698630138</v>
          </cell>
          <cell r="D639">
            <v>182</v>
          </cell>
        </row>
        <row r="640">
          <cell r="A640" t="str">
            <v>R7K156</v>
          </cell>
          <cell r="B640" t="str">
            <v xml:space="preserve">SHER-WILL CLEAN .             </v>
          </cell>
          <cell r="C640">
            <v>0.49863013698630138</v>
          </cell>
          <cell r="D640">
            <v>182</v>
          </cell>
        </row>
        <row r="641">
          <cell r="A641" t="str">
            <v>R7K156-1</v>
          </cell>
          <cell r="B641" t="str">
            <v xml:space="preserve">SHER-WILL CLEAN               </v>
          </cell>
          <cell r="C641">
            <v>0.49863013698630138</v>
          </cell>
          <cell r="D641">
            <v>182</v>
          </cell>
        </row>
        <row r="642">
          <cell r="A642" t="str">
            <v>R7K158</v>
          </cell>
          <cell r="B642" t="str">
            <v xml:space="preserve">ULTRA-CLEAN   FAST  SURFACER  </v>
          </cell>
          <cell r="C642">
            <v>0.49863013698630138</v>
          </cell>
          <cell r="D642">
            <v>182</v>
          </cell>
        </row>
        <row r="643">
          <cell r="A643" t="str">
            <v>R7K158-1</v>
          </cell>
          <cell r="B643" t="str">
            <v xml:space="preserve">ULTRA-CLEAN   FAST  SURFACER  </v>
          </cell>
          <cell r="C643">
            <v>0.49863013698630138</v>
          </cell>
          <cell r="D643">
            <v>182</v>
          </cell>
        </row>
        <row r="644">
          <cell r="A644" t="str">
            <v>R7K193</v>
          </cell>
          <cell r="B644" t="str">
            <v xml:space="preserve">OPEX RETARDER  THINNER 11 .   </v>
          </cell>
          <cell r="C644">
            <v>0.49863013698630138</v>
          </cell>
          <cell r="D644">
            <v>182</v>
          </cell>
        </row>
        <row r="645">
          <cell r="A645" t="str">
            <v>R7K193-1</v>
          </cell>
          <cell r="B645" t="str">
            <v xml:space="preserve">OPEX RETARDER  THINNER 11     </v>
          </cell>
          <cell r="C645">
            <v>0.49863013698630138</v>
          </cell>
          <cell r="D645">
            <v>182</v>
          </cell>
        </row>
        <row r="646">
          <cell r="A646" t="str">
            <v>R7K193-54</v>
          </cell>
          <cell r="B646" t="str">
            <v xml:space="preserve">OPEX RETARDER THINER 11       </v>
          </cell>
          <cell r="C646">
            <v>0.49863013698630138</v>
          </cell>
          <cell r="D646">
            <v>182</v>
          </cell>
        </row>
        <row r="647">
          <cell r="A647" t="str">
            <v>R7K203</v>
          </cell>
          <cell r="B647" t="str">
            <v>OPEX "DUAL" LAC THINN.  ACRIL.</v>
          </cell>
          <cell r="C647">
            <v>0.49863013698630138</v>
          </cell>
          <cell r="D647">
            <v>182</v>
          </cell>
        </row>
        <row r="648">
          <cell r="A648" t="str">
            <v>R7K203-1</v>
          </cell>
          <cell r="B648" t="str">
            <v xml:space="preserve">OPEX DUAL LAC THINNER  ACRILI </v>
          </cell>
          <cell r="C648">
            <v>0.49863013698630138</v>
          </cell>
          <cell r="D648">
            <v>182</v>
          </cell>
        </row>
        <row r="649">
          <cell r="A649" t="str">
            <v>R7K203-54</v>
          </cell>
          <cell r="B649" t="str">
            <v xml:space="preserve">OPEX DUAL LAC THINNER  ACRILI </v>
          </cell>
          <cell r="C649">
            <v>0.49863013698630138</v>
          </cell>
          <cell r="D649">
            <v>182</v>
          </cell>
        </row>
        <row r="650">
          <cell r="A650" t="str">
            <v>R7K203-BOT</v>
          </cell>
          <cell r="B650" t="str">
            <v xml:space="preserve">OPEX DUAL LAC THINNER  ACRILI </v>
          </cell>
          <cell r="C650">
            <v>0.49863013698630138</v>
          </cell>
          <cell r="D650">
            <v>182</v>
          </cell>
        </row>
        <row r="651">
          <cell r="A651" t="str">
            <v>R7K206</v>
          </cell>
          <cell r="B651" t="str">
            <v xml:space="preserve">OPEX  DUAL " 206 "  RETARDER  </v>
          </cell>
          <cell r="C651">
            <v>0.49863013698630138</v>
          </cell>
          <cell r="D651">
            <v>182</v>
          </cell>
        </row>
        <row r="652">
          <cell r="A652" t="str">
            <v>R7K206-1</v>
          </cell>
          <cell r="B652" t="str">
            <v xml:space="preserve">OPEX  DUAL  206   RETARDER    </v>
          </cell>
          <cell r="C652">
            <v>0.49863013698630138</v>
          </cell>
          <cell r="D652">
            <v>182</v>
          </cell>
        </row>
        <row r="653">
          <cell r="A653" t="str">
            <v>R7K242</v>
          </cell>
          <cell r="B653" t="str">
            <v xml:space="preserve">WASH PRIMER CATALYST REDUCER  </v>
          </cell>
          <cell r="C653">
            <v>0.49863013698630138</v>
          </cell>
          <cell r="D653">
            <v>182</v>
          </cell>
        </row>
        <row r="654">
          <cell r="A654" t="str">
            <v>R7K242-1</v>
          </cell>
          <cell r="B654" t="str">
            <v xml:space="preserve">WASH PRIMER CATALYST REDUCER  </v>
          </cell>
          <cell r="C654">
            <v>0.49863013698630138</v>
          </cell>
          <cell r="D654">
            <v>182</v>
          </cell>
        </row>
        <row r="655">
          <cell r="A655" t="str">
            <v>R7K54</v>
          </cell>
          <cell r="B655" t="str">
            <v xml:space="preserve">EPOXY REDUCER # 54 .          </v>
          </cell>
          <cell r="C655">
            <v>0.49863013698630138</v>
          </cell>
          <cell r="D655">
            <v>182</v>
          </cell>
        </row>
        <row r="656">
          <cell r="A656" t="str">
            <v>R7K54-1</v>
          </cell>
          <cell r="B656" t="str">
            <v xml:space="preserve">EPOXY REDUCER # 54            </v>
          </cell>
          <cell r="C656">
            <v>0.49863013698630138</v>
          </cell>
          <cell r="D656">
            <v>182</v>
          </cell>
        </row>
        <row r="657">
          <cell r="A657" t="str">
            <v>R7K54-54</v>
          </cell>
          <cell r="B657" t="str">
            <v xml:space="preserve">EPOXY REDUCER # 54            </v>
          </cell>
          <cell r="C657">
            <v>0.49863013698630138</v>
          </cell>
          <cell r="D657">
            <v>182</v>
          </cell>
        </row>
        <row r="658">
          <cell r="A658" t="str">
            <v>R7K6252-1</v>
          </cell>
          <cell r="B658" t="str">
            <v xml:space="preserve">RETARDADOR UNIVERSAL          </v>
          </cell>
          <cell r="C658">
            <v>0.49863013698630138</v>
          </cell>
          <cell r="D658">
            <v>182</v>
          </cell>
        </row>
        <row r="659">
          <cell r="A659" t="str">
            <v>R7K981</v>
          </cell>
          <cell r="B659" t="str">
            <v xml:space="preserve">G.B.P.  ETCHING   ACTIVADOR   </v>
          </cell>
          <cell r="C659">
            <v>0.49863013698630138</v>
          </cell>
          <cell r="D659">
            <v>182</v>
          </cell>
        </row>
        <row r="660">
          <cell r="A660" t="str">
            <v>R7K981-1</v>
          </cell>
          <cell r="B660" t="str">
            <v xml:space="preserve">G.B.P.  ETCHING   ACTIVADOR   </v>
          </cell>
          <cell r="C660">
            <v>0.49863013698630138</v>
          </cell>
          <cell r="D660">
            <v>182</v>
          </cell>
        </row>
        <row r="661">
          <cell r="A661" t="str">
            <v>R7KSA12</v>
          </cell>
          <cell r="B661" t="str">
            <v xml:space="preserve">THINNER ESPECIAL              </v>
          </cell>
          <cell r="C661">
            <v>0.49863013698630138</v>
          </cell>
          <cell r="D661">
            <v>182</v>
          </cell>
        </row>
        <row r="662">
          <cell r="A662" t="str">
            <v>R7KSA12-54</v>
          </cell>
          <cell r="B662" t="str">
            <v xml:space="preserve">THINNER ESPECIAL              </v>
          </cell>
          <cell r="C662">
            <v>0.49863013698630138</v>
          </cell>
          <cell r="D662">
            <v>182</v>
          </cell>
        </row>
        <row r="663">
          <cell r="A663" t="str">
            <v>R8KSA1</v>
          </cell>
          <cell r="B663" t="str">
            <v>REDUCTOR UNIVERSAL POLYURETANO</v>
          </cell>
          <cell r="C663">
            <v>0.49863013698630138</v>
          </cell>
          <cell r="D663">
            <v>182</v>
          </cell>
        </row>
        <row r="664">
          <cell r="A664" t="str">
            <v>R8KSA1-1</v>
          </cell>
          <cell r="B664" t="str">
            <v>REDUCTOR UNIVERSAL POLYURETANO</v>
          </cell>
          <cell r="C664">
            <v>0.49863013698630138</v>
          </cell>
          <cell r="D664">
            <v>182</v>
          </cell>
        </row>
        <row r="665">
          <cell r="A665" t="str">
            <v>R8KSA2</v>
          </cell>
          <cell r="B665" t="str">
            <v xml:space="preserve">REDUCTOR CALIDO POLYURETANO   </v>
          </cell>
          <cell r="C665">
            <v>0.49863013698630138</v>
          </cell>
          <cell r="D665">
            <v>182</v>
          </cell>
        </row>
        <row r="666">
          <cell r="A666" t="str">
            <v>R8KSA2-1</v>
          </cell>
          <cell r="B666" t="str">
            <v xml:space="preserve">REDUCTOR CALIDO POLYURETANO   </v>
          </cell>
          <cell r="C666">
            <v>0.49863013698630138</v>
          </cell>
          <cell r="D666">
            <v>182</v>
          </cell>
        </row>
        <row r="667">
          <cell r="A667" t="str">
            <v>S39-1</v>
          </cell>
          <cell r="B667" t="str">
            <v xml:space="preserve">2K SEALER CONVERTER P30       </v>
          </cell>
          <cell r="C667">
            <v>3</v>
          </cell>
          <cell r="D667">
            <v>1095</v>
          </cell>
        </row>
        <row r="668">
          <cell r="A668" t="str">
            <v>S61-1/4</v>
          </cell>
          <cell r="B668" t="str">
            <v>ULTRA FILL II  SEALER / PROMOT</v>
          </cell>
          <cell r="C668">
            <v>2</v>
          </cell>
          <cell r="D668">
            <v>730</v>
          </cell>
        </row>
        <row r="669">
          <cell r="A669" t="str">
            <v>S63-1/4</v>
          </cell>
          <cell r="B669" t="str">
            <v xml:space="preserve">TRANSPARENT COLOR BLEND 1K    </v>
          </cell>
          <cell r="C669">
            <v>2</v>
          </cell>
          <cell r="D669">
            <v>730</v>
          </cell>
        </row>
        <row r="670">
          <cell r="A670" t="str">
            <v>S65-1</v>
          </cell>
          <cell r="B670" t="str">
            <v xml:space="preserve">PROMOTOR DE ADHERENCIA 2K     </v>
          </cell>
          <cell r="C670">
            <v>2</v>
          </cell>
          <cell r="D670">
            <v>730</v>
          </cell>
        </row>
        <row r="671">
          <cell r="A671" t="str">
            <v>S65-1/4</v>
          </cell>
          <cell r="B671" t="str">
            <v xml:space="preserve">PROMOTOR DE ADHERENCIA 2K     </v>
          </cell>
          <cell r="C671">
            <v>2</v>
          </cell>
          <cell r="D671">
            <v>730</v>
          </cell>
        </row>
        <row r="672">
          <cell r="A672" t="str">
            <v>SC155-1/4</v>
          </cell>
          <cell r="B672" t="str">
            <v>LOW VOC PLASTIC SURFACE CLEANE</v>
          </cell>
          <cell r="C672">
            <v>2</v>
          </cell>
          <cell r="D672">
            <v>730</v>
          </cell>
        </row>
        <row r="673">
          <cell r="A673" t="str">
            <v>SC159-1</v>
          </cell>
          <cell r="B673" t="str">
            <v>PLASTIC SURF CLEANER ANTI-STAT</v>
          </cell>
          <cell r="C673">
            <v>1</v>
          </cell>
          <cell r="D673">
            <v>365</v>
          </cell>
        </row>
        <row r="674">
          <cell r="A674" t="str">
            <v>T1C187</v>
          </cell>
          <cell r="B674" t="str">
            <v xml:space="preserve">OPEX MIXING LACQUER CLEAR .   </v>
          </cell>
          <cell r="C674">
            <v>0.49863013698630138</v>
          </cell>
          <cell r="D674">
            <v>182</v>
          </cell>
        </row>
        <row r="675">
          <cell r="A675" t="str">
            <v>T1C187-1</v>
          </cell>
          <cell r="B675" t="str">
            <v xml:space="preserve">OPEX MIXING LACQUER CLEAR     </v>
          </cell>
          <cell r="C675">
            <v>0.49863013698630138</v>
          </cell>
          <cell r="D675">
            <v>182</v>
          </cell>
        </row>
        <row r="676">
          <cell r="A676" t="str">
            <v>T1C187-1.1/4</v>
          </cell>
          <cell r="B676" t="str">
            <v xml:space="preserve">OPEX MIXING LACQUER CLEAR     </v>
          </cell>
          <cell r="C676">
            <v>0.49863013698630138</v>
          </cell>
          <cell r="D676">
            <v>182</v>
          </cell>
        </row>
        <row r="677">
          <cell r="A677" t="str">
            <v>T1C276</v>
          </cell>
          <cell r="B677" t="str">
            <v>ACRYLIC LAC URETHANE CLEARCOAT</v>
          </cell>
          <cell r="C677">
            <v>0.49863013698630138</v>
          </cell>
          <cell r="D677">
            <v>182</v>
          </cell>
        </row>
        <row r="678">
          <cell r="A678" t="str">
            <v>T1C276-1</v>
          </cell>
          <cell r="B678" t="str">
            <v>ACRYLIC LAC URETHANE CLEARCOAT</v>
          </cell>
          <cell r="C678">
            <v>0.49863013698630138</v>
          </cell>
          <cell r="D678">
            <v>182</v>
          </cell>
        </row>
        <row r="679">
          <cell r="A679" t="str">
            <v>T1C282</v>
          </cell>
          <cell r="B679" t="str">
            <v>POLYURET TRANSP PARA ACRILIC0S</v>
          </cell>
          <cell r="C679">
            <v>0.49863013698630138</v>
          </cell>
          <cell r="D679">
            <v>182</v>
          </cell>
        </row>
        <row r="680">
          <cell r="A680" t="str">
            <v>T1C282-1</v>
          </cell>
          <cell r="B680" t="str">
            <v>POLYURET TRANSP PARA ACRILIC0S</v>
          </cell>
          <cell r="C680">
            <v>0.49863013698630138</v>
          </cell>
          <cell r="D680">
            <v>182</v>
          </cell>
        </row>
        <row r="681">
          <cell r="A681" t="str">
            <v>T1C285</v>
          </cell>
          <cell r="B681" t="str">
            <v xml:space="preserve">ACRYLIC LACQUER CLEARCOAT     </v>
          </cell>
          <cell r="C681">
            <v>0.49863013698630138</v>
          </cell>
          <cell r="D681">
            <v>182</v>
          </cell>
        </row>
        <row r="682">
          <cell r="A682" t="str">
            <v>T1C285-1</v>
          </cell>
          <cell r="B682" t="str">
            <v xml:space="preserve">ACRYLIC LACQUER CLEARCOAT     </v>
          </cell>
          <cell r="C682">
            <v>0.49863013698630138</v>
          </cell>
          <cell r="D682">
            <v>182</v>
          </cell>
        </row>
        <row r="683">
          <cell r="A683" t="str">
            <v>T1C285-1.1/4</v>
          </cell>
          <cell r="B683" t="str">
            <v xml:space="preserve">ACRYLIC LACQUER CLEARCOAT     </v>
          </cell>
          <cell r="C683">
            <v>0.49863013698630138</v>
          </cell>
          <cell r="D683">
            <v>182</v>
          </cell>
        </row>
        <row r="684">
          <cell r="A684" t="str">
            <v>T1C285-1/4</v>
          </cell>
          <cell r="B684" t="str">
            <v xml:space="preserve">ACRYLIC LACQUER CLEARCOAT     </v>
          </cell>
          <cell r="C684">
            <v>0.49863013698630138</v>
          </cell>
          <cell r="D684">
            <v>182</v>
          </cell>
        </row>
        <row r="685">
          <cell r="A685" t="str">
            <v>T1C323</v>
          </cell>
          <cell r="B685" t="str">
            <v>ACRYLIC MIX LAC U.V.  BLOCKOUT</v>
          </cell>
          <cell r="C685">
            <v>0.49863013698630138</v>
          </cell>
          <cell r="D685">
            <v>182</v>
          </cell>
        </row>
        <row r="686">
          <cell r="A686" t="str">
            <v>T1C323-1</v>
          </cell>
          <cell r="B686" t="str">
            <v>ACRYLIC MIX LAC U.V.  BLOCKOUT</v>
          </cell>
          <cell r="C686">
            <v>0.49863013698630138</v>
          </cell>
          <cell r="D686">
            <v>182</v>
          </cell>
        </row>
        <row r="687">
          <cell r="A687" t="str">
            <v>T1C323-1.1/4</v>
          </cell>
          <cell r="B687" t="str">
            <v>ACRYLIC MIX LAC U.V.  BLOCKOUT</v>
          </cell>
          <cell r="C687">
            <v>0.49863013698630138</v>
          </cell>
          <cell r="D687">
            <v>182</v>
          </cell>
        </row>
        <row r="688">
          <cell r="A688" t="str">
            <v>T1CSA285</v>
          </cell>
          <cell r="B688" t="str">
            <v xml:space="preserve">ACRYLIC LAC CLEARCOAT H.S.    </v>
          </cell>
          <cell r="C688">
            <v>0.49863013698630138</v>
          </cell>
          <cell r="D688">
            <v>182</v>
          </cell>
        </row>
        <row r="689">
          <cell r="A689" t="str">
            <v>T1CSA285-1</v>
          </cell>
          <cell r="B689" t="str">
            <v xml:space="preserve">ACRYLIC LAC CLEARCOAT H.S.    </v>
          </cell>
          <cell r="C689">
            <v>0.49863013698630138</v>
          </cell>
          <cell r="D689">
            <v>182</v>
          </cell>
        </row>
        <row r="690">
          <cell r="A690" t="str">
            <v>T1CSA3</v>
          </cell>
          <cell r="B690" t="str">
            <v xml:space="preserve">CLEAR MADYMET                 </v>
          </cell>
          <cell r="C690">
            <v>0.49863013698630138</v>
          </cell>
          <cell r="D690">
            <v>182</v>
          </cell>
        </row>
        <row r="691">
          <cell r="A691" t="str">
            <v>T1CSA3-5</v>
          </cell>
          <cell r="B691" t="str">
            <v xml:space="preserve">CLEAR MADYMET                 </v>
          </cell>
          <cell r="C691">
            <v>0.49863013698630138</v>
          </cell>
          <cell r="D691">
            <v>182</v>
          </cell>
        </row>
        <row r="692">
          <cell r="A692" t="str">
            <v>T1F270</v>
          </cell>
          <cell r="B692" t="str">
            <v xml:space="preserve">UNIVERSAL FLATTING  COMPOUND  </v>
          </cell>
          <cell r="C692">
            <v>0.49863013698630138</v>
          </cell>
          <cell r="D692">
            <v>182</v>
          </cell>
        </row>
        <row r="693">
          <cell r="A693" t="str">
            <v>T1F270-1</v>
          </cell>
          <cell r="B693" t="str">
            <v xml:space="preserve">UNIVERSAL FLATTING  COMPOUND  </v>
          </cell>
          <cell r="C693">
            <v>0.49863013698630138</v>
          </cell>
          <cell r="D693">
            <v>182</v>
          </cell>
        </row>
        <row r="694">
          <cell r="A694" t="str">
            <v>T1F271</v>
          </cell>
          <cell r="B694" t="str">
            <v xml:space="preserve">EXTERIOR   FLATTENING BASE    </v>
          </cell>
          <cell r="C694">
            <v>0.49863013698630138</v>
          </cell>
          <cell r="D694">
            <v>182</v>
          </cell>
        </row>
        <row r="695">
          <cell r="A695" t="str">
            <v>T1F271-1</v>
          </cell>
          <cell r="B695" t="str">
            <v xml:space="preserve">EXTERIOR   FLATTENING BASE    </v>
          </cell>
          <cell r="C695">
            <v>0.49863013698630138</v>
          </cell>
          <cell r="D695">
            <v>182</v>
          </cell>
        </row>
        <row r="696">
          <cell r="A696" t="str">
            <v>T1F271-1/4</v>
          </cell>
          <cell r="B696" t="str">
            <v xml:space="preserve">EXTERIOR   FLATTENING BASE    </v>
          </cell>
          <cell r="C696">
            <v>0.49863013698630138</v>
          </cell>
          <cell r="D696">
            <v>182</v>
          </cell>
        </row>
        <row r="697">
          <cell r="A697" t="str">
            <v>T60FSA18-50</v>
          </cell>
          <cell r="B697" t="str">
            <v xml:space="preserve">SELLAD. SUPER CONCENTR. AMBAR </v>
          </cell>
          <cell r="C697">
            <v>0.49863013698630138</v>
          </cell>
          <cell r="D697">
            <v>182</v>
          </cell>
        </row>
        <row r="698">
          <cell r="A698" t="str">
            <v>T60FSA21</v>
          </cell>
          <cell r="B698" t="str">
            <v xml:space="preserve">SELLADOR P/MADERA LEGENDARIO  </v>
          </cell>
          <cell r="C698">
            <v>0.49863013698630138</v>
          </cell>
          <cell r="D698">
            <v>182</v>
          </cell>
        </row>
        <row r="699">
          <cell r="A699" t="str">
            <v>T60FSA21-5</v>
          </cell>
          <cell r="B699" t="str">
            <v xml:space="preserve">SELLADOR P/MADERA LEGENDARIO  </v>
          </cell>
          <cell r="C699">
            <v>0.49863013698630138</v>
          </cell>
          <cell r="D699">
            <v>182</v>
          </cell>
        </row>
        <row r="700">
          <cell r="A700" t="str">
            <v>T60FSA22</v>
          </cell>
          <cell r="B700" t="str">
            <v xml:space="preserve">NUEVO SELLADOR INDUSTRIAL     </v>
          </cell>
          <cell r="C700">
            <v>0.49863013698630138</v>
          </cell>
          <cell r="D700">
            <v>182</v>
          </cell>
        </row>
        <row r="701">
          <cell r="A701" t="str">
            <v>T60FSA22-1</v>
          </cell>
          <cell r="B701" t="str">
            <v xml:space="preserve">NUEVO SELLADOR IND BLANCO     </v>
          </cell>
          <cell r="C701">
            <v>0.49863013698630138</v>
          </cell>
          <cell r="D701">
            <v>182</v>
          </cell>
        </row>
        <row r="702">
          <cell r="A702" t="str">
            <v>T60FSA22-1/4</v>
          </cell>
          <cell r="B702" t="str">
            <v xml:space="preserve">NUEVO SELLADOR IND BLANCO     </v>
          </cell>
          <cell r="C702">
            <v>0.49863013698630138</v>
          </cell>
          <cell r="D702">
            <v>182</v>
          </cell>
        </row>
        <row r="703">
          <cell r="A703" t="str">
            <v>T60FSA22-5</v>
          </cell>
          <cell r="B703" t="str">
            <v xml:space="preserve">NUEVO SELLADOR IND BLANCO     </v>
          </cell>
          <cell r="C703">
            <v>0.49863013698630138</v>
          </cell>
          <cell r="D703">
            <v>182</v>
          </cell>
        </row>
        <row r="704">
          <cell r="A704" t="str">
            <v>T65FSA1</v>
          </cell>
          <cell r="B704" t="str">
            <v>SELLADOR INDUST P/MAD BASE AGU</v>
          </cell>
          <cell r="C704">
            <v>0.49863013698630138</v>
          </cell>
          <cell r="D704">
            <v>182</v>
          </cell>
        </row>
        <row r="705">
          <cell r="A705" t="str">
            <v>T65FSA1-1</v>
          </cell>
          <cell r="B705" t="str">
            <v xml:space="preserve">SELLADOR IND P/MAD BASE AGUA  </v>
          </cell>
          <cell r="C705">
            <v>0.49863013698630138</v>
          </cell>
          <cell r="D705">
            <v>182</v>
          </cell>
        </row>
        <row r="706">
          <cell r="A706" t="str">
            <v>T70C50</v>
          </cell>
          <cell r="B706" t="str">
            <v>H.B WOOD FIN. LAC. # 45 BRILL.</v>
          </cell>
          <cell r="C706">
            <v>0.49863013698630138</v>
          </cell>
          <cell r="D706">
            <v>182</v>
          </cell>
        </row>
        <row r="707">
          <cell r="A707" t="str">
            <v>T70C50-1</v>
          </cell>
          <cell r="B707" t="str">
            <v>H.B WOOD FIN. LAC. # 45 BRILL.</v>
          </cell>
          <cell r="C707">
            <v>0.49863013698630138</v>
          </cell>
          <cell r="D707">
            <v>182</v>
          </cell>
        </row>
        <row r="708">
          <cell r="A708" t="str">
            <v>T70C50-1/4</v>
          </cell>
          <cell r="B708" t="str">
            <v>H.B WOOD FIN. LAC. # 45 BRILL.</v>
          </cell>
          <cell r="C708">
            <v>0.49863013698630138</v>
          </cell>
          <cell r="D708">
            <v>182</v>
          </cell>
        </row>
        <row r="709">
          <cell r="A709" t="str">
            <v>T70C50-5</v>
          </cell>
          <cell r="B709" t="str">
            <v>H.B WOOD FIN. LAC. # 45 BRILL.</v>
          </cell>
          <cell r="C709">
            <v>0.49863013698630138</v>
          </cell>
          <cell r="D709">
            <v>182</v>
          </cell>
        </row>
        <row r="710">
          <cell r="A710" t="str">
            <v>T70C50-50</v>
          </cell>
          <cell r="B710" t="str">
            <v xml:space="preserve">H. B. WOOD FINISHING LAC # 45 </v>
          </cell>
          <cell r="C710">
            <v>0.49863013698630138</v>
          </cell>
          <cell r="D710">
            <v>182</v>
          </cell>
        </row>
        <row r="711">
          <cell r="A711" t="str">
            <v>T70CSA13</v>
          </cell>
          <cell r="B711" t="str">
            <v xml:space="preserve">LACA BRILLANTE EXTRAVISCOSA   </v>
          </cell>
          <cell r="C711">
            <v>0.49863013698630138</v>
          </cell>
          <cell r="D711">
            <v>182</v>
          </cell>
        </row>
        <row r="712">
          <cell r="A712" t="str">
            <v>T70CSA13-1</v>
          </cell>
          <cell r="B712" t="str">
            <v xml:space="preserve">LACA BRILLANTE EXTRAVISCOSA   </v>
          </cell>
          <cell r="C712">
            <v>0.49863013698630138</v>
          </cell>
          <cell r="D712">
            <v>182</v>
          </cell>
        </row>
        <row r="713">
          <cell r="A713" t="str">
            <v>T70CSA13-1/4</v>
          </cell>
          <cell r="B713" t="str">
            <v xml:space="preserve">LACA BRILLANTE EXTRAVISCOSA   </v>
          </cell>
          <cell r="C713">
            <v>0.49863013698630138</v>
          </cell>
          <cell r="D713">
            <v>182</v>
          </cell>
        </row>
        <row r="714">
          <cell r="A714" t="str">
            <v>T70CSA13-50</v>
          </cell>
          <cell r="B714" t="str">
            <v xml:space="preserve">LACA BRILLANTE EXTRAVISCOSA   </v>
          </cell>
          <cell r="C714">
            <v>0.49863013698630138</v>
          </cell>
          <cell r="D714">
            <v>182</v>
          </cell>
        </row>
        <row r="715">
          <cell r="A715" t="str">
            <v>T70CSA20</v>
          </cell>
          <cell r="B715" t="str">
            <v xml:space="preserve">LACA ACRYLICA TRANSPARENTE    </v>
          </cell>
          <cell r="C715">
            <v>0.49863013698630138</v>
          </cell>
          <cell r="D715">
            <v>182</v>
          </cell>
        </row>
        <row r="716">
          <cell r="A716" t="str">
            <v>T70CSA20-50</v>
          </cell>
          <cell r="B716" t="str">
            <v xml:space="preserve">LACA ACRILICA TRANSPAR BRT    </v>
          </cell>
          <cell r="C716">
            <v>0.49863013698630138</v>
          </cell>
          <cell r="D716">
            <v>182</v>
          </cell>
        </row>
        <row r="717">
          <cell r="A717" t="str">
            <v>T70CSA25</v>
          </cell>
          <cell r="B717" t="str">
            <v xml:space="preserve">LACA TRANSPARENTE BRILLANTE   </v>
          </cell>
          <cell r="C717">
            <v>0.49863013698630138</v>
          </cell>
          <cell r="D717">
            <v>182</v>
          </cell>
        </row>
        <row r="718">
          <cell r="A718" t="str">
            <v>T70CSA25-5</v>
          </cell>
          <cell r="B718" t="str">
            <v>LACA TRANSP BRTE P/HERRAMIENTA</v>
          </cell>
          <cell r="C718">
            <v>0.49863013698630138</v>
          </cell>
          <cell r="D718">
            <v>182</v>
          </cell>
        </row>
        <row r="719">
          <cell r="A719" t="str">
            <v>T70CSA25-50</v>
          </cell>
          <cell r="B719" t="str">
            <v>LACA TRANSP BRTE P/HERRAMIENTA</v>
          </cell>
          <cell r="C719">
            <v>0.49863013698630138</v>
          </cell>
          <cell r="D719">
            <v>182</v>
          </cell>
        </row>
        <row r="720">
          <cell r="A720" t="str">
            <v>T70CSA26</v>
          </cell>
          <cell r="B720" t="str">
            <v xml:space="preserve">LACA TRANSPARENTE BRILLANTE   </v>
          </cell>
          <cell r="C720">
            <v>0.49863013698630138</v>
          </cell>
          <cell r="D720">
            <v>182</v>
          </cell>
        </row>
        <row r="721">
          <cell r="A721" t="str">
            <v>T70CSA26-50</v>
          </cell>
          <cell r="B721" t="str">
            <v>LACA TRANSP BRTE P/HERRAMIENTA</v>
          </cell>
          <cell r="C721">
            <v>0.49863013698630138</v>
          </cell>
          <cell r="D721">
            <v>182</v>
          </cell>
        </row>
        <row r="722">
          <cell r="A722" t="str">
            <v>T70CSA27</v>
          </cell>
          <cell r="B722" t="str">
            <v xml:space="preserve">LACA P/MANGOS DE PALA NOGAL   </v>
          </cell>
          <cell r="C722">
            <v>0.49863013698630138</v>
          </cell>
          <cell r="D722">
            <v>182</v>
          </cell>
        </row>
        <row r="723">
          <cell r="A723" t="str">
            <v>T70CSA27-50</v>
          </cell>
          <cell r="B723" t="str">
            <v xml:space="preserve">LACA P/MANGOS DE PALA NOGAL   </v>
          </cell>
          <cell r="C723">
            <v>0.49863013698630138</v>
          </cell>
          <cell r="D723">
            <v>182</v>
          </cell>
        </row>
        <row r="724">
          <cell r="A724" t="str">
            <v>T70FSA1</v>
          </cell>
          <cell r="B724" t="str">
            <v xml:space="preserve">H.B WOOD FIN. LAC. # 95 MATE  </v>
          </cell>
          <cell r="C724">
            <v>0.49863013698630138</v>
          </cell>
          <cell r="D724">
            <v>182</v>
          </cell>
        </row>
        <row r="725">
          <cell r="A725" t="str">
            <v>T70FSA1-1</v>
          </cell>
          <cell r="B725" t="str">
            <v xml:space="preserve">H.B WOOD FIN. LAC. # 95 MATE  </v>
          </cell>
          <cell r="C725">
            <v>0.49863013698630138</v>
          </cell>
          <cell r="D725">
            <v>182</v>
          </cell>
        </row>
        <row r="726">
          <cell r="A726" t="str">
            <v>T70FSA1-5</v>
          </cell>
          <cell r="B726" t="str">
            <v xml:space="preserve">H.B WOOD FIN. LAC. # 95 MATE  </v>
          </cell>
          <cell r="C726">
            <v>0.49863013698630138</v>
          </cell>
          <cell r="D726">
            <v>182</v>
          </cell>
        </row>
        <row r="727">
          <cell r="A727" t="str">
            <v>T70FSA5</v>
          </cell>
          <cell r="B727" t="str">
            <v xml:space="preserve">LACA MATE EXTRA CONCENTRADA   </v>
          </cell>
          <cell r="C727">
            <v>0.49863013698630138</v>
          </cell>
          <cell r="D727">
            <v>182</v>
          </cell>
        </row>
        <row r="728">
          <cell r="A728" t="str">
            <v>T70FSA5-1</v>
          </cell>
          <cell r="B728" t="str">
            <v xml:space="preserve">LACA MATE EXTRA CONCENTRADA   </v>
          </cell>
          <cell r="C728">
            <v>0.49863013698630138</v>
          </cell>
          <cell r="D728">
            <v>182</v>
          </cell>
        </row>
        <row r="729">
          <cell r="A729" t="str">
            <v>T75FSA1</v>
          </cell>
          <cell r="B729" t="str">
            <v xml:space="preserve">LACA ACRILICA CAB SATINADO    </v>
          </cell>
          <cell r="C729">
            <v>0.49863013698630138</v>
          </cell>
          <cell r="D729">
            <v>182</v>
          </cell>
        </row>
        <row r="730">
          <cell r="A730" t="str">
            <v>T75FSA1-1/4</v>
          </cell>
          <cell r="B730" t="str">
            <v xml:space="preserve">LACA ACRILICA CAB SATINADO    </v>
          </cell>
          <cell r="C730">
            <v>0.49863013698630138</v>
          </cell>
          <cell r="D730">
            <v>182</v>
          </cell>
        </row>
        <row r="731">
          <cell r="A731" t="str">
            <v>TRG250-1</v>
          </cell>
          <cell r="B731" t="str">
            <v xml:space="preserve">TRUCK BED COATING  BLACK      </v>
          </cell>
          <cell r="C731">
            <v>0.49863013698630138</v>
          </cell>
          <cell r="D731">
            <v>182</v>
          </cell>
        </row>
        <row r="732">
          <cell r="A732" t="str">
            <v>U12739-1/4</v>
          </cell>
          <cell r="B732" t="str">
            <v xml:space="preserve">ULTRA ONE STAGE NEGRO MATE    </v>
          </cell>
          <cell r="C732">
            <v>0.49863013698630138</v>
          </cell>
          <cell r="D732">
            <v>182</v>
          </cell>
        </row>
        <row r="733">
          <cell r="A733" t="str">
            <v>U7000</v>
          </cell>
          <cell r="B733" t="str">
            <v xml:space="preserve">FINE METALLIC No 1            </v>
          </cell>
          <cell r="C733">
            <v>3</v>
          </cell>
          <cell r="D733">
            <v>1095</v>
          </cell>
        </row>
        <row r="734">
          <cell r="A734" t="str">
            <v>U7000-1/4</v>
          </cell>
          <cell r="B734" t="str">
            <v xml:space="preserve">FINE METALLIC No 1            </v>
          </cell>
          <cell r="C734">
            <v>3</v>
          </cell>
          <cell r="D734">
            <v>1095</v>
          </cell>
        </row>
        <row r="735">
          <cell r="A735" t="str">
            <v>U7001</v>
          </cell>
          <cell r="B735" t="str">
            <v xml:space="preserve">MEDIUM METALLIC  No.2         </v>
          </cell>
          <cell r="C735">
            <v>3</v>
          </cell>
          <cell r="D735">
            <v>1095</v>
          </cell>
        </row>
        <row r="736">
          <cell r="A736" t="str">
            <v>U7001-1/4</v>
          </cell>
          <cell r="B736" t="str">
            <v xml:space="preserve">MEDIUM METALLIC  No.2         </v>
          </cell>
          <cell r="C736">
            <v>3</v>
          </cell>
          <cell r="D736">
            <v>1095</v>
          </cell>
        </row>
        <row r="737">
          <cell r="A737" t="str">
            <v>U7002</v>
          </cell>
          <cell r="B737" t="str">
            <v xml:space="preserve">LARGE METALLIC No.3           </v>
          </cell>
          <cell r="C737">
            <v>3</v>
          </cell>
          <cell r="D737">
            <v>1095</v>
          </cell>
        </row>
        <row r="738">
          <cell r="A738" t="str">
            <v>U7002-1/4</v>
          </cell>
          <cell r="B738" t="str">
            <v xml:space="preserve">LARGE METALLIC No.3           </v>
          </cell>
          <cell r="C738">
            <v>3</v>
          </cell>
          <cell r="D738">
            <v>1095</v>
          </cell>
        </row>
        <row r="739">
          <cell r="A739" t="str">
            <v>U7003</v>
          </cell>
          <cell r="B739" t="str">
            <v xml:space="preserve">WHITE   MICA                  </v>
          </cell>
          <cell r="C739">
            <v>3</v>
          </cell>
          <cell r="D739">
            <v>1095</v>
          </cell>
        </row>
        <row r="740">
          <cell r="A740" t="str">
            <v>U7003-1/4</v>
          </cell>
          <cell r="B740" t="str">
            <v xml:space="preserve">WHITE   MICA                  </v>
          </cell>
          <cell r="C740">
            <v>3</v>
          </cell>
          <cell r="D740">
            <v>1095</v>
          </cell>
        </row>
        <row r="741">
          <cell r="A741" t="str">
            <v>U7004</v>
          </cell>
          <cell r="B741" t="str">
            <v xml:space="preserve">RUSSET   MICA                 </v>
          </cell>
          <cell r="C741">
            <v>3</v>
          </cell>
          <cell r="D741">
            <v>1095</v>
          </cell>
        </row>
        <row r="742">
          <cell r="A742" t="str">
            <v>U7004-1/4</v>
          </cell>
          <cell r="B742" t="str">
            <v xml:space="preserve">RUSSET   MICA                 </v>
          </cell>
          <cell r="C742">
            <v>3</v>
          </cell>
          <cell r="D742">
            <v>1095</v>
          </cell>
        </row>
        <row r="743">
          <cell r="A743" t="str">
            <v>U7005</v>
          </cell>
          <cell r="B743" t="str">
            <v xml:space="preserve">BRONZE   MICA                 </v>
          </cell>
          <cell r="C743">
            <v>3</v>
          </cell>
          <cell r="D743">
            <v>1095</v>
          </cell>
        </row>
        <row r="744">
          <cell r="A744" t="str">
            <v>U7005-1/4</v>
          </cell>
          <cell r="B744" t="str">
            <v xml:space="preserve">BRONZE   MICA                 </v>
          </cell>
          <cell r="C744">
            <v>3</v>
          </cell>
          <cell r="D744">
            <v>1095</v>
          </cell>
        </row>
        <row r="745">
          <cell r="A745" t="str">
            <v>U7006</v>
          </cell>
          <cell r="B745" t="str">
            <v xml:space="preserve">SMALL METALLIC FLAKE No. 4    </v>
          </cell>
          <cell r="C745">
            <v>3</v>
          </cell>
          <cell r="D745">
            <v>1095</v>
          </cell>
        </row>
        <row r="746">
          <cell r="A746" t="str">
            <v>U7006-1/4</v>
          </cell>
          <cell r="B746" t="str">
            <v xml:space="preserve">SMALL METALLIC FLAKE No. 4    </v>
          </cell>
          <cell r="C746">
            <v>3</v>
          </cell>
          <cell r="D746">
            <v>1095</v>
          </cell>
        </row>
        <row r="747">
          <cell r="A747" t="str">
            <v>U7007</v>
          </cell>
          <cell r="B747" t="str">
            <v xml:space="preserve">SMALL WHITE MICA              </v>
          </cell>
          <cell r="C747">
            <v>3</v>
          </cell>
          <cell r="D747">
            <v>1095</v>
          </cell>
        </row>
        <row r="748">
          <cell r="A748" t="str">
            <v>U7007-1/4</v>
          </cell>
          <cell r="B748" t="str">
            <v xml:space="preserve">PERLA BLANCA FINA             </v>
          </cell>
          <cell r="C748">
            <v>3</v>
          </cell>
          <cell r="D748">
            <v>1095</v>
          </cell>
        </row>
        <row r="749">
          <cell r="A749" t="str">
            <v>U7008</v>
          </cell>
          <cell r="B749" t="str">
            <v xml:space="preserve">SMALL RED MICA                </v>
          </cell>
          <cell r="C749">
            <v>3</v>
          </cell>
          <cell r="D749">
            <v>1095</v>
          </cell>
        </row>
        <row r="750">
          <cell r="A750" t="str">
            <v>U7008-1/4</v>
          </cell>
          <cell r="B750" t="str">
            <v xml:space="preserve">PERLA ROJA FINA               </v>
          </cell>
          <cell r="C750">
            <v>3</v>
          </cell>
          <cell r="D750">
            <v>1095</v>
          </cell>
        </row>
        <row r="751">
          <cell r="A751" t="str">
            <v>U7009</v>
          </cell>
          <cell r="B751" t="str">
            <v xml:space="preserve">BLUE   MICA.    (MICA  AZUL)  </v>
          </cell>
          <cell r="C751">
            <v>3</v>
          </cell>
          <cell r="D751">
            <v>1095</v>
          </cell>
        </row>
        <row r="752">
          <cell r="A752" t="str">
            <v>U7009-1/4</v>
          </cell>
          <cell r="B752" t="str">
            <v xml:space="preserve">PERLA  AZUL                   </v>
          </cell>
          <cell r="C752">
            <v>3</v>
          </cell>
          <cell r="D752">
            <v>1095</v>
          </cell>
        </row>
        <row r="753">
          <cell r="A753" t="str">
            <v>U7010</v>
          </cell>
          <cell r="B753" t="str">
            <v xml:space="preserve">GREEN MICA.    (MICA  VERDE)  </v>
          </cell>
          <cell r="C753">
            <v>3</v>
          </cell>
          <cell r="D753">
            <v>1095</v>
          </cell>
        </row>
        <row r="754">
          <cell r="A754" t="str">
            <v>U7010-1/4</v>
          </cell>
          <cell r="B754" t="str">
            <v xml:space="preserve">PERLA VERDE                   </v>
          </cell>
          <cell r="C754">
            <v>3</v>
          </cell>
          <cell r="D754">
            <v>1095</v>
          </cell>
        </row>
        <row r="755">
          <cell r="A755" t="str">
            <v>U7011</v>
          </cell>
          <cell r="B755" t="str">
            <v xml:space="preserve">BRIGHT BC  METALLIC  FINE     </v>
          </cell>
          <cell r="C755">
            <v>3</v>
          </cell>
          <cell r="D755">
            <v>1095</v>
          </cell>
        </row>
        <row r="756">
          <cell r="A756" t="str">
            <v>U7011-1/4</v>
          </cell>
          <cell r="B756" t="str">
            <v xml:space="preserve">BRIGHT BC  METALLIC  FINE     </v>
          </cell>
          <cell r="C756">
            <v>3</v>
          </cell>
          <cell r="D756">
            <v>1095</v>
          </cell>
        </row>
        <row r="757">
          <cell r="A757" t="str">
            <v>U7012</v>
          </cell>
          <cell r="B757" t="str">
            <v xml:space="preserve">BRIGHT BC METALLIC MEDIUM     </v>
          </cell>
          <cell r="C757">
            <v>3</v>
          </cell>
          <cell r="D757">
            <v>1095</v>
          </cell>
        </row>
        <row r="758">
          <cell r="A758" t="str">
            <v>U7012-1/4</v>
          </cell>
          <cell r="B758" t="str">
            <v xml:space="preserve">BRIGHT BC METALLIC MEDIUM     </v>
          </cell>
          <cell r="C758">
            <v>3</v>
          </cell>
          <cell r="D758">
            <v>1095</v>
          </cell>
        </row>
        <row r="759">
          <cell r="A759" t="str">
            <v>U7013</v>
          </cell>
          <cell r="B759" t="str">
            <v>ULTRA GRAPHITAN SPECIAL EFFECT</v>
          </cell>
          <cell r="C759">
            <v>3</v>
          </cell>
          <cell r="D759">
            <v>1095</v>
          </cell>
        </row>
        <row r="760">
          <cell r="A760" t="str">
            <v>U7013-1/4</v>
          </cell>
          <cell r="B760" t="str">
            <v xml:space="preserve">GRAPHITAN SPECIAL EFFECT      </v>
          </cell>
          <cell r="C760">
            <v>3</v>
          </cell>
          <cell r="D760">
            <v>1095</v>
          </cell>
        </row>
        <row r="761">
          <cell r="A761" t="str">
            <v>U7023</v>
          </cell>
          <cell r="B761" t="str">
            <v xml:space="preserve">ULTRA LARGE  PANCAKE ALUMINUM </v>
          </cell>
          <cell r="C761">
            <v>3</v>
          </cell>
          <cell r="D761">
            <v>1095</v>
          </cell>
        </row>
        <row r="762">
          <cell r="A762" t="str">
            <v>U7023-1/4</v>
          </cell>
          <cell r="B762" t="str">
            <v xml:space="preserve">LARGE  PANCAKE ALUMINUM       </v>
          </cell>
          <cell r="C762">
            <v>3</v>
          </cell>
          <cell r="D762">
            <v>1095</v>
          </cell>
        </row>
        <row r="763">
          <cell r="A763" t="str">
            <v>U7024</v>
          </cell>
          <cell r="B763" t="str">
            <v>ULTRA PALEOCHROM GOLD METALLIC</v>
          </cell>
          <cell r="C763">
            <v>3</v>
          </cell>
          <cell r="D763">
            <v>1095</v>
          </cell>
        </row>
        <row r="764">
          <cell r="A764" t="str">
            <v>U7024-1/4</v>
          </cell>
          <cell r="B764" t="str">
            <v xml:space="preserve">PALEOCHROM GOLD METALLIC      </v>
          </cell>
          <cell r="C764">
            <v>3</v>
          </cell>
          <cell r="D764">
            <v>1095</v>
          </cell>
        </row>
        <row r="765">
          <cell r="A765" t="str">
            <v>U7025</v>
          </cell>
          <cell r="B765" t="str">
            <v xml:space="preserve">ULTRA BLACK (NEGRO)           </v>
          </cell>
          <cell r="C765">
            <v>3</v>
          </cell>
          <cell r="D765">
            <v>1095</v>
          </cell>
        </row>
        <row r="766">
          <cell r="A766" t="str">
            <v>U7025-1</v>
          </cell>
          <cell r="B766" t="str">
            <v xml:space="preserve">ULTRA BLACK (NEGRO)           </v>
          </cell>
          <cell r="C766">
            <v>3</v>
          </cell>
          <cell r="D766">
            <v>1095</v>
          </cell>
        </row>
        <row r="767">
          <cell r="A767" t="str">
            <v>U7026</v>
          </cell>
          <cell r="B767" t="str">
            <v xml:space="preserve">ULTRA WHITE (BLANCO)          </v>
          </cell>
          <cell r="C767">
            <v>3</v>
          </cell>
          <cell r="D767">
            <v>1095</v>
          </cell>
        </row>
        <row r="768">
          <cell r="A768" t="str">
            <v>U7026-1</v>
          </cell>
          <cell r="B768" t="str">
            <v xml:space="preserve">ULTRA WHITE (BLANCO)          </v>
          </cell>
          <cell r="C768">
            <v>3</v>
          </cell>
          <cell r="D768">
            <v>1095</v>
          </cell>
        </row>
        <row r="769">
          <cell r="A769" t="str">
            <v>U7030</v>
          </cell>
          <cell r="B769" t="str">
            <v xml:space="preserve">ULTRA MONASTRAL RED           </v>
          </cell>
          <cell r="C769">
            <v>3</v>
          </cell>
          <cell r="D769">
            <v>1095</v>
          </cell>
        </row>
        <row r="770">
          <cell r="A770" t="str">
            <v>U7030-1/4</v>
          </cell>
          <cell r="B770" t="str">
            <v xml:space="preserve">ULTRA MONASTRAL RED           </v>
          </cell>
          <cell r="C770">
            <v>3</v>
          </cell>
          <cell r="D770">
            <v>1095</v>
          </cell>
        </row>
        <row r="771">
          <cell r="A771" t="str">
            <v>U7031</v>
          </cell>
          <cell r="B771" t="str">
            <v xml:space="preserve">ULTRA BRIGHT RED              </v>
          </cell>
          <cell r="C771">
            <v>3</v>
          </cell>
          <cell r="D771">
            <v>1095</v>
          </cell>
        </row>
        <row r="772">
          <cell r="A772" t="str">
            <v>U7031-1/4</v>
          </cell>
          <cell r="B772" t="str">
            <v xml:space="preserve">ULTRA BRIGHT RED              </v>
          </cell>
          <cell r="C772">
            <v>3</v>
          </cell>
          <cell r="D772">
            <v>1095</v>
          </cell>
        </row>
        <row r="773">
          <cell r="A773" t="str">
            <v>U7032-1/4</v>
          </cell>
          <cell r="B773" t="str">
            <v xml:space="preserve">ULTRA 7000 COPPER MICACEOUS   </v>
          </cell>
          <cell r="C773">
            <v>3</v>
          </cell>
          <cell r="D773">
            <v>1095</v>
          </cell>
        </row>
        <row r="774">
          <cell r="A774" t="str">
            <v>U7033</v>
          </cell>
          <cell r="B774" t="str">
            <v xml:space="preserve">ULTRA MAROON    H. S.         </v>
          </cell>
          <cell r="C774">
            <v>3</v>
          </cell>
          <cell r="D774">
            <v>1095</v>
          </cell>
        </row>
        <row r="775">
          <cell r="A775" t="str">
            <v>U7033-1/4</v>
          </cell>
          <cell r="B775" t="str">
            <v xml:space="preserve">ULTRA MAROON    H. S.         </v>
          </cell>
          <cell r="C775">
            <v>3</v>
          </cell>
          <cell r="D775">
            <v>1095</v>
          </cell>
        </row>
        <row r="776">
          <cell r="A776" t="str">
            <v>U7034</v>
          </cell>
          <cell r="B776" t="str">
            <v xml:space="preserve">ULTRA PERYLENE    MAROON      </v>
          </cell>
          <cell r="C776">
            <v>3</v>
          </cell>
          <cell r="D776">
            <v>1095</v>
          </cell>
        </row>
        <row r="777">
          <cell r="A777" t="str">
            <v>U7034-1/4</v>
          </cell>
          <cell r="B777" t="str">
            <v xml:space="preserve">ULTRA PERYLENE    MAROON      </v>
          </cell>
          <cell r="C777">
            <v>3</v>
          </cell>
          <cell r="D777">
            <v>1095</v>
          </cell>
        </row>
        <row r="778">
          <cell r="A778" t="str">
            <v>U7036</v>
          </cell>
          <cell r="B778" t="str">
            <v xml:space="preserve">ULTRA H. S.  MAGENTA          </v>
          </cell>
          <cell r="C778">
            <v>3</v>
          </cell>
          <cell r="D778">
            <v>1095</v>
          </cell>
        </row>
        <row r="779">
          <cell r="A779" t="str">
            <v>U7036-1/4</v>
          </cell>
          <cell r="B779" t="str">
            <v xml:space="preserve">ULTRA H. S.  MAGENTA          </v>
          </cell>
          <cell r="C779">
            <v>3</v>
          </cell>
          <cell r="D779">
            <v>1095</v>
          </cell>
        </row>
        <row r="780">
          <cell r="A780" t="str">
            <v>U7037</v>
          </cell>
          <cell r="B780" t="str">
            <v xml:space="preserve">ULTRA MAGENTA  (MAGENTA)      </v>
          </cell>
          <cell r="C780">
            <v>3</v>
          </cell>
          <cell r="D780">
            <v>1095</v>
          </cell>
        </row>
        <row r="781">
          <cell r="A781" t="str">
            <v>U7037-1/4</v>
          </cell>
          <cell r="B781" t="str">
            <v xml:space="preserve">ULTRA MAGENTA  (MAGENTA)      </v>
          </cell>
          <cell r="C781">
            <v>3</v>
          </cell>
          <cell r="D781">
            <v>1095</v>
          </cell>
        </row>
        <row r="782">
          <cell r="A782" t="str">
            <v>U7039-1/4</v>
          </cell>
          <cell r="B782" t="str">
            <v xml:space="preserve">ULTRA P. T. VIOLETA           </v>
          </cell>
          <cell r="C782">
            <v>3</v>
          </cell>
          <cell r="D782">
            <v>1095</v>
          </cell>
        </row>
        <row r="783">
          <cell r="A783" t="str">
            <v>U7046</v>
          </cell>
          <cell r="B783" t="str">
            <v xml:space="preserve">ULTRA OCEANIC  BLUE  (AZUL)   </v>
          </cell>
          <cell r="C783">
            <v>3</v>
          </cell>
          <cell r="D783">
            <v>1095</v>
          </cell>
        </row>
        <row r="784">
          <cell r="A784" t="str">
            <v>U7046-1/4</v>
          </cell>
          <cell r="B784" t="str">
            <v xml:space="preserve">ULTRA OCEANIC  BLUE  (AZUL)   </v>
          </cell>
          <cell r="C784">
            <v>3</v>
          </cell>
          <cell r="D784">
            <v>1095</v>
          </cell>
        </row>
        <row r="785">
          <cell r="A785" t="str">
            <v>U7048</v>
          </cell>
          <cell r="B785" t="str">
            <v xml:space="preserve">ULTRA AZURE   BLUE   (AZUL)   </v>
          </cell>
          <cell r="C785">
            <v>3</v>
          </cell>
          <cell r="D785">
            <v>1095</v>
          </cell>
        </row>
        <row r="786">
          <cell r="A786" t="str">
            <v>U7048-1/4</v>
          </cell>
          <cell r="B786" t="str">
            <v xml:space="preserve">ULTRA AZURE   BLUE   (AZUL)   </v>
          </cell>
          <cell r="C786">
            <v>3</v>
          </cell>
          <cell r="D786">
            <v>1095</v>
          </cell>
        </row>
        <row r="787">
          <cell r="A787" t="str">
            <v>U7070-1/4</v>
          </cell>
          <cell r="B787" t="str">
            <v xml:space="preserve">ULTRA G.S.   P. T.   BLUE     </v>
          </cell>
          <cell r="C787">
            <v>3</v>
          </cell>
          <cell r="D787">
            <v>1095</v>
          </cell>
        </row>
        <row r="788">
          <cell r="A788" t="str">
            <v>U7080</v>
          </cell>
          <cell r="B788" t="str">
            <v xml:space="preserve">ULTRA WHITE  (BLANCO)         </v>
          </cell>
          <cell r="C788">
            <v>3</v>
          </cell>
          <cell r="D788">
            <v>1095</v>
          </cell>
        </row>
        <row r="789">
          <cell r="A789" t="str">
            <v>U7080-1</v>
          </cell>
          <cell r="B789" t="str">
            <v xml:space="preserve">ULTRA WHITE  (BLANCO)         </v>
          </cell>
          <cell r="C789">
            <v>3</v>
          </cell>
          <cell r="D789">
            <v>1095</v>
          </cell>
        </row>
        <row r="790">
          <cell r="A790" t="str">
            <v>U7080-1/4</v>
          </cell>
          <cell r="B790" t="str">
            <v xml:space="preserve">ULTRA WHITE  (BLANCO)         </v>
          </cell>
          <cell r="C790">
            <v>3</v>
          </cell>
          <cell r="D790">
            <v>1095</v>
          </cell>
        </row>
        <row r="791">
          <cell r="A791" t="str">
            <v>U7081</v>
          </cell>
          <cell r="B791" t="str">
            <v xml:space="preserve">ULTRA BLACK ( NEGRO)          </v>
          </cell>
          <cell r="C791">
            <v>3</v>
          </cell>
          <cell r="D791">
            <v>1095</v>
          </cell>
        </row>
        <row r="792">
          <cell r="A792" t="str">
            <v>U7081-1</v>
          </cell>
          <cell r="B792" t="str">
            <v xml:space="preserve">ULTRA BLACK ( NEGRO)          </v>
          </cell>
          <cell r="C792">
            <v>3</v>
          </cell>
          <cell r="D792">
            <v>1095</v>
          </cell>
        </row>
        <row r="793">
          <cell r="A793" t="str">
            <v>U7081-1/4</v>
          </cell>
          <cell r="B793" t="str">
            <v xml:space="preserve">ULTRA BLACK ( NEGRO)          </v>
          </cell>
          <cell r="C793">
            <v>3</v>
          </cell>
          <cell r="D793">
            <v>1095</v>
          </cell>
        </row>
        <row r="794">
          <cell r="A794" t="str">
            <v>U7084</v>
          </cell>
          <cell r="B794" t="str">
            <v xml:space="preserve">ULTRA P.T.  ORANGE            </v>
          </cell>
          <cell r="C794">
            <v>3</v>
          </cell>
          <cell r="D794">
            <v>1095</v>
          </cell>
        </row>
        <row r="795">
          <cell r="A795" t="str">
            <v>U7084-1</v>
          </cell>
          <cell r="B795" t="str">
            <v xml:space="preserve">ULTRA P.T.  ORANGE            </v>
          </cell>
          <cell r="C795">
            <v>3</v>
          </cell>
          <cell r="D795">
            <v>1095</v>
          </cell>
        </row>
        <row r="796">
          <cell r="A796" t="str">
            <v>U7085-1</v>
          </cell>
          <cell r="B796" t="str">
            <v xml:space="preserve">ULTRA GOLD  (DORADO)          </v>
          </cell>
          <cell r="C796">
            <v>3</v>
          </cell>
          <cell r="D796">
            <v>1095</v>
          </cell>
        </row>
        <row r="797">
          <cell r="A797" t="str">
            <v>U7087-1</v>
          </cell>
          <cell r="B797" t="str">
            <v xml:space="preserve">ULTRA AMARILLO MEDIANO        </v>
          </cell>
          <cell r="C797">
            <v>3</v>
          </cell>
          <cell r="D797">
            <v>1095</v>
          </cell>
        </row>
        <row r="798">
          <cell r="A798" t="str">
            <v>U7088-1</v>
          </cell>
          <cell r="B798" t="str">
            <v xml:space="preserve">ULTRA AMARILLO LIMON          </v>
          </cell>
          <cell r="C798">
            <v>3</v>
          </cell>
          <cell r="D798">
            <v>1095</v>
          </cell>
        </row>
        <row r="799">
          <cell r="A799" t="str">
            <v>U7106</v>
          </cell>
          <cell r="B799" t="str">
            <v xml:space="preserve">ULTRA RUSSET RED              </v>
          </cell>
          <cell r="C799">
            <v>3</v>
          </cell>
          <cell r="D799">
            <v>1095</v>
          </cell>
        </row>
        <row r="800">
          <cell r="A800" t="str">
            <v>U7106-1/4</v>
          </cell>
          <cell r="B800" t="str">
            <v xml:space="preserve">ULTRA RUSSET RED              </v>
          </cell>
          <cell r="C800">
            <v>3</v>
          </cell>
          <cell r="D800">
            <v>1095</v>
          </cell>
        </row>
        <row r="801">
          <cell r="A801" t="str">
            <v>U7107</v>
          </cell>
          <cell r="B801" t="str">
            <v xml:space="preserve">ULTRA ORGANIC  YELLOW         </v>
          </cell>
          <cell r="C801">
            <v>3</v>
          </cell>
          <cell r="D801">
            <v>1095</v>
          </cell>
        </row>
        <row r="802">
          <cell r="A802" t="str">
            <v>U7107-1/4</v>
          </cell>
          <cell r="B802" t="str">
            <v xml:space="preserve">ULTRA ORGANIC  YELLOW         </v>
          </cell>
          <cell r="C802">
            <v>3</v>
          </cell>
          <cell r="D802">
            <v>1095</v>
          </cell>
        </row>
        <row r="803">
          <cell r="A803" t="str">
            <v>U7108</v>
          </cell>
          <cell r="B803" t="str">
            <v xml:space="preserve">ULTRA TRANSPARENT  RED        </v>
          </cell>
          <cell r="C803">
            <v>3</v>
          </cell>
          <cell r="D803">
            <v>1095</v>
          </cell>
        </row>
        <row r="804">
          <cell r="A804" t="str">
            <v>U7108-1</v>
          </cell>
          <cell r="B804" t="str">
            <v xml:space="preserve">ULTRA TRANSPARENT  RED        </v>
          </cell>
          <cell r="C804">
            <v>3</v>
          </cell>
          <cell r="D804">
            <v>1095</v>
          </cell>
        </row>
        <row r="805">
          <cell r="A805" t="str">
            <v>U7109</v>
          </cell>
          <cell r="B805" t="str">
            <v xml:space="preserve">ULTRA MIXING  CLEAR           </v>
          </cell>
          <cell r="C805">
            <v>3</v>
          </cell>
          <cell r="D805">
            <v>1095</v>
          </cell>
        </row>
        <row r="806">
          <cell r="A806" t="str">
            <v>U7109-1</v>
          </cell>
          <cell r="B806" t="str">
            <v xml:space="preserve">ULTRA MIXING  CLEAR           </v>
          </cell>
          <cell r="C806">
            <v>3</v>
          </cell>
          <cell r="D806">
            <v>1095</v>
          </cell>
        </row>
        <row r="807">
          <cell r="A807" t="str">
            <v>U7110</v>
          </cell>
          <cell r="B807" t="str">
            <v xml:space="preserve">ULTRA SUPER  WHITE            </v>
          </cell>
          <cell r="C807">
            <v>3</v>
          </cell>
          <cell r="D807">
            <v>1095</v>
          </cell>
        </row>
        <row r="808">
          <cell r="A808" t="str">
            <v>U7110-1</v>
          </cell>
          <cell r="B808" t="str">
            <v xml:space="preserve">ULTRA SUPER  WHITE            </v>
          </cell>
          <cell r="C808">
            <v>3</v>
          </cell>
          <cell r="D808">
            <v>1095</v>
          </cell>
        </row>
        <row r="809">
          <cell r="A809" t="str">
            <v>U7111</v>
          </cell>
          <cell r="B809" t="str">
            <v xml:space="preserve">ULTRA CARBA  VIOLET           </v>
          </cell>
          <cell r="C809">
            <v>3</v>
          </cell>
          <cell r="D809">
            <v>1095</v>
          </cell>
        </row>
        <row r="810">
          <cell r="A810" t="str">
            <v>U7111-1/4</v>
          </cell>
          <cell r="B810" t="str">
            <v xml:space="preserve">ULTRA CARBA  VIOLET           </v>
          </cell>
          <cell r="C810">
            <v>3</v>
          </cell>
          <cell r="D810">
            <v>1095</v>
          </cell>
        </row>
        <row r="811">
          <cell r="A811" t="str">
            <v>U7118</v>
          </cell>
          <cell r="B811" t="str">
            <v xml:space="preserve">ULTRA BLACK  (NEGRO H.S.)     </v>
          </cell>
          <cell r="C811">
            <v>3</v>
          </cell>
          <cell r="D811">
            <v>1095</v>
          </cell>
        </row>
        <row r="812">
          <cell r="A812" t="str">
            <v>U7118-1</v>
          </cell>
          <cell r="B812" t="str">
            <v xml:space="preserve">ULTRA BLACK  (NEGRO H.S.)     </v>
          </cell>
          <cell r="C812">
            <v>3</v>
          </cell>
          <cell r="D812">
            <v>1095</v>
          </cell>
        </row>
        <row r="813">
          <cell r="A813" t="str">
            <v>U7119</v>
          </cell>
          <cell r="B813" t="str">
            <v xml:space="preserve">ULTRA RED  (ROJO)             </v>
          </cell>
          <cell r="C813">
            <v>3</v>
          </cell>
          <cell r="D813">
            <v>1095</v>
          </cell>
        </row>
        <row r="814">
          <cell r="A814" t="str">
            <v>U7119-1/4</v>
          </cell>
          <cell r="B814" t="str">
            <v xml:space="preserve">ULTRA RED  (ROJO)             </v>
          </cell>
          <cell r="C814">
            <v>3</v>
          </cell>
          <cell r="D814">
            <v>1095</v>
          </cell>
        </row>
        <row r="815">
          <cell r="A815" t="str">
            <v>U7120</v>
          </cell>
          <cell r="B815" t="str">
            <v xml:space="preserve">ULTRA HS  PC  BLUE            </v>
          </cell>
          <cell r="C815">
            <v>3</v>
          </cell>
          <cell r="D815">
            <v>1095</v>
          </cell>
        </row>
        <row r="816">
          <cell r="A816" t="str">
            <v>U7120-1</v>
          </cell>
          <cell r="B816" t="str">
            <v xml:space="preserve">ULTRA HS  PC  BLUE            </v>
          </cell>
          <cell r="C816">
            <v>3</v>
          </cell>
          <cell r="D816">
            <v>1095</v>
          </cell>
        </row>
        <row r="817">
          <cell r="A817" t="str">
            <v>U7121</v>
          </cell>
          <cell r="B817" t="str">
            <v xml:space="preserve">ULTRA MAGENTA  (MAGENTA)      </v>
          </cell>
          <cell r="C817">
            <v>3</v>
          </cell>
          <cell r="D817">
            <v>1095</v>
          </cell>
        </row>
        <row r="818">
          <cell r="A818" t="str">
            <v>U7121-1</v>
          </cell>
          <cell r="B818" t="str">
            <v xml:space="preserve">ULTRA MAGENTA  (MAGENTA)      </v>
          </cell>
          <cell r="C818">
            <v>3</v>
          </cell>
          <cell r="D818">
            <v>1095</v>
          </cell>
        </row>
        <row r="819">
          <cell r="A819" t="str">
            <v>U7121-1/4</v>
          </cell>
          <cell r="B819" t="str">
            <v xml:space="preserve">H.S. MAGENTA                  </v>
          </cell>
          <cell r="C819">
            <v>3</v>
          </cell>
          <cell r="D819">
            <v>1095</v>
          </cell>
        </row>
        <row r="820">
          <cell r="A820" t="str">
            <v>U7122</v>
          </cell>
          <cell r="B820" t="str">
            <v xml:space="preserve">ULTRA RS GOLD H.S.            </v>
          </cell>
          <cell r="C820">
            <v>3</v>
          </cell>
          <cell r="D820">
            <v>1095</v>
          </cell>
        </row>
        <row r="821">
          <cell r="A821" t="str">
            <v>U7122-1/4</v>
          </cell>
          <cell r="B821" t="str">
            <v xml:space="preserve">ULTRA RS GOLD H.S.            </v>
          </cell>
          <cell r="C821">
            <v>3</v>
          </cell>
          <cell r="D821">
            <v>1095</v>
          </cell>
        </row>
        <row r="822">
          <cell r="A822" t="str">
            <v>U7123</v>
          </cell>
          <cell r="B822" t="str">
            <v xml:space="preserve">ULTRA MAROON  (MARRON)        </v>
          </cell>
          <cell r="C822">
            <v>3</v>
          </cell>
          <cell r="D822">
            <v>1095</v>
          </cell>
        </row>
        <row r="823">
          <cell r="A823" t="str">
            <v>U7123-1/4</v>
          </cell>
          <cell r="B823" t="str">
            <v xml:space="preserve">ULTRA MAROON  (MARRON)        </v>
          </cell>
          <cell r="C823">
            <v>3</v>
          </cell>
          <cell r="D823">
            <v>1095</v>
          </cell>
        </row>
        <row r="824">
          <cell r="A824" t="str">
            <v>U7124</v>
          </cell>
          <cell r="B824" t="str">
            <v xml:space="preserve">ULTRA L.F. ORANGE             </v>
          </cell>
          <cell r="C824">
            <v>3</v>
          </cell>
          <cell r="D824">
            <v>1095</v>
          </cell>
        </row>
        <row r="825">
          <cell r="A825" t="str">
            <v>U7124-1/4</v>
          </cell>
          <cell r="B825" t="str">
            <v xml:space="preserve">ULTRA L.F. ORANGE             </v>
          </cell>
          <cell r="C825">
            <v>3</v>
          </cell>
          <cell r="D825">
            <v>1095</v>
          </cell>
        </row>
        <row r="826">
          <cell r="A826" t="str">
            <v>U7125</v>
          </cell>
          <cell r="B826" t="str">
            <v xml:space="preserve">ULTRA L.F.  BUFF              </v>
          </cell>
          <cell r="C826">
            <v>3</v>
          </cell>
          <cell r="D826">
            <v>1095</v>
          </cell>
        </row>
        <row r="827">
          <cell r="A827" t="str">
            <v>U7125-1/4</v>
          </cell>
          <cell r="B827" t="str">
            <v xml:space="preserve">ULTRA L.F.  BUFF              </v>
          </cell>
          <cell r="C827">
            <v>3</v>
          </cell>
          <cell r="D827">
            <v>1095</v>
          </cell>
        </row>
        <row r="828">
          <cell r="A828" t="str">
            <v>U7127-1</v>
          </cell>
          <cell r="B828" t="str">
            <v xml:space="preserve">ULTRA SYSTEM         AMARILLO </v>
          </cell>
          <cell r="C828">
            <v>3</v>
          </cell>
          <cell r="D828">
            <v>1095</v>
          </cell>
        </row>
        <row r="829">
          <cell r="A829" t="str">
            <v>U7128</v>
          </cell>
          <cell r="B829" t="str">
            <v xml:space="preserve">ULTRA L.F. VANADATE YELLOW    </v>
          </cell>
          <cell r="C829">
            <v>3</v>
          </cell>
          <cell r="D829">
            <v>1095</v>
          </cell>
        </row>
        <row r="830">
          <cell r="A830" t="str">
            <v>U7128-1/4</v>
          </cell>
          <cell r="B830" t="str">
            <v xml:space="preserve">ULTRA L.F. VANADATE YELLOW    </v>
          </cell>
          <cell r="C830">
            <v>3</v>
          </cell>
          <cell r="D830">
            <v>1095</v>
          </cell>
        </row>
        <row r="831">
          <cell r="A831" t="str">
            <v>U7131</v>
          </cell>
          <cell r="B831" t="str">
            <v xml:space="preserve">ULTRA RED SHADE YELLOW        </v>
          </cell>
          <cell r="C831">
            <v>3</v>
          </cell>
          <cell r="D831">
            <v>1095</v>
          </cell>
        </row>
        <row r="832">
          <cell r="A832" t="str">
            <v>U7131-1/4</v>
          </cell>
          <cell r="B832" t="str">
            <v xml:space="preserve">ULTRA RED SHADE YELLOW        </v>
          </cell>
          <cell r="C832">
            <v>3</v>
          </cell>
          <cell r="D832">
            <v>1095</v>
          </cell>
        </row>
        <row r="833">
          <cell r="A833" t="str">
            <v>U7132</v>
          </cell>
          <cell r="B833" t="str">
            <v xml:space="preserve">ULTRA H.S. RED SHADE PT BLUE  </v>
          </cell>
          <cell r="C833">
            <v>3</v>
          </cell>
          <cell r="D833">
            <v>1095</v>
          </cell>
        </row>
        <row r="834">
          <cell r="A834" t="str">
            <v>U7132-1/4</v>
          </cell>
          <cell r="B834" t="str">
            <v xml:space="preserve">ULTRA H.S. RED SHADE PT BLUE  </v>
          </cell>
          <cell r="C834">
            <v>3</v>
          </cell>
          <cell r="D834">
            <v>1095</v>
          </cell>
        </row>
        <row r="835">
          <cell r="A835" t="str">
            <v>U7133</v>
          </cell>
          <cell r="B835" t="str">
            <v>ULTRA H.S GREEN  SHADE PT BLUE</v>
          </cell>
          <cell r="C835">
            <v>3</v>
          </cell>
          <cell r="D835">
            <v>1095</v>
          </cell>
        </row>
        <row r="836">
          <cell r="A836" t="str">
            <v>U7133-1/4</v>
          </cell>
          <cell r="B836" t="str">
            <v>ULTRA H.S GREEN  SHADE PT BLUE</v>
          </cell>
          <cell r="C836">
            <v>3</v>
          </cell>
          <cell r="D836">
            <v>1095</v>
          </cell>
        </row>
        <row r="837">
          <cell r="A837" t="str">
            <v>U7134</v>
          </cell>
          <cell r="B837" t="str">
            <v xml:space="preserve">ULTRA LOW  OPACITY  YELLOW    </v>
          </cell>
          <cell r="C837">
            <v>3</v>
          </cell>
          <cell r="D837">
            <v>1095</v>
          </cell>
        </row>
        <row r="838">
          <cell r="A838" t="str">
            <v>U7134-1/4</v>
          </cell>
          <cell r="B838" t="str">
            <v xml:space="preserve">ULTRA LOW  OPACITY  YELLOW    </v>
          </cell>
          <cell r="C838">
            <v>3</v>
          </cell>
          <cell r="D838">
            <v>1095</v>
          </cell>
        </row>
        <row r="839">
          <cell r="A839" t="str">
            <v>U7135</v>
          </cell>
          <cell r="B839" t="str">
            <v xml:space="preserve">ULTRA H.S. INDO  BLUE (AZUL)  </v>
          </cell>
          <cell r="C839">
            <v>3</v>
          </cell>
          <cell r="D839">
            <v>1095</v>
          </cell>
        </row>
        <row r="840">
          <cell r="A840" t="str">
            <v>U7135-1/4</v>
          </cell>
          <cell r="B840" t="str">
            <v xml:space="preserve">ULTRA H.S. INDO  BLUE (AZUL)  </v>
          </cell>
          <cell r="C840">
            <v>3</v>
          </cell>
          <cell r="D840">
            <v>1095</v>
          </cell>
        </row>
        <row r="841">
          <cell r="A841" t="str">
            <v>U7136</v>
          </cell>
          <cell r="B841" t="str">
            <v xml:space="preserve">ULTRA H.S. GOLDEN   MAROON    </v>
          </cell>
          <cell r="C841">
            <v>3</v>
          </cell>
          <cell r="D841">
            <v>1095</v>
          </cell>
        </row>
        <row r="842">
          <cell r="A842" t="str">
            <v>U7136-1/4</v>
          </cell>
          <cell r="B842" t="str">
            <v xml:space="preserve">ULTRA H.S. GOLDEN   MAROON    </v>
          </cell>
          <cell r="C842">
            <v>3</v>
          </cell>
          <cell r="D842">
            <v>1095</v>
          </cell>
        </row>
        <row r="843">
          <cell r="A843" t="str">
            <v>U7137</v>
          </cell>
          <cell r="B843" t="str">
            <v>ULTRA H.S.YELLLOW SHADE  GREEN</v>
          </cell>
          <cell r="C843">
            <v>3</v>
          </cell>
          <cell r="D843">
            <v>1095</v>
          </cell>
        </row>
        <row r="844">
          <cell r="A844" t="str">
            <v>U7137-1/4</v>
          </cell>
          <cell r="B844" t="str">
            <v>ULTRA H.S.YELLLOW SHADE  GREEN</v>
          </cell>
          <cell r="C844">
            <v>3</v>
          </cell>
          <cell r="D844">
            <v>1095</v>
          </cell>
        </row>
        <row r="845">
          <cell r="A845" t="str">
            <v>U7138</v>
          </cell>
          <cell r="B845" t="str">
            <v xml:space="preserve">ULTRA H.S.VERDE  PT  AZULOSO  </v>
          </cell>
          <cell r="C845">
            <v>3</v>
          </cell>
          <cell r="D845">
            <v>1095</v>
          </cell>
        </row>
        <row r="846">
          <cell r="A846" t="str">
            <v>U7138-1/4</v>
          </cell>
          <cell r="B846" t="str">
            <v xml:space="preserve">ULTRA H.S.VERDE  PT  AZULOSO  </v>
          </cell>
          <cell r="C846">
            <v>3</v>
          </cell>
          <cell r="D846">
            <v>1095</v>
          </cell>
        </row>
        <row r="847">
          <cell r="A847" t="str">
            <v>U7139</v>
          </cell>
          <cell r="B847" t="str">
            <v xml:space="preserve">ULTRA H.S.  PT  VIOLET        </v>
          </cell>
          <cell r="C847">
            <v>3</v>
          </cell>
          <cell r="D847">
            <v>1095</v>
          </cell>
        </row>
        <row r="848">
          <cell r="A848" t="str">
            <v>U7139-1/4</v>
          </cell>
          <cell r="B848" t="str">
            <v xml:space="preserve">ULTRA H.S.  PT  VIOLET        </v>
          </cell>
          <cell r="C848">
            <v>3</v>
          </cell>
          <cell r="D848">
            <v>1095</v>
          </cell>
        </row>
        <row r="849">
          <cell r="A849" t="str">
            <v>U7140</v>
          </cell>
          <cell r="B849" t="str">
            <v xml:space="preserve">ULTRA YELLOW  OXIDE           </v>
          </cell>
          <cell r="C849">
            <v>3</v>
          </cell>
          <cell r="D849">
            <v>1095</v>
          </cell>
        </row>
        <row r="850">
          <cell r="A850" t="str">
            <v>U7140-1/4</v>
          </cell>
          <cell r="B850" t="str">
            <v xml:space="preserve">ULTRA YELLOW  OXIDE           </v>
          </cell>
          <cell r="C850">
            <v>3</v>
          </cell>
          <cell r="D850">
            <v>1095</v>
          </cell>
        </row>
        <row r="851">
          <cell r="A851" t="str">
            <v>U7141</v>
          </cell>
          <cell r="B851" t="str">
            <v xml:space="preserve">ULTRA MOLY  ORANGE            </v>
          </cell>
          <cell r="C851">
            <v>3</v>
          </cell>
          <cell r="D851">
            <v>1095</v>
          </cell>
        </row>
        <row r="852">
          <cell r="A852" t="str">
            <v>U7141-1/4</v>
          </cell>
          <cell r="B852" t="str">
            <v xml:space="preserve">ULTRA MOLY  ORANGE            </v>
          </cell>
          <cell r="C852">
            <v>3</v>
          </cell>
          <cell r="D852">
            <v>1095</v>
          </cell>
        </row>
        <row r="853">
          <cell r="A853" t="str">
            <v>U7143</v>
          </cell>
          <cell r="B853" t="str">
            <v xml:space="preserve">ULTRA BLUE  SHADE  MAGENTA    </v>
          </cell>
          <cell r="C853">
            <v>3</v>
          </cell>
          <cell r="D853">
            <v>1095</v>
          </cell>
        </row>
        <row r="854">
          <cell r="A854" t="str">
            <v>U7143-1/4</v>
          </cell>
          <cell r="B854" t="str">
            <v xml:space="preserve">ULTRA BLUE  SHADE  MAGENTA    </v>
          </cell>
          <cell r="C854">
            <v>3</v>
          </cell>
          <cell r="D854">
            <v>1095</v>
          </cell>
        </row>
        <row r="855">
          <cell r="A855" t="str">
            <v>U7144</v>
          </cell>
          <cell r="B855" t="str">
            <v xml:space="preserve">ULTRA MONASTRAL  RED          </v>
          </cell>
          <cell r="C855">
            <v>3</v>
          </cell>
          <cell r="D855">
            <v>1095</v>
          </cell>
        </row>
        <row r="856">
          <cell r="A856" t="str">
            <v>U7144-1/4</v>
          </cell>
          <cell r="B856" t="str">
            <v xml:space="preserve">ULTRA MONASTRAL  RED          </v>
          </cell>
          <cell r="C856">
            <v>3</v>
          </cell>
          <cell r="D856">
            <v>1095</v>
          </cell>
        </row>
        <row r="857">
          <cell r="A857" t="str">
            <v>U7145</v>
          </cell>
          <cell r="B857" t="str">
            <v xml:space="preserve">ULTRA BRIGHT  RED             </v>
          </cell>
          <cell r="C857">
            <v>3</v>
          </cell>
          <cell r="D857">
            <v>1095</v>
          </cell>
        </row>
        <row r="858">
          <cell r="A858" t="str">
            <v>U7145-1/4</v>
          </cell>
          <cell r="B858" t="str">
            <v xml:space="preserve">ULTRA BRIGHT  RED             </v>
          </cell>
          <cell r="C858">
            <v>3</v>
          </cell>
          <cell r="D858">
            <v>1095</v>
          </cell>
        </row>
        <row r="859">
          <cell r="A859" t="str">
            <v>U7146</v>
          </cell>
          <cell r="B859" t="str">
            <v xml:space="preserve">ULTRA FROST   WHITE           </v>
          </cell>
          <cell r="C859">
            <v>3</v>
          </cell>
          <cell r="D859">
            <v>1095</v>
          </cell>
        </row>
        <row r="860">
          <cell r="A860" t="str">
            <v>U7146-1/4</v>
          </cell>
          <cell r="B860" t="str">
            <v xml:space="preserve">ULTRA FROST   WHITE           </v>
          </cell>
          <cell r="C860">
            <v>3</v>
          </cell>
          <cell r="D860">
            <v>1095</v>
          </cell>
        </row>
        <row r="861">
          <cell r="A861" t="str">
            <v>U7147-1/4</v>
          </cell>
          <cell r="B861" t="str">
            <v xml:space="preserve">ULTRA MARRON  PERYLENE        </v>
          </cell>
          <cell r="C861">
            <v>3</v>
          </cell>
          <cell r="D861">
            <v>1095</v>
          </cell>
        </row>
        <row r="862">
          <cell r="A862" t="str">
            <v>U7151</v>
          </cell>
          <cell r="B862" t="str">
            <v xml:space="preserve">ULTRA COPPER  BROWN           </v>
          </cell>
          <cell r="C862">
            <v>3</v>
          </cell>
          <cell r="D862">
            <v>1095</v>
          </cell>
        </row>
        <row r="863">
          <cell r="A863" t="str">
            <v>U7151-1/4</v>
          </cell>
          <cell r="B863" t="str">
            <v xml:space="preserve">ULTRA COPPER  BROWN           </v>
          </cell>
          <cell r="C863">
            <v>3</v>
          </cell>
          <cell r="D863">
            <v>1095</v>
          </cell>
        </row>
        <row r="864">
          <cell r="A864" t="str">
            <v>U7152-1</v>
          </cell>
          <cell r="B864" t="str">
            <v xml:space="preserve">ULTRA BC   WHITE  ( BLANCO )  </v>
          </cell>
          <cell r="C864">
            <v>3</v>
          </cell>
          <cell r="D864">
            <v>1095</v>
          </cell>
        </row>
        <row r="865">
          <cell r="A865" t="str">
            <v>U7153-1/4</v>
          </cell>
          <cell r="B865" t="str">
            <v xml:space="preserve">ULTRA LS   BLACK (NEGRO  LS)  </v>
          </cell>
          <cell r="C865">
            <v>3</v>
          </cell>
          <cell r="D865">
            <v>1095</v>
          </cell>
        </row>
        <row r="866">
          <cell r="A866" t="str">
            <v>U7154-1/4</v>
          </cell>
          <cell r="B866" t="str">
            <v xml:space="preserve">ULTRA LS  GREEN (VERDE  LS)   </v>
          </cell>
          <cell r="C866">
            <v>3</v>
          </cell>
          <cell r="D866">
            <v>1095</v>
          </cell>
        </row>
        <row r="867">
          <cell r="A867" t="str">
            <v>U7155-1/4</v>
          </cell>
          <cell r="B867" t="str">
            <v xml:space="preserve">ULTRA LS   BLUE (AZUL  LS)    </v>
          </cell>
          <cell r="C867">
            <v>3</v>
          </cell>
          <cell r="D867">
            <v>1095</v>
          </cell>
        </row>
        <row r="868">
          <cell r="A868" t="str">
            <v>U7156-1/4</v>
          </cell>
          <cell r="B868" t="str">
            <v>ULTRA LS  VIOLET (VIOLETA  LS)</v>
          </cell>
          <cell r="C868">
            <v>3</v>
          </cell>
          <cell r="D868">
            <v>1095</v>
          </cell>
        </row>
        <row r="869">
          <cell r="A869" t="str">
            <v>U7157-1/4</v>
          </cell>
          <cell r="B869" t="str">
            <v xml:space="preserve">ULTRA LS   ROJO  OXIDO  LS    </v>
          </cell>
          <cell r="C869">
            <v>3</v>
          </cell>
          <cell r="D869">
            <v>1095</v>
          </cell>
        </row>
        <row r="870">
          <cell r="A870" t="str">
            <v>U7159-1/4</v>
          </cell>
          <cell r="B870" t="str">
            <v xml:space="preserve">ULTRA LS   AMARILLO  OXIDO LS </v>
          </cell>
          <cell r="C870">
            <v>3</v>
          </cell>
          <cell r="D870">
            <v>1095</v>
          </cell>
        </row>
        <row r="871">
          <cell r="A871" t="str">
            <v>U7200-1/4</v>
          </cell>
          <cell r="B871" t="str">
            <v>ULTRA 7000 FINE BRIGHT METALIC</v>
          </cell>
          <cell r="C871">
            <v>3</v>
          </cell>
          <cell r="D871">
            <v>1095</v>
          </cell>
        </row>
        <row r="872">
          <cell r="A872" t="str">
            <v>U7201-1/4</v>
          </cell>
          <cell r="B872" t="str">
            <v xml:space="preserve">ULTRA 7000 SMALL METALLIC     </v>
          </cell>
          <cell r="C872">
            <v>3</v>
          </cell>
          <cell r="D872">
            <v>1095</v>
          </cell>
        </row>
        <row r="873">
          <cell r="A873" t="str">
            <v>U7202-1/4</v>
          </cell>
          <cell r="B873" t="str">
            <v xml:space="preserve">ULTRA 7000 MEDIUM METALLIC    </v>
          </cell>
          <cell r="C873">
            <v>3</v>
          </cell>
          <cell r="D873">
            <v>1095</v>
          </cell>
        </row>
        <row r="874">
          <cell r="A874" t="str">
            <v>U7203-1/4</v>
          </cell>
          <cell r="B874" t="str">
            <v xml:space="preserve">ULTRA 7000 LARGE METALLIC     </v>
          </cell>
          <cell r="C874">
            <v>3</v>
          </cell>
          <cell r="D874">
            <v>1095</v>
          </cell>
        </row>
        <row r="875">
          <cell r="A875" t="str">
            <v>U7204-1/4</v>
          </cell>
          <cell r="B875" t="str">
            <v xml:space="preserve">ULTRA 7000 COARSE METALLIC    </v>
          </cell>
          <cell r="C875">
            <v>3</v>
          </cell>
          <cell r="D875">
            <v>1095</v>
          </cell>
        </row>
        <row r="876">
          <cell r="A876" t="str">
            <v>U7205-1/4</v>
          </cell>
          <cell r="B876" t="str">
            <v xml:space="preserve">ULTRA 7000 PALIOCHROME GOLD   </v>
          </cell>
          <cell r="C876">
            <v>3</v>
          </cell>
          <cell r="D876">
            <v>1095</v>
          </cell>
        </row>
        <row r="877">
          <cell r="A877" t="str">
            <v>U7206-1/4</v>
          </cell>
          <cell r="B877" t="str">
            <v xml:space="preserve">ULTRA 7000 SMALL BRT METALLIC </v>
          </cell>
          <cell r="C877">
            <v>3</v>
          </cell>
          <cell r="D877">
            <v>1095</v>
          </cell>
        </row>
        <row r="878">
          <cell r="A878" t="str">
            <v>U7208-1/4</v>
          </cell>
          <cell r="B878" t="str">
            <v>ULTRA 7000 MEDIUM BRT METALLIC</v>
          </cell>
          <cell r="C878">
            <v>3</v>
          </cell>
          <cell r="D878">
            <v>1095</v>
          </cell>
        </row>
        <row r="879">
          <cell r="A879" t="str">
            <v>U7209-1/4</v>
          </cell>
          <cell r="B879" t="str">
            <v xml:space="preserve">ULTRA 7000 CLEAR BINDER       </v>
          </cell>
          <cell r="C879">
            <v>3</v>
          </cell>
          <cell r="D879">
            <v>1095</v>
          </cell>
        </row>
        <row r="880">
          <cell r="A880" t="str">
            <v>U7210-1</v>
          </cell>
          <cell r="B880" t="str">
            <v xml:space="preserve">ULTRA 7000 B/C MIXING CLEAR   </v>
          </cell>
          <cell r="C880">
            <v>3</v>
          </cell>
          <cell r="D880">
            <v>1095</v>
          </cell>
        </row>
        <row r="881">
          <cell r="A881" t="str">
            <v>U7213-1/4</v>
          </cell>
          <cell r="B881" t="str">
            <v xml:space="preserve">ULTRA 7000 GRAPHITAN          </v>
          </cell>
          <cell r="C881">
            <v>3</v>
          </cell>
          <cell r="D881">
            <v>1095</v>
          </cell>
        </row>
        <row r="882">
          <cell r="A882" t="str">
            <v>U7215-1/4</v>
          </cell>
          <cell r="B882" t="str">
            <v xml:space="preserve">ULTRA 7000 B/C MIXING CLEAR   </v>
          </cell>
          <cell r="C882">
            <v>3</v>
          </cell>
          <cell r="D882">
            <v>1095</v>
          </cell>
        </row>
        <row r="883">
          <cell r="A883" t="str">
            <v>U7221-1/4</v>
          </cell>
          <cell r="B883" t="str">
            <v>ULTRA 7000  PALIOCHROME ORANGE</v>
          </cell>
          <cell r="C883">
            <v>3</v>
          </cell>
          <cell r="D883">
            <v>1095</v>
          </cell>
        </row>
        <row r="884">
          <cell r="A884" t="str">
            <v>U7271-1/4</v>
          </cell>
          <cell r="B884" t="str">
            <v xml:space="preserve">ULTRA 7000 EFFECT ADDITIVE    </v>
          </cell>
          <cell r="C884">
            <v>3</v>
          </cell>
          <cell r="D884">
            <v>1095</v>
          </cell>
        </row>
        <row r="885">
          <cell r="A885" t="str">
            <v>U7272-1/4</v>
          </cell>
          <cell r="B885" t="str">
            <v xml:space="preserve">ULTRA LOW STRENGTH VIOLET     </v>
          </cell>
          <cell r="C885">
            <v>3</v>
          </cell>
          <cell r="D885">
            <v>1095</v>
          </cell>
        </row>
        <row r="886">
          <cell r="A886" t="str">
            <v>U7273-1/4</v>
          </cell>
          <cell r="B886" t="str">
            <v xml:space="preserve">ULTRA LOW STRENGTH RED        </v>
          </cell>
          <cell r="C886">
            <v>3</v>
          </cell>
          <cell r="D886">
            <v>1095</v>
          </cell>
        </row>
        <row r="887">
          <cell r="A887" t="str">
            <v>U7275-1/4</v>
          </cell>
          <cell r="B887" t="str">
            <v xml:space="preserve">ULTRA LOW STRENGTH YELLOW     </v>
          </cell>
          <cell r="C887">
            <v>3</v>
          </cell>
          <cell r="D887">
            <v>1095</v>
          </cell>
        </row>
        <row r="888">
          <cell r="A888" t="str">
            <v>U7276-1/4</v>
          </cell>
          <cell r="B888" t="str">
            <v xml:space="preserve">ULTRA LOW STRENGTH BLUE       </v>
          </cell>
          <cell r="C888">
            <v>3</v>
          </cell>
          <cell r="D888">
            <v>1095</v>
          </cell>
        </row>
        <row r="889">
          <cell r="A889" t="str">
            <v>U7277-1/4</v>
          </cell>
          <cell r="B889" t="str">
            <v xml:space="preserve">ULTRA TRANSP. RED SHADE BLUE  </v>
          </cell>
          <cell r="C889">
            <v>3</v>
          </cell>
          <cell r="D889">
            <v>1095</v>
          </cell>
        </row>
        <row r="890">
          <cell r="A890" t="str">
            <v>U7280-1/4</v>
          </cell>
          <cell r="B890" t="str">
            <v xml:space="preserve">ULTRA HS RED SHADE BLUE       </v>
          </cell>
          <cell r="C890">
            <v>3</v>
          </cell>
          <cell r="D890">
            <v>1095</v>
          </cell>
        </row>
        <row r="891">
          <cell r="A891" t="str">
            <v>U7281-1</v>
          </cell>
          <cell r="B891" t="str">
            <v xml:space="preserve">ULTRA 7000 DEEP BLACK         </v>
          </cell>
          <cell r="C891">
            <v>3</v>
          </cell>
          <cell r="D891">
            <v>1095</v>
          </cell>
        </row>
        <row r="892">
          <cell r="A892" t="str">
            <v>U7282-1</v>
          </cell>
          <cell r="B892" t="str">
            <v xml:space="preserve">ULTRA 7000 BC WHITE           </v>
          </cell>
          <cell r="C892">
            <v>3</v>
          </cell>
          <cell r="D892">
            <v>1095</v>
          </cell>
        </row>
        <row r="893">
          <cell r="A893" t="str">
            <v>U7282-1/4</v>
          </cell>
          <cell r="B893" t="str">
            <v xml:space="preserve">ULTRA 7000 WHITE B/C          </v>
          </cell>
          <cell r="C893">
            <v>3</v>
          </cell>
          <cell r="D893">
            <v>1095</v>
          </cell>
        </row>
        <row r="894">
          <cell r="A894" t="str">
            <v>U7283-1/4</v>
          </cell>
          <cell r="B894" t="str">
            <v xml:space="preserve">ULTRA 7000 BRILLIANT RED      </v>
          </cell>
          <cell r="C894">
            <v>3</v>
          </cell>
          <cell r="D894">
            <v>1095</v>
          </cell>
        </row>
        <row r="895">
          <cell r="A895" t="str">
            <v>U7284-1/4</v>
          </cell>
          <cell r="B895" t="str">
            <v xml:space="preserve">ULTRA 7000 SCARLET RED        </v>
          </cell>
          <cell r="C895">
            <v>3</v>
          </cell>
          <cell r="D895">
            <v>1095</v>
          </cell>
        </row>
        <row r="896">
          <cell r="A896" t="str">
            <v>U7300-1</v>
          </cell>
          <cell r="B896" t="str">
            <v xml:space="preserve">U LTRA  7000  BASECOAT  DRIER </v>
          </cell>
          <cell r="C896">
            <v>0.49863013698630138</v>
          </cell>
          <cell r="D896">
            <v>182</v>
          </cell>
        </row>
        <row r="897">
          <cell r="A897" t="str">
            <v>U7302-1</v>
          </cell>
          <cell r="B897" t="str">
            <v>ULTRA SECANTE PARA ULTRA TURBO</v>
          </cell>
          <cell r="C897">
            <v>1</v>
          </cell>
          <cell r="D897">
            <v>365</v>
          </cell>
        </row>
        <row r="898">
          <cell r="A898" t="str">
            <v>U7303</v>
          </cell>
          <cell r="B898" t="str">
            <v xml:space="preserve">ULTRA SECANTE MONOCAPA        </v>
          </cell>
          <cell r="C898">
            <v>1</v>
          </cell>
          <cell r="D898">
            <v>365</v>
          </cell>
        </row>
        <row r="899">
          <cell r="A899" t="str">
            <v>U7303-1</v>
          </cell>
          <cell r="B899" t="str">
            <v xml:space="preserve">ULTRA SECANTE MONOCAPA        </v>
          </cell>
          <cell r="C899">
            <v>1</v>
          </cell>
          <cell r="D899">
            <v>365</v>
          </cell>
        </row>
        <row r="900">
          <cell r="A900" t="str">
            <v>U7378-1</v>
          </cell>
          <cell r="B900" t="str">
            <v xml:space="preserve">ULTRA INTERIOR MIXING CLEAR   </v>
          </cell>
          <cell r="C900">
            <v>1</v>
          </cell>
          <cell r="D900">
            <v>365</v>
          </cell>
        </row>
        <row r="901">
          <cell r="A901" t="str">
            <v>U7379</v>
          </cell>
          <cell r="B901" t="str">
            <v xml:space="preserve">ULTRA TURBO MIXING CLEAR      </v>
          </cell>
          <cell r="C901">
            <v>1</v>
          </cell>
          <cell r="D901">
            <v>365</v>
          </cell>
        </row>
        <row r="902">
          <cell r="A902" t="str">
            <v>U7379-1</v>
          </cell>
          <cell r="B902" t="str">
            <v xml:space="preserve">ULTRA TURBO MIXING CLEAR      </v>
          </cell>
          <cell r="C902">
            <v>1</v>
          </cell>
          <cell r="D902">
            <v>365</v>
          </cell>
        </row>
        <row r="903">
          <cell r="A903" t="str">
            <v>U7380-1</v>
          </cell>
          <cell r="B903" t="str">
            <v xml:space="preserve">ULTRA TURBO MIXING CLEAR      </v>
          </cell>
          <cell r="C903">
            <v>1</v>
          </cell>
          <cell r="D903">
            <v>365</v>
          </cell>
        </row>
        <row r="904">
          <cell r="A904" t="str">
            <v>U7400</v>
          </cell>
          <cell r="B904" t="str">
            <v xml:space="preserve">ULTRA MIXING CLEAR TURBO      </v>
          </cell>
          <cell r="C904">
            <v>1</v>
          </cell>
          <cell r="D904">
            <v>365</v>
          </cell>
        </row>
        <row r="905">
          <cell r="A905" t="str">
            <v>U7400-1</v>
          </cell>
          <cell r="B905" t="str">
            <v xml:space="preserve">ULTRA MIXING CLEAR TURBO      </v>
          </cell>
          <cell r="C905">
            <v>1</v>
          </cell>
          <cell r="D905">
            <v>365</v>
          </cell>
        </row>
        <row r="906">
          <cell r="A906" t="str">
            <v>UB1738-1/4</v>
          </cell>
          <cell r="B906" t="str">
            <v xml:space="preserve">ULTRA  7000  BASECOAT  BLACK  </v>
          </cell>
          <cell r="C906">
            <v>2</v>
          </cell>
          <cell r="D906">
            <v>730</v>
          </cell>
        </row>
        <row r="907">
          <cell r="A907" t="str">
            <v>UB2739-1/4</v>
          </cell>
          <cell r="B907" t="str">
            <v>ULTRA 7000  BASECOAT  HS BLACK</v>
          </cell>
          <cell r="C907">
            <v>2</v>
          </cell>
          <cell r="D907">
            <v>730</v>
          </cell>
        </row>
        <row r="908">
          <cell r="A908" t="str">
            <v>UH200</v>
          </cell>
          <cell r="B908" t="str">
            <v xml:space="preserve">ULTRA HARDENER                </v>
          </cell>
          <cell r="C908">
            <v>0.5</v>
          </cell>
          <cell r="D908">
            <v>182.5</v>
          </cell>
        </row>
        <row r="909">
          <cell r="A909" t="str">
            <v>UH200-1/8</v>
          </cell>
          <cell r="B909" t="str">
            <v xml:space="preserve">ULTRA HARDENER                </v>
          </cell>
          <cell r="C909">
            <v>0.5</v>
          </cell>
          <cell r="D909">
            <v>182.5</v>
          </cell>
        </row>
        <row r="910">
          <cell r="A910" t="str">
            <v>UH70</v>
          </cell>
          <cell r="B910" t="str">
            <v xml:space="preserve">ACCELERATED HARDENER 70       </v>
          </cell>
          <cell r="C910">
            <v>0.5</v>
          </cell>
          <cell r="D910">
            <v>182.5</v>
          </cell>
        </row>
        <row r="911">
          <cell r="A911" t="str">
            <v>UH70-1/8</v>
          </cell>
          <cell r="B911" t="str">
            <v xml:space="preserve">ACCELERATED HARDENER 70       </v>
          </cell>
          <cell r="C911">
            <v>0.5</v>
          </cell>
          <cell r="D911">
            <v>182.5</v>
          </cell>
        </row>
        <row r="912">
          <cell r="A912" t="str">
            <v>UH80</v>
          </cell>
          <cell r="B912" t="str">
            <v xml:space="preserve">LOW VOC  CLEARCOAT   HARDENER </v>
          </cell>
          <cell r="C912">
            <v>0.5</v>
          </cell>
          <cell r="D912">
            <v>182.5</v>
          </cell>
        </row>
        <row r="913">
          <cell r="A913" t="str">
            <v>UH80-1/16</v>
          </cell>
          <cell r="B913" t="str">
            <v xml:space="preserve">LOW VOC  CLEARCOAT   HARDENER </v>
          </cell>
          <cell r="C913">
            <v>0.5</v>
          </cell>
          <cell r="D913">
            <v>182.5</v>
          </cell>
        </row>
        <row r="914">
          <cell r="A914" t="str">
            <v>UH80-1/4</v>
          </cell>
          <cell r="B914" t="str">
            <v xml:space="preserve">LOW VOC CLEARCOAT   HARDENER  </v>
          </cell>
          <cell r="C914">
            <v>0.5</v>
          </cell>
          <cell r="D914">
            <v>182.5</v>
          </cell>
        </row>
        <row r="915">
          <cell r="A915" t="str">
            <v>UH80-1/8</v>
          </cell>
          <cell r="B915" t="str">
            <v xml:space="preserve">LOW VOC  CLEARCOAT   HARDENER </v>
          </cell>
          <cell r="C915">
            <v>0.5</v>
          </cell>
          <cell r="D915">
            <v>182.5</v>
          </cell>
        </row>
        <row r="916">
          <cell r="A916" t="str">
            <v>UH-904</v>
          </cell>
          <cell r="B916" t="str">
            <v xml:space="preserve">CLEARCOAT HARDENER 904        </v>
          </cell>
          <cell r="C916">
            <v>0.5</v>
          </cell>
          <cell r="D916">
            <v>182.5</v>
          </cell>
        </row>
        <row r="917">
          <cell r="A917" t="str">
            <v>UH904-1/4</v>
          </cell>
          <cell r="B917" t="str">
            <v xml:space="preserve">CLEARCOAT HARDENER 904        </v>
          </cell>
          <cell r="C917">
            <v>0.5</v>
          </cell>
          <cell r="D917">
            <v>182.5</v>
          </cell>
        </row>
        <row r="918">
          <cell r="A918" t="str">
            <v>UH904-1/8</v>
          </cell>
          <cell r="B918" t="str">
            <v xml:space="preserve">CLEARCOAT HARDENER 904        </v>
          </cell>
          <cell r="C918">
            <v>0.5</v>
          </cell>
          <cell r="D918">
            <v>182.5</v>
          </cell>
        </row>
        <row r="919">
          <cell r="A919" t="str">
            <v>UHG40-1/4</v>
          </cell>
          <cell r="B919" t="str">
            <v xml:space="preserve">ULTRA ABRILLANTADOR   MANUAL  </v>
          </cell>
          <cell r="C919">
            <v>0.5</v>
          </cell>
          <cell r="D919">
            <v>182.5</v>
          </cell>
        </row>
        <row r="920">
          <cell r="A920" t="str">
            <v>UMG30-1/4</v>
          </cell>
          <cell r="B920" t="str">
            <v>ULTRA ABRILLANTADOR    MAQUINA</v>
          </cell>
          <cell r="C920">
            <v>0.49863013698630138</v>
          </cell>
          <cell r="D920">
            <v>182</v>
          </cell>
        </row>
        <row r="921">
          <cell r="A921" t="str">
            <v>UPC10-1/4</v>
          </cell>
          <cell r="B921" t="str">
            <v xml:space="preserve">ULTRA  PULIDOR MANUAL         </v>
          </cell>
          <cell r="C921">
            <v>0.49863013698630138</v>
          </cell>
          <cell r="D921">
            <v>182</v>
          </cell>
        </row>
        <row r="922">
          <cell r="A922" t="str">
            <v>UPL20-1/4</v>
          </cell>
          <cell r="B922" t="str">
            <v xml:space="preserve">ULTRA  PULIDOR A MÁQUINA      </v>
          </cell>
          <cell r="C922">
            <v>0.49863013698630138</v>
          </cell>
          <cell r="D922">
            <v>182</v>
          </cell>
        </row>
        <row r="923">
          <cell r="A923" t="str">
            <v>UPO7226-1/4</v>
          </cell>
          <cell r="B923" t="str">
            <v xml:space="preserve">PROMOTER DE ADHESION  CLEAR   </v>
          </cell>
          <cell r="C923">
            <v>1</v>
          </cell>
          <cell r="D923">
            <v>365</v>
          </cell>
        </row>
        <row r="924">
          <cell r="A924" t="str">
            <v>UPO7226-SPRAY</v>
          </cell>
          <cell r="B924" t="str">
            <v xml:space="preserve">PROMOTER DE ADHESION  CLEAR   </v>
          </cell>
          <cell r="C924">
            <v>1</v>
          </cell>
          <cell r="D924">
            <v>365</v>
          </cell>
        </row>
        <row r="925">
          <cell r="A925" t="str">
            <v>UPO7227-1/4</v>
          </cell>
          <cell r="B925" t="str">
            <v xml:space="preserve">PROMOTER DE ADHESION  NEGRO   </v>
          </cell>
          <cell r="C925">
            <v>1</v>
          </cell>
          <cell r="D925">
            <v>365</v>
          </cell>
        </row>
        <row r="926">
          <cell r="A926" t="str">
            <v>UPO7227-SPRAY</v>
          </cell>
          <cell r="B926" t="str">
            <v xml:space="preserve">PROMOTER DE ADHESION  NEGRO   </v>
          </cell>
          <cell r="C926">
            <v>1</v>
          </cell>
          <cell r="D926">
            <v>365</v>
          </cell>
        </row>
        <row r="927">
          <cell r="A927" t="str">
            <v>US1739-1/4</v>
          </cell>
          <cell r="B927" t="str">
            <v xml:space="preserve">ULTRA  ONE  STAGE NEGRO  MATE </v>
          </cell>
          <cell r="C927">
            <v>1</v>
          </cell>
          <cell r="D927">
            <v>365</v>
          </cell>
        </row>
        <row r="928">
          <cell r="A928" t="str">
            <v>US6080</v>
          </cell>
          <cell r="B928" t="str">
            <v xml:space="preserve">ULTRA  SOLV  # 2   RAPIDO     </v>
          </cell>
          <cell r="C928">
            <v>0.49863013698630138</v>
          </cell>
          <cell r="D928">
            <v>182</v>
          </cell>
        </row>
        <row r="929">
          <cell r="A929" t="str">
            <v>US6080-1</v>
          </cell>
          <cell r="B929" t="str">
            <v xml:space="preserve">ULTRA  SOLV  # 2   RAPIDO     </v>
          </cell>
          <cell r="C929">
            <v>0.49863013698630138</v>
          </cell>
          <cell r="D929">
            <v>182</v>
          </cell>
        </row>
        <row r="930">
          <cell r="A930" t="str">
            <v>US7590</v>
          </cell>
          <cell r="B930" t="str">
            <v xml:space="preserve">ULTRA  SOLV  # 3   MEDIANO    </v>
          </cell>
          <cell r="C930">
            <v>0.49863013698630138</v>
          </cell>
          <cell r="D930">
            <v>182</v>
          </cell>
        </row>
        <row r="931">
          <cell r="A931" t="str">
            <v>US7590-1</v>
          </cell>
          <cell r="B931" t="str">
            <v xml:space="preserve">ULTRA  SOLV  # 3   MEDIANO    </v>
          </cell>
          <cell r="C931">
            <v>0.49863013698630138</v>
          </cell>
          <cell r="D931">
            <v>182</v>
          </cell>
        </row>
        <row r="932">
          <cell r="A932" t="str">
            <v>US8095</v>
          </cell>
          <cell r="B932" t="str">
            <v xml:space="preserve">ULTRA  SOLV  # 5   LENTO      </v>
          </cell>
          <cell r="C932">
            <v>0.49863013698630138</v>
          </cell>
          <cell r="D932">
            <v>182</v>
          </cell>
        </row>
        <row r="933">
          <cell r="A933" t="str">
            <v>US8095-1</v>
          </cell>
          <cell r="B933" t="str">
            <v xml:space="preserve">ULTRA  SOLV  # 5   LENTO      </v>
          </cell>
          <cell r="C933">
            <v>0.49863013698630138</v>
          </cell>
          <cell r="D933">
            <v>182</v>
          </cell>
        </row>
        <row r="934">
          <cell r="A934" t="str">
            <v>USP90-21.ONZAS</v>
          </cell>
          <cell r="B934" t="str">
            <v xml:space="preserve">PASTA PARA MATIZAR            </v>
          </cell>
          <cell r="C934">
            <v>0.49863013698630138</v>
          </cell>
          <cell r="D934">
            <v>182</v>
          </cell>
        </row>
        <row r="935">
          <cell r="A935" t="str">
            <v>USS1738-1/4</v>
          </cell>
          <cell r="B935" t="str">
            <v xml:space="preserve">ULTRA  ONE  STAGE NEGRO  BRTE </v>
          </cell>
          <cell r="C935">
            <v>1</v>
          </cell>
          <cell r="D935">
            <v>365</v>
          </cell>
        </row>
        <row r="936">
          <cell r="A936" t="str">
            <v>V2V173</v>
          </cell>
          <cell r="B936" t="str">
            <v xml:space="preserve">KEM TRANSP MIX ENAM CLEAR     </v>
          </cell>
          <cell r="C936">
            <v>0.49863013698630138</v>
          </cell>
          <cell r="D936">
            <v>182</v>
          </cell>
        </row>
        <row r="937">
          <cell r="A937" t="str">
            <v>V2V173-1</v>
          </cell>
          <cell r="B937" t="str">
            <v xml:space="preserve">KEM TRANSP MIX ENAM CLEAR     </v>
          </cell>
          <cell r="C937">
            <v>0.49863013698630138</v>
          </cell>
          <cell r="D937">
            <v>182</v>
          </cell>
        </row>
        <row r="938">
          <cell r="A938" t="str">
            <v>V2V269-1</v>
          </cell>
          <cell r="B938" t="str">
            <v xml:space="preserve">TRANSP./ /MEZCLA ONE STAGE    </v>
          </cell>
          <cell r="C938">
            <v>0.49863013698630138</v>
          </cell>
          <cell r="D938">
            <v>182</v>
          </cell>
        </row>
        <row r="939">
          <cell r="A939" t="str">
            <v>V2VSA1</v>
          </cell>
          <cell r="B939" t="str">
            <v xml:space="preserve">CATALIZADOR DE JET BOND  1/4' </v>
          </cell>
          <cell r="C939">
            <v>0.49863013698630138</v>
          </cell>
          <cell r="D939">
            <v>182</v>
          </cell>
        </row>
        <row r="940">
          <cell r="A940" t="str">
            <v>V2VSA1-1.ONZ</v>
          </cell>
          <cell r="B940" t="str">
            <v xml:space="preserve">CATALIZADOR DE JET BOND  1/4' </v>
          </cell>
          <cell r="C940">
            <v>0.49863013698630138</v>
          </cell>
          <cell r="D940">
            <v>182</v>
          </cell>
        </row>
        <row r="941">
          <cell r="A941" t="str">
            <v>V2VSA1-4.ONZ</v>
          </cell>
          <cell r="B941" t="str">
            <v xml:space="preserve">CATALIZADOR DE JET BOND  1's  </v>
          </cell>
          <cell r="C941">
            <v>0.49863013698630138</v>
          </cell>
          <cell r="D941">
            <v>182</v>
          </cell>
        </row>
        <row r="942">
          <cell r="A942" t="str">
            <v>V3K780-1/8</v>
          </cell>
          <cell r="B942" t="str">
            <v xml:space="preserve">ELIMINADOR OJO DE PESCADO     </v>
          </cell>
          <cell r="C942">
            <v>0.49863013698630138</v>
          </cell>
          <cell r="D942">
            <v>182</v>
          </cell>
        </row>
        <row r="943">
          <cell r="A943" t="str">
            <v>V6V253</v>
          </cell>
          <cell r="B943" t="str">
            <v xml:space="preserve">CONVERTIDOR  A   POLYURETANO  </v>
          </cell>
          <cell r="C943">
            <v>0.49863013698630138</v>
          </cell>
          <cell r="D943">
            <v>182</v>
          </cell>
        </row>
        <row r="944">
          <cell r="A944" t="str">
            <v>V6V253-1/16</v>
          </cell>
          <cell r="B944" t="str">
            <v xml:space="preserve">CONVERTIDOR  A   POLYURETANO  </v>
          </cell>
          <cell r="C944">
            <v>0.49863013698630138</v>
          </cell>
          <cell r="D944">
            <v>182</v>
          </cell>
        </row>
        <row r="945">
          <cell r="A945" t="str">
            <v>V6V283</v>
          </cell>
          <cell r="B945" t="str">
            <v>CATALIZADOR P/ POLYURET TRANSP</v>
          </cell>
          <cell r="C945">
            <v>0.49863013698630138</v>
          </cell>
          <cell r="D945">
            <v>182</v>
          </cell>
        </row>
        <row r="946">
          <cell r="A946" t="str">
            <v>V6V283-1/8</v>
          </cell>
          <cell r="B946" t="str">
            <v>CATALIZADOR P/ POLYURET TRANSP</v>
          </cell>
          <cell r="C946">
            <v>0.49863013698630138</v>
          </cell>
          <cell r="D946">
            <v>182</v>
          </cell>
        </row>
        <row r="947">
          <cell r="A947" t="str">
            <v>V6V299</v>
          </cell>
          <cell r="B947" t="str">
            <v xml:space="preserve">ADITIVO FLEXIBILIZANTE        </v>
          </cell>
          <cell r="C947">
            <v>0.49863013698630138</v>
          </cell>
          <cell r="D947">
            <v>182</v>
          </cell>
        </row>
        <row r="948">
          <cell r="A948" t="str">
            <v>V6V299-1/16</v>
          </cell>
          <cell r="B948" t="str">
            <v xml:space="preserve">ADITIVO FLEXIBILIZANTE        </v>
          </cell>
          <cell r="C948">
            <v>0.49863013698630138</v>
          </cell>
          <cell r="D948">
            <v>182</v>
          </cell>
        </row>
        <row r="949">
          <cell r="A949" t="str">
            <v>V6V299-1/8</v>
          </cell>
          <cell r="B949" t="str">
            <v xml:space="preserve">ADITIVO FLEXIBILIZANTE        </v>
          </cell>
          <cell r="C949">
            <v>0.49863013698630138</v>
          </cell>
          <cell r="D949">
            <v>182</v>
          </cell>
        </row>
        <row r="950">
          <cell r="A950" t="str">
            <v>V6V301-1</v>
          </cell>
          <cell r="B950" t="str">
            <v xml:space="preserve">SECANTE PARA ONE STAGE        </v>
          </cell>
          <cell r="C950">
            <v>0.49863013698630138</v>
          </cell>
          <cell r="D950">
            <v>182</v>
          </cell>
        </row>
        <row r="951">
          <cell r="A951" t="str">
            <v>V6V376</v>
          </cell>
          <cell r="B951" t="str">
            <v xml:space="preserve">CATALIZADOR DE URETHANO       </v>
          </cell>
          <cell r="C951">
            <v>0.49863013698630138</v>
          </cell>
          <cell r="D951">
            <v>182</v>
          </cell>
        </row>
        <row r="952">
          <cell r="A952" t="str">
            <v>V6V376-1/16</v>
          </cell>
          <cell r="B952" t="str">
            <v xml:space="preserve">CATALIZADOR DE URETHANO       </v>
          </cell>
          <cell r="C952">
            <v>0.49863013698630138</v>
          </cell>
          <cell r="D952">
            <v>182</v>
          </cell>
        </row>
        <row r="953">
          <cell r="A953" t="str">
            <v>V6V5</v>
          </cell>
          <cell r="B953" t="str">
            <v xml:space="preserve">KEM-MIX (SECANTE)             </v>
          </cell>
          <cell r="C953">
            <v>0.49863013698630138</v>
          </cell>
          <cell r="D953">
            <v>182</v>
          </cell>
        </row>
        <row r="954">
          <cell r="A954" t="str">
            <v>V6V501-1</v>
          </cell>
          <cell r="B954" t="str">
            <v xml:space="preserve">TRANSP. P /ENTREMEZCLA        </v>
          </cell>
          <cell r="C954">
            <v>0.49863013698630138</v>
          </cell>
          <cell r="D954">
            <v>182</v>
          </cell>
        </row>
        <row r="955">
          <cell r="A955" t="str">
            <v>V6V5-1</v>
          </cell>
          <cell r="B955" t="str">
            <v xml:space="preserve">KEM-MIX  SECANTE P/ESMALTE    </v>
          </cell>
          <cell r="C955">
            <v>0.49863013698630138</v>
          </cell>
          <cell r="D955">
            <v>182</v>
          </cell>
        </row>
        <row r="956">
          <cell r="A956" t="str">
            <v>V6V5-SP</v>
          </cell>
          <cell r="B956" t="str">
            <v xml:space="preserve">KEM MIX LEAD FREE             </v>
          </cell>
          <cell r="C956">
            <v>0.49863013698630138</v>
          </cell>
          <cell r="D956">
            <v>182</v>
          </cell>
        </row>
        <row r="957">
          <cell r="A957" t="str">
            <v>V6V5SP-1</v>
          </cell>
          <cell r="B957" t="str">
            <v xml:space="preserve">KEM MIX SECANTE P/ESMALTE SP  </v>
          </cell>
          <cell r="C957">
            <v>0.49863013698630138</v>
          </cell>
          <cell r="D957">
            <v>182</v>
          </cell>
        </row>
        <row r="958">
          <cell r="A958" t="str">
            <v>V6V690</v>
          </cell>
          <cell r="B958" t="str">
            <v xml:space="preserve">CATALIZADOR POLIURETANO       </v>
          </cell>
          <cell r="C958">
            <v>0.49863013698630138</v>
          </cell>
          <cell r="D958">
            <v>182</v>
          </cell>
        </row>
        <row r="959">
          <cell r="A959" t="str">
            <v>V6V690-1/16</v>
          </cell>
          <cell r="B959" t="str">
            <v xml:space="preserve">CATALIZADOR POLIURETANO       </v>
          </cell>
          <cell r="C959">
            <v>0.49863013698630138</v>
          </cell>
          <cell r="D959">
            <v>182</v>
          </cell>
        </row>
        <row r="960">
          <cell r="A960" t="str">
            <v>V6V79</v>
          </cell>
          <cell r="B960" t="str">
            <v xml:space="preserve">ULTRA-FILL  I I   HARDENER .  </v>
          </cell>
          <cell r="C960">
            <v>0.49863013698630138</v>
          </cell>
          <cell r="D960">
            <v>182</v>
          </cell>
        </row>
        <row r="961">
          <cell r="A961" t="str">
            <v>V6V79-1/16</v>
          </cell>
          <cell r="B961" t="str">
            <v xml:space="preserve">ULTRA-FILL  I I   HARDENER .  </v>
          </cell>
          <cell r="C961">
            <v>0.49863013698630138</v>
          </cell>
          <cell r="D961">
            <v>182</v>
          </cell>
        </row>
        <row r="962">
          <cell r="A962" t="str">
            <v>V6V79-1/8</v>
          </cell>
          <cell r="B962" t="str">
            <v xml:space="preserve">ULTRA-FILL  I I   HARDENER .  </v>
          </cell>
          <cell r="C962">
            <v>0.49863013698630138</v>
          </cell>
          <cell r="D962">
            <v>182</v>
          </cell>
        </row>
        <row r="963">
          <cell r="A963" t="str">
            <v>V82VSA1</v>
          </cell>
          <cell r="B963" t="str">
            <v>BARNIZ BRILLAN P/MUEBLES CLEAR</v>
          </cell>
          <cell r="C963">
            <v>0.5</v>
          </cell>
          <cell r="D963">
            <v>182.5</v>
          </cell>
        </row>
        <row r="964">
          <cell r="A964" t="str">
            <v>V82VSA1-1</v>
          </cell>
          <cell r="B964" t="str">
            <v xml:space="preserve">BARNIZ BRTE P/MUEBLES CLEAR   </v>
          </cell>
          <cell r="C964">
            <v>0.5</v>
          </cell>
          <cell r="D964">
            <v>182.5</v>
          </cell>
        </row>
        <row r="965">
          <cell r="A965" t="str">
            <v>V82VSA1-1/4</v>
          </cell>
          <cell r="B965" t="str">
            <v xml:space="preserve">BARNIZ BRTE P/MUEBLES CLEAR   </v>
          </cell>
          <cell r="C965">
            <v>0.5</v>
          </cell>
          <cell r="D965">
            <v>182.5</v>
          </cell>
        </row>
        <row r="966">
          <cell r="A966" t="str">
            <v>W4K263</v>
          </cell>
          <cell r="B966" t="str">
            <v xml:space="preserve">DUAL -  ETCH   METAL  CLEANER </v>
          </cell>
          <cell r="C966">
            <v>0.5</v>
          </cell>
          <cell r="D966">
            <v>182.5</v>
          </cell>
        </row>
        <row r="967">
          <cell r="A967" t="str">
            <v>W4K263-1</v>
          </cell>
          <cell r="B967" t="str">
            <v xml:space="preserve">DUAL -  ETCH   METAL  CLEANER </v>
          </cell>
          <cell r="C967">
            <v>0.49863013698630138</v>
          </cell>
          <cell r="D967">
            <v>182</v>
          </cell>
        </row>
        <row r="968">
          <cell r="A968" t="str">
            <v>W4K288-1</v>
          </cell>
          <cell r="B968" t="str">
            <v xml:space="preserve">MET- L- ETCH   STEEL  CLEANER </v>
          </cell>
          <cell r="C968">
            <v>0.49863013698630138</v>
          </cell>
          <cell r="D968">
            <v>182</v>
          </cell>
        </row>
        <row r="969">
          <cell r="A969" t="str">
            <v>W4K289-1</v>
          </cell>
          <cell r="B969" t="str">
            <v xml:space="preserve">MET- L- MATE   FOSFATIZANTE   </v>
          </cell>
          <cell r="C969">
            <v>0.49863013698630138</v>
          </cell>
          <cell r="D969">
            <v>182</v>
          </cell>
        </row>
        <row r="970">
          <cell r="A970" t="str">
            <v>W7A2250-1</v>
          </cell>
          <cell r="B970" t="str">
            <v>AQUA-FILL  WATER BORNE  PRIMER</v>
          </cell>
          <cell r="C970">
            <v>0.49863013698630138</v>
          </cell>
          <cell r="D970">
            <v>182</v>
          </cell>
        </row>
        <row r="971">
          <cell r="A971" t="str">
            <v>B69V3</v>
          </cell>
          <cell r="B971" t="str">
            <v xml:space="preserve">ZINC CLAD II ETHYL SILICATE   </v>
          </cell>
          <cell r="C971">
            <v>0.73972602739726023</v>
          </cell>
          <cell r="D971">
            <v>270</v>
          </cell>
        </row>
        <row r="972">
          <cell r="A972" t="str">
            <v>B69V3-3-75</v>
          </cell>
          <cell r="B972" t="str">
            <v xml:space="preserve">ZINC CLAD II ETHYL SILICATE   </v>
          </cell>
          <cell r="C972">
            <v>0.73972602739726023</v>
          </cell>
          <cell r="D972">
            <v>270</v>
          </cell>
        </row>
        <row r="973">
          <cell r="A973" t="str">
            <v>A14NSA6</v>
          </cell>
          <cell r="B973" t="str">
            <v xml:space="preserve">EXTERIOR STAIN CEDAR          </v>
          </cell>
          <cell r="C973">
            <v>1</v>
          </cell>
          <cell r="D973">
            <v>365</v>
          </cell>
        </row>
        <row r="974">
          <cell r="A974" t="str">
            <v>A14NSA6-1</v>
          </cell>
          <cell r="B974" t="str">
            <v xml:space="preserve">EXTERIOR STAIN CEDAR          </v>
          </cell>
          <cell r="C974">
            <v>1</v>
          </cell>
          <cell r="D974">
            <v>365</v>
          </cell>
        </row>
        <row r="975">
          <cell r="A975" t="str">
            <v>A44WSA3</v>
          </cell>
          <cell r="B975" t="str">
            <v>TEXTURE PAINT BLANCO GRANULADO</v>
          </cell>
          <cell r="C975">
            <v>1</v>
          </cell>
          <cell r="D975">
            <v>365</v>
          </cell>
        </row>
        <row r="976">
          <cell r="A976" t="str">
            <v>A44WSA3-1</v>
          </cell>
          <cell r="B976" t="str">
            <v>TEXTURE PAINT BLANCO GRANULADO</v>
          </cell>
          <cell r="C976">
            <v>1</v>
          </cell>
          <cell r="D976">
            <v>365</v>
          </cell>
        </row>
        <row r="977">
          <cell r="A977" t="str">
            <v>A44WSA3-5</v>
          </cell>
          <cell r="B977" t="str">
            <v>TEXTURE PAINT BLANCO GRANULADO</v>
          </cell>
          <cell r="C977">
            <v>1</v>
          </cell>
          <cell r="D977">
            <v>365</v>
          </cell>
        </row>
        <row r="978">
          <cell r="A978" t="str">
            <v>A44WSA4</v>
          </cell>
          <cell r="B978" t="str">
            <v xml:space="preserve">TEXTURE PAINT BLANCO LISO     </v>
          </cell>
          <cell r="C978">
            <v>1</v>
          </cell>
          <cell r="D978">
            <v>365</v>
          </cell>
        </row>
        <row r="979">
          <cell r="A979" t="str">
            <v>A44WSA4-1</v>
          </cell>
          <cell r="B979" t="str">
            <v xml:space="preserve">TEXTURE PAINT BLANCO LISO     </v>
          </cell>
          <cell r="C979">
            <v>1</v>
          </cell>
          <cell r="D979">
            <v>365</v>
          </cell>
        </row>
        <row r="980">
          <cell r="A980" t="str">
            <v>A44WSA4-5</v>
          </cell>
          <cell r="B980" t="str">
            <v xml:space="preserve">TEXTURE PAINT BLANCO LISO     </v>
          </cell>
          <cell r="C980">
            <v>1</v>
          </cell>
          <cell r="D980">
            <v>365</v>
          </cell>
        </row>
        <row r="981">
          <cell r="A981" t="str">
            <v>A44WSA5</v>
          </cell>
          <cell r="B981" t="str">
            <v xml:space="preserve">TEXTURE PAINT GRAN BLANCO ANT </v>
          </cell>
          <cell r="C981">
            <v>1</v>
          </cell>
          <cell r="D981">
            <v>365</v>
          </cell>
        </row>
        <row r="982">
          <cell r="A982" t="str">
            <v>A44WSA5-5</v>
          </cell>
          <cell r="B982" t="str">
            <v xml:space="preserve">TEXTURE PAINT GRAN BLANCO ANT </v>
          </cell>
          <cell r="C982">
            <v>1</v>
          </cell>
          <cell r="D982">
            <v>365</v>
          </cell>
        </row>
        <row r="983">
          <cell r="A983" t="str">
            <v>A46T6</v>
          </cell>
          <cell r="B983" t="str">
            <v>ILLUSION  FAUX FIN GLAZ LIQUID</v>
          </cell>
          <cell r="C983">
            <v>1</v>
          </cell>
          <cell r="D983">
            <v>365</v>
          </cell>
        </row>
        <row r="984">
          <cell r="A984" t="str">
            <v>A46T6-1/4</v>
          </cell>
          <cell r="B984" t="str">
            <v>ILLUSION  FAUX FIN GLAZ LIQUID</v>
          </cell>
          <cell r="C984">
            <v>1</v>
          </cell>
          <cell r="D984">
            <v>365</v>
          </cell>
        </row>
        <row r="985">
          <cell r="A985" t="str">
            <v>A51B8</v>
          </cell>
          <cell r="B985" t="str">
            <v xml:space="preserve">PINTURA PARA PIZARRA NEGRO    </v>
          </cell>
          <cell r="C985">
            <v>1</v>
          </cell>
          <cell r="D985">
            <v>365</v>
          </cell>
        </row>
        <row r="986">
          <cell r="A986" t="str">
            <v>A51B8-1</v>
          </cell>
          <cell r="B986" t="str">
            <v xml:space="preserve">PINTURA PARA PIZARRA NEGRO    </v>
          </cell>
          <cell r="C986">
            <v>1</v>
          </cell>
          <cell r="D986">
            <v>365</v>
          </cell>
        </row>
        <row r="987">
          <cell r="A987" t="str">
            <v>A51B8-1/4</v>
          </cell>
          <cell r="B987" t="str">
            <v xml:space="preserve">PINTURA PARA PIZARRA NEGRO    </v>
          </cell>
          <cell r="C987">
            <v>1</v>
          </cell>
          <cell r="D987">
            <v>365</v>
          </cell>
        </row>
        <row r="988">
          <cell r="A988" t="str">
            <v>A51G67</v>
          </cell>
          <cell r="B988" t="str">
            <v xml:space="preserve">PINTURA PARA PIZARRA VERDE    </v>
          </cell>
          <cell r="C988">
            <v>1</v>
          </cell>
          <cell r="D988">
            <v>365</v>
          </cell>
        </row>
        <row r="989">
          <cell r="A989" t="str">
            <v>A51G67-1</v>
          </cell>
          <cell r="B989" t="str">
            <v xml:space="preserve">PINTURA PARA PIZARRA VERDE    </v>
          </cell>
          <cell r="C989">
            <v>1</v>
          </cell>
          <cell r="D989">
            <v>365</v>
          </cell>
        </row>
        <row r="990">
          <cell r="A990" t="str">
            <v>A51G67-1/4</v>
          </cell>
          <cell r="B990" t="str">
            <v xml:space="preserve">PINTURA PARA PIZARRA VERDE    </v>
          </cell>
          <cell r="C990">
            <v>1</v>
          </cell>
          <cell r="D990">
            <v>365</v>
          </cell>
        </row>
        <row r="991">
          <cell r="A991" t="str">
            <v>A5ASA4</v>
          </cell>
          <cell r="B991" t="str">
            <v>RECUBRIM GRIS P/AISLAMIE TERMI</v>
          </cell>
          <cell r="C991">
            <v>3</v>
          </cell>
          <cell r="D991">
            <v>1095</v>
          </cell>
        </row>
        <row r="992">
          <cell r="A992" t="str">
            <v>A5ASA4-1</v>
          </cell>
          <cell r="B992" t="str">
            <v>RECUBRIM GRIS P/AISLAMIE TERMI</v>
          </cell>
          <cell r="C992">
            <v>3</v>
          </cell>
          <cell r="D992">
            <v>1095</v>
          </cell>
        </row>
        <row r="993">
          <cell r="A993" t="str">
            <v>A5G70</v>
          </cell>
          <cell r="B993" t="str">
            <v xml:space="preserve">PINT PARA PISCINAS VERDE MAR  </v>
          </cell>
          <cell r="C993">
            <v>2</v>
          </cell>
          <cell r="D993">
            <v>730</v>
          </cell>
        </row>
        <row r="994">
          <cell r="A994" t="str">
            <v>A5G70-1</v>
          </cell>
          <cell r="B994" t="str">
            <v xml:space="preserve">PINT PARA PISCINAS VERDE MAR  </v>
          </cell>
          <cell r="C994">
            <v>2</v>
          </cell>
          <cell r="D994">
            <v>730</v>
          </cell>
        </row>
        <row r="995">
          <cell r="A995" t="str">
            <v>A5L25</v>
          </cell>
          <cell r="B995" t="str">
            <v xml:space="preserve">PINT P/PISCINAS AZUL CRISTAL  </v>
          </cell>
          <cell r="C995">
            <v>2</v>
          </cell>
          <cell r="D995">
            <v>730</v>
          </cell>
        </row>
        <row r="996">
          <cell r="A996" t="str">
            <v>A5L25-1</v>
          </cell>
          <cell r="B996" t="str">
            <v xml:space="preserve">PINT P/PISCINAS AZUL CRISTAL  </v>
          </cell>
          <cell r="C996">
            <v>2</v>
          </cell>
          <cell r="D996">
            <v>730</v>
          </cell>
        </row>
        <row r="997">
          <cell r="A997" t="str">
            <v>A5L25-1/4</v>
          </cell>
          <cell r="B997" t="str">
            <v xml:space="preserve">PINT P/PISCINAS AZUL CRISTAL  </v>
          </cell>
          <cell r="C997">
            <v>2</v>
          </cell>
          <cell r="D997">
            <v>730</v>
          </cell>
        </row>
        <row r="998">
          <cell r="A998" t="str">
            <v>A5LSA5</v>
          </cell>
          <cell r="B998" t="str">
            <v>SWIMMING POOL PAINT LIGHT BLUE</v>
          </cell>
          <cell r="C998">
            <v>2</v>
          </cell>
          <cell r="D998">
            <v>730</v>
          </cell>
        </row>
        <row r="999">
          <cell r="A999" t="str">
            <v>A5LSA5-1</v>
          </cell>
          <cell r="B999" t="str">
            <v>SWIMMING POOL PAINT LIGHT BLUE</v>
          </cell>
          <cell r="C999">
            <v>2</v>
          </cell>
          <cell r="D999">
            <v>730</v>
          </cell>
        </row>
        <row r="1000">
          <cell r="A1000" t="str">
            <v>A5LSA6</v>
          </cell>
          <cell r="B1000" t="str">
            <v xml:space="preserve">PINT P/PISCINAS AZUL CARIBE   </v>
          </cell>
          <cell r="C1000">
            <v>2</v>
          </cell>
          <cell r="D1000">
            <v>730</v>
          </cell>
        </row>
        <row r="1001">
          <cell r="A1001" t="str">
            <v>A5LSA6-1</v>
          </cell>
          <cell r="B1001" t="str">
            <v xml:space="preserve">PINT P/PISCINAS AZUL CARIBE   </v>
          </cell>
          <cell r="C1001">
            <v>2</v>
          </cell>
          <cell r="D1001">
            <v>730</v>
          </cell>
        </row>
        <row r="1002">
          <cell r="A1002" t="str">
            <v>A5LSA6-1/4</v>
          </cell>
          <cell r="B1002" t="str">
            <v>SWIMMING POOL PAINT AZUL CARIB</v>
          </cell>
          <cell r="C1002">
            <v>2</v>
          </cell>
          <cell r="D1002">
            <v>730</v>
          </cell>
        </row>
        <row r="1003">
          <cell r="A1003" t="str">
            <v>A5V3</v>
          </cell>
          <cell r="B1003" t="str">
            <v xml:space="preserve">SELLADOR PARA GYPSUM 0        </v>
          </cell>
          <cell r="C1003">
            <v>2</v>
          </cell>
          <cell r="D1003">
            <v>730</v>
          </cell>
        </row>
        <row r="1004">
          <cell r="A1004" t="str">
            <v>A5V3-1</v>
          </cell>
          <cell r="B1004" t="str">
            <v xml:space="preserve">SELLADOR PARA GYPSUM          </v>
          </cell>
          <cell r="C1004">
            <v>2</v>
          </cell>
          <cell r="D1004">
            <v>730</v>
          </cell>
        </row>
        <row r="1005">
          <cell r="A1005" t="str">
            <v>A5V3-1/4</v>
          </cell>
          <cell r="B1005" t="str">
            <v xml:space="preserve">SELLADOR PARA GYPSUM          </v>
          </cell>
          <cell r="C1005">
            <v>2</v>
          </cell>
          <cell r="D1005">
            <v>730</v>
          </cell>
        </row>
        <row r="1006">
          <cell r="A1006" t="str">
            <v>A5V3-5</v>
          </cell>
          <cell r="B1006" t="str">
            <v xml:space="preserve">SELLADOR PARA GYPSUM          </v>
          </cell>
          <cell r="C1006">
            <v>2</v>
          </cell>
          <cell r="D1006">
            <v>730</v>
          </cell>
        </row>
        <row r="1007">
          <cell r="A1007" t="str">
            <v>A5W41</v>
          </cell>
          <cell r="B1007" t="str">
            <v xml:space="preserve">PINTURA PARA PISCINAS BLANCO  </v>
          </cell>
          <cell r="C1007">
            <v>2</v>
          </cell>
          <cell r="D1007">
            <v>730</v>
          </cell>
        </row>
        <row r="1008">
          <cell r="A1008" t="str">
            <v>A5W41-1</v>
          </cell>
          <cell r="B1008" t="str">
            <v xml:space="preserve">PINTURA PARA PISCINAS BLANCO  </v>
          </cell>
          <cell r="C1008">
            <v>2</v>
          </cell>
          <cell r="D1008">
            <v>730</v>
          </cell>
        </row>
        <row r="1009">
          <cell r="A1009" t="str">
            <v>A67V4</v>
          </cell>
          <cell r="B1009" t="str">
            <v xml:space="preserve">BARNIZ MARINO                 </v>
          </cell>
          <cell r="C1009">
            <v>3</v>
          </cell>
          <cell r="D1009">
            <v>1095</v>
          </cell>
        </row>
        <row r="1010">
          <cell r="A1010" t="str">
            <v>A67V4-1</v>
          </cell>
          <cell r="B1010" t="str">
            <v xml:space="preserve">BARNIZ MARINO                 </v>
          </cell>
          <cell r="C1010">
            <v>3</v>
          </cell>
          <cell r="D1010">
            <v>1095</v>
          </cell>
        </row>
        <row r="1011">
          <cell r="A1011" t="str">
            <v>A67V4-1/4</v>
          </cell>
          <cell r="B1011" t="str">
            <v xml:space="preserve">BARNIZ MARINO                 </v>
          </cell>
          <cell r="C1011">
            <v>3</v>
          </cell>
          <cell r="D1011">
            <v>1095</v>
          </cell>
        </row>
        <row r="1012">
          <cell r="A1012" t="str">
            <v>A68GSA1</v>
          </cell>
          <cell r="B1012" t="str">
            <v>GALVITE PINTURA P TECHOS VERDE</v>
          </cell>
          <cell r="C1012">
            <v>1</v>
          </cell>
          <cell r="D1012">
            <v>365</v>
          </cell>
        </row>
        <row r="1013">
          <cell r="A1013" t="str">
            <v>A68GSA1-1</v>
          </cell>
          <cell r="B1013" t="str">
            <v>GALVITE PINTURA P TECHOS VERDE</v>
          </cell>
          <cell r="C1013">
            <v>1</v>
          </cell>
          <cell r="D1013">
            <v>365</v>
          </cell>
        </row>
        <row r="1014">
          <cell r="A1014" t="str">
            <v>A68RSA1</v>
          </cell>
          <cell r="B1014" t="str">
            <v xml:space="preserve">GALVITE PINTURA P TECHOS ROJO </v>
          </cell>
          <cell r="C1014">
            <v>1</v>
          </cell>
          <cell r="D1014">
            <v>365</v>
          </cell>
        </row>
        <row r="1015">
          <cell r="A1015" t="str">
            <v>A68RSA1-1</v>
          </cell>
          <cell r="B1015" t="str">
            <v xml:space="preserve">GALVITE PINTURA P TECHOS ROJO </v>
          </cell>
          <cell r="C1015">
            <v>1</v>
          </cell>
          <cell r="D1015">
            <v>365</v>
          </cell>
        </row>
        <row r="1016">
          <cell r="A1016" t="str">
            <v>A68WSA1</v>
          </cell>
          <cell r="B1016" t="str">
            <v xml:space="preserve">GALVITE PINT P TECHOS BLANCO  </v>
          </cell>
          <cell r="C1016">
            <v>1</v>
          </cell>
          <cell r="D1016">
            <v>365</v>
          </cell>
        </row>
        <row r="1017">
          <cell r="A1017" t="str">
            <v>A68WSA1-1</v>
          </cell>
          <cell r="B1017" t="str">
            <v xml:space="preserve">GALVITE PINT P TECHOS BLANCO  </v>
          </cell>
          <cell r="C1017">
            <v>1</v>
          </cell>
          <cell r="D1017">
            <v>365</v>
          </cell>
        </row>
        <row r="1018">
          <cell r="A1018" t="str">
            <v>A68WSA1-5</v>
          </cell>
          <cell r="B1018" t="str">
            <v>GALVITE PINTURA P/TECHO BLANCO</v>
          </cell>
          <cell r="C1018">
            <v>1</v>
          </cell>
          <cell r="D1018">
            <v>365</v>
          </cell>
        </row>
        <row r="1019">
          <cell r="A1019" t="str">
            <v>A68YSA1</v>
          </cell>
          <cell r="B1019" t="str">
            <v xml:space="preserve">GALVITE AMARILLO              </v>
          </cell>
          <cell r="C1019">
            <v>1</v>
          </cell>
          <cell r="D1019">
            <v>365</v>
          </cell>
        </row>
        <row r="1020">
          <cell r="A1020" t="str">
            <v>A68YSA1-5</v>
          </cell>
          <cell r="B1020" t="str">
            <v xml:space="preserve">GALVITE AMARILLO              </v>
          </cell>
          <cell r="C1020">
            <v>1</v>
          </cell>
          <cell r="D1020">
            <v>365</v>
          </cell>
        </row>
        <row r="1021">
          <cell r="A1021" t="str">
            <v>A86RSA4</v>
          </cell>
          <cell r="B1021" t="str">
            <v xml:space="preserve">PINTURA TRAFICO CAUCHO ROJ    </v>
          </cell>
          <cell r="C1021">
            <v>2</v>
          </cell>
          <cell r="D1021">
            <v>730</v>
          </cell>
        </row>
        <row r="1022">
          <cell r="A1022" t="str">
            <v>A86RSA4-1</v>
          </cell>
          <cell r="B1022" t="str">
            <v xml:space="preserve">PINTURA TRAFICO CAUCHO ROJ    </v>
          </cell>
          <cell r="C1022">
            <v>2</v>
          </cell>
          <cell r="D1022">
            <v>730</v>
          </cell>
        </row>
        <row r="1023">
          <cell r="A1023" t="str">
            <v>A86RSA4-5</v>
          </cell>
          <cell r="B1023" t="str">
            <v xml:space="preserve">PINTURA TRAFICO CAUCHO ROJ    </v>
          </cell>
          <cell r="C1023">
            <v>2</v>
          </cell>
          <cell r="D1023">
            <v>730</v>
          </cell>
        </row>
        <row r="1024">
          <cell r="A1024" t="str">
            <v>A86WCR12</v>
          </cell>
          <cell r="B1024" t="str">
            <v>PINT TRAF B CAUCHO CLORADO BCO</v>
          </cell>
          <cell r="C1024">
            <v>2</v>
          </cell>
          <cell r="D1024">
            <v>730</v>
          </cell>
        </row>
        <row r="1025">
          <cell r="A1025" t="str">
            <v>A86WCR12-1</v>
          </cell>
          <cell r="B1025" t="str">
            <v>PINT TRAF B CAUCHO CLORADO BCO</v>
          </cell>
          <cell r="C1025">
            <v>2</v>
          </cell>
          <cell r="D1025">
            <v>730</v>
          </cell>
        </row>
        <row r="1026">
          <cell r="A1026" t="str">
            <v>A86WCR12-5</v>
          </cell>
          <cell r="B1026" t="str">
            <v>PINT TRAF B CAUCHO CLORADO BCO</v>
          </cell>
          <cell r="C1026">
            <v>2</v>
          </cell>
          <cell r="D1026">
            <v>730</v>
          </cell>
        </row>
        <row r="1027">
          <cell r="A1027" t="str">
            <v>A86WCR12-50</v>
          </cell>
          <cell r="B1027" t="str">
            <v xml:space="preserve">PINTURA PARA TRAFICO BLANCA   </v>
          </cell>
          <cell r="C1027">
            <v>2</v>
          </cell>
          <cell r="D1027">
            <v>730</v>
          </cell>
        </row>
        <row r="1028">
          <cell r="A1028" t="str">
            <v>A86WSA15</v>
          </cell>
          <cell r="B1028" t="str">
            <v>PINT TRAFI CAUCHO M-248 TIPO N</v>
          </cell>
          <cell r="C1028">
            <v>2</v>
          </cell>
          <cell r="D1028">
            <v>730</v>
          </cell>
        </row>
        <row r="1029">
          <cell r="A1029" t="str">
            <v>A86WSA15-1</v>
          </cell>
          <cell r="B1029" t="str">
            <v>PINT TRAFI CAUCHO M-248 BLANCA</v>
          </cell>
          <cell r="C1029">
            <v>2</v>
          </cell>
          <cell r="D1029">
            <v>730</v>
          </cell>
        </row>
        <row r="1030">
          <cell r="A1030" t="str">
            <v>A86WSA15-5</v>
          </cell>
          <cell r="B1030" t="str">
            <v>PINT TRAFI CAUCHO M-248 BLANCA</v>
          </cell>
          <cell r="C1030">
            <v>2</v>
          </cell>
          <cell r="D1030">
            <v>730</v>
          </cell>
        </row>
        <row r="1031">
          <cell r="A1031" t="str">
            <v>A86YCR11</v>
          </cell>
          <cell r="B1031" t="str">
            <v>PINT TRAF B CAUC CLOR AMARILLO</v>
          </cell>
          <cell r="C1031">
            <v>2</v>
          </cell>
          <cell r="D1031">
            <v>730</v>
          </cell>
        </row>
        <row r="1032">
          <cell r="A1032" t="str">
            <v>A86YCR11-1</v>
          </cell>
          <cell r="B1032" t="str">
            <v>PINT TRAF B CAUC CLOR AMARILLO</v>
          </cell>
          <cell r="C1032">
            <v>2</v>
          </cell>
          <cell r="D1032">
            <v>730</v>
          </cell>
        </row>
        <row r="1033">
          <cell r="A1033" t="str">
            <v>A86YCR11-5</v>
          </cell>
          <cell r="B1033" t="str">
            <v>PINT TRAF B CAUC CLOR AMARILLO</v>
          </cell>
          <cell r="C1033">
            <v>2</v>
          </cell>
          <cell r="D1033">
            <v>730</v>
          </cell>
        </row>
        <row r="1034">
          <cell r="A1034" t="str">
            <v>A86YCR11-50</v>
          </cell>
          <cell r="B1034" t="str">
            <v xml:space="preserve">PINTURA PARA TRAFICO AMARILLO </v>
          </cell>
          <cell r="C1034">
            <v>2</v>
          </cell>
          <cell r="D1034">
            <v>730</v>
          </cell>
        </row>
        <row r="1035">
          <cell r="A1035" t="str">
            <v>A86YSA15</v>
          </cell>
          <cell r="B1035" t="str">
            <v>PINT P/TRAF CAUCHO CLORADO AMA</v>
          </cell>
          <cell r="C1035">
            <v>2</v>
          </cell>
          <cell r="D1035">
            <v>730</v>
          </cell>
        </row>
        <row r="1036">
          <cell r="A1036" t="str">
            <v>A86YSA15-1</v>
          </cell>
          <cell r="B1036" t="str">
            <v>PINT TRAF CAUCHO CLORADO AMARI</v>
          </cell>
          <cell r="C1036">
            <v>2</v>
          </cell>
          <cell r="D1036">
            <v>730</v>
          </cell>
        </row>
        <row r="1037">
          <cell r="A1037" t="str">
            <v>A86YSA15-5</v>
          </cell>
          <cell r="B1037" t="str">
            <v>PINT TRAF CAUCHO CLORADO AMARI</v>
          </cell>
          <cell r="C1037">
            <v>2</v>
          </cell>
          <cell r="D1037">
            <v>730</v>
          </cell>
        </row>
        <row r="1038">
          <cell r="A1038" t="str">
            <v>A86YSA18</v>
          </cell>
          <cell r="B1038" t="str">
            <v xml:space="preserve">PINT.AMARILLA SATINA CAUCHO   </v>
          </cell>
          <cell r="C1038">
            <v>2</v>
          </cell>
          <cell r="D1038">
            <v>730</v>
          </cell>
        </row>
        <row r="1039">
          <cell r="A1039" t="str">
            <v>A86YSA18-1</v>
          </cell>
          <cell r="B1039" t="str">
            <v xml:space="preserve">PINT.AMARILLA SATINA CAUCHO   </v>
          </cell>
          <cell r="C1039">
            <v>2</v>
          </cell>
          <cell r="D1039">
            <v>730</v>
          </cell>
        </row>
        <row r="1040">
          <cell r="A1040" t="str">
            <v>A86YSA21</v>
          </cell>
          <cell r="B1040" t="str">
            <v>PINTURA AMARI  P/TRAFIC AASHTO</v>
          </cell>
          <cell r="C1040">
            <v>2</v>
          </cell>
          <cell r="D1040">
            <v>730</v>
          </cell>
        </row>
        <row r="1041">
          <cell r="A1041" t="str">
            <v>A86YSA21-50</v>
          </cell>
          <cell r="B1041" t="str">
            <v>PINTURA AMARI  P/TRAFIC AASHTO</v>
          </cell>
          <cell r="C1041">
            <v>2</v>
          </cell>
          <cell r="D1041">
            <v>730</v>
          </cell>
        </row>
        <row r="1042">
          <cell r="A1042" t="str">
            <v>A99ASA3</v>
          </cell>
          <cell r="B1042" t="str">
            <v xml:space="preserve">COLONIAL ANTICORROSIVO GRIS   </v>
          </cell>
          <cell r="C1042">
            <v>1</v>
          </cell>
          <cell r="D1042">
            <v>365</v>
          </cell>
        </row>
        <row r="1043">
          <cell r="A1043" t="str">
            <v>A99ASA3-1</v>
          </cell>
          <cell r="B1043" t="str">
            <v xml:space="preserve">COLONIAL ANTICORROSIVO GRIS   </v>
          </cell>
          <cell r="C1043">
            <v>1</v>
          </cell>
          <cell r="D1043">
            <v>365</v>
          </cell>
        </row>
        <row r="1044">
          <cell r="A1044" t="str">
            <v>A99ASA3-1/4</v>
          </cell>
          <cell r="B1044" t="str">
            <v xml:space="preserve">COLONIAL ANTICORROSIVO GRIS   </v>
          </cell>
          <cell r="C1044">
            <v>1</v>
          </cell>
          <cell r="D1044">
            <v>365</v>
          </cell>
        </row>
        <row r="1045">
          <cell r="A1045" t="str">
            <v>A99ASA3-5</v>
          </cell>
          <cell r="B1045" t="str">
            <v xml:space="preserve">COLONIAL ANTICORROSIVO GRIS   </v>
          </cell>
          <cell r="C1045">
            <v>1</v>
          </cell>
          <cell r="D1045">
            <v>365</v>
          </cell>
        </row>
        <row r="1046">
          <cell r="A1046" t="str">
            <v>A99ASA3-50</v>
          </cell>
          <cell r="B1046" t="str">
            <v xml:space="preserve">COLONIAL ANTICORROSIVO GRIS   </v>
          </cell>
          <cell r="C1046">
            <v>1</v>
          </cell>
          <cell r="D1046">
            <v>365</v>
          </cell>
        </row>
        <row r="1047">
          <cell r="A1047" t="str">
            <v>A99BSA2</v>
          </cell>
          <cell r="B1047" t="str">
            <v xml:space="preserve">COLONIAL ANTICORROSIVO NEGRO  </v>
          </cell>
          <cell r="C1047">
            <v>1</v>
          </cell>
          <cell r="D1047">
            <v>365</v>
          </cell>
        </row>
        <row r="1048">
          <cell r="A1048" t="str">
            <v>A99BSA2-1</v>
          </cell>
          <cell r="B1048" t="str">
            <v xml:space="preserve">COLONIAL ANTICORROSIVO NEGRO  </v>
          </cell>
          <cell r="C1048">
            <v>1</v>
          </cell>
          <cell r="D1048">
            <v>365</v>
          </cell>
        </row>
        <row r="1049">
          <cell r="A1049" t="str">
            <v>A99BSA2-1/4</v>
          </cell>
          <cell r="B1049" t="str">
            <v xml:space="preserve">COLONIAL ANTICORROSIVO NEGRO  </v>
          </cell>
          <cell r="C1049">
            <v>1</v>
          </cell>
          <cell r="D1049">
            <v>365</v>
          </cell>
        </row>
        <row r="1050">
          <cell r="A1050" t="str">
            <v>A99BSA2-5</v>
          </cell>
          <cell r="B1050" t="str">
            <v xml:space="preserve">COLONIAL ANTICORROSIVO NEGRO  </v>
          </cell>
          <cell r="C1050">
            <v>1</v>
          </cell>
          <cell r="D1050">
            <v>365</v>
          </cell>
        </row>
        <row r="1051">
          <cell r="A1051" t="str">
            <v>A99BSA2-50</v>
          </cell>
          <cell r="B1051" t="str">
            <v xml:space="preserve">COLONIAL ANTICORROSIVO NEGRO  </v>
          </cell>
          <cell r="C1051">
            <v>1</v>
          </cell>
          <cell r="D1051">
            <v>365</v>
          </cell>
        </row>
        <row r="1052">
          <cell r="A1052" t="str">
            <v>A99GCR10</v>
          </cell>
          <cell r="B1052" t="str">
            <v>COLONIAL PINT TECHO VERDE BRTE</v>
          </cell>
          <cell r="C1052">
            <v>1</v>
          </cell>
          <cell r="D1052">
            <v>365</v>
          </cell>
        </row>
        <row r="1053">
          <cell r="A1053" t="str">
            <v>A99GCR10-1</v>
          </cell>
          <cell r="B1053" t="str">
            <v>COLONIAL PINT TECHO VERDE BRTE</v>
          </cell>
          <cell r="C1053">
            <v>1</v>
          </cell>
          <cell r="D1053">
            <v>365</v>
          </cell>
        </row>
        <row r="1054">
          <cell r="A1054" t="str">
            <v>A99GCR10-5</v>
          </cell>
          <cell r="B1054" t="str">
            <v>COLONIAL PINT TECHO VERDE BRTE</v>
          </cell>
          <cell r="C1054">
            <v>1</v>
          </cell>
          <cell r="D1054">
            <v>365</v>
          </cell>
        </row>
        <row r="1055">
          <cell r="A1055" t="str">
            <v>A99GSA5</v>
          </cell>
          <cell r="B1055" t="str">
            <v xml:space="preserve">COLONIAL ANTICORROSIVO VERDE  </v>
          </cell>
          <cell r="C1055">
            <v>1</v>
          </cell>
          <cell r="D1055">
            <v>365</v>
          </cell>
        </row>
        <row r="1056">
          <cell r="A1056" t="str">
            <v>A99GSA5-1</v>
          </cell>
          <cell r="B1056" t="str">
            <v xml:space="preserve">COLONIAL ANTICORROSIVO VERDE  </v>
          </cell>
          <cell r="C1056">
            <v>1</v>
          </cell>
          <cell r="D1056">
            <v>365</v>
          </cell>
        </row>
        <row r="1057">
          <cell r="A1057" t="str">
            <v>A99GSA5-1/4</v>
          </cell>
          <cell r="B1057" t="str">
            <v xml:space="preserve">COLONIAL ANTICORROSIVO VERDE  </v>
          </cell>
          <cell r="C1057">
            <v>1</v>
          </cell>
          <cell r="D1057">
            <v>365</v>
          </cell>
        </row>
        <row r="1058">
          <cell r="A1058" t="str">
            <v>A99GSA5-5</v>
          </cell>
          <cell r="B1058" t="str">
            <v xml:space="preserve">COLONIAL ANTICORROSIVO VERDE  </v>
          </cell>
          <cell r="C1058">
            <v>1</v>
          </cell>
          <cell r="D1058">
            <v>365</v>
          </cell>
        </row>
        <row r="1059">
          <cell r="A1059" t="str">
            <v>A99GSA5-50</v>
          </cell>
          <cell r="B1059" t="str">
            <v xml:space="preserve">COLONIAL ANTICORROSIVO VERDE  </v>
          </cell>
          <cell r="C1059">
            <v>1</v>
          </cell>
          <cell r="D1059">
            <v>365</v>
          </cell>
        </row>
        <row r="1060">
          <cell r="A1060" t="str">
            <v>A99NSA11</v>
          </cell>
          <cell r="B1060" t="str">
            <v xml:space="preserve">COLONIAL ANTICORROSIVO ROJO   </v>
          </cell>
          <cell r="C1060">
            <v>1</v>
          </cell>
          <cell r="D1060">
            <v>365</v>
          </cell>
        </row>
        <row r="1061">
          <cell r="A1061" t="str">
            <v>A99NSA11-1</v>
          </cell>
          <cell r="B1061" t="str">
            <v xml:space="preserve">COLONIAL ANTICORROSIVO ROJO   </v>
          </cell>
          <cell r="C1061">
            <v>1</v>
          </cell>
          <cell r="D1061">
            <v>365</v>
          </cell>
        </row>
        <row r="1062">
          <cell r="A1062" t="str">
            <v>A99NSA11-1/4</v>
          </cell>
          <cell r="B1062" t="str">
            <v xml:space="preserve">COLONIAL ANTICORROSIVO ROJO   </v>
          </cell>
          <cell r="C1062">
            <v>1</v>
          </cell>
          <cell r="D1062">
            <v>365</v>
          </cell>
        </row>
        <row r="1063">
          <cell r="A1063" t="str">
            <v>A99NSA11-5</v>
          </cell>
          <cell r="B1063" t="str">
            <v xml:space="preserve">COLONIAL ANTICORROSIVO ROJO   </v>
          </cell>
          <cell r="C1063">
            <v>1</v>
          </cell>
          <cell r="D1063">
            <v>365</v>
          </cell>
        </row>
        <row r="1064">
          <cell r="A1064" t="str">
            <v>A99NSA11-50</v>
          </cell>
          <cell r="B1064" t="str">
            <v xml:space="preserve">COLONIAL ANTICORROSIVO ROJO   </v>
          </cell>
          <cell r="C1064">
            <v>1</v>
          </cell>
          <cell r="D1064">
            <v>365</v>
          </cell>
        </row>
        <row r="1065">
          <cell r="A1065" t="str">
            <v>A99RCR4</v>
          </cell>
          <cell r="B1065" t="str">
            <v xml:space="preserve">COLONIAL PINT TECHOS ROJO BRI </v>
          </cell>
          <cell r="C1065">
            <v>1</v>
          </cell>
          <cell r="D1065">
            <v>365</v>
          </cell>
        </row>
        <row r="1066">
          <cell r="A1066" t="str">
            <v>A99RCR4-1</v>
          </cell>
          <cell r="B1066" t="str">
            <v xml:space="preserve">COLONIAL PINT TECHOS ROJO BRI </v>
          </cell>
          <cell r="C1066">
            <v>1</v>
          </cell>
          <cell r="D1066">
            <v>365</v>
          </cell>
        </row>
        <row r="1067">
          <cell r="A1067" t="str">
            <v>A99RCR4-5</v>
          </cell>
          <cell r="B1067" t="str">
            <v xml:space="preserve">COLONIAL PINT TECHOS ROJO BRI </v>
          </cell>
          <cell r="C1067">
            <v>1</v>
          </cell>
          <cell r="D1067">
            <v>365</v>
          </cell>
        </row>
        <row r="1068">
          <cell r="A1068" t="str">
            <v>A99WSA3</v>
          </cell>
          <cell r="B1068" t="str">
            <v xml:space="preserve">COLONIAL ANTICORROSIVO BLANCO </v>
          </cell>
          <cell r="C1068">
            <v>1</v>
          </cell>
          <cell r="D1068">
            <v>365</v>
          </cell>
        </row>
        <row r="1069">
          <cell r="A1069" t="str">
            <v>A99WSA3-1</v>
          </cell>
          <cell r="B1069" t="str">
            <v xml:space="preserve">COLONIAL ANTICORROSIVO BLANCO </v>
          </cell>
          <cell r="C1069">
            <v>1</v>
          </cell>
          <cell r="D1069">
            <v>365</v>
          </cell>
        </row>
        <row r="1070">
          <cell r="A1070" t="str">
            <v>A99WSA3-1/4</v>
          </cell>
          <cell r="B1070" t="str">
            <v xml:space="preserve">COLONIAL ANTICORROSIVO BLANCO </v>
          </cell>
          <cell r="C1070">
            <v>1</v>
          </cell>
          <cell r="D1070">
            <v>365</v>
          </cell>
        </row>
        <row r="1071">
          <cell r="A1071" t="str">
            <v>A99WSA3-5</v>
          </cell>
          <cell r="B1071" t="str">
            <v xml:space="preserve">COLONIAL ANTICORROSIVO BLANCO </v>
          </cell>
          <cell r="C1071">
            <v>1</v>
          </cell>
          <cell r="D1071">
            <v>365</v>
          </cell>
        </row>
        <row r="1072">
          <cell r="A1072" t="str">
            <v>A99WSA3-50</v>
          </cell>
          <cell r="B1072" t="str">
            <v xml:space="preserve">COLONIAL ANTICORROSIVO BLANCO </v>
          </cell>
          <cell r="C1072">
            <v>1</v>
          </cell>
          <cell r="D1072">
            <v>365</v>
          </cell>
        </row>
        <row r="1073">
          <cell r="A1073" t="str">
            <v>B11ASA1</v>
          </cell>
          <cell r="B1073" t="str">
            <v xml:space="preserve">RE5'B RUSTICO P HIERRO-METAL  </v>
          </cell>
          <cell r="C1073">
            <v>1</v>
          </cell>
          <cell r="D1073">
            <v>365</v>
          </cell>
        </row>
        <row r="1074">
          <cell r="A1074" t="str">
            <v>B11ASA1-1</v>
          </cell>
          <cell r="B1074" t="str">
            <v>RECUBRIMIENTO RUSTICO P/HIERRO</v>
          </cell>
          <cell r="C1074">
            <v>1</v>
          </cell>
          <cell r="D1074">
            <v>365</v>
          </cell>
        </row>
        <row r="1075">
          <cell r="A1075" t="str">
            <v>B11ASA1-5</v>
          </cell>
          <cell r="B1075" t="str">
            <v xml:space="preserve">RECUB RUSTICO P HIERRO-METAL  </v>
          </cell>
          <cell r="C1075">
            <v>1</v>
          </cell>
          <cell r="D1075">
            <v>365</v>
          </cell>
        </row>
        <row r="1076">
          <cell r="A1076" t="str">
            <v>B23WP1</v>
          </cell>
          <cell r="B1076" t="str">
            <v>BASE DE CAUCHO CLORADO INT-EXT</v>
          </cell>
          <cell r="C1076">
            <v>2</v>
          </cell>
          <cell r="D1076">
            <v>730</v>
          </cell>
        </row>
        <row r="1077">
          <cell r="A1077" t="str">
            <v>B23WP1-5</v>
          </cell>
          <cell r="B1077" t="str">
            <v>BASE DE CAUCHO CLORADO INT-EXT</v>
          </cell>
          <cell r="C1077">
            <v>2</v>
          </cell>
          <cell r="D1077">
            <v>730</v>
          </cell>
        </row>
        <row r="1078">
          <cell r="A1078" t="str">
            <v>B42HSA1</v>
          </cell>
          <cell r="B1078" t="str">
            <v xml:space="preserve">PINTURA PARA FIBROCE GARDENIA </v>
          </cell>
          <cell r="C1078">
            <v>1</v>
          </cell>
          <cell r="D1078">
            <v>365</v>
          </cell>
        </row>
        <row r="1079">
          <cell r="A1079" t="str">
            <v>B42HSA1-5</v>
          </cell>
          <cell r="B1079" t="str">
            <v xml:space="preserve">PINTURA PARA FIBROCE GARDENIA </v>
          </cell>
          <cell r="C1079">
            <v>1</v>
          </cell>
          <cell r="D1079">
            <v>365</v>
          </cell>
        </row>
        <row r="1080">
          <cell r="A1080" t="str">
            <v>B42LSA2</v>
          </cell>
          <cell r="B1080" t="str">
            <v>PINTURA P/FIBROCE AZUL MEDITER</v>
          </cell>
          <cell r="C1080">
            <v>1</v>
          </cell>
          <cell r="D1080">
            <v>365</v>
          </cell>
        </row>
        <row r="1081">
          <cell r="A1081" t="str">
            <v>B42LSA2-1</v>
          </cell>
          <cell r="B1081" t="str">
            <v>PINTURA P/FIBROCE AZUL MEDITER</v>
          </cell>
          <cell r="C1081">
            <v>1</v>
          </cell>
          <cell r="D1081">
            <v>365</v>
          </cell>
        </row>
        <row r="1082">
          <cell r="A1082" t="str">
            <v>B42LSA2-5</v>
          </cell>
          <cell r="B1082" t="str">
            <v>PINTURA P/FIBROCE AZUL MEDITER</v>
          </cell>
          <cell r="C1082">
            <v>1</v>
          </cell>
          <cell r="D1082">
            <v>365</v>
          </cell>
        </row>
        <row r="1083">
          <cell r="A1083" t="str">
            <v>B42LSA2-50</v>
          </cell>
          <cell r="B1083" t="str">
            <v>PINTURA P/FIBROCE AZUL MEDITER</v>
          </cell>
          <cell r="C1083">
            <v>1</v>
          </cell>
          <cell r="D1083">
            <v>365</v>
          </cell>
        </row>
        <row r="1084">
          <cell r="A1084" t="str">
            <v>B42RP8</v>
          </cell>
          <cell r="B1084" t="str">
            <v>PINTURA P/FIBROC ROJO TECHOLIT</v>
          </cell>
          <cell r="C1084">
            <v>1</v>
          </cell>
          <cell r="D1084">
            <v>365</v>
          </cell>
        </row>
        <row r="1085">
          <cell r="A1085" t="str">
            <v>B42RP8-1</v>
          </cell>
          <cell r="B1085" t="str">
            <v>PINTURA P/FIBROC ROJO TECHOLIT</v>
          </cell>
          <cell r="C1085">
            <v>1</v>
          </cell>
          <cell r="D1085">
            <v>365</v>
          </cell>
        </row>
        <row r="1086">
          <cell r="A1086" t="str">
            <v>B42RP8-5</v>
          </cell>
          <cell r="B1086" t="str">
            <v>PINTURA P/FIBROC ROJO TECHOLIT</v>
          </cell>
          <cell r="C1086">
            <v>1</v>
          </cell>
          <cell r="D1086">
            <v>365</v>
          </cell>
        </row>
        <row r="1087">
          <cell r="A1087" t="str">
            <v>B44VA4</v>
          </cell>
          <cell r="B1087" t="str">
            <v xml:space="preserve">BARNIZ PARA LADRILLO VISTO    </v>
          </cell>
          <cell r="C1087">
            <v>2</v>
          </cell>
          <cell r="D1087">
            <v>730</v>
          </cell>
        </row>
        <row r="1088">
          <cell r="A1088" t="str">
            <v>B44VA4-1</v>
          </cell>
          <cell r="B1088" t="str">
            <v xml:space="preserve">BARNIZ PARA LADRILLO VISTO    </v>
          </cell>
          <cell r="C1088">
            <v>2</v>
          </cell>
          <cell r="D1088">
            <v>730</v>
          </cell>
        </row>
        <row r="1089">
          <cell r="A1089" t="str">
            <v>B44VA4-1/4</v>
          </cell>
          <cell r="B1089" t="str">
            <v xml:space="preserve">BARNIZ PARA LADRILLO VISTO    </v>
          </cell>
          <cell r="C1089">
            <v>2</v>
          </cell>
          <cell r="D1089">
            <v>730</v>
          </cell>
        </row>
        <row r="1090">
          <cell r="A1090" t="str">
            <v>B44VA4-50</v>
          </cell>
          <cell r="B1090" t="str">
            <v xml:space="preserve">BARNIZ PARA LADRILLO VISTO    </v>
          </cell>
          <cell r="C1090">
            <v>2</v>
          </cell>
          <cell r="D1090">
            <v>730</v>
          </cell>
        </row>
        <row r="1091">
          <cell r="A1091" t="str">
            <v>B44VP1</v>
          </cell>
          <cell r="B1091" t="str">
            <v xml:space="preserve">SANDING SEALER DE AGUARRAS 0  </v>
          </cell>
          <cell r="C1091">
            <v>2</v>
          </cell>
          <cell r="D1091">
            <v>730</v>
          </cell>
        </row>
        <row r="1092">
          <cell r="A1092" t="str">
            <v>B44VP1-1</v>
          </cell>
          <cell r="B1092" t="str">
            <v xml:space="preserve">SANDING SEALER DE AGUARRAS    </v>
          </cell>
          <cell r="C1092">
            <v>2</v>
          </cell>
          <cell r="D1092">
            <v>730</v>
          </cell>
        </row>
        <row r="1093">
          <cell r="A1093" t="str">
            <v>B44VP1-1/4</v>
          </cell>
          <cell r="B1093" t="str">
            <v xml:space="preserve">SANDING SEALER DE AGUARRAS    </v>
          </cell>
          <cell r="C1093">
            <v>2</v>
          </cell>
          <cell r="D1093">
            <v>730</v>
          </cell>
        </row>
        <row r="1094">
          <cell r="A1094" t="str">
            <v>B44VSA1</v>
          </cell>
          <cell r="B1094" t="str">
            <v>SELLADOR PARA MADERA BASE AGUA</v>
          </cell>
          <cell r="C1094">
            <v>2</v>
          </cell>
          <cell r="D1094">
            <v>730</v>
          </cell>
        </row>
        <row r="1095">
          <cell r="A1095" t="str">
            <v>B44VSA1-1</v>
          </cell>
          <cell r="B1095" t="str">
            <v>SELLADOR PARA MADERA BASE AGUA</v>
          </cell>
          <cell r="C1095">
            <v>2</v>
          </cell>
          <cell r="D1095">
            <v>730</v>
          </cell>
        </row>
        <row r="1096">
          <cell r="A1096" t="str">
            <v>B44WSA1</v>
          </cell>
          <cell r="B1096" t="str">
            <v xml:space="preserve">BASE PARA FIBROLIT BLANCA     </v>
          </cell>
          <cell r="C1096">
            <v>2</v>
          </cell>
          <cell r="D1096">
            <v>730</v>
          </cell>
        </row>
        <row r="1097">
          <cell r="A1097" t="str">
            <v>B44WSA1-5</v>
          </cell>
          <cell r="B1097" t="str">
            <v xml:space="preserve">BASE PARA FIBROLIT BLANCA     </v>
          </cell>
          <cell r="C1097">
            <v>2</v>
          </cell>
          <cell r="D1097">
            <v>730</v>
          </cell>
        </row>
        <row r="1098">
          <cell r="A1098" t="str">
            <v>B45WSA1</v>
          </cell>
          <cell r="B1098" t="str">
            <v>SELLA BLAN RAP SECAD P/TABLYES</v>
          </cell>
          <cell r="C1098">
            <v>3</v>
          </cell>
          <cell r="D1098">
            <v>1095</v>
          </cell>
        </row>
        <row r="1099">
          <cell r="A1099" t="str">
            <v>B45WSA1-1</v>
          </cell>
          <cell r="B1099" t="str">
            <v>SELLA BLAN RAP SECAD P/TABLYES</v>
          </cell>
          <cell r="C1099">
            <v>3</v>
          </cell>
          <cell r="D1099">
            <v>1095</v>
          </cell>
        </row>
        <row r="1100">
          <cell r="A1100" t="str">
            <v>B45WSA1-5</v>
          </cell>
          <cell r="B1100" t="str">
            <v>SELLA BLAN RAP SECAD P/TABLYES</v>
          </cell>
          <cell r="C1100">
            <v>3</v>
          </cell>
          <cell r="D1100">
            <v>1095</v>
          </cell>
        </row>
        <row r="1101">
          <cell r="A1101" t="str">
            <v>B45WSA3</v>
          </cell>
          <cell r="B1101" t="str">
            <v xml:space="preserve">SELLADOR BLANCO P/CONCRETO    </v>
          </cell>
          <cell r="C1101">
            <v>3</v>
          </cell>
          <cell r="D1101">
            <v>1095</v>
          </cell>
        </row>
        <row r="1102">
          <cell r="A1102" t="str">
            <v>B45WSA3-1</v>
          </cell>
          <cell r="B1102" t="str">
            <v xml:space="preserve">SELLADOR BLANCO P/CONCRETO    </v>
          </cell>
          <cell r="C1102">
            <v>3</v>
          </cell>
          <cell r="D1102">
            <v>1095</v>
          </cell>
        </row>
        <row r="1103">
          <cell r="A1103" t="str">
            <v>B45WSA3-5</v>
          </cell>
          <cell r="B1103" t="str">
            <v xml:space="preserve">SELLADOR BLANCO P/CONCRETO    </v>
          </cell>
          <cell r="C1103">
            <v>3</v>
          </cell>
          <cell r="D1103">
            <v>1095</v>
          </cell>
        </row>
        <row r="1104">
          <cell r="A1104" t="str">
            <v>B49W2</v>
          </cell>
          <cell r="B1104" t="str">
            <v xml:space="preserve">INT.  ENAMEL UNDERCOAT WHITE  </v>
          </cell>
          <cell r="C1104">
            <v>1</v>
          </cell>
          <cell r="D1104">
            <v>365</v>
          </cell>
        </row>
        <row r="1105">
          <cell r="A1105" t="str">
            <v>B49W2-1</v>
          </cell>
          <cell r="B1105" t="str">
            <v xml:space="preserve">INT.  ENAMEL UNDERCOAT WHITE  </v>
          </cell>
          <cell r="C1105">
            <v>1</v>
          </cell>
          <cell r="D1105">
            <v>365</v>
          </cell>
        </row>
        <row r="1106">
          <cell r="A1106" t="str">
            <v>B51ASA1</v>
          </cell>
          <cell r="B1106" t="str">
            <v xml:space="preserve">PRIMERA MANO PARA PAREDES     </v>
          </cell>
          <cell r="C1106">
            <v>1</v>
          </cell>
          <cell r="D1106">
            <v>365</v>
          </cell>
        </row>
        <row r="1107">
          <cell r="A1107" t="str">
            <v>B51ASA1-5</v>
          </cell>
          <cell r="B1107" t="str">
            <v xml:space="preserve">PRIMERA MANO PARA PAREDES     </v>
          </cell>
          <cell r="C1107">
            <v>1</v>
          </cell>
          <cell r="D1107">
            <v>365</v>
          </cell>
        </row>
        <row r="1108">
          <cell r="A1108" t="str">
            <v>B51ASA1-50</v>
          </cell>
          <cell r="B1108" t="str">
            <v xml:space="preserve">PRIMERA MANO PARA PAREDES     </v>
          </cell>
          <cell r="C1108">
            <v>1</v>
          </cell>
          <cell r="D1108">
            <v>365</v>
          </cell>
        </row>
        <row r="1109">
          <cell r="A1109" t="str">
            <v>B53WW5</v>
          </cell>
          <cell r="B1109" t="str">
            <v xml:space="preserve">SELF CLEANING WHITE           </v>
          </cell>
          <cell r="C1109">
            <v>2</v>
          </cell>
          <cell r="D1109">
            <v>730</v>
          </cell>
        </row>
        <row r="1110">
          <cell r="A1110" t="str">
            <v>B53WW5-1</v>
          </cell>
          <cell r="B1110" t="str">
            <v xml:space="preserve">SELF CLEANING WHITE           </v>
          </cell>
          <cell r="C1110">
            <v>2</v>
          </cell>
          <cell r="D1110">
            <v>730</v>
          </cell>
        </row>
        <row r="1111">
          <cell r="A1111" t="str">
            <v>B53WW5-5</v>
          </cell>
          <cell r="B1111" t="str">
            <v xml:space="preserve">SELF CLEANING WHITE           </v>
          </cell>
          <cell r="C1111">
            <v>2</v>
          </cell>
          <cell r="D1111">
            <v>730</v>
          </cell>
        </row>
        <row r="1112">
          <cell r="A1112" t="str">
            <v>B60CSA1</v>
          </cell>
          <cell r="B1112" t="str">
            <v>ESM EPOX TILECLAD II CATALIZ B</v>
          </cell>
          <cell r="C1112">
            <v>1</v>
          </cell>
          <cell r="D1112">
            <v>365</v>
          </cell>
        </row>
        <row r="1113">
          <cell r="A1113" t="str">
            <v>B60CSA1-1</v>
          </cell>
          <cell r="B1113" t="str">
            <v>ESM EPOX TILECLAD II CATALIZ B</v>
          </cell>
          <cell r="C1113">
            <v>1</v>
          </cell>
          <cell r="D1113">
            <v>365</v>
          </cell>
        </row>
        <row r="1114">
          <cell r="A1114" t="str">
            <v>B62ASA3</v>
          </cell>
          <cell r="B1114" t="str">
            <v xml:space="preserve">ESM EPOX TILECLAD II GRIS A   </v>
          </cell>
          <cell r="C1114">
            <v>1</v>
          </cell>
          <cell r="D1114">
            <v>365</v>
          </cell>
        </row>
        <row r="1115">
          <cell r="A1115" t="str">
            <v>B62ASA3-1</v>
          </cell>
          <cell r="B1115" t="str">
            <v xml:space="preserve">ESM EPOX TILECLAD II GRIS A   </v>
          </cell>
          <cell r="C1115">
            <v>1</v>
          </cell>
          <cell r="D1115">
            <v>365</v>
          </cell>
        </row>
        <row r="1116">
          <cell r="A1116" t="str">
            <v>B62ASA5</v>
          </cell>
          <cell r="B1116" t="str">
            <v xml:space="preserve">TILE CLAD  II ENAM GRIS NAVAL </v>
          </cell>
          <cell r="C1116">
            <v>1</v>
          </cell>
          <cell r="D1116">
            <v>365</v>
          </cell>
        </row>
        <row r="1117">
          <cell r="A1117" t="str">
            <v>B62ASA5-1</v>
          </cell>
          <cell r="B1117" t="str">
            <v xml:space="preserve">TILE CLAD  II ENAM GRIS NAVAL </v>
          </cell>
          <cell r="C1117">
            <v>1</v>
          </cell>
          <cell r="D1117">
            <v>365</v>
          </cell>
        </row>
        <row r="1118">
          <cell r="A1118" t="str">
            <v>B62ASA7</v>
          </cell>
          <cell r="B1118" t="str">
            <v xml:space="preserve">TILE CLAD II ENAM ANCHOR GRAY </v>
          </cell>
          <cell r="C1118">
            <v>1</v>
          </cell>
          <cell r="D1118">
            <v>365</v>
          </cell>
        </row>
        <row r="1119">
          <cell r="A1119" t="str">
            <v>B62ASA7-1</v>
          </cell>
          <cell r="B1119" t="str">
            <v xml:space="preserve">TILE CLAD II ENAM ANCHOR GRAY </v>
          </cell>
          <cell r="C1119">
            <v>1</v>
          </cell>
          <cell r="D1119">
            <v>365</v>
          </cell>
        </row>
        <row r="1120">
          <cell r="A1120" t="str">
            <v>B62BSA1</v>
          </cell>
          <cell r="B1120" t="str">
            <v xml:space="preserve">ESM EPOX TILECLAD II NEGRO A  </v>
          </cell>
          <cell r="C1120">
            <v>1</v>
          </cell>
          <cell r="D1120">
            <v>365</v>
          </cell>
        </row>
        <row r="1121">
          <cell r="A1121" t="str">
            <v>B62BSA1-1</v>
          </cell>
          <cell r="B1121" t="str">
            <v xml:space="preserve">ESM EPOX TILECLAD II NEGRO A  </v>
          </cell>
          <cell r="C1121">
            <v>1</v>
          </cell>
          <cell r="D1121">
            <v>365</v>
          </cell>
        </row>
        <row r="1122">
          <cell r="A1122" t="str">
            <v>B62GSA4</v>
          </cell>
          <cell r="B1122" t="str">
            <v>ESM EPOX TILECLAD II VERDSEG A</v>
          </cell>
          <cell r="C1122">
            <v>1</v>
          </cell>
          <cell r="D1122">
            <v>365</v>
          </cell>
        </row>
        <row r="1123">
          <cell r="A1123" t="str">
            <v>B62GSA4-1</v>
          </cell>
          <cell r="B1123" t="str">
            <v>ESM EPOX TILECLAD II VERDSEG A</v>
          </cell>
          <cell r="C1123">
            <v>1</v>
          </cell>
          <cell r="D1123">
            <v>365</v>
          </cell>
        </row>
        <row r="1124">
          <cell r="A1124" t="str">
            <v>B62WSA2</v>
          </cell>
          <cell r="B1124" t="str">
            <v>ESM EPOX TILE CLAD II BLANCO A</v>
          </cell>
          <cell r="C1124">
            <v>1</v>
          </cell>
          <cell r="D1124">
            <v>365</v>
          </cell>
        </row>
        <row r="1125">
          <cell r="A1125" t="str">
            <v>B62WSA2-1</v>
          </cell>
          <cell r="B1125" t="str">
            <v>ESM EPOX TILE CLAD II BLANCO A</v>
          </cell>
          <cell r="C1125">
            <v>1</v>
          </cell>
          <cell r="D1125">
            <v>365</v>
          </cell>
        </row>
        <row r="1126">
          <cell r="A1126" t="str">
            <v>B62WSA2-1/4</v>
          </cell>
          <cell r="B1126" t="str">
            <v>TILE CLAD II ENAM BLANCO BRILL</v>
          </cell>
          <cell r="C1126">
            <v>1</v>
          </cell>
          <cell r="D1126">
            <v>365</v>
          </cell>
        </row>
        <row r="1127">
          <cell r="A1127" t="str">
            <v>B62YSA6</v>
          </cell>
          <cell r="B1127" t="str">
            <v>ES EPOX TILECLAD II AMAR SEG A</v>
          </cell>
          <cell r="C1127">
            <v>1</v>
          </cell>
          <cell r="D1127">
            <v>365</v>
          </cell>
        </row>
        <row r="1128">
          <cell r="A1128" t="str">
            <v>B62YSA6-1</v>
          </cell>
          <cell r="B1128" t="str">
            <v>ES EPOX TILECLAD II AMAR SEG A</v>
          </cell>
          <cell r="C1128">
            <v>1</v>
          </cell>
          <cell r="D1128">
            <v>365</v>
          </cell>
        </row>
        <row r="1129">
          <cell r="A1129" t="str">
            <v>B65A800-1</v>
          </cell>
          <cell r="B1129" t="str">
            <v>ARMOSEA FLOORTHA CRU HAZE GRAY</v>
          </cell>
          <cell r="C1129">
            <v>1</v>
          </cell>
          <cell r="D1129">
            <v>365</v>
          </cell>
        </row>
        <row r="1130">
          <cell r="A1130" t="str">
            <v>B65C800-1</v>
          </cell>
          <cell r="B1130" t="str">
            <v>ARMOSEA FLOORTHA CRU CLEAR BAS</v>
          </cell>
          <cell r="C1130">
            <v>1</v>
          </cell>
          <cell r="D1130">
            <v>365</v>
          </cell>
        </row>
        <row r="1131">
          <cell r="A1131" t="str">
            <v>B66BSA1</v>
          </cell>
          <cell r="B1131" t="str">
            <v>CORROSHER ANT MAT B AGUA NEGRO</v>
          </cell>
          <cell r="C1131">
            <v>1</v>
          </cell>
          <cell r="D1131">
            <v>365</v>
          </cell>
        </row>
        <row r="1132">
          <cell r="A1132" t="str">
            <v>B66BSA1-1</v>
          </cell>
          <cell r="B1132" t="str">
            <v xml:space="preserve">CORROSHER ANTICORR B/AGUA NEG </v>
          </cell>
          <cell r="C1132">
            <v>1</v>
          </cell>
          <cell r="D1132">
            <v>365</v>
          </cell>
        </row>
        <row r="1133">
          <cell r="A1133" t="str">
            <v>B66BSA1-5</v>
          </cell>
          <cell r="B1133" t="str">
            <v xml:space="preserve">CORROSHER ANTICORR B/AGUA NEG </v>
          </cell>
          <cell r="C1133">
            <v>1</v>
          </cell>
          <cell r="D1133">
            <v>365</v>
          </cell>
        </row>
        <row r="1134">
          <cell r="A1134" t="str">
            <v>B66GSA1</v>
          </cell>
          <cell r="B1134" t="str">
            <v xml:space="preserve">CORROSHER ANT MATE AGUA VERDE </v>
          </cell>
          <cell r="C1134">
            <v>1</v>
          </cell>
          <cell r="D1134">
            <v>365</v>
          </cell>
        </row>
        <row r="1135">
          <cell r="A1135" t="str">
            <v>B66GSA1-1</v>
          </cell>
          <cell r="B1135" t="str">
            <v xml:space="preserve">CORROSHER ANT MATE AGUA VERDE </v>
          </cell>
          <cell r="C1135">
            <v>1</v>
          </cell>
          <cell r="D1135">
            <v>365</v>
          </cell>
        </row>
        <row r="1136">
          <cell r="A1136" t="str">
            <v>B66GSA1-5</v>
          </cell>
          <cell r="B1136" t="str">
            <v xml:space="preserve">CORROSHER ANT MATE AGUA VERDE </v>
          </cell>
          <cell r="C1136">
            <v>1</v>
          </cell>
          <cell r="D1136">
            <v>365</v>
          </cell>
        </row>
        <row r="1137">
          <cell r="A1137" t="str">
            <v>B66LSA1</v>
          </cell>
          <cell r="B1137" t="str">
            <v>CORROSHER ANT MATE B AGUA AZUL</v>
          </cell>
          <cell r="C1137">
            <v>1</v>
          </cell>
          <cell r="D1137">
            <v>365</v>
          </cell>
        </row>
        <row r="1138">
          <cell r="A1138" t="str">
            <v>B66LSA1-1</v>
          </cell>
          <cell r="B1138" t="str">
            <v>CORROSHER ANT MATE B AGUA AZUL</v>
          </cell>
          <cell r="C1138">
            <v>1</v>
          </cell>
          <cell r="D1138">
            <v>365</v>
          </cell>
        </row>
        <row r="1139">
          <cell r="A1139" t="str">
            <v>B66LSA1-5</v>
          </cell>
          <cell r="B1139" t="str">
            <v>CORROSHER ANT MATE B AGUA AZUL</v>
          </cell>
          <cell r="C1139">
            <v>1</v>
          </cell>
          <cell r="D1139">
            <v>365</v>
          </cell>
        </row>
        <row r="1140">
          <cell r="A1140" t="str">
            <v>B66RSA1</v>
          </cell>
          <cell r="B1140" t="str">
            <v>CORROSH ANT MAT B AGUA ROJO OX</v>
          </cell>
          <cell r="C1140">
            <v>1</v>
          </cell>
          <cell r="D1140">
            <v>365</v>
          </cell>
        </row>
        <row r="1141">
          <cell r="A1141" t="str">
            <v>B66RSA1-1</v>
          </cell>
          <cell r="B1141" t="str">
            <v>CORROSH ANT MAT B AGUA ROJO OX</v>
          </cell>
          <cell r="C1141">
            <v>1</v>
          </cell>
          <cell r="D1141">
            <v>365</v>
          </cell>
        </row>
        <row r="1142">
          <cell r="A1142" t="str">
            <v>B66RSA1-5</v>
          </cell>
          <cell r="B1142" t="str">
            <v>CORROSH ANT MAT B AGUA ROJO OX</v>
          </cell>
          <cell r="C1142">
            <v>1</v>
          </cell>
          <cell r="D1142">
            <v>365</v>
          </cell>
        </row>
        <row r="1143">
          <cell r="A1143" t="str">
            <v>B66RSA2</v>
          </cell>
          <cell r="B1143" t="str">
            <v xml:space="preserve">CORROSCHER ANTICORROSIVO      </v>
          </cell>
          <cell r="C1143">
            <v>1</v>
          </cell>
          <cell r="D1143">
            <v>365</v>
          </cell>
        </row>
        <row r="1144">
          <cell r="A1144" t="str">
            <v>B66RSA2-1</v>
          </cell>
          <cell r="B1144" t="str">
            <v>CORROSHER ANT B AGUA ROJO TEJA</v>
          </cell>
          <cell r="C1144">
            <v>1</v>
          </cell>
          <cell r="D1144">
            <v>365</v>
          </cell>
        </row>
        <row r="1145">
          <cell r="A1145" t="str">
            <v>B66RSA2-5</v>
          </cell>
          <cell r="B1145" t="str">
            <v>CORROSHER ANT B AGUA ROJO TEJA</v>
          </cell>
          <cell r="C1145">
            <v>1</v>
          </cell>
          <cell r="D1145">
            <v>365</v>
          </cell>
        </row>
        <row r="1146">
          <cell r="A1146" t="str">
            <v>B66WSA1</v>
          </cell>
          <cell r="B1146" t="str">
            <v xml:space="preserve">CORROSHER ANT MATE B AGUA BCO </v>
          </cell>
          <cell r="C1146">
            <v>1</v>
          </cell>
          <cell r="D1146">
            <v>365</v>
          </cell>
        </row>
        <row r="1147">
          <cell r="A1147" t="str">
            <v>B66WSA1-1</v>
          </cell>
          <cell r="B1147" t="str">
            <v xml:space="preserve">CORROSHER ANT MATE B AGUA BCO </v>
          </cell>
          <cell r="C1147">
            <v>1</v>
          </cell>
          <cell r="D1147">
            <v>365</v>
          </cell>
        </row>
        <row r="1148">
          <cell r="A1148" t="str">
            <v>B66WSA1-5</v>
          </cell>
          <cell r="B1148" t="str">
            <v>CORROSHER ANT BASE AGUA BLANCO</v>
          </cell>
          <cell r="C1148">
            <v>1</v>
          </cell>
          <cell r="D1148">
            <v>365</v>
          </cell>
        </row>
        <row r="1149">
          <cell r="A1149" t="str">
            <v>B69A47-A</v>
          </cell>
          <cell r="B1149" t="str">
            <v xml:space="preserve">ZINC CLAD PRIMER N. 7 PARTE A </v>
          </cell>
          <cell r="C1149">
            <v>1</v>
          </cell>
          <cell r="D1149">
            <v>365</v>
          </cell>
        </row>
        <row r="1150">
          <cell r="A1150" t="str">
            <v>B69A47A-1</v>
          </cell>
          <cell r="B1150" t="str">
            <v xml:space="preserve">ZINC CLAD PRIMER N. 7 PARTE A </v>
          </cell>
          <cell r="C1150">
            <v>1</v>
          </cell>
          <cell r="D1150">
            <v>365</v>
          </cell>
        </row>
        <row r="1151">
          <cell r="A1151" t="str">
            <v>B69A47-B</v>
          </cell>
          <cell r="B1151" t="str">
            <v xml:space="preserve">ZINC CLAD PRIMER No.7 PARTE B </v>
          </cell>
          <cell r="C1151">
            <v>1</v>
          </cell>
          <cell r="D1151">
            <v>365</v>
          </cell>
        </row>
        <row r="1152">
          <cell r="A1152" t="str">
            <v>B69A47B-1/4</v>
          </cell>
          <cell r="B1152" t="str">
            <v xml:space="preserve">ZINC CLAD PRIMER No.7 PARTE B </v>
          </cell>
          <cell r="C1152">
            <v>1</v>
          </cell>
          <cell r="D1152">
            <v>365</v>
          </cell>
        </row>
        <row r="1153">
          <cell r="A1153" t="str">
            <v>B69A47-C</v>
          </cell>
          <cell r="B1153" t="str">
            <v xml:space="preserve">ZINC CLAD PRIMER No.7 PARTE C </v>
          </cell>
          <cell r="C1153">
            <v>1</v>
          </cell>
          <cell r="D1153">
            <v>365</v>
          </cell>
        </row>
        <row r="1154">
          <cell r="A1154" t="str">
            <v>B69A47C-1</v>
          </cell>
          <cell r="B1154" t="str">
            <v xml:space="preserve">ZINC CLAD PRIMER No.7 PARTE C </v>
          </cell>
          <cell r="C1154">
            <v>1</v>
          </cell>
          <cell r="D1154">
            <v>365</v>
          </cell>
        </row>
        <row r="1155">
          <cell r="A1155" t="str">
            <v>B69ASA11</v>
          </cell>
          <cell r="B1155" t="str">
            <v xml:space="preserve">ESM CHEMICAL &amp; MOISTURE GRIS  </v>
          </cell>
          <cell r="C1155">
            <v>1</v>
          </cell>
          <cell r="D1155">
            <v>365</v>
          </cell>
        </row>
        <row r="1156">
          <cell r="A1156" t="str">
            <v>B69ASA11-1</v>
          </cell>
          <cell r="B1156" t="str">
            <v xml:space="preserve">ESM CHEMICAL &amp; MOISTURE GRIS  </v>
          </cell>
          <cell r="C1156">
            <v>1</v>
          </cell>
          <cell r="D1156">
            <v>365</v>
          </cell>
        </row>
        <row r="1157">
          <cell r="A1157" t="str">
            <v>B69ASA12</v>
          </cell>
          <cell r="B1157" t="str">
            <v xml:space="preserve">PRIMER CHEMICAL&amp;MOISTURE GRIS </v>
          </cell>
          <cell r="C1157">
            <v>1</v>
          </cell>
          <cell r="D1157">
            <v>365</v>
          </cell>
        </row>
        <row r="1158">
          <cell r="A1158" t="str">
            <v>B69ASA12-1</v>
          </cell>
          <cell r="B1158" t="str">
            <v xml:space="preserve">PRIMER CHEMICAL&amp;MOISTURE GRIS </v>
          </cell>
          <cell r="C1158">
            <v>1</v>
          </cell>
          <cell r="D1158">
            <v>365</v>
          </cell>
        </row>
        <row r="1159">
          <cell r="A1159" t="str">
            <v>B69ASA16</v>
          </cell>
          <cell r="B1159" t="str">
            <v xml:space="preserve">KEM CATI COAT ENAM GRIS NAVAL </v>
          </cell>
          <cell r="C1159">
            <v>1</v>
          </cell>
          <cell r="D1159">
            <v>365</v>
          </cell>
        </row>
        <row r="1160">
          <cell r="A1160" t="str">
            <v>B69ASA16-1</v>
          </cell>
          <cell r="B1160" t="str">
            <v xml:space="preserve">KEM CATI COAT ENAM GRIS NAVAL </v>
          </cell>
          <cell r="C1160">
            <v>1</v>
          </cell>
          <cell r="D1160">
            <v>365</v>
          </cell>
        </row>
        <row r="1161">
          <cell r="A1161" t="str">
            <v>B69ASA17</v>
          </cell>
          <cell r="B1161" t="str">
            <v xml:space="preserve">CHEMICAL &amp; MOISTURE ENAM GRIS </v>
          </cell>
          <cell r="C1161">
            <v>1</v>
          </cell>
          <cell r="D1161">
            <v>365</v>
          </cell>
        </row>
        <row r="1162">
          <cell r="A1162" t="str">
            <v>B69ASA17-1</v>
          </cell>
          <cell r="B1162" t="str">
            <v xml:space="preserve">CHEMICAL &amp; MOISTURE ENAM GRIS </v>
          </cell>
          <cell r="C1162">
            <v>1</v>
          </cell>
          <cell r="D1162">
            <v>365</v>
          </cell>
        </row>
        <row r="1163">
          <cell r="A1163" t="str">
            <v>B69ASA18</v>
          </cell>
          <cell r="B1163" t="str">
            <v xml:space="preserve">KEM CATI COAT ENAMEL          </v>
          </cell>
          <cell r="C1163">
            <v>1</v>
          </cell>
          <cell r="D1163">
            <v>365</v>
          </cell>
        </row>
        <row r="1164">
          <cell r="A1164" t="str">
            <v>B69ASA18-1</v>
          </cell>
          <cell r="B1164" t="str">
            <v xml:space="preserve">KEM CATI COAT ENAMEL          </v>
          </cell>
          <cell r="C1164">
            <v>1</v>
          </cell>
          <cell r="D1164">
            <v>365</v>
          </cell>
        </row>
        <row r="1165">
          <cell r="A1165" t="str">
            <v>B69B31</v>
          </cell>
          <cell r="B1165" t="str">
            <v>ESM EPOX KEM CATI COAT NEGRO A</v>
          </cell>
          <cell r="C1165">
            <v>1</v>
          </cell>
          <cell r="D1165">
            <v>365</v>
          </cell>
        </row>
        <row r="1166">
          <cell r="A1166" t="str">
            <v>B69B31-1</v>
          </cell>
          <cell r="B1166" t="str">
            <v xml:space="preserve">ESM EPOX KEM CATI COAT NEGRO  </v>
          </cell>
          <cell r="C1166">
            <v>1</v>
          </cell>
          <cell r="D1166">
            <v>365</v>
          </cell>
        </row>
        <row r="1167">
          <cell r="A1167" t="str">
            <v>B69BSA3</v>
          </cell>
          <cell r="B1167" t="str">
            <v>CHEMICAL &amp; MOISTURE ENAM NEGRO</v>
          </cell>
          <cell r="C1167">
            <v>1</v>
          </cell>
          <cell r="D1167">
            <v>365</v>
          </cell>
        </row>
        <row r="1168">
          <cell r="A1168" t="str">
            <v>B69BSA3-1</v>
          </cell>
          <cell r="B1168" t="str">
            <v>CHEMICAL &amp; MOISTURE ENAM NEGRO</v>
          </cell>
          <cell r="C1168">
            <v>1</v>
          </cell>
          <cell r="D1168">
            <v>365</v>
          </cell>
        </row>
        <row r="1169">
          <cell r="A1169" t="str">
            <v>B69ESA4</v>
          </cell>
          <cell r="B1169" t="str">
            <v xml:space="preserve">CHEMICAL &amp; MOISTUR ENAM NARAN </v>
          </cell>
          <cell r="C1169">
            <v>1</v>
          </cell>
          <cell r="D1169">
            <v>365</v>
          </cell>
        </row>
        <row r="1170">
          <cell r="A1170" t="str">
            <v>B69ESA4-1</v>
          </cell>
          <cell r="B1170" t="str">
            <v xml:space="preserve">CHEMICAL &amp; MOISTUR  NARANJA   </v>
          </cell>
          <cell r="C1170">
            <v>1</v>
          </cell>
          <cell r="D1170">
            <v>365</v>
          </cell>
        </row>
        <row r="1171">
          <cell r="A1171" t="str">
            <v>B69G31</v>
          </cell>
          <cell r="B1171" t="str">
            <v>ES EP KEMCATICOATPRIMER VERD A</v>
          </cell>
          <cell r="C1171">
            <v>1</v>
          </cell>
          <cell r="D1171">
            <v>365</v>
          </cell>
        </row>
        <row r="1172">
          <cell r="A1172" t="str">
            <v>B69G31-1</v>
          </cell>
          <cell r="B1172" t="str">
            <v xml:space="preserve">KEM CATI COAT PRIMER VERDE    </v>
          </cell>
          <cell r="C1172">
            <v>1</v>
          </cell>
          <cell r="D1172">
            <v>365</v>
          </cell>
        </row>
        <row r="1173">
          <cell r="A1173" t="str">
            <v>B69G39</v>
          </cell>
          <cell r="B1173" t="str">
            <v>ES EP KEMCATICOATPRIMER VERD A</v>
          </cell>
          <cell r="C1173">
            <v>1</v>
          </cell>
          <cell r="D1173">
            <v>365</v>
          </cell>
        </row>
        <row r="1174">
          <cell r="A1174" t="str">
            <v>B69G39-1</v>
          </cell>
          <cell r="B1174" t="str">
            <v xml:space="preserve">KEM CATI COAT PRIMER VERDE    </v>
          </cell>
          <cell r="C1174">
            <v>1</v>
          </cell>
          <cell r="D1174">
            <v>365</v>
          </cell>
        </row>
        <row r="1175">
          <cell r="A1175" t="str">
            <v>B69GSA18</v>
          </cell>
          <cell r="B1175" t="str">
            <v>KEM CATI COAT ENAM  SAFETY VER</v>
          </cell>
          <cell r="C1175">
            <v>1</v>
          </cell>
          <cell r="D1175">
            <v>365</v>
          </cell>
        </row>
        <row r="1176">
          <cell r="A1176" t="str">
            <v>B69GSA18-1</v>
          </cell>
          <cell r="B1176" t="str">
            <v>KEM CATI COAT ENAM  SAFETY VER</v>
          </cell>
          <cell r="C1176">
            <v>1</v>
          </cell>
          <cell r="D1176">
            <v>365</v>
          </cell>
        </row>
        <row r="1177">
          <cell r="A1177" t="str">
            <v>B69GSA20</v>
          </cell>
          <cell r="B1177" t="str">
            <v xml:space="preserve">KEM CATI COAT PARA PISOS      </v>
          </cell>
          <cell r="C1177">
            <v>1</v>
          </cell>
          <cell r="D1177">
            <v>365</v>
          </cell>
        </row>
        <row r="1178">
          <cell r="A1178" t="str">
            <v>B69GSA20-1</v>
          </cell>
          <cell r="B1178" t="str">
            <v xml:space="preserve">KEM CATI COAT PARA PISOS      </v>
          </cell>
          <cell r="C1178">
            <v>1</v>
          </cell>
          <cell r="D1178">
            <v>365</v>
          </cell>
        </row>
        <row r="1179">
          <cell r="A1179" t="str">
            <v>B69GSA21</v>
          </cell>
          <cell r="B1179" t="str">
            <v xml:space="preserve">KEM CATI COAT ENAMEL          </v>
          </cell>
          <cell r="C1179">
            <v>1</v>
          </cell>
          <cell r="D1179">
            <v>365</v>
          </cell>
        </row>
        <row r="1180">
          <cell r="A1180" t="str">
            <v>B69GSA21-1</v>
          </cell>
          <cell r="B1180" t="str">
            <v xml:space="preserve">KEM CATI COAT ENAMEL          </v>
          </cell>
          <cell r="C1180">
            <v>1</v>
          </cell>
          <cell r="D1180">
            <v>365</v>
          </cell>
        </row>
        <row r="1181">
          <cell r="A1181" t="str">
            <v>B69L39</v>
          </cell>
          <cell r="B1181" t="str">
            <v xml:space="preserve">ESM EPOX KEM CATI COAT AZUL A </v>
          </cell>
          <cell r="C1181">
            <v>1</v>
          </cell>
          <cell r="D1181">
            <v>365</v>
          </cell>
        </row>
        <row r="1182">
          <cell r="A1182" t="str">
            <v>B69L39-1</v>
          </cell>
          <cell r="B1182" t="str">
            <v xml:space="preserve">ESM EPOX KEM CATI COAT AZUL   </v>
          </cell>
          <cell r="C1182">
            <v>1</v>
          </cell>
          <cell r="D1182">
            <v>365</v>
          </cell>
        </row>
        <row r="1183">
          <cell r="A1183" t="str">
            <v>B69LSA10</v>
          </cell>
          <cell r="B1183" t="str">
            <v xml:space="preserve">CHEMICAL &amp; MOISTURE ENAM AZUL </v>
          </cell>
          <cell r="C1183">
            <v>1</v>
          </cell>
          <cell r="D1183">
            <v>365</v>
          </cell>
        </row>
        <row r="1184">
          <cell r="A1184" t="str">
            <v>B69LSA10-1</v>
          </cell>
          <cell r="B1184" t="str">
            <v xml:space="preserve">CHEMICAL &amp; MOISTURE ENAM AZUL </v>
          </cell>
          <cell r="C1184">
            <v>1</v>
          </cell>
          <cell r="D1184">
            <v>365</v>
          </cell>
        </row>
        <row r="1185">
          <cell r="A1185" t="str">
            <v>B69N11</v>
          </cell>
          <cell r="B1185" t="str">
            <v xml:space="preserve">PRIMER CHEMICAL&amp;MOISTURE ROJO </v>
          </cell>
          <cell r="C1185">
            <v>1</v>
          </cell>
          <cell r="D1185">
            <v>365</v>
          </cell>
        </row>
        <row r="1186">
          <cell r="A1186" t="str">
            <v>B69N11-1</v>
          </cell>
          <cell r="B1186" t="str">
            <v>CHEMICAL &amp; MOISTUR PRIMER ROJO</v>
          </cell>
          <cell r="C1186">
            <v>1</v>
          </cell>
          <cell r="D1186">
            <v>365</v>
          </cell>
        </row>
        <row r="1187">
          <cell r="A1187" t="str">
            <v>B69N11-5</v>
          </cell>
          <cell r="B1187" t="str">
            <v>CHEMICAL &amp; MOISTUR PRIMER ROJO</v>
          </cell>
          <cell r="C1187">
            <v>1</v>
          </cell>
          <cell r="D1187">
            <v>365</v>
          </cell>
        </row>
        <row r="1188">
          <cell r="A1188" t="str">
            <v>B69N11-SP</v>
          </cell>
          <cell r="B1188" t="str">
            <v>CHEMICAL &amp; MOISTUR PRIMER ROJO</v>
          </cell>
          <cell r="C1188">
            <v>1</v>
          </cell>
          <cell r="D1188">
            <v>365</v>
          </cell>
        </row>
        <row r="1189">
          <cell r="A1189" t="str">
            <v>B69N11SP-1</v>
          </cell>
          <cell r="B1189" t="str">
            <v>CHEMICAL &amp; MOISTUR PRIMER ROJO</v>
          </cell>
          <cell r="C1189">
            <v>1</v>
          </cell>
          <cell r="D1189">
            <v>365</v>
          </cell>
        </row>
        <row r="1190">
          <cell r="A1190" t="str">
            <v>B69R39</v>
          </cell>
          <cell r="B1190" t="str">
            <v xml:space="preserve">ESM EPOX KEM CATI COAT ROJO A </v>
          </cell>
          <cell r="C1190">
            <v>1</v>
          </cell>
          <cell r="D1190">
            <v>365</v>
          </cell>
        </row>
        <row r="1191">
          <cell r="A1191" t="str">
            <v>B69R39-1</v>
          </cell>
          <cell r="B1191" t="str">
            <v xml:space="preserve">ESM EPOX KEM CATI COAT ROJO A </v>
          </cell>
          <cell r="C1191">
            <v>1</v>
          </cell>
          <cell r="D1191">
            <v>365</v>
          </cell>
        </row>
        <row r="1192">
          <cell r="A1192" t="str">
            <v>B69RSA5</v>
          </cell>
          <cell r="B1192" t="str">
            <v xml:space="preserve">CHEMICAL &amp; MOISTURE ENAM ROJO </v>
          </cell>
          <cell r="C1192">
            <v>1</v>
          </cell>
          <cell r="D1192">
            <v>365</v>
          </cell>
        </row>
        <row r="1193">
          <cell r="A1193" t="str">
            <v>B69RSA5-1</v>
          </cell>
          <cell r="B1193" t="str">
            <v xml:space="preserve">CHEMICAL &amp; MOISTURE ENAM ROJO </v>
          </cell>
          <cell r="C1193">
            <v>1</v>
          </cell>
          <cell r="D1193">
            <v>365</v>
          </cell>
        </row>
        <row r="1194">
          <cell r="A1194" t="str">
            <v>B69SSA1</v>
          </cell>
          <cell r="B1194" t="str">
            <v xml:space="preserve">KEM CATI COAT ENAMEL          </v>
          </cell>
          <cell r="C1194">
            <v>1</v>
          </cell>
          <cell r="D1194">
            <v>365</v>
          </cell>
        </row>
        <row r="1195">
          <cell r="A1195" t="str">
            <v>B69SSA1-1</v>
          </cell>
          <cell r="B1195" t="str">
            <v xml:space="preserve">KEM CATI COAT ENAMEL          </v>
          </cell>
          <cell r="C1195">
            <v>1</v>
          </cell>
          <cell r="D1195">
            <v>365</v>
          </cell>
        </row>
        <row r="1196">
          <cell r="A1196" t="str">
            <v>B69W16</v>
          </cell>
          <cell r="B1196" t="str">
            <v xml:space="preserve">ESM CHEMICAL&amp;MOISTURE BLANCO  </v>
          </cell>
          <cell r="C1196">
            <v>1</v>
          </cell>
          <cell r="D1196">
            <v>365</v>
          </cell>
        </row>
        <row r="1197">
          <cell r="A1197" t="str">
            <v>B69W16-1</v>
          </cell>
          <cell r="B1197" t="str">
            <v xml:space="preserve">ESM CHEMICAL&amp;MOISTURE BLANCO  </v>
          </cell>
          <cell r="C1197">
            <v>1</v>
          </cell>
          <cell r="D1197">
            <v>365</v>
          </cell>
        </row>
        <row r="1198">
          <cell r="A1198" t="str">
            <v>B69W36</v>
          </cell>
          <cell r="B1198" t="str">
            <v xml:space="preserve">ESM EPOX KEM CATI COAT BCO A  </v>
          </cell>
          <cell r="C1198">
            <v>1</v>
          </cell>
          <cell r="D1198">
            <v>365</v>
          </cell>
        </row>
        <row r="1199">
          <cell r="A1199" t="str">
            <v>B69W36-1</v>
          </cell>
          <cell r="B1199" t="str">
            <v xml:space="preserve">ESM EPOX KEM CATI COAT BCO A  </v>
          </cell>
          <cell r="C1199">
            <v>1</v>
          </cell>
          <cell r="D1199">
            <v>365</v>
          </cell>
        </row>
        <row r="1200">
          <cell r="A1200" t="str">
            <v>B69Y39</v>
          </cell>
          <cell r="B1200" t="str">
            <v>ESM EPOX KEM CATICOAT AMARIL A</v>
          </cell>
          <cell r="C1200">
            <v>1</v>
          </cell>
          <cell r="D1200">
            <v>365</v>
          </cell>
        </row>
        <row r="1201">
          <cell r="A1201" t="str">
            <v>B69Y39-1</v>
          </cell>
          <cell r="B1201" t="str">
            <v>ESM EPOX KEM CATICOAT AMARIL A</v>
          </cell>
          <cell r="C1201">
            <v>1</v>
          </cell>
          <cell r="D1201">
            <v>365</v>
          </cell>
        </row>
        <row r="1202">
          <cell r="A1202" t="str">
            <v>B69YSA6</v>
          </cell>
          <cell r="B1202" t="str">
            <v>ESM CHEMICAL&amp;MOISTURE AMARILLO</v>
          </cell>
          <cell r="C1202">
            <v>1</v>
          </cell>
          <cell r="D1202">
            <v>365</v>
          </cell>
        </row>
        <row r="1203">
          <cell r="A1203" t="str">
            <v>B69YSA6-1</v>
          </cell>
          <cell r="B1203" t="str">
            <v>ESM CHEMICAL&amp;MOISTURE AMARILLO</v>
          </cell>
          <cell r="C1203">
            <v>1</v>
          </cell>
          <cell r="D1203">
            <v>365</v>
          </cell>
        </row>
        <row r="1204">
          <cell r="A1204" t="str">
            <v>B69YSA8</v>
          </cell>
          <cell r="B1204" t="str">
            <v>KEM CATI COAT ENAM SAFETY YELL</v>
          </cell>
          <cell r="C1204">
            <v>1</v>
          </cell>
          <cell r="D1204">
            <v>365</v>
          </cell>
        </row>
        <row r="1205">
          <cell r="A1205" t="str">
            <v>B69YSA8-1</v>
          </cell>
          <cell r="B1205" t="str">
            <v>KEM CATI COAT ENAM SAFETY YELL</v>
          </cell>
          <cell r="C1205">
            <v>1</v>
          </cell>
          <cell r="D1205">
            <v>365</v>
          </cell>
        </row>
        <row r="1206">
          <cell r="A1206" t="str">
            <v>B97ASA1</v>
          </cell>
          <cell r="B1206" t="str">
            <v>PINTURA P/SEÑALIZACI BASE AGUA</v>
          </cell>
          <cell r="C1206">
            <v>1</v>
          </cell>
          <cell r="D1206">
            <v>365</v>
          </cell>
        </row>
        <row r="1207">
          <cell r="A1207" t="str">
            <v>B97ASA1-1</v>
          </cell>
          <cell r="B1207" t="str">
            <v xml:space="preserve">PINT P/SEÑALIZACI B/AGUA GRIS </v>
          </cell>
          <cell r="C1207">
            <v>1</v>
          </cell>
          <cell r="D1207">
            <v>365</v>
          </cell>
        </row>
        <row r="1208">
          <cell r="A1208" t="str">
            <v>B97BSA1</v>
          </cell>
          <cell r="B1208" t="str">
            <v>PINTURA NEGRA P/TRAF BASE AGUA</v>
          </cell>
          <cell r="C1208">
            <v>1</v>
          </cell>
          <cell r="D1208">
            <v>365</v>
          </cell>
        </row>
        <row r="1209">
          <cell r="A1209" t="str">
            <v>B97BSA1-1</v>
          </cell>
          <cell r="B1209" t="str">
            <v xml:space="preserve">PINT NEGRA P/TRAF BASE AGUA   </v>
          </cell>
          <cell r="C1209">
            <v>1</v>
          </cell>
          <cell r="D1209">
            <v>365</v>
          </cell>
        </row>
        <row r="1210">
          <cell r="A1210" t="str">
            <v>B97GSA1</v>
          </cell>
          <cell r="B1210" t="str">
            <v>PINT VERD P/SEÑALIZA BASE AGUA</v>
          </cell>
          <cell r="C1210">
            <v>1</v>
          </cell>
          <cell r="D1210">
            <v>365</v>
          </cell>
        </row>
        <row r="1211">
          <cell r="A1211" t="str">
            <v>B97GSA1-5</v>
          </cell>
          <cell r="B1211" t="str">
            <v>PINT VERD P/SEÑALIZA BASE AGUA</v>
          </cell>
          <cell r="C1211">
            <v>1</v>
          </cell>
          <cell r="D1211">
            <v>365</v>
          </cell>
        </row>
        <row r="1212">
          <cell r="A1212" t="str">
            <v>B97WD2257</v>
          </cell>
          <cell r="B1212" t="str">
            <v>PINT TRAF B AGUA QUICK DRY BCA</v>
          </cell>
          <cell r="C1212">
            <v>1</v>
          </cell>
          <cell r="D1212">
            <v>365</v>
          </cell>
        </row>
        <row r="1213">
          <cell r="A1213" t="str">
            <v>B97WD2257-1</v>
          </cell>
          <cell r="B1213" t="str">
            <v>PINT TRAF B AGUA QUICK DRY BCA</v>
          </cell>
          <cell r="C1213">
            <v>1</v>
          </cell>
          <cell r="D1213">
            <v>365</v>
          </cell>
        </row>
        <row r="1214">
          <cell r="A1214" t="str">
            <v>B97WD2257-5</v>
          </cell>
          <cell r="B1214" t="str">
            <v>PINT TRAF B AGUA QUICK DRY BCA</v>
          </cell>
          <cell r="C1214">
            <v>1</v>
          </cell>
          <cell r="D1214">
            <v>365</v>
          </cell>
        </row>
        <row r="1215">
          <cell r="A1215" t="str">
            <v>B97YD2262</v>
          </cell>
          <cell r="B1215" t="str">
            <v>PI TRAF B AGU QUICK DRY AMARIL</v>
          </cell>
          <cell r="C1215">
            <v>1</v>
          </cell>
          <cell r="D1215">
            <v>365</v>
          </cell>
        </row>
        <row r="1216">
          <cell r="A1216" t="str">
            <v>B97YD2262-1</v>
          </cell>
          <cell r="B1216" t="str">
            <v>PI TRAF B AGU QUICK DRY AMARIL</v>
          </cell>
          <cell r="C1216">
            <v>1</v>
          </cell>
          <cell r="D1216">
            <v>365</v>
          </cell>
        </row>
        <row r="1217">
          <cell r="A1217" t="str">
            <v>B97YD2262-5</v>
          </cell>
          <cell r="B1217" t="str">
            <v>PI TRAF B AGU QUICK DRY AMARIL</v>
          </cell>
          <cell r="C1217">
            <v>1</v>
          </cell>
          <cell r="D1217">
            <v>365</v>
          </cell>
        </row>
        <row r="1218">
          <cell r="A1218" t="str">
            <v>B97YD2262-SP</v>
          </cell>
          <cell r="B1218" t="str">
            <v>PINT TRAF AGUA QUICKDRY TM2117</v>
          </cell>
          <cell r="C1218">
            <v>1</v>
          </cell>
          <cell r="D1218">
            <v>365</v>
          </cell>
        </row>
        <row r="1219">
          <cell r="A1219" t="str">
            <v>B97YD2262SP-1</v>
          </cell>
          <cell r="B1219" t="str">
            <v>PINT TRAF AGUA QUICKDRY TM2117</v>
          </cell>
          <cell r="C1219">
            <v>1</v>
          </cell>
          <cell r="D1219">
            <v>365</v>
          </cell>
        </row>
        <row r="1220">
          <cell r="A1220" t="str">
            <v>B97YD2262SP-5</v>
          </cell>
          <cell r="B1220" t="str">
            <v>PINT TRAF AGUA QUICKDRY TM2117</v>
          </cell>
          <cell r="C1220">
            <v>1</v>
          </cell>
          <cell r="D1220">
            <v>365</v>
          </cell>
        </row>
        <row r="1221">
          <cell r="A1221" t="str">
            <v>C45N2</v>
          </cell>
          <cell r="B1221" t="str">
            <v xml:space="preserve">PINT. ANTI-INCRUS TROP MARRON </v>
          </cell>
          <cell r="C1221">
            <v>1</v>
          </cell>
          <cell r="D1221">
            <v>365</v>
          </cell>
        </row>
        <row r="1222">
          <cell r="A1222" t="str">
            <v>C45N2-1</v>
          </cell>
          <cell r="B1222" t="str">
            <v xml:space="preserve">PINT. ANTI-INCRUS TROP MARRON </v>
          </cell>
          <cell r="C1222">
            <v>1</v>
          </cell>
          <cell r="D1222">
            <v>365</v>
          </cell>
        </row>
        <row r="1223">
          <cell r="A1223" t="str">
            <v>C45N6</v>
          </cell>
          <cell r="B1223" t="str">
            <v>PINT ANTI-INCRUS ROJO DOBL POD</v>
          </cell>
          <cell r="C1223">
            <v>1</v>
          </cell>
          <cell r="D1223">
            <v>365</v>
          </cell>
        </row>
        <row r="1224">
          <cell r="A1224" t="str">
            <v>C45N6-1</v>
          </cell>
          <cell r="B1224" t="str">
            <v>PINT ANTI-INCRUS ROJO DOBL POD</v>
          </cell>
          <cell r="C1224">
            <v>1</v>
          </cell>
          <cell r="D1224">
            <v>365</v>
          </cell>
        </row>
        <row r="1225">
          <cell r="A1225" t="str">
            <v>C62ASA1</v>
          </cell>
          <cell r="B1225" t="str">
            <v xml:space="preserve">ANTICORROSIVO SEMIBRILLANTE   </v>
          </cell>
          <cell r="C1225">
            <v>1</v>
          </cell>
          <cell r="D1225">
            <v>365</v>
          </cell>
        </row>
        <row r="1226">
          <cell r="A1226" t="str">
            <v>C62ASA1-1</v>
          </cell>
          <cell r="B1226" t="str">
            <v xml:space="preserve">ANTICORROSIVO SEMIBRILLANTE   </v>
          </cell>
          <cell r="C1226">
            <v>1</v>
          </cell>
          <cell r="D1226">
            <v>365</v>
          </cell>
        </row>
        <row r="1227">
          <cell r="A1227" t="str">
            <v>C62ASA2</v>
          </cell>
          <cell r="B1227" t="str">
            <v>ANTICORROSIVO PARA ESTRUCTURAS</v>
          </cell>
          <cell r="C1227">
            <v>1</v>
          </cell>
          <cell r="D1227">
            <v>365</v>
          </cell>
        </row>
        <row r="1228">
          <cell r="A1228" t="str">
            <v>C62ASA2-1</v>
          </cell>
          <cell r="B1228" t="str">
            <v xml:space="preserve">ANTICORROS P ESTRUCTURAS GRIS </v>
          </cell>
          <cell r="C1228">
            <v>1</v>
          </cell>
          <cell r="D1228">
            <v>365</v>
          </cell>
        </row>
        <row r="1229">
          <cell r="A1229" t="str">
            <v>C62ASA2-1/4</v>
          </cell>
          <cell r="B1229" t="str">
            <v xml:space="preserve">ANTICORROS P ESTRUCTURAS GRIS </v>
          </cell>
          <cell r="C1229">
            <v>1</v>
          </cell>
          <cell r="D1229">
            <v>365</v>
          </cell>
        </row>
        <row r="1230">
          <cell r="A1230" t="str">
            <v>C62ASA2-5</v>
          </cell>
          <cell r="B1230" t="str">
            <v xml:space="preserve">ANTICORROS P ESTRUCTURAS GRIS </v>
          </cell>
          <cell r="C1230">
            <v>1</v>
          </cell>
          <cell r="D1230">
            <v>365</v>
          </cell>
        </row>
        <row r="1231">
          <cell r="A1231" t="str">
            <v>C62ASA2-50</v>
          </cell>
          <cell r="B1231" t="str">
            <v xml:space="preserve">ANTICORROS P ESTRUCTURAS GRIS </v>
          </cell>
          <cell r="C1231">
            <v>1</v>
          </cell>
          <cell r="D1231">
            <v>365</v>
          </cell>
        </row>
        <row r="1232">
          <cell r="A1232" t="str">
            <v>C62BCR1</v>
          </cell>
          <cell r="B1232" t="str">
            <v>ANTICORROS P ESTRUCTURAS NEGRO</v>
          </cell>
          <cell r="C1232">
            <v>1</v>
          </cell>
          <cell r="D1232">
            <v>365</v>
          </cell>
        </row>
        <row r="1233">
          <cell r="A1233" t="str">
            <v>C62BCR1-1</v>
          </cell>
          <cell r="B1233" t="str">
            <v>ANTICORROS P ESTRUCTURAS NEGRO</v>
          </cell>
          <cell r="C1233">
            <v>1</v>
          </cell>
          <cell r="D1233">
            <v>365</v>
          </cell>
        </row>
        <row r="1234">
          <cell r="A1234" t="str">
            <v>C62BCR1-1/4</v>
          </cell>
          <cell r="B1234" t="str">
            <v>ANTICORROS P ESTRUCTURAS NEGRO</v>
          </cell>
          <cell r="C1234">
            <v>1</v>
          </cell>
          <cell r="D1234">
            <v>365</v>
          </cell>
        </row>
        <row r="1235">
          <cell r="A1235" t="str">
            <v>C62BCR1-5</v>
          </cell>
          <cell r="B1235" t="str">
            <v>ANTICORROS P ESTRUCTURAS NEGRO</v>
          </cell>
          <cell r="C1235">
            <v>1</v>
          </cell>
          <cell r="D1235">
            <v>365</v>
          </cell>
        </row>
        <row r="1236">
          <cell r="A1236" t="str">
            <v>C62BCR1-50</v>
          </cell>
          <cell r="B1236" t="str">
            <v>ANTICORROS P ESTRUCTURAS NEGRO</v>
          </cell>
          <cell r="C1236">
            <v>1</v>
          </cell>
          <cell r="D1236">
            <v>365</v>
          </cell>
        </row>
        <row r="1237">
          <cell r="A1237" t="str">
            <v>C62GCR1</v>
          </cell>
          <cell r="B1237" t="str">
            <v>ANTICORROS P ESTRUCTURAS VERDE</v>
          </cell>
          <cell r="C1237">
            <v>1</v>
          </cell>
          <cell r="D1237">
            <v>365</v>
          </cell>
        </row>
        <row r="1238">
          <cell r="A1238" t="str">
            <v>C62GCR1-1</v>
          </cell>
          <cell r="B1238" t="str">
            <v>ANTICORROS P ESTRUCTURAS VERDE</v>
          </cell>
          <cell r="C1238">
            <v>1</v>
          </cell>
          <cell r="D1238">
            <v>365</v>
          </cell>
        </row>
        <row r="1239">
          <cell r="A1239" t="str">
            <v>C62GCR1-1/4</v>
          </cell>
          <cell r="B1239" t="str">
            <v>ANTICORROS P ESTRUCTURAS VERDE</v>
          </cell>
          <cell r="C1239">
            <v>1</v>
          </cell>
          <cell r="D1239">
            <v>365</v>
          </cell>
        </row>
        <row r="1240">
          <cell r="A1240" t="str">
            <v>C62GCR1-5</v>
          </cell>
          <cell r="B1240" t="str">
            <v>ANTICORROS P ESTRUCTURAS VERDE</v>
          </cell>
          <cell r="C1240">
            <v>1</v>
          </cell>
          <cell r="D1240">
            <v>365</v>
          </cell>
        </row>
        <row r="1241">
          <cell r="A1241" t="str">
            <v>C62GCR1-50</v>
          </cell>
          <cell r="B1241" t="str">
            <v>ANTICORROS P ESTRUCTURAS VERDE</v>
          </cell>
          <cell r="C1241">
            <v>1</v>
          </cell>
          <cell r="D1241">
            <v>365</v>
          </cell>
        </row>
        <row r="1242">
          <cell r="A1242" t="str">
            <v>C62LCR1</v>
          </cell>
          <cell r="B1242" t="str">
            <v xml:space="preserve">ANTICORROS P ESTRUCTURAS AZUL </v>
          </cell>
          <cell r="C1242">
            <v>1</v>
          </cell>
          <cell r="D1242">
            <v>365</v>
          </cell>
        </row>
        <row r="1243">
          <cell r="A1243" t="str">
            <v>C62LCR1-1</v>
          </cell>
          <cell r="B1243" t="str">
            <v xml:space="preserve">ANTICORROS P ESTRUCTURAS AZUL </v>
          </cell>
          <cell r="C1243">
            <v>1</v>
          </cell>
          <cell r="D1243">
            <v>365</v>
          </cell>
        </row>
        <row r="1244">
          <cell r="A1244" t="str">
            <v>C62LCR1-1/4</v>
          </cell>
          <cell r="B1244" t="str">
            <v xml:space="preserve">ANTICORROS P ESTRUCTURAS AZUL </v>
          </cell>
          <cell r="C1244">
            <v>1</v>
          </cell>
          <cell r="D1244">
            <v>365</v>
          </cell>
        </row>
        <row r="1245">
          <cell r="A1245" t="str">
            <v>C62LCR1-5</v>
          </cell>
          <cell r="B1245" t="str">
            <v xml:space="preserve">ANTICORROS P ESTRUCTURAS AZUL </v>
          </cell>
          <cell r="C1245">
            <v>1</v>
          </cell>
          <cell r="D1245">
            <v>365</v>
          </cell>
        </row>
        <row r="1246">
          <cell r="A1246" t="str">
            <v>C62LCR1-50</v>
          </cell>
          <cell r="B1246" t="str">
            <v xml:space="preserve">ANTICORROS P ESTRUCTURAS AZUL </v>
          </cell>
          <cell r="C1246">
            <v>1</v>
          </cell>
          <cell r="D1246">
            <v>365</v>
          </cell>
        </row>
        <row r="1247">
          <cell r="A1247" t="str">
            <v>C62LSA2</v>
          </cell>
          <cell r="B1247" t="str">
            <v xml:space="preserve">ANTICORROSIVO P/ESTRUCTURAS   </v>
          </cell>
          <cell r="C1247">
            <v>1</v>
          </cell>
          <cell r="D1247">
            <v>365</v>
          </cell>
        </row>
        <row r="1248">
          <cell r="A1248" t="str">
            <v>C62LSA2-1</v>
          </cell>
          <cell r="B1248" t="str">
            <v xml:space="preserve">ANTICORROS P ESTRUCTURAS AZUL </v>
          </cell>
          <cell r="C1248">
            <v>1</v>
          </cell>
          <cell r="D1248">
            <v>365</v>
          </cell>
        </row>
        <row r="1249">
          <cell r="A1249" t="str">
            <v>C62LSA2-1/4</v>
          </cell>
          <cell r="B1249" t="str">
            <v xml:space="preserve">ANTICORROS P ESTRUCTURAS AZUL </v>
          </cell>
          <cell r="C1249">
            <v>1</v>
          </cell>
          <cell r="D1249">
            <v>365</v>
          </cell>
        </row>
        <row r="1250">
          <cell r="A1250" t="str">
            <v>C62LSA2-5</v>
          </cell>
          <cell r="B1250" t="str">
            <v xml:space="preserve">ANTICORROS P ESTRUCTURAS AZUL </v>
          </cell>
          <cell r="C1250">
            <v>1</v>
          </cell>
          <cell r="D1250">
            <v>365</v>
          </cell>
        </row>
        <row r="1251">
          <cell r="A1251" t="str">
            <v>C62RCR1</v>
          </cell>
          <cell r="B1251" t="str">
            <v xml:space="preserve">ANTICORROS P ESTRUCTURAS ROJO </v>
          </cell>
          <cell r="C1251">
            <v>1</v>
          </cell>
          <cell r="D1251">
            <v>365</v>
          </cell>
        </row>
        <row r="1252">
          <cell r="A1252" t="str">
            <v>C62RCR1-1</v>
          </cell>
          <cell r="B1252" t="str">
            <v xml:space="preserve">ANTICORROS P ESTRUCTURAS ROJO </v>
          </cell>
          <cell r="C1252">
            <v>1</v>
          </cell>
          <cell r="D1252">
            <v>365</v>
          </cell>
        </row>
        <row r="1253">
          <cell r="A1253" t="str">
            <v>C62RCR1-1/4</v>
          </cell>
          <cell r="B1253" t="str">
            <v xml:space="preserve">ANTICORROS P ESTRUCTURAS ROJO </v>
          </cell>
          <cell r="C1253">
            <v>1</v>
          </cell>
          <cell r="D1253">
            <v>365</v>
          </cell>
        </row>
        <row r="1254">
          <cell r="A1254" t="str">
            <v>C62RCR1-5</v>
          </cell>
          <cell r="B1254" t="str">
            <v xml:space="preserve">ANTICORROS P ESTRUCTURAS ROJO </v>
          </cell>
          <cell r="C1254">
            <v>1</v>
          </cell>
          <cell r="D1254">
            <v>365</v>
          </cell>
        </row>
        <row r="1255">
          <cell r="A1255" t="str">
            <v>C62RCR1-50</v>
          </cell>
          <cell r="B1255" t="str">
            <v xml:space="preserve">ANTICORROS P ESTRUCTURAS ROJO </v>
          </cell>
          <cell r="C1255">
            <v>1</v>
          </cell>
          <cell r="D1255">
            <v>365</v>
          </cell>
        </row>
        <row r="1256">
          <cell r="A1256" t="str">
            <v>C62RSA2</v>
          </cell>
          <cell r="B1256" t="str">
            <v>ANTICORROSIVO PARA ESTRUCTURAS</v>
          </cell>
          <cell r="C1256">
            <v>1</v>
          </cell>
          <cell r="D1256">
            <v>365</v>
          </cell>
        </row>
        <row r="1257">
          <cell r="A1257" t="str">
            <v>C62RSA2-1</v>
          </cell>
          <cell r="B1257" t="str">
            <v xml:space="preserve">ANTICORROS P ESTRUCTURAS ROJO </v>
          </cell>
          <cell r="C1257">
            <v>1</v>
          </cell>
          <cell r="D1257">
            <v>365</v>
          </cell>
        </row>
        <row r="1258">
          <cell r="A1258" t="str">
            <v>C62RSA2-1/4</v>
          </cell>
          <cell r="B1258" t="str">
            <v xml:space="preserve">ANTICORROS P ESTRUCTURAS ROJO </v>
          </cell>
          <cell r="C1258">
            <v>1</v>
          </cell>
          <cell r="D1258">
            <v>365</v>
          </cell>
        </row>
        <row r="1259">
          <cell r="A1259" t="str">
            <v>C62RSA2-5</v>
          </cell>
          <cell r="B1259" t="str">
            <v xml:space="preserve">ANTICORROS P ESTRUCTURAS ROJO </v>
          </cell>
          <cell r="C1259">
            <v>1</v>
          </cell>
          <cell r="D1259">
            <v>365</v>
          </cell>
        </row>
        <row r="1260">
          <cell r="A1260" t="str">
            <v>C62WCR1</v>
          </cell>
          <cell r="B1260" t="str">
            <v>ANTICORROS  ESTRUCTURAS BLANCO</v>
          </cell>
          <cell r="C1260">
            <v>1</v>
          </cell>
          <cell r="D1260">
            <v>365</v>
          </cell>
        </row>
        <row r="1261">
          <cell r="A1261" t="str">
            <v>C62WCR1-1</v>
          </cell>
          <cell r="B1261" t="str">
            <v>ANTICORROS  ESTRUCTURAS BLANCO</v>
          </cell>
          <cell r="C1261">
            <v>1</v>
          </cell>
          <cell r="D1261">
            <v>365</v>
          </cell>
        </row>
        <row r="1262">
          <cell r="A1262" t="str">
            <v>C62WCR1-1/4</v>
          </cell>
          <cell r="B1262" t="str">
            <v>ANTICORROS  ESTRUCTURAS BLANCO</v>
          </cell>
          <cell r="C1262">
            <v>1</v>
          </cell>
          <cell r="D1262">
            <v>365</v>
          </cell>
        </row>
        <row r="1263">
          <cell r="A1263" t="str">
            <v>C62WCR1-5</v>
          </cell>
          <cell r="B1263" t="str">
            <v>ANTICORROS  ESTRUCTURAS BLANCO</v>
          </cell>
          <cell r="C1263">
            <v>1</v>
          </cell>
          <cell r="D1263">
            <v>365</v>
          </cell>
        </row>
        <row r="1264">
          <cell r="A1264" t="str">
            <v>C62WCR1-50</v>
          </cell>
          <cell r="B1264" t="str">
            <v>ANTICORROS  ESTRUCTURAS BLANCO</v>
          </cell>
          <cell r="C1264">
            <v>1</v>
          </cell>
          <cell r="D1264">
            <v>365</v>
          </cell>
        </row>
        <row r="1265">
          <cell r="A1265" t="str">
            <v>D70T1</v>
          </cell>
          <cell r="B1265" t="str">
            <v>FAST DRYING SEMIPASTE TAPAPORO</v>
          </cell>
          <cell r="C1265">
            <v>1</v>
          </cell>
          <cell r="D1265">
            <v>365</v>
          </cell>
        </row>
        <row r="1266">
          <cell r="A1266" t="str">
            <v>F33CSA1</v>
          </cell>
          <cell r="B1266" t="str">
            <v xml:space="preserve">PINTURA DE DEDO 0             </v>
          </cell>
          <cell r="C1266">
            <v>1</v>
          </cell>
          <cell r="D1266">
            <v>365</v>
          </cell>
        </row>
        <row r="1267">
          <cell r="A1267" t="str">
            <v>F33CSA1-5</v>
          </cell>
          <cell r="B1267" t="str">
            <v xml:space="preserve">PINTURA DE DEDO               </v>
          </cell>
          <cell r="C1267">
            <v>1</v>
          </cell>
          <cell r="D1267">
            <v>365</v>
          </cell>
        </row>
        <row r="1268">
          <cell r="A1268" t="str">
            <v>F3B320</v>
          </cell>
          <cell r="B1268" t="str">
            <v xml:space="preserve">KEM TRANSP MIX ENAM EBANO     </v>
          </cell>
          <cell r="C1268">
            <v>1</v>
          </cell>
          <cell r="D1268">
            <v>365</v>
          </cell>
        </row>
        <row r="1269">
          <cell r="A1269" t="str">
            <v>F3B320-1</v>
          </cell>
          <cell r="B1269" t="str">
            <v xml:space="preserve">KEM TRANSP MIX ENAM EBANO     </v>
          </cell>
          <cell r="C1269">
            <v>1</v>
          </cell>
          <cell r="D1269">
            <v>365</v>
          </cell>
        </row>
        <row r="1270">
          <cell r="A1270" t="str">
            <v>F3E317</v>
          </cell>
          <cell r="B1270" t="str">
            <v xml:space="preserve">KEM TRANSP MIX ENAM NARANJA   </v>
          </cell>
          <cell r="C1270">
            <v>1</v>
          </cell>
          <cell r="D1270">
            <v>365</v>
          </cell>
        </row>
        <row r="1271">
          <cell r="A1271" t="str">
            <v>F3E317-1</v>
          </cell>
          <cell r="B1271" t="str">
            <v xml:space="preserve">KEM TRANSP MIX ENAM NARANJA   </v>
          </cell>
          <cell r="C1271">
            <v>1</v>
          </cell>
          <cell r="D1271">
            <v>365</v>
          </cell>
        </row>
        <row r="1272">
          <cell r="A1272" t="str">
            <v>F3E317-SP</v>
          </cell>
          <cell r="B1272" t="str">
            <v xml:space="preserve">KEM TRANSPORT                 </v>
          </cell>
          <cell r="C1272">
            <v>1</v>
          </cell>
          <cell r="D1272">
            <v>365</v>
          </cell>
        </row>
        <row r="1273">
          <cell r="A1273" t="str">
            <v>F3E317SP-1</v>
          </cell>
          <cell r="B1273" t="str">
            <v>KEM TRANSP MIX ENAM NARANJA SP</v>
          </cell>
          <cell r="C1273">
            <v>1</v>
          </cell>
          <cell r="D1273">
            <v>365</v>
          </cell>
        </row>
        <row r="1274">
          <cell r="A1274" t="str">
            <v>F3G311</v>
          </cell>
          <cell r="B1274" t="str">
            <v xml:space="preserve">KEM TRANSP MIX ENAM VERDE     </v>
          </cell>
          <cell r="C1274">
            <v>1</v>
          </cell>
          <cell r="D1274">
            <v>365</v>
          </cell>
        </row>
        <row r="1275">
          <cell r="A1275" t="str">
            <v>F3G311-1</v>
          </cell>
          <cell r="B1275" t="str">
            <v xml:space="preserve">KEM TRANSP MIX ENAM VERDE     </v>
          </cell>
          <cell r="C1275">
            <v>1</v>
          </cell>
          <cell r="D1275">
            <v>365</v>
          </cell>
        </row>
        <row r="1276">
          <cell r="A1276" t="str">
            <v>F3L305</v>
          </cell>
          <cell r="B1276" t="str">
            <v xml:space="preserve">KEM TRANSP MIX ENAM AZUL RO   </v>
          </cell>
          <cell r="C1276">
            <v>1</v>
          </cell>
          <cell r="D1276">
            <v>365</v>
          </cell>
        </row>
        <row r="1277">
          <cell r="A1277" t="str">
            <v>F3L305-1</v>
          </cell>
          <cell r="B1277" t="str">
            <v>KEM TRANSP MIX ENAM AZUL ROJIZ</v>
          </cell>
          <cell r="C1277">
            <v>1</v>
          </cell>
          <cell r="D1277">
            <v>365</v>
          </cell>
        </row>
        <row r="1278">
          <cell r="A1278" t="str">
            <v>F3L309</v>
          </cell>
          <cell r="B1278" t="str">
            <v xml:space="preserve">KEM TRANSP MIX ENAM AZUL VE   </v>
          </cell>
          <cell r="C1278">
            <v>1</v>
          </cell>
          <cell r="D1278">
            <v>365</v>
          </cell>
        </row>
        <row r="1279">
          <cell r="A1279" t="str">
            <v>F3L309-1</v>
          </cell>
          <cell r="B1279" t="str">
            <v>KEM TRANSP MIX ENAM AZUL VERDO</v>
          </cell>
          <cell r="C1279">
            <v>1</v>
          </cell>
          <cell r="D1279">
            <v>365</v>
          </cell>
        </row>
        <row r="1280">
          <cell r="A1280" t="str">
            <v>F3M318</v>
          </cell>
          <cell r="B1280" t="str">
            <v xml:space="preserve">KEM TRANSP MIX ENAM MARRON    </v>
          </cell>
          <cell r="C1280">
            <v>1</v>
          </cell>
          <cell r="D1280">
            <v>365</v>
          </cell>
        </row>
        <row r="1281">
          <cell r="A1281" t="str">
            <v>F3M318-1</v>
          </cell>
          <cell r="B1281" t="str">
            <v xml:space="preserve">KEM TRANSP MIX ENAM MARRON    </v>
          </cell>
          <cell r="C1281">
            <v>1</v>
          </cell>
          <cell r="D1281">
            <v>365</v>
          </cell>
        </row>
        <row r="1282">
          <cell r="A1282" t="str">
            <v>F3N314</v>
          </cell>
          <cell r="B1282" t="str">
            <v xml:space="preserve">KEM TRANSP MIX ENAM DORADO    </v>
          </cell>
          <cell r="C1282">
            <v>1</v>
          </cell>
          <cell r="D1282">
            <v>365</v>
          </cell>
        </row>
        <row r="1283">
          <cell r="A1283" t="str">
            <v>F3N314-1</v>
          </cell>
          <cell r="B1283" t="str">
            <v xml:space="preserve">KEM TRANSP MIX ENAM DORADO    </v>
          </cell>
          <cell r="C1283">
            <v>1</v>
          </cell>
          <cell r="D1283">
            <v>365</v>
          </cell>
        </row>
        <row r="1284">
          <cell r="A1284" t="str">
            <v>F3N342</v>
          </cell>
          <cell r="B1284" t="str">
            <v>KEM TRANSP MIX ENAM GOLD INTEN</v>
          </cell>
          <cell r="C1284">
            <v>1</v>
          </cell>
          <cell r="D1284">
            <v>365</v>
          </cell>
        </row>
        <row r="1285">
          <cell r="A1285" t="str">
            <v>F3N342-1</v>
          </cell>
          <cell r="B1285" t="str">
            <v>KEM TRANSP MIX ENAM GOLD INTEN</v>
          </cell>
          <cell r="C1285">
            <v>1</v>
          </cell>
          <cell r="D1285">
            <v>365</v>
          </cell>
        </row>
        <row r="1286">
          <cell r="A1286" t="str">
            <v>F3R304</v>
          </cell>
          <cell r="B1286" t="str">
            <v>KEM TRANSP MIX ENAM ROJO OXIDO</v>
          </cell>
          <cell r="C1286">
            <v>1</v>
          </cell>
          <cell r="D1286">
            <v>365</v>
          </cell>
        </row>
        <row r="1287">
          <cell r="A1287" t="str">
            <v>F3R304-1</v>
          </cell>
          <cell r="B1287" t="str">
            <v>KEM TRANSP MIX ENAM ROJO OXIDO</v>
          </cell>
          <cell r="C1287">
            <v>1</v>
          </cell>
          <cell r="D1287">
            <v>365</v>
          </cell>
        </row>
        <row r="1288">
          <cell r="A1288" t="str">
            <v>F3R330</v>
          </cell>
          <cell r="B1288" t="str">
            <v xml:space="preserve">KEM TRANSP MIX ENAM ROJO BRTE </v>
          </cell>
          <cell r="C1288">
            <v>1</v>
          </cell>
          <cell r="D1288">
            <v>365</v>
          </cell>
        </row>
        <row r="1289">
          <cell r="A1289" t="str">
            <v>F3R330-1</v>
          </cell>
          <cell r="B1289" t="str">
            <v xml:space="preserve">KEM TRANSP MIX ENAM ROJO BRTE </v>
          </cell>
          <cell r="C1289">
            <v>1</v>
          </cell>
          <cell r="D1289">
            <v>365</v>
          </cell>
        </row>
        <row r="1290">
          <cell r="A1290" t="str">
            <v>F3RSA4</v>
          </cell>
          <cell r="B1290" t="str">
            <v>KEM TRANSP MIX ENAM ROJO MEZCL</v>
          </cell>
          <cell r="C1290">
            <v>1</v>
          </cell>
          <cell r="D1290">
            <v>365</v>
          </cell>
        </row>
        <row r="1291">
          <cell r="A1291" t="str">
            <v>F3RSA4-1</v>
          </cell>
          <cell r="B1291" t="str">
            <v>KEM TRANSP MIX ENAM ROJO MEZCL</v>
          </cell>
          <cell r="C1291">
            <v>1</v>
          </cell>
          <cell r="D1291">
            <v>365</v>
          </cell>
        </row>
        <row r="1292">
          <cell r="A1292" t="str">
            <v>F3S335</v>
          </cell>
          <cell r="B1292" t="str">
            <v xml:space="preserve">KEM TRANSP MIX ENAM MET BRTE  </v>
          </cell>
          <cell r="C1292">
            <v>1</v>
          </cell>
          <cell r="D1292">
            <v>365</v>
          </cell>
        </row>
        <row r="1293">
          <cell r="A1293" t="str">
            <v>F3S335-1</v>
          </cell>
          <cell r="B1293" t="str">
            <v xml:space="preserve">KEM TRANSP MIX ENAM MET BRTE  </v>
          </cell>
          <cell r="C1293">
            <v>1</v>
          </cell>
          <cell r="D1293">
            <v>365</v>
          </cell>
        </row>
        <row r="1294">
          <cell r="A1294" t="str">
            <v>F3S350</v>
          </cell>
          <cell r="B1294" t="str">
            <v xml:space="preserve">KEM TRANSP MIX ENAM MET MED   </v>
          </cell>
          <cell r="C1294">
            <v>1</v>
          </cell>
          <cell r="D1294">
            <v>365</v>
          </cell>
        </row>
        <row r="1295">
          <cell r="A1295" t="str">
            <v>F3S350-1</v>
          </cell>
          <cell r="B1295" t="str">
            <v xml:space="preserve">KEM TRANSP MIX ENAM MET MED   </v>
          </cell>
          <cell r="C1295">
            <v>1</v>
          </cell>
          <cell r="D1295">
            <v>365</v>
          </cell>
        </row>
        <row r="1296">
          <cell r="A1296" t="str">
            <v>F3S352</v>
          </cell>
          <cell r="B1296" t="str">
            <v>KEM TRANSP MIX ENAM MET MED GS</v>
          </cell>
          <cell r="C1296">
            <v>1</v>
          </cell>
          <cell r="D1296">
            <v>365</v>
          </cell>
        </row>
        <row r="1297">
          <cell r="A1297" t="str">
            <v>F3S352-1</v>
          </cell>
          <cell r="B1297" t="str">
            <v>KEM TRANSP MIX ENAM MET MED GS</v>
          </cell>
          <cell r="C1297">
            <v>1</v>
          </cell>
          <cell r="D1297">
            <v>365</v>
          </cell>
        </row>
        <row r="1298">
          <cell r="A1298" t="str">
            <v>F3W301</v>
          </cell>
          <cell r="B1298" t="str">
            <v xml:space="preserve">KEM TRANSP MIX ENAM BLANCO    </v>
          </cell>
          <cell r="C1298">
            <v>1</v>
          </cell>
          <cell r="D1298">
            <v>365</v>
          </cell>
        </row>
        <row r="1299">
          <cell r="A1299" t="str">
            <v>F3W301-1</v>
          </cell>
          <cell r="B1299" t="str">
            <v xml:space="preserve">KEM TRANSP MIX ENAM BLANCO    </v>
          </cell>
          <cell r="C1299">
            <v>1</v>
          </cell>
          <cell r="D1299">
            <v>365</v>
          </cell>
        </row>
        <row r="1300">
          <cell r="A1300" t="str">
            <v>F3Y303</v>
          </cell>
          <cell r="B1300" t="str">
            <v>KEM TRANSP MIX ENAM AMARILL OX</v>
          </cell>
          <cell r="C1300">
            <v>1</v>
          </cell>
          <cell r="D1300">
            <v>365</v>
          </cell>
        </row>
        <row r="1301">
          <cell r="A1301" t="str">
            <v>F3Y303-1</v>
          </cell>
          <cell r="B1301" t="str">
            <v>KEM TRANSP MIX ENAM AMARILL OX</v>
          </cell>
          <cell r="C1301">
            <v>1</v>
          </cell>
          <cell r="D1301">
            <v>365</v>
          </cell>
        </row>
        <row r="1302">
          <cell r="A1302" t="str">
            <v>F3Y332</v>
          </cell>
          <cell r="B1302" t="str">
            <v>KEM TRANSP MIX ENAM AMARILL LI</v>
          </cell>
          <cell r="C1302">
            <v>1</v>
          </cell>
          <cell r="D1302">
            <v>365</v>
          </cell>
        </row>
        <row r="1303">
          <cell r="A1303" t="str">
            <v>F3Y332-1</v>
          </cell>
          <cell r="B1303" t="str">
            <v>KEM TRANSP MIX ENAM AMARILL LI</v>
          </cell>
          <cell r="C1303">
            <v>1</v>
          </cell>
          <cell r="D1303">
            <v>365</v>
          </cell>
        </row>
        <row r="1304">
          <cell r="A1304" t="str">
            <v>F3Y332-SP</v>
          </cell>
          <cell r="B1304" t="str">
            <v xml:space="preserve">KEM TRANSPORT MIXING ENAMEL   </v>
          </cell>
          <cell r="C1304">
            <v>1</v>
          </cell>
          <cell r="D1304">
            <v>365</v>
          </cell>
        </row>
        <row r="1305">
          <cell r="A1305" t="str">
            <v>F3Y332SP-1</v>
          </cell>
          <cell r="B1305" t="str">
            <v xml:space="preserve">KEM TRANSP MIX AMARILLO SP    </v>
          </cell>
          <cell r="C1305">
            <v>1</v>
          </cell>
          <cell r="D1305">
            <v>365</v>
          </cell>
        </row>
        <row r="1306">
          <cell r="A1306" t="str">
            <v>F3Y333</v>
          </cell>
          <cell r="B1306" t="str">
            <v>KEM TRANSP MIX ENAM AMARILL ME</v>
          </cell>
          <cell r="C1306">
            <v>1</v>
          </cell>
          <cell r="D1306">
            <v>365</v>
          </cell>
        </row>
        <row r="1307">
          <cell r="A1307" t="str">
            <v>F3Y333-1</v>
          </cell>
          <cell r="B1307" t="str">
            <v>KEM TRANSP MIX ENAM AMARILL ME</v>
          </cell>
          <cell r="C1307">
            <v>1</v>
          </cell>
          <cell r="D1307">
            <v>365</v>
          </cell>
        </row>
        <row r="1308">
          <cell r="A1308" t="str">
            <v>F3Y333-SP</v>
          </cell>
          <cell r="B1308" t="str">
            <v xml:space="preserve">KEM TRANSPORT MIXING ENAMEL   </v>
          </cell>
          <cell r="C1308">
            <v>1</v>
          </cell>
          <cell r="D1308">
            <v>365</v>
          </cell>
        </row>
        <row r="1309">
          <cell r="A1309" t="str">
            <v>F3Y333SP-1</v>
          </cell>
          <cell r="B1309" t="str">
            <v>KEM TRANSP MIX ENAM AMARILL ME</v>
          </cell>
          <cell r="C1309">
            <v>1</v>
          </cell>
          <cell r="D1309">
            <v>365</v>
          </cell>
        </row>
        <row r="1310">
          <cell r="A1310" t="str">
            <v>H61ASA3</v>
          </cell>
          <cell r="B1310" t="str">
            <v xml:space="preserve">DIMENSO ONE COAT              </v>
          </cell>
          <cell r="C1310">
            <v>1</v>
          </cell>
          <cell r="D1310">
            <v>365</v>
          </cell>
        </row>
        <row r="1311">
          <cell r="A1311" t="str">
            <v>H61ASA3-1</v>
          </cell>
          <cell r="B1311" t="str">
            <v xml:space="preserve">DIMENSO ONE COAT GRIS OSCURO  </v>
          </cell>
          <cell r="C1311">
            <v>1</v>
          </cell>
          <cell r="D1311">
            <v>365</v>
          </cell>
        </row>
        <row r="1312">
          <cell r="A1312" t="str">
            <v>H61ASA4</v>
          </cell>
          <cell r="B1312" t="str">
            <v xml:space="preserve">DIMENSO ONE COAT              </v>
          </cell>
          <cell r="C1312">
            <v>1</v>
          </cell>
          <cell r="D1312">
            <v>365</v>
          </cell>
        </row>
        <row r="1313">
          <cell r="A1313" t="str">
            <v>H61ASA4-5</v>
          </cell>
          <cell r="B1313" t="str">
            <v xml:space="preserve">DIMENSO ONE COAT GRIS CLARO   </v>
          </cell>
          <cell r="C1313">
            <v>1</v>
          </cell>
          <cell r="D1313">
            <v>365</v>
          </cell>
        </row>
        <row r="1314">
          <cell r="A1314" t="str">
            <v>H61ASA5</v>
          </cell>
          <cell r="B1314" t="str">
            <v xml:space="preserve">DIMENSO ONE COAT         GRIS </v>
          </cell>
          <cell r="C1314">
            <v>1</v>
          </cell>
          <cell r="D1314">
            <v>365</v>
          </cell>
        </row>
        <row r="1315">
          <cell r="A1315" t="str">
            <v>H61ASA5-5</v>
          </cell>
          <cell r="B1315" t="str">
            <v xml:space="preserve">DIMENSO ONE COAT GRIS OSCURO  </v>
          </cell>
          <cell r="C1315">
            <v>1</v>
          </cell>
          <cell r="D1315">
            <v>365</v>
          </cell>
        </row>
        <row r="1316">
          <cell r="A1316" t="str">
            <v>H61LSA5</v>
          </cell>
          <cell r="B1316" t="str">
            <v xml:space="preserve">DIMENSO ONE COAT AZUL         </v>
          </cell>
          <cell r="C1316">
            <v>1</v>
          </cell>
          <cell r="D1316">
            <v>365</v>
          </cell>
        </row>
        <row r="1317">
          <cell r="A1317" t="str">
            <v>H61LSA5-1</v>
          </cell>
          <cell r="B1317" t="str">
            <v>DIMENSO ONE COAT AZUL METALICO</v>
          </cell>
          <cell r="C1317">
            <v>1</v>
          </cell>
          <cell r="D1317">
            <v>365</v>
          </cell>
        </row>
        <row r="1318">
          <cell r="A1318" t="str">
            <v>H61S11</v>
          </cell>
          <cell r="B1318" t="str">
            <v xml:space="preserve">DIMENSO ONE COAT SILVER .     </v>
          </cell>
          <cell r="C1318">
            <v>1</v>
          </cell>
          <cell r="D1318">
            <v>365</v>
          </cell>
        </row>
        <row r="1319">
          <cell r="A1319" t="str">
            <v>H61S11-1</v>
          </cell>
          <cell r="B1319" t="str">
            <v xml:space="preserve">DIMENSO ONE COAT SILVER       </v>
          </cell>
          <cell r="C1319">
            <v>1</v>
          </cell>
          <cell r="D1319">
            <v>365</v>
          </cell>
        </row>
        <row r="1320">
          <cell r="A1320" t="str">
            <v>H81TSA1</v>
          </cell>
          <cell r="B1320" t="str">
            <v>ES EPO BRI KEMCATICOAT CLEAR A</v>
          </cell>
          <cell r="C1320">
            <v>1</v>
          </cell>
          <cell r="D1320">
            <v>365</v>
          </cell>
        </row>
        <row r="1321">
          <cell r="A1321" t="str">
            <v>H81TSA1-1</v>
          </cell>
          <cell r="B1321" t="str">
            <v>ES EPO BRI KEMCATICOAT CLEAR A</v>
          </cell>
          <cell r="C1321">
            <v>1</v>
          </cell>
          <cell r="D1321">
            <v>365</v>
          </cell>
        </row>
        <row r="1322">
          <cell r="A1322" t="str">
            <v>K53ESA3</v>
          </cell>
          <cell r="B1322" t="str">
            <v>PENIN LATEX MATE NARANJA CLARO</v>
          </cell>
          <cell r="C1322">
            <v>1</v>
          </cell>
          <cell r="D1322">
            <v>365</v>
          </cell>
        </row>
        <row r="1323">
          <cell r="A1323" t="str">
            <v>K53ESA3-1</v>
          </cell>
          <cell r="B1323" t="str">
            <v>PENIN LATEX MATE NARANJA CLARO</v>
          </cell>
          <cell r="C1323">
            <v>1</v>
          </cell>
          <cell r="D1323">
            <v>365</v>
          </cell>
        </row>
        <row r="1324">
          <cell r="A1324" t="str">
            <v>K53ESA3-5</v>
          </cell>
          <cell r="B1324" t="str">
            <v>PENIN LATEX MATE NARANJA CLARO</v>
          </cell>
          <cell r="C1324">
            <v>1</v>
          </cell>
          <cell r="D1324">
            <v>365</v>
          </cell>
        </row>
        <row r="1325">
          <cell r="A1325" t="str">
            <v>K53GSA13</v>
          </cell>
          <cell r="B1325" t="str">
            <v>PENINSULAR LAT MATE VERD COCKT</v>
          </cell>
          <cell r="C1325">
            <v>1</v>
          </cell>
          <cell r="D1325">
            <v>365</v>
          </cell>
        </row>
        <row r="1326">
          <cell r="A1326" t="str">
            <v>K53GSA13-1</v>
          </cell>
          <cell r="B1326" t="str">
            <v>PENINSULAR LAT MATE VERD COCKT</v>
          </cell>
          <cell r="C1326">
            <v>1</v>
          </cell>
          <cell r="D1326">
            <v>365</v>
          </cell>
        </row>
        <row r="1327">
          <cell r="A1327" t="str">
            <v>K53GSA14</v>
          </cell>
          <cell r="B1327" t="str">
            <v xml:space="preserve">PENINSULAR LAT VERDE AVENTURA </v>
          </cell>
          <cell r="C1327">
            <v>1</v>
          </cell>
          <cell r="D1327">
            <v>365</v>
          </cell>
        </row>
        <row r="1328">
          <cell r="A1328" t="str">
            <v>K53GSA14-1</v>
          </cell>
          <cell r="B1328" t="str">
            <v xml:space="preserve">PENINSULAR LAT VERDE AVENTURA </v>
          </cell>
          <cell r="C1328">
            <v>1</v>
          </cell>
          <cell r="D1328">
            <v>365</v>
          </cell>
        </row>
        <row r="1329">
          <cell r="A1329" t="str">
            <v>K53GSA7</v>
          </cell>
          <cell r="B1329" t="str">
            <v xml:space="preserve">PENINS LATEX MATE VERDE MENTA </v>
          </cell>
          <cell r="C1329">
            <v>1</v>
          </cell>
          <cell r="D1329">
            <v>365</v>
          </cell>
        </row>
        <row r="1330">
          <cell r="A1330" t="str">
            <v>K53GSA7-1</v>
          </cell>
          <cell r="B1330" t="str">
            <v xml:space="preserve">PENINS LATEX MATE VERDE MENTA </v>
          </cell>
          <cell r="C1330">
            <v>1</v>
          </cell>
          <cell r="D1330">
            <v>365</v>
          </cell>
        </row>
        <row r="1331">
          <cell r="A1331" t="str">
            <v>K53GSA7-5</v>
          </cell>
          <cell r="B1331" t="str">
            <v xml:space="preserve">PENINS LATEX MATE VERDE MENTA </v>
          </cell>
          <cell r="C1331">
            <v>1</v>
          </cell>
          <cell r="D1331">
            <v>365</v>
          </cell>
        </row>
        <row r="1332">
          <cell r="A1332" t="str">
            <v>K53GSA8</v>
          </cell>
          <cell r="B1332" t="str">
            <v xml:space="preserve">PENINSULAR LATEX MATE AQUA    </v>
          </cell>
          <cell r="C1332">
            <v>1</v>
          </cell>
          <cell r="D1332">
            <v>365</v>
          </cell>
        </row>
        <row r="1333">
          <cell r="A1333" t="str">
            <v>K53GSA8-1</v>
          </cell>
          <cell r="B1333" t="str">
            <v xml:space="preserve">PENINSULAR LATEX MATE AQUA    </v>
          </cell>
          <cell r="C1333">
            <v>1</v>
          </cell>
          <cell r="D1333">
            <v>365</v>
          </cell>
        </row>
        <row r="1334">
          <cell r="A1334" t="str">
            <v>K53GSA8-5</v>
          </cell>
          <cell r="B1334" t="str">
            <v xml:space="preserve">PENINSULAR LATEX MATE AQUA    </v>
          </cell>
          <cell r="C1334">
            <v>1</v>
          </cell>
          <cell r="D1334">
            <v>365</v>
          </cell>
        </row>
        <row r="1335">
          <cell r="A1335" t="str">
            <v>K53HSA3</v>
          </cell>
          <cell r="B1335" t="str">
            <v>PENINS LATEX MATE MARFIL CREMA</v>
          </cell>
          <cell r="C1335">
            <v>1</v>
          </cell>
          <cell r="D1335">
            <v>365</v>
          </cell>
        </row>
        <row r="1336">
          <cell r="A1336" t="str">
            <v>K53HSA3-1</v>
          </cell>
          <cell r="B1336" t="str">
            <v>PENINS LATEX MATE MARFIL CREMA</v>
          </cell>
          <cell r="C1336">
            <v>1</v>
          </cell>
          <cell r="D1336">
            <v>365</v>
          </cell>
        </row>
        <row r="1337">
          <cell r="A1337" t="str">
            <v>K53HSA3-5</v>
          </cell>
          <cell r="B1337" t="str">
            <v>PENINS LATEX MATE MARFIL CREMA</v>
          </cell>
          <cell r="C1337">
            <v>1</v>
          </cell>
          <cell r="D1337">
            <v>365</v>
          </cell>
        </row>
        <row r="1338">
          <cell r="A1338" t="str">
            <v>K53HSA6</v>
          </cell>
          <cell r="B1338" t="str">
            <v xml:space="preserve">PENINSULAR LATEX MARFIL       </v>
          </cell>
          <cell r="C1338">
            <v>1</v>
          </cell>
          <cell r="D1338">
            <v>365</v>
          </cell>
        </row>
        <row r="1339">
          <cell r="A1339" t="str">
            <v>K53HSA6-5</v>
          </cell>
          <cell r="B1339" t="str">
            <v xml:space="preserve">PENINSULAR LATEX MARFIL       </v>
          </cell>
          <cell r="C1339">
            <v>1</v>
          </cell>
          <cell r="D1339">
            <v>365</v>
          </cell>
        </row>
        <row r="1340">
          <cell r="A1340" t="str">
            <v>K53LSA1</v>
          </cell>
          <cell r="B1340" t="str">
            <v xml:space="preserve">PENINSULAR LATEX MATE AZUL    </v>
          </cell>
          <cell r="C1340">
            <v>1</v>
          </cell>
          <cell r="D1340">
            <v>365</v>
          </cell>
        </row>
        <row r="1341">
          <cell r="A1341" t="str">
            <v>K53LSA10</v>
          </cell>
          <cell r="B1341" t="str">
            <v xml:space="preserve">PENINSULAR LATEX CELESTE      </v>
          </cell>
          <cell r="C1341">
            <v>1</v>
          </cell>
          <cell r="D1341">
            <v>365</v>
          </cell>
        </row>
        <row r="1342">
          <cell r="A1342" t="str">
            <v>K53LSA10-1</v>
          </cell>
          <cell r="B1342" t="str">
            <v xml:space="preserve">PENINSULAR LATEX CELESTE      </v>
          </cell>
          <cell r="C1342">
            <v>1</v>
          </cell>
          <cell r="D1342">
            <v>365</v>
          </cell>
        </row>
        <row r="1343">
          <cell r="A1343" t="str">
            <v>K53LSA10-5</v>
          </cell>
          <cell r="B1343" t="str">
            <v xml:space="preserve">PENINSULAR LATEX CELESTE      </v>
          </cell>
          <cell r="C1343">
            <v>1</v>
          </cell>
          <cell r="D1343">
            <v>365</v>
          </cell>
        </row>
        <row r="1344">
          <cell r="A1344" t="str">
            <v>K53LSA1-1</v>
          </cell>
          <cell r="B1344" t="str">
            <v xml:space="preserve">PENINSULAR LATEX MATE AZUL    </v>
          </cell>
          <cell r="C1344">
            <v>1</v>
          </cell>
          <cell r="D1344">
            <v>365</v>
          </cell>
        </row>
        <row r="1345">
          <cell r="A1345" t="str">
            <v>K53LSA11</v>
          </cell>
          <cell r="B1345" t="str">
            <v>PENINSULAR LATEX AZUL PROFUNDO</v>
          </cell>
          <cell r="C1345">
            <v>1</v>
          </cell>
          <cell r="D1345">
            <v>365</v>
          </cell>
        </row>
        <row r="1346">
          <cell r="A1346" t="str">
            <v>K53LSA11-1</v>
          </cell>
          <cell r="B1346" t="str">
            <v>PENINSULAR LATEX AZUL PROFUNDO</v>
          </cell>
          <cell r="C1346">
            <v>1</v>
          </cell>
          <cell r="D1346">
            <v>365</v>
          </cell>
        </row>
        <row r="1347">
          <cell r="A1347" t="str">
            <v>K53LSA1-5</v>
          </cell>
          <cell r="B1347" t="str">
            <v xml:space="preserve">PENINSULAR LATEX AZUL         </v>
          </cell>
          <cell r="C1347">
            <v>1</v>
          </cell>
          <cell r="D1347">
            <v>365</v>
          </cell>
        </row>
        <row r="1348">
          <cell r="A1348" t="str">
            <v>K53LSA3</v>
          </cell>
          <cell r="B1348" t="str">
            <v xml:space="preserve">PENINSULAR LATEX MATE CELESTE </v>
          </cell>
          <cell r="C1348">
            <v>1</v>
          </cell>
          <cell r="D1348">
            <v>365</v>
          </cell>
        </row>
        <row r="1349">
          <cell r="A1349" t="str">
            <v>K53LSA3-1</v>
          </cell>
          <cell r="B1349" t="str">
            <v xml:space="preserve">PENINSULAR LATEX MATE CELESTE </v>
          </cell>
          <cell r="C1349">
            <v>1</v>
          </cell>
          <cell r="D1349">
            <v>365</v>
          </cell>
        </row>
        <row r="1350">
          <cell r="A1350" t="str">
            <v>K53LSA3-5</v>
          </cell>
          <cell r="B1350" t="str">
            <v xml:space="preserve">PENINSULAR LATEX CELESTE      </v>
          </cell>
          <cell r="C1350">
            <v>1</v>
          </cell>
          <cell r="D1350">
            <v>365</v>
          </cell>
        </row>
        <row r="1351">
          <cell r="A1351" t="str">
            <v>K53LSA9</v>
          </cell>
          <cell r="B1351" t="str">
            <v>PENINSULAR LATEX CELESTE CLARO</v>
          </cell>
          <cell r="C1351">
            <v>1</v>
          </cell>
          <cell r="D1351">
            <v>365</v>
          </cell>
        </row>
        <row r="1352">
          <cell r="A1352" t="str">
            <v>K53LSA9-1</v>
          </cell>
          <cell r="B1352" t="str">
            <v>PENINSULAR LATEX CELESTE CLARO</v>
          </cell>
          <cell r="C1352">
            <v>1</v>
          </cell>
          <cell r="D1352">
            <v>365</v>
          </cell>
        </row>
        <row r="1353">
          <cell r="A1353" t="str">
            <v>K53LSA9-5</v>
          </cell>
          <cell r="B1353" t="str">
            <v>PENINSULAR LATEX CELESTE CLARO</v>
          </cell>
          <cell r="C1353">
            <v>1</v>
          </cell>
          <cell r="D1353">
            <v>365</v>
          </cell>
        </row>
        <row r="1354">
          <cell r="A1354" t="str">
            <v>K53MSA1</v>
          </cell>
          <cell r="B1354" t="str">
            <v>PENINSULAR LATEX MATE AMATISTA</v>
          </cell>
          <cell r="C1354">
            <v>1</v>
          </cell>
          <cell r="D1354">
            <v>365</v>
          </cell>
        </row>
        <row r="1355">
          <cell r="A1355" t="str">
            <v>K53MSA1-1</v>
          </cell>
          <cell r="B1355" t="str">
            <v>PENINSULAR LATEX MATE AMATISTA</v>
          </cell>
          <cell r="C1355">
            <v>1</v>
          </cell>
          <cell r="D1355">
            <v>365</v>
          </cell>
        </row>
        <row r="1356">
          <cell r="A1356" t="str">
            <v>K53NSA3</v>
          </cell>
          <cell r="B1356" t="str">
            <v xml:space="preserve">PENINSULAR LATEX MATE BEIGE   </v>
          </cell>
          <cell r="C1356">
            <v>1</v>
          </cell>
          <cell r="D1356">
            <v>365</v>
          </cell>
        </row>
        <row r="1357">
          <cell r="A1357" t="str">
            <v>K53NSA3-1</v>
          </cell>
          <cell r="B1357" t="str">
            <v xml:space="preserve">PENINSULAR LATEX MATE BEIGE   </v>
          </cell>
          <cell r="C1357">
            <v>1</v>
          </cell>
          <cell r="D1357">
            <v>365</v>
          </cell>
        </row>
        <row r="1358">
          <cell r="A1358" t="str">
            <v>K53NSA3-5</v>
          </cell>
          <cell r="B1358" t="str">
            <v xml:space="preserve">PENINSULAR LATEX BEIGE        </v>
          </cell>
          <cell r="C1358">
            <v>1</v>
          </cell>
          <cell r="D1358">
            <v>365</v>
          </cell>
        </row>
        <row r="1359">
          <cell r="A1359" t="str">
            <v>K53NSA5</v>
          </cell>
          <cell r="B1359" t="str">
            <v xml:space="preserve">PENINSULAR LATEX CAFE COBRIZO </v>
          </cell>
          <cell r="C1359">
            <v>1</v>
          </cell>
          <cell r="D1359">
            <v>365</v>
          </cell>
        </row>
        <row r="1360">
          <cell r="A1360" t="str">
            <v>K53NSA5-1</v>
          </cell>
          <cell r="B1360" t="str">
            <v xml:space="preserve">PENINSULAR LATEX CAFE COBRIZO </v>
          </cell>
          <cell r="C1360">
            <v>1</v>
          </cell>
          <cell r="D1360">
            <v>365</v>
          </cell>
        </row>
        <row r="1361">
          <cell r="A1361" t="str">
            <v>K53PSA1</v>
          </cell>
          <cell r="B1361" t="str">
            <v xml:space="preserve">PENINSULAR LATEX LILA         </v>
          </cell>
          <cell r="C1361">
            <v>1</v>
          </cell>
          <cell r="D1361">
            <v>365</v>
          </cell>
        </row>
        <row r="1362">
          <cell r="A1362" t="str">
            <v>K53PSA1-1</v>
          </cell>
          <cell r="B1362" t="str">
            <v xml:space="preserve">PENINSULAR LATEX LILA         </v>
          </cell>
          <cell r="C1362">
            <v>1</v>
          </cell>
          <cell r="D1362">
            <v>365</v>
          </cell>
        </row>
        <row r="1363">
          <cell r="A1363" t="str">
            <v>K53PSA1-5</v>
          </cell>
          <cell r="B1363" t="str">
            <v xml:space="preserve">PENINSULAR LATEX LILA         </v>
          </cell>
          <cell r="C1363">
            <v>1</v>
          </cell>
          <cell r="D1363">
            <v>365</v>
          </cell>
        </row>
        <row r="1364">
          <cell r="A1364" t="str">
            <v>K53PSA2</v>
          </cell>
          <cell r="B1364" t="str">
            <v>PENINSULAR LAT MAT LILA CAUTIV</v>
          </cell>
          <cell r="C1364">
            <v>1</v>
          </cell>
          <cell r="D1364">
            <v>365</v>
          </cell>
        </row>
        <row r="1365">
          <cell r="A1365" t="str">
            <v>K53PSA2-1</v>
          </cell>
          <cell r="B1365" t="str">
            <v>PENINSULAR LAT MAT LILA CAUTIV</v>
          </cell>
          <cell r="C1365">
            <v>1</v>
          </cell>
          <cell r="D1365">
            <v>365</v>
          </cell>
        </row>
        <row r="1366">
          <cell r="A1366" t="str">
            <v>K53RSA1</v>
          </cell>
          <cell r="B1366" t="str">
            <v xml:space="preserve">PENINSULAR LATEX MATE ROSADO  </v>
          </cell>
          <cell r="C1366">
            <v>1</v>
          </cell>
          <cell r="D1366">
            <v>365</v>
          </cell>
        </row>
        <row r="1367">
          <cell r="A1367" t="str">
            <v>K53RSA1-1</v>
          </cell>
          <cell r="B1367" t="str">
            <v xml:space="preserve">PENINSULAR LATEX MATE ROSADO  </v>
          </cell>
          <cell r="C1367">
            <v>1</v>
          </cell>
          <cell r="D1367">
            <v>365</v>
          </cell>
        </row>
        <row r="1368">
          <cell r="A1368" t="str">
            <v>K53RSA1-5</v>
          </cell>
          <cell r="B1368" t="str">
            <v xml:space="preserve">PENINSULAR LATEX ROSADO       </v>
          </cell>
          <cell r="C1368">
            <v>1</v>
          </cell>
          <cell r="D1368">
            <v>365</v>
          </cell>
        </row>
        <row r="1369">
          <cell r="A1369" t="str">
            <v>K53RSA4</v>
          </cell>
          <cell r="B1369" t="str">
            <v>PENINSULA LATEX MATE ROJO VINO</v>
          </cell>
          <cell r="C1369">
            <v>1</v>
          </cell>
          <cell r="D1369">
            <v>365</v>
          </cell>
        </row>
        <row r="1370">
          <cell r="A1370" t="str">
            <v>K53RSA4-1</v>
          </cell>
          <cell r="B1370" t="str">
            <v>PENINSULA LATEX MATE ROJO VINO</v>
          </cell>
          <cell r="C1370">
            <v>1</v>
          </cell>
          <cell r="D1370">
            <v>365</v>
          </cell>
        </row>
        <row r="1371">
          <cell r="A1371" t="str">
            <v>K53RSA4-5</v>
          </cell>
          <cell r="B1371" t="str">
            <v xml:space="preserve">PENINSULAR LATEX ROJO TEJA    </v>
          </cell>
          <cell r="C1371">
            <v>1</v>
          </cell>
          <cell r="D1371">
            <v>365</v>
          </cell>
        </row>
        <row r="1372">
          <cell r="A1372" t="str">
            <v>K53RSA7</v>
          </cell>
          <cell r="B1372" t="str">
            <v>PENINSULAR LATEX ROSA SEDUCTOR</v>
          </cell>
          <cell r="C1372">
            <v>1</v>
          </cell>
          <cell r="D1372">
            <v>365</v>
          </cell>
        </row>
        <row r="1373">
          <cell r="A1373" t="str">
            <v>K53RSA7-1</v>
          </cell>
          <cell r="B1373" t="str">
            <v>PENINSULAR LATEX ROSA SEDUCTOR</v>
          </cell>
          <cell r="C1373">
            <v>1</v>
          </cell>
          <cell r="D1373">
            <v>365</v>
          </cell>
        </row>
        <row r="1374">
          <cell r="A1374" t="str">
            <v>K53RSA8</v>
          </cell>
          <cell r="B1374" t="str">
            <v>PENINSULAR LAT ROJO TERCIOPELO</v>
          </cell>
          <cell r="C1374">
            <v>1</v>
          </cell>
          <cell r="D1374">
            <v>365</v>
          </cell>
        </row>
        <row r="1375">
          <cell r="A1375" t="str">
            <v>K53RSA8-1</v>
          </cell>
          <cell r="B1375" t="str">
            <v>PENINSULAR LAT ROJO TERCIOPELO</v>
          </cell>
          <cell r="C1375">
            <v>1</v>
          </cell>
          <cell r="D1375">
            <v>365</v>
          </cell>
        </row>
        <row r="1376">
          <cell r="A1376" t="str">
            <v>K53RSA8-5</v>
          </cell>
          <cell r="B1376" t="str">
            <v>PENINSULAR LAT ROJO TERCIOPELO</v>
          </cell>
          <cell r="C1376">
            <v>1</v>
          </cell>
          <cell r="D1376">
            <v>365</v>
          </cell>
        </row>
        <row r="1377">
          <cell r="A1377" t="str">
            <v>K53RSA9</v>
          </cell>
          <cell r="B1377" t="str">
            <v xml:space="preserve">PENINSULAR LATEX ROJO TERRAC  </v>
          </cell>
          <cell r="C1377">
            <v>1</v>
          </cell>
          <cell r="D1377">
            <v>365</v>
          </cell>
        </row>
        <row r="1378">
          <cell r="A1378" t="str">
            <v>K53RSA9-1</v>
          </cell>
          <cell r="B1378" t="str">
            <v xml:space="preserve">PENINSULAR LATEX ROJO TERRAC  </v>
          </cell>
          <cell r="C1378">
            <v>1</v>
          </cell>
          <cell r="D1378">
            <v>365</v>
          </cell>
        </row>
        <row r="1379">
          <cell r="A1379" t="str">
            <v>K53RSA9-5</v>
          </cell>
          <cell r="B1379" t="str">
            <v xml:space="preserve">PENINSULAR LATEX ROJO TERRAC  </v>
          </cell>
          <cell r="C1379">
            <v>1</v>
          </cell>
          <cell r="D1379">
            <v>365</v>
          </cell>
        </row>
        <row r="1380">
          <cell r="A1380" t="str">
            <v>K53WSA1</v>
          </cell>
          <cell r="B1380" t="str">
            <v xml:space="preserve">PENINSULAR LATEX MATE BLANCO  </v>
          </cell>
          <cell r="C1380">
            <v>1</v>
          </cell>
          <cell r="D1380">
            <v>365</v>
          </cell>
        </row>
        <row r="1381">
          <cell r="A1381" t="str">
            <v>K53WSA1-1</v>
          </cell>
          <cell r="B1381" t="str">
            <v xml:space="preserve">PENINSULAR LATEX MATE BLANCO  </v>
          </cell>
          <cell r="C1381">
            <v>1</v>
          </cell>
          <cell r="D1381">
            <v>365</v>
          </cell>
        </row>
        <row r="1382">
          <cell r="A1382" t="str">
            <v>K53WSA1-1/4</v>
          </cell>
          <cell r="B1382" t="str">
            <v xml:space="preserve">PENINSULAR LATEX BLANCO       </v>
          </cell>
          <cell r="C1382">
            <v>1</v>
          </cell>
          <cell r="D1382">
            <v>365</v>
          </cell>
        </row>
        <row r="1383">
          <cell r="A1383" t="str">
            <v>K53WSA1-5</v>
          </cell>
          <cell r="B1383" t="str">
            <v xml:space="preserve">PENINSULAR LATEX MATE BLANCO  </v>
          </cell>
          <cell r="C1383">
            <v>1</v>
          </cell>
          <cell r="D1383">
            <v>365</v>
          </cell>
        </row>
        <row r="1384">
          <cell r="A1384" t="str">
            <v>K53WSA1-50</v>
          </cell>
          <cell r="B1384" t="str">
            <v xml:space="preserve">PENINSULAR LATEX BLANCO       </v>
          </cell>
          <cell r="C1384">
            <v>1</v>
          </cell>
          <cell r="D1384">
            <v>365</v>
          </cell>
        </row>
        <row r="1385">
          <cell r="A1385" t="str">
            <v>K53WSA4</v>
          </cell>
          <cell r="B1385" t="str">
            <v>PENIN LATEX MATE NVO BCO HUESO</v>
          </cell>
          <cell r="C1385">
            <v>1</v>
          </cell>
          <cell r="D1385">
            <v>365</v>
          </cell>
        </row>
        <row r="1386">
          <cell r="A1386" t="str">
            <v>K53WSA4-1</v>
          </cell>
          <cell r="B1386" t="str">
            <v>PENIN LATEX MATE NVO BCO HUESO</v>
          </cell>
          <cell r="C1386">
            <v>1</v>
          </cell>
          <cell r="D1386">
            <v>365</v>
          </cell>
        </row>
        <row r="1387">
          <cell r="A1387" t="str">
            <v>K53WSA4-5</v>
          </cell>
          <cell r="B1387" t="str">
            <v>PENIN LATEX MATE NVO BCO HUESO</v>
          </cell>
          <cell r="C1387">
            <v>1</v>
          </cell>
          <cell r="D1387">
            <v>365</v>
          </cell>
        </row>
        <row r="1388">
          <cell r="A1388" t="str">
            <v>K53YSA1</v>
          </cell>
          <cell r="B1388" t="str">
            <v>PENINSULAR LATEX MATE AMARILLO</v>
          </cell>
          <cell r="C1388">
            <v>1</v>
          </cell>
          <cell r="D1388">
            <v>365</v>
          </cell>
        </row>
        <row r="1389">
          <cell r="A1389" t="str">
            <v>K53YSA1-1</v>
          </cell>
          <cell r="B1389" t="str">
            <v>PENINSULAR LATEX MATE AMARILLO</v>
          </cell>
          <cell r="C1389">
            <v>1</v>
          </cell>
          <cell r="D1389">
            <v>365</v>
          </cell>
        </row>
        <row r="1390">
          <cell r="A1390" t="str">
            <v>K53YSA1-5</v>
          </cell>
          <cell r="B1390" t="str">
            <v xml:space="preserve">PENINSULAR LATEX AMARILLO     </v>
          </cell>
          <cell r="C1390">
            <v>1</v>
          </cell>
          <cell r="D1390">
            <v>365</v>
          </cell>
        </row>
        <row r="1391">
          <cell r="A1391" t="str">
            <v>K53YSA6</v>
          </cell>
          <cell r="B1391" t="str">
            <v xml:space="preserve">PENINSULAR LATEX AMARILLO     </v>
          </cell>
          <cell r="C1391">
            <v>1</v>
          </cell>
          <cell r="D1391">
            <v>365</v>
          </cell>
        </row>
        <row r="1392">
          <cell r="A1392" t="str">
            <v>K53YSA6-1</v>
          </cell>
          <cell r="B1392" t="str">
            <v xml:space="preserve">PENINSULAR LATEX AMARILLO     </v>
          </cell>
          <cell r="C1392">
            <v>1</v>
          </cell>
          <cell r="D1392">
            <v>365</v>
          </cell>
        </row>
        <row r="1393">
          <cell r="A1393" t="str">
            <v>K53YSA6-5</v>
          </cell>
          <cell r="B1393" t="str">
            <v xml:space="preserve">PENINSULAR LATEX AMARILLO     </v>
          </cell>
          <cell r="C1393">
            <v>1</v>
          </cell>
          <cell r="D1393">
            <v>365</v>
          </cell>
        </row>
        <row r="1394">
          <cell r="A1394" t="str">
            <v>K53YSA7</v>
          </cell>
          <cell r="B1394" t="str">
            <v xml:space="preserve">PENINSULAR LATEX AMARILLO ORO </v>
          </cell>
          <cell r="C1394">
            <v>1</v>
          </cell>
          <cell r="D1394">
            <v>365</v>
          </cell>
        </row>
        <row r="1395">
          <cell r="A1395" t="str">
            <v>K53YSA7-1</v>
          </cell>
          <cell r="B1395" t="str">
            <v xml:space="preserve">PENINSULAR LATEX AMARILLO ORO </v>
          </cell>
          <cell r="C1395">
            <v>1</v>
          </cell>
          <cell r="D1395">
            <v>365</v>
          </cell>
        </row>
        <row r="1396">
          <cell r="A1396" t="str">
            <v>K53YSA8</v>
          </cell>
          <cell r="B1396" t="str">
            <v xml:space="preserve">PENINSULAR LATEX AMARILLO ANT </v>
          </cell>
          <cell r="C1396">
            <v>1</v>
          </cell>
          <cell r="D1396">
            <v>365</v>
          </cell>
        </row>
        <row r="1397">
          <cell r="A1397" t="str">
            <v>K53YSA8-1</v>
          </cell>
          <cell r="B1397" t="str">
            <v xml:space="preserve">PENINSULAR LATEX AMARILLO ANT </v>
          </cell>
          <cell r="C1397">
            <v>1</v>
          </cell>
          <cell r="D1397">
            <v>365</v>
          </cell>
        </row>
        <row r="1398">
          <cell r="A1398" t="str">
            <v>K53YSA8-5</v>
          </cell>
          <cell r="B1398" t="str">
            <v xml:space="preserve">PENINSULAR LATEX AMARILLO ANT </v>
          </cell>
          <cell r="C1398">
            <v>1</v>
          </cell>
          <cell r="D1398">
            <v>365</v>
          </cell>
        </row>
        <row r="1399">
          <cell r="A1399" t="str">
            <v>K58ASA2</v>
          </cell>
          <cell r="B1399" t="str">
            <v>PENIN ESM BRILLANTE GRIS TENUE</v>
          </cell>
          <cell r="C1399">
            <v>1</v>
          </cell>
          <cell r="D1399">
            <v>365</v>
          </cell>
        </row>
        <row r="1400">
          <cell r="A1400" t="str">
            <v>K58ASA2-1</v>
          </cell>
          <cell r="B1400" t="str">
            <v>PENIN ESM BRILLANTE GRIS TENUE</v>
          </cell>
          <cell r="C1400">
            <v>1</v>
          </cell>
          <cell r="D1400">
            <v>365</v>
          </cell>
        </row>
        <row r="1401">
          <cell r="A1401" t="str">
            <v>K58ASA2-1/4</v>
          </cell>
          <cell r="B1401" t="str">
            <v>PENIN ESM BRILLANTE GRIS TENUE</v>
          </cell>
          <cell r="C1401">
            <v>1</v>
          </cell>
          <cell r="D1401">
            <v>365</v>
          </cell>
        </row>
        <row r="1402">
          <cell r="A1402" t="str">
            <v>K58ASA5</v>
          </cell>
          <cell r="B1402" t="str">
            <v xml:space="preserve">PENINSULAR ESMALTE GRIS PLATA </v>
          </cell>
          <cell r="C1402">
            <v>1</v>
          </cell>
          <cell r="D1402">
            <v>365</v>
          </cell>
        </row>
        <row r="1403">
          <cell r="A1403" t="str">
            <v>K58ASA5-1</v>
          </cell>
          <cell r="B1403" t="str">
            <v xml:space="preserve">PENINSULAR ESMALTE GRIS PLATA </v>
          </cell>
          <cell r="C1403">
            <v>1</v>
          </cell>
          <cell r="D1403">
            <v>365</v>
          </cell>
        </row>
        <row r="1404">
          <cell r="A1404" t="str">
            <v>K58ASA5-1/4</v>
          </cell>
          <cell r="B1404" t="str">
            <v xml:space="preserve">PENINSULAR ESMALTE GRIS PLATA </v>
          </cell>
          <cell r="C1404">
            <v>1</v>
          </cell>
          <cell r="D1404">
            <v>365</v>
          </cell>
        </row>
        <row r="1405">
          <cell r="A1405" t="str">
            <v>K58ASA5-5</v>
          </cell>
          <cell r="B1405" t="str">
            <v xml:space="preserve">PENINSULAR ESMALTE GRIS PLATA </v>
          </cell>
          <cell r="C1405">
            <v>1</v>
          </cell>
          <cell r="D1405">
            <v>365</v>
          </cell>
        </row>
        <row r="1406">
          <cell r="A1406" t="str">
            <v>K58BSA2</v>
          </cell>
          <cell r="B1406" t="str">
            <v>PENINS ESMALTE BRILLANTE NEGRO</v>
          </cell>
          <cell r="C1406">
            <v>1</v>
          </cell>
          <cell r="D1406">
            <v>365</v>
          </cell>
        </row>
        <row r="1407">
          <cell r="A1407" t="str">
            <v>K58BSA2-1</v>
          </cell>
          <cell r="B1407" t="str">
            <v>PENINS ESMALTE BRILLANTE NEGRO</v>
          </cell>
          <cell r="C1407">
            <v>1</v>
          </cell>
          <cell r="D1407">
            <v>365</v>
          </cell>
        </row>
        <row r="1408">
          <cell r="A1408" t="str">
            <v>K58BSA2-1/4</v>
          </cell>
          <cell r="B1408" t="str">
            <v>PENINS ESMALTE BRILLANTE NEGRO</v>
          </cell>
          <cell r="C1408">
            <v>1</v>
          </cell>
          <cell r="D1408">
            <v>365</v>
          </cell>
        </row>
        <row r="1409">
          <cell r="A1409" t="str">
            <v>K58BSA2-5</v>
          </cell>
          <cell r="B1409" t="str">
            <v>PENINS ESMALTE BRILLANTE NEGRO</v>
          </cell>
          <cell r="C1409">
            <v>1</v>
          </cell>
          <cell r="D1409">
            <v>365</v>
          </cell>
        </row>
        <row r="1410">
          <cell r="A1410" t="str">
            <v>K58GSA2</v>
          </cell>
          <cell r="B1410" t="str">
            <v xml:space="preserve">PENINS ESMALTE BRILLANTE AQUA </v>
          </cell>
          <cell r="C1410">
            <v>1</v>
          </cell>
          <cell r="D1410">
            <v>365</v>
          </cell>
        </row>
        <row r="1411">
          <cell r="A1411" t="str">
            <v>K58GSA2-1</v>
          </cell>
          <cell r="B1411" t="str">
            <v xml:space="preserve">PENINS ESMALTE BRILLANTE AQUA </v>
          </cell>
          <cell r="C1411">
            <v>1</v>
          </cell>
          <cell r="D1411">
            <v>365</v>
          </cell>
        </row>
        <row r="1412">
          <cell r="A1412" t="str">
            <v>K58GSA2-1/4</v>
          </cell>
          <cell r="B1412" t="str">
            <v xml:space="preserve">PENINS ESMALTE BRILLANTE AQUA </v>
          </cell>
          <cell r="C1412">
            <v>1</v>
          </cell>
          <cell r="D1412">
            <v>365</v>
          </cell>
        </row>
        <row r="1413">
          <cell r="A1413" t="str">
            <v>K58GSA4</v>
          </cell>
          <cell r="B1413" t="str">
            <v>PENINSULAR ESMALTE VERDE INTEN</v>
          </cell>
          <cell r="C1413">
            <v>1</v>
          </cell>
          <cell r="D1413">
            <v>365</v>
          </cell>
        </row>
        <row r="1414">
          <cell r="A1414" t="str">
            <v>K58GSA4-1</v>
          </cell>
          <cell r="B1414" t="str">
            <v>PENINSULAR ESMALTE VERDE INTEN</v>
          </cell>
          <cell r="C1414">
            <v>1</v>
          </cell>
          <cell r="D1414">
            <v>365</v>
          </cell>
        </row>
        <row r="1415">
          <cell r="A1415" t="str">
            <v>K58GSA4-1/4</v>
          </cell>
          <cell r="B1415" t="str">
            <v>PENINSULAR ESMALTE VERDE INTEN</v>
          </cell>
          <cell r="C1415">
            <v>1</v>
          </cell>
          <cell r="D1415">
            <v>365</v>
          </cell>
        </row>
        <row r="1416">
          <cell r="A1416" t="str">
            <v>K58GSA4-5</v>
          </cell>
          <cell r="B1416" t="str">
            <v>PENINSULAR ESMALTE VERDE INTEN</v>
          </cell>
          <cell r="C1416">
            <v>1</v>
          </cell>
          <cell r="D1416">
            <v>365</v>
          </cell>
        </row>
        <row r="1417">
          <cell r="A1417" t="str">
            <v>K58GSA5</v>
          </cell>
          <cell r="B1417" t="str">
            <v xml:space="preserve">PENINSULAR ESMALTE VERD       </v>
          </cell>
          <cell r="C1417">
            <v>1</v>
          </cell>
          <cell r="D1417">
            <v>365</v>
          </cell>
        </row>
        <row r="1418">
          <cell r="A1418" t="str">
            <v>K58GSA5-1</v>
          </cell>
          <cell r="B1418" t="str">
            <v xml:space="preserve">PENINSULAR ESMALTE VERD       </v>
          </cell>
          <cell r="C1418">
            <v>1</v>
          </cell>
          <cell r="D1418">
            <v>365</v>
          </cell>
        </row>
        <row r="1419">
          <cell r="A1419" t="str">
            <v>K58GSA6</v>
          </cell>
          <cell r="B1419" t="str">
            <v xml:space="preserve">PENINSULAR ESMALTE VERDE      </v>
          </cell>
          <cell r="C1419">
            <v>1</v>
          </cell>
          <cell r="D1419">
            <v>365</v>
          </cell>
        </row>
        <row r="1420">
          <cell r="A1420" t="str">
            <v>K58GSA6-1</v>
          </cell>
          <cell r="B1420" t="str">
            <v xml:space="preserve">PENINSULAR ESMALTE VERDE      </v>
          </cell>
          <cell r="C1420">
            <v>1</v>
          </cell>
          <cell r="D1420">
            <v>365</v>
          </cell>
        </row>
        <row r="1421">
          <cell r="A1421" t="str">
            <v>K58HSA1</v>
          </cell>
          <cell r="B1421" t="str">
            <v>PENIN ESMALTE BRILLANTE MARFIL</v>
          </cell>
          <cell r="C1421">
            <v>1</v>
          </cell>
          <cell r="D1421">
            <v>365</v>
          </cell>
        </row>
        <row r="1422">
          <cell r="A1422" t="str">
            <v>K58HSA1-1</v>
          </cell>
          <cell r="B1422" t="str">
            <v>PENIN ESMALTE BRILLANTE MARFIL</v>
          </cell>
          <cell r="C1422">
            <v>1</v>
          </cell>
          <cell r="D1422">
            <v>365</v>
          </cell>
        </row>
        <row r="1423">
          <cell r="A1423" t="str">
            <v>K58HSA1-1/4</v>
          </cell>
          <cell r="B1423" t="str">
            <v>PENIN ESMALTE BRILLANTE MARFIL</v>
          </cell>
          <cell r="C1423">
            <v>1</v>
          </cell>
          <cell r="D1423">
            <v>365</v>
          </cell>
        </row>
        <row r="1424">
          <cell r="A1424" t="str">
            <v>K58HSA1-5</v>
          </cell>
          <cell r="B1424" t="str">
            <v>PENIN ESMALTE BRILLANTE MARFIL</v>
          </cell>
          <cell r="C1424">
            <v>1</v>
          </cell>
          <cell r="D1424">
            <v>365</v>
          </cell>
        </row>
        <row r="1425">
          <cell r="A1425" t="str">
            <v>K58LSA1</v>
          </cell>
          <cell r="B1425" t="str">
            <v>PENIN ESM BRILLAN AZUL FESTIVO</v>
          </cell>
          <cell r="C1425">
            <v>1</v>
          </cell>
          <cell r="D1425">
            <v>365</v>
          </cell>
        </row>
        <row r="1426">
          <cell r="A1426" t="str">
            <v>K58LSA1-1</v>
          </cell>
          <cell r="B1426" t="str">
            <v>PENIN ESM BRILLAN AZUL FESTIVO</v>
          </cell>
          <cell r="C1426">
            <v>1</v>
          </cell>
          <cell r="D1426">
            <v>365</v>
          </cell>
        </row>
        <row r="1427">
          <cell r="A1427" t="str">
            <v>K58LSA1-1/4</v>
          </cell>
          <cell r="B1427" t="str">
            <v>PENIN ESM BRILLAN AZUL FESTIVO</v>
          </cell>
          <cell r="C1427">
            <v>1</v>
          </cell>
          <cell r="D1427">
            <v>365</v>
          </cell>
        </row>
        <row r="1428">
          <cell r="A1428" t="str">
            <v>K58LSA2</v>
          </cell>
          <cell r="B1428" t="str">
            <v>PENIN ESMALT BRILLANTE CELESTE</v>
          </cell>
          <cell r="C1428">
            <v>1</v>
          </cell>
          <cell r="D1428">
            <v>365</v>
          </cell>
        </row>
        <row r="1429">
          <cell r="A1429" t="str">
            <v>K58LSA2-1</v>
          </cell>
          <cell r="B1429" t="str">
            <v>PENIN ESMALT BRILLANTE CELESTE</v>
          </cell>
          <cell r="C1429">
            <v>1</v>
          </cell>
          <cell r="D1429">
            <v>365</v>
          </cell>
        </row>
        <row r="1430">
          <cell r="A1430" t="str">
            <v>K58LSA2-1/4</v>
          </cell>
          <cell r="B1430" t="str">
            <v>PENIN ESMALT BRILLANTE CELESTE</v>
          </cell>
          <cell r="C1430">
            <v>1</v>
          </cell>
          <cell r="D1430">
            <v>365</v>
          </cell>
        </row>
        <row r="1431">
          <cell r="A1431" t="str">
            <v>K58LSA6</v>
          </cell>
          <cell r="B1431" t="str">
            <v xml:space="preserve">PENINSULAR ESMALTE AZUL       </v>
          </cell>
          <cell r="C1431">
            <v>1</v>
          </cell>
          <cell r="D1431">
            <v>365</v>
          </cell>
        </row>
        <row r="1432">
          <cell r="A1432" t="str">
            <v>K58LSA6-1</v>
          </cell>
          <cell r="B1432" t="str">
            <v xml:space="preserve">PENINSULAR ESMALTE AZUL       </v>
          </cell>
          <cell r="C1432">
            <v>1</v>
          </cell>
          <cell r="D1432">
            <v>365</v>
          </cell>
        </row>
        <row r="1433">
          <cell r="A1433" t="str">
            <v>K58LSA6-1/4</v>
          </cell>
          <cell r="B1433" t="str">
            <v xml:space="preserve">PENINSULAR ESMALTE AZUL       </v>
          </cell>
          <cell r="C1433">
            <v>1</v>
          </cell>
          <cell r="D1433">
            <v>365</v>
          </cell>
        </row>
        <row r="1434">
          <cell r="A1434" t="str">
            <v>K58LSA6-5</v>
          </cell>
          <cell r="B1434" t="str">
            <v xml:space="preserve">PENINSULAR ESMALTE AZUL       </v>
          </cell>
          <cell r="C1434">
            <v>1</v>
          </cell>
          <cell r="D1434">
            <v>365</v>
          </cell>
        </row>
        <row r="1435">
          <cell r="A1435" t="str">
            <v>K58LSA7</v>
          </cell>
          <cell r="B1435" t="str">
            <v xml:space="preserve">PENINSULAR ESMAL AZUL         </v>
          </cell>
          <cell r="C1435">
            <v>1</v>
          </cell>
          <cell r="D1435">
            <v>365</v>
          </cell>
        </row>
        <row r="1436">
          <cell r="A1436" t="str">
            <v>K58LSA7-1</v>
          </cell>
          <cell r="B1436" t="str">
            <v xml:space="preserve">PENINSULAR ESMAL AZUL         </v>
          </cell>
          <cell r="C1436">
            <v>1</v>
          </cell>
          <cell r="D1436">
            <v>365</v>
          </cell>
        </row>
        <row r="1437">
          <cell r="A1437" t="str">
            <v>K58MSA1</v>
          </cell>
          <cell r="B1437" t="str">
            <v>PENIN ESM BRILLANTE VINO TINTO</v>
          </cell>
          <cell r="C1437">
            <v>1</v>
          </cell>
          <cell r="D1437">
            <v>365</v>
          </cell>
        </row>
        <row r="1438">
          <cell r="A1438" t="str">
            <v>K58MSA1-1</v>
          </cell>
          <cell r="B1438" t="str">
            <v>PENIN ESM BRILLANTE VINO TINTO</v>
          </cell>
          <cell r="C1438">
            <v>1</v>
          </cell>
          <cell r="D1438">
            <v>365</v>
          </cell>
        </row>
        <row r="1439">
          <cell r="A1439" t="str">
            <v>K58MSA1-1/4</v>
          </cell>
          <cell r="B1439" t="str">
            <v>PENIN ESM BRILLANTE VINO TINTO</v>
          </cell>
          <cell r="C1439">
            <v>1</v>
          </cell>
          <cell r="D1439">
            <v>365</v>
          </cell>
        </row>
        <row r="1440">
          <cell r="A1440" t="str">
            <v>K58MSA2</v>
          </cell>
          <cell r="B1440" t="str">
            <v xml:space="preserve">PENINSULAR ESMALTE AMATISTA   </v>
          </cell>
          <cell r="C1440">
            <v>1</v>
          </cell>
          <cell r="D1440">
            <v>365</v>
          </cell>
        </row>
        <row r="1441">
          <cell r="A1441" t="str">
            <v>K58MSA2-1</v>
          </cell>
          <cell r="B1441" t="str">
            <v xml:space="preserve">PENINSULAR ESMALTE AMATISTA   </v>
          </cell>
          <cell r="C1441">
            <v>1</v>
          </cell>
          <cell r="D1441">
            <v>365</v>
          </cell>
        </row>
        <row r="1442">
          <cell r="A1442" t="str">
            <v>K58NSA1</v>
          </cell>
          <cell r="B1442" t="str">
            <v>PENINS ESM BRILLANTE CHOCOLATE</v>
          </cell>
          <cell r="C1442">
            <v>1</v>
          </cell>
          <cell r="D1442">
            <v>365</v>
          </cell>
        </row>
        <row r="1443">
          <cell r="A1443" t="str">
            <v>K58NSA1-1</v>
          </cell>
          <cell r="B1443" t="str">
            <v>PENINS ESM BRILLANTE CHOCOLATE</v>
          </cell>
          <cell r="C1443">
            <v>1</v>
          </cell>
          <cell r="D1443">
            <v>365</v>
          </cell>
        </row>
        <row r="1444">
          <cell r="A1444" t="str">
            <v>K58NSA1-1/4</v>
          </cell>
          <cell r="B1444" t="str">
            <v>PENINS ESM BRILLANTE CHOCOLATE</v>
          </cell>
          <cell r="C1444">
            <v>1</v>
          </cell>
          <cell r="D1444">
            <v>365</v>
          </cell>
        </row>
        <row r="1445">
          <cell r="A1445" t="str">
            <v>K58NSA2</v>
          </cell>
          <cell r="B1445" t="str">
            <v>PENINSULAR ESMALTE CAFE COBRIZ</v>
          </cell>
          <cell r="C1445">
            <v>1</v>
          </cell>
          <cell r="D1445">
            <v>365</v>
          </cell>
        </row>
        <row r="1446">
          <cell r="A1446" t="str">
            <v>K58NSA2-1</v>
          </cell>
          <cell r="B1446" t="str">
            <v>PENINSULAR ESMALTE CAFE COBRIZ</v>
          </cell>
          <cell r="C1446">
            <v>1</v>
          </cell>
          <cell r="D1446">
            <v>365</v>
          </cell>
        </row>
        <row r="1447">
          <cell r="A1447" t="str">
            <v>K58PSA1</v>
          </cell>
          <cell r="B1447" t="str">
            <v>PENINSULAR ESMALTE LILA CAUTIV</v>
          </cell>
          <cell r="C1447">
            <v>1</v>
          </cell>
          <cell r="D1447">
            <v>365</v>
          </cell>
        </row>
        <row r="1448">
          <cell r="A1448" t="str">
            <v>K58PSA1-1</v>
          </cell>
          <cell r="B1448" t="str">
            <v>PENINSULAR ESMALTE LILA CAUTIV</v>
          </cell>
          <cell r="C1448">
            <v>1</v>
          </cell>
          <cell r="D1448">
            <v>365</v>
          </cell>
        </row>
        <row r="1449">
          <cell r="A1449" t="str">
            <v>K58RSA2</v>
          </cell>
          <cell r="B1449" t="str">
            <v>PENINS ESM BRILLANTE BERMELLON</v>
          </cell>
          <cell r="C1449">
            <v>1</v>
          </cell>
          <cell r="D1449">
            <v>365</v>
          </cell>
        </row>
        <row r="1450">
          <cell r="A1450" t="str">
            <v>K58RSA2-1</v>
          </cell>
          <cell r="B1450" t="str">
            <v>PENINS ESM BRILLANTE BERMELLON</v>
          </cell>
          <cell r="C1450">
            <v>1</v>
          </cell>
          <cell r="D1450">
            <v>365</v>
          </cell>
        </row>
        <row r="1451">
          <cell r="A1451" t="str">
            <v>K58RSA2-1/4</v>
          </cell>
          <cell r="B1451" t="str">
            <v>PENINS ESM BRILLANTE BERMELLON</v>
          </cell>
          <cell r="C1451">
            <v>1</v>
          </cell>
          <cell r="D1451">
            <v>365</v>
          </cell>
        </row>
        <row r="1452">
          <cell r="A1452" t="str">
            <v>K58RSA6</v>
          </cell>
          <cell r="B1452" t="str">
            <v>PENIN ESM BRILLANTE DECO CORAL</v>
          </cell>
          <cell r="C1452">
            <v>1</v>
          </cell>
          <cell r="D1452">
            <v>365</v>
          </cell>
        </row>
        <row r="1453">
          <cell r="A1453" t="str">
            <v>K58RSA6-1</v>
          </cell>
          <cell r="B1453" t="str">
            <v>PENIN ESM BRILLANTE DECO CORAL</v>
          </cell>
          <cell r="C1453">
            <v>1</v>
          </cell>
          <cell r="D1453">
            <v>365</v>
          </cell>
        </row>
        <row r="1454">
          <cell r="A1454" t="str">
            <v>K58RSA6-1/4</v>
          </cell>
          <cell r="B1454" t="str">
            <v>PENIN ESM BRILLANTE DECO CORAL</v>
          </cell>
          <cell r="C1454">
            <v>1</v>
          </cell>
          <cell r="D1454">
            <v>365</v>
          </cell>
        </row>
        <row r="1455">
          <cell r="A1455" t="str">
            <v>K58RSA8</v>
          </cell>
          <cell r="B1455" t="str">
            <v xml:space="preserve">PENINSULAR ESMALTE ROSA SEDUC </v>
          </cell>
          <cell r="C1455">
            <v>1</v>
          </cell>
          <cell r="D1455">
            <v>365</v>
          </cell>
        </row>
        <row r="1456">
          <cell r="A1456" t="str">
            <v>K58RSA8-1</v>
          </cell>
          <cell r="B1456" t="str">
            <v xml:space="preserve">PENINSULAR ESMALTE ROSA SEDUC </v>
          </cell>
          <cell r="C1456">
            <v>1</v>
          </cell>
          <cell r="D1456">
            <v>365</v>
          </cell>
        </row>
        <row r="1457">
          <cell r="A1457" t="str">
            <v>K58RSA9</v>
          </cell>
          <cell r="B1457" t="str">
            <v>PENINSULAR ESMALT ROJO TERCIOP</v>
          </cell>
          <cell r="C1457">
            <v>1</v>
          </cell>
          <cell r="D1457">
            <v>365</v>
          </cell>
        </row>
        <row r="1458">
          <cell r="A1458" t="str">
            <v>K58RSA9-1</v>
          </cell>
          <cell r="B1458" t="str">
            <v>PENINSULAR ESMALT ROJO TERCIOP</v>
          </cell>
          <cell r="C1458">
            <v>1</v>
          </cell>
          <cell r="D1458">
            <v>365</v>
          </cell>
        </row>
        <row r="1459">
          <cell r="A1459" t="str">
            <v>K58WSA1</v>
          </cell>
          <cell r="B1459" t="str">
            <v>PENIN ESMALTE BRILLANTE BLANCO</v>
          </cell>
          <cell r="C1459">
            <v>1</v>
          </cell>
          <cell r="D1459">
            <v>365</v>
          </cell>
        </row>
        <row r="1460">
          <cell r="A1460" t="str">
            <v>K58WSA1-1</v>
          </cell>
          <cell r="B1460" t="str">
            <v>PENIN ESMALTE BRILLANTE BLANCO</v>
          </cell>
          <cell r="C1460">
            <v>1</v>
          </cell>
          <cell r="D1460">
            <v>365</v>
          </cell>
        </row>
        <row r="1461">
          <cell r="A1461" t="str">
            <v>K58WSA1-1/4</v>
          </cell>
          <cell r="B1461" t="str">
            <v>PENIN ESMALTE BRILLANTE BLANCO</v>
          </cell>
          <cell r="C1461">
            <v>1</v>
          </cell>
          <cell r="D1461">
            <v>365</v>
          </cell>
        </row>
        <row r="1462">
          <cell r="A1462" t="str">
            <v>K58WSA1-5</v>
          </cell>
          <cell r="B1462" t="str">
            <v>PENIN ESMALTE BRILLANTE BLANCO</v>
          </cell>
          <cell r="C1462">
            <v>1</v>
          </cell>
          <cell r="D1462">
            <v>365</v>
          </cell>
        </row>
        <row r="1463">
          <cell r="A1463" t="str">
            <v>K58WSA2</v>
          </cell>
          <cell r="B1463" t="str">
            <v>PENINS ESMALTE BRILL BCO HUESO</v>
          </cell>
          <cell r="C1463">
            <v>1</v>
          </cell>
          <cell r="D1463">
            <v>365</v>
          </cell>
        </row>
        <row r="1464">
          <cell r="A1464" t="str">
            <v>K58WSA2-1</v>
          </cell>
          <cell r="B1464" t="str">
            <v>PENINS ESMALTE BRILL BCO HUESO</v>
          </cell>
          <cell r="C1464">
            <v>1</v>
          </cell>
          <cell r="D1464">
            <v>365</v>
          </cell>
        </row>
        <row r="1465">
          <cell r="A1465" t="str">
            <v>K58WSA2-1/4</v>
          </cell>
          <cell r="B1465" t="str">
            <v>PENINS ESMALTE BRILL BCO HUESO</v>
          </cell>
          <cell r="C1465">
            <v>1</v>
          </cell>
          <cell r="D1465">
            <v>365</v>
          </cell>
        </row>
        <row r="1466">
          <cell r="A1466" t="str">
            <v>K58WSA2-5</v>
          </cell>
          <cell r="B1466" t="str">
            <v>PENINS ESMALTE BRILL BCO HUESO</v>
          </cell>
          <cell r="C1466">
            <v>1</v>
          </cell>
          <cell r="D1466">
            <v>365</v>
          </cell>
        </row>
        <row r="1467">
          <cell r="A1467" t="str">
            <v>K58YSA1</v>
          </cell>
          <cell r="B1467" t="str">
            <v xml:space="preserve">PENINS ESMALTE BRILL AMARILLO </v>
          </cell>
          <cell r="C1467">
            <v>1</v>
          </cell>
          <cell r="D1467">
            <v>365</v>
          </cell>
        </row>
        <row r="1468">
          <cell r="A1468" t="str">
            <v>K58YSA1-1</v>
          </cell>
          <cell r="B1468" t="str">
            <v xml:space="preserve">PENINS ESMALTE BRILL AMARILLO </v>
          </cell>
          <cell r="C1468">
            <v>1</v>
          </cell>
          <cell r="D1468">
            <v>365</v>
          </cell>
        </row>
        <row r="1469">
          <cell r="A1469" t="str">
            <v>K58YSA1-1/4</v>
          </cell>
          <cell r="B1469" t="str">
            <v>PENIN ESMAL BRILLANTE AMARILLO</v>
          </cell>
          <cell r="C1469">
            <v>1</v>
          </cell>
          <cell r="D1469">
            <v>365</v>
          </cell>
        </row>
        <row r="1470">
          <cell r="A1470" t="str">
            <v>K58YSA1-5</v>
          </cell>
          <cell r="B1470" t="str">
            <v xml:space="preserve">PENINSULAR ESMALTE AMARILLO   </v>
          </cell>
          <cell r="C1470">
            <v>1</v>
          </cell>
          <cell r="D1470">
            <v>365</v>
          </cell>
        </row>
        <row r="1471">
          <cell r="A1471" t="str">
            <v>K58YSA3</v>
          </cell>
          <cell r="B1471" t="str">
            <v>PENINS ESM BRIL AMARILLO CLARO</v>
          </cell>
          <cell r="C1471">
            <v>1</v>
          </cell>
          <cell r="D1471">
            <v>365</v>
          </cell>
        </row>
        <row r="1472">
          <cell r="A1472" t="str">
            <v>K58YSA3-1</v>
          </cell>
          <cell r="B1472" t="str">
            <v>PENINS ESM BRIL AMARILLO CLARO</v>
          </cell>
          <cell r="C1472">
            <v>1</v>
          </cell>
          <cell r="D1472">
            <v>365</v>
          </cell>
        </row>
        <row r="1473">
          <cell r="A1473" t="str">
            <v>K58YSA3-1/4</v>
          </cell>
          <cell r="B1473" t="str">
            <v>PENINS ESM BRIL AMARILLO CLARO</v>
          </cell>
          <cell r="C1473">
            <v>1</v>
          </cell>
          <cell r="D1473">
            <v>365</v>
          </cell>
        </row>
        <row r="1474">
          <cell r="A1474" t="str">
            <v>K58YSA5</v>
          </cell>
          <cell r="B1474" t="str">
            <v xml:space="preserve">PENINSULAR ESMALTE AMARI. ORO </v>
          </cell>
          <cell r="C1474">
            <v>1</v>
          </cell>
          <cell r="D1474">
            <v>365</v>
          </cell>
        </row>
        <row r="1475">
          <cell r="A1475" t="str">
            <v>K58YSA5-1</v>
          </cell>
          <cell r="B1475" t="str">
            <v xml:space="preserve">PENINSULAR ESMALTE AMAR ORO   </v>
          </cell>
          <cell r="C1475">
            <v>1</v>
          </cell>
          <cell r="D1475">
            <v>365</v>
          </cell>
        </row>
        <row r="1476">
          <cell r="A1476" t="str">
            <v>K62ASA1</v>
          </cell>
          <cell r="B1476" t="str">
            <v xml:space="preserve">ANTICORROS P ESTRUCTURAS GRIS </v>
          </cell>
          <cell r="C1476">
            <v>1</v>
          </cell>
          <cell r="D1476">
            <v>365</v>
          </cell>
        </row>
        <row r="1477">
          <cell r="A1477" t="str">
            <v>K62ASA1-1</v>
          </cell>
          <cell r="B1477" t="str">
            <v xml:space="preserve">ANTICORROS P ESTRUCTURAS GRIS </v>
          </cell>
          <cell r="C1477">
            <v>1</v>
          </cell>
          <cell r="D1477">
            <v>365</v>
          </cell>
        </row>
        <row r="1478">
          <cell r="A1478" t="str">
            <v>K62ASA1-1/4</v>
          </cell>
          <cell r="B1478" t="str">
            <v xml:space="preserve">ANTICORROS P ESTRUCTURAS GRIS </v>
          </cell>
          <cell r="C1478">
            <v>1</v>
          </cell>
          <cell r="D1478">
            <v>365</v>
          </cell>
        </row>
        <row r="1479">
          <cell r="A1479" t="str">
            <v>K62ASA1-5</v>
          </cell>
          <cell r="B1479" t="str">
            <v xml:space="preserve">ANTICORROS P ESTRUCTURAS GRIS </v>
          </cell>
          <cell r="C1479">
            <v>1</v>
          </cell>
          <cell r="D1479">
            <v>365</v>
          </cell>
        </row>
        <row r="1480">
          <cell r="A1480" t="str">
            <v>K62ASA1-50</v>
          </cell>
          <cell r="B1480" t="str">
            <v xml:space="preserve">ANTICORROS P ESTRUCTURAS GRIS </v>
          </cell>
          <cell r="C1480">
            <v>1</v>
          </cell>
          <cell r="D1480">
            <v>365</v>
          </cell>
        </row>
        <row r="1481">
          <cell r="A1481" t="str">
            <v>K62BSA1</v>
          </cell>
          <cell r="B1481" t="str">
            <v>ANTICORROS P ESTRUCTURAS NEGRO</v>
          </cell>
          <cell r="C1481">
            <v>1</v>
          </cell>
          <cell r="D1481">
            <v>365</v>
          </cell>
        </row>
        <row r="1482">
          <cell r="A1482" t="str">
            <v>K62BSA1-1</v>
          </cell>
          <cell r="B1482" t="str">
            <v>ANTICORROS P ESTRUCTURAS NEGRO</v>
          </cell>
          <cell r="C1482">
            <v>1</v>
          </cell>
          <cell r="D1482">
            <v>365</v>
          </cell>
        </row>
        <row r="1483">
          <cell r="A1483" t="str">
            <v>K62BSA1-1/4</v>
          </cell>
          <cell r="B1483" t="str">
            <v>ANTICORROS P ESTRUCTURAS NEGRO</v>
          </cell>
          <cell r="C1483">
            <v>1</v>
          </cell>
          <cell r="D1483">
            <v>365</v>
          </cell>
        </row>
        <row r="1484">
          <cell r="A1484" t="str">
            <v>K62BSA1-5</v>
          </cell>
          <cell r="B1484" t="str">
            <v>ANTICORROS P ESTRUCTURAS NEGRO</v>
          </cell>
          <cell r="C1484">
            <v>1</v>
          </cell>
          <cell r="D1484">
            <v>365</v>
          </cell>
        </row>
        <row r="1485">
          <cell r="A1485" t="str">
            <v>K62BSA1-50</v>
          </cell>
          <cell r="B1485" t="str">
            <v>ANTICORROS P ESTRUCTURAS NEGRO</v>
          </cell>
          <cell r="C1485">
            <v>1</v>
          </cell>
          <cell r="D1485">
            <v>365</v>
          </cell>
        </row>
        <row r="1486">
          <cell r="A1486" t="str">
            <v>K62GSA1</v>
          </cell>
          <cell r="B1486" t="str">
            <v>ANTICORROS P ESTRUCTURAS VERDE</v>
          </cell>
          <cell r="C1486">
            <v>1</v>
          </cell>
          <cell r="D1486">
            <v>365</v>
          </cell>
        </row>
        <row r="1487">
          <cell r="A1487" t="str">
            <v>K62GSA1-1</v>
          </cell>
          <cell r="B1487" t="str">
            <v>ANTICORROS P ESTRUCTURAS VERDE</v>
          </cell>
          <cell r="C1487">
            <v>1</v>
          </cell>
          <cell r="D1487">
            <v>365</v>
          </cell>
        </row>
        <row r="1488">
          <cell r="A1488" t="str">
            <v>K62GSA1-1/4</v>
          </cell>
          <cell r="B1488" t="str">
            <v>ANTICORROS P ESTRUCTURAS VERDE</v>
          </cell>
          <cell r="C1488">
            <v>1</v>
          </cell>
          <cell r="D1488">
            <v>365</v>
          </cell>
        </row>
        <row r="1489">
          <cell r="A1489" t="str">
            <v>K62GSA1-5</v>
          </cell>
          <cell r="B1489" t="str">
            <v>ANTICORROS P ESTRUCTURAS VERDE</v>
          </cell>
          <cell r="C1489">
            <v>1</v>
          </cell>
          <cell r="D1489">
            <v>365</v>
          </cell>
        </row>
        <row r="1490">
          <cell r="A1490" t="str">
            <v>K62GSA1-50</v>
          </cell>
          <cell r="B1490" t="str">
            <v>ANTICORROS P ESTRUCTURAS VERDE</v>
          </cell>
          <cell r="C1490">
            <v>1</v>
          </cell>
          <cell r="D1490">
            <v>365</v>
          </cell>
        </row>
        <row r="1491">
          <cell r="A1491" t="str">
            <v>K62LSA1</v>
          </cell>
          <cell r="B1491" t="str">
            <v>ANTICORROSIVO PARA ESTRUCTURAS</v>
          </cell>
          <cell r="C1491">
            <v>1</v>
          </cell>
          <cell r="D1491">
            <v>365</v>
          </cell>
        </row>
        <row r="1492">
          <cell r="A1492" t="str">
            <v>K62LSA1-1</v>
          </cell>
          <cell r="B1492" t="str">
            <v xml:space="preserve">ANTICORROS P ESTRUCTURAS AZUL </v>
          </cell>
          <cell r="C1492">
            <v>1</v>
          </cell>
          <cell r="D1492">
            <v>365</v>
          </cell>
        </row>
        <row r="1493">
          <cell r="A1493" t="str">
            <v>K62LSA1-5</v>
          </cell>
          <cell r="B1493" t="str">
            <v xml:space="preserve">ANTICORROS P ESTRUCTURAS AZUL </v>
          </cell>
          <cell r="C1493">
            <v>1</v>
          </cell>
          <cell r="D1493">
            <v>365</v>
          </cell>
        </row>
        <row r="1494">
          <cell r="A1494" t="str">
            <v>K62LSA4</v>
          </cell>
          <cell r="B1494" t="str">
            <v xml:space="preserve">ANTICORROSIVO P/ESTRUCTURAS   </v>
          </cell>
          <cell r="C1494">
            <v>1</v>
          </cell>
          <cell r="D1494">
            <v>365</v>
          </cell>
        </row>
        <row r="1495">
          <cell r="A1495" t="str">
            <v>K62LSA4-1</v>
          </cell>
          <cell r="B1495" t="str">
            <v xml:space="preserve">ANTICORROS P ESTRUCTURAS AZUL </v>
          </cell>
          <cell r="C1495">
            <v>1</v>
          </cell>
          <cell r="D1495">
            <v>365</v>
          </cell>
        </row>
        <row r="1496">
          <cell r="A1496" t="str">
            <v>K62LSA4-1/4</v>
          </cell>
          <cell r="B1496" t="str">
            <v xml:space="preserve">ANTICORROS P ESTRUCTURAS AZUL </v>
          </cell>
          <cell r="C1496">
            <v>1</v>
          </cell>
          <cell r="D1496">
            <v>365</v>
          </cell>
        </row>
        <row r="1497">
          <cell r="A1497" t="str">
            <v>K62LSA4-5</v>
          </cell>
          <cell r="B1497" t="str">
            <v xml:space="preserve">ANTICORROS P ESTRUCTURAS AZUL </v>
          </cell>
          <cell r="C1497">
            <v>1</v>
          </cell>
          <cell r="D1497">
            <v>365</v>
          </cell>
        </row>
        <row r="1498">
          <cell r="A1498" t="str">
            <v>K62RSA1</v>
          </cell>
          <cell r="B1498" t="str">
            <v xml:space="preserve">ANTICORROS P ESTRUCTURAS ROJO </v>
          </cell>
          <cell r="C1498">
            <v>1</v>
          </cell>
          <cell r="D1498">
            <v>365</v>
          </cell>
        </row>
        <row r="1499">
          <cell r="A1499" t="str">
            <v>K62RSA1-1</v>
          </cell>
          <cell r="B1499" t="str">
            <v xml:space="preserve">ANTICORROS P ESTRUCTURAS ROJO </v>
          </cell>
          <cell r="C1499">
            <v>1</v>
          </cell>
          <cell r="D1499">
            <v>365</v>
          </cell>
        </row>
        <row r="1500">
          <cell r="A1500" t="str">
            <v>K62RSA1-1/4</v>
          </cell>
          <cell r="B1500" t="str">
            <v xml:space="preserve">ANTICORROS P ESTRUCTURAS ROJO </v>
          </cell>
          <cell r="C1500">
            <v>1</v>
          </cell>
          <cell r="D1500">
            <v>365</v>
          </cell>
        </row>
        <row r="1501">
          <cell r="A1501" t="str">
            <v>K62RSA1-5</v>
          </cell>
          <cell r="B1501" t="str">
            <v xml:space="preserve">ANTICORROS P ESTRUCTURAS ROJO </v>
          </cell>
          <cell r="C1501">
            <v>1</v>
          </cell>
          <cell r="D1501">
            <v>365</v>
          </cell>
        </row>
        <row r="1502">
          <cell r="A1502" t="str">
            <v>K62RSA1-50</v>
          </cell>
          <cell r="B1502" t="str">
            <v xml:space="preserve">ANTICORROS P ESTRUCTURAS ROJO </v>
          </cell>
          <cell r="C1502">
            <v>1</v>
          </cell>
          <cell r="D1502">
            <v>365</v>
          </cell>
        </row>
        <row r="1503">
          <cell r="A1503" t="str">
            <v>K62RSA4</v>
          </cell>
          <cell r="B1503" t="str">
            <v>ANTICORROSIVO PARA ESTRUCTURAS</v>
          </cell>
          <cell r="C1503">
            <v>1</v>
          </cell>
          <cell r="D1503">
            <v>365</v>
          </cell>
        </row>
        <row r="1504">
          <cell r="A1504" t="str">
            <v>K62RSA4-1</v>
          </cell>
          <cell r="B1504" t="str">
            <v xml:space="preserve">ANTICORROS P ESTRUCTURAS ROJO </v>
          </cell>
          <cell r="C1504">
            <v>1</v>
          </cell>
          <cell r="D1504">
            <v>365</v>
          </cell>
        </row>
        <row r="1505">
          <cell r="A1505" t="str">
            <v>K62RSA4-1/4</v>
          </cell>
          <cell r="B1505" t="str">
            <v xml:space="preserve">ANTICORROS P ESTRUCTURAS ROJO </v>
          </cell>
          <cell r="C1505">
            <v>1</v>
          </cell>
          <cell r="D1505">
            <v>365</v>
          </cell>
        </row>
        <row r="1506">
          <cell r="A1506" t="str">
            <v>K62RSA4-5</v>
          </cell>
          <cell r="B1506" t="str">
            <v xml:space="preserve">ANTICORROS P ESTRUCTURAS ROJO </v>
          </cell>
          <cell r="C1506">
            <v>1</v>
          </cell>
          <cell r="D1506">
            <v>365</v>
          </cell>
        </row>
        <row r="1507">
          <cell r="A1507" t="str">
            <v>K62WSA1</v>
          </cell>
          <cell r="B1507" t="str">
            <v>ANTICORROS P ESTRUCTURA BLANCO</v>
          </cell>
          <cell r="C1507">
            <v>1</v>
          </cell>
          <cell r="D1507">
            <v>365</v>
          </cell>
        </row>
        <row r="1508">
          <cell r="A1508" t="str">
            <v>K62WSA1-1</v>
          </cell>
          <cell r="B1508" t="str">
            <v>ANTICORROS P ESTRUCTURA BLANCO</v>
          </cell>
          <cell r="C1508">
            <v>1</v>
          </cell>
          <cell r="D1508">
            <v>365</v>
          </cell>
        </row>
        <row r="1509">
          <cell r="A1509" t="str">
            <v>K62WSA1-1/4</v>
          </cell>
          <cell r="B1509" t="str">
            <v>ANTICORROS P ESTRUCTURA BLANCO</v>
          </cell>
          <cell r="C1509">
            <v>1</v>
          </cell>
          <cell r="D1509">
            <v>365</v>
          </cell>
        </row>
        <row r="1510">
          <cell r="A1510" t="str">
            <v>K62WSA1-5</v>
          </cell>
          <cell r="B1510" t="str">
            <v>ANTICORROS P ESTRUCTURA BLANCO</v>
          </cell>
          <cell r="C1510">
            <v>1</v>
          </cell>
          <cell r="D1510">
            <v>365</v>
          </cell>
        </row>
        <row r="1511">
          <cell r="A1511" t="str">
            <v>K62WSA1-50</v>
          </cell>
          <cell r="B1511" t="str">
            <v>ANTICORROS P ESTRUCTURA BLANCO</v>
          </cell>
          <cell r="C1511">
            <v>1</v>
          </cell>
          <cell r="D1511">
            <v>365</v>
          </cell>
        </row>
        <row r="1512">
          <cell r="A1512" t="str">
            <v>L4B302</v>
          </cell>
          <cell r="B1512" t="str">
            <v xml:space="preserve">ACRYLIC MIX LAC NEGRO AZULOSO </v>
          </cell>
          <cell r="C1512">
            <v>1</v>
          </cell>
          <cell r="D1512">
            <v>365</v>
          </cell>
        </row>
        <row r="1513">
          <cell r="A1513" t="str">
            <v>L4B302-1</v>
          </cell>
          <cell r="B1513" t="str">
            <v xml:space="preserve">ACRYLIC MIX LAC NEGRO AZULOSO </v>
          </cell>
          <cell r="C1513">
            <v>1</v>
          </cell>
          <cell r="D1513">
            <v>365</v>
          </cell>
        </row>
        <row r="1514">
          <cell r="A1514" t="str">
            <v>L4B320</v>
          </cell>
          <cell r="B1514" t="str">
            <v xml:space="preserve">ACRYLIC MIX LAC EBANO         </v>
          </cell>
          <cell r="C1514">
            <v>1</v>
          </cell>
          <cell r="D1514">
            <v>365</v>
          </cell>
        </row>
        <row r="1515">
          <cell r="A1515" t="str">
            <v>L4B320-1</v>
          </cell>
          <cell r="B1515" t="str">
            <v xml:space="preserve">ACRYLIC MIX LAC EBANO         </v>
          </cell>
          <cell r="C1515">
            <v>1</v>
          </cell>
          <cell r="D1515">
            <v>365</v>
          </cell>
        </row>
        <row r="1516">
          <cell r="A1516" t="str">
            <v>L4B320-1.1/4</v>
          </cell>
          <cell r="B1516" t="str">
            <v xml:space="preserve">ACRYLIC MIX LAC  EBANO        </v>
          </cell>
          <cell r="C1516">
            <v>1</v>
          </cell>
          <cell r="D1516">
            <v>365</v>
          </cell>
        </row>
        <row r="1517">
          <cell r="A1517" t="str">
            <v>L4B325</v>
          </cell>
          <cell r="B1517" t="str">
            <v xml:space="preserve">ACRYLIC MIX LAC NEGRO SOMBRA  </v>
          </cell>
          <cell r="C1517">
            <v>1</v>
          </cell>
          <cell r="D1517">
            <v>365</v>
          </cell>
        </row>
        <row r="1518">
          <cell r="A1518" t="str">
            <v>L4B325-1</v>
          </cell>
          <cell r="B1518" t="str">
            <v xml:space="preserve">ACRYLIC MIX LAC NEGRO SOMBRA  </v>
          </cell>
          <cell r="C1518">
            <v>1</v>
          </cell>
          <cell r="D1518">
            <v>365</v>
          </cell>
        </row>
        <row r="1519">
          <cell r="A1519" t="str">
            <v>L4E317</v>
          </cell>
          <cell r="B1519" t="str">
            <v>ACRYLIC MIXING LACQUER NARANJA</v>
          </cell>
          <cell r="C1519">
            <v>1</v>
          </cell>
          <cell r="D1519">
            <v>365</v>
          </cell>
        </row>
        <row r="1520">
          <cell r="A1520" t="str">
            <v>L4E317-1</v>
          </cell>
          <cell r="B1520" t="str">
            <v>ACRYLIC MIXING LACQUER NARANJA</v>
          </cell>
          <cell r="C1520">
            <v>1</v>
          </cell>
          <cell r="D1520">
            <v>365</v>
          </cell>
        </row>
        <row r="1521">
          <cell r="A1521" t="str">
            <v>L4E317-SP</v>
          </cell>
          <cell r="B1521" t="str">
            <v xml:space="preserve">SHER-LAC ACRYLIC MIXING       </v>
          </cell>
          <cell r="C1521">
            <v>1</v>
          </cell>
          <cell r="D1521">
            <v>365</v>
          </cell>
        </row>
        <row r="1522">
          <cell r="A1522" t="str">
            <v>L4E317SP-1</v>
          </cell>
          <cell r="B1522" t="str">
            <v xml:space="preserve">SHER-LAC ACRYLIC LAC NARANJA  </v>
          </cell>
          <cell r="C1522">
            <v>1</v>
          </cell>
          <cell r="D1522">
            <v>365</v>
          </cell>
        </row>
        <row r="1523">
          <cell r="A1523" t="str">
            <v>L4G311</v>
          </cell>
          <cell r="B1523" t="str">
            <v xml:space="preserve">ACRYLIC MIX LAC VERDE P.T.    </v>
          </cell>
          <cell r="C1523">
            <v>1</v>
          </cell>
          <cell r="D1523">
            <v>365</v>
          </cell>
        </row>
        <row r="1524">
          <cell r="A1524" t="str">
            <v>L4G311-1</v>
          </cell>
          <cell r="B1524" t="str">
            <v xml:space="preserve">ACRYLIC MIX LAC VERDE P.T.    </v>
          </cell>
          <cell r="C1524">
            <v>1</v>
          </cell>
          <cell r="D1524">
            <v>365</v>
          </cell>
        </row>
        <row r="1525">
          <cell r="A1525" t="str">
            <v>L4G337</v>
          </cell>
          <cell r="B1525" t="str">
            <v>ACRYLIC MIX LAC VERDE AMARILLO</v>
          </cell>
          <cell r="C1525">
            <v>1</v>
          </cell>
          <cell r="D1525">
            <v>365</v>
          </cell>
        </row>
        <row r="1526">
          <cell r="A1526" t="str">
            <v>L4G337-1</v>
          </cell>
          <cell r="B1526" t="str">
            <v>ACRYLIC MIX LAC VERDE AMARILLO</v>
          </cell>
          <cell r="C1526">
            <v>1</v>
          </cell>
          <cell r="D1526">
            <v>365</v>
          </cell>
        </row>
        <row r="1527">
          <cell r="A1527" t="str">
            <v>L4L305</v>
          </cell>
          <cell r="B1527" t="str">
            <v xml:space="preserve">ACRYLIC MIX LAC AZUL ROJIZO   </v>
          </cell>
          <cell r="C1527">
            <v>1</v>
          </cell>
          <cell r="D1527">
            <v>365</v>
          </cell>
        </row>
        <row r="1528">
          <cell r="A1528" t="str">
            <v>L4L305-1</v>
          </cell>
          <cell r="B1528" t="str">
            <v xml:space="preserve">ACRYLIC MIX LAC AZUL ROJIZO   </v>
          </cell>
          <cell r="C1528">
            <v>1</v>
          </cell>
          <cell r="D1528">
            <v>365</v>
          </cell>
        </row>
        <row r="1529">
          <cell r="A1529" t="str">
            <v>L4L309</v>
          </cell>
          <cell r="B1529" t="str">
            <v xml:space="preserve">ACRYLIC MIX LAC AZUL VERDOSO  </v>
          </cell>
          <cell r="C1529">
            <v>1</v>
          </cell>
          <cell r="D1529">
            <v>365</v>
          </cell>
        </row>
        <row r="1530">
          <cell r="A1530" t="str">
            <v>L4L309-1</v>
          </cell>
          <cell r="B1530" t="str">
            <v xml:space="preserve">ACRYLIC MIX LAC AZUL VERDOSO  </v>
          </cell>
          <cell r="C1530">
            <v>1</v>
          </cell>
          <cell r="D1530">
            <v>365</v>
          </cell>
        </row>
        <row r="1531">
          <cell r="A1531" t="str">
            <v>L4L313</v>
          </cell>
          <cell r="B1531" t="str">
            <v xml:space="preserve">ACRYLIC MIX LAC AZUL CHINO    </v>
          </cell>
          <cell r="C1531">
            <v>1</v>
          </cell>
          <cell r="D1531">
            <v>365</v>
          </cell>
        </row>
        <row r="1532">
          <cell r="A1532" t="str">
            <v>L4L313-1</v>
          </cell>
          <cell r="B1532" t="str">
            <v xml:space="preserve">ACRYLIC MIX LAC AZUL CHINO    </v>
          </cell>
          <cell r="C1532">
            <v>1</v>
          </cell>
          <cell r="D1532">
            <v>365</v>
          </cell>
        </row>
        <row r="1533">
          <cell r="A1533" t="str">
            <v>L4L315</v>
          </cell>
          <cell r="B1533" t="str">
            <v xml:space="preserve">ACRYLIC MIXING LACQUER AZUL   </v>
          </cell>
          <cell r="C1533">
            <v>1</v>
          </cell>
          <cell r="D1533">
            <v>365</v>
          </cell>
        </row>
        <row r="1534">
          <cell r="A1534" t="str">
            <v>L4L315-1</v>
          </cell>
          <cell r="B1534" t="str">
            <v xml:space="preserve">ACRYLIC MIXING LACQUER AZUL   </v>
          </cell>
          <cell r="C1534">
            <v>1</v>
          </cell>
          <cell r="D1534">
            <v>365</v>
          </cell>
        </row>
        <row r="1535">
          <cell r="A1535" t="str">
            <v>L4L339</v>
          </cell>
          <cell r="B1535" t="str">
            <v>ACRYLIC MIX LAC AZUL VERDE SOM</v>
          </cell>
          <cell r="C1535">
            <v>1</v>
          </cell>
          <cell r="D1535">
            <v>365</v>
          </cell>
        </row>
        <row r="1536">
          <cell r="A1536" t="str">
            <v>L4L339-1</v>
          </cell>
          <cell r="B1536" t="str">
            <v>ACRYLIC MIX LAC AZUL VERDE SOM</v>
          </cell>
          <cell r="C1536">
            <v>1</v>
          </cell>
          <cell r="D1536">
            <v>365</v>
          </cell>
        </row>
        <row r="1537">
          <cell r="A1537" t="str">
            <v>L4L346</v>
          </cell>
          <cell r="B1537" t="str">
            <v xml:space="preserve">ACRYLIC MIX LAC AZUL FTALO    </v>
          </cell>
          <cell r="C1537">
            <v>1</v>
          </cell>
          <cell r="D1537">
            <v>365</v>
          </cell>
        </row>
        <row r="1538">
          <cell r="A1538" t="str">
            <v>L4L346-1</v>
          </cell>
          <cell r="B1538" t="str">
            <v xml:space="preserve">ACRYLIC MIX LAC AZUL FTALO    </v>
          </cell>
          <cell r="C1538">
            <v>1</v>
          </cell>
          <cell r="D1538">
            <v>365</v>
          </cell>
        </row>
        <row r="1539">
          <cell r="A1539" t="str">
            <v>L4L353</v>
          </cell>
          <cell r="B1539" t="str">
            <v xml:space="preserve">ACRYLIC MIX LAC VIOLETA CARBA </v>
          </cell>
          <cell r="C1539">
            <v>1</v>
          </cell>
          <cell r="D1539">
            <v>365</v>
          </cell>
        </row>
        <row r="1540">
          <cell r="A1540" t="str">
            <v>L4L353-1</v>
          </cell>
          <cell r="B1540" t="str">
            <v xml:space="preserve">ACRYLIC MIX LAC VIOLETA CARBA </v>
          </cell>
          <cell r="C1540">
            <v>1</v>
          </cell>
          <cell r="D1540">
            <v>365</v>
          </cell>
        </row>
        <row r="1541">
          <cell r="A1541" t="str">
            <v>L4M318</v>
          </cell>
          <cell r="B1541" t="str">
            <v xml:space="preserve">ACRYLIC MIX LAC MARRON P.T.   </v>
          </cell>
          <cell r="C1541">
            <v>1</v>
          </cell>
          <cell r="D1541">
            <v>365</v>
          </cell>
        </row>
        <row r="1542">
          <cell r="A1542" t="str">
            <v>L4M318-1</v>
          </cell>
          <cell r="B1542" t="str">
            <v xml:space="preserve">ACRYLIC MIX LAC MARRON P.T.   </v>
          </cell>
          <cell r="C1542">
            <v>1</v>
          </cell>
          <cell r="D1542">
            <v>365</v>
          </cell>
        </row>
        <row r="1543">
          <cell r="A1543" t="str">
            <v>L4M321</v>
          </cell>
          <cell r="B1543" t="str">
            <v xml:space="preserve">ACRYLIC MIX LAC VIOLETA P.T.  </v>
          </cell>
          <cell r="C1543">
            <v>1</v>
          </cell>
          <cell r="D1543">
            <v>365</v>
          </cell>
        </row>
        <row r="1544">
          <cell r="A1544" t="str">
            <v>L4M321-1</v>
          </cell>
          <cell r="B1544" t="str">
            <v xml:space="preserve">ACRYLIC MIX LAC VIOLETA P.T.  </v>
          </cell>
          <cell r="C1544">
            <v>1</v>
          </cell>
          <cell r="D1544">
            <v>365</v>
          </cell>
        </row>
        <row r="1545">
          <cell r="A1545" t="str">
            <v>L4M338</v>
          </cell>
          <cell r="B1545" t="str">
            <v xml:space="preserve">ACRYLIC MIXING LACQUER MARRON </v>
          </cell>
          <cell r="C1545">
            <v>1</v>
          </cell>
          <cell r="D1545">
            <v>365</v>
          </cell>
        </row>
        <row r="1546">
          <cell r="A1546" t="str">
            <v>L4M338-1</v>
          </cell>
          <cell r="B1546" t="str">
            <v xml:space="preserve">ACRYLIC MIXING LACQUER MARRON </v>
          </cell>
          <cell r="C1546">
            <v>1</v>
          </cell>
          <cell r="D1546">
            <v>365</v>
          </cell>
        </row>
        <row r="1547">
          <cell r="A1547" t="str">
            <v>L4M338-1/4</v>
          </cell>
          <cell r="B1547" t="str">
            <v xml:space="preserve">ACRYLIC MIXING LACQUER MARRON </v>
          </cell>
          <cell r="C1547">
            <v>1</v>
          </cell>
          <cell r="D1547">
            <v>365</v>
          </cell>
        </row>
        <row r="1548">
          <cell r="A1548" t="str">
            <v>L4M341</v>
          </cell>
          <cell r="B1548" t="str">
            <v xml:space="preserve">ACRYLIC MIX LAC MARRON BRTE   </v>
          </cell>
          <cell r="C1548">
            <v>1</v>
          </cell>
          <cell r="D1548">
            <v>365</v>
          </cell>
        </row>
        <row r="1549">
          <cell r="A1549" t="str">
            <v>L4M341-1</v>
          </cell>
          <cell r="B1549" t="str">
            <v xml:space="preserve">ACRYLIC MIX LAC MARRON BRTE   </v>
          </cell>
          <cell r="C1549">
            <v>1</v>
          </cell>
          <cell r="D1549">
            <v>365</v>
          </cell>
        </row>
        <row r="1550">
          <cell r="A1550" t="str">
            <v>L4M405</v>
          </cell>
          <cell r="B1550" t="str">
            <v>ACRYLIC MIX LAC MARRON PERILEN</v>
          </cell>
          <cell r="C1550">
            <v>1</v>
          </cell>
          <cell r="D1550">
            <v>365</v>
          </cell>
        </row>
        <row r="1551">
          <cell r="A1551" t="str">
            <v>L4M405-1</v>
          </cell>
          <cell r="B1551" t="str">
            <v>ACRYLIC MIX LAC MARRON PERILEN</v>
          </cell>
          <cell r="C1551">
            <v>1</v>
          </cell>
          <cell r="D1551">
            <v>365</v>
          </cell>
        </row>
        <row r="1552">
          <cell r="A1552" t="str">
            <v>L4N314</v>
          </cell>
          <cell r="B1552" t="str">
            <v xml:space="preserve">ACRYLIC MIXING LACQUER DORADO </v>
          </cell>
          <cell r="C1552">
            <v>1</v>
          </cell>
          <cell r="D1552">
            <v>365</v>
          </cell>
        </row>
        <row r="1553">
          <cell r="A1553" t="str">
            <v>L4N314-1</v>
          </cell>
          <cell r="B1553" t="str">
            <v xml:space="preserve">ACRYLIC MIXING LACQUER DORADO </v>
          </cell>
          <cell r="C1553">
            <v>1</v>
          </cell>
          <cell r="D1553">
            <v>365</v>
          </cell>
        </row>
        <row r="1554">
          <cell r="A1554" t="str">
            <v>L4N342</v>
          </cell>
          <cell r="B1554" t="str">
            <v xml:space="preserve">ACRYLIC MIX LAC DORADO ROJIZO </v>
          </cell>
          <cell r="C1554">
            <v>1</v>
          </cell>
          <cell r="D1554">
            <v>365</v>
          </cell>
        </row>
        <row r="1555">
          <cell r="A1555" t="str">
            <v>L4N342-1</v>
          </cell>
          <cell r="B1555" t="str">
            <v xml:space="preserve">ACRYLIC MIX LAC DORADO ROJIZO </v>
          </cell>
          <cell r="C1555">
            <v>1</v>
          </cell>
          <cell r="D1555">
            <v>365</v>
          </cell>
        </row>
        <row r="1556">
          <cell r="A1556" t="str">
            <v>L4R304</v>
          </cell>
          <cell r="B1556" t="str">
            <v xml:space="preserve">ACRYLIC MIX LAC  ROJO OXIDO   </v>
          </cell>
          <cell r="C1556">
            <v>1</v>
          </cell>
          <cell r="D1556">
            <v>365</v>
          </cell>
        </row>
        <row r="1557">
          <cell r="A1557" t="str">
            <v>L4R304-1</v>
          </cell>
          <cell r="B1557" t="str">
            <v xml:space="preserve">ACRYLIC MIX LAC  ROJO OXIDO   </v>
          </cell>
          <cell r="C1557">
            <v>1</v>
          </cell>
          <cell r="D1557">
            <v>365</v>
          </cell>
        </row>
        <row r="1558">
          <cell r="A1558" t="str">
            <v>L4R330</v>
          </cell>
          <cell r="B1558" t="str">
            <v>ACRYLIC MIX LAC ROJO BRILLANTE</v>
          </cell>
          <cell r="C1558">
            <v>1</v>
          </cell>
          <cell r="D1558">
            <v>365</v>
          </cell>
        </row>
        <row r="1559">
          <cell r="A1559" t="str">
            <v>L4R330-1</v>
          </cell>
          <cell r="B1559" t="str">
            <v>ACRYLIC MIX LAC ROJO BRILLANTE</v>
          </cell>
          <cell r="C1559">
            <v>1</v>
          </cell>
          <cell r="D1559">
            <v>365</v>
          </cell>
        </row>
        <row r="1560">
          <cell r="A1560" t="str">
            <v>L4R348</v>
          </cell>
          <cell r="B1560" t="str">
            <v>ACRYLIC MIX LAC ROJO TRANSPARE</v>
          </cell>
          <cell r="C1560">
            <v>1</v>
          </cell>
          <cell r="D1560">
            <v>365</v>
          </cell>
        </row>
        <row r="1561">
          <cell r="A1561" t="str">
            <v>L4R348-1</v>
          </cell>
          <cell r="B1561" t="str">
            <v>ACRYLIC MIX LAC ROJO TRANSPARE</v>
          </cell>
          <cell r="C1561">
            <v>1</v>
          </cell>
          <cell r="D1561">
            <v>365</v>
          </cell>
        </row>
        <row r="1562">
          <cell r="A1562" t="str">
            <v>L4R354</v>
          </cell>
          <cell r="B1562" t="str">
            <v xml:space="preserve">ACRYLIC MIXING LACQUER ROJO   </v>
          </cell>
          <cell r="C1562">
            <v>1</v>
          </cell>
          <cell r="D1562">
            <v>365</v>
          </cell>
        </row>
        <row r="1563">
          <cell r="A1563" t="str">
            <v>L4R354-1</v>
          </cell>
          <cell r="B1563" t="str">
            <v xml:space="preserve">ACRYLIC MIX LACQUER ROJO      </v>
          </cell>
          <cell r="C1563">
            <v>1</v>
          </cell>
          <cell r="D1563">
            <v>365</v>
          </cell>
        </row>
        <row r="1564">
          <cell r="A1564" t="str">
            <v>L4R355</v>
          </cell>
          <cell r="B1564" t="str">
            <v>ACRYLIC MIXING LACQUER MAGENTA</v>
          </cell>
          <cell r="C1564">
            <v>1</v>
          </cell>
          <cell r="D1564">
            <v>365</v>
          </cell>
        </row>
        <row r="1565">
          <cell r="A1565" t="str">
            <v>L4R355-1</v>
          </cell>
          <cell r="B1565" t="str">
            <v xml:space="preserve">ACRYLIC MIX LACQUER MAGENTA   </v>
          </cell>
          <cell r="C1565">
            <v>1</v>
          </cell>
          <cell r="D1565">
            <v>365</v>
          </cell>
        </row>
        <row r="1566">
          <cell r="A1566" t="str">
            <v>L4R410</v>
          </cell>
          <cell r="B1566" t="str">
            <v xml:space="preserve">ACRYLIC MIX LAC PERYLENE ROJO </v>
          </cell>
          <cell r="C1566">
            <v>1</v>
          </cell>
          <cell r="D1566">
            <v>365</v>
          </cell>
        </row>
        <row r="1567">
          <cell r="A1567" t="str">
            <v>L4R410-1/4</v>
          </cell>
          <cell r="B1567" t="str">
            <v xml:space="preserve">ACRYLIC MIX LAC PERYLENE ROJO </v>
          </cell>
          <cell r="C1567">
            <v>1</v>
          </cell>
          <cell r="D1567">
            <v>365</v>
          </cell>
        </row>
        <row r="1568">
          <cell r="A1568" t="str">
            <v>L4RSA1</v>
          </cell>
          <cell r="B1568" t="str">
            <v>ACRYLIC MIX LAC ROJO  P/MEZCLA</v>
          </cell>
          <cell r="C1568">
            <v>1</v>
          </cell>
          <cell r="D1568">
            <v>365</v>
          </cell>
        </row>
        <row r="1569">
          <cell r="A1569" t="str">
            <v>L4RSA1-1</v>
          </cell>
          <cell r="B1569" t="str">
            <v>ACRYLIC MIX LAC ROJO  P/MEZCLA</v>
          </cell>
          <cell r="C1569">
            <v>1</v>
          </cell>
          <cell r="D1569">
            <v>365</v>
          </cell>
        </row>
        <row r="1570">
          <cell r="A1570" t="str">
            <v>L4S300</v>
          </cell>
          <cell r="B1570" t="str">
            <v>ACRYLIC MIX LAC BRIGHT WHI ALU</v>
          </cell>
          <cell r="C1570">
            <v>1</v>
          </cell>
          <cell r="D1570">
            <v>365</v>
          </cell>
        </row>
        <row r="1571">
          <cell r="A1571" t="str">
            <v>L4S300-1/4</v>
          </cell>
          <cell r="B1571" t="str">
            <v>ACRYLIC MIX LAC BRIGHT WHI ALU</v>
          </cell>
          <cell r="C1571">
            <v>1</v>
          </cell>
          <cell r="D1571">
            <v>365</v>
          </cell>
        </row>
        <row r="1572">
          <cell r="A1572" t="str">
            <v>L4S335</v>
          </cell>
          <cell r="B1572" t="str">
            <v xml:space="preserve">ACRYLIC MIX LAC METALICO BRTE </v>
          </cell>
          <cell r="C1572">
            <v>1</v>
          </cell>
          <cell r="D1572">
            <v>365</v>
          </cell>
        </row>
        <row r="1573">
          <cell r="A1573" t="str">
            <v>L4S335-1</v>
          </cell>
          <cell r="B1573" t="str">
            <v xml:space="preserve">ACRYLIC MIX LAC METALICO BRTE </v>
          </cell>
          <cell r="C1573">
            <v>1</v>
          </cell>
          <cell r="D1573">
            <v>365</v>
          </cell>
        </row>
        <row r="1574">
          <cell r="A1574" t="str">
            <v>L4S343</v>
          </cell>
          <cell r="B1574" t="str">
            <v xml:space="preserve">ACRYLIC MIX LAC METALICO GSO  </v>
          </cell>
          <cell r="C1574">
            <v>1</v>
          </cell>
          <cell r="D1574">
            <v>365</v>
          </cell>
        </row>
        <row r="1575">
          <cell r="A1575" t="str">
            <v>L4S343-1</v>
          </cell>
          <cell r="B1575" t="str">
            <v xml:space="preserve">ACRYLIC MIX LAC METALICO GSO  </v>
          </cell>
          <cell r="C1575">
            <v>1</v>
          </cell>
          <cell r="D1575">
            <v>365</v>
          </cell>
        </row>
        <row r="1576">
          <cell r="A1576" t="str">
            <v>L4S345</v>
          </cell>
          <cell r="B1576" t="str">
            <v>ACRYLIC MIX LAC MET PENETRANTE</v>
          </cell>
          <cell r="C1576">
            <v>1</v>
          </cell>
          <cell r="D1576">
            <v>365</v>
          </cell>
        </row>
        <row r="1577">
          <cell r="A1577" t="str">
            <v>L4S345-1/4</v>
          </cell>
          <cell r="B1577" t="str">
            <v>ACRYLIC MIX LAC MET PENETRANTE</v>
          </cell>
          <cell r="C1577">
            <v>1</v>
          </cell>
          <cell r="D1577">
            <v>365</v>
          </cell>
        </row>
        <row r="1578">
          <cell r="A1578" t="str">
            <v>L4S349</v>
          </cell>
          <cell r="B1578" t="str">
            <v xml:space="preserve">ACRYLIC MIX LAC METALICO FINO </v>
          </cell>
          <cell r="C1578">
            <v>1</v>
          </cell>
          <cell r="D1578">
            <v>365</v>
          </cell>
        </row>
        <row r="1579">
          <cell r="A1579" t="str">
            <v>L4S349-1</v>
          </cell>
          <cell r="B1579" t="str">
            <v xml:space="preserve">ACRYLIC MIX LAC METALICO FINO </v>
          </cell>
          <cell r="C1579">
            <v>1</v>
          </cell>
          <cell r="D1579">
            <v>365</v>
          </cell>
        </row>
        <row r="1580">
          <cell r="A1580" t="str">
            <v>L4S352</v>
          </cell>
          <cell r="B1580" t="str">
            <v xml:space="preserve">ACRYLIC MIX LAC MET MEDIO GSO </v>
          </cell>
          <cell r="C1580">
            <v>1</v>
          </cell>
          <cell r="D1580">
            <v>365</v>
          </cell>
        </row>
        <row r="1581">
          <cell r="A1581" t="str">
            <v>L4S352-1</v>
          </cell>
          <cell r="B1581" t="str">
            <v xml:space="preserve">ACRYLIC MIX LAC MET MEDIO GSO </v>
          </cell>
          <cell r="C1581">
            <v>1</v>
          </cell>
          <cell r="D1581">
            <v>365</v>
          </cell>
        </row>
        <row r="1582">
          <cell r="A1582" t="str">
            <v>L4SSA1</v>
          </cell>
          <cell r="B1582" t="str">
            <v xml:space="preserve">ACRYLIC MIX LAC ALUM EXT GSO  </v>
          </cell>
          <cell r="C1582">
            <v>1</v>
          </cell>
          <cell r="D1582">
            <v>365</v>
          </cell>
        </row>
        <row r="1583">
          <cell r="A1583" t="str">
            <v>L4SSA1-1</v>
          </cell>
          <cell r="B1583" t="str">
            <v xml:space="preserve">ACRYLIC MIX LAC ALUM EXT GSO  </v>
          </cell>
          <cell r="C1583">
            <v>1</v>
          </cell>
          <cell r="D1583">
            <v>365</v>
          </cell>
        </row>
        <row r="1584">
          <cell r="A1584" t="str">
            <v>L4SSA4</v>
          </cell>
          <cell r="B1584" t="str">
            <v xml:space="preserve">ACRYLIC MIX LAC ALUMINIO LIMP </v>
          </cell>
          <cell r="C1584">
            <v>1</v>
          </cell>
          <cell r="D1584">
            <v>365</v>
          </cell>
        </row>
        <row r="1585">
          <cell r="A1585" t="str">
            <v>L4SSA4-1</v>
          </cell>
          <cell r="B1585" t="str">
            <v xml:space="preserve">ACRYLIC MIX LAC ALUMINIO LIMP </v>
          </cell>
          <cell r="C1585">
            <v>1</v>
          </cell>
          <cell r="D1585">
            <v>365</v>
          </cell>
        </row>
        <row r="1586">
          <cell r="A1586" t="str">
            <v>L4W301</v>
          </cell>
          <cell r="B1586" t="str">
            <v xml:space="preserve">ACRYLIC MIXING LACQUER BLANCO </v>
          </cell>
          <cell r="C1586">
            <v>1</v>
          </cell>
          <cell r="D1586">
            <v>365</v>
          </cell>
        </row>
        <row r="1587">
          <cell r="A1587" t="str">
            <v>L4W301-1</v>
          </cell>
          <cell r="B1587" t="str">
            <v xml:space="preserve">ACRYLIC MIX LACQUER BLANCO    </v>
          </cell>
          <cell r="C1587">
            <v>1</v>
          </cell>
          <cell r="D1587">
            <v>365</v>
          </cell>
        </row>
        <row r="1588">
          <cell r="A1588" t="str">
            <v>L4W301-1.1/4</v>
          </cell>
          <cell r="B1588" t="str">
            <v xml:space="preserve">ACRYLIC MIX LACQUER BLANCO    </v>
          </cell>
          <cell r="C1588">
            <v>1</v>
          </cell>
          <cell r="D1588">
            <v>365</v>
          </cell>
        </row>
        <row r="1589">
          <cell r="A1589" t="str">
            <v>L4W415</v>
          </cell>
          <cell r="B1589" t="str">
            <v xml:space="preserve">ACRYLIC MIX LAC MICRONIZADO   </v>
          </cell>
          <cell r="C1589">
            <v>1</v>
          </cell>
          <cell r="D1589">
            <v>365</v>
          </cell>
        </row>
        <row r="1590">
          <cell r="A1590" t="str">
            <v>L4W415-1/4</v>
          </cell>
          <cell r="B1590" t="str">
            <v>ACRYLIC MIX LAC BLANCO MICRONI</v>
          </cell>
          <cell r="C1590">
            <v>1</v>
          </cell>
          <cell r="D1590">
            <v>365</v>
          </cell>
        </row>
        <row r="1591">
          <cell r="A1591" t="str">
            <v>L4Y303</v>
          </cell>
          <cell r="B1591" t="str">
            <v>ACRYLIC MIX LAC AMARILLO OXIDO</v>
          </cell>
          <cell r="C1591">
            <v>1</v>
          </cell>
          <cell r="D1591">
            <v>365</v>
          </cell>
        </row>
        <row r="1592">
          <cell r="A1592" t="str">
            <v>L4Y303-1</v>
          </cell>
          <cell r="B1592" t="str">
            <v>ACRYLIC MIX LAC AMARILLO OXIDO</v>
          </cell>
          <cell r="C1592">
            <v>1</v>
          </cell>
          <cell r="D1592">
            <v>365</v>
          </cell>
        </row>
        <row r="1593">
          <cell r="A1593" t="str">
            <v>L4Y332</v>
          </cell>
          <cell r="B1593" t="str">
            <v>ACRYLIC MIX LAC AMARILLO LIMON</v>
          </cell>
          <cell r="C1593">
            <v>1</v>
          </cell>
          <cell r="D1593">
            <v>365</v>
          </cell>
        </row>
        <row r="1594">
          <cell r="A1594" t="str">
            <v>L4Y332-1</v>
          </cell>
          <cell r="B1594" t="str">
            <v>ACRYLIC MIX LAC AMARILLO LIMON</v>
          </cell>
          <cell r="C1594">
            <v>1</v>
          </cell>
          <cell r="D1594">
            <v>365</v>
          </cell>
        </row>
        <row r="1595">
          <cell r="A1595" t="str">
            <v>L4Y332-SP</v>
          </cell>
          <cell r="B1595" t="str">
            <v xml:space="preserve">SHER-LAC ACRYLIC MIXING       </v>
          </cell>
          <cell r="C1595">
            <v>1</v>
          </cell>
          <cell r="D1595">
            <v>365</v>
          </cell>
        </row>
        <row r="1596">
          <cell r="A1596" t="str">
            <v>L4Y332SP-1</v>
          </cell>
          <cell r="B1596" t="str">
            <v>ACRYLIC MIX LAC AMARILLO LIMON</v>
          </cell>
          <cell r="C1596">
            <v>1</v>
          </cell>
          <cell r="D1596">
            <v>365</v>
          </cell>
        </row>
        <row r="1597">
          <cell r="A1597" t="str">
            <v>L4Y333</v>
          </cell>
          <cell r="B1597" t="str">
            <v>ACRYLIC MIX LAC AMARILLO MEDIO</v>
          </cell>
          <cell r="C1597">
            <v>1</v>
          </cell>
          <cell r="D1597">
            <v>365</v>
          </cell>
        </row>
        <row r="1598">
          <cell r="A1598" t="str">
            <v>L4Y333-1</v>
          </cell>
          <cell r="B1598" t="str">
            <v>ACRYLIC MIX LAC AMARILLO MEDIO</v>
          </cell>
          <cell r="C1598">
            <v>1</v>
          </cell>
          <cell r="D1598">
            <v>365</v>
          </cell>
        </row>
        <row r="1599">
          <cell r="A1599" t="str">
            <v>L4Y333-1.1/4</v>
          </cell>
          <cell r="B1599" t="str">
            <v>ACRYLIC MIX LAC AMARILLO MEDIO</v>
          </cell>
          <cell r="C1599">
            <v>1</v>
          </cell>
          <cell r="D1599">
            <v>365</v>
          </cell>
        </row>
        <row r="1600">
          <cell r="A1600" t="str">
            <v>L4Y333-SP</v>
          </cell>
          <cell r="B1600" t="str">
            <v>SHER-LAC ACRYLIC MIXING LACQUE</v>
          </cell>
          <cell r="C1600">
            <v>1</v>
          </cell>
          <cell r="D1600">
            <v>365</v>
          </cell>
        </row>
        <row r="1601">
          <cell r="A1601" t="str">
            <v>L4Y333SP-1</v>
          </cell>
          <cell r="B1601" t="str">
            <v>ACRYLIC MIX LAC AMARILLO MEDIO</v>
          </cell>
          <cell r="C1601">
            <v>1</v>
          </cell>
          <cell r="D1601">
            <v>365</v>
          </cell>
        </row>
        <row r="1602">
          <cell r="A1602" t="str">
            <v>L4Y334</v>
          </cell>
          <cell r="B1602" t="str">
            <v xml:space="preserve">ACRYLIC MIX LAC OCRE TRANSPAR </v>
          </cell>
          <cell r="C1602">
            <v>1</v>
          </cell>
          <cell r="D1602">
            <v>365</v>
          </cell>
        </row>
        <row r="1603">
          <cell r="A1603" t="str">
            <v>L4Y334-1</v>
          </cell>
          <cell r="B1603" t="str">
            <v xml:space="preserve">ACRYLIC MIX LAC OCRE TRANSPAR </v>
          </cell>
          <cell r="C1603">
            <v>1</v>
          </cell>
          <cell r="D1603">
            <v>365</v>
          </cell>
        </row>
        <row r="1604">
          <cell r="A1604" t="str">
            <v>L4Y344</v>
          </cell>
          <cell r="B1604" t="str">
            <v>ACRYLIC MIX LAC AMARILLO ROJIZ</v>
          </cell>
          <cell r="C1604">
            <v>1</v>
          </cell>
          <cell r="D1604">
            <v>365</v>
          </cell>
        </row>
        <row r="1605">
          <cell r="A1605" t="str">
            <v>L4Y344-1/4</v>
          </cell>
          <cell r="B1605" t="str">
            <v>ACRYLIC MIX LAC AMARILLO ROJIZ</v>
          </cell>
          <cell r="C1605">
            <v>1</v>
          </cell>
          <cell r="D1605">
            <v>365</v>
          </cell>
        </row>
        <row r="1606">
          <cell r="A1606" t="str">
            <v>L4Y351</v>
          </cell>
          <cell r="B1606" t="str">
            <v xml:space="preserve">ACRYLIC MIX LAC AMARILLO ORG  </v>
          </cell>
          <cell r="C1606">
            <v>1</v>
          </cell>
          <cell r="D1606">
            <v>365</v>
          </cell>
        </row>
        <row r="1607">
          <cell r="A1607" t="str">
            <v>L4Y351-1/4</v>
          </cell>
          <cell r="B1607" t="str">
            <v xml:space="preserve">ACRYLIC MIX LAC AMARILLO ORG  </v>
          </cell>
          <cell r="C1607">
            <v>1</v>
          </cell>
          <cell r="D1607">
            <v>365</v>
          </cell>
        </row>
        <row r="1608">
          <cell r="A1608" t="str">
            <v>N81W32</v>
          </cell>
          <cell r="B1608" t="str">
            <v xml:space="preserve">KEM PATCHING PASTE .          </v>
          </cell>
          <cell r="C1608">
            <v>1</v>
          </cell>
          <cell r="D1608">
            <v>365</v>
          </cell>
        </row>
        <row r="1609">
          <cell r="A1609" t="str">
            <v>N81W32-1</v>
          </cell>
          <cell r="B1609" t="str">
            <v xml:space="preserve">KEM PATCHING PASTE            </v>
          </cell>
          <cell r="C1609">
            <v>1</v>
          </cell>
          <cell r="D1609">
            <v>365</v>
          </cell>
        </row>
        <row r="1610">
          <cell r="A1610" t="str">
            <v>N81W32-1/4</v>
          </cell>
          <cell r="B1610" t="str">
            <v xml:space="preserve">KEM PATCHING PASTE            </v>
          </cell>
          <cell r="C1610">
            <v>1</v>
          </cell>
          <cell r="D1610">
            <v>365</v>
          </cell>
        </row>
        <row r="1611">
          <cell r="A1611" t="str">
            <v>N81WP1</v>
          </cell>
          <cell r="B1611" t="str">
            <v xml:space="preserve">PLASTIC PUTTY WHITE           </v>
          </cell>
          <cell r="C1611">
            <v>1</v>
          </cell>
          <cell r="D1611">
            <v>365</v>
          </cell>
        </row>
        <row r="1612">
          <cell r="A1612" t="str">
            <v>N81WP1-1</v>
          </cell>
          <cell r="B1612" t="str">
            <v xml:space="preserve">PLASTIC PUTTY WHITE           </v>
          </cell>
          <cell r="C1612">
            <v>1</v>
          </cell>
          <cell r="D1612">
            <v>365</v>
          </cell>
        </row>
        <row r="1613">
          <cell r="A1613" t="str">
            <v>PT10-1/16</v>
          </cell>
          <cell r="B1613" t="str">
            <v xml:space="preserve">PERLA BRONCE                  </v>
          </cell>
          <cell r="C1613">
            <v>1</v>
          </cell>
          <cell r="D1613">
            <v>365</v>
          </cell>
        </row>
        <row r="1614">
          <cell r="A1614" t="str">
            <v>PT11-1/16</v>
          </cell>
          <cell r="B1614" t="str">
            <v xml:space="preserve">PERLA  ROJIZO                 </v>
          </cell>
          <cell r="C1614">
            <v>1</v>
          </cell>
          <cell r="D1614">
            <v>365</v>
          </cell>
        </row>
        <row r="1615">
          <cell r="A1615" t="str">
            <v>PT12-1/16</v>
          </cell>
          <cell r="B1615" t="str">
            <v xml:space="preserve">PERLA  ROJIZO FINO            </v>
          </cell>
          <cell r="C1615">
            <v>1</v>
          </cell>
          <cell r="D1615">
            <v>365</v>
          </cell>
        </row>
        <row r="1616">
          <cell r="A1616" t="str">
            <v>PT13-1/16</v>
          </cell>
          <cell r="B1616" t="str">
            <v xml:space="preserve">PERLA AZUL INTERFERENCIA      </v>
          </cell>
          <cell r="C1616">
            <v>1</v>
          </cell>
          <cell r="D1616">
            <v>365</v>
          </cell>
        </row>
        <row r="1617">
          <cell r="A1617" t="str">
            <v>PT14-1/16</v>
          </cell>
          <cell r="B1617" t="str">
            <v xml:space="preserve">PERLA ANARANJADO              </v>
          </cell>
          <cell r="C1617">
            <v>1</v>
          </cell>
          <cell r="D1617">
            <v>365</v>
          </cell>
        </row>
        <row r="1618">
          <cell r="A1618" t="str">
            <v>PT15-1/16</v>
          </cell>
          <cell r="B1618" t="str">
            <v xml:space="preserve">PERLA LILA                    </v>
          </cell>
          <cell r="C1618">
            <v>1</v>
          </cell>
          <cell r="D1618">
            <v>365</v>
          </cell>
        </row>
        <row r="1619">
          <cell r="A1619" t="str">
            <v>PT16-1/16</v>
          </cell>
          <cell r="B1619" t="str">
            <v xml:space="preserve">PERLA DORADA                  </v>
          </cell>
          <cell r="C1619">
            <v>1</v>
          </cell>
          <cell r="D1619">
            <v>365</v>
          </cell>
        </row>
        <row r="1620">
          <cell r="A1620" t="str">
            <v>PT17-1/16</v>
          </cell>
          <cell r="B1620" t="str">
            <v xml:space="preserve">PERLA COBRE                   </v>
          </cell>
          <cell r="C1620">
            <v>1</v>
          </cell>
          <cell r="D1620">
            <v>365</v>
          </cell>
        </row>
        <row r="1621">
          <cell r="A1621" t="str">
            <v>PT18-1/16</v>
          </cell>
          <cell r="B1621" t="str">
            <v xml:space="preserve">PERLA ROJO INTERFERENCIA      </v>
          </cell>
          <cell r="C1621">
            <v>1</v>
          </cell>
          <cell r="D1621">
            <v>365</v>
          </cell>
        </row>
        <row r="1622">
          <cell r="A1622" t="str">
            <v>PT19-1/16</v>
          </cell>
          <cell r="B1622" t="str">
            <v xml:space="preserve">PERLA VERDE MUSGO             </v>
          </cell>
          <cell r="C1622">
            <v>1</v>
          </cell>
          <cell r="D1622">
            <v>365</v>
          </cell>
        </row>
        <row r="1623">
          <cell r="A1623" t="str">
            <v>PT20-1/16</v>
          </cell>
          <cell r="B1623" t="str">
            <v xml:space="preserve">PERLA BLANCO FINO             </v>
          </cell>
          <cell r="C1623">
            <v>1</v>
          </cell>
          <cell r="D1623">
            <v>365</v>
          </cell>
        </row>
        <row r="1624">
          <cell r="A1624" t="str">
            <v>PT21-1/16</v>
          </cell>
          <cell r="B1624" t="str">
            <v xml:space="preserve">PERLA GRIS AZULOSO            </v>
          </cell>
          <cell r="C1624">
            <v>1</v>
          </cell>
          <cell r="D1624">
            <v>365</v>
          </cell>
        </row>
        <row r="1625">
          <cell r="A1625" t="str">
            <v>PT22-1/16</v>
          </cell>
          <cell r="B1625" t="str">
            <v xml:space="preserve">PERLA VERDE AQUA              </v>
          </cell>
          <cell r="C1625">
            <v>1</v>
          </cell>
          <cell r="D1625">
            <v>365</v>
          </cell>
        </row>
        <row r="1626">
          <cell r="A1626" t="str">
            <v>PT23-1/16</v>
          </cell>
          <cell r="B1626" t="str">
            <v xml:space="preserve">PERLA AZUL FINO               </v>
          </cell>
          <cell r="C1626">
            <v>1</v>
          </cell>
          <cell r="D1626">
            <v>365</v>
          </cell>
        </row>
        <row r="1627">
          <cell r="A1627" t="str">
            <v>PT24-1/16</v>
          </cell>
          <cell r="B1627" t="str">
            <v xml:space="preserve">PERLA VERDE FINO              </v>
          </cell>
          <cell r="C1627">
            <v>1</v>
          </cell>
          <cell r="D1627">
            <v>365</v>
          </cell>
        </row>
        <row r="1628">
          <cell r="A1628" t="str">
            <v>PT25-1/16</v>
          </cell>
          <cell r="B1628" t="str">
            <v xml:space="preserve">PERLA VIOLETA FINO            </v>
          </cell>
          <cell r="C1628">
            <v>1</v>
          </cell>
          <cell r="D1628">
            <v>365</v>
          </cell>
        </row>
        <row r="1629">
          <cell r="A1629" t="str">
            <v>PT26-1/16</v>
          </cell>
          <cell r="B1629" t="str">
            <v xml:space="preserve">PERLA ROJO ESCARABAJO         </v>
          </cell>
          <cell r="C1629">
            <v>1</v>
          </cell>
          <cell r="D1629">
            <v>365</v>
          </cell>
        </row>
        <row r="1630">
          <cell r="A1630" t="str">
            <v>PT27-1/16</v>
          </cell>
          <cell r="B1630" t="str">
            <v xml:space="preserve">PERLA COBRE FINO              </v>
          </cell>
          <cell r="C1630">
            <v>1</v>
          </cell>
          <cell r="D1630">
            <v>365</v>
          </cell>
        </row>
        <row r="1631">
          <cell r="A1631" t="str">
            <v>PT28-1/16</v>
          </cell>
          <cell r="B1631" t="str">
            <v xml:space="preserve">PERLA DORADO FINO             </v>
          </cell>
          <cell r="C1631">
            <v>1</v>
          </cell>
          <cell r="D1631">
            <v>365</v>
          </cell>
        </row>
        <row r="1632">
          <cell r="A1632" t="str">
            <v>PT29-1/16</v>
          </cell>
          <cell r="B1632" t="str">
            <v xml:space="preserve">PERLA BLANCO                  </v>
          </cell>
          <cell r="C1632">
            <v>1</v>
          </cell>
          <cell r="D1632">
            <v>365</v>
          </cell>
        </row>
        <row r="1633">
          <cell r="A1633" t="str">
            <v>PT30-1/32</v>
          </cell>
          <cell r="B1633" t="str">
            <v xml:space="preserve">PERLA CRISTAL PLATEADO        </v>
          </cell>
          <cell r="C1633">
            <v>1</v>
          </cell>
          <cell r="D1633">
            <v>365</v>
          </cell>
        </row>
        <row r="1634">
          <cell r="A1634" t="str">
            <v>PT31-1/32</v>
          </cell>
          <cell r="B1634" t="str">
            <v xml:space="preserve">PERLA COBRE                   </v>
          </cell>
          <cell r="C1634">
            <v>1</v>
          </cell>
          <cell r="D1634">
            <v>365</v>
          </cell>
        </row>
        <row r="1635">
          <cell r="A1635" t="str">
            <v>PT32-1/32</v>
          </cell>
          <cell r="B1635" t="str">
            <v xml:space="preserve">PERLA  DORADO SOL             </v>
          </cell>
          <cell r="C1635">
            <v>1</v>
          </cell>
          <cell r="D1635">
            <v>365</v>
          </cell>
        </row>
        <row r="1636">
          <cell r="A1636" t="str">
            <v>PT33-1/32</v>
          </cell>
          <cell r="B1636" t="str">
            <v xml:space="preserve">PERLA ROJO RADIANTE           </v>
          </cell>
          <cell r="C1636">
            <v>1</v>
          </cell>
          <cell r="D1636">
            <v>365</v>
          </cell>
        </row>
        <row r="1637">
          <cell r="A1637" t="str">
            <v>PT34-1/32</v>
          </cell>
          <cell r="B1637" t="str">
            <v xml:space="preserve">PERLA AZUL GALAXIA            </v>
          </cell>
          <cell r="C1637">
            <v>1</v>
          </cell>
          <cell r="D1637">
            <v>365</v>
          </cell>
        </row>
        <row r="1638">
          <cell r="A1638" t="str">
            <v>PT35-1/32</v>
          </cell>
          <cell r="B1638" t="str">
            <v xml:space="preserve">PERLA VERDE                   </v>
          </cell>
          <cell r="C1638">
            <v>1</v>
          </cell>
          <cell r="D1638">
            <v>365</v>
          </cell>
        </row>
        <row r="1639">
          <cell r="A1639" t="str">
            <v>PT7-1/16</v>
          </cell>
          <cell r="B1639" t="str">
            <v xml:space="preserve">PERLA VERDE FINO              </v>
          </cell>
          <cell r="C1639">
            <v>1</v>
          </cell>
          <cell r="D1639">
            <v>365</v>
          </cell>
        </row>
        <row r="1640">
          <cell r="A1640" t="str">
            <v>PT8-1/16</v>
          </cell>
          <cell r="B1640" t="str">
            <v xml:space="preserve">PERLA BLANCO                  </v>
          </cell>
          <cell r="C1640">
            <v>1</v>
          </cell>
          <cell r="D1640">
            <v>365</v>
          </cell>
        </row>
        <row r="1641">
          <cell r="A1641" t="str">
            <v>S40CSA1</v>
          </cell>
          <cell r="B1641" t="str">
            <v>NEUTRALIZAD HONGOS/ALGAS/ MOHO</v>
          </cell>
          <cell r="C1641">
            <v>1</v>
          </cell>
          <cell r="D1641">
            <v>365</v>
          </cell>
        </row>
        <row r="1642">
          <cell r="A1642" t="str">
            <v>S40CSA1-1</v>
          </cell>
          <cell r="B1642" t="str">
            <v>NEUTRALIZAD HONGOS/ALGAS/ MOHO</v>
          </cell>
          <cell r="C1642">
            <v>1</v>
          </cell>
          <cell r="D1642">
            <v>365</v>
          </cell>
        </row>
        <row r="1643">
          <cell r="A1643" t="str">
            <v>T79B1</v>
          </cell>
          <cell r="B1643" t="str">
            <v xml:space="preserve">SHERWOOD 600 CRAC. LAC. NEGRO </v>
          </cell>
          <cell r="C1643">
            <v>1</v>
          </cell>
          <cell r="D1643">
            <v>365</v>
          </cell>
        </row>
        <row r="1644">
          <cell r="A1644" t="str">
            <v>T79B1-1</v>
          </cell>
          <cell r="B1644" t="str">
            <v xml:space="preserve">SHERWOOD 600 CRAC. LAC. NEGRO </v>
          </cell>
          <cell r="C1644">
            <v>1</v>
          </cell>
          <cell r="D1644">
            <v>365</v>
          </cell>
        </row>
        <row r="1645">
          <cell r="A1645" t="str">
            <v>T79B1-1/4</v>
          </cell>
          <cell r="B1645" t="str">
            <v xml:space="preserve">SHERWOOD 600 CRAC. LAC. NEGRO </v>
          </cell>
          <cell r="C1645">
            <v>1</v>
          </cell>
          <cell r="D1645">
            <v>365</v>
          </cell>
        </row>
        <row r="1646">
          <cell r="A1646" t="str">
            <v>T79G1</v>
          </cell>
          <cell r="B1646" t="str">
            <v xml:space="preserve">SHERWOOD 600 CRAC. LAC. VERDE </v>
          </cell>
          <cell r="C1646">
            <v>1</v>
          </cell>
          <cell r="D1646">
            <v>365</v>
          </cell>
        </row>
        <row r="1647">
          <cell r="A1647" t="str">
            <v>T79G1-1/4</v>
          </cell>
          <cell r="B1647" t="str">
            <v xml:space="preserve">SHERWOOD 600 CRAC. LAC. VERDE </v>
          </cell>
          <cell r="C1647">
            <v>1</v>
          </cell>
          <cell r="D1647">
            <v>365</v>
          </cell>
        </row>
        <row r="1648">
          <cell r="A1648" t="str">
            <v>T79L1</v>
          </cell>
          <cell r="B1648" t="str">
            <v xml:space="preserve">SHERWOOD 600 CRAC. LAC. AZUL  </v>
          </cell>
          <cell r="C1648">
            <v>1</v>
          </cell>
          <cell r="D1648">
            <v>365</v>
          </cell>
        </row>
        <row r="1649">
          <cell r="A1649" t="str">
            <v>T79L1-1/4</v>
          </cell>
          <cell r="B1649" t="str">
            <v xml:space="preserve">SHERWOOD 600 CRAC. LAC. AZUL  </v>
          </cell>
          <cell r="C1649">
            <v>1</v>
          </cell>
          <cell r="D1649">
            <v>365</v>
          </cell>
        </row>
        <row r="1650">
          <cell r="A1650" t="str">
            <v>T79R1</v>
          </cell>
          <cell r="B1650" t="str">
            <v xml:space="preserve">SHERWOOD 600 CRAC. LAC. ROJO  </v>
          </cell>
          <cell r="C1650">
            <v>1</v>
          </cell>
          <cell r="D1650">
            <v>365</v>
          </cell>
        </row>
        <row r="1651">
          <cell r="A1651" t="str">
            <v>T79R1-1/4</v>
          </cell>
          <cell r="B1651" t="str">
            <v xml:space="preserve">SHERWOOD 600 CRAC. LAC. ROJO  </v>
          </cell>
          <cell r="C1651">
            <v>1</v>
          </cell>
          <cell r="D1651">
            <v>365</v>
          </cell>
        </row>
        <row r="1652">
          <cell r="A1652" t="str">
            <v>T79W1</v>
          </cell>
          <cell r="B1652" t="str">
            <v>SHERWOOD 600 CRAC. LAC. BLANCO</v>
          </cell>
          <cell r="C1652">
            <v>1</v>
          </cell>
          <cell r="D1652">
            <v>365</v>
          </cell>
        </row>
        <row r="1653">
          <cell r="A1653" t="str">
            <v>T79W1-1/4</v>
          </cell>
          <cell r="B1653" t="str">
            <v>SHERWOOD 600 CRAC. LAC. BLANCO</v>
          </cell>
          <cell r="C1653">
            <v>1</v>
          </cell>
          <cell r="D1653">
            <v>365</v>
          </cell>
        </row>
        <row r="1654">
          <cell r="A1654" t="str">
            <v>UM7000</v>
          </cell>
          <cell r="B1654" t="str">
            <v>UNIMIX TINT BASE METALLIC No.1</v>
          </cell>
          <cell r="C1654">
            <v>1</v>
          </cell>
          <cell r="D1654">
            <v>365</v>
          </cell>
        </row>
        <row r="1655">
          <cell r="A1655" t="str">
            <v>UM7000-1/4</v>
          </cell>
          <cell r="B1655" t="str">
            <v>UNIMIX TINT BASE METALLIC No.1</v>
          </cell>
          <cell r="C1655">
            <v>1</v>
          </cell>
          <cell r="D1655">
            <v>365</v>
          </cell>
        </row>
        <row r="1656">
          <cell r="A1656" t="str">
            <v>UM7001</v>
          </cell>
          <cell r="B1656" t="str">
            <v>UNIMIX TINT BASE METALLIC No.2</v>
          </cell>
          <cell r="C1656">
            <v>1</v>
          </cell>
          <cell r="D1656">
            <v>365</v>
          </cell>
        </row>
        <row r="1657">
          <cell r="A1657" t="str">
            <v>UM7001-1/4</v>
          </cell>
          <cell r="B1657" t="str">
            <v>UNIMIX TINT BASE METALLIC No.2</v>
          </cell>
          <cell r="C1657">
            <v>1</v>
          </cell>
          <cell r="D1657">
            <v>365</v>
          </cell>
        </row>
        <row r="1658">
          <cell r="A1658" t="str">
            <v>UM7002</v>
          </cell>
          <cell r="B1658" t="str">
            <v>UNIMIX TINT BASE METALLIC No.3</v>
          </cell>
          <cell r="C1658">
            <v>1</v>
          </cell>
          <cell r="D1658">
            <v>365</v>
          </cell>
        </row>
        <row r="1659">
          <cell r="A1659" t="str">
            <v>UM7002-1/4</v>
          </cell>
          <cell r="B1659" t="str">
            <v>UNIMIX TINT BASE METALLIC No.3</v>
          </cell>
          <cell r="C1659">
            <v>1</v>
          </cell>
          <cell r="D1659">
            <v>365</v>
          </cell>
        </row>
        <row r="1660">
          <cell r="A1660" t="str">
            <v>UM7003</v>
          </cell>
          <cell r="B1660" t="str">
            <v xml:space="preserve">UNIMIX TINTING BASE WHITE     </v>
          </cell>
          <cell r="C1660">
            <v>1</v>
          </cell>
          <cell r="D1660">
            <v>365</v>
          </cell>
        </row>
        <row r="1661">
          <cell r="A1661" t="str">
            <v>UM7003-1/4</v>
          </cell>
          <cell r="B1661" t="str">
            <v xml:space="preserve">UNIMIX TINTING BASE WHITE     </v>
          </cell>
          <cell r="C1661">
            <v>1</v>
          </cell>
          <cell r="D1661">
            <v>365</v>
          </cell>
        </row>
        <row r="1662">
          <cell r="A1662" t="str">
            <v>UM7004</v>
          </cell>
          <cell r="B1662" t="str">
            <v xml:space="preserve">UNIMIX TINTING BASE RUSSET    </v>
          </cell>
          <cell r="C1662">
            <v>1</v>
          </cell>
          <cell r="D1662">
            <v>365</v>
          </cell>
        </row>
        <row r="1663">
          <cell r="A1663" t="str">
            <v>UM7004-1/4</v>
          </cell>
          <cell r="B1663" t="str">
            <v xml:space="preserve">UNIMIX TINTING BASE RUSSET    </v>
          </cell>
          <cell r="C1663">
            <v>1</v>
          </cell>
          <cell r="D1663">
            <v>365</v>
          </cell>
        </row>
        <row r="1664">
          <cell r="A1664" t="str">
            <v>UM7005</v>
          </cell>
          <cell r="B1664" t="str">
            <v xml:space="preserve">UNIMIX TINTING BASE BRONZE    </v>
          </cell>
          <cell r="C1664">
            <v>1</v>
          </cell>
          <cell r="D1664">
            <v>365</v>
          </cell>
        </row>
        <row r="1665">
          <cell r="A1665" t="str">
            <v>UM7005-1/4</v>
          </cell>
          <cell r="B1665" t="str">
            <v xml:space="preserve">UNIMIX TINTING BASE BRONZE    </v>
          </cell>
          <cell r="C1665">
            <v>1</v>
          </cell>
          <cell r="D1665">
            <v>365</v>
          </cell>
        </row>
        <row r="1666">
          <cell r="A1666" t="str">
            <v>UM7006</v>
          </cell>
          <cell r="B1666" t="str">
            <v>UNIMIX TINT BASE METALLIC No.4</v>
          </cell>
          <cell r="C1666">
            <v>1</v>
          </cell>
          <cell r="D1666">
            <v>365</v>
          </cell>
        </row>
        <row r="1667">
          <cell r="A1667" t="str">
            <v>UM7006-1/4</v>
          </cell>
          <cell r="B1667" t="str">
            <v>UNIMIX TINT BASE METALLIC No.4</v>
          </cell>
          <cell r="C1667">
            <v>1</v>
          </cell>
          <cell r="D1667">
            <v>365</v>
          </cell>
        </row>
        <row r="1668">
          <cell r="A1668" t="str">
            <v>UM7007</v>
          </cell>
          <cell r="B1668" t="str">
            <v xml:space="preserve">UNIMIX TINT BASE SMALL WHITE  </v>
          </cell>
          <cell r="C1668">
            <v>1</v>
          </cell>
          <cell r="D1668">
            <v>365</v>
          </cell>
        </row>
        <row r="1669">
          <cell r="A1669" t="str">
            <v>UM7007-1/4</v>
          </cell>
          <cell r="B1669" t="str">
            <v xml:space="preserve">UNIMIX TINT BASE SMALL WHITE  </v>
          </cell>
          <cell r="C1669">
            <v>1</v>
          </cell>
          <cell r="D1669">
            <v>365</v>
          </cell>
        </row>
        <row r="1670">
          <cell r="A1670" t="str">
            <v>UM7008</v>
          </cell>
          <cell r="B1670" t="str">
            <v xml:space="preserve">UNIMIX TINTING BASE SMALL RED </v>
          </cell>
          <cell r="C1670">
            <v>1</v>
          </cell>
          <cell r="D1670">
            <v>365</v>
          </cell>
        </row>
        <row r="1671">
          <cell r="A1671" t="str">
            <v>UM7008-1/4</v>
          </cell>
          <cell r="B1671" t="str">
            <v xml:space="preserve">UNIMIX TINTING BASE SMALL RED </v>
          </cell>
          <cell r="C1671">
            <v>1</v>
          </cell>
          <cell r="D1671">
            <v>365</v>
          </cell>
        </row>
        <row r="1672">
          <cell r="A1672" t="str">
            <v>UM7009</v>
          </cell>
          <cell r="B1672" t="str">
            <v xml:space="preserve">UNIMIX TINTING BASE BLUE      </v>
          </cell>
          <cell r="C1672">
            <v>1</v>
          </cell>
          <cell r="D1672">
            <v>365</v>
          </cell>
        </row>
        <row r="1673">
          <cell r="A1673" t="str">
            <v>UM7009-1/4</v>
          </cell>
          <cell r="B1673" t="str">
            <v xml:space="preserve">UNIMIX TINTING BASE BLUE      </v>
          </cell>
          <cell r="C1673">
            <v>1</v>
          </cell>
          <cell r="D1673">
            <v>365</v>
          </cell>
        </row>
        <row r="1674">
          <cell r="A1674" t="str">
            <v>UM7010</v>
          </cell>
          <cell r="B1674" t="str">
            <v xml:space="preserve">UNIMIX TINTING BASE GREEN     </v>
          </cell>
          <cell r="C1674">
            <v>1</v>
          </cell>
          <cell r="D1674">
            <v>365</v>
          </cell>
        </row>
        <row r="1675">
          <cell r="A1675" t="str">
            <v>UM7010-1/4</v>
          </cell>
          <cell r="B1675" t="str">
            <v xml:space="preserve">UNIMIX TINTING BASE GREEN     </v>
          </cell>
          <cell r="C1675">
            <v>1</v>
          </cell>
          <cell r="D1675">
            <v>365</v>
          </cell>
        </row>
        <row r="1676">
          <cell r="A1676" t="str">
            <v>UM7011</v>
          </cell>
          <cell r="B1676" t="str">
            <v>UNIMIX  BRIGHT METALLIC FINE .</v>
          </cell>
          <cell r="C1676">
            <v>1</v>
          </cell>
          <cell r="D1676">
            <v>365</v>
          </cell>
        </row>
        <row r="1677">
          <cell r="A1677" t="str">
            <v>UM7011-1/4</v>
          </cell>
          <cell r="B1677" t="str">
            <v xml:space="preserve">UNIMIX  BRIGHT METALLIC FINE  </v>
          </cell>
          <cell r="C1677">
            <v>1</v>
          </cell>
          <cell r="D1677">
            <v>365</v>
          </cell>
        </row>
        <row r="1678">
          <cell r="A1678" t="str">
            <v>UM7012</v>
          </cell>
          <cell r="B1678" t="str">
            <v>UNIMIX  BRIGHT METALLIC MEDIUM</v>
          </cell>
          <cell r="C1678">
            <v>1</v>
          </cell>
          <cell r="D1678">
            <v>365</v>
          </cell>
        </row>
        <row r="1679">
          <cell r="A1679" t="str">
            <v>UM7012-1/4</v>
          </cell>
          <cell r="B1679" t="str">
            <v>UNIMIX  BRIGHT METALLIC MEDIUM</v>
          </cell>
          <cell r="C1679">
            <v>1</v>
          </cell>
          <cell r="D1679">
            <v>365</v>
          </cell>
        </row>
        <row r="1680">
          <cell r="A1680" t="str">
            <v>V66V19</v>
          </cell>
          <cell r="B1680" t="str">
            <v xml:space="preserve">KEM CATI COAT CATALYST        </v>
          </cell>
          <cell r="C1680">
            <v>1</v>
          </cell>
          <cell r="D1680">
            <v>365</v>
          </cell>
        </row>
        <row r="1681">
          <cell r="A1681" t="str">
            <v>V66V19-1</v>
          </cell>
          <cell r="B1681" t="str">
            <v xml:space="preserve">KEM CATI COAT CATALYST        </v>
          </cell>
          <cell r="C1681">
            <v>1</v>
          </cell>
          <cell r="D1681">
            <v>365</v>
          </cell>
        </row>
        <row r="1682">
          <cell r="A1682" t="str">
            <v>V66V19-5</v>
          </cell>
          <cell r="B1682" t="str">
            <v xml:space="preserve">KEM CATI COAT                 </v>
          </cell>
          <cell r="C1682">
            <v>1</v>
          </cell>
          <cell r="D1682">
            <v>365</v>
          </cell>
        </row>
        <row r="1683">
          <cell r="A1683" t="str">
            <v>V74B155</v>
          </cell>
          <cell r="B1683" t="str">
            <v xml:space="preserve">CHASSIS UNDERFRAME BLACK      </v>
          </cell>
          <cell r="C1683">
            <v>1</v>
          </cell>
          <cell r="D1683">
            <v>365</v>
          </cell>
        </row>
        <row r="1684">
          <cell r="A1684" t="str">
            <v>V74B155-1</v>
          </cell>
          <cell r="B1684" t="str">
            <v xml:space="preserve">CHASSIS UNDERFRAME BLACK      </v>
          </cell>
          <cell r="C1684">
            <v>1</v>
          </cell>
          <cell r="D1684">
            <v>365</v>
          </cell>
        </row>
        <row r="1685">
          <cell r="A1685" t="str">
            <v>V74BSA1</v>
          </cell>
          <cell r="B1685" t="str">
            <v xml:space="preserve">PINTURA NEGRA PARA CHASSIS    </v>
          </cell>
          <cell r="C1685">
            <v>1</v>
          </cell>
          <cell r="D1685">
            <v>365</v>
          </cell>
        </row>
        <row r="1686">
          <cell r="A1686" t="str">
            <v>V74BSA1-1</v>
          </cell>
          <cell r="B1686" t="str">
            <v xml:space="preserve">PINTURA NEGRA PARA CHASSIS    </v>
          </cell>
          <cell r="C1686">
            <v>1</v>
          </cell>
          <cell r="D1686">
            <v>365</v>
          </cell>
        </row>
        <row r="1687">
          <cell r="A1687" t="str">
            <v>V74BSA1-1/4</v>
          </cell>
          <cell r="B1687" t="str">
            <v xml:space="preserve">PINTURA NEGRA PARA CHASSIS    </v>
          </cell>
          <cell r="C1687">
            <v>1</v>
          </cell>
          <cell r="D1687">
            <v>365</v>
          </cell>
        </row>
        <row r="1688">
          <cell r="A1688" t="str">
            <v>V83CSA2</v>
          </cell>
          <cell r="B1688" t="str">
            <v xml:space="preserve">BARNIZ ARTESANAL              </v>
          </cell>
          <cell r="C1688">
            <v>2</v>
          </cell>
          <cell r="D1688">
            <v>730</v>
          </cell>
        </row>
        <row r="1689">
          <cell r="A1689" t="str">
            <v>V83CSA2-1</v>
          </cell>
          <cell r="B1689" t="str">
            <v xml:space="preserve">BARNIZ ARTESANAL              </v>
          </cell>
          <cell r="C1689">
            <v>2</v>
          </cell>
          <cell r="D1689">
            <v>730</v>
          </cell>
        </row>
        <row r="1690">
          <cell r="A1690" t="str">
            <v>V83CSA2-1/4</v>
          </cell>
          <cell r="B1690" t="str">
            <v xml:space="preserve">BARNIZ ARTESANAL              </v>
          </cell>
          <cell r="C1690">
            <v>2</v>
          </cell>
          <cell r="D1690">
            <v>730</v>
          </cell>
        </row>
        <row r="1691">
          <cell r="A1691" t="str">
            <v>V83CSA3</v>
          </cell>
          <cell r="B1691" t="str">
            <v xml:space="preserve">BARNIZ ACRILICO PARA PISOS    </v>
          </cell>
          <cell r="C1691">
            <v>2</v>
          </cell>
          <cell r="D1691">
            <v>730</v>
          </cell>
        </row>
        <row r="1692">
          <cell r="A1692" t="str">
            <v>V83CSA3-1</v>
          </cell>
          <cell r="B1692" t="str">
            <v xml:space="preserve">BARNIZ ACRILICO PARA PISOS    </v>
          </cell>
          <cell r="C1692">
            <v>2</v>
          </cell>
          <cell r="D1692">
            <v>730</v>
          </cell>
        </row>
        <row r="1693">
          <cell r="A1693" t="str">
            <v>V83CSA3-50</v>
          </cell>
          <cell r="B1693" t="str">
            <v xml:space="preserve">BARNIZ ACRILICO PARA PISOS    </v>
          </cell>
          <cell r="C1693">
            <v>2</v>
          </cell>
          <cell r="D1693">
            <v>730</v>
          </cell>
        </row>
        <row r="1694">
          <cell r="A1694" t="str">
            <v>V83CSA4</v>
          </cell>
          <cell r="B1694" t="str">
            <v xml:space="preserve">BARNIZ ACRILICO PARA PISOS DE </v>
          </cell>
          <cell r="C1694">
            <v>2</v>
          </cell>
          <cell r="D1694">
            <v>730</v>
          </cell>
        </row>
        <row r="1695">
          <cell r="A1695" t="str">
            <v>V83CSA4-44</v>
          </cell>
          <cell r="B1695" t="str">
            <v>BARNIZ ACRILICO PISOS CONCRETO</v>
          </cell>
          <cell r="C1695">
            <v>2</v>
          </cell>
          <cell r="D1695">
            <v>730</v>
          </cell>
        </row>
        <row r="1696">
          <cell r="A1696" t="str">
            <v>V83FSA1</v>
          </cell>
          <cell r="B1696" t="str">
            <v xml:space="preserve">BARNIZ ARTESANAL VELVET       </v>
          </cell>
          <cell r="C1696">
            <v>2</v>
          </cell>
          <cell r="D1696">
            <v>730</v>
          </cell>
        </row>
        <row r="1697">
          <cell r="A1697" t="str">
            <v>V83FSA1-1</v>
          </cell>
          <cell r="B1697" t="str">
            <v xml:space="preserve">BARNIZ ARTESANAL VELVET       </v>
          </cell>
          <cell r="C1697">
            <v>2</v>
          </cell>
          <cell r="D1697">
            <v>730</v>
          </cell>
        </row>
        <row r="1698">
          <cell r="A1698" t="str">
            <v>W64CSA2</v>
          </cell>
          <cell r="B1698" t="str">
            <v xml:space="preserve">REMOVEDOR HONGOS/ALGAS/MOHO   </v>
          </cell>
          <cell r="C1698">
            <v>1</v>
          </cell>
          <cell r="D1698">
            <v>365</v>
          </cell>
        </row>
        <row r="1699">
          <cell r="A1699" t="str">
            <v>W64CSA2-1</v>
          </cell>
          <cell r="B1699" t="str">
            <v xml:space="preserve">REMOVEDOR HONGOS/ALGAS/MOHO   </v>
          </cell>
          <cell r="C1699">
            <v>1</v>
          </cell>
          <cell r="D1699">
            <v>365</v>
          </cell>
        </row>
        <row r="1700">
          <cell r="A1700" t="str">
            <v>Y81ESA1</v>
          </cell>
          <cell r="B1700" t="str">
            <v xml:space="preserve">COLORAMICA LATEX MANGO        </v>
          </cell>
          <cell r="C1700">
            <v>1</v>
          </cell>
          <cell r="D1700">
            <v>365</v>
          </cell>
        </row>
        <row r="1701">
          <cell r="A1701" t="str">
            <v>Y81ESA1-1</v>
          </cell>
          <cell r="B1701" t="str">
            <v xml:space="preserve">COLORAMICA LATEX MANGO        </v>
          </cell>
          <cell r="C1701">
            <v>1</v>
          </cell>
          <cell r="D1701">
            <v>365</v>
          </cell>
        </row>
        <row r="1702">
          <cell r="A1702" t="str">
            <v>Y81ESA1-1/4</v>
          </cell>
          <cell r="B1702" t="str">
            <v xml:space="preserve">COLORAMICA LATEX MANGO        </v>
          </cell>
          <cell r="C1702">
            <v>1</v>
          </cell>
          <cell r="D1702">
            <v>365</v>
          </cell>
        </row>
        <row r="1703">
          <cell r="A1703" t="str">
            <v>Y81ESA1-5</v>
          </cell>
          <cell r="B1703" t="str">
            <v xml:space="preserve">COLORAMICA LATEX MANGO        </v>
          </cell>
          <cell r="C1703">
            <v>1</v>
          </cell>
          <cell r="D1703">
            <v>365</v>
          </cell>
        </row>
        <row r="1704">
          <cell r="A1704" t="str">
            <v>Y81GSA1</v>
          </cell>
          <cell r="B1704" t="str">
            <v xml:space="preserve">COLOR LATEX MATE VERDE MENTA  </v>
          </cell>
          <cell r="C1704">
            <v>1</v>
          </cell>
          <cell r="D1704">
            <v>365</v>
          </cell>
        </row>
        <row r="1705">
          <cell r="A1705" t="str">
            <v>Y81GSA1-1</v>
          </cell>
          <cell r="B1705" t="str">
            <v xml:space="preserve">COLOR LATEX MATE VERDE MENTA  </v>
          </cell>
          <cell r="C1705">
            <v>1</v>
          </cell>
          <cell r="D1705">
            <v>365</v>
          </cell>
        </row>
        <row r="1706">
          <cell r="A1706" t="str">
            <v>Y81GSA1-1/4</v>
          </cell>
          <cell r="B1706" t="str">
            <v xml:space="preserve">COLORAMICA LATEX VERDE MENTA  </v>
          </cell>
          <cell r="C1706">
            <v>1</v>
          </cell>
          <cell r="D1706">
            <v>365</v>
          </cell>
        </row>
        <row r="1707">
          <cell r="A1707" t="str">
            <v>Y81GSA1-5</v>
          </cell>
          <cell r="B1707" t="str">
            <v xml:space="preserve">COLOR LATEX MATE VERDE MENTA  </v>
          </cell>
          <cell r="C1707">
            <v>1</v>
          </cell>
          <cell r="D1707">
            <v>365</v>
          </cell>
        </row>
        <row r="1708">
          <cell r="A1708" t="str">
            <v>Y81GSA2</v>
          </cell>
          <cell r="B1708" t="str">
            <v xml:space="preserve">COLORAMICA LATEX VERDE        </v>
          </cell>
          <cell r="C1708">
            <v>1</v>
          </cell>
          <cell r="D1708">
            <v>365</v>
          </cell>
        </row>
        <row r="1709">
          <cell r="A1709" t="str">
            <v>Y81GSA2-1</v>
          </cell>
          <cell r="B1709" t="str">
            <v xml:space="preserve">COLORAMICA LATEX VERDE        </v>
          </cell>
          <cell r="C1709">
            <v>1</v>
          </cell>
          <cell r="D1709">
            <v>365</v>
          </cell>
        </row>
        <row r="1710">
          <cell r="A1710" t="str">
            <v>Y81GSA2-1/4</v>
          </cell>
          <cell r="B1710" t="str">
            <v xml:space="preserve">COLORAMICA LATEX VERDE        </v>
          </cell>
          <cell r="C1710">
            <v>1</v>
          </cell>
          <cell r="D1710">
            <v>365</v>
          </cell>
        </row>
        <row r="1711">
          <cell r="A1711" t="str">
            <v>Y81GSA2-5</v>
          </cell>
          <cell r="B1711" t="str">
            <v xml:space="preserve">COLORAMICA LATEX VERDE        </v>
          </cell>
          <cell r="C1711">
            <v>1</v>
          </cell>
          <cell r="D1711">
            <v>365</v>
          </cell>
        </row>
        <row r="1712">
          <cell r="A1712" t="str">
            <v>Y81GSA3</v>
          </cell>
          <cell r="B1712" t="str">
            <v xml:space="preserve">COLORAMICA LATEX VERDE AQUA   </v>
          </cell>
          <cell r="C1712">
            <v>1</v>
          </cell>
          <cell r="D1712">
            <v>365</v>
          </cell>
        </row>
        <row r="1713">
          <cell r="A1713" t="str">
            <v>Y81GSA3-1</v>
          </cell>
          <cell r="B1713" t="str">
            <v xml:space="preserve">COLORAMICA LATEX VERDE AQUA   </v>
          </cell>
          <cell r="C1713">
            <v>1</v>
          </cell>
          <cell r="D1713">
            <v>365</v>
          </cell>
        </row>
        <row r="1714">
          <cell r="A1714" t="str">
            <v>Y81GSA3-1/4</v>
          </cell>
          <cell r="B1714" t="str">
            <v xml:space="preserve">COLORAMICA LATEX VERDE AQUA   </v>
          </cell>
          <cell r="C1714">
            <v>1</v>
          </cell>
          <cell r="D1714">
            <v>365</v>
          </cell>
        </row>
        <row r="1715">
          <cell r="A1715" t="str">
            <v>Y81GSA3-5</v>
          </cell>
          <cell r="B1715" t="str">
            <v xml:space="preserve">COLORAMICA LATEX VERDE AQUA   </v>
          </cell>
          <cell r="C1715">
            <v>1</v>
          </cell>
          <cell r="D1715">
            <v>365</v>
          </cell>
        </row>
        <row r="1716">
          <cell r="A1716" t="str">
            <v>Y81GSA4</v>
          </cell>
          <cell r="B1716" t="str">
            <v xml:space="preserve">COLORAMICA LATEX VERDE JARDIN </v>
          </cell>
          <cell r="C1716">
            <v>1</v>
          </cell>
          <cell r="D1716">
            <v>365</v>
          </cell>
        </row>
        <row r="1717">
          <cell r="A1717" t="str">
            <v>Y81GSA4-1</v>
          </cell>
          <cell r="B1717" t="str">
            <v xml:space="preserve">COLORAMICA LATEX VERDE JARDIN </v>
          </cell>
          <cell r="C1717">
            <v>1</v>
          </cell>
          <cell r="D1717">
            <v>365</v>
          </cell>
        </row>
        <row r="1718">
          <cell r="A1718" t="str">
            <v>Y81GSA4-1/4</v>
          </cell>
          <cell r="B1718" t="str">
            <v xml:space="preserve">COLORAMICA LATEX VERDE JARDIN </v>
          </cell>
          <cell r="C1718">
            <v>1</v>
          </cell>
          <cell r="D1718">
            <v>365</v>
          </cell>
        </row>
        <row r="1719">
          <cell r="A1719" t="str">
            <v>Y81GSA4-5</v>
          </cell>
          <cell r="B1719" t="str">
            <v xml:space="preserve">COLORAMICA LATEX VERDE JARDIN </v>
          </cell>
          <cell r="C1719">
            <v>1</v>
          </cell>
          <cell r="D1719">
            <v>365</v>
          </cell>
        </row>
        <row r="1720">
          <cell r="A1720" t="str">
            <v>Y81GSA5</v>
          </cell>
          <cell r="B1720" t="str">
            <v xml:space="preserve">COLORAMICA LATEX VERDE LAGUNA </v>
          </cell>
          <cell r="C1720">
            <v>1</v>
          </cell>
          <cell r="D1720">
            <v>365</v>
          </cell>
        </row>
        <row r="1721">
          <cell r="A1721" t="str">
            <v>Y81GSA5-1</v>
          </cell>
          <cell r="B1721" t="str">
            <v xml:space="preserve">COLORAMICA LATEX VERDE LAGUNA </v>
          </cell>
          <cell r="C1721">
            <v>1</v>
          </cell>
          <cell r="D1721">
            <v>365</v>
          </cell>
        </row>
        <row r="1722">
          <cell r="A1722" t="str">
            <v>Y81GSA5-1/4</v>
          </cell>
          <cell r="B1722" t="str">
            <v xml:space="preserve">COLORAMICA LATEX VERDE LAGUNA </v>
          </cell>
          <cell r="C1722">
            <v>1</v>
          </cell>
          <cell r="D1722">
            <v>365</v>
          </cell>
        </row>
        <row r="1723">
          <cell r="A1723" t="str">
            <v>Y81GSA5-5</v>
          </cell>
          <cell r="B1723" t="str">
            <v xml:space="preserve">COLORAMICA LATEX VERDE LAGUNA </v>
          </cell>
          <cell r="C1723">
            <v>1</v>
          </cell>
          <cell r="D1723">
            <v>365</v>
          </cell>
        </row>
        <row r="1724">
          <cell r="A1724" t="str">
            <v>Y81HSA1</v>
          </cell>
          <cell r="B1724" t="str">
            <v xml:space="preserve">COLORAMICA LATEX MATE MARFIL  </v>
          </cell>
          <cell r="C1724">
            <v>1</v>
          </cell>
          <cell r="D1724">
            <v>365</v>
          </cell>
        </row>
        <row r="1725">
          <cell r="A1725" t="str">
            <v>Y81HSA1-1</v>
          </cell>
          <cell r="B1725" t="str">
            <v xml:space="preserve">COLORAMICA LATEX MATE MARFIL  </v>
          </cell>
          <cell r="C1725">
            <v>1</v>
          </cell>
          <cell r="D1725">
            <v>365</v>
          </cell>
        </row>
        <row r="1726">
          <cell r="A1726" t="str">
            <v>Y81HSA1-1/4</v>
          </cell>
          <cell r="B1726" t="str">
            <v xml:space="preserve">COLORAMICA LATEX MARFIL       </v>
          </cell>
          <cell r="C1726">
            <v>1</v>
          </cell>
          <cell r="D1726">
            <v>365</v>
          </cell>
        </row>
        <row r="1727">
          <cell r="A1727" t="str">
            <v>Y81HSA1-5</v>
          </cell>
          <cell r="B1727" t="str">
            <v xml:space="preserve">COLORAMICA LATEX MATE MARFIL  </v>
          </cell>
          <cell r="C1727">
            <v>1</v>
          </cell>
          <cell r="D1727">
            <v>365</v>
          </cell>
        </row>
        <row r="1728">
          <cell r="A1728" t="str">
            <v>Y81LSA2</v>
          </cell>
          <cell r="B1728" t="str">
            <v xml:space="preserve">COLORAMICA LATEX MATE CELESTE </v>
          </cell>
          <cell r="C1728">
            <v>1</v>
          </cell>
          <cell r="D1728">
            <v>365</v>
          </cell>
        </row>
        <row r="1729">
          <cell r="A1729" t="str">
            <v>Y81LSA2-1</v>
          </cell>
          <cell r="B1729" t="str">
            <v xml:space="preserve">COLORAMICA LATEX MATE CELESTE </v>
          </cell>
          <cell r="C1729">
            <v>1</v>
          </cell>
          <cell r="D1729">
            <v>365</v>
          </cell>
        </row>
        <row r="1730">
          <cell r="A1730" t="str">
            <v>Y81LSA2-1/4</v>
          </cell>
          <cell r="B1730" t="str">
            <v xml:space="preserve">COLORAMICA LATEX CELESTE      </v>
          </cell>
          <cell r="C1730">
            <v>1</v>
          </cell>
          <cell r="D1730">
            <v>365</v>
          </cell>
        </row>
        <row r="1731">
          <cell r="A1731" t="str">
            <v>Y81LSA2-5</v>
          </cell>
          <cell r="B1731" t="str">
            <v xml:space="preserve">COLORAMICA LATEX MATE CELESTE </v>
          </cell>
          <cell r="C1731">
            <v>1</v>
          </cell>
          <cell r="D1731">
            <v>365</v>
          </cell>
        </row>
        <row r="1732">
          <cell r="A1732" t="str">
            <v>Y81LSA4</v>
          </cell>
          <cell r="B1732" t="str">
            <v xml:space="preserve">COLORAMICA LATEX AZUL GEMA    </v>
          </cell>
          <cell r="C1732">
            <v>1</v>
          </cell>
          <cell r="D1732">
            <v>365</v>
          </cell>
        </row>
        <row r="1733">
          <cell r="A1733" t="str">
            <v>Y81LSA4-1</v>
          </cell>
          <cell r="B1733" t="str">
            <v xml:space="preserve">COLORAMICA LATEX AZUL GEMA    </v>
          </cell>
          <cell r="C1733">
            <v>1</v>
          </cell>
          <cell r="D1733">
            <v>365</v>
          </cell>
        </row>
        <row r="1734">
          <cell r="A1734" t="str">
            <v>Y81LSA4-1/4</v>
          </cell>
          <cell r="B1734" t="str">
            <v xml:space="preserve">COLORAMICA LATEX AZUL GEMA    </v>
          </cell>
          <cell r="C1734">
            <v>1</v>
          </cell>
          <cell r="D1734">
            <v>365</v>
          </cell>
        </row>
        <row r="1735">
          <cell r="A1735" t="str">
            <v>Y81LSA4-5</v>
          </cell>
          <cell r="B1735" t="str">
            <v xml:space="preserve">COLORAMICA LATEX AZUL GEMA    </v>
          </cell>
          <cell r="C1735">
            <v>1</v>
          </cell>
          <cell r="D1735">
            <v>365</v>
          </cell>
        </row>
        <row r="1736">
          <cell r="A1736" t="str">
            <v>Y81LSA5</v>
          </cell>
          <cell r="B1736" t="str">
            <v xml:space="preserve">COLORAMICA LATEX AZUL         </v>
          </cell>
          <cell r="C1736">
            <v>1</v>
          </cell>
          <cell r="D1736">
            <v>365</v>
          </cell>
        </row>
        <row r="1737">
          <cell r="A1737" t="str">
            <v>Y81LSA5-1</v>
          </cell>
          <cell r="B1737" t="str">
            <v xml:space="preserve">COLORAMICA LATEX AZUL         </v>
          </cell>
          <cell r="C1737">
            <v>1</v>
          </cell>
          <cell r="D1737">
            <v>365</v>
          </cell>
        </row>
        <row r="1738">
          <cell r="A1738" t="str">
            <v>Y81LSA5-1/4</v>
          </cell>
          <cell r="B1738" t="str">
            <v xml:space="preserve">COLORAMICA LATEX AZUL         </v>
          </cell>
          <cell r="C1738">
            <v>1</v>
          </cell>
          <cell r="D1738">
            <v>365</v>
          </cell>
        </row>
        <row r="1739">
          <cell r="A1739" t="str">
            <v>Y81LSA5-5</v>
          </cell>
          <cell r="B1739" t="str">
            <v xml:space="preserve">COLORAMICA LATEX AZUL         </v>
          </cell>
          <cell r="C1739">
            <v>1</v>
          </cell>
          <cell r="D1739">
            <v>365</v>
          </cell>
        </row>
        <row r="1740">
          <cell r="A1740" t="str">
            <v>Y81LSA6</v>
          </cell>
          <cell r="B1740" t="str">
            <v xml:space="preserve">COLORAMICA LATEX AZUL CLARO   </v>
          </cell>
          <cell r="C1740">
            <v>1</v>
          </cell>
          <cell r="D1740">
            <v>365</v>
          </cell>
        </row>
        <row r="1741">
          <cell r="A1741" t="str">
            <v>Y81LSA6-1</v>
          </cell>
          <cell r="B1741" t="str">
            <v xml:space="preserve">COLORAMICA LATEX AZUL CLARO   </v>
          </cell>
          <cell r="C1741">
            <v>1</v>
          </cell>
          <cell r="D1741">
            <v>365</v>
          </cell>
        </row>
        <row r="1742">
          <cell r="A1742" t="str">
            <v>Y81LSA6-1/4</v>
          </cell>
          <cell r="B1742" t="str">
            <v xml:space="preserve">COLORAMICA LATEX AZUL CLARO   </v>
          </cell>
          <cell r="C1742">
            <v>1</v>
          </cell>
          <cell r="D1742">
            <v>365</v>
          </cell>
        </row>
        <row r="1743">
          <cell r="A1743" t="str">
            <v>Y81LSA6-5</v>
          </cell>
          <cell r="B1743" t="str">
            <v xml:space="preserve">COLORAMICA LATEX AZUL CLARO   </v>
          </cell>
          <cell r="C1743">
            <v>1</v>
          </cell>
          <cell r="D1743">
            <v>365</v>
          </cell>
        </row>
        <row r="1744">
          <cell r="A1744" t="str">
            <v>Y81LSA7</v>
          </cell>
          <cell r="B1744" t="str">
            <v xml:space="preserve">COLORAMICA LAT CELESTE OCEANO </v>
          </cell>
          <cell r="C1744">
            <v>1</v>
          </cell>
          <cell r="D1744">
            <v>365</v>
          </cell>
        </row>
        <row r="1745">
          <cell r="A1745" t="str">
            <v>Y81LSA7-1</v>
          </cell>
          <cell r="B1745" t="str">
            <v xml:space="preserve">COLORAMICA LAT CELESTE OCEANO </v>
          </cell>
          <cell r="C1745">
            <v>1</v>
          </cell>
          <cell r="D1745">
            <v>365</v>
          </cell>
        </row>
        <row r="1746">
          <cell r="A1746" t="str">
            <v>Y81LSA7-1/4</v>
          </cell>
          <cell r="B1746" t="str">
            <v xml:space="preserve">COLORAMICA LAT CELESTE OCEANO </v>
          </cell>
          <cell r="C1746">
            <v>1</v>
          </cell>
          <cell r="D1746">
            <v>365</v>
          </cell>
        </row>
        <row r="1747">
          <cell r="A1747" t="str">
            <v>Y81LSA7-5</v>
          </cell>
          <cell r="B1747" t="str">
            <v xml:space="preserve">COLORAMICA LAT CELESTE OCEANO </v>
          </cell>
          <cell r="C1747">
            <v>1</v>
          </cell>
          <cell r="D1747">
            <v>365</v>
          </cell>
        </row>
        <row r="1748">
          <cell r="A1748" t="str">
            <v>Y81NSA1</v>
          </cell>
          <cell r="B1748" t="str">
            <v xml:space="preserve">COLORAMICA LATEX BEIGE        </v>
          </cell>
          <cell r="C1748">
            <v>1</v>
          </cell>
          <cell r="D1748">
            <v>365</v>
          </cell>
        </row>
        <row r="1749">
          <cell r="A1749" t="str">
            <v>Y81NSA1-1</v>
          </cell>
          <cell r="B1749" t="str">
            <v xml:space="preserve">COLORAMICA LATEX BEIGE        </v>
          </cell>
          <cell r="C1749">
            <v>1</v>
          </cell>
          <cell r="D1749">
            <v>365</v>
          </cell>
        </row>
        <row r="1750">
          <cell r="A1750" t="str">
            <v>Y81NSA1-1/4</v>
          </cell>
          <cell r="B1750" t="str">
            <v xml:space="preserve">COLORAMICA LATEX BEIGE        </v>
          </cell>
          <cell r="C1750">
            <v>1</v>
          </cell>
          <cell r="D1750">
            <v>365</v>
          </cell>
        </row>
        <row r="1751">
          <cell r="A1751" t="str">
            <v>Y81NSA1-5</v>
          </cell>
          <cell r="B1751" t="str">
            <v xml:space="preserve">COLORAMICA LATEX BEIGE        </v>
          </cell>
          <cell r="C1751">
            <v>1</v>
          </cell>
          <cell r="D1751">
            <v>365</v>
          </cell>
        </row>
        <row r="1752">
          <cell r="A1752" t="str">
            <v>Y81PSA1</v>
          </cell>
          <cell r="B1752" t="str">
            <v xml:space="preserve">COLORAMICA LATEX MORADO       </v>
          </cell>
          <cell r="C1752">
            <v>1</v>
          </cell>
          <cell r="D1752">
            <v>365</v>
          </cell>
        </row>
        <row r="1753">
          <cell r="A1753" t="str">
            <v>Y81PSA1-1</v>
          </cell>
          <cell r="B1753" t="str">
            <v xml:space="preserve">COLORAMICA LATEX MORADO       </v>
          </cell>
          <cell r="C1753">
            <v>1</v>
          </cell>
          <cell r="D1753">
            <v>365</v>
          </cell>
        </row>
        <row r="1754">
          <cell r="A1754" t="str">
            <v>Y81PSA1-1/4</v>
          </cell>
          <cell r="B1754" t="str">
            <v xml:space="preserve">COLORAMICA LATEX MORADO       </v>
          </cell>
          <cell r="C1754">
            <v>1</v>
          </cell>
          <cell r="D1754">
            <v>365</v>
          </cell>
        </row>
        <row r="1755">
          <cell r="A1755" t="str">
            <v>Y81PSA1-5</v>
          </cell>
          <cell r="B1755" t="str">
            <v xml:space="preserve">COLORAMICA LATEX MORADO       </v>
          </cell>
          <cell r="C1755">
            <v>1</v>
          </cell>
          <cell r="D1755">
            <v>365</v>
          </cell>
        </row>
        <row r="1756">
          <cell r="A1756" t="str">
            <v>Y81PSA2</v>
          </cell>
          <cell r="B1756" t="str">
            <v xml:space="preserve">COLORAMICA LATEX MORADO CLARO </v>
          </cell>
          <cell r="C1756">
            <v>1</v>
          </cell>
          <cell r="D1756">
            <v>365</v>
          </cell>
        </row>
        <row r="1757">
          <cell r="A1757" t="str">
            <v>Y81PSA2-1</v>
          </cell>
          <cell r="B1757" t="str">
            <v xml:space="preserve">COLORAMICA LATEX MORADO CLARO </v>
          </cell>
          <cell r="C1757">
            <v>1</v>
          </cell>
          <cell r="D1757">
            <v>365</v>
          </cell>
        </row>
        <row r="1758">
          <cell r="A1758" t="str">
            <v>Y81PSA2-1/4</v>
          </cell>
          <cell r="B1758" t="str">
            <v xml:space="preserve">COLORAMICA LATEX MORADO CLARO </v>
          </cell>
          <cell r="C1758">
            <v>1</v>
          </cell>
          <cell r="D1758">
            <v>365</v>
          </cell>
        </row>
        <row r="1759">
          <cell r="A1759" t="str">
            <v>Y81PSA2-5</v>
          </cell>
          <cell r="B1759" t="str">
            <v xml:space="preserve">COLORAMICA LATEX MORADO CLARO </v>
          </cell>
          <cell r="C1759">
            <v>1</v>
          </cell>
          <cell r="D1759">
            <v>365</v>
          </cell>
        </row>
        <row r="1760">
          <cell r="A1760" t="str">
            <v>Y81PSA3</v>
          </cell>
          <cell r="B1760" t="str">
            <v xml:space="preserve">COLORAMICA LATEX VIOLETA      </v>
          </cell>
          <cell r="C1760">
            <v>1</v>
          </cell>
          <cell r="D1760">
            <v>365</v>
          </cell>
        </row>
        <row r="1761">
          <cell r="A1761" t="str">
            <v>Y81PSA3-1</v>
          </cell>
          <cell r="B1761" t="str">
            <v xml:space="preserve">COLORAMICA LATEX VIOLETA      </v>
          </cell>
          <cell r="C1761">
            <v>1</v>
          </cell>
          <cell r="D1761">
            <v>365</v>
          </cell>
        </row>
        <row r="1762">
          <cell r="A1762" t="str">
            <v>Y81PSA3-1/4</v>
          </cell>
          <cell r="B1762" t="str">
            <v xml:space="preserve">COLORAMICA LATEX VIOLETA      </v>
          </cell>
          <cell r="C1762">
            <v>1</v>
          </cell>
          <cell r="D1762">
            <v>365</v>
          </cell>
        </row>
        <row r="1763">
          <cell r="A1763" t="str">
            <v>Y81PSA3-5</v>
          </cell>
          <cell r="B1763" t="str">
            <v xml:space="preserve">COLORAMICA LATEX VIOLETA      </v>
          </cell>
          <cell r="C1763">
            <v>1</v>
          </cell>
          <cell r="D1763">
            <v>365</v>
          </cell>
        </row>
        <row r="1764">
          <cell r="A1764" t="str">
            <v>Y81RSA1</v>
          </cell>
          <cell r="B1764" t="str">
            <v>COLORAMICA LATEX ROJO TROPICAL</v>
          </cell>
          <cell r="C1764">
            <v>1</v>
          </cell>
          <cell r="D1764">
            <v>365</v>
          </cell>
        </row>
        <row r="1765">
          <cell r="A1765" t="str">
            <v>Y81RSA1-1</v>
          </cell>
          <cell r="B1765" t="str">
            <v>COLORAMICA LATEX ROJO TROPICAL</v>
          </cell>
          <cell r="C1765">
            <v>1</v>
          </cell>
          <cell r="D1765">
            <v>365</v>
          </cell>
        </row>
        <row r="1766">
          <cell r="A1766" t="str">
            <v>Y81RSA1-1/4</v>
          </cell>
          <cell r="B1766" t="str">
            <v>COLORAMICA LATEX ROJO TROPICAL</v>
          </cell>
          <cell r="C1766">
            <v>1</v>
          </cell>
          <cell r="D1766">
            <v>365</v>
          </cell>
        </row>
        <row r="1767">
          <cell r="A1767" t="str">
            <v>Y81RSA1-5</v>
          </cell>
          <cell r="B1767" t="str">
            <v>COLORAMICA LATEX ROJO TROPICAL</v>
          </cell>
          <cell r="C1767">
            <v>1</v>
          </cell>
          <cell r="D1767">
            <v>365</v>
          </cell>
        </row>
        <row r="1768">
          <cell r="A1768" t="str">
            <v>Y81RSA2</v>
          </cell>
          <cell r="B1768" t="str">
            <v xml:space="preserve">COLORAMICA LATEX MATE ROSADO  </v>
          </cell>
          <cell r="C1768">
            <v>1</v>
          </cell>
          <cell r="D1768">
            <v>365</v>
          </cell>
        </row>
        <row r="1769">
          <cell r="A1769" t="str">
            <v>Y81RSA2-1</v>
          </cell>
          <cell r="B1769" t="str">
            <v xml:space="preserve">COLORAMICA LATEX MATE ROSADO  </v>
          </cell>
          <cell r="C1769">
            <v>1</v>
          </cell>
          <cell r="D1769">
            <v>365</v>
          </cell>
        </row>
        <row r="1770">
          <cell r="A1770" t="str">
            <v>Y81RSA2-1/4</v>
          </cell>
          <cell r="B1770" t="str">
            <v xml:space="preserve">COLORAMICA LATEX ROSADO       </v>
          </cell>
          <cell r="C1770">
            <v>1</v>
          </cell>
          <cell r="D1770">
            <v>365</v>
          </cell>
        </row>
        <row r="1771">
          <cell r="A1771" t="str">
            <v>Y81RSA2-5</v>
          </cell>
          <cell r="B1771" t="str">
            <v xml:space="preserve">COLORAMICA LATEX MATE ROSADO  </v>
          </cell>
          <cell r="C1771">
            <v>1</v>
          </cell>
          <cell r="D1771">
            <v>365</v>
          </cell>
        </row>
        <row r="1772">
          <cell r="A1772" t="str">
            <v>Y81RSA3</v>
          </cell>
          <cell r="B1772" t="str">
            <v>COLOR LATEX MATE ROJO LADRILLO</v>
          </cell>
          <cell r="C1772">
            <v>1</v>
          </cell>
          <cell r="D1772">
            <v>365</v>
          </cell>
        </row>
        <row r="1773">
          <cell r="A1773" t="str">
            <v>Y81RSA3-1</v>
          </cell>
          <cell r="B1773" t="str">
            <v>COLOR LATEX MATE ROJO LADRILLO</v>
          </cell>
          <cell r="C1773">
            <v>1</v>
          </cell>
          <cell r="D1773">
            <v>365</v>
          </cell>
        </row>
        <row r="1774">
          <cell r="A1774" t="str">
            <v>Y81RSA3-1/4</v>
          </cell>
          <cell r="B1774" t="str">
            <v>COLORAMICA LATEX ROJO LADRILLO</v>
          </cell>
          <cell r="C1774">
            <v>1</v>
          </cell>
          <cell r="D1774">
            <v>365</v>
          </cell>
        </row>
        <row r="1775">
          <cell r="A1775" t="str">
            <v>Y81RSA3-5</v>
          </cell>
          <cell r="B1775" t="str">
            <v>COLOR LATEX MATE ROJO LADRILLO</v>
          </cell>
          <cell r="C1775">
            <v>1</v>
          </cell>
          <cell r="D1775">
            <v>365</v>
          </cell>
        </row>
        <row r="1776">
          <cell r="A1776" t="str">
            <v>Y81RSA4</v>
          </cell>
          <cell r="B1776" t="str">
            <v xml:space="preserve">COLORAMICA LATEX ROJO OXIDO   </v>
          </cell>
          <cell r="C1776">
            <v>1</v>
          </cell>
          <cell r="D1776">
            <v>365</v>
          </cell>
        </row>
        <row r="1777">
          <cell r="A1777" t="str">
            <v>Y81RSA4-5</v>
          </cell>
          <cell r="B1777" t="str">
            <v xml:space="preserve">COLORAMICA LATEX ROJO OXIDO   </v>
          </cell>
          <cell r="C1777">
            <v>1</v>
          </cell>
          <cell r="D1777">
            <v>365</v>
          </cell>
        </row>
        <row r="1778">
          <cell r="A1778" t="str">
            <v>Y81RSA6</v>
          </cell>
          <cell r="B1778" t="str">
            <v>COLORAMICA LATEX ROJO FESTIVAL</v>
          </cell>
          <cell r="C1778">
            <v>1</v>
          </cell>
          <cell r="D1778">
            <v>365</v>
          </cell>
        </row>
        <row r="1779">
          <cell r="A1779" t="str">
            <v>Y81RSA6-1</v>
          </cell>
          <cell r="B1779" t="str">
            <v>COLORAMICA LATEX ROJO FESTIVAL</v>
          </cell>
          <cell r="C1779">
            <v>1</v>
          </cell>
          <cell r="D1779">
            <v>365</v>
          </cell>
        </row>
        <row r="1780">
          <cell r="A1780" t="str">
            <v>Y81RSA6-1/4</v>
          </cell>
          <cell r="B1780" t="str">
            <v>COLORAMICA LATEX ROJO FESTIVAL</v>
          </cell>
          <cell r="C1780">
            <v>1</v>
          </cell>
          <cell r="D1780">
            <v>365</v>
          </cell>
        </row>
        <row r="1781">
          <cell r="A1781" t="str">
            <v>Y81RSA6-5</v>
          </cell>
          <cell r="B1781" t="str">
            <v>COLORAMICA LATEX ROJO FESTIVAL</v>
          </cell>
          <cell r="C1781">
            <v>1</v>
          </cell>
          <cell r="D1781">
            <v>365</v>
          </cell>
        </row>
        <row r="1782">
          <cell r="A1782" t="str">
            <v>Y81RSA7</v>
          </cell>
          <cell r="B1782" t="str">
            <v xml:space="preserve">COLORAMICA LAT ROJO TERRACOTA </v>
          </cell>
          <cell r="C1782">
            <v>1</v>
          </cell>
          <cell r="D1782">
            <v>365</v>
          </cell>
        </row>
        <row r="1783">
          <cell r="A1783" t="str">
            <v>Y81RSA7-1</v>
          </cell>
          <cell r="B1783" t="str">
            <v xml:space="preserve">COLORAMICA LAT ROJO TERRACOTA </v>
          </cell>
          <cell r="C1783">
            <v>1</v>
          </cell>
          <cell r="D1783">
            <v>365</v>
          </cell>
        </row>
        <row r="1784">
          <cell r="A1784" t="str">
            <v>Y81RSA7-1/4</v>
          </cell>
          <cell r="B1784" t="str">
            <v xml:space="preserve">COLORAMICA LAT ROJO TERRACOTA </v>
          </cell>
          <cell r="C1784">
            <v>1</v>
          </cell>
          <cell r="D1784">
            <v>365</v>
          </cell>
        </row>
        <row r="1785">
          <cell r="A1785" t="str">
            <v>Y81RSA7-5</v>
          </cell>
          <cell r="B1785" t="str">
            <v xml:space="preserve">COLORAMICA LAT ROJO TERRACOTA </v>
          </cell>
          <cell r="C1785">
            <v>1</v>
          </cell>
          <cell r="D1785">
            <v>365</v>
          </cell>
        </row>
        <row r="1786">
          <cell r="A1786" t="str">
            <v>Y81RSA8</v>
          </cell>
          <cell r="B1786" t="str">
            <v xml:space="preserve">COLORAMICA LAT  ROJO TARIMAS  </v>
          </cell>
          <cell r="C1786">
            <v>1</v>
          </cell>
          <cell r="D1786">
            <v>365</v>
          </cell>
        </row>
        <row r="1787">
          <cell r="A1787" t="str">
            <v>Y81RSA8-5</v>
          </cell>
          <cell r="B1787" t="str">
            <v xml:space="preserve">COLORAMICA LAT  ROJO TARIMAS  </v>
          </cell>
          <cell r="C1787">
            <v>1</v>
          </cell>
          <cell r="D1787">
            <v>365</v>
          </cell>
        </row>
        <row r="1788">
          <cell r="A1788" t="str">
            <v>Y81WSA1</v>
          </cell>
          <cell r="B1788" t="str">
            <v xml:space="preserve">COLORAMICA LATEX MATE BLANCO  </v>
          </cell>
          <cell r="C1788">
            <v>1</v>
          </cell>
          <cell r="D1788">
            <v>365</v>
          </cell>
        </row>
        <row r="1789">
          <cell r="A1789" t="str">
            <v>Y81WSA1-1</v>
          </cell>
          <cell r="B1789" t="str">
            <v xml:space="preserve">COLORAMICA LATEX MATE BLANCO  </v>
          </cell>
          <cell r="C1789">
            <v>1</v>
          </cell>
          <cell r="D1789">
            <v>365</v>
          </cell>
        </row>
        <row r="1790">
          <cell r="A1790" t="str">
            <v>Y81WSA1-1/4</v>
          </cell>
          <cell r="B1790" t="str">
            <v xml:space="preserve">COLORAMICA LATEX BLANCO       </v>
          </cell>
          <cell r="C1790">
            <v>1</v>
          </cell>
          <cell r="D1790">
            <v>365</v>
          </cell>
        </row>
        <row r="1791">
          <cell r="A1791" t="str">
            <v>Y81WSA1-5</v>
          </cell>
          <cell r="B1791" t="str">
            <v xml:space="preserve">COLORAMICA LATEX MATE BLANCO  </v>
          </cell>
          <cell r="C1791">
            <v>1</v>
          </cell>
          <cell r="D1791">
            <v>365</v>
          </cell>
        </row>
        <row r="1792">
          <cell r="A1792" t="str">
            <v>Y81WSA2</v>
          </cell>
          <cell r="B1792" t="str">
            <v xml:space="preserve">COLOR LATEX MATE BLANCO HUESO </v>
          </cell>
          <cell r="C1792">
            <v>1</v>
          </cell>
          <cell r="D1792">
            <v>365</v>
          </cell>
        </row>
        <row r="1793">
          <cell r="A1793" t="str">
            <v>Y81WSA2-1</v>
          </cell>
          <cell r="B1793" t="str">
            <v xml:space="preserve">COLOR LATEX MATE BLANCO HUESO </v>
          </cell>
          <cell r="C1793">
            <v>1</v>
          </cell>
          <cell r="D1793">
            <v>365</v>
          </cell>
        </row>
        <row r="1794">
          <cell r="A1794" t="str">
            <v>Y81WSA2-1/4</v>
          </cell>
          <cell r="B1794" t="str">
            <v xml:space="preserve">COLORAMICA LATEX BLANCO HUESO </v>
          </cell>
          <cell r="C1794">
            <v>1</v>
          </cell>
          <cell r="D1794">
            <v>365</v>
          </cell>
        </row>
        <row r="1795">
          <cell r="A1795" t="str">
            <v>Y81WSA2-5</v>
          </cell>
          <cell r="B1795" t="str">
            <v xml:space="preserve">COLOR LATEX MATE BLANCO HUESO </v>
          </cell>
          <cell r="C1795">
            <v>1</v>
          </cell>
          <cell r="D1795">
            <v>365</v>
          </cell>
        </row>
        <row r="1796">
          <cell r="A1796" t="str">
            <v>Y81WSA3</v>
          </cell>
          <cell r="B1796" t="str">
            <v xml:space="preserve">COLORAMICA LAT BLANCO ANTIGUO </v>
          </cell>
          <cell r="C1796">
            <v>1</v>
          </cell>
          <cell r="D1796">
            <v>365</v>
          </cell>
        </row>
        <row r="1797">
          <cell r="A1797" t="str">
            <v>Y81WSA3-1</v>
          </cell>
          <cell r="B1797" t="str">
            <v xml:space="preserve">COLORAMICA LAT BLANCO ANTIGUO </v>
          </cell>
          <cell r="C1797">
            <v>1</v>
          </cell>
          <cell r="D1797">
            <v>365</v>
          </cell>
        </row>
        <row r="1798">
          <cell r="A1798" t="str">
            <v>Y81WSA3-1/4</v>
          </cell>
          <cell r="B1798" t="str">
            <v xml:space="preserve">COLORAMICA LAT BLANCO ANTIGUO </v>
          </cell>
          <cell r="C1798">
            <v>1</v>
          </cell>
          <cell r="D1798">
            <v>365</v>
          </cell>
        </row>
        <row r="1799">
          <cell r="A1799" t="str">
            <v>Y81WSA3-5</v>
          </cell>
          <cell r="B1799" t="str">
            <v xml:space="preserve">COLORAMICA LAT BLANCO ANTIGUO </v>
          </cell>
          <cell r="C1799">
            <v>1</v>
          </cell>
          <cell r="D1799">
            <v>365</v>
          </cell>
        </row>
        <row r="1800">
          <cell r="A1800" t="str">
            <v>Y81YSA1</v>
          </cell>
          <cell r="B1800" t="str">
            <v>COLORAMICA LATEX MATE AMARILLO</v>
          </cell>
          <cell r="C1800">
            <v>1</v>
          </cell>
          <cell r="D1800">
            <v>365</v>
          </cell>
        </row>
        <row r="1801">
          <cell r="A1801" t="str">
            <v>Y81YSA1-1</v>
          </cell>
          <cell r="B1801" t="str">
            <v>COLORAMICA LATEX MATE AMARILLO</v>
          </cell>
          <cell r="C1801">
            <v>1</v>
          </cell>
          <cell r="D1801">
            <v>365</v>
          </cell>
        </row>
        <row r="1802">
          <cell r="A1802" t="str">
            <v>Y81YSA1-1/4</v>
          </cell>
          <cell r="B1802" t="str">
            <v xml:space="preserve">COLORAMICA LATEX AMARILLO     </v>
          </cell>
          <cell r="C1802">
            <v>1</v>
          </cell>
          <cell r="D1802">
            <v>365</v>
          </cell>
        </row>
        <row r="1803">
          <cell r="A1803" t="str">
            <v>Y81YSA1-5</v>
          </cell>
          <cell r="B1803" t="str">
            <v>COLORAMICA LATEX MATE AMARILLO</v>
          </cell>
          <cell r="C1803">
            <v>1</v>
          </cell>
          <cell r="D1803">
            <v>365</v>
          </cell>
        </row>
        <row r="1804">
          <cell r="A1804" t="str">
            <v>Y81YSA3</v>
          </cell>
          <cell r="B1804" t="str">
            <v xml:space="preserve">COLORAMICA LATEX AMARILLO ORO </v>
          </cell>
          <cell r="C1804">
            <v>1</v>
          </cell>
          <cell r="D1804">
            <v>365</v>
          </cell>
        </row>
        <row r="1805">
          <cell r="A1805" t="str">
            <v>Y81YSA3-1</v>
          </cell>
          <cell r="B1805" t="str">
            <v xml:space="preserve">COLORAMICA LATEX AMARILLO ORO </v>
          </cell>
          <cell r="C1805">
            <v>1</v>
          </cell>
          <cell r="D1805">
            <v>365</v>
          </cell>
        </row>
        <row r="1806">
          <cell r="A1806" t="str">
            <v>Y81YSA3-1/4</v>
          </cell>
          <cell r="B1806" t="str">
            <v xml:space="preserve">COLORAMICA LATEX AMARILLO ORO </v>
          </cell>
          <cell r="C1806">
            <v>1</v>
          </cell>
          <cell r="D1806">
            <v>365</v>
          </cell>
        </row>
        <row r="1807">
          <cell r="A1807" t="str">
            <v>Y81YSA3-5</v>
          </cell>
          <cell r="B1807" t="str">
            <v xml:space="preserve">COLORAMICA LATEX AMARILLO ORO </v>
          </cell>
          <cell r="C1807">
            <v>1</v>
          </cell>
          <cell r="D1807">
            <v>365</v>
          </cell>
        </row>
        <row r="1808">
          <cell r="A1808" t="str">
            <v>Y81YSA4</v>
          </cell>
          <cell r="B1808" t="str">
            <v xml:space="preserve">COLORAMICA LAT AMARI INTENSO  </v>
          </cell>
          <cell r="C1808">
            <v>1</v>
          </cell>
          <cell r="D1808">
            <v>365</v>
          </cell>
        </row>
        <row r="1809">
          <cell r="A1809" t="str">
            <v>Y81YSA4-1</v>
          </cell>
          <cell r="B1809" t="str">
            <v xml:space="preserve">COLORAMICA LAT AMARI INTENSO  </v>
          </cell>
          <cell r="C1809">
            <v>1</v>
          </cell>
          <cell r="D1809">
            <v>365</v>
          </cell>
        </row>
        <row r="1810">
          <cell r="A1810" t="str">
            <v>Y81YSA4-1/4</v>
          </cell>
          <cell r="B1810" t="str">
            <v xml:space="preserve">COLORAMICA LAT AMARI INTENSO  </v>
          </cell>
          <cell r="C1810">
            <v>1</v>
          </cell>
          <cell r="D1810">
            <v>365</v>
          </cell>
        </row>
        <row r="1811">
          <cell r="A1811" t="str">
            <v>Y81YSA4-5</v>
          </cell>
          <cell r="B1811" t="str">
            <v xml:space="preserve">COLORAMICA LAT AMARI INTENSO  </v>
          </cell>
          <cell r="C1811">
            <v>1</v>
          </cell>
          <cell r="D1811">
            <v>365</v>
          </cell>
        </row>
        <row r="1812">
          <cell r="A1812" t="str">
            <v>Y82ASA1</v>
          </cell>
          <cell r="B1812" t="str">
            <v>COLORAMICA ESMALTE GRIS OSCURO</v>
          </cell>
          <cell r="C1812">
            <v>1</v>
          </cell>
          <cell r="D1812">
            <v>365</v>
          </cell>
        </row>
        <row r="1813">
          <cell r="A1813" t="str">
            <v>Y82ASA1-1</v>
          </cell>
          <cell r="B1813" t="str">
            <v>COLORAMICA ESMALTE GRIS OSCURO</v>
          </cell>
          <cell r="C1813">
            <v>1</v>
          </cell>
          <cell r="D1813">
            <v>365</v>
          </cell>
        </row>
        <row r="1814">
          <cell r="A1814" t="str">
            <v>Y82ASA1-1/4</v>
          </cell>
          <cell r="B1814" t="str">
            <v>COLORAMICA ESMALTE GRIS OSCURO</v>
          </cell>
          <cell r="C1814">
            <v>1</v>
          </cell>
          <cell r="D1814">
            <v>365</v>
          </cell>
        </row>
        <row r="1815">
          <cell r="A1815" t="str">
            <v>Y82ASA1-5</v>
          </cell>
          <cell r="B1815" t="str">
            <v>COLORAMICA ESMALTE GRIS OSCURO</v>
          </cell>
          <cell r="C1815">
            <v>1</v>
          </cell>
          <cell r="D1815">
            <v>365</v>
          </cell>
        </row>
        <row r="1816">
          <cell r="A1816" t="str">
            <v>Y82ASA2</v>
          </cell>
          <cell r="B1816" t="str">
            <v xml:space="preserve">COLORAMICA ESMALTE GRIS CLARO </v>
          </cell>
          <cell r="C1816">
            <v>1</v>
          </cell>
          <cell r="D1816">
            <v>365</v>
          </cell>
        </row>
        <row r="1817">
          <cell r="A1817" t="str">
            <v>Y82ASA2-1</v>
          </cell>
          <cell r="B1817" t="str">
            <v xml:space="preserve">COLORAMICA ESMALTE GRIS CLARO </v>
          </cell>
          <cell r="C1817">
            <v>1</v>
          </cell>
          <cell r="D1817">
            <v>365</v>
          </cell>
        </row>
        <row r="1818">
          <cell r="A1818" t="str">
            <v>Y82ASA2-1/4</v>
          </cell>
          <cell r="B1818" t="str">
            <v xml:space="preserve">COLORAMICA ESMALTE GRIS CLARO </v>
          </cell>
          <cell r="C1818">
            <v>1</v>
          </cell>
          <cell r="D1818">
            <v>365</v>
          </cell>
        </row>
        <row r="1819">
          <cell r="A1819" t="str">
            <v>Y82ASA2-5</v>
          </cell>
          <cell r="B1819" t="str">
            <v xml:space="preserve">COLORAMICA ESMALTE GRIS CLARO </v>
          </cell>
          <cell r="C1819">
            <v>1</v>
          </cell>
          <cell r="D1819">
            <v>365</v>
          </cell>
        </row>
        <row r="1820">
          <cell r="A1820" t="str">
            <v>Y82BSA1</v>
          </cell>
          <cell r="B1820" t="str">
            <v xml:space="preserve">COLOR ESMALTE BRILLANTE NEGRO </v>
          </cell>
          <cell r="C1820">
            <v>1</v>
          </cell>
          <cell r="D1820">
            <v>365</v>
          </cell>
        </row>
        <row r="1821">
          <cell r="A1821" t="str">
            <v>Y82BSA1-1</v>
          </cell>
          <cell r="B1821" t="str">
            <v xml:space="preserve">COLOR ESMALTE BRILLANTE NEGRO </v>
          </cell>
          <cell r="C1821">
            <v>1</v>
          </cell>
          <cell r="D1821">
            <v>365</v>
          </cell>
        </row>
        <row r="1822">
          <cell r="A1822" t="str">
            <v>Y82BSA1-1/4</v>
          </cell>
          <cell r="B1822" t="str">
            <v xml:space="preserve">COLORAMICA ESMALTE NEGRO      </v>
          </cell>
          <cell r="C1822">
            <v>1</v>
          </cell>
          <cell r="D1822">
            <v>365</v>
          </cell>
        </row>
        <row r="1823">
          <cell r="A1823" t="str">
            <v>Y82BSA1-5</v>
          </cell>
          <cell r="B1823" t="str">
            <v xml:space="preserve">COLOR ESMALTE BRILLANTE NEGRO </v>
          </cell>
          <cell r="C1823">
            <v>1</v>
          </cell>
          <cell r="D1823">
            <v>365</v>
          </cell>
        </row>
        <row r="1824">
          <cell r="A1824" t="str">
            <v>Y82ESA1</v>
          </cell>
          <cell r="B1824" t="str">
            <v xml:space="preserve">COLOR ESM BRILLANTE MELOCOTON </v>
          </cell>
          <cell r="C1824">
            <v>1</v>
          </cell>
          <cell r="D1824">
            <v>365</v>
          </cell>
        </row>
        <row r="1825">
          <cell r="A1825" t="str">
            <v>Y82ESA1-1</v>
          </cell>
          <cell r="B1825" t="str">
            <v xml:space="preserve">COLOR ESM BRILLANTE MELOCOTON </v>
          </cell>
          <cell r="C1825">
            <v>1</v>
          </cell>
          <cell r="D1825">
            <v>365</v>
          </cell>
        </row>
        <row r="1826">
          <cell r="A1826" t="str">
            <v>Y82ESA1-1/4</v>
          </cell>
          <cell r="B1826" t="str">
            <v xml:space="preserve">COLORAMICA ESMALTE MELOCOTON  </v>
          </cell>
          <cell r="C1826">
            <v>1</v>
          </cell>
          <cell r="D1826">
            <v>365</v>
          </cell>
        </row>
        <row r="1827">
          <cell r="A1827" t="str">
            <v>Y82ESA1-5</v>
          </cell>
          <cell r="B1827" t="str">
            <v xml:space="preserve">COLOR ESM BRILLANTE MELOCOTON </v>
          </cell>
          <cell r="C1827">
            <v>1</v>
          </cell>
          <cell r="D1827">
            <v>365</v>
          </cell>
        </row>
        <row r="1828">
          <cell r="A1828" t="str">
            <v>Y82ESA2</v>
          </cell>
          <cell r="B1828" t="str">
            <v xml:space="preserve">COLORAMICA ESMALTE NARANJA    </v>
          </cell>
          <cell r="C1828">
            <v>1</v>
          </cell>
          <cell r="D1828">
            <v>365</v>
          </cell>
        </row>
        <row r="1829">
          <cell r="A1829" t="str">
            <v>Y82ESA2-1</v>
          </cell>
          <cell r="B1829" t="str">
            <v xml:space="preserve">COLORAMICA ESMALTE NARANJA    </v>
          </cell>
          <cell r="C1829">
            <v>1</v>
          </cell>
          <cell r="D1829">
            <v>365</v>
          </cell>
        </row>
        <row r="1830">
          <cell r="A1830" t="str">
            <v>Y82ESA2-1/4</v>
          </cell>
          <cell r="B1830" t="str">
            <v xml:space="preserve">COLORAMICA ESMALTE NARANJA    </v>
          </cell>
          <cell r="C1830">
            <v>1</v>
          </cell>
          <cell r="D1830">
            <v>365</v>
          </cell>
        </row>
        <row r="1831">
          <cell r="A1831" t="str">
            <v>Y82ESA2-5</v>
          </cell>
          <cell r="B1831" t="str">
            <v xml:space="preserve">COLORAMICA ESMALTE NARANJA    </v>
          </cell>
          <cell r="C1831">
            <v>1</v>
          </cell>
          <cell r="D1831">
            <v>365</v>
          </cell>
        </row>
        <row r="1832">
          <cell r="A1832" t="str">
            <v>Y82ESA4</v>
          </cell>
          <cell r="B1832" t="str">
            <v xml:space="preserve">COLORAMICA ESMALTE MELON      </v>
          </cell>
          <cell r="C1832">
            <v>1</v>
          </cell>
          <cell r="D1832">
            <v>365</v>
          </cell>
        </row>
        <row r="1833">
          <cell r="A1833" t="str">
            <v>Y82ESA4-1</v>
          </cell>
          <cell r="B1833" t="str">
            <v xml:space="preserve">COLORAMICA ESMALTE MELON      </v>
          </cell>
          <cell r="C1833">
            <v>1</v>
          </cell>
          <cell r="D1833">
            <v>365</v>
          </cell>
        </row>
        <row r="1834">
          <cell r="A1834" t="str">
            <v>Y82ESA5</v>
          </cell>
          <cell r="B1834" t="str">
            <v xml:space="preserve">COLORAMICA ESMALTE MELON      </v>
          </cell>
          <cell r="C1834">
            <v>1</v>
          </cell>
          <cell r="D1834">
            <v>365</v>
          </cell>
        </row>
        <row r="1835">
          <cell r="A1835" t="str">
            <v>Y82ESA5-1</v>
          </cell>
          <cell r="B1835" t="str">
            <v xml:space="preserve">COLORAMICA ESMALTE MELON      </v>
          </cell>
          <cell r="C1835">
            <v>1</v>
          </cell>
          <cell r="D1835">
            <v>365</v>
          </cell>
        </row>
        <row r="1836">
          <cell r="A1836" t="str">
            <v>Y82ESA5-5</v>
          </cell>
          <cell r="B1836" t="str">
            <v xml:space="preserve">COLORAMICA ESMALTE MELON      </v>
          </cell>
          <cell r="C1836">
            <v>1</v>
          </cell>
          <cell r="D1836">
            <v>365</v>
          </cell>
        </row>
        <row r="1837">
          <cell r="A1837" t="str">
            <v>Y82GSA1</v>
          </cell>
          <cell r="B1837" t="str">
            <v>COLOR ESM BRILLAN VERDE OS5'RO</v>
          </cell>
          <cell r="C1837">
            <v>1</v>
          </cell>
          <cell r="D1837">
            <v>365</v>
          </cell>
        </row>
        <row r="1838">
          <cell r="A1838" t="str">
            <v>Y82GSA1-1</v>
          </cell>
          <cell r="B1838" t="str">
            <v>COLOR ESM BRILLAN VERDE OSCURO</v>
          </cell>
          <cell r="C1838">
            <v>1</v>
          </cell>
          <cell r="D1838">
            <v>365</v>
          </cell>
        </row>
        <row r="1839">
          <cell r="A1839" t="str">
            <v>Y82GSA1-1/4</v>
          </cell>
          <cell r="B1839" t="str">
            <v xml:space="preserve">COLORAMICA ESMALTE VERDE OSC  </v>
          </cell>
          <cell r="C1839">
            <v>1</v>
          </cell>
          <cell r="D1839">
            <v>365</v>
          </cell>
        </row>
        <row r="1840">
          <cell r="A1840" t="str">
            <v>Y82GSA1-5</v>
          </cell>
          <cell r="B1840" t="str">
            <v>COLOR ESM BRILLAN VERDE OSCURO</v>
          </cell>
          <cell r="C1840">
            <v>1</v>
          </cell>
          <cell r="D1840">
            <v>365</v>
          </cell>
        </row>
        <row r="1841">
          <cell r="A1841" t="str">
            <v>Y82GSA2</v>
          </cell>
          <cell r="B1841" t="str">
            <v>COLOR ESM BRILLANTE VERDE AQUA</v>
          </cell>
          <cell r="C1841">
            <v>1</v>
          </cell>
          <cell r="D1841">
            <v>365</v>
          </cell>
        </row>
        <row r="1842">
          <cell r="A1842" t="str">
            <v>Y82GSA2-1</v>
          </cell>
          <cell r="B1842" t="str">
            <v>COLOR ESM BRILLANTE VERDE AQUA</v>
          </cell>
          <cell r="C1842">
            <v>1</v>
          </cell>
          <cell r="D1842">
            <v>365</v>
          </cell>
        </row>
        <row r="1843">
          <cell r="A1843" t="str">
            <v>Y82GSA2-1/4</v>
          </cell>
          <cell r="B1843" t="str">
            <v xml:space="preserve">COLORAMICA ESMALTE VERDE AQUA </v>
          </cell>
          <cell r="C1843">
            <v>1</v>
          </cell>
          <cell r="D1843">
            <v>365</v>
          </cell>
        </row>
        <row r="1844">
          <cell r="A1844" t="str">
            <v>Y82GSA2-5</v>
          </cell>
          <cell r="B1844" t="str">
            <v>COLOR ESM BRILLANTE VERDE AQUA</v>
          </cell>
          <cell r="C1844">
            <v>1</v>
          </cell>
          <cell r="D1844">
            <v>365</v>
          </cell>
        </row>
        <row r="1845">
          <cell r="A1845" t="str">
            <v>Y82GSA3</v>
          </cell>
          <cell r="B1845" t="str">
            <v>COLORAMICA ESM AQUA CRISTALINO</v>
          </cell>
          <cell r="C1845">
            <v>1</v>
          </cell>
          <cell r="D1845">
            <v>365</v>
          </cell>
        </row>
        <row r="1846">
          <cell r="A1846" t="str">
            <v>Y82GSA3-1</v>
          </cell>
          <cell r="B1846" t="str">
            <v>COLORAMICA ESM AQUA CRISTALINO</v>
          </cell>
          <cell r="C1846">
            <v>1</v>
          </cell>
          <cell r="D1846">
            <v>365</v>
          </cell>
        </row>
        <row r="1847">
          <cell r="A1847" t="str">
            <v>Y82GSA3-1/4</v>
          </cell>
          <cell r="B1847" t="str">
            <v>COLORAMICA ESM AQUA CRISTALINO</v>
          </cell>
          <cell r="C1847">
            <v>1</v>
          </cell>
          <cell r="D1847">
            <v>365</v>
          </cell>
        </row>
        <row r="1848">
          <cell r="A1848" t="str">
            <v>Y82GSA3-5</v>
          </cell>
          <cell r="B1848" t="str">
            <v>COLORAMICA ESM AQUA CRISTALINO</v>
          </cell>
          <cell r="C1848">
            <v>1</v>
          </cell>
          <cell r="D1848">
            <v>365</v>
          </cell>
        </row>
        <row r="1849">
          <cell r="A1849" t="str">
            <v>Y82GSA4</v>
          </cell>
          <cell r="B1849" t="str">
            <v xml:space="preserve">COLORAMICA ESM VERDE JARDIN   </v>
          </cell>
          <cell r="C1849">
            <v>1</v>
          </cell>
          <cell r="D1849">
            <v>365</v>
          </cell>
        </row>
        <row r="1850">
          <cell r="A1850" t="str">
            <v>Y82GSA4-1</v>
          </cell>
          <cell r="B1850" t="str">
            <v xml:space="preserve">COLORAMICA ESM VERDE JARDIN   </v>
          </cell>
          <cell r="C1850">
            <v>1</v>
          </cell>
          <cell r="D1850">
            <v>365</v>
          </cell>
        </row>
        <row r="1851">
          <cell r="A1851" t="str">
            <v>Y82GSA4-1/4</v>
          </cell>
          <cell r="B1851" t="str">
            <v xml:space="preserve">COLORAMICA ESM VERDE JARDIN   </v>
          </cell>
          <cell r="C1851">
            <v>1</v>
          </cell>
          <cell r="D1851">
            <v>365</v>
          </cell>
        </row>
        <row r="1852">
          <cell r="A1852" t="str">
            <v>Y82GSA4-5</v>
          </cell>
          <cell r="B1852" t="str">
            <v xml:space="preserve">COLORAMICA ESM VERDE JARDIN   </v>
          </cell>
          <cell r="C1852">
            <v>1</v>
          </cell>
          <cell r="D1852">
            <v>365</v>
          </cell>
        </row>
        <row r="1853">
          <cell r="A1853" t="str">
            <v>Y82GSA5</v>
          </cell>
          <cell r="B1853" t="str">
            <v xml:space="preserve">COLORAMICA ESMALTE VERDE LIMA </v>
          </cell>
          <cell r="C1853">
            <v>1</v>
          </cell>
          <cell r="D1853">
            <v>365</v>
          </cell>
        </row>
        <row r="1854">
          <cell r="A1854" t="str">
            <v>Y82GSA5-1</v>
          </cell>
          <cell r="B1854" t="str">
            <v xml:space="preserve">COLORAMICA ESMALTE VERDE LIMA </v>
          </cell>
          <cell r="C1854">
            <v>1</v>
          </cell>
          <cell r="D1854">
            <v>365</v>
          </cell>
        </row>
        <row r="1855">
          <cell r="A1855" t="str">
            <v>Y82GSA5-1/4</v>
          </cell>
          <cell r="B1855" t="str">
            <v xml:space="preserve">COLORAMICA ESMALTE VERDE LIMA </v>
          </cell>
          <cell r="C1855">
            <v>1</v>
          </cell>
          <cell r="D1855">
            <v>365</v>
          </cell>
        </row>
        <row r="1856">
          <cell r="A1856" t="str">
            <v>Y82GSA5-5</v>
          </cell>
          <cell r="B1856" t="str">
            <v xml:space="preserve">COLORAMICA ESMALTE VERDE LIMA </v>
          </cell>
          <cell r="C1856">
            <v>1</v>
          </cell>
          <cell r="D1856">
            <v>365</v>
          </cell>
        </row>
        <row r="1857">
          <cell r="A1857" t="str">
            <v>Y82GSA6</v>
          </cell>
          <cell r="B1857" t="str">
            <v xml:space="preserve">COLORAMICA ESM VERDE FOLLAJE  </v>
          </cell>
          <cell r="C1857">
            <v>1</v>
          </cell>
          <cell r="D1857">
            <v>365</v>
          </cell>
        </row>
        <row r="1858">
          <cell r="A1858" t="str">
            <v>Y82GSA6-1</v>
          </cell>
          <cell r="B1858" t="str">
            <v xml:space="preserve">COLORAMICA ESM VERDE FOLLAJE  </v>
          </cell>
          <cell r="C1858">
            <v>1</v>
          </cell>
          <cell r="D1858">
            <v>365</v>
          </cell>
        </row>
        <row r="1859">
          <cell r="A1859" t="str">
            <v>Y82GSA6-1/4</v>
          </cell>
          <cell r="B1859" t="str">
            <v xml:space="preserve">COLORAMICA ESM VERDE FOLLAJE  </v>
          </cell>
          <cell r="C1859">
            <v>1</v>
          </cell>
          <cell r="D1859">
            <v>365</v>
          </cell>
        </row>
        <row r="1860">
          <cell r="A1860" t="str">
            <v>Y82GSA6-5</v>
          </cell>
          <cell r="B1860" t="str">
            <v xml:space="preserve">COLORAMICA ESM VERDE FOLLAJE  </v>
          </cell>
          <cell r="C1860">
            <v>1</v>
          </cell>
          <cell r="D1860">
            <v>365</v>
          </cell>
        </row>
        <row r="1861">
          <cell r="A1861" t="str">
            <v>Y82GSA8</v>
          </cell>
          <cell r="B1861" t="str">
            <v>COLORAMICA ESMALTE VERDE MENTA</v>
          </cell>
          <cell r="C1861">
            <v>1</v>
          </cell>
          <cell r="D1861">
            <v>365</v>
          </cell>
        </row>
        <row r="1862">
          <cell r="A1862" t="str">
            <v>Y82GSA8-1</v>
          </cell>
          <cell r="B1862" t="str">
            <v>COLORAMICA ESMALTE VERDE MENTA</v>
          </cell>
          <cell r="C1862">
            <v>1</v>
          </cell>
          <cell r="D1862">
            <v>365</v>
          </cell>
        </row>
        <row r="1863">
          <cell r="A1863" t="str">
            <v>Y82GSA8-5</v>
          </cell>
          <cell r="B1863" t="str">
            <v>COLORAMICA ESMALTE VERDE MENTA</v>
          </cell>
          <cell r="C1863">
            <v>1</v>
          </cell>
          <cell r="D1863">
            <v>365</v>
          </cell>
        </row>
        <row r="1864">
          <cell r="A1864" t="str">
            <v>Y82HSA1</v>
          </cell>
          <cell r="B1864" t="str">
            <v xml:space="preserve">COLORAMICA ESMALTE MARFIL     </v>
          </cell>
          <cell r="C1864">
            <v>1</v>
          </cell>
          <cell r="D1864">
            <v>365</v>
          </cell>
        </row>
        <row r="1865">
          <cell r="A1865" t="str">
            <v>Y82HSA1-1</v>
          </cell>
          <cell r="B1865" t="str">
            <v xml:space="preserve">COLORAMICA ESMALTE MARFIL     </v>
          </cell>
          <cell r="C1865">
            <v>1</v>
          </cell>
          <cell r="D1865">
            <v>365</v>
          </cell>
        </row>
        <row r="1866">
          <cell r="A1866" t="str">
            <v>Y82HSA1-5</v>
          </cell>
          <cell r="B1866" t="str">
            <v xml:space="preserve">COLORAMICA ESMALTE MARFIL     </v>
          </cell>
          <cell r="C1866">
            <v>1</v>
          </cell>
          <cell r="D1866">
            <v>365</v>
          </cell>
        </row>
        <row r="1867">
          <cell r="A1867" t="str">
            <v>Y82HSA2</v>
          </cell>
          <cell r="B1867" t="str">
            <v xml:space="preserve">COLORAMICA ESM MARFIL CREMA   </v>
          </cell>
          <cell r="C1867">
            <v>1</v>
          </cell>
          <cell r="D1867">
            <v>365</v>
          </cell>
        </row>
        <row r="1868">
          <cell r="A1868" t="str">
            <v>Y82HSA2-1</v>
          </cell>
          <cell r="B1868" t="str">
            <v xml:space="preserve">COLORAMICA ESM MARFIL CREMA   </v>
          </cell>
          <cell r="C1868">
            <v>1</v>
          </cell>
          <cell r="D1868">
            <v>365</v>
          </cell>
        </row>
        <row r="1869">
          <cell r="A1869" t="str">
            <v>Y82HSA2-1/4</v>
          </cell>
          <cell r="B1869" t="str">
            <v xml:space="preserve">COLORAMICA ESM MARFIL CREMA   </v>
          </cell>
          <cell r="C1869">
            <v>1</v>
          </cell>
          <cell r="D1869">
            <v>365</v>
          </cell>
        </row>
        <row r="1870">
          <cell r="A1870" t="str">
            <v>Y82HSA2-5</v>
          </cell>
          <cell r="B1870" t="str">
            <v xml:space="preserve">COLORAMICA ESM MARFIL CREMA   </v>
          </cell>
          <cell r="C1870">
            <v>1</v>
          </cell>
          <cell r="D1870">
            <v>365</v>
          </cell>
        </row>
        <row r="1871">
          <cell r="A1871" t="str">
            <v>Y82HSA3</v>
          </cell>
          <cell r="B1871" t="str">
            <v xml:space="preserve">COLORAMICA ESM MARFIL SUAVE   </v>
          </cell>
          <cell r="C1871">
            <v>1</v>
          </cell>
          <cell r="D1871">
            <v>365</v>
          </cell>
        </row>
        <row r="1872">
          <cell r="A1872" t="str">
            <v>Y82HSA3-1</v>
          </cell>
          <cell r="B1872" t="str">
            <v xml:space="preserve">COLORAMICA ESM MARFIL SUAVE   </v>
          </cell>
          <cell r="C1872">
            <v>1</v>
          </cell>
          <cell r="D1872">
            <v>365</v>
          </cell>
        </row>
        <row r="1873">
          <cell r="A1873" t="str">
            <v>Y82HSA3-1/4</v>
          </cell>
          <cell r="B1873" t="str">
            <v xml:space="preserve">COLORAMICA ESM MARFIL SUAVE   </v>
          </cell>
          <cell r="C1873">
            <v>1</v>
          </cell>
          <cell r="D1873">
            <v>365</v>
          </cell>
        </row>
        <row r="1874">
          <cell r="A1874" t="str">
            <v>Y82HSA3-5</v>
          </cell>
          <cell r="B1874" t="str">
            <v xml:space="preserve">COLORAMICA ESM MARFIL SUAVE   </v>
          </cell>
          <cell r="C1874">
            <v>1</v>
          </cell>
          <cell r="D1874">
            <v>365</v>
          </cell>
        </row>
        <row r="1875">
          <cell r="A1875" t="str">
            <v>Y82HSA4</v>
          </cell>
          <cell r="B1875" t="str">
            <v>COLORAMICA ESM MARFIL ESPECIAL</v>
          </cell>
          <cell r="C1875">
            <v>1</v>
          </cell>
          <cell r="D1875">
            <v>365</v>
          </cell>
        </row>
        <row r="1876">
          <cell r="A1876" t="str">
            <v>Y82HSA4-1</v>
          </cell>
          <cell r="B1876" t="str">
            <v>COLORAMICA ESM MARFIL ESPECIAL</v>
          </cell>
          <cell r="C1876">
            <v>1</v>
          </cell>
          <cell r="D1876">
            <v>365</v>
          </cell>
        </row>
        <row r="1877">
          <cell r="A1877" t="str">
            <v>Y82HSA4-1/4</v>
          </cell>
          <cell r="B1877" t="str">
            <v>COLORAMICA ESM MARFIL ESPECIAL</v>
          </cell>
          <cell r="C1877">
            <v>1</v>
          </cell>
          <cell r="D1877">
            <v>365</v>
          </cell>
        </row>
        <row r="1878">
          <cell r="A1878" t="str">
            <v>Y82HSA4-5</v>
          </cell>
          <cell r="B1878" t="str">
            <v>COLORAMICA ESM MARFIL ESPECIAL</v>
          </cell>
          <cell r="C1878">
            <v>1</v>
          </cell>
          <cell r="D1878">
            <v>365</v>
          </cell>
        </row>
        <row r="1879">
          <cell r="A1879" t="str">
            <v>Y82LSA1</v>
          </cell>
          <cell r="B1879" t="str">
            <v xml:space="preserve">COLOR ESMALTE BRILLANTE AZUL  </v>
          </cell>
          <cell r="C1879">
            <v>1</v>
          </cell>
          <cell r="D1879">
            <v>365</v>
          </cell>
        </row>
        <row r="1880">
          <cell r="A1880" t="str">
            <v>Y82LSA1-1</v>
          </cell>
          <cell r="B1880" t="str">
            <v xml:space="preserve">COLOR ESMALTE BRILLANTE AZUL  </v>
          </cell>
          <cell r="C1880">
            <v>1</v>
          </cell>
          <cell r="D1880">
            <v>365</v>
          </cell>
        </row>
        <row r="1881">
          <cell r="A1881" t="str">
            <v>Y82LSA1-1/4</v>
          </cell>
          <cell r="B1881" t="str">
            <v xml:space="preserve">COLORAMICA ESMALTE AZUL       </v>
          </cell>
          <cell r="C1881">
            <v>1</v>
          </cell>
          <cell r="D1881">
            <v>365</v>
          </cell>
        </row>
        <row r="1882">
          <cell r="A1882" t="str">
            <v>Y82LSA1-5</v>
          </cell>
          <cell r="B1882" t="str">
            <v xml:space="preserve">COLOR ESMALTE BRILLANTE AZUL  </v>
          </cell>
          <cell r="C1882">
            <v>1</v>
          </cell>
          <cell r="D1882">
            <v>365</v>
          </cell>
        </row>
        <row r="1883">
          <cell r="A1883" t="str">
            <v>Y82LSA2</v>
          </cell>
          <cell r="B1883" t="str">
            <v xml:space="preserve">COLORAMICA ESMALTE CELESTE    </v>
          </cell>
          <cell r="C1883">
            <v>1</v>
          </cell>
          <cell r="D1883">
            <v>365</v>
          </cell>
        </row>
        <row r="1884">
          <cell r="A1884" t="str">
            <v>Y82LSA2-1</v>
          </cell>
          <cell r="B1884" t="str">
            <v xml:space="preserve">COLORAMICA ESMALTE CELESTE    </v>
          </cell>
          <cell r="C1884">
            <v>1</v>
          </cell>
          <cell r="D1884">
            <v>365</v>
          </cell>
        </row>
        <row r="1885">
          <cell r="A1885" t="str">
            <v>Y82LSA2-1/4</v>
          </cell>
          <cell r="B1885" t="str">
            <v xml:space="preserve">COLORAMICA ESMALTE CELESTE    </v>
          </cell>
          <cell r="C1885">
            <v>1</v>
          </cell>
          <cell r="D1885">
            <v>365</v>
          </cell>
        </row>
        <row r="1886">
          <cell r="A1886" t="str">
            <v>Y82LSA2-5</v>
          </cell>
          <cell r="B1886" t="str">
            <v xml:space="preserve">COLORAMICA ESMALTE CELESTE    </v>
          </cell>
          <cell r="C1886">
            <v>1</v>
          </cell>
          <cell r="D1886">
            <v>365</v>
          </cell>
        </row>
        <row r="1887">
          <cell r="A1887" t="str">
            <v>Y82LSA3</v>
          </cell>
          <cell r="B1887" t="str">
            <v xml:space="preserve">COLORAMICA ESMALTE AZUL CONT  </v>
          </cell>
          <cell r="C1887">
            <v>1</v>
          </cell>
          <cell r="D1887">
            <v>365</v>
          </cell>
        </row>
        <row r="1888">
          <cell r="A1888" t="str">
            <v>Y82LSA3-1</v>
          </cell>
          <cell r="B1888" t="str">
            <v xml:space="preserve">COLORAMICA ESMALTE AZUL CONT  </v>
          </cell>
          <cell r="C1888">
            <v>1</v>
          </cell>
          <cell r="D1888">
            <v>365</v>
          </cell>
        </row>
        <row r="1889">
          <cell r="A1889" t="str">
            <v>Y82LSA3-1/4</v>
          </cell>
          <cell r="B1889" t="str">
            <v xml:space="preserve">COLORAMICA ESMALTE AZUL CONT  </v>
          </cell>
          <cell r="C1889">
            <v>1</v>
          </cell>
          <cell r="D1889">
            <v>365</v>
          </cell>
        </row>
        <row r="1890">
          <cell r="A1890" t="str">
            <v>Y82LSA3-5</v>
          </cell>
          <cell r="B1890" t="str">
            <v xml:space="preserve">COLORAMICA ESMALTE AZUL CONT  </v>
          </cell>
          <cell r="C1890">
            <v>1</v>
          </cell>
          <cell r="D1890">
            <v>365</v>
          </cell>
        </row>
        <row r="1891">
          <cell r="A1891" t="str">
            <v>Y82LSA4</v>
          </cell>
          <cell r="B1891" t="str">
            <v xml:space="preserve">COLORAMICA ESM CELESTE OCEANO </v>
          </cell>
          <cell r="C1891">
            <v>1</v>
          </cell>
          <cell r="D1891">
            <v>365</v>
          </cell>
        </row>
        <row r="1892">
          <cell r="A1892" t="str">
            <v>Y82LSA4-1</v>
          </cell>
          <cell r="B1892" t="str">
            <v xml:space="preserve">COLORAMICA ESM CELESTE OCEANO </v>
          </cell>
          <cell r="C1892">
            <v>1</v>
          </cell>
          <cell r="D1892">
            <v>365</v>
          </cell>
        </row>
        <row r="1893">
          <cell r="A1893" t="str">
            <v>Y82LSA4-1/4</v>
          </cell>
          <cell r="B1893" t="str">
            <v xml:space="preserve">COLORAMICA ESM CELESTE OCEANO </v>
          </cell>
          <cell r="C1893">
            <v>1</v>
          </cell>
          <cell r="D1893">
            <v>365</v>
          </cell>
        </row>
        <row r="1894">
          <cell r="A1894" t="str">
            <v>Y82LSA4-5</v>
          </cell>
          <cell r="B1894" t="str">
            <v xml:space="preserve">COLORAMICA ESM CELESTE OCEANO </v>
          </cell>
          <cell r="C1894">
            <v>1</v>
          </cell>
          <cell r="D1894">
            <v>365</v>
          </cell>
        </row>
        <row r="1895">
          <cell r="A1895" t="str">
            <v>Y82LSA5</v>
          </cell>
          <cell r="B1895" t="str">
            <v xml:space="preserve">COLORAMICA ESM CELESTE SUAVE  </v>
          </cell>
          <cell r="C1895">
            <v>1</v>
          </cell>
          <cell r="D1895">
            <v>365</v>
          </cell>
        </row>
        <row r="1896">
          <cell r="A1896" t="str">
            <v>Y82LSA5-1</v>
          </cell>
          <cell r="B1896" t="str">
            <v xml:space="preserve">COLORAMICA ESM CELESTE SUAVE  </v>
          </cell>
          <cell r="C1896">
            <v>1</v>
          </cell>
          <cell r="D1896">
            <v>365</v>
          </cell>
        </row>
        <row r="1897">
          <cell r="A1897" t="str">
            <v>Y82LSA5-1/4</v>
          </cell>
          <cell r="B1897" t="str">
            <v xml:space="preserve">COLORAMICA ESM CELESTE SUAVE  </v>
          </cell>
          <cell r="C1897">
            <v>1</v>
          </cell>
          <cell r="D1897">
            <v>365</v>
          </cell>
        </row>
        <row r="1898">
          <cell r="A1898" t="str">
            <v>Y82LSA5-5</v>
          </cell>
          <cell r="B1898" t="str">
            <v xml:space="preserve">COLORAMICA ESM CELESTE SUAVE  </v>
          </cell>
          <cell r="C1898">
            <v>1</v>
          </cell>
          <cell r="D1898">
            <v>365</v>
          </cell>
        </row>
        <row r="1899">
          <cell r="A1899" t="str">
            <v>Y82LSA6</v>
          </cell>
          <cell r="B1899" t="str">
            <v xml:space="preserve">COLORAMICA ESMALTE AZUL GEMA  </v>
          </cell>
          <cell r="C1899">
            <v>1</v>
          </cell>
          <cell r="D1899">
            <v>365</v>
          </cell>
        </row>
        <row r="1900">
          <cell r="A1900" t="str">
            <v>Y82LSA6-1</v>
          </cell>
          <cell r="B1900" t="str">
            <v xml:space="preserve">COLORAMICA ESMALTE AZUL GEMA  </v>
          </cell>
          <cell r="C1900">
            <v>1</v>
          </cell>
          <cell r="D1900">
            <v>365</v>
          </cell>
        </row>
        <row r="1901">
          <cell r="A1901" t="str">
            <v>Y82LSA6-1/4</v>
          </cell>
          <cell r="B1901" t="str">
            <v xml:space="preserve">COLORAMICA ESMALTE AZUL GEMA  </v>
          </cell>
          <cell r="C1901">
            <v>1</v>
          </cell>
          <cell r="D1901">
            <v>365</v>
          </cell>
        </row>
        <row r="1902">
          <cell r="A1902" t="str">
            <v>Y82LSA6-5</v>
          </cell>
          <cell r="B1902" t="str">
            <v xml:space="preserve">COLORAMICA ESMALTE AZUL GEMA  </v>
          </cell>
          <cell r="C1902">
            <v>1</v>
          </cell>
          <cell r="D1902">
            <v>365</v>
          </cell>
        </row>
        <row r="1903">
          <cell r="A1903" t="str">
            <v>Y82NSA1</v>
          </cell>
          <cell r="B1903" t="str">
            <v xml:space="preserve">COLOR ESM BRILLANTE CHOCOLATE </v>
          </cell>
          <cell r="C1903">
            <v>1</v>
          </cell>
          <cell r="D1903">
            <v>365</v>
          </cell>
        </row>
        <row r="1904">
          <cell r="A1904" t="str">
            <v>Y82NSA1-1</v>
          </cell>
          <cell r="B1904" t="str">
            <v xml:space="preserve">COLOR ESM BRILLANTE CHOCOLATE </v>
          </cell>
          <cell r="C1904">
            <v>1</v>
          </cell>
          <cell r="D1904">
            <v>365</v>
          </cell>
        </row>
        <row r="1905">
          <cell r="A1905" t="str">
            <v>Y82NSA1-1/4</v>
          </cell>
          <cell r="B1905" t="str">
            <v xml:space="preserve">COLORAMICA ESMALTE BEIGE Q    </v>
          </cell>
          <cell r="C1905">
            <v>1</v>
          </cell>
          <cell r="D1905">
            <v>365</v>
          </cell>
        </row>
        <row r="1906">
          <cell r="A1906" t="str">
            <v>Y82NSA1-5</v>
          </cell>
          <cell r="B1906" t="str">
            <v xml:space="preserve">COLOR ESM BRILLANTE CHOCOLATE </v>
          </cell>
          <cell r="C1906">
            <v>1</v>
          </cell>
          <cell r="D1906">
            <v>365</v>
          </cell>
        </row>
        <row r="1907">
          <cell r="A1907" t="str">
            <v>Y82NSA2</v>
          </cell>
          <cell r="B1907" t="str">
            <v xml:space="preserve">COLORAMICA ESMALTE BEIGE      </v>
          </cell>
          <cell r="C1907">
            <v>1</v>
          </cell>
          <cell r="D1907">
            <v>365</v>
          </cell>
        </row>
        <row r="1908">
          <cell r="A1908" t="str">
            <v>Y82NSA2-1</v>
          </cell>
          <cell r="B1908" t="str">
            <v xml:space="preserve">COLORAMICA ESMALTE BEIGE      </v>
          </cell>
          <cell r="C1908">
            <v>1</v>
          </cell>
          <cell r="D1908">
            <v>365</v>
          </cell>
        </row>
        <row r="1909">
          <cell r="A1909" t="str">
            <v>Y82NSA2-1/4</v>
          </cell>
          <cell r="B1909" t="str">
            <v xml:space="preserve">COLORAMICA ESMALTE BEIGE      </v>
          </cell>
          <cell r="C1909">
            <v>1</v>
          </cell>
          <cell r="D1909">
            <v>365</v>
          </cell>
        </row>
        <row r="1910">
          <cell r="A1910" t="str">
            <v>Y82NSA2-5</v>
          </cell>
          <cell r="B1910" t="str">
            <v xml:space="preserve">COLORAMICA ESMALTE BEIGE      </v>
          </cell>
          <cell r="C1910">
            <v>1</v>
          </cell>
          <cell r="D1910">
            <v>365</v>
          </cell>
        </row>
        <row r="1911">
          <cell r="A1911" t="str">
            <v>Y82PSA1</v>
          </cell>
          <cell r="B1911" t="str">
            <v xml:space="preserve">COLORAMICA ESMALTE MORADO     </v>
          </cell>
          <cell r="C1911">
            <v>1</v>
          </cell>
          <cell r="D1911">
            <v>365</v>
          </cell>
        </row>
        <row r="1912">
          <cell r="A1912" t="str">
            <v>Y82PSA1-1</v>
          </cell>
          <cell r="B1912" t="str">
            <v xml:space="preserve">COLORAMICA ESMALTE MORADO     </v>
          </cell>
          <cell r="C1912">
            <v>1</v>
          </cell>
          <cell r="D1912">
            <v>365</v>
          </cell>
        </row>
        <row r="1913">
          <cell r="A1913" t="str">
            <v>Y82PSA1-1/4</v>
          </cell>
          <cell r="B1913" t="str">
            <v xml:space="preserve">COLORAMICA ESMALTE MORADO     </v>
          </cell>
          <cell r="C1913">
            <v>1</v>
          </cell>
          <cell r="D1913">
            <v>365</v>
          </cell>
        </row>
        <row r="1914">
          <cell r="A1914" t="str">
            <v>Y82PSA1-5</v>
          </cell>
          <cell r="B1914" t="str">
            <v xml:space="preserve">COLORAMICA ESMALTE MORADO     </v>
          </cell>
          <cell r="C1914">
            <v>1</v>
          </cell>
          <cell r="D1914">
            <v>365</v>
          </cell>
        </row>
        <row r="1915">
          <cell r="A1915" t="str">
            <v>Y82RSA1</v>
          </cell>
          <cell r="B1915" t="str">
            <v xml:space="preserve">COLORAMICA ESMALTE ROSADO     </v>
          </cell>
          <cell r="C1915">
            <v>1</v>
          </cell>
          <cell r="D1915">
            <v>365</v>
          </cell>
        </row>
        <row r="1916">
          <cell r="A1916" t="str">
            <v>Y82RSA1-1</v>
          </cell>
          <cell r="B1916" t="str">
            <v xml:space="preserve">COLORAMICA ESMALTE ROSADO     </v>
          </cell>
          <cell r="C1916">
            <v>1</v>
          </cell>
          <cell r="D1916">
            <v>365</v>
          </cell>
        </row>
        <row r="1917">
          <cell r="A1917" t="str">
            <v>Y82RSA1-1/4</v>
          </cell>
          <cell r="B1917" t="str">
            <v xml:space="preserve">COLORAMICA ESMALTE ROSADO     </v>
          </cell>
          <cell r="C1917">
            <v>1</v>
          </cell>
          <cell r="D1917">
            <v>365</v>
          </cell>
        </row>
        <row r="1918">
          <cell r="A1918" t="str">
            <v>Y82RSA1-5</v>
          </cell>
          <cell r="B1918" t="str">
            <v xml:space="preserve">COLORAMICA ESMALTE ROSADO     </v>
          </cell>
          <cell r="C1918">
            <v>1</v>
          </cell>
          <cell r="D1918">
            <v>365</v>
          </cell>
        </row>
        <row r="1919">
          <cell r="A1919" t="str">
            <v>Y82RSA3</v>
          </cell>
          <cell r="B1919" t="str">
            <v>COLORAMICA ESMALTE ROJO PASION</v>
          </cell>
          <cell r="C1919">
            <v>1</v>
          </cell>
          <cell r="D1919">
            <v>365</v>
          </cell>
        </row>
        <row r="1920">
          <cell r="A1920" t="str">
            <v>Y82RSA3-1</v>
          </cell>
          <cell r="B1920" t="str">
            <v>COLORAMICA ESMALTE ROJO PASION</v>
          </cell>
          <cell r="C1920">
            <v>1</v>
          </cell>
          <cell r="D1920">
            <v>365</v>
          </cell>
        </row>
        <row r="1921">
          <cell r="A1921" t="str">
            <v>Y82RSA3-1/4</v>
          </cell>
          <cell r="B1921" t="str">
            <v>COLORAMICA ESMALTE ROJO PASION</v>
          </cell>
          <cell r="C1921">
            <v>1</v>
          </cell>
          <cell r="D1921">
            <v>365</v>
          </cell>
        </row>
        <row r="1922">
          <cell r="A1922" t="str">
            <v>Y82RSA3-5</v>
          </cell>
          <cell r="B1922" t="str">
            <v>COLORAMICA ESMALTE ROJO PASION</v>
          </cell>
          <cell r="C1922">
            <v>1</v>
          </cell>
          <cell r="D1922">
            <v>365</v>
          </cell>
        </row>
        <row r="1923">
          <cell r="A1923" t="str">
            <v>Y82RSA4</v>
          </cell>
          <cell r="B1923" t="str">
            <v xml:space="preserve">COLORAMICA ESMALTE MARRON     </v>
          </cell>
          <cell r="C1923">
            <v>1</v>
          </cell>
          <cell r="D1923">
            <v>365</v>
          </cell>
        </row>
        <row r="1924">
          <cell r="A1924" t="str">
            <v>Y82RSA4-1</v>
          </cell>
          <cell r="B1924" t="str">
            <v xml:space="preserve">COLORAMICA ESMALTE MARRON     </v>
          </cell>
          <cell r="C1924">
            <v>1</v>
          </cell>
          <cell r="D1924">
            <v>365</v>
          </cell>
        </row>
        <row r="1925">
          <cell r="A1925" t="str">
            <v>Y82RSA4-1/4</v>
          </cell>
          <cell r="B1925" t="str">
            <v xml:space="preserve">COLORAMICA ESMALTE MARRON     </v>
          </cell>
          <cell r="C1925">
            <v>1</v>
          </cell>
          <cell r="D1925">
            <v>365</v>
          </cell>
        </row>
        <row r="1926">
          <cell r="A1926" t="str">
            <v>Y82RSA4-5</v>
          </cell>
          <cell r="B1926" t="str">
            <v xml:space="preserve">COLORAMICA ESMALTE MARRON     </v>
          </cell>
          <cell r="C1926">
            <v>1</v>
          </cell>
          <cell r="D1926">
            <v>365</v>
          </cell>
        </row>
        <row r="1927">
          <cell r="A1927" t="str">
            <v>Y82WSA1</v>
          </cell>
          <cell r="B1927" t="str">
            <v>COLOR ESMALTE BRILLANTE BLANCO</v>
          </cell>
          <cell r="C1927">
            <v>1</v>
          </cell>
          <cell r="D1927">
            <v>365</v>
          </cell>
        </row>
        <row r="1928">
          <cell r="A1928" t="str">
            <v>Y82WSA1-1</v>
          </cell>
          <cell r="B1928" t="str">
            <v>COLOR ESMALTE BRILLANTE BLANCO</v>
          </cell>
          <cell r="C1928">
            <v>1</v>
          </cell>
          <cell r="D1928">
            <v>365</v>
          </cell>
        </row>
        <row r="1929">
          <cell r="A1929" t="str">
            <v>Y82WSA1-1/4</v>
          </cell>
          <cell r="B1929" t="str">
            <v xml:space="preserve">COLORAMICA ESMALTE BLANCO     </v>
          </cell>
          <cell r="C1929">
            <v>1</v>
          </cell>
          <cell r="D1929">
            <v>365</v>
          </cell>
        </row>
        <row r="1930">
          <cell r="A1930" t="str">
            <v>Y82WSA1-5</v>
          </cell>
          <cell r="B1930" t="str">
            <v>COLOR ESMALTE BRILLANTE BLANCO</v>
          </cell>
          <cell r="C1930">
            <v>1</v>
          </cell>
          <cell r="D1930">
            <v>365</v>
          </cell>
        </row>
        <row r="1931">
          <cell r="A1931" t="str">
            <v>Y82WSA2</v>
          </cell>
          <cell r="B1931" t="str">
            <v xml:space="preserve">COLOR ESM BRILLANTE BCO HUESO </v>
          </cell>
          <cell r="C1931">
            <v>1</v>
          </cell>
          <cell r="D1931">
            <v>365</v>
          </cell>
        </row>
        <row r="1932">
          <cell r="A1932" t="str">
            <v>Y82WSA2-1</v>
          </cell>
          <cell r="B1932" t="str">
            <v xml:space="preserve">COLOR ESM BRILLANTE BCO HUESO </v>
          </cell>
          <cell r="C1932">
            <v>1</v>
          </cell>
          <cell r="D1932">
            <v>365</v>
          </cell>
        </row>
        <row r="1933">
          <cell r="A1933" t="str">
            <v>Y82WSA2-1/4</v>
          </cell>
          <cell r="B1933" t="str">
            <v xml:space="preserve">COLORAMICA ESM BLANCO HUESO   </v>
          </cell>
          <cell r="C1933">
            <v>1</v>
          </cell>
          <cell r="D1933">
            <v>365</v>
          </cell>
        </row>
        <row r="1934">
          <cell r="A1934" t="str">
            <v>Y82WSA2-5</v>
          </cell>
          <cell r="B1934" t="str">
            <v xml:space="preserve">COLOR ESM BRILLANTE BCO HUESO </v>
          </cell>
          <cell r="C1934">
            <v>1</v>
          </cell>
          <cell r="D1934">
            <v>365</v>
          </cell>
        </row>
        <row r="1935">
          <cell r="A1935" t="str">
            <v>Y82YSA1</v>
          </cell>
          <cell r="B1935" t="str">
            <v xml:space="preserve">COLORAMICA ESMALTE AMARILLO   </v>
          </cell>
          <cell r="C1935">
            <v>1</v>
          </cell>
          <cell r="D1935">
            <v>365</v>
          </cell>
        </row>
        <row r="1936">
          <cell r="A1936" t="str">
            <v>Y82YSA1-1</v>
          </cell>
          <cell r="B1936" t="str">
            <v xml:space="preserve">COLORAMICA ESMALTE AMARILLO   </v>
          </cell>
          <cell r="C1936">
            <v>1</v>
          </cell>
          <cell r="D1936">
            <v>365</v>
          </cell>
        </row>
        <row r="1937">
          <cell r="A1937" t="str">
            <v>Y82YSA1-1/4</v>
          </cell>
          <cell r="B1937" t="str">
            <v xml:space="preserve">COLORAMICA ESMALTE AMARILLO   </v>
          </cell>
          <cell r="C1937">
            <v>1</v>
          </cell>
          <cell r="D1937">
            <v>365</v>
          </cell>
        </row>
        <row r="1938">
          <cell r="A1938" t="str">
            <v>Y82YSA1-5</v>
          </cell>
          <cell r="B1938" t="str">
            <v xml:space="preserve">COLORAMICA ESMALTE AMARILLO   </v>
          </cell>
          <cell r="C1938">
            <v>1</v>
          </cell>
          <cell r="D1938">
            <v>365</v>
          </cell>
        </row>
        <row r="1939">
          <cell r="A1939" t="str">
            <v>Y82YSA2</v>
          </cell>
          <cell r="B1939" t="str">
            <v xml:space="preserve">COLORAMICA ESM AMARILLO TRIGO </v>
          </cell>
          <cell r="C1939">
            <v>1</v>
          </cell>
          <cell r="D1939">
            <v>365</v>
          </cell>
        </row>
        <row r="1940">
          <cell r="A1940" t="str">
            <v>Y82YSA2-1</v>
          </cell>
          <cell r="B1940" t="str">
            <v xml:space="preserve">COLORAMICA ESM AMARILLO TRIGO </v>
          </cell>
          <cell r="C1940">
            <v>1</v>
          </cell>
          <cell r="D1940">
            <v>365</v>
          </cell>
        </row>
        <row r="1941">
          <cell r="A1941" t="str">
            <v>Y82YSA2-1/4</v>
          </cell>
          <cell r="B1941" t="str">
            <v xml:space="preserve">COLORAMICA ESM AMARILLO TRIGO </v>
          </cell>
          <cell r="C1941">
            <v>1</v>
          </cell>
          <cell r="D1941">
            <v>365</v>
          </cell>
        </row>
        <row r="1942">
          <cell r="A1942" t="str">
            <v>Y82YSA2-5</v>
          </cell>
          <cell r="B1942" t="str">
            <v xml:space="preserve">COLORAMICA ESM AMARILLO TRIGO </v>
          </cell>
          <cell r="C1942">
            <v>1</v>
          </cell>
          <cell r="D1942">
            <v>365</v>
          </cell>
        </row>
        <row r="1943">
          <cell r="A1943" t="str">
            <v>Y82YSA4</v>
          </cell>
          <cell r="B1943" t="str">
            <v>COLORAMICA ESM AMARILLO CONVER</v>
          </cell>
          <cell r="C1943">
            <v>1</v>
          </cell>
          <cell r="D1943">
            <v>365</v>
          </cell>
        </row>
        <row r="1944">
          <cell r="A1944" t="str">
            <v>Y82YSA4-1</v>
          </cell>
          <cell r="B1944" t="str">
            <v>COLORAMICA ESM AMARILLO CONVER</v>
          </cell>
          <cell r="C1944">
            <v>1</v>
          </cell>
          <cell r="D1944">
            <v>365</v>
          </cell>
        </row>
        <row r="1945">
          <cell r="A1945" t="str">
            <v>A17V1</v>
          </cell>
          <cell r="B1945" t="str">
            <v xml:space="preserve">KEM WOOD PRESERVATIVE N. 1    </v>
          </cell>
          <cell r="C1945">
            <v>2</v>
          </cell>
          <cell r="D1945">
            <v>730</v>
          </cell>
        </row>
        <row r="1946">
          <cell r="A1946" t="str">
            <v>A17V1-1</v>
          </cell>
          <cell r="B1946" t="str">
            <v xml:space="preserve">KEM WOOD PRESERVATIVE N. 1    </v>
          </cell>
          <cell r="C1946">
            <v>2</v>
          </cell>
          <cell r="D1946">
            <v>730</v>
          </cell>
        </row>
        <row r="1947">
          <cell r="A1947" t="str">
            <v>A24ASA2</v>
          </cell>
          <cell r="B1947" t="str">
            <v>PINTURA SHALE GRAY PARA CANCHA</v>
          </cell>
          <cell r="C1947">
            <v>2</v>
          </cell>
          <cell r="D1947">
            <v>730</v>
          </cell>
        </row>
        <row r="1948">
          <cell r="A1948" t="str">
            <v>A24ASA2-1</v>
          </cell>
          <cell r="B1948" t="str">
            <v>PINTURA SHALE GRAY PARA CANCHA</v>
          </cell>
          <cell r="C1948">
            <v>2</v>
          </cell>
          <cell r="D1948">
            <v>730</v>
          </cell>
        </row>
        <row r="1949">
          <cell r="A1949" t="str">
            <v>A24GSA1</v>
          </cell>
          <cell r="B1949" t="str">
            <v>PINT P/CANCHAS DEPORTIVA VERDE</v>
          </cell>
          <cell r="C1949">
            <v>2</v>
          </cell>
          <cell r="D1949">
            <v>730</v>
          </cell>
        </row>
        <row r="1950">
          <cell r="A1950" t="str">
            <v>A24GSA1-1</v>
          </cell>
          <cell r="B1950" t="str">
            <v>PINT P/CANCHAS DEPORTIVA VERDE</v>
          </cell>
          <cell r="C1950">
            <v>2</v>
          </cell>
          <cell r="D1950">
            <v>730</v>
          </cell>
        </row>
        <row r="1951">
          <cell r="A1951" t="str">
            <v>A24GSA1-1/4</v>
          </cell>
          <cell r="B1951" t="str">
            <v>PINT P/CANCHAS DEPORTIVA VERDE</v>
          </cell>
          <cell r="C1951">
            <v>2</v>
          </cell>
          <cell r="D1951">
            <v>730</v>
          </cell>
        </row>
        <row r="1952">
          <cell r="A1952" t="str">
            <v>A24GSA1-5</v>
          </cell>
          <cell r="B1952" t="str">
            <v xml:space="preserve">PINT.P/CANCHAS DEPORT VERDE   </v>
          </cell>
          <cell r="C1952">
            <v>2</v>
          </cell>
          <cell r="D1952">
            <v>730</v>
          </cell>
        </row>
        <row r="1953">
          <cell r="A1953" t="str">
            <v>A24LSA1</v>
          </cell>
          <cell r="B1953" t="str">
            <v xml:space="preserve">PINTURA P/CANCHAS DEPORT AZUL </v>
          </cell>
          <cell r="C1953">
            <v>2</v>
          </cell>
          <cell r="D1953">
            <v>730</v>
          </cell>
        </row>
        <row r="1954">
          <cell r="A1954" t="str">
            <v>A24LSA1-1</v>
          </cell>
          <cell r="B1954" t="str">
            <v xml:space="preserve">PINTURA P/CANCHAS DEPORT AZUL </v>
          </cell>
          <cell r="C1954">
            <v>2</v>
          </cell>
          <cell r="D1954">
            <v>730</v>
          </cell>
        </row>
        <row r="1955">
          <cell r="A1955" t="str">
            <v>A24LSA3</v>
          </cell>
          <cell r="B1955" t="str">
            <v>PINTURA P/ CANCHAS DEPORT AZUL</v>
          </cell>
          <cell r="C1955">
            <v>2</v>
          </cell>
          <cell r="D1955">
            <v>730</v>
          </cell>
        </row>
        <row r="1956">
          <cell r="A1956" t="str">
            <v>A24LSA3-1</v>
          </cell>
          <cell r="B1956" t="str">
            <v>PINTURA P/ CANCHAS DEPORT AZUL</v>
          </cell>
          <cell r="C1956">
            <v>2</v>
          </cell>
          <cell r="D1956">
            <v>730</v>
          </cell>
        </row>
        <row r="1957">
          <cell r="A1957" t="str">
            <v>A24LSA3-47</v>
          </cell>
          <cell r="B1957" t="str">
            <v>PINTURA P/ CANCHAS DEPORT AZUL</v>
          </cell>
          <cell r="C1957">
            <v>2</v>
          </cell>
          <cell r="D1957">
            <v>730</v>
          </cell>
        </row>
        <row r="1958">
          <cell r="A1958" t="str">
            <v>A24RSA1</v>
          </cell>
          <cell r="B1958" t="str">
            <v>PINT P/CANCHAS DEPORTIVAS ROJO</v>
          </cell>
          <cell r="C1958">
            <v>2</v>
          </cell>
          <cell r="D1958">
            <v>730</v>
          </cell>
        </row>
        <row r="1959">
          <cell r="A1959" t="str">
            <v>A24RSA1-1</v>
          </cell>
          <cell r="B1959" t="str">
            <v>PINT P/CANCHAS DEPORTIVAS ROJO</v>
          </cell>
          <cell r="C1959">
            <v>2</v>
          </cell>
          <cell r="D1959">
            <v>730</v>
          </cell>
        </row>
        <row r="1960">
          <cell r="A1960" t="str">
            <v>A24WSA1</v>
          </cell>
          <cell r="B1960" t="str">
            <v>PINT P/CANCHAS DEPORTIVA BLANC</v>
          </cell>
          <cell r="C1960">
            <v>2</v>
          </cell>
          <cell r="D1960">
            <v>730</v>
          </cell>
        </row>
        <row r="1961">
          <cell r="A1961" t="str">
            <v>A24WSA1-1</v>
          </cell>
          <cell r="B1961" t="str">
            <v>PINT P/CANCHAS DEPORTIVA BLANC</v>
          </cell>
          <cell r="C1961">
            <v>2</v>
          </cell>
          <cell r="D1961">
            <v>730</v>
          </cell>
        </row>
        <row r="1962">
          <cell r="A1962" t="str">
            <v>A33A46</v>
          </cell>
          <cell r="B1962" t="str">
            <v xml:space="preserve">FLOOR ENAMEL GRIS             </v>
          </cell>
          <cell r="C1962">
            <v>2</v>
          </cell>
          <cell r="D1962">
            <v>730</v>
          </cell>
        </row>
        <row r="1963">
          <cell r="A1963" t="str">
            <v>A33A46-1</v>
          </cell>
          <cell r="B1963" t="str">
            <v xml:space="preserve">FLOOR ENAMEL GRIS             </v>
          </cell>
          <cell r="C1963">
            <v>2</v>
          </cell>
          <cell r="D1963">
            <v>730</v>
          </cell>
        </row>
        <row r="1964">
          <cell r="A1964" t="str">
            <v>A33A46-1/4</v>
          </cell>
          <cell r="B1964" t="str">
            <v xml:space="preserve">FLOOR ENAMEL GRIS             </v>
          </cell>
          <cell r="C1964">
            <v>2</v>
          </cell>
          <cell r="D1964">
            <v>730</v>
          </cell>
        </row>
        <row r="1965">
          <cell r="A1965" t="str">
            <v>A33GP1</v>
          </cell>
          <cell r="B1965" t="str">
            <v xml:space="preserve">FLOOR ENAMEL VERDE            </v>
          </cell>
          <cell r="C1965">
            <v>2</v>
          </cell>
          <cell r="D1965">
            <v>730</v>
          </cell>
        </row>
        <row r="1966">
          <cell r="A1966" t="str">
            <v>A33GP1-1</v>
          </cell>
          <cell r="B1966" t="str">
            <v xml:space="preserve">FLOOR ENAMEL VERDE            </v>
          </cell>
          <cell r="C1966">
            <v>2</v>
          </cell>
          <cell r="D1966">
            <v>730</v>
          </cell>
        </row>
        <row r="1967">
          <cell r="A1967" t="str">
            <v>A33GP1-1/4</v>
          </cell>
          <cell r="B1967" t="str">
            <v xml:space="preserve">FLOOR ENAMEL VERDE            </v>
          </cell>
          <cell r="C1967">
            <v>2</v>
          </cell>
          <cell r="D1967">
            <v>730</v>
          </cell>
        </row>
        <row r="1968">
          <cell r="A1968" t="str">
            <v>A33R85</v>
          </cell>
          <cell r="B1968" t="str">
            <v xml:space="preserve">FLOOR ENAMEL ROJO             </v>
          </cell>
          <cell r="C1968">
            <v>2</v>
          </cell>
          <cell r="D1968">
            <v>730</v>
          </cell>
        </row>
        <row r="1969">
          <cell r="A1969" t="str">
            <v>A33R85-1</v>
          </cell>
          <cell r="B1969" t="str">
            <v xml:space="preserve">FLOOR ENAMEL ROJO             </v>
          </cell>
          <cell r="C1969">
            <v>2</v>
          </cell>
          <cell r="D1969">
            <v>730</v>
          </cell>
        </row>
        <row r="1970">
          <cell r="A1970" t="str">
            <v>A33R85-1/4</v>
          </cell>
          <cell r="B1970" t="str">
            <v xml:space="preserve">FLOOR ENAMEL ROJO             </v>
          </cell>
          <cell r="C1970">
            <v>2</v>
          </cell>
          <cell r="D1970">
            <v>730</v>
          </cell>
        </row>
        <row r="1971">
          <cell r="A1971" t="str">
            <v>A38M3</v>
          </cell>
          <cell r="B1971" t="str">
            <v xml:space="preserve">FLO-LAC CAOBA                 </v>
          </cell>
          <cell r="C1971">
            <v>2</v>
          </cell>
          <cell r="D1971">
            <v>730</v>
          </cell>
        </row>
        <row r="1972">
          <cell r="A1972" t="str">
            <v>A38M3-1</v>
          </cell>
          <cell r="B1972" t="str">
            <v xml:space="preserve">FLO-LAC CAOBA                 </v>
          </cell>
          <cell r="C1972">
            <v>2</v>
          </cell>
          <cell r="D1972">
            <v>730</v>
          </cell>
        </row>
        <row r="1973">
          <cell r="A1973" t="str">
            <v>A38M3-1/4</v>
          </cell>
          <cell r="B1973" t="str">
            <v xml:space="preserve">FLO-LAC CAOBA                 </v>
          </cell>
          <cell r="C1973">
            <v>2</v>
          </cell>
          <cell r="D1973">
            <v>730</v>
          </cell>
        </row>
        <row r="1974">
          <cell r="A1974" t="str">
            <v>A38N23</v>
          </cell>
          <cell r="B1974" t="str">
            <v xml:space="preserve">FLO-LAC NOGAL                 </v>
          </cell>
          <cell r="C1974">
            <v>2</v>
          </cell>
          <cell r="D1974">
            <v>730</v>
          </cell>
        </row>
        <row r="1975">
          <cell r="A1975" t="str">
            <v>A38N23-1</v>
          </cell>
          <cell r="B1975" t="str">
            <v xml:space="preserve">FLO-LAC NOGAL                 </v>
          </cell>
          <cell r="C1975">
            <v>2</v>
          </cell>
          <cell r="D1975">
            <v>730</v>
          </cell>
        </row>
        <row r="1976">
          <cell r="A1976" t="str">
            <v>A38N23-1/4</v>
          </cell>
          <cell r="B1976" t="str">
            <v xml:space="preserve">FLO-LAC NOGAL                 </v>
          </cell>
          <cell r="C1976">
            <v>2</v>
          </cell>
          <cell r="D1976">
            <v>730</v>
          </cell>
        </row>
        <row r="1977">
          <cell r="A1977" t="str">
            <v>A38N39</v>
          </cell>
          <cell r="B1977" t="str">
            <v xml:space="preserve">FLO-LAC CANELA SUBIDO         </v>
          </cell>
          <cell r="C1977">
            <v>2</v>
          </cell>
          <cell r="D1977">
            <v>730</v>
          </cell>
        </row>
        <row r="1978">
          <cell r="A1978" t="str">
            <v>A38N39-1</v>
          </cell>
          <cell r="B1978" t="str">
            <v xml:space="preserve">FLO-LAC CANELA SUBIDO         </v>
          </cell>
          <cell r="C1978">
            <v>2</v>
          </cell>
          <cell r="D1978">
            <v>730</v>
          </cell>
        </row>
        <row r="1979">
          <cell r="A1979" t="str">
            <v>A38N39-1/4</v>
          </cell>
          <cell r="B1979" t="str">
            <v xml:space="preserve">FLO-LAC CANELA SUBIDO         </v>
          </cell>
          <cell r="C1979">
            <v>2</v>
          </cell>
          <cell r="D1979">
            <v>730</v>
          </cell>
        </row>
        <row r="1980">
          <cell r="A1980" t="str">
            <v>A38N40</v>
          </cell>
          <cell r="B1980" t="str">
            <v xml:space="preserve">FLO-LAC ROBLE OSCURO          </v>
          </cell>
          <cell r="C1980">
            <v>2</v>
          </cell>
          <cell r="D1980">
            <v>730</v>
          </cell>
        </row>
        <row r="1981">
          <cell r="A1981" t="str">
            <v>A38N40-1</v>
          </cell>
          <cell r="B1981" t="str">
            <v xml:space="preserve">FLO-LAC ROBLE OSCURO          </v>
          </cell>
          <cell r="C1981">
            <v>2</v>
          </cell>
          <cell r="D1981">
            <v>730</v>
          </cell>
        </row>
        <row r="1982">
          <cell r="A1982" t="str">
            <v>A38N40-1/4</v>
          </cell>
          <cell r="B1982" t="str">
            <v xml:space="preserve">FLO-LAC ROBLE OSCURO          </v>
          </cell>
          <cell r="C1982">
            <v>2</v>
          </cell>
          <cell r="D1982">
            <v>730</v>
          </cell>
        </row>
        <row r="1983">
          <cell r="A1983" t="str">
            <v>A38N41</v>
          </cell>
          <cell r="B1983" t="str">
            <v xml:space="preserve">FLO-LAC ROBLE CLARO           </v>
          </cell>
          <cell r="C1983">
            <v>2</v>
          </cell>
          <cell r="D1983">
            <v>730</v>
          </cell>
        </row>
        <row r="1984">
          <cell r="A1984" t="str">
            <v>A38N41-1</v>
          </cell>
          <cell r="B1984" t="str">
            <v xml:space="preserve">FLO-LAC ROBLE CLARO           </v>
          </cell>
          <cell r="C1984">
            <v>2</v>
          </cell>
          <cell r="D1984">
            <v>730</v>
          </cell>
        </row>
        <row r="1985">
          <cell r="A1985" t="str">
            <v>A38N41-1/4</v>
          </cell>
          <cell r="B1985" t="str">
            <v xml:space="preserve">FLO-LAC ROBLE CLARO           </v>
          </cell>
          <cell r="C1985">
            <v>2</v>
          </cell>
          <cell r="D1985">
            <v>730</v>
          </cell>
        </row>
        <row r="1986">
          <cell r="A1986" t="str">
            <v>A44HSA3</v>
          </cell>
          <cell r="B1986" t="str">
            <v xml:space="preserve">TEX-FLEX CREMA                </v>
          </cell>
          <cell r="C1986">
            <v>2</v>
          </cell>
          <cell r="D1986">
            <v>730</v>
          </cell>
        </row>
        <row r="1987">
          <cell r="A1987" t="str">
            <v>A44HSA3-5</v>
          </cell>
          <cell r="B1987" t="str">
            <v xml:space="preserve">TEX-FLEX CREMA                </v>
          </cell>
          <cell r="C1987">
            <v>2</v>
          </cell>
          <cell r="D1987">
            <v>730</v>
          </cell>
        </row>
        <row r="1988">
          <cell r="A1988" t="str">
            <v>A44YSA3</v>
          </cell>
          <cell r="B1988" t="str">
            <v xml:space="preserve">TEX FLEX AMARILLO MOSTAZA     </v>
          </cell>
          <cell r="C1988">
            <v>2</v>
          </cell>
          <cell r="D1988">
            <v>730</v>
          </cell>
        </row>
        <row r="1989">
          <cell r="A1989" t="str">
            <v>A44YSA3-5</v>
          </cell>
          <cell r="B1989" t="str">
            <v xml:space="preserve">TEX FLEX AMARILLO MOSTAZA     </v>
          </cell>
          <cell r="C1989">
            <v>2</v>
          </cell>
          <cell r="D1989">
            <v>730</v>
          </cell>
        </row>
        <row r="1990">
          <cell r="A1990" t="str">
            <v>A48BSA1</v>
          </cell>
          <cell r="B1990" t="str">
            <v xml:space="preserve">OIL STAIN NEGRO               </v>
          </cell>
          <cell r="C1990">
            <v>2</v>
          </cell>
          <cell r="D1990">
            <v>730</v>
          </cell>
        </row>
        <row r="1991">
          <cell r="A1991" t="str">
            <v>A48BSA1-1</v>
          </cell>
          <cell r="B1991" t="str">
            <v xml:space="preserve">OIL STAIN NEGRO               </v>
          </cell>
          <cell r="C1991">
            <v>2</v>
          </cell>
          <cell r="D1991">
            <v>730</v>
          </cell>
        </row>
        <row r="1992">
          <cell r="A1992" t="str">
            <v>A48BSA1-1/4</v>
          </cell>
          <cell r="B1992" t="str">
            <v xml:space="preserve">OIL STAIN NEGRO               </v>
          </cell>
          <cell r="C1992">
            <v>2</v>
          </cell>
          <cell r="D1992">
            <v>730</v>
          </cell>
        </row>
        <row r="1993">
          <cell r="A1993" t="str">
            <v>A48N35</v>
          </cell>
          <cell r="B1993" t="str">
            <v xml:space="preserve">OIL STAIN ARCE COLONIAL       </v>
          </cell>
          <cell r="C1993">
            <v>2</v>
          </cell>
          <cell r="D1993">
            <v>730</v>
          </cell>
        </row>
        <row r="1994">
          <cell r="A1994" t="str">
            <v>A48N35-1</v>
          </cell>
          <cell r="B1994" t="str">
            <v xml:space="preserve">OIL STAIN ARCE COLONIAL       </v>
          </cell>
          <cell r="C1994">
            <v>2</v>
          </cell>
          <cell r="D1994">
            <v>730</v>
          </cell>
        </row>
        <row r="1995">
          <cell r="A1995" t="str">
            <v>A48N35-1/4</v>
          </cell>
          <cell r="B1995" t="str">
            <v xml:space="preserve">OIL STAIN ARCE COLONIAL       </v>
          </cell>
          <cell r="C1995">
            <v>2</v>
          </cell>
          <cell r="D1995">
            <v>730</v>
          </cell>
        </row>
        <row r="1996">
          <cell r="A1996" t="str">
            <v>A48N36</v>
          </cell>
          <cell r="B1996" t="str">
            <v xml:space="preserve">OIL STAIN NOGAL DANES         </v>
          </cell>
          <cell r="C1996">
            <v>2</v>
          </cell>
          <cell r="D1996">
            <v>730</v>
          </cell>
        </row>
        <row r="1997">
          <cell r="A1997" t="str">
            <v>A48N36-1</v>
          </cell>
          <cell r="B1997" t="str">
            <v xml:space="preserve">OIL STAIN NOGAL DANES         </v>
          </cell>
          <cell r="C1997">
            <v>2</v>
          </cell>
          <cell r="D1997">
            <v>730</v>
          </cell>
        </row>
        <row r="1998">
          <cell r="A1998" t="str">
            <v>A48N36-1/4</v>
          </cell>
          <cell r="B1998" t="str">
            <v xml:space="preserve">OIL STAIN NOGAL DANES         </v>
          </cell>
          <cell r="C1998">
            <v>2</v>
          </cell>
          <cell r="D1998">
            <v>730</v>
          </cell>
        </row>
        <row r="1999">
          <cell r="A1999" t="str">
            <v>A48N38</v>
          </cell>
          <cell r="B1999" t="str">
            <v xml:space="preserve">OIL STAIN SANDALO OSCURO      </v>
          </cell>
          <cell r="C1999">
            <v>2</v>
          </cell>
          <cell r="D1999">
            <v>730</v>
          </cell>
        </row>
        <row r="2000">
          <cell r="A2000" t="str">
            <v>A48N38-1</v>
          </cell>
          <cell r="B2000" t="str">
            <v xml:space="preserve">OIL STAIN SANDALO OSCURO      </v>
          </cell>
          <cell r="C2000">
            <v>2</v>
          </cell>
          <cell r="D2000">
            <v>730</v>
          </cell>
        </row>
        <row r="2001">
          <cell r="A2001" t="str">
            <v>A48N38-1/4</v>
          </cell>
          <cell r="B2001" t="str">
            <v xml:space="preserve">OIL STAIN SANDALO OSCURO      </v>
          </cell>
          <cell r="C2001">
            <v>2</v>
          </cell>
          <cell r="D2001">
            <v>730</v>
          </cell>
        </row>
        <row r="2002">
          <cell r="A2002" t="str">
            <v>A48NSA1</v>
          </cell>
          <cell r="B2002" t="str">
            <v xml:space="preserve">OIL STAIN CANELA OSCURO       </v>
          </cell>
          <cell r="C2002">
            <v>2</v>
          </cell>
          <cell r="D2002">
            <v>730</v>
          </cell>
        </row>
        <row r="2003">
          <cell r="A2003" t="str">
            <v>A48NSA1-1</v>
          </cell>
          <cell r="B2003" t="str">
            <v xml:space="preserve">OIL STAIN CANELA OSCURO       </v>
          </cell>
          <cell r="C2003">
            <v>2</v>
          </cell>
          <cell r="D2003">
            <v>730</v>
          </cell>
        </row>
        <row r="2004">
          <cell r="A2004" t="str">
            <v>A48NSA1-1/4</v>
          </cell>
          <cell r="B2004" t="str">
            <v xml:space="preserve">OIL STAIN CANELA OSCURO       </v>
          </cell>
          <cell r="C2004">
            <v>2</v>
          </cell>
          <cell r="D2004">
            <v>730</v>
          </cell>
        </row>
        <row r="2005">
          <cell r="A2005" t="str">
            <v>A48NSA4</v>
          </cell>
          <cell r="B2005" t="str">
            <v xml:space="preserve">OIL STAIN NOGAL               </v>
          </cell>
          <cell r="C2005">
            <v>2</v>
          </cell>
          <cell r="D2005">
            <v>730</v>
          </cell>
        </row>
        <row r="2006">
          <cell r="A2006" t="str">
            <v>A48NSA4-1</v>
          </cell>
          <cell r="B2006" t="str">
            <v xml:space="preserve">OIL STAIN NOGAL               </v>
          </cell>
          <cell r="C2006">
            <v>2</v>
          </cell>
          <cell r="D2006">
            <v>730</v>
          </cell>
        </row>
        <row r="2007">
          <cell r="A2007" t="str">
            <v>A48NSA4-1/4</v>
          </cell>
          <cell r="B2007" t="str">
            <v xml:space="preserve">OIL STAIN NOGAL               </v>
          </cell>
          <cell r="C2007">
            <v>2</v>
          </cell>
          <cell r="D2007">
            <v>730</v>
          </cell>
        </row>
        <row r="2008">
          <cell r="A2008" t="str">
            <v>A48R56</v>
          </cell>
          <cell r="B2008" t="str">
            <v xml:space="preserve">OIL STAIN CAOBA AFRICANO      </v>
          </cell>
          <cell r="C2008">
            <v>2</v>
          </cell>
          <cell r="D2008">
            <v>730</v>
          </cell>
        </row>
        <row r="2009">
          <cell r="A2009" t="str">
            <v>A48R56-1</v>
          </cell>
          <cell r="B2009" t="str">
            <v xml:space="preserve">OIL STAIN CAOBA AFRICANO      </v>
          </cell>
          <cell r="C2009">
            <v>2</v>
          </cell>
          <cell r="D2009">
            <v>730</v>
          </cell>
        </row>
        <row r="2010">
          <cell r="A2010" t="str">
            <v>A48R56-1/4</v>
          </cell>
          <cell r="B2010" t="str">
            <v xml:space="preserve">OIL STAIN CAOBA AFRICANO      </v>
          </cell>
          <cell r="C2010">
            <v>2</v>
          </cell>
          <cell r="D2010">
            <v>730</v>
          </cell>
        </row>
        <row r="2011">
          <cell r="A2011" t="str">
            <v>A48WSA2</v>
          </cell>
          <cell r="B2011" t="str">
            <v xml:space="preserve">OIL STAIN BLANCO              </v>
          </cell>
          <cell r="C2011">
            <v>2</v>
          </cell>
          <cell r="D2011">
            <v>730</v>
          </cell>
        </row>
        <row r="2012">
          <cell r="A2012" t="str">
            <v>A48WSA2-1</v>
          </cell>
          <cell r="B2012" t="str">
            <v xml:space="preserve">OIL STAIN BLANCO              </v>
          </cell>
          <cell r="C2012">
            <v>2</v>
          </cell>
          <cell r="D2012">
            <v>730</v>
          </cell>
        </row>
        <row r="2013">
          <cell r="A2013" t="str">
            <v>A48WSA2-1/4</v>
          </cell>
          <cell r="B2013" t="str">
            <v xml:space="preserve">OIL STAIN BLANCO              </v>
          </cell>
          <cell r="C2013">
            <v>2</v>
          </cell>
          <cell r="D2013">
            <v>730</v>
          </cell>
        </row>
        <row r="2014">
          <cell r="A2014" t="str">
            <v>A48Y23</v>
          </cell>
          <cell r="B2014" t="str">
            <v xml:space="preserve">OIL STAIN ROBLE CLARO         </v>
          </cell>
          <cell r="C2014">
            <v>2</v>
          </cell>
          <cell r="D2014">
            <v>730</v>
          </cell>
        </row>
        <row r="2015">
          <cell r="A2015" t="str">
            <v>A48Y23-1</v>
          </cell>
          <cell r="B2015" t="str">
            <v xml:space="preserve">OIL STAIN ROBLE CLARO         </v>
          </cell>
          <cell r="C2015">
            <v>2</v>
          </cell>
          <cell r="D2015">
            <v>730</v>
          </cell>
        </row>
        <row r="2016">
          <cell r="A2016" t="str">
            <v>A48Y23-1/4</v>
          </cell>
          <cell r="B2016" t="str">
            <v xml:space="preserve">OIL STAIN ROBLE CLARO         </v>
          </cell>
          <cell r="C2016">
            <v>2</v>
          </cell>
          <cell r="D2016">
            <v>730</v>
          </cell>
        </row>
        <row r="2017">
          <cell r="A2017" t="str">
            <v>A57GSA1</v>
          </cell>
          <cell r="B2017" t="str">
            <v>EXCELLO PINT/TECHO VERDE CR NI</v>
          </cell>
          <cell r="C2017">
            <v>2</v>
          </cell>
          <cell r="D2017">
            <v>730</v>
          </cell>
        </row>
        <row r="2018">
          <cell r="A2018" t="str">
            <v>A57GSA1-1</v>
          </cell>
          <cell r="B2018" t="str">
            <v xml:space="preserve">EXCELLO PINT/TECHO VERDE      </v>
          </cell>
          <cell r="C2018">
            <v>2</v>
          </cell>
          <cell r="D2018">
            <v>730</v>
          </cell>
        </row>
        <row r="2019">
          <cell r="A2019" t="str">
            <v>A57GSA1-5</v>
          </cell>
          <cell r="B2019" t="str">
            <v xml:space="preserve">EXCELLO PINT/TECHO VERDE      </v>
          </cell>
          <cell r="C2019">
            <v>2</v>
          </cell>
          <cell r="D2019">
            <v>730</v>
          </cell>
        </row>
        <row r="2020">
          <cell r="A2020" t="str">
            <v>A57RSA2</v>
          </cell>
          <cell r="B2020" t="str">
            <v xml:space="preserve">EXCELLO PINT/TECHO ROJA. NC   </v>
          </cell>
          <cell r="C2020">
            <v>2</v>
          </cell>
          <cell r="D2020">
            <v>730</v>
          </cell>
        </row>
        <row r="2021">
          <cell r="A2021" t="str">
            <v>A57RSA2-1</v>
          </cell>
          <cell r="B2021" t="str">
            <v xml:space="preserve">EXCELLO PINT/TECHO ROJA       </v>
          </cell>
          <cell r="C2021">
            <v>2</v>
          </cell>
          <cell r="D2021">
            <v>730</v>
          </cell>
        </row>
        <row r="2022">
          <cell r="A2022" t="str">
            <v>A57RSA2-5</v>
          </cell>
          <cell r="B2022" t="str">
            <v xml:space="preserve">EXCELLO PINT/TECHO ROJA       </v>
          </cell>
          <cell r="C2022">
            <v>2</v>
          </cell>
          <cell r="D2022">
            <v>730</v>
          </cell>
        </row>
        <row r="2023">
          <cell r="A2023" t="str">
            <v>A57WSA1</v>
          </cell>
          <cell r="B2023" t="str">
            <v xml:space="preserve">EXCELLO PINTURA/TECHO BLANCA  </v>
          </cell>
          <cell r="C2023">
            <v>2</v>
          </cell>
          <cell r="D2023">
            <v>730</v>
          </cell>
        </row>
        <row r="2024">
          <cell r="A2024" t="str">
            <v>A57WSA1-1</v>
          </cell>
          <cell r="B2024" t="str">
            <v xml:space="preserve">EXCELLO PINTURA/TECH0 BLANCA  </v>
          </cell>
          <cell r="C2024">
            <v>2</v>
          </cell>
          <cell r="D2024">
            <v>730</v>
          </cell>
        </row>
        <row r="2025">
          <cell r="A2025" t="str">
            <v>A57WSA1-5</v>
          </cell>
          <cell r="B2025" t="str">
            <v xml:space="preserve">EXCELLO PINTURA/TECHO BLANCA  </v>
          </cell>
          <cell r="C2025">
            <v>2</v>
          </cell>
          <cell r="D2025">
            <v>730</v>
          </cell>
        </row>
        <row r="2026">
          <cell r="A2026" t="str">
            <v>A5ASA1</v>
          </cell>
          <cell r="B2026" t="str">
            <v xml:space="preserve">AQUALOCK GRIS                 </v>
          </cell>
          <cell r="C2026">
            <v>2</v>
          </cell>
          <cell r="D2026">
            <v>730</v>
          </cell>
        </row>
        <row r="2027">
          <cell r="A2027" t="str">
            <v>A5ASA1-1</v>
          </cell>
          <cell r="B2027" t="str">
            <v xml:space="preserve">AQUALOCK GRIS                 </v>
          </cell>
          <cell r="C2027">
            <v>2</v>
          </cell>
          <cell r="D2027">
            <v>730</v>
          </cell>
        </row>
        <row r="2028">
          <cell r="A2028" t="str">
            <v>A5ASA1-1/4</v>
          </cell>
          <cell r="B2028" t="str">
            <v xml:space="preserve">AQUALOCK GRIS                 </v>
          </cell>
          <cell r="C2028">
            <v>2</v>
          </cell>
          <cell r="D2028">
            <v>730</v>
          </cell>
        </row>
        <row r="2029">
          <cell r="A2029" t="str">
            <v>A5BSA1</v>
          </cell>
          <cell r="B2029" t="str">
            <v xml:space="preserve">AQUALOCK NEGRO                </v>
          </cell>
          <cell r="C2029">
            <v>2</v>
          </cell>
          <cell r="D2029">
            <v>730</v>
          </cell>
        </row>
        <row r="2030">
          <cell r="A2030" t="str">
            <v>A5BSA1-1</v>
          </cell>
          <cell r="B2030" t="str">
            <v xml:space="preserve">AQUALOCK NEGRO                </v>
          </cell>
          <cell r="C2030">
            <v>2</v>
          </cell>
          <cell r="D2030">
            <v>730</v>
          </cell>
        </row>
        <row r="2031">
          <cell r="A2031" t="str">
            <v>A5BSA1-1/4</v>
          </cell>
          <cell r="B2031" t="str">
            <v xml:space="preserve">AQUALOCK NEGRO                </v>
          </cell>
          <cell r="C2031">
            <v>2</v>
          </cell>
          <cell r="D2031">
            <v>730</v>
          </cell>
        </row>
        <row r="2032">
          <cell r="A2032" t="str">
            <v>A5GSA1</v>
          </cell>
          <cell r="B2032" t="str">
            <v xml:space="preserve">AQUALOCK VERDE                </v>
          </cell>
          <cell r="C2032">
            <v>2</v>
          </cell>
          <cell r="D2032">
            <v>730</v>
          </cell>
        </row>
        <row r="2033">
          <cell r="A2033" t="str">
            <v>A5GSA1-1</v>
          </cell>
          <cell r="B2033" t="str">
            <v xml:space="preserve">AQUALOCK VERDE                </v>
          </cell>
          <cell r="C2033">
            <v>2</v>
          </cell>
          <cell r="D2033">
            <v>730</v>
          </cell>
        </row>
        <row r="2034">
          <cell r="A2034" t="str">
            <v>A5GSA1-1/4</v>
          </cell>
          <cell r="B2034" t="str">
            <v xml:space="preserve">AQUALOCK VERDE                </v>
          </cell>
          <cell r="C2034">
            <v>2</v>
          </cell>
          <cell r="D2034">
            <v>730</v>
          </cell>
        </row>
        <row r="2035">
          <cell r="A2035" t="str">
            <v>A5GSA1-5</v>
          </cell>
          <cell r="B2035" t="str">
            <v xml:space="preserve">AQUALOCK VERDE                </v>
          </cell>
          <cell r="C2035">
            <v>2</v>
          </cell>
          <cell r="D2035">
            <v>730</v>
          </cell>
        </row>
        <row r="2036">
          <cell r="A2036" t="str">
            <v>A5GSA6</v>
          </cell>
          <cell r="B2036" t="str">
            <v xml:space="preserve">AQUALOCK VERDE OSCURO         </v>
          </cell>
          <cell r="C2036">
            <v>2</v>
          </cell>
          <cell r="D2036">
            <v>730</v>
          </cell>
        </row>
        <row r="2037">
          <cell r="A2037" t="str">
            <v>A5GSA6-1</v>
          </cell>
          <cell r="B2037" t="str">
            <v xml:space="preserve">AQUALOCK VERDE OSCURO         </v>
          </cell>
          <cell r="C2037">
            <v>2</v>
          </cell>
          <cell r="D2037">
            <v>730</v>
          </cell>
        </row>
        <row r="2038">
          <cell r="A2038" t="str">
            <v>A5GSA6-5</v>
          </cell>
          <cell r="B2038" t="str">
            <v xml:space="preserve">AQUALOCK VERDE OSCURO         </v>
          </cell>
          <cell r="C2038">
            <v>2</v>
          </cell>
          <cell r="D2038">
            <v>730</v>
          </cell>
        </row>
        <row r="2039">
          <cell r="A2039" t="str">
            <v>A5GSA6-50</v>
          </cell>
          <cell r="B2039" t="str">
            <v xml:space="preserve">AQUALOCK VERDE OSCURO         </v>
          </cell>
          <cell r="C2039">
            <v>2</v>
          </cell>
          <cell r="D2039">
            <v>730</v>
          </cell>
        </row>
        <row r="2040">
          <cell r="A2040" t="str">
            <v>A5GSA7</v>
          </cell>
          <cell r="B2040" t="str">
            <v>RECUBRIMI VERDE P/AISLAM TERMI</v>
          </cell>
          <cell r="C2040">
            <v>2</v>
          </cell>
          <cell r="D2040">
            <v>730</v>
          </cell>
        </row>
        <row r="2041">
          <cell r="A2041" t="str">
            <v>A5GSA7-1</v>
          </cell>
          <cell r="B2041" t="str">
            <v>RECUBRIMI VERDE P/AISLAM TERMI</v>
          </cell>
          <cell r="C2041">
            <v>2</v>
          </cell>
          <cell r="D2041">
            <v>730</v>
          </cell>
        </row>
        <row r="2042">
          <cell r="A2042" t="str">
            <v>A5LSA4</v>
          </cell>
          <cell r="B2042" t="str">
            <v xml:space="preserve">AQUALATEX AZUL                </v>
          </cell>
          <cell r="C2042">
            <v>2</v>
          </cell>
          <cell r="D2042">
            <v>730</v>
          </cell>
        </row>
        <row r="2043">
          <cell r="A2043" t="str">
            <v>A5LSA4-5</v>
          </cell>
          <cell r="B2043" t="str">
            <v xml:space="preserve">AQUALATEX AZUL                </v>
          </cell>
          <cell r="C2043">
            <v>2</v>
          </cell>
          <cell r="D2043">
            <v>730</v>
          </cell>
        </row>
        <row r="2044">
          <cell r="A2044" t="str">
            <v>A5LSA8</v>
          </cell>
          <cell r="B2044" t="str">
            <v xml:space="preserve">AQUALOCK AZUL 500             </v>
          </cell>
          <cell r="C2044">
            <v>2</v>
          </cell>
          <cell r="D2044">
            <v>730</v>
          </cell>
        </row>
        <row r="2045">
          <cell r="A2045" t="str">
            <v>A5LSA8-1</v>
          </cell>
          <cell r="B2045" t="str">
            <v xml:space="preserve">AQUALOCK AZUL 500             </v>
          </cell>
          <cell r="C2045">
            <v>2</v>
          </cell>
          <cell r="D2045">
            <v>730</v>
          </cell>
        </row>
        <row r="2046">
          <cell r="A2046" t="str">
            <v>A5LSA8-1/4</v>
          </cell>
          <cell r="B2046" t="str">
            <v xml:space="preserve">AQUALOCK AZUL                 </v>
          </cell>
          <cell r="C2046">
            <v>2</v>
          </cell>
          <cell r="D2046">
            <v>730</v>
          </cell>
        </row>
        <row r="2047">
          <cell r="A2047" t="str">
            <v>A5RSA1</v>
          </cell>
          <cell r="B2047" t="str">
            <v xml:space="preserve">AQUALOCK ROJO                 </v>
          </cell>
          <cell r="C2047">
            <v>2</v>
          </cell>
          <cell r="D2047">
            <v>730</v>
          </cell>
        </row>
        <row r="2048">
          <cell r="A2048" t="str">
            <v>A5RSA1-1</v>
          </cell>
          <cell r="B2048" t="str">
            <v xml:space="preserve">AQUALOCK ROJO                 </v>
          </cell>
          <cell r="C2048">
            <v>2</v>
          </cell>
          <cell r="D2048">
            <v>730</v>
          </cell>
        </row>
        <row r="2049">
          <cell r="A2049" t="str">
            <v>A5RSA1-1/4</v>
          </cell>
          <cell r="B2049" t="str">
            <v xml:space="preserve">AQUALOCK ROJO                 </v>
          </cell>
          <cell r="C2049">
            <v>2</v>
          </cell>
          <cell r="D2049">
            <v>730</v>
          </cell>
        </row>
        <row r="2050">
          <cell r="A2050" t="str">
            <v>A5RSA2</v>
          </cell>
          <cell r="B2050" t="str">
            <v xml:space="preserve">AQUALOCK ROJO TEJA            </v>
          </cell>
          <cell r="C2050">
            <v>2</v>
          </cell>
          <cell r="D2050">
            <v>730</v>
          </cell>
        </row>
        <row r="2051">
          <cell r="A2051" t="str">
            <v>A5RSA2-1</v>
          </cell>
          <cell r="B2051" t="str">
            <v xml:space="preserve">AQUALOCK ROJO TEJA            </v>
          </cell>
          <cell r="C2051">
            <v>2</v>
          </cell>
          <cell r="D2051">
            <v>730</v>
          </cell>
        </row>
        <row r="2052">
          <cell r="A2052" t="str">
            <v>A5RSA2-1/4</v>
          </cell>
          <cell r="B2052" t="str">
            <v xml:space="preserve">AQUALOCK ROJO TEJA            </v>
          </cell>
          <cell r="C2052">
            <v>2</v>
          </cell>
          <cell r="D2052">
            <v>730</v>
          </cell>
        </row>
        <row r="2053">
          <cell r="A2053" t="str">
            <v>A5RSA2-5</v>
          </cell>
          <cell r="B2053" t="str">
            <v xml:space="preserve">AQUALOCK ROJO TEJA            </v>
          </cell>
          <cell r="C2053">
            <v>2</v>
          </cell>
          <cell r="D2053">
            <v>730</v>
          </cell>
        </row>
        <row r="2054">
          <cell r="A2054" t="str">
            <v>A5RSA3</v>
          </cell>
          <cell r="B2054" t="str">
            <v xml:space="preserve">AQUALOCK ROJO TECHO           </v>
          </cell>
          <cell r="C2054">
            <v>2</v>
          </cell>
          <cell r="D2054">
            <v>730</v>
          </cell>
        </row>
        <row r="2055">
          <cell r="A2055" t="str">
            <v>A5RSA3-1</v>
          </cell>
          <cell r="B2055" t="str">
            <v xml:space="preserve">AQUALOCK ROJO TECHO           </v>
          </cell>
          <cell r="C2055">
            <v>2</v>
          </cell>
          <cell r="D2055">
            <v>730</v>
          </cell>
        </row>
        <row r="2056">
          <cell r="A2056" t="str">
            <v>A5RSA3-1/4</v>
          </cell>
          <cell r="B2056" t="str">
            <v xml:space="preserve">AQUALOCK ROJO TECHO           </v>
          </cell>
          <cell r="C2056">
            <v>2</v>
          </cell>
          <cell r="D2056">
            <v>730</v>
          </cell>
        </row>
        <row r="2057">
          <cell r="A2057" t="str">
            <v>A5RSA3-5</v>
          </cell>
          <cell r="B2057" t="str">
            <v xml:space="preserve">AQUALOCK ROJO TECHO           </v>
          </cell>
          <cell r="C2057">
            <v>2</v>
          </cell>
          <cell r="D2057">
            <v>730</v>
          </cell>
        </row>
        <row r="2058">
          <cell r="A2058" t="str">
            <v>A5VSA1</v>
          </cell>
          <cell r="B2058" t="str">
            <v xml:space="preserve">SILICONE HIGH WATER REPELLENT </v>
          </cell>
          <cell r="C2058">
            <v>2</v>
          </cell>
          <cell r="D2058">
            <v>730</v>
          </cell>
        </row>
        <row r="2059">
          <cell r="A2059" t="str">
            <v>A5VSA1-1</v>
          </cell>
          <cell r="B2059" t="str">
            <v xml:space="preserve">SILICONE HIGH WATER REPELENT  </v>
          </cell>
          <cell r="C2059">
            <v>2</v>
          </cell>
          <cell r="D2059">
            <v>730</v>
          </cell>
        </row>
        <row r="2060">
          <cell r="A2060" t="str">
            <v>A5WSA1</v>
          </cell>
          <cell r="B2060" t="str">
            <v xml:space="preserve">AQUALOCK BLANCO               </v>
          </cell>
          <cell r="C2060">
            <v>2</v>
          </cell>
          <cell r="D2060">
            <v>730</v>
          </cell>
        </row>
        <row r="2061">
          <cell r="A2061" t="str">
            <v>A5WSA1-1</v>
          </cell>
          <cell r="B2061" t="str">
            <v xml:space="preserve">AQUALOCK BLANCO               </v>
          </cell>
          <cell r="C2061">
            <v>2</v>
          </cell>
          <cell r="D2061">
            <v>730</v>
          </cell>
        </row>
        <row r="2062">
          <cell r="A2062" t="str">
            <v>A5WSA1-1.1/4</v>
          </cell>
          <cell r="B2062" t="str">
            <v xml:space="preserve">AQUALOCK BLANCO               </v>
          </cell>
          <cell r="C2062">
            <v>2</v>
          </cell>
          <cell r="D2062">
            <v>730</v>
          </cell>
        </row>
        <row r="2063">
          <cell r="A2063" t="str">
            <v>A5WSA1-1/4</v>
          </cell>
          <cell r="B2063" t="str">
            <v xml:space="preserve">AQUALOCK BLANCO               </v>
          </cell>
          <cell r="C2063">
            <v>2</v>
          </cell>
          <cell r="D2063">
            <v>730</v>
          </cell>
        </row>
        <row r="2064">
          <cell r="A2064" t="str">
            <v>A5WSA1-5</v>
          </cell>
          <cell r="B2064" t="str">
            <v xml:space="preserve">AQUALOCK BLANCO               </v>
          </cell>
          <cell r="C2064">
            <v>2</v>
          </cell>
          <cell r="D2064">
            <v>730</v>
          </cell>
        </row>
        <row r="2065">
          <cell r="A2065" t="str">
            <v>A5WSA1-50</v>
          </cell>
          <cell r="B2065" t="str">
            <v xml:space="preserve">AQUALOCK BLANCO               </v>
          </cell>
          <cell r="C2065">
            <v>2</v>
          </cell>
          <cell r="D2065">
            <v>730</v>
          </cell>
        </row>
        <row r="2066">
          <cell r="A2066" t="str">
            <v>A5WSA3</v>
          </cell>
          <cell r="B2066" t="str">
            <v xml:space="preserve">TERMO-AISLANTE PARA TECHOS    </v>
          </cell>
          <cell r="C2066">
            <v>2</v>
          </cell>
          <cell r="D2066">
            <v>730</v>
          </cell>
        </row>
        <row r="2067">
          <cell r="A2067" t="str">
            <v>A5WSA3-1</v>
          </cell>
          <cell r="B2067" t="str">
            <v xml:space="preserve">TERMO-AISLANTE PARA TECHOS    </v>
          </cell>
          <cell r="C2067">
            <v>2</v>
          </cell>
          <cell r="D2067">
            <v>730</v>
          </cell>
        </row>
        <row r="2068">
          <cell r="A2068" t="str">
            <v>A5WSA3-5</v>
          </cell>
          <cell r="B2068" t="str">
            <v>TERMOAISLANTE P/TECHOS FIBROCE</v>
          </cell>
          <cell r="C2068">
            <v>2</v>
          </cell>
          <cell r="D2068">
            <v>730</v>
          </cell>
        </row>
        <row r="2069">
          <cell r="A2069" t="str">
            <v>A5WSA3-50</v>
          </cell>
          <cell r="B2069" t="str">
            <v>TERMOAISLANTE P/TECHOS FIBROCE</v>
          </cell>
          <cell r="C2069">
            <v>2</v>
          </cell>
          <cell r="D2069">
            <v>730</v>
          </cell>
        </row>
        <row r="2070">
          <cell r="A2070" t="str">
            <v>A67V1</v>
          </cell>
          <cell r="B2070" t="str">
            <v xml:space="preserve">BARNIZ POLIURETANO PARA PISOS </v>
          </cell>
          <cell r="C2070">
            <v>2</v>
          </cell>
          <cell r="D2070">
            <v>730</v>
          </cell>
        </row>
        <row r="2071">
          <cell r="A2071" t="str">
            <v>A67V1-1</v>
          </cell>
          <cell r="B2071" t="str">
            <v xml:space="preserve">BARNIZ POLIURETANO PARA PISOS </v>
          </cell>
          <cell r="C2071">
            <v>2</v>
          </cell>
          <cell r="D2071">
            <v>730</v>
          </cell>
        </row>
        <row r="2072">
          <cell r="A2072" t="str">
            <v>A67V1-1/4</v>
          </cell>
          <cell r="B2072" t="str">
            <v xml:space="preserve">BARNIZ POLIURETANO PARA PISOS </v>
          </cell>
          <cell r="C2072">
            <v>2</v>
          </cell>
          <cell r="D2072">
            <v>730</v>
          </cell>
        </row>
        <row r="2073">
          <cell r="A2073" t="str">
            <v>A86BSA2</v>
          </cell>
          <cell r="B2073" t="str">
            <v>PINTURA TRAFICO TIP-115-E  ALK</v>
          </cell>
          <cell r="C2073">
            <v>2</v>
          </cell>
          <cell r="D2073">
            <v>730</v>
          </cell>
        </row>
        <row r="2074">
          <cell r="A2074" t="str">
            <v>A86BSA2-1</v>
          </cell>
          <cell r="B2074" t="str">
            <v>PINTURA TRAFICO TIP-115-E  ALK</v>
          </cell>
          <cell r="C2074">
            <v>2</v>
          </cell>
          <cell r="D2074">
            <v>730</v>
          </cell>
        </row>
        <row r="2075">
          <cell r="A2075" t="str">
            <v>A86BSA2-5</v>
          </cell>
          <cell r="B2075" t="str">
            <v xml:space="preserve">PINTURA TRAFICO TIP-115-E ALK </v>
          </cell>
          <cell r="C2075">
            <v>2</v>
          </cell>
          <cell r="D2075">
            <v>730</v>
          </cell>
        </row>
        <row r="2076">
          <cell r="A2076" t="str">
            <v>A86WSA19</v>
          </cell>
          <cell r="B2076" t="str">
            <v>PINTURA  P/TRAFIC AASHTO ALKID</v>
          </cell>
          <cell r="C2076">
            <v>2</v>
          </cell>
          <cell r="D2076">
            <v>730</v>
          </cell>
        </row>
        <row r="2077">
          <cell r="A2077" t="str">
            <v>A86WSA19-50</v>
          </cell>
          <cell r="B2077" t="str">
            <v xml:space="preserve">PINT TRAFIC AASHTO ALK BLANCA </v>
          </cell>
          <cell r="C2077">
            <v>2</v>
          </cell>
          <cell r="D2077">
            <v>730</v>
          </cell>
        </row>
        <row r="2078">
          <cell r="A2078" t="str">
            <v>A86WSA7</v>
          </cell>
          <cell r="B2078" t="str">
            <v xml:space="preserve">PINT TRAF BA ALQ TTP 115E BCO </v>
          </cell>
          <cell r="C2078">
            <v>2</v>
          </cell>
          <cell r="D2078">
            <v>730</v>
          </cell>
        </row>
        <row r="2079">
          <cell r="A2079" t="str">
            <v>A86WSA7-1</v>
          </cell>
          <cell r="B2079" t="str">
            <v xml:space="preserve">PINT TRAF ALK TTP 115E BLANCO </v>
          </cell>
          <cell r="C2079">
            <v>2</v>
          </cell>
          <cell r="D2079">
            <v>730</v>
          </cell>
        </row>
        <row r="2080">
          <cell r="A2080" t="str">
            <v>A86WSA7-5</v>
          </cell>
          <cell r="B2080" t="str">
            <v xml:space="preserve">PINT TRAF ALK TTP 115E BLANCO </v>
          </cell>
          <cell r="C2080">
            <v>2</v>
          </cell>
          <cell r="D2080">
            <v>730</v>
          </cell>
        </row>
        <row r="2081">
          <cell r="A2081" t="str">
            <v>A86YSA14</v>
          </cell>
          <cell r="B2081" t="str">
            <v>PINT TRAF BASE ALQUID AMARILLO</v>
          </cell>
          <cell r="C2081">
            <v>2</v>
          </cell>
          <cell r="D2081">
            <v>730</v>
          </cell>
        </row>
        <row r="2082">
          <cell r="A2082" t="str">
            <v>A86YSA14-1</v>
          </cell>
          <cell r="B2082" t="str">
            <v>PINT TRAF BASE ALQUID AMARILLO</v>
          </cell>
          <cell r="C2082">
            <v>2</v>
          </cell>
          <cell r="D2082">
            <v>730</v>
          </cell>
        </row>
        <row r="2083">
          <cell r="A2083" t="str">
            <v>A86YSA14-5</v>
          </cell>
          <cell r="B2083" t="str">
            <v>PINT TRAF BASE ALQUID AMARILLO</v>
          </cell>
          <cell r="C2083">
            <v>2</v>
          </cell>
          <cell r="D2083">
            <v>730</v>
          </cell>
        </row>
        <row r="2084">
          <cell r="A2084" t="str">
            <v>A86YSA14-SP</v>
          </cell>
          <cell r="B2084" t="str">
            <v>PINT TRAF TIP-85-E TYPE II AMA</v>
          </cell>
          <cell r="C2084">
            <v>2</v>
          </cell>
          <cell r="D2084">
            <v>730</v>
          </cell>
        </row>
        <row r="2085">
          <cell r="A2085" t="str">
            <v>A86YSA14SP-1</v>
          </cell>
          <cell r="B2085" t="str">
            <v>PINT TRAF TIP-85-E TYPE II AMA</v>
          </cell>
          <cell r="C2085">
            <v>2</v>
          </cell>
          <cell r="D2085">
            <v>730</v>
          </cell>
        </row>
        <row r="2086">
          <cell r="A2086" t="str">
            <v>B23WSA1</v>
          </cell>
          <cell r="B2086" t="str">
            <v>SELLADOR IMPERMEAB BCO P/FIBRO</v>
          </cell>
          <cell r="C2086">
            <v>2</v>
          </cell>
          <cell r="D2086">
            <v>730</v>
          </cell>
        </row>
        <row r="2087">
          <cell r="A2087" t="str">
            <v>B23WSA1-1</v>
          </cell>
          <cell r="B2087" t="str">
            <v>SELLADOR IMPERMEAB BCO P/FIBRO</v>
          </cell>
          <cell r="C2087">
            <v>2</v>
          </cell>
          <cell r="D2087">
            <v>730</v>
          </cell>
        </row>
        <row r="2088">
          <cell r="A2088" t="str">
            <v>B23WSA2-AE</v>
          </cell>
          <cell r="B2088" t="str">
            <v>SELLADOR P/CONCR 100% ACRI BCO</v>
          </cell>
          <cell r="C2088">
            <v>2</v>
          </cell>
          <cell r="D2088">
            <v>730</v>
          </cell>
        </row>
        <row r="2089">
          <cell r="A2089" t="str">
            <v>B23WSA2AE-5</v>
          </cell>
          <cell r="B2089" t="str">
            <v>SELLADOR P/CONCR 100% ACRI BCO</v>
          </cell>
          <cell r="C2089">
            <v>2</v>
          </cell>
          <cell r="D2089">
            <v>730</v>
          </cell>
        </row>
        <row r="2090">
          <cell r="A2090" t="str">
            <v>B24WSA1</v>
          </cell>
          <cell r="B2090" t="str">
            <v>SELL Y RELLE ESP BLANC P FIBRO</v>
          </cell>
          <cell r="C2090">
            <v>2</v>
          </cell>
          <cell r="D2090">
            <v>730</v>
          </cell>
        </row>
        <row r="2091">
          <cell r="A2091" t="str">
            <v>B24WSA1-1</v>
          </cell>
          <cell r="B2091" t="str">
            <v>SELL Y RELLE ESP BLANC P FIBRO</v>
          </cell>
          <cell r="C2091">
            <v>2</v>
          </cell>
          <cell r="D2091">
            <v>730</v>
          </cell>
        </row>
        <row r="2092">
          <cell r="A2092" t="str">
            <v>B24WSA1-5</v>
          </cell>
          <cell r="B2092" t="str">
            <v>SELL Y RELLE ESP BLANC P FIBRO</v>
          </cell>
          <cell r="C2092">
            <v>2</v>
          </cell>
          <cell r="D2092">
            <v>730</v>
          </cell>
        </row>
        <row r="2093">
          <cell r="A2093" t="str">
            <v>B24WSA2</v>
          </cell>
          <cell r="B2093" t="str">
            <v>SELLADOR BLANCO STD P/ CONCRET</v>
          </cell>
          <cell r="C2093">
            <v>2</v>
          </cell>
          <cell r="D2093">
            <v>730</v>
          </cell>
        </row>
        <row r="2094">
          <cell r="A2094" t="str">
            <v>B24WSA2-1</v>
          </cell>
          <cell r="B2094" t="str">
            <v>SELLADOR BLANCO STD P/CONCRETO</v>
          </cell>
          <cell r="C2094">
            <v>2</v>
          </cell>
          <cell r="D2094">
            <v>730</v>
          </cell>
        </row>
        <row r="2095">
          <cell r="A2095" t="str">
            <v>B24WSA2-5</v>
          </cell>
          <cell r="B2095" t="str">
            <v>SELLADOR BLANCO STD P/ CONCRET</v>
          </cell>
          <cell r="C2095">
            <v>2</v>
          </cell>
          <cell r="D2095">
            <v>730</v>
          </cell>
        </row>
        <row r="2096">
          <cell r="A2096" t="str">
            <v>B42W1</v>
          </cell>
          <cell r="B2096" t="str">
            <v xml:space="preserve">BLOC -TEX .                   </v>
          </cell>
          <cell r="C2096">
            <v>2</v>
          </cell>
          <cell r="D2096">
            <v>730</v>
          </cell>
        </row>
        <row r="2097">
          <cell r="A2097" t="str">
            <v>B42W1-1</v>
          </cell>
          <cell r="B2097" t="str">
            <v xml:space="preserve">BLOC -TEX .                   </v>
          </cell>
          <cell r="C2097">
            <v>2</v>
          </cell>
          <cell r="D2097">
            <v>730</v>
          </cell>
        </row>
        <row r="2098">
          <cell r="A2098" t="str">
            <v>B42W1-5</v>
          </cell>
          <cell r="B2098" t="str">
            <v xml:space="preserve">BLOC -TEX .                   </v>
          </cell>
          <cell r="C2098">
            <v>2</v>
          </cell>
          <cell r="D2098">
            <v>730</v>
          </cell>
        </row>
        <row r="2099">
          <cell r="A2099" t="str">
            <v>B45ASA1</v>
          </cell>
          <cell r="B2099" t="str">
            <v xml:space="preserve">SELLADOR GRIS P/CONCRETO      </v>
          </cell>
          <cell r="C2099">
            <v>2</v>
          </cell>
          <cell r="D2099">
            <v>730</v>
          </cell>
        </row>
        <row r="2100">
          <cell r="A2100" t="str">
            <v>B45ASA1-1</v>
          </cell>
          <cell r="B2100" t="str">
            <v xml:space="preserve">SELLADOR GRIS P/CONCRETO      </v>
          </cell>
          <cell r="C2100">
            <v>2</v>
          </cell>
          <cell r="D2100">
            <v>730</v>
          </cell>
        </row>
        <row r="2101">
          <cell r="A2101" t="str">
            <v>B45ASA1-5</v>
          </cell>
          <cell r="B2101" t="str">
            <v xml:space="preserve">SELLADOR GRIS P/CONCRETO      </v>
          </cell>
          <cell r="C2101">
            <v>2</v>
          </cell>
          <cell r="D2101">
            <v>730</v>
          </cell>
        </row>
        <row r="2102">
          <cell r="A2102" t="str">
            <v>B53RSA4158</v>
          </cell>
          <cell r="B2102" t="str">
            <v>EI ALQ BRIL SIST4000 B REALRED</v>
          </cell>
          <cell r="C2102">
            <v>3</v>
          </cell>
          <cell r="D2102">
            <v>1095</v>
          </cell>
        </row>
        <row r="2103">
          <cell r="A2103" t="str">
            <v>B53RSA4158-1</v>
          </cell>
          <cell r="B2103" t="str">
            <v>EI ALQ BRIL SIST4000 B REALRED</v>
          </cell>
          <cell r="C2103">
            <v>3</v>
          </cell>
          <cell r="D2103">
            <v>1095</v>
          </cell>
        </row>
        <row r="2104">
          <cell r="A2104" t="str">
            <v>B53RSA4158-1/4</v>
          </cell>
          <cell r="B2104" t="str">
            <v>EI ALQ BRIL SIST4000 B REALRED</v>
          </cell>
          <cell r="C2104">
            <v>3</v>
          </cell>
          <cell r="D2104">
            <v>1095</v>
          </cell>
        </row>
        <row r="2105">
          <cell r="A2105" t="str">
            <v>B53TSA4054</v>
          </cell>
          <cell r="B2105" t="str">
            <v>EI ALQ BRI SIST4000 B ULTRDEEP</v>
          </cell>
          <cell r="C2105">
            <v>3</v>
          </cell>
          <cell r="D2105">
            <v>1095</v>
          </cell>
        </row>
        <row r="2106">
          <cell r="A2106" t="str">
            <v>B53TSA4054-1</v>
          </cell>
          <cell r="B2106" t="str">
            <v>EI ALQ BRI SIST4000 B ULTRDEEP</v>
          </cell>
          <cell r="C2106">
            <v>3</v>
          </cell>
          <cell r="D2106">
            <v>1095</v>
          </cell>
        </row>
        <row r="2107">
          <cell r="A2107" t="str">
            <v>B53TSA4054-1/4</v>
          </cell>
          <cell r="B2107" t="str">
            <v>EI ALQ BRI SIST4000 B ULTRDEEP</v>
          </cell>
          <cell r="C2107">
            <v>3</v>
          </cell>
          <cell r="D2107">
            <v>1095</v>
          </cell>
        </row>
        <row r="2108">
          <cell r="A2108" t="str">
            <v>B53WSA4051</v>
          </cell>
          <cell r="B2108" t="str">
            <v>EI ALQ BRI SIST4000 B EX WHITE</v>
          </cell>
          <cell r="C2108">
            <v>3</v>
          </cell>
          <cell r="D2108">
            <v>1095</v>
          </cell>
        </row>
        <row r="2109">
          <cell r="A2109" t="str">
            <v>B53WSA4051-1</v>
          </cell>
          <cell r="B2109" t="str">
            <v>EI ALQ BRI SIST4000 B EX WHITE</v>
          </cell>
          <cell r="C2109">
            <v>3</v>
          </cell>
          <cell r="D2109">
            <v>1095</v>
          </cell>
        </row>
        <row r="2110">
          <cell r="A2110" t="str">
            <v>B53WSA4051-1/4</v>
          </cell>
          <cell r="B2110" t="str">
            <v>EI ALQ BRI SIST4000 B EX WHITE</v>
          </cell>
          <cell r="C2110">
            <v>3</v>
          </cell>
          <cell r="D2110">
            <v>1095</v>
          </cell>
        </row>
        <row r="2111">
          <cell r="A2111" t="str">
            <v>B53WSA4051-5</v>
          </cell>
          <cell r="B2111" t="str">
            <v>EI ALQ BRI SIST4000 B EX WHITE</v>
          </cell>
          <cell r="C2111">
            <v>3</v>
          </cell>
          <cell r="D2111">
            <v>1095</v>
          </cell>
        </row>
        <row r="2112">
          <cell r="A2112" t="str">
            <v>B53WSA4053</v>
          </cell>
          <cell r="B2112" t="str">
            <v>EI ALQ BRILL SIST4000 BAS DEEP</v>
          </cell>
          <cell r="C2112">
            <v>3</v>
          </cell>
          <cell r="D2112">
            <v>1095</v>
          </cell>
        </row>
        <row r="2113">
          <cell r="A2113" t="str">
            <v>B53WSA4053-1</v>
          </cell>
          <cell r="B2113" t="str">
            <v>EI ALQ BRILL SIST4000 BAS DEEP</v>
          </cell>
          <cell r="C2113">
            <v>3</v>
          </cell>
          <cell r="D2113">
            <v>1095</v>
          </cell>
        </row>
        <row r="2114">
          <cell r="A2114" t="str">
            <v>B53WSA4053-1/4</v>
          </cell>
          <cell r="B2114" t="str">
            <v>EI ALQ BRILL SIST4000 BAS DEEP</v>
          </cell>
          <cell r="C2114">
            <v>3</v>
          </cell>
          <cell r="D2114">
            <v>1095</v>
          </cell>
        </row>
        <row r="2115">
          <cell r="A2115" t="str">
            <v>B53WSA4053-5</v>
          </cell>
          <cell r="B2115" t="str">
            <v>ESMALTE IND ALK BRIL BASE DEEP</v>
          </cell>
          <cell r="C2115">
            <v>3</v>
          </cell>
          <cell r="D2115">
            <v>1095</v>
          </cell>
        </row>
        <row r="2116">
          <cell r="A2116" t="str">
            <v>B53YSA4157</v>
          </cell>
          <cell r="B2116" t="str">
            <v>EI ALQ BRI SI4000 B BRIGHYELLO</v>
          </cell>
          <cell r="C2116">
            <v>3</v>
          </cell>
          <cell r="D2116">
            <v>1095</v>
          </cell>
        </row>
        <row r="2117">
          <cell r="A2117" t="str">
            <v>B53YSA4157-1</v>
          </cell>
          <cell r="B2117" t="str">
            <v>EI ALQ BRI SI4000 B BRIGHYELLO</v>
          </cell>
          <cell r="C2117">
            <v>3</v>
          </cell>
          <cell r="D2117">
            <v>1095</v>
          </cell>
        </row>
        <row r="2118">
          <cell r="A2118" t="str">
            <v>B53YSA4157-1/4</v>
          </cell>
          <cell r="B2118" t="str">
            <v>EI ALQ BRI SI4000 B BRIGHYELLO</v>
          </cell>
          <cell r="C2118">
            <v>3</v>
          </cell>
          <cell r="D2118">
            <v>1095</v>
          </cell>
        </row>
        <row r="2119">
          <cell r="A2119" t="str">
            <v>B54ACR3</v>
          </cell>
          <cell r="B2119" t="str">
            <v>ESM IND FAST DRY BRILLANT GRIS</v>
          </cell>
          <cell r="C2119">
            <v>2</v>
          </cell>
          <cell r="D2119">
            <v>730</v>
          </cell>
        </row>
        <row r="2120">
          <cell r="A2120" t="str">
            <v>B54ACR3-1</v>
          </cell>
          <cell r="B2120" t="str">
            <v>ESM IND FAST DRY BRILLANT GRIS</v>
          </cell>
          <cell r="C2120">
            <v>2</v>
          </cell>
          <cell r="D2120">
            <v>730</v>
          </cell>
        </row>
        <row r="2121">
          <cell r="A2121" t="str">
            <v>B54ACR3-1/4</v>
          </cell>
          <cell r="B2121" t="str">
            <v>ESM IND FAST DRY BRILLANT GRIS</v>
          </cell>
          <cell r="C2121">
            <v>2</v>
          </cell>
          <cell r="D2121">
            <v>730</v>
          </cell>
        </row>
        <row r="2122">
          <cell r="A2122" t="str">
            <v>B54BCR1</v>
          </cell>
          <cell r="B2122" t="str">
            <v>ESM IND FAST DRY BRILLAN NEGRO</v>
          </cell>
          <cell r="C2122">
            <v>2</v>
          </cell>
          <cell r="D2122">
            <v>730</v>
          </cell>
        </row>
        <row r="2123">
          <cell r="A2123" t="str">
            <v>B54BCR1-1</v>
          </cell>
          <cell r="B2123" t="str">
            <v>ESM IND FAST DRY BRILLAN NEGRO</v>
          </cell>
          <cell r="C2123">
            <v>2</v>
          </cell>
          <cell r="D2123">
            <v>730</v>
          </cell>
        </row>
        <row r="2124">
          <cell r="A2124" t="str">
            <v>B54BCR1-1/4</v>
          </cell>
          <cell r="B2124" t="str">
            <v>ESM IND FAST DRY BRILLAN NEGRO</v>
          </cell>
          <cell r="C2124">
            <v>2</v>
          </cell>
          <cell r="D2124">
            <v>730</v>
          </cell>
        </row>
        <row r="2125">
          <cell r="A2125" t="str">
            <v>B54GCR1</v>
          </cell>
          <cell r="B2125" t="str">
            <v>ESM IND FAST DRY BRILLAN VERDE</v>
          </cell>
          <cell r="C2125">
            <v>2</v>
          </cell>
          <cell r="D2125">
            <v>730</v>
          </cell>
        </row>
        <row r="2126">
          <cell r="A2126" t="str">
            <v>B54GCR1-1</v>
          </cell>
          <cell r="B2126" t="str">
            <v>ESM IND FAST DRY BRILLAN VERDE</v>
          </cell>
          <cell r="C2126">
            <v>2</v>
          </cell>
          <cell r="D2126">
            <v>730</v>
          </cell>
        </row>
        <row r="2127">
          <cell r="A2127" t="str">
            <v>B54GCR1-1/4</v>
          </cell>
          <cell r="B2127" t="str">
            <v>ESM IND FAST DRY BRILLAN VERDE</v>
          </cell>
          <cell r="C2127">
            <v>2</v>
          </cell>
          <cell r="D2127">
            <v>730</v>
          </cell>
        </row>
        <row r="2128">
          <cell r="A2128" t="str">
            <v>B54LCR1</v>
          </cell>
          <cell r="B2128" t="str">
            <v>ESM IND FAST DRY BRILLANT AZUL</v>
          </cell>
          <cell r="C2128">
            <v>2</v>
          </cell>
          <cell r="D2128">
            <v>730</v>
          </cell>
        </row>
        <row r="2129">
          <cell r="A2129" t="str">
            <v>B54LCR1-1</v>
          </cell>
          <cell r="B2129" t="str">
            <v>ESM IND FAST DRY BRILLANT AZUL</v>
          </cell>
          <cell r="C2129">
            <v>2</v>
          </cell>
          <cell r="D2129">
            <v>730</v>
          </cell>
        </row>
        <row r="2130">
          <cell r="A2130" t="str">
            <v>B54LCR1-1/4</v>
          </cell>
          <cell r="B2130" t="str">
            <v>ESM IND FAST DRY BRILLANT AZUL</v>
          </cell>
          <cell r="C2130">
            <v>2</v>
          </cell>
          <cell r="D2130">
            <v>730</v>
          </cell>
        </row>
        <row r="2131">
          <cell r="A2131" t="str">
            <v>B54RCR1</v>
          </cell>
          <cell r="B2131" t="str">
            <v>ESM IND FAST DRY BRILLANT ROJO</v>
          </cell>
          <cell r="C2131">
            <v>2</v>
          </cell>
          <cell r="D2131">
            <v>730</v>
          </cell>
        </row>
        <row r="2132">
          <cell r="A2132" t="str">
            <v>B54RCR1-1</v>
          </cell>
          <cell r="B2132" t="str">
            <v>ESM IND FAST DRY BRILLANT ROJO</v>
          </cell>
          <cell r="C2132">
            <v>2</v>
          </cell>
          <cell r="D2132">
            <v>730</v>
          </cell>
        </row>
        <row r="2133">
          <cell r="A2133" t="str">
            <v>B54RCR1-1/4</v>
          </cell>
          <cell r="B2133" t="str">
            <v>ESM IND FAST DRY BRILLANT ROJO</v>
          </cell>
          <cell r="C2133">
            <v>2</v>
          </cell>
          <cell r="D2133">
            <v>730</v>
          </cell>
        </row>
        <row r="2134">
          <cell r="A2134" t="str">
            <v>B54WCR1</v>
          </cell>
          <cell r="B2134" t="str">
            <v>ESM IND FAST DRY BRILLANTE BCO</v>
          </cell>
          <cell r="C2134">
            <v>2</v>
          </cell>
          <cell r="D2134">
            <v>730</v>
          </cell>
        </row>
        <row r="2135">
          <cell r="A2135" t="str">
            <v>B54WCR1-1</v>
          </cell>
          <cell r="B2135" t="str">
            <v>ESM IND FAST DRY BRILLANTE BCO</v>
          </cell>
          <cell r="C2135">
            <v>2</v>
          </cell>
          <cell r="D2135">
            <v>730</v>
          </cell>
        </row>
        <row r="2136">
          <cell r="A2136" t="str">
            <v>B54WCR1-1/4</v>
          </cell>
          <cell r="B2136" t="str">
            <v>ESM IND FAST DRY BRILLANTE BCO</v>
          </cell>
          <cell r="C2136">
            <v>2</v>
          </cell>
          <cell r="D2136">
            <v>730</v>
          </cell>
        </row>
        <row r="2137">
          <cell r="A2137" t="str">
            <v>B54YCR1</v>
          </cell>
          <cell r="B2137" t="str">
            <v>ESM IND FAST DRY BRIL AMARILLO</v>
          </cell>
          <cell r="C2137">
            <v>2</v>
          </cell>
          <cell r="D2137">
            <v>730</v>
          </cell>
        </row>
        <row r="2138">
          <cell r="A2138" t="str">
            <v>B54YCR1-1</v>
          </cell>
          <cell r="B2138" t="str">
            <v>ESM IND FAST DRY BRIL AMARILLO</v>
          </cell>
          <cell r="C2138">
            <v>2</v>
          </cell>
          <cell r="D2138">
            <v>730</v>
          </cell>
        </row>
        <row r="2139">
          <cell r="A2139" t="str">
            <v>B54YCR1-1/4</v>
          </cell>
          <cell r="B2139" t="str">
            <v>ESM IND FAST DRY BRIL AMARILLO</v>
          </cell>
          <cell r="C2139">
            <v>2</v>
          </cell>
          <cell r="D2139">
            <v>730</v>
          </cell>
        </row>
        <row r="2140">
          <cell r="A2140" t="str">
            <v>B60V20-1</v>
          </cell>
          <cell r="B2140" t="str">
            <v>HI-SOLID  CATALYZED HARDENER B</v>
          </cell>
          <cell r="C2140">
            <v>2</v>
          </cell>
          <cell r="D2140">
            <v>730</v>
          </cell>
        </row>
        <row r="2141">
          <cell r="A2141" t="str">
            <v>B60V20-1/4</v>
          </cell>
          <cell r="B2141" t="str">
            <v>HIGHT SOLIDS CATALIZED HARDENE</v>
          </cell>
          <cell r="C2141">
            <v>2</v>
          </cell>
          <cell r="D2141">
            <v>730</v>
          </cell>
        </row>
        <row r="2142">
          <cell r="A2142" t="str">
            <v>B61B2</v>
          </cell>
          <cell r="B2142" t="str">
            <v xml:space="preserve">INTERIOR WATER TANK COATING   </v>
          </cell>
          <cell r="C2142">
            <v>2</v>
          </cell>
          <cell r="D2142">
            <v>730</v>
          </cell>
        </row>
        <row r="2143">
          <cell r="A2143" t="str">
            <v>B61B2-1</v>
          </cell>
          <cell r="B2143" t="str">
            <v xml:space="preserve">INTERIOR WATER TANK COATING   </v>
          </cell>
          <cell r="C2143">
            <v>2</v>
          </cell>
          <cell r="D2143">
            <v>730</v>
          </cell>
        </row>
        <row r="2144">
          <cell r="A2144" t="str">
            <v>B61BSA1</v>
          </cell>
          <cell r="B2144" t="str">
            <v xml:space="preserve">EBONOL                        </v>
          </cell>
          <cell r="C2144">
            <v>2</v>
          </cell>
          <cell r="D2144">
            <v>730</v>
          </cell>
        </row>
        <row r="2145">
          <cell r="A2145" t="str">
            <v>B61BSA1-1</v>
          </cell>
          <cell r="B2145" t="str">
            <v xml:space="preserve">EBONOL                        </v>
          </cell>
          <cell r="C2145">
            <v>2</v>
          </cell>
          <cell r="D2145">
            <v>730</v>
          </cell>
        </row>
        <row r="2146">
          <cell r="A2146" t="str">
            <v>B62W201-1</v>
          </cell>
          <cell r="B2146" t="str">
            <v xml:space="preserve">HI SOLID CATALYZED EXPOXY     </v>
          </cell>
          <cell r="C2146">
            <v>2</v>
          </cell>
          <cell r="D2146">
            <v>730</v>
          </cell>
        </row>
        <row r="2147">
          <cell r="A2147" t="str">
            <v>B62W201-4</v>
          </cell>
          <cell r="B2147" t="str">
            <v>HI-SOLID CATALYZED EPOXY BCO A</v>
          </cell>
          <cell r="C2147">
            <v>2</v>
          </cell>
          <cell r="D2147">
            <v>730</v>
          </cell>
        </row>
        <row r="2148">
          <cell r="A2148" t="str">
            <v>B66ASA2</v>
          </cell>
          <cell r="B2148" t="str">
            <v xml:space="preserve">DTM S/B GRIS PROVIVIENDA      </v>
          </cell>
          <cell r="C2148">
            <v>2</v>
          </cell>
          <cell r="D2148">
            <v>730</v>
          </cell>
        </row>
        <row r="2149">
          <cell r="A2149" t="str">
            <v>B66ASA2-1</v>
          </cell>
          <cell r="B2149" t="str">
            <v xml:space="preserve">DTM S/B GRIS PROVIVIENDA      </v>
          </cell>
          <cell r="C2149">
            <v>2</v>
          </cell>
          <cell r="D2149">
            <v>730</v>
          </cell>
        </row>
        <row r="2150">
          <cell r="A2150" t="str">
            <v>B66B11-1</v>
          </cell>
          <cell r="B2150" t="str">
            <v xml:space="preserve">DIRECT TO METAL NEGRO         </v>
          </cell>
          <cell r="C2150">
            <v>2</v>
          </cell>
          <cell r="D2150">
            <v>730</v>
          </cell>
        </row>
        <row r="2151">
          <cell r="A2151" t="str">
            <v>B66W101</v>
          </cell>
          <cell r="B2151" t="str">
            <v xml:space="preserve">DIRECT TO METAL BLANCO        </v>
          </cell>
          <cell r="C2151">
            <v>2</v>
          </cell>
          <cell r="D2151">
            <v>730</v>
          </cell>
        </row>
        <row r="2152">
          <cell r="A2152" t="str">
            <v>B66W101-1</v>
          </cell>
          <cell r="B2152" t="str">
            <v xml:space="preserve">DIRECT TO METAL BLANCO        </v>
          </cell>
          <cell r="C2152">
            <v>2</v>
          </cell>
          <cell r="D2152">
            <v>730</v>
          </cell>
        </row>
        <row r="2153">
          <cell r="A2153" t="str">
            <v>B69D11</v>
          </cell>
          <cell r="B2153" t="str">
            <v>ZINC CLAD II SILICAT ZINC DUST</v>
          </cell>
          <cell r="C2153">
            <v>2</v>
          </cell>
          <cell r="D2153">
            <v>730</v>
          </cell>
        </row>
        <row r="2154">
          <cell r="A2154" t="str">
            <v>B69D11-5</v>
          </cell>
          <cell r="B2154" t="str">
            <v>ZINC CLAD II SILICAT ZINC DUST</v>
          </cell>
          <cell r="C2154">
            <v>2</v>
          </cell>
          <cell r="D2154">
            <v>730</v>
          </cell>
        </row>
        <row r="2155">
          <cell r="A2155" t="str">
            <v>B79ASA10</v>
          </cell>
          <cell r="B2155" t="str">
            <v>COLONIAL STYLE LATEX MATE GRAY</v>
          </cell>
          <cell r="C2155">
            <v>2</v>
          </cell>
          <cell r="D2155">
            <v>730</v>
          </cell>
        </row>
        <row r="2156">
          <cell r="A2156" t="str">
            <v>B79ASA10-1</v>
          </cell>
          <cell r="B2156" t="str">
            <v>COLONIAL STYLE LATEX MATE GRAY</v>
          </cell>
          <cell r="C2156">
            <v>2</v>
          </cell>
          <cell r="D2156">
            <v>730</v>
          </cell>
        </row>
        <row r="2157">
          <cell r="A2157" t="str">
            <v>B79ASA10-5</v>
          </cell>
          <cell r="B2157" t="str">
            <v>COLONIAL STYLE LATEX MATE GRAY</v>
          </cell>
          <cell r="C2157">
            <v>2</v>
          </cell>
          <cell r="D2157">
            <v>730</v>
          </cell>
        </row>
        <row r="2158">
          <cell r="A2158" t="str">
            <v>B79ASA11</v>
          </cell>
          <cell r="B2158" t="str">
            <v>COLONIAL STYLE LATEX MATE GRIS</v>
          </cell>
          <cell r="C2158">
            <v>2</v>
          </cell>
          <cell r="D2158">
            <v>730</v>
          </cell>
        </row>
        <row r="2159">
          <cell r="A2159" t="str">
            <v>B79ASA11-1</v>
          </cell>
          <cell r="B2159" t="str">
            <v>COLONIAL STYLE LATEX MATE GRIS</v>
          </cell>
          <cell r="C2159">
            <v>2</v>
          </cell>
          <cell r="D2159">
            <v>730</v>
          </cell>
        </row>
        <row r="2160">
          <cell r="A2160" t="str">
            <v>B79ASA11-5</v>
          </cell>
          <cell r="B2160" t="str">
            <v>COLONIAL STYLE LATEX MATE GRIS</v>
          </cell>
          <cell r="C2160">
            <v>2</v>
          </cell>
          <cell r="D2160">
            <v>730</v>
          </cell>
        </row>
        <row r="2161">
          <cell r="A2161" t="str">
            <v>B79ASA12</v>
          </cell>
          <cell r="B2161" t="str">
            <v xml:space="preserve">COLONIAL STYL LAT MATE GRIS   </v>
          </cell>
          <cell r="C2161">
            <v>2</v>
          </cell>
          <cell r="D2161">
            <v>730</v>
          </cell>
        </row>
        <row r="2162">
          <cell r="A2162" t="str">
            <v>B79ASA12-1</v>
          </cell>
          <cell r="B2162" t="str">
            <v xml:space="preserve">COLONIAL STYL LAT MATE GRIS   </v>
          </cell>
          <cell r="C2162">
            <v>2</v>
          </cell>
          <cell r="D2162">
            <v>730</v>
          </cell>
        </row>
        <row r="2163">
          <cell r="A2163" t="str">
            <v>B79ASA13</v>
          </cell>
          <cell r="B2163" t="str">
            <v>COLONIAL STYLE LATEX MATE GRIS</v>
          </cell>
          <cell r="C2163">
            <v>2</v>
          </cell>
          <cell r="D2163">
            <v>730</v>
          </cell>
        </row>
        <row r="2164">
          <cell r="A2164" t="str">
            <v>B79ASA13-5</v>
          </cell>
          <cell r="B2164" t="str">
            <v>COLONIAL STYLE LATEX MATE GRIS</v>
          </cell>
          <cell r="C2164">
            <v>2</v>
          </cell>
          <cell r="D2164">
            <v>730</v>
          </cell>
        </row>
        <row r="2165">
          <cell r="A2165" t="str">
            <v>B79ASA6</v>
          </cell>
          <cell r="B2165" t="str">
            <v>COL ST LATE MAT GRIS SILVERADO</v>
          </cell>
          <cell r="C2165">
            <v>2</v>
          </cell>
          <cell r="D2165">
            <v>730</v>
          </cell>
        </row>
        <row r="2166">
          <cell r="A2166" t="str">
            <v>B79ASA6-1</v>
          </cell>
          <cell r="B2166" t="str">
            <v>COL ST LATE MAT GRIS SILVERADO</v>
          </cell>
          <cell r="C2166">
            <v>2</v>
          </cell>
          <cell r="D2166">
            <v>730</v>
          </cell>
        </row>
        <row r="2167">
          <cell r="A2167" t="str">
            <v>B79ASA6-1/4</v>
          </cell>
          <cell r="B2167" t="str">
            <v>COL ST LATE MAT GRIS SILVERADO</v>
          </cell>
          <cell r="C2167">
            <v>2</v>
          </cell>
          <cell r="D2167">
            <v>730</v>
          </cell>
        </row>
        <row r="2168">
          <cell r="A2168" t="str">
            <v>B79ASA6-5</v>
          </cell>
          <cell r="B2168" t="str">
            <v xml:space="preserve">COLONIAL LATEX GRIS SILVERADO </v>
          </cell>
          <cell r="C2168">
            <v>2</v>
          </cell>
          <cell r="D2168">
            <v>730</v>
          </cell>
        </row>
        <row r="2169">
          <cell r="A2169" t="str">
            <v>B79ASA9</v>
          </cell>
          <cell r="B2169" t="str">
            <v>COLONIAL STYLE MATE GRIS PLATA</v>
          </cell>
          <cell r="C2169">
            <v>2</v>
          </cell>
          <cell r="D2169">
            <v>730</v>
          </cell>
        </row>
        <row r="2170">
          <cell r="A2170" t="str">
            <v>B79ASA9-1</v>
          </cell>
          <cell r="B2170" t="str">
            <v>COLONIAL STYLE MATE GRIS PLATA</v>
          </cell>
          <cell r="C2170">
            <v>2</v>
          </cell>
          <cell r="D2170">
            <v>730</v>
          </cell>
        </row>
        <row r="2171">
          <cell r="A2171" t="str">
            <v>B79ASA9-1/4</v>
          </cell>
          <cell r="B2171" t="str">
            <v>COLONIAL STYLE MATE GRIS PLATA</v>
          </cell>
          <cell r="C2171">
            <v>2</v>
          </cell>
          <cell r="D2171">
            <v>730</v>
          </cell>
        </row>
        <row r="2172">
          <cell r="A2172" t="str">
            <v>B79ASA9-5</v>
          </cell>
          <cell r="B2172" t="str">
            <v>COLONIAL STYLE MATE GRIS PLATA</v>
          </cell>
          <cell r="C2172">
            <v>2</v>
          </cell>
          <cell r="D2172">
            <v>730</v>
          </cell>
        </row>
        <row r="2173">
          <cell r="A2173" t="str">
            <v>B79ESA10</v>
          </cell>
          <cell r="B2173" t="str">
            <v xml:space="preserve">COLONIAL STYL LAT MAT CORAL   </v>
          </cell>
          <cell r="C2173">
            <v>2</v>
          </cell>
          <cell r="D2173">
            <v>730</v>
          </cell>
        </row>
        <row r="2174">
          <cell r="A2174" t="str">
            <v>B79ESA10-1</v>
          </cell>
          <cell r="B2174" t="str">
            <v xml:space="preserve">COLONIAL STYL LAT MAT CORAL   </v>
          </cell>
          <cell r="C2174">
            <v>2</v>
          </cell>
          <cell r="D2174">
            <v>730</v>
          </cell>
        </row>
        <row r="2175">
          <cell r="A2175" t="str">
            <v>B79ESA11</v>
          </cell>
          <cell r="B2175" t="str">
            <v xml:space="preserve">COLONIAL STYLE LAT MATE PEACH </v>
          </cell>
          <cell r="C2175">
            <v>2</v>
          </cell>
          <cell r="D2175">
            <v>730</v>
          </cell>
        </row>
        <row r="2176">
          <cell r="A2176" t="str">
            <v>B79ESA11-5</v>
          </cell>
          <cell r="B2176" t="str">
            <v xml:space="preserve">COLONIAL STYLE LAT MATE PEACH </v>
          </cell>
          <cell r="C2176">
            <v>2</v>
          </cell>
          <cell r="D2176">
            <v>730</v>
          </cell>
        </row>
        <row r="2177">
          <cell r="A2177" t="str">
            <v>B79ESA12</v>
          </cell>
          <cell r="B2177" t="str">
            <v xml:space="preserve">COLONIAL STYLE LATEX MATE BOR </v>
          </cell>
          <cell r="C2177">
            <v>2</v>
          </cell>
          <cell r="D2177">
            <v>730</v>
          </cell>
        </row>
        <row r="2178">
          <cell r="A2178" t="str">
            <v>B79ESA12-5</v>
          </cell>
          <cell r="B2178" t="str">
            <v xml:space="preserve">COLONIAL STYLE LATEX MATE BOR </v>
          </cell>
          <cell r="C2178">
            <v>2</v>
          </cell>
          <cell r="D2178">
            <v>730</v>
          </cell>
        </row>
        <row r="2179">
          <cell r="A2179" t="str">
            <v>B79ESA2</v>
          </cell>
          <cell r="B2179" t="str">
            <v>COLONIAL STYL LATEX MATE MELON</v>
          </cell>
          <cell r="C2179">
            <v>2</v>
          </cell>
          <cell r="D2179">
            <v>730</v>
          </cell>
        </row>
        <row r="2180">
          <cell r="A2180" t="str">
            <v>B79ESA2-1</v>
          </cell>
          <cell r="B2180" t="str">
            <v>COLONIAL STYL LATEX MATE MELON</v>
          </cell>
          <cell r="C2180">
            <v>2</v>
          </cell>
          <cell r="D2180">
            <v>730</v>
          </cell>
        </row>
        <row r="2181">
          <cell r="A2181" t="str">
            <v>B79ESA2-1/4</v>
          </cell>
          <cell r="B2181" t="str">
            <v>COLONIAL STYL LATEX MATE MELON</v>
          </cell>
          <cell r="C2181">
            <v>2</v>
          </cell>
          <cell r="D2181">
            <v>730</v>
          </cell>
        </row>
        <row r="2182">
          <cell r="A2182" t="str">
            <v>B79ESA2-5</v>
          </cell>
          <cell r="B2182" t="str">
            <v>COLONIAL STYL LATEX MATE MELON</v>
          </cell>
          <cell r="C2182">
            <v>2</v>
          </cell>
          <cell r="D2182">
            <v>730</v>
          </cell>
        </row>
        <row r="2183">
          <cell r="A2183" t="str">
            <v>B79ESA7</v>
          </cell>
          <cell r="B2183" t="str">
            <v xml:space="preserve">COLONIAL STYLE LAT MATE MELOC </v>
          </cell>
          <cell r="C2183">
            <v>2</v>
          </cell>
          <cell r="D2183">
            <v>730</v>
          </cell>
        </row>
        <row r="2184">
          <cell r="A2184" t="str">
            <v>B79ESA7-1</v>
          </cell>
          <cell r="B2184" t="str">
            <v xml:space="preserve">COLONIAL STYLE LAT MATE MELOC </v>
          </cell>
          <cell r="C2184">
            <v>2</v>
          </cell>
          <cell r="D2184">
            <v>730</v>
          </cell>
        </row>
        <row r="2185">
          <cell r="A2185" t="str">
            <v>B79ESA7-1/4</v>
          </cell>
          <cell r="B2185" t="str">
            <v xml:space="preserve">COLONIAL STYLE LAT MATE MELOC </v>
          </cell>
          <cell r="C2185">
            <v>2</v>
          </cell>
          <cell r="D2185">
            <v>730</v>
          </cell>
        </row>
        <row r="2186">
          <cell r="A2186" t="str">
            <v>B79ESA7-5</v>
          </cell>
          <cell r="B2186" t="str">
            <v xml:space="preserve">COLONIAL STYLE LAT MATE MELOC </v>
          </cell>
          <cell r="C2186">
            <v>2</v>
          </cell>
          <cell r="D2186">
            <v>730</v>
          </cell>
        </row>
        <row r="2187">
          <cell r="A2187" t="str">
            <v>B79ESA8</v>
          </cell>
          <cell r="B2187" t="str">
            <v xml:space="preserve">COLONIAL STYLE LAT MATE PEACH </v>
          </cell>
          <cell r="C2187">
            <v>2</v>
          </cell>
          <cell r="D2187">
            <v>730</v>
          </cell>
        </row>
        <row r="2188">
          <cell r="A2188" t="str">
            <v>B79ESA8-1</v>
          </cell>
          <cell r="B2188" t="str">
            <v xml:space="preserve">COLONIAL STYLE LAT MATE PEACH </v>
          </cell>
          <cell r="C2188">
            <v>2</v>
          </cell>
          <cell r="D2188">
            <v>730</v>
          </cell>
        </row>
        <row r="2189">
          <cell r="A2189" t="str">
            <v>B79ESA9</v>
          </cell>
          <cell r="B2189" t="str">
            <v xml:space="preserve">COLONIAL STYLE LAT MATE PEACH </v>
          </cell>
          <cell r="C2189">
            <v>2</v>
          </cell>
          <cell r="D2189">
            <v>730</v>
          </cell>
        </row>
        <row r="2190">
          <cell r="A2190" t="str">
            <v>B79ESA9-1</v>
          </cell>
          <cell r="B2190" t="str">
            <v xml:space="preserve">COLONIAL STYLE LAT MATE PEACH </v>
          </cell>
          <cell r="C2190">
            <v>2</v>
          </cell>
          <cell r="D2190">
            <v>730</v>
          </cell>
        </row>
        <row r="2191">
          <cell r="A2191" t="str">
            <v>B79GSA15</v>
          </cell>
          <cell r="B2191" t="str">
            <v>COL STYL LATEX MAT VERDE MENTA</v>
          </cell>
          <cell r="C2191">
            <v>2</v>
          </cell>
          <cell r="D2191">
            <v>730</v>
          </cell>
        </row>
        <row r="2192">
          <cell r="A2192" t="str">
            <v>B79GSA15-1</v>
          </cell>
          <cell r="B2192" t="str">
            <v>COL STYL LATEX MAT VERDE MENTA</v>
          </cell>
          <cell r="C2192">
            <v>2</v>
          </cell>
          <cell r="D2192">
            <v>730</v>
          </cell>
        </row>
        <row r="2193">
          <cell r="A2193" t="str">
            <v>B79GSA15-1/4</v>
          </cell>
          <cell r="B2193" t="str">
            <v>COL STYL LATEX MAT VERDE MENTA</v>
          </cell>
          <cell r="C2193">
            <v>2</v>
          </cell>
          <cell r="D2193">
            <v>730</v>
          </cell>
        </row>
        <row r="2194">
          <cell r="A2194" t="str">
            <v>B79GSA15-5</v>
          </cell>
          <cell r="B2194" t="str">
            <v xml:space="preserve">COLONIAL LATEX VERDE MENTA    </v>
          </cell>
          <cell r="C2194">
            <v>2</v>
          </cell>
          <cell r="D2194">
            <v>730</v>
          </cell>
        </row>
        <row r="2195">
          <cell r="A2195" t="str">
            <v>B79GSA17</v>
          </cell>
          <cell r="B2195" t="str">
            <v xml:space="preserve">COLONIAL LATEX VERDE CAMPERO  </v>
          </cell>
          <cell r="C2195">
            <v>2</v>
          </cell>
          <cell r="D2195">
            <v>730</v>
          </cell>
        </row>
        <row r="2196">
          <cell r="A2196" t="str">
            <v>B79GSA17-1</v>
          </cell>
          <cell r="B2196" t="str">
            <v xml:space="preserve">COLONIAL LATEX VERDE CAMPERO  </v>
          </cell>
          <cell r="C2196">
            <v>2</v>
          </cell>
          <cell r="D2196">
            <v>730</v>
          </cell>
        </row>
        <row r="2197">
          <cell r="A2197" t="str">
            <v>B79GSA19</v>
          </cell>
          <cell r="B2197" t="str">
            <v xml:space="preserve">COLONIAL STYLE LAT MATE VERDE </v>
          </cell>
          <cell r="C2197">
            <v>2</v>
          </cell>
          <cell r="D2197">
            <v>730</v>
          </cell>
        </row>
        <row r="2198">
          <cell r="A2198" t="str">
            <v>B79GSA19-1</v>
          </cell>
          <cell r="B2198" t="str">
            <v xml:space="preserve">COLONIAL STYLE LAT MATE VERDE </v>
          </cell>
          <cell r="C2198">
            <v>2</v>
          </cell>
          <cell r="D2198">
            <v>730</v>
          </cell>
        </row>
        <row r="2199">
          <cell r="A2199" t="str">
            <v>B79GSA19-5</v>
          </cell>
          <cell r="B2199" t="str">
            <v xml:space="preserve">COLONIAL STYLE LAT MATE VERDE </v>
          </cell>
          <cell r="C2199">
            <v>2</v>
          </cell>
          <cell r="D2199">
            <v>730</v>
          </cell>
        </row>
        <row r="2200">
          <cell r="A2200" t="str">
            <v>B79GSA20</v>
          </cell>
          <cell r="B2200" t="str">
            <v xml:space="preserve">COLONIAL STYLE LAT MATE VERDE </v>
          </cell>
          <cell r="C2200">
            <v>2</v>
          </cell>
          <cell r="D2200">
            <v>730</v>
          </cell>
        </row>
        <row r="2201">
          <cell r="A2201" t="str">
            <v>B79GSA20-1</v>
          </cell>
          <cell r="B2201" t="str">
            <v xml:space="preserve">COLONIAL STYLE LAT MATE VERDE </v>
          </cell>
          <cell r="C2201">
            <v>2</v>
          </cell>
          <cell r="D2201">
            <v>730</v>
          </cell>
        </row>
        <row r="2202">
          <cell r="A2202" t="str">
            <v>B79GSA21</v>
          </cell>
          <cell r="B2202" t="str">
            <v xml:space="preserve">COLONIAL SYTL LAT MAT VERDE   </v>
          </cell>
          <cell r="C2202">
            <v>2</v>
          </cell>
          <cell r="D2202">
            <v>730</v>
          </cell>
        </row>
        <row r="2203">
          <cell r="A2203" t="str">
            <v>B79GSA21-5</v>
          </cell>
          <cell r="B2203" t="str">
            <v xml:space="preserve">COLONIAL SYTL LAT MAT VERDE   </v>
          </cell>
          <cell r="C2203">
            <v>2</v>
          </cell>
          <cell r="D2203">
            <v>730</v>
          </cell>
        </row>
        <row r="2204">
          <cell r="A2204" t="str">
            <v>B79GSA24</v>
          </cell>
          <cell r="B2204" t="str">
            <v xml:space="preserve">COLONIAL STYL LAT MATE VERDE  </v>
          </cell>
          <cell r="C2204">
            <v>2</v>
          </cell>
          <cell r="D2204">
            <v>730</v>
          </cell>
        </row>
        <row r="2205">
          <cell r="A2205" t="str">
            <v>B79GSA24-50</v>
          </cell>
          <cell r="B2205" t="str">
            <v xml:space="preserve">COLONIAL STYL LAT MATE VERDE  </v>
          </cell>
          <cell r="C2205">
            <v>2</v>
          </cell>
          <cell r="D2205">
            <v>730</v>
          </cell>
        </row>
        <row r="2206">
          <cell r="A2206" t="str">
            <v>B79GSA25</v>
          </cell>
          <cell r="B2206" t="str">
            <v xml:space="preserve">COLONIAL STYL LAT MATE VERDE  </v>
          </cell>
          <cell r="C2206">
            <v>2</v>
          </cell>
          <cell r="D2206">
            <v>730</v>
          </cell>
        </row>
        <row r="2207">
          <cell r="A2207" t="str">
            <v>B79GSA25-1</v>
          </cell>
          <cell r="B2207" t="str">
            <v xml:space="preserve">COLONIAL STYL LAT MATE VERDE  </v>
          </cell>
          <cell r="C2207">
            <v>2</v>
          </cell>
          <cell r="D2207">
            <v>730</v>
          </cell>
        </row>
        <row r="2208">
          <cell r="A2208" t="str">
            <v>B79GSA26</v>
          </cell>
          <cell r="B2208" t="str">
            <v xml:space="preserve">COLONIAL STYLE LAT MATE VERDE </v>
          </cell>
          <cell r="C2208">
            <v>2</v>
          </cell>
          <cell r="D2208">
            <v>730</v>
          </cell>
        </row>
        <row r="2209">
          <cell r="A2209" t="str">
            <v>B79GSA26-1</v>
          </cell>
          <cell r="B2209" t="str">
            <v xml:space="preserve">COLONIAL STYLE LAT MATE VERDE </v>
          </cell>
          <cell r="C2209">
            <v>2</v>
          </cell>
          <cell r="D2209">
            <v>730</v>
          </cell>
        </row>
        <row r="2210">
          <cell r="A2210" t="str">
            <v>B79GSA26-5</v>
          </cell>
          <cell r="B2210" t="str">
            <v xml:space="preserve">COLONIAL STYLE LAT MATE VERDE </v>
          </cell>
          <cell r="C2210">
            <v>2</v>
          </cell>
          <cell r="D2210">
            <v>730</v>
          </cell>
        </row>
        <row r="2211">
          <cell r="A2211" t="str">
            <v>B79GSA27</v>
          </cell>
          <cell r="B2211" t="str">
            <v xml:space="preserve">COLONIAL STYLE LAT MATE VERDE </v>
          </cell>
          <cell r="C2211">
            <v>2</v>
          </cell>
          <cell r="D2211">
            <v>730</v>
          </cell>
        </row>
        <row r="2212">
          <cell r="A2212" t="str">
            <v>B79GSA27-1</v>
          </cell>
          <cell r="B2212" t="str">
            <v xml:space="preserve">COLONIAL STYLE LAT MATE VERDE </v>
          </cell>
          <cell r="C2212">
            <v>2</v>
          </cell>
          <cell r="D2212">
            <v>730</v>
          </cell>
        </row>
        <row r="2213">
          <cell r="A2213" t="str">
            <v>B79GSA27-5</v>
          </cell>
          <cell r="B2213" t="str">
            <v xml:space="preserve">COLONIAL STYLE LAT MATE VERDE </v>
          </cell>
          <cell r="C2213">
            <v>2</v>
          </cell>
          <cell r="D2213">
            <v>730</v>
          </cell>
        </row>
        <row r="2214">
          <cell r="A2214" t="str">
            <v>B79GSA5</v>
          </cell>
          <cell r="B2214" t="str">
            <v xml:space="preserve">COL STYLE LATEX MATE TURQUESA </v>
          </cell>
          <cell r="C2214">
            <v>2</v>
          </cell>
          <cell r="D2214">
            <v>730</v>
          </cell>
        </row>
        <row r="2215">
          <cell r="A2215" t="str">
            <v>B79GSA5-1</v>
          </cell>
          <cell r="B2215" t="str">
            <v xml:space="preserve">COL STYLE LATEX MATE TURQUESA </v>
          </cell>
          <cell r="C2215">
            <v>2</v>
          </cell>
          <cell r="D2215">
            <v>730</v>
          </cell>
        </row>
        <row r="2216">
          <cell r="A2216" t="str">
            <v>B79GSA5-1/4</v>
          </cell>
          <cell r="B2216" t="str">
            <v xml:space="preserve">COL STYLE LATEX MATE TURQUESA </v>
          </cell>
          <cell r="C2216">
            <v>2</v>
          </cell>
          <cell r="D2216">
            <v>730</v>
          </cell>
        </row>
        <row r="2217">
          <cell r="A2217" t="str">
            <v>B79GSA5-5</v>
          </cell>
          <cell r="B2217" t="str">
            <v xml:space="preserve">COLONIAL LATEX TURQUESA       </v>
          </cell>
          <cell r="C2217">
            <v>2</v>
          </cell>
          <cell r="D2217">
            <v>730</v>
          </cell>
        </row>
        <row r="2218">
          <cell r="A2218" t="str">
            <v>B79HP4</v>
          </cell>
          <cell r="B2218" t="str">
            <v xml:space="preserve">COLONIAL STYLE LAT MATE CREMA </v>
          </cell>
          <cell r="C2218">
            <v>2</v>
          </cell>
          <cell r="D2218">
            <v>730</v>
          </cell>
        </row>
        <row r="2219">
          <cell r="A2219" t="str">
            <v>B79HP4-1</v>
          </cell>
          <cell r="B2219" t="str">
            <v xml:space="preserve">COLONIAL STYLE LAT MATE CREMA </v>
          </cell>
          <cell r="C2219">
            <v>2</v>
          </cell>
          <cell r="D2219">
            <v>730</v>
          </cell>
        </row>
        <row r="2220">
          <cell r="A2220" t="str">
            <v>B79HP4-5</v>
          </cell>
          <cell r="B2220" t="str">
            <v xml:space="preserve">COLONIAL STYLE LAT MATE CREMA </v>
          </cell>
          <cell r="C2220">
            <v>2</v>
          </cell>
          <cell r="D2220">
            <v>730</v>
          </cell>
        </row>
        <row r="2221">
          <cell r="A2221" t="str">
            <v>B79HSA12</v>
          </cell>
          <cell r="B2221" t="str">
            <v>COLONIAL STYLE LAT MATE TRAVER</v>
          </cell>
          <cell r="C2221">
            <v>2</v>
          </cell>
          <cell r="D2221">
            <v>730</v>
          </cell>
        </row>
        <row r="2222">
          <cell r="A2222" t="str">
            <v>B79HSA12-1</v>
          </cell>
          <cell r="B2222" t="str">
            <v>COLONIAL STYLE LAT MATE TRAVER</v>
          </cell>
          <cell r="C2222">
            <v>2</v>
          </cell>
          <cell r="D2222">
            <v>730</v>
          </cell>
        </row>
        <row r="2223">
          <cell r="A2223" t="str">
            <v>B79HSA12-5</v>
          </cell>
          <cell r="B2223" t="str">
            <v>COLONIAL STYLE LAT MATE TRAVER</v>
          </cell>
          <cell r="C2223">
            <v>2</v>
          </cell>
          <cell r="D2223">
            <v>730</v>
          </cell>
        </row>
        <row r="2224">
          <cell r="A2224" t="str">
            <v>B79HSA13</v>
          </cell>
          <cell r="B2224" t="str">
            <v>COLONIAL STYLE LAT MATE MARFIL</v>
          </cell>
          <cell r="C2224">
            <v>2</v>
          </cell>
          <cell r="D2224">
            <v>730</v>
          </cell>
        </row>
        <row r="2225">
          <cell r="A2225" t="str">
            <v>B79HSA13-1</v>
          </cell>
          <cell r="B2225" t="str">
            <v>COLONIAL STYLE LAT MATE MARFIL</v>
          </cell>
          <cell r="C2225">
            <v>2</v>
          </cell>
          <cell r="D2225">
            <v>730</v>
          </cell>
        </row>
        <row r="2226">
          <cell r="A2226" t="str">
            <v>B79HSA13-5</v>
          </cell>
          <cell r="B2226" t="str">
            <v>COLONIAL STYLE LAT MATE MARFIL</v>
          </cell>
          <cell r="C2226">
            <v>2</v>
          </cell>
          <cell r="D2226">
            <v>730</v>
          </cell>
        </row>
        <row r="2227">
          <cell r="A2227" t="str">
            <v>B79HSA14</v>
          </cell>
          <cell r="B2227" t="str">
            <v xml:space="preserve">COLONIAL LAT MARFIL           </v>
          </cell>
          <cell r="C2227">
            <v>2</v>
          </cell>
          <cell r="D2227">
            <v>730</v>
          </cell>
        </row>
        <row r="2228">
          <cell r="A2228" t="str">
            <v>B79HSA14-5</v>
          </cell>
          <cell r="B2228" t="str">
            <v xml:space="preserve">COLONIAL LAT MARFIL           </v>
          </cell>
          <cell r="C2228">
            <v>2</v>
          </cell>
          <cell r="D2228">
            <v>730</v>
          </cell>
        </row>
        <row r="2229">
          <cell r="A2229" t="str">
            <v>B79HSA15</v>
          </cell>
          <cell r="B2229" t="str">
            <v>COLONIAL STYLE LAT MATE MARFIL</v>
          </cell>
          <cell r="C2229">
            <v>2</v>
          </cell>
          <cell r="D2229">
            <v>730</v>
          </cell>
        </row>
        <row r="2230">
          <cell r="A2230" t="str">
            <v>B79HSA15-5</v>
          </cell>
          <cell r="B2230" t="str">
            <v>COLONIAL STYLE LAT MATE MARFIL</v>
          </cell>
          <cell r="C2230">
            <v>2</v>
          </cell>
          <cell r="D2230">
            <v>730</v>
          </cell>
        </row>
        <row r="2231">
          <cell r="A2231" t="str">
            <v>B79HSA17</v>
          </cell>
          <cell r="B2231" t="str">
            <v xml:space="preserve">COLONIAL STYLE MATE BEIGE     </v>
          </cell>
          <cell r="C2231">
            <v>2</v>
          </cell>
          <cell r="D2231">
            <v>730</v>
          </cell>
        </row>
        <row r="2232">
          <cell r="A2232" t="str">
            <v>B79HSA17-1</v>
          </cell>
          <cell r="B2232" t="str">
            <v xml:space="preserve">COLONIAL STYLE MATE BEIGE     </v>
          </cell>
          <cell r="C2232">
            <v>2</v>
          </cell>
          <cell r="D2232">
            <v>730</v>
          </cell>
        </row>
        <row r="2233">
          <cell r="A2233" t="str">
            <v>B79HSA17-5</v>
          </cell>
          <cell r="B2233" t="str">
            <v xml:space="preserve">COLONIAL STYLE MATE BEIGE     </v>
          </cell>
          <cell r="C2233">
            <v>2</v>
          </cell>
          <cell r="D2233">
            <v>730</v>
          </cell>
        </row>
        <row r="2234">
          <cell r="A2234" t="str">
            <v>B79HSA18</v>
          </cell>
          <cell r="B2234" t="str">
            <v>COLONIAL STYLE LAT MATE MARFIL</v>
          </cell>
          <cell r="C2234">
            <v>2</v>
          </cell>
          <cell r="D2234">
            <v>730</v>
          </cell>
        </row>
        <row r="2235">
          <cell r="A2235" t="str">
            <v>B79HSA18-1</v>
          </cell>
          <cell r="B2235" t="str">
            <v>COLONIAL STYLE LAT MATE MARFIL</v>
          </cell>
          <cell r="C2235">
            <v>2</v>
          </cell>
          <cell r="D2235">
            <v>730</v>
          </cell>
        </row>
        <row r="2236">
          <cell r="A2236" t="str">
            <v>B79HSA18-5</v>
          </cell>
          <cell r="B2236" t="str">
            <v>COLONIAL STYLE LAT MATE MARFIL</v>
          </cell>
          <cell r="C2236">
            <v>2</v>
          </cell>
          <cell r="D2236">
            <v>730</v>
          </cell>
        </row>
        <row r="2237">
          <cell r="A2237" t="str">
            <v>B79HSA7</v>
          </cell>
          <cell r="B2237" t="str">
            <v xml:space="preserve">COL STYLE LATEX MATE MARFIL   </v>
          </cell>
          <cell r="C2237">
            <v>2</v>
          </cell>
          <cell r="D2237">
            <v>730</v>
          </cell>
        </row>
        <row r="2238">
          <cell r="A2238" t="str">
            <v>B79HSA7-1</v>
          </cell>
          <cell r="B2238" t="str">
            <v xml:space="preserve">COL STYLE LATEX MATE MARFIL   </v>
          </cell>
          <cell r="C2238">
            <v>2</v>
          </cell>
          <cell r="D2238">
            <v>730</v>
          </cell>
        </row>
        <row r="2239">
          <cell r="A2239" t="str">
            <v>B79HSA7-1/4</v>
          </cell>
          <cell r="B2239" t="str">
            <v xml:space="preserve">COL STYLE LATEX MATE MARFIL   </v>
          </cell>
          <cell r="C2239">
            <v>2</v>
          </cell>
          <cell r="D2239">
            <v>730</v>
          </cell>
        </row>
        <row r="2240">
          <cell r="A2240" t="str">
            <v>B79HSA7-5</v>
          </cell>
          <cell r="B2240" t="str">
            <v xml:space="preserve">COL STYLE LATEX MATE MARFIL   </v>
          </cell>
          <cell r="C2240">
            <v>2</v>
          </cell>
          <cell r="D2240">
            <v>730</v>
          </cell>
        </row>
        <row r="2241">
          <cell r="A2241" t="str">
            <v>B79LSA13</v>
          </cell>
          <cell r="B2241" t="str">
            <v xml:space="preserve">COLONIAL LATEX CHEP BLUE      </v>
          </cell>
          <cell r="C2241">
            <v>2</v>
          </cell>
          <cell r="D2241">
            <v>730</v>
          </cell>
        </row>
        <row r="2242">
          <cell r="A2242" t="str">
            <v>B79LSA13-50</v>
          </cell>
          <cell r="B2242" t="str">
            <v xml:space="preserve">COLONIAL LATEX CHEP BLUE      </v>
          </cell>
          <cell r="C2242">
            <v>2</v>
          </cell>
          <cell r="D2242">
            <v>730</v>
          </cell>
        </row>
        <row r="2243">
          <cell r="A2243" t="str">
            <v>B79LSA18</v>
          </cell>
          <cell r="B2243" t="str">
            <v>COLONIAL STYLE LATEX MATE AZUL</v>
          </cell>
          <cell r="C2243">
            <v>2</v>
          </cell>
          <cell r="D2243">
            <v>730</v>
          </cell>
        </row>
        <row r="2244">
          <cell r="A2244" t="str">
            <v>B79LSA18-1</v>
          </cell>
          <cell r="B2244" t="str">
            <v>COLONIAL STYLE LATEX MATE AZUL</v>
          </cell>
          <cell r="C2244">
            <v>2</v>
          </cell>
          <cell r="D2244">
            <v>730</v>
          </cell>
        </row>
        <row r="2245">
          <cell r="A2245" t="str">
            <v>B79LSA18-1/4</v>
          </cell>
          <cell r="B2245" t="str">
            <v>COLONIAL STYLE LATEX MATE AZUL</v>
          </cell>
          <cell r="C2245">
            <v>2</v>
          </cell>
          <cell r="D2245">
            <v>730</v>
          </cell>
        </row>
        <row r="2246">
          <cell r="A2246" t="str">
            <v>B79LSA18-5</v>
          </cell>
          <cell r="B2246" t="str">
            <v>COLONIAL STYLE LATEX MATE AZUL</v>
          </cell>
          <cell r="C2246">
            <v>2</v>
          </cell>
          <cell r="D2246">
            <v>730</v>
          </cell>
        </row>
        <row r="2247">
          <cell r="A2247" t="str">
            <v>B79LSA19</v>
          </cell>
          <cell r="B2247" t="str">
            <v xml:space="preserve">COLONIAL STYLE LAT MATE AZUL  </v>
          </cell>
          <cell r="C2247">
            <v>2</v>
          </cell>
          <cell r="D2247">
            <v>730</v>
          </cell>
        </row>
        <row r="2248">
          <cell r="A2248" t="str">
            <v>B79LSA19-1</v>
          </cell>
          <cell r="B2248" t="str">
            <v>COLONIAL STYLE LATEX MATE AZUL</v>
          </cell>
          <cell r="C2248">
            <v>2</v>
          </cell>
          <cell r="D2248">
            <v>730</v>
          </cell>
        </row>
        <row r="2249">
          <cell r="A2249" t="str">
            <v>B79LSA19-1/4</v>
          </cell>
          <cell r="B2249" t="str">
            <v>COLONIAL STYLE LATEX MATE AZUL</v>
          </cell>
          <cell r="C2249">
            <v>2</v>
          </cell>
          <cell r="D2249">
            <v>730</v>
          </cell>
        </row>
        <row r="2250">
          <cell r="A2250" t="str">
            <v>B79LSA19-5</v>
          </cell>
          <cell r="B2250" t="str">
            <v xml:space="preserve">COLONIAL STYLE LAT MATE AZUL  </v>
          </cell>
          <cell r="C2250">
            <v>2</v>
          </cell>
          <cell r="D2250">
            <v>730</v>
          </cell>
        </row>
        <row r="2251">
          <cell r="A2251" t="str">
            <v>B79LSA20</v>
          </cell>
          <cell r="B2251" t="str">
            <v>COLONIAL STYLE LATEX MATE AZUL</v>
          </cell>
          <cell r="C2251">
            <v>2</v>
          </cell>
          <cell r="D2251">
            <v>730</v>
          </cell>
        </row>
        <row r="2252">
          <cell r="A2252" t="str">
            <v>B79LSA20-5</v>
          </cell>
          <cell r="B2252" t="str">
            <v>COLONIAL STYLE LATEX MATE AZUL</v>
          </cell>
          <cell r="C2252">
            <v>2</v>
          </cell>
          <cell r="D2252">
            <v>730</v>
          </cell>
        </row>
        <row r="2253">
          <cell r="A2253" t="str">
            <v>B79LSA5</v>
          </cell>
          <cell r="B2253" t="str">
            <v>COL STYL LATEX MAT AZULRIVIERA</v>
          </cell>
          <cell r="C2253">
            <v>2</v>
          </cell>
          <cell r="D2253">
            <v>730</v>
          </cell>
        </row>
        <row r="2254">
          <cell r="A2254" t="str">
            <v>B79LSA5-1</v>
          </cell>
          <cell r="B2254" t="str">
            <v xml:space="preserve">COL STYL LAT MAT AZUL RIVIERA </v>
          </cell>
          <cell r="C2254">
            <v>2</v>
          </cell>
          <cell r="D2254">
            <v>730</v>
          </cell>
        </row>
        <row r="2255">
          <cell r="A2255" t="str">
            <v>B79LSA5-1/4</v>
          </cell>
          <cell r="B2255" t="str">
            <v xml:space="preserve">COL STYL LAT MAT AZUL RIVIERA </v>
          </cell>
          <cell r="C2255">
            <v>2</v>
          </cell>
          <cell r="D2255">
            <v>730</v>
          </cell>
        </row>
        <row r="2256">
          <cell r="A2256" t="str">
            <v>B79LSA5-5</v>
          </cell>
          <cell r="B2256" t="str">
            <v xml:space="preserve">COLONIAL LATEX AZUL RIVIERA   </v>
          </cell>
          <cell r="C2256">
            <v>2</v>
          </cell>
          <cell r="D2256">
            <v>730</v>
          </cell>
        </row>
        <row r="2257">
          <cell r="A2257" t="str">
            <v>B79LSA7</v>
          </cell>
          <cell r="B2257" t="str">
            <v>COL ST LATE MAT TURQUESA CLARO</v>
          </cell>
          <cell r="C2257">
            <v>2</v>
          </cell>
          <cell r="D2257">
            <v>730</v>
          </cell>
        </row>
        <row r="2258">
          <cell r="A2258" t="str">
            <v>B79LSA7-1</v>
          </cell>
          <cell r="B2258" t="str">
            <v>COL ST LATE MAT TURQUESA CLARO</v>
          </cell>
          <cell r="C2258">
            <v>2</v>
          </cell>
          <cell r="D2258">
            <v>730</v>
          </cell>
        </row>
        <row r="2259">
          <cell r="A2259" t="str">
            <v>B79LSA7-1/4</v>
          </cell>
          <cell r="B2259" t="str">
            <v>COL ST LATE MAT TURQUESA CLARO</v>
          </cell>
          <cell r="C2259">
            <v>2</v>
          </cell>
          <cell r="D2259">
            <v>730</v>
          </cell>
        </row>
        <row r="2260">
          <cell r="A2260" t="str">
            <v>B79LSA7-5</v>
          </cell>
          <cell r="B2260" t="str">
            <v xml:space="preserve">COLONIAL LATEX TURQUESA CLARO </v>
          </cell>
          <cell r="C2260">
            <v>2</v>
          </cell>
          <cell r="D2260">
            <v>730</v>
          </cell>
        </row>
        <row r="2261">
          <cell r="A2261" t="str">
            <v>B79LSA9</v>
          </cell>
          <cell r="B2261" t="str">
            <v>COL ST LATE MATE CELESTE CIELO</v>
          </cell>
          <cell r="C2261">
            <v>2</v>
          </cell>
          <cell r="D2261">
            <v>730</v>
          </cell>
        </row>
        <row r="2262">
          <cell r="A2262" t="str">
            <v>B79LSA9-1</v>
          </cell>
          <cell r="B2262" t="str">
            <v>COL ST LATE MATE CELESTE CIELO</v>
          </cell>
          <cell r="C2262">
            <v>2</v>
          </cell>
          <cell r="D2262">
            <v>730</v>
          </cell>
        </row>
        <row r="2263">
          <cell r="A2263" t="str">
            <v>B79LSA9-1/4</v>
          </cell>
          <cell r="B2263" t="str">
            <v>COL ST LATE MATE CELESTE CIELO</v>
          </cell>
          <cell r="C2263">
            <v>2</v>
          </cell>
          <cell r="D2263">
            <v>730</v>
          </cell>
        </row>
        <row r="2264">
          <cell r="A2264" t="str">
            <v>B79LSA9-5</v>
          </cell>
          <cell r="B2264" t="str">
            <v>COL ST LATE MATE CELESTE CIELO</v>
          </cell>
          <cell r="C2264">
            <v>2</v>
          </cell>
          <cell r="D2264">
            <v>730</v>
          </cell>
        </row>
        <row r="2265">
          <cell r="A2265" t="str">
            <v>B79MSA1</v>
          </cell>
          <cell r="B2265" t="str">
            <v xml:space="preserve">COL STYL LATEX MATE MARRON    </v>
          </cell>
          <cell r="C2265">
            <v>2</v>
          </cell>
          <cell r="D2265">
            <v>730</v>
          </cell>
        </row>
        <row r="2266">
          <cell r="A2266" t="str">
            <v>B79MSA1-1</v>
          </cell>
          <cell r="B2266" t="str">
            <v xml:space="preserve">COL STYL LATEX MATE MARRON    </v>
          </cell>
          <cell r="C2266">
            <v>2</v>
          </cell>
          <cell r="D2266">
            <v>730</v>
          </cell>
        </row>
        <row r="2267">
          <cell r="A2267" t="str">
            <v>B79MSA1-1/4</v>
          </cell>
          <cell r="B2267" t="str">
            <v xml:space="preserve">COL STYL LATEX MATE MARRON    </v>
          </cell>
          <cell r="C2267">
            <v>2</v>
          </cell>
          <cell r="D2267">
            <v>730</v>
          </cell>
        </row>
        <row r="2268">
          <cell r="A2268" t="str">
            <v>B79MSA1-5</v>
          </cell>
          <cell r="B2268" t="str">
            <v xml:space="preserve">COLONIAL LATEX MARRON         </v>
          </cell>
          <cell r="C2268">
            <v>2</v>
          </cell>
          <cell r="D2268">
            <v>730</v>
          </cell>
        </row>
        <row r="2269">
          <cell r="A2269" t="str">
            <v>B79NSA12</v>
          </cell>
          <cell r="B2269" t="str">
            <v xml:space="preserve">COLONIAL STYLE LAT MATE BEIGE </v>
          </cell>
          <cell r="C2269">
            <v>2</v>
          </cell>
          <cell r="D2269">
            <v>730</v>
          </cell>
        </row>
        <row r="2270">
          <cell r="A2270" t="str">
            <v>B79NSA12-1</v>
          </cell>
          <cell r="B2270" t="str">
            <v xml:space="preserve">COLONIAL STYLE LAT MATE BEIGE </v>
          </cell>
          <cell r="C2270">
            <v>2</v>
          </cell>
          <cell r="D2270">
            <v>730</v>
          </cell>
        </row>
        <row r="2271">
          <cell r="A2271" t="str">
            <v>B79NSA12-5</v>
          </cell>
          <cell r="B2271" t="str">
            <v xml:space="preserve">COLONIAL STYLE LAT MATE BEIGE </v>
          </cell>
          <cell r="C2271">
            <v>2</v>
          </cell>
          <cell r="D2271">
            <v>730</v>
          </cell>
        </row>
        <row r="2272">
          <cell r="A2272" t="str">
            <v>B79NSA13</v>
          </cell>
          <cell r="B2272" t="str">
            <v xml:space="preserve">COLONIAL STYLE MATE PUEBLO    </v>
          </cell>
          <cell r="C2272">
            <v>2</v>
          </cell>
          <cell r="D2272">
            <v>730</v>
          </cell>
        </row>
        <row r="2273">
          <cell r="A2273" t="str">
            <v>B79NSA13-1</v>
          </cell>
          <cell r="B2273" t="str">
            <v xml:space="preserve">COLONIAL STYLE MATE PUEBLO    </v>
          </cell>
          <cell r="C2273">
            <v>2</v>
          </cell>
          <cell r="D2273">
            <v>730</v>
          </cell>
        </row>
        <row r="2274">
          <cell r="A2274" t="str">
            <v>B79NSA13-5</v>
          </cell>
          <cell r="B2274" t="str">
            <v xml:space="preserve">COLONIAL STYLE MATE PUEBLO    </v>
          </cell>
          <cell r="C2274">
            <v>2</v>
          </cell>
          <cell r="D2274">
            <v>730</v>
          </cell>
        </row>
        <row r="2275">
          <cell r="A2275" t="str">
            <v>B79NSA14</v>
          </cell>
          <cell r="B2275" t="str">
            <v>COLONIAL STYLE LAT BEIGE CORAL</v>
          </cell>
          <cell r="C2275">
            <v>2</v>
          </cell>
          <cell r="D2275">
            <v>730</v>
          </cell>
        </row>
        <row r="2276">
          <cell r="A2276" t="str">
            <v>B79NSA14-5</v>
          </cell>
          <cell r="B2276" t="str">
            <v>COLONIAL STYLE LAT BEIGE CORAL</v>
          </cell>
          <cell r="C2276">
            <v>2</v>
          </cell>
          <cell r="D2276">
            <v>730</v>
          </cell>
        </row>
        <row r="2277">
          <cell r="A2277" t="str">
            <v>B79NSA15</v>
          </cell>
          <cell r="B2277" t="str">
            <v>COLONIAL STYLE LATEX MATE CAFÉ</v>
          </cell>
          <cell r="C2277">
            <v>2</v>
          </cell>
          <cell r="D2277">
            <v>730</v>
          </cell>
        </row>
        <row r="2278">
          <cell r="A2278" t="str">
            <v>B79NSA15-1</v>
          </cell>
          <cell r="B2278" t="str">
            <v>COLONIAL STYLE LATEX MATE CAFÉ</v>
          </cell>
          <cell r="C2278">
            <v>2</v>
          </cell>
          <cell r="D2278">
            <v>730</v>
          </cell>
        </row>
        <row r="2279">
          <cell r="A2279" t="str">
            <v>B79NSA15-5</v>
          </cell>
          <cell r="B2279" t="str">
            <v>COLONIAL STYLE LATEX MATE CAFÉ</v>
          </cell>
          <cell r="C2279">
            <v>2</v>
          </cell>
          <cell r="D2279">
            <v>730</v>
          </cell>
        </row>
        <row r="2280">
          <cell r="A2280" t="str">
            <v>B79NSA17</v>
          </cell>
          <cell r="B2280" t="str">
            <v xml:space="preserve">COLONIAL STYLE LAT MATE BEIGE </v>
          </cell>
          <cell r="C2280">
            <v>2</v>
          </cell>
          <cell r="D2280">
            <v>730</v>
          </cell>
        </row>
        <row r="2281">
          <cell r="A2281" t="str">
            <v>B79NSA17-1</v>
          </cell>
          <cell r="B2281" t="str">
            <v xml:space="preserve">COLONIAL STYLE LAT MATE BEIGE </v>
          </cell>
          <cell r="C2281">
            <v>2</v>
          </cell>
          <cell r="D2281">
            <v>730</v>
          </cell>
        </row>
        <row r="2282">
          <cell r="A2282" t="str">
            <v>B79NSA17-5</v>
          </cell>
          <cell r="B2282" t="str">
            <v xml:space="preserve">COLONIAL STYLE LAT MATE BEIGE </v>
          </cell>
          <cell r="C2282">
            <v>2</v>
          </cell>
          <cell r="D2282">
            <v>730</v>
          </cell>
        </row>
        <row r="2283">
          <cell r="A2283" t="str">
            <v>B79NSA18</v>
          </cell>
          <cell r="B2283" t="str">
            <v>COLONIAL STYLE LATEX MATE CAFÉ</v>
          </cell>
          <cell r="C2283">
            <v>2</v>
          </cell>
          <cell r="D2283">
            <v>730</v>
          </cell>
        </row>
        <row r="2284">
          <cell r="A2284" t="str">
            <v>B79NSA18-1</v>
          </cell>
          <cell r="B2284" t="str">
            <v>COLONIAL STYLE LATEX MATE CAFÉ</v>
          </cell>
          <cell r="C2284">
            <v>2</v>
          </cell>
          <cell r="D2284">
            <v>730</v>
          </cell>
        </row>
        <row r="2285">
          <cell r="A2285" t="str">
            <v>B79NSA19</v>
          </cell>
          <cell r="B2285" t="str">
            <v xml:space="preserve">COLONIAL STYLE LAT MATE BEIGE </v>
          </cell>
          <cell r="C2285">
            <v>2</v>
          </cell>
          <cell r="D2285">
            <v>730</v>
          </cell>
        </row>
        <row r="2286">
          <cell r="A2286" t="str">
            <v>B79NSA19-1</v>
          </cell>
          <cell r="B2286" t="str">
            <v xml:space="preserve">COLONIAL STYLE LAT MATE BEIGE </v>
          </cell>
          <cell r="C2286">
            <v>2</v>
          </cell>
          <cell r="D2286">
            <v>730</v>
          </cell>
        </row>
        <row r="2287">
          <cell r="A2287" t="str">
            <v>B79NSA19-5</v>
          </cell>
          <cell r="B2287" t="str">
            <v xml:space="preserve">COLONIAL STYLE LAT MATE BEIGE </v>
          </cell>
          <cell r="C2287">
            <v>2</v>
          </cell>
          <cell r="D2287">
            <v>730</v>
          </cell>
        </row>
        <row r="2288">
          <cell r="A2288" t="str">
            <v>B79NSA20</v>
          </cell>
          <cell r="B2288" t="str">
            <v>COLONIAL STYLE LATEX MATE CAFÉ</v>
          </cell>
          <cell r="C2288">
            <v>2</v>
          </cell>
          <cell r="D2288">
            <v>730</v>
          </cell>
        </row>
        <row r="2289">
          <cell r="A2289" t="str">
            <v>B79NSA20-1</v>
          </cell>
          <cell r="B2289" t="str">
            <v>COLONIAL STYLE LATEX MATE CAFÉ</v>
          </cell>
          <cell r="C2289">
            <v>2</v>
          </cell>
          <cell r="D2289">
            <v>730</v>
          </cell>
        </row>
        <row r="2290">
          <cell r="A2290" t="str">
            <v>B79NSA20-5</v>
          </cell>
          <cell r="B2290" t="str">
            <v>COLONIAL STYLE LATEX MATE CAFÉ</v>
          </cell>
          <cell r="C2290">
            <v>2</v>
          </cell>
          <cell r="D2290">
            <v>730</v>
          </cell>
        </row>
        <row r="2291">
          <cell r="A2291" t="str">
            <v>B79NSA6</v>
          </cell>
          <cell r="B2291" t="str">
            <v xml:space="preserve">COL STYLE LATEX MATE BEIGE    </v>
          </cell>
          <cell r="C2291">
            <v>2</v>
          </cell>
          <cell r="D2291">
            <v>730</v>
          </cell>
        </row>
        <row r="2292">
          <cell r="A2292" t="str">
            <v>B79NSA6-1</v>
          </cell>
          <cell r="B2292" t="str">
            <v xml:space="preserve">COL STYLE LATEX MATE BEIGE    </v>
          </cell>
          <cell r="C2292">
            <v>2</v>
          </cell>
          <cell r="D2292">
            <v>730</v>
          </cell>
        </row>
        <row r="2293">
          <cell r="A2293" t="str">
            <v>B79NSA6-1/4</v>
          </cell>
          <cell r="B2293" t="str">
            <v xml:space="preserve">COL STYLE LATEX MATE BEIGE    </v>
          </cell>
          <cell r="C2293">
            <v>2</v>
          </cell>
          <cell r="D2293">
            <v>730</v>
          </cell>
        </row>
        <row r="2294">
          <cell r="A2294" t="str">
            <v>B79NSA6-5</v>
          </cell>
          <cell r="B2294" t="str">
            <v xml:space="preserve">COLONIAL LATEX BEIGE          </v>
          </cell>
          <cell r="C2294">
            <v>2</v>
          </cell>
          <cell r="D2294">
            <v>730</v>
          </cell>
        </row>
        <row r="2295">
          <cell r="A2295" t="str">
            <v>B79NSA7</v>
          </cell>
          <cell r="B2295" t="str">
            <v xml:space="preserve">COL STY LATEX MATE CASTAÑO    </v>
          </cell>
          <cell r="C2295">
            <v>2</v>
          </cell>
          <cell r="D2295">
            <v>730</v>
          </cell>
        </row>
        <row r="2296">
          <cell r="A2296" t="str">
            <v>B79NSA7-1</v>
          </cell>
          <cell r="B2296" t="str">
            <v xml:space="preserve">COL STY LATEX MATE CASTAÑO    </v>
          </cell>
          <cell r="C2296">
            <v>2</v>
          </cell>
          <cell r="D2296">
            <v>730</v>
          </cell>
        </row>
        <row r="2297">
          <cell r="A2297" t="str">
            <v>B79NSA7-1/4</v>
          </cell>
          <cell r="B2297" t="str">
            <v xml:space="preserve">COL STY LATEX MATE CASTAÑO    </v>
          </cell>
          <cell r="C2297">
            <v>2</v>
          </cell>
          <cell r="D2297">
            <v>730</v>
          </cell>
        </row>
        <row r="2298">
          <cell r="A2298" t="str">
            <v>B79NSA7-5</v>
          </cell>
          <cell r="B2298" t="str">
            <v xml:space="preserve">COLONIAL LATEX CASTAÑO        </v>
          </cell>
          <cell r="C2298">
            <v>2</v>
          </cell>
          <cell r="D2298">
            <v>730</v>
          </cell>
        </row>
        <row r="2299">
          <cell r="A2299" t="str">
            <v>B79NSA7-50</v>
          </cell>
          <cell r="B2299" t="str">
            <v xml:space="preserve">COLONIAL LATEX CASTAÑO        </v>
          </cell>
          <cell r="C2299">
            <v>2</v>
          </cell>
          <cell r="D2299">
            <v>730</v>
          </cell>
        </row>
        <row r="2300">
          <cell r="A2300" t="str">
            <v>B79PSA1</v>
          </cell>
          <cell r="B2300" t="str">
            <v>COLONIAL STYL LAT MATE PURPURA</v>
          </cell>
          <cell r="C2300">
            <v>2</v>
          </cell>
          <cell r="D2300">
            <v>730</v>
          </cell>
        </row>
        <row r="2301">
          <cell r="A2301" t="str">
            <v>B79PSA1-1</v>
          </cell>
          <cell r="B2301" t="str">
            <v>COLONIAL STYL LAT MATE PURPURA</v>
          </cell>
          <cell r="C2301">
            <v>2</v>
          </cell>
          <cell r="D2301">
            <v>730</v>
          </cell>
        </row>
        <row r="2302">
          <cell r="A2302" t="str">
            <v>B79RSA11</v>
          </cell>
          <cell r="B2302" t="str">
            <v>COL ST LATE MAT ROSADO PRINCES</v>
          </cell>
          <cell r="C2302">
            <v>2</v>
          </cell>
          <cell r="D2302">
            <v>730</v>
          </cell>
        </row>
        <row r="2303">
          <cell r="A2303" t="str">
            <v>B79RSA11-1</v>
          </cell>
          <cell r="B2303" t="str">
            <v>COL ST LATE MAT ROSADO PRINCES</v>
          </cell>
          <cell r="C2303">
            <v>2</v>
          </cell>
          <cell r="D2303">
            <v>730</v>
          </cell>
        </row>
        <row r="2304">
          <cell r="A2304" t="str">
            <v>B79RSA11-1/4</v>
          </cell>
          <cell r="B2304" t="str">
            <v>COL ST LATE MAT ROSADO PRINCES</v>
          </cell>
          <cell r="C2304">
            <v>2</v>
          </cell>
          <cell r="D2304">
            <v>730</v>
          </cell>
        </row>
        <row r="2305">
          <cell r="A2305" t="str">
            <v>B79RSA11-5</v>
          </cell>
          <cell r="B2305" t="str">
            <v>COLONIAL LATEX ROSADO PRINCESA</v>
          </cell>
          <cell r="C2305">
            <v>2</v>
          </cell>
          <cell r="D2305">
            <v>730</v>
          </cell>
        </row>
        <row r="2306">
          <cell r="A2306" t="str">
            <v>B79RSA15</v>
          </cell>
          <cell r="B2306" t="str">
            <v xml:space="preserve">COLONIAL STYLE LAT MATE ROJO  </v>
          </cell>
          <cell r="C2306">
            <v>2</v>
          </cell>
          <cell r="D2306">
            <v>730</v>
          </cell>
        </row>
        <row r="2307">
          <cell r="A2307" t="str">
            <v>B79RSA15-5</v>
          </cell>
          <cell r="B2307" t="str">
            <v xml:space="preserve">COLONIAL STYLE LAT MATE ROJO  </v>
          </cell>
          <cell r="C2307">
            <v>2</v>
          </cell>
          <cell r="D2307">
            <v>730</v>
          </cell>
        </row>
        <row r="2308">
          <cell r="A2308" t="str">
            <v>B79RSA19</v>
          </cell>
          <cell r="B2308" t="str">
            <v xml:space="preserve">COLONIAL STYLE LATEX  ROJO    </v>
          </cell>
          <cell r="C2308">
            <v>2</v>
          </cell>
          <cell r="D2308">
            <v>730</v>
          </cell>
        </row>
        <row r="2309">
          <cell r="A2309" t="str">
            <v>B79RSA19-1</v>
          </cell>
          <cell r="B2309" t="str">
            <v xml:space="preserve">COLONIAL STYLE LATEX  ROJO    </v>
          </cell>
          <cell r="C2309">
            <v>2</v>
          </cell>
          <cell r="D2309">
            <v>730</v>
          </cell>
        </row>
        <row r="2310">
          <cell r="A2310" t="str">
            <v>B79RSA19-5</v>
          </cell>
          <cell r="B2310" t="str">
            <v xml:space="preserve">COLONIAL STYLE LATEX  ROJO    </v>
          </cell>
          <cell r="C2310">
            <v>2</v>
          </cell>
          <cell r="D2310">
            <v>730</v>
          </cell>
        </row>
        <row r="2311">
          <cell r="A2311" t="str">
            <v>B79RSA20</v>
          </cell>
          <cell r="B2311" t="str">
            <v xml:space="preserve">COLONIAL STYLE LATEX  ROJO    </v>
          </cell>
          <cell r="C2311">
            <v>2</v>
          </cell>
          <cell r="D2311">
            <v>730</v>
          </cell>
        </row>
        <row r="2312">
          <cell r="A2312" t="str">
            <v>B79RSA20-1</v>
          </cell>
          <cell r="B2312" t="str">
            <v xml:space="preserve">COLONIAL STYLE LATEX  ROJO    </v>
          </cell>
          <cell r="C2312">
            <v>2</v>
          </cell>
          <cell r="D2312">
            <v>730</v>
          </cell>
        </row>
        <row r="2313">
          <cell r="A2313" t="str">
            <v>B79RSA20-5</v>
          </cell>
          <cell r="B2313" t="str">
            <v xml:space="preserve">COLONIAL STYLE LATEX  ROJO    </v>
          </cell>
          <cell r="C2313">
            <v>2</v>
          </cell>
          <cell r="D2313">
            <v>730</v>
          </cell>
        </row>
        <row r="2314">
          <cell r="A2314" t="str">
            <v>B79RSA21</v>
          </cell>
          <cell r="B2314" t="str">
            <v xml:space="preserve">COLONIAL STYLE MATE ROJO LAD  </v>
          </cell>
          <cell r="C2314">
            <v>2</v>
          </cell>
          <cell r="D2314">
            <v>730</v>
          </cell>
        </row>
        <row r="2315">
          <cell r="A2315" t="str">
            <v>B79RSA21-5</v>
          </cell>
          <cell r="B2315" t="str">
            <v xml:space="preserve">COLONIAL STYLE MATE ROJO LAD  </v>
          </cell>
          <cell r="C2315">
            <v>2</v>
          </cell>
          <cell r="D2315">
            <v>730</v>
          </cell>
        </row>
        <row r="2316">
          <cell r="A2316" t="str">
            <v>B79RSA22</v>
          </cell>
          <cell r="B2316" t="str">
            <v xml:space="preserve">COLONIAL STYL LAT MAT ROJO    </v>
          </cell>
          <cell r="C2316">
            <v>2</v>
          </cell>
          <cell r="D2316">
            <v>730</v>
          </cell>
        </row>
        <row r="2317">
          <cell r="A2317" t="str">
            <v>B79RSA22-1</v>
          </cell>
          <cell r="B2317" t="str">
            <v xml:space="preserve">COLONIAL STYL LAT MAT ROJO    </v>
          </cell>
          <cell r="C2317">
            <v>2</v>
          </cell>
          <cell r="D2317">
            <v>730</v>
          </cell>
        </row>
        <row r="2318">
          <cell r="A2318" t="str">
            <v>B79RSA23</v>
          </cell>
          <cell r="B2318" t="str">
            <v>COLONIAL STYLE LAT MATE JALAPE</v>
          </cell>
          <cell r="C2318">
            <v>2</v>
          </cell>
          <cell r="D2318">
            <v>730</v>
          </cell>
        </row>
        <row r="2319">
          <cell r="A2319" t="str">
            <v>B79RSA23-1</v>
          </cell>
          <cell r="B2319" t="str">
            <v>COLONIAL STYLE LAT MATE JALAPE</v>
          </cell>
          <cell r="C2319">
            <v>2</v>
          </cell>
          <cell r="D2319">
            <v>730</v>
          </cell>
        </row>
        <row r="2320">
          <cell r="A2320" t="str">
            <v>B79RSA24</v>
          </cell>
          <cell r="B2320" t="str">
            <v xml:space="preserve">COLONIAL STYL LAT MAT ROJO    </v>
          </cell>
          <cell r="C2320">
            <v>2</v>
          </cell>
          <cell r="D2320">
            <v>730</v>
          </cell>
        </row>
        <row r="2321">
          <cell r="A2321" t="str">
            <v>B79RSA24-1</v>
          </cell>
          <cell r="B2321" t="str">
            <v xml:space="preserve">COLONIAL STYL LAT MAT ROJO    </v>
          </cell>
          <cell r="C2321">
            <v>2</v>
          </cell>
          <cell r="D2321">
            <v>730</v>
          </cell>
        </row>
        <row r="2322">
          <cell r="A2322" t="str">
            <v>B79RSA25</v>
          </cell>
          <cell r="B2322" t="str">
            <v xml:space="preserve">COLONIAL STYLE LATEX  MARRON  </v>
          </cell>
          <cell r="C2322">
            <v>2</v>
          </cell>
          <cell r="D2322">
            <v>730</v>
          </cell>
        </row>
        <row r="2323">
          <cell r="A2323" t="str">
            <v>B79RSA25-5</v>
          </cell>
          <cell r="B2323" t="str">
            <v xml:space="preserve">COLONIAL STYLE LATEX  MARRON  </v>
          </cell>
          <cell r="C2323">
            <v>2</v>
          </cell>
          <cell r="D2323">
            <v>730</v>
          </cell>
        </row>
        <row r="2324">
          <cell r="A2324" t="str">
            <v>B79RSA8</v>
          </cell>
          <cell r="B2324" t="str">
            <v xml:space="preserve">COL STYLE LATEX MATE CORAL    </v>
          </cell>
          <cell r="C2324">
            <v>2</v>
          </cell>
          <cell r="D2324">
            <v>730</v>
          </cell>
        </row>
        <row r="2325">
          <cell r="A2325" t="str">
            <v>B79RSA8-1</v>
          </cell>
          <cell r="B2325" t="str">
            <v xml:space="preserve">COL STYLE LATEX MATE CORAL    </v>
          </cell>
          <cell r="C2325">
            <v>2</v>
          </cell>
          <cell r="D2325">
            <v>730</v>
          </cell>
        </row>
        <row r="2326">
          <cell r="A2326" t="str">
            <v>B79RSA8-1/4</v>
          </cell>
          <cell r="B2326" t="str">
            <v xml:space="preserve">COL STYLE LATEX MATE CORAL    </v>
          </cell>
          <cell r="C2326">
            <v>2</v>
          </cell>
          <cell r="D2326">
            <v>730</v>
          </cell>
        </row>
        <row r="2327">
          <cell r="A2327" t="str">
            <v>B79RSA8-5</v>
          </cell>
          <cell r="B2327" t="str">
            <v xml:space="preserve">COLONIAL LATEX CORAL          </v>
          </cell>
          <cell r="C2327">
            <v>2</v>
          </cell>
          <cell r="D2327">
            <v>730</v>
          </cell>
        </row>
        <row r="2328">
          <cell r="A2328" t="str">
            <v>B79TSA154</v>
          </cell>
          <cell r="B2328" t="str">
            <v xml:space="preserve">COLONIAL STYLE LATEX SATINADO </v>
          </cell>
          <cell r="C2328">
            <v>2</v>
          </cell>
          <cell r="D2328">
            <v>730</v>
          </cell>
        </row>
        <row r="2329">
          <cell r="A2329" t="str">
            <v>B79TSA154-1</v>
          </cell>
          <cell r="B2329" t="str">
            <v xml:space="preserve">COLONIAL STYLE LATEX SATINADO </v>
          </cell>
          <cell r="C2329">
            <v>2</v>
          </cell>
          <cell r="D2329">
            <v>730</v>
          </cell>
        </row>
        <row r="2330">
          <cell r="A2330" t="str">
            <v>B79TSA154-1/4</v>
          </cell>
          <cell r="B2330" t="str">
            <v xml:space="preserve">COLONIAL STYLE LATEX SATINADO </v>
          </cell>
          <cell r="C2330">
            <v>2</v>
          </cell>
          <cell r="D2330">
            <v>730</v>
          </cell>
        </row>
        <row r="2331">
          <cell r="A2331" t="str">
            <v>B79TSA154-5</v>
          </cell>
          <cell r="B2331" t="str">
            <v xml:space="preserve">COLONIAL STYLE LATEX SATINADO </v>
          </cell>
          <cell r="C2331">
            <v>2</v>
          </cell>
          <cell r="D2331">
            <v>730</v>
          </cell>
        </row>
        <row r="2332">
          <cell r="A2332" t="str">
            <v>B79TSA54</v>
          </cell>
          <cell r="B2332" t="str">
            <v>COLONIAL STYLE LATEX MATE BASE</v>
          </cell>
          <cell r="C2332">
            <v>2</v>
          </cell>
          <cell r="D2332">
            <v>730</v>
          </cell>
        </row>
        <row r="2333">
          <cell r="A2333" t="str">
            <v>B79TSA54-1</v>
          </cell>
          <cell r="B2333" t="str">
            <v>COLONIAL STYLE LATEX MATE BASE</v>
          </cell>
          <cell r="C2333">
            <v>2</v>
          </cell>
          <cell r="D2333">
            <v>730</v>
          </cell>
        </row>
        <row r="2334">
          <cell r="A2334" t="str">
            <v>B79TSA54-1/4</v>
          </cell>
          <cell r="B2334" t="str">
            <v>COLONIAL STYLE LATEX MATE BASE</v>
          </cell>
          <cell r="C2334">
            <v>2</v>
          </cell>
          <cell r="D2334">
            <v>730</v>
          </cell>
        </row>
        <row r="2335">
          <cell r="A2335" t="str">
            <v>B79TSA54-5</v>
          </cell>
          <cell r="B2335" t="str">
            <v>COLONIAL STYLE LATEX MATE BASE</v>
          </cell>
          <cell r="C2335">
            <v>2</v>
          </cell>
          <cell r="D2335">
            <v>730</v>
          </cell>
        </row>
        <row r="2336">
          <cell r="A2336" t="str">
            <v>B79WSA1</v>
          </cell>
          <cell r="B2336" t="str">
            <v xml:space="preserve">COL STYL LATEX MATE BLANCO    </v>
          </cell>
          <cell r="C2336">
            <v>2</v>
          </cell>
          <cell r="D2336">
            <v>730</v>
          </cell>
        </row>
        <row r="2337">
          <cell r="A2337" t="str">
            <v>B79WSA10</v>
          </cell>
          <cell r="B2337" t="str">
            <v xml:space="preserve">COL ST LAT MAT NUEV BCO HUESO </v>
          </cell>
          <cell r="C2337">
            <v>2</v>
          </cell>
          <cell r="D2337">
            <v>730</v>
          </cell>
        </row>
        <row r="2338">
          <cell r="A2338" t="str">
            <v>B79WSA10-1</v>
          </cell>
          <cell r="B2338" t="str">
            <v xml:space="preserve">COL ST LAT MAT NUEV BCO HUESO </v>
          </cell>
          <cell r="C2338">
            <v>2</v>
          </cell>
          <cell r="D2338">
            <v>730</v>
          </cell>
        </row>
        <row r="2339">
          <cell r="A2339" t="str">
            <v>B79WSA10-1/4</v>
          </cell>
          <cell r="B2339" t="str">
            <v xml:space="preserve">COL ST LAT MAT NUEV BCO HUESO </v>
          </cell>
          <cell r="C2339">
            <v>2</v>
          </cell>
          <cell r="D2339">
            <v>730</v>
          </cell>
        </row>
        <row r="2340">
          <cell r="A2340" t="str">
            <v>B79WSA10-5</v>
          </cell>
          <cell r="B2340" t="str">
            <v xml:space="preserve">COL ST LAT MAT NUEV BCO HUESO </v>
          </cell>
          <cell r="C2340">
            <v>2</v>
          </cell>
          <cell r="D2340">
            <v>730</v>
          </cell>
        </row>
        <row r="2341">
          <cell r="A2341" t="str">
            <v>B79WSA1-1</v>
          </cell>
          <cell r="B2341" t="str">
            <v xml:space="preserve">COL STYL LATEX MATE BLANCO    </v>
          </cell>
          <cell r="C2341">
            <v>2</v>
          </cell>
          <cell r="D2341">
            <v>730</v>
          </cell>
        </row>
        <row r="2342">
          <cell r="A2342" t="str">
            <v>B79WSA1-1/4</v>
          </cell>
          <cell r="B2342" t="str">
            <v xml:space="preserve">COL STYL LATEX MATE BLANCO    </v>
          </cell>
          <cell r="C2342">
            <v>2</v>
          </cell>
          <cell r="D2342">
            <v>730</v>
          </cell>
        </row>
        <row r="2343">
          <cell r="A2343" t="str">
            <v>B79WSA13</v>
          </cell>
          <cell r="B2343" t="str">
            <v>COLONIAL STYLE LAT BLANCO DOVE</v>
          </cell>
          <cell r="C2343">
            <v>2</v>
          </cell>
          <cell r="D2343">
            <v>730</v>
          </cell>
        </row>
        <row r="2344">
          <cell r="A2344" t="str">
            <v>B79WSA13-1</v>
          </cell>
          <cell r="B2344" t="str">
            <v>COLONIAL STYLE LAT BLANCO DOVE</v>
          </cell>
          <cell r="C2344">
            <v>2</v>
          </cell>
          <cell r="D2344">
            <v>730</v>
          </cell>
        </row>
        <row r="2345">
          <cell r="A2345" t="str">
            <v>B79WSA13-5</v>
          </cell>
          <cell r="B2345" t="str">
            <v>COLONIAL STYLE LAT BLANCO DOVE</v>
          </cell>
          <cell r="C2345">
            <v>2</v>
          </cell>
          <cell r="D2345">
            <v>730</v>
          </cell>
        </row>
        <row r="2346">
          <cell r="A2346" t="str">
            <v>B79WSA14</v>
          </cell>
          <cell r="B2346" t="str">
            <v>COLONIAL STYLE LAT MATE BLANCO</v>
          </cell>
          <cell r="C2346">
            <v>2</v>
          </cell>
          <cell r="D2346">
            <v>730</v>
          </cell>
        </row>
        <row r="2347">
          <cell r="A2347" t="str">
            <v>B79WSA14-1</v>
          </cell>
          <cell r="B2347" t="str">
            <v>COLONIAL STYLE LAT MATE BLANCO</v>
          </cell>
          <cell r="C2347">
            <v>2</v>
          </cell>
          <cell r="D2347">
            <v>730</v>
          </cell>
        </row>
        <row r="2348">
          <cell r="A2348" t="str">
            <v>B79WSA14-5</v>
          </cell>
          <cell r="B2348" t="str">
            <v>COLONIAL STYLE LAT MATE BLANCO</v>
          </cell>
          <cell r="C2348">
            <v>2</v>
          </cell>
          <cell r="D2348">
            <v>730</v>
          </cell>
        </row>
        <row r="2349">
          <cell r="A2349" t="str">
            <v>B79WSA1-5</v>
          </cell>
          <cell r="B2349" t="str">
            <v xml:space="preserve">COL STYL LATEX MATE BLANCO    </v>
          </cell>
          <cell r="C2349">
            <v>2</v>
          </cell>
          <cell r="D2349">
            <v>730</v>
          </cell>
        </row>
        <row r="2350">
          <cell r="A2350" t="str">
            <v>B79WSA15</v>
          </cell>
          <cell r="B2350" t="str">
            <v>COLONIAL STYLE LAT MAT BCO HUE</v>
          </cell>
          <cell r="C2350">
            <v>2</v>
          </cell>
          <cell r="D2350">
            <v>730</v>
          </cell>
        </row>
        <row r="2351">
          <cell r="A2351" t="str">
            <v>B79WSA1-50</v>
          </cell>
          <cell r="B2351" t="str">
            <v xml:space="preserve">COLONIAL LATEX BLANCO         </v>
          </cell>
          <cell r="C2351">
            <v>2</v>
          </cell>
          <cell r="D2351">
            <v>730</v>
          </cell>
        </row>
        <row r="2352">
          <cell r="A2352" t="str">
            <v>B79WSA15-1</v>
          </cell>
          <cell r="B2352" t="str">
            <v>COLONIAL STYLE LAT MAT BCO HUE</v>
          </cell>
          <cell r="C2352">
            <v>2</v>
          </cell>
          <cell r="D2352">
            <v>730</v>
          </cell>
        </row>
        <row r="2353">
          <cell r="A2353" t="str">
            <v>B79WSA151</v>
          </cell>
          <cell r="B2353" t="str">
            <v>COLONIAL STYLE LAT EXTRA WHITE</v>
          </cell>
          <cell r="C2353">
            <v>2</v>
          </cell>
          <cell r="D2353">
            <v>730</v>
          </cell>
        </row>
        <row r="2354">
          <cell r="A2354" t="str">
            <v>B79WSA151-1</v>
          </cell>
          <cell r="B2354" t="str">
            <v>COLONIAL STYLE LAT EXTRA WHITE</v>
          </cell>
          <cell r="C2354">
            <v>2</v>
          </cell>
          <cell r="D2354">
            <v>730</v>
          </cell>
        </row>
        <row r="2355">
          <cell r="A2355" t="str">
            <v>B79WSA151-1/4</v>
          </cell>
          <cell r="B2355" t="str">
            <v>COLONIAL STYLE LAT EXTRA WHITE</v>
          </cell>
          <cell r="C2355">
            <v>2</v>
          </cell>
          <cell r="D2355">
            <v>730</v>
          </cell>
        </row>
        <row r="2356">
          <cell r="A2356" t="str">
            <v>B79WSA151-5</v>
          </cell>
          <cell r="B2356" t="str">
            <v>COLONIAL STYLE LAT EXTRA WHITE</v>
          </cell>
          <cell r="C2356">
            <v>2</v>
          </cell>
          <cell r="D2356">
            <v>730</v>
          </cell>
        </row>
        <row r="2357">
          <cell r="A2357" t="str">
            <v>B79WSA153</v>
          </cell>
          <cell r="B2357" t="str">
            <v>COLONIAL STYLE LATEX  BASE DEE</v>
          </cell>
          <cell r="C2357">
            <v>2</v>
          </cell>
          <cell r="D2357">
            <v>730</v>
          </cell>
        </row>
        <row r="2358">
          <cell r="A2358" t="str">
            <v>B79WSA153-1</v>
          </cell>
          <cell r="B2358" t="str">
            <v>COLONIAL STYLE LATEX  BASE DEE</v>
          </cell>
          <cell r="C2358">
            <v>2</v>
          </cell>
          <cell r="D2358">
            <v>730</v>
          </cell>
        </row>
        <row r="2359">
          <cell r="A2359" t="str">
            <v>B79WSA153-1/4</v>
          </cell>
          <cell r="B2359" t="str">
            <v>COLONIAL STYLE LATEX  BASE DEE</v>
          </cell>
          <cell r="C2359">
            <v>2</v>
          </cell>
          <cell r="D2359">
            <v>730</v>
          </cell>
        </row>
        <row r="2360">
          <cell r="A2360" t="str">
            <v>B79WSA153-5</v>
          </cell>
          <cell r="B2360" t="str">
            <v>COLONIAL STYLE LATEX  BASE DEE</v>
          </cell>
          <cell r="C2360">
            <v>2</v>
          </cell>
          <cell r="D2360">
            <v>730</v>
          </cell>
        </row>
        <row r="2361">
          <cell r="A2361" t="str">
            <v>B79WSA15-5</v>
          </cell>
          <cell r="B2361" t="str">
            <v>COLONIAL STYLE LAT MAT BCO HUE</v>
          </cell>
          <cell r="C2361">
            <v>2</v>
          </cell>
          <cell r="D2361">
            <v>730</v>
          </cell>
        </row>
        <row r="2362">
          <cell r="A2362" t="str">
            <v>B79WSA16</v>
          </cell>
          <cell r="B2362" t="str">
            <v xml:space="preserve">COLONIAL STYLE LAT MATE CREMA </v>
          </cell>
          <cell r="C2362">
            <v>2</v>
          </cell>
          <cell r="D2362">
            <v>730</v>
          </cell>
        </row>
        <row r="2363">
          <cell r="A2363" t="str">
            <v>B79WSA16-1</v>
          </cell>
          <cell r="B2363" t="str">
            <v xml:space="preserve">COLONIAL STYLE LAT MATE CREMA </v>
          </cell>
          <cell r="C2363">
            <v>2</v>
          </cell>
          <cell r="D2363">
            <v>730</v>
          </cell>
        </row>
        <row r="2364">
          <cell r="A2364" t="str">
            <v>B79WSA16-5</v>
          </cell>
          <cell r="B2364" t="str">
            <v xml:space="preserve">COLONIAL STYLE LAT MATE CREMA </v>
          </cell>
          <cell r="C2364">
            <v>2</v>
          </cell>
          <cell r="D2364">
            <v>730</v>
          </cell>
        </row>
        <row r="2365">
          <cell r="A2365" t="str">
            <v>B79WSA17</v>
          </cell>
          <cell r="B2365" t="str">
            <v>COLONIAL LATEX SATINADO BLANCO</v>
          </cell>
          <cell r="C2365">
            <v>2</v>
          </cell>
          <cell r="D2365">
            <v>730</v>
          </cell>
        </row>
        <row r="2366">
          <cell r="A2366" t="str">
            <v>B79WSA17-1</v>
          </cell>
          <cell r="B2366" t="str">
            <v>COLONIAL LATEX SATINADO BLANCO</v>
          </cell>
          <cell r="C2366">
            <v>2</v>
          </cell>
          <cell r="D2366">
            <v>730</v>
          </cell>
        </row>
        <row r="2367">
          <cell r="A2367" t="str">
            <v>B79WSA17-5</v>
          </cell>
          <cell r="B2367" t="str">
            <v>COLONIAL LATEX SATINADO BLANCO</v>
          </cell>
          <cell r="C2367">
            <v>2</v>
          </cell>
          <cell r="D2367">
            <v>730</v>
          </cell>
        </row>
        <row r="2368">
          <cell r="A2368" t="str">
            <v>B79WSA18</v>
          </cell>
          <cell r="B2368" t="str">
            <v xml:space="preserve">COLONIAL STYLE MATE BCO ANT   </v>
          </cell>
          <cell r="C2368">
            <v>2</v>
          </cell>
          <cell r="D2368">
            <v>730</v>
          </cell>
        </row>
        <row r="2369">
          <cell r="A2369" t="str">
            <v>B79WSA18-5</v>
          </cell>
          <cell r="B2369" t="str">
            <v xml:space="preserve">COLONIAL STYLE MATE BCO ANT   </v>
          </cell>
          <cell r="C2369">
            <v>2</v>
          </cell>
          <cell r="D2369">
            <v>730</v>
          </cell>
        </row>
        <row r="2370">
          <cell r="A2370" t="str">
            <v>B79WSA51</v>
          </cell>
          <cell r="B2370" t="str">
            <v>COLONIAL STYLE MATE XTRA WHITE</v>
          </cell>
          <cell r="C2370">
            <v>2</v>
          </cell>
          <cell r="D2370">
            <v>730</v>
          </cell>
        </row>
        <row r="2371">
          <cell r="A2371" t="str">
            <v>B79WSA51-1</v>
          </cell>
          <cell r="B2371" t="str">
            <v>COLONIAL STYLE MATE XTRA WHITE</v>
          </cell>
          <cell r="C2371">
            <v>2</v>
          </cell>
          <cell r="D2371">
            <v>730</v>
          </cell>
        </row>
        <row r="2372">
          <cell r="A2372" t="str">
            <v>B79WSA51-1/4</v>
          </cell>
          <cell r="B2372" t="str">
            <v>COLONIAL STYLE MATE XTRA WHITE</v>
          </cell>
          <cell r="C2372">
            <v>2</v>
          </cell>
          <cell r="D2372">
            <v>730</v>
          </cell>
        </row>
        <row r="2373">
          <cell r="A2373" t="str">
            <v>B79WSA51-5</v>
          </cell>
          <cell r="B2373" t="str">
            <v>COLONIAL STYLE MATE XTRA WHITE</v>
          </cell>
          <cell r="C2373">
            <v>2</v>
          </cell>
          <cell r="D2373">
            <v>730</v>
          </cell>
        </row>
        <row r="2374">
          <cell r="A2374" t="str">
            <v>B79WSA53</v>
          </cell>
          <cell r="B2374" t="str">
            <v>COLONIAL STYLE LATEX BASE DEEP</v>
          </cell>
          <cell r="C2374">
            <v>2</v>
          </cell>
          <cell r="D2374">
            <v>730</v>
          </cell>
        </row>
        <row r="2375">
          <cell r="A2375" t="str">
            <v>B79WSA53-1</v>
          </cell>
          <cell r="B2375" t="str">
            <v>COLONIAL STYLE LATEX BASE DEEP</v>
          </cell>
          <cell r="C2375">
            <v>2</v>
          </cell>
          <cell r="D2375">
            <v>730</v>
          </cell>
        </row>
        <row r="2376">
          <cell r="A2376" t="str">
            <v>B79WSA53-1/4</v>
          </cell>
          <cell r="B2376" t="str">
            <v>COLONIAL STYLE LATEX BASE DEEP</v>
          </cell>
          <cell r="C2376">
            <v>2</v>
          </cell>
          <cell r="D2376">
            <v>730</v>
          </cell>
        </row>
        <row r="2377">
          <cell r="A2377" t="str">
            <v>B79WSA53-5</v>
          </cell>
          <cell r="B2377" t="str">
            <v>COLONIAL STYLE LATEX BASE DEEP</v>
          </cell>
          <cell r="C2377">
            <v>2</v>
          </cell>
          <cell r="D2377">
            <v>730</v>
          </cell>
        </row>
        <row r="2378">
          <cell r="A2378" t="str">
            <v>B79WSA8</v>
          </cell>
          <cell r="B2378" t="str">
            <v xml:space="preserve">COL STYLE LATEX MATE PERLA    </v>
          </cell>
          <cell r="C2378">
            <v>2</v>
          </cell>
          <cell r="D2378">
            <v>730</v>
          </cell>
        </row>
        <row r="2379">
          <cell r="A2379" t="str">
            <v>B79WSA8-1</v>
          </cell>
          <cell r="B2379" t="str">
            <v xml:space="preserve">COL STYLE LATEX MATE PERLA    </v>
          </cell>
          <cell r="C2379">
            <v>2</v>
          </cell>
          <cell r="D2379">
            <v>730</v>
          </cell>
        </row>
        <row r="2380">
          <cell r="A2380" t="str">
            <v>B79WSA8-1/4</v>
          </cell>
          <cell r="B2380" t="str">
            <v xml:space="preserve">COL STYLE LATEX MATE PERLA    </v>
          </cell>
          <cell r="C2380">
            <v>2</v>
          </cell>
          <cell r="D2380">
            <v>730</v>
          </cell>
        </row>
        <row r="2381">
          <cell r="A2381" t="str">
            <v>B79WSA9</v>
          </cell>
          <cell r="B2381" t="str">
            <v>COL ST LAT MAT BCO ANT AMERICA</v>
          </cell>
          <cell r="C2381">
            <v>2</v>
          </cell>
          <cell r="D2381">
            <v>730</v>
          </cell>
        </row>
        <row r="2382">
          <cell r="A2382" t="str">
            <v>B79WSA9-1</v>
          </cell>
          <cell r="B2382" t="str">
            <v>COL ST LAT MAT BCO ANT AMERICA</v>
          </cell>
          <cell r="C2382">
            <v>2</v>
          </cell>
          <cell r="D2382">
            <v>730</v>
          </cell>
        </row>
        <row r="2383">
          <cell r="A2383" t="str">
            <v>B79WSA9-1/4</v>
          </cell>
          <cell r="B2383" t="str">
            <v>COL ST LAT MAT BCO ANT AMERICA</v>
          </cell>
          <cell r="C2383">
            <v>2</v>
          </cell>
          <cell r="D2383">
            <v>730</v>
          </cell>
        </row>
        <row r="2384">
          <cell r="A2384" t="str">
            <v>B79WSA9-5</v>
          </cell>
          <cell r="B2384" t="str">
            <v>COL ST LAT MAT BCO ANT AMERICA</v>
          </cell>
          <cell r="C2384">
            <v>2</v>
          </cell>
          <cell r="D2384">
            <v>730</v>
          </cell>
        </row>
        <row r="2385">
          <cell r="A2385" t="str">
            <v>B79WSA9-50</v>
          </cell>
          <cell r="B2385" t="str">
            <v xml:space="preserve">COLONIAL LATEX BLANCO ANTIGUO </v>
          </cell>
          <cell r="C2385">
            <v>2</v>
          </cell>
          <cell r="D2385">
            <v>730</v>
          </cell>
        </row>
        <row r="2386">
          <cell r="A2386" t="str">
            <v>B79YSA11</v>
          </cell>
          <cell r="B2386" t="str">
            <v>COLONIAL STYLE LATEX MATE YELL</v>
          </cell>
          <cell r="C2386">
            <v>2</v>
          </cell>
          <cell r="D2386">
            <v>730</v>
          </cell>
        </row>
        <row r="2387">
          <cell r="A2387" t="str">
            <v>B79YSA11-1</v>
          </cell>
          <cell r="B2387" t="str">
            <v>COLONIAL STYLE LATEX MATE YELL</v>
          </cell>
          <cell r="C2387">
            <v>2</v>
          </cell>
          <cell r="D2387">
            <v>730</v>
          </cell>
        </row>
        <row r="2388">
          <cell r="A2388" t="str">
            <v>B79YSA11-5</v>
          </cell>
          <cell r="B2388" t="str">
            <v>COLONIAL STYLE LATEX MATE YELL</v>
          </cell>
          <cell r="C2388">
            <v>2</v>
          </cell>
          <cell r="D2388">
            <v>730</v>
          </cell>
        </row>
        <row r="2389">
          <cell r="A2389" t="str">
            <v>B79YSA12</v>
          </cell>
          <cell r="B2389" t="str">
            <v xml:space="preserve">COLONIAL STYLE LAT MATE AMARI </v>
          </cell>
          <cell r="C2389">
            <v>2</v>
          </cell>
          <cell r="D2389">
            <v>730</v>
          </cell>
        </row>
        <row r="2390">
          <cell r="A2390" t="str">
            <v>B79YSA12-1</v>
          </cell>
          <cell r="B2390" t="str">
            <v xml:space="preserve">COLONIAL STYLE LAT MATE AMARI </v>
          </cell>
          <cell r="C2390">
            <v>2</v>
          </cell>
          <cell r="D2390">
            <v>730</v>
          </cell>
        </row>
        <row r="2391">
          <cell r="A2391" t="str">
            <v>B79YSA12-5</v>
          </cell>
          <cell r="B2391" t="str">
            <v xml:space="preserve">COLONIAL STYLE LAT MATE AMARI </v>
          </cell>
          <cell r="C2391">
            <v>2</v>
          </cell>
          <cell r="D2391">
            <v>730</v>
          </cell>
        </row>
        <row r="2392">
          <cell r="A2392" t="str">
            <v>B79YSA13</v>
          </cell>
          <cell r="B2392" t="str">
            <v xml:space="preserve">COLONIAL STYLE LAT MATE AMARI </v>
          </cell>
          <cell r="C2392">
            <v>2</v>
          </cell>
          <cell r="D2392">
            <v>730</v>
          </cell>
        </row>
        <row r="2393">
          <cell r="A2393" t="str">
            <v>B79YSA13-1</v>
          </cell>
          <cell r="B2393" t="str">
            <v xml:space="preserve">COLONIAL STYLE LAT MATE AMARI </v>
          </cell>
          <cell r="C2393">
            <v>2</v>
          </cell>
          <cell r="D2393">
            <v>730</v>
          </cell>
        </row>
        <row r="2394">
          <cell r="A2394" t="str">
            <v>B79YSA13-5</v>
          </cell>
          <cell r="B2394" t="str">
            <v xml:space="preserve">COLONIAL STYLE LAT MATE AMARI </v>
          </cell>
          <cell r="C2394">
            <v>2</v>
          </cell>
          <cell r="D2394">
            <v>730</v>
          </cell>
        </row>
        <row r="2395">
          <cell r="A2395" t="str">
            <v>B79YSA14</v>
          </cell>
          <cell r="B2395" t="str">
            <v xml:space="preserve">COLONIAL STYLE LAT MATE AMARI </v>
          </cell>
          <cell r="C2395">
            <v>2</v>
          </cell>
          <cell r="D2395">
            <v>730</v>
          </cell>
        </row>
        <row r="2396">
          <cell r="A2396" t="str">
            <v>B79YSA14-1</v>
          </cell>
          <cell r="B2396" t="str">
            <v xml:space="preserve">COLONIAL STYLE LAT MATE AMARI </v>
          </cell>
          <cell r="C2396">
            <v>2</v>
          </cell>
          <cell r="D2396">
            <v>730</v>
          </cell>
        </row>
        <row r="2397">
          <cell r="A2397" t="str">
            <v>B79YSA14-5</v>
          </cell>
          <cell r="B2397" t="str">
            <v xml:space="preserve">COLONIAL STYLE LAT MATE AMARI </v>
          </cell>
          <cell r="C2397">
            <v>2</v>
          </cell>
          <cell r="D2397">
            <v>730</v>
          </cell>
        </row>
        <row r="2398">
          <cell r="A2398" t="str">
            <v>B79YSA16</v>
          </cell>
          <cell r="B2398" t="str">
            <v>COLONIAL STYL LAT MATE AZAFRAN</v>
          </cell>
          <cell r="C2398">
            <v>2</v>
          </cell>
          <cell r="D2398">
            <v>730</v>
          </cell>
        </row>
        <row r="2399">
          <cell r="A2399" t="str">
            <v>B79YSA16-1</v>
          </cell>
          <cell r="B2399" t="str">
            <v>COLONIAL STYL LAT MATE AZAFRAN</v>
          </cell>
          <cell r="C2399">
            <v>2</v>
          </cell>
          <cell r="D2399">
            <v>730</v>
          </cell>
        </row>
        <row r="2400">
          <cell r="A2400" t="str">
            <v>B79YSA17</v>
          </cell>
          <cell r="B2400" t="str">
            <v xml:space="preserve">COLONIAL STYLE LAT MATE AMARI </v>
          </cell>
          <cell r="C2400">
            <v>2</v>
          </cell>
          <cell r="D2400">
            <v>730</v>
          </cell>
        </row>
        <row r="2401">
          <cell r="A2401" t="str">
            <v>B79YSA17-1</v>
          </cell>
          <cell r="B2401" t="str">
            <v xml:space="preserve">COLONIAL STYLE LAT MATE AMARI </v>
          </cell>
          <cell r="C2401">
            <v>2</v>
          </cell>
          <cell r="D2401">
            <v>730</v>
          </cell>
        </row>
        <row r="2402">
          <cell r="A2402" t="str">
            <v>B79YSA17-5</v>
          </cell>
          <cell r="B2402" t="str">
            <v xml:space="preserve">COLONIAL STYLE LAT MATE AMARI </v>
          </cell>
          <cell r="C2402">
            <v>2</v>
          </cell>
          <cell r="D2402">
            <v>730</v>
          </cell>
        </row>
        <row r="2403">
          <cell r="A2403" t="str">
            <v>B79YSA3</v>
          </cell>
          <cell r="B2403" t="str">
            <v xml:space="preserve">COL STYLE LATEX MATE AMARILLO </v>
          </cell>
          <cell r="C2403">
            <v>2</v>
          </cell>
          <cell r="D2403">
            <v>730</v>
          </cell>
        </row>
        <row r="2404">
          <cell r="A2404" t="str">
            <v>B79YSA3-1</v>
          </cell>
          <cell r="B2404" t="str">
            <v xml:space="preserve">COL STYLE LATEX MATE AMARILLO </v>
          </cell>
          <cell r="C2404">
            <v>2</v>
          </cell>
          <cell r="D2404">
            <v>730</v>
          </cell>
        </row>
        <row r="2405">
          <cell r="A2405" t="str">
            <v>B79YSA3-1/4</v>
          </cell>
          <cell r="B2405" t="str">
            <v xml:space="preserve">COL STYLE LATEX MATE AMARILLO </v>
          </cell>
          <cell r="C2405">
            <v>2</v>
          </cell>
          <cell r="D2405">
            <v>730</v>
          </cell>
        </row>
        <row r="2406">
          <cell r="A2406" t="str">
            <v>B79YSA3-5</v>
          </cell>
          <cell r="B2406" t="str">
            <v xml:space="preserve">COLONIAL LATEX AMARILLO       </v>
          </cell>
          <cell r="C2406">
            <v>2</v>
          </cell>
          <cell r="D2406">
            <v>730</v>
          </cell>
        </row>
        <row r="2407">
          <cell r="A2407" t="str">
            <v>B82ASA12</v>
          </cell>
          <cell r="B2407" t="str">
            <v>COL ST ESMALT BRIL GRIS OS5'RO</v>
          </cell>
          <cell r="C2407">
            <v>2</v>
          </cell>
          <cell r="D2407">
            <v>730</v>
          </cell>
        </row>
        <row r="2408">
          <cell r="A2408" t="str">
            <v>B82ASA12-1</v>
          </cell>
          <cell r="B2408" t="str">
            <v>COL ST ESMALT BRIL GRIS OSCURO</v>
          </cell>
          <cell r="C2408">
            <v>2</v>
          </cell>
          <cell r="D2408">
            <v>730</v>
          </cell>
        </row>
        <row r="2409">
          <cell r="A2409" t="str">
            <v>B82ASA12-1/4</v>
          </cell>
          <cell r="B2409" t="str">
            <v>COL ST ESMALT BRIL GRIS OSCURO</v>
          </cell>
          <cell r="C2409">
            <v>2</v>
          </cell>
          <cell r="D2409">
            <v>730</v>
          </cell>
        </row>
        <row r="2410">
          <cell r="A2410" t="str">
            <v>B82ASA19</v>
          </cell>
          <cell r="B2410" t="str">
            <v xml:space="preserve">COLONIAL ESMALTE GRIS ARENA   </v>
          </cell>
          <cell r="C2410">
            <v>2</v>
          </cell>
          <cell r="D2410">
            <v>730</v>
          </cell>
        </row>
        <row r="2411">
          <cell r="A2411" t="str">
            <v>B82ASA19-1</v>
          </cell>
          <cell r="B2411" t="str">
            <v xml:space="preserve">COLONIAL ESMALTE GRIS ARENA   </v>
          </cell>
          <cell r="C2411">
            <v>2</v>
          </cell>
          <cell r="D2411">
            <v>730</v>
          </cell>
        </row>
        <row r="2412">
          <cell r="A2412" t="str">
            <v>B82ASA8</v>
          </cell>
          <cell r="B2412" t="str">
            <v>COL ST ESMALTE BRIL GRIS CLARO</v>
          </cell>
          <cell r="C2412">
            <v>2</v>
          </cell>
          <cell r="D2412">
            <v>730</v>
          </cell>
        </row>
        <row r="2413">
          <cell r="A2413" t="str">
            <v>B82ASA8-1</v>
          </cell>
          <cell r="B2413" t="str">
            <v>COL ST ESMALTE BRIL GRIS CLARO</v>
          </cell>
          <cell r="C2413">
            <v>2</v>
          </cell>
          <cell r="D2413">
            <v>730</v>
          </cell>
        </row>
        <row r="2414">
          <cell r="A2414" t="str">
            <v>B82ASA8-1/4</v>
          </cell>
          <cell r="B2414" t="str">
            <v>COL ST ESMALTE BRIL GRIS CLARO</v>
          </cell>
          <cell r="C2414">
            <v>2</v>
          </cell>
          <cell r="D2414">
            <v>730</v>
          </cell>
        </row>
        <row r="2415">
          <cell r="A2415" t="str">
            <v>B82BSA1</v>
          </cell>
          <cell r="B2415" t="str">
            <v>COL ST ESMALTE BRILLANTE NEGRO</v>
          </cell>
          <cell r="C2415">
            <v>2</v>
          </cell>
          <cell r="D2415">
            <v>730</v>
          </cell>
        </row>
        <row r="2416">
          <cell r="A2416" t="str">
            <v>B82BSA1-1</v>
          </cell>
          <cell r="B2416" t="str">
            <v>COL ST ESMALTE BRILLANTE NEGRO</v>
          </cell>
          <cell r="C2416">
            <v>2</v>
          </cell>
          <cell r="D2416">
            <v>730</v>
          </cell>
        </row>
        <row r="2417">
          <cell r="A2417" t="str">
            <v>B82BSA1-1/4</v>
          </cell>
          <cell r="B2417" t="str">
            <v>COL ST ESMALTE BRILLANTE NEGRO</v>
          </cell>
          <cell r="C2417">
            <v>2</v>
          </cell>
          <cell r="D2417">
            <v>730</v>
          </cell>
        </row>
        <row r="2418">
          <cell r="A2418" t="str">
            <v>B82BSA1-5</v>
          </cell>
          <cell r="B2418" t="str">
            <v>COL ST ESMALTE BRILLANTE NEGRO</v>
          </cell>
          <cell r="C2418">
            <v>2</v>
          </cell>
          <cell r="D2418">
            <v>730</v>
          </cell>
        </row>
        <row r="2419">
          <cell r="A2419" t="str">
            <v>B82BSA3</v>
          </cell>
          <cell r="B2419" t="str">
            <v xml:space="preserve">COL STYLE ESMALTE MATE NEGRO  </v>
          </cell>
          <cell r="C2419">
            <v>2</v>
          </cell>
          <cell r="D2419">
            <v>730</v>
          </cell>
        </row>
        <row r="2420">
          <cell r="A2420" t="str">
            <v>B82BSA3-1</v>
          </cell>
          <cell r="B2420" t="str">
            <v xml:space="preserve">COL STYLE ESMALTE MATE NEGRO  </v>
          </cell>
          <cell r="C2420">
            <v>2</v>
          </cell>
          <cell r="D2420">
            <v>730</v>
          </cell>
        </row>
        <row r="2421">
          <cell r="A2421" t="str">
            <v>B82BSA3-1/4</v>
          </cell>
          <cell r="B2421" t="str">
            <v xml:space="preserve">COL STYLE ESMALTE MATE NEGRO  </v>
          </cell>
          <cell r="C2421">
            <v>2</v>
          </cell>
          <cell r="D2421">
            <v>730</v>
          </cell>
        </row>
        <row r="2422">
          <cell r="A2422" t="str">
            <v>B82ESA6</v>
          </cell>
          <cell r="B2422" t="str">
            <v>COL STY ESMALT BRILLANTE MELON</v>
          </cell>
          <cell r="C2422">
            <v>2</v>
          </cell>
          <cell r="D2422">
            <v>730</v>
          </cell>
        </row>
        <row r="2423">
          <cell r="A2423" t="str">
            <v>B82ESA6-1</v>
          </cell>
          <cell r="B2423" t="str">
            <v>COL STY ESMALT BRILLANTE MELON</v>
          </cell>
          <cell r="C2423">
            <v>2</v>
          </cell>
          <cell r="D2423">
            <v>730</v>
          </cell>
        </row>
        <row r="2424">
          <cell r="A2424" t="str">
            <v>B82ESA6-1/4</v>
          </cell>
          <cell r="B2424" t="str">
            <v xml:space="preserve">COLONIAL ESMALTE MELON        </v>
          </cell>
          <cell r="C2424">
            <v>2</v>
          </cell>
          <cell r="D2424">
            <v>730</v>
          </cell>
        </row>
        <row r="2425">
          <cell r="A2425" t="str">
            <v>B82ESA6-5</v>
          </cell>
          <cell r="B2425" t="str">
            <v>COL STY ESMALT BRILLANTE MELON</v>
          </cell>
          <cell r="C2425">
            <v>2</v>
          </cell>
          <cell r="D2425">
            <v>730</v>
          </cell>
        </row>
        <row r="2426">
          <cell r="A2426" t="str">
            <v>B82ESA8</v>
          </cell>
          <cell r="B2426" t="str">
            <v xml:space="preserve">COLONIAL STYL ESMALT CORAL    </v>
          </cell>
          <cell r="C2426">
            <v>2</v>
          </cell>
          <cell r="D2426">
            <v>730</v>
          </cell>
        </row>
        <row r="2427">
          <cell r="A2427" t="str">
            <v>B82ESA8-1</v>
          </cell>
          <cell r="B2427" t="str">
            <v xml:space="preserve">COLONIAL STYL ESMALT CORAL    </v>
          </cell>
          <cell r="C2427">
            <v>2</v>
          </cell>
          <cell r="D2427">
            <v>730</v>
          </cell>
        </row>
        <row r="2428">
          <cell r="A2428" t="str">
            <v>B82GSA13</v>
          </cell>
          <cell r="B2428" t="str">
            <v>COL ST ESM BRI VERDE ESMERALDA</v>
          </cell>
          <cell r="C2428">
            <v>2</v>
          </cell>
          <cell r="D2428">
            <v>730</v>
          </cell>
        </row>
        <row r="2429">
          <cell r="A2429" t="str">
            <v>B82GSA13-1</v>
          </cell>
          <cell r="B2429" t="str">
            <v>COL ST ESM BRI VERDE ESMERALDA</v>
          </cell>
          <cell r="C2429">
            <v>2</v>
          </cell>
          <cell r="D2429">
            <v>730</v>
          </cell>
        </row>
        <row r="2430">
          <cell r="A2430" t="str">
            <v>B82GSA13-1/4</v>
          </cell>
          <cell r="B2430" t="str">
            <v>COL ST ESM BRI VERDE ESMERALDA</v>
          </cell>
          <cell r="C2430">
            <v>2</v>
          </cell>
          <cell r="D2430">
            <v>730</v>
          </cell>
        </row>
        <row r="2431">
          <cell r="A2431" t="str">
            <v>B82GSA14</v>
          </cell>
          <cell r="B2431" t="str">
            <v>COL ST ESM BRILLANT VERDE LIMA</v>
          </cell>
          <cell r="C2431">
            <v>2</v>
          </cell>
          <cell r="D2431">
            <v>730</v>
          </cell>
        </row>
        <row r="2432">
          <cell r="A2432" t="str">
            <v>B82GSA14-1</v>
          </cell>
          <cell r="B2432" t="str">
            <v>COL ST ESM BRILLANT VERDE LIMA</v>
          </cell>
          <cell r="C2432">
            <v>2</v>
          </cell>
          <cell r="D2432">
            <v>730</v>
          </cell>
        </row>
        <row r="2433">
          <cell r="A2433" t="str">
            <v>B82GSA14-1/4</v>
          </cell>
          <cell r="B2433" t="str">
            <v>COL ST ESM BRILLANT VERDE LIMA</v>
          </cell>
          <cell r="C2433">
            <v>2</v>
          </cell>
          <cell r="D2433">
            <v>730</v>
          </cell>
        </row>
        <row r="2434">
          <cell r="A2434" t="str">
            <v>B82GSA15</v>
          </cell>
          <cell r="B2434" t="str">
            <v>COL ST ESM BRILL VERDE MANZANO</v>
          </cell>
          <cell r="C2434">
            <v>2</v>
          </cell>
          <cell r="D2434">
            <v>730</v>
          </cell>
        </row>
        <row r="2435">
          <cell r="A2435" t="str">
            <v>B82GSA15-1</v>
          </cell>
          <cell r="B2435" t="str">
            <v>COL ST ESM BRILL VERDE MANZANO</v>
          </cell>
          <cell r="C2435">
            <v>2</v>
          </cell>
          <cell r="D2435">
            <v>730</v>
          </cell>
        </row>
        <row r="2436">
          <cell r="A2436" t="str">
            <v>B82GSA15-1/4</v>
          </cell>
          <cell r="B2436" t="str">
            <v>COL ST ESM BRILL VERDE MANZANO</v>
          </cell>
          <cell r="C2436">
            <v>2</v>
          </cell>
          <cell r="D2436">
            <v>730</v>
          </cell>
        </row>
        <row r="2437">
          <cell r="A2437" t="str">
            <v>B82GSA15-50</v>
          </cell>
          <cell r="B2437" t="str">
            <v>COLONIAL ESMALTE VERDE MANZANO</v>
          </cell>
          <cell r="C2437">
            <v>2</v>
          </cell>
          <cell r="D2437">
            <v>730</v>
          </cell>
        </row>
        <row r="2438">
          <cell r="A2438" t="str">
            <v>B82GSA17</v>
          </cell>
          <cell r="B2438" t="str">
            <v xml:space="preserve">COLONIAL ESMALTE TURQUEZA     </v>
          </cell>
          <cell r="C2438">
            <v>2</v>
          </cell>
          <cell r="D2438">
            <v>730</v>
          </cell>
        </row>
        <row r="2439">
          <cell r="A2439" t="str">
            <v>B82GSA17-1</v>
          </cell>
          <cell r="B2439" t="str">
            <v xml:space="preserve">COLONIAL ESMALTE TURQUEZA     </v>
          </cell>
          <cell r="C2439">
            <v>2</v>
          </cell>
          <cell r="D2439">
            <v>730</v>
          </cell>
        </row>
        <row r="2440">
          <cell r="A2440" t="str">
            <v>B82GSA17-1/4</v>
          </cell>
          <cell r="B2440" t="str">
            <v xml:space="preserve">COLONIAL ESMALTE TURQUEZA     </v>
          </cell>
          <cell r="C2440">
            <v>2</v>
          </cell>
          <cell r="D2440">
            <v>730</v>
          </cell>
        </row>
        <row r="2441">
          <cell r="A2441" t="str">
            <v>B82GSA17-5</v>
          </cell>
          <cell r="B2441" t="str">
            <v xml:space="preserve">COLONIAL ESMALTE TURQUEZA     </v>
          </cell>
          <cell r="C2441">
            <v>2</v>
          </cell>
          <cell r="D2441">
            <v>730</v>
          </cell>
        </row>
        <row r="2442">
          <cell r="A2442" t="str">
            <v>B82GSA18</v>
          </cell>
          <cell r="B2442" t="str">
            <v>COLONIAL ESMALTE VERDE PALMERA</v>
          </cell>
          <cell r="C2442">
            <v>2</v>
          </cell>
          <cell r="D2442">
            <v>730</v>
          </cell>
        </row>
        <row r="2443">
          <cell r="A2443" t="str">
            <v>B82GSA18-1</v>
          </cell>
          <cell r="B2443" t="str">
            <v>COLONIAL ESMALTE VERDE PALMERA</v>
          </cell>
          <cell r="C2443">
            <v>2</v>
          </cell>
          <cell r="D2443">
            <v>730</v>
          </cell>
        </row>
        <row r="2444">
          <cell r="A2444" t="str">
            <v>B82GSA5</v>
          </cell>
          <cell r="B2444" t="str">
            <v>COL ST ESMALTE BRILLA TURQUESA</v>
          </cell>
          <cell r="C2444">
            <v>2</v>
          </cell>
          <cell r="D2444">
            <v>730</v>
          </cell>
        </row>
        <row r="2445">
          <cell r="A2445" t="str">
            <v>B82GSA5-1</v>
          </cell>
          <cell r="B2445" t="str">
            <v>COL ST ESMALTE BRILLA TURQUESA</v>
          </cell>
          <cell r="C2445">
            <v>2</v>
          </cell>
          <cell r="D2445">
            <v>730</v>
          </cell>
        </row>
        <row r="2446">
          <cell r="A2446" t="str">
            <v>B82GSA5-1/4</v>
          </cell>
          <cell r="B2446" t="str">
            <v>COL ST ESMALTE BRILLA TURQUESA</v>
          </cell>
          <cell r="C2446">
            <v>2</v>
          </cell>
          <cell r="D2446">
            <v>730</v>
          </cell>
        </row>
        <row r="2447">
          <cell r="A2447" t="str">
            <v>B82HSA6</v>
          </cell>
          <cell r="B2447" t="str">
            <v xml:space="preserve">COL ST ESMALTE BRILLAN CREMA  </v>
          </cell>
          <cell r="C2447">
            <v>2</v>
          </cell>
          <cell r="D2447">
            <v>730</v>
          </cell>
        </row>
        <row r="2448">
          <cell r="A2448" t="str">
            <v>B82HSA6-1</v>
          </cell>
          <cell r="B2448" t="str">
            <v xml:space="preserve">COL ST ESMALTE BRILLAN CREMA  </v>
          </cell>
          <cell r="C2448">
            <v>2</v>
          </cell>
          <cell r="D2448">
            <v>730</v>
          </cell>
        </row>
        <row r="2449">
          <cell r="A2449" t="str">
            <v>B82HSA6-1/4</v>
          </cell>
          <cell r="B2449" t="str">
            <v xml:space="preserve">COL ST ESMALTE BRILLAN CREMA  </v>
          </cell>
          <cell r="C2449">
            <v>2</v>
          </cell>
          <cell r="D2449">
            <v>730</v>
          </cell>
        </row>
        <row r="2450">
          <cell r="A2450" t="str">
            <v>B82HSA6-5</v>
          </cell>
          <cell r="B2450" t="str">
            <v xml:space="preserve">COLONIAL ESMALTE CREMA        </v>
          </cell>
          <cell r="C2450">
            <v>2</v>
          </cell>
          <cell r="D2450">
            <v>730</v>
          </cell>
        </row>
        <row r="2451">
          <cell r="A2451" t="str">
            <v>B82LP16</v>
          </cell>
          <cell r="B2451" t="str">
            <v xml:space="preserve">COLONIAL ESMALTE AZUL CARIBE  </v>
          </cell>
          <cell r="C2451">
            <v>2</v>
          </cell>
          <cell r="D2451">
            <v>730</v>
          </cell>
        </row>
        <row r="2452">
          <cell r="A2452" t="str">
            <v>B82LP16-1</v>
          </cell>
          <cell r="B2452" t="str">
            <v xml:space="preserve">COLONIAL ESMALTE AZUL CARIBE  </v>
          </cell>
          <cell r="C2452">
            <v>2</v>
          </cell>
          <cell r="D2452">
            <v>730</v>
          </cell>
        </row>
        <row r="2453">
          <cell r="A2453" t="str">
            <v>B82LP16-5</v>
          </cell>
          <cell r="B2453" t="str">
            <v xml:space="preserve">COLONIAL ESMALTE AZUL CARIBE  </v>
          </cell>
          <cell r="C2453">
            <v>2</v>
          </cell>
          <cell r="D2453">
            <v>730</v>
          </cell>
        </row>
        <row r="2454">
          <cell r="A2454" t="str">
            <v>B82LSA13</v>
          </cell>
          <cell r="B2454" t="str">
            <v xml:space="preserve">COL ST ESM BRILLA AZUL CARIBE </v>
          </cell>
          <cell r="C2454">
            <v>2</v>
          </cell>
          <cell r="D2454">
            <v>730</v>
          </cell>
        </row>
        <row r="2455">
          <cell r="A2455" t="str">
            <v>B82LSA13-1</v>
          </cell>
          <cell r="B2455" t="str">
            <v xml:space="preserve">COL ST ESM BRILLA AZUL CARIBE </v>
          </cell>
          <cell r="C2455">
            <v>2</v>
          </cell>
          <cell r="D2455">
            <v>730</v>
          </cell>
        </row>
        <row r="2456">
          <cell r="A2456" t="str">
            <v>B82LSA13-1/4</v>
          </cell>
          <cell r="B2456" t="str">
            <v xml:space="preserve">COL ST ESM BRILLA AZUL CARIBE </v>
          </cell>
          <cell r="C2456">
            <v>2</v>
          </cell>
          <cell r="D2456">
            <v>730</v>
          </cell>
        </row>
        <row r="2457">
          <cell r="A2457" t="str">
            <v>B82LSA13-5</v>
          </cell>
          <cell r="B2457" t="str">
            <v xml:space="preserve">COLONIAL ESMALTE AZUL CARIBE  </v>
          </cell>
          <cell r="C2457">
            <v>2</v>
          </cell>
          <cell r="D2457">
            <v>730</v>
          </cell>
        </row>
        <row r="2458">
          <cell r="A2458" t="str">
            <v>B82LSA14</v>
          </cell>
          <cell r="B2458" t="str">
            <v>COL ST ESM BRILL CELESTE CIELO</v>
          </cell>
          <cell r="C2458">
            <v>2</v>
          </cell>
          <cell r="D2458">
            <v>730</v>
          </cell>
        </row>
        <row r="2459">
          <cell r="A2459" t="str">
            <v>B82LSA14-1</v>
          </cell>
          <cell r="B2459" t="str">
            <v>COL ST ESM BRILL CELESTE CIELO</v>
          </cell>
          <cell r="C2459">
            <v>2</v>
          </cell>
          <cell r="D2459">
            <v>730</v>
          </cell>
        </row>
        <row r="2460">
          <cell r="A2460" t="str">
            <v>B82LSA14-1/4</v>
          </cell>
          <cell r="B2460" t="str">
            <v>COLONIAL ESMALTE CELESTE CIELO</v>
          </cell>
          <cell r="C2460">
            <v>2</v>
          </cell>
          <cell r="D2460">
            <v>730</v>
          </cell>
        </row>
        <row r="2461">
          <cell r="A2461" t="str">
            <v>B82LSA17</v>
          </cell>
          <cell r="B2461" t="str">
            <v xml:space="preserve">COLONIAL ESMALTE AZUL BANDERA </v>
          </cell>
          <cell r="C2461">
            <v>2</v>
          </cell>
          <cell r="D2461">
            <v>730</v>
          </cell>
        </row>
        <row r="2462">
          <cell r="A2462" t="str">
            <v>B82LSA17-50</v>
          </cell>
          <cell r="B2462" t="str">
            <v xml:space="preserve">COLONIAL ESMALTE AZUL BANDERA </v>
          </cell>
          <cell r="C2462">
            <v>2</v>
          </cell>
          <cell r="D2462">
            <v>730</v>
          </cell>
        </row>
        <row r="2463">
          <cell r="A2463" t="str">
            <v>B82LSA7</v>
          </cell>
          <cell r="B2463" t="str">
            <v>COL STY ESM BRILL AZUL MEDIANO</v>
          </cell>
          <cell r="C2463">
            <v>2</v>
          </cell>
          <cell r="D2463">
            <v>730</v>
          </cell>
        </row>
        <row r="2464">
          <cell r="A2464" t="str">
            <v>B82LSA7-1</v>
          </cell>
          <cell r="B2464" t="str">
            <v>COL STY ESM BRILL AZUL MEDIANO</v>
          </cell>
          <cell r="C2464">
            <v>2</v>
          </cell>
          <cell r="D2464">
            <v>730</v>
          </cell>
        </row>
        <row r="2465">
          <cell r="A2465" t="str">
            <v>B82LSA7-1/4</v>
          </cell>
          <cell r="B2465" t="str">
            <v>COL STY ESM BRILL AZUL MEDIANO</v>
          </cell>
          <cell r="C2465">
            <v>2</v>
          </cell>
          <cell r="D2465">
            <v>730</v>
          </cell>
        </row>
        <row r="2466">
          <cell r="A2466" t="str">
            <v>B82NSA3</v>
          </cell>
          <cell r="B2466" t="str">
            <v xml:space="preserve">COL STY ESMALT BRILLANTE CAFÉ </v>
          </cell>
          <cell r="C2466">
            <v>2</v>
          </cell>
          <cell r="D2466">
            <v>730</v>
          </cell>
        </row>
        <row r="2467">
          <cell r="A2467" t="str">
            <v>B82NSA3-1</v>
          </cell>
          <cell r="B2467" t="str">
            <v xml:space="preserve">COL STY ESMALT BRILLANTE CAFÉ </v>
          </cell>
          <cell r="C2467">
            <v>2</v>
          </cell>
          <cell r="D2467">
            <v>730</v>
          </cell>
        </row>
        <row r="2468">
          <cell r="A2468" t="str">
            <v>B82NSA3-1/4</v>
          </cell>
          <cell r="B2468" t="str">
            <v xml:space="preserve">COL STY ESMALT BRILLANTE CAFÉ </v>
          </cell>
          <cell r="C2468">
            <v>2</v>
          </cell>
          <cell r="D2468">
            <v>730</v>
          </cell>
        </row>
        <row r="2469">
          <cell r="A2469" t="str">
            <v>B82NSA4</v>
          </cell>
          <cell r="B2469" t="str">
            <v>COL ST ESM BRILLAN CAFÉ OSCURO</v>
          </cell>
          <cell r="C2469">
            <v>2</v>
          </cell>
          <cell r="D2469">
            <v>730</v>
          </cell>
        </row>
        <row r="2470">
          <cell r="A2470" t="str">
            <v>B82NSA4-1</v>
          </cell>
          <cell r="B2470" t="str">
            <v>COL ST ESM BRILLAN CAFÉ OSCURO</v>
          </cell>
          <cell r="C2470">
            <v>2</v>
          </cell>
          <cell r="D2470">
            <v>730</v>
          </cell>
        </row>
        <row r="2471">
          <cell r="A2471" t="str">
            <v>B82NSA4-1/4</v>
          </cell>
          <cell r="B2471" t="str">
            <v>COL ST ESM BRILLAN CAFÉ OSCURO</v>
          </cell>
          <cell r="C2471">
            <v>2</v>
          </cell>
          <cell r="D2471">
            <v>730</v>
          </cell>
        </row>
        <row r="2472">
          <cell r="A2472" t="str">
            <v>B82NSA8</v>
          </cell>
          <cell r="B2472" t="str">
            <v xml:space="preserve">COLONIAL ESMALTE GRIS         </v>
          </cell>
          <cell r="C2472">
            <v>2</v>
          </cell>
          <cell r="D2472">
            <v>730</v>
          </cell>
        </row>
        <row r="2473">
          <cell r="A2473" t="str">
            <v>B82NSA8-1</v>
          </cell>
          <cell r="B2473" t="str">
            <v xml:space="preserve">COLONIAL ESMALTE GRIS         </v>
          </cell>
          <cell r="C2473">
            <v>2</v>
          </cell>
          <cell r="D2473">
            <v>730</v>
          </cell>
        </row>
        <row r="2474">
          <cell r="A2474" t="str">
            <v>B82NSA8-5</v>
          </cell>
          <cell r="B2474" t="str">
            <v xml:space="preserve">COLONIAL ESMALTE GRIS         </v>
          </cell>
          <cell r="C2474">
            <v>2</v>
          </cell>
          <cell r="D2474">
            <v>730</v>
          </cell>
        </row>
        <row r="2475">
          <cell r="A2475" t="str">
            <v>B82NSA9</v>
          </cell>
          <cell r="B2475" t="str">
            <v>COLONIAL STYL ESMALT CAFE TERR</v>
          </cell>
          <cell r="C2475">
            <v>2</v>
          </cell>
          <cell r="D2475">
            <v>730</v>
          </cell>
        </row>
        <row r="2476">
          <cell r="A2476" t="str">
            <v>B82NSA9-1</v>
          </cell>
          <cell r="B2476" t="str">
            <v>COLONIAL STYL ESMALT CAFE TERR</v>
          </cell>
          <cell r="C2476">
            <v>2</v>
          </cell>
          <cell r="D2476">
            <v>730</v>
          </cell>
        </row>
        <row r="2477">
          <cell r="A2477" t="str">
            <v>B82PSA1</v>
          </cell>
          <cell r="B2477" t="str">
            <v xml:space="preserve">COLONIAL STYL ESMALTE PURPURA </v>
          </cell>
          <cell r="C2477">
            <v>2</v>
          </cell>
          <cell r="D2477">
            <v>730</v>
          </cell>
        </row>
        <row r="2478">
          <cell r="A2478" t="str">
            <v>B82PSA1-1</v>
          </cell>
          <cell r="B2478" t="str">
            <v xml:space="preserve">COLONIAL STYL ESMALTE PURPURA </v>
          </cell>
          <cell r="C2478">
            <v>2</v>
          </cell>
          <cell r="D2478">
            <v>730</v>
          </cell>
        </row>
        <row r="2479">
          <cell r="A2479" t="str">
            <v>B82RSA13</v>
          </cell>
          <cell r="B2479" t="str">
            <v>COL ST ESM BRILLA ROJO QUEMADO</v>
          </cell>
          <cell r="C2479">
            <v>2</v>
          </cell>
          <cell r="D2479">
            <v>730</v>
          </cell>
        </row>
        <row r="2480">
          <cell r="A2480" t="str">
            <v>B82RSA13-1</v>
          </cell>
          <cell r="B2480" t="str">
            <v>COL ST ESM BRILLA ROJO QUEMADO</v>
          </cell>
          <cell r="C2480">
            <v>2</v>
          </cell>
          <cell r="D2480">
            <v>730</v>
          </cell>
        </row>
        <row r="2481">
          <cell r="A2481" t="str">
            <v>B82RSA13-1/4</v>
          </cell>
          <cell r="B2481" t="str">
            <v>COL ST ESM BRILLA ROJO QUEMADO</v>
          </cell>
          <cell r="C2481">
            <v>2</v>
          </cell>
          <cell r="D2481">
            <v>730</v>
          </cell>
        </row>
        <row r="2482">
          <cell r="A2482" t="str">
            <v>B82RSA13-5</v>
          </cell>
          <cell r="B2482" t="str">
            <v>COL ST ESM BRILLA ROJO QUEMADO</v>
          </cell>
          <cell r="C2482">
            <v>2</v>
          </cell>
          <cell r="D2482">
            <v>730</v>
          </cell>
        </row>
        <row r="2483">
          <cell r="A2483" t="str">
            <v>B82RSA16</v>
          </cell>
          <cell r="B2483" t="str">
            <v xml:space="preserve">COL ST ESM BRILLANT GERANIO   </v>
          </cell>
          <cell r="C2483">
            <v>2</v>
          </cell>
          <cell r="D2483">
            <v>730</v>
          </cell>
        </row>
        <row r="2484">
          <cell r="A2484" t="str">
            <v>B82RSA16-1</v>
          </cell>
          <cell r="B2484" t="str">
            <v xml:space="preserve">COL ST ESM BRILLANT GERANIO   </v>
          </cell>
          <cell r="C2484">
            <v>2</v>
          </cell>
          <cell r="D2484">
            <v>730</v>
          </cell>
        </row>
        <row r="2485">
          <cell r="A2485" t="str">
            <v>B82RSA16-1/4</v>
          </cell>
          <cell r="B2485" t="str">
            <v xml:space="preserve">COL ST ESM BRILLANT GERANIO   </v>
          </cell>
          <cell r="C2485">
            <v>2</v>
          </cell>
          <cell r="D2485">
            <v>730</v>
          </cell>
        </row>
        <row r="2486">
          <cell r="A2486" t="str">
            <v>B82RSA17</v>
          </cell>
          <cell r="B2486" t="str">
            <v xml:space="preserve">COLONIAL ESM ROJO COCA COLA   </v>
          </cell>
          <cell r="C2486">
            <v>2</v>
          </cell>
          <cell r="D2486">
            <v>730</v>
          </cell>
        </row>
        <row r="2487">
          <cell r="A2487" t="str">
            <v>B82RSA17-50</v>
          </cell>
          <cell r="B2487" t="str">
            <v xml:space="preserve">COLONIAL ESM ROJO COCA COLA   </v>
          </cell>
          <cell r="C2487">
            <v>2</v>
          </cell>
          <cell r="D2487">
            <v>730</v>
          </cell>
        </row>
        <row r="2488">
          <cell r="A2488" t="str">
            <v>B82RSA18</v>
          </cell>
          <cell r="B2488" t="str">
            <v>COLONIAL STYL ESMALT ROJO BAHI</v>
          </cell>
          <cell r="C2488">
            <v>2</v>
          </cell>
          <cell r="D2488">
            <v>730</v>
          </cell>
        </row>
        <row r="2489">
          <cell r="A2489" t="str">
            <v>B82RSA18-1</v>
          </cell>
          <cell r="B2489" t="str">
            <v>COLONIAL STYL ESMALT ROJO BAHI</v>
          </cell>
          <cell r="C2489">
            <v>2</v>
          </cell>
          <cell r="D2489">
            <v>730</v>
          </cell>
        </row>
        <row r="2490">
          <cell r="A2490" t="str">
            <v>B82RSA19</v>
          </cell>
          <cell r="B2490" t="str">
            <v>COLONIAL STYLE ESMALTE JALAPEÑ</v>
          </cell>
          <cell r="C2490">
            <v>2</v>
          </cell>
          <cell r="D2490">
            <v>730</v>
          </cell>
        </row>
        <row r="2491">
          <cell r="A2491" t="str">
            <v>B82RSA19-1</v>
          </cell>
          <cell r="B2491" t="str">
            <v>COLONIAL STYLE ESMALTE JALAPEÑ</v>
          </cell>
          <cell r="C2491">
            <v>2</v>
          </cell>
          <cell r="D2491">
            <v>730</v>
          </cell>
        </row>
        <row r="2492">
          <cell r="A2492" t="str">
            <v>B82RSA20</v>
          </cell>
          <cell r="B2492" t="str">
            <v>COLONIAL STYL ESMAL ROJO FUEGO</v>
          </cell>
          <cell r="C2492">
            <v>2</v>
          </cell>
          <cell r="D2492">
            <v>730</v>
          </cell>
        </row>
        <row r="2493">
          <cell r="A2493" t="str">
            <v>B82RSA20-1</v>
          </cell>
          <cell r="B2493" t="str">
            <v>COLONIAL STYL ESMAL ROJO FUEGO</v>
          </cell>
          <cell r="C2493">
            <v>2</v>
          </cell>
          <cell r="D2493">
            <v>730</v>
          </cell>
        </row>
        <row r="2494">
          <cell r="A2494" t="str">
            <v>B82RSA6</v>
          </cell>
          <cell r="B2494" t="str">
            <v>COL ST ESM BRILLANT ROJO CHINO</v>
          </cell>
          <cell r="C2494">
            <v>2</v>
          </cell>
          <cell r="D2494">
            <v>730</v>
          </cell>
        </row>
        <row r="2495">
          <cell r="A2495" t="str">
            <v>B82RSA6-1</v>
          </cell>
          <cell r="B2495" t="str">
            <v>COL ST ESM BRILLANT ROJO CHINO</v>
          </cell>
          <cell r="C2495">
            <v>2</v>
          </cell>
          <cell r="D2495">
            <v>730</v>
          </cell>
        </row>
        <row r="2496">
          <cell r="A2496" t="str">
            <v>B82RSA6-1/4</v>
          </cell>
          <cell r="B2496" t="str">
            <v>COL ST ESM BRILLANT ROJO CHINO</v>
          </cell>
          <cell r="C2496">
            <v>2</v>
          </cell>
          <cell r="D2496">
            <v>730</v>
          </cell>
        </row>
        <row r="2497">
          <cell r="A2497" t="str">
            <v>B82RSA6-5</v>
          </cell>
          <cell r="B2497" t="str">
            <v xml:space="preserve">COLONIAL ESMALTE ROJO CHINO   </v>
          </cell>
          <cell r="C2497">
            <v>2</v>
          </cell>
          <cell r="D2497">
            <v>730</v>
          </cell>
        </row>
        <row r="2498">
          <cell r="A2498" t="str">
            <v>B82RSA6-50</v>
          </cell>
          <cell r="B2498" t="str">
            <v xml:space="preserve">COLONIAL ESMALTE ROJO CHINO   </v>
          </cell>
          <cell r="C2498">
            <v>2</v>
          </cell>
          <cell r="D2498">
            <v>730</v>
          </cell>
        </row>
        <row r="2499">
          <cell r="A2499" t="str">
            <v>B82TSA254</v>
          </cell>
          <cell r="B2499" t="str">
            <v xml:space="preserve">COLONIAL ESM MATE BASE ULTRA  </v>
          </cell>
          <cell r="C2499">
            <v>2</v>
          </cell>
          <cell r="D2499">
            <v>730</v>
          </cell>
        </row>
        <row r="2500">
          <cell r="A2500" t="str">
            <v>B82TSA254-1</v>
          </cell>
          <cell r="B2500" t="str">
            <v xml:space="preserve">COLONIAL ESM MATE BASE ULTRA  </v>
          </cell>
          <cell r="C2500">
            <v>2</v>
          </cell>
          <cell r="D2500">
            <v>730</v>
          </cell>
        </row>
        <row r="2501">
          <cell r="A2501" t="str">
            <v>B82TSA254-1/4</v>
          </cell>
          <cell r="B2501" t="str">
            <v xml:space="preserve">COLONIAL ESM MATE BASE ULTRA  </v>
          </cell>
          <cell r="C2501">
            <v>2</v>
          </cell>
          <cell r="D2501">
            <v>730</v>
          </cell>
        </row>
        <row r="2502">
          <cell r="A2502" t="str">
            <v>B82TSA254-5</v>
          </cell>
          <cell r="B2502" t="str">
            <v xml:space="preserve">COLONIAL ESM MATE BASE ULTRA  </v>
          </cell>
          <cell r="C2502">
            <v>2</v>
          </cell>
          <cell r="D2502">
            <v>730</v>
          </cell>
        </row>
        <row r="2503">
          <cell r="A2503" t="str">
            <v>B82TSA54</v>
          </cell>
          <cell r="B2503" t="str">
            <v xml:space="preserve">COLONIAL ESM BRIL BASE ULTRA  </v>
          </cell>
          <cell r="C2503">
            <v>2</v>
          </cell>
          <cell r="D2503">
            <v>730</v>
          </cell>
        </row>
        <row r="2504">
          <cell r="A2504" t="str">
            <v>B82TSA54-1</v>
          </cell>
          <cell r="B2504" t="str">
            <v xml:space="preserve">COLONIAL ESM BRIL BASE ULTRA  </v>
          </cell>
          <cell r="C2504">
            <v>2</v>
          </cell>
          <cell r="D2504">
            <v>730</v>
          </cell>
        </row>
        <row r="2505">
          <cell r="A2505" t="str">
            <v>B82TSA54-1/4</v>
          </cell>
          <cell r="B2505" t="str">
            <v xml:space="preserve">COLONIAL ESM BRIL BASE ULTRA  </v>
          </cell>
          <cell r="C2505">
            <v>2</v>
          </cell>
          <cell r="D2505">
            <v>730</v>
          </cell>
        </row>
        <row r="2506">
          <cell r="A2506" t="str">
            <v>B82TSA54-5</v>
          </cell>
          <cell r="B2506" t="str">
            <v xml:space="preserve">COLONIAL ESM BRIL BASE ULTRA  </v>
          </cell>
          <cell r="C2506">
            <v>2</v>
          </cell>
          <cell r="D2506">
            <v>730</v>
          </cell>
        </row>
        <row r="2507">
          <cell r="A2507" t="str">
            <v>B82WSA1</v>
          </cell>
          <cell r="B2507" t="str">
            <v>COL STYLE ESM BRILLANTE BLANCO</v>
          </cell>
          <cell r="C2507">
            <v>2</v>
          </cell>
          <cell r="D2507">
            <v>730</v>
          </cell>
        </row>
        <row r="2508">
          <cell r="A2508" t="str">
            <v>B82WSA1-1</v>
          </cell>
          <cell r="B2508" t="str">
            <v>COL STYLE ESM BRILLANTE BLANCO</v>
          </cell>
          <cell r="C2508">
            <v>2</v>
          </cell>
          <cell r="D2508">
            <v>730</v>
          </cell>
        </row>
        <row r="2509">
          <cell r="A2509" t="str">
            <v>B82WSA1-1/4</v>
          </cell>
          <cell r="B2509" t="str">
            <v>COL STYLE ESM BRILLANTE BLANCO</v>
          </cell>
          <cell r="C2509">
            <v>2</v>
          </cell>
          <cell r="D2509">
            <v>730</v>
          </cell>
        </row>
        <row r="2510">
          <cell r="A2510" t="str">
            <v>B82WSA1-5</v>
          </cell>
          <cell r="B2510" t="str">
            <v>COL STYLE ESM BRILLANTE BLANCO</v>
          </cell>
          <cell r="C2510">
            <v>2</v>
          </cell>
          <cell r="D2510">
            <v>730</v>
          </cell>
        </row>
        <row r="2511">
          <cell r="A2511" t="str">
            <v>B82WSA1-50</v>
          </cell>
          <cell r="B2511" t="str">
            <v>COLONIAL ESMALTE BLANCO BRILLA</v>
          </cell>
          <cell r="C2511">
            <v>2</v>
          </cell>
          <cell r="D2511">
            <v>730</v>
          </cell>
        </row>
        <row r="2512">
          <cell r="A2512" t="str">
            <v>B82WSA251</v>
          </cell>
          <cell r="B2512" t="str">
            <v xml:space="preserve">COLONIAL ESM MATE BASE WHITE  </v>
          </cell>
          <cell r="C2512">
            <v>2</v>
          </cell>
          <cell r="D2512">
            <v>730</v>
          </cell>
        </row>
        <row r="2513">
          <cell r="A2513" t="str">
            <v>B82WSA251-1</v>
          </cell>
          <cell r="B2513" t="str">
            <v xml:space="preserve">COLONIAL ESM MATE BASE WHITE  </v>
          </cell>
          <cell r="C2513">
            <v>2</v>
          </cell>
          <cell r="D2513">
            <v>730</v>
          </cell>
        </row>
        <row r="2514">
          <cell r="A2514" t="str">
            <v>B82WSA251-1/4</v>
          </cell>
          <cell r="B2514" t="str">
            <v xml:space="preserve">COLONIAL ESM MATE BASE WHITE  </v>
          </cell>
          <cell r="C2514">
            <v>2</v>
          </cell>
          <cell r="D2514">
            <v>730</v>
          </cell>
        </row>
        <row r="2515">
          <cell r="A2515" t="str">
            <v>B82WSA251-5</v>
          </cell>
          <cell r="B2515" t="str">
            <v xml:space="preserve">COLONIAL ESM MATE BASE WHITE  </v>
          </cell>
          <cell r="C2515">
            <v>2</v>
          </cell>
          <cell r="D2515">
            <v>730</v>
          </cell>
        </row>
        <row r="2516">
          <cell r="A2516" t="str">
            <v>B82WSA253</v>
          </cell>
          <cell r="B2516" t="str">
            <v xml:space="preserve">COLONIAL STYLE ESM MATE DEEP  </v>
          </cell>
          <cell r="C2516">
            <v>2</v>
          </cell>
          <cell r="D2516">
            <v>730</v>
          </cell>
        </row>
        <row r="2517">
          <cell r="A2517" t="str">
            <v>B82WSA253-1</v>
          </cell>
          <cell r="B2517" t="str">
            <v xml:space="preserve">COLONIAL STYLE ESM MATE DEEP  </v>
          </cell>
          <cell r="C2517">
            <v>2</v>
          </cell>
          <cell r="D2517">
            <v>730</v>
          </cell>
        </row>
        <row r="2518">
          <cell r="A2518" t="str">
            <v>B82WSA253-1/4</v>
          </cell>
          <cell r="B2518" t="str">
            <v xml:space="preserve">COLONIAL STYLE ESM MATE DEEP  </v>
          </cell>
          <cell r="C2518">
            <v>2</v>
          </cell>
          <cell r="D2518">
            <v>730</v>
          </cell>
        </row>
        <row r="2519">
          <cell r="A2519" t="str">
            <v>B82WSA253-5</v>
          </cell>
          <cell r="B2519" t="str">
            <v xml:space="preserve">COLONIAL STYLE ESM MATE DEEP  </v>
          </cell>
          <cell r="C2519">
            <v>2</v>
          </cell>
          <cell r="D2519">
            <v>730</v>
          </cell>
        </row>
        <row r="2520">
          <cell r="A2520" t="str">
            <v>B82WSA3</v>
          </cell>
          <cell r="B2520" t="str">
            <v>COL ST ESM BRILLA BLANCO HUESO</v>
          </cell>
          <cell r="C2520">
            <v>2</v>
          </cell>
          <cell r="D2520">
            <v>730</v>
          </cell>
        </row>
        <row r="2521">
          <cell r="A2521" t="str">
            <v>B82WSA3-1</v>
          </cell>
          <cell r="B2521" t="str">
            <v>COL ST ESM BRILLA BLANCO HUESO</v>
          </cell>
          <cell r="C2521">
            <v>2</v>
          </cell>
          <cell r="D2521">
            <v>730</v>
          </cell>
        </row>
        <row r="2522">
          <cell r="A2522" t="str">
            <v>B82WSA3-1/4</v>
          </cell>
          <cell r="B2522" t="str">
            <v>COL ST ESM BRILLA BLANCO HUESO</v>
          </cell>
          <cell r="C2522">
            <v>2</v>
          </cell>
          <cell r="D2522">
            <v>730</v>
          </cell>
        </row>
        <row r="2523">
          <cell r="A2523" t="str">
            <v>B82WSA3-5</v>
          </cell>
          <cell r="B2523" t="str">
            <v>COL ST ESM BRILLA BLANCO HUESO</v>
          </cell>
          <cell r="C2523">
            <v>2</v>
          </cell>
          <cell r="D2523">
            <v>730</v>
          </cell>
        </row>
        <row r="2524">
          <cell r="A2524" t="str">
            <v>B82WSA3-50</v>
          </cell>
          <cell r="B2524" t="str">
            <v xml:space="preserve">COLONIAL ESMALTE BLANCO HUESO </v>
          </cell>
          <cell r="C2524">
            <v>2</v>
          </cell>
          <cell r="D2524">
            <v>730</v>
          </cell>
        </row>
        <row r="2525">
          <cell r="A2525" t="str">
            <v>B82WSA51</v>
          </cell>
          <cell r="B2525" t="str">
            <v>COLONIAL STYLE ESM BASE  WHITE</v>
          </cell>
          <cell r="C2525">
            <v>2</v>
          </cell>
          <cell r="D2525">
            <v>730</v>
          </cell>
        </row>
        <row r="2526">
          <cell r="A2526" t="str">
            <v>B82WSA51-1</v>
          </cell>
          <cell r="B2526" t="str">
            <v>COLONIAL STYLE ESM BASE  WHITE</v>
          </cell>
          <cell r="C2526">
            <v>2</v>
          </cell>
          <cell r="D2526">
            <v>730</v>
          </cell>
        </row>
        <row r="2527">
          <cell r="A2527" t="str">
            <v>B82WSA51-1/4</v>
          </cell>
          <cell r="B2527" t="str">
            <v>COLONIAL STYLE ESM BASE  WHITE</v>
          </cell>
          <cell r="C2527">
            <v>2</v>
          </cell>
          <cell r="D2527">
            <v>730</v>
          </cell>
        </row>
        <row r="2528">
          <cell r="A2528" t="str">
            <v>B82WSA51-5</v>
          </cell>
          <cell r="B2528" t="str">
            <v>COLONIAL STYLE ESM BASE  WHITE</v>
          </cell>
          <cell r="C2528">
            <v>2</v>
          </cell>
          <cell r="D2528">
            <v>730</v>
          </cell>
        </row>
        <row r="2529">
          <cell r="A2529" t="str">
            <v>B82WSA53</v>
          </cell>
          <cell r="B2529" t="str">
            <v xml:space="preserve">COLONIAL STYLE ESMALTE  DEEP  </v>
          </cell>
          <cell r="C2529">
            <v>2</v>
          </cell>
          <cell r="D2529">
            <v>730</v>
          </cell>
        </row>
        <row r="2530">
          <cell r="A2530" t="str">
            <v>B82WSA53-1</v>
          </cell>
          <cell r="B2530" t="str">
            <v xml:space="preserve">COLONIAL STYLE ESMALTE  DEEP  </v>
          </cell>
          <cell r="C2530">
            <v>2</v>
          </cell>
          <cell r="D2530">
            <v>730</v>
          </cell>
        </row>
        <row r="2531">
          <cell r="A2531" t="str">
            <v>B82WSA53-1/4</v>
          </cell>
          <cell r="B2531" t="str">
            <v xml:space="preserve">COLONIAL STYLE ESMALTE  DEEP  </v>
          </cell>
          <cell r="C2531">
            <v>2</v>
          </cell>
          <cell r="D2531">
            <v>730</v>
          </cell>
        </row>
        <row r="2532">
          <cell r="A2532" t="str">
            <v>B82WSA53-5</v>
          </cell>
          <cell r="B2532" t="str">
            <v xml:space="preserve">COLONIAL STYLE ESMALTE  DEEP  </v>
          </cell>
          <cell r="C2532">
            <v>2</v>
          </cell>
          <cell r="D2532">
            <v>730</v>
          </cell>
        </row>
        <row r="2533">
          <cell r="A2533" t="str">
            <v>B82WSA6</v>
          </cell>
          <cell r="B2533" t="str">
            <v xml:space="preserve">COLONIAL ST ESM MATE BLANCO   </v>
          </cell>
          <cell r="C2533">
            <v>2</v>
          </cell>
          <cell r="D2533">
            <v>730</v>
          </cell>
        </row>
        <row r="2534">
          <cell r="A2534" t="str">
            <v>B82WSA6-1</v>
          </cell>
          <cell r="B2534" t="str">
            <v xml:space="preserve">COLONIAL ST ESM MATE BLANCO   </v>
          </cell>
          <cell r="C2534">
            <v>2</v>
          </cell>
          <cell r="D2534">
            <v>730</v>
          </cell>
        </row>
        <row r="2535">
          <cell r="A2535" t="str">
            <v>B82WSA6-1/4</v>
          </cell>
          <cell r="B2535" t="str">
            <v xml:space="preserve">COLONIAL ST ESM MATE BLANCO   </v>
          </cell>
          <cell r="C2535">
            <v>2</v>
          </cell>
          <cell r="D2535">
            <v>730</v>
          </cell>
        </row>
        <row r="2536">
          <cell r="A2536" t="str">
            <v>B82WSA6-5</v>
          </cell>
          <cell r="B2536" t="str">
            <v xml:space="preserve">COLONIAL ST ESM MATE BLANCO   </v>
          </cell>
          <cell r="C2536">
            <v>2</v>
          </cell>
          <cell r="D2536">
            <v>730</v>
          </cell>
        </row>
        <row r="2537">
          <cell r="A2537" t="str">
            <v>B82WSA9</v>
          </cell>
          <cell r="B2537" t="str">
            <v xml:space="preserve">COLONIAL ESMALTE BLANCO       </v>
          </cell>
          <cell r="C2537">
            <v>2</v>
          </cell>
          <cell r="D2537">
            <v>730</v>
          </cell>
        </row>
        <row r="2538">
          <cell r="A2538" t="str">
            <v>B82WSA9-1</v>
          </cell>
          <cell r="B2538" t="str">
            <v xml:space="preserve">COLONIAL ESMALTE BLANCO       </v>
          </cell>
          <cell r="C2538">
            <v>2</v>
          </cell>
          <cell r="D2538">
            <v>730</v>
          </cell>
        </row>
        <row r="2539">
          <cell r="A2539" t="str">
            <v>B82WSA9-5</v>
          </cell>
          <cell r="B2539" t="str">
            <v xml:space="preserve">COLONIAL ESMALTE BLANCO       </v>
          </cell>
          <cell r="C2539">
            <v>2</v>
          </cell>
          <cell r="D2539">
            <v>730</v>
          </cell>
        </row>
        <row r="2540">
          <cell r="A2540" t="str">
            <v>B82YSA12</v>
          </cell>
          <cell r="B2540" t="str">
            <v>COL ST ESM BRIL AMARILLO CROMO</v>
          </cell>
          <cell r="C2540">
            <v>2</v>
          </cell>
          <cell r="D2540">
            <v>730</v>
          </cell>
        </row>
        <row r="2541">
          <cell r="A2541" t="str">
            <v>B82YSA12-1</v>
          </cell>
          <cell r="B2541" t="str">
            <v>COL ST ESM BRIL AMARILLO CROMO</v>
          </cell>
          <cell r="C2541">
            <v>2</v>
          </cell>
          <cell r="D2541">
            <v>730</v>
          </cell>
        </row>
        <row r="2542">
          <cell r="A2542" t="str">
            <v>B82YSA12-1/4</v>
          </cell>
          <cell r="B2542" t="str">
            <v>COL ST ESM BRIL AMARILLO CROMO</v>
          </cell>
          <cell r="C2542">
            <v>2</v>
          </cell>
          <cell r="D2542">
            <v>730</v>
          </cell>
        </row>
        <row r="2543">
          <cell r="A2543" t="str">
            <v>B82YSA12-5</v>
          </cell>
          <cell r="B2543" t="str">
            <v xml:space="preserve">COLONIAL ESMALTE AMARILLO CRO </v>
          </cell>
          <cell r="C2543">
            <v>2</v>
          </cell>
          <cell r="D2543">
            <v>730</v>
          </cell>
        </row>
        <row r="2544">
          <cell r="A2544" t="str">
            <v>B82YSA14</v>
          </cell>
          <cell r="B2544" t="str">
            <v>COLONIAL STYLE ESMALTE AZAFRAN</v>
          </cell>
          <cell r="C2544">
            <v>2</v>
          </cell>
          <cell r="D2544">
            <v>730</v>
          </cell>
        </row>
        <row r="2545">
          <cell r="A2545" t="str">
            <v>B82YSA14-1</v>
          </cell>
          <cell r="B2545" t="str">
            <v>COLONIAL STYLE ESMALTE AZAFRAN</v>
          </cell>
          <cell r="C2545">
            <v>2</v>
          </cell>
          <cell r="D2545">
            <v>730</v>
          </cell>
        </row>
        <row r="2546">
          <cell r="A2546" t="str">
            <v>B82YSA14-5</v>
          </cell>
          <cell r="B2546" t="str">
            <v>COLONIAL STYLE ESMALTE AZAFRAN</v>
          </cell>
          <cell r="C2546">
            <v>2</v>
          </cell>
          <cell r="D2546">
            <v>730</v>
          </cell>
        </row>
        <row r="2547">
          <cell r="A2547" t="str">
            <v>B82YSA3</v>
          </cell>
          <cell r="B2547" t="str">
            <v xml:space="preserve">COL STYLE ESMA BRILL AMARILLO </v>
          </cell>
          <cell r="C2547">
            <v>2</v>
          </cell>
          <cell r="D2547">
            <v>730</v>
          </cell>
        </row>
        <row r="2548">
          <cell r="A2548" t="str">
            <v>B82YSA3-1</v>
          </cell>
          <cell r="B2548" t="str">
            <v xml:space="preserve">COL STYLE ESMA BRILL AMARILLO </v>
          </cell>
          <cell r="C2548">
            <v>2</v>
          </cell>
          <cell r="D2548">
            <v>730</v>
          </cell>
        </row>
        <row r="2549">
          <cell r="A2549" t="str">
            <v>B82YSA3-1/4</v>
          </cell>
          <cell r="B2549" t="str">
            <v>COLONIAL STY ESM BRIL AMARILLO</v>
          </cell>
          <cell r="C2549">
            <v>2</v>
          </cell>
          <cell r="D2549">
            <v>730</v>
          </cell>
        </row>
        <row r="2550">
          <cell r="A2550" t="str">
            <v>C45B2</v>
          </cell>
          <cell r="B2550" t="str">
            <v xml:space="preserve">804 PINTURA ANTICORROSIVA     </v>
          </cell>
          <cell r="C2550">
            <v>2</v>
          </cell>
          <cell r="D2550">
            <v>730</v>
          </cell>
        </row>
        <row r="2551">
          <cell r="A2551" t="str">
            <v>C45B2-1</v>
          </cell>
          <cell r="B2551" t="str">
            <v xml:space="preserve">804 PINTURA ANTICORROSIVA     </v>
          </cell>
          <cell r="C2551">
            <v>2</v>
          </cell>
          <cell r="D2551">
            <v>730</v>
          </cell>
        </row>
        <row r="2552">
          <cell r="A2552" t="str">
            <v>E41N1</v>
          </cell>
          <cell r="B2552" t="str">
            <v xml:space="preserve">KROMIK METAL PRIMER           </v>
          </cell>
          <cell r="C2552">
            <v>2</v>
          </cell>
          <cell r="D2552">
            <v>730</v>
          </cell>
        </row>
        <row r="2553">
          <cell r="A2553" t="str">
            <v>E41N1-1</v>
          </cell>
          <cell r="B2553" t="str">
            <v xml:space="preserve">KROMIK METAL PRIMER           </v>
          </cell>
          <cell r="C2553">
            <v>2</v>
          </cell>
          <cell r="D2553">
            <v>730</v>
          </cell>
        </row>
        <row r="2554">
          <cell r="A2554" t="str">
            <v>E41N1-5</v>
          </cell>
          <cell r="B2554" t="str">
            <v xml:space="preserve">KROMIK METAL PRIMER           </v>
          </cell>
          <cell r="C2554">
            <v>2</v>
          </cell>
          <cell r="D2554">
            <v>730</v>
          </cell>
        </row>
        <row r="2555">
          <cell r="A2555" t="str">
            <v>E41N1-50</v>
          </cell>
          <cell r="B2555" t="str">
            <v xml:space="preserve">KROMIK METAL PRIMER           </v>
          </cell>
          <cell r="C2555">
            <v>2</v>
          </cell>
          <cell r="D2555">
            <v>730</v>
          </cell>
        </row>
        <row r="2556">
          <cell r="A2556" t="str">
            <v>E41N1-SP</v>
          </cell>
          <cell r="B2556" t="str">
            <v xml:space="preserve">KROMIC METAL PRIMER           </v>
          </cell>
          <cell r="C2556">
            <v>2</v>
          </cell>
          <cell r="D2556">
            <v>730</v>
          </cell>
        </row>
        <row r="2557">
          <cell r="A2557" t="str">
            <v>E41N1SP-5</v>
          </cell>
          <cell r="B2557" t="str">
            <v xml:space="preserve">KROMIC METAL PRIMER           </v>
          </cell>
          <cell r="C2557">
            <v>2</v>
          </cell>
          <cell r="D2557">
            <v>730</v>
          </cell>
        </row>
        <row r="2558">
          <cell r="A2558" t="str">
            <v>E41Y10</v>
          </cell>
          <cell r="B2558" t="str">
            <v xml:space="preserve">ZINC CHROMATE PRIMER          </v>
          </cell>
          <cell r="C2558">
            <v>2</v>
          </cell>
          <cell r="D2558">
            <v>730</v>
          </cell>
        </row>
        <row r="2559">
          <cell r="A2559" t="str">
            <v>E41Y10-1</v>
          </cell>
          <cell r="B2559" t="str">
            <v xml:space="preserve">ZINC CHROMATE PRIMER          </v>
          </cell>
          <cell r="C2559">
            <v>2</v>
          </cell>
          <cell r="D2559">
            <v>730</v>
          </cell>
        </row>
        <row r="2560">
          <cell r="A2560" t="str">
            <v>E41Y10-5</v>
          </cell>
          <cell r="B2560" t="str">
            <v xml:space="preserve">ZINC CHROMATE PRIMER          </v>
          </cell>
          <cell r="C2560">
            <v>2</v>
          </cell>
          <cell r="D2560">
            <v>730</v>
          </cell>
        </row>
        <row r="2561">
          <cell r="A2561" t="str">
            <v>E41Y10-SP</v>
          </cell>
          <cell r="B2561" t="str">
            <v xml:space="preserve">ZINC CHROMATE PRIMER          </v>
          </cell>
          <cell r="C2561">
            <v>2</v>
          </cell>
          <cell r="D2561">
            <v>730</v>
          </cell>
        </row>
        <row r="2562">
          <cell r="A2562" t="str">
            <v>E41Y10SP-1</v>
          </cell>
          <cell r="B2562" t="str">
            <v xml:space="preserve">ZINC CHROMATE PRIMER          </v>
          </cell>
          <cell r="C2562">
            <v>2</v>
          </cell>
          <cell r="D2562">
            <v>730</v>
          </cell>
        </row>
        <row r="2563">
          <cell r="A2563" t="str">
            <v>E41Y10SP-5</v>
          </cell>
          <cell r="B2563" t="str">
            <v xml:space="preserve">ZINC CHROMATE PRIMER          </v>
          </cell>
          <cell r="C2563">
            <v>2</v>
          </cell>
          <cell r="D2563">
            <v>730</v>
          </cell>
        </row>
        <row r="2564">
          <cell r="A2564" t="str">
            <v>E60FSA1</v>
          </cell>
          <cell r="B2564" t="str">
            <v xml:space="preserve">SELLADOR POLIURETANO PARA     </v>
          </cell>
          <cell r="C2564">
            <v>2</v>
          </cell>
          <cell r="D2564">
            <v>730</v>
          </cell>
        </row>
        <row r="2565">
          <cell r="A2565" t="str">
            <v>E60FSA1-1</v>
          </cell>
          <cell r="B2565" t="str">
            <v xml:space="preserve">SELLADOR POLIURETANO  MADERA  </v>
          </cell>
          <cell r="C2565">
            <v>2</v>
          </cell>
          <cell r="D2565">
            <v>730</v>
          </cell>
        </row>
        <row r="2566">
          <cell r="A2566" t="str">
            <v>E61ESA2</v>
          </cell>
          <cell r="B2566" t="str">
            <v xml:space="preserve">EXCELLO RUSTOP MINIO          </v>
          </cell>
          <cell r="C2566">
            <v>2</v>
          </cell>
          <cell r="D2566">
            <v>730</v>
          </cell>
        </row>
        <row r="2567">
          <cell r="A2567" t="str">
            <v>E61ESA2-1</v>
          </cell>
          <cell r="B2567" t="str">
            <v xml:space="preserve">EXCELLO RUSTOP MINIO          </v>
          </cell>
          <cell r="C2567">
            <v>2</v>
          </cell>
          <cell r="D2567">
            <v>730</v>
          </cell>
        </row>
        <row r="2568">
          <cell r="A2568" t="str">
            <v>E61ESA2-1/4</v>
          </cell>
          <cell r="B2568" t="str">
            <v xml:space="preserve">EXCELLO RUSTOP MINIO          </v>
          </cell>
          <cell r="C2568">
            <v>2</v>
          </cell>
          <cell r="D2568">
            <v>730</v>
          </cell>
        </row>
        <row r="2569">
          <cell r="A2569" t="str">
            <v>E61ESA2-5</v>
          </cell>
          <cell r="B2569" t="str">
            <v xml:space="preserve">EXCELLO RUSTOP MINIO          </v>
          </cell>
          <cell r="C2569">
            <v>2</v>
          </cell>
          <cell r="D2569">
            <v>730</v>
          </cell>
        </row>
        <row r="2570">
          <cell r="A2570" t="str">
            <v>E61ESA2-50</v>
          </cell>
          <cell r="B2570" t="str">
            <v xml:space="preserve">EXCELLO RUSTOP MINIO          </v>
          </cell>
          <cell r="C2570">
            <v>2</v>
          </cell>
          <cell r="D2570">
            <v>730</v>
          </cell>
        </row>
        <row r="2571">
          <cell r="A2571" t="str">
            <v>E61ESA9</v>
          </cell>
          <cell r="B2571" t="str">
            <v>EXCELLO RUSTOP  MINIO ESPECIAL</v>
          </cell>
          <cell r="C2571">
            <v>2</v>
          </cell>
          <cell r="D2571">
            <v>730</v>
          </cell>
        </row>
        <row r="2572">
          <cell r="A2572" t="str">
            <v>E61ESA9-1</v>
          </cell>
          <cell r="B2572" t="str">
            <v>EXCELLO RUSTOP  MINIO ESPECIAL</v>
          </cell>
          <cell r="C2572">
            <v>2</v>
          </cell>
          <cell r="D2572">
            <v>730</v>
          </cell>
        </row>
        <row r="2573">
          <cell r="A2573" t="str">
            <v>E61ESA9-1/4</v>
          </cell>
          <cell r="B2573" t="str">
            <v>EXCELLO RUSTOP  MINIO ESPECIAL</v>
          </cell>
          <cell r="C2573">
            <v>2</v>
          </cell>
          <cell r="D2573">
            <v>730</v>
          </cell>
        </row>
        <row r="2574">
          <cell r="A2574" t="str">
            <v>E61ESA9-5</v>
          </cell>
          <cell r="B2574" t="str">
            <v>EXCELLO RUSTOP  MINIO ESPECIAL</v>
          </cell>
          <cell r="C2574">
            <v>2</v>
          </cell>
          <cell r="D2574">
            <v>730</v>
          </cell>
        </row>
        <row r="2575">
          <cell r="A2575" t="str">
            <v>E61GSA1</v>
          </cell>
          <cell r="B2575" t="str">
            <v xml:space="preserve">EXCELLO RUSTOP CHROMATO VERDE </v>
          </cell>
          <cell r="C2575">
            <v>2</v>
          </cell>
          <cell r="D2575">
            <v>730</v>
          </cell>
        </row>
        <row r="2576">
          <cell r="A2576" t="str">
            <v>E61GSA1-1</v>
          </cell>
          <cell r="B2576" t="str">
            <v xml:space="preserve">EXCELLO RUSTOP CHROMATO VERDE </v>
          </cell>
          <cell r="C2576">
            <v>2</v>
          </cell>
          <cell r="D2576">
            <v>730</v>
          </cell>
        </row>
        <row r="2577">
          <cell r="A2577" t="str">
            <v>E61GSA1-1/4</v>
          </cell>
          <cell r="B2577" t="str">
            <v xml:space="preserve">EXCELLO RUSTOP CHROMATO VERDE </v>
          </cell>
          <cell r="C2577">
            <v>2</v>
          </cell>
          <cell r="D2577">
            <v>730</v>
          </cell>
        </row>
        <row r="2578">
          <cell r="A2578" t="str">
            <v>E61GSA1-5</v>
          </cell>
          <cell r="B2578" t="str">
            <v xml:space="preserve">EXCELLO RUSTOP CHROMATO VERDE </v>
          </cell>
          <cell r="C2578">
            <v>2</v>
          </cell>
          <cell r="D2578">
            <v>730</v>
          </cell>
        </row>
        <row r="2579">
          <cell r="A2579" t="str">
            <v>E61GSA1-50</v>
          </cell>
          <cell r="B2579" t="str">
            <v xml:space="preserve">EXCELLO RUSTOP CHROMATO VERDE </v>
          </cell>
          <cell r="C2579">
            <v>2</v>
          </cell>
          <cell r="D2579">
            <v>730</v>
          </cell>
        </row>
        <row r="2580">
          <cell r="A2580" t="str">
            <v>E61RSA4</v>
          </cell>
          <cell r="B2580" t="str">
            <v xml:space="preserve">EXCELLO RUSTOP OXIDO ROJO     </v>
          </cell>
          <cell r="C2580">
            <v>2</v>
          </cell>
          <cell r="D2580">
            <v>730</v>
          </cell>
        </row>
        <row r="2581">
          <cell r="A2581" t="str">
            <v>E61RSA4-1</v>
          </cell>
          <cell r="B2581" t="str">
            <v xml:space="preserve">EXCELLO RUSTOP OXIDO ROJO     </v>
          </cell>
          <cell r="C2581">
            <v>2</v>
          </cell>
          <cell r="D2581">
            <v>730</v>
          </cell>
        </row>
        <row r="2582">
          <cell r="A2582" t="str">
            <v>E61RSA4-1/4</v>
          </cell>
          <cell r="B2582" t="str">
            <v xml:space="preserve">EXCELLO RUSTOP OXIDO ROJO     </v>
          </cell>
          <cell r="C2582">
            <v>2</v>
          </cell>
          <cell r="D2582">
            <v>730</v>
          </cell>
        </row>
        <row r="2583">
          <cell r="A2583" t="str">
            <v>E61RSA4-5</v>
          </cell>
          <cell r="B2583" t="str">
            <v xml:space="preserve">EXCELLO RUSTOP OXIDO ROJO     </v>
          </cell>
          <cell r="C2583">
            <v>2</v>
          </cell>
          <cell r="D2583">
            <v>730</v>
          </cell>
        </row>
        <row r="2584">
          <cell r="A2584" t="str">
            <v>E61RSA4-50</v>
          </cell>
          <cell r="B2584" t="str">
            <v xml:space="preserve">EXCELLO RUSTOP OXIDO ROJO     </v>
          </cell>
          <cell r="C2584">
            <v>2</v>
          </cell>
          <cell r="D2584">
            <v>730</v>
          </cell>
        </row>
        <row r="2585">
          <cell r="A2585" t="str">
            <v>E65FSA1</v>
          </cell>
          <cell r="B2585" t="str">
            <v xml:space="preserve">SELLADOR POLIURETANO   H.S.   </v>
          </cell>
          <cell r="C2585">
            <v>2</v>
          </cell>
          <cell r="D2585">
            <v>730</v>
          </cell>
        </row>
        <row r="2586">
          <cell r="A2586" t="str">
            <v>E65FSA1-1</v>
          </cell>
          <cell r="B2586" t="str">
            <v xml:space="preserve">SELLADOR POLIURETANO   H.S.   </v>
          </cell>
          <cell r="C2586">
            <v>2</v>
          </cell>
          <cell r="D2586">
            <v>730</v>
          </cell>
        </row>
        <row r="2587">
          <cell r="A2587" t="str">
            <v>F65A2</v>
          </cell>
          <cell r="B2587" t="str">
            <v>KEM LUSTRAL ENAME GRIS MEDIANO</v>
          </cell>
          <cell r="C2587">
            <v>3</v>
          </cell>
          <cell r="D2587">
            <v>1095</v>
          </cell>
        </row>
        <row r="2588">
          <cell r="A2588" t="str">
            <v>F65A2-1</v>
          </cell>
          <cell r="B2588" t="str">
            <v>KEM LUSTRAL ENAME GRIS MEDIANO</v>
          </cell>
          <cell r="C2588">
            <v>3</v>
          </cell>
          <cell r="D2588">
            <v>1095</v>
          </cell>
        </row>
        <row r="2589">
          <cell r="A2589" t="str">
            <v>F65A2-1/4</v>
          </cell>
          <cell r="B2589" t="str">
            <v>KEM LUSTRAL ENAME GRIS MEDIANO</v>
          </cell>
          <cell r="C2589">
            <v>3</v>
          </cell>
          <cell r="D2589">
            <v>1095</v>
          </cell>
        </row>
        <row r="2590">
          <cell r="A2590" t="str">
            <v>F65A2-5</v>
          </cell>
          <cell r="B2590" t="str">
            <v xml:space="preserve">KEM LUSTRAL GRIS MEDIANO      </v>
          </cell>
          <cell r="C2590">
            <v>3</v>
          </cell>
          <cell r="D2590">
            <v>1095</v>
          </cell>
        </row>
        <row r="2591">
          <cell r="A2591" t="str">
            <v>F65A2-50</v>
          </cell>
          <cell r="B2591" t="str">
            <v xml:space="preserve">KEM LUSTRAL GRIS MEDIANO      </v>
          </cell>
          <cell r="C2591">
            <v>3</v>
          </cell>
          <cell r="D2591">
            <v>1095</v>
          </cell>
        </row>
        <row r="2592">
          <cell r="A2592" t="str">
            <v>F65B1</v>
          </cell>
          <cell r="B2592" t="str">
            <v>KEM LUSTRAL ENAMEL NEGRO BRILL</v>
          </cell>
          <cell r="C2592">
            <v>3</v>
          </cell>
          <cell r="D2592">
            <v>1095</v>
          </cell>
        </row>
        <row r="2593">
          <cell r="A2593" t="str">
            <v>F65B1-1</v>
          </cell>
          <cell r="B2593" t="str">
            <v>KEM LUSTRAL ENAMEL NEGRO BRILL</v>
          </cell>
          <cell r="C2593">
            <v>3</v>
          </cell>
          <cell r="D2593">
            <v>1095</v>
          </cell>
        </row>
        <row r="2594">
          <cell r="A2594" t="str">
            <v>F65B1-1/4</v>
          </cell>
          <cell r="B2594" t="str">
            <v>KEM LUSTRAL ENAMEL NEGRO BRILL</v>
          </cell>
          <cell r="C2594">
            <v>3</v>
          </cell>
          <cell r="D2594">
            <v>1095</v>
          </cell>
        </row>
        <row r="2595">
          <cell r="A2595" t="str">
            <v>F65B1-5</v>
          </cell>
          <cell r="B2595" t="str">
            <v xml:space="preserve">KEM LUSTRAL NEGRO BRILLANTE   </v>
          </cell>
          <cell r="C2595">
            <v>3</v>
          </cell>
          <cell r="D2595">
            <v>1095</v>
          </cell>
        </row>
        <row r="2596">
          <cell r="A2596" t="str">
            <v>F65B2</v>
          </cell>
          <cell r="B2596" t="str">
            <v xml:space="preserve">KEM LUSTRAL ENAMEL NEGRO MATE </v>
          </cell>
          <cell r="C2596">
            <v>3</v>
          </cell>
          <cell r="D2596">
            <v>1095</v>
          </cell>
        </row>
        <row r="2597">
          <cell r="A2597" t="str">
            <v>F65B2-1</v>
          </cell>
          <cell r="B2597" t="str">
            <v xml:space="preserve">KEM LUSTRAL ENAMEL NEGRO MATE </v>
          </cell>
          <cell r="C2597">
            <v>3</v>
          </cell>
          <cell r="D2597">
            <v>1095</v>
          </cell>
        </row>
        <row r="2598">
          <cell r="A2598" t="str">
            <v>F65B2-1/4</v>
          </cell>
          <cell r="B2598" t="str">
            <v xml:space="preserve">KEM LUSTRAL ENAMEL NEGRO MATE </v>
          </cell>
          <cell r="C2598">
            <v>3</v>
          </cell>
          <cell r="D2598">
            <v>1095</v>
          </cell>
        </row>
        <row r="2599">
          <cell r="A2599" t="str">
            <v>F65E2</v>
          </cell>
          <cell r="B2599" t="str">
            <v>KEM LUSTRAL ENAM NARANJA INTER</v>
          </cell>
          <cell r="C2599">
            <v>3</v>
          </cell>
          <cell r="D2599">
            <v>1095</v>
          </cell>
        </row>
        <row r="2600">
          <cell r="A2600" t="str">
            <v>F65E2-1</v>
          </cell>
          <cell r="B2600" t="str">
            <v>KEM LUSTRAL ENAM NARANJA INTER</v>
          </cell>
          <cell r="C2600">
            <v>3</v>
          </cell>
          <cell r="D2600">
            <v>1095</v>
          </cell>
        </row>
        <row r="2601">
          <cell r="A2601" t="str">
            <v>F65E2-1/4</v>
          </cell>
          <cell r="B2601" t="str">
            <v>KEM LUSTRAL ENAM NARANJA INTER</v>
          </cell>
          <cell r="C2601">
            <v>3</v>
          </cell>
          <cell r="D2601">
            <v>1095</v>
          </cell>
        </row>
        <row r="2602">
          <cell r="A2602" t="str">
            <v>F65ESA4</v>
          </cell>
          <cell r="B2602" t="str">
            <v>KEM LUSTRAL ENAM NARANJA TOYOT</v>
          </cell>
          <cell r="C2602">
            <v>3</v>
          </cell>
          <cell r="D2602">
            <v>1095</v>
          </cell>
        </row>
        <row r="2603">
          <cell r="A2603" t="str">
            <v>F65ESA4-1</v>
          </cell>
          <cell r="B2603" t="str">
            <v>KEM LUSTRAL ENAM NARANJA TOYOT</v>
          </cell>
          <cell r="C2603">
            <v>3</v>
          </cell>
          <cell r="D2603">
            <v>1095</v>
          </cell>
        </row>
        <row r="2604">
          <cell r="A2604" t="str">
            <v>F65ESA4-1/4</v>
          </cell>
          <cell r="B2604" t="str">
            <v>KEM LUSTRAL ENAM NARANJA TOYOT</v>
          </cell>
          <cell r="C2604">
            <v>3</v>
          </cell>
          <cell r="D2604">
            <v>1095</v>
          </cell>
        </row>
        <row r="2605">
          <cell r="A2605" t="str">
            <v>F65ESA5</v>
          </cell>
          <cell r="B2605" t="str">
            <v xml:space="preserve">KEM LUSTRAL ENAMEL  NARANJA   </v>
          </cell>
          <cell r="C2605">
            <v>3</v>
          </cell>
          <cell r="D2605">
            <v>1095</v>
          </cell>
        </row>
        <row r="2606">
          <cell r="A2606" t="str">
            <v>F65ESA5-1</v>
          </cell>
          <cell r="B2606" t="str">
            <v xml:space="preserve">KEM LUSTRAL ENAMEL  NARANJA   </v>
          </cell>
          <cell r="C2606">
            <v>3</v>
          </cell>
          <cell r="D2606">
            <v>1095</v>
          </cell>
        </row>
        <row r="2607">
          <cell r="A2607" t="str">
            <v>F65ESA5-1/4</v>
          </cell>
          <cell r="B2607" t="str">
            <v xml:space="preserve">KEM LUSTRAL ENAMEL  NARANJA   </v>
          </cell>
          <cell r="C2607">
            <v>3</v>
          </cell>
          <cell r="D2607">
            <v>1095</v>
          </cell>
        </row>
        <row r="2608">
          <cell r="A2608" t="str">
            <v>F65ESA5-SP</v>
          </cell>
          <cell r="B2608" t="str">
            <v xml:space="preserve">KEM LUSTRAL ENAMEL  NARANJA   </v>
          </cell>
          <cell r="C2608">
            <v>3</v>
          </cell>
          <cell r="D2608">
            <v>1095</v>
          </cell>
        </row>
        <row r="2609">
          <cell r="A2609" t="str">
            <v>F65ESA5SP-1</v>
          </cell>
          <cell r="B2609" t="str">
            <v xml:space="preserve">KEM LUSTRAL ENAMEL  NARANJA   </v>
          </cell>
          <cell r="C2609">
            <v>3</v>
          </cell>
          <cell r="D2609">
            <v>1095</v>
          </cell>
        </row>
        <row r="2610">
          <cell r="A2610" t="str">
            <v>F65ESA5SP-1/4</v>
          </cell>
          <cell r="B2610" t="str">
            <v xml:space="preserve">KEM LUSTRAL ENAMEL  NARANJA   </v>
          </cell>
          <cell r="C2610">
            <v>3</v>
          </cell>
          <cell r="D2610">
            <v>1095</v>
          </cell>
        </row>
        <row r="2611">
          <cell r="A2611" t="str">
            <v>F65G6</v>
          </cell>
          <cell r="B2611" t="str">
            <v>KEM LUSTRAL ENAM VERDE MEDIANO</v>
          </cell>
          <cell r="C2611">
            <v>3</v>
          </cell>
          <cell r="D2611">
            <v>1095</v>
          </cell>
        </row>
        <row r="2612">
          <cell r="A2612" t="str">
            <v>F65G6-1</v>
          </cell>
          <cell r="B2612" t="str">
            <v>KEM LUSTRAL ENAM VERDE MEDIANO</v>
          </cell>
          <cell r="C2612">
            <v>3</v>
          </cell>
          <cell r="D2612">
            <v>1095</v>
          </cell>
        </row>
        <row r="2613">
          <cell r="A2613" t="str">
            <v>F65G6-1/4</v>
          </cell>
          <cell r="B2613" t="str">
            <v>KEM LUSTRAL ENAM VERDE MEDIANO</v>
          </cell>
          <cell r="C2613">
            <v>3</v>
          </cell>
          <cell r="D2613">
            <v>1095</v>
          </cell>
        </row>
        <row r="2614">
          <cell r="A2614" t="str">
            <v>F65G9</v>
          </cell>
          <cell r="B2614" t="str">
            <v>KEM LUSTRAL ENAM VERDE ESMERAL</v>
          </cell>
          <cell r="C2614">
            <v>3</v>
          </cell>
          <cell r="D2614">
            <v>1095</v>
          </cell>
        </row>
        <row r="2615">
          <cell r="A2615" t="str">
            <v>F65G9-1</v>
          </cell>
          <cell r="B2615" t="str">
            <v>KEM LUSTRAL ENAM VERDE ESMERAL</v>
          </cell>
          <cell r="C2615">
            <v>3</v>
          </cell>
          <cell r="D2615">
            <v>1095</v>
          </cell>
        </row>
        <row r="2616">
          <cell r="A2616" t="str">
            <v>F65G9-1/4</v>
          </cell>
          <cell r="B2616" t="str">
            <v>KEM LUSTRAL ENAM VERDE ESMERAL</v>
          </cell>
          <cell r="C2616">
            <v>3</v>
          </cell>
          <cell r="D2616">
            <v>1095</v>
          </cell>
        </row>
        <row r="2617">
          <cell r="A2617" t="str">
            <v>F65GSA1</v>
          </cell>
          <cell r="B2617" t="str">
            <v>KEM LUSTRAL ENAMEL VERDE OSCUR</v>
          </cell>
          <cell r="C2617">
            <v>3</v>
          </cell>
          <cell r="D2617">
            <v>1095</v>
          </cell>
        </row>
        <row r="2618">
          <cell r="A2618" t="str">
            <v>F65GSA1-1</v>
          </cell>
          <cell r="B2618" t="str">
            <v>KEM LUSTRAL ENAMEL VERDE OSCUR</v>
          </cell>
          <cell r="C2618">
            <v>3</v>
          </cell>
          <cell r="D2618">
            <v>1095</v>
          </cell>
        </row>
        <row r="2619">
          <cell r="A2619" t="str">
            <v>F65GSA14</v>
          </cell>
          <cell r="B2619" t="str">
            <v xml:space="preserve">KEM LUSTRAL ENAMEL VERDE      </v>
          </cell>
          <cell r="C2619">
            <v>3</v>
          </cell>
          <cell r="D2619">
            <v>1095</v>
          </cell>
        </row>
        <row r="2620">
          <cell r="A2620" t="str">
            <v>F65GSA14-1</v>
          </cell>
          <cell r="B2620" t="str">
            <v xml:space="preserve">KEM LUSTRAL ENAMEL VERDE      </v>
          </cell>
          <cell r="C2620">
            <v>3</v>
          </cell>
          <cell r="D2620">
            <v>1095</v>
          </cell>
        </row>
        <row r="2621">
          <cell r="A2621" t="str">
            <v>F65GSA14-1/4</v>
          </cell>
          <cell r="B2621" t="str">
            <v xml:space="preserve">KEM LUSTRAL ENAMEL VERDE      </v>
          </cell>
          <cell r="C2621">
            <v>3</v>
          </cell>
          <cell r="D2621">
            <v>1095</v>
          </cell>
        </row>
        <row r="2622">
          <cell r="A2622" t="str">
            <v>F65GSA14-5</v>
          </cell>
          <cell r="B2622" t="str">
            <v xml:space="preserve">KEM LUSTRAL VERDE             </v>
          </cell>
          <cell r="C2622">
            <v>3</v>
          </cell>
          <cell r="D2622">
            <v>1095</v>
          </cell>
        </row>
        <row r="2623">
          <cell r="A2623" t="str">
            <v>F65GSA14-50</v>
          </cell>
          <cell r="B2623" t="str">
            <v xml:space="preserve">KEM LUSTRAL VERDE             </v>
          </cell>
          <cell r="C2623">
            <v>3</v>
          </cell>
          <cell r="D2623">
            <v>1095</v>
          </cell>
        </row>
        <row r="2624">
          <cell r="A2624" t="str">
            <v>F65GSA25</v>
          </cell>
          <cell r="B2624" t="str">
            <v xml:space="preserve">KEM LUSTRAL VERDE             </v>
          </cell>
          <cell r="C2624">
            <v>3</v>
          </cell>
          <cell r="D2624">
            <v>1095</v>
          </cell>
        </row>
        <row r="2625">
          <cell r="A2625" t="str">
            <v>F65GSA25-1</v>
          </cell>
          <cell r="B2625" t="str">
            <v xml:space="preserve">KEM LUSTRAL VERDE             </v>
          </cell>
          <cell r="C2625">
            <v>3</v>
          </cell>
          <cell r="D2625">
            <v>1095</v>
          </cell>
        </row>
        <row r="2626">
          <cell r="A2626" t="str">
            <v>F65GSA27</v>
          </cell>
          <cell r="B2626" t="str">
            <v xml:space="preserve">KEM LUSTRAL VERDE             </v>
          </cell>
          <cell r="C2626">
            <v>3</v>
          </cell>
          <cell r="D2626">
            <v>1095</v>
          </cell>
        </row>
        <row r="2627">
          <cell r="A2627" t="str">
            <v>F65GSA27-1</v>
          </cell>
          <cell r="B2627" t="str">
            <v xml:space="preserve">KEM LUSTRAL VERDE             </v>
          </cell>
          <cell r="C2627">
            <v>3</v>
          </cell>
          <cell r="D2627">
            <v>1095</v>
          </cell>
        </row>
        <row r="2628">
          <cell r="A2628" t="str">
            <v>F65GSA28</v>
          </cell>
          <cell r="B2628" t="str">
            <v xml:space="preserve">KEM LUSTRAL ENAMEL VERDE      </v>
          </cell>
          <cell r="C2628">
            <v>3</v>
          </cell>
          <cell r="D2628">
            <v>1095</v>
          </cell>
        </row>
        <row r="2629">
          <cell r="A2629" t="str">
            <v>F65GSA28-50</v>
          </cell>
          <cell r="B2629" t="str">
            <v xml:space="preserve">KEM LUSTRAL ENAMEL VERDE      </v>
          </cell>
          <cell r="C2629">
            <v>3</v>
          </cell>
          <cell r="D2629">
            <v>1095</v>
          </cell>
        </row>
        <row r="2630">
          <cell r="A2630" t="str">
            <v>F65H100</v>
          </cell>
          <cell r="B2630" t="str">
            <v xml:space="preserve">KEM LUSTRAL ENAMEL  MARFIL    </v>
          </cell>
          <cell r="C2630">
            <v>3</v>
          </cell>
          <cell r="D2630">
            <v>1095</v>
          </cell>
        </row>
        <row r="2631">
          <cell r="A2631" t="str">
            <v>F65H100-1</v>
          </cell>
          <cell r="B2631" t="str">
            <v xml:space="preserve">KEM LUSTRAL ENAMEL  MARFIL    </v>
          </cell>
          <cell r="C2631">
            <v>3</v>
          </cell>
          <cell r="D2631">
            <v>1095</v>
          </cell>
        </row>
        <row r="2632">
          <cell r="A2632" t="str">
            <v>F65H100-1/4</v>
          </cell>
          <cell r="B2632" t="str">
            <v xml:space="preserve">KEM LUSTRAL ENAMEL  MARFIL    </v>
          </cell>
          <cell r="C2632">
            <v>3</v>
          </cell>
          <cell r="D2632">
            <v>1095</v>
          </cell>
        </row>
        <row r="2633">
          <cell r="A2633" t="str">
            <v>F65H100-50</v>
          </cell>
          <cell r="B2633" t="str">
            <v xml:space="preserve">KEM LUSTRAL MARFIL            </v>
          </cell>
          <cell r="C2633">
            <v>3</v>
          </cell>
          <cell r="D2633">
            <v>1095</v>
          </cell>
        </row>
        <row r="2634">
          <cell r="A2634" t="str">
            <v>F65HSA14</v>
          </cell>
          <cell r="B2634" t="str">
            <v xml:space="preserve">KEM LUSTRAL ENAMEL            </v>
          </cell>
          <cell r="C2634">
            <v>3</v>
          </cell>
          <cell r="D2634">
            <v>1095</v>
          </cell>
        </row>
        <row r="2635">
          <cell r="A2635" t="str">
            <v>F65HSA14-1</v>
          </cell>
          <cell r="B2635" t="str">
            <v xml:space="preserve">KEM LUSTRAL ENAMEL            </v>
          </cell>
          <cell r="C2635">
            <v>3</v>
          </cell>
          <cell r="D2635">
            <v>1095</v>
          </cell>
        </row>
        <row r="2636">
          <cell r="A2636" t="str">
            <v>F65HSA15</v>
          </cell>
          <cell r="B2636" t="str">
            <v xml:space="preserve">KEM LUSTRAL ENAMEL CREMA      </v>
          </cell>
          <cell r="C2636">
            <v>3</v>
          </cell>
          <cell r="D2636">
            <v>1095</v>
          </cell>
        </row>
        <row r="2637">
          <cell r="A2637" t="str">
            <v>F65HSA15-1</v>
          </cell>
          <cell r="B2637" t="str">
            <v xml:space="preserve">KEM LUSTRAL ENAMEL CREMA      </v>
          </cell>
          <cell r="C2637">
            <v>3</v>
          </cell>
          <cell r="D2637">
            <v>1095</v>
          </cell>
        </row>
        <row r="2638">
          <cell r="A2638" t="str">
            <v>F65L3</v>
          </cell>
          <cell r="B2638" t="str">
            <v xml:space="preserve">KEM LUSTRAL ENAMEL AZUL CLARO </v>
          </cell>
          <cell r="C2638">
            <v>3</v>
          </cell>
          <cell r="D2638">
            <v>1095</v>
          </cell>
        </row>
        <row r="2639">
          <cell r="A2639" t="str">
            <v>F65L3-1</v>
          </cell>
          <cell r="B2639" t="str">
            <v xml:space="preserve">KEM LUSTRAL ENAMEL AZUL CLARO </v>
          </cell>
          <cell r="C2639">
            <v>3</v>
          </cell>
          <cell r="D2639">
            <v>1095</v>
          </cell>
        </row>
        <row r="2640">
          <cell r="A2640" t="str">
            <v>F65L3-1/4</v>
          </cell>
          <cell r="B2640" t="str">
            <v xml:space="preserve">KEM LUSTRAL ENAMEL AZUL CLARO </v>
          </cell>
          <cell r="C2640">
            <v>3</v>
          </cell>
          <cell r="D2640">
            <v>1095</v>
          </cell>
        </row>
        <row r="2641">
          <cell r="A2641" t="str">
            <v>F65LSA10</v>
          </cell>
          <cell r="B2641" t="str">
            <v xml:space="preserve">KEM LUSTRAL ENAMEL AZUL CIELO </v>
          </cell>
          <cell r="C2641">
            <v>3</v>
          </cell>
          <cell r="D2641">
            <v>1095</v>
          </cell>
        </row>
        <row r="2642">
          <cell r="A2642" t="str">
            <v>F65LSA10-1</v>
          </cell>
          <cell r="B2642" t="str">
            <v xml:space="preserve">KEM LUSTRAL ENAMEL AZUL CIELO </v>
          </cell>
          <cell r="C2642">
            <v>3</v>
          </cell>
          <cell r="D2642">
            <v>1095</v>
          </cell>
        </row>
        <row r="2643">
          <cell r="A2643" t="str">
            <v>F65LSA10-1/4</v>
          </cell>
          <cell r="B2643" t="str">
            <v xml:space="preserve">KEM LUSTRAL ENAMEL AZUL CIELO </v>
          </cell>
          <cell r="C2643">
            <v>3</v>
          </cell>
          <cell r="D2643">
            <v>1095</v>
          </cell>
        </row>
        <row r="2644">
          <cell r="A2644" t="str">
            <v>F65LSA11</v>
          </cell>
          <cell r="B2644" t="str">
            <v xml:space="preserve">KEM LUSTRAL ENAMEL  AZUL      </v>
          </cell>
          <cell r="C2644">
            <v>3</v>
          </cell>
          <cell r="D2644">
            <v>1095</v>
          </cell>
        </row>
        <row r="2645">
          <cell r="A2645" t="str">
            <v>F65LSA11-1</v>
          </cell>
          <cell r="B2645" t="str">
            <v xml:space="preserve">KEM LUSTRAL ENAMEL  AZUL      </v>
          </cell>
          <cell r="C2645">
            <v>3</v>
          </cell>
          <cell r="D2645">
            <v>1095</v>
          </cell>
        </row>
        <row r="2646">
          <cell r="A2646" t="str">
            <v>F65LSA11-1/4</v>
          </cell>
          <cell r="B2646" t="str">
            <v xml:space="preserve">KEM LUSTRAL ENAMEL  AZUL      </v>
          </cell>
          <cell r="C2646">
            <v>3</v>
          </cell>
          <cell r="D2646">
            <v>1095</v>
          </cell>
        </row>
        <row r="2647">
          <cell r="A2647" t="str">
            <v>F65LSA11-5</v>
          </cell>
          <cell r="B2647" t="str">
            <v xml:space="preserve">KEM LUSTRAL AZUL              </v>
          </cell>
          <cell r="C2647">
            <v>3</v>
          </cell>
          <cell r="D2647">
            <v>1095</v>
          </cell>
        </row>
        <row r="2648">
          <cell r="A2648" t="str">
            <v>F65LSA12</v>
          </cell>
          <cell r="B2648" t="str">
            <v>KEM LUSTRAL ENAMEL AZUL MARINO</v>
          </cell>
          <cell r="C2648">
            <v>3</v>
          </cell>
          <cell r="D2648">
            <v>1095</v>
          </cell>
        </row>
        <row r="2649">
          <cell r="A2649" t="str">
            <v>F65LSA12-1</v>
          </cell>
          <cell r="B2649" t="str">
            <v>KEM LUSTRAL ENAMEL AZUL MARINO</v>
          </cell>
          <cell r="C2649">
            <v>3</v>
          </cell>
          <cell r="D2649">
            <v>1095</v>
          </cell>
        </row>
        <row r="2650">
          <cell r="A2650" t="str">
            <v>F65LSA12-1/4</v>
          </cell>
          <cell r="B2650" t="str">
            <v>KEM LUSTRAL ENAMEL AZUL MARINO</v>
          </cell>
          <cell r="C2650">
            <v>3</v>
          </cell>
          <cell r="D2650">
            <v>1095</v>
          </cell>
        </row>
        <row r="2651">
          <cell r="A2651" t="str">
            <v>F65LSA24</v>
          </cell>
          <cell r="B2651" t="str">
            <v xml:space="preserve">KEM LUSTRAL AZUL BANDERA      </v>
          </cell>
          <cell r="C2651">
            <v>3</v>
          </cell>
          <cell r="D2651">
            <v>1095</v>
          </cell>
        </row>
        <row r="2652">
          <cell r="A2652" t="str">
            <v>F65LSA24-1</v>
          </cell>
          <cell r="B2652" t="str">
            <v xml:space="preserve">KEM LUSTRAL AZUL BANDERA      </v>
          </cell>
          <cell r="C2652">
            <v>3</v>
          </cell>
          <cell r="D2652">
            <v>1095</v>
          </cell>
        </row>
        <row r="2653">
          <cell r="A2653" t="str">
            <v>F65LSA24-49</v>
          </cell>
          <cell r="B2653" t="str">
            <v xml:space="preserve">KEM LUSTRAL AZUL BANDERA      </v>
          </cell>
          <cell r="C2653">
            <v>3</v>
          </cell>
          <cell r="D2653">
            <v>1095</v>
          </cell>
        </row>
        <row r="2654">
          <cell r="A2654" t="str">
            <v>F65LSA24-50</v>
          </cell>
          <cell r="B2654" t="str">
            <v xml:space="preserve">KEM LUSTRAL AZUL BANDERA.     </v>
          </cell>
          <cell r="C2654">
            <v>3</v>
          </cell>
          <cell r="D2654">
            <v>1095</v>
          </cell>
        </row>
        <row r="2655">
          <cell r="A2655" t="str">
            <v>F65LSA25</v>
          </cell>
          <cell r="B2655" t="str">
            <v xml:space="preserve">KEM LUSTRAL ENAMEL MATE       </v>
          </cell>
          <cell r="C2655">
            <v>3</v>
          </cell>
          <cell r="D2655">
            <v>1095</v>
          </cell>
        </row>
        <row r="2656">
          <cell r="A2656" t="str">
            <v>F65LSA25-5</v>
          </cell>
          <cell r="B2656" t="str">
            <v xml:space="preserve">KEM LUSTRAL ENAMEL AZUL MATE  </v>
          </cell>
          <cell r="C2656">
            <v>3</v>
          </cell>
          <cell r="D2656">
            <v>1095</v>
          </cell>
        </row>
        <row r="2657">
          <cell r="A2657" t="str">
            <v>F65LSA9</v>
          </cell>
          <cell r="B2657" t="str">
            <v xml:space="preserve">KEM LUSTRAL AZUL              </v>
          </cell>
          <cell r="C2657">
            <v>3</v>
          </cell>
          <cell r="D2657">
            <v>1095</v>
          </cell>
        </row>
        <row r="2658">
          <cell r="A2658" t="str">
            <v>F65LSA9-5</v>
          </cell>
          <cell r="B2658" t="str">
            <v xml:space="preserve">KEM LUSTRAL AZUL              </v>
          </cell>
          <cell r="C2658">
            <v>3</v>
          </cell>
          <cell r="D2658">
            <v>1095</v>
          </cell>
        </row>
        <row r="2659">
          <cell r="A2659" t="str">
            <v>F65NSA2</v>
          </cell>
          <cell r="B2659" t="str">
            <v xml:space="preserve">KEM LUSTRAL ENAMEL TABACO     </v>
          </cell>
          <cell r="C2659">
            <v>3</v>
          </cell>
          <cell r="D2659">
            <v>1095</v>
          </cell>
        </row>
        <row r="2660">
          <cell r="A2660" t="str">
            <v>F65NSA2-1</v>
          </cell>
          <cell r="B2660" t="str">
            <v xml:space="preserve">KEM LUSTRAL ENAMEL TABACO     </v>
          </cell>
          <cell r="C2660">
            <v>3</v>
          </cell>
          <cell r="D2660">
            <v>1095</v>
          </cell>
        </row>
        <row r="2661">
          <cell r="A2661" t="str">
            <v>F65NSA2-1/4</v>
          </cell>
          <cell r="B2661" t="str">
            <v xml:space="preserve">KEM LUSTRAL ENAMEL TABACO     </v>
          </cell>
          <cell r="C2661">
            <v>3</v>
          </cell>
          <cell r="D2661">
            <v>1095</v>
          </cell>
        </row>
        <row r="2662">
          <cell r="A2662" t="str">
            <v>F65R1</v>
          </cell>
          <cell r="B2662" t="str">
            <v xml:space="preserve">KEM LUSTRAL ENAMEL BERMELLON  </v>
          </cell>
          <cell r="C2662">
            <v>3</v>
          </cell>
          <cell r="D2662">
            <v>1095</v>
          </cell>
        </row>
        <row r="2663">
          <cell r="A2663" t="str">
            <v>F65R1-1</v>
          </cell>
          <cell r="B2663" t="str">
            <v xml:space="preserve">KEM LUSTRAL ENAMEL BERMELLON  </v>
          </cell>
          <cell r="C2663">
            <v>3</v>
          </cell>
          <cell r="D2663">
            <v>1095</v>
          </cell>
        </row>
        <row r="2664">
          <cell r="A2664" t="str">
            <v>F65R1-1/4</v>
          </cell>
          <cell r="B2664" t="str">
            <v xml:space="preserve">KEM LUSTRAL ENAMEL BERMELLON  </v>
          </cell>
          <cell r="C2664">
            <v>3</v>
          </cell>
          <cell r="D2664">
            <v>1095</v>
          </cell>
        </row>
        <row r="2665">
          <cell r="A2665" t="str">
            <v>F65R1-5</v>
          </cell>
          <cell r="B2665" t="str">
            <v xml:space="preserve">KEM LUSTRAL BERMELLON         </v>
          </cell>
          <cell r="C2665">
            <v>3</v>
          </cell>
          <cell r="D2665">
            <v>1095</v>
          </cell>
        </row>
        <row r="2666">
          <cell r="A2666" t="str">
            <v>F65RSA15</v>
          </cell>
          <cell r="B2666" t="str">
            <v xml:space="preserve">KEM LUSTRAL ROJO              </v>
          </cell>
          <cell r="C2666">
            <v>3</v>
          </cell>
          <cell r="D2666">
            <v>1095</v>
          </cell>
        </row>
        <row r="2667">
          <cell r="A2667" t="str">
            <v>F65RSA15-1</v>
          </cell>
          <cell r="B2667" t="str">
            <v xml:space="preserve">KEM LUSTRAL ROJO              </v>
          </cell>
          <cell r="C2667">
            <v>3</v>
          </cell>
          <cell r="D2667">
            <v>1095</v>
          </cell>
        </row>
        <row r="2668">
          <cell r="A2668" t="str">
            <v>F65W1</v>
          </cell>
          <cell r="B2668" t="str">
            <v>KEM LUSTRAL ENAMEL BLANCO BRIL</v>
          </cell>
          <cell r="C2668">
            <v>3</v>
          </cell>
          <cell r="D2668">
            <v>1095</v>
          </cell>
        </row>
        <row r="2669">
          <cell r="A2669" t="str">
            <v>F65W1-1</v>
          </cell>
          <cell r="B2669" t="str">
            <v>KEM LUSTRAL ENAMEL BLANCO BRIL</v>
          </cell>
          <cell r="C2669">
            <v>3</v>
          </cell>
          <cell r="D2669">
            <v>1095</v>
          </cell>
        </row>
        <row r="2670">
          <cell r="A2670" t="str">
            <v>F65W1-1/4</v>
          </cell>
          <cell r="B2670" t="str">
            <v>KEM LUSTRAL ENAMEL BLANCO BRIL</v>
          </cell>
          <cell r="C2670">
            <v>3</v>
          </cell>
          <cell r="D2670">
            <v>1095</v>
          </cell>
        </row>
        <row r="2671">
          <cell r="A2671" t="str">
            <v>F65W1-5</v>
          </cell>
          <cell r="B2671" t="str">
            <v xml:space="preserve">KEM LUSTRAL BLANCO BRILLANTE  </v>
          </cell>
          <cell r="C2671">
            <v>3</v>
          </cell>
          <cell r="D2671">
            <v>1095</v>
          </cell>
        </row>
        <row r="2672">
          <cell r="A2672" t="str">
            <v>F65W1-50</v>
          </cell>
          <cell r="B2672" t="str">
            <v xml:space="preserve">KEM LUSTRAL BLANCO BRILLANTE  </v>
          </cell>
          <cell r="C2672">
            <v>3</v>
          </cell>
          <cell r="D2672">
            <v>1095</v>
          </cell>
        </row>
        <row r="2673">
          <cell r="A2673" t="str">
            <v>F65WP15</v>
          </cell>
          <cell r="B2673" t="str">
            <v xml:space="preserve">KEM LUSTRAL ENAMEL BLANCO SAT </v>
          </cell>
          <cell r="C2673">
            <v>3</v>
          </cell>
          <cell r="D2673">
            <v>1095</v>
          </cell>
        </row>
        <row r="2674">
          <cell r="A2674" t="str">
            <v>F65WP15-1</v>
          </cell>
          <cell r="B2674" t="str">
            <v xml:space="preserve">KEM LUSTRAL ENAMEL BLANCO SAT </v>
          </cell>
          <cell r="C2674">
            <v>3</v>
          </cell>
          <cell r="D2674">
            <v>1095</v>
          </cell>
        </row>
        <row r="2675">
          <cell r="A2675" t="str">
            <v>F65WSA11</v>
          </cell>
          <cell r="B2675" t="str">
            <v xml:space="preserve">KEM LUSTRAL ENAM SIMPLE WHITE </v>
          </cell>
          <cell r="C2675">
            <v>3</v>
          </cell>
          <cell r="D2675">
            <v>1095</v>
          </cell>
        </row>
        <row r="2676">
          <cell r="A2676" t="str">
            <v>F65WSA11-1</v>
          </cell>
          <cell r="B2676" t="str">
            <v xml:space="preserve">KEM LUSTRAL ENAM SIMPLE WHITE </v>
          </cell>
          <cell r="C2676">
            <v>3</v>
          </cell>
          <cell r="D2676">
            <v>1095</v>
          </cell>
        </row>
        <row r="2677">
          <cell r="A2677" t="str">
            <v>F65WSA8</v>
          </cell>
          <cell r="B2677" t="str">
            <v>KEM LUSTRAL ENAMEL ULTR BLANCO</v>
          </cell>
          <cell r="C2677">
            <v>3</v>
          </cell>
          <cell r="D2677">
            <v>1095</v>
          </cell>
        </row>
        <row r="2678">
          <cell r="A2678" t="str">
            <v>F65WSA8-1</v>
          </cell>
          <cell r="B2678" t="str">
            <v>KEM LUSTRAL ENAMEL ULTR BLANCO</v>
          </cell>
          <cell r="C2678">
            <v>3</v>
          </cell>
          <cell r="D2678">
            <v>1095</v>
          </cell>
        </row>
        <row r="2679">
          <cell r="A2679" t="str">
            <v>F65WSA8-1/4</v>
          </cell>
          <cell r="B2679" t="str">
            <v>KEM LUSTRAL ENAMEL ULTR BLANCO</v>
          </cell>
          <cell r="C2679">
            <v>3</v>
          </cell>
          <cell r="D2679">
            <v>1095</v>
          </cell>
        </row>
        <row r="2680">
          <cell r="A2680" t="str">
            <v>F65WSA8-5</v>
          </cell>
          <cell r="B2680" t="str">
            <v xml:space="preserve">KEM LUSTRAL ULTRA BLANCO      </v>
          </cell>
          <cell r="C2680">
            <v>3</v>
          </cell>
          <cell r="D2680">
            <v>1095</v>
          </cell>
        </row>
        <row r="2681">
          <cell r="A2681" t="str">
            <v>F65WSA8-50</v>
          </cell>
          <cell r="B2681" t="str">
            <v xml:space="preserve">KEM LUSTRAL ULTRA BLANCO      </v>
          </cell>
          <cell r="C2681">
            <v>3</v>
          </cell>
          <cell r="D2681">
            <v>1095</v>
          </cell>
        </row>
        <row r="2682">
          <cell r="A2682" t="str">
            <v>F65Y100</v>
          </cell>
          <cell r="B2682" t="str">
            <v>KEM LUSTRAL ENA AMARI CATERPIL</v>
          </cell>
          <cell r="C2682">
            <v>3</v>
          </cell>
          <cell r="D2682">
            <v>1095</v>
          </cell>
        </row>
        <row r="2683">
          <cell r="A2683" t="str">
            <v>F65Y100-1</v>
          </cell>
          <cell r="B2683" t="str">
            <v>KEM LUSTRAL ENA AMARI CATERPIL</v>
          </cell>
          <cell r="C2683">
            <v>3</v>
          </cell>
          <cell r="D2683">
            <v>1095</v>
          </cell>
        </row>
        <row r="2684">
          <cell r="A2684" t="str">
            <v>F65Y100-1/4</v>
          </cell>
          <cell r="B2684" t="str">
            <v>KEM LUSTRAL ENA AMARI CATERPIL</v>
          </cell>
          <cell r="C2684">
            <v>3</v>
          </cell>
          <cell r="D2684">
            <v>1095</v>
          </cell>
        </row>
        <row r="2685">
          <cell r="A2685" t="str">
            <v>F65Y12</v>
          </cell>
          <cell r="B2685" t="str">
            <v>KEM LUSTRAL ENAMEL AMARI CLARO</v>
          </cell>
          <cell r="C2685">
            <v>3</v>
          </cell>
          <cell r="D2685">
            <v>1095</v>
          </cell>
        </row>
        <row r="2686">
          <cell r="A2686" t="str">
            <v>F65Y12-1</v>
          </cell>
          <cell r="B2686" t="str">
            <v>KEM LUSTRAL ENAMEL AMARI CLARO</v>
          </cell>
          <cell r="C2686">
            <v>3</v>
          </cell>
          <cell r="D2686">
            <v>1095</v>
          </cell>
        </row>
        <row r="2687">
          <cell r="A2687" t="str">
            <v>F65Y12-1/4</v>
          </cell>
          <cell r="B2687" t="str">
            <v>KEM LUSTRAL ENAMEL AMARI CLARO</v>
          </cell>
          <cell r="C2687">
            <v>3</v>
          </cell>
          <cell r="D2687">
            <v>1095</v>
          </cell>
        </row>
        <row r="2688">
          <cell r="A2688" t="str">
            <v>F65Y12-5</v>
          </cell>
          <cell r="B2688" t="str">
            <v xml:space="preserve">KEM LUSTRAL AMARILLO CLARO    </v>
          </cell>
          <cell r="C2688">
            <v>3</v>
          </cell>
          <cell r="D2688">
            <v>1095</v>
          </cell>
        </row>
        <row r="2689">
          <cell r="A2689" t="str">
            <v>N11A350-1</v>
          </cell>
          <cell r="B2689" t="str">
            <v xml:space="preserve">SEAGUAR 5000HS EPOX GRIS      </v>
          </cell>
          <cell r="C2689">
            <v>2</v>
          </cell>
          <cell r="D2689">
            <v>730</v>
          </cell>
        </row>
        <row r="2690">
          <cell r="A2690" t="str">
            <v>N11A350-5</v>
          </cell>
          <cell r="B2690" t="str">
            <v xml:space="preserve">SEAGUAR 5000HS EPOXY GRIS     </v>
          </cell>
          <cell r="C2690">
            <v>2</v>
          </cell>
          <cell r="D2690">
            <v>730</v>
          </cell>
        </row>
        <row r="2691">
          <cell r="A2691" t="str">
            <v>N11V350-1</v>
          </cell>
          <cell r="B2691" t="str">
            <v xml:space="preserve">SEAGUAR 5000HS CATALIZADOR    </v>
          </cell>
          <cell r="C2691">
            <v>2</v>
          </cell>
          <cell r="D2691">
            <v>730</v>
          </cell>
        </row>
        <row r="2692">
          <cell r="A2692" t="str">
            <v>N11V350-5</v>
          </cell>
          <cell r="B2692" t="str">
            <v xml:space="preserve">SEAGUAR 5000HS CATALIZADOR    </v>
          </cell>
          <cell r="C2692">
            <v>2</v>
          </cell>
          <cell r="D2692">
            <v>730</v>
          </cell>
        </row>
        <row r="2693">
          <cell r="A2693" t="str">
            <v>P60G2</v>
          </cell>
          <cell r="B2693" t="str">
            <v xml:space="preserve">WASH PRIMER GREEN             </v>
          </cell>
          <cell r="C2693">
            <v>1</v>
          </cell>
          <cell r="D2693">
            <v>365</v>
          </cell>
        </row>
        <row r="2694">
          <cell r="A2694" t="str">
            <v>P60G2-1</v>
          </cell>
          <cell r="B2694" t="str">
            <v xml:space="preserve">WASH PRIMER GREEN             </v>
          </cell>
          <cell r="C2694">
            <v>1</v>
          </cell>
          <cell r="D2694">
            <v>365</v>
          </cell>
        </row>
        <row r="2695">
          <cell r="A2695" t="str">
            <v>S61B3</v>
          </cell>
          <cell r="B2695" t="str">
            <v xml:space="preserve">SHERWOOD 500 NEGRO            </v>
          </cell>
          <cell r="C2695">
            <v>2</v>
          </cell>
          <cell r="D2695">
            <v>730</v>
          </cell>
        </row>
        <row r="2696">
          <cell r="A2696" t="str">
            <v>S61B3-BOT</v>
          </cell>
          <cell r="B2696" t="str">
            <v xml:space="preserve">SHERWOOD 500 NEGRO            </v>
          </cell>
          <cell r="C2696">
            <v>2</v>
          </cell>
          <cell r="D2696">
            <v>730</v>
          </cell>
        </row>
        <row r="2697">
          <cell r="A2697" t="str">
            <v>S61L2</v>
          </cell>
          <cell r="B2697" t="str">
            <v xml:space="preserve">SHERWOOD 500 AZUL             </v>
          </cell>
          <cell r="C2697">
            <v>2</v>
          </cell>
          <cell r="D2697">
            <v>730</v>
          </cell>
        </row>
        <row r="2698">
          <cell r="A2698" t="str">
            <v>S61L2-BOT</v>
          </cell>
          <cell r="B2698" t="str">
            <v xml:space="preserve">SHERWOOD 500 AZUL             </v>
          </cell>
          <cell r="C2698">
            <v>2</v>
          </cell>
          <cell r="D2698">
            <v>730</v>
          </cell>
        </row>
        <row r="2699">
          <cell r="A2699" t="str">
            <v>S61N10</v>
          </cell>
          <cell r="B2699" t="str">
            <v xml:space="preserve">SHERWOOD 500  CANELA OSCURO   </v>
          </cell>
          <cell r="C2699">
            <v>2</v>
          </cell>
          <cell r="D2699">
            <v>730</v>
          </cell>
        </row>
        <row r="2700">
          <cell r="A2700" t="str">
            <v>S61N10-BOT</v>
          </cell>
          <cell r="B2700" t="str">
            <v xml:space="preserve">SHERWOOD 500  CANELA OSCURO   </v>
          </cell>
          <cell r="C2700">
            <v>2</v>
          </cell>
          <cell r="D2700">
            <v>730</v>
          </cell>
        </row>
        <row r="2701">
          <cell r="A2701" t="str">
            <v>S61N11</v>
          </cell>
          <cell r="B2701" t="str">
            <v xml:space="preserve">SHERWOOD 500 ARCE COLONIAL    </v>
          </cell>
          <cell r="C2701">
            <v>2</v>
          </cell>
          <cell r="D2701">
            <v>730</v>
          </cell>
        </row>
        <row r="2702">
          <cell r="A2702" t="str">
            <v>S61N11-BOT</v>
          </cell>
          <cell r="B2702" t="str">
            <v xml:space="preserve">SHERWOOD 500 ARCE COLONIAL    </v>
          </cell>
          <cell r="C2702">
            <v>2</v>
          </cell>
          <cell r="D2702">
            <v>730</v>
          </cell>
        </row>
        <row r="2703">
          <cell r="A2703" t="str">
            <v>S61N8</v>
          </cell>
          <cell r="B2703" t="str">
            <v xml:space="preserve">SHERWOOD 500 CAFÉ             </v>
          </cell>
          <cell r="C2703">
            <v>2</v>
          </cell>
          <cell r="D2703">
            <v>730</v>
          </cell>
        </row>
        <row r="2704">
          <cell r="A2704" t="str">
            <v>S61N8-BOT</v>
          </cell>
          <cell r="B2704" t="str">
            <v xml:space="preserve">SHERWOOD 500 CAFÉ             </v>
          </cell>
          <cell r="C2704">
            <v>2</v>
          </cell>
          <cell r="D2704">
            <v>730</v>
          </cell>
        </row>
        <row r="2705">
          <cell r="A2705" t="str">
            <v>S61N9</v>
          </cell>
          <cell r="B2705" t="str">
            <v xml:space="preserve">SHERWOOD 500 NOGAL DANES      </v>
          </cell>
          <cell r="C2705">
            <v>2</v>
          </cell>
          <cell r="D2705">
            <v>730</v>
          </cell>
        </row>
        <row r="2706">
          <cell r="A2706" t="str">
            <v>S61N9-BOT</v>
          </cell>
          <cell r="B2706" t="str">
            <v xml:space="preserve">SHERWOOD 500 NOGAL DANES      </v>
          </cell>
          <cell r="C2706">
            <v>2</v>
          </cell>
          <cell r="D2706">
            <v>730</v>
          </cell>
        </row>
        <row r="2707">
          <cell r="A2707" t="str">
            <v>S61NSA10</v>
          </cell>
          <cell r="B2707" t="str">
            <v xml:space="preserve">SHERWOOD 500                  </v>
          </cell>
          <cell r="C2707">
            <v>2</v>
          </cell>
          <cell r="D2707">
            <v>730</v>
          </cell>
        </row>
        <row r="2708">
          <cell r="A2708" t="str">
            <v>S61NSA10-BOT</v>
          </cell>
          <cell r="B2708" t="str">
            <v xml:space="preserve">SHERWOOD 500 CAFE AM          </v>
          </cell>
          <cell r="C2708">
            <v>2</v>
          </cell>
          <cell r="D2708">
            <v>730</v>
          </cell>
        </row>
        <row r="2709">
          <cell r="A2709" t="str">
            <v>S61NSA9</v>
          </cell>
          <cell r="B2709" t="str">
            <v xml:space="preserve">SHERWOOD 500 LEGENDARIO       </v>
          </cell>
          <cell r="C2709">
            <v>2</v>
          </cell>
          <cell r="D2709">
            <v>730</v>
          </cell>
        </row>
        <row r="2710">
          <cell r="A2710" t="str">
            <v>S61NSA9-1</v>
          </cell>
          <cell r="B2710" t="str">
            <v xml:space="preserve">SHERWOOD 500 CAFE LEGENDARIO  </v>
          </cell>
          <cell r="C2710">
            <v>2</v>
          </cell>
          <cell r="D2710">
            <v>730</v>
          </cell>
        </row>
        <row r="2711">
          <cell r="A2711" t="str">
            <v>S61NSA9-5</v>
          </cell>
          <cell r="B2711" t="str">
            <v xml:space="preserve">SHERWOOD 500 CAFE LEGENDARIO  </v>
          </cell>
          <cell r="C2711">
            <v>2</v>
          </cell>
          <cell r="D2711">
            <v>730</v>
          </cell>
        </row>
        <row r="2712">
          <cell r="A2712" t="str">
            <v>S61R3</v>
          </cell>
          <cell r="B2712" t="str">
            <v xml:space="preserve">SHERWOOD 500 ROJO             </v>
          </cell>
          <cell r="C2712">
            <v>2</v>
          </cell>
          <cell r="D2712">
            <v>730</v>
          </cell>
        </row>
        <row r="2713">
          <cell r="A2713" t="str">
            <v>S61R3-BOT</v>
          </cell>
          <cell r="B2713" t="str">
            <v xml:space="preserve">SHERWOOD 500 ROJO             </v>
          </cell>
          <cell r="C2713">
            <v>2</v>
          </cell>
          <cell r="D2713">
            <v>730</v>
          </cell>
        </row>
        <row r="2714">
          <cell r="A2714" t="str">
            <v>S61R4</v>
          </cell>
          <cell r="B2714" t="str">
            <v xml:space="preserve">SHERWOOD 500  CAOBA AFRICANO  </v>
          </cell>
          <cell r="C2714">
            <v>2</v>
          </cell>
          <cell r="D2714">
            <v>730</v>
          </cell>
        </row>
        <row r="2715">
          <cell r="A2715" t="str">
            <v>S61R4-BOT</v>
          </cell>
          <cell r="B2715" t="str">
            <v xml:space="preserve">SHERWOOD 500  CAOBA AFRICANO  </v>
          </cell>
          <cell r="C2715">
            <v>2</v>
          </cell>
          <cell r="D2715">
            <v>730</v>
          </cell>
        </row>
        <row r="2716">
          <cell r="A2716" t="str">
            <v>S61R5</v>
          </cell>
          <cell r="B2716" t="str">
            <v xml:space="preserve">SHERWOOD 500                  </v>
          </cell>
          <cell r="C2716">
            <v>2</v>
          </cell>
          <cell r="D2716">
            <v>730</v>
          </cell>
        </row>
        <row r="2717">
          <cell r="A2717" t="str">
            <v>S61R5-1</v>
          </cell>
          <cell r="B2717" t="str">
            <v>SHERWOOD 500 ROJO WINE JEWELRY</v>
          </cell>
          <cell r="C2717">
            <v>2</v>
          </cell>
          <cell r="D2717">
            <v>730</v>
          </cell>
        </row>
        <row r="2718">
          <cell r="A2718" t="str">
            <v>S61R6</v>
          </cell>
          <cell r="B2718" t="str">
            <v xml:space="preserve">SHERWOOD 500                  </v>
          </cell>
          <cell r="C2718">
            <v>2</v>
          </cell>
          <cell r="D2718">
            <v>730</v>
          </cell>
        </row>
        <row r="2719">
          <cell r="A2719" t="str">
            <v>S61R6-1</v>
          </cell>
          <cell r="B2719" t="str">
            <v>SHERWOOD 500 ROJO WINE SPECIAL</v>
          </cell>
          <cell r="C2719">
            <v>2</v>
          </cell>
          <cell r="D2719">
            <v>730</v>
          </cell>
        </row>
        <row r="2720">
          <cell r="A2720" t="str">
            <v>S61Y3</v>
          </cell>
          <cell r="B2720" t="str">
            <v xml:space="preserve">SHERWOOD 500 AMARILLO         </v>
          </cell>
          <cell r="C2720">
            <v>2</v>
          </cell>
          <cell r="D2720">
            <v>730</v>
          </cell>
        </row>
        <row r="2721">
          <cell r="A2721" t="str">
            <v>S61Y3-BOT</v>
          </cell>
          <cell r="B2721" t="str">
            <v xml:space="preserve">SHERWOOD 500 AMARILLO         </v>
          </cell>
          <cell r="C2721">
            <v>2</v>
          </cell>
          <cell r="D2721">
            <v>730</v>
          </cell>
        </row>
        <row r="2722">
          <cell r="A2722" t="str">
            <v>T60F50</v>
          </cell>
          <cell r="B2722" t="str">
            <v xml:space="preserve">SELLADOR #46   CONCENTRADO    </v>
          </cell>
          <cell r="C2722">
            <v>2</v>
          </cell>
          <cell r="D2722">
            <v>730</v>
          </cell>
        </row>
        <row r="2723">
          <cell r="A2723" t="str">
            <v>T60F50-1</v>
          </cell>
          <cell r="B2723" t="str">
            <v xml:space="preserve">SELLADOR #46   CONCENTRADO    </v>
          </cell>
          <cell r="C2723">
            <v>2</v>
          </cell>
          <cell r="D2723">
            <v>730</v>
          </cell>
        </row>
        <row r="2724">
          <cell r="A2724" t="str">
            <v>T60F50-1/4</v>
          </cell>
          <cell r="B2724" t="str">
            <v xml:space="preserve">SELLADOR #46   CONCENTRADO    </v>
          </cell>
          <cell r="C2724">
            <v>2</v>
          </cell>
          <cell r="D2724">
            <v>730</v>
          </cell>
        </row>
        <row r="2725">
          <cell r="A2725" t="str">
            <v>T60F50-5</v>
          </cell>
          <cell r="B2725" t="str">
            <v xml:space="preserve">SELLADOR #46   CONCENTRADO    </v>
          </cell>
          <cell r="C2725">
            <v>2</v>
          </cell>
          <cell r="D2725">
            <v>730</v>
          </cell>
        </row>
        <row r="2726">
          <cell r="A2726" t="str">
            <v>T60F50-50</v>
          </cell>
          <cell r="B2726" t="str">
            <v xml:space="preserve">SELLADOR #46   CONCENTRADO    </v>
          </cell>
          <cell r="C2726">
            <v>2</v>
          </cell>
          <cell r="D2726">
            <v>730</v>
          </cell>
        </row>
        <row r="2727">
          <cell r="A2727" t="str">
            <v>T60FSA10</v>
          </cell>
          <cell r="B2727" t="str">
            <v xml:space="preserve">SELLAD. SUPER CONCENTR.       </v>
          </cell>
          <cell r="C2727">
            <v>2</v>
          </cell>
          <cell r="D2727">
            <v>730</v>
          </cell>
        </row>
        <row r="2728">
          <cell r="A2728" t="str">
            <v>T60FSA10-1</v>
          </cell>
          <cell r="B2728" t="str">
            <v xml:space="preserve">SELLADOR SUPER CONCENTRADO    </v>
          </cell>
          <cell r="C2728">
            <v>2</v>
          </cell>
          <cell r="D2728">
            <v>730</v>
          </cell>
        </row>
        <row r="2729">
          <cell r="A2729" t="str">
            <v>T60FSA10-1/4</v>
          </cell>
          <cell r="B2729" t="str">
            <v xml:space="preserve">SELLADOR SUPER CONCENTRADO    </v>
          </cell>
          <cell r="C2729">
            <v>2</v>
          </cell>
          <cell r="D2729">
            <v>730</v>
          </cell>
        </row>
        <row r="2730">
          <cell r="A2730" t="str">
            <v>T60FSA10-5</v>
          </cell>
          <cell r="B2730" t="str">
            <v xml:space="preserve">SELLADOR SUPER CONCENTRADO    </v>
          </cell>
          <cell r="C2730">
            <v>2</v>
          </cell>
          <cell r="D2730">
            <v>730</v>
          </cell>
        </row>
        <row r="2731">
          <cell r="A2731" t="str">
            <v>T60FSA10-50</v>
          </cell>
          <cell r="B2731" t="str">
            <v xml:space="preserve">SELLADOR SUPER CONCENTRADO    </v>
          </cell>
          <cell r="C2731">
            <v>2</v>
          </cell>
          <cell r="D2731">
            <v>730</v>
          </cell>
        </row>
        <row r="2732">
          <cell r="A2732" t="str">
            <v>T60FSA18</v>
          </cell>
          <cell r="B2732" t="str">
            <v>SELLAD. SUPER CONCENTR.  AMBAR</v>
          </cell>
          <cell r="C2732">
            <v>2</v>
          </cell>
          <cell r="D2732">
            <v>730</v>
          </cell>
        </row>
        <row r="2733">
          <cell r="A2733" t="str">
            <v>T60FSA18-1</v>
          </cell>
          <cell r="B2733" t="str">
            <v xml:space="preserve">SELLAD. SUPER CONCENTR. AMBAR </v>
          </cell>
          <cell r="C2733">
            <v>2</v>
          </cell>
          <cell r="D2733">
            <v>730</v>
          </cell>
        </row>
        <row r="2734">
          <cell r="A2734" t="str">
            <v>T60FSA18-5</v>
          </cell>
          <cell r="B2734" t="str">
            <v xml:space="preserve">SELLAD. SUPER CONCENTR. AMBAR </v>
          </cell>
          <cell r="C2734">
            <v>2</v>
          </cell>
          <cell r="D2734">
            <v>730</v>
          </cell>
        </row>
        <row r="2735">
          <cell r="A2735" t="str">
            <v>V66V21</v>
          </cell>
          <cell r="B2735" t="str">
            <v xml:space="preserve">KEMVAR  CATALYST  CATALIZADOR </v>
          </cell>
          <cell r="C2735">
            <v>2</v>
          </cell>
          <cell r="D2735">
            <v>730</v>
          </cell>
        </row>
        <row r="2736">
          <cell r="A2736" t="str">
            <v>V66V21-1/32</v>
          </cell>
          <cell r="B2736" t="str">
            <v xml:space="preserve">KEMVAR  CATALYST  CATALIZADOR </v>
          </cell>
          <cell r="C2736">
            <v>2</v>
          </cell>
          <cell r="D2736">
            <v>730</v>
          </cell>
        </row>
        <row r="2737">
          <cell r="A2737" t="str">
            <v>V79VSA1</v>
          </cell>
          <cell r="B2737" t="str">
            <v xml:space="preserve">BARNIZ COPAL .                </v>
          </cell>
          <cell r="C2737">
            <v>2</v>
          </cell>
          <cell r="D2737">
            <v>730</v>
          </cell>
        </row>
        <row r="2738">
          <cell r="A2738" t="str">
            <v>V79VSA1-1</v>
          </cell>
          <cell r="B2738" t="str">
            <v xml:space="preserve">BARNIZ COPAL                  </v>
          </cell>
          <cell r="C2738">
            <v>2</v>
          </cell>
          <cell r="D2738">
            <v>730</v>
          </cell>
        </row>
        <row r="2739">
          <cell r="A2739" t="str">
            <v>V79VSA1-1/4</v>
          </cell>
          <cell r="B2739" t="str">
            <v xml:space="preserve">BARNIZ COPAL                  </v>
          </cell>
          <cell r="C2739">
            <v>2</v>
          </cell>
          <cell r="D2739">
            <v>730</v>
          </cell>
        </row>
        <row r="2740">
          <cell r="A2740" t="str">
            <v>V84F16</v>
          </cell>
          <cell r="B2740" t="str">
            <v xml:space="preserve">KEMVAR  MATE .                </v>
          </cell>
          <cell r="C2740">
            <v>2</v>
          </cell>
          <cell r="D2740">
            <v>730</v>
          </cell>
        </row>
        <row r="2741">
          <cell r="A2741" t="str">
            <v>V84F16-1</v>
          </cell>
          <cell r="B2741" t="str">
            <v xml:space="preserve">KEMVAR  MATE                  </v>
          </cell>
          <cell r="C2741">
            <v>2</v>
          </cell>
          <cell r="D2741">
            <v>730</v>
          </cell>
        </row>
        <row r="2742">
          <cell r="A2742" t="str">
            <v>V84FSA1</v>
          </cell>
          <cell r="B2742" t="str">
            <v xml:space="preserve">SHERWOOD KEM VAR              </v>
          </cell>
          <cell r="C2742">
            <v>2</v>
          </cell>
          <cell r="D2742">
            <v>730</v>
          </cell>
        </row>
        <row r="2743">
          <cell r="A2743" t="str">
            <v>V84FSA1-1</v>
          </cell>
          <cell r="B2743" t="str">
            <v xml:space="preserve">SHERWOOD KEMVAR CAOBA         </v>
          </cell>
          <cell r="C2743">
            <v>2</v>
          </cell>
          <cell r="D2743">
            <v>730</v>
          </cell>
        </row>
        <row r="2744">
          <cell r="A2744" t="str">
            <v>V84V12</v>
          </cell>
          <cell r="B2744" t="str">
            <v xml:space="preserve">KEMVAR  BRILLANTE .           </v>
          </cell>
          <cell r="C2744">
            <v>2</v>
          </cell>
          <cell r="D2744">
            <v>730</v>
          </cell>
        </row>
        <row r="2745">
          <cell r="A2745" t="str">
            <v>V84V12-1</v>
          </cell>
          <cell r="B2745" t="str">
            <v xml:space="preserve">KEMVAR  BRILLANTE             </v>
          </cell>
          <cell r="C2745">
            <v>2</v>
          </cell>
          <cell r="D2745">
            <v>730</v>
          </cell>
        </row>
        <row r="2746">
          <cell r="A2746" t="str">
            <v>50.055004-3.2.ONZ</v>
          </cell>
          <cell r="B2746" t="str">
            <v>SHARGRIP SLIP RESISTANT ADITIV</v>
          </cell>
          <cell r="C2746">
            <v>3</v>
          </cell>
          <cell r="D2746">
            <v>1095</v>
          </cell>
        </row>
        <row r="2747">
          <cell r="A2747" t="str">
            <v>A20WSA51</v>
          </cell>
          <cell r="B2747" t="str">
            <v>SP INT LATEX SEMI BA EXT WHITE</v>
          </cell>
          <cell r="C2747">
            <v>3</v>
          </cell>
          <cell r="D2747">
            <v>1095</v>
          </cell>
        </row>
        <row r="2748">
          <cell r="A2748" t="str">
            <v>A20WSA51-1</v>
          </cell>
          <cell r="B2748" t="str">
            <v>SP INT LATEX SEMI BA EXT WHITE</v>
          </cell>
          <cell r="C2748">
            <v>3</v>
          </cell>
          <cell r="D2748">
            <v>1095</v>
          </cell>
        </row>
        <row r="2749">
          <cell r="A2749" t="str">
            <v>A20WSA51-1/4</v>
          </cell>
          <cell r="B2749" t="str">
            <v>SP INT LATEX SEMI BA EXT WHITE</v>
          </cell>
          <cell r="C2749">
            <v>3</v>
          </cell>
          <cell r="D2749">
            <v>1095</v>
          </cell>
        </row>
        <row r="2750">
          <cell r="A2750" t="str">
            <v>A20WSA51-5</v>
          </cell>
          <cell r="B2750" t="str">
            <v xml:space="preserve">STYLE PERFECT LATEX SEMIBTE   </v>
          </cell>
          <cell r="C2750">
            <v>3</v>
          </cell>
          <cell r="D2750">
            <v>1095</v>
          </cell>
        </row>
        <row r="2751">
          <cell r="A2751" t="str">
            <v>A20WSA53</v>
          </cell>
          <cell r="B2751" t="str">
            <v xml:space="preserve">SP INT LATEX SEMI BAS DEEP    </v>
          </cell>
          <cell r="C2751">
            <v>3</v>
          </cell>
          <cell r="D2751">
            <v>1095</v>
          </cell>
        </row>
        <row r="2752">
          <cell r="A2752" t="str">
            <v>A20WSA53-1</v>
          </cell>
          <cell r="B2752" t="str">
            <v xml:space="preserve">SP INT LATEX SEMI BAS DEEP    </v>
          </cell>
          <cell r="C2752">
            <v>3</v>
          </cell>
          <cell r="D2752">
            <v>1095</v>
          </cell>
        </row>
        <row r="2753">
          <cell r="A2753" t="str">
            <v>A20WSA53-1/4</v>
          </cell>
          <cell r="B2753" t="str">
            <v xml:space="preserve">STYLE PERFECT LATEX SEMIBTE   </v>
          </cell>
          <cell r="C2753">
            <v>3</v>
          </cell>
          <cell r="D2753">
            <v>1095</v>
          </cell>
        </row>
        <row r="2754">
          <cell r="A2754" t="str">
            <v>A20WSA53-5</v>
          </cell>
          <cell r="B2754" t="str">
            <v xml:space="preserve">STYLE PERFECT LATEX SEMIBTE   </v>
          </cell>
          <cell r="C2754">
            <v>3</v>
          </cell>
          <cell r="D2754">
            <v>1095</v>
          </cell>
        </row>
        <row r="2755">
          <cell r="A2755" t="str">
            <v>A21WSA17</v>
          </cell>
          <cell r="B2755" t="str">
            <v xml:space="preserve">SP INT LATEX MATE B EXT WHITE </v>
          </cell>
          <cell r="C2755">
            <v>3</v>
          </cell>
          <cell r="D2755">
            <v>1095</v>
          </cell>
        </row>
        <row r="2756">
          <cell r="A2756" t="str">
            <v>A21WSA17-1</v>
          </cell>
          <cell r="B2756" t="str">
            <v xml:space="preserve">SP INT LATEX MATE B EXT WHITE </v>
          </cell>
          <cell r="C2756">
            <v>3</v>
          </cell>
          <cell r="D2756">
            <v>1095</v>
          </cell>
        </row>
        <row r="2757">
          <cell r="A2757" t="str">
            <v>A21WSA51</v>
          </cell>
          <cell r="B2757" t="str">
            <v xml:space="preserve">SP INT LATEX MATE B EXT WHITE </v>
          </cell>
          <cell r="C2757">
            <v>3</v>
          </cell>
          <cell r="D2757">
            <v>1095</v>
          </cell>
        </row>
        <row r="2758">
          <cell r="A2758" t="str">
            <v>A21WSA51-1</v>
          </cell>
          <cell r="B2758" t="str">
            <v xml:space="preserve">SP INT LATEX MATE B EXT WHITE </v>
          </cell>
          <cell r="C2758">
            <v>3</v>
          </cell>
          <cell r="D2758">
            <v>1095</v>
          </cell>
        </row>
        <row r="2759">
          <cell r="A2759" t="str">
            <v>A21WSA51-1/4</v>
          </cell>
          <cell r="B2759" t="str">
            <v xml:space="preserve">SP INT LATEX MATE B EXT WHITE </v>
          </cell>
          <cell r="C2759">
            <v>3</v>
          </cell>
          <cell r="D2759">
            <v>1095</v>
          </cell>
        </row>
        <row r="2760">
          <cell r="A2760" t="str">
            <v>A21WSA51-5</v>
          </cell>
          <cell r="B2760" t="str">
            <v xml:space="preserve">SP INT LATEX MATE B EXT WHITE </v>
          </cell>
          <cell r="C2760">
            <v>3</v>
          </cell>
          <cell r="D2760">
            <v>1095</v>
          </cell>
        </row>
        <row r="2761">
          <cell r="A2761" t="str">
            <v>A21WSA53</v>
          </cell>
          <cell r="B2761" t="str">
            <v xml:space="preserve">SP INT LATEX MATE BASE DEEP   </v>
          </cell>
          <cell r="C2761">
            <v>3</v>
          </cell>
          <cell r="D2761">
            <v>1095</v>
          </cell>
        </row>
        <row r="2762">
          <cell r="A2762" t="str">
            <v>A21WSA53-1</v>
          </cell>
          <cell r="B2762" t="str">
            <v xml:space="preserve">SP INT LATEX MATE BASE DEEP   </v>
          </cell>
          <cell r="C2762">
            <v>3</v>
          </cell>
          <cell r="D2762">
            <v>1095</v>
          </cell>
        </row>
        <row r="2763">
          <cell r="A2763" t="str">
            <v>A21WSA53-1/4</v>
          </cell>
          <cell r="B2763" t="str">
            <v xml:space="preserve">SP INT LATEX MATE BASE DEEP   </v>
          </cell>
          <cell r="C2763">
            <v>3</v>
          </cell>
          <cell r="D2763">
            <v>1095</v>
          </cell>
        </row>
        <row r="2764">
          <cell r="A2764" t="str">
            <v>A21WSA53-5</v>
          </cell>
          <cell r="B2764" t="str">
            <v xml:space="preserve">SP INT LATEX MATE BASE DEEP   </v>
          </cell>
          <cell r="C2764">
            <v>3</v>
          </cell>
          <cell r="D2764">
            <v>1095</v>
          </cell>
        </row>
        <row r="2765">
          <cell r="A2765" t="str">
            <v>A22TSA54</v>
          </cell>
          <cell r="B2765" t="str">
            <v xml:space="preserve">STYLE PERFECT LATEX EG-SHEL   </v>
          </cell>
          <cell r="C2765">
            <v>3</v>
          </cell>
          <cell r="D2765">
            <v>1095</v>
          </cell>
        </row>
        <row r="2766">
          <cell r="A2766" t="str">
            <v>A22TSA54-5</v>
          </cell>
          <cell r="B2766" t="str">
            <v xml:space="preserve">STYLE PERFECT LATEX EG-SHEL   </v>
          </cell>
          <cell r="C2766">
            <v>3</v>
          </cell>
          <cell r="D2766">
            <v>1095</v>
          </cell>
        </row>
        <row r="2767">
          <cell r="A2767" t="str">
            <v>A22WSA2</v>
          </cell>
          <cell r="B2767" t="str">
            <v xml:space="preserve">STYLE PERFECT LAT INT EG-SHEL </v>
          </cell>
          <cell r="C2767">
            <v>3</v>
          </cell>
          <cell r="D2767">
            <v>1095</v>
          </cell>
        </row>
        <row r="2768">
          <cell r="A2768" t="str">
            <v>A22WSA2-5</v>
          </cell>
          <cell r="B2768" t="str">
            <v xml:space="preserve">STYLE PERFECT LAT INT EG-SHEL </v>
          </cell>
          <cell r="C2768">
            <v>3</v>
          </cell>
          <cell r="D2768">
            <v>1095</v>
          </cell>
        </row>
        <row r="2769">
          <cell r="A2769" t="str">
            <v>A22WSA51</v>
          </cell>
          <cell r="B2769" t="str">
            <v>SP INT LATE EG-SHEL B EXT WHIT</v>
          </cell>
          <cell r="C2769">
            <v>3</v>
          </cell>
          <cell r="D2769">
            <v>1095</v>
          </cell>
        </row>
        <row r="2770">
          <cell r="A2770" t="str">
            <v>A22WSA51-1</v>
          </cell>
          <cell r="B2770" t="str">
            <v>SP INT LATE EG-SHEL B EXT WHIT</v>
          </cell>
          <cell r="C2770">
            <v>3</v>
          </cell>
          <cell r="D2770">
            <v>1095</v>
          </cell>
        </row>
        <row r="2771">
          <cell r="A2771" t="str">
            <v>A22WSA51-1/4</v>
          </cell>
          <cell r="B2771" t="str">
            <v>SP INT LATE EG-SHEL B EXT WHIT</v>
          </cell>
          <cell r="C2771">
            <v>3</v>
          </cell>
          <cell r="D2771">
            <v>1095</v>
          </cell>
        </row>
        <row r="2772">
          <cell r="A2772" t="str">
            <v>A22WSA51-5</v>
          </cell>
          <cell r="B2772" t="str">
            <v>STYLE PERFCT INT LATEX EG-SHEL</v>
          </cell>
          <cell r="C2772">
            <v>3</v>
          </cell>
          <cell r="D2772">
            <v>1095</v>
          </cell>
        </row>
        <row r="2773">
          <cell r="A2773" t="str">
            <v>A22WSA53</v>
          </cell>
          <cell r="B2773" t="str">
            <v xml:space="preserve">STYLE PERFECT LAT EGSHEL BASE </v>
          </cell>
          <cell r="C2773">
            <v>3</v>
          </cell>
          <cell r="D2773">
            <v>1095</v>
          </cell>
        </row>
        <row r="2774">
          <cell r="A2774" t="str">
            <v>A22WSA53-1</v>
          </cell>
          <cell r="B2774" t="str">
            <v>STYLE PERFECT LAT EGSHELL BASE</v>
          </cell>
          <cell r="C2774">
            <v>3</v>
          </cell>
          <cell r="D2774">
            <v>1095</v>
          </cell>
        </row>
        <row r="2775">
          <cell r="A2775" t="str">
            <v>A22WSA53-5</v>
          </cell>
          <cell r="B2775" t="str">
            <v xml:space="preserve">STYLE PERFECT LAT EGSHEL BASE </v>
          </cell>
          <cell r="C2775">
            <v>3</v>
          </cell>
          <cell r="D2775">
            <v>1095</v>
          </cell>
        </row>
        <row r="2776">
          <cell r="A2776" t="str">
            <v>A25ASA1</v>
          </cell>
          <cell r="B2776" t="str">
            <v xml:space="preserve">KEM LATEX ACRILICO P/EXT GRIS </v>
          </cell>
          <cell r="C2776">
            <v>3</v>
          </cell>
          <cell r="D2776">
            <v>1095</v>
          </cell>
        </row>
        <row r="2777">
          <cell r="A2777" t="str">
            <v>A25ASA1-5</v>
          </cell>
          <cell r="B2777" t="str">
            <v xml:space="preserve">KEM LATEX ACRILICO P/EXT GRIS </v>
          </cell>
          <cell r="C2777">
            <v>3</v>
          </cell>
          <cell r="D2777">
            <v>1095</v>
          </cell>
        </row>
        <row r="2778">
          <cell r="A2778" t="str">
            <v>A25CSA1</v>
          </cell>
          <cell r="B2778" t="str">
            <v xml:space="preserve">KEM LATEX ACRILICO            </v>
          </cell>
          <cell r="C2778">
            <v>3</v>
          </cell>
          <cell r="D2778">
            <v>1095</v>
          </cell>
        </row>
        <row r="2779">
          <cell r="A2779" t="str">
            <v>A25CSA1-5</v>
          </cell>
          <cell r="B2779" t="str">
            <v xml:space="preserve">KEM LATEX ACRILICO            </v>
          </cell>
          <cell r="C2779">
            <v>3</v>
          </cell>
          <cell r="D2779">
            <v>1095</v>
          </cell>
        </row>
        <row r="2780">
          <cell r="A2780" t="str">
            <v>A25GSA1</v>
          </cell>
          <cell r="B2780" t="str">
            <v xml:space="preserve">KEM LATEX ACRILICO PINTURA    </v>
          </cell>
          <cell r="C2780">
            <v>3</v>
          </cell>
          <cell r="D2780">
            <v>1095</v>
          </cell>
        </row>
        <row r="2781">
          <cell r="A2781" t="str">
            <v>A25GSA1-5</v>
          </cell>
          <cell r="B2781" t="str">
            <v xml:space="preserve">KEM LATEX ACRILICO PINTURA    </v>
          </cell>
          <cell r="C2781">
            <v>3</v>
          </cell>
          <cell r="D2781">
            <v>1095</v>
          </cell>
        </row>
        <row r="2782">
          <cell r="A2782" t="str">
            <v>A27WSA13</v>
          </cell>
          <cell r="B2782" t="str">
            <v>CLASSIC 99 LATEX MATE INTERIOR</v>
          </cell>
          <cell r="C2782">
            <v>3</v>
          </cell>
          <cell r="D2782">
            <v>1095</v>
          </cell>
        </row>
        <row r="2783">
          <cell r="A2783" t="str">
            <v>A27WSA13-5</v>
          </cell>
          <cell r="B2783" t="str">
            <v>CLASSIC 99 LATEX MATE INTERIOR</v>
          </cell>
          <cell r="C2783">
            <v>3</v>
          </cell>
          <cell r="D2783">
            <v>1095</v>
          </cell>
        </row>
        <row r="2784">
          <cell r="A2784" t="str">
            <v>A27WSA4</v>
          </cell>
          <cell r="B2784" t="str">
            <v>CLAS99 LAT MAT INT ULTRA BLANC</v>
          </cell>
          <cell r="C2784">
            <v>3</v>
          </cell>
          <cell r="D2784">
            <v>1095</v>
          </cell>
        </row>
        <row r="2785">
          <cell r="A2785" t="str">
            <v>A27WSA4-1</v>
          </cell>
          <cell r="B2785" t="str">
            <v>CLAS99 LAT MAT INT ULTRA BLANC</v>
          </cell>
          <cell r="C2785">
            <v>3</v>
          </cell>
          <cell r="D2785">
            <v>1095</v>
          </cell>
        </row>
        <row r="2786">
          <cell r="A2786" t="str">
            <v>A27WSA4-1.1/4</v>
          </cell>
          <cell r="B2786" t="str">
            <v>CLAS99 LAT MAT INT ULTRA BLANC</v>
          </cell>
          <cell r="C2786">
            <v>3</v>
          </cell>
          <cell r="D2786">
            <v>1095</v>
          </cell>
        </row>
        <row r="2787">
          <cell r="A2787" t="str">
            <v>A27WSA4-5</v>
          </cell>
          <cell r="B2787" t="str">
            <v>CLASSIC 99 LATEX MATE INTERIOR</v>
          </cell>
          <cell r="C2787">
            <v>3</v>
          </cell>
          <cell r="D2787">
            <v>1095</v>
          </cell>
        </row>
        <row r="2788">
          <cell r="A2788" t="str">
            <v>A27WSA51</v>
          </cell>
          <cell r="B2788" t="str">
            <v>CLAS99 LAT MAT INT B EXT WHITE</v>
          </cell>
          <cell r="C2788">
            <v>3</v>
          </cell>
          <cell r="D2788">
            <v>1095</v>
          </cell>
        </row>
        <row r="2789">
          <cell r="A2789" t="str">
            <v>A27WSA51-1</v>
          </cell>
          <cell r="B2789" t="str">
            <v>CLAS99 LAT MAT INT B EXT WHITE</v>
          </cell>
          <cell r="C2789">
            <v>3</v>
          </cell>
          <cell r="D2789">
            <v>1095</v>
          </cell>
        </row>
        <row r="2790">
          <cell r="A2790" t="str">
            <v>A27WSA51-5</v>
          </cell>
          <cell r="B2790" t="str">
            <v xml:space="preserve">CLASSIC 99 INT. LATEX MATE    </v>
          </cell>
          <cell r="C2790">
            <v>3</v>
          </cell>
          <cell r="D2790">
            <v>1095</v>
          </cell>
        </row>
        <row r="2791">
          <cell r="A2791" t="str">
            <v>A27WSA53</v>
          </cell>
          <cell r="B2791" t="str">
            <v xml:space="preserve">CLAS99 LATEX MAT INT BAS DEEP </v>
          </cell>
          <cell r="C2791">
            <v>3</v>
          </cell>
          <cell r="D2791">
            <v>1095</v>
          </cell>
        </row>
        <row r="2792">
          <cell r="A2792" t="str">
            <v>A27WSA53-1</v>
          </cell>
          <cell r="B2792" t="str">
            <v xml:space="preserve">CLAS99 LATEX MAT INT BAS DEEP </v>
          </cell>
          <cell r="C2792">
            <v>3</v>
          </cell>
          <cell r="D2792">
            <v>1095</v>
          </cell>
        </row>
        <row r="2793">
          <cell r="A2793" t="str">
            <v>A27WSA53-5</v>
          </cell>
          <cell r="B2793" t="str">
            <v xml:space="preserve">CLASSIC 99 INT. FLAT LATEX    </v>
          </cell>
          <cell r="C2793">
            <v>3</v>
          </cell>
          <cell r="D2793">
            <v>1095</v>
          </cell>
        </row>
        <row r="2794">
          <cell r="A2794" t="str">
            <v>A66FSA1</v>
          </cell>
          <cell r="B2794" t="str">
            <v xml:space="preserve">MAR-NOT SATI VARNISH          </v>
          </cell>
          <cell r="C2794">
            <v>3</v>
          </cell>
          <cell r="D2794">
            <v>1095</v>
          </cell>
        </row>
        <row r="2795">
          <cell r="A2795" t="str">
            <v>A66FSA1-1</v>
          </cell>
          <cell r="B2795" t="str">
            <v xml:space="preserve">MAR-NOT SATI VARNISH          </v>
          </cell>
          <cell r="C2795">
            <v>3</v>
          </cell>
          <cell r="D2795">
            <v>1095</v>
          </cell>
        </row>
        <row r="2796">
          <cell r="A2796" t="str">
            <v>A66FSA1-1/4</v>
          </cell>
          <cell r="B2796" t="str">
            <v xml:space="preserve">MAR-NOT SATI VARNISH          </v>
          </cell>
          <cell r="C2796">
            <v>3</v>
          </cell>
          <cell r="D2796">
            <v>1095</v>
          </cell>
        </row>
        <row r="2797">
          <cell r="A2797" t="str">
            <v>A66FSA2</v>
          </cell>
          <cell r="B2797" t="str">
            <v xml:space="preserve">MAR-NOT EXTRA MATE VARNISH    </v>
          </cell>
          <cell r="C2797">
            <v>3</v>
          </cell>
          <cell r="D2797">
            <v>1095</v>
          </cell>
        </row>
        <row r="2798">
          <cell r="A2798" t="str">
            <v>A66FSA2-1</v>
          </cell>
          <cell r="B2798" t="str">
            <v xml:space="preserve">MAR-NOT EXTRA MATE VARNISH    </v>
          </cell>
          <cell r="C2798">
            <v>3</v>
          </cell>
          <cell r="D2798">
            <v>1095</v>
          </cell>
        </row>
        <row r="2799">
          <cell r="A2799" t="str">
            <v>A66FSA2-1/4</v>
          </cell>
          <cell r="B2799" t="str">
            <v xml:space="preserve">MAR-NOT EXTRA MATE VARNISH    </v>
          </cell>
          <cell r="C2799">
            <v>3</v>
          </cell>
          <cell r="D2799">
            <v>1095</v>
          </cell>
        </row>
        <row r="2800">
          <cell r="A2800" t="str">
            <v>A66V5</v>
          </cell>
          <cell r="B2800" t="str">
            <v>MAR-NOT BRILLANTE VARNISH 01 .</v>
          </cell>
          <cell r="C2800">
            <v>3</v>
          </cell>
          <cell r="D2800">
            <v>1095</v>
          </cell>
        </row>
        <row r="2801">
          <cell r="A2801" t="str">
            <v>A66V5-1</v>
          </cell>
          <cell r="B2801" t="str">
            <v>MAR-NOT BRILLANTE VARNISH 01 .</v>
          </cell>
          <cell r="C2801">
            <v>3</v>
          </cell>
          <cell r="D2801">
            <v>1095</v>
          </cell>
        </row>
        <row r="2802">
          <cell r="A2802" t="str">
            <v>A66V5-1/4</v>
          </cell>
          <cell r="B2802" t="str">
            <v>MAR-NOT BRILLANTE VARNISH 01 .</v>
          </cell>
          <cell r="C2802">
            <v>3</v>
          </cell>
          <cell r="D2802">
            <v>1095</v>
          </cell>
        </row>
        <row r="2803">
          <cell r="A2803" t="str">
            <v>A6ASA1</v>
          </cell>
          <cell r="B2803" t="str">
            <v>A-100 LATEX MATE EXTERIOR GRIS</v>
          </cell>
          <cell r="C2803">
            <v>3</v>
          </cell>
          <cell r="D2803">
            <v>1095</v>
          </cell>
        </row>
        <row r="2804">
          <cell r="A2804" t="str">
            <v>A6ASA1-1</v>
          </cell>
          <cell r="B2804" t="str">
            <v>A-100 LATEX MATE EXTERIOR GRIS</v>
          </cell>
          <cell r="C2804">
            <v>3</v>
          </cell>
          <cell r="D2804">
            <v>1095</v>
          </cell>
        </row>
        <row r="2805">
          <cell r="A2805" t="str">
            <v>A6ESA1</v>
          </cell>
          <cell r="B2805" t="str">
            <v xml:space="preserve">A-100 LATEX MATE MELOCOTON    </v>
          </cell>
          <cell r="C2805">
            <v>3</v>
          </cell>
          <cell r="D2805">
            <v>1095</v>
          </cell>
        </row>
        <row r="2806">
          <cell r="A2806" t="str">
            <v>A6ESA1-5</v>
          </cell>
          <cell r="B2806" t="str">
            <v xml:space="preserve">A-100 LATEX MATE MELOCOTON    </v>
          </cell>
          <cell r="C2806">
            <v>3</v>
          </cell>
          <cell r="D2806">
            <v>1095</v>
          </cell>
        </row>
        <row r="2807">
          <cell r="A2807" t="str">
            <v>A6HSA3</v>
          </cell>
          <cell r="B2807" t="str">
            <v>A-100 LATEX MATE EXT BEIGE OSC</v>
          </cell>
          <cell r="C2807">
            <v>3</v>
          </cell>
          <cell r="D2807">
            <v>1095</v>
          </cell>
        </row>
        <row r="2808">
          <cell r="A2808" t="str">
            <v>A6HSA3-50</v>
          </cell>
          <cell r="B2808" t="str">
            <v>A-100 LATEX MATE EXT BEIGE OSC</v>
          </cell>
          <cell r="C2808">
            <v>3</v>
          </cell>
          <cell r="D2808">
            <v>1095</v>
          </cell>
        </row>
        <row r="2809">
          <cell r="A2809" t="str">
            <v>A6NSA2</v>
          </cell>
          <cell r="B2809" t="str">
            <v>A-100 LATEX MATE EXT SENS SAND</v>
          </cell>
          <cell r="C2809">
            <v>3</v>
          </cell>
          <cell r="D2809">
            <v>1095</v>
          </cell>
        </row>
        <row r="2810">
          <cell r="A2810" t="str">
            <v>A6NSA2-1</v>
          </cell>
          <cell r="B2810" t="str">
            <v>A-100 LATEX MATE EXT SENS SAND</v>
          </cell>
          <cell r="C2810">
            <v>3</v>
          </cell>
          <cell r="D2810">
            <v>1095</v>
          </cell>
        </row>
        <row r="2811">
          <cell r="A2811" t="str">
            <v>A6NSA2-5</v>
          </cell>
          <cell r="B2811" t="str">
            <v>A-100 LATEX MATE EXT SENS SAND</v>
          </cell>
          <cell r="C2811">
            <v>3</v>
          </cell>
          <cell r="D2811">
            <v>1095</v>
          </cell>
        </row>
        <row r="2812">
          <cell r="A2812" t="str">
            <v>A6NSA2-50</v>
          </cell>
          <cell r="B2812" t="str">
            <v>A-100 LATEX MATE EXT SENS SAND</v>
          </cell>
          <cell r="C2812">
            <v>3</v>
          </cell>
          <cell r="D2812">
            <v>1095</v>
          </cell>
        </row>
        <row r="2813">
          <cell r="A2813" t="str">
            <v>A6NSA3</v>
          </cell>
          <cell r="B2813" t="str">
            <v xml:space="preserve">A-100 LATEX MATE BEIGE SW6093 </v>
          </cell>
          <cell r="C2813">
            <v>3</v>
          </cell>
          <cell r="D2813">
            <v>1095</v>
          </cell>
        </row>
        <row r="2814">
          <cell r="A2814" t="str">
            <v>A6NSA3-1</v>
          </cell>
          <cell r="B2814" t="str">
            <v xml:space="preserve">A-100 LATEX MATE BEIGE SW6093 </v>
          </cell>
          <cell r="C2814">
            <v>3</v>
          </cell>
          <cell r="D2814">
            <v>1095</v>
          </cell>
        </row>
        <row r="2815">
          <cell r="A2815" t="str">
            <v>A6NSA3-50</v>
          </cell>
          <cell r="B2815" t="str">
            <v xml:space="preserve">A-100 LATEX MATE BEIGE SW6093 </v>
          </cell>
          <cell r="C2815">
            <v>3</v>
          </cell>
          <cell r="D2815">
            <v>1095</v>
          </cell>
        </row>
        <row r="2816">
          <cell r="A2816" t="str">
            <v>A6TSA54</v>
          </cell>
          <cell r="B2816" t="str">
            <v>A-100 LATE MAT EX B ULTRA DEEP</v>
          </cell>
          <cell r="C2816">
            <v>3</v>
          </cell>
          <cell r="D2816">
            <v>1095</v>
          </cell>
        </row>
        <row r="2817">
          <cell r="A2817" t="str">
            <v>A6TSA54-1</v>
          </cell>
          <cell r="B2817" t="str">
            <v>A-100 LATE MAT EX B ULTRA DEEP</v>
          </cell>
          <cell r="C2817">
            <v>3</v>
          </cell>
          <cell r="D2817">
            <v>1095</v>
          </cell>
        </row>
        <row r="2818">
          <cell r="A2818" t="str">
            <v>A6TSA54-5</v>
          </cell>
          <cell r="B2818" t="str">
            <v>A-100 LATEX MATE EXT ULTRADEEP</v>
          </cell>
          <cell r="C2818">
            <v>3</v>
          </cell>
          <cell r="D2818">
            <v>1095</v>
          </cell>
        </row>
        <row r="2819">
          <cell r="A2819" t="str">
            <v>A6WSA16</v>
          </cell>
          <cell r="B2819" t="str">
            <v>A-100 LAT MATE EXT ULTRA BLANC</v>
          </cell>
          <cell r="C2819">
            <v>3</v>
          </cell>
          <cell r="D2819">
            <v>1095</v>
          </cell>
        </row>
        <row r="2820">
          <cell r="A2820" t="str">
            <v>A6WSA16-1</v>
          </cell>
          <cell r="B2820" t="str">
            <v>A-100 LAT MATE EXT ULTRA BLANC</v>
          </cell>
          <cell r="C2820">
            <v>3</v>
          </cell>
          <cell r="D2820">
            <v>1095</v>
          </cell>
        </row>
        <row r="2821">
          <cell r="A2821" t="str">
            <v>A6WSA16-1.1/4</v>
          </cell>
          <cell r="B2821" t="str">
            <v>A-100 LAT MATE EXT ULTRA BLANC</v>
          </cell>
          <cell r="C2821">
            <v>3</v>
          </cell>
          <cell r="D2821">
            <v>1095</v>
          </cell>
        </row>
        <row r="2822">
          <cell r="A2822" t="str">
            <v>A6WSA16-5</v>
          </cell>
          <cell r="B2822" t="str">
            <v>A-100 LATEX MATE EXT ULTRA BLA</v>
          </cell>
          <cell r="C2822">
            <v>3</v>
          </cell>
          <cell r="D2822">
            <v>1095</v>
          </cell>
        </row>
        <row r="2823">
          <cell r="A2823" t="str">
            <v>A6WSA17</v>
          </cell>
          <cell r="B2823" t="str">
            <v>A-100 LATEX MATE EXT BCO DOVER</v>
          </cell>
          <cell r="C2823">
            <v>3</v>
          </cell>
          <cell r="D2823">
            <v>1095</v>
          </cell>
        </row>
        <row r="2824">
          <cell r="A2824" t="str">
            <v>A6WSA17-5</v>
          </cell>
          <cell r="B2824" t="str">
            <v>A-100 LATEX MATE EXT BCO DOVER</v>
          </cell>
          <cell r="C2824">
            <v>3</v>
          </cell>
          <cell r="D2824">
            <v>1095</v>
          </cell>
        </row>
        <row r="2825">
          <cell r="A2825" t="str">
            <v>A6WSA51</v>
          </cell>
          <cell r="B2825" t="str">
            <v>A-100 LAT MATE EXT B EXT WHITE</v>
          </cell>
          <cell r="C2825">
            <v>3</v>
          </cell>
          <cell r="D2825">
            <v>1095</v>
          </cell>
        </row>
        <row r="2826">
          <cell r="A2826" t="str">
            <v>A6WSA51-1</v>
          </cell>
          <cell r="B2826" t="str">
            <v>A-100 LAT MATE EXT B EXT WHITE</v>
          </cell>
          <cell r="C2826">
            <v>3</v>
          </cell>
          <cell r="D2826">
            <v>1095</v>
          </cell>
        </row>
        <row r="2827">
          <cell r="A2827" t="str">
            <v>A6WSA51-5</v>
          </cell>
          <cell r="B2827" t="str">
            <v>A-100 LAT MATE EXT BASE XWHITE</v>
          </cell>
          <cell r="C2827">
            <v>3</v>
          </cell>
          <cell r="D2827">
            <v>1095</v>
          </cell>
        </row>
        <row r="2828">
          <cell r="A2828" t="str">
            <v>A6WSA53</v>
          </cell>
          <cell r="B2828" t="str">
            <v>A-100 LATEX MATE EXT BASE DEEP</v>
          </cell>
          <cell r="C2828">
            <v>3</v>
          </cell>
          <cell r="D2828">
            <v>1095</v>
          </cell>
        </row>
        <row r="2829">
          <cell r="A2829" t="str">
            <v>A6WSA53-1</v>
          </cell>
          <cell r="B2829" t="str">
            <v>A-100 LATEX MATE EXT BASE DEEP</v>
          </cell>
          <cell r="C2829">
            <v>3</v>
          </cell>
          <cell r="D2829">
            <v>1095</v>
          </cell>
        </row>
        <row r="2830">
          <cell r="A2830" t="str">
            <v>A6WSA53-5</v>
          </cell>
          <cell r="B2830" t="str">
            <v>A-100 LATEX MATE EXTERIOR DEEP</v>
          </cell>
          <cell r="C2830">
            <v>3</v>
          </cell>
          <cell r="D2830">
            <v>1095</v>
          </cell>
        </row>
        <row r="2831">
          <cell r="A2831" t="str">
            <v>A6YSA56</v>
          </cell>
          <cell r="B2831" t="str">
            <v>A-100LAT MAT EXT B LIGHTYELLOW</v>
          </cell>
          <cell r="C2831">
            <v>3</v>
          </cell>
          <cell r="D2831">
            <v>1095</v>
          </cell>
        </row>
        <row r="2832">
          <cell r="A2832" t="str">
            <v>A6YSA56-1</v>
          </cell>
          <cell r="B2832" t="str">
            <v>A-100LAT MAT EXT B LIGHTYELLOW</v>
          </cell>
          <cell r="C2832">
            <v>3</v>
          </cell>
          <cell r="D2832">
            <v>1095</v>
          </cell>
        </row>
        <row r="2833">
          <cell r="A2833" t="str">
            <v>A8ASA5</v>
          </cell>
          <cell r="B2833" t="str">
            <v xml:space="preserve">EXCELLO LATEX SEMIBTE SW 7073 </v>
          </cell>
          <cell r="C2833">
            <v>3</v>
          </cell>
          <cell r="D2833">
            <v>1095</v>
          </cell>
        </row>
        <row r="2834">
          <cell r="A2834" t="str">
            <v>A8ASA5-5</v>
          </cell>
          <cell r="B2834" t="str">
            <v xml:space="preserve">EXCELLO LATEX SEMIBTE SW 7073 </v>
          </cell>
          <cell r="C2834">
            <v>3</v>
          </cell>
          <cell r="D2834">
            <v>1095</v>
          </cell>
        </row>
        <row r="2835">
          <cell r="A2835" t="str">
            <v>A8HSA15</v>
          </cell>
          <cell r="B2835" t="str">
            <v>EXCELLO LATEX SEMIBR BRASI NUT</v>
          </cell>
          <cell r="C2835">
            <v>3</v>
          </cell>
          <cell r="D2835">
            <v>1095</v>
          </cell>
        </row>
        <row r="2836">
          <cell r="A2836" t="str">
            <v>A8HSA15-5</v>
          </cell>
          <cell r="B2836" t="str">
            <v>EXCELLO LATEX SEMIBR BRASI NUT</v>
          </cell>
          <cell r="C2836">
            <v>3</v>
          </cell>
          <cell r="D2836">
            <v>1095</v>
          </cell>
        </row>
        <row r="2837">
          <cell r="A2837" t="str">
            <v>A8HSA7</v>
          </cell>
          <cell r="B2837" t="str">
            <v xml:space="preserve">EXCELLO LAT SEMI BRTE IVORY   </v>
          </cell>
          <cell r="C2837">
            <v>3</v>
          </cell>
          <cell r="D2837">
            <v>1095</v>
          </cell>
        </row>
        <row r="2838">
          <cell r="A2838" t="str">
            <v>A8HSA7-5</v>
          </cell>
          <cell r="B2838" t="str">
            <v xml:space="preserve">EXCELLO LAT SEMI BRTE IVORY   </v>
          </cell>
          <cell r="C2838">
            <v>3</v>
          </cell>
          <cell r="D2838">
            <v>1095</v>
          </cell>
        </row>
        <row r="2839">
          <cell r="A2839" t="str">
            <v>A8HSA8</v>
          </cell>
          <cell r="B2839" t="str">
            <v>EXCELLO LAT SEMBRTE PAPER LANT</v>
          </cell>
          <cell r="C2839">
            <v>3</v>
          </cell>
          <cell r="D2839">
            <v>1095</v>
          </cell>
        </row>
        <row r="2840">
          <cell r="A2840" t="str">
            <v>A8HSA8-1</v>
          </cell>
          <cell r="B2840" t="str">
            <v>EXCELLO LAT SEMBRTE PAPER LANT</v>
          </cell>
          <cell r="C2840">
            <v>3</v>
          </cell>
          <cell r="D2840">
            <v>1095</v>
          </cell>
        </row>
        <row r="2841">
          <cell r="A2841" t="str">
            <v>A8RSA8</v>
          </cell>
          <cell r="B2841" t="str">
            <v>EXCELLO LAT SEMIBR ROJO DIGICE</v>
          </cell>
          <cell r="C2841">
            <v>3</v>
          </cell>
          <cell r="D2841">
            <v>1095</v>
          </cell>
        </row>
        <row r="2842">
          <cell r="A2842" t="str">
            <v>A8RSA8-1</v>
          </cell>
          <cell r="B2842" t="str">
            <v>EXCELLO LAT SEMIBR ROJO DIGICE</v>
          </cell>
          <cell r="C2842">
            <v>3</v>
          </cell>
          <cell r="D2842">
            <v>1095</v>
          </cell>
        </row>
        <row r="2843">
          <cell r="A2843" t="str">
            <v>A8RSA8-5</v>
          </cell>
          <cell r="B2843" t="str">
            <v>EXCELLO LAT SEMIBR ROJO DIGICE</v>
          </cell>
          <cell r="C2843">
            <v>3</v>
          </cell>
          <cell r="D2843">
            <v>1095</v>
          </cell>
        </row>
        <row r="2844">
          <cell r="A2844" t="str">
            <v>A8W57</v>
          </cell>
          <cell r="B2844" t="str">
            <v>EXCELLO LATEX SEMI-BRIL BLANCO</v>
          </cell>
          <cell r="C2844">
            <v>3</v>
          </cell>
          <cell r="D2844">
            <v>1095</v>
          </cell>
        </row>
        <row r="2845">
          <cell r="A2845" t="str">
            <v>A8W57-1</v>
          </cell>
          <cell r="B2845" t="str">
            <v>EXCELLO LATEX SEMI-BRIL BLANCO</v>
          </cell>
          <cell r="C2845">
            <v>3</v>
          </cell>
          <cell r="D2845">
            <v>1095</v>
          </cell>
        </row>
        <row r="2846">
          <cell r="A2846" t="str">
            <v>A8W57-5</v>
          </cell>
          <cell r="B2846" t="str">
            <v>EXCELLO LATEX SEMI-BRIL BLANCO</v>
          </cell>
          <cell r="C2846">
            <v>3</v>
          </cell>
          <cell r="D2846">
            <v>1095</v>
          </cell>
        </row>
        <row r="2847">
          <cell r="A2847" t="str">
            <v>A8WSA12</v>
          </cell>
          <cell r="B2847" t="str">
            <v xml:space="preserve">EXCELLO LATEX SEMIBRTE FROST  </v>
          </cell>
          <cell r="C2847">
            <v>3</v>
          </cell>
          <cell r="D2847">
            <v>1095</v>
          </cell>
        </row>
        <row r="2848">
          <cell r="A2848" t="str">
            <v>A8WSA12-5</v>
          </cell>
          <cell r="B2848" t="str">
            <v xml:space="preserve">EXCELLO LATEX SEMIBRTE FROST  </v>
          </cell>
          <cell r="C2848">
            <v>3</v>
          </cell>
          <cell r="D2848">
            <v>1095</v>
          </cell>
        </row>
        <row r="2849">
          <cell r="A2849" t="str">
            <v>A8WSA17</v>
          </cell>
          <cell r="B2849" t="str">
            <v>EXCE LAT SEMI BRIL ULTRA BLANC</v>
          </cell>
          <cell r="C2849">
            <v>3</v>
          </cell>
          <cell r="D2849">
            <v>1095</v>
          </cell>
        </row>
        <row r="2850">
          <cell r="A2850" t="str">
            <v>A8WSA17-1</v>
          </cell>
          <cell r="B2850" t="str">
            <v>EXCE LAT SEMI BRIL ULTRA BLANC</v>
          </cell>
          <cell r="C2850">
            <v>3</v>
          </cell>
          <cell r="D2850">
            <v>1095</v>
          </cell>
        </row>
        <row r="2851">
          <cell r="A2851" t="str">
            <v>A8WSA17-5</v>
          </cell>
          <cell r="B2851" t="str">
            <v>EXCE LAT SEMI BRIL ULTRA BLANC</v>
          </cell>
          <cell r="C2851">
            <v>3</v>
          </cell>
          <cell r="D2851">
            <v>1095</v>
          </cell>
        </row>
        <row r="2852">
          <cell r="A2852" t="str">
            <v>A8WSA7</v>
          </cell>
          <cell r="B2852" t="str">
            <v>EXCE LAT SEMI-BRIL BLANC HUESO</v>
          </cell>
          <cell r="C2852">
            <v>3</v>
          </cell>
          <cell r="D2852">
            <v>1095</v>
          </cell>
        </row>
        <row r="2853">
          <cell r="A2853" t="str">
            <v>A8WSA7-1</v>
          </cell>
          <cell r="B2853" t="str">
            <v>EXCE LAT SEMI-BRIL BLANC HUESO</v>
          </cell>
          <cell r="C2853">
            <v>3</v>
          </cell>
          <cell r="D2853">
            <v>1095</v>
          </cell>
        </row>
        <row r="2854">
          <cell r="A2854" t="str">
            <v>A8WSA7-5</v>
          </cell>
          <cell r="B2854" t="str">
            <v>EXCE LAT SEMI-BRIL BLANC HUESO</v>
          </cell>
          <cell r="C2854">
            <v>3</v>
          </cell>
          <cell r="D2854">
            <v>1095</v>
          </cell>
        </row>
        <row r="2855">
          <cell r="A2855" t="str">
            <v>A8YSA2</v>
          </cell>
          <cell r="B2855" t="str">
            <v>EXCELLO LATEX SEMIBTE.AMARILLO</v>
          </cell>
          <cell r="C2855">
            <v>3</v>
          </cell>
          <cell r="D2855">
            <v>1095</v>
          </cell>
        </row>
        <row r="2856">
          <cell r="A2856" t="str">
            <v>A8YSA2-5</v>
          </cell>
          <cell r="B2856" t="str">
            <v>EXCELLO LATEX SEMIBTE AMARILLO</v>
          </cell>
          <cell r="C2856">
            <v>3</v>
          </cell>
          <cell r="D2856">
            <v>1095</v>
          </cell>
        </row>
        <row r="2857">
          <cell r="A2857" t="str">
            <v>A95ESA8</v>
          </cell>
          <cell r="B2857" t="str">
            <v xml:space="preserve">KEM PARED - EX VALENCIA       </v>
          </cell>
          <cell r="C2857">
            <v>3</v>
          </cell>
          <cell r="D2857">
            <v>1095</v>
          </cell>
        </row>
        <row r="2858">
          <cell r="A2858" t="str">
            <v>A95ESA8-1</v>
          </cell>
          <cell r="B2858" t="str">
            <v xml:space="preserve">KEM PARED - EX VALENCIA       </v>
          </cell>
          <cell r="C2858">
            <v>3</v>
          </cell>
          <cell r="D2858">
            <v>1095</v>
          </cell>
        </row>
        <row r="2859">
          <cell r="A2859" t="str">
            <v>A95GSA10</v>
          </cell>
          <cell r="B2859" t="str">
            <v xml:space="preserve">KEM PARED - EX VERDE GRAMA    </v>
          </cell>
          <cell r="C2859">
            <v>3</v>
          </cell>
          <cell r="D2859">
            <v>1095</v>
          </cell>
        </row>
        <row r="2860">
          <cell r="A2860" t="str">
            <v>A95GSA10-1</v>
          </cell>
          <cell r="B2860" t="str">
            <v xml:space="preserve">KEM PARED - EX VERDE GRAMA    </v>
          </cell>
          <cell r="C2860">
            <v>3</v>
          </cell>
          <cell r="D2860">
            <v>1095</v>
          </cell>
        </row>
        <row r="2861">
          <cell r="A2861" t="str">
            <v>A95GSA19</v>
          </cell>
          <cell r="B2861" t="str">
            <v xml:space="preserve">KEM PARED - EX VERDE SILVER   </v>
          </cell>
          <cell r="C2861">
            <v>3</v>
          </cell>
          <cell r="D2861">
            <v>1095</v>
          </cell>
        </row>
        <row r="2862">
          <cell r="A2862" t="str">
            <v>A95GSA19-1</v>
          </cell>
          <cell r="B2862" t="str">
            <v xml:space="preserve">KEM PARED - EX VERDE SILVER   </v>
          </cell>
          <cell r="C2862">
            <v>3</v>
          </cell>
          <cell r="D2862">
            <v>1095</v>
          </cell>
        </row>
        <row r="2863">
          <cell r="A2863" t="str">
            <v>A95HSA7</v>
          </cell>
          <cell r="B2863" t="str">
            <v xml:space="preserve">KEM PARED - EX BEIGE ESPECIAL </v>
          </cell>
          <cell r="C2863">
            <v>3</v>
          </cell>
          <cell r="D2863">
            <v>1095</v>
          </cell>
        </row>
        <row r="2864">
          <cell r="A2864" t="str">
            <v>A95HSA7-1</v>
          </cell>
          <cell r="B2864" t="str">
            <v xml:space="preserve">KEM PARED - EX BEIGE ESPECIAL </v>
          </cell>
          <cell r="C2864">
            <v>3</v>
          </cell>
          <cell r="D2864">
            <v>1095</v>
          </cell>
        </row>
        <row r="2865">
          <cell r="A2865" t="str">
            <v>A95LSA14</v>
          </cell>
          <cell r="B2865" t="str">
            <v xml:space="preserve">KEM PARED - EX AZUL ANTARTICO </v>
          </cell>
          <cell r="C2865">
            <v>3</v>
          </cell>
          <cell r="D2865">
            <v>1095</v>
          </cell>
        </row>
        <row r="2866">
          <cell r="A2866" t="str">
            <v>A95LSA14-1</v>
          </cell>
          <cell r="B2866" t="str">
            <v xml:space="preserve">KEM PARED - EX AZUL ANTARTICO </v>
          </cell>
          <cell r="C2866">
            <v>3</v>
          </cell>
          <cell r="D2866">
            <v>1095</v>
          </cell>
        </row>
        <row r="2867">
          <cell r="A2867" t="str">
            <v>A95NSA10</v>
          </cell>
          <cell r="B2867" t="str">
            <v xml:space="preserve">KEM PARED - EX CAFE FACHALETA </v>
          </cell>
          <cell r="C2867">
            <v>3</v>
          </cell>
          <cell r="D2867">
            <v>1095</v>
          </cell>
        </row>
        <row r="2868">
          <cell r="A2868" t="str">
            <v>A95NSA10-1</v>
          </cell>
          <cell r="B2868" t="str">
            <v xml:space="preserve">KEM PARED - EX CAFE FACHALETA </v>
          </cell>
          <cell r="C2868">
            <v>3</v>
          </cell>
          <cell r="D2868">
            <v>1095</v>
          </cell>
        </row>
        <row r="2869">
          <cell r="A2869" t="str">
            <v>A95NSA3</v>
          </cell>
          <cell r="B2869" t="str">
            <v xml:space="preserve">KEM PARED - EX CAFE HABANO    </v>
          </cell>
          <cell r="C2869">
            <v>3</v>
          </cell>
          <cell r="D2869">
            <v>1095</v>
          </cell>
        </row>
        <row r="2870">
          <cell r="A2870" t="str">
            <v>A95NSA3-1</v>
          </cell>
          <cell r="B2870" t="str">
            <v xml:space="preserve">KEM PARED - EX CAFE HABANO    </v>
          </cell>
          <cell r="C2870">
            <v>3</v>
          </cell>
          <cell r="D2870">
            <v>1095</v>
          </cell>
        </row>
        <row r="2871">
          <cell r="A2871" t="str">
            <v>A95RSA14</v>
          </cell>
          <cell r="B2871" t="str">
            <v xml:space="preserve">KEM PARED - EX ROJO OX BLOOD  </v>
          </cell>
          <cell r="C2871">
            <v>3</v>
          </cell>
          <cell r="D2871">
            <v>1095</v>
          </cell>
        </row>
        <row r="2872">
          <cell r="A2872" t="str">
            <v>A95RSA14-1</v>
          </cell>
          <cell r="B2872" t="str">
            <v xml:space="preserve">KEM PARED - EX ROJO OX BLOOD  </v>
          </cell>
          <cell r="C2872">
            <v>3</v>
          </cell>
          <cell r="D2872">
            <v>1095</v>
          </cell>
        </row>
        <row r="2873">
          <cell r="A2873" t="str">
            <v>A95V76</v>
          </cell>
          <cell r="B2873" t="str">
            <v>KEM PAREDEX PENETRATING LIQUID</v>
          </cell>
          <cell r="C2873">
            <v>3</v>
          </cell>
          <cell r="D2873">
            <v>1095</v>
          </cell>
        </row>
        <row r="2874">
          <cell r="A2874" t="str">
            <v>A95V76-1</v>
          </cell>
          <cell r="B2874" t="str">
            <v>KEM PAREDEX PENETRATING LIQUID</v>
          </cell>
          <cell r="C2874">
            <v>3</v>
          </cell>
          <cell r="D2874">
            <v>1095</v>
          </cell>
        </row>
        <row r="2875">
          <cell r="A2875" t="str">
            <v>A95V76-1/4</v>
          </cell>
          <cell r="B2875" t="str">
            <v xml:space="preserve">PARED-EX PENETRATING LIQUID   </v>
          </cell>
          <cell r="C2875">
            <v>3</v>
          </cell>
          <cell r="D2875">
            <v>1095</v>
          </cell>
        </row>
        <row r="2876">
          <cell r="A2876" t="str">
            <v>A95V76-5</v>
          </cell>
          <cell r="B2876" t="str">
            <v xml:space="preserve">PARED-EX PENETRATING LIQUID   </v>
          </cell>
          <cell r="C2876">
            <v>3</v>
          </cell>
          <cell r="D2876">
            <v>1095</v>
          </cell>
        </row>
        <row r="2877">
          <cell r="A2877" t="str">
            <v>A95V76-50</v>
          </cell>
          <cell r="B2877" t="str">
            <v xml:space="preserve">PARED-EX PENETRATING LIQUID   </v>
          </cell>
          <cell r="C2877">
            <v>3</v>
          </cell>
          <cell r="D2877">
            <v>1095</v>
          </cell>
        </row>
        <row r="2878">
          <cell r="A2878" t="str">
            <v>A95WSA11</v>
          </cell>
          <cell r="B2878" t="str">
            <v xml:space="preserve">KEM PARED - EX ULTRA BLANCO   </v>
          </cell>
          <cell r="C2878">
            <v>3</v>
          </cell>
          <cell r="D2878">
            <v>1095</v>
          </cell>
        </row>
        <row r="2879">
          <cell r="A2879" t="str">
            <v>A95WSA11-1</v>
          </cell>
          <cell r="B2879" t="str">
            <v xml:space="preserve">KEM PARED - EX ULTRA BLANCO   </v>
          </cell>
          <cell r="C2879">
            <v>3</v>
          </cell>
          <cell r="D2879">
            <v>1095</v>
          </cell>
        </row>
        <row r="2880">
          <cell r="A2880" t="str">
            <v>A95WSA18</v>
          </cell>
          <cell r="B2880" t="str">
            <v>KEM PARED-EX BLANCO REAL INTER</v>
          </cell>
          <cell r="C2880">
            <v>3</v>
          </cell>
          <cell r="D2880">
            <v>1095</v>
          </cell>
        </row>
        <row r="2881">
          <cell r="A2881" t="str">
            <v>A95WSA18-5</v>
          </cell>
          <cell r="B2881" t="str">
            <v>KEM PARED-EX BLANCO REAL INTER</v>
          </cell>
          <cell r="C2881">
            <v>3</v>
          </cell>
          <cell r="D2881">
            <v>1095</v>
          </cell>
        </row>
        <row r="2882">
          <cell r="A2882" t="str">
            <v>A95YSA11</v>
          </cell>
          <cell r="B2882" t="str">
            <v>KEM PARED -EX AMARILLO GIRASOL</v>
          </cell>
          <cell r="C2882">
            <v>3</v>
          </cell>
          <cell r="D2882">
            <v>1095</v>
          </cell>
        </row>
        <row r="2883">
          <cell r="A2883" t="str">
            <v>A95YSA11-1</v>
          </cell>
          <cell r="B2883" t="str">
            <v>KEM PARED -EX AMARILLO GIRASOL</v>
          </cell>
          <cell r="C2883">
            <v>3</v>
          </cell>
          <cell r="D2883">
            <v>1095</v>
          </cell>
        </row>
        <row r="2884">
          <cell r="A2884" t="str">
            <v>A95YSA18</v>
          </cell>
          <cell r="B2884" t="str">
            <v xml:space="preserve">KEM PARED - EX FOLKLORE GOLD  </v>
          </cell>
          <cell r="C2884">
            <v>3</v>
          </cell>
          <cell r="D2884">
            <v>1095</v>
          </cell>
        </row>
        <row r="2885">
          <cell r="A2885" t="str">
            <v>A95YSA18-1</v>
          </cell>
          <cell r="B2885" t="str">
            <v xml:space="preserve">KEM PARED - EX FOLKLORE GOLD  </v>
          </cell>
          <cell r="C2885">
            <v>3</v>
          </cell>
          <cell r="D2885">
            <v>1095</v>
          </cell>
        </row>
        <row r="2886">
          <cell r="A2886" t="str">
            <v>A95YSA19</v>
          </cell>
          <cell r="B2886" t="str">
            <v>KEM PARED-EX AMARI REAL INTERC</v>
          </cell>
          <cell r="C2886">
            <v>3</v>
          </cell>
          <cell r="D2886">
            <v>1095</v>
          </cell>
        </row>
        <row r="2887">
          <cell r="A2887" t="str">
            <v>A95YSA19-5</v>
          </cell>
          <cell r="B2887" t="str">
            <v>KEM PARED-EX AMARI REAL INTERC</v>
          </cell>
          <cell r="C2887">
            <v>3</v>
          </cell>
          <cell r="D2887">
            <v>1095</v>
          </cell>
        </row>
        <row r="2888">
          <cell r="A2888" t="str">
            <v>B32WSA251</v>
          </cell>
          <cell r="B2888" t="str">
            <v>SP ESMA ALQ MATE B EXTRA WHITE</v>
          </cell>
          <cell r="C2888">
            <v>3</v>
          </cell>
          <cell r="D2888">
            <v>1095</v>
          </cell>
        </row>
        <row r="2889">
          <cell r="A2889" t="str">
            <v>B32WSA251-1</v>
          </cell>
          <cell r="B2889" t="str">
            <v>SP ESMA ALK MATE B EXTRA WHITE</v>
          </cell>
          <cell r="C2889">
            <v>3</v>
          </cell>
          <cell r="D2889">
            <v>1095</v>
          </cell>
        </row>
        <row r="2890">
          <cell r="A2890" t="str">
            <v>B32WSA251-1/4</v>
          </cell>
          <cell r="B2890" t="str">
            <v>SP ESMA ALK MATE B EXTRA WHITE</v>
          </cell>
          <cell r="C2890">
            <v>3</v>
          </cell>
          <cell r="D2890">
            <v>1095</v>
          </cell>
        </row>
        <row r="2891">
          <cell r="A2891" t="str">
            <v>B32WSA251-5</v>
          </cell>
          <cell r="B2891" t="str">
            <v>SP ESMA ALK MATE B EXTRA WHITE</v>
          </cell>
          <cell r="C2891">
            <v>3</v>
          </cell>
          <cell r="D2891">
            <v>1095</v>
          </cell>
        </row>
        <row r="2892">
          <cell r="A2892" t="str">
            <v>B32WSA253</v>
          </cell>
          <cell r="B2892" t="str">
            <v>SP ESMA ALQ MATE B EXTRA WHITE</v>
          </cell>
          <cell r="C2892">
            <v>3</v>
          </cell>
          <cell r="D2892">
            <v>1095</v>
          </cell>
        </row>
        <row r="2893">
          <cell r="A2893" t="str">
            <v>B32WSA253-1</v>
          </cell>
          <cell r="B2893" t="str">
            <v>SP ESMA ALK MATE B EXTRA WHITE</v>
          </cell>
          <cell r="C2893">
            <v>3</v>
          </cell>
          <cell r="D2893">
            <v>1095</v>
          </cell>
        </row>
        <row r="2894">
          <cell r="A2894" t="str">
            <v>B32WSA253-1/4</v>
          </cell>
          <cell r="B2894" t="str">
            <v xml:space="preserve">SP ESMALTE ALK MATE BASE DEEP </v>
          </cell>
          <cell r="C2894">
            <v>3</v>
          </cell>
          <cell r="D2894">
            <v>1095</v>
          </cell>
        </row>
        <row r="2895">
          <cell r="A2895" t="str">
            <v>B36NSA1</v>
          </cell>
          <cell r="B2895" t="str">
            <v xml:space="preserve">WEATHER PERFECT LATEX SW 6095 </v>
          </cell>
          <cell r="C2895">
            <v>3</v>
          </cell>
          <cell r="D2895">
            <v>1095</v>
          </cell>
        </row>
        <row r="2896">
          <cell r="A2896" t="str">
            <v>B36NSA1-50</v>
          </cell>
          <cell r="B2896" t="str">
            <v xml:space="preserve">WEATHER PERFECT LATEX SW 6095 </v>
          </cell>
          <cell r="C2896">
            <v>3</v>
          </cell>
          <cell r="D2896">
            <v>1095</v>
          </cell>
        </row>
        <row r="2897">
          <cell r="A2897" t="str">
            <v>B36TSA354</v>
          </cell>
          <cell r="B2897" t="str">
            <v>WP LATEX MATE EXT B ULTRA DEEP</v>
          </cell>
          <cell r="C2897">
            <v>3</v>
          </cell>
          <cell r="D2897">
            <v>1095</v>
          </cell>
        </row>
        <row r="2898">
          <cell r="A2898" t="str">
            <v>B36TSA354-1</v>
          </cell>
          <cell r="B2898" t="str">
            <v>WP LATEX MATE EXT B ULTRA DEEP</v>
          </cell>
          <cell r="C2898">
            <v>3</v>
          </cell>
          <cell r="D2898">
            <v>1095</v>
          </cell>
        </row>
        <row r="2899">
          <cell r="A2899" t="str">
            <v>B36TSA354-1/4</v>
          </cell>
          <cell r="B2899" t="str">
            <v>WP LATEX MATE EXT B ULTRA DEEP</v>
          </cell>
          <cell r="C2899">
            <v>3</v>
          </cell>
          <cell r="D2899">
            <v>1095</v>
          </cell>
        </row>
        <row r="2900">
          <cell r="A2900" t="str">
            <v>B36TSA354-5</v>
          </cell>
          <cell r="B2900" t="str">
            <v>WP LATEX MATE EXT B ULTRA DEEP</v>
          </cell>
          <cell r="C2900">
            <v>3</v>
          </cell>
          <cell r="D2900">
            <v>1095</v>
          </cell>
        </row>
        <row r="2901">
          <cell r="A2901" t="str">
            <v>B36WSA351</v>
          </cell>
          <cell r="B2901" t="str">
            <v>WP LATE MATE EXT B EXTRA WHITE</v>
          </cell>
          <cell r="C2901">
            <v>3</v>
          </cell>
          <cell r="D2901">
            <v>1095</v>
          </cell>
        </row>
        <row r="2902">
          <cell r="A2902" t="str">
            <v>B36WSA351-1</v>
          </cell>
          <cell r="B2902" t="str">
            <v>WP LATE MATE EXT B EXTRA WHITE</v>
          </cell>
          <cell r="C2902">
            <v>3</v>
          </cell>
          <cell r="D2902">
            <v>1095</v>
          </cell>
        </row>
        <row r="2903">
          <cell r="A2903" t="str">
            <v>B36WSA351-1/4</v>
          </cell>
          <cell r="B2903" t="str">
            <v>WP LATE MATE EXT B EXTRA WHITE</v>
          </cell>
          <cell r="C2903">
            <v>3</v>
          </cell>
          <cell r="D2903">
            <v>1095</v>
          </cell>
        </row>
        <row r="2904">
          <cell r="A2904" t="str">
            <v>B36WSA351-5</v>
          </cell>
          <cell r="B2904" t="str">
            <v>WP LATE MATE EXT B EXTRA WHITE</v>
          </cell>
          <cell r="C2904">
            <v>3</v>
          </cell>
          <cell r="D2904">
            <v>1095</v>
          </cell>
        </row>
        <row r="2905">
          <cell r="A2905" t="str">
            <v>B36WSA351-50</v>
          </cell>
          <cell r="B2905" t="str">
            <v>WEATHER P LAT MAT EXT  X WHITE</v>
          </cell>
          <cell r="C2905">
            <v>3</v>
          </cell>
          <cell r="D2905">
            <v>1095</v>
          </cell>
        </row>
        <row r="2906">
          <cell r="A2906" t="str">
            <v>B36WSA353</v>
          </cell>
          <cell r="B2906" t="str">
            <v xml:space="preserve">WP LATEX MATE EXT BASE DEEP   </v>
          </cell>
          <cell r="C2906">
            <v>3</v>
          </cell>
          <cell r="D2906">
            <v>1095</v>
          </cell>
        </row>
        <row r="2907">
          <cell r="A2907" t="str">
            <v>B36WSA353-1</v>
          </cell>
          <cell r="B2907" t="str">
            <v xml:space="preserve">WP LATEX MATE EXT BASE DEEP   </v>
          </cell>
          <cell r="C2907">
            <v>3</v>
          </cell>
          <cell r="D2907">
            <v>1095</v>
          </cell>
        </row>
        <row r="2908">
          <cell r="A2908" t="str">
            <v>B36WSA353-1/4</v>
          </cell>
          <cell r="B2908" t="str">
            <v xml:space="preserve">WP LATEX MATE EXT BASE DEEP   </v>
          </cell>
          <cell r="C2908">
            <v>3</v>
          </cell>
          <cell r="D2908">
            <v>1095</v>
          </cell>
        </row>
        <row r="2909">
          <cell r="A2909" t="str">
            <v>B36WSA353-5</v>
          </cell>
          <cell r="B2909" t="str">
            <v xml:space="preserve">WP LATEX MATE EXT BASE DEEP   </v>
          </cell>
          <cell r="C2909">
            <v>3</v>
          </cell>
          <cell r="D2909">
            <v>1095</v>
          </cell>
        </row>
        <row r="2910">
          <cell r="A2910" t="str">
            <v>B36YSA356</v>
          </cell>
          <cell r="B2910" t="str">
            <v>WP LATE MATE EXT B LIGHTYELLOW</v>
          </cell>
          <cell r="C2910">
            <v>3</v>
          </cell>
          <cell r="D2910">
            <v>1095</v>
          </cell>
        </row>
        <row r="2911">
          <cell r="A2911" t="str">
            <v>B36YSA356-1</v>
          </cell>
          <cell r="B2911" t="str">
            <v>WP LATE MATE EXT B LIGHTYELLOW</v>
          </cell>
          <cell r="C2911">
            <v>3</v>
          </cell>
          <cell r="D2911">
            <v>1095</v>
          </cell>
        </row>
        <row r="2912">
          <cell r="A2912" t="str">
            <v>B36YSA356-1/4</v>
          </cell>
          <cell r="B2912" t="str">
            <v>WP LATE MATE EXT B LIGHTYELLOW</v>
          </cell>
          <cell r="C2912">
            <v>3</v>
          </cell>
          <cell r="D2912">
            <v>1095</v>
          </cell>
        </row>
        <row r="2913">
          <cell r="A2913" t="str">
            <v>B36YSA356-5</v>
          </cell>
          <cell r="B2913" t="str">
            <v>WP LATE MATE EXT B LIGHTYELLOW</v>
          </cell>
          <cell r="C2913">
            <v>3</v>
          </cell>
          <cell r="D2913">
            <v>1095</v>
          </cell>
        </row>
        <row r="2914">
          <cell r="A2914" t="str">
            <v>B42WSA41</v>
          </cell>
          <cell r="B2914" t="str">
            <v xml:space="preserve">COLOR-PRIME LATEX BASE WHITE  </v>
          </cell>
          <cell r="C2914">
            <v>3</v>
          </cell>
          <cell r="D2914">
            <v>1095</v>
          </cell>
        </row>
        <row r="2915">
          <cell r="A2915" t="str">
            <v>B42WSA41-1</v>
          </cell>
          <cell r="B2915" t="str">
            <v xml:space="preserve">COLOR-PRIME LATEX BASE WHITE  </v>
          </cell>
          <cell r="C2915">
            <v>3</v>
          </cell>
          <cell r="D2915">
            <v>1095</v>
          </cell>
        </row>
        <row r="2916">
          <cell r="A2916" t="str">
            <v>B42WSA41-1/4</v>
          </cell>
          <cell r="B2916" t="str">
            <v xml:space="preserve">COLOR-PRIME LATEX BASE WHITE  </v>
          </cell>
          <cell r="C2916">
            <v>3</v>
          </cell>
          <cell r="D2916">
            <v>1095</v>
          </cell>
        </row>
        <row r="2917">
          <cell r="A2917" t="str">
            <v>B42WSA41-5</v>
          </cell>
          <cell r="B2917" t="str">
            <v xml:space="preserve">COLOR-PRIME LATEX BASE WHITE  </v>
          </cell>
          <cell r="C2917">
            <v>3</v>
          </cell>
          <cell r="D2917">
            <v>1095</v>
          </cell>
        </row>
        <row r="2918">
          <cell r="A2918" t="str">
            <v>B42WSA43</v>
          </cell>
          <cell r="B2918" t="str">
            <v xml:space="preserve">COLOR-PRIME LATEX BASE DEEP   </v>
          </cell>
          <cell r="C2918">
            <v>3</v>
          </cell>
          <cell r="D2918">
            <v>1095</v>
          </cell>
        </row>
        <row r="2919">
          <cell r="A2919" t="str">
            <v>B42WSA43-1</v>
          </cell>
          <cell r="B2919" t="str">
            <v xml:space="preserve">COLOR-PRIME LATEX BASE DEEP   </v>
          </cell>
          <cell r="C2919">
            <v>3</v>
          </cell>
          <cell r="D2919">
            <v>1095</v>
          </cell>
        </row>
        <row r="2920">
          <cell r="A2920" t="str">
            <v>B42WSA43-1/4</v>
          </cell>
          <cell r="B2920" t="str">
            <v xml:space="preserve">COLOR-PRIME LATEX BASE DEEP   </v>
          </cell>
          <cell r="C2920">
            <v>3</v>
          </cell>
          <cell r="D2920">
            <v>1095</v>
          </cell>
        </row>
        <row r="2921">
          <cell r="A2921" t="str">
            <v>B42WSA43-5</v>
          </cell>
          <cell r="B2921" t="str">
            <v xml:space="preserve">COLOR-PRIME LATEX BASE DEEP   </v>
          </cell>
          <cell r="C2921">
            <v>3</v>
          </cell>
          <cell r="D2921">
            <v>1095</v>
          </cell>
        </row>
        <row r="2922">
          <cell r="A2922" t="str">
            <v>B4A43</v>
          </cell>
          <cell r="B2922" t="str">
            <v>EXCELLO ESMAL BRILL GRIS PERLA</v>
          </cell>
          <cell r="C2922">
            <v>3</v>
          </cell>
          <cell r="D2922">
            <v>1095</v>
          </cell>
        </row>
        <row r="2923">
          <cell r="A2923" t="str">
            <v>B4A43-1</v>
          </cell>
          <cell r="B2923" t="str">
            <v>EXCELLO ESMAL BRILL GRIS PERLA</v>
          </cell>
          <cell r="C2923">
            <v>3</v>
          </cell>
          <cell r="D2923">
            <v>1095</v>
          </cell>
        </row>
        <row r="2924">
          <cell r="A2924" t="str">
            <v>B4A43-1/4</v>
          </cell>
          <cell r="B2924" t="str">
            <v>EXCELLO ESMAL BRILL GRIS PERLA</v>
          </cell>
          <cell r="C2924">
            <v>3</v>
          </cell>
          <cell r="D2924">
            <v>1095</v>
          </cell>
        </row>
        <row r="2925">
          <cell r="A2925" t="str">
            <v>B4A43-5</v>
          </cell>
          <cell r="B2925" t="str">
            <v xml:space="preserve">EXCELLO ESMALTE GRIS PERLA    </v>
          </cell>
          <cell r="C2925">
            <v>3</v>
          </cell>
          <cell r="D2925">
            <v>1095</v>
          </cell>
        </row>
        <row r="2926">
          <cell r="A2926" t="str">
            <v>B4A43-50</v>
          </cell>
          <cell r="B2926" t="str">
            <v xml:space="preserve">EXCELLO ESMALTE GRIS PERLA    </v>
          </cell>
          <cell r="C2926">
            <v>3</v>
          </cell>
          <cell r="D2926">
            <v>1095</v>
          </cell>
        </row>
        <row r="2927">
          <cell r="A2927" t="str">
            <v>B4ASA7</v>
          </cell>
          <cell r="B2927" t="str">
            <v>EXCELLO ESM SEMIBTE GRIS FREUN</v>
          </cell>
          <cell r="C2927">
            <v>3</v>
          </cell>
          <cell r="D2927">
            <v>1095</v>
          </cell>
        </row>
        <row r="2928">
          <cell r="A2928" t="str">
            <v>B4ASA7-5</v>
          </cell>
          <cell r="B2928" t="str">
            <v>EXCELLO ESM SEMIBT GRIS FREUND</v>
          </cell>
          <cell r="C2928">
            <v>3</v>
          </cell>
          <cell r="D2928">
            <v>1095</v>
          </cell>
        </row>
        <row r="2929">
          <cell r="A2929" t="str">
            <v>B4BSA1</v>
          </cell>
          <cell r="B2929" t="str">
            <v>EXCELLO ESMALT BRILLANTE NEGRO</v>
          </cell>
          <cell r="C2929">
            <v>3</v>
          </cell>
          <cell r="D2929">
            <v>1095</v>
          </cell>
        </row>
        <row r="2930">
          <cell r="A2930" t="str">
            <v>B4BSA1-1</v>
          </cell>
          <cell r="B2930" t="str">
            <v>EXCELLO ESMALT BRILLANTE NEGRO</v>
          </cell>
          <cell r="C2930">
            <v>3</v>
          </cell>
          <cell r="D2930">
            <v>1095</v>
          </cell>
        </row>
        <row r="2931">
          <cell r="A2931" t="str">
            <v>B4BSA1-1/4</v>
          </cell>
          <cell r="B2931" t="str">
            <v>EXCELLO ESMALT BRILLANTE NEGRO</v>
          </cell>
          <cell r="C2931">
            <v>3</v>
          </cell>
          <cell r="D2931">
            <v>1095</v>
          </cell>
        </row>
        <row r="2932">
          <cell r="A2932" t="str">
            <v>B4BSA1-5</v>
          </cell>
          <cell r="B2932" t="str">
            <v xml:space="preserve">EXCELLO ESMALTE NEGRO         </v>
          </cell>
          <cell r="C2932">
            <v>3</v>
          </cell>
          <cell r="D2932">
            <v>1095</v>
          </cell>
        </row>
        <row r="2933">
          <cell r="A2933" t="str">
            <v>B4BSA3</v>
          </cell>
          <cell r="B2933" t="str">
            <v xml:space="preserve">EXCELLO ESMALTE MATE NEGRO    </v>
          </cell>
          <cell r="C2933">
            <v>3</v>
          </cell>
          <cell r="D2933">
            <v>1095</v>
          </cell>
        </row>
        <row r="2934">
          <cell r="A2934" t="str">
            <v>B4BSA3-1</v>
          </cell>
          <cell r="B2934" t="str">
            <v xml:space="preserve">EXCELLO ESMALTE MATE NEGRO    </v>
          </cell>
          <cell r="C2934">
            <v>3</v>
          </cell>
          <cell r="D2934">
            <v>1095</v>
          </cell>
        </row>
        <row r="2935">
          <cell r="A2935" t="str">
            <v>B4BSA3-1/4</v>
          </cell>
          <cell r="B2935" t="str">
            <v xml:space="preserve">EXCELLO ESMALTE MATE NEGRO    </v>
          </cell>
          <cell r="C2935">
            <v>3</v>
          </cell>
          <cell r="D2935">
            <v>1095</v>
          </cell>
        </row>
        <row r="2936">
          <cell r="A2936" t="str">
            <v>B4ESA3</v>
          </cell>
          <cell r="B2936" t="str">
            <v>EXCELLO ESMALT BRILLAN NARANJA</v>
          </cell>
          <cell r="C2936">
            <v>3</v>
          </cell>
          <cell r="D2936">
            <v>1095</v>
          </cell>
        </row>
        <row r="2937">
          <cell r="A2937" t="str">
            <v>B4ESA3-1</v>
          </cell>
          <cell r="B2937" t="str">
            <v>EXCELLO ESMALT BRILLAN NARANJA</v>
          </cell>
          <cell r="C2937">
            <v>3</v>
          </cell>
          <cell r="D2937">
            <v>1095</v>
          </cell>
        </row>
        <row r="2938">
          <cell r="A2938" t="str">
            <v>B4ESA3-1/4</v>
          </cell>
          <cell r="B2938" t="str">
            <v>EXCELLO ESMALT BRILLAN NARANJA</v>
          </cell>
          <cell r="C2938">
            <v>3</v>
          </cell>
          <cell r="D2938">
            <v>1095</v>
          </cell>
        </row>
        <row r="2939">
          <cell r="A2939" t="str">
            <v>B4ESA3-50</v>
          </cell>
          <cell r="B2939" t="str">
            <v xml:space="preserve">EXCELLO ESMALTE NARANJA       </v>
          </cell>
          <cell r="C2939">
            <v>3</v>
          </cell>
          <cell r="D2939">
            <v>1095</v>
          </cell>
        </row>
        <row r="2940">
          <cell r="A2940" t="str">
            <v>B4ESA4</v>
          </cell>
          <cell r="B2940" t="str">
            <v xml:space="preserve">EXCELLO ESMALTE MELOCOTON     </v>
          </cell>
          <cell r="C2940">
            <v>3</v>
          </cell>
          <cell r="D2940">
            <v>1095</v>
          </cell>
        </row>
        <row r="2941">
          <cell r="A2941" t="str">
            <v>B4ESA4-5</v>
          </cell>
          <cell r="B2941" t="str">
            <v xml:space="preserve">EXCELLO ESMALTE MELOCOTON     </v>
          </cell>
          <cell r="C2941">
            <v>3</v>
          </cell>
          <cell r="D2941">
            <v>1095</v>
          </cell>
        </row>
        <row r="2942">
          <cell r="A2942" t="str">
            <v>B4G85</v>
          </cell>
          <cell r="B2942" t="str">
            <v>EXCELLO ESM BRIL VERDE INTENSO</v>
          </cell>
          <cell r="C2942">
            <v>3</v>
          </cell>
          <cell r="D2942">
            <v>1095</v>
          </cell>
        </row>
        <row r="2943">
          <cell r="A2943" t="str">
            <v>B4G85-1</v>
          </cell>
          <cell r="B2943" t="str">
            <v>EXCELLO ESM BRIL VERDE INTENSO</v>
          </cell>
          <cell r="C2943">
            <v>3</v>
          </cell>
          <cell r="D2943">
            <v>1095</v>
          </cell>
        </row>
        <row r="2944">
          <cell r="A2944" t="str">
            <v>B4G85-1/4</v>
          </cell>
          <cell r="B2944" t="str">
            <v>EXCELLO ESM BRIL VERDE INTENSO</v>
          </cell>
          <cell r="C2944">
            <v>3</v>
          </cell>
          <cell r="D2944">
            <v>1095</v>
          </cell>
        </row>
        <row r="2945">
          <cell r="A2945" t="str">
            <v>B4G85-5</v>
          </cell>
          <cell r="B2945" t="str">
            <v xml:space="preserve">EXCELLO ESMALTE VERDE INTENSO </v>
          </cell>
          <cell r="C2945">
            <v>3</v>
          </cell>
          <cell r="D2945">
            <v>1095</v>
          </cell>
        </row>
        <row r="2946">
          <cell r="A2946" t="str">
            <v>B4GSA11</v>
          </cell>
          <cell r="B2946" t="str">
            <v>EXCELLO ESM BRIL VERDE AMAZONA</v>
          </cell>
          <cell r="C2946">
            <v>3</v>
          </cell>
          <cell r="D2946">
            <v>1095</v>
          </cell>
        </row>
        <row r="2947">
          <cell r="A2947" t="str">
            <v>B4GSA11-1</v>
          </cell>
          <cell r="B2947" t="str">
            <v>EXCELLO ESM BRIL VERDE AMAZONA</v>
          </cell>
          <cell r="C2947">
            <v>3</v>
          </cell>
          <cell r="D2947">
            <v>1095</v>
          </cell>
        </row>
        <row r="2948">
          <cell r="A2948" t="str">
            <v>B4GSA11-1/4</v>
          </cell>
          <cell r="B2948" t="str">
            <v>EXCELLO ESM BRIL VERDE AMAZONA</v>
          </cell>
          <cell r="C2948">
            <v>3</v>
          </cell>
          <cell r="D2948">
            <v>1095</v>
          </cell>
        </row>
        <row r="2949">
          <cell r="A2949" t="str">
            <v>B4GSA11-5</v>
          </cell>
          <cell r="B2949" t="str">
            <v>EXCELLO ESMALTE VERDE AMAZONAS</v>
          </cell>
          <cell r="C2949">
            <v>3</v>
          </cell>
          <cell r="D2949">
            <v>1095</v>
          </cell>
        </row>
        <row r="2950">
          <cell r="A2950" t="str">
            <v>B4GSA11-50</v>
          </cell>
          <cell r="B2950" t="str">
            <v>EXCELLO ESMALTE VERDE AMAZONAS</v>
          </cell>
          <cell r="C2950">
            <v>3</v>
          </cell>
          <cell r="D2950">
            <v>1095</v>
          </cell>
        </row>
        <row r="2951">
          <cell r="A2951" t="str">
            <v>B4GSA20</v>
          </cell>
          <cell r="B2951" t="str">
            <v>EXCELLO ESM DRIED THYME SW6186</v>
          </cell>
          <cell r="C2951">
            <v>3</v>
          </cell>
          <cell r="D2951">
            <v>1095</v>
          </cell>
        </row>
        <row r="2952">
          <cell r="A2952" t="str">
            <v>B4GSA20-1</v>
          </cell>
          <cell r="B2952" t="str">
            <v>EXCELLO ESM DRIED THYME SW6186</v>
          </cell>
          <cell r="C2952">
            <v>3</v>
          </cell>
          <cell r="D2952">
            <v>1095</v>
          </cell>
        </row>
        <row r="2953">
          <cell r="A2953" t="str">
            <v>B4GSA21</v>
          </cell>
          <cell r="B2953" t="str">
            <v xml:space="preserve">EXCELLO ESM AQUA CRISTALINO   </v>
          </cell>
          <cell r="C2953">
            <v>3</v>
          </cell>
          <cell r="D2953">
            <v>1095</v>
          </cell>
        </row>
        <row r="2954">
          <cell r="A2954" t="str">
            <v>B4GSA21-5</v>
          </cell>
          <cell r="B2954" t="str">
            <v xml:space="preserve">EXCELLO ESM AQUA CRISTALINO   </v>
          </cell>
          <cell r="C2954">
            <v>3</v>
          </cell>
          <cell r="D2954">
            <v>1095</v>
          </cell>
        </row>
        <row r="2955">
          <cell r="A2955" t="str">
            <v>B4GSA9</v>
          </cell>
          <cell r="B2955" t="str">
            <v>EXCELLO ESMALT BRIL VERDE AQUA</v>
          </cell>
          <cell r="C2955">
            <v>3</v>
          </cell>
          <cell r="D2955">
            <v>1095</v>
          </cell>
        </row>
        <row r="2956">
          <cell r="A2956" t="str">
            <v>B4GSA9-1</v>
          </cell>
          <cell r="B2956" t="str">
            <v>EXCELLO ESMALT BRIL VERDE AQUA</v>
          </cell>
          <cell r="C2956">
            <v>3</v>
          </cell>
          <cell r="D2956">
            <v>1095</v>
          </cell>
        </row>
        <row r="2957">
          <cell r="A2957" t="str">
            <v>B4GSA9-1/4</v>
          </cell>
          <cell r="B2957" t="str">
            <v>EXCELLO ESMALT BRIL VERDE AQUA</v>
          </cell>
          <cell r="C2957">
            <v>3</v>
          </cell>
          <cell r="D2957">
            <v>1095</v>
          </cell>
        </row>
        <row r="2958">
          <cell r="A2958" t="str">
            <v>B4GSA9-5</v>
          </cell>
          <cell r="B2958" t="str">
            <v xml:space="preserve">EXCELLO ESMALTE VERDE AQUA    </v>
          </cell>
          <cell r="C2958">
            <v>3</v>
          </cell>
          <cell r="D2958">
            <v>1095</v>
          </cell>
        </row>
        <row r="2959">
          <cell r="A2959" t="str">
            <v>B4H25</v>
          </cell>
          <cell r="B2959" t="str">
            <v>EXCELLO ESMA BRIL MARFILCONCHA</v>
          </cell>
          <cell r="C2959">
            <v>3</v>
          </cell>
          <cell r="D2959">
            <v>1095</v>
          </cell>
        </row>
        <row r="2960">
          <cell r="A2960" t="str">
            <v>B4H25-1</v>
          </cell>
          <cell r="B2960" t="str">
            <v>EXCELLO ESMA BRIL MARFILCONCHA</v>
          </cell>
          <cell r="C2960">
            <v>3</v>
          </cell>
          <cell r="D2960">
            <v>1095</v>
          </cell>
        </row>
        <row r="2961">
          <cell r="A2961" t="str">
            <v>B4H25-1/4</v>
          </cell>
          <cell r="B2961" t="str">
            <v>EXCELLO ESMA BRIL MARFILCONCHA</v>
          </cell>
          <cell r="C2961">
            <v>3</v>
          </cell>
          <cell r="D2961">
            <v>1095</v>
          </cell>
        </row>
        <row r="2962">
          <cell r="A2962" t="str">
            <v>B4H25-5</v>
          </cell>
          <cell r="B2962" t="str">
            <v xml:space="preserve">EXCELLO ESMALTE MARFIL CONCHA </v>
          </cell>
          <cell r="C2962">
            <v>3</v>
          </cell>
          <cell r="D2962">
            <v>1095</v>
          </cell>
        </row>
        <row r="2963">
          <cell r="A2963" t="str">
            <v>B4HSA15</v>
          </cell>
          <cell r="B2963" t="str">
            <v xml:space="preserve">EXCELLO ESM SATINA BRASIL NUT </v>
          </cell>
          <cell r="C2963">
            <v>3</v>
          </cell>
          <cell r="D2963">
            <v>1095</v>
          </cell>
        </row>
        <row r="2964">
          <cell r="A2964" t="str">
            <v>B4HSA15-5</v>
          </cell>
          <cell r="B2964" t="str">
            <v xml:space="preserve">EXCELLO ESM SATINA BRASIL NUT </v>
          </cell>
          <cell r="C2964">
            <v>3</v>
          </cell>
          <cell r="D2964">
            <v>1095</v>
          </cell>
        </row>
        <row r="2965">
          <cell r="A2965" t="str">
            <v>B4LSA10</v>
          </cell>
          <cell r="B2965" t="str">
            <v>EXCELLO ESMA BRIL AZUL BANDERA</v>
          </cell>
          <cell r="C2965">
            <v>3</v>
          </cell>
          <cell r="D2965">
            <v>1095</v>
          </cell>
        </row>
        <row r="2966">
          <cell r="A2966" t="str">
            <v>B4LSA10-1</v>
          </cell>
          <cell r="B2966" t="str">
            <v>EXCELLO ESMA BRIL AZUL BANDERA</v>
          </cell>
          <cell r="C2966">
            <v>3</v>
          </cell>
          <cell r="D2966">
            <v>1095</v>
          </cell>
        </row>
        <row r="2967">
          <cell r="A2967" t="str">
            <v>B4LSA10-1/4</v>
          </cell>
          <cell r="B2967" t="str">
            <v>EXCELLO ESMA BRIL AZUL BANDERA</v>
          </cell>
          <cell r="C2967">
            <v>3</v>
          </cell>
          <cell r="D2967">
            <v>1095</v>
          </cell>
        </row>
        <row r="2968">
          <cell r="A2968" t="str">
            <v>B4LSA10-5</v>
          </cell>
          <cell r="B2968" t="str">
            <v>EXCELLO ESMA BRIL AZUL BANDERA</v>
          </cell>
          <cell r="C2968">
            <v>3</v>
          </cell>
          <cell r="D2968">
            <v>1095</v>
          </cell>
        </row>
        <row r="2969">
          <cell r="A2969" t="str">
            <v>B4LSA14</v>
          </cell>
          <cell r="B2969" t="str">
            <v>EXCELLO ESM SEMIBTE AZUL FREUN</v>
          </cell>
          <cell r="C2969">
            <v>3</v>
          </cell>
          <cell r="D2969">
            <v>1095</v>
          </cell>
        </row>
        <row r="2970">
          <cell r="A2970" t="str">
            <v>B4LSA14-5</v>
          </cell>
          <cell r="B2970" t="str">
            <v>EXCELLO ESM SEMIBT AZUL FREUND</v>
          </cell>
          <cell r="C2970">
            <v>3</v>
          </cell>
          <cell r="D2970">
            <v>1095</v>
          </cell>
        </row>
        <row r="2971">
          <cell r="A2971" t="str">
            <v>B4LSA7</v>
          </cell>
          <cell r="B2971" t="str">
            <v>EXCELLO ESMA BRIL CELESTE NUBE</v>
          </cell>
          <cell r="C2971">
            <v>3</v>
          </cell>
          <cell r="D2971">
            <v>1095</v>
          </cell>
        </row>
        <row r="2972">
          <cell r="A2972" t="str">
            <v>B4LSA7-1</v>
          </cell>
          <cell r="B2972" t="str">
            <v>EXCELLO ESMA BRIL CELESTE NUBE</v>
          </cell>
          <cell r="C2972">
            <v>3</v>
          </cell>
          <cell r="D2972">
            <v>1095</v>
          </cell>
        </row>
        <row r="2973">
          <cell r="A2973" t="str">
            <v>B4LSA7-1/4</v>
          </cell>
          <cell r="B2973" t="str">
            <v>EXCELLO ESMA BRIL CELESTE NUBE</v>
          </cell>
          <cell r="C2973">
            <v>3</v>
          </cell>
          <cell r="D2973">
            <v>1095</v>
          </cell>
        </row>
        <row r="2974">
          <cell r="A2974" t="str">
            <v>B4LSA9</v>
          </cell>
          <cell r="B2974" t="str">
            <v>EXCELLO ESMALTE BRIL AZUL VIVO</v>
          </cell>
          <cell r="C2974">
            <v>3</v>
          </cell>
          <cell r="D2974">
            <v>1095</v>
          </cell>
        </row>
        <row r="2975">
          <cell r="A2975" t="str">
            <v>B4LSA9-1</v>
          </cell>
          <cell r="B2975" t="str">
            <v>EXCELLO ESMALTE BRIL AZUL VIVO</v>
          </cell>
          <cell r="C2975">
            <v>3</v>
          </cell>
          <cell r="D2975">
            <v>1095</v>
          </cell>
        </row>
        <row r="2976">
          <cell r="A2976" t="str">
            <v>B4LSA9-1/4</v>
          </cell>
          <cell r="B2976" t="str">
            <v>EXCELLO ESMALTE BRIL AZUL VIVO</v>
          </cell>
          <cell r="C2976">
            <v>3</v>
          </cell>
          <cell r="D2976">
            <v>1095</v>
          </cell>
        </row>
        <row r="2977">
          <cell r="A2977" t="str">
            <v>B4LSA9-50</v>
          </cell>
          <cell r="B2977" t="str">
            <v xml:space="preserve">EXCELLO ESMALTE AZUL VIVO     </v>
          </cell>
          <cell r="C2977">
            <v>3</v>
          </cell>
          <cell r="D2977">
            <v>1095</v>
          </cell>
        </row>
        <row r="2978">
          <cell r="A2978" t="str">
            <v>B4NSA1</v>
          </cell>
          <cell r="B2978" t="str">
            <v>EXCELLO ESMAL BRIL BEIGE SUAVE</v>
          </cell>
          <cell r="C2978">
            <v>3</v>
          </cell>
          <cell r="D2978">
            <v>1095</v>
          </cell>
        </row>
        <row r="2979">
          <cell r="A2979" t="str">
            <v>B4NSA1-1</v>
          </cell>
          <cell r="B2979" t="str">
            <v>EXCELLO ESMAL BRIL BEIGE SUAVE</v>
          </cell>
          <cell r="C2979">
            <v>3</v>
          </cell>
          <cell r="D2979">
            <v>1095</v>
          </cell>
        </row>
        <row r="2980">
          <cell r="A2980" t="str">
            <v>B4NSA1-1/4</v>
          </cell>
          <cell r="B2980" t="str">
            <v>EXCELLO ESMAL BRIL BEIGE SUAVE</v>
          </cell>
          <cell r="C2980">
            <v>3</v>
          </cell>
          <cell r="D2980">
            <v>1095</v>
          </cell>
        </row>
        <row r="2981">
          <cell r="A2981" t="str">
            <v>B4NSA1-5</v>
          </cell>
          <cell r="B2981" t="str">
            <v xml:space="preserve">EXCELLO ESMALTE BEIGE SUAVE   </v>
          </cell>
          <cell r="C2981">
            <v>3</v>
          </cell>
          <cell r="D2981">
            <v>1095</v>
          </cell>
        </row>
        <row r="2982">
          <cell r="A2982" t="str">
            <v>B4NSA7</v>
          </cell>
          <cell r="B2982" t="str">
            <v>EXCELLO ESMA BRIL CAFEPROFUNDO</v>
          </cell>
          <cell r="C2982">
            <v>3</v>
          </cell>
          <cell r="D2982">
            <v>1095</v>
          </cell>
        </row>
        <row r="2983">
          <cell r="A2983" t="str">
            <v>B4NSA7-1</v>
          </cell>
          <cell r="B2983" t="str">
            <v>EXCELLO ESM BRIL CAFÉ PROFUNDO</v>
          </cell>
          <cell r="C2983">
            <v>3</v>
          </cell>
          <cell r="D2983">
            <v>1095</v>
          </cell>
        </row>
        <row r="2984">
          <cell r="A2984" t="str">
            <v>B4NSA7-1/4</v>
          </cell>
          <cell r="B2984" t="str">
            <v>EXCELLO ESM BRIL CAFÉ PROFUNDO</v>
          </cell>
          <cell r="C2984">
            <v>3</v>
          </cell>
          <cell r="D2984">
            <v>1095</v>
          </cell>
        </row>
        <row r="2985">
          <cell r="A2985" t="str">
            <v>B4NSA7-5</v>
          </cell>
          <cell r="B2985" t="str">
            <v xml:space="preserve">EXCELLO ESMALTE CAFE PROFUNDO </v>
          </cell>
          <cell r="C2985">
            <v>3</v>
          </cell>
          <cell r="D2985">
            <v>1095</v>
          </cell>
        </row>
        <row r="2986">
          <cell r="A2986" t="str">
            <v>B4RSA6</v>
          </cell>
          <cell r="B2986" t="str">
            <v>EXCELLO ESMALTE BRIL ROJO VIVO</v>
          </cell>
          <cell r="C2986">
            <v>3</v>
          </cell>
          <cell r="D2986">
            <v>1095</v>
          </cell>
        </row>
        <row r="2987">
          <cell r="A2987" t="str">
            <v>B4RSA6-1</v>
          </cell>
          <cell r="B2987" t="str">
            <v>EXCELLO ESMALTE BRIL ROJO VIVO</v>
          </cell>
          <cell r="C2987">
            <v>3</v>
          </cell>
          <cell r="D2987">
            <v>1095</v>
          </cell>
        </row>
        <row r="2988">
          <cell r="A2988" t="str">
            <v>B4RSA6-1/4</v>
          </cell>
          <cell r="B2988" t="str">
            <v>EXCELLO ESMALTE BRIL ROJO VIVO</v>
          </cell>
          <cell r="C2988">
            <v>3</v>
          </cell>
          <cell r="D2988">
            <v>1095</v>
          </cell>
        </row>
        <row r="2989">
          <cell r="A2989" t="str">
            <v>B4RSA6-5</v>
          </cell>
          <cell r="B2989" t="str">
            <v xml:space="preserve">EXCELLO ESMALTE ROJO VIVO     </v>
          </cell>
          <cell r="C2989">
            <v>3</v>
          </cell>
          <cell r="D2989">
            <v>1095</v>
          </cell>
        </row>
        <row r="2990">
          <cell r="A2990" t="str">
            <v>B4RSA8</v>
          </cell>
          <cell r="B2990" t="str">
            <v>EXCELLO ESMA BRIL ROSADO RUBOR</v>
          </cell>
          <cell r="C2990">
            <v>3</v>
          </cell>
          <cell r="D2990">
            <v>1095</v>
          </cell>
        </row>
        <row r="2991">
          <cell r="A2991" t="str">
            <v>B4RSA8-1</v>
          </cell>
          <cell r="B2991" t="str">
            <v>EXCELLO ESMA BRIL ROSADO RUBOR</v>
          </cell>
          <cell r="C2991">
            <v>3</v>
          </cell>
          <cell r="D2991">
            <v>1095</v>
          </cell>
        </row>
        <row r="2992">
          <cell r="A2992" t="str">
            <v>B4RSA8-1/4</v>
          </cell>
          <cell r="B2992" t="str">
            <v>EXCELLO ESMA BRIL ROSADO RUBOR</v>
          </cell>
          <cell r="C2992">
            <v>3</v>
          </cell>
          <cell r="D2992">
            <v>1095</v>
          </cell>
        </row>
        <row r="2993">
          <cell r="A2993" t="str">
            <v>B4SSA1</v>
          </cell>
          <cell r="B2993" t="str">
            <v>EXCELLO ESMALTE BRILL ALUMINIO</v>
          </cell>
          <cell r="C2993">
            <v>3</v>
          </cell>
          <cell r="D2993">
            <v>1095</v>
          </cell>
        </row>
        <row r="2994">
          <cell r="A2994" t="str">
            <v>B4SSA1-1</v>
          </cell>
          <cell r="B2994" t="str">
            <v>EXCELLO ESMALTE BRILL ALUMINIO</v>
          </cell>
          <cell r="C2994">
            <v>3</v>
          </cell>
          <cell r="D2994">
            <v>1095</v>
          </cell>
        </row>
        <row r="2995">
          <cell r="A2995" t="str">
            <v>B4SSA1-1/4</v>
          </cell>
          <cell r="B2995" t="str">
            <v>EXCELLO ESMALTE BRILL ALUMINIO</v>
          </cell>
          <cell r="C2995">
            <v>3</v>
          </cell>
          <cell r="D2995">
            <v>1095</v>
          </cell>
        </row>
        <row r="2996">
          <cell r="A2996" t="str">
            <v>B4SSA1-5</v>
          </cell>
          <cell r="B2996" t="str">
            <v xml:space="preserve">EXCELLO ESMALTE ALUMINIO      </v>
          </cell>
          <cell r="C2996">
            <v>3</v>
          </cell>
          <cell r="D2996">
            <v>1095</v>
          </cell>
        </row>
        <row r="2997">
          <cell r="A2997" t="str">
            <v>B4W56</v>
          </cell>
          <cell r="B2997" t="str">
            <v>EXCELLO ESMALTE BRILLAN BLANCO</v>
          </cell>
          <cell r="C2997">
            <v>3</v>
          </cell>
          <cell r="D2997">
            <v>1095</v>
          </cell>
        </row>
        <row r="2998">
          <cell r="A2998" t="str">
            <v>B4W56-1</v>
          </cell>
          <cell r="B2998" t="str">
            <v>EXCELLO ESMALTE BRILLAN BLANCO</v>
          </cell>
          <cell r="C2998">
            <v>3</v>
          </cell>
          <cell r="D2998">
            <v>1095</v>
          </cell>
        </row>
        <row r="2999">
          <cell r="A2999" t="str">
            <v>B4W56-1/4</v>
          </cell>
          <cell r="B2999" t="str">
            <v>EXCELLO ESMALTE BRILLAN BLANCO</v>
          </cell>
          <cell r="C2999">
            <v>3</v>
          </cell>
          <cell r="D2999">
            <v>1095</v>
          </cell>
        </row>
        <row r="3000">
          <cell r="A3000" t="str">
            <v>B4W56-5</v>
          </cell>
          <cell r="B3000" t="str">
            <v>EXCELLO ESMALTE BRILLAN BLANCO</v>
          </cell>
          <cell r="C3000">
            <v>3</v>
          </cell>
          <cell r="D3000">
            <v>1095</v>
          </cell>
        </row>
        <row r="3001">
          <cell r="A3001" t="str">
            <v>B4W56-50</v>
          </cell>
          <cell r="B3001" t="str">
            <v xml:space="preserve">EXCELLO ESMALTE BLANCO        </v>
          </cell>
          <cell r="C3001">
            <v>3</v>
          </cell>
          <cell r="D3001">
            <v>1095</v>
          </cell>
        </row>
        <row r="3002">
          <cell r="A3002" t="str">
            <v>B4WSA10</v>
          </cell>
          <cell r="B3002" t="str">
            <v>EXCE ESM BRIL BLAN ANT ESPANOL</v>
          </cell>
          <cell r="C3002">
            <v>3</v>
          </cell>
          <cell r="D3002">
            <v>1095</v>
          </cell>
        </row>
        <row r="3003">
          <cell r="A3003" t="str">
            <v>B4WSA10-1</v>
          </cell>
          <cell r="B3003" t="str">
            <v>EXCE ESM BRIL BLAN ANT ESPANOL</v>
          </cell>
          <cell r="C3003">
            <v>3</v>
          </cell>
          <cell r="D3003">
            <v>1095</v>
          </cell>
        </row>
        <row r="3004">
          <cell r="A3004" t="str">
            <v>B4WSA10-1/4</v>
          </cell>
          <cell r="B3004" t="str">
            <v>EXCE ESM BRIL BLAN ANT ESPANOL</v>
          </cell>
          <cell r="C3004">
            <v>3</v>
          </cell>
          <cell r="D3004">
            <v>1095</v>
          </cell>
        </row>
        <row r="3005">
          <cell r="A3005" t="str">
            <v>B4WSA15</v>
          </cell>
          <cell r="B3005" t="str">
            <v>EXCELLO ESM SATIN BLANC SW6126</v>
          </cell>
          <cell r="C3005">
            <v>3</v>
          </cell>
          <cell r="D3005">
            <v>1095</v>
          </cell>
        </row>
        <row r="3006">
          <cell r="A3006" t="str">
            <v>B4WSA15-1</v>
          </cell>
          <cell r="B3006" t="str">
            <v>EXCELLO ESM SATIN BLANC SW6126</v>
          </cell>
          <cell r="C3006">
            <v>3</v>
          </cell>
          <cell r="D3006">
            <v>1095</v>
          </cell>
        </row>
        <row r="3007">
          <cell r="A3007" t="str">
            <v>B4WSA15-5</v>
          </cell>
          <cell r="B3007" t="str">
            <v>EXCELLO ESM SATIN BLANC SW6126</v>
          </cell>
          <cell r="C3007">
            <v>3</v>
          </cell>
          <cell r="D3007">
            <v>1095</v>
          </cell>
        </row>
        <row r="3008">
          <cell r="A3008" t="str">
            <v>B4WSA16</v>
          </cell>
          <cell r="B3008" t="str">
            <v xml:space="preserve">EXCELLO ESM BLANCO LILA UES   </v>
          </cell>
          <cell r="C3008">
            <v>3</v>
          </cell>
          <cell r="D3008">
            <v>1095</v>
          </cell>
        </row>
        <row r="3009">
          <cell r="A3009" t="str">
            <v>B4WSA16-5</v>
          </cell>
          <cell r="B3009" t="str">
            <v xml:space="preserve">EXCELLO ESM BLANCO LILA UES   </v>
          </cell>
          <cell r="C3009">
            <v>3</v>
          </cell>
          <cell r="D3009">
            <v>1095</v>
          </cell>
        </row>
        <row r="3010">
          <cell r="A3010" t="str">
            <v>B4WSA2</v>
          </cell>
          <cell r="B3010" t="str">
            <v>EXCELLO ESMA BRIL BLANCO HUESO</v>
          </cell>
          <cell r="C3010">
            <v>3</v>
          </cell>
          <cell r="D3010">
            <v>1095</v>
          </cell>
        </row>
        <row r="3011">
          <cell r="A3011" t="str">
            <v>B4WSA2-1</v>
          </cell>
          <cell r="B3011" t="str">
            <v>EXCELLO ESMA BRIL BLANCO HUESO</v>
          </cell>
          <cell r="C3011">
            <v>3</v>
          </cell>
          <cell r="D3011">
            <v>1095</v>
          </cell>
        </row>
        <row r="3012">
          <cell r="A3012" t="str">
            <v>B4WSA2-1/4</v>
          </cell>
          <cell r="B3012" t="str">
            <v>EXCELLO ESMA BRIL BLANCO HUESO</v>
          </cell>
          <cell r="C3012">
            <v>3</v>
          </cell>
          <cell r="D3012">
            <v>1095</v>
          </cell>
        </row>
        <row r="3013">
          <cell r="A3013" t="str">
            <v>B4WSA2-5</v>
          </cell>
          <cell r="B3013" t="str">
            <v>EXCELLO ESMA BRIL BLANCO HUESO</v>
          </cell>
          <cell r="C3013">
            <v>3</v>
          </cell>
          <cell r="D3013">
            <v>1095</v>
          </cell>
        </row>
        <row r="3014">
          <cell r="A3014" t="str">
            <v>B4WSA7</v>
          </cell>
          <cell r="B3014" t="str">
            <v xml:space="preserve">EXCELLO ESMALTE BLANCO MATE   </v>
          </cell>
          <cell r="C3014">
            <v>3</v>
          </cell>
          <cell r="D3014">
            <v>1095</v>
          </cell>
        </row>
        <row r="3015">
          <cell r="A3015" t="str">
            <v>B4WSA7-1</v>
          </cell>
          <cell r="B3015" t="str">
            <v xml:space="preserve">EXCELLO ESMALTE BLANCO MATE   </v>
          </cell>
          <cell r="C3015">
            <v>3</v>
          </cell>
          <cell r="D3015">
            <v>1095</v>
          </cell>
        </row>
        <row r="3016">
          <cell r="A3016" t="str">
            <v>B4WSA7-1/4</v>
          </cell>
          <cell r="B3016" t="str">
            <v xml:space="preserve">EXCELLO ESMALTE BLANCO MATE   </v>
          </cell>
          <cell r="C3016">
            <v>3</v>
          </cell>
          <cell r="D3016">
            <v>1095</v>
          </cell>
        </row>
        <row r="3017">
          <cell r="A3017" t="str">
            <v>B4WSA7-5</v>
          </cell>
          <cell r="B3017" t="str">
            <v xml:space="preserve">EXCELLO ESMALTE BLANCO MATE   </v>
          </cell>
          <cell r="C3017">
            <v>3</v>
          </cell>
          <cell r="D3017">
            <v>1095</v>
          </cell>
        </row>
        <row r="3018">
          <cell r="A3018" t="str">
            <v>B4YSA10</v>
          </cell>
          <cell r="B3018" t="str">
            <v>EXCELLO ESMALT BRILLA AMARILLO</v>
          </cell>
          <cell r="C3018">
            <v>3</v>
          </cell>
          <cell r="D3018">
            <v>1095</v>
          </cell>
        </row>
        <row r="3019">
          <cell r="A3019" t="str">
            <v>B4YSA10-1</v>
          </cell>
          <cell r="B3019" t="str">
            <v>EXCELLO ESMALT BRILLA AMARILLO</v>
          </cell>
          <cell r="C3019">
            <v>3</v>
          </cell>
          <cell r="D3019">
            <v>1095</v>
          </cell>
        </row>
        <row r="3020">
          <cell r="A3020" t="str">
            <v>B4YSA10-1/4</v>
          </cell>
          <cell r="B3020" t="str">
            <v>EXCELLO ESMALT BRILLA AMARILLO</v>
          </cell>
          <cell r="C3020">
            <v>3</v>
          </cell>
          <cell r="D3020">
            <v>1095</v>
          </cell>
        </row>
        <row r="3021">
          <cell r="A3021" t="str">
            <v>B4YSA10-5</v>
          </cell>
          <cell r="B3021" t="str">
            <v xml:space="preserve">EXCELLO ESMALTE AMARILLO      </v>
          </cell>
          <cell r="C3021">
            <v>3</v>
          </cell>
          <cell r="D3021">
            <v>1095</v>
          </cell>
        </row>
        <row r="3022">
          <cell r="A3022" t="str">
            <v>B4YSA19</v>
          </cell>
          <cell r="B3022" t="str">
            <v>EXCELLO ESM BRTE AMARI SW-6678</v>
          </cell>
          <cell r="C3022">
            <v>3</v>
          </cell>
          <cell r="D3022">
            <v>1095</v>
          </cell>
        </row>
        <row r="3023">
          <cell r="A3023" t="str">
            <v>B4YSA19-5</v>
          </cell>
          <cell r="B3023" t="str">
            <v>EXCELLO ESM BRTE AMARI SW-6678</v>
          </cell>
          <cell r="C3023">
            <v>3</v>
          </cell>
          <cell r="D3023">
            <v>1095</v>
          </cell>
        </row>
        <row r="3024">
          <cell r="A3024" t="str">
            <v>B50A1A-1</v>
          </cell>
          <cell r="B3024" t="str">
            <v>GALVANIZED IRON PRIMER PARTE A</v>
          </cell>
          <cell r="C3024">
            <v>3</v>
          </cell>
          <cell r="D3024">
            <v>1095</v>
          </cell>
        </row>
        <row r="3025">
          <cell r="A3025" t="str">
            <v>B50NZ6</v>
          </cell>
          <cell r="B3025" t="str">
            <v xml:space="preserve">KEM KROMIK UNIVERSAL PRIMER   </v>
          </cell>
          <cell r="C3025">
            <v>3</v>
          </cell>
          <cell r="D3025">
            <v>1095</v>
          </cell>
        </row>
        <row r="3026">
          <cell r="A3026" t="str">
            <v>B50NZ6-1</v>
          </cell>
          <cell r="B3026" t="str">
            <v xml:space="preserve">KEM KROMIK UNIVERSAL PRIMER   </v>
          </cell>
          <cell r="C3026">
            <v>3</v>
          </cell>
          <cell r="D3026">
            <v>1095</v>
          </cell>
        </row>
        <row r="3027">
          <cell r="A3027" t="str">
            <v>B50NZ6-5</v>
          </cell>
          <cell r="B3027" t="str">
            <v xml:space="preserve">KEM KROMIK UNIVERSAL PRIMER   </v>
          </cell>
          <cell r="C3027">
            <v>3</v>
          </cell>
          <cell r="D3027">
            <v>1095</v>
          </cell>
        </row>
        <row r="3028">
          <cell r="A3028" t="str">
            <v>B58B600-1</v>
          </cell>
          <cell r="B3028" t="str">
            <v xml:space="preserve">MACROPOXY 646 FAST CURE       </v>
          </cell>
          <cell r="C3028">
            <v>3</v>
          </cell>
          <cell r="D3028">
            <v>1095</v>
          </cell>
        </row>
        <row r="3029">
          <cell r="A3029" t="str">
            <v>B58V600-1</v>
          </cell>
          <cell r="B3029" t="str">
            <v xml:space="preserve">MACROPOXY 646 FAST CURE       </v>
          </cell>
          <cell r="C3029">
            <v>3</v>
          </cell>
          <cell r="D3029">
            <v>1095</v>
          </cell>
        </row>
        <row r="3030">
          <cell r="A3030" t="str">
            <v>B5A36</v>
          </cell>
          <cell r="B3030" t="str">
            <v xml:space="preserve">EXCELLO LATEX MATE GRIS PERLA </v>
          </cell>
          <cell r="C3030">
            <v>3</v>
          </cell>
          <cell r="D3030">
            <v>1095</v>
          </cell>
        </row>
        <row r="3031">
          <cell r="A3031" t="str">
            <v>B5A36-1</v>
          </cell>
          <cell r="B3031" t="str">
            <v xml:space="preserve">EXCELLO LATEX MATE GRIS PERLA </v>
          </cell>
          <cell r="C3031">
            <v>3</v>
          </cell>
          <cell r="D3031">
            <v>1095</v>
          </cell>
        </row>
        <row r="3032">
          <cell r="A3032" t="str">
            <v>B5A36-1/4</v>
          </cell>
          <cell r="B3032" t="str">
            <v xml:space="preserve">EXCELLO LATEX MATE GRIS PERLA </v>
          </cell>
          <cell r="C3032">
            <v>3</v>
          </cell>
          <cell r="D3032">
            <v>1095</v>
          </cell>
        </row>
        <row r="3033">
          <cell r="A3033" t="str">
            <v>B5A36-5</v>
          </cell>
          <cell r="B3033" t="str">
            <v xml:space="preserve">EXCELLO LATEX MATE GRIS PERLA </v>
          </cell>
          <cell r="C3033">
            <v>3</v>
          </cell>
          <cell r="D3033">
            <v>1095</v>
          </cell>
        </row>
        <row r="3034">
          <cell r="A3034" t="str">
            <v>B5ASA14</v>
          </cell>
          <cell r="B3034" t="str">
            <v>EXCELLO LAT SATIN BLANC SW1011</v>
          </cell>
          <cell r="C3034">
            <v>3</v>
          </cell>
          <cell r="D3034">
            <v>1095</v>
          </cell>
        </row>
        <row r="3035">
          <cell r="A3035" t="str">
            <v>B5ASA14-5</v>
          </cell>
          <cell r="B3035" t="str">
            <v>EXCELLO LAT SATIN BLANC SW1011</v>
          </cell>
          <cell r="C3035">
            <v>3</v>
          </cell>
          <cell r="D3035">
            <v>1095</v>
          </cell>
        </row>
        <row r="3036">
          <cell r="A3036" t="str">
            <v>B5ASA18</v>
          </cell>
          <cell r="B3036" t="str">
            <v>EXCELLO LAT GRIS CLARO SW-1262</v>
          </cell>
          <cell r="C3036">
            <v>3</v>
          </cell>
          <cell r="D3036">
            <v>1095</v>
          </cell>
        </row>
        <row r="3037">
          <cell r="A3037" t="str">
            <v>B5ASA18-5</v>
          </cell>
          <cell r="B3037" t="str">
            <v>EXCELLO LAT GRIS CLARO SW-1262</v>
          </cell>
          <cell r="C3037">
            <v>3</v>
          </cell>
          <cell r="D3037">
            <v>1095</v>
          </cell>
        </row>
        <row r="3038">
          <cell r="A3038" t="str">
            <v>B5ASA20-AE</v>
          </cell>
          <cell r="B3038" t="str">
            <v xml:space="preserve">EXCELLO LAT MATE GRIS SW 6198 </v>
          </cell>
          <cell r="C3038">
            <v>3</v>
          </cell>
          <cell r="D3038">
            <v>1095</v>
          </cell>
        </row>
        <row r="3039">
          <cell r="A3039" t="str">
            <v>B5ASA20AE-5</v>
          </cell>
          <cell r="B3039" t="str">
            <v xml:space="preserve">EXCELLO LAT MATE GRIS SW 6198 </v>
          </cell>
          <cell r="C3039">
            <v>3</v>
          </cell>
          <cell r="D3039">
            <v>1095</v>
          </cell>
        </row>
        <row r="3040">
          <cell r="A3040" t="str">
            <v>B5ASA22</v>
          </cell>
          <cell r="B3040" t="str">
            <v xml:space="preserve">EXCELLO LAT MATE GRIS SW6001  </v>
          </cell>
          <cell r="C3040">
            <v>3</v>
          </cell>
          <cell r="D3040">
            <v>1095</v>
          </cell>
        </row>
        <row r="3041">
          <cell r="A3041" t="str">
            <v>B5ASA22-1</v>
          </cell>
          <cell r="B3041" t="str">
            <v xml:space="preserve">EXCELLO LAT MATE GRIS SW6001  </v>
          </cell>
          <cell r="C3041">
            <v>3</v>
          </cell>
          <cell r="D3041">
            <v>1095</v>
          </cell>
        </row>
        <row r="3042">
          <cell r="A3042" t="str">
            <v>B5ASA22-5</v>
          </cell>
          <cell r="B3042" t="str">
            <v xml:space="preserve">EXCELLO LAT MATE GRIS SW6001  </v>
          </cell>
          <cell r="C3042">
            <v>3</v>
          </cell>
          <cell r="D3042">
            <v>1095</v>
          </cell>
        </row>
        <row r="3043">
          <cell r="A3043" t="str">
            <v>B5ASA24-AE</v>
          </cell>
          <cell r="B3043" t="str">
            <v xml:space="preserve">EXCELLO LAT MATE GRAY SW 6169 </v>
          </cell>
          <cell r="C3043">
            <v>3</v>
          </cell>
          <cell r="D3043">
            <v>1095</v>
          </cell>
        </row>
        <row r="3044">
          <cell r="A3044" t="str">
            <v>B5ASA24AE-5</v>
          </cell>
          <cell r="B3044" t="str">
            <v xml:space="preserve">EXCELLO LAT MATE GRAY SW 6169 </v>
          </cell>
          <cell r="C3044">
            <v>3</v>
          </cell>
          <cell r="D3044">
            <v>1095</v>
          </cell>
        </row>
        <row r="3045">
          <cell r="A3045" t="str">
            <v>B5ASA25</v>
          </cell>
          <cell r="B3045" t="str">
            <v xml:space="preserve">EXCELLO LATEX MATE GRIS CEL   </v>
          </cell>
          <cell r="C3045">
            <v>3</v>
          </cell>
          <cell r="D3045">
            <v>1095</v>
          </cell>
        </row>
        <row r="3046">
          <cell r="A3046" t="str">
            <v>B5ASA25-1</v>
          </cell>
          <cell r="B3046" t="str">
            <v xml:space="preserve">EXCELLO LATEX MATE GRIS CEL   </v>
          </cell>
          <cell r="C3046">
            <v>3</v>
          </cell>
          <cell r="D3046">
            <v>1095</v>
          </cell>
        </row>
        <row r="3047">
          <cell r="A3047" t="str">
            <v>B5ASA26</v>
          </cell>
          <cell r="B3047" t="str">
            <v xml:space="preserve">EXCELLO LATEX MATE GRIS CLARO </v>
          </cell>
          <cell r="C3047">
            <v>3</v>
          </cell>
          <cell r="D3047">
            <v>1095</v>
          </cell>
        </row>
        <row r="3048">
          <cell r="A3048" t="str">
            <v>B5ASA26-5</v>
          </cell>
          <cell r="B3048" t="str">
            <v xml:space="preserve">EXCELLO LATEX MATE GRIS CLARO </v>
          </cell>
          <cell r="C3048">
            <v>3</v>
          </cell>
          <cell r="D3048">
            <v>1095</v>
          </cell>
        </row>
        <row r="3049">
          <cell r="A3049" t="str">
            <v>B5ASA27</v>
          </cell>
          <cell r="B3049" t="str">
            <v>EXCELLO LATEX MATE GRIS OSCURO</v>
          </cell>
          <cell r="C3049">
            <v>3</v>
          </cell>
          <cell r="D3049">
            <v>1095</v>
          </cell>
        </row>
        <row r="3050">
          <cell r="A3050" t="str">
            <v>B5ASA27-5</v>
          </cell>
          <cell r="B3050" t="str">
            <v>EXCELLO LATEX MATE GRIS OSCURO</v>
          </cell>
          <cell r="C3050">
            <v>3</v>
          </cell>
          <cell r="D3050">
            <v>1095</v>
          </cell>
        </row>
        <row r="3051">
          <cell r="A3051" t="str">
            <v>B5ASA8</v>
          </cell>
          <cell r="B3051" t="str">
            <v xml:space="preserve">EXCELLO LATEX ZODIAC GREY     </v>
          </cell>
          <cell r="C3051">
            <v>3</v>
          </cell>
          <cell r="D3051">
            <v>1095</v>
          </cell>
        </row>
        <row r="3052">
          <cell r="A3052" t="str">
            <v>B5ASA8-1</v>
          </cell>
          <cell r="B3052" t="str">
            <v xml:space="preserve">EXCELLO LATEX ZODIAC GREY     </v>
          </cell>
          <cell r="C3052">
            <v>3</v>
          </cell>
          <cell r="D3052">
            <v>1095</v>
          </cell>
        </row>
        <row r="3053">
          <cell r="A3053" t="str">
            <v>B5ASA8-5</v>
          </cell>
          <cell r="B3053" t="str">
            <v xml:space="preserve">EXCELLO LATEX ZODIAC GREY     </v>
          </cell>
          <cell r="C3053">
            <v>3</v>
          </cell>
          <cell r="D3053">
            <v>1095</v>
          </cell>
        </row>
        <row r="3054">
          <cell r="A3054" t="str">
            <v>B5ASA9</v>
          </cell>
          <cell r="B3054" t="str">
            <v xml:space="preserve">EXCELLO LATEX SNOWFIELD       </v>
          </cell>
          <cell r="C3054">
            <v>3</v>
          </cell>
          <cell r="D3054">
            <v>1095</v>
          </cell>
        </row>
        <row r="3055">
          <cell r="A3055" t="str">
            <v>B5ASA9-1</v>
          </cell>
          <cell r="B3055" t="str">
            <v xml:space="preserve">EXCELLO LATEX SNOWFIELD       </v>
          </cell>
          <cell r="C3055">
            <v>3</v>
          </cell>
          <cell r="D3055">
            <v>1095</v>
          </cell>
        </row>
        <row r="3056">
          <cell r="A3056" t="str">
            <v>B5ASA9-5</v>
          </cell>
          <cell r="B3056" t="str">
            <v xml:space="preserve">EXCELLO LATEX SNOWFIELD       </v>
          </cell>
          <cell r="C3056">
            <v>3</v>
          </cell>
          <cell r="D3056">
            <v>1095</v>
          </cell>
        </row>
        <row r="3057">
          <cell r="A3057" t="str">
            <v>B5BSA1</v>
          </cell>
          <cell r="B3057" t="str">
            <v xml:space="preserve">EXCELLO LATEX MATE NEGRO      </v>
          </cell>
          <cell r="C3057">
            <v>3</v>
          </cell>
          <cell r="D3057">
            <v>1095</v>
          </cell>
        </row>
        <row r="3058">
          <cell r="A3058" t="str">
            <v>B5BSA1-1</v>
          </cell>
          <cell r="B3058" t="str">
            <v xml:space="preserve">EXCELLO LATEX MATE NEGRO      </v>
          </cell>
          <cell r="C3058">
            <v>3</v>
          </cell>
          <cell r="D3058">
            <v>1095</v>
          </cell>
        </row>
        <row r="3059">
          <cell r="A3059" t="str">
            <v>B5BSA1-1/4</v>
          </cell>
          <cell r="B3059" t="str">
            <v xml:space="preserve">EXCELLO LATEX MATE NEGRO      </v>
          </cell>
          <cell r="C3059">
            <v>3</v>
          </cell>
          <cell r="D3059">
            <v>1095</v>
          </cell>
        </row>
        <row r="3060">
          <cell r="A3060" t="str">
            <v>B5BSA1-5</v>
          </cell>
          <cell r="B3060" t="str">
            <v xml:space="preserve">EXCELLO LATEX NEGRO           </v>
          </cell>
          <cell r="C3060">
            <v>3</v>
          </cell>
          <cell r="D3060">
            <v>1095</v>
          </cell>
        </row>
        <row r="3061">
          <cell r="A3061" t="str">
            <v>B5BSA1-BC</v>
          </cell>
          <cell r="B3061" t="str">
            <v xml:space="preserve">EXCELLO LATEX NEGRO-BC 0      </v>
          </cell>
          <cell r="C3061">
            <v>3</v>
          </cell>
          <cell r="D3061">
            <v>1095</v>
          </cell>
        </row>
        <row r="3062">
          <cell r="A3062" t="str">
            <v>B5BSA1BC-5</v>
          </cell>
          <cell r="B3062" t="str">
            <v xml:space="preserve">EXCELLO LATEX NEGRO-BC        </v>
          </cell>
          <cell r="C3062">
            <v>3</v>
          </cell>
          <cell r="D3062">
            <v>1095</v>
          </cell>
        </row>
        <row r="3063">
          <cell r="A3063" t="str">
            <v>B5ESA11</v>
          </cell>
          <cell r="B3063" t="str">
            <v xml:space="preserve">EXCELLO LATEX MELON           </v>
          </cell>
          <cell r="C3063">
            <v>3</v>
          </cell>
          <cell r="D3063">
            <v>1095</v>
          </cell>
        </row>
        <row r="3064">
          <cell r="A3064" t="str">
            <v>B5ESA11-1</v>
          </cell>
          <cell r="B3064" t="str">
            <v xml:space="preserve">EXCELLO LATEX MELON           </v>
          </cell>
          <cell r="C3064">
            <v>3</v>
          </cell>
          <cell r="D3064">
            <v>1095</v>
          </cell>
        </row>
        <row r="3065">
          <cell r="A3065" t="str">
            <v>B5ESA11-1/4</v>
          </cell>
          <cell r="B3065" t="str">
            <v xml:space="preserve">EXCELLO LATEX MELON           </v>
          </cell>
          <cell r="C3065">
            <v>3</v>
          </cell>
          <cell r="D3065">
            <v>1095</v>
          </cell>
        </row>
        <row r="3066">
          <cell r="A3066" t="str">
            <v>B5ESA11-5</v>
          </cell>
          <cell r="B3066" t="str">
            <v xml:space="preserve">EXCELLO LATEX MELON           </v>
          </cell>
          <cell r="C3066">
            <v>3</v>
          </cell>
          <cell r="D3066">
            <v>1095</v>
          </cell>
        </row>
        <row r="3067">
          <cell r="A3067" t="str">
            <v>B5ESA17</v>
          </cell>
          <cell r="B3067" t="str">
            <v xml:space="preserve">CT INT LATEX SATIN MANDARINA  </v>
          </cell>
          <cell r="C3067">
            <v>3</v>
          </cell>
          <cell r="D3067">
            <v>1095</v>
          </cell>
        </row>
        <row r="3068">
          <cell r="A3068" t="str">
            <v>B5ESA17-1</v>
          </cell>
          <cell r="B3068" t="str">
            <v xml:space="preserve">CT INT LATEX SATIN MANDARINA  </v>
          </cell>
          <cell r="C3068">
            <v>3</v>
          </cell>
          <cell r="D3068">
            <v>1095</v>
          </cell>
        </row>
        <row r="3069">
          <cell r="A3069" t="str">
            <v>B5ESA17-1/4</v>
          </cell>
          <cell r="B3069" t="str">
            <v xml:space="preserve">CT INT LATEX SATIN MANDARINA  </v>
          </cell>
          <cell r="C3069">
            <v>3</v>
          </cell>
          <cell r="D3069">
            <v>1095</v>
          </cell>
        </row>
        <row r="3070">
          <cell r="A3070" t="str">
            <v>B5ESA18</v>
          </cell>
          <cell r="B3070" t="str">
            <v>EXCELLO LAT SATIN PANTONE 021C</v>
          </cell>
          <cell r="C3070">
            <v>3</v>
          </cell>
          <cell r="D3070">
            <v>1095</v>
          </cell>
        </row>
        <row r="3071">
          <cell r="A3071" t="str">
            <v>B5ESA18-1</v>
          </cell>
          <cell r="B3071" t="str">
            <v>EXCELLO LAT SATIN PANTONE 021C</v>
          </cell>
          <cell r="C3071">
            <v>3</v>
          </cell>
          <cell r="D3071">
            <v>1095</v>
          </cell>
        </row>
        <row r="3072">
          <cell r="A3072" t="str">
            <v>B5ESA24</v>
          </cell>
          <cell r="B3072" t="str">
            <v xml:space="preserve">EXCELLO LATEX MATE NARANJA    </v>
          </cell>
          <cell r="C3072">
            <v>3</v>
          </cell>
          <cell r="D3072">
            <v>1095</v>
          </cell>
        </row>
        <row r="3073">
          <cell r="A3073" t="str">
            <v>B5ESA24-1</v>
          </cell>
          <cell r="B3073" t="str">
            <v xml:space="preserve">EXCELLO LATEX MATE NARANJA    </v>
          </cell>
          <cell r="C3073">
            <v>3</v>
          </cell>
          <cell r="D3073">
            <v>1095</v>
          </cell>
        </row>
        <row r="3074">
          <cell r="A3074" t="str">
            <v>B5ESA26-AE</v>
          </cell>
          <cell r="B3074" t="str">
            <v xml:space="preserve">EXCELLO LATEX MATE SPUN SUGAR </v>
          </cell>
          <cell r="C3074">
            <v>3</v>
          </cell>
          <cell r="D3074">
            <v>1095</v>
          </cell>
        </row>
        <row r="3075">
          <cell r="A3075" t="str">
            <v>B5ESA26AE-5</v>
          </cell>
          <cell r="B3075" t="str">
            <v xml:space="preserve">EXCELLO LATEX MATE SPUN SUGAR </v>
          </cell>
          <cell r="C3075">
            <v>3</v>
          </cell>
          <cell r="D3075">
            <v>1095</v>
          </cell>
        </row>
        <row r="3076">
          <cell r="A3076" t="str">
            <v>B5ESA28</v>
          </cell>
          <cell r="B3076" t="str">
            <v xml:space="preserve">EXCELLO LATEX MATE NARANJA    </v>
          </cell>
          <cell r="C3076">
            <v>3</v>
          </cell>
          <cell r="D3076">
            <v>1095</v>
          </cell>
        </row>
        <row r="3077">
          <cell r="A3077" t="str">
            <v>B5ESA28-5</v>
          </cell>
          <cell r="B3077" t="str">
            <v xml:space="preserve">EXCELLO LATEX MATE NARANJA    </v>
          </cell>
          <cell r="C3077">
            <v>3</v>
          </cell>
          <cell r="D3077">
            <v>1095</v>
          </cell>
        </row>
        <row r="3078">
          <cell r="A3078" t="str">
            <v>B5ESA3</v>
          </cell>
          <cell r="B3078" t="str">
            <v xml:space="preserve">EXCELLO LATEX MATE MELOCOTON  </v>
          </cell>
          <cell r="C3078">
            <v>3</v>
          </cell>
          <cell r="D3078">
            <v>1095</v>
          </cell>
        </row>
        <row r="3079">
          <cell r="A3079" t="str">
            <v>B5ESA3-1</v>
          </cell>
          <cell r="B3079" t="str">
            <v xml:space="preserve">EXCELLO LATEX MATE MELOCOTON  </v>
          </cell>
          <cell r="C3079">
            <v>3</v>
          </cell>
          <cell r="D3079">
            <v>1095</v>
          </cell>
        </row>
        <row r="3080">
          <cell r="A3080" t="str">
            <v>B5ESA3-1/4</v>
          </cell>
          <cell r="B3080" t="str">
            <v xml:space="preserve">EXCELLO LATEX MATE MELOCOTON  </v>
          </cell>
          <cell r="C3080">
            <v>3</v>
          </cell>
          <cell r="D3080">
            <v>1095</v>
          </cell>
        </row>
        <row r="3081">
          <cell r="A3081" t="str">
            <v>B5ESA3-5</v>
          </cell>
          <cell r="B3081" t="str">
            <v xml:space="preserve">EXCELLO LATEX MATE MELOCOTON  </v>
          </cell>
          <cell r="C3081">
            <v>3</v>
          </cell>
          <cell r="D3081">
            <v>1095</v>
          </cell>
        </row>
        <row r="3082">
          <cell r="A3082" t="str">
            <v>B5ESA3-50</v>
          </cell>
          <cell r="B3082" t="str">
            <v xml:space="preserve">EXCELLO LATEX MELOCOTON       </v>
          </cell>
          <cell r="C3082">
            <v>3</v>
          </cell>
          <cell r="D3082">
            <v>1095</v>
          </cell>
        </row>
        <row r="3083">
          <cell r="A3083" t="str">
            <v>B5G84</v>
          </cell>
          <cell r="B3083" t="str">
            <v>EXCELLO LATEX MAT VERDE ALEGRE</v>
          </cell>
          <cell r="C3083">
            <v>3</v>
          </cell>
          <cell r="D3083">
            <v>1095</v>
          </cell>
        </row>
        <row r="3084">
          <cell r="A3084" t="str">
            <v>B5G84-1</v>
          </cell>
          <cell r="B3084" t="str">
            <v>EXCELLO LATEX MAT VERDE ALEGRE</v>
          </cell>
          <cell r="C3084">
            <v>3</v>
          </cell>
          <cell r="D3084">
            <v>1095</v>
          </cell>
        </row>
        <row r="3085">
          <cell r="A3085" t="str">
            <v>B5G84-1/4</v>
          </cell>
          <cell r="B3085" t="str">
            <v>EXCELLO LATEX MAT VERDE ALEGRE</v>
          </cell>
          <cell r="C3085">
            <v>3</v>
          </cell>
          <cell r="D3085">
            <v>1095</v>
          </cell>
        </row>
        <row r="3086">
          <cell r="A3086" t="str">
            <v>B5G84-5</v>
          </cell>
          <cell r="B3086" t="str">
            <v xml:space="preserve">EXCELLO LATEX VERDE ALEGRE    </v>
          </cell>
          <cell r="C3086">
            <v>3</v>
          </cell>
          <cell r="D3086">
            <v>1095</v>
          </cell>
        </row>
        <row r="3087">
          <cell r="A3087" t="str">
            <v>B5GSA12</v>
          </cell>
          <cell r="B3087" t="str">
            <v>EXCE LATEX MAT AQUA CRISTALINO</v>
          </cell>
          <cell r="C3087">
            <v>3</v>
          </cell>
          <cell r="D3087">
            <v>1095</v>
          </cell>
        </row>
        <row r="3088">
          <cell r="A3088" t="str">
            <v>B5GSA12-1</v>
          </cell>
          <cell r="B3088" t="str">
            <v>EXCE LATEX MAT AQUA CRISTALINO</v>
          </cell>
          <cell r="C3088">
            <v>3</v>
          </cell>
          <cell r="D3088">
            <v>1095</v>
          </cell>
        </row>
        <row r="3089">
          <cell r="A3089" t="str">
            <v>B5GSA12-1/4</v>
          </cell>
          <cell r="B3089" t="str">
            <v>EXCE LATEX MAT AQUA CRISTALINO</v>
          </cell>
          <cell r="C3089">
            <v>3</v>
          </cell>
          <cell r="D3089">
            <v>1095</v>
          </cell>
        </row>
        <row r="3090">
          <cell r="A3090" t="str">
            <v>B5GSA12-5</v>
          </cell>
          <cell r="B3090" t="str">
            <v xml:space="preserve">EXCELLO LATEX AQUA CRISTALINO </v>
          </cell>
          <cell r="C3090">
            <v>3</v>
          </cell>
          <cell r="D3090">
            <v>1095</v>
          </cell>
        </row>
        <row r="3091">
          <cell r="A3091" t="str">
            <v>B5GSA13</v>
          </cell>
          <cell r="B3091" t="str">
            <v>EXCE LAT MAT VERDE REFRESCANTE</v>
          </cell>
          <cell r="C3091">
            <v>3</v>
          </cell>
          <cell r="D3091">
            <v>1095</v>
          </cell>
        </row>
        <row r="3092">
          <cell r="A3092" t="str">
            <v>B5GSA13-1</v>
          </cell>
          <cell r="B3092" t="str">
            <v>EXCE LAT MAT VERDE REFRESCANTE</v>
          </cell>
          <cell r="C3092">
            <v>3</v>
          </cell>
          <cell r="D3092">
            <v>1095</v>
          </cell>
        </row>
        <row r="3093">
          <cell r="A3093" t="str">
            <v>B5GSA13-1/4</v>
          </cell>
          <cell r="B3093" t="str">
            <v>EXCE LAT MAT VERDE REFRESCANTE</v>
          </cell>
          <cell r="C3093">
            <v>3</v>
          </cell>
          <cell r="D3093">
            <v>1095</v>
          </cell>
        </row>
        <row r="3094">
          <cell r="A3094" t="str">
            <v>B5GSA13-5</v>
          </cell>
          <cell r="B3094" t="str">
            <v xml:space="preserve">EXCELLO LAT VERDE REFRESCANTE </v>
          </cell>
          <cell r="C3094">
            <v>3</v>
          </cell>
          <cell r="D3094">
            <v>1095</v>
          </cell>
        </row>
        <row r="3095">
          <cell r="A3095" t="str">
            <v>B5GSA13-50</v>
          </cell>
          <cell r="B3095" t="str">
            <v xml:space="preserve">EXCELLO LAT VERDE REFRESCANTE </v>
          </cell>
          <cell r="C3095">
            <v>3</v>
          </cell>
          <cell r="D3095">
            <v>1095</v>
          </cell>
        </row>
        <row r="3096">
          <cell r="A3096" t="str">
            <v>B5GSA15</v>
          </cell>
          <cell r="B3096" t="str">
            <v>EXCELLO LATEX MATE VERDE MUSGO</v>
          </cell>
          <cell r="C3096">
            <v>3</v>
          </cell>
          <cell r="D3096">
            <v>1095</v>
          </cell>
        </row>
        <row r="3097">
          <cell r="A3097" t="str">
            <v>B5GSA15-1</v>
          </cell>
          <cell r="B3097" t="str">
            <v>EXCELLO LATEX MATE VERDE MUSGO</v>
          </cell>
          <cell r="C3097">
            <v>3</v>
          </cell>
          <cell r="D3097">
            <v>1095</v>
          </cell>
        </row>
        <row r="3098">
          <cell r="A3098" t="str">
            <v>B5GSA15-1/4</v>
          </cell>
          <cell r="B3098" t="str">
            <v>EXCELLO LATEX MATE VERDE MUSGO</v>
          </cell>
          <cell r="C3098">
            <v>3</v>
          </cell>
          <cell r="D3098">
            <v>1095</v>
          </cell>
        </row>
        <row r="3099">
          <cell r="A3099" t="str">
            <v>B5GSA15-5</v>
          </cell>
          <cell r="B3099" t="str">
            <v xml:space="preserve">EXCELLO LATEX ARTESANAL VERDE </v>
          </cell>
          <cell r="C3099">
            <v>3</v>
          </cell>
          <cell r="D3099">
            <v>1095</v>
          </cell>
        </row>
        <row r="3100">
          <cell r="A3100" t="str">
            <v>B5GSA30</v>
          </cell>
          <cell r="B3100" t="str">
            <v>CT INT LATEX SAT VERDE HELECHO</v>
          </cell>
          <cell r="C3100">
            <v>3</v>
          </cell>
          <cell r="D3100">
            <v>1095</v>
          </cell>
        </row>
        <row r="3101">
          <cell r="A3101" t="str">
            <v>B5GSA30-1</v>
          </cell>
          <cell r="B3101" t="str">
            <v>CT INT LATEX SAT VERDE HELECHO</v>
          </cell>
          <cell r="C3101">
            <v>3</v>
          </cell>
          <cell r="D3101">
            <v>1095</v>
          </cell>
        </row>
        <row r="3102">
          <cell r="A3102" t="str">
            <v>B5GSA30-1/4</v>
          </cell>
          <cell r="B3102" t="str">
            <v>CT INT LATEX SAT VERDE HELECHO</v>
          </cell>
          <cell r="C3102">
            <v>3</v>
          </cell>
          <cell r="D3102">
            <v>1095</v>
          </cell>
        </row>
        <row r="3103">
          <cell r="A3103" t="str">
            <v>B5GSA31</v>
          </cell>
          <cell r="B3103" t="str">
            <v xml:space="preserve">EXCELLO LATEX MATE DILLWEED   </v>
          </cell>
          <cell r="C3103">
            <v>3</v>
          </cell>
          <cell r="D3103">
            <v>1095</v>
          </cell>
        </row>
        <row r="3104">
          <cell r="A3104" t="str">
            <v>B5GSA31-5</v>
          </cell>
          <cell r="B3104" t="str">
            <v xml:space="preserve">EXCELLO LATEX MATE DILLWEED   </v>
          </cell>
          <cell r="C3104">
            <v>3</v>
          </cell>
          <cell r="D3104">
            <v>1095</v>
          </cell>
        </row>
        <row r="3105">
          <cell r="A3105" t="str">
            <v>B5GSA33-AE</v>
          </cell>
          <cell r="B3105" t="str">
            <v xml:space="preserve">EXCELLO LATEX WILD SAGE       </v>
          </cell>
          <cell r="C3105">
            <v>3</v>
          </cell>
          <cell r="D3105">
            <v>1095</v>
          </cell>
        </row>
        <row r="3106">
          <cell r="A3106" t="str">
            <v>B5GSA33AE-1</v>
          </cell>
          <cell r="B3106" t="str">
            <v xml:space="preserve">EXCELLO LATEX WILD SAGE       </v>
          </cell>
          <cell r="C3106">
            <v>3</v>
          </cell>
          <cell r="D3106">
            <v>1095</v>
          </cell>
        </row>
        <row r="3107">
          <cell r="A3107" t="str">
            <v>B5GSA33AE-5</v>
          </cell>
          <cell r="B3107" t="str">
            <v xml:space="preserve">EXCELLO LATEX WILD SAGE       </v>
          </cell>
          <cell r="C3107">
            <v>3</v>
          </cell>
          <cell r="D3107">
            <v>1095</v>
          </cell>
        </row>
        <row r="3108">
          <cell r="A3108" t="str">
            <v>B5GSA35</v>
          </cell>
          <cell r="B3108" t="str">
            <v>EXCELLO LATEX MATE VERDE MUSGO</v>
          </cell>
          <cell r="C3108">
            <v>3</v>
          </cell>
          <cell r="D3108">
            <v>1095</v>
          </cell>
        </row>
        <row r="3109">
          <cell r="A3109" t="str">
            <v>B5GSA35-1</v>
          </cell>
          <cell r="B3109" t="str">
            <v>EXCELLO LATEX MATE VERDE MUSGO</v>
          </cell>
          <cell r="C3109">
            <v>3</v>
          </cell>
          <cell r="D3109">
            <v>1095</v>
          </cell>
        </row>
        <row r="3110">
          <cell r="A3110" t="str">
            <v>B5GSA39</v>
          </cell>
          <cell r="B3110" t="str">
            <v>EXCELLO LATEX MATE VERDE RURAL</v>
          </cell>
          <cell r="C3110">
            <v>3</v>
          </cell>
          <cell r="D3110">
            <v>1095</v>
          </cell>
        </row>
        <row r="3111">
          <cell r="A3111" t="str">
            <v>B5GSA39-5</v>
          </cell>
          <cell r="B3111" t="str">
            <v>EXCELLO LATEX MATE VERDE RURAL</v>
          </cell>
          <cell r="C3111">
            <v>3</v>
          </cell>
          <cell r="D3111">
            <v>1095</v>
          </cell>
        </row>
        <row r="3112">
          <cell r="A3112" t="str">
            <v>B5GSA40</v>
          </cell>
          <cell r="B3112" t="str">
            <v>EXCELLO LAT MATE VERDE SW-6192</v>
          </cell>
          <cell r="C3112">
            <v>3</v>
          </cell>
          <cell r="D3112">
            <v>1095</v>
          </cell>
        </row>
        <row r="3113">
          <cell r="A3113" t="str">
            <v>B5GSA40-5</v>
          </cell>
          <cell r="B3113" t="str">
            <v>EXCELLO LAT MATE VERDE SW-6192</v>
          </cell>
          <cell r="C3113">
            <v>3</v>
          </cell>
          <cell r="D3113">
            <v>1095</v>
          </cell>
        </row>
        <row r="3114">
          <cell r="A3114" t="str">
            <v>B5GSA47</v>
          </cell>
          <cell r="B3114" t="str">
            <v>EXCELLO LAT MATE VERDE SW-6192</v>
          </cell>
          <cell r="C3114">
            <v>3</v>
          </cell>
          <cell r="D3114">
            <v>1095</v>
          </cell>
        </row>
        <row r="3115">
          <cell r="A3115" t="str">
            <v>B5GSA47-5</v>
          </cell>
          <cell r="B3115" t="str">
            <v>EXCELLO LAT MATE VERDE SW-6192</v>
          </cell>
          <cell r="C3115">
            <v>3</v>
          </cell>
          <cell r="D3115">
            <v>1095</v>
          </cell>
        </row>
        <row r="3116">
          <cell r="A3116" t="str">
            <v>B5GSA51</v>
          </cell>
          <cell r="B3116" t="str">
            <v xml:space="preserve">EXCELLO LAT MATE SVELTED SAGE </v>
          </cell>
          <cell r="C3116">
            <v>3</v>
          </cell>
          <cell r="D3116">
            <v>1095</v>
          </cell>
        </row>
        <row r="3117">
          <cell r="A3117" t="str">
            <v>B5GSA51-5</v>
          </cell>
          <cell r="B3117" t="str">
            <v xml:space="preserve">EXCELLO LAT MATE SVELTED SAGE </v>
          </cell>
          <cell r="C3117">
            <v>3</v>
          </cell>
          <cell r="D3117">
            <v>1095</v>
          </cell>
        </row>
        <row r="3118">
          <cell r="A3118" t="str">
            <v>B5GSA52</v>
          </cell>
          <cell r="B3118" t="str">
            <v xml:space="preserve">EXCELLO LATEX MATE  SW 6186   </v>
          </cell>
          <cell r="C3118">
            <v>3</v>
          </cell>
          <cell r="D3118">
            <v>1095</v>
          </cell>
        </row>
        <row r="3119">
          <cell r="A3119" t="str">
            <v>B5GSA52-5</v>
          </cell>
          <cell r="B3119" t="str">
            <v xml:space="preserve">EXCELLO LATEX MATE  SW 6186   </v>
          </cell>
          <cell r="C3119">
            <v>3</v>
          </cell>
          <cell r="D3119">
            <v>1095</v>
          </cell>
        </row>
        <row r="3120">
          <cell r="A3120" t="str">
            <v>B5GSA53</v>
          </cell>
          <cell r="B3120" t="str">
            <v xml:space="preserve">EXCELLO LATEX VERDE INTENSO   </v>
          </cell>
          <cell r="C3120">
            <v>3</v>
          </cell>
          <cell r="D3120">
            <v>1095</v>
          </cell>
        </row>
        <row r="3121">
          <cell r="A3121" t="str">
            <v>B5GSA53-5</v>
          </cell>
          <cell r="B3121" t="str">
            <v xml:space="preserve">EXCELLO LATEX VERDE INTENSO   </v>
          </cell>
          <cell r="C3121">
            <v>3</v>
          </cell>
          <cell r="D3121">
            <v>1095</v>
          </cell>
        </row>
        <row r="3122">
          <cell r="A3122" t="str">
            <v>B5GSA54</v>
          </cell>
          <cell r="B3122" t="str">
            <v xml:space="preserve">EXCELLO LATEX MATE VERDE      </v>
          </cell>
          <cell r="C3122">
            <v>3</v>
          </cell>
          <cell r="D3122">
            <v>1095</v>
          </cell>
        </row>
        <row r="3123">
          <cell r="A3123" t="str">
            <v>B5GSA54-5</v>
          </cell>
          <cell r="B3123" t="str">
            <v xml:space="preserve">EXCELLO LATEX MATE VERDE      </v>
          </cell>
          <cell r="C3123">
            <v>3</v>
          </cell>
          <cell r="D3123">
            <v>1095</v>
          </cell>
        </row>
        <row r="3124">
          <cell r="A3124" t="str">
            <v>B5GSA55-AE</v>
          </cell>
          <cell r="B3124" t="str">
            <v xml:space="preserve">EXCELLO LATEX VERDE FERTICA   </v>
          </cell>
          <cell r="C3124">
            <v>3</v>
          </cell>
          <cell r="D3124">
            <v>1095</v>
          </cell>
        </row>
        <row r="3125">
          <cell r="A3125" t="str">
            <v>B5GSA55AE-5</v>
          </cell>
          <cell r="B3125" t="str">
            <v xml:space="preserve">EXCELLO LATEX VERDE FERTICA   </v>
          </cell>
          <cell r="C3125">
            <v>3</v>
          </cell>
          <cell r="D3125">
            <v>1095</v>
          </cell>
        </row>
        <row r="3126">
          <cell r="A3126" t="str">
            <v>B5H22</v>
          </cell>
          <cell r="B3126" t="str">
            <v xml:space="preserve">EXCELLO LATEX MATE MARFIL     </v>
          </cell>
          <cell r="C3126">
            <v>3</v>
          </cell>
          <cell r="D3126">
            <v>1095</v>
          </cell>
        </row>
        <row r="3127">
          <cell r="A3127" t="str">
            <v>B5H22-1</v>
          </cell>
          <cell r="B3127" t="str">
            <v xml:space="preserve">EXCELLO LATEX MATE MARFIL     </v>
          </cell>
          <cell r="C3127">
            <v>3</v>
          </cell>
          <cell r="D3127">
            <v>1095</v>
          </cell>
        </row>
        <row r="3128">
          <cell r="A3128" t="str">
            <v>B5H22-1/4</v>
          </cell>
          <cell r="B3128" t="str">
            <v xml:space="preserve">EXCELLO LATEX MATE MARFIL     </v>
          </cell>
          <cell r="C3128">
            <v>3</v>
          </cell>
          <cell r="D3128">
            <v>1095</v>
          </cell>
        </row>
        <row r="3129">
          <cell r="A3129" t="str">
            <v>B5H22-5</v>
          </cell>
          <cell r="B3129" t="str">
            <v xml:space="preserve">EXCELLO LATEX MATE MARFIL     </v>
          </cell>
          <cell r="C3129">
            <v>3</v>
          </cell>
          <cell r="D3129">
            <v>1095</v>
          </cell>
        </row>
        <row r="3130">
          <cell r="A3130" t="str">
            <v>B5H22-50</v>
          </cell>
          <cell r="B3130" t="str">
            <v xml:space="preserve">EXCELLO LATEX MARFIL          </v>
          </cell>
          <cell r="C3130">
            <v>3</v>
          </cell>
          <cell r="D3130">
            <v>1095</v>
          </cell>
        </row>
        <row r="3131">
          <cell r="A3131" t="str">
            <v>B5H22-AE</v>
          </cell>
          <cell r="B3131" t="str">
            <v xml:space="preserve">EXCELLO LATEX MATE MARFIL     </v>
          </cell>
          <cell r="C3131">
            <v>3</v>
          </cell>
          <cell r="D3131">
            <v>1095</v>
          </cell>
        </row>
        <row r="3132">
          <cell r="A3132" t="str">
            <v>B5H22AE-1</v>
          </cell>
          <cell r="B3132" t="str">
            <v xml:space="preserve">EXCELLO LATEX MATE MARFIL     </v>
          </cell>
          <cell r="C3132">
            <v>3</v>
          </cell>
          <cell r="D3132">
            <v>1095</v>
          </cell>
        </row>
        <row r="3133">
          <cell r="A3133" t="str">
            <v>B5H22AE-1/4</v>
          </cell>
          <cell r="B3133" t="str">
            <v xml:space="preserve">EXCELLO LATEX MARFIL          </v>
          </cell>
          <cell r="C3133">
            <v>3</v>
          </cell>
          <cell r="D3133">
            <v>1095</v>
          </cell>
        </row>
        <row r="3134">
          <cell r="A3134" t="str">
            <v>B5H22AE-5</v>
          </cell>
          <cell r="B3134" t="str">
            <v xml:space="preserve">EXCELLO LATEX MATE MARFIL     </v>
          </cell>
          <cell r="C3134">
            <v>3</v>
          </cell>
          <cell r="D3134">
            <v>1095</v>
          </cell>
        </row>
        <row r="3135">
          <cell r="A3135" t="str">
            <v>B5HSA11</v>
          </cell>
          <cell r="B3135" t="str">
            <v xml:space="preserve">EXCELLO LATEX MARFIL COMALAPA </v>
          </cell>
          <cell r="C3135">
            <v>3</v>
          </cell>
          <cell r="D3135">
            <v>1095</v>
          </cell>
        </row>
        <row r="3136">
          <cell r="A3136" t="str">
            <v>B5HSA11-5</v>
          </cell>
          <cell r="B3136" t="str">
            <v xml:space="preserve">EXCELLO LATEX MARFIL COMALAPA </v>
          </cell>
          <cell r="C3136">
            <v>3</v>
          </cell>
          <cell r="D3136">
            <v>1095</v>
          </cell>
        </row>
        <row r="3137">
          <cell r="A3137" t="str">
            <v>B5HSA12</v>
          </cell>
          <cell r="B3137" t="str">
            <v xml:space="preserve">EXCELLO LATEX MARFIL ESPECIAL </v>
          </cell>
          <cell r="C3137">
            <v>3</v>
          </cell>
          <cell r="D3137">
            <v>1095</v>
          </cell>
        </row>
        <row r="3138">
          <cell r="A3138" t="str">
            <v>B5HSA12-5</v>
          </cell>
          <cell r="B3138" t="str">
            <v xml:space="preserve">EXCELLO LATEX MARFIL ESPECIAL </v>
          </cell>
          <cell r="C3138">
            <v>3</v>
          </cell>
          <cell r="D3138">
            <v>1095</v>
          </cell>
        </row>
        <row r="3139">
          <cell r="A3139" t="str">
            <v>B5HSA18</v>
          </cell>
          <cell r="B3139" t="str">
            <v xml:space="preserve">EXCELLO LATEX MARFIL OSCURO   </v>
          </cell>
          <cell r="C3139">
            <v>3</v>
          </cell>
          <cell r="D3139">
            <v>1095</v>
          </cell>
        </row>
        <row r="3140">
          <cell r="A3140" t="str">
            <v>B5HSA18-5</v>
          </cell>
          <cell r="B3140" t="str">
            <v xml:space="preserve">EXCELLO LATEX MARFIL OSCURO   </v>
          </cell>
          <cell r="C3140">
            <v>3</v>
          </cell>
          <cell r="D3140">
            <v>1095</v>
          </cell>
        </row>
        <row r="3141">
          <cell r="A3141" t="str">
            <v>B5HSA24-AE</v>
          </cell>
          <cell r="B3141" t="str">
            <v>EXCELLO LAT MATE BILTMORE BUFF</v>
          </cell>
          <cell r="C3141">
            <v>3</v>
          </cell>
          <cell r="D3141">
            <v>1095</v>
          </cell>
        </row>
        <row r="3142">
          <cell r="A3142" t="str">
            <v>B5HSA24AE-1</v>
          </cell>
          <cell r="B3142" t="str">
            <v>EXCELLO LAT MATE BILTMORE BUFF</v>
          </cell>
          <cell r="C3142">
            <v>3</v>
          </cell>
          <cell r="D3142">
            <v>1095</v>
          </cell>
        </row>
        <row r="3143">
          <cell r="A3143" t="str">
            <v>B5HSA24AE-5</v>
          </cell>
          <cell r="B3143" t="str">
            <v>EXCELLO LAT MATE BILTMORE BUFF</v>
          </cell>
          <cell r="C3143">
            <v>3</v>
          </cell>
          <cell r="D3143">
            <v>1095</v>
          </cell>
        </row>
        <row r="3144">
          <cell r="A3144" t="str">
            <v>B5HSA26-AE</v>
          </cell>
          <cell r="B3144" t="str">
            <v xml:space="preserve">EXCELLO LAT MATE CONCORD BUFF </v>
          </cell>
          <cell r="C3144">
            <v>3</v>
          </cell>
          <cell r="D3144">
            <v>1095</v>
          </cell>
        </row>
        <row r="3145">
          <cell r="A3145" t="str">
            <v>B5HSA26AE-1</v>
          </cell>
          <cell r="B3145" t="str">
            <v xml:space="preserve">EXCELLO LAT MATE CONCORD BUFF </v>
          </cell>
          <cell r="C3145">
            <v>3</v>
          </cell>
          <cell r="D3145">
            <v>1095</v>
          </cell>
        </row>
        <row r="3146">
          <cell r="A3146" t="str">
            <v>B5HSA26AE-5</v>
          </cell>
          <cell r="B3146" t="str">
            <v xml:space="preserve">EXCELLO LAT MATE CONCORD BUFF </v>
          </cell>
          <cell r="C3146">
            <v>3</v>
          </cell>
          <cell r="D3146">
            <v>1095</v>
          </cell>
        </row>
        <row r="3147">
          <cell r="A3147" t="str">
            <v>B5HSA26AE-50</v>
          </cell>
          <cell r="B3147" t="str">
            <v xml:space="preserve">EXCELLO LAT MATE CONCORD BUFF </v>
          </cell>
          <cell r="C3147">
            <v>3</v>
          </cell>
          <cell r="D3147">
            <v>1095</v>
          </cell>
        </row>
        <row r="3148">
          <cell r="A3148" t="str">
            <v>B5HSA33</v>
          </cell>
          <cell r="B3148" t="str">
            <v>EXCELLO LAT MATE NAPERY SW6386</v>
          </cell>
          <cell r="C3148">
            <v>3</v>
          </cell>
          <cell r="D3148">
            <v>1095</v>
          </cell>
        </row>
        <row r="3149">
          <cell r="A3149" t="str">
            <v>B5HSA33-5</v>
          </cell>
          <cell r="B3149" t="str">
            <v>EXCELLO LAT MATE NAPERY SW6386</v>
          </cell>
          <cell r="C3149">
            <v>3</v>
          </cell>
          <cell r="D3149">
            <v>1095</v>
          </cell>
        </row>
        <row r="3150">
          <cell r="A3150" t="str">
            <v>B5HSA34</v>
          </cell>
          <cell r="B3150" t="str">
            <v>EXCELLO LAT MATE MARFIL FUJITA</v>
          </cell>
          <cell r="C3150">
            <v>3</v>
          </cell>
          <cell r="D3150">
            <v>1095</v>
          </cell>
        </row>
        <row r="3151">
          <cell r="A3151" t="str">
            <v>B5HSA34-5</v>
          </cell>
          <cell r="B3151" t="str">
            <v>EXCELLO LAT MATE MARFIL FUJITA</v>
          </cell>
          <cell r="C3151">
            <v>3</v>
          </cell>
          <cell r="D3151">
            <v>1095</v>
          </cell>
        </row>
        <row r="3152">
          <cell r="A3152" t="str">
            <v>B5HSA35</v>
          </cell>
          <cell r="B3152" t="str">
            <v xml:space="preserve">EXCELLO LATEX MATE MARFIL     </v>
          </cell>
          <cell r="C3152">
            <v>3</v>
          </cell>
          <cell r="D3152">
            <v>1095</v>
          </cell>
        </row>
        <row r="3153">
          <cell r="A3153" t="str">
            <v>B5HSA35-1</v>
          </cell>
          <cell r="B3153" t="str">
            <v xml:space="preserve">EXCELLO LATEX MATE MARFIL     </v>
          </cell>
          <cell r="C3153">
            <v>3</v>
          </cell>
          <cell r="D3153">
            <v>1095</v>
          </cell>
        </row>
        <row r="3154">
          <cell r="A3154" t="str">
            <v>B5HSA36</v>
          </cell>
          <cell r="B3154" t="str">
            <v xml:space="preserve">EXCELLO LATEX MATE GOLDEN     </v>
          </cell>
          <cell r="C3154">
            <v>3</v>
          </cell>
          <cell r="D3154">
            <v>1095</v>
          </cell>
        </row>
        <row r="3155">
          <cell r="A3155" t="str">
            <v>B5HSA36-50</v>
          </cell>
          <cell r="B3155" t="str">
            <v xml:space="preserve">EXCELLO LATEX MATE GOLDEN     </v>
          </cell>
          <cell r="C3155">
            <v>3</v>
          </cell>
          <cell r="D3155">
            <v>1095</v>
          </cell>
        </row>
        <row r="3156">
          <cell r="A3156" t="str">
            <v>B5HSA37</v>
          </cell>
          <cell r="B3156" t="str">
            <v xml:space="preserve">EXCELLO LAT MATE BRASIL NUT   </v>
          </cell>
          <cell r="C3156">
            <v>3</v>
          </cell>
          <cell r="D3156">
            <v>1095</v>
          </cell>
        </row>
        <row r="3157">
          <cell r="A3157" t="str">
            <v>B5HSA37-5</v>
          </cell>
          <cell r="B3157" t="str">
            <v xml:space="preserve">EXCELLO LAT MATE BRASIL NUT   </v>
          </cell>
          <cell r="C3157">
            <v>3</v>
          </cell>
          <cell r="D3157">
            <v>1095</v>
          </cell>
        </row>
        <row r="3158">
          <cell r="A3158" t="str">
            <v>B5HSA6</v>
          </cell>
          <cell r="B3158" t="str">
            <v>EXCELLO LATEX MAT MARFIL SUAVE</v>
          </cell>
          <cell r="C3158">
            <v>3</v>
          </cell>
          <cell r="D3158">
            <v>1095</v>
          </cell>
        </row>
        <row r="3159">
          <cell r="A3159" t="str">
            <v>B5HSA6-1</v>
          </cell>
          <cell r="B3159" t="str">
            <v>EXCELLO LATEX MAT MARFIL SUAVE</v>
          </cell>
          <cell r="C3159">
            <v>3</v>
          </cell>
          <cell r="D3159">
            <v>1095</v>
          </cell>
        </row>
        <row r="3160">
          <cell r="A3160" t="str">
            <v>B5HSA6-1/4</v>
          </cell>
          <cell r="B3160" t="str">
            <v>EXCELLO LATEX MAT MARFIL SUAVE</v>
          </cell>
          <cell r="C3160">
            <v>3</v>
          </cell>
          <cell r="D3160">
            <v>1095</v>
          </cell>
        </row>
        <row r="3161">
          <cell r="A3161" t="str">
            <v>B5HSA6-5</v>
          </cell>
          <cell r="B3161" t="str">
            <v>EXCELLO LATEX MAT MARFIL SUAVE</v>
          </cell>
          <cell r="C3161">
            <v>3</v>
          </cell>
          <cell r="D3161">
            <v>1095</v>
          </cell>
        </row>
        <row r="3162">
          <cell r="A3162" t="str">
            <v>B5HSA6-50</v>
          </cell>
          <cell r="B3162" t="str">
            <v xml:space="preserve">EXCELLO LATEX MARFIL SUAVE    </v>
          </cell>
          <cell r="C3162">
            <v>3</v>
          </cell>
          <cell r="D3162">
            <v>1095</v>
          </cell>
        </row>
        <row r="3163">
          <cell r="A3163" t="str">
            <v>B5HSA6-AE</v>
          </cell>
          <cell r="B3163" t="str">
            <v>EXCELLO LATEX MAT MARFIL SUAVE</v>
          </cell>
          <cell r="C3163">
            <v>3</v>
          </cell>
          <cell r="D3163">
            <v>1095</v>
          </cell>
        </row>
        <row r="3164">
          <cell r="A3164" t="str">
            <v>B5HSA6AE-1</v>
          </cell>
          <cell r="B3164" t="str">
            <v>EXCELLO LATEX MAT MARFIL SUAVE</v>
          </cell>
          <cell r="C3164">
            <v>3</v>
          </cell>
          <cell r="D3164">
            <v>1095</v>
          </cell>
        </row>
        <row r="3165">
          <cell r="A3165" t="str">
            <v>B5HSA6AE-5</v>
          </cell>
          <cell r="B3165" t="str">
            <v>EXCELLO LATEX MAT MARFIL SUAVE</v>
          </cell>
          <cell r="C3165">
            <v>3</v>
          </cell>
          <cell r="D3165">
            <v>1095</v>
          </cell>
        </row>
        <row r="3166">
          <cell r="A3166" t="str">
            <v>B5LSA1</v>
          </cell>
          <cell r="B3166" t="str">
            <v xml:space="preserve">EXCELLO LATEX MATE AZUL       </v>
          </cell>
          <cell r="C3166">
            <v>3</v>
          </cell>
          <cell r="D3166">
            <v>1095</v>
          </cell>
        </row>
        <row r="3167">
          <cell r="A3167" t="str">
            <v>B5LSA10</v>
          </cell>
          <cell r="B3167" t="str">
            <v>EXCE LAT MATE CELESTE INFINITO</v>
          </cell>
          <cell r="C3167">
            <v>3</v>
          </cell>
          <cell r="D3167">
            <v>1095</v>
          </cell>
        </row>
        <row r="3168">
          <cell r="A3168" t="str">
            <v>B5LSA10-1</v>
          </cell>
          <cell r="B3168" t="str">
            <v>EXCE LAT MATE CELESTE INFINITO</v>
          </cell>
          <cell r="C3168">
            <v>3</v>
          </cell>
          <cell r="D3168">
            <v>1095</v>
          </cell>
        </row>
        <row r="3169">
          <cell r="A3169" t="str">
            <v>B5LSA10-1/4</v>
          </cell>
          <cell r="B3169" t="str">
            <v>EXCE LAT MATE CELESTE INFINITO</v>
          </cell>
          <cell r="C3169">
            <v>3</v>
          </cell>
          <cell r="D3169">
            <v>1095</v>
          </cell>
        </row>
        <row r="3170">
          <cell r="A3170" t="str">
            <v>B5LSA10-5</v>
          </cell>
          <cell r="B3170" t="str">
            <v>EXCE LAT MATE CELESTE INFINITO</v>
          </cell>
          <cell r="C3170">
            <v>3</v>
          </cell>
          <cell r="D3170">
            <v>1095</v>
          </cell>
        </row>
        <row r="3171">
          <cell r="A3171" t="str">
            <v>B5LSA1-1</v>
          </cell>
          <cell r="B3171" t="str">
            <v xml:space="preserve">EXCELLO LATEX MATE AZUL       </v>
          </cell>
          <cell r="C3171">
            <v>3</v>
          </cell>
          <cell r="D3171">
            <v>1095</v>
          </cell>
        </row>
        <row r="3172">
          <cell r="A3172" t="str">
            <v>B5LSA1-1/4</v>
          </cell>
          <cell r="B3172" t="str">
            <v xml:space="preserve">EXCELLO LATEX MATE AZUL       </v>
          </cell>
          <cell r="C3172">
            <v>3</v>
          </cell>
          <cell r="D3172">
            <v>1095</v>
          </cell>
        </row>
        <row r="3173">
          <cell r="A3173" t="str">
            <v>B5LSA14</v>
          </cell>
          <cell r="B3173" t="str">
            <v>EXCELLO LATEX MAT AZUL BANDERA</v>
          </cell>
          <cell r="C3173">
            <v>3</v>
          </cell>
          <cell r="D3173">
            <v>1095</v>
          </cell>
        </row>
        <row r="3174">
          <cell r="A3174" t="str">
            <v>B5LSA14-1</v>
          </cell>
          <cell r="B3174" t="str">
            <v>EXCELLO LATEX MAT AZUL BANDERA</v>
          </cell>
          <cell r="C3174">
            <v>3</v>
          </cell>
          <cell r="D3174">
            <v>1095</v>
          </cell>
        </row>
        <row r="3175">
          <cell r="A3175" t="str">
            <v>B5LSA14-5</v>
          </cell>
          <cell r="B3175" t="str">
            <v>EXCELLO LATEX MAT AZUL BANDERA</v>
          </cell>
          <cell r="C3175">
            <v>3</v>
          </cell>
          <cell r="D3175">
            <v>1095</v>
          </cell>
        </row>
        <row r="3176">
          <cell r="A3176" t="str">
            <v>B5LSA1-5</v>
          </cell>
          <cell r="B3176" t="str">
            <v xml:space="preserve">EXCELLO LATEX AZUL            </v>
          </cell>
          <cell r="C3176">
            <v>3</v>
          </cell>
          <cell r="D3176">
            <v>1095</v>
          </cell>
        </row>
        <row r="3177">
          <cell r="A3177" t="str">
            <v>B5LSA21</v>
          </cell>
          <cell r="B3177" t="str">
            <v>CT INT LATEX SAT AZUL MARIPOSA</v>
          </cell>
          <cell r="C3177">
            <v>3</v>
          </cell>
          <cell r="D3177">
            <v>1095</v>
          </cell>
        </row>
        <row r="3178">
          <cell r="A3178" t="str">
            <v>B5LSA21-1</v>
          </cell>
          <cell r="B3178" t="str">
            <v>CT INT LATEX SAT AZUL MARIPOSA</v>
          </cell>
          <cell r="C3178">
            <v>3</v>
          </cell>
          <cell r="D3178">
            <v>1095</v>
          </cell>
        </row>
        <row r="3179">
          <cell r="A3179" t="str">
            <v>B5LSA21-1/4</v>
          </cell>
          <cell r="B3179" t="str">
            <v>CT INT LATEX SAT AZUL MARIPOSA</v>
          </cell>
          <cell r="C3179">
            <v>3</v>
          </cell>
          <cell r="D3179">
            <v>1095</v>
          </cell>
        </row>
        <row r="3180">
          <cell r="A3180" t="str">
            <v>B5LSA37</v>
          </cell>
          <cell r="B3180" t="str">
            <v xml:space="preserve">EXCELLO LATEX SATINADO AZUL   </v>
          </cell>
          <cell r="C3180">
            <v>3</v>
          </cell>
          <cell r="D3180">
            <v>1095</v>
          </cell>
        </row>
        <row r="3181">
          <cell r="A3181" t="str">
            <v>B5LSA37-5</v>
          </cell>
          <cell r="B3181" t="str">
            <v xml:space="preserve">EXCELLO LATEX SATINADO AZUL   </v>
          </cell>
          <cell r="C3181">
            <v>3</v>
          </cell>
          <cell r="D3181">
            <v>1095</v>
          </cell>
        </row>
        <row r="3182">
          <cell r="A3182" t="str">
            <v>B5LSA38</v>
          </cell>
          <cell r="B3182" t="str">
            <v xml:space="preserve">EXCELLO LATEX SATINADO AZUL   </v>
          </cell>
          <cell r="C3182">
            <v>3</v>
          </cell>
          <cell r="D3182">
            <v>1095</v>
          </cell>
        </row>
        <row r="3183">
          <cell r="A3183" t="str">
            <v>B5LSA38-5</v>
          </cell>
          <cell r="B3183" t="str">
            <v xml:space="preserve">EXCELLO LATEX SATINADO AZUL   </v>
          </cell>
          <cell r="C3183">
            <v>3</v>
          </cell>
          <cell r="D3183">
            <v>1095</v>
          </cell>
        </row>
        <row r="3184">
          <cell r="A3184" t="str">
            <v>B5LSA39</v>
          </cell>
          <cell r="B3184" t="str">
            <v>EXCELLO LAT MATE MATE AZUL TUL</v>
          </cell>
          <cell r="C3184">
            <v>3</v>
          </cell>
          <cell r="D3184">
            <v>1095</v>
          </cell>
        </row>
        <row r="3185">
          <cell r="A3185" t="str">
            <v>B5LSA39-1</v>
          </cell>
          <cell r="B3185" t="str">
            <v>EXCELLO LAT MATE MATE AZUL TUL</v>
          </cell>
          <cell r="C3185">
            <v>3</v>
          </cell>
          <cell r="D3185">
            <v>1095</v>
          </cell>
        </row>
        <row r="3186">
          <cell r="A3186" t="str">
            <v>B5LSA42-AE</v>
          </cell>
          <cell r="B3186" t="str">
            <v xml:space="preserve">EXCELLO LATEX CELESTE         </v>
          </cell>
          <cell r="C3186">
            <v>3</v>
          </cell>
          <cell r="D3186">
            <v>1095</v>
          </cell>
        </row>
        <row r="3187">
          <cell r="A3187" t="str">
            <v>B5LSA42AE-5</v>
          </cell>
          <cell r="B3187" t="str">
            <v xml:space="preserve">EXCELLO LATEX CELESTE         </v>
          </cell>
          <cell r="C3187">
            <v>3</v>
          </cell>
          <cell r="D3187">
            <v>1095</v>
          </cell>
        </row>
        <row r="3188">
          <cell r="A3188" t="str">
            <v>B5LSA43-AE</v>
          </cell>
          <cell r="B3188" t="str">
            <v xml:space="preserve">EXCELLO LATEX MATE AZUL       </v>
          </cell>
          <cell r="C3188">
            <v>3</v>
          </cell>
          <cell r="D3188">
            <v>1095</v>
          </cell>
        </row>
        <row r="3189">
          <cell r="A3189" t="str">
            <v>B5LSA43AE-5</v>
          </cell>
          <cell r="B3189" t="str">
            <v xml:space="preserve">EXCELLO LATEX MATE AZUL       </v>
          </cell>
          <cell r="C3189">
            <v>3</v>
          </cell>
          <cell r="D3189">
            <v>1095</v>
          </cell>
        </row>
        <row r="3190">
          <cell r="A3190" t="str">
            <v>B5LSA44-AE</v>
          </cell>
          <cell r="B3190" t="str">
            <v xml:space="preserve">EXCELLO LATEX MATE AZUL       </v>
          </cell>
          <cell r="C3190">
            <v>3</v>
          </cell>
          <cell r="D3190">
            <v>1095</v>
          </cell>
        </row>
        <row r="3191">
          <cell r="A3191" t="str">
            <v>B5LSA44AE-5</v>
          </cell>
          <cell r="B3191" t="str">
            <v xml:space="preserve">EXCELLO LATEX MATE AZUL       </v>
          </cell>
          <cell r="C3191">
            <v>3</v>
          </cell>
          <cell r="D3191">
            <v>1095</v>
          </cell>
        </row>
        <row r="3192">
          <cell r="A3192" t="str">
            <v>B5LSA46</v>
          </cell>
          <cell r="B3192" t="str">
            <v xml:space="preserve">EXCELLO LATEX MATE AZUL TELEF </v>
          </cell>
          <cell r="C3192">
            <v>3</v>
          </cell>
          <cell r="D3192">
            <v>1095</v>
          </cell>
        </row>
        <row r="3193">
          <cell r="A3193" t="str">
            <v>B5LSA46-5</v>
          </cell>
          <cell r="B3193" t="str">
            <v xml:space="preserve">EXCELLO LATEX MATE AZUL TELEF </v>
          </cell>
          <cell r="C3193">
            <v>3</v>
          </cell>
          <cell r="D3193">
            <v>1095</v>
          </cell>
        </row>
        <row r="3194">
          <cell r="A3194" t="str">
            <v>B5LSA5</v>
          </cell>
          <cell r="B3194" t="str">
            <v>EXCE LATEX MAT AZUL CENICIENTA</v>
          </cell>
          <cell r="C3194">
            <v>3</v>
          </cell>
          <cell r="D3194">
            <v>1095</v>
          </cell>
        </row>
        <row r="3195">
          <cell r="A3195" t="str">
            <v>B5LSA5-1</v>
          </cell>
          <cell r="B3195" t="str">
            <v>EXCE LATEX MAT AZUL CENICIENTA</v>
          </cell>
          <cell r="C3195">
            <v>3</v>
          </cell>
          <cell r="D3195">
            <v>1095</v>
          </cell>
        </row>
        <row r="3196">
          <cell r="A3196" t="str">
            <v>B5LSA5-1/4</v>
          </cell>
          <cell r="B3196" t="str">
            <v>EXCE LATEX MAT AZUL CENICIENTA</v>
          </cell>
          <cell r="C3196">
            <v>3</v>
          </cell>
          <cell r="D3196">
            <v>1095</v>
          </cell>
        </row>
        <row r="3197">
          <cell r="A3197" t="str">
            <v>B5LSA5-5</v>
          </cell>
          <cell r="B3197" t="str">
            <v xml:space="preserve">EXCELLO LATEX AZUL CENICIENTA </v>
          </cell>
          <cell r="C3197">
            <v>3</v>
          </cell>
          <cell r="D3197">
            <v>1095</v>
          </cell>
        </row>
        <row r="3198">
          <cell r="A3198" t="str">
            <v>B5LSA5-50</v>
          </cell>
          <cell r="B3198" t="str">
            <v xml:space="preserve">EXCELLO LATEX AZUL CENICIENTA </v>
          </cell>
          <cell r="C3198">
            <v>3</v>
          </cell>
          <cell r="D3198">
            <v>1095</v>
          </cell>
        </row>
        <row r="3199">
          <cell r="A3199" t="str">
            <v>B5MSA2</v>
          </cell>
          <cell r="B3199" t="str">
            <v>CT INT LATEX SAT FUCSIA SALVAJ</v>
          </cell>
          <cell r="C3199">
            <v>3</v>
          </cell>
          <cell r="D3199">
            <v>1095</v>
          </cell>
        </row>
        <row r="3200">
          <cell r="A3200" t="str">
            <v>B5MSA2-1</v>
          </cell>
          <cell r="B3200" t="str">
            <v>CT INT LATEX SAT FUCSIA SALVAJ</v>
          </cell>
          <cell r="C3200">
            <v>3</v>
          </cell>
          <cell r="D3200">
            <v>1095</v>
          </cell>
        </row>
        <row r="3201">
          <cell r="A3201" t="str">
            <v>B5MSA2-1/4</v>
          </cell>
          <cell r="B3201" t="str">
            <v>CT INT LATEX SAT FUCSIA SALVAJ</v>
          </cell>
          <cell r="C3201">
            <v>3</v>
          </cell>
          <cell r="D3201">
            <v>1095</v>
          </cell>
        </row>
        <row r="3202">
          <cell r="A3202" t="str">
            <v>B5MSA3</v>
          </cell>
          <cell r="B3202" t="str">
            <v xml:space="preserve">EXCELLO LATEX MATE MARRON     </v>
          </cell>
          <cell r="C3202">
            <v>3</v>
          </cell>
          <cell r="D3202">
            <v>1095</v>
          </cell>
        </row>
        <row r="3203">
          <cell r="A3203" t="str">
            <v>B5MSA3-5</v>
          </cell>
          <cell r="B3203" t="str">
            <v xml:space="preserve">EXCELLO LATEX MATE MARRON     </v>
          </cell>
          <cell r="C3203">
            <v>3</v>
          </cell>
          <cell r="D3203">
            <v>1095</v>
          </cell>
        </row>
        <row r="3204">
          <cell r="A3204" t="str">
            <v>B5MSA4</v>
          </cell>
          <cell r="B3204" t="str">
            <v xml:space="preserve">EXCELLO LATEX VINO INTENSO    </v>
          </cell>
          <cell r="C3204">
            <v>3</v>
          </cell>
          <cell r="D3204">
            <v>1095</v>
          </cell>
        </row>
        <row r="3205">
          <cell r="A3205" t="str">
            <v>B5MSA4-5</v>
          </cell>
          <cell r="B3205" t="str">
            <v xml:space="preserve">EXCELLO LATEX VINO INTENSO    </v>
          </cell>
          <cell r="C3205">
            <v>3</v>
          </cell>
          <cell r="D3205">
            <v>1095</v>
          </cell>
        </row>
        <row r="3206">
          <cell r="A3206" t="str">
            <v>B5N62</v>
          </cell>
          <cell r="B3206" t="str">
            <v>EXCELLO LATEX MATE BEIGE ARENA</v>
          </cell>
          <cell r="C3206">
            <v>3</v>
          </cell>
          <cell r="D3206">
            <v>1095</v>
          </cell>
        </row>
        <row r="3207">
          <cell r="A3207" t="str">
            <v>B5N62-1</v>
          </cell>
          <cell r="B3207" t="str">
            <v>EXCELLO LATEX MATE BEIGE ARENA</v>
          </cell>
          <cell r="C3207">
            <v>3</v>
          </cell>
          <cell r="D3207">
            <v>1095</v>
          </cell>
        </row>
        <row r="3208">
          <cell r="A3208" t="str">
            <v>B5N62-1/4</v>
          </cell>
          <cell r="B3208" t="str">
            <v>EXCELLO LATEX MATE BEIGE ARENA</v>
          </cell>
          <cell r="C3208">
            <v>3</v>
          </cell>
          <cell r="D3208">
            <v>1095</v>
          </cell>
        </row>
        <row r="3209">
          <cell r="A3209" t="str">
            <v>B5N62-5</v>
          </cell>
          <cell r="B3209" t="str">
            <v xml:space="preserve">EXCELLO LATEX BEIGE ARENA     </v>
          </cell>
          <cell r="C3209">
            <v>3</v>
          </cell>
          <cell r="D3209">
            <v>1095</v>
          </cell>
        </row>
        <row r="3210">
          <cell r="A3210" t="str">
            <v>B5NSA10</v>
          </cell>
          <cell r="B3210" t="str">
            <v xml:space="preserve">EXCELLO LATEX BEIGE COMALAPA  </v>
          </cell>
          <cell r="C3210">
            <v>3</v>
          </cell>
          <cell r="D3210">
            <v>1095</v>
          </cell>
        </row>
        <row r="3211">
          <cell r="A3211" t="str">
            <v>B5NSA10-5</v>
          </cell>
          <cell r="B3211" t="str">
            <v xml:space="preserve">EXCELLO LATEX BEIGE COMALAPA  </v>
          </cell>
          <cell r="C3211">
            <v>3</v>
          </cell>
          <cell r="D3211">
            <v>1095</v>
          </cell>
        </row>
        <row r="3212">
          <cell r="A3212" t="str">
            <v>B5NSA18</v>
          </cell>
          <cell r="B3212" t="str">
            <v xml:space="preserve">CT INT LATEX SAT CAFE ZAPOTE  </v>
          </cell>
          <cell r="C3212">
            <v>3</v>
          </cell>
          <cell r="D3212">
            <v>1095</v>
          </cell>
        </row>
        <row r="3213">
          <cell r="A3213" t="str">
            <v>B5NSA18-1</v>
          </cell>
          <cell r="B3213" t="str">
            <v xml:space="preserve">CT INT LATEX SAT CAFE ZAPOTE  </v>
          </cell>
          <cell r="C3213">
            <v>3</v>
          </cell>
          <cell r="D3213">
            <v>1095</v>
          </cell>
        </row>
        <row r="3214">
          <cell r="A3214" t="str">
            <v>B5NSA18-1/4</v>
          </cell>
          <cell r="B3214" t="str">
            <v xml:space="preserve">CT INT LATEX SAT CAFE ZAPOTE  </v>
          </cell>
          <cell r="C3214">
            <v>3</v>
          </cell>
          <cell r="D3214">
            <v>1095</v>
          </cell>
        </row>
        <row r="3215">
          <cell r="A3215" t="str">
            <v>B5NSA3</v>
          </cell>
          <cell r="B3215" t="str">
            <v>EXCELLO LATEX MATE CAFE MADERA</v>
          </cell>
          <cell r="C3215">
            <v>3</v>
          </cell>
          <cell r="D3215">
            <v>1095</v>
          </cell>
        </row>
        <row r="3216">
          <cell r="A3216" t="str">
            <v>B5NSA30-AE</v>
          </cell>
          <cell r="B3216" t="str">
            <v xml:space="preserve">EXCELLO LATEX MATE CAFE NOGAL </v>
          </cell>
          <cell r="C3216">
            <v>3</v>
          </cell>
          <cell r="D3216">
            <v>1095</v>
          </cell>
        </row>
        <row r="3217">
          <cell r="A3217" t="str">
            <v>B5NSA30AE-5</v>
          </cell>
          <cell r="B3217" t="str">
            <v xml:space="preserve">EXCELLO LATEX MATE CAFE NOGAL </v>
          </cell>
          <cell r="C3217">
            <v>3</v>
          </cell>
          <cell r="D3217">
            <v>1095</v>
          </cell>
        </row>
        <row r="3218">
          <cell r="A3218" t="str">
            <v>B5NSA3-1</v>
          </cell>
          <cell r="B3218" t="str">
            <v>EXCELLO LATEX MATE CAFE MADERA</v>
          </cell>
          <cell r="C3218">
            <v>3</v>
          </cell>
          <cell r="D3218">
            <v>1095</v>
          </cell>
        </row>
        <row r="3219">
          <cell r="A3219" t="str">
            <v>B5NSA3-1/4</v>
          </cell>
          <cell r="B3219" t="str">
            <v>EXCELLO LATEX MATE CAFE MADERA</v>
          </cell>
          <cell r="C3219">
            <v>3</v>
          </cell>
          <cell r="D3219">
            <v>1095</v>
          </cell>
        </row>
        <row r="3220">
          <cell r="A3220" t="str">
            <v>B5NSA3-5</v>
          </cell>
          <cell r="B3220" t="str">
            <v xml:space="preserve">EXCELLO LATEX CAFE MADEIRA    </v>
          </cell>
          <cell r="C3220">
            <v>3</v>
          </cell>
          <cell r="D3220">
            <v>1095</v>
          </cell>
        </row>
        <row r="3221">
          <cell r="A3221" t="str">
            <v>B5NSA35</v>
          </cell>
          <cell r="B3221" t="str">
            <v xml:space="preserve">EXCELLO LATEX SATINADO BEIGE  </v>
          </cell>
          <cell r="C3221">
            <v>3</v>
          </cell>
          <cell r="D3221">
            <v>1095</v>
          </cell>
        </row>
        <row r="3222">
          <cell r="A3222" t="str">
            <v>B5NSA35-5</v>
          </cell>
          <cell r="B3222" t="str">
            <v xml:space="preserve">EXCELLO LATEX SATINADO BEIGE  </v>
          </cell>
          <cell r="C3222">
            <v>3</v>
          </cell>
          <cell r="D3222">
            <v>1095</v>
          </cell>
        </row>
        <row r="3223">
          <cell r="A3223" t="str">
            <v>B5NSA36</v>
          </cell>
          <cell r="B3223" t="str">
            <v xml:space="preserve">EXCELLO LATEX SATINADO BEIGE  </v>
          </cell>
          <cell r="C3223">
            <v>3</v>
          </cell>
          <cell r="D3223">
            <v>1095</v>
          </cell>
        </row>
        <row r="3224">
          <cell r="A3224" t="str">
            <v>B5NSA36-5</v>
          </cell>
          <cell r="B3224" t="str">
            <v xml:space="preserve">EXCELLO LATEX SATINADO BEIGE  </v>
          </cell>
          <cell r="C3224">
            <v>3</v>
          </cell>
          <cell r="D3224">
            <v>1095</v>
          </cell>
        </row>
        <row r="3225">
          <cell r="A3225" t="str">
            <v>B5NSA38</v>
          </cell>
          <cell r="B3225" t="str">
            <v xml:space="preserve">EXCELLO LATEX MATE BEIGE      </v>
          </cell>
          <cell r="C3225">
            <v>3</v>
          </cell>
          <cell r="D3225">
            <v>1095</v>
          </cell>
        </row>
        <row r="3226">
          <cell r="A3226" t="str">
            <v>B5NSA38-50</v>
          </cell>
          <cell r="B3226" t="str">
            <v xml:space="preserve">EXCELLO LATEX MATE BEIGE      </v>
          </cell>
          <cell r="C3226">
            <v>3</v>
          </cell>
          <cell r="D3226">
            <v>1095</v>
          </cell>
        </row>
        <row r="3227">
          <cell r="A3227" t="str">
            <v>B5NSA39</v>
          </cell>
          <cell r="B3227" t="str">
            <v xml:space="preserve">EXCELLO LATEX MATE BEIGE OSC  </v>
          </cell>
          <cell r="C3227">
            <v>3</v>
          </cell>
          <cell r="D3227">
            <v>1095</v>
          </cell>
        </row>
        <row r="3228">
          <cell r="A3228" t="str">
            <v>B5NSA39-50</v>
          </cell>
          <cell r="B3228" t="str">
            <v xml:space="preserve">EXCELLO LATEX MATE BEIGE OSC  </v>
          </cell>
          <cell r="C3228">
            <v>3</v>
          </cell>
          <cell r="D3228">
            <v>1095</v>
          </cell>
        </row>
        <row r="3229">
          <cell r="A3229" t="str">
            <v>B5NSA40</v>
          </cell>
          <cell r="B3229" t="str">
            <v xml:space="preserve">EXCELLO LATEX MATE BEIGE EXP  </v>
          </cell>
          <cell r="C3229">
            <v>3</v>
          </cell>
          <cell r="D3229">
            <v>1095</v>
          </cell>
        </row>
        <row r="3230">
          <cell r="A3230" t="str">
            <v>B5NSA40-1</v>
          </cell>
          <cell r="B3230" t="str">
            <v xml:space="preserve">EXCELLO LATEX MATE BEIGE EXP  </v>
          </cell>
          <cell r="C3230">
            <v>3</v>
          </cell>
          <cell r="D3230">
            <v>1095</v>
          </cell>
        </row>
        <row r="3231">
          <cell r="A3231" t="str">
            <v>B5NSA40-5</v>
          </cell>
          <cell r="B3231" t="str">
            <v xml:space="preserve">EXCELLO LATEX MATE BEIGE EXP  </v>
          </cell>
          <cell r="C3231">
            <v>3</v>
          </cell>
          <cell r="D3231">
            <v>1095</v>
          </cell>
        </row>
        <row r="3232">
          <cell r="A3232" t="str">
            <v>B5NSA44-AE</v>
          </cell>
          <cell r="B3232" t="str">
            <v xml:space="preserve">EXCELLO LATEX MATE BEIGE DOR  </v>
          </cell>
          <cell r="C3232">
            <v>3</v>
          </cell>
          <cell r="D3232">
            <v>1095</v>
          </cell>
        </row>
        <row r="3233">
          <cell r="A3233" t="str">
            <v>B5NSA44AE-1</v>
          </cell>
          <cell r="B3233" t="str">
            <v xml:space="preserve">EXCELLO LATEX MATE BEIGE DOR  </v>
          </cell>
          <cell r="C3233">
            <v>3</v>
          </cell>
          <cell r="D3233">
            <v>1095</v>
          </cell>
        </row>
        <row r="3234">
          <cell r="A3234" t="str">
            <v>B5NSA44AE-5</v>
          </cell>
          <cell r="B3234" t="str">
            <v xml:space="preserve">EXCELLO LATEX MATE BEIGE DOR  </v>
          </cell>
          <cell r="C3234">
            <v>3</v>
          </cell>
          <cell r="D3234">
            <v>1095</v>
          </cell>
        </row>
        <row r="3235">
          <cell r="A3235" t="str">
            <v>B5NSA48-AE</v>
          </cell>
          <cell r="B3235" t="str">
            <v xml:space="preserve">EXCELLO LATEX MATE BEIGE      </v>
          </cell>
          <cell r="C3235">
            <v>3</v>
          </cell>
          <cell r="D3235">
            <v>1095</v>
          </cell>
        </row>
        <row r="3236">
          <cell r="A3236" t="str">
            <v>B5NSA48AE-1</v>
          </cell>
          <cell r="B3236" t="str">
            <v xml:space="preserve">EXCELLO LATEX MATE BEIGE      </v>
          </cell>
          <cell r="C3236">
            <v>3</v>
          </cell>
          <cell r="D3236">
            <v>1095</v>
          </cell>
        </row>
        <row r="3237">
          <cell r="A3237" t="str">
            <v>B5NSA48AE-5</v>
          </cell>
          <cell r="B3237" t="str">
            <v xml:space="preserve">EXCELLO LATEX MATE BEIGE      </v>
          </cell>
          <cell r="C3237">
            <v>3</v>
          </cell>
          <cell r="D3237">
            <v>1095</v>
          </cell>
        </row>
        <row r="3238">
          <cell r="A3238" t="str">
            <v>B5NSA51</v>
          </cell>
          <cell r="B3238" t="str">
            <v xml:space="preserve">EXCELLO LATEX MATE CAFÉ       </v>
          </cell>
          <cell r="C3238">
            <v>3</v>
          </cell>
          <cell r="D3238">
            <v>1095</v>
          </cell>
        </row>
        <row r="3239">
          <cell r="A3239" t="str">
            <v>B5NSA51-5</v>
          </cell>
          <cell r="B3239" t="str">
            <v xml:space="preserve">EXCELLO LATEX MATE CAFÉ       </v>
          </cell>
          <cell r="C3239">
            <v>3</v>
          </cell>
          <cell r="D3239">
            <v>1095</v>
          </cell>
        </row>
        <row r="3240">
          <cell r="A3240" t="str">
            <v>B5NSA52</v>
          </cell>
          <cell r="B3240" t="str">
            <v xml:space="preserve">EXCELLO LATEX MATE COBLE      </v>
          </cell>
          <cell r="C3240">
            <v>3</v>
          </cell>
          <cell r="D3240">
            <v>1095</v>
          </cell>
        </row>
        <row r="3241">
          <cell r="A3241" t="str">
            <v>B5NSA52-5</v>
          </cell>
          <cell r="B3241" t="str">
            <v xml:space="preserve">EXCELLO LATEX MATE COBLE      </v>
          </cell>
          <cell r="C3241">
            <v>3</v>
          </cell>
          <cell r="D3241">
            <v>1095</v>
          </cell>
        </row>
        <row r="3242">
          <cell r="A3242" t="str">
            <v>B5PSA4</v>
          </cell>
          <cell r="B3242" t="str">
            <v xml:space="preserve">CT INT LATEX SAT MORA SALVAJE </v>
          </cell>
          <cell r="C3242">
            <v>3</v>
          </cell>
          <cell r="D3242">
            <v>1095</v>
          </cell>
        </row>
        <row r="3243">
          <cell r="A3243" t="str">
            <v>B5PSA4-1</v>
          </cell>
          <cell r="B3243" t="str">
            <v xml:space="preserve">CT INT LATEX SAT MORA SALVAJE </v>
          </cell>
          <cell r="C3243">
            <v>3</v>
          </cell>
          <cell r="D3243">
            <v>1095</v>
          </cell>
        </row>
        <row r="3244">
          <cell r="A3244" t="str">
            <v>B5PSA4-1/4</v>
          </cell>
          <cell r="B3244" t="str">
            <v xml:space="preserve">CT INT LATEX SAT MORA SALVAJE </v>
          </cell>
          <cell r="C3244">
            <v>3</v>
          </cell>
          <cell r="D3244">
            <v>1095</v>
          </cell>
        </row>
        <row r="3245">
          <cell r="A3245" t="str">
            <v>B5PSA5</v>
          </cell>
          <cell r="B3245" t="str">
            <v xml:space="preserve">EXCELLO LATEX MATE MORADO     </v>
          </cell>
          <cell r="C3245">
            <v>3</v>
          </cell>
          <cell r="D3245">
            <v>1095</v>
          </cell>
        </row>
        <row r="3246">
          <cell r="A3246" t="str">
            <v>B5PSA5-1</v>
          </cell>
          <cell r="B3246" t="str">
            <v xml:space="preserve">EXCELLO LATEX MATE MORADO     </v>
          </cell>
          <cell r="C3246">
            <v>3</v>
          </cell>
          <cell r="D3246">
            <v>1095</v>
          </cell>
        </row>
        <row r="3247">
          <cell r="A3247" t="str">
            <v>B5PSA5-5</v>
          </cell>
          <cell r="B3247" t="str">
            <v xml:space="preserve">EXCELLO LATEX MATE MORADO     </v>
          </cell>
          <cell r="C3247">
            <v>3</v>
          </cell>
          <cell r="D3247">
            <v>1095</v>
          </cell>
        </row>
        <row r="3248">
          <cell r="A3248" t="str">
            <v>B5RSA1</v>
          </cell>
          <cell r="B3248" t="str">
            <v xml:space="preserve">EXCELLO LATEX MATE ROJO       </v>
          </cell>
          <cell r="C3248">
            <v>3</v>
          </cell>
          <cell r="D3248">
            <v>1095</v>
          </cell>
        </row>
        <row r="3249">
          <cell r="A3249" t="str">
            <v>B5RSA10</v>
          </cell>
          <cell r="B3249" t="str">
            <v xml:space="preserve">EXCELLO LATEX ROJO VIVO       </v>
          </cell>
          <cell r="C3249">
            <v>3</v>
          </cell>
          <cell r="D3249">
            <v>1095</v>
          </cell>
        </row>
        <row r="3250">
          <cell r="A3250" t="str">
            <v>B5RSA10-1</v>
          </cell>
          <cell r="B3250" t="str">
            <v xml:space="preserve">EXCELLO LATEX ROJO VIVO       </v>
          </cell>
          <cell r="C3250">
            <v>3</v>
          </cell>
          <cell r="D3250">
            <v>1095</v>
          </cell>
        </row>
        <row r="3251">
          <cell r="A3251" t="str">
            <v>B5RSA10-5</v>
          </cell>
          <cell r="B3251" t="str">
            <v xml:space="preserve">EXCELLO LATEX ROJO VIVO       </v>
          </cell>
          <cell r="C3251">
            <v>3</v>
          </cell>
          <cell r="D3251">
            <v>1095</v>
          </cell>
        </row>
        <row r="3252">
          <cell r="A3252" t="str">
            <v>B5RSA1-1</v>
          </cell>
          <cell r="B3252" t="str">
            <v xml:space="preserve">EXCELLO LATEX MATE ROJO       </v>
          </cell>
          <cell r="C3252">
            <v>3</v>
          </cell>
          <cell r="D3252">
            <v>1095</v>
          </cell>
        </row>
        <row r="3253">
          <cell r="A3253" t="str">
            <v>B5RSA1-1/4</v>
          </cell>
          <cell r="B3253" t="str">
            <v xml:space="preserve">EXCELLO LATEX MATE ROJO       </v>
          </cell>
          <cell r="C3253">
            <v>3</v>
          </cell>
          <cell r="D3253">
            <v>1095</v>
          </cell>
        </row>
        <row r="3254">
          <cell r="A3254" t="str">
            <v>B5RSA12</v>
          </cell>
          <cell r="B3254" t="str">
            <v>EXCE LATEX MAT ROSADO ESPUMOSO</v>
          </cell>
          <cell r="C3254">
            <v>3</v>
          </cell>
          <cell r="D3254">
            <v>1095</v>
          </cell>
        </row>
        <row r="3255">
          <cell r="A3255" t="str">
            <v>B5RSA12-1</v>
          </cell>
          <cell r="B3255" t="str">
            <v>EXCE LATEX MAT ROSADO ESPUMOSO</v>
          </cell>
          <cell r="C3255">
            <v>3</v>
          </cell>
          <cell r="D3255">
            <v>1095</v>
          </cell>
        </row>
        <row r="3256">
          <cell r="A3256" t="str">
            <v>B5RSA12-1/4</v>
          </cell>
          <cell r="B3256" t="str">
            <v>EXCE LATEX MAT ROSADO ESPUMOSO</v>
          </cell>
          <cell r="C3256">
            <v>3</v>
          </cell>
          <cell r="D3256">
            <v>1095</v>
          </cell>
        </row>
        <row r="3257">
          <cell r="A3257" t="str">
            <v>B5RSA12-5</v>
          </cell>
          <cell r="B3257" t="str">
            <v xml:space="preserve">EXCELLO LATEX ROSADO ESPUMOSO </v>
          </cell>
          <cell r="C3257">
            <v>3</v>
          </cell>
          <cell r="D3257">
            <v>1095</v>
          </cell>
        </row>
        <row r="3258">
          <cell r="A3258" t="str">
            <v>B5RSA13</v>
          </cell>
          <cell r="B3258" t="str">
            <v xml:space="preserve">EXCELLO LATEX ROJO COLA       </v>
          </cell>
          <cell r="C3258">
            <v>3</v>
          </cell>
          <cell r="D3258">
            <v>1095</v>
          </cell>
        </row>
        <row r="3259">
          <cell r="A3259" t="str">
            <v>B5RSA13-1</v>
          </cell>
          <cell r="B3259" t="str">
            <v xml:space="preserve">EXCELLO LATEX ROJO COLA       </v>
          </cell>
          <cell r="C3259">
            <v>3</v>
          </cell>
          <cell r="D3259">
            <v>1095</v>
          </cell>
        </row>
        <row r="3260">
          <cell r="A3260" t="str">
            <v>B5RSA1-5</v>
          </cell>
          <cell r="B3260" t="str">
            <v xml:space="preserve">EXCELLO LATEX ROJO            </v>
          </cell>
          <cell r="C3260">
            <v>3</v>
          </cell>
          <cell r="D3260">
            <v>1095</v>
          </cell>
        </row>
        <row r="3261">
          <cell r="A3261" t="str">
            <v>B5RSA17</v>
          </cell>
          <cell r="B3261" t="str">
            <v>EXCE LAT MAT ROJOLADRILQUEMADO</v>
          </cell>
          <cell r="C3261">
            <v>3</v>
          </cell>
          <cell r="D3261">
            <v>1095</v>
          </cell>
        </row>
        <row r="3262">
          <cell r="A3262" t="str">
            <v>B5RSA17-1</v>
          </cell>
          <cell r="B3262" t="str">
            <v xml:space="preserve">EXCE LAT MAT ROJO LAD QUEMADO </v>
          </cell>
          <cell r="C3262">
            <v>3</v>
          </cell>
          <cell r="D3262">
            <v>1095</v>
          </cell>
        </row>
        <row r="3263">
          <cell r="A3263" t="str">
            <v>B5RSA17-1/4</v>
          </cell>
          <cell r="B3263" t="str">
            <v xml:space="preserve">EXCE LAT MAT ROJO LAD QUEMADO </v>
          </cell>
          <cell r="C3263">
            <v>3</v>
          </cell>
          <cell r="D3263">
            <v>1095</v>
          </cell>
        </row>
        <row r="3264">
          <cell r="A3264" t="str">
            <v>B5RSA17-5</v>
          </cell>
          <cell r="B3264" t="str">
            <v xml:space="preserve">EXCE LAT MAT ROJO LAD QUEMADO </v>
          </cell>
          <cell r="C3264">
            <v>3</v>
          </cell>
          <cell r="D3264">
            <v>1095</v>
          </cell>
        </row>
        <row r="3265">
          <cell r="A3265" t="str">
            <v>B5RSA17-50</v>
          </cell>
          <cell r="B3265" t="str">
            <v xml:space="preserve">EXCE LAT MAT ROJO LAD QUEMADO </v>
          </cell>
          <cell r="C3265">
            <v>3</v>
          </cell>
          <cell r="D3265">
            <v>1095</v>
          </cell>
        </row>
        <row r="3266">
          <cell r="A3266" t="str">
            <v>B5RSA3</v>
          </cell>
          <cell r="B3266" t="str">
            <v>EXCELLO LATEX MATE ROSA PALIDO</v>
          </cell>
          <cell r="C3266">
            <v>3</v>
          </cell>
          <cell r="D3266">
            <v>1095</v>
          </cell>
        </row>
        <row r="3267">
          <cell r="A3267" t="str">
            <v>B5RSA3-1</v>
          </cell>
          <cell r="B3267" t="str">
            <v>EXCELLO LATEX MATE ROSA PALIDO</v>
          </cell>
          <cell r="C3267">
            <v>3</v>
          </cell>
          <cell r="D3267">
            <v>1095</v>
          </cell>
        </row>
        <row r="3268">
          <cell r="A3268" t="str">
            <v>B5RSA3-1/4</v>
          </cell>
          <cell r="B3268" t="str">
            <v>EXCELLO LATEX MATE ROSA PALIDO</v>
          </cell>
          <cell r="C3268">
            <v>3</v>
          </cell>
          <cell r="D3268">
            <v>1095</v>
          </cell>
        </row>
        <row r="3269">
          <cell r="A3269" t="str">
            <v>B5RSA34</v>
          </cell>
          <cell r="B3269" t="str">
            <v xml:space="preserve">CT INT LATEX SAT ROJO SANDIA  </v>
          </cell>
          <cell r="C3269">
            <v>3</v>
          </cell>
          <cell r="D3269">
            <v>1095</v>
          </cell>
        </row>
        <row r="3270">
          <cell r="A3270" t="str">
            <v>B5RSA34-1</v>
          </cell>
          <cell r="B3270" t="str">
            <v xml:space="preserve">CT INT LATEX SAT ROJO SANDIA  </v>
          </cell>
          <cell r="C3270">
            <v>3</v>
          </cell>
          <cell r="D3270">
            <v>1095</v>
          </cell>
        </row>
        <row r="3271">
          <cell r="A3271" t="str">
            <v>B5RSA34-1/4</v>
          </cell>
          <cell r="B3271" t="str">
            <v xml:space="preserve">CT INT LATEX SAT ROJO SANDIA  </v>
          </cell>
          <cell r="C3271">
            <v>3</v>
          </cell>
          <cell r="D3271">
            <v>1095</v>
          </cell>
        </row>
        <row r="3272">
          <cell r="A3272" t="str">
            <v>B5RSA3-5</v>
          </cell>
          <cell r="B3272" t="str">
            <v xml:space="preserve">EXCELLO LATEX ROSA PALIDO     </v>
          </cell>
          <cell r="C3272">
            <v>3</v>
          </cell>
          <cell r="D3272">
            <v>1095</v>
          </cell>
        </row>
        <row r="3273">
          <cell r="A3273" t="str">
            <v>B5RSA35</v>
          </cell>
          <cell r="B3273" t="str">
            <v xml:space="preserve">CT INT LATEX SAT ROSA MAYA    </v>
          </cell>
          <cell r="C3273">
            <v>3</v>
          </cell>
          <cell r="D3273">
            <v>1095</v>
          </cell>
        </row>
        <row r="3274">
          <cell r="A3274" t="str">
            <v>B5RSA35-1</v>
          </cell>
          <cell r="B3274" t="str">
            <v xml:space="preserve">CT INT LATEX SAT ROSA MAYA    </v>
          </cell>
          <cell r="C3274">
            <v>3</v>
          </cell>
          <cell r="D3274">
            <v>1095</v>
          </cell>
        </row>
        <row r="3275">
          <cell r="A3275" t="str">
            <v>B5RSA35-1/4</v>
          </cell>
          <cell r="B3275" t="str">
            <v xml:space="preserve">CT INT LATEX SAT ROSA MAYA    </v>
          </cell>
          <cell r="C3275">
            <v>3</v>
          </cell>
          <cell r="D3275">
            <v>1095</v>
          </cell>
        </row>
        <row r="3276">
          <cell r="A3276" t="str">
            <v>B5RSA36</v>
          </cell>
          <cell r="B3276" t="str">
            <v xml:space="preserve">EXCELLO LATEX MATE ROJO       </v>
          </cell>
          <cell r="C3276">
            <v>3</v>
          </cell>
          <cell r="D3276">
            <v>1095</v>
          </cell>
        </row>
        <row r="3277">
          <cell r="A3277" t="str">
            <v>B5RSA36-1</v>
          </cell>
          <cell r="B3277" t="str">
            <v xml:space="preserve">EXCELLO LATEX MATE ROJO       </v>
          </cell>
          <cell r="C3277">
            <v>3</v>
          </cell>
          <cell r="D3277">
            <v>1095</v>
          </cell>
        </row>
        <row r="3278">
          <cell r="A3278" t="str">
            <v>B5RSA36-5</v>
          </cell>
          <cell r="B3278" t="str">
            <v xml:space="preserve">EXCELLO LATEX MATE ROJO       </v>
          </cell>
          <cell r="C3278">
            <v>3</v>
          </cell>
          <cell r="D3278">
            <v>1095</v>
          </cell>
        </row>
        <row r="3279">
          <cell r="A3279" t="str">
            <v>B5RSA46-AE</v>
          </cell>
          <cell r="B3279" t="str">
            <v xml:space="preserve">EXCELLO LATEX MATE CORAL MOD  </v>
          </cell>
          <cell r="C3279">
            <v>3</v>
          </cell>
          <cell r="D3279">
            <v>1095</v>
          </cell>
        </row>
        <row r="3280">
          <cell r="A3280" t="str">
            <v>B5RSA46AE-1</v>
          </cell>
          <cell r="B3280" t="str">
            <v xml:space="preserve">EXCELLO LATEX MATE CORAL MOD  </v>
          </cell>
          <cell r="C3280">
            <v>3</v>
          </cell>
          <cell r="D3280">
            <v>1095</v>
          </cell>
        </row>
        <row r="3281">
          <cell r="A3281" t="str">
            <v>B5RSA46AE-5</v>
          </cell>
          <cell r="B3281" t="str">
            <v xml:space="preserve">EXCELLO LATEX MATE CORAL MOD  </v>
          </cell>
          <cell r="C3281">
            <v>3</v>
          </cell>
          <cell r="D3281">
            <v>1095</v>
          </cell>
        </row>
        <row r="3282">
          <cell r="A3282" t="str">
            <v>B5RSA5</v>
          </cell>
          <cell r="B3282" t="str">
            <v>EXCE LAT MAT ROJO LADRILLO ESP</v>
          </cell>
          <cell r="C3282">
            <v>3</v>
          </cell>
          <cell r="D3282">
            <v>1095</v>
          </cell>
        </row>
        <row r="3283">
          <cell r="A3283" t="str">
            <v>B5RSA50-AE</v>
          </cell>
          <cell r="B3283" t="str">
            <v xml:space="preserve">EXCELLO LATEX MATE SEDONA     </v>
          </cell>
          <cell r="C3283">
            <v>3</v>
          </cell>
          <cell r="D3283">
            <v>1095</v>
          </cell>
        </row>
        <row r="3284">
          <cell r="A3284" t="str">
            <v>B5RSA50AE-1</v>
          </cell>
          <cell r="B3284" t="str">
            <v xml:space="preserve">EXCELLO LATEX MATE SEDONA     </v>
          </cell>
          <cell r="C3284">
            <v>3</v>
          </cell>
          <cell r="D3284">
            <v>1095</v>
          </cell>
        </row>
        <row r="3285">
          <cell r="A3285" t="str">
            <v>B5RSA5-1</v>
          </cell>
          <cell r="B3285" t="str">
            <v>EXCE LAT MAT ROJO LADRILLO ESP</v>
          </cell>
          <cell r="C3285">
            <v>3</v>
          </cell>
          <cell r="D3285">
            <v>1095</v>
          </cell>
        </row>
        <row r="3286">
          <cell r="A3286" t="str">
            <v>B5RSA5-1/4</v>
          </cell>
          <cell r="B3286" t="str">
            <v xml:space="preserve">EXCELLO LATEX ROJO LADR ESP   </v>
          </cell>
          <cell r="C3286">
            <v>3</v>
          </cell>
          <cell r="D3286">
            <v>1095</v>
          </cell>
        </row>
        <row r="3287">
          <cell r="A3287" t="str">
            <v>B5RSA51-AE</v>
          </cell>
          <cell r="B3287" t="str">
            <v xml:space="preserve">EXCELLO LATEX MATE SUMMER     </v>
          </cell>
          <cell r="C3287">
            <v>3</v>
          </cell>
          <cell r="D3287">
            <v>1095</v>
          </cell>
        </row>
        <row r="3288">
          <cell r="A3288" t="str">
            <v>B5RSA51AE-1</v>
          </cell>
          <cell r="B3288" t="str">
            <v xml:space="preserve">EXCELLO LATEX MATE SUMMER     </v>
          </cell>
          <cell r="C3288">
            <v>3</v>
          </cell>
          <cell r="D3288">
            <v>1095</v>
          </cell>
        </row>
        <row r="3289">
          <cell r="A3289" t="str">
            <v>B5RSA54-AE</v>
          </cell>
          <cell r="B3289" t="str">
            <v xml:space="preserve">EXCELLO LATEX ROJO LADRILLO   </v>
          </cell>
          <cell r="C3289">
            <v>3</v>
          </cell>
          <cell r="D3289">
            <v>1095</v>
          </cell>
        </row>
        <row r="3290">
          <cell r="A3290" t="str">
            <v>B5RSA54AE-5</v>
          </cell>
          <cell r="B3290" t="str">
            <v xml:space="preserve">EXCELLO LATEX ROJO LADRILLO   </v>
          </cell>
          <cell r="C3290">
            <v>3</v>
          </cell>
          <cell r="D3290">
            <v>1095</v>
          </cell>
        </row>
        <row r="3291">
          <cell r="A3291" t="str">
            <v>B5RSA5-5</v>
          </cell>
          <cell r="B3291" t="str">
            <v xml:space="preserve">EXCELLO LATEX ROJO LADR ESP   </v>
          </cell>
          <cell r="C3291">
            <v>3</v>
          </cell>
          <cell r="D3291">
            <v>1095</v>
          </cell>
        </row>
        <row r="3292">
          <cell r="A3292" t="str">
            <v>B5RSA56</v>
          </cell>
          <cell r="B3292" t="str">
            <v xml:space="preserve">EXCELLO LATEX MATE ROJO OXIDO </v>
          </cell>
          <cell r="C3292">
            <v>3</v>
          </cell>
          <cell r="D3292">
            <v>1095</v>
          </cell>
        </row>
        <row r="3293">
          <cell r="A3293" t="str">
            <v>B5RSA56-5</v>
          </cell>
          <cell r="B3293" t="str">
            <v xml:space="preserve">EXCELLO LATEX MATE ROJO OXIDO </v>
          </cell>
          <cell r="C3293">
            <v>3</v>
          </cell>
          <cell r="D3293">
            <v>1095</v>
          </cell>
        </row>
        <row r="3294">
          <cell r="A3294" t="str">
            <v>B5RSA57</v>
          </cell>
          <cell r="B3294" t="str">
            <v xml:space="preserve">EXCELLO LATEX MATE CORAL      </v>
          </cell>
          <cell r="C3294">
            <v>3</v>
          </cell>
          <cell r="D3294">
            <v>1095</v>
          </cell>
        </row>
        <row r="3295">
          <cell r="A3295" t="str">
            <v>B5RSA57-5</v>
          </cell>
          <cell r="B3295" t="str">
            <v xml:space="preserve">EXCELLO LATEX MATE CORAL      </v>
          </cell>
          <cell r="C3295">
            <v>3</v>
          </cell>
          <cell r="D3295">
            <v>1095</v>
          </cell>
        </row>
        <row r="3296">
          <cell r="A3296" t="str">
            <v>B5RSA59</v>
          </cell>
          <cell r="B3296" t="str">
            <v>EXCELLO LATEX MATE ROJO MAPFRE</v>
          </cell>
          <cell r="C3296">
            <v>3</v>
          </cell>
          <cell r="D3296">
            <v>1095</v>
          </cell>
        </row>
        <row r="3297">
          <cell r="A3297" t="str">
            <v>B5RSA59-5</v>
          </cell>
          <cell r="B3297" t="str">
            <v>EXCELLO LATEX MATE ROJO MAPFRE</v>
          </cell>
          <cell r="C3297">
            <v>3</v>
          </cell>
          <cell r="D3297">
            <v>1095</v>
          </cell>
        </row>
        <row r="3298">
          <cell r="A3298" t="str">
            <v>B5RSA6</v>
          </cell>
          <cell r="B3298" t="str">
            <v>EXCEL LATEX MAT ROSADO CHIFFON</v>
          </cell>
          <cell r="C3298">
            <v>3</v>
          </cell>
          <cell r="D3298">
            <v>1095</v>
          </cell>
        </row>
        <row r="3299">
          <cell r="A3299" t="str">
            <v>B5RSA6-1</v>
          </cell>
          <cell r="B3299" t="str">
            <v>EXCEL LATEX MAT ROSADO CHIFFON</v>
          </cell>
          <cell r="C3299">
            <v>3</v>
          </cell>
          <cell r="D3299">
            <v>1095</v>
          </cell>
        </row>
        <row r="3300">
          <cell r="A3300" t="str">
            <v>B5RSA6-1/4</v>
          </cell>
          <cell r="B3300" t="str">
            <v>EXCEL LATEX MAT ROSADO CHIFFON</v>
          </cell>
          <cell r="C3300">
            <v>3</v>
          </cell>
          <cell r="D3300">
            <v>1095</v>
          </cell>
        </row>
        <row r="3301">
          <cell r="A3301" t="str">
            <v>B5RSA6-5</v>
          </cell>
          <cell r="B3301" t="str">
            <v xml:space="preserve">EXCELLO LATEX ROSADO CHIFFON  </v>
          </cell>
          <cell r="C3301">
            <v>3</v>
          </cell>
          <cell r="D3301">
            <v>1095</v>
          </cell>
        </row>
        <row r="3302">
          <cell r="A3302" t="str">
            <v>B5RSA7</v>
          </cell>
          <cell r="B3302" t="str">
            <v xml:space="preserve">EXCELLO LATEX ROJO LADRILLO   </v>
          </cell>
          <cell r="C3302">
            <v>3</v>
          </cell>
          <cell r="D3302">
            <v>1095</v>
          </cell>
        </row>
        <row r="3303">
          <cell r="A3303" t="str">
            <v>B5RSA7-1</v>
          </cell>
          <cell r="B3303" t="str">
            <v xml:space="preserve">EXCELLO LATEX ROJO LADRILLO   </v>
          </cell>
          <cell r="C3303">
            <v>3</v>
          </cell>
          <cell r="D3303">
            <v>1095</v>
          </cell>
        </row>
        <row r="3304">
          <cell r="A3304" t="str">
            <v>B5RSA8</v>
          </cell>
          <cell r="B3304" t="str">
            <v>EXCELL LATEX MAT ROJO LADRILLO</v>
          </cell>
          <cell r="C3304">
            <v>3</v>
          </cell>
          <cell r="D3304">
            <v>1095</v>
          </cell>
        </row>
        <row r="3305">
          <cell r="A3305" t="str">
            <v>B5RSA8-1</v>
          </cell>
          <cell r="B3305" t="str">
            <v>EXCELL LATEX MAT ROJO LADRILLO</v>
          </cell>
          <cell r="C3305">
            <v>3</v>
          </cell>
          <cell r="D3305">
            <v>1095</v>
          </cell>
        </row>
        <row r="3306">
          <cell r="A3306" t="str">
            <v>B5RSA8-1/4</v>
          </cell>
          <cell r="B3306" t="str">
            <v>EXCELL LATEX MAT ROJO LADRILLO</v>
          </cell>
          <cell r="C3306">
            <v>3</v>
          </cell>
          <cell r="D3306">
            <v>1095</v>
          </cell>
        </row>
        <row r="3307">
          <cell r="A3307" t="str">
            <v>B5RSA8-5</v>
          </cell>
          <cell r="B3307" t="str">
            <v>EXCELL LATEX MAT ROJO LADRILLO</v>
          </cell>
          <cell r="C3307">
            <v>3</v>
          </cell>
          <cell r="D3307">
            <v>1095</v>
          </cell>
        </row>
        <row r="3308">
          <cell r="A3308" t="str">
            <v>B5RSA8-50</v>
          </cell>
          <cell r="B3308" t="str">
            <v xml:space="preserve">EXCELLO LATEX ROJO LADRILLO   </v>
          </cell>
          <cell r="C3308">
            <v>3</v>
          </cell>
          <cell r="D3308">
            <v>1095</v>
          </cell>
        </row>
        <row r="3309">
          <cell r="A3309" t="str">
            <v>B5RSA9</v>
          </cell>
          <cell r="B3309" t="str">
            <v>EXCELLO LATEX ROJO PARA TECHOS</v>
          </cell>
          <cell r="C3309">
            <v>3</v>
          </cell>
          <cell r="D3309">
            <v>1095</v>
          </cell>
        </row>
        <row r="3310">
          <cell r="A3310" t="str">
            <v>B5RSA9-1</v>
          </cell>
          <cell r="B3310" t="str">
            <v>EXCELLO LATEX ROJO PARA TECHOS</v>
          </cell>
          <cell r="C3310">
            <v>3</v>
          </cell>
          <cell r="D3310">
            <v>1095</v>
          </cell>
        </row>
        <row r="3311">
          <cell r="A3311" t="str">
            <v>B5W54</v>
          </cell>
          <cell r="B3311" t="str">
            <v>EXCELLO LATEX MAT BLANCO ANTIG</v>
          </cell>
          <cell r="C3311">
            <v>3</v>
          </cell>
          <cell r="D3311">
            <v>1095</v>
          </cell>
        </row>
        <row r="3312">
          <cell r="A3312" t="str">
            <v>B5W54-1</v>
          </cell>
          <cell r="B3312" t="str">
            <v>EXCELLO LATEX MAT BLANCO ANTIG</v>
          </cell>
          <cell r="C3312">
            <v>3</v>
          </cell>
          <cell r="D3312">
            <v>1095</v>
          </cell>
        </row>
        <row r="3313">
          <cell r="A3313" t="str">
            <v>B5W54-1/4</v>
          </cell>
          <cell r="B3313" t="str">
            <v>EXCELLO LATEX MAT BLANCO ANTIG</v>
          </cell>
          <cell r="C3313">
            <v>3</v>
          </cell>
          <cell r="D3313">
            <v>1095</v>
          </cell>
        </row>
        <row r="3314">
          <cell r="A3314" t="str">
            <v>B5W54-5</v>
          </cell>
          <cell r="B3314" t="str">
            <v>EXCELLO LATEX MAT BLANCO ANTIG</v>
          </cell>
          <cell r="C3314">
            <v>3</v>
          </cell>
          <cell r="D3314">
            <v>1095</v>
          </cell>
        </row>
        <row r="3315">
          <cell r="A3315" t="str">
            <v>B5W57</v>
          </cell>
          <cell r="B3315" t="str">
            <v xml:space="preserve">EXCELLO LATEX MATE BLANCO     </v>
          </cell>
          <cell r="C3315">
            <v>3</v>
          </cell>
          <cell r="D3315">
            <v>1095</v>
          </cell>
        </row>
        <row r="3316">
          <cell r="A3316" t="str">
            <v>B5W57-1</v>
          </cell>
          <cell r="B3316" t="str">
            <v xml:space="preserve">EXCELLO LATEX MATE BLANCO     </v>
          </cell>
          <cell r="C3316">
            <v>3</v>
          </cell>
          <cell r="D3316">
            <v>1095</v>
          </cell>
        </row>
        <row r="3317">
          <cell r="A3317" t="str">
            <v>B5W57-1/4</v>
          </cell>
          <cell r="B3317" t="str">
            <v xml:space="preserve">EXCELLO LATEX MATE BLANCO     </v>
          </cell>
          <cell r="C3317">
            <v>3</v>
          </cell>
          <cell r="D3317">
            <v>1095</v>
          </cell>
        </row>
        <row r="3318">
          <cell r="A3318" t="str">
            <v>B5W57-5</v>
          </cell>
          <cell r="B3318" t="str">
            <v xml:space="preserve">EXCELLO LATEX MATE BLANCO     </v>
          </cell>
          <cell r="C3318">
            <v>3</v>
          </cell>
          <cell r="D3318">
            <v>1095</v>
          </cell>
        </row>
        <row r="3319">
          <cell r="A3319" t="str">
            <v>B5W57-50</v>
          </cell>
          <cell r="B3319" t="str">
            <v xml:space="preserve">EXCELLO LATEX BLANCO          </v>
          </cell>
          <cell r="C3319">
            <v>3</v>
          </cell>
          <cell r="D3319">
            <v>1095</v>
          </cell>
        </row>
        <row r="3320">
          <cell r="A3320" t="str">
            <v>B5W57-AE</v>
          </cell>
          <cell r="B3320" t="str">
            <v xml:space="preserve">EXCELLO LATEX MATE BLANCO     </v>
          </cell>
          <cell r="C3320">
            <v>3</v>
          </cell>
          <cell r="D3320">
            <v>1095</v>
          </cell>
        </row>
        <row r="3321">
          <cell r="A3321" t="str">
            <v>B5W57AE-1</v>
          </cell>
          <cell r="B3321" t="str">
            <v xml:space="preserve">EXCELLO LATEX MATE BLANCO     </v>
          </cell>
          <cell r="C3321">
            <v>3</v>
          </cell>
          <cell r="D3321">
            <v>1095</v>
          </cell>
        </row>
        <row r="3322">
          <cell r="A3322" t="str">
            <v>B5W57AE-1/4</v>
          </cell>
          <cell r="B3322" t="str">
            <v xml:space="preserve">EXCELLO LATEX BLANCO          </v>
          </cell>
          <cell r="C3322">
            <v>3</v>
          </cell>
          <cell r="D3322">
            <v>1095</v>
          </cell>
        </row>
        <row r="3323">
          <cell r="A3323" t="str">
            <v>B5W57AE-5</v>
          </cell>
          <cell r="B3323" t="str">
            <v xml:space="preserve">EXCELLO LATEX MATE BLANCO     </v>
          </cell>
          <cell r="C3323">
            <v>3</v>
          </cell>
          <cell r="D3323">
            <v>1095</v>
          </cell>
        </row>
        <row r="3324">
          <cell r="A3324" t="str">
            <v>B5WSA10</v>
          </cell>
          <cell r="B3324" t="str">
            <v>EXCELLO LATEX MAT BLANCO DOVER</v>
          </cell>
          <cell r="C3324">
            <v>3</v>
          </cell>
          <cell r="D3324">
            <v>1095</v>
          </cell>
        </row>
        <row r="3325">
          <cell r="A3325" t="str">
            <v>B5WSA10-1</v>
          </cell>
          <cell r="B3325" t="str">
            <v>EXCELLO LATEX MAT BLANCO DOVER</v>
          </cell>
          <cell r="C3325">
            <v>3</v>
          </cell>
          <cell r="D3325">
            <v>1095</v>
          </cell>
        </row>
        <row r="3326">
          <cell r="A3326" t="str">
            <v>B5WSA10-1/4</v>
          </cell>
          <cell r="B3326" t="str">
            <v>EXCELLO LATEX MAT BLANCO DOVER</v>
          </cell>
          <cell r="C3326">
            <v>3</v>
          </cell>
          <cell r="D3326">
            <v>1095</v>
          </cell>
        </row>
        <row r="3327">
          <cell r="A3327" t="str">
            <v>B5WSA10-5</v>
          </cell>
          <cell r="B3327" t="str">
            <v>EXCELLO LATEX MAT BLANCO DOVER</v>
          </cell>
          <cell r="C3327">
            <v>3</v>
          </cell>
          <cell r="D3327">
            <v>1095</v>
          </cell>
        </row>
        <row r="3328">
          <cell r="A3328" t="str">
            <v>B5WSA10-50</v>
          </cell>
          <cell r="B3328" t="str">
            <v xml:space="preserve">EXCELLO LATEX BLANCO DOVER    </v>
          </cell>
          <cell r="C3328">
            <v>3</v>
          </cell>
          <cell r="D3328">
            <v>1095</v>
          </cell>
        </row>
        <row r="3329">
          <cell r="A3329" t="str">
            <v>B5WSA11</v>
          </cell>
          <cell r="B3329" t="str">
            <v>EXCELLO LATEX MATE BLANCO LILA</v>
          </cell>
          <cell r="C3329">
            <v>3</v>
          </cell>
          <cell r="D3329">
            <v>1095</v>
          </cell>
        </row>
        <row r="3330">
          <cell r="A3330" t="str">
            <v>B5WSA11-1</v>
          </cell>
          <cell r="B3330" t="str">
            <v>EXCELLO LATEX MATE BLANCO LILA</v>
          </cell>
          <cell r="C3330">
            <v>3</v>
          </cell>
          <cell r="D3330">
            <v>1095</v>
          </cell>
        </row>
        <row r="3331">
          <cell r="A3331" t="str">
            <v>B5WSA11-1/4</v>
          </cell>
          <cell r="B3331" t="str">
            <v>EXCELLO LATEX MATE BLANCO LILA</v>
          </cell>
          <cell r="C3331">
            <v>3</v>
          </cell>
          <cell r="D3331">
            <v>1095</v>
          </cell>
        </row>
        <row r="3332">
          <cell r="A3332" t="str">
            <v>B5WSA11-5</v>
          </cell>
          <cell r="B3332" t="str">
            <v>EXCELLO LATEX MATE BLANCO LILA</v>
          </cell>
          <cell r="C3332">
            <v>3</v>
          </cell>
          <cell r="D3332">
            <v>1095</v>
          </cell>
        </row>
        <row r="3333">
          <cell r="A3333" t="str">
            <v>B5WSA12</v>
          </cell>
          <cell r="B3333" t="str">
            <v xml:space="preserve">EXCELLO LATEX MATE BCO NAVAJO </v>
          </cell>
          <cell r="C3333">
            <v>3</v>
          </cell>
          <cell r="D3333">
            <v>1095</v>
          </cell>
        </row>
        <row r="3334">
          <cell r="A3334" t="str">
            <v>B5WSA12-1</v>
          </cell>
          <cell r="B3334" t="str">
            <v xml:space="preserve">EXCELLO LATEX MATE BCO NAVAJO </v>
          </cell>
          <cell r="C3334">
            <v>3</v>
          </cell>
          <cell r="D3334">
            <v>1095</v>
          </cell>
        </row>
        <row r="3335">
          <cell r="A3335" t="str">
            <v>B5WSA12-1/4</v>
          </cell>
          <cell r="B3335" t="str">
            <v xml:space="preserve">EXCELLO LATEX MATE BCO NAVAJO </v>
          </cell>
          <cell r="C3335">
            <v>3</v>
          </cell>
          <cell r="D3335">
            <v>1095</v>
          </cell>
        </row>
        <row r="3336">
          <cell r="A3336" t="str">
            <v>B5WSA12-5</v>
          </cell>
          <cell r="B3336" t="str">
            <v xml:space="preserve">EXCELLO LATEX MATE BCO NAVAJO </v>
          </cell>
          <cell r="C3336">
            <v>3</v>
          </cell>
          <cell r="D3336">
            <v>1095</v>
          </cell>
        </row>
        <row r="3337">
          <cell r="A3337" t="str">
            <v>B5WSA13</v>
          </cell>
          <cell r="B3337" t="str">
            <v xml:space="preserve">EXCELLO LATEX MATE BCO LUNA   </v>
          </cell>
          <cell r="C3337">
            <v>3</v>
          </cell>
          <cell r="D3337">
            <v>1095</v>
          </cell>
        </row>
        <row r="3338">
          <cell r="A3338" t="str">
            <v>B5WSA13-1</v>
          </cell>
          <cell r="B3338" t="str">
            <v xml:space="preserve">EXCELLO LATEX MATE BCO LUNA   </v>
          </cell>
          <cell r="C3338">
            <v>3</v>
          </cell>
          <cell r="D3338">
            <v>1095</v>
          </cell>
        </row>
        <row r="3339">
          <cell r="A3339" t="str">
            <v>B5WSA13-1/4</v>
          </cell>
          <cell r="B3339" t="str">
            <v>EXCELLO LATEX MATE BLANCO LUNA</v>
          </cell>
          <cell r="C3339">
            <v>3</v>
          </cell>
          <cell r="D3339">
            <v>1095</v>
          </cell>
        </row>
        <row r="3340">
          <cell r="A3340" t="str">
            <v>B5WSA13-5</v>
          </cell>
          <cell r="B3340" t="str">
            <v xml:space="preserve">EXCELLO LATEX BLANCO LUNA     </v>
          </cell>
          <cell r="C3340">
            <v>3</v>
          </cell>
          <cell r="D3340">
            <v>1095</v>
          </cell>
        </row>
        <row r="3341">
          <cell r="A3341" t="str">
            <v>B5WSA16</v>
          </cell>
          <cell r="B3341" t="str">
            <v xml:space="preserve">EXCE LATEX MATE NEW BCO OSTRA </v>
          </cell>
          <cell r="C3341">
            <v>3</v>
          </cell>
          <cell r="D3341">
            <v>1095</v>
          </cell>
        </row>
        <row r="3342">
          <cell r="A3342" t="str">
            <v>B5WSA16-1</v>
          </cell>
          <cell r="B3342" t="str">
            <v>EXCE LATEX MATE N BLANCO OSTRA</v>
          </cell>
          <cell r="C3342">
            <v>3</v>
          </cell>
          <cell r="D3342">
            <v>1095</v>
          </cell>
        </row>
        <row r="3343">
          <cell r="A3343" t="str">
            <v>B5WSA16-1/4</v>
          </cell>
          <cell r="B3343" t="str">
            <v>EXCE LATEX MATE N BLANCO OSTRA</v>
          </cell>
          <cell r="C3343">
            <v>3</v>
          </cell>
          <cell r="D3343">
            <v>1095</v>
          </cell>
        </row>
        <row r="3344">
          <cell r="A3344" t="str">
            <v>B5WSA16-5</v>
          </cell>
          <cell r="B3344" t="str">
            <v>EXCE LATEX MATE N BLANCO OSTRA</v>
          </cell>
          <cell r="C3344">
            <v>3</v>
          </cell>
          <cell r="D3344">
            <v>1095</v>
          </cell>
        </row>
        <row r="3345">
          <cell r="A3345" t="str">
            <v>B5WSA18</v>
          </cell>
          <cell r="B3345" t="str">
            <v xml:space="preserve">EXCELLO LATEX BLANCO SIMAN    </v>
          </cell>
          <cell r="C3345">
            <v>3</v>
          </cell>
          <cell r="D3345">
            <v>1095</v>
          </cell>
        </row>
        <row r="3346">
          <cell r="A3346" t="str">
            <v>B5WSA18-5</v>
          </cell>
          <cell r="B3346" t="str">
            <v xml:space="preserve">EXCELLO LATEX BLANCO SIMAN    </v>
          </cell>
          <cell r="C3346">
            <v>3</v>
          </cell>
          <cell r="D3346">
            <v>1095</v>
          </cell>
        </row>
        <row r="3347">
          <cell r="A3347" t="str">
            <v>B5WSA30-AE</v>
          </cell>
          <cell r="B3347" t="str">
            <v>EXCELLO LATEX MATE SUMMER WHIT</v>
          </cell>
          <cell r="C3347">
            <v>3</v>
          </cell>
          <cell r="D3347">
            <v>1095</v>
          </cell>
        </row>
        <row r="3348">
          <cell r="A3348" t="str">
            <v>B5WSA30AE-1</v>
          </cell>
          <cell r="B3348" t="str">
            <v>EXCELLO LATEX MATE SUMMER WHIT</v>
          </cell>
          <cell r="C3348">
            <v>3</v>
          </cell>
          <cell r="D3348">
            <v>1095</v>
          </cell>
        </row>
        <row r="3349">
          <cell r="A3349" t="str">
            <v>B5WSA31</v>
          </cell>
          <cell r="B3349" t="str">
            <v xml:space="preserve">EXCELLO LATEX MATE BLANCO     </v>
          </cell>
          <cell r="C3349">
            <v>3</v>
          </cell>
          <cell r="D3349">
            <v>1095</v>
          </cell>
        </row>
        <row r="3350">
          <cell r="A3350" t="str">
            <v>B5WSA31-5</v>
          </cell>
          <cell r="B3350" t="str">
            <v xml:space="preserve">EXCELLO LATEX MATE BLANCO     </v>
          </cell>
          <cell r="C3350">
            <v>3</v>
          </cell>
          <cell r="D3350">
            <v>1095</v>
          </cell>
        </row>
        <row r="3351">
          <cell r="A3351" t="str">
            <v>B5WSA35</v>
          </cell>
          <cell r="B3351" t="str">
            <v xml:space="preserve">EXCELLO LATEX SATINADO BLANCO </v>
          </cell>
          <cell r="C3351">
            <v>3</v>
          </cell>
          <cell r="D3351">
            <v>1095</v>
          </cell>
        </row>
        <row r="3352">
          <cell r="A3352" t="str">
            <v>B5WSA35-5</v>
          </cell>
          <cell r="B3352" t="str">
            <v xml:space="preserve">EXCELLO LATEX SATINADO BLANCO </v>
          </cell>
          <cell r="C3352">
            <v>3</v>
          </cell>
          <cell r="D3352">
            <v>1095</v>
          </cell>
        </row>
        <row r="3353">
          <cell r="A3353" t="str">
            <v>B5WSA37</v>
          </cell>
          <cell r="B3353" t="str">
            <v xml:space="preserve">EXCELLO LATEX MATE BLANCO ANT </v>
          </cell>
          <cell r="C3353">
            <v>3</v>
          </cell>
          <cell r="D3353">
            <v>1095</v>
          </cell>
        </row>
        <row r="3354">
          <cell r="A3354" t="str">
            <v>B5WSA37-1</v>
          </cell>
          <cell r="B3354" t="str">
            <v xml:space="preserve">EXCELLO LATEX MATE BLANCO ANT </v>
          </cell>
          <cell r="C3354">
            <v>3</v>
          </cell>
          <cell r="D3354">
            <v>1095</v>
          </cell>
        </row>
        <row r="3355">
          <cell r="A3355" t="str">
            <v>B5WSA38</v>
          </cell>
          <cell r="B3355" t="str">
            <v>EXCELLO LATEX MATE BLANCO REAL</v>
          </cell>
          <cell r="C3355">
            <v>3</v>
          </cell>
          <cell r="D3355">
            <v>1095</v>
          </cell>
        </row>
        <row r="3356">
          <cell r="A3356" t="str">
            <v>B5WSA38-5</v>
          </cell>
          <cell r="B3356" t="str">
            <v>EXCELLO LATEX MATE BLANCO REAL</v>
          </cell>
          <cell r="C3356">
            <v>3</v>
          </cell>
          <cell r="D3356">
            <v>1095</v>
          </cell>
        </row>
        <row r="3357">
          <cell r="A3357" t="str">
            <v>B5WSA43</v>
          </cell>
          <cell r="B3357" t="str">
            <v>EXCELLO LAT MATE RESERVE WHITE</v>
          </cell>
          <cell r="C3357">
            <v>3</v>
          </cell>
          <cell r="D3357">
            <v>1095</v>
          </cell>
        </row>
        <row r="3358">
          <cell r="A3358" t="str">
            <v>B5WSA43-1</v>
          </cell>
          <cell r="B3358" t="str">
            <v>EXCELLO LAT MATE RESERVE WHITE</v>
          </cell>
          <cell r="C3358">
            <v>3</v>
          </cell>
          <cell r="D3358">
            <v>1095</v>
          </cell>
        </row>
        <row r="3359">
          <cell r="A3359" t="str">
            <v>B5WSA43-5</v>
          </cell>
          <cell r="B3359" t="str">
            <v>EXCELLO LAT MATE RESERVE WHITE</v>
          </cell>
          <cell r="C3359">
            <v>3</v>
          </cell>
          <cell r="D3359">
            <v>1095</v>
          </cell>
        </row>
        <row r="3360">
          <cell r="A3360" t="str">
            <v>B5WSA44-AE</v>
          </cell>
          <cell r="B3360" t="str">
            <v>EXCELLO LATEX MATE SPARE WHITE</v>
          </cell>
          <cell r="C3360">
            <v>3</v>
          </cell>
          <cell r="D3360">
            <v>1095</v>
          </cell>
        </row>
        <row r="3361">
          <cell r="A3361" t="str">
            <v>B5WSA44AE-5</v>
          </cell>
          <cell r="B3361" t="str">
            <v>EXCELLO LATEX MATE SPARE WHITE</v>
          </cell>
          <cell r="C3361">
            <v>3</v>
          </cell>
          <cell r="D3361">
            <v>1095</v>
          </cell>
        </row>
        <row r="3362">
          <cell r="A3362" t="str">
            <v>B5WSA45</v>
          </cell>
          <cell r="B3362" t="str">
            <v xml:space="preserve">EXCELLO LATEX MATE BLANCO MAT </v>
          </cell>
          <cell r="C3362">
            <v>3</v>
          </cell>
          <cell r="D3362">
            <v>1095</v>
          </cell>
        </row>
        <row r="3363">
          <cell r="A3363" t="str">
            <v>B5WSA45-5</v>
          </cell>
          <cell r="B3363" t="str">
            <v xml:space="preserve">EXCELLO LATEX MATE BLANCO MAT </v>
          </cell>
          <cell r="C3363">
            <v>3</v>
          </cell>
          <cell r="D3363">
            <v>1095</v>
          </cell>
        </row>
        <row r="3364">
          <cell r="A3364" t="str">
            <v>B5WSA46</v>
          </cell>
          <cell r="B3364" t="str">
            <v>EXCELLO LAT MATE BLANCO DIGICE</v>
          </cell>
          <cell r="C3364">
            <v>3</v>
          </cell>
          <cell r="D3364">
            <v>1095</v>
          </cell>
        </row>
        <row r="3365">
          <cell r="A3365" t="str">
            <v>B5WSA46-1</v>
          </cell>
          <cell r="B3365" t="str">
            <v>EXCELLO LAT MATE BLANCO DIGICE</v>
          </cell>
          <cell r="C3365">
            <v>3</v>
          </cell>
          <cell r="D3365">
            <v>1095</v>
          </cell>
        </row>
        <row r="3366">
          <cell r="A3366" t="str">
            <v>B5WSA46-5</v>
          </cell>
          <cell r="B3366" t="str">
            <v>EXCELLO LAT MATE BLANCO DIGICE</v>
          </cell>
          <cell r="C3366">
            <v>3</v>
          </cell>
          <cell r="D3366">
            <v>1095</v>
          </cell>
        </row>
        <row r="3367">
          <cell r="A3367" t="str">
            <v>B5WSA7</v>
          </cell>
          <cell r="B3367" t="str">
            <v xml:space="preserve">EXCELLO LATEX MATE BCO HUESO  </v>
          </cell>
          <cell r="C3367">
            <v>3</v>
          </cell>
          <cell r="D3367">
            <v>1095</v>
          </cell>
        </row>
        <row r="3368">
          <cell r="A3368" t="str">
            <v>B5WSA7-1</v>
          </cell>
          <cell r="B3368" t="str">
            <v xml:space="preserve">EXCELLO LATEX MATE BCO HUESO  </v>
          </cell>
          <cell r="C3368">
            <v>3</v>
          </cell>
          <cell r="D3368">
            <v>1095</v>
          </cell>
        </row>
        <row r="3369">
          <cell r="A3369" t="str">
            <v>B5WSA7-1/4</v>
          </cell>
          <cell r="B3369" t="str">
            <v xml:space="preserve">EXCELLO LATEX MATE BCO HUESO  </v>
          </cell>
          <cell r="C3369">
            <v>3</v>
          </cell>
          <cell r="D3369">
            <v>1095</v>
          </cell>
        </row>
        <row r="3370">
          <cell r="A3370" t="str">
            <v>B5WSA7-5</v>
          </cell>
          <cell r="B3370" t="str">
            <v xml:space="preserve">EXCELLO LATEX MATE BCO HUESO  </v>
          </cell>
          <cell r="C3370">
            <v>3</v>
          </cell>
          <cell r="D3370">
            <v>1095</v>
          </cell>
        </row>
        <row r="3371">
          <cell r="A3371" t="str">
            <v>B5WSA7-50</v>
          </cell>
          <cell r="B3371" t="str">
            <v xml:space="preserve">EXCELLO LATEX BLANCO HUESO    </v>
          </cell>
          <cell r="C3371">
            <v>3</v>
          </cell>
          <cell r="D3371">
            <v>1095</v>
          </cell>
        </row>
        <row r="3372">
          <cell r="A3372" t="str">
            <v>B5WSA7-AE</v>
          </cell>
          <cell r="B3372" t="str">
            <v xml:space="preserve">EXCELLO LATEX BLANCO HUESO    </v>
          </cell>
          <cell r="C3372">
            <v>3</v>
          </cell>
          <cell r="D3372">
            <v>1095</v>
          </cell>
        </row>
        <row r="3373">
          <cell r="A3373" t="str">
            <v>B5WSA7AE-1</v>
          </cell>
          <cell r="B3373" t="str">
            <v xml:space="preserve">EXCELLO LATEX BLANCO HUESO    </v>
          </cell>
          <cell r="C3373">
            <v>3</v>
          </cell>
          <cell r="D3373">
            <v>1095</v>
          </cell>
        </row>
        <row r="3374">
          <cell r="A3374" t="str">
            <v>B5WSA7AE-1/4</v>
          </cell>
          <cell r="B3374" t="str">
            <v xml:space="preserve">EXCELLO LATEX BLANCO HUESO    </v>
          </cell>
          <cell r="C3374">
            <v>3</v>
          </cell>
          <cell r="D3374">
            <v>1095</v>
          </cell>
        </row>
        <row r="3375">
          <cell r="A3375" t="str">
            <v>B5WSA7AE-5</v>
          </cell>
          <cell r="B3375" t="str">
            <v xml:space="preserve">EXCELLO LATEX BLANCO HUESO    </v>
          </cell>
          <cell r="C3375">
            <v>3</v>
          </cell>
          <cell r="D3375">
            <v>1095</v>
          </cell>
        </row>
        <row r="3376">
          <cell r="A3376" t="str">
            <v>B5Y304</v>
          </cell>
          <cell r="B3376" t="str">
            <v xml:space="preserve">WEATHER PERFECT YELLOW CORN   </v>
          </cell>
          <cell r="C3376">
            <v>3</v>
          </cell>
          <cell r="D3376">
            <v>1095</v>
          </cell>
        </row>
        <row r="3377">
          <cell r="A3377" t="str">
            <v>B5Y304-1</v>
          </cell>
          <cell r="B3377" t="str">
            <v xml:space="preserve">WEATHER PERFECT YELLOW CORN   </v>
          </cell>
          <cell r="C3377">
            <v>3</v>
          </cell>
          <cell r="D3377">
            <v>1095</v>
          </cell>
        </row>
        <row r="3378">
          <cell r="A3378" t="str">
            <v>B5YSA11</v>
          </cell>
          <cell r="B3378" t="str">
            <v>EXCELLO LATEX MATE PIÑA COLADA</v>
          </cell>
          <cell r="C3378">
            <v>3</v>
          </cell>
          <cell r="D3378">
            <v>1095</v>
          </cell>
        </row>
        <row r="3379">
          <cell r="A3379" t="str">
            <v>B5YSA11-1</v>
          </cell>
          <cell r="B3379" t="str">
            <v>EXCELLO LATEX MATE PIÑA COLADA</v>
          </cell>
          <cell r="C3379">
            <v>3</v>
          </cell>
          <cell r="D3379">
            <v>1095</v>
          </cell>
        </row>
        <row r="3380">
          <cell r="A3380" t="str">
            <v>B5YSA11-1/4</v>
          </cell>
          <cell r="B3380" t="str">
            <v>EXCELLO LATEX MATE PIÑA COLADA</v>
          </cell>
          <cell r="C3380">
            <v>3</v>
          </cell>
          <cell r="D3380">
            <v>1095</v>
          </cell>
        </row>
        <row r="3381">
          <cell r="A3381" t="str">
            <v>B5YSA11-5</v>
          </cell>
          <cell r="B3381" t="str">
            <v xml:space="preserve">EXCELLO LATE MATE PIÑA COLADA </v>
          </cell>
          <cell r="C3381">
            <v>3</v>
          </cell>
          <cell r="D3381">
            <v>1095</v>
          </cell>
        </row>
        <row r="3382">
          <cell r="A3382" t="str">
            <v>B5YSA12</v>
          </cell>
          <cell r="B3382" t="str">
            <v>EXC LAT MAT AMARIL ALBARICOQUE</v>
          </cell>
          <cell r="C3382">
            <v>3</v>
          </cell>
          <cell r="D3382">
            <v>1095</v>
          </cell>
        </row>
        <row r="3383">
          <cell r="A3383" t="str">
            <v>B5YSA12-1</v>
          </cell>
          <cell r="B3383" t="str">
            <v>EXC LAT MAT AMARIL ALBARICOQUE</v>
          </cell>
          <cell r="C3383">
            <v>3</v>
          </cell>
          <cell r="D3383">
            <v>1095</v>
          </cell>
        </row>
        <row r="3384">
          <cell r="A3384" t="str">
            <v>B5YSA12-1/4</v>
          </cell>
          <cell r="B3384" t="str">
            <v>EXC LAT MAT AMARIL ALBARICOQUE</v>
          </cell>
          <cell r="C3384">
            <v>3</v>
          </cell>
          <cell r="D3384">
            <v>1095</v>
          </cell>
        </row>
        <row r="3385">
          <cell r="A3385" t="str">
            <v>B5YSA12-5</v>
          </cell>
          <cell r="B3385" t="str">
            <v>EXC LAT MAT AMARIL ALBARICOQUE</v>
          </cell>
          <cell r="C3385">
            <v>3</v>
          </cell>
          <cell r="D3385">
            <v>1095</v>
          </cell>
        </row>
        <row r="3386">
          <cell r="A3386" t="str">
            <v>B5YSA12-50</v>
          </cell>
          <cell r="B3386" t="str">
            <v>EXCELLO LATEX AMARI ALBARICOQU</v>
          </cell>
          <cell r="C3386">
            <v>3</v>
          </cell>
          <cell r="D3386">
            <v>1095</v>
          </cell>
        </row>
        <row r="3387">
          <cell r="A3387" t="str">
            <v>B5YSA19</v>
          </cell>
          <cell r="B3387" t="str">
            <v>COLOR TROPICAL INTEN AMARI SOL</v>
          </cell>
          <cell r="C3387">
            <v>3</v>
          </cell>
          <cell r="D3387">
            <v>1095</v>
          </cell>
        </row>
        <row r="3388">
          <cell r="A3388" t="str">
            <v>B5YSA19-1</v>
          </cell>
          <cell r="B3388" t="str">
            <v>COLOR TROPICAL INTEN AMARI SOL</v>
          </cell>
          <cell r="C3388">
            <v>3</v>
          </cell>
          <cell r="D3388">
            <v>1095</v>
          </cell>
        </row>
        <row r="3389">
          <cell r="A3389" t="str">
            <v>B5YSA19-1/4</v>
          </cell>
          <cell r="B3389" t="str">
            <v>COLOR TROPICAL INTEN AMARI SOL</v>
          </cell>
          <cell r="C3389">
            <v>3</v>
          </cell>
          <cell r="D3389">
            <v>1095</v>
          </cell>
        </row>
        <row r="3390">
          <cell r="A3390" t="str">
            <v>B5YSA26</v>
          </cell>
          <cell r="B3390" t="str">
            <v>EXCELLO LATEX AMARILLO SONRISA</v>
          </cell>
          <cell r="C3390">
            <v>3</v>
          </cell>
          <cell r="D3390">
            <v>1095</v>
          </cell>
        </row>
        <row r="3391">
          <cell r="A3391" t="str">
            <v>B5YSA26-1</v>
          </cell>
          <cell r="B3391" t="str">
            <v>EXCELLO LATEX AMARILLO SONRISA</v>
          </cell>
          <cell r="C3391">
            <v>3</v>
          </cell>
          <cell r="D3391">
            <v>1095</v>
          </cell>
        </row>
        <row r="3392">
          <cell r="A3392" t="str">
            <v>B5YSA26-5</v>
          </cell>
          <cell r="B3392" t="str">
            <v>EXCELLO LATEX AMARILLO SONRISA</v>
          </cell>
          <cell r="C3392">
            <v>3</v>
          </cell>
          <cell r="D3392">
            <v>1095</v>
          </cell>
        </row>
        <row r="3393">
          <cell r="A3393" t="str">
            <v>B5YSA27</v>
          </cell>
          <cell r="B3393" t="str">
            <v xml:space="preserve">CT INT LATEX SAT AMARILLO SOL </v>
          </cell>
          <cell r="C3393">
            <v>3</v>
          </cell>
          <cell r="D3393">
            <v>1095</v>
          </cell>
        </row>
        <row r="3394">
          <cell r="A3394" t="str">
            <v>B5YSA27-1</v>
          </cell>
          <cell r="B3394" t="str">
            <v xml:space="preserve">CT INT LATEX SAT AMARILLO SOL </v>
          </cell>
          <cell r="C3394">
            <v>3</v>
          </cell>
          <cell r="D3394">
            <v>1095</v>
          </cell>
        </row>
        <row r="3395">
          <cell r="A3395" t="str">
            <v>B5YSA27-1/4</v>
          </cell>
          <cell r="B3395" t="str">
            <v xml:space="preserve">CT INT LATEX SAT AMARILLO SOL </v>
          </cell>
          <cell r="C3395">
            <v>3</v>
          </cell>
          <cell r="D3395">
            <v>1095</v>
          </cell>
        </row>
        <row r="3396">
          <cell r="A3396" t="str">
            <v>B5YSA33</v>
          </cell>
          <cell r="B3396" t="str">
            <v>EXCELLO LATEX MATE YELLOW CORN</v>
          </cell>
          <cell r="C3396">
            <v>3</v>
          </cell>
          <cell r="D3396">
            <v>1095</v>
          </cell>
        </row>
        <row r="3397">
          <cell r="A3397" t="str">
            <v>B5YSA33-1</v>
          </cell>
          <cell r="B3397" t="str">
            <v>EXCELLO LATEX MATE YELLOW CORN</v>
          </cell>
          <cell r="C3397">
            <v>3</v>
          </cell>
          <cell r="D3397">
            <v>1095</v>
          </cell>
        </row>
        <row r="3398">
          <cell r="A3398" t="str">
            <v>B5YSA35-AE</v>
          </cell>
          <cell r="B3398" t="str">
            <v xml:space="preserve">EXCELLO LATEX MATE MAIZE      </v>
          </cell>
          <cell r="C3398">
            <v>3</v>
          </cell>
          <cell r="D3398">
            <v>1095</v>
          </cell>
        </row>
        <row r="3399">
          <cell r="A3399" t="str">
            <v>B5YSA35AE-1</v>
          </cell>
          <cell r="B3399" t="str">
            <v xml:space="preserve">EXCELLO LATEX MATE MAIZE      </v>
          </cell>
          <cell r="C3399">
            <v>3</v>
          </cell>
          <cell r="D3399">
            <v>1095</v>
          </cell>
        </row>
        <row r="3400">
          <cell r="A3400" t="str">
            <v>B5YSA35AE-5</v>
          </cell>
          <cell r="B3400" t="str">
            <v xml:space="preserve">EXCELLO LATEX MATE MAIZE      </v>
          </cell>
          <cell r="C3400">
            <v>3</v>
          </cell>
          <cell r="D3400">
            <v>1095</v>
          </cell>
        </row>
        <row r="3401">
          <cell r="A3401" t="str">
            <v>B5YSA39-AE</v>
          </cell>
          <cell r="B3401" t="str">
            <v>EXCELLO LAT MATE LUXURIAN GOLD</v>
          </cell>
          <cell r="C3401">
            <v>3</v>
          </cell>
          <cell r="D3401">
            <v>1095</v>
          </cell>
        </row>
        <row r="3402">
          <cell r="A3402" t="str">
            <v>B5YSA39AE-1</v>
          </cell>
          <cell r="B3402" t="str">
            <v>EXCELLO LAT MATE LUXURIAN GOLD</v>
          </cell>
          <cell r="C3402">
            <v>3</v>
          </cell>
          <cell r="D3402">
            <v>1095</v>
          </cell>
        </row>
        <row r="3403">
          <cell r="A3403" t="str">
            <v>B5YSA40-AE</v>
          </cell>
          <cell r="B3403" t="str">
            <v>EXCELLO LATEX MATE BEACON YELL</v>
          </cell>
          <cell r="C3403">
            <v>3</v>
          </cell>
          <cell r="D3403">
            <v>1095</v>
          </cell>
        </row>
        <row r="3404">
          <cell r="A3404" t="str">
            <v>B5YSA40AE-1</v>
          </cell>
          <cell r="B3404" t="str">
            <v>EXCELLO LATEX MATE BEACON YELL</v>
          </cell>
          <cell r="C3404">
            <v>3</v>
          </cell>
          <cell r="D3404">
            <v>1095</v>
          </cell>
        </row>
        <row r="3405">
          <cell r="A3405" t="str">
            <v>B5YSA40AE-5</v>
          </cell>
          <cell r="B3405" t="str">
            <v>EXCELLO LATEX MATE BEACON YELL</v>
          </cell>
          <cell r="C3405">
            <v>3</v>
          </cell>
          <cell r="D3405">
            <v>1095</v>
          </cell>
        </row>
        <row r="3406">
          <cell r="A3406" t="str">
            <v>B5YSA41</v>
          </cell>
          <cell r="B3406" t="str">
            <v>EXCELLO LATEX MATE YELLOW GOLD</v>
          </cell>
          <cell r="C3406">
            <v>3</v>
          </cell>
          <cell r="D3406">
            <v>1095</v>
          </cell>
        </row>
        <row r="3407">
          <cell r="A3407" t="str">
            <v>B5YSA41-1</v>
          </cell>
          <cell r="B3407" t="str">
            <v>EXCELLO LATEX MATE YELLOW GOLD</v>
          </cell>
          <cell r="C3407">
            <v>3</v>
          </cell>
          <cell r="D3407">
            <v>1095</v>
          </cell>
        </row>
        <row r="3408">
          <cell r="A3408" t="str">
            <v>B5YSA41-5</v>
          </cell>
          <cell r="B3408" t="str">
            <v>EXCELLO LATEX MATE YELLOW GOLD</v>
          </cell>
          <cell r="C3408">
            <v>3</v>
          </cell>
          <cell r="D3408">
            <v>1095</v>
          </cell>
        </row>
        <row r="3409">
          <cell r="A3409" t="str">
            <v>B5YSA42</v>
          </cell>
          <cell r="B3409" t="str">
            <v xml:space="preserve">EXCELLO LATEX MATE AMARILLO   </v>
          </cell>
          <cell r="C3409">
            <v>3</v>
          </cell>
          <cell r="D3409">
            <v>1095</v>
          </cell>
        </row>
        <row r="3410">
          <cell r="A3410" t="str">
            <v>B5YSA42-5</v>
          </cell>
          <cell r="B3410" t="str">
            <v xml:space="preserve">EXCELLO LATEX MATE AMARILLO   </v>
          </cell>
          <cell r="C3410">
            <v>3</v>
          </cell>
          <cell r="D3410">
            <v>1095</v>
          </cell>
        </row>
        <row r="3411">
          <cell r="A3411" t="str">
            <v>B5YSA46</v>
          </cell>
          <cell r="B3411" t="str">
            <v xml:space="preserve">EXCELLO LATEX MATE MOSTAZA    </v>
          </cell>
          <cell r="C3411">
            <v>3</v>
          </cell>
          <cell r="D3411">
            <v>1095</v>
          </cell>
        </row>
        <row r="3412">
          <cell r="A3412" t="str">
            <v>B5YSA46-1</v>
          </cell>
          <cell r="B3412" t="str">
            <v xml:space="preserve">EXCELLO LATEX MATE MOSTAZA    </v>
          </cell>
          <cell r="C3412">
            <v>3</v>
          </cell>
          <cell r="D3412">
            <v>1095</v>
          </cell>
        </row>
        <row r="3413">
          <cell r="A3413" t="str">
            <v>B5YSA46-5</v>
          </cell>
          <cell r="B3413" t="str">
            <v xml:space="preserve">EXCELLO LATEX MATE MOSTAZA    </v>
          </cell>
          <cell r="C3413">
            <v>3</v>
          </cell>
          <cell r="D3413">
            <v>1095</v>
          </cell>
        </row>
        <row r="3414">
          <cell r="A3414" t="str">
            <v>B5YSA49-AE</v>
          </cell>
          <cell r="B3414" t="str">
            <v xml:space="preserve">EXCELLO LATEX MATE ORNAM GOLD </v>
          </cell>
          <cell r="C3414">
            <v>3</v>
          </cell>
          <cell r="D3414">
            <v>1095</v>
          </cell>
        </row>
        <row r="3415">
          <cell r="A3415" t="str">
            <v>B5YSA49AE-5</v>
          </cell>
          <cell r="B3415" t="str">
            <v xml:space="preserve">EXCELLO LATEX MATE ORNAM GOLD </v>
          </cell>
          <cell r="C3415">
            <v>3</v>
          </cell>
          <cell r="D3415">
            <v>1095</v>
          </cell>
        </row>
        <row r="3416">
          <cell r="A3416" t="str">
            <v>B5YSA59</v>
          </cell>
          <cell r="B3416" t="str">
            <v>EXCELLO LAT MATE AMARI TROPICA</v>
          </cell>
          <cell r="C3416">
            <v>3</v>
          </cell>
          <cell r="D3416">
            <v>1095</v>
          </cell>
        </row>
        <row r="3417">
          <cell r="A3417" t="str">
            <v>B5YSA59-1</v>
          </cell>
          <cell r="B3417" t="str">
            <v>EXCELLO LAT MATE AMARI TROPICA</v>
          </cell>
          <cell r="C3417">
            <v>3</v>
          </cell>
          <cell r="D3417">
            <v>1095</v>
          </cell>
        </row>
        <row r="3418">
          <cell r="A3418" t="str">
            <v>B5YSA59-5</v>
          </cell>
          <cell r="B3418" t="str">
            <v>EXCELLO LAT MATE AMARI TROPICA</v>
          </cell>
          <cell r="C3418">
            <v>3</v>
          </cell>
          <cell r="D3418">
            <v>1095</v>
          </cell>
        </row>
        <row r="3419">
          <cell r="A3419" t="str">
            <v>B5YSA60</v>
          </cell>
          <cell r="B3419" t="str">
            <v xml:space="preserve">EXCELLO LATEX MATE AMARILLO   </v>
          </cell>
          <cell r="C3419">
            <v>3</v>
          </cell>
          <cell r="D3419">
            <v>1095</v>
          </cell>
        </row>
        <row r="3420">
          <cell r="A3420" t="str">
            <v>B5YSA60-5</v>
          </cell>
          <cell r="B3420" t="str">
            <v xml:space="preserve">EXCELLO LATEX MATE AMARILLO   </v>
          </cell>
          <cell r="C3420">
            <v>3</v>
          </cell>
          <cell r="D3420">
            <v>1095</v>
          </cell>
        </row>
        <row r="3421">
          <cell r="A3421" t="str">
            <v>B5YSA61</v>
          </cell>
          <cell r="B3421" t="str">
            <v>EXCELLO LATEX MATE GOLD SW 613</v>
          </cell>
          <cell r="C3421">
            <v>3</v>
          </cell>
          <cell r="D3421">
            <v>1095</v>
          </cell>
        </row>
        <row r="3422">
          <cell r="A3422" t="str">
            <v>B5YSA61-5</v>
          </cell>
          <cell r="B3422" t="str">
            <v>EXCELLO LATEX MATE GOLD SW 613</v>
          </cell>
          <cell r="C3422">
            <v>3</v>
          </cell>
          <cell r="D3422">
            <v>1095</v>
          </cell>
        </row>
        <row r="3423">
          <cell r="A3423" t="str">
            <v>B5YSA62</v>
          </cell>
          <cell r="B3423" t="str">
            <v xml:space="preserve">EXCELLO LAT MATE  ISNA SW2331 </v>
          </cell>
          <cell r="C3423">
            <v>3</v>
          </cell>
          <cell r="D3423">
            <v>1095</v>
          </cell>
        </row>
        <row r="3424">
          <cell r="A3424" t="str">
            <v>B5YSA62-1</v>
          </cell>
          <cell r="B3424" t="str">
            <v xml:space="preserve">EXCELLO LAT MATE  ISNA SW2331 </v>
          </cell>
          <cell r="C3424">
            <v>3</v>
          </cell>
          <cell r="D3424">
            <v>1095</v>
          </cell>
        </row>
        <row r="3425">
          <cell r="A3425" t="str">
            <v>B5YSA63</v>
          </cell>
          <cell r="B3425" t="str">
            <v xml:space="preserve">EXCELLO LATEX MATE AMARILLO   </v>
          </cell>
          <cell r="C3425">
            <v>3</v>
          </cell>
          <cell r="D3425">
            <v>1095</v>
          </cell>
        </row>
        <row r="3426">
          <cell r="A3426" t="str">
            <v>B5YSA63-5</v>
          </cell>
          <cell r="B3426" t="str">
            <v xml:space="preserve">EXCELLO LATEX MATE AMARILLO   </v>
          </cell>
          <cell r="C3426">
            <v>3</v>
          </cell>
          <cell r="D3426">
            <v>1095</v>
          </cell>
        </row>
        <row r="3427">
          <cell r="A3427" t="str">
            <v>B60V15-1/4</v>
          </cell>
          <cell r="B3427" t="str">
            <v xml:space="preserve">WATER BASED CATALYZED EPOXY   </v>
          </cell>
          <cell r="C3427">
            <v>3</v>
          </cell>
          <cell r="D3427">
            <v>1095</v>
          </cell>
        </row>
        <row r="3428">
          <cell r="A3428" t="str">
            <v>B67A2001-1</v>
          </cell>
          <cell r="B3428" t="str">
            <v xml:space="preserve">ARMORSEAL 1000 HS EPOXY       </v>
          </cell>
          <cell r="C3428">
            <v>3</v>
          </cell>
          <cell r="D3428">
            <v>1095</v>
          </cell>
        </row>
        <row r="3429">
          <cell r="A3429" t="str">
            <v>B67V2002-1</v>
          </cell>
          <cell r="B3429" t="str">
            <v xml:space="preserve">ARMORSEAL 1000 HS EPOXY       </v>
          </cell>
          <cell r="C3429">
            <v>3</v>
          </cell>
          <cell r="D3429">
            <v>1095</v>
          </cell>
        </row>
        <row r="3430">
          <cell r="A3430" t="str">
            <v>B67W2001-1</v>
          </cell>
          <cell r="B3430" t="str">
            <v xml:space="preserve">ARMORSEAL 1000 HS EPOXY       </v>
          </cell>
          <cell r="C3430">
            <v>3</v>
          </cell>
          <cell r="D3430">
            <v>1095</v>
          </cell>
        </row>
        <row r="3431">
          <cell r="A3431" t="str">
            <v>K7LSA3</v>
          </cell>
          <cell r="B3431" t="str">
            <v xml:space="preserve">SUPER KEM TONE TURQUESA SUAVE </v>
          </cell>
          <cell r="C3431">
            <v>3</v>
          </cell>
          <cell r="D3431">
            <v>1095</v>
          </cell>
        </row>
        <row r="3432">
          <cell r="A3432" t="str">
            <v>K7LSA3-1</v>
          </cell>
          <cell r="B3432" t="str">
            <v xml:space="preserve">SUPER KEM TONE TURQUESA SUAVE </v>
          </cell>
          <cell r="C3432">
            <v>3</v>
          </cell>
          <cell r="D3432">
            <v>1095</v>
          </cell>
        </row>
        <row r="3433">
          <cell r="A3433" t="str">
            <v>K7WSA4</v>
          </cell>
          <cell r="B3433" t="str">
            <v xml:space="preserve">SUPER KEM TONE ULTRA BLANCO   </v>
          </cell>
          <cell r="C3433">
            <v>3</v>
          </cell>
          <cell r="D3433">
            <v>1095</v>
          </cell>
        </row>
        <row r="3434">
          <cell r="A3434" t="str">
            <v>K7WSA4-1</v>
          </cell>
          <cell r="B3434" t="str">
            <v xml:space="preserve">SUPER KEM TONE ULTRA BLANCO   </v>
          </cell>
          <cell r="C3434">
            <v>3</v>
          </cell>
          <cell r="D3434">
            <v>1095</v>
          </cell>
        </row>
        <row r="3435">
          <cell r="A3435" t="str">
            <v>K7WSA6</v>
          </cell>
          <cell r="B3435" t="str">
            <v xml:space="preserve">SUPER KEM TONE CAMEO CREAM    </v>
          </cell>
          <cell r="C3435">
            <v>3</v>
          </cell>
          <cell r="D3435">
            <v>1095</v>
          </cell>
        </row>
        <row r="3436">
          <cell r="A3436" t="str">
            <v>K7WSA6-1</v>
          </cell>
          <cell r="B3436" t="str">
            <v xml:space="preserve">SUPER KEM TONE CAMEO CREAM    </v>
          </cell>
          <cell r="C3436">
            <v>3</v>
          </cell>
          <cell r="D3436">
            <v>1095</v>
          </cell>
        </row>
        <row r="3437">
          <cell r="A3437" t="str">
            <v>Y14RSA158</v>
          </cell>
          <cell r="B3437" t="str">
            <v>CA ESM ALQ SEMI INT B REAL RED</v>
          </cell>
          <cell r="C3437">
            <v>3</v>
          </cell>
          <cell r="D3437">
            <v>1095</v>
          </cell>
        </row>
        <row r="3438">
          <cell r="A3438" t="str">
            <v>Y14RSA158-1</v>
          </cell>
          <cell r="B3438" t="str">
            <v xml:space="preserve">CA ESM ALQ SEMI INT REAL RED  </v>
          </cell>
          <cell r="C3438">
            <v>3</v>
          </cell>
          <cell r="D3438">
            <v>1095</v>
          </cell>
        </row>
        <row r="3439">
          <cell r="A3439" t="str">
            <v>Y14RSA158-1/4</v>
          </cell>
          <cell r="B3439" t="str">
            <v>COLORACCENTS ALKYD SEMIBTE RED</v>
          </cell>
          <cell r="C3439">
            <v>3</v>
          </cell>
          <cell r="D3439">
            <v>1095</v>
          </cell>
        </row>
        <row r="3440">
          <cell r="A3440" t="str">
            <v>Y14RSA158-5</v>
          </cell>
          <cell r="B3440" t="str">
            <v>COLORACCENTS ALKYD SEMIBTE RED</v>
          </cell>
          <cell r="C3440">
            <v>3</v>
          </cell>
          <cell r="D3440">
            <v>1095</v>
          </cell>
        </row>
        <row r="3441">
          <cell r="A3441" t="str">
            <v>Y14TSA154</v>
          </cell>
          <cell r="B3441" t="str">
            <v>CA ESM ALQ SEMI INT B ULTRDEEP</v>
          </cell>
          <cell r="C3441">
            <v>3</v>
          </cell>
          <cell r="D3441">
            <v>1095</v>
          </cell>
        </row>
        <row r="3442">
          <cell r="A3442" t="str">
            <v>Y14TSA154-1</v>
          </cell>
          <cell r="B3442" t="str">
            <v xml:space="preserve">CA ESM ALQ SEMI INT ULTRDEEP  </v>
          </cell>
          <cell r="C3442">
            <v>3</v>
          </cell>
          <cell r="D3442">
            <v>1095</v>
          </cell>
        </row>
        <row r="3443">
          <cell r="A3443" t="str">
            <v>Y14TSA154-1/4</v>
          </cell>
          <cell r="B3443" t="str">
            <v>COLORACCENTS ALK SEMIBTE UDEEP</v>
          </cell>
          <cell r="C3443">
            <v>3</v>
          </cell>
          <cell r="D3443">
            <v>1095</v>
          </cell>
        </row>
        <row r="3444">
          <cell r="A3444" t="str">
            <v>Y14TSA154-5</v>
          </cell>
          <cell r="B3444" t="str">
            <v>COLORACCENTS ALK SEMIBTE UDEEP</v>
          </cell>
          <cell r="C3444">
            <v>3</v>
          </cell>
          <cell r="D3444">
            <v>1095</v>
          </cell>
        </row>
        <row r="3445">
          <cell r="A3445" t="str">
            <v>Y14YSA157</v>
          </cell>
          <cell r="B3445" t="str">
            <v>CA ES AL SEMI INT B BRIGHYELLO</v>
          </cell>
          <cell r="C3445">
            <v>3</v>
          </cell>
          <cell r="D3445">
            <v>1095</v>
          </cell>
        </row>
        <row r="3446">
          <cell r="A3446" t="str">
            <v>Y14YSA157-1</v>
          </cell>
          <cell r="B3446" t="str">
            <v>CA ES AL SEMI INT BRIGHT YELLO</v>
          </cell>
          <cell r="C3446">
            <v>3</v>
          </cell>
          <cell r="D3446">
            <v>1095</v>
          </cell>
        </row>
        <row r="3447">
          <cell r="A3447" t="str">
            <v>Y14YSA157-1/4</v>
          </cell>
          <cell r="B3447" t="str">
            <v>COLORACCENTS ALK.SEMIBTEYELLOW</v>
          </cell>
          <cell r="C3447">
            <v>3</v>
          </cell>
          <cell r="D3447">
            <v>1095</v>
          </cell>
        </row>
        <row r="3448">
          <cell r="A3448" t="str">
            <v>Y14YSA157-5</v>
          </cell>
          <cell r="B3448" t="str">
            <v>COLORACCENTS ALK.SEMIBTEYELLOW</v>
          </cell>
          <cell r="C3448">
            <v>3</v>
          </cell>
          <cell r="D3448">
            <v>1095</v>
          </cell>
        </row>
        <row r="3449">
          <cell r="A3449" t="str">
            <v>Y21RSA158</v>
          </cell>
          <cell r="B3449" t="str">
            <v xml:space="preserve">CA LATEX MATE INT B REAL RED  </v>
          </cell>
          <cell r="C3449">
            <v>3</v>
          </cell>
          <cell r="D3449">
            <v>1095</v>
          </cell>
        </row>
        <row r="3450">
          <cell r="A3450" t="str">
            <v>Y21RSA158-1</v>
          </cell>
          <cell r="B3450" t="str">
            <v xml:space="preserve">CA LATEX MATE INT B REAL RED  </v>
          </cell>
          <cell r="C3450">
            <v>3</v>
          </cell>
          <cell r="D3450">
            <v>1095</v>
          </cell>
        </row>
        <row r="3451">
          <cell r="A3451" t="str">
            <v>Y21RSA158-1/4</v>
          </cell>
          <cell r="B3451" t="str">
            <v xml:space="preserve">CA LATEX MATE INT B REAL RED  </v>
          </cell>
          <cell r="C3451">
            <v>3</v>
          </cell>
          <cell r="D3451">
            <v>1095</v>
          </cell>
        </row>
        <row r="3452">
          <cell r="A3452" t="str">
            <v>Y21TSA154</v>
          </cell>
          <cell r="B3452" t="str">
            <v>CA LATEX MATE INT B ULTRA DEEP</v>
          </cell>
          <cell r="C3452">
            <v>3</v>
          </cell>
          <cell r="D3452">
            <v>1095</v>
          </cell>
        </row>
        <row r="3453">
          <cell r="A3453" t="str">
            <v>Y21TSA154-1</v>
          </cell>
          <cell r="B3453" t="str">
            <v xml:space="preserve">CA LATEX MATE INT ULTRA DEEP  </v>
          </cell>
          <cell r="C3453">
            <v>3</v>
          </cell>
          <cell r="D3453">
            <v>1095</v>
          </cell>
        </row>
        <row r="3454">
          <cell r="A3454" t="str">
            <v>Y21TSA154-1/4</v>
          </cell>
          <cell r="B3454" t="str">
            <v xml:space="preserve">CA LATEX MATE INT ULTRA DEEP  </v>
          </cell>
          <cell r="C3454">
            <v>3</v>
          </cell>
          <cell r="D3454">
            <v>1095</v>
          </cell>
        </row>
        <row r="3455">
          <cell r="A3455" t="str">
            <v>Y21TSA154-5</v>
          </cell>
          <cell r="B3455" t="str">
            <v>COLORACCENT INT  LATEX ULTDEEP</v>
          </cell>
          <cell r="C3455">
            <v>3</v>
          </cell>
          <cell r="D3455">
            <v>1095</v>
          </cell>
        </row>
        <row r="3456">
          <cell r="A3456" t="str">
            <v>Y21YSA157</v>
          </cell>
          <cell r="B3456" t="str">
            <v>CA LATEX MATE INT B BRIGHYELLO</v>
          </cell>
          <cell r="C3456">
            <v>3</v>
          </cell>
          <cell r="D3456">
            <v>1095</v>
          </cell>
        </row>
        <row r="3457">
          <cell r="A3457" t="str">
            <v>Y21YSA157-1</v>
          </cell>
          <cell r="B3457" t="str">
            <v xml:space="preserve">CA LATEX MATE INT BRIGHYELLO  </v>
          </cell>
          <cell r="C3457">
            <v>3</v>
          </cell>
          <cell r="D3457">
            <v>1095</v>
          </cell>
        </row>
        <row r="3458">
          <cell r="A3458" t="str">
            <v>Y21YSA157-1/4</v>
          </cell>
          <cell r="B3458" t="str">
            <v xml:space="preserve">CA LATEX MATE INT BRIGHYELLO  </v>
          </cell>
          <cell r="C3458">
            <v>3</v>
          </cell>
          <cell r="D3458">
            <v>1095</v>
          </cell>
        </row>
        <row r="3459">
          <cell r="A3459" t="str">
            <v>Y21YSA157-5</v>
          </cell>
          <cell r="B3459" t="str">
            <v>COLORACCENT FLAT LAT INT YELLO</v>
          </cell>
          <cell r="C3459">
            <v>3</v>
          </cell>
          <cell r="D3459">
            <v>1095</v>
          </cell>
        </row>
        <row r="3460">
          <cell r="A3460" t="str">
            <v>Y38RSA158</v>
          </cell>
          <cell r="B3460" t="str">
            <v xml:space="preserve">CA LATEX SATIN INT B REAL RED </v>
          </cell>
          <cell r="C3460">
            <v>3</v>
          </cell>
          <cell r="D3460">
            <v>1095</v>
          </cell>
        </row>
        <row r="3461">
          <cell r="A3461" t="str">
            <v>Y38RSA158-1</v>
          </cell>
          <cell r="B3461" t="str">
            <v xml:space="preserve">CA LATEX SATIN INT REAL RED   </v>
          </cell>
          <cell r="C3461">
            <v>3</v>
          </cell>
          <cell r="D3461">
            <v>1095</v>
          </cell>
        </row>
        <row r="3462">
          <cell r="A3462" t="str">
            <v>Y38RSA158-1/4</v>
          </cell>
          <cell r="B3462" t="str">
            <v xml:space="preserve">COLORACCENT LAT INT SAT  RED  </v>
          </cell>
          <cell r="C3462">
            <v>3</v>
          </cell>
          <cell r="D3462">
            <v>1095</v>
          </cell>
        </row>
        <row r="3463">
          <cell r="A3463" t="str">
            <v>Y38RSA158-5</v>
          </cell>
          <cell r="B3463" t="str">
            <v xml:space="preserve">COLORACCENT LAT INT SAT  RED  </v>
          </cell>
          <cell r="C3463">
            <v>3</v>
          </cell>
          <cell r="D3463">
            <v>1095</v>
          </cell>
        </row>
        <row r="3464">
          <cell r="A3464" t="str">
            <v>Y38TSA154</v>
          </cell>
          <cell r="B3464" t="str">
            <v>CA LATEX SATIN INT B ULTRADEEP</v>
          </cell>
          <cell r="C3464">
            <v>3</v>
          </cell>
          <cell r="D3464">
            <v>1095</v>
          </cell>
        </row>
        <row r="3465">
          <cell r="A3465" t="str">
            <v>Y38TSA154-1</v>
          </cell>
          <cell r="B3465" t="str">
            <v xml:space="preserve">CA LATEX SATIN INT ULTRADEEP  </v>
          </cell>
          <cell r="C3465">
            <v>3</v>
          </cell>
          <cell r="D3465">
            <v>1095</v>
          </cell>
        </row>
        <row r="3466">
          <cell r="A3466" t="str">
            <v>Y38TSA154-1/4</v>
          </cell>
          <cell r="B3466" t="str">
            <v>COLORACCEN LAT INT SAT ULTDEEP</v>
          </cell>
          <cell r="C3466">
            <v>3</v>
          </cell>
          <cell r="D3466">
            <v>1095</v>
          </cell>
        </row>
        <row r="3467">
          <cell r="A3467" t="str">
            <v>Y38TSA154-5</v>
          </cell>
          <cell r="B3467" t="str">
            <v>COLORACCEN LAT INT SAT ULTDEEP</v>
          </cell>
          <cell r="C3467">
            <v>3</v>
          </cell>
          <cell r="D3467">
            <v>1095</v>
          </cell>
        </row>
        <row r="3468">
          <cell r="A3468" t="str">
            <v>Y38YSA157</v>
          </cell>
          <cell r="B3468" t="str">
            <v>CA LATEX SATI INT B BRIGHYELLO</v>
          </cell>
          <cell r="C3468">
            <v>3</v>
          </cell>
          <cell r="D3468">
            <v>1095</v>
          </cell>
        </row>
        <row r="3469">
          <cell r="A3469" t="str">
            <v>Y38YSA157-1</v>
          </cell>
          <cell r="B3469" t="str">
            <v xml:space="preserve">CA LATEX SATI INT BRIGHYELLO  </v>
          </cell>
          <cell r="C3469">
            <v>3</v>
          </cell>
          <cell r="D3469">
            <v>1095</v>
          </cell>
        </row>
        <row r="3470">
          <cell r="A3470" t="str">
            <v>Y38YSA157-1/4</v>
          </cell>
          <cell r="B3470" t="str">
            <v>COLORACCENT LAT INT.SAT YELLOW</v>
          </cell>
          <cell r="C3470">
            <v>3</v>
          </cell>
          <cell r="D3470">
            <v>1095</v>
          </cell>
        </row>
        <row r="3471">
          <cell r="A3471" t="str">
            <v>Y38YSA157-5</v>
          </cell>
          <cell r="B3471" t="str">
            <v>COLORACCENT LAT INT.SAT YELLOW</v>
          </cell>
          <cell r="C3471">
            <v>3</v>
          </cell>
          <cell r="D3471">
            <v>1095</v>
          </cell>
        </row>
        <row r="3472">
          <cell r="A3472" t="str">
            <v>Y4RSA58</v>
          </cell>
          <cell r="B3472" t="str">
            <v>EXT A LATEX MATE B PRIMARE RED</v>
          </cell>
          <cell r="C3472">
            <v>3</v>
          </cell>
          <cell r="D3472">
            <v>1095</v>
          </cell>
        </row>
        <row r="3473">
          <cell r="A3473" t="str">
            <v>Y4RSA58-1</v>
          </cell>
          <cell r="B3473" t="str">
            <v xml:space="preserve">EXT A LATEX MATE PRIMARE RED  </v>
          </cell>
          <cell r="C3473">
            <v>3</v>
          </cell>
          <cell r="D3473">
            <v>1095</v>
          </cell>
        </row>
        <row r="3474">
          <cell r="A3474" t="str">
            <v>Y4RSA58-1/4</v>
          </cell>
          <cell r="B3474" t="str">
            <v xml:space="preserve">EXT ACCENT LAT MATE BASE RED  </v>
          </cell>
          <cell r="C3474">
            <v>3</v>
          </cell>
          <cell r="D3474">
            <v>1095</v>
          </cell>
        </row>
        <row r="3475">
          <cell r="A3475" t="str">
            <v>Y4RSA58-5</v>
          </cell>
          <cell r="B3475" t="str">
            <v xml:space="preserve">EXT ACCENT LAT MATE BASE RED  </v>
          </cell>
          <cell r="C3475">
            <v>3</v>
          </cell>
          <cell r="D3475">
            <v>1095</v>
          </cell>
        </row>
        <row r="3476">
          <cell r="A3476" t="str">
            <v>Y4TSA54</v>
          </cell>
          <cell r="B3476" t="str">
            <v xml:space="preserve">EXT A LATEX MATE BASE CHROMA  </v>
          </cell>
          <cell r="C3476">
            <v>3</v>
          </cell>
          <cell r="D3476">
            <v>1095</v>
          </cell>
        </row>
        <row r="3477">
          <cell r="A3477" t="str">
            <v>Y4TSA54-1</v>
          </cell>
          <cell r="B3477" t="str">
            <v xml:space="preserve">EXT A LATEX MATE BASE CHROMA  </v>
          </cell>
          <cell r="C3477">
            <v>3</v>
          </cell>
          <cell r="D3477">
            <v>1095</v>
          </cell>
        </row>
        <row r="3478">
          <cell r="A3478" t="str">
            <v>Y4TSA54-1/4</v>
          </cell>
          <cell r="B3478" t="str">
            <v xml:space="preserve">EXT ACCENT LAT MATE  CHROMA   </v>
          </cell>
          <cell r="C3478">
            <v>3</v>
          </cell>
          <cell r="D3478">
            <v>1095</v>
          </cell>
        </row>
        <row r="3479">
          <cell r="A3479" t="str">
            <v>Y4TSA54-5</v>
          </cell>
          <cell r="B3479" t="str">
            <v xml:space="preserve">EXT ACCENT LAT MATE  CHROMA   </v>
          </cell>
          <cell r="C3479">
            <v>3</v>
          </cell>
          <cell r="D3479">
            <v>1095</v>
          </cell>
        </row>
        <row r="3480">
          <cell r="A3480" t="str">
            <v>Y4YSA57</v>
          </cell>
          <cell r="B3480" t="str">
            <v>EXT A LATEX MATE B VIVIDYELLOW</v>
          </cell>
          <cell r="C3480">
            <v>3</v>
          </cell>
          <cell r="D3480">
            <v>1095</v>
          </cell>
        </row>
        <row r="3481">
          <cell r="A3481" t="str">
            <v>Y4YSA57-1</v>
          </cell>
          <cell r="B3481" t="str">
            <v xml:space="preserve">EXT A LATEX MATE VIVIDYELLOW  </v>
          </cell>
          <cell r="C3481">
            <v>3</v>
          </cell>
          <cell r="D3481">
            <v>1095</v>
          </cell>
        </row>
        <row r="3482">
          <cell r="A3482" t="str">
            <v>Y4YSA57-1/4</v>
          </cell>
          <cell r="B3482" t="str">
            <v xml:space="preserve">EXT ACCENT LAT MATE  YELLOW   </v>
          </cell>
          <cell r="C3482">
            <v>3</v>
          </cell>
          <cell r="D3482">
            <v>1095</v>
          </cell>
        </row>
        <row r="3483">
          <cell r="A3483" t="str">
            <v>Y4YSA57-5</v>
          </cell>
          <cell r="B3483" t="str">
            <v xml:space="preserve">EXT ACCENT LAT MATE  YELLOW   </v>
          </cell>
          <cell r="C3483">
            <v>3</v>
          </cell>
          <cell r="D3483">
            <v>1095</v>
          </cell>
        </row>
        <row r="3484">
          <cell r="A3484" t="str">
            <v>D70T1-1</v>
          </cell>
          <cell r="B3484" t="str">
            <v>FAST DRYING SEMIPASTE TAPAPORO</v>
          </cell>
          <cell r="C3484">
            <v>0.49863013698630138</v>
          </cell>
          <cell r="D3484">
            <v>182</v>
          </cell>
        </row>
        <row r="3485">
          <cell r="A3485" t="str">
            <v>E2A36</v>
          </cell>
          <cell r="B3485" t="str">
            <v xml:space="preserve">JET SEAL CRAY PRIMER          </v>
          </cell>
          <cell r="C3485">
            <v>0.49863013698630138</v>
          </cell>
          <cell r="D3485">
            <v>182</v>
          </cell>
        </row>
        <row r="3486">
          <cell r="A3486" t="str">
            <v>E2A36-1</v>
          </cell>
          <cell r="B3486" t="str">
            <v xml:space="preserve">JET SEAL GRAY PRIMER          </v>
          </cell>
          <cell r="C3486">
            <v>0.49863013698630138</v>
          </cell>
          <cell r="D3486">
            <v>182</v>
          </cell>
        </row>
        <row r="3487">
          <cell r="A3487" t="str">
            <v>E2G980</v>
          </cell>
          <cell r="B3487" t="str">
            <v xml:space="preserve">G.B.P.  ETCHING   FILLER      </v>
          </cell>
          <cell r="C3487">
            <v>1</v>
          </cell>
          <cell r="D3487">
            <v>365</v>
          </cell>
        </row>
        <row r="3488">
          <cell r="A3488" t="str">
            <v>E2G980-1</v>
          </cell>
          <cell r="B3488" t="str">
            <v xml:space="preserve">G.B.P.  ETCHING   FILLER      </v>
          </cell>
          <cell r="C3488">
            <v>1</v>
          </cell>
          <cell r="D3488">
            <v>365</v>
          </cell>
        </row>
        <row r="3489">
          <cell r="A3489" t="str">
            <v>E2G980-1/4</v>
          </cell>
          <cell r="B3489" t="str">
            <v xml:space="preserve">G.B.P. ETCHING FILLER         </v>
          </cell>
          <cell r="C3489">
            <v>1</v>
          </cell>
          <cell r="D3489">
            <v>365</v>
          </cell>
        </row>
        <row r="3490">
          <cell r="A3490" t="str">
            <v>E2R27</v>
          </cell>
          <cell r="B3490" t="str">
            <v xml:space="preserve">JET SEAL PRIM SEAL  RED OXIDE </v>
          </cell>
          <cell r="C3490">
            <v>0.49863013698630138</v>
          </cell>
          <cell r="D3490">
            <v>182</v>
          </cell>
        </row>
        <row r="3491">
          <cell r="A3491" t="str">
            <v>E2R27-1</v>
          </cell>
          <cell r="B3491" t="str">
            <v xml:space="preserve">JET SEAL PRIM SEAL  RED OXIDE </v>
          </cell>
          <cell r="C3491">
            <v>0.49863013698630138</v>
          </cell>
          <cell r="D3491">
            <v>182</v>
          </cell>
        </row>
        <row r="3492">
          <cell r="A3492" t="str">
            <v>E3A4801</v>
          </cell>
          <cell r="B3492" t="str">
            <v xml:space="preserve">KEM PRIMER SURFACER  GRIS     </v>
          </cell>
          <cell r="C3492">
            <v>0.49863013698630138</v>
          </cell>
          <cell r="D3492">
            <v>182</v>
          </cell>
        </row>
        <row r="3493">
          <cell r="A3493" t="str">
            <v>E3A4801-1</v>
          </cell>
          <cell r="B3493" t="str">
            <v xml:space="preserve">KEM PRIMER SURFACER  GRIS     </v>
          </cell>
          <cell r="C3493">
            <v>0.49863013698630138</v>
          </cell>
          <cell r="D3493">
            <v>182</v>
          </cell>
        </row>
        <row r="3494">
          <cell r="A3494" t="str">
            <v>E3A4801-1/4</v>
          </cell>
          <cell r="B3494" t="str">
            <v xml:space="preserve">KEM PRIMER SURFACER  GRIS     </v>
          </cell>
          <cell r="C3494">
            <v>0.49863013698630138</v>
          </cell>
          <cell r="D3494">
            <v>182</v>
          </cell>
        </row>
        <row r="3495">
          <cell r="A3495" t="str">
            <v>E41E1</v>
          </cell>
          <cell r="B3495" t="str">
            <v xml:space="preserve">Q. D. RED LEAD PRIMER         </v>
          </cell>
          <cell r="C3495">
            <v>0.49863013698630138</v>
          </cell>
          <cell r="D3495">
            <v>182</v>
          </cell>
        </row>
        <row r="3496">
          <cell r="A3496" t="str">
            <v>E41E1-1</v>
          </cell>
          <cell r="B3496" t="str">
            <v xml:space="preserve">Q. D. RED LEAD PRIMER         </v>
          </cell>
          <cell r="C3496">
            <v>0.49863013698630138</v>
          </cell>
          <cell r="D3496">
            <v>182</v>
          </cell>
        </row>
        <row r="3497">
          <cell r="A3497" t="str">
            <v>E61R9</v>
          </cell>
          <cell r="B3497" t="str">
            <v>KEM FASTDRY PRIMARIO OXIDE RED</v>
          </cell>
          <cell r="C3497">
            <v>0.49863013698630138</v>
          </cell>
          <cell r="D3497">
            <v>182</v>
          </cell>
        </row>
        <row r="3498">
          <cell r="A3498" t="str">
            <v>E61R9-1</v>
          </cell>
          <cell r="B3498" t="str">
            <v>KEM FASTDRY PRIMARIO OXIDE RED</v>
          </cell>
          <cell r="C3498">
            <v>0.49863013698630138</v>
          </cell>
          <cell r="D3498">
            <v>182</v>
          </cell>
        </row>
        <row r="3499">
          <cell r="A3499" t="str">
            <v>E68WSA1</v>
          </cell>
          <cell r="B3499" t="str">
            <v xml:space="preserve">MONOBAKE PRIMER               </v>
          </cell>
          <cell r="C3499">
            <v>0.49863013698630138</v>
          </cell>
          <cell r="D3499">
            <v>182</v>
          </cell>
        </row>
        <row r="3500">
          <cell r="A3500" t="str">
            <v>E68WSA1-1</v>
          </cell>
          <cell r="B3500" t="str">
            <v xml:space="preserve">MONOBAKE PRIMER WHITE         </v>
          </cell>
          <cell r="C3500">
            <v>0.49863013698630138</v>
          </cell>
          <cell r="D3500">
            <v>182</v>
          </cell>
        </row>
        <row r="3501">
          <cell r="A3501" t="str">
            <v>E68WSA1-5</v>
          </cell>
          <cell r="B3501" t="str">
            <v xml:space="preserve">MONOBAKE PRIMER WHITE         </v>
          </cell>
          <cell r="C3501">
            <v>0.49863013698630138</v>
          </cell>
          <cell r="D3501">
            <v>182</v>
          </cell>
        </row>
        <row r="3502">
          <cell r="A3502" t="str">
            <v>E6C61-1</v>
          </cell>
          <cell r="B3502" t="str">
            <v xml:space="preserve">SELLADOR TRANSPARENTE         </v>
          </cell>
          <cell r="C3502">
            <v>0.49863013698630138</v>
          </cell>
          <cell r="D3502">
            <v>182</v>
          </cell>
        </row>
        <row r="3503">
          <cell r="A3503" t="str">
            <v>E6C61-1/4</v>
          </cell>
          <cell r="B3503" t="str">
            <v xml:space="preserve">ULTRA-FILL  I I  TRANSPA SEAL </v>
          </cell>
          <cell r="C3503">
            <v>0.49863013698630138</v>
          </cell>
          <cell r="D3503">
            <v>182</v>
          </cell>
        </row>
        <row r="3504">
          <cell r="A3504" t="str">
            <v>E6H59-1/4</v>
          </cell>
          <cell r="B3504" t="str">
            <v xml:space="preserve">ULTRA-FILL  I I  NEUTRAL SEAL </v>
          </cell>
          <cell r="C3504">
            <v>0.49863013698630138</v>
          </cell>
          <cell r="D3504">
            <v>182</v>
          </cell>
        </row>
        <row r="3505">
          <cell r="A3505" t="str">
            <v>EB20000-1/4</v>
          </cell>
          <cell r="B3505" t="str">
            <v>ALUMINIO ARMADORA EXTRA GRUESO</v>
          </cell>
          <cell r="C3505">
            <v>3</v>
          </cell>
          <cell r="D3505">
            <v>1095</v>
          </cell>
        </row>
        <row r="3506">
          <cell r="A3506" t="str">
            <v>F1R4953</v>
          </cell>
          <cell r="B3506" t="str">
            <v xml:space="preserve">CUSTOM COLOR TOLUIDINE RED    </v>
          </cell>
          <cell r="C3506">
            <v>0.5</v>
          </cell>
          <cell r="D3506">
            <v>182.5</v>
          </cell>
        </row>
        <row r="3507">
          <cell r="A3507" t="str">
            <v>F1R4953-1</v>
          </cell>
          <cell r="B3507" t="str">
            <v xml:space="preserve">CUSTOM COLOR TOLUIDINE RED    </v>
          </cell>
          <cell r="C3507">
            <v>0.5</v>
          </cell>
          <cell r="D3507">
            <v>182.5</v>
          </cell>
        </row>
        <row r="3508">
          <cell r="A3508" t="str">
            <v>F1W4000</v>
          </cell>
          <cell r="B3508" t="str">
            <v xml:space="preserve">CUSTOM COLOR WHITE            </v>
          </cell>
          <cell r="C3508">
            <v>0.5</v>
          </cell>
          <cell r="D3508">
            <v>182.5</v>
          </cell>
        </row>
        <row r="3509">
          <cell r="A3509" t="str">
            <v>F1W4000-1</v>
          </cell>
          <cell r="B3509" t="str">
            <v xml:space="preserve">CUSTOM COLOR WHITE            </v>
          </cell>
          <cell r="C3509">
            <v>0.5</v>
          </cell>
          <cell r="D3509">
            <v>182.5</v>
          </cell>
        </row>
        <row r="3510">
          <cell r="A3510" t="str">
            <v>F63C50</v>
          </cell>
          <cell r="B3510" t="str">
            <v xml:space="preserve">BARNIZ POLIURET BRILL.  H.S.  </v>
          </cell>
          <cell r="C3510">
            <v>1</v>
          </cell>
          <cell r="D3510">
            <v>365</v>
          </cell>
        </row>
        <row r="3511">
          <cell r="A3511" t="str">
            <v>F63C50-1</v>
          </cell>
          <cell r="B3511" t="str">
            <v xml:space="preserve">BARNIZ POLIURET BRILL.  H.S.  </v>
          </cell>
          <cell r="C3511">
            <v>1</v>
          </cell>
          <cell r="D3511">
            <v>365</v>
          </cell>
        </row>
        <row r="3512">
          <cell r="A3512" t="str">
            <v>F63CSA2</v>
          </cell>
          <cell r="B3512" t="str">
            <v>TRANSPARENTE POLIURET HS P/MAD</v>
          </cell>
          <cell r="C3512">
            <v>1</v>
          </cell>
          <cell r="D3512">
            <v>365</v>
          </cell>
        </row>
        <row r="3513">
          <cell r="A3513" t="str">
            <v>F63CSA2-1</v>
          </cell>
          <cell r="B3513" t="str">
            <v xml:space="preserve">TRANSPARENTE P/MADERA INT/EXT </v>
          </cell>
          <cell r="C3513">
            <v>1</v>
          </cell>
          <cell r="D3513">
            <v>365</v>
          </cell>
        </row>
        <row r="3514">
          <cell r="A3514" t="str">
            <v>F63FSA1</v>
          </cell>
          <cell r="B3514" t="str">
            <v xml:space="preserve">BARNIZ POLIURET MATE   H.S.   </v>
          </cell>
          <cell r="C3514">
            <v>1</v>
          </cell>
          <cell r="D3514">
            <v>365</v>
          </cell>
        </row>
        <row r="3515">
          <cell r="A3515" t="str">
            <v>F63FSA1-1</v>
          </cell>
          <cell r="B3515" t="str">
            <v xml:space="preserve">BARNIZ POLIURET MATE   H.S.   </v>
          </cell>
          <cell r="C3515">
            <v>1</v>
          </cell>
          <cell r="D3515">
            <v>365</v>
          </cell>
        </row>
        <row r="3516">
          <cell r="A3516" t="str">
            <v>F63FSA2</v>
          </cell>
          <cell r="B3516" t="str">
            <v xml:space="preserve">BARNIZ POLIURET SATIN.   H.S. </v>
          </cell>
          <cell r="C3516">
            <v>1</v>
          </cell>
          <cell r="D3516">
            <v>365</v>
          </cell>
        </row>
        <row r="3517">
          <cell r="A3517" t="str">
            <v>F63FSA2-1</v>
          </cell>
          <cell r="B3517" t="str">
            <v xml:space="preserve">BARNIZ POLIURET SATIN.   H.S. </v>
          </cell>
          <cell r="C3517">
            <v>1</v>
          </cell>
          <cell r="D3517">
            <v>365</v>
          </cell>
        </row>
        <row r="3518">
          <cell r="A3518" t="str">
            <v>F68ASA8</v>
          </cell>
          <cell r="B3518" t="str">
            <v xml:space="preserve">SUPER FAST DRY                </v>
          </cell>
          <cell r="C3518">
            <v>0.49863013698630138</v>
          </cell>
          <cell r="D3518">
            <v>182</v>
          </cell>
        </row>
        <row r="3519">
          <cell r="A3519" t="str">
            <v>F68ASA8-5</v>
          </cell>
          <cell r="B3519" t="str">
            <v xml:space="preserve">SUPER FAST DRY GRIS           </v>
          </cell>
          <cell r="C3519">
            <v>0.49863013698630138</v>
          </cell>
          <cell r="D3519">
            <v>182</v>
          </cell>
        </row>
        <row r="3520">
          <cell r="A3520" t="str">
            <v>F68BSA5</v>
          </cell>
          <cell r="B3520" t="str">
            <v xml:space="preserve">SUPER FAST DRY                </v>
          </cell>
          <cell r="C3520">
            <v>0.49863013698630138</v>
          </cell>
          <cell r="D3520">
            <v>182</v>
          </cell>
        </row>
        <row r="3521">
          <cell r="A3521" t="str">
            <v>F68BSA5-1</v>
          </cell>
          <cell r="B3521" t="str">
            <v xml:space="preserve">SUPER FAST DRY NEGRO          </v>
          </cell>
          <cell r="C3521">
            <v>0.49863013698630138</v>
          </cell>
          <cell r="D3521">
            <v>182</v>
          </cell>
        </row>
        <row r="3522">
          <cell r="A3522" t="str">
            <v>F68GSA6</v>
          </cell>
          <cell r="B3522" t="str">
            <v xml:space="preserve">SUPER FAST DRY                </v>
          </cell>
          <cell r="C3522">
            <v>0.49863013698630138</v>
          </cell>
          <cell r="D3522">
            <v>182</v>
          </cell>
        </row>
        <row r="3523">
          <cell r="A3523" t="str">
            <v>F68GSA6-1</v>
          </cell>
          <cell r="B3523" t="str">
            <v>SUPER FAST DRY VERDE JOHN DEER</v>
          </cell>
          <cell r="C3523">
            <v>0.49863013698630138</v>
          </cell>
          <cell r="D3523">
            <v>182</v>
          </cell>
        </row>
        <row r="3524">
          <cell r="A3524" t="str">
            <v>F68NSA6</v>
          </cell>
          <cell r="B3524" t="str">
            <v xml:space="preserve">SUPER FAST DRY                </v>
          </cell>
          <cell r="C3524">
            <v>0.49863013698630138</v>
          </cell>
          <cell r="D3524">
            <v>182</v>
          </cell>
        </row>
        <row r="3525">
          <cell r="A3525" t="str">
            <v>F68NSA6-1</v>
          </cell>
          <cell r="B3525" t="str">
            <v xml:space="preserve">SUPER FAST DRY BEIGE CLARO    </v>
          </cell>
          <cell r="C3525">
            <v>0.49863013698630138</v>
          </cell>
          <cell r="D3525">
            <v>182</v>
          </cell>
        </row>
        <row r="3526">
          <cell r="A3526" t="str">
            <v>F68RSA11</v>
          </cell>
          <cell r="B3526" t="str">
            <v xml:space="preserve">SUPER FAST DRY                </v>
          </cell>
          <cell r="C3526">
            <v>0.49863013698630138</v>
          </cell>
          <cell r="D3526">
            <v>182</v>
          </cell>
        </row>
        <row r="3527">
          <cell r="A3527" t="str">
            <v>F68RSA11-5</v>
          </cell>
          <cell r="B3527" t="str">
            <v xml:space="preserve">SUPER FAST DRY ROJO TEXACO    </v>
          </cell>
          <cell r="C3527">
            <v>0.49863013698630138</v>
          </cell>
          <cell r="D3527">
            <v>182</v>
          </cell>
        </row>
        <row r="3528">
          <cell r="A3528" t="str">
            <v>F68WSA6</v>
          </cell>
          <cell r="B3528" t="str">
            <v xml:space="preserve">SUPER FAST DRY                </v>
          </cell>
          <cell r="C3528">
            <v>0.49863013698630138</v>
          </cell>
          <cell r="D3528">
            <v>182</v>
          </cell>
        </row>
        <row r="3529">
          <cell r="A3529" t="str">
            <v>F68WSA6-1</v>
          </cell>
          <cell r="B3529" t="str">
            <v xml:space="preserve">SUPER FAST DRY BLANCO         </v>
          </cell>
          <cell r="C3529">
            <v>0.49863013698630138</v>
          </cell>
          <cell r="D3529">
            <v>182</v>
          </cell>
        </row>
        <row r="3530">
          <cell r="A3530" t="str">
            <v>F68WSA6-5</v>
          </cell>
          <cell r="B3530" t="str">
            <v xml:space="preserve">SUPER FAST DRY BLANCO         </v>
          </cell>
          <cell r="C3530">
            <v>0.49863013698630138</v>
          </cell>
          <cell r="D3530">
            <v>182</v>
          </cell>
        </row>
        <row r="3531">
          <cell r="A3531" t="str">
            <v>F74C51</v>
          </cell>
          <cell r="B3531" t="str">
            <v xml:space="preserve">BARNIZ POLIURETANO BRILLANTE  </v>
          </cell>
          <cell r="C3531">
            <v>0.49863013698630138</v>
          </cell>
          <cell r="D3531">
            <v>182</v>
          </cell>
        </row>
        <row r="3532">
          <cell r="A3532" t="str">
            <v>F74C51-1</v>
          </cell>
          <cell r="B3532" t="str">
            <v xml:space="preserve">BARNIZ POLIURETANO BRILLANTE  </v>
          </cell>
          <cell r="C3532">
            <v>0.49863013698630138</v>
          </cell>
          <cell r="D3532">
            <v>182</v>
          </cell>
        </row>
        <row r="3533">
          <cell r="A3533" t="str">
            <v>F74FSA1</v>
          </cell>
          <cell r="B3533" t="str">
            <v xml:space="preserve">BARNIZ POLIURETANO MATE       </v>
          </cell>
          <cell r="C3533">
            <v>0.49863013698630138</v>
          </cell>
          <cell r="D3533">
            <v>182</v>
          </cell>
        </row>
        <row r="3534">
          <cell r="A3534" t="str">
            <v>F74FSA1-1</v>
          </cell>
          <cell r="B3534" t="str">
            <v xml:space="preserve">BARNIZ POLIURETANO MATE       </v>
          </cell>
          <cell r="C3534">
            <v>0.49863013698630138</v>
          </cell>
          <cell r="D3534">
            <v>182</v>
          </cell>
        </row>
        <row r="3535">
          <cell r="A3535" t="str">
            <v>F74FSA2</v>
          </cell>
          <cell r="B3535" t="str">
            <v xml:space="preserve">BARNIZ POLIURETANO SATINADO   </v>
          </cell>
          <cell r="C3535">
            <v>0.49863013698630138</v>
          </cell>
          <cell r="D3535">
            <v>182</v>
          </cell>
        </row>
        <row r="3536">
          <cell r="A3536" t="str">
            <v>F74FSA2-1</v>
          </cell>
          <cell r="B3536" t="str">
            <v xml:space="preserve">BARNIZ POLIURETANO SATINADO   </v>
          </cell>
          <cell r="C3536">
            <v>0.49863013698630138</v>
          </cell>
          <cell r="D3536">
            <v>182</v>
          </cell>
        </row>
        <row r="3537">
          <cell r="A3537" t="str">
            <v>F78BSA1</v>
          </cell>
          <cell r="B3537" t="str">
            <v xml:space="preserve">ESMALTE NEGRO MATE BASE AGUA  </v>
          </cell>
          <cell r="C3537">
            <v>0.49863013698630138</v>
          </cell>
          <cell r="D3537">
            <v>182</v>
          </cell>
        </row>
        <row r="3538">
          <cell r="A3538" t="str">
            <v>F78BSA1-50</v>
          </cell>
          <cell r="B3538" t="str">
            <v xml:space="preserve">ESM NEGRO MATE  AGUA P/HERRAM </v>
          </cell>
          <cell r="C3538">
            <v>0.49863013698630138</v>
          </cell>
          <cell r="D3538">
            <v>182</v>
          </cell>
        </row>
        <row r="3539">
          <cell r="A3539" t="str">
            <v>F78TSA1</v>
          </cell>
          <cell r="B3539" t="str">
            <v>TRANSPARENTE REDUCIBLE EN AGUA</v>
          </cell>
          <cell r="C3539">
            <v>0.49863013698630138</v>
          </cell>
          <cell r="D3539">
            <v>182</v>
          </cell>
        </row>
        <row r="3540">
          <cell r="A3540" t="str">
            <v>F78TSA1-49</v>
          </cell>
          <cell r="B3540" t="str">
            <v xml:space="preserve">CLEAR BASE AGUA P/HERRAMIENTA </v>
          </cell>
          <cell r="C3540">
            <v>0.49863013698630138</v>
          </cell>
          <cell r="D3540">
            <v>182</v>
          </cell>
        </row>
        <row r="3541">
          <cell r="A3541" t="str">
            <v>F78TSA1-50</v>
          </cell>
          <cell r="B3541" t="str">
            <v xml:space="preserve">CLEAR BASE AGUA P/HERRAMIENTA </v>
          </cell>
          <cell r="C3541">
            <v>0.49863013698630138</v>
          </cell>
          <cell r="D3541">
            <v>182</v>
          </cell>
        </row>
        <row r="3542">
          <cell r="A3542" t="str">
            <v>F78TSA2</v>
          </cell>
          <cell r="B3542" t="str">
            <v>TRANSPARENTE BRILLAN BASE AGUA</v>
          </cell>
          <cell r="C3542">
            <v>0.49863013698630138</v>
          </cell>
          <cell r="D3542">
            <v>182</v>
          </cell>
        </row>
        <row r="3543">
          <cell r="A3543" t="str">
            <v>F78TSA2-50</v>
          </cell>
          <cell r="B3543" t="str">
            <v xml:space="preserve">CLEAR BASE AGUA P/HERRAMIENTA </v>
          </cell>
          <cell r="C3543">
            <v>0.49863013698630138</v>
          </cell>
          <cell r="D3543">
            <v>182</v>
          </cell>
        </row>
        <row r="3544">
          <cell r="A3544" t="str">
            <v>FX1-1/4</v>
          </cell>
          <cell r="B3544" t="str">
            <v xml:space="preserve">SPECIAL EFFECTS MAPLE         </v>
          </cell>
          <cell r="C3544">
            <v>1</v>
          </cell>
          <cell r="D3544">
            <v>365</v>
          </cell>
        </row>
        <row r="3545">
          <cell r="A3545" t="str">
            <v>FX2-1/4</v>
          </cell>
          <cell r="B3545" t="str">
            <v xml:space="preserve">SPECIAL EFFECTS JADE          </v>
          </cell>
          <cell r="C3545">
            <v>1</v>
          </cell>
          <cell r="D3545">
            <v>365</v>
          </cell>
        </row>
        <row r="3546">
          <cell r="A3546" t="str">
            <v>FX3-1/4</v>
          </cell>
          <cell r="B3546" t="str">
            <v xml:space="preserve">SPECIAL EFFECTS SCARAB        </v>
          </cell>
          <cell r="C3546">
            <v>1</v>
          </cell>
          <cell r="D3546">
            <v>365</v>
          </cell>
        </row>
        <row r="3547">
          <cell r="A3547" t="str">
            <v>FX4-1/4</v>
          </cell>
          <cell r="B3547" t="str">
            <v xml:space="preserve">SPECIAL EFFECTS SAPHIRE       </v>
          </cell>
          <cell r="C3547">
            <v>1</v>
          </cell>
          <cell r="D3547">
            <v>365</v>
          </cell>
        </row>
        <row r="3548">
          <cell r="A3548" t="str">
            <v>H38-1/4</v>
          </cell>
          <cell r="B3548" t="str">
            <v xml:space="preserve">PRIMER 2K  HARDENER           </v>
          </cell>
          <cell r="C3548">
            <v>0.49863013698630138</v>
          </cell>
          <cell r="D3548">
            <v>182</v>
          </cell>
        </row>
        <row r="3549">
          <cell r="A3549" t="str">
            <v>H38-1/8</v>
          </cell>
          <cell r="B3549" t="str">
            <v xml:space="preserve">PRIMER 2K  HARDENER           </v>
          </cell>
          <cell r="C3549">
            <v>0.49863013698630138</v>
          </cell>
          <cell r="D3549">
            <v>182</v>
          </cell>
        </row>
        <row r="3550">
          <cell r="A3550" t="str">
            <v>K3WSA2</v>
          </cell>
          <cell r="B3550" t="str">
            <v xml:space="preserve">KEM GLO ENAMEL ULTRA BLANCO   </v>
          </cell>
          <cell r="C3550">
            <v>3</v>
          </cell>
          <cell r="D3550">
            <v>1095</v>
          </cell>
        </row>
        <row r="3551">
          <cell r="A3551" t="str">
            <v>K3WSA2-1</v>
          </cell>
          <cell r="B3551" t="str">
            <v xml:space="preserve">KEM GLO ENAMEL ULTRA BLANCO   </v>
          </cell>
          <cell r="C3551">
            <v>3</v>
          </cell>
          <cell r="D3551">
            <v>1095</v>
          </cell>
        </row>
      </sheetData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 DE ESPECIFICACIONES TECNIC"/>
      <sheetName val="INTRODUCCION DE DATOS"/>
      <sheetName val="LINEA A33"/>
      <sheetName val="B59S8"/>
      <sheetName val="A86YCR11"/>
      <sheetName val="A86WCR12"/>
      <sheetName val="A86WSA7"/>
      <sheetName val="ARMORSEAL 1000"/>
      <sheetName val="B50WSA2"/>
      <sheetName val="B50ESA2"/>
      <sheetName val="SAA 8012"/>
      <sheetName val="SAA 8013"/>
    </sheetNames>
    <sheetDataSet>
      <sheetData sheetId="0"/>
      <sheetData sheetId="1">
        <row r="1">
          <cell r="A1" t="str">
            <v>REX O SAA</v>
          </cell>
          <cell r="B1" t="str">
            <v>NOMBRE DEL PRODUCTO</v>
          </cell>
          <cell r="C1" t="str">
            <v>EXPOSICION</v>
          </cell>
          <cell r="D1" t="str">
            <v>SUPERFICIE A PINTAR</v>
          </cell>
          <cell r="E1" t="str">
            <v>PREPARACION DE LA SUPERFICIE</v>
          </cell>
          <cell r="F1" t="str">
            <v>PRIMER RECOMENDADO</v>
          </cell>
          <cell r="G1" t="str">
            <v>P/G CALCULADO</v>
          </cell>
          <cell r="H1" t="str">
            <v>% DE PIGMENTO</v>
          </cell>
          <cell r="I1" t="str">
            <v>% DE SOL. TOTALES</v>
          </cell>
          <cell r="J1" t="str">
            <v>% DE SOL. DE VEHICULO</v>
          </cell>
          <cell r="K1" t="str">
            <v>CONCENTRACION DE PIG. POR VOLUMEN</v>
          </cell>
          <cell r="L1" t="str">
            <v>VOLUMEN DE SOL. TOTALES</v>
          </cell>
          <cell r="M1" t="str">
            <v>RANGO DE VISCOSIDAD ORIGINAL</v>
          </cell>
          <cell r="N1" t="str">
            <v>METODO DE APLICACIÓN</v>
          </cell>
          <cell r="O1" t="str">
            <v>RANGO DE VISCOSIDAD DE APLICACIÓN</v>
          </cell>
          <cell r="P1" t="str">
            <v>PORCENTAJE DE REDUCCION</v>
          </cell>
          <cell r="Q1" t="str">
            <v>SOLVENTE RECOMENDADO</v>
          </cell>
          <cell r="R1" t="str">
            <v>ESPESOR MIN. DE PELICULA SECA</v>
          </cell>
          <cell r="S1" t="str">
            <v>SECAMIENTO</v>
          </cell>
          <cell r="T1" t="str">
            <v>TIEMPO Y TEMPERATURA DE HORNEO</v>
          </cell>
          <cell r="U1" t="str">
            <v>RENDIMIENTO CALCULADO CON ESPESOR MIN. DE PELICULA SECA</v>
          </cell>
          <cell r="V1" t="str">
            <v>BRILLO (60°)</v>
          </cell>
          <cell r="W1" t="str">
            <v>DUREZA LAPIZ</v>
          </cell>
          <cell r="X1" t="str">
            <v>TIEMPO DE VIDA ENVASADO</v>
          </cell>
          <cell r="Y1" t="str">
            <v>CLIENTE</v>
          </cell>
          <cell r="Z1" t="str">
            <v>PRODUCTO ELABORADO POR EL CLIENTE</v>
          </cell>
          <cell r="AA1" t="str">
            <v>OBSERVACIONES</v>
          </cell>
          <cell r="AB1" t="str">
            <v>ENTREGADO POR</v>
          </cell>
          <cell r="AC1" t="str">
            <v>FECHA DE FABRICACION</v>
          </cell>
        </row>
        <row r="2">
          <cell r="A2" t="str">
            <v>A5V23</v>
          </cell>
          <cell r="B2" t="str">
            <v>Silicone Water Repellent</v>
          </cell>
          <cell r="C2" t="str">
            <v>Interior-Exterior</v>
          </cell>
          <cell r="D2" t="str">
            <v>Pared de Concreto o Ladrillo</v>
          </cell>
          <cell r="E2" t="str">
            <v>Limpia de Polvo</v>
          </cell>
          <cell r="F2" t="str">
            <v>Ninguno</v>
          </cell>
          <cell r="G2" t="str">
            <v>6.65 Lbs/Gl</v>
          </cell>
          <cell r="H2" t="str">
            <v>-</v>
          </cell>
          <cell r="I2" t="str">
            <v>16.0%</v>
          </cell>
          <cell r="J2" t="str">
            <v>-</v>
          </cell>
          <cell r="K2" t="str">
            <v>-</v>
          </cell>
          <cell r="L2" t="str">
            <v>14.68%</v>
          </cell>
          <cell r="M2" t="str">
            <v>A (Gadrner Holt)</v>
          </cell>
          <cell r="N2" t="str">
            <v>Brocha-Pistola</v>
          </cell>
          <cell r="O2" t="str">
            <v>Como Viene</v>
          </cell>
          <cell r="P2" t="str">
            <v>Ninguno</v>
          </cell>
          <cell r="Q2" t="str">
            <v>Ninguno</v>
          </cell>
          <cell r="R2" t="str">
            <v>Penetra a la Superficie Pintada</v>
          </cell>
          <cell r="S2" t="str">
            <v>-</v>
          </cell>
          <cell r="T2" t="str">
            <v>-</v>
          </cell>
          <cell r="U2" t="str">
            <v>-</v>
          </cell>
          <cell r="V2" t="str">
            <v>-</v>
          </cell>
          <cell r="W2" t="str">
            <v>-</v>
          </cell>
          <cell r="X2" t="str">
            <v>1-2 Años</v>
          </cell>
          <cell r="Y2" t="str">
            <v>Warner Lambert-Guatemala</v>
          </cell>
          <cell r="Z2" t="str">
            <v>-</v>
          </cell>
          <cell r="AA2" t="str">
            <v>-</v>
          </cell>
          <cell r="AB2" t="str">
            <v>-</v>
          </cell>
          <cell r="AC2" t="str">
            <v>S/F</v>
          </cell>
        </row>
        <row r="3">
          <cell r="A3" t="str">
            <v>A86WSA10</v>
          </cell>
          <cell r="B3" t="str">
            <v>White Traffic Paint Zone Paint Type III</v>
          </cell>
          <cell r="C3" t="str">
            <v>Interior-Exterior</v>
          </cell>
          <cell r="D3" t="str">
            <v>Pavimento, Asfalto, Concreto</v>
          </cell>
          <cell r="E3" t="str">
            <v>Limpieza</v>
          </cell>
          <cell r="F3" t="str">
            <v>Ninguno</v>
          </cell>
          <cell r="G3" t="str">
            <v>13.18 Lbs/Gl</v>
          </cell>
          <cell r="H3" t="str">
            <v>55.2%</v>
          </cell>
          <cell r="I3" t="str">
            <v>77.46%</v>
          </cell>
          <cell r="J3" t="str">
            <v>22.3%</v>
          </cell>
          <cell r="K3" t="str">
            <v>52.19%</v>
          </cell>
          <cell r="L3" t="str">
            <v>51.85%</v>
          </cell>
          <cell r="M3" t="str">
            <v>70-80 KU (Stormer)</v>
          </cell>
          <cell r="N3" t="str">
            <v>Brocha-Pistola-Rodillo</v>
          </cell>
          <cell r="O3" t="str">
            <v>70-80 KU</v>
          </cell>
          <cell r="P3" t="str">
            <v>0-25%</v>
          </cell>
          <cell r="Q3" t="str">
            <v>VMP Naphtha</v>
          </cell>
          <cell r="R3" t="str">
            <v>10-15 mills</v>
          </cell>
          <cell r="S3" t="str">
            <v>10-15 min</v>
          </cell>
          <cell r="T3" t="str">
            <v>-</v>
          </cell>
          <cell r="U3" t="str">
            <v>-</v>
          </cell>
          <cell r="V3" t="str">
            <v>Mate</v>
          </cell>
          <cell r="W3" t="str">
            <v>-</v>
          </cell>
          <cell r="X3" t="str">
            <v>12 meses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S/F</v>
          </cell>
        </row>
        <row r="4">
          <cell r="A4" t="str">
            <v>A86WSA12</v>
          </cell>
          <cell r="B4" t="str">
            <v>Traffic Paint White TTP 115D Type III</v>
          </cell>
          <cell r="C4" t="str">
            <v>Exterior</v>
          </cell>
          <cell r="D4" t="str">
            <v>Pavimento, Asfalto, Concreto</v>
          </cell>
          <cell r="E4" t="str">
            <v>Limpieza</v>
          </cell>
          <cell r="F4" t="str">
            <v>Ninguno</v>
          </cell>
          <cell r="G4" t="str">
            <v>13.25 Lbs/Gl</v>
          </cell>
          <cell r="H4" t="str">
            <v>57.0%</v>
          </cell>
          <cell r="I4" t="str">
            <v>75.0%</v>
          </cell>
          <cell r="J4" t="str">
            <v>43.0%</v>
          </cell>
          <cell r="K4" t="str">
            <v>58.7%</v>
          </cell>
          <cell r="L4" t="str">
            <v>49.4%</v>
          </cell>
          <cell r="M4" t="str">
            <v>70-80 KU (Stormer)</v>
          </cell>
          <cell r="N4" t="str">
            <v>Maquina Demarcadora</v>
          </cell>
          <cell r="O4" t="str">
            <v>70-80 KU</v>
          </cell>
          <cell r="P4" t="str">
            <v>Ninguno</v>
          </cell>
          <cell r="Q4" t="str">
            <v>-</v>
          </cell>
          <cell r="R4" t="str">
            <v>10-15 mills</v>
          </cell>
          <cell r="S4" t="str">
            <v>10-15 min</v>
          </cell>
          <cell r="T4" t="str">
            <v>-</v>
          </cell>
          <cell r="U4" t="str">
            <v>-</v>
          </cell>
          <cell r="V4" t="str">
            <v>Mate</v>
          </cell>
          <cell r="W4" t="str">
            <v>-</v>
          </cell>
          <cell r="X4" t="str">
            <v>12 meses</v>
          </cell>
          <cell r="Y4" t="str">
            <v>Ministerio de Obras Publicas De El Salvador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S/F</v>
          </cell>
        </row>
        <row r="5">
          <cell r="A5" t="str">
            <v>A86YSA10</v>
          </cell>
          <cell r="B5" t="str">
            <v>Yellow Traffic Zone Paint III</v>
          </cell>
          <cell r="C5" t="str">
            <v>Interior-Exterior</v>
          </cell>
          <cell r="D5" t="str">
            <v>Pavimento, Asfalto, Concreto</v>
          </cell>
          <cell r="E5" t="str">
            <v>Limpieza</v>
          </cell>
          <cell r="F5" t="str">
            <v>Ninguno</v>
          </cell>
          <cell r="G5" t="str">
            <v>13.38 Lbs/gl</v>
          </cell>
          <cell r="H5" t="str">
            <v>55.9%</v>
          </cell>
          <cell r="I5" t="str">
            <v>77.36%</v>
          </cell>
          <cell r="J5" t="str">
            <v>21.5%</v>
          </cell>
          <cell r="K5" t="str">
            <v>51.65%</v>
          </cell>
          <cell r="L5" t="str">
            <v>55.08%</v>
          </cell>
          <cell r="M5" t="str">
            <v>70-80 KU (Stormer)</v>
          </cell>
          <cell r="N5" t="str">
            <v>Brocha-Pistola-Rodillo</v>
          </cell>
          <cell r="O5" t="str">
            <v>70-80 KU</v>
          </cell>
          <cell r="P5" t="str">
            <v>0-25%</v>
          </cell>
          <cell r="Q5" t="str">
            <v>VMP Naphtha</v>
          </cell>
          <cell r="R5" t="str">
            <v>10-15 mills</v>
          </cell>
          <cell r="S5" t="str">
            <v>10-15 min</v>
          </cell>
          <cell r="T5" t="str">
            <v>-</v>
          </cell>
          <cell r="U5" t="str">
            <v>-</v>
          </cell>
          <cell r="V5" t="str">
            <v>Mate</v>
          </cell>
          <cell r="W5" t="str">
            <v>-</v>
          </cell>
          <cell r="X5" t="str">
            <v>12 meses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S/F</v>
          </cell>
        </row>
        <row r="6">
          <cell r="A6" t="str">
            <v>A86YSA11</v>
          </cell>
          <cell r="B6" t="str">
            <v>Traffic Paint Yellow TTP115D Type III</v>
          </cell>
          <cell r="C6" t="str">
            <v>Exterior</v>
          </cell>
          <cell r="D6" t="str">
            <v>Pavimento, Asfalto, Concreto</v>
          </cell>
          <cell r="E6" t="str">
            <v>Limpieza</v>
          </cell>
          <cell r="F6" t="str">
            <v>Ninguno</v>
          </cell>
          <cell r="G6" t="str">
            <v>13.42 Lbs/Gl</v>
          </cell>
          <cell r="H6" t="str">
            <v>57.0%</v>
          </cell>
          <cell r="I6" t="str">
            <v>75.0%</v>
          </cell>
          <cell r="J6" t="str">
            <v>43.0%</v>
          </cell>
          <cell r="K6" t="str">
            <v>49.0%</v>
          </cell>
          <cell r="L6" t="str">
            <v>48.0%</v>
          </cell>
          <cell r="M6" t="str">
            <v>70-80 KU (Stormer)</v>
          </cell>
          <cell r="N6" t="str">
            <v>Maquina Demarcadora</v>
          </cell>
          <cell r="O6" t="str">
            <v>70-80 KU</v>
          </cell>
          <cell r="P6" t="str">
            <v>Ninguno</v>
          </cell>
          <cell r="Q6" t="str">
            <v>-</v>
          </cell>
          <cell r="R6" t="str">
            <v>10-15 mills</v>
          </cell>
          <cell r="S6" t="str">
            <v>10-15 min</v>
          </cell>
          <cell r="T6" t="str">
            <v>-</v>
          </cell>
          <cell r="U6" t="str">
            <v>-</v>
          </cell>
          <cell r="V6" t="str">
            <v>Mate</v>
          </cell>
          <cell r="W6" t="str">
            <v>-</v>
          </cell>
          <cell r="X6" t="str">
            <v>12 meses</v>
          </cell>
          <cell r="Y6" t="str">
            <v>Sherwin Williams de Costa Rica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S/F</v>
          </cell>
        </row>
        <row r="7">
          <cell r="A7" t="str">
            <v>A95GSA8</v>
          </cell>
          <cell r="B7" t="str">
            <v>Pintura Especial Para Laminas se Asbesto Verde</v>
          </cell>
          <cell r="C7" t="str">
            <v>Exterior</v>
          </cell>
          <cell r="D7" t="str">
            <v>Laminas de Asbesto Cemento</v>
          </cell>
          <cell r="E7" t="str">
            <v>Lijada, Libre de Polvo y Seca</v>
          </cell>
          <cell r="F7" t="str">
            <v>-</v>
          </cell>
          <cell r="G7" t="str">
            <v>10.72 Lbs/Gl</v>
          </cell>
          <cell r="H7" t="str">
            <v>30.9%</v>
          </cell>
          <cell r="I7" t="str">
            <v>48.8%</v>
          </cell>
          <cell r="J7" t="str">
            <v>17.9%</v>
          </cell>
          <cell r="K7" t="str">
            <v>13.6%</v>
          </cell>
          <cell r="L7" t="str">
            <v>35.0%</v>
          </cell>
          <cell r="M7" t="str">
            <v>20"-22" Copa SW #4</v>
          </cell>
          <cell r="N7" t="str">
            <v>Pistola Airless 30-35 Libras de Presión</v>
          </cell>
          <cell r="O7" t="str">
            <v>-</v>
          </cell>
          <cell r="P7" t="str">
            <v>25% con Agua</v>
          </cell>
          <cell r="Q7" t="str">
            <v>Agua Corriente</v>
          </cell>
          <cell r="R7" t="str">
            <v>5 mills</v>
          </cell>
          <cell r="S7" t="str">
            <v>Al Aire</v>
          </cell>
          <cell r="T7" t="str">
            <v>No recomendado</v>
          </cell>
          <cell r="U7" t="str">
            <v>45-55 Mts cuadrados por Galón</v>
          </cell>
          <cell r="V7" t="str">
            <v>Mate</v>
          </cell>
          <cell r="W7" t="str">
            <v>-</v>
          </cell>
          <cell r="X7" t="str">
            <v>1-2 Años</v>
          </cell>
          <cell r="Y7" t="str">
            <v>-</v>
          </cell>
          <cell r="Z7" t="str">
            <v>Laminas de Asbesto</v>
          </cell>
          <cell r="AA7" t="str">
            <v>-</v>
          </cell>
          <cell r="AB7" t="str">
            <v>-</v>
          </cell>
          <cell r="AC7" t="str">
            <v>S/F</v>
          </cell>
        </row>
        <row r="8">
          <cell r="A8" t="str">
            <v>A95RSA1</v>
          </cell>
          <cell r="B8" t="str">
            <v>Pintura Especial Para Laminas se Asbesto Rojo</v>
          </cell>
          <cell r="C8" t="str">
            <v>Exterior</v>
          </cell>
          <cell r="D8" t="str">
            <v>Laminas de Asbesto Cemento</v>
          </cell>
          <cell r="E8" t="str">
            <v>Lijada, Libre de Polvo y Seca</v>
          </cell>
          <cell r="F8" t="str">
            <v>-</v>
          </cell>
          <cell r="G8" t="str">
            <v>10.86 Lbs/Gl</v>
          </cell>
          <cell r="H8" t="str">
            <v>31.8%</v>
          </cell>
          <cell r="I8" t="str">
            <v>49.5%</v>
          </cell>
          <cell r="J8" t="str">
            <v>17.7%</v>
          </cell>
          <cell r="K8" t="str">
            <v>13.6%</v>
          </cell>
          <cell r="L8" t="str">
            <v>35.0 %</v>
          </cell>
          <cell r="M8" t="str">
            <v>20"-22" Copa SW #4</v>
          </cell>
          <cell r="N8" t="str">
            <v>Pistola Airless 30-35 Libras de Presión</v>
          </cell>
          <cell r="O8" t="str">
            <v>-</v>
          </cell>
          <cell r="P8" t="str">
            <v>25% con Agua</v>
          </cell>
          <cell r="Q8" t="str">
            <v>Agua Corriente</v>
          </cell>
          <cell r="R8" t="str">
            <v>5 mills</v>
          </cell>
          <cell r="S8" t="str">
            <v>Al Aire</v>
          </cell>
          <cell r="T8" t="str">
            <v>No recomendado</v>
          </cell>
          <cell r="U8" t="str">
            <v>45-55 Mts cuadrados por Galón</v>
          </cell>
          <cell r="V8" t="str">
            <v>Mate</v>
          </cell>
          <cell r="W8" t="str">
            <v>-</v>
          </cell>
          <cell r="X8" t="str">
            <v>1-2 Años</v>
          </cell>
          <cell r="Y8" t="str">
            <v>-</v>
          </cell>
          <cell r="Z8" t="str">
            <v>Laminas de Asbesto</v>
          </cell>
          <cell r="AA8" t="str">
            <v>-</v>
          </cell>
          <cell r="AB8" t="str">
            <v>-</v>
          </cell>
          <cell r="AC8" t="str">
            <v>S/F</v>
          </cell>
        </row>
        <row r="9">
          <cell r="A9" t="str">
            <v>A95RSA4</v>
          </cell>
          <cell r="B9" t="str">
            <v>Pintura Especial Rojo Para Techos de Fibrocemento</v>
          </cell>
          <cell r="C9" t="str">
            <v>Exterior</v>
          </cell>
          <cell r="D9" t="str">
            <v>Fibrocemento</v>
          </cell>
          <cell r="E9" t="str">
            <v>Lijada, Libre de Polvo y Seca</v>
          </cell>
          <cell r="F9" t="str">
            <v>-</v>
          </cell>
          <cell r="G9" t="str">
            <v>10.93 Lbs/Gl</v>
          </cell>
          <cell r="H9" t="str">
            <v>31.8%</v>
          </cell>
          <cell r="I9" t="str">
            <v>49.5%</v>
          </cell>
          <cell r="J9" t="str">
            <v>17.7%</v>
          </cell>
          <cell r="K9" t="str">
            <v>13.6%</v>
          </cell>
          <cell r="L9" t="str">
            <v>35.0 %</v>
          </cell>
          <cell r="M9" t="str">
            <v>79-85 KU</v>
          </cell>
          <cell r="N9" t="str">
            <v>Pistola Airless 30-35 Libras de Presión</v>
          </cell>
          <cell r="O9" t="str">
            <v>-</v>
          </cell>
          <cell r="P9" t="str">
            <v>25% con Agua</v>
          </cell>
          <cell r="Q9" t="str">
            <v>Agua Corriente</v>
          </cell>
          <cell r="R9" t="str">
            <v>5 mills</v>
          </cell>
          <cell r="S9" t="str">
            <v>Al Aire</v>
          </cell>
          <cell r="T9" t="str">
            <v>No recomendado</v>
          </cell>
          <cell r="U9" t="str">
            <v>45-55 Mts cuadrados por Galón</v>
          </cell>
          <cell r="V9" t="str">
            <v>Mate</v>
          </cell>
          <cell r="W9" t="str">
            <v>-</v>
          </cell>
          <cell r="X9" t="str">
            <v>1-2 Años</v>
          </cell>
          <cell r="Y9" t="str">
            <v>EUREKA</v>
          </cell>
          <cell r="Z9" t="str">
            <v>Techos de Fibrocemento</v>
          </cell>
          <cell r="AA9" t="str">
            <v>-</v>
          </cell>
          <cell r="AB9" t="str">
            <v>-</v>
          </cell>
          <cell r="AC9" t="str">
            <v>S/F</v>
          </cell>
        </row>
        <row r="10">
          <cell r="A10" t="str">
            <v>A95W91</v>
          </cell>
          <cell r="B10" t="str">
            <v>Kem Pared-Ex Blanco</v>
          </cell>
          <cell r="C10" t="str">
            <v>Exterior</v>
          </cell>
          <cell r="D10" t="str">
            <v>Cemento, Ladrillo, Asbesto, Etc</v>
          </cell>
          <cell r="E10" t="str">
            <v>Superficie Seca y Limpia</v>
          </cell>
          <cell r="F10" t="str">
            <v>Ninguno</v>
          </cell>
          <cell r="G10" t="str">
            <v>11.29 Lbs/Gl</v>
          </cell>
          <cell r="H10" t="str">
            <v>-</v>
          </cell>
          <cell r="I10" t="str">
            <v>51.0%</v>
          </cell>
          <cell r="J10" t="str">
            <v>-</v>
          </cell>
          <cell r="K10" t="str">
            <v>-</v>
          </cell>
          <cell r="L10" t="str">
            <v>35%</v>
          </cell>
          <cell r="M10" t="str">
            <v>20"-22" Copa SW #4</v>
          </cell>
          <cell r="N10" t="str">
            <v>Brocha-Rodillo</v>
          </cell>
          <cell r="O10" t="str">
            <v>El mismo</v>
          </cell>
          <cell r="P10" t="str">
            <v>Ninguno</v>
          </cell>
          <cell r="Q10" t="str">
            <v>-</v>
          </cell>
          <cell r="R10" t="str">
            <v>5 mills</v>
          </cell>
          <cell r="S10" t="str">
            <v>Al aire</v>
          </cell>
          <cell r="T10" t="str">
            <v>-</v>
          </cell>
          <cell r="U10" t="str">
            <v>50 Mts cuadrados/Gl</v>
          </cell>
          <cell r="V10" t="str">
            <v>Mate</v>
          </cell>
          <cell r="W10" t="str">
            <v>-</v>
          </cell>
          <cell r="X10" t="str">
            <v>1-2 Años</v>
          </cell>
          <cell r="Y10" t="str">
            <v>Warner Lambert-Guatemala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S/F</v>
          </cell>
        </row>
        <row r="11">
          <cell r="A11" t="str">
            <v>A99LSA2</v>
          </cell>
          <cell r="B11" t="str">
            <v>Anticorrosivo Azul Shell</v>
          </cell>
          <cell r="C11" t="str">
            <v>Exterior</v>
          </cell>
          <cell r="D11" t="str">
            <v>Hierro-Metal</v>
          </cell>
          <cell r="E11" t="str">
            <v>Limpieza y Libre de Corrosión</v>
          </cell>
          <cell r="F11" t="str">
            <v>Ninguno</v>
          </cell>
          <cell r="G11" t="str">
            <v>10.04 Lbs/Gl</v>
          </cell>
          <cell r="H11" t="str">
            <v>35.71%</v>
          </cell>
          <cell r="I11" t="str">
            <v>54.31%</v>
          </cell>
          <cell r="J11" t="str">
            <v>45.69%</v>
          </cell>
          <cell r="K11" t="str">
            <v>43.77%</v>
          </cell>
          <cell r="L11" t="str">
            <v>35.83%</v>
          </cell>
          <cell r="M11" t="str">
            <v>85-90 KU</v>
          </cell>
          <cell r="N11" t="str">
            <v>Brocha-Pistola</v>
          </cell>
          <cell r="O11" t="str">
            <v>Pistola: 18"-20" Copa Zanh #2</v>
          </cell>
          <cell r="P11" t="str">
            <v>Pistola : 25%</v>
          </cell>
          <cell r="Q11" t="str">
            <v>R1K3 VM&amp;P Nafta</v>
          </cell>
          <cell r="R11" t="str">
            <v>2 mills</v>
          </cell>
          <cell r="S11" t="str">
            <v>3-4 Horas</v>
          </cell>
          <cell r="T11" t="str">
            <v>-</v>
          </cell>
          <cell r="U11" t="str">
            <v>26.5 Mts Cuadrados/Gl</v>
          </cell>
          <cell r="V11" t="str">
            <v>Mate. 0-5 unidades</v>
          </cell>
          <cell r="W11" t="str">
            <v>-</v>
          </cell>
          <cell r="X11" t="str">
            <v>1 Año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Audrey de Morales</v>
          </cell>
          <cell r="AC11" t="str">
            <v>S/F</v>
          </cell>
        </row>
        <row r="12">
          <cell r="A12" t="str">
            <v>A99NSA11</v>
          </cell>
          <cell r="B12" t="str">
            <v>Colonial Anticorrosivo Rojo 2414</v>
          </cell>
          <cell r="C12" t="str">
            <v>Interior-Exterior</v>
          </cell>
          <cell r="D12" t="str">
            <v>Hierro-Acero</v>
          </cell>
          <cell r="E12" t="str">
            <v>Lijada, Limpia, Sin óxido y Seca</v>
          </cell>
          <cell r="F12" t="str">
            <v>-</v>
          </cell>
          <cell r="G12" t="str">
            <v>10.18 Lbs/Gl</v>
          </cell>
          <cell r="H12" t="str">
            <v>36.9%</v>
          </cell>
          <cell r="I12" t="str">
            <v>55.9%</v>
          </cell>
          <cell r="J12" t="str">
            <v>19.0%</v>
          </cell>
          <cell r="K12" t="str">
            <v>16.2%</v>
          </cell>
          <cell r="L12" t="str">
            <v>37.3%</v>
          </cell>
          <cell r="M12" t="str">
            <v>40-50 seg. Copa SW #3</v>
          </cell>
          <cell r="N12" t="str">
            <v>Brocha-Rodillo-Pistola</v>
          </cell>
          <cell r="O12" t="str">
            <v>-</v>
          </cell>
          <cell r="P12" t="str">
            <v>Ninguna ó 25% con R1K3</v>
          </cell>
          <cell r="Q12" t="str">
            <v>R1K3</v>
          </cell>
          <cell r="R12" t="str">
            <v>2 mills</v>
          </cell>
          <cell r="S12" t="str">
            <v>Al Aire</v>
          </cell>
          <cell r="U12" t="str">
            <v>40-45 Mts Cuadrados/Gl</v>
          </cell>
          <cell r="V12" t="str">
            <v>-</v>
          </cell>
          <cell r="W12" t="str">
            <v>-</v>
          </cell>
          <cell r="X12" t="str">
            <v>1 a 2 años</v>
          </cell>
          <cell r="Y12" t="str">
            <v>Marina Industrial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S/F</v>
          </cell>
        </row>
        <row r="13">
          <cell r="A13" t="str">
            <v>B24WSA1 (1)</v>
          </cell>
          <cell r="B13" t="str">
            <v>Sellador Rellenador Especial Para Fibrolit</v>
          </cell>
          <cell r="C13" t="str">
            <v>Interiores</v>
          </cell>
          <cell r="D13" t="str">
            <v>Fibrocemento</v>
          </cell>
          <cell r="E13" t="str">
            <v>Libre de Polvo y otras Sustancias</v>
          </cell>
          <cell r="F13" t="str">
            <v>Ninguno</v>
          </cell>
          <cell r="G13" t="str">
            <v>12.27 Lbs/Gl</v>
          </cell>
          <cell r="H13" t="str">
            <v>69.2%</v>
          </cell>
          <cell r="I13" t="str">
            <v>46%</v>
          </cell>
          <cell r="J13" t="str">
            <v>55%</v>
          </cell>
          <cell r="K13" t="str">
            <v>51%</v>
          </cell>
          <cell r="L13" t="str">
            <v>30%</v>
          </cell>
          <cell r="M13" t="str">
            <v>20,000-25,000 CPS</v>
          </cell>
          <cell r="N13" t="str">
            <v>Espátula-Wipe</v>
          </cell>
          <cell r="O13" t="str">
            <v>20,000-25,000 CPS</v>
          </cell>
          <cell r="P13" t="str">
            <v>Ninguno</v>
          </cell>
          <cell r="Q13" t="str">
            <v>Ninguno</v>
          </cell>
          <cell r="R13" t="str">
            <v>-</v>
          </cell>
          <cell r="S13" t="str">
            <v>Al Aire 20-30 Min.</v>
          </cell>
          <cell r="T13" t="str">
            <v>-</v>
          </cell>
          <cell r="U13" t="str">
            <v>9 Mts Cuadrados/Gl a 4 mills Seco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Constructora Orion</v>
          </cell>
          <cell r="Z13" t="str">
            <v>Fibrocemento</v>
          </cell>
          <cell r="AA13" t="str">
            <v>Este Producto debe ser Lijado.</v>
          </cell>
          <cell r="AB13" t="str">
            <v>Rene Ferrufino</v>
          </cell>
          <cell r="AC13" t="str">
            <v>S/F</v>
          </cell>
        </row>
        <row r="14">
          <cell r="A14" t="str">
            <v>B42W46</v>
          </cell>
          <cell r="B14" t="str">
            <v>Heavy Duty Block Filler</v>
          </cell>
          <cell r="C14" t="str">
            <v>Medio Ambiente con Moderadas Condiciones</v>
          </cell>
          <cell r="D14" t="str">
            <v>Bloques de Concreto</v>
          </cell>
          <cell r="E14" t="str">
            <v>Libre de Suciedad</v>
          </cell>
          <cell r="F14" t="str">
            <v>Ninguno</v>
          </cell>
          <cell r="G14" t="str">
            <v>14.6 Lbs/Gl</v>
          </cell>
          <cell r="H14" t="str">
            <v>69.05%</v>
          </cell>
          <cell r="I14" t="str">
            <v>76%-80%</v>
          </cell>
          <cell r="J14" t="str">
            <v>8.92%</v>
          </cell>
          <cell r="K14" t="str">
            <v>75.9%</v>
          </cell>
          <cell r="L14" t="str">
            <v>58%-62%</v>
          </cell>
          <cell r="M14" t="str">
            <v>100-120</v>
          </cell>
          <cell r="N14" t="str">
            <v>Brocha, Rodillo y Sistema Convencional de Spray</v>
          </cell>
          <cell r="O14" t="str">
            <v>100-120</v>
          </cell>
          <cell r="P14" t="str">
            <v>-</v>
          </cell>
          <cell r="Q14" t="str">
            <v>Agua</v>
          </cell>
          <cell r="R14" t="str">
            <v>10 mills</v>
          </cell>
          <cell r="S14" t="str">
            <v>77°F &amp; 50% H:R a 17 mills Wet: Seco Tocar: 1 Hora.</v>
          </cell>
          <cell r="T14" t="str">
            <v>-</v>
          </cell>
          <cell r="U14" t="str">
            <v>96 Pies Cuadrados/Gl</v>
          </cell>
          <cell r="V14" t="str">
            <v>-</v>
          </cell>
          <cell r="W14" t="str">
            <v>-</v>
          </cell>
          <cell r="X14" t="str">
            <v>36 meses cerrado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S/F</v>
          </cell>
        </row>
        <row r="15">
          <cell r="A15" t="str">
            <v>B45W3</v>
          </cell>
          <cell r="B15" t="str">
            <v>Fast Dry Latex Wall Primer</v>
          </cell>
          <cell r="C15" t="str">
            <v>Interior-Exterior</v>
          </cell>
          <cell r="D15" t="str">
            <v>Pared Yesada o Asbesto</v>
          </cell>
          <cell r="E15" t="str">
            <v>Limpiar con Agua y Jabón</v>
          </cell>
          <cell r="F15" t="str">
            <v>Ninguno</v>
          </cell>
          <cell r="G15" t="str">
            <v>10.53 Lbs/Gl</v>
          </cell>
          <cell r="H15" t="str">
            <v>28%</v>
          </cell>
          <cell r="I15" t="str">
            <v>43%</v>
          </cell>
          <cell r="J15" t="str">
            <v>55%</v>
          </cell>
          <cell r="K15" t="str">
            <v>42%</v>
          </cell>
          <cell r="L15" t="str">
            <v>27%</v>
          </cell>
          <cell r="M15" t="str">
            <v>3,100-2,700 cps</v>
          </cell>
          <cell r="N15" t="str">
            <v>Brocha-Rodillo</v>
          </cell>
          <cell r="O15" t="str">
            <v>1,400-1,800 cps</v>
          </cell>
          <cell r="P15" t="str">
            <v>Ninguno</v>
          </cell>
          <cell r="Q15" t="str">
            <v>Ninguno</v>
          </cell>
          <cell r="R15" t="str">
            <v>1.5 mills</v>
          </cell>
          <cell r="S15" t="str">
            <v>Al Aire</v>
          </cell>
          <cell r="T15" t="str">
            <v>Ninguno</v>
          </cell>
          <cell r="U15" t="str">
            <v>63 M2</v>
          </cell>
          <cell r="V15" t="str">
            <v>Mate</v>
          </cell>
          <cell r="W15" t="str">
            <v>-</v>
          </cell>
          <cell r="X15" t="str">
            <v>-</v>
          </cell>
          <cell r="Y15" t="str">
            <v>Sr. Richard Tisson (Betel Testigos de Jehova)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S/F</v>
          </cell>
        </row>
        <row r="16">
          <cell r="A16" t="str">
            <v>B53WW5</v>
          </cell>
          <cell r="B16" t="str">
            <v>Tank Enamel Chalking White</v>
          </cell>
          <cell r="C16" t="str">
            <v>Exterior</v>
          </cell>
          <cell r="D16" t="str">
            <v>Hierro</v>
          </cell>
          <cell r="E16" t="str">
            <v>Limpia (Libre de Suciedad y Oxido)</v>
          </cell>
          <cell r="F16" t="str">
            <v>E41N1</v>
          </cell>
          <cell r="G16" t="str">
            <v>9.48 Lbs/Gl</v>
          </cell>
          <cell r="H16" t="str">
            <v>27.57%</v>
          </cell>
          <cell r="I16" t="str">
            <v>64.05%</v>
          </cell>
          <cell r="J16" t="str">
            <v>36.47%</v>
          </cell>
          <cell r="K16" t="str">
            <v>18.90%</v>
          </cell>
          <cell r="L16" t="str">
            <v>46.74%</v>
          </cell>
          <cell r="M16" t="str">
            <v>75-85 KU (Stormer)</v>
          </cell>
          <cell r="N16" t="str">
            <v>Brocha, Rodillo y Pistola (Spray Convencional)</v>
          </cell>
          <cell r="O16" t="str">
            <v>75-85 KU</v>
          </cell>
          <cell r="P16" t="str">
            <v>Pistola hasta un 10%</v>
          </cell>
          <cell r="Q16" t="str">
            <v>R1K4</v>
          </cell>
          <cell r="R16" t="str">
            <v>5 mills</v>
          </cell>
          <cell r="S16" t="str">
            <v>Seco Tocar: 2-4 Horas; Seco Completo: 24 Horas</v>
          </cell>
          <cell r="T16" t="str">
            <v>-</v>
          </cell>
          <cell r="U16" t="str">
            <v>(5 mills DFT) 14 Mts Cuadrados</v>
          </cell>
          <cell r="V16" t="str">
            <v>75-95</v>
          </cell>
          <cell r="W16" t="str">
            <v>-</v>
          </cell>
          <cell r="X16" t="str">
            <v>36 meses cerrado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Andrés Mauricio Houdelot</v>
          </cell>
          <cell r="AC16" t="str">
            <v>S/F</v>
          </cell>
        </row>
        <row r="17">
          <cell r="A17" t="str">
            <v>B5W57</v>
          </cell>
          <cell r="B17" t="str">
            <v>Excello Latex Acrilico Blanco</v>
          </cell>
          <cell r="C17" t="str">
            <v>Interior-Exterior</v>
          </cell>
          <cell r="D17" t="str">
            <v>Concreto-Madera-Estuco</v>
          </cell>
          <cell r="E17" t="str">
            <v>Superficie Seca y Limpia</v>
          </cell>
          <cell r="F17" t="str">
            <v>A71WSA4 para pintar sobre madera</v>
          </cell>
          <cell r="G17" t="str">
            <v>11.34 Lbs/Gl</v>
          </cell>
          <cell r="H17" t="str">
            <v>-</v>
          </cell>
          <cell r="I17" t="str">
            <v>49.3%</v>
          </cell>
          <cell r="J17" t="str">
            <v>-</v>
          </cell>
          <cell r="K17" t="str">
            <v>-</v>
          </cell>
          <cell r="L17" t="str">
            <v>32.2%</v>
          </cell>
          <cell r="M17" t="str">
            <v>25"-30" Copa SW #4</v>
          </cell>
          <cell r="N17" t="str">
            <v>Brocha-Rodillo</v>
          </cell>
          <cell r="O17" t="str">
            <v>15"-20"</v>
          </cell>
          <cell r="P17" t="str">
            <v>25%</v>
          </cell>
          <cell r="Q17" t="str">
            <v>Agua</v>
          </cell>
          <cell r="R17" t="str">
            <v>5 mills</v>
          </cell>
          <cell r="S17" t="str">
            <v>Al aire</v>
          </cell>
          <cell r="T17" t="str">
            <v>-</v>
          </cell>
          <cell r="U17" t="str">
            <v>Hasta 60 Mts cuadrados/Gl</v>
          </cell>
          <cell r="V17" t="str">
            <v>Mate</v>
          </cell>
          <cell r="W17" t="str">
            <v>-</v>
          </cell>
          <cell r="X17" t="str">
            <v>1-2 Años</v>
          </cell>
          <cell r="Y17" t="str">
            <v>Warner Lambert-Guatemala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S/F</v>
          </cell>
        </row>
        <row r="18">
          <cell r="A18" t="str">
            <v>B60FSA2</v>
          </cell>
          <cell r="B18" t="str">
            <v>Catalizador Para Tile Clad II Brillante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8.77 Lbs/Gl</v>
          </cell>
          <cell r="H18" t="str">
            <v>-</v>
          </cell>
          <cell r="I18" t="str">
            <v>63.2%</v>
          </cell>
          <cell r="J18" t="str">
            <v>75%</v>
          </cell>
          <cell r="K18" t="str">
            <v>-</v>
          </cell>
          <cell r="L18" t="str">
            <v>56%</v>
          </cell>
          <cell r="M18" t="str">
            <v>77-85 KU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36 meses cerrado</v>
          </cell>
          <cell r="Y18" t="str">
            <v>Guatemala</v>
          </cell>
          <cell r="Z18" t="str">
            <v>-</v>
          </cell>
          <cell r="AA18" t="str">
            <v>Mezclar uno a uno en Volumen con Tile Clad II Brillante</v>
          </cell>
          <cell r="AB18" t="str">
            <v>-</v>
          </cell>
          <cell r="AC18" t="str">
            <v>S/F</v>
          </cell>
        </row>
        <row r="19">
          <cell r="A19" t="str">
            <v>B62BSA1</v>
          </cell>
          <cell r="B19" t="str">
            <v>Tile Clad II Negro Brillante</v>
          </cell>
          <cell r="C19" t="str">
            <v>Interior</v>
          </cell>
          <cell r="D19" t="str">
            <v>Fibrocemento (Fibrolite)</v>
          </cell>
          <cell r="E19" t="str">
            <v>Limpio</v>
          </cell>
          <cell r="F19" t="str">
            <v>Fast Dry Latex Wall Primer (B45WSA1)</v>
          </cell>
          <cell r="G19" t="str">
            <v>8.09 Lbs/Gl</v>
          </cell>
          <cell r="H19" t="str">
            <v>18%</v>
          </cell>
          <cell r="I19" t="str">
            <v>45.6%</v>
          </cell>
          <cell r="J19" t="str">
            <v>60%</v>
          </cell>
          <cell r="K19" t="str">
            <v>11.5%</v>
          </cell>
          <cell r="L19" t="str">
            <v>40.7%</v>
          </cell>
          <cell r="M19" t="str">
            <v>79-85 KU</v>
          </cell>
          <cell r="N19" t="str">
            <v>Pistola</v>
          </cell>
          <cell r="O19" t="str">
            <v>30-35 KU</v>
          </cell>
          <cell r="P19" t="str">
            <v>-</v>
          </cell>
          <cell r="Q19" t="str">
            <v>R2K4         Industrial reducer</v>
          </cell>
          <cell r="R19" t="str">
            <v>2 mills</v>
          </cell>
          <cell r="S19" t="str">
            <v>Seco Tocar: 1 Hora. Seco Completo: 4 Hrs. Repintar:6 Hrs</v>
          </cell>
          <cell r="T19" t="str">
            <v>-</v>
          </cell>
          <cell r="U19" t="str">
            <v>33 m2/Gl</v>
          </cell>
          <cell r="V19" t="str">
            <v>Full</v>
          </cell>
          <cell r="W19" t="str">
            <v>6H-7H</v>
          </cell>
          <cell r="X19" t="str">
            <v>36 meses cerrado</v>
          </cell>
          <cell r="Y19" t="str">
            <v>Industrias Eureka</v>
          </cell>
          <cell r="Z19" t="str">
            <v>Planchas de Fibrocemento</v>
          </cell>
          <cell r="AA19" t="str">
            <v>Una parte de B62BSA1 con una parte de catalizador B60FSA2 en volumen, dejar reposar 30 min.Debe esperarse de 12 a 15 días para alcanzar la dureza de 6H-7H.</v>
          </cell>
          <cell r="AB19" t="str">
            <v>-</v>
          </cell>
          <cell r="AC19" t="str">
            <v>S/F</v>
          </cell>
        </row>
        <row r="20">
          <cell r="A20" t="str">
            <v>B62LSA1</v>
          </cell>
          <cell r="B20" t="str">
            <v>Tile Clad II Trianon Brillante</v>
          </cell>
          <cell r="C20" t="str">
            <v>Interior</v>
          </cell>
          <cell r="D20" t="str">
            <v>Fibrocemento (Fibrolite)</v>
          </cell>
          <cell r="E20" t="str">
            <v>Limpio</v>
          </cell>
          <cell r="F20" t="str">
            <v>Fast Dry Latex Wall Primer (B45WSA1)</v>
          </cell>
          <cell r="G20" t="str">
            <v>9.08 Lbs/Gl</v>
          </cell>
          <cell r="H20" t="str">
            <v>42.1%</v>
          </cell>
          <cell r="I20" t="str">
            <v>56%</v>
          </cell>
          <cell r="J20" t="str">
            <v>60%</v>
          </cell>
          <cell r="K20" t="str">
            <v>19.7%</v>
          </cell>
          <cell r="L20" t="str">
            <v>50.3%</v>
          </cell>
          <cell r="M20" t="str">
            <v>79-85 KU</v>
          </cell>
          <cell r="N20" t="str">
            <v>Pistola</v>
          </cell>
          <cell r="O20" t="str">
            <v>30-35 KU</v>
          </cell>
          <cell r="P20" t="str">
            <v>-</v>
          </cell>
          <cell r="Q20" t="str">
            <v>R2K4         Industrial reducer</v>
          </cell>
          <cell r="R20" t="str">
            <v>2 mills</v>
          </cell>
          <cell r="S20" t="str">
            <v>Seco Tocar: 1 Hora. Seco Completo: 4 Hrs. Repintar:6 Hrs</v>
          </cell>
          <cell r="T20" t="str">
            <v>-</v>
          </cell>
          <cell r="U20" t="str">
            <v>33 m2/Gl</v>
          </cell>
          <cell r="V20" t="str">
            <v>Full</v>
          </cell>
          <cell r="W20" t="str">
            <v>6H-7H</v>
          </cell>
          <cell r="X20" t="str">
            <v>36 meses cerrado</v>
          </cell>
          <cell r="Y20" t="str">
            <v>Industrias Eureka</v>
          </cell>
          <cell r="Z20" t="str">
            <v>Planchas de Fibrocemento</v>
          </cell>
          <cell r="AA20" t="str">
            <v>Una parte de B62LSA1 con una parte de catalizador B60FSA2 en volumen, dejar reposar 30 min.Debe esperarse de 12 a 15 días para alcanzar la dureza de 6H-7H.</v>
          </cell>
          <cell r="AB20" t="str">
            <v>-</v>
          </cell>
          <cell r="AC20" t="str">
            <v>S/F</v>
          </cell>
        </row>
        <row r="21">
          <cell r="A21" t="str">
            <v>B62RSA1</v>
          </cell>
          <cell r="B21" t="str">
            <v>Tile Clad II Rojo Vino Brillante</v>
          </cell>
          <cell r="C21" t="str">
            <v>Interior</v>
          </cell>
          <cell r="D21" t="str">
            <v>Fibrocemento (Fibrolite)</v>
          </cell>
          <cell r="E21" t="str">
            <v>Limpia de Polvo</v>
          </cell>
          <cell r="F21" t="str">
            <v>Fast Dry Latex Wall Primer (B45WSA1)</v>
          </cell>
          <cell r="G21" t="str">
            <v>9.40 Lbs/Gl</v>
          </cell>
          <cell r="H21" t="str">
            <v>41.3%</v>
          </cell>
          <cell r="I21" t="str">
            <v>55.1%</v>
          </cell>
          <cell r="J21" t="str">
            <v>60%</v>
          </cell>
          <cell r="K21" t="str">
            <v>12.8%</v>
          </cell>
          <cell r="L21" t="str">
            <v>41.8%</v>
          </cell>
          <cell r="M21" t="str">
            <v>79-85 Ku</v>
          </cell>
          <cell r="N21" t="str">
            <v>Pistola</v>
          </cell>
          <cell r="O21" t="str">
            <v xml:space="preserve">30-35 KU  </v>
          </cell>
          <cell r="P21" t="str">
            <v>-</v>
          </cell>
          <cell r="Q21" t="str">
            <v>R2K4         Industrial reducer</v>
          </cell>
          <cell r="R21" t="str">
            <v>-</v>
          </cell>
          <cell r="S21" t="str">
            <v>Seco Tocar : 1 Hra. Seco Completo: 4 Hrs. Repintar: 6 Hrs.</v>
          </cell>
          <cell r="T21" t="str">
            <v>-</v>
          </cell>
          <cell r="U21" t="str">
            <v>33 Mts Cuadrados/Gl</v>
          </cell>
          <cell r="V21" t="str">
            <v>Full</v>
          </cell>
          <cell r="W21" t="str">
            <v>6H-7H</v>
          </cell>
          <cell r="X21" t="str">
            <v>36 meses cerrado</v>
          </cell>
          <cell r="Y21" t="str">
            <v>Industrias Eureka</v>
          </cell>
          <cell r="Z21" t="str">
            <v>Plancha de Fibrocemento</v>
          </cell>
          <cell r="AA21" t="str">
            <v>Una parte de B62WSA2 con una parte de catalizador B60FSA2 en volumen, dejar reposar 30 min.Debe esperarse de 12 a 15 días para alcanzar la dureza de 6H-7H. Vida útil de la mezcla: 8 Hrs</v>
          </cell>
          <cell r="AB21" t="str">
            <v>-</v>
          </cell>
          <cell r="AC21" t="str">
            <v>S/F</v>
          </cell>
        </row>
        <row r="22">
          <cell r="A22" t="str">
            <v>B62RSA3</v>
          </cell>
          <cell r="B22" t="str">
            <v>Tile Clad II Enamel Rojo Ladrillo Especial Semi-Mate</v>
          </cell>
          <cell r="C22" t="str">
            <v>Interior-Exterior</v>
          </cell>
          <cell r="D22" t="str">
            <v>Ladrillo para Pisos</v>
          </cell>
          <cell r="E22" t="str">
            <v>Libre de Suciedad</v>
          </cell>
          <cell r="F22" t="str">
            <v>Ninguno</v>
          </cell>
          <cell r="G22" t="str">
            <v>10.84 Lbs/Gl</v>
          </cell>
          <cell r="H22" t="str">
            <v>63.4%</v>
          </cell>
          <cell r="I22" t="str">
            <v>55.7%</v>
          </cell>
          <cell r="J22" t="str">
            <v>36.6%</v>
          </cell>
          <cell r="K22" t="str">
            <v>33.7%</v>
          </cell>
          <cell r="L22" t="str">
            <v>40.34%</v>
          </cell>
          <cell r="M22" t="str">
            <v>80-85 KU</v>
          </cell>
          <cell r="N22" t="str">
            <v>Brocha-Pistola</v>
          </cell>
          <cell r="O22" t="str">
            <v>Brocha (50-60 KU), Pistola (15-20" Ford #4)</v>
          </cell>
          <cell r="P22" t="str">
            <v>Brocha: 10% R7K54; Pistola: 25% R7K54</v>
          </cell>
          <cell r="Q22" t="str">
            <v>R7K54</v>
          </cell>
          <cell r="R22" t="str">
            <v>2.0-2.5 Mills Seco</v>
          </cell>
          <cell r="S22" t="str">
            <v>2-3 Horas</v>
          </cell>
          <cell r="T22" t="str">
            <v>-</v>
          </cell>
          <cell r="U22" t="str">
            <v>-</v>
          </cell>
          <cell r="V22" t="str">
            <v>Semi-Mate</v>
          </cell>
          <cell r="W22" t="str">
            <v>H-2H</v>
          </cell>
          <cell r="X22" t="str">
            <v>-</v>
          </cell>
          <cell r="Y22" t="str">
            <v>Don Ernesto Velasco</v>
          </cell>
          <cell r="Z22" t="str">
            <v>-</v>
          </cell>
          <cell r="AA22" t="str">
            <v>Mezcla 1:1 de B62RSA3 con el catalizador B60FSA1 en volumen, dejar reposar 20 min.La mezcla tiene una vida media de 8 horas. Debe esperarse de 12 a 15 días para alcanzar la dureza de 6H-7H.</v>
          </cell>
          <cell r="AB22" t="str">
            <v>Rene Ferrufino</v>
          </cell>
          <cell r="AC22" t="str">
            <v>S/F</v>
          </cell>
        </row>
        <row r="23">
          <cell r="A23" t="str">
            <v>B62W101</v>
          </cell>
          <cell r="B23" t="str">
            <v xml:space="preserve">Tile Clad II Enamel </v>
          </cell>
          <cell r="C23" t="str">
            <v>-</v>
          </cell>
          <cell r="D23" t="str">
            <v>Aluminio, Concreto, Madera y Acero</v>
          </cell>
          <cell r="E23" t="str">
            <v>SW-1, SW-3, SW-5, SW-15, SW-24</v>
          </cell>
          <cell r="F23" t="str">
            <v>B42W46</v>
          </cell>
          <cell r="G23" t="str">
            <v>10.0 Lbs/Gl</v>
          </cell>
          <cell r="H23" t="str">
            <v>45.10%</v>
          </cell>
          <cell r="I23" t="str">
            <v>64.98%</v>
          </cell>
          <cell r="J23" t="str">
            <v>19.87%</v>
          </cell>
          <cell r="K23" t="str">
            <v>39.2%</v>
          </cell>
          <cell r="L23" t="str">
            <v>45.48%</v>
          </cell>
          <cell r="M23" t="str">
            <v>70-85 KU</v>
          </cell>
          <cell r="N23" t="str">
            <v>Brocha, Rodillo, Pistola de Aire</v>
          </cell>
          <cell r="O23" t="str">
            <v>7</v>
          </cell>
          <cell r="P23" t="str">
            <v>-</v>
          </cell>
          <cell r="Q23" t="str">
            <v>R7K54</v>
          </cell>
          <cell r="R23" t="str">
            <v>4.0 mills</v>
          </cell>
          <cell r="S23" t="str">
            <v>Seco Tocar: 1 Hr, Tack Free: 4 Hrs</v>
          </cell>
          <cell r="T23" t="str">
            <v>-</v>
          </cell>
          <cell r="U23" t="str">
            <v>185 Pies Cuadrados/Gl</v>
          </cell>
          <cell r="V23" t="str">
            <v>80</v>
          </cell>
          <cell r="W23" t="str">
            <v>-</v>
          </cell>
          <cell r="X23" t="str">
            <v>36 meses cerrado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S/F</v>
          </cell>
        </row>
        <row r="24">
          <cell r="A24" t="str">
            <v>B62WSA2</v>
          </cell>
          <cell r="B24" t="str">
            <v>Tile Clad II Blanco Brillante</v>
          </cell>
          <cell r="C24" t="str">
            <v>Interior</v>
          </cell>
          <cell r="D24" t="str">
            <v>Fibrocemento (Fibrolite)</v>
          </cell>
          <cell r="E24" t="str">
            <v>Limpia de Polvo</v>
          </cell>
          <cell r="F24" t="str">
            <v>Fast Dry Latex Wall Primer (B45WSA1)</v>
          </cell>
          <cell r="G24" t="str">
            <v>10.51 Lbs/Gl</v>
          </cell>
          <cell r="H24" t="str">
            <v>55%</v>
          </cell>
          <cell r="I24" t="str">
            <v>61.7%</v>
          </cell>
          <cell r="J24" t="str">
            <v>60%</v>
          </cell>
          <cell r="K24" t="str">
            <v>23.9%</v>
          </cell>
          <cell r="L24" t="str">
            <v>44.5%</v>
          </cell>
          <cell r="M24" t="str">
            <v>79-80 KU</v>
          </cell>
          <cell r="N24" t="str">
            <v>Pistola</v>
          </cell>
          <cell r="O24" t="str">
            <v>30-35 KU</v>
          </cell>
          <cell r="P24" t="str">
            <v>20% en volumen con R2K4 para Aplicar con Pistola</v>
          </cell>
          <cell r="Q24" t="str">
            <v>R2K4         Industrial reducer</v>
          </cell>
          <cell r="R24" t="str">
            <v>2 mills</v>
          </cell>
          <cell r="S24" t="str">
            <v>Seco Tocar: 1 Hora. Seco Completo: 4 Hrs. Repintar:6 Hrs</v>
          </cell>
          <cell r="T24" t="str">
            <v>-</v>
          </cell>
          <cell r="U24" t="str">
            <v>33 m2/Gl</v>
          </cell>
          <cell r="V24" t="str">
            <v>Full</v>
          </cell>
          <cell r="W24" t="str">
            <v>6H-7H</v>
          </cell>
          <cell r="X24" t="str">
            <v>36 meses cerrado</v>
          </cell>
          <cell r="Y24" t="str">
            <v>Guatemala</v>
          </cell>
          <cell r="Z24" t="str">
            <v>-</v>
          </cell>
          <cell r="AA24" t="str">
            <v>Una parte de B62WSA2 con una parte de catalizador B60FSA2 en volumen, dejar reposar 30 min.Debe esperarse de 12 a 15 días para alcanzar la dureza de 6H-7H. Vida útil de la mezcla: 8 Hrs</v>
          </cell>
          <cell r="AB24" t="str">
            <v>-</v>
          </cell>
          <cell r="AC24" t="str">
            <v>S/F</v>
          </cell>
        </row>
        <row r="25">
          <cell r="A25" t="str">
            <v>B62WSA2/B60CSA1</v>
          </cell>
          <cell r="B25" t="str">
            <v>Tile Clad II Blanco Brillante</v>
          </cell>
          <cell r="C25" t="str">
            <v>Interior</v>
          </cell>
          <cell r="D25" t="str">
            <v>Concreto-Fibrocemento-Madera-Metal</v>
          </cell>
          <cell r="E25" t="str">
            <v>Limpia de Polvo, Grasa, Suciedad</v>
          </cell>
          <cell r="F25" t="str">
            <v>B24WSA1 Sellador Especial Para Fibrolit</v>
          </cell>
          <cell r="G25" t="str">
            <v>10.51 Lbs/Gl</v>
          </cell>
          <cell r="H25" t="str">
            <v>55%</v>
          </cell>
          <cell r="I25" t="str">
            <v>61.7%</v>
          </cell>
          <cell r="J25" t="str">
            <v>45%</v>
          </cell>
          <cell r="K25" t="str">
            <v>23.9%</v>
          </cell>
          <cell r="L25" t="str">
            <v>44.5%</v>
          </cell>
          <cell r="M25" t="str">
            <v>75-83 KU</v>
          </cell>
          <cell r="N25" t="str">
            <v>Pistola-Brocha (Para acabado de Azulejo Debe Ser Aplicado con Pistola)</v>
          </cell>
          <cell r="O25" t="str">
            <v>Brocha: 70-75 KU      Pistola: 15"-20" Copa Ford #4.</v>
          </cell>
          <cell r="P25" t="str">
            <v>-</v>
          </cell>
          <cell r="Q25" t="str">
            <v>R2K4         Industrial reducer</v>
          </cell>
          <cell r="R25" t="str">
            <v>De 2 a 4 mills Seco</v>
          </cell>
          <cell r="S25" t="str">
            <v>Seco Tocar: 1 Hra, Seco Completo 4-6 Hrs, Repintar: 12 Horas</v>
          </cell>
          <cell r="T25" t="str">
            <v>-</v>
          </cell>
          <cell r="U25" t="str">
            <v>25 Mts Cuadrados/Gl (4 mills), 50 Mts Cuadrados (2 mills)</v>
          </cell>
          <cell r="V25" t="str">
            <v>35 +/- 10 unidades</v>
          </cell>
          <cell r="W25" t="str">
            <v>2H</v>
          </cell>
          <cell r="X25" t="str">
            <v>-</v>
          </cell>
          <cell r="Y25" t="str">
            <v>Hospitalia S.A</v>
          </cell>
          <cell r="Z25" t="str">
            <v>-</v>
          </cell>
          <cell r="AA25" t="str">
            <v>Una parte de B62WSA2 con una parte de catalizador B60CSA1 en volumen, dejar reposar 30 min.Debe esperarse de 12 a 15 días para alcanzar la dureza de 6H-7H.</v>
          </cell>
          <cell r="AB25" t="str">
            <v>Ing. René F. Ferrufino</v>
          </cell>
          <cell r="AC25" t="str">
            <v>S/F</v>
          </cell>
        </row>
        <row r="26">
          <cell r="A26" t="str">
            <v>B69A47</v>
          </cell>
          <cell r="B26" t="str">
            <v>Zinc Clad 7 Primer</v>
          </cell>
          <cell r="C26" t="str">
            <v>Interior-Exterior Expocision a Aire Salino, Humedad, Quimicos</v>
          </cell>
          <cell r="D26" t="str">
            <v>Hierro-Acero</v>
          </cell>
          <cell r="E26" t="str">
            <v>Limpieza con Solvente</v>
          </cell>
          <cell r="F26" t="str">
            <v>Ninguno</v>
          </cell>
          <cell r="G26" t="str">
            <v>7.92 Lbs/Gl Parte A    7.45 Lbs/Gl Parte B</v>
          </cell>
          <cell r="H26" t="str">
            <v>43%</v>
          </cell>
          <cell r="I26" t="str">
            <v>84.39%</v>
          </cell>
          <cell r="J26" t="str">
            <v>75%</v>
          </cell>
          <cell r="K26" t="str">
            <v>62.16%</v>
          </cell>
          <cell r="L26" t="str">
            <v>49.55%</v>
          </cell>
          <cell r="M26" t="str">
            <v>12"-16" Ford #4, Parte A  16"-20" Ford #4, Parte B</v>
          </cell>
          <cell r="N26" t="str">
            <v>Pistola de Aire</v>
          </cell>
          <cell r="O26" t="str">
            <v>18"-22" Ford #4 Mezcla</v>
          </cell>
          <cell r="P26" t="str">
            <v>12% R6K22</v>
          </cell>
          <cell r="Q26" t="str">
            <v>R6K22</v>
          </cell>
          <cell r="R26" t="str">
            <v>2 mills</v>
          </cell>
          <cell r="S26" t="str">
            <v>Tocar: 30 Min Para Recubrimiento Final 24 Horas</v>
          </cell>
          <cell r="T26" t="str">
            <v>-</v>
          </cell>
          <cell r="U26" t="str">
            <v>-</v>
          </cell>
          <cell r="V26" t="str">
            <v>Mate</v>
          </cell>
          <cell r="W26" t="str">
            <v>-</v>
          </cell>
          <cell r="X26" t="str">
            <v>-</v>
          </cell>
          <cell r="Y26" t="str">
            <v>Beneficio El Tazumal (Chalchuapa)/(IMSA) Industrias Metalicas, S.A.</v>
          </cell>
          <cell r="Z26" t="str">
            <v>-</v>
          </cell>
          <cell r="AA26" t="str">
            <v>Producto de 3 Componentes.Mezclar 1 Parte de A con 1/2 Parte de B.Despues agregar 1 Parte de C en vol.Esperar 30 min antes de aplicar. La mezcla catalizada debe ser usada en un periodo de 8 horas.</v>
          </cell>
          <cell r="AB26" t="str">
            <v>-</v>
          </cell>
          <cell r="AC26" t="str">
            <v>S/F</v>
          </cell>
        </row>
        <row r="27">
          <cell r="A27" t="str">
            <v>B79WSA1</v>
          </cell>
          <cell r="B27" t="str">
            <v>Colonial Latex Blanco Colonial</v>
          </cell>
          <cell r="C27" t="str">
            <v>Interior-Exterior</v>
          </cell>
          <cell r="D27" t="str">
            <v>Concreto-Madera-Estuco</v>
          </cell>
          <cell r="E27" t="str">
            <v>Superficie Seca y Limpia</v>
          </cell>
          <cell r="F27" t="str">
            <v>A71WSA4 para pintar sobre madera</v>
          </cell>
          <cell r="G27" t="str">
            <v>11.30 Lbs/Gl</v>
          </cell>
          <cell r="H27" t="str">
            <v>-</v>
          </cell>
          <cell r="I27" t="str">
            <v>47.9%</v>
          </cell>
          <cell r="J27" t="str">
            <v>-</v>
          </cell>
          <cell r="K27" t="str">
            <v>-</v>
          </cell>
          <cell r="L27" t="str">
            <v>30.7%</v>
          </cell>
          <cell r="M27" t="str">
            <v>25"-30" Copa SW #4</v>
          </cell>
          <cell r="N27" t="str">
            <v>Brocha-Rodillo</v>
          </cell>
          <cell r="O27" t="str">
            <v>El mismo</v>
          </cell>
          <cell r="P27" t="str">
            <v>Ninguno</v>
          </cell>
          <cell r="Q27" t="str">
            <v>-</v>
          </cell>
          <cell r="R27" t="str">
            <v>5 mills</v>
          </cell>
          <cell r="S27" t="str">
            <v>Al aire</v>
          </cell>
          <cell r="T27" t="str">
            <v>-</v>
          </cell>
          <cell r="U27" t="str">
            <v>Aproximadamente 30 Mts cuadrados/Gl</v>
          </cell>
          <cell r="V27" t="str">
            <v>Mate</v>
          </cell>
          <cell r="W27" t="str">
            <v>-</v>
          </cell>
          <cell r="X27" t="str">
            <v>1 año</v>
          </cell>
          <cell r="Y27" t="str">
            <v>Warner Lambert-Guatemala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S/F</v>
          </cell>
        </row>
        <row r="28">
          <cell r="A28" t="str">
            <v>E61ESA6</v>
          </cell>
          <cell r="B28" t="str">
            <v>Anticorrosivo Naranja</v>
          </cell>
          <cell r="C28" t="str">
            <v>Interior-Exterior</v>
          </cell>
          <cell r="D28" t="str">
            <v>Superficies De Hierro</v>
          </cell>
          <cell r="E28" t="str">
            <v>Limpieza con Cepillo de Alambre</v>
          </cell>
          <cell r="F28" t="str">
            <v>Ninguno</v>
          </cell>
          <cell r="G28" t="str">
            <v>11.85 Lbs/Gl</v>
          </cell>
          <cell r="H28" t="str">
            <v>-</v>
          </cell>
          <cell r="I28" t="str">
            <v>74%</v>
          </cell>
          <cell r="J28" t="str">
            <v>-</v>
          </cell>
          <cell r="K28" t="str">
            <v>-</v>
          </cell>
          <cell r="L28" t="str">
            <v>49.9%</v>
          </cell>
          <cell r="M28" t="str">
            <v>100-110 KU</v>
          </cell>
          <cell r="N28" t="str">
            <v xml:space="preserve">Brocha-Pistola </v>
          </cell>
          <cell r="O28" t="str">
            <v>70-75 KU Brocha</v>
          </cell>
          <cell r="P28" t="str">
            <v>25% con R1K4 para Aplicar con Pistola</v>
          </cell>
          <cell r="Q28" t="str">
            <v>R1K4   Mineral Spirits</v>
          </cell>
          <cell r="R28" t="str">
            <v>1.0-1.5 mills</v>
          </cell>
          <cell r="S28" t="str">
            <v>-</v>
          </cell>
          <cell r="T28" t="str">
            <v>-</v>
          </cell>
          <cell r="U28" t="str">
            <v>750 Pies Cuadrados/Gl</v>
          </cell>
          <cell r="V28" t="str">
            <v>0-10</v>
          </cell>
          <cell r="W28" t="str">
            <v>-</v>
          </cell>
          <cell r="X28" t="str">
            <v>12 meses</v>
          </cell>
          <cell r="Y28" t="str">
            <v>Aceros Arquitectónicos</v>
          </cell>
          <cell r="Z28" t="str">
            <v>Estructuras Metálicas</v>
          </cell>
          <cell r="AA28" t="str">
            <v>-</v>
          </cell>
          <cell r="AB28" t="str">
            <v>-</v>
          </cell>
          <cell r="AC28" t="str">
            <v>S/F</v>
          </cell>
        </row>
        <row r="29">
          <cell r="A29" t="str">
            <v>E61ESA6 Tarj. No.2</v>
          </cell>
          <cell r="B29" t="str">
            <v>Anticorrosivo Naranja</v>
          </cell>
          <cell r="C29" t="str">
            <v>Interior-Exterior</v>
          </cell>
          <cell r="D29" t="str">
            <v>Superficies De Hierro</v>
          </cell>
          <cell r="E29" t="str">
            <v>Limpieza con Cepillo de Alambre</v>
          </cell>
          <cell r="F29" t="str">
            <v>Ninguno</v>
          </cell>
          <cell r="G29" t="str">
            <v>11.85 Lbs/Gl</v>
          </cell>
          <cell r="H29" t="str">
            <v>-</v>
          </cell>
          <cell r="I29" t="str">
            <v>74%</v>
          </cell>
          <cell r="J29" t="str">
            <v>-</v>
          </cell>
          <cell r="K29" t="str">
            <v>-</v>
          </cell>
          <cell r="L29" t="str">
            <v>49.9%</v>
          </cell>
          <cell r="M29" t="str">
            <v>100-110 KU</v>
          </cell>
          <cell r="N29" t="str">
            <v xml:space="preserve">Brocha-Pistola </v>
          </cell>
          <cell r="O29" t="str">
            <v>20"-25" Copa Ford #4 para Aplicar con Pistola</v>
          </cell>
          <cell r="P29" t="str">
            <v>25% con R1K4 para Aplicar con Pistola</v>
          </cell>
          <cell r="Q29" t="str">
            <v>R1K4   Mineral Spirits</v>
          </cell>
          <cell r="R29" t="str">
            <v>1.0-1.5 mills</v>
          </cell>
          <cell r="S29" t="str">
            <v>-</v>
          </cell>
          <cell r="T29" t="str">
            <v>-</v>
          </cell>
          <cell r="U29" t="str">
            <v>800 Pies Cuadrados/Gl</v>
          </cell>
          <cell r="V29" t="str">
            <v>0-10</v>
          </cell>
          <cell r="W29" t="str">
            <v>-</v>
          </cell>
          <cell r="X29" t="str">
            <v>12 meses</v>
          </cell>
          <cell r="Y29" t="str">
            <v>Aceros Arquitectónicos</v>
          </cell>
          <cell r="Z29" t="str">
            <v>Estructuras Metálicas</v>
          </cell>
          <cell r="AA29" t="str">
            <v>-</v>
          </cell>
          <cell r="AB29" t="str">
            <v>-</v>
          </cell>
          <cell r="AC29" t="str">
            <v>S/F</v>
          </cell>
        </row>
        <row r="30">
          <cell r="A30" t="str">
            <v>E61ESA6 Tarj. No.3</v>
          </cell>
          <cell r="B30" t="str">
            <v>Anticorrosivo Naranja</v>
          </cell>
          <cell r="C30" t="str">
            <v>Interior-Exterior</v>
          </cell>
          <cell r="D30" t="str">
            <v>Superficies De Hierro</v>
          </cell>
          <cell r="E30" t="str">
            <v>Limpieza con Cepillo de Alambre</v>
          </cell>
          <cell r="F30" t="str">
            <v>Ninguno</v>
          </cell>
          <cell r="G30" t="str">
            <v>11.33 Lbs/Gl</v>
          </cell>
          <cell r="H30" t="str">
            <v>-</v>
          </cell>
          <cell r="I30" t="str">
            <v>60.9%</v>
          </cell>
          <cell r="J30" t="str">
            <v>-</v>
          </cell>
          <cell r="K30" t="str">
            <v>-</v>
          </cell>
          <cell r="L30" t="str">
            <v>36.0%</v>
          </cell>
          <cell r="M30" t="str">
            <v>100-110 KU</v>
          </cell>
          <cell r="N30" t="str">
            <v xml:space="preserve">Brocha-Pistola </v>
          </cell>
          <cell r="O30" t="str">
            <v>20"-25" Copa Ford #4 para Aplicar con Pistola</v>
          </cell>
          <cell r="P30" t="str">
            <v>25% con R1K4 para Aplicar con Pistola</v>
          </cell>
          <cell r="Q30" t="str">
            <v>R1K4   Mineral Spirits</v>
          </cell>
          <cell r="R30" t="str">
            <v>1.0-1.5 mills</v>
          </cell>
          <cell r="S30" t="str">
            <v>-</v>
          </cell>
          <cell r="T30" t="str">
            <v>-</v>
          </cell>
          <cell r="U30" t="str">
            <v>800 Pies Cuadrados/Gl</v>
          </cell>
          <cell r="V30" t="str">
            <v>0-10</v>
          </cell>
          <cell r="W30" t="str">
            <v>-</v>
          </cell>
          <cell r="X30" t="str">
            <v>12 meses</v>
          </cell>
          <cell r="Y30" t="str">
            <v>Aceros Arquitectónicos</v>
          </cell>
          <cell r="Z30" t="str">
            <v>Estructuras Metálicas</v>
          </cell>
          <cell r="AA30" t="str">
            <v>-</v>
          </cell>
          <cell r="AB30" t="str">
            <v>-</v>
          </cell>
          <cell r="AC30" t="str">
            <v>S/F</v>
          </cell>
        </row>
        <row r="31">
          <cell r="A31" t="str">
            <v>E61ESA8</v>
          </cell>
          <cell r="B31" t="str">
            <v>Anticorrosivo Naranja Tipic</v>
          </cell>
          <cell r="C31" t="str">
            <v>Interior-Exterior</v>
          </cell>
          <cell r="D31" t="str">
            <v>Hierro</v>
          </cell>
          <cell r="E31" t="str">
            <v>Limpieza con Cepillo de Alambre</v>
          </cell>
          <cell r="F31" t="str">
            <v>-</v>
          </cell>
          <cell r="G31" t="str">
            <v>12.53 Lbs/Gl</v>
          </cell>
          <cell r="H31" t="str">
            <v>-</v>
          </cell>
          <cell r="I31" t="str">
            <v>73.34%</v>
          </cell>
          <cell r="J31" t="str">
            <v>-</v>
          </cell>
          <cell r="K31" t="str">
            <v>-</v>
          </cell>
          <cell r="L31" t="str">
            <v>47.08%</v>
          </cell>
          <cell r="M31" t="str">
            <v>20"-25" Copa SW #3</v>
          </cell>
          <cell r="N31" t="str">
            <v>Brocha-Pistola</v>
          </cell>
          <cell r="O31" t="str">
            <v>20"-25" Copa SW #3</v>
          </cell>
          <cell r="P31" t="str">
            <v>20% R1K3 para Pistola</v>
          </cell>
          <cell r="Q31" t="str">
            <v>R1K3</v>
          </cell>
          <cell r="R31" t="str">
            <v>1.0-1.5 mills</v>
          </cell>
          <cell r="S31" t="str">
            <v>-</v>
          </cell>
          <cell r="T31" t="str">
            <v>-</v>
          </cell>
          <cell r="U31" t="str">
            <v>700 Pies Cuadrados/Gl</v>
          </cell>
          <cell r="V31" t="str">
            <v>0-10</v>
          </cell>
          <cell r="W31" t="str">
            <v>-</v>
          </cell>
          <cell r="X31" t="str">
            <v>12 meses</v>
          </cell>
          <cell r="Y31" t="str">
            <v>Tipic, S.A. Guatemala</v>
          </cell>
          <cell r="Z31" t="str">
            <v>Estructuras Metálicas</v>
          </cell>
          <cell r="AA31" t="str">
            <v>-</v>
          </cell>
          <cell r="AB31" t="str">
            <v>-</v>
          </cell>
          <cell r="AC31" t="str">
            <v>S/F</v>
          </cell>
        </row>
        <row r="32">
          <cell r="A32" t="str">
            <v>E68WSA4</v>
          </cell>
          <cell r="B32" t="str">
            <v>Acrilic Monobake White Primer</v>
          </cell>
          <cell r="C32" t="str">
            <v>Interior-Exterior Limitada</v>
          </cell>
          <cell r="D32" t="str">
            <v>Hierro</v>
          </cell>
          <cell r="E32" t="str">
            <v>Limpieza Quimica y Fosfatizacion</v>
          </cell>
          <cell r="F32" t="str">
            <v>-</v>
          </cell>
          <cell r="G32" t="str">
            <v>9.76 Lbs/Gl</v>
          </cell>
          <cell r="H32" t="str">
            <v>30.5%</v>
          </cell>
          <cell r="I32" t="str">
            <v>56.26%</v>
          </cell>
          <cell r="J32" t="str">
            <v>54.26%</v>
          </cell>
          <cell r="K32" t="str">
            <v>31.51%</v>
          </cell>
          <cell r="L32" t="str">
            <v>36.62%</v>
          </cell>
          <cell r="M32" t="str">
            <v>180"-200" Copa Zanh #2</v>
          </cell>
          <cell r="N32" t="str">
            <v>Pistola</v>
          </cell>
          <cell r="O32" t="str">
            <v>28"-32" Copa Zanh #2</v>
          </cell>
          <cell r="P32" t="str">
            <v>40-50%</v>
          </cell>
          <cell r="Q32" t="str">
            <v>R2K4         Industrial reducer</v>
          </cell>
          <cell r="R32" t="str">
            <v>0.3 mills</v>
          </cell>
          <cell r="S32" t="str">
            <v>Al Horno</v>
          </cell>
          <cell r="T32" t="str">
            <v>15' a 370°F</v>
          </cell>
          <cell r="U32" t="str">
            <v>-</v>
          </cell>
          <cell r="V32" t="str">
            <v>90-95 con Esmalte G78</v>
          </cell>
          <cell r="W32" t="str">
            <v>2H con Esmalte G78</v>
          </cell>
          <cell r="X32" t="str">
            <v>6 meses</v>
          </cell>
          <cell r="Y32" t="str">
            <v>PRADO S.A</v>
          </cell>
          <cell r="Z32" t="str">
            <v>Refrigeradoras,Lavadoras,Cocinas</v>
          </cell>
          <cell r="AA32" t="str">
            <v>-</v>
          </cell>
          <cell r="AB32" t="str">
            <v>-</v>
          </cell>
          <cell r="AC32" t="str">
            <v>S/F</v>
          </cell>
        </row>
        <row r="33">
          <cell r="A33" t="str">
            <v>F65W1</v>
          </cell>
          <cell r="B33" t="str">
            <v>Kem Lustral White</v>
          </cell>
          <cell r="C33" t="str">
            <v>Interior-Exterior</v>
          </cell>
          <cell r="D33" t="str">
            <v>-</v>
          </cell>
          <cell r="E33" t="str">
            <v>Limpieza con Cepillo de Alambre</v>
          </cell>
          <cell r="F33" t="str">
            <v>E41N1 Kromik Metal Primer</v>
          </cell>
          <cell r="G33" t="str">
            <v>9.60 Lbs/Gl</v>
          </cell>
          <cell r="H33" t="str">
            <v>-</v>
          </cell>
          <cell r="I33" t="str">
            <v>59%</v>
          </cell>
          <cell r="J33" t="str">
            <v>-</v>
          </cell>
          <cell r="K33" t="str">
            <v>-</v>
          </cell>
          <cell r="L33" t="str">
            <v>41%</v>
          </cell>
          <cell r="M33" t="str">
            <v>30-36" Copa SW #3</v>
          </cell>
          <cell r="N33" t="str">
            <v>Brocha-Rodillo-Pistola</v>
          </cell>
          <cell r="O33" t="str">
            <v>Con Pistola     18"-20" Copa Ford #4</v>
          </cell>
          <cell r="P33" t="str">
            <v>Con Pistola 25% con R1K3</v>
          </cell>
          <cell r="Q33" t="str">
            <v>R1K3</v>
          </cell>
          <cell r="R33" t="str">
            <v>1-1 1/2 mills</v>
          </cell>
          <cell r="S33" t="str">
            <v>Al Aire</v>
          </cell>
          <cell r="T33" t="str">
            <v>-</v>
          </cell>
          <cell r="U33" t="str">
            <v>600 Pies Cuadrados/Gl</v>
          </cell>
          <cell r="V33" t="str">
            <v>+85</v>
          </cell>
          <cell r="W33" t="str">
            <v>-</v>
          </cell>
          <cell r="X33" t="str">
            <v>1 año</v>
          </cell>
          <cell r="Y33" t="str">
            <v>Warner Lambert-Guatemala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S/F</v>
          </cell>
        </row>
        <row r="34">
          <cell r="A34" t="str">
            <v>F68RSA9 T-2</v>
          </cell>
          <cell r="B34" t="str">
            <v>Esmalte para espejos Rojo Especial</v>
          </cell>
          <cell r="C34" t="str">
            <v xml:space="preserve">Interior  </v>
          </cell>
          <cell r="D34" t="str">
            <v>Vidrio</v>
          </cell>
          <cell r="E34" t="str">
            <v>Limpio</v>
          </cell>
          <cell r="F34" t="str">
            <v>Ninguno</v>
          </cell>
          <cell r="G34" t="str">
            <v>10.65 Lbs/Gl</v>
          </cell>
          <cell r="H34" t="str">
            <v>38.1%</v>
          </cell>
          <cell r="I34" t="str">
            <v>63.44%</v>
          </cell>
          <cell r="J34" t="str">
            <v>40.90%</v>
          </cell>
          <cell r="K34" t="str">
            <v>35.10%</v>
          </cell>
          <cell r="L34" t="str">
            <v>45.07%</v>
          </cell>
          <cell r="M34" t="str">
            <v>30-35"        SW #3</v>
          </cell>
          <cell r="N34" t="str">
            <v>Pistola</v>
          </cell>
          <cell r="O34" t="str">
            <v>18-20"             Copa Ford #4</v>
          </cell>
          <cell r="P34" t="str">
            <v>20%</v>
          </cell>
          <cell r="Q34" t="str">
            <v>Kem Flo Glo Reducer R4K183</v>
          </cell>
          <cell r="R34" t="str">
            <v>1.0 mills</v>
          </cell>
          <cell r="S34" t="str">
            <v xml:space="preserve">Al Aire               </v>
          </cell>
          <cell r="T34" t="str">
            <v>-</v>
          </cell>
          <cell r="U34" t="str">
            <v>1,015.52 pies cuadrados/Gl</v>
          </cell>
          <cell r="V34" t="str">
            <v>5-6</v>
          </cell>
          <cell r="W34" t="str">
            <v>-</v>
          </cell>
          <cell r="X34" t="str">
            <v>6 meses</v>
          </cell>
          <cell r="Y34" t="str">
            <v>FREUND            ESTACION DE PINTURAS</v>
          </cell>
          <cell r="Z34" t="str">
            <v>Espejos</v>
          </cell>
          <cell r="AA34" t="str">
            <v>-</v>
          </cell>
          <cell r="AB34" t="str">
            <v>-</v>
          </cell>
          <cell r="AC34" t="str">
            <v>S/F</v>
          </cell>
        </row>
        <row r="35">
          <cell r="A35" t="str">
            <v>F73ESA1</v>
          </cell>
          <cell r="B35" t="str">
            <v>Esmalte Horneable Naranja</v>
          </cell>
          <cell r="C35" t="str">
            <v>Interior-Exterior Limitada</v>
          </cell>
          <cell r="D35" t="str">
            <v>Hierro</v>
          </cell>
          <cell r="E35" t="str">
            <v>Limpieza Adecuada con R2K4 y Dual Etch (W4K263)</v>
          </cell>
          <cell r="F35" t="str">
            <v>Ninguno</v>
          </cell>
          <cell r="G35" t="str">
            <v>9.40 Lbs/Gl</v>
          </cell>
          <cell r="H35" t="str">
            <v>18.16%</v>
          </cell>
          <cell r="I35" t="str">
            <v>55.52%</v>
          </cell>
          <cell r="J35" t="str">
            <v>45.44%</v>
          </cell>
          <cell r="K35" t="str">
            <v>9.44%</v>
          </cell>
          <cell r="L35" t="str">
            <v>42.13%</v>
          </cell>
          <cell r="M35" t="str">
            <v>80"-90" Copa Zanh #2</v>
          </cell>
          <cell r="N35" t="str">
            <v>Pistola Convencional o Elestrostática</v>
          </cell>
          <cell r="O35" t="str">
            <v>20"-25" Copa Zanh #2</v>
          </cell>
          <cell r="P35" t="str">
            <v>20-25%</v>
          </cell>
          <cell r="Q35" t="str">
            <v>R2K4         Industrial reducer</v>
          </cell>
          <cell r="R35" t="str">
            <v>1.0-1.2 mills</v>
          </cell>
          <cell r="S35" t="str">
            <v>5-10 min</v>
          </cell>
          <cell r="T35" t="str">
            <v>15' a 300 °F</v>
          </cell>
          <cell r="U35" t="str">
            <v>893 Pies Cuadrados por Galón</v>
          </cell>
          <cell r="V35" t="str">
            <v>80-82</v>
          </cell>
          <cell r="W35" t="str">
            <v>F-H</v>
          </cell>
          <cell r="X35" t="str">
            <v>12 meses</v>
          </cell>
          <cell r="Y35" t="str">
            <v>IMSA S.A</v>
          </cell>
          <cell r="Z35" t="str">
            <v>Estantería</v>
          </cell>
          <cell r="AA35" t="str">
            <v>-</v>
          </cell>
          <cell r="AB35" t="str">
            <v>-</v>
          </cell>
          <cell r="AC35" t="str">
            <v>S/F</v>
          </cell>
        </row>
        <row r="36">
          <cell r="A36" t="str">
            <v>F73GSA25</v>
          </cell>
          <cell r="B36" t="str">
            <v>Esmalte Horneable Verde Intenso</v>
          </cell>
          <cell r="C36" t="str">
            <v>Interior-Exterior Limitada</v>
          </cell>
          <cell r="D36" t="str">
            <v>Hierro</v>
          </cell>
          <cell r="E36" t="str">
            <v>Limpieza con Industrial Reducer R2K4 y Dual Etch</v>
          </cell>
          <cell r="F36" t="str">
            <v>Ninguno</v>
          </cell>
          <cell r="G36" t="str">
            <v>9.15 Lbs/Gl</v>
          </cell>
          <cell r="H36" t="str">
            <v>16.05%</v>
          </cell>
          <cell r="I36" t="str">
            <v>62.61%</v>
          </cell>
          <cell r="J36" t="str">
            <v>49.58%</v>
          </cell>
          <cell r="K36" t="str">
            <v>9.74%</v>
          </cell>
          <cell r="L36" t="str">
            <v>44.44%</v>
          </cell>
          <cell r="M36" t="str">
            <v>100"-110" Copa Zanh #2</v>
          </cell>
          <cell r="N36" t="str">
            <v>Pistola Convencional</v>
          </cell>
          <cell r="O36" t="str">
            <v>20"-25" Copa Zanh #2</v>
          </cell>
          <cell r="P36" t="str">
            <v>20-25%</v>
          </cell>
          <cell r="Q36" t="str">
            <v>R2K4         Industrial reducer</v>
          </cell>
          <cell r="R36" t="str">
            <v>1.0-1.2 mills</v>
          </cell>
          <cell r="S36" t="str">
            <v>Al Horno</v>
          </cell>
          <cell r="T36" t="str">
            <v>15' a 300°F</v>
          </cell>
          <cell r="U36" t="str">
            <v>1001.76 Pies cuadrados por Galón</v>
          </cell>
          <cell r="V36" t="str">
            <v>+90</v>
          </cell>
          <cell r="W36" t="str">
            <v>H</v>
          </cell>
          <cell r="X36" t="str">
            <v>12 meses</v>
          </cell>
          <cell r="Y36" t="str">
            <v>Van Leer</v>
          </cell>
          <cell r="Z36" t="str">
            <v>Barriles de Hierro</v>
          </cell>
          <cell r="AA36" t="str">
            <v>-</v>
          </cell>
          <cell r="AB36" t="str">
            <v>-</v>
          </cell>
          <cell r="AC36" t="str">
            <v>S/F</v>
          </cell>
        </row>
        <row r="37">
          <cell r="A37" t="str">
            <v>F73HSA6</v>
          </cell>
          <cell r="B37" t="str">
            <v>Esmalte Horneable Beige Tyler 53</v>
          </cell>
          <cell r="C37" t="str">
            <v>Interior-Exterior Limitada</v>
          </cell>
          <cell r="D37" t="str">
            <v>Hierro</v>
          </cell>
          <cell r="E37" t="str">
            <v>Limpieza Adecuada con R2K4 y Dual Etch (W4K263)</v>
          </cell>
          <cell r="F37" t="str">
            <v>Ninguno</v>
          </cell>
          <cell r="G37" t="str">
            <v>8.79 Lbs/Gl</v>
          </cell>
          <cell r="H37" t="str">
            <v>13.57%</v>
          </cell>
          <cell r="I37" t="str">
            <v>55%</v>
          </cell>
          <cell r="J37" t="str">
            <v>47.53%</v>
          </cell>
          <cell r="K37" t="str">
            <v>7.49%</v>
          </cell>
          <cell r="L37" t="str">
            <v>42%</v>
          </cell>
          <cell r="M37" t="str">
            <v>80"-90" Copa Zanh #2</v>
          </cell>
          <cell r="N37" t="str">
            <v>Pistola Convencional o Elestrostática</v>
          </cell>
          <cell r="O37" t="str">
            <v>20"-25" Copa Zanh #2</v>
          </cell>
          <cell r="P37" t="str">
            <v>20-25%</v>
          </cell>
          <cell r="Q37" t="str">
            <v>R2K4         Industrial reducer</v>
          </cell>
          <cell r="R37" t="str">
            <v>1.0-1.2 mills</v>
          </cell>
          <cell r="S37" t="str">
            <v>5-10 min</v>
          </cell>
          <cell r="T37" t="str">
            <v>15' a 300 °F</v>
          </cell>
          <cell r="U37" t="str">
            <v>783 Pies Cuadrados por Galón</v>
          </cell>
          <cell r="V37" t="str">
            <v>85</v>
          </cell>
          <cell r="W37" t="str">
            <v>F-H</v>
          </cell>
          <cell r="X37" t="str">
            <v>12 meses</v>
          </cell>
          <cell r="Y37" t="str">
            <v>IMSA S.A</v>
          </cell>
          <cell r="Z37" t="str">
            <v>Estantería</v>
          </cell>
          <cell r="AA37" t="str">
            <v>-</v>
          </cell>
          <cell r="AB37" t="str">
            <v>-</v>
          </cell>
          <cell r="AC37" t="str">
            <v>S/F</v>
          </cell>
        </row>
        <row r="38">
          <cell r="A38" t="str">
            <v>F73LSA28</v>
          </cell>
          <cell r="B38" t="str">
            <v>Esmalte Horneable Azul Intenso</v>
          </cell>
          <cell r="C38" t="str">
            <v>Interior-Exterior Limitada</v>
          </cell>
          <cell r="D38" t="str">
            <v>Hierro</v>
          </cell>
          <cell r="E38" t="str">
            <v>Limpieza con Industrial Reducer R2K4 y Dual Etch</v>
          </cell>
          <cell r="F38" t="str">
            <v>Ninguno</v>
          </cell>
          <cell r="G38" t="str">
            <v>8.56 Lbs/Gl</v>
          </cell>
          <cell r="H38" t="str">
            <v>9.52%</v>
          </cell>
          <cell r="I38" t="str">
            <v>59.39%</v>
          </cell>
          <cell r="J38" t="str">
            <v>49.26%</v>
          </cell>
          <cell r="K38" t="str">
            <v>12.67%</v>
          </cell>
          <cell r="L38" t="str">
            <v>43.64%</v>
          </cell>
          <cell r="M38" t="str">
            <v>100"-110" Copa Zanh #2</v>
          </cell>
          <cell r="N38" t="str">
            <v>Pistola Convencional</v>
          </cell>
          <cell r="O38" t="str">
            <v>20"-25" Copa Zanh #2</v>
          </cell>
          <cell r="P38" t="str">
            <v>20-25%</v>
          </cell>
          <cell r="Q38" t="str">
            <v>R2K4         Industrial reducer</v>
          </cell>
          <cell r="R38" t="str">
            <v>1.0-1.2 mills</v>
          </cell>
          <cell r="S38" t="str">
            <v>Al Horno</v>
          </cell>
          <cell r="T38" t="str">
            <v>15' a 300°F</v>
          </cell>
          <cell r="U38" t="str">
            <v>950.24 Pies cuadrados por Galón</v>
          </cell>
          <cell r="V38" t="str">
            <v>+90</v>
          </cell>
          <cell r="W38" t="str">
            <v>H</v>
          </cell>
          <cell r="X38" t="str">
            <v>12 meses</v>
          </cell>
          <cell r="Y38" t="str">
            <v>Van Leer</v>
          </cell>
          <cell r="Z38" t="str">
            <v>Barriles de Hierro</v>
          </cell>
          <cell r="AA38" t="str">
            <v>-</v>
          </cell>
          <cell r="AB38" t="str">
            <v>-</v>
          </cell>
          <cell r="AC38" t="str">
            <v>S/F</v>
          </cell>
        </row>
        <row r="39">
          <cell r="A39" t="str">
            <v>F73RSA15</v>
          </cell>
          <cell r="B39" t="str">
            <v>Esmalte Horneable Rojo Texaco</v>
          </cell>
          <cell r="C39" t="str">
            <v>Interior-Exterior</v>
          </cell>
          <cell r="D39" t="str">
            <v>Hierro</v>
          </cell>
          <cell r="E39" t="str">
            <v>Limpieza con Solvente Industrial</v>
          </cell>
          <cell r="F39" t="str">
            <v>Ninguno</v>
          </cell>
          <cell r="G39" t="str">
            <v>8.91 Lbs/Gl</v>
          </cell>
          <cell r="H39" t="str">
            <v>12.69%</v>
          </cell>
          <cell r="I39" t="str">
            <v>57.41%</v>
          </cell>
          <cell r="J39" t="str">
            <v>51.21%</v>
          </cell>
          <cell r="K39" t="str">
            <v>7.10%</v>
          </cell>
          <cell r="L39" t="str">
            <v>45.1%</v>
          </cell>
          <cell r="M39" t="str">
            <v>100"-110" Copa Zanh #2</v>
          </cell>
          <cell r="N39" t="str">
            <v>Pistola</v>
          </cell>
          <cell r="O39" t="str">
            <v>20-25 seg. Copa Zanh #2</v>
          </cell>
          <cell r="P39" t="str">
            <v>20-25%</v>
          </cell>
          <cell r="Q39" t="str">
            <v>R2K4         Industrial reducer</v>
          </cell>
          <cell r="R39" t="str">
            <v>0.6-0.9 mills</v>
          </cell>
          <cell r="S39" t="str">
            <v>Al Horno</v>
          </cell>
          <cell r="T39" t="str">
            <v>10' a 350°F</v>
          </cell>
          <cell r="U39" t="str">
            <v>925 Pies Cuadrados/Gl</v>
          </cell>
          <cell r="V39" t="str">
            <v>+75</v>
          </cell>
          <cell r="W39" t="str">
            <v>HB-F</v>
          </cell>
          <cell r="X39" t="str">
            <v>12 meses</v>
          </cell>
          <cell r="Y39" t="str">
            <v>Van Leer</v>
          </cell>
          <cell r="Z39" t="str">
            <v>Barriles de Hierro</v>
          </cell>
          <cell r="AA39" t="str">
            <v>-</v>
          </cell>
          <cell r="AB39" t="str">
            <v>Luis Nolasco</v>
          </cell>
          <cell r="AC39" t="str">
            <v>S/F</v>
          </cell>
        </row>
        <row r="40">
          <cell r="A40" t="str">
            <v>F73SSA12</v>
          </cell>
          <cell r="B40" t="str">
            <v>Esmalte Horneable Aluminio Brillante</v>
          </cell>
          <cell r="C40" t="str">
            <v>Interior-Exterior Limitada</v>
          </cell>
          <cell r="D40" t="str">
            <v>Zamak</v>
          </cell>
          <cell r="E40" t="str">
            <v>Limpieza Adecuada con R2K4 y Dual Etch (W4K263)</v>
          </cell>
          <cell r="F40" t="str">
            <v>Wash Primer Green (P60G2)</v>
          </cell>
          <cell r="G40" t="str">
            <v>8.15 Lbs/Gl</v>
          </cell>
          <cell r="H40" t="str">
            <v>-</v>
          </cell>
          <cell r="I40" t="str">
            <v>43.8%</v>
          </cell>
          <cell r="J40" t="str">
            <v>48.3%</v>
          </cell>
          <cell r="K40" t="str">
            <v>-</v>
          </cell>
          <cell r="L40" t="str">
            <v>40.57%</v>
          </cell>
          <cell r="M40" t="str">
            <v>80"-90" Copa Zanh #2</v>
          </cell>
          <cell r="N40" t="str">
            <v>Pistola Convencional o Elestrostática</v>
          </cell>
          <cell r="O40" t="str">
            <v>20"-25" Copa Zanh #2</v>
          </cell>
          <cell r="P40" t="str">
            <v>20-25%</v>
          </cell>
          <cell r="Q40" t="str">
            <v>R2K4         Industrial reducer</v>
          </cell>
          <cell r="R40" t="str">
            <v>1.0-1.5 mills</v>
          </cell>
          <cell r="S40" t="str">
            <v>5-10 min</v>
          </cell>
          <cell r="T40" t="str">
            <v>20' a 300 °F</v>
          </cell>
          <cell r="U40" t="str">
            <v>727 Pies Cuadrados por Galón</v>
          </cell>
          <cell r="V40" t="str">
            <v>90</v>
          </cell>
          <cell r="W40" t="str">
            <v>F-H</v>
          </cell>
          <cell r="X40" t="str">
            <v>12 meses</v>
          </cell>
          <cell r="Y40" t="str">
            <v>IMSA S.A</v>
          </cell>
          <cell r="Z40" t="str">
            <v>Operadores de Ventanas</v>
          </cell>
          <cell r="AA40" t="str">
            <v>-</v>
          </cell>
          <cell r="AB40" t="str">
            <v>-</v>
          </cell>
          <cell r="AC40" t="str">
            <v>S/F</v>
          </cell>
        </row>
        <row r="41">
          <cell r="A41" t="str">
            <v>F73SSA4</v>
          </cell>
          <cell r="B41" t="str">
            <v>Reverse Dimenso Baking Baking Enamel Silver Gray</v>
          </cell>
          <cell r="C41" t="str">
            <v>Interior-Exterior Limitada</v>
          </cell>
          <cell r="D41" t="str">
            <v>Hierro y Zamak</v>
          </cell>
          <cell r="E41" t="str">
            <v>Hierro:Limpieza Adecuada con R2K4 y Dual Etch (W4K263). Zamak Limpieza con R2K4, detergente y Fosfatización)</v>
          </cell>
          <cell r="F41" t="str">
            <v>Ninguno sobre hierro, P60G2 Wash Primer sobre Zamak</v>
          </cell>
          <cell r="G41" t="str">
            <v>8.05 Lbs/Gl</v>
          </cell>
          <cell r="H41" t="str">
            <v>-</v>
          </cell>
          <cell r="I41" t="str">
            <v>46.7%</v>
          </cell>
          <cell r="J41" t="str">
            <v>46.7%</v>
          </cell>
          <cell r="K41" t="str">
            <v>-</v>
          </cell>
          <cell r="L41" t="str">
            <v>38.7%</v>
          </cell>
          <cell r="M41" t="str">
            <v>60"-70" Copa Zanh #2</v>
          </cell>
          <cell r="N41" t="str">
            <v>Pistola Convencional o Elestrostática</v>
          </cell>
          <cell r="O41" t="str">
            <v>60"-70" Copa Zanh #2</v>
          </cell>
          <cell r="P41" t="str">
            <v xml:space="preserve">Lo necesario  </v>
          </cell>
          <cell r="Q41" t="str">
            <v>R2K4         Industrial reducer</v>
          </cell>
          <cell r="R41" t="str">
            <v>1.0-1.5 mills</v>
          </cell>
          <cell r="S41" t="str">
            <v>5-10 minutos</v>
          </cell>
          <cell r="T41" t="str">
            <v>15' a 300°F</v>
          </cell>
          <cell r="U41" t="str">
            <v>388 Pies cuadrados por Galón</v>
          </cell>
          <cell r="V41" t="str">
            <v>80-85</v>
          </cell>
          <cell r="W41" t="str">
            <v>F-H</v>
          </cell>
          <cell r="X41" t="str">
            <v>12 meses</v>
          </cell>
          <cell r="Y41" t="str">
            <v>IMSA S.A</v>
          </cell>
          <cell r="Z41" t="str">
            <v>Estantería y Chapas</v>
          </cell>
          <cell r="AA41" t="str">
            <v>-</v>
          </cell>
          <cell r="AB41" t="str">
            <v>-</v>
          </cell>
          <cell r="AC41" t="str">
            <v>S/F</v>
          </cell>
        </row>
        <row r="42">
          <cell r="A42" t="str">
            <v>F73W2</v>
          </cell>
          <cell r="B42" t="str">
            <v>Kem Fast Baking Enamel White</v>
          </cell>
          <cell r="C42" t="str">
            <v>Interior-Exterior Limitada</v>
          </cell>
          <cell r="D42" t="str">
            <v>Hierro</v>
          </cell>
          <cell r="E42" t="str">
            <v>Limpieza Adecuada con R2K4 y Dual Etch (W4K263)</v>
          </cell>
          <cell r="F42" t="str">
            <v>Ninguno</v>
          </cell>
          <cell r="G42" t="str">
            <v>10.0 Lbs/GL</v>
          </cell>
          <cell r="H42" t="str">
            <v>25.70%</v>
          </cell>
          <cell r="I42" t="str">
            <v>63.27%</v>
          </cell>
          <cell r="J42" t="str">
            <v>50.57%</v>
          </cell>
          <cell r="K42" t="str">
            <v>15.81%</v>
          </cell>
          <cell r="L42" t="str">
            <v>47.13%</v>
          </cell>
          <cell r="M42" t="str">
            <v>80"-90" Copa Zanh #2</v>
          </cell>
          <cell r="N42" t="str">
            <v>Pistola Convencional o Elestrostática</v>
          </cell>
          <cell r="O42" t="str">
            <v>20"-25" Copa Zanh #2</v>
          </cell>
          <cell r="P42" t="str">
            <v>20-25%</v>
          </cell>
          <cell r="Q42" t="str">
            <v>R2K4         Industrial reducer</v>
          </cell>
          <cell r="R42" t="str">
            <v>1.0-1.2 mills</v>
          </cell>
          <cell r="S42" t="str">
            <v>Horno</v>
          </cell>
          <cell r="T42" t="str">
            <v>15' a 300 °F</v>
          </cell>
          <cell r="U42" t="str">
            <v>46.67 metros Cuadrados por Galón a 1.5 mils de espesor</v>
          </cell>
          <cell r="V42" t="str">
            <v>85</v>
          </cell>
          <cell r="W42" t="str">
            <v>F-H</v>
          </cell>
          <cell r="X42" t="str">
            <v>12 meses</v>
          </cell>
          <cell r="Y42" t="str">
            <v>-</v>
          </cell>
          <cell r="Z42" t="str">
            <v>-</v>
          </cell>
          <cell r="AA42" t="str">
            <v>VOC= 3.67 lbs/gal</v>
          </cell>
          <cell r="AB42" t="str">
            <v>-</v>
          </cell>
          <cell r="AC42" t="str">
            <v>S/F</v>
          </cell>
        </row>
        <row r="43">
          <cell r="A43" t="str">
            <v>F73WSA18 (1)</v>
          </cell>
          <cell r="B43" t="str">
            <v>Esmalte Horneable ExtraBlanco</v>
          </cell>
          <cell r="C43" t="str">
            <v>Interior-Exterior</v>
          </cell>
          <cell r="D43" t="str">
            <v>Hierro</v>
          </cell>
          <cell r="E43" t="str">
            <v>Limpieza con R2K4 (Solvente Industrial)</v>
          </cell>
          <cell r="F43" t="str">
            <v>Ninguno</v>
          </cell>
          <cell r="G43" t="str">
            <v>10.72 Lbs/Gl</v>
          </cell>
          <cell r="H43" t="str">
            <v>46% Respecto a los sólidos Totales</v>
          </cell>
          <cell r="I43" t="str">
            <v>66%</v>
          </cell>
          <cell r="J43" t="str">
            <v>54%</v>
          </cell>
          <cell r="K43" t="str">
            <v>14%</v>
          </cell>
          <cell r="L43" t="str">
            <v>50.44%</v>
          </cell>
          <cell r="M43" t="str">
            <v>100"-110" Copa Zanh #2</v>
          </cell>
          <cell r="N43" t="str">
            <v>Pistola</v>
          </cell>
          <cell r="O43" t="str">
            <v>20"-25" Copa Zanh #2</v>
          </cell>
          <cell r="P43" t="str">
            <v>20-25%</v>
          </cell>
          <cell r="Q43" t="str">
            <v>R2K4         Industrial reducer</v>
          </cell>
          <cell r="R43" t="str">
            <v>0.6-0.9 mills</v>
          </cell>
          <cell r="S43" t="str">
            <v>Al Horno</v>
          </cell>
          <cell r="T43" t="str">
            <v>15' a 300°F</v>
          </cell>
          <cell r="U43" t="str">
            <v>85 a 126 m2/Gl (0.6-0.9 Mills seco)</v>
          </cell>
          <cell r="V43" t="str">
            <v>+90</v>
          </cell>
          <cell r="W43" t="str">
            <v>H</v>
          </cell>
          <cell r="X43" t="str">
            <v>12 meses</v>
          </cell>
          <cell r="Y43" t="str">
            <v>IMSA S.A</v>
          </cell>
          <cell r="Z43" t="str">
            <v>Muebles de Metal</v>
          </cell>
          <cell r="AA43" t="str">
            <v>-</v>
          </cell>
          <cell r="AB43" t="str">
            <v>Ing. René Ferrufino</v>
          </cell>
          <cell r="AC43" t="str">
            <v>S/F</v>
          </cell>
        </row>
        <row r="44">
          <cell r="A44" t="str">
            <v>F73WSA6</v>
          </cell>
          <cell r="B44" t="str">
            <v>Esmalte Horneable Blanco Especial</v>
          </cell>
          <cell r="C44" t="str">
            <v>Interior-Exterior Limitada</v>
          </cell>
          <cell r="D44" t="str">
            <v>Hierro y Aluminio</v>
          </cell>
          <cell r="E44" t="str">
            <v>Limpieza Adecuada con R2K4 y Dual Etch (W4K263)</v>
          </cell>
          <cell r="F44" t="str">
            <v>Ninguno</v>
          </cell>
          <cell r="G44" t="str">
            <v>10.11 Lbs/Gl</v>
          </cell>
          <cell r="H44" t="str">
            <v>25.47%</v>
          </cell>
          <cell r="I44" t="str">
            <v>41.17%</v>
          </cell>
          <cell r="J44" t="str">
            <v>30.69%</v>
          </cell>
          <cell r="K44" t="str">
            <v>17.95%</v>
          </cell>
          <cell r="L44" t="str">
            <v>42.44%</v>
          </cell>
          <cell r="M44" t="str">
            <v>100"-110" Copa Zanh #2</v>
          </cell>
          <cell r="N44" t="str">
            <v>Pistola Convencional o Elestrostática</v>
          </cell>
          <cell r="O44" t="str">
            <v>20"-25" Copa Zanh #2</v>
          </cell>
          <cell r="P44" t="str">
            <v>20-25%</v>
          </cell>
          <cell r="Q44" t="str">
            <v>R2K4         Industrial reducer</v>
          </cell>
          <cell r="R44" t="str">
            <v>1.0-1.2 mills</v>
          </cell>
          <cell r="S44" t="str">
            <v>5-10 min</v>
          </cell>
          <cell r="T44" t="str">
            <v>15' a 300 °F</v>
          </cell>
          <cell r="U44" t="str">
            <v>783 Pies Cuadrados por Galón</v>
          </cell>
          <cell r="V44" t="str">
            <v>90</v>
          </cell>
          <cell r="W44" t="str">
            <v>F-H</v>
          </cell>
          <cell r="X44" t="str">
            <v>12 meses</v>
          </cell>
          <cell r="Y44" t="str">
            <v>IMSA S.A</v>
          </cell>
          <cell r="Z44" t="str">
            <v>Lamparas y Muebles</v>
          </cell>
          <cell r="AA44" t="str">
            <v>-</v>
          </cell>
          <cell r="AB44" t="str">
            <v>-</v>
          </cell>
          <cell r="AC44" t="str">
            <v>S/F</v>
          </cell>
        </row>
        <row r="45">
          <cell r="A45" t="str">
            <v>G70ASA2</v>
          </cell>
          <cell r="B45" t="str">
            <v>Pintura Para Recubrimiento Interior Fenólico</v>
          </cell>
          <cell r="C45" t="str">
            <v>Interior</v>
          </cell>
          <cell r="D45" t="str">
            <v>Acero</v>
          </cell>
          <cell r="E45" t="str">
            <v>Lijada y Limpia con Solvente</v>
          </cell>
          <cell r="F45" t="str">
            <v>Ninguno</v>
          </cell>
          <cell r="G45" t="str">
            <v>8.55 Lbs/Gl</v>
          </cell>
          <cell r="H45" t="str">
            <v>44.57%</v>
          </cell>
          <cell r="I45" t="str">
            <v>56.20%</v>
          </cell>
          <cell r="J45" t="str">
            <v>51.90%</v>
          </cell>
          <cell r="K45" t="str">
            <v>6.47%</v>
          </cell>
          <cell r="L45" t="str">
            <v>46.07%</v>
          </cell>
          <cell r="M45" t="str">
            <v>80"-90" Copa Zanh #2</v>
          </cell>
          <cell r="N45" t="str">
            <v>Pistola</v>
          </cell>
          <cell r="O45" t="str">
            <v>18"-20" Copa Ford #4</v>
          </cell>
          <cell r="P45" t="str">
            <v>20-25%</v>
          </cell>
          <cell r="Q45" t="str">
            <v>R7KSA7</v>
          </cell>
          <cell r="R45" t="str">
            <v>1.0-1.5 mills</v>
          </cell>
          <cell r="S45" t="str">
            <v>-</v>
          </cell>
          <cell r="T45" t="str">
            <v>10" a 425°F</v>
          </cell>
          <cell r="U45" t="str">
            <v>-</v>
          </cell>
          <cell r="V45" t="str">
            <v>35-40</v>
          </cell>
          <cell r="W45" t="str">
            <v>H-2H</v>
          </cell>
          <cell r="X45" t="str">
            <v>12 meses</v>
          </cell>
          <cell r="Y45" t="str">
            <v>Van Leer</v>
          </cell>
          <cell r="Z45" t="str">
            <v>Barriles-Envases, Etc</v>
          </cell>
          <cell r="AA45" t="str">
            <v>-</v>
          </cell>
          <cell r="AB45" t="str">
            <v>-</v>
          </cell>
          <cell r="AC45" t="str">
            <v>S/F</v>
          </cell>
        </row>
        <row r="46">
          <cell r="A46" t="str">
            <v>G70ASA2 (1)</v>
          </cell>
          <cell r="B46" t="str">
            <v>Recubrimiento Interior Fenolico Epoxico</v>
          </cell>
          <cell r="C46" t="str">
            <v>Interior</v>
          </cell>
          <cell r="D46" t="str">
            <v>Hierro</v>
          </cell>
          <cell r="E46" t="str">
            <v>Limpieza con Xileno</v>
          </cell>
          <cell r="F46" t="str">
            <v>Ninguno</v>
          </cell>
          <cell r="G46" t="str">
            <v>8.53 Lbs/Gl</v>
          </cell>
          <cell r="H46" t="str">
            <v>9.20%</v>
          </cell>
          <cell r="I46" t="str">
            <v>56.11%</v>
          </cell>
          <cell r="J46" t="str">
            <v>45.20%</v>
          </cell>
          <cell r="K46" t="str">
            <v>6.78%</v>
          </cell>
          <cell r="L46" t="str">
            <v>44.11%</v>
          </cell>
          <cell r="M46" t="str">
            <v>40"-45" Copa Zanh #2</v>
          </cell>
          <cell r="N46" t="str">
            <v>Pistola de Aire</v>
          </cell>
          <cell r="O46" t="str">
            <v>20"-25" Copa Zanh #2</v>
          </cell>
          <cell r="P46" t="str">
            <v>10-15%</v>
          </cell>
          <cell r="Q46" t="str">
            <v>MIBK</v>
          </cell>
          <cell r="R46" t="str">
            <v>0.7-0.8 mills</v>
          </cell>
          <cell r="S46" t="str">
            <v>Al Horno</v>
          </cell>
          <cell r="T46" t="str">
            <v>8-10' a 425°F</v>
          </cell>
          <cell r="U46" t="str">
            <v>-</v>
          </cell>
          <cell r="V46" t="str">
            <v>50-55</v>
          </cell>
          <cell r="W46" t="str">
            <v>4H</v>
          </cell>
          <cell r="X46" t="str">
            <v>6 meses</v>
          </cell>
          <cell r="Y46" t="str">
            <v>Van Leer de El Salvador</v>
          </cell>
          <cell r="Z46" t="str">
            <v>Envases Metálicos</v>
          </cell>
          <cell r="AA46" t="str">
            <v>-</v>
          </cell>
          <cell r="AB46" t="str">
            <v>-</v>
          </cell>
          <cell r="AC46" t="str">
            <v>S/F</v>
          </cell>
        </row>
        <row r="47">
          <cell r="A47" t="str">
            <v>G70NSA1</v>
          </cell>
          <cell r="B47" t="str">
            <v>Recubrimiento Interior Para Herbicida Beige</v>
          </cell>
          <cell r="C47" t="str">
            <v>Interior</v>
          </cell>
          <cell r="D47" t="str">
            <v>Lamina de Hierro</v>
          </cell>
          <cell r="E47" t="str">
            <v>Limpieza Adecuada</v>
          </cell>
          <cell r="F47" t="str">
            <v>Ninguno</v>
          </cell>
          <cell r="G47" t="str">
            <v>8.91 Lbs/Gl</v>
          </cell>
          <cell r="H47" t="str">
            <v>11.57%</v>
          </cell>
          <cell r="I47" t="str">
            <v>48.24%</v>
          </cell>
          <cell r="J47" t="str">
            <v>47.79%</v>
          </cell>
          <cell r="K47" t="str">
            <v>6.34%</v>
          </cell>
          <cell r="L47" t="str">
            <v>48.10%</v>
          </cell>
          <cell r="M47" t="str">
            <v>60"-70" Copa Zanh #2</v>
          </cell>
          <cell r="N47" t="str">
            <v>Pistola</v>
          </cell>
          <cell r="O47" t="str">
            <v>18"-20" Copa Ford #4</v>
          </cell>
          <cell r="P47" t="str">
            <v>25% con R7KSA7</v>
          </cell>
          <cell r="Q47" t="str">
            <v>R7KSA7</v>
          </cell>
          <cell r="R47" t="str">
            <v>0.8-0.9 mills</v>
          </cell>
          <cell r="S47" t="str">
            <v>-</v>
          </cell>
          <cell r="T47" t="str">
            <v>10' a 425°F</v>
          </cell>
          <cell r="U47" t="str">
            <v>772 Pies cuadrados por Galon</v>
          </cell>
          <cell r="V47" t="str">
            <v>15</v>
          </cell>
          <cell r="W47" t="str">
            <v>4H</v>
          </cell>
          <cell r="X47" t="str">
            <v>6-12 meses</v>
          </cell>
          <cell r="Y47" t="str">
            <v>Van Leer</v>
          </cell>
          <cell r="Z47" t="str">
            <v>Barriles</v>
          </cell>
          <cell r="AA47" t="str">
            <v>-</v>
          </cell>
          <cell r="AB47" t="str">
            <v>-</v>
          </cell>
          <cell r="AC47" t="str">
            <v>S/F</v>
          </cell>
        </row>
        <row r="48">
          <cell r="A48" t="str">
            <v>G70NSA2</v>
          </cell>
          <cell r="B48" t="str">
            <v>Recubrimiento Interior Para Herbicida Beige</v>
          </cell>
          <cell r="C48" t="str">
            <v>Interior</v>
          </cell>
          <cell r="D48" t="str">
            <v>Lamina de Hierro</v>
          </cell>
          <cell r="E48" t="str">
            <v>Bien Limpia</v>
          </cell>
          <cell r="F48" t="str">
            <v>Ninguno</v>
          </cell>
          <cell r="G48" t="str">
            <v>9.14 Lbs/Gl</v>
          </cell>
          <cell r="H48" t="str">
            <v>11.93%</v>
          </cell>
          <cell r="I48" t="str">
            <v>60.44%</v>
          </cell>
          <cell r="J48" t="str">
            <v>55.08%</v>
          </cell>
          <cell r="K48" t="str">
            <v>6.52%</v>
          </cell>
          <cell r="L48" t="str">
            <v>49.38%</v>
          </cell>
          <cell r="M48" t="str">
            <v>60"-70" Copa Zanh #2</v>
          </cell>
          <cell r="N48" t="str">
            <v>Pistola</v>
          </cell>
          <cell r="O48" t="str">
            <v>18"-20" Copa Ford #4</v>
          </cell>
          <cell r="P48" t="str">
            <v>20-25%</v>
          </cell>
          <cell r="Q48" t="str">
            <v>MEK</v>
          </cell>
          <cell r="R48" t="str">
            <v>1.2-1.4 mills</v>
          </cell>
          <cell r="S48" t="str">
            <v>Al Horno</v>
          </cell>
          <cell r="T48" t="str">
            <v>1ra Mano 10' a 107 °C-135°C. 2da Mano 10' a 218 °C-246°C</v>
          </cell>
          <cell r="U48" t="str">
            <v>967.04 Pies cuadrados a 1 mill de espesor</v>
          </cell>
          <cell r="V48" t="str">
            <v>7</v>
          </cell>
          <cell r="W48" t="str">
            <v>3H</v>
          </cell>
          <cell r="X48" t="str">
            <v>6 meses</v>
          </cell>
          <cell r="Y48" t="str">
            <v>Van Leer</v>
          </cell>
          <cell r="Z48" t="str">
            <v xml:space="preserve">Barriles  </v>
          </cell>
          <cell r="AA48" t="str">
            <v>-</v>
          </cell>
          <cell r="AB48" t="str">
            <v>-</v>
          </cell>
          <cell r="AC48" t="str">
            <v>S/F</v>
          </cell>
        </row>
        <row r="49">
          <cell r="A49" t="str">
            <v>G70SSA1</v>
          </cell>
          <cell r="B49" t="str">
            <v>Aluminum Roller Coating Sizing</v>
          </cell>
          <cell r="C49" t="str">
            <v>-</v>
          </cell>
          <cell r="D49" t="str">
            <v>Lamina de Hojalata</v>
          </cell>
          <cell r="E49" t="str">
            <v>Limpia, Seca, Libre de Grasa y Aceite</v>
          </cell>
          <cell r="F49" t="str">
            <v>Ninguno</v>
          </cell>
          <cell r="G49" t="str">
            <v>8.23 Lbs/Gl</v>
          </cell>
          <cell r="H49" t="str">
            <v>16.58%</v>
          </cell>
          <cell r="I49" t="str">
            <v>27.50%</v>
          </cell>
          <cell r="J49" t="str">
            <v>10.92%</v>
          </cell>
          <cell r="K49" t="str">
            <v>43.40%</v>
          </cell>
          <cell r="L49" t="str">
            <v>15.01%</v>
          </cell>
          <cell r="M49" t="str">
            <v>70-80 Seg. Copa Ford #4</v>
          </cell>
          <cell r="N49" t="str">
            <v>Rodillo</v>
          </cell>
          <cell r="O49" t="str">
            <v>70-80 Seg. Copa Ford #4</v>
          </cell>
          <cell r="P49" t="str">
            <v>Ninguno</v>
          </cell>
          <cell r="Q49" t="str">
            <v>-</v>
          </cell>
          <cell r="R49" t="str">
            <v>0.5 mills</v>
          </cell>
          <cell r="S49" t="str">
            <v>-</v>
          </cell>
          <cell r="T49" t="str">
            <v>15' a 300°F</v>
          </cell>
          <cell r="U49" t="str">
            <v>440 Mts Cuadrados/Gl a 1 mills de espesor</v>
          </cell>
          <cell r="V49" t="str">
            <v>20</v>
          </cell>
          <cell r="W49" t="str">
            <v>-</v>
          </cell>
          <cell r="X49" t="str">
            <v>6-12 meses</v>
          </cell>
          <cell r="Y49" t="str">
            <v>Nicaragua</v>
          </cell>
          <cell r="Z49" t="str">
            <v>-</v>
          </cell>
          <cell r="AA49" t="str">
            <v>-</v>
          </cell>
          <cell r="AB49" t="str">
            <v>Luis Nolasco</v>
          </cell>
          <cell r="AC49" t="str">
            <v>S/F</v>
          </cell>
        </row>
        <row r="50">
          <cell r="A50" t="str">
            <v>G70SSA1 (1)</v>
          </cell>
          <cell r="B50" t="str">
            <v>Size Aluminium Varnish</v>
          </cell>
          <cell r="C50" t="str">
            <v>-</v>
          </cell>
          <cell r="D50" t="str">
            <v>Lamina de Hojalata</v>
          </cell>
          <cell r="E50" t="str">
            <v>Limpia, Seca, Libre de Grasa y Aceite</v>
          </cell>
          <cell r="F50" t="str">
            <v>Ninguno</v>
          </cell>
          <cell r="G50" t="str">
            <v>8.23 Lbs/Gl</v>
          </cell>
          <cell r="H50" t="str">
            <v>16.58%</v>
          </cell>
          <cell r="I50" t="str">
            <v>27.50%</v>
          </cell>
          <cell r="J50" t="str">
            <v>10.92%</v>
          </cell>
          <cell r="K50" t="str">
            <v>43.40%</v>
          </cell>
          <cell r="L50" t="str">
            <v>15.01%</v>
          </cell>
          <cell r="M50" t="str">
            <v>70-80 Seg. Copa Ford #4</v>
          </cell>
          <cell r="N50" t="str">
            <v>Rodillo</v>
          </cell>
          <cell r="O50" t="str">
            <v>70-80 Seg. Copa Ford #4</v>
          </cell>
          <cell r="P50" t="str">
            <v>Ninguno</v>
          </cell>
          <cell r="Q50" t="str">
            <v>-</v>
          </cell>
          <cell r="R50" t="str">
            <v>0.5 mills</v>
          </cell>
          <cell r="S50" t="str">
            <v>-</v>
          </cell>
          <cell r="T50" t="str">
            <v>15' a 300°F</v>
          </cell>
          <cell r="U50" t="str">
            <v>440 Mts Cuadrados/Gl a 1 mills de espesor</v>
          </cell>
          <cell r="V50" t="str">
            <v>20</v>
          </cell>
          <cell r="W50" t="str">
            <v>-</v>
          </cell>
          <cell r="X50" t="str">
            <v>6-12 meses</v>
          </cell>
          <cell r="Y50" t="str">
            <v>Nicaragua</v>
          </cell>
          <cell r="Z50" t="str">
            <v>-</v>
          </cell>
          <cell r="AA50" t="str">
            <v>-</v>
          </cell>
          <cell r="AB50" t="str">
            <v>Luis Nolasco</v>
          </cell>
          <cell r="AC50" t="str">
            <v>S/F</v>
          </cell>
        </row>
        <row r="51">
          <cell r="A51" t="str">
            <v>G70TSA1</v>
          </cell>
          <cell r="B51" t="str">
            <v>Sizing Universal Barniz</v>
          </cell>
          <cell r="C51" t="str">
            <v>-</v>
          </cell>
          <cell r="D51" t="str">
            <v>Lamina de Hojalata</v>
          </cell>
          <cell r="E51" t="str">
            <v>Limpia, Seca, Libre de Grasa y Aceite</v>
          </cell>
          <cell r="F51" t="str">
            <v>Ninguno</v>
          </cell>
          <cell r="G51" t="str">
            <v>7.22 Lbs/Gl</v>
          </cell>
          <cell r="H51" t="str">
            <v>-</v>
          </cell>
          <cell r="I51" t="str">
            <v>12.56%</v>
          </cell>
          <cell r="J51" t="str">
            <v>12.56%</v>
          </cell>
          <cell r="K51" t="str">
            <v>-</v>
          </cell>
          <cell r="L51" t="str">
            <v>9.62%</v>
          </cell>
          <cell r="M51" t="str">
            <v>25"-30" Copa Zanh #2</v>
          </cell>
          <cell r="N51" t="str">
            <v>Especial</v>
          </cell>
          <cell r="O51" t="str">
            <v>Listo para Usar</v>
          </cell>
          <cell r="P51" t="str">
            <v>-</v>
          </cell>
          <cell r="Q51" t="str">
            <v>-</v>
          </cell>
          <cell r="R51" t="str">
            <v>0.5 mills</v>
          </cell>
          <cell r="S51" t="str">
            <v>Al horno</v>
          </cell>
          <cell r="T51" t="str">
            <v>15' a 300°F</v>
          </cell>
          <cell r="U51" t="str">
            <v>201 Mts Cuadrados/Gl a 1 mills de espesor</v>
          </cell>
          <cell r="V51" t="str">
            <v>20</v>
          </cell>
          <cell r="W51" t="str">
            <v>-</v>
          </cell>
          <cell r="X51" t="str">
            <v>6-12 meses</v>
          </cell>
          <cell r="Y51" t="str">
            <v>Nicaragua</v>
          </cell>
          <cell r="Z51" t="str">
            <v>-</v>
          </cell>
          <cell r="AA51" t="str">
            <v>-</v>
          </cell>
          <cell r="AB51" t="str">
            <v>Luis Nolasco</v>
          </cell>
          <cell r="AC51" t="str">
            <v>S/F</v>
          </cell>
        </row>
        <row r="52">
          <cell r="A52" t="str">
            <v>G70WSA10</v>
          </cell>
          <cell r="B52" t="str">
            <v>Esmalte Litográfico Blanco Cinco Molinos</v>
          </cell>
          <cell r="C52" t="str">
            <v>Interior</v>
          </cell>
          <cell r="D52" t="str">
            <v>Hojalata</v>
          </cell>
          <cell r="E52" t="str">
            <v>Limpieza con Solvente</v>
          </cell>
          <cell r="F52" t="str">
            <v>Ninguno</v>
          </cell>
          <cell r="G52" t="str">
            <v>10.15 Lbs/Gl</v>
          </cell>
          <cell r="H52" t="str">
            <v>38.32%</v>
          </cell>
          <cell r="I52" t="str">
            <v>61.76%</v>
          </cell>
          <cell r="J52" t="str">
            <v>38.75%</v>
          </cell>
          <cell r="K52" t="str">
            <v>27.78%</v>
          </cell>
          <cell r="L52" t="str">
            <v>41.07%</v>
          </cell>
          <cell r="M52" t="str">
            <v>70"-80" Copa Ford #4</v>
          </cell>
          <cell r="N52" t="str">
            <v>Rodillo</v>
          </cell>
          <cell r="O52" t="str">
            <v>70"-80" Copa Ford #4</v>
          </cell>
          <cell r="P52" t="str">
            <v>Ninguno</v>
          </cell>
          <cell r="Q52" t="str">
            <v>-</v>
          </cell>
          <cell r="R52" t="str">
            <v>1.0 mills</v>
          </cell>
          <cell r="S52" t="str">
            <v>-</v>
          </cell>
          <cell r="T52" t="str">
            <v>15' a 360°F</v>
          </cell>
          <cell r="U52" t="str">
            <v>-</v>
          </cell>
          <cell r="V52" t="str">
            <v>80 Minimo</v>
          </cell>
          <cell r="W52" t="str">
            <v>HB</v>
          </cell>
          <cell r="X52" t="str">
            <v>12 meses</v>
          </cell>
          <cell r="Y52" t="str">
            <v>CORLASA</v>
          </cell>
          <cell r="Z52" t="str">
            <v>Litografía</v>
          </cell>
          <cell r="AA52" t="str">
            <v>-</v>
          </cell>
          <cell r="AB52" t="str">
            <v>-</v>
          </cell>
          <cell r="AC52" t="str">
            <v>S/F</v>
          </cell>
        </row>
        <row r="53">
          <cell r="A53" t="str">
            <v>G70WSA6-P</v>
          </cell>
          <cell r="B53" t="str">
            <v>Roller Coating White</v>
          </cell>
          <cell r="C53" t="str">
            <v>Interior</v>
          </cell>
          <cell r="D53" t="str">
            <v>Hojalata</v>
          </cell>
          <cell r="E53" t="str">
            <v>Limpieza con Solvente</v>
          </cell>
          <cell r="F53" t="str">
            <v>Ninguno</v>
          </cell>
          <cell r="G53" t="str">
            <v>10.72 Lbs/Gl</v>
          </cell>
          <cell r="H53" t="str">
            <v>34.50%</v>
          </cell>
          <cell r="I53" t="str">
            <v>60.47%</v>
          </cell>
          <cell r="J53" t="str">
            <v>39.60%</v>
          </cell>
          <cell r="K53" t="str">
            <v>20.03%</v>
          </cell>
          <cell r="L53" t="str">
            <v>53.32%</v>
          </cell>
          <cell r="M53" t="str">
            <v>60"-80" Copa Ford #4</v>
          </cell>
          <cell r="N53" t="str">
            <v>Rodillo</v>
          </cell>
          <cell r="O53" t="str">
            <v>60"-80" Copa Ford #4</v>
          </cell>
          <cell r="P53" t="str">
            <v>Ninguno</v>
          </cell>
          <cell r="Q53" t="str">
            <v>-</v>
          </cell>
          <cell r="R53" t="str">
            <v>1.0 mills</v>
          </cell>
          <cell r="S53" t="str">
            <v>-</v>
          </cell>
          <cell r="T53" t="str">
            <v>18' a 300°F</v>
          </cell>
          <cell r="U53" t="str">
            <v>-</v>
          </cell>
          <cell r="V53" t="str">
            <v>80 Minimo</v>
          </cell>
          <cell r="W53" t="str">
            <v>HB</v>
          </cell>
          <cell r="X53" t="str">
            <v>12 meses</v>
          </cell>
          <cell r="Y53" t="str">
            <v>CORLASA</v>
          </cell>
          <cell r="Z53" t="str">
            <v>Litografía</v>
          </cell>
          <cell r="AA53" t="str">
            <v>-</v>
          </cell>
          <cell r="AB53" t="str">
            <v>-</v>
          </cell>
          <cell r="AC53" t="str">
            <v>S/F</v>
          </cell>
        </row>
        <row r="54">
          <cell r="A54" t="str">
            <v>G70WSA9</v>
          </cell>
          <cell r="B54" t="str">
            <v>Roller Coating Special White</v>
          </cell>
          <cell r="C54" t="str">
            <v>Interior</v>
          </cell>
          <cell r="D54" t="str">
            <v>Hojalata</v>
          </cell>
          <cell r="E54" t="str">
            <v>Limpia con Solvente</v>
          </cell>
          <cell r="F54" t="str">
            <v>Ninguno</v>
          </cell>
          <cell r="G54" t="str">
            <v>10.68 Lbs/Gl</v>
          </cell>
          <cell r="H54" t="str">
            <v>35%</v>
          </cell>
          <cell r="I54" t="str">
            <v>61.46%</v>
          </cell>
          <cell r="J54" t="str">
            <v>40.37%</v>
          </cell>
          <cell r="K54" t="str">
            <v>27.55%</v>
          </cell>
          <cell r="L54" t="str">
            <v>40.95%</v>
          </cell>
          <cell r="M54" t="str">
            <v>70"-80" Copa Ford #4</v>
          </cell>
          <cell r="N54" t="str">
            <v>Rodillo</v>
          </cell>
          <cell r="O54" t="str">
            <v>70"-80" Copa Ford #4</v>
          </cell>
          <cell r="P54" t="str">
            <v>Ninguno</v>
          </cell>
          <cell r="Q54" t="str">
            <v>-</v>
          </cell>
          <cell r="R54" t="str">
            <v>1 mills</v>
          </cell>
          <cell r="S54" t="str">
            <v>-</v>
          </cell>
          <cell r="T54" t="str">
            <v>15' a 360°F</v>
          </cell>
          <cell r="U54" t="str">
            <v>983.36 Pies Cuadrados/Gl</v>
          </cell>
          <cell r="V54" t="str">
            <v>+80</v>
          </cell>
          <cell r="W54" t="str">
            <v>-</v>
          </cell>
          <cell r="X54" t="str">
            <v>12 meses</v>
          </cell>
          <cell r="Y54" t="str">
            <v>Central de Empaques, Didema Guatemala</v>
          </cell>
          <cell r="Z54" t="str">
            <v>Corcholatas y Hojalatas</v>
          </cell>
          <cell r="AA54" t="str">
            <v>-</v>
          </cell>
          <cell r="AB54" t="str">
            <v>-</v>
          </cell>
          <cell r="AC54" t="str">
            <v>S/F</v>
          </cell>
        </row>
        <row r="55">
          <cell r="A55" t="str">
            <v>G72WSA1</v>
          </cell>
          <cell r="B55" t="str">
            <v>Collapsible Tube Enamel White</v>
          </cell>
          <cell r="C55" t="str">
            <v>Interior</v>
          </cell>
          <cell r="D55" t="str">
            <v>Tubos de Estaño y Plomo</v>
          </cell>
          <cell r="E55" t="str">
            <v>Limpieza</v>
          </cell>
          <cell r="F55" t="str">
            <v>Ninguno</v>
          </cell>
          <cell r="G55" t="str">
            <v>10.65 Lbs/Gl</v>
          </cell>
          <cell r="H55" t="str">
            <v>30%</v>
          </cell>
          <cell r="I55" t="str">
            <v>53.80%</v>
          </cell>
          <cell r="J55" t="str">
            <v>33.80%</v>
          </cell>
          <cell r="K55" t="str">
            <v>27.70%</v>
          </cell>
          <cell r="L55" t="str">
            <v>33.89%</v>
          </cell>
          <cell r="M55" t="str">
            <v>130-135 KU</v>
          </cell>
          <cell r="N55" t="str">
            <v>Especial</v>
          </cell>
          <cell r="O55" t="str">
            <v>130-135 KU</v>
          </cell>
          <cell r="P55" t="str">
            <v>Ninguno</v>
          </cell>
          <cell r="Q55" t="str">
            <v>Ninguno</v>
          </cell>
          <cell r="R55" t="str">
            <v>-</v>
          </cell>
          <cell r="S55" t="str">
            <v>-</v>
          </cell>
          <cell r="T55" t="str">
            <v>6 Min a 300°F</v>
          </cell>
          <cell r="U55" t="str">
            <v>-</v>
          </cell>
          <cell r="V55" t="str">
            <v>80 Minimo</v>
          </cell>
          <cell r="W55" t="str">
            <v>F</v>
          </cell>
          <cell r="X55" t="str">
            <v>12 meses</v>
          </cell>
          <cell r="Y55" t="str">
            <v>Colgate Palmolive</v>
          </cell>
          <cell r="Z55" t="str">
            <v>Pasta Dental</v>
          </cell>
          <cell r="AA55" t="str">
            <v>-</v>
          </cell>
          <cell r="AB55" t="str">
            <v>-</v>
          </cell>
          <cell r="AC55" t="str">
            <v>S/F</v>
          </cell>
        </row>
        <row r="56">
          <cell r="A56" t="str">
            <v>G78ASA4</v>
          </cell>
          <cell r="B56" t="str">
            <v>Esmalte Horneable Acrilico Gris Claro Martillado</v>
          </cell>
          <cell r="C56" t="str">
            <v>Interior-Exterior Limitada</v>
          </cell>
          <cell r="D56" t="str">
            <v>Hierro</v>
          </cell>
          <cell r="E56" t="str">
            <v>Limpieza Quimica y Fosfatizacion</v>
          </cell>
          <cell r="F56" t="str">
            <v>Acrilic Monobake White Primer (E68WSA4)</v>
          </cell>
          <cell r="G56" t="str">
            <v>9.77 Lbs/Gl</v>
          </cell>
          <cell r="H56" t="str">
            <v>26.6%</v>
          </cell>
          <cell r="I56" t="str">
            <v>57.65%</v>
          </cell>
          <cell r="J56" t="str">
            <v>42.30%</v>
          </cell>
          <cell r="K56" t="str">
            <v>20.75%</v>
          </cell>
          <cell r="L56" t="str">
            <v>38.13%</v>
          </cell>
          <cell r="M56" t="str">
            <v>180"-200" Copa Zanh #2</v>
          </cell>
          <cell r="N56" t="str">
            <v>Pistola</v>
          </cell>
          <cell r="O56" t="str">
            <v>28"-32" Zanh #2</v>
          </cell>
          <cell r="P56" t="str">
            <v>40-50%</v>
          </cell>
          <cell r="Q56" t="str">
            <v>R2K4         Industrial reducer</v>
          </cell>
          <cell r="R56" t="str">
            <v>1.3-1.5 mills con E68WSA4</v>
          </cell>
          <cell r="S56" t="str">
            <v>Al Horno</v>
          </cell>
          <cell r="T56" t="str">
            <v>15' a 370°F</v>
          </cell>
          <cell r="U56" t="str">
            <v>-</v>
          </cell>
          <cell r="V56" t="str">
            <v>90-95</v>
          </cell>
          <cell r="W56" t="str">
            <v>2H</v>
          </cell>
          <cell r="X56" t="str">
            <v>6 meses</v>
          </cell>
          <cell r="Y56" t="str">
            <v>PRADO S.A</v>
          </cell>
          <cell r="Z56" t="str">
            <v>Refrigeradoras,Lavadoras,Cocinas</v>
          </cell>
          <cell r="AA56" t="str">
            <v>-</v>
          </cell>
          <cell r="AB56" t="str">
            <v>-</v>
          </cell>
          <cell r="AC56" t="str">
            <v>S/F</v>
          </cell>
        </row>
        <row r="57">
          <cell r="A57" t="str">
            <v>G78ASA5</v>
          </cell>
          <cell r="B57" t="str">
            <v>Esmalte HorneableAcrílico Gris Oscuro Martillado</v>
          </cell>
          <cell r="C57" t="str">
            <v>Interior-Exterior Limitada</v>
          </cell>
          <cell r="D57" t="str">
            <v>Hierro</v>
          </cell>
          <cell r="E57" t="str">
            <v>Limpieza Quimica y Fosfatizacion</v>
          </cell>
          <cell r="F57" t="str">
            <v>Acrilic Monobake White Primer (E68WSA4)</v>
          </cell>
          <cell r="G57" t="str">
            <v>8.94 Lbs/Gl</v>
          </cell>
          <cell r="H57" t="str">
            <v>17.0%</v>
          </cell>
          <cell r="I57" t="str">
            <v>49.77%</v>
          </cell>
          <cell r="J57" t="str">
            <v>39.48%</v>
          </cell>
          <cell r="K57" t="str">
            <v>13.55%</v>
          </cell>
          <cell r="L57" t="str">
            <v>35.13%</v>
          </cell>
          <cell r="M57" t="str">
            <v>180"-200" Copa Zanh #2</v>
          </cell>
          <cell r="N57" t="str">
            <v>Pistola</v>
          </cell>
          <cell r="O57" t="str">
            <v>28"-32" Zanh #2</v>
          </cell>
          <cell r="P57" t="str">
            <v>40-50%</v>
          </cell>
          <cell r="Q57" t="str">
            <v>R2K4         Industrial reducer</v>
          </cell>
          <cell r="R57" t="str">
            <v>1.3-1.5 mills con E68WSA4</v>
          </cell>
          <cell r="S57" t="str">
            <v>Al Horno</v>
          </cell>
          <cell r="T57" t="str">
            <v>15' a 370°F</v>
          </cell>
          <cell r="U57" t="str">
            <v>-</v>
          </cell>
          <cell r="V57" t="str">
            <v>90-95</v>
          </cell>
          <cell r="W57" t="str">
            <v>2H</v>
          </cell>
          <cell r="X57" t="str">
            <v>6 meses</v>
          </cell>
          <cell r="Y57" t="str">
            <v>PRADO S.A</v>
          </cell>
          <cell r="Z57" t="str">
            <v>Refrigeradoras,Lavadoras,Cocinas</v>
          </cell>
          <cell r="AA57" t="str">
            <v>-</v>
          </cell>
          <cell r="AB57" t="str">
            <v>-</v>
          </cell>
          <cell r="AC57" t="str">
            <v>S/F</v>
          </cell>
        </row>
        <row r="58">
          <cell r="A58" t="str">
            <v>G78GSA11</v>
          </cell>
          <cell r="B58" t="str">
            <v>Esmalte Horneable Acrilico Verde Especial</v>
          </cell>
          <cell r="C58" t="str">
            <v>Interior-Exterior Limitada</v>
          </cell>
          <cell r="D58" t="str">
            <v>Lamina Electrogalvanizada</v>
          </cell>
          <cell r="E58" t="str">
            <v>Limpieza Adecuada con R2K4.</v>
          </cell>
          <cell r="F58" t="str">
            <v>Wash Primer Green (P60G2)</v>
          </cell>
          <cell r="G58" t="str">
            <v>8.65 Lbs/Gl</v>
          </cell>
          <cell r="H58" t="str">
            <v>13.37%</v>
          </cell>
          <cell r="I58" t="str">
            <v>45.50%</v>
          </cell>
          <cell r="J58" t="str">
            <v>40.46%</v>
          </cell>
          <cell r="K58" t="str">
            <v>11.22%</v>
          </cell>
          <cell r="L58" t="str">
            <v>32.61%</v>
          </cell>
          <cell r="M58" t="str">
            <v>100"-110" Copa Zanh #2</v>
          </cell>
          <cell r="N58" t="str">
            <v>Pistola Convencional o Elestrostática</v>
          </cell>
          <cell r="O58" t="str">
            <v>20"-25" Copa Zanh #2</v>
          </cell>
          <cell r="P58" t="str">
            <v>20-25%</v>
          </cell>
          <cell r="Q58" t="str">
            <v>Acrilic Baking Enamel Reducer (R7KSA9)</v>
          </cell>
          <cell r="R58" t="str">
            <v>1.0-1.2 mills</v>
          </cell>
          <cell r="S58" t="str">
            <v>5-10 min</v>
          </cell>
          <cell r="T58" t="str">
            <v>30' a 350°F ó 15' a 400°F</v>
          </cell>
          <cell r="U58" t="str">
            <v>1,357 Pies Cuadrados Por Galón</v>
          </cell>
          <cell r="V58" t="str">
            <v>90-95</v>
          </cell>
          <cell r="W58" t="str">
            <v>2H</v>
          </cell>
          <cell r="X58" t="str">
            <v>12 meses</v>
          </cell>
          <cell r="Y58" t="str">
            <v>INDECA S.A</v>
          </cell>
          <cell r="Z58" t="str">
            <v>Refrigeradoras.</v>
          </cell>
          <cell r="AA58" t="str">
            <v>-</v>
          </cell>
          <cell r="AB58" t="str">
            <v>-</v>
          </cell>
          <cell r="AC58" t="str">
            <v>S/F</v>
          </cell>
        </row>
        <row r="59">
          <cell r="A59" t="str">
            <v>G78GSA14</v>
          </cell>
          <cell r="B59" t="str">
            <v>Acrilic Baking Enamel Fresh Avocado Martillado</v>
          </cell>
          <cell r="C59" t="str">
            <v>Interior-Exterior Limitada</v>
          </cell>
          <cell r="D59" t="str">
            <v>Hierro</v>
          </cell>
          <cell r="E59" t="str">
            <v>Limpieza Quimica y Fosfatizacion</v>
          </cell>
          <cell r="F59" t="str">
            <v>Acrilic Monobake White Primer (E68WSA4)</v>
          </cell>
          <cell r="G59" t="str">
            <v>9.77 Lbs/Gl</v>
          </cell>
          <cell r="H59" t="str">
            <v>18.1%</v>
          </cell>
          <cell r="I59" t="str">
            <v>51.83%</v>
          </cell>
          <cell r="J59" t="str">
            <v>40.80%</v>
          </cell>
          <cell r="K59" t="str">
            <v>14.64%</v>
          </cell>
          <cell r="L59" t="str">
            <v>35.68%</v>
          </cell>
          <cell r="M59" t="str">
            <v>180"-200" Copa Zanh #2</v>
          </cell>
          <cell r="N59" t="str">
            <v>Pistola</v>
          </cell>
          <cell r="O59" t="str">
            <v>70"-80"</v>
          </cell>
          <cell r="P59" t="str">
            <v>30-40</v>
          </cell>
          <cell r="Q59" t="str">
            <v>R2K4         Industrial reducer</v>
          </cell>
          <cell r="R59" t="str">
            <v>1.3-1.5 mills con E68WSA4</v>
          </cell>
          <cell r="S59" t="str">
            <v>Al Horno</v>
          </cell>
          <cell r="T59" t="str">
            <v>15' a 370°F</v>
          </cell>
          <cell r="U59" t="str">
            <v>-</v>
          </cell>
          <cell r="V59" t="str">
            <v>90-95</v>
          </cell>
          <cell r="W59" t="str">
            <v>2H</v>
          </cell>
          <cell r="X59" t="str">
            <v>6 meses</v>
          </cell>
          <cell r="Y59" t="str">
            <v>PRADO S.A</v>
          </cell>
          <cell r="Z59" t="str">
            <v>Refrigeradoras,Lavadoras,Cocinas</v>
          </cell>
          <cell r="AA59" t="str">
            <v>-</v>
          </cell>
          <cell r="AB59" t="str">
            <v>-</v>
          </cell>
          <cell r="AC59" t="str">
            <v>S/F</v>
          </cell>
        </row>
        <row r="60">
          <cell r="A60" t="str">
            <v>G78HSA4</v>
          </cell>
          <cell r="B60" t="str">
            <v>Esmalte Horneable Acrilico Beige Oscuro Martillado</v>
          </cell>
          <cell r="C60" t="str">
            <v>Interior-Exterior Limitada</v>
          </cell>
          <cell r="D60" t="str">
            <v>Hierro</v>
          </cell>
          <cell r="E60" t="str">
            <v>Limpieza Quimica y Fosfatizacion</v>
          </cell>
          <cell r="F60" t="str">
            <v>Acrilic Monobake White Primer (E68WSA4)</v>
          </cell>
          <cell r="G60" t="str">
            <v>9.77 Lbs/Gl</v>
          </cell>
          <cell r="H60" t="str">
            <v>26.6%</v>
          </cell>
          <cell r="I60" t="str">
            <v>57.65%</v>
          </cell>
          <cell r="J60" t="str">
            <v>42.30%</v>
          </cell>
          <cell r="K60" t="str">
            <v>20.75%</v>
          </cell>
          <cell r="L60" t="str">
            <v>38.13%</v>
          </cell>
          <cell r="M60" t="str">
            <v>180"-200" Copa Zanh #2</v>
          </cell>
          <cell r="N60" t="str">
            <v>Pistola</v>
          </cell>
          <cell r="O60" t="str">
            <v>28"-32" Zanh #2</v>
          </cell>
          <cell r="P60" t="str">
            <v>40-50%</v>
          </cell>
          <cell r="Q60" t="str">
            <v>R2K4         Industrial reducer</v>
          </cell>
          <cell r="R60" t="str">
            <v>1.3-1.5 mills con E68WSA4</v>
          </cell>
          <cell r="S60" t="str">
            <v>Al Horno</v>
          </cell>
          <cell r="T60" t="str">
            <v>15' a 370°F</v>
          </cell>
          <cell r="U60" t="str">
            <v>-</v>
          </cell>
          <cell r="V60" t="str">
            <v>90-95</v>
          </cell>
          <cell r="W60" t="str">
            <v>2H</v>
          </cell>
          <cell r="X60" t="str">
            <v>6 meses</v>
          </cell>
          <cell r="Y60" t="str">
            <v>PRADO S.A</v>
          </cell>
          <cell r="Z60" t="str">
            <v>Refrigeradoras,Lavadoras,Cocinas</v>
          </cell>
          <cell r="AA60" t="str">
            <v>-</v>
          </cell>
          <cell r="AB60" t="str">
            <v>-</v>
          </cell>
          <cell r="AC60" t="str">
            <v>S/F</v>
          </cell>
        </row>
        <row r="61">
          <cell r="A61" t="str">
            <v>G78NSA18</v>
          </cell>
          <cell r="B61" t="str">
            <v>Acrylic Baking Enamel Oropel</v>
          </cell>
          <cell r="C61" t="str">
            <v>Interior-Exterior</v>
          </cell>
          <cell r="D61" t="str">
            <v>Marcos de Aluminio para Ventanas</v>
          </cell>
          <cell r="E61" t="str">
            <v>-</v>
          </cell>
          <cell r="F61" t="str">
            <v>E41A4</v>
          </cell>
          <cell r="G61" t="str">
            <v>7.96 Lbs/Gl</v>
          </cell>
          <cell r="H61" t="str">
            <v>-</v>
          </cell>
          <cell r="I61" t="str">
            <v>44.13%</v>
          </cell>
          <cell r="J61" t="str">
            <v>-</v>
          </cell>
          <cell r="K61" t="str">
            <v>-</v>
          </cell>
          <cell r="L61" t="str">
            <v>33.50%</v>
          </cell>
          <cell r="M61" t="str">
            <v>80"-90" Copa Zanh #2</v>
          </cell>
          <cell r="N61" t="str">
            <v>Pistola</v>
          </cell>
          <cell r="O61" t="str">
            <v>35"-40" Copa Zanh #2</v>
          </cell>
          <cell r="P61" t="str">
            <v>25%</v>
          </cell>
          <cell r="Q61" t="str">
            <v>Acrilic Baking Enamel Reducer (R7KSA9)</v>
          </cell>
          <cell r="R61" t="str">
            <v>1.5-2 mills</v>
          </cell>
          <cell r="S61" t="str">
            <v>-</v>
          </cell>
          <cell r="T61" t="str">
            <v>15' a 400°F</v>
          </cell>
          <cell r="U61" t="str">
            <v>2,800 Pies Cuadrados/Gl</v>
          </cell>
          <cell r="V61" t="str">
            <v>+80</v>
          </cell>
          <cell r="W61" t="str">
            <v>3H</v>
          </cell>
          <cell r="X61" t="str">
            <v>12 meses</v>
          </cell>
          <cell r="Y61" t="str">
            <v>CEFESA Industrial</v>
          </cell>
          <cell r="Z61" t="str">
            <v>Estructuras de Aluminio para Ventanas</v>
          </cell>
          <cell r="AA61" t="str">
            <v>-</v>
          </cell>
          <cell r="AB61" t="str">
            <v>-</v>
          </cell>
          <cell r="AC61" t="str">
            <v>S/F</v>
          </cell>
        </row>
        <row r="62">
          <cell r="A62" t="str">
            <v>G78NSA24</v>
          </cell>
          <cell r="B62" t="str">
            <v>Esmalte Horneable Acrilico Café Especial</v>
          </cell>
          <cell r="C62" t="str">
            <v>Interior-Exterior Limitada</v>
          </cell>
          <cell r="D62" t="str">
            <v>Lamina Electrogalvanizada</v>
          </cell>
          <cell r="E62" t="str">
            <v>Limpieza Adecuada Con Industrial Reducer R2K4</v>
          </cell>
          <cell r="F62" t="str">
            <v>Wash Primer Green (P60G2)</v>
          </cell>
          <cell r="G62" t="str">
            <v>8.65 Lbs/Gl</v>
          </cell>
          <cell r="H62" t="str">
            <v>12.30%</v>
          </cell>
          <cell r="I62" t="str">
            <v>45.02%</v>
          </cell>
          <cell r="J62" t="str">
            <v>39.54%</v>
          </cell>
          <cell r="K62" t="str">
            <v>10.0%</v>
          </cell>
          <cell r="L62" t="str">
            <v>31.34%</v>
          </cell>
          <cell r="M62" t="str">
            <v>100"-110" Copa Zanh #2</v>
          </cell>
          <cell r="N62" t="str">
            <v>Pistola Convencional o Elestrostática</v>
          </cell>
          <cell r="O62" t="str">
            <v>20"-25" Copa Zanh #2</v>
          </cell>
          <cell r="P62" t="str">
            <v>20-25%</v>
          </cell>
          <cell r="Q62" t="str">
            <v>Acrilic Baking Enamel Reducer (R7KSA9)</v>
          </cell>
          <cell r="R62" t="str">
            <v>1.0-1.2 mills</v>
          </cell>
          <cell r="S62" t="str">
            <v>5-10 minutos</v>
          </cell>
          <cell r="T62" t="str">
            <v>30' a 350°F ó 15' a 400 °F</v>
          </cell>
          <cell r="U62" t="str">
            <v>1197 Pies Cuadrados por Galón.</v>
          </cell>
          <cell r="V62" t="str">
            <v>90-95</v>
          </cell>
          <cell r="W62" t="str">
            <v>2H</v>
          </cell>
          <cell r="X62" t="str">
            <v>12 meses</v>
          </cell>
          <cell r="Y62" t="str">
            <v>INDECA S.A</v>
          </cell>
          <cell r="Z62" t="str">
            <v>Refrigeradoras</v>
          </cell>
          <cell r="AA62" t="str">
            <v>-</v>
          </cell>
          <cell r="AB62" t="str">
            <v>-</v>
          </cell>
          <cell r="AC62" t="str">
            <v>S/F</v>
          </cell>
        </row>
        <row r="63">
          <cell r="A63" t="str">
            <v>G78NSA28</v>
          </cell>
          <cell r="B63" t="str">
            <v>Acrylic Enamel Cofee Martillado</v>
          </cell>
          <cell r="C63" t="str">
            <v>Interior-Exterior Limitada</v>
          </cell>
          <cell r="D63" t="str">
            <v>Hierro</v>
          </cell>
          <cell r="E63" t="str">
            <v>Limpieza Quimica y Fosfatizacion</v>
          </cell>
          <cell r="F63" t="str">
            <v>Acrilic Monobake White Primer (E68WSA4)</v>
          </cell>
          <cell r="G63" t="str">
            <v>8.40 Lbs/Gl</v>
          </cell>
          <cell r="H63" t="str">
            <v>8.9%</v>
          </cell>
          <cell r="I63" t="str">
            <v>45.15%</v>
          </cell>
          <cell r="J63" t="str">
            <v>24.5%</v>
          </cell>
          <cell r="K63" t="str">
            <v>5.35%</v>
          </cell>
          <cell r="L63" t="str">
            <v>38.32%</v>
          </cell>
          <cell r="M63" t="str">
            <v>180"-200" Copa Zanh #2</v>
          </cell>
          <cell r="N63" t="str">
            <v>Pistola</v>
          </cell>
          <cell r="O63" t="str">
            <v>28"-32" Zanh #2</v>
          </cell>
          <cell r="P63" t="str">
            <v>30-40%</v>
          </cell>
          <cell r="Q63" t="str">
            <v>R2K4         Industrial reducer</v>
          </cell>
          <cell r="R63" t="str">
            <v>1.3-1.5 mills con E68WSA4</v>
          </cell>
          <cell r="S63" t="str">
            <v>Al Horno</v>
          </cell>
          <cell r="T63" t="str">
            <v>15' a 370°F</v>
          </cell>
          <cell r="U63" t="str">
            <v>-</v>
          </cell>
          <cell r="V63" t="str">
            <v>90-95</v>
          </cell>
          <cell r="W63" t="str">
            <v>2H</v>
          </cell>
          <cell r="X63" t="str">
            <v>6 meses</v>
          </cell>
          <cell r="Y63" t="str">
            <v>PRADO S.A</v>
          </cell>
          <cell r="Z63" t="str">
            <v>Refrigeradoras,Lavadoras,Cocinas</v>
          </cell>
          <cell r="AA63" t="str">
            <v>-</v>
          </cell>
          <cell r="AB63" t="str">
            <v>-</v>
          </cell>
          <cell r="AC63" t="str">
            <v>S/F</v>
          </cell>
        </row>
        <row r="64">
          <cell r="A64" t="str">
            <v>G78NSA29</v>
          </cell>
          <cell r="B64" t="str">
            <v>Esmalte Horneable Acrilico Café de Mueble Martillado</v>
          </cell>
          <cell r="C64" t="str">
            <v>Interior-Exterior Limitada</v>
          </cell>
          <cell r="D64" t="str">
            <v>Hierro</v>
          </cell>
          <cell r="E64" t="str">
            <v>Limpieza Quimica y Fosfatizacion</v>
          </cell>
          <cell r="F64" t="str">
            <v>Acrilic Monobake White Primer (E68WSA4)</v>
          </cell>
          <cell r="G64" t="str">
            <v>9.31 Lbs/Gl</v>
          </cell>
          <cell r="H64" t="str">
            <v>21.32%</v>
          </cell>
          <cell r="I64" t="str">
            <v>52.36%</v>
          </cell>
          <cell r="J64" t="str">
            <v>39.96%</v>
          </cell>
          <cell r="K64" t="str">
            <v>16.60%</v>
          </cell>
          <cell r="L64" t="str">
            <v>36.45%</v>
          </cell>
          <cell r="M64" t="str">
            <v>180"-200" Copa Zanh #2</v>
          </cell>
          <cell r="N64" t="str">
            <v>Pistola</v>
          </cell>
          <cell r="O64" t="str">
            <v>180"-200" Copa Zanh #2</v>
          </cell>
          <cell r="P64" t="str">
            <v>40-50%</v>
          </cell>
          <cell r="Q64" t="str">
            <v>R2K4         Industrial reducer</v>
          </cell>
          <cell r="R64" t="str">
            <v>1.3-1.5 mills con E68WSA4</v>
          </cell>
          <cell r="S64" t="str">
            <v>Al Horno</v>
          </cell>
          <cell r="T64" t="str">
            <v>15' a 370°F</v>
          </cell>
          <cell r="U64" t="str">
            <v>-</v>
          </cell>
          <cell r="V64" t="str">
            <v>90-95</v>
          </cell>
          <cell r="W64" t="str">
            <v>2H</v>
          </cell>
          <cell r="X64" t="str">
            <v>6 meses</v>
          </cell>
          <cell r="Y64" t="str">
            <v>PRADO S.A</v>
          </cell>
          <cell r="Z64" t="str">
            <v>Refrigeradoras,Lavadoras,Cocinas</v>
          </cell>
          <cell r="AA64" t="str">
            <v>-</v>
          </cell>
          <cell r="AB64" t="str">
            <v>-</v>
          </cell>
          <cell r="AC64" t="str">
            <v>S/F</v>
          </cell>
        </row>
        <row r="65">
          <cell r="A65" t="str">
            <v>G78WSA10</v>
          </cell>
          <cell r="B65" t="str">
            <v>Esmalte Horneable Acrilico Blanco Almendra Martillado</v>
          </cell>
          <cell r="C65" t="str">
            <v>Interior-Exterior Limitada</v>
          </cell>
          <cell r="D65" t="str">
            <v>Hierro</v>
          </cell>
          <cell r="E65" t="str">
            <v>Limpieza Quimica y Fosfatizacion</v>
          </cell>
          <cell r="F65" t="str">
            <v>Acrilic Monobake White Primer (E68WSA4)</v>
          </cell>
          <cell r="G65" t="str">
            <v>9.77 Lbs/Gl</v>
          </cell>
          <cell r="H65" t="str">
            <v>26.6%</v>
          </cell>
          <cell r="I65" t="str">
            <v>57.65%</v>
          </cell>
          <cell r="J65" t="str">
            <v>42.30%</v>
          </cell>
          <cell r="K65" t="str">
            <v>20.75%</v>
          </cell>
          <cell r="L65" t="str">
            <v>38.13%</v>
          </cell>
          <cell r="M65" t="str">
            <v>180"-200" Copa Zanh #2</v>
          </cell>
          <cell r="N65" t="str">
            <v>Pistola</v>
          </cell>
          <cell r="O65" t="str">
            <v>28"-32" Zanh #2</v>
          </cell>
          <cell r="P65" t="str">
            <v>40-50%</v>
          </cell>
          <cell r="Q65" t="str">
            <v>R2K4         Industrial reducer</v>
          </cell>
          <cell r="R65" t="str">
            <v>1.3-1.5 mills con E68WSA4</v>
          </cell>
          <cell r="S65" t="str">
            <v>Al Horno</v>
          </cell>
          <cell r="T65" t="str">
            <v>15' a 370°F</v>
          </cell>
          <cell r="U65" t="str">
            <v>-</v>
          </cell>
          <cell r="V65" t="str">
            <v>90-95</v>
          </cell>
          <cell r="W65" t="str">
            <v>2H</v>
          </cell>
          <cell r="X65" t="str">
            <v>6 meses</v>
          </cell>
          <cell r="Y65" t="str">
            <v>PRADO S.A</v>
          </cell>
          <cell r="Z65" t="str">
            <v>Refrigeradoras,Lavadoras,Cocinas</v>
          </cell>
          <cell r="AA65" t="str">
            <v>-</v>
          </cell>
          <cell r="AB65" t="str">
            <v>-</v>
          </cell>
          <cell r="AC65" t="str">
            <v>S/F</v>
          </cell>
        </row>
        <row r="66">
          <cell r="A66" t="str">
            <v>G78WSA11 (1)</v>
          </cell>
          <cell r="B66" t="str">
            <v>Esmalte Horneable Acrilico Blanco  Almendra</v>
          </cell>
          <cell r="C66" t="str">
            <v>Interior-Exterior Limitada</v>
          </cell>
          <cell r="D66" t="str">
            <v>Hierro</v>
          </cell>
          <cell r="E66" t="str">
            <v>Limpieza Quimica y Fosfatizacion</v>
          </cell>
          <cell r="F66" t="str">
            <v>Acrilic Monobake White Primer (E68WSA4)</v>
          </cell>
          <cell r="G66" t="str">
            <v>9.77 Lbs/Gl</v>
          </cell>
          <cell r="H66" t="str">
            <v>26.6%</v>
          </cell>
          <cell r="I66" t="str">
            <v>57.65%</v>
          </cell>
          <cell r="J66" t="str">
            <v>42.30%</v>
          </cell>
          <cell r="K66" t="str">
            <v>20.75%</v>
          </cell>
          <cell r="L66" t="str">
            <v>38.13%</v>
          </cell>
          <cell r="M66" t="str">
            <v>180"-200" Copa Zanh #2</v>
          </cell>
          <cell r="N66" t="str">
            <v>Pistola</v>
          </cell>
          <cell r="O66" t="str">
            <v>28"-32" Copa Zanh #2</v>
          </cell>
          <cell r="P66" t="str">
            <v>40-50%</v>
          </cell>
          <cell r="Q66" t="str">
            <v>R2K4         Industrial reducer</v>
          </cell>
          <cell r="R66" t="str">
            <v>1.3-1.5 mills con E68WSA4</v>
          </cell>
          <cell r="S66" t="str">
            <v>Al Horno</v>
          </cell>
          <cell r="T66" t="str">
            <v>15' a 370°F</v>
          </cell>
          <cell r="U66" t="str">
            <v>-</v>
          </cell>
          <cell r="V66" t="str">
            <v>90-95</v>
          </cell>
          <cell r="W66" t="str">
            <v>2H</v>
          </cell>
          <cell r="X66" t="str">
            <v>6 meses</v>
          </cell>
          <cell r="Y66" t="str">
            <v>PRADO S.A</v>
          </cell>
          <cell r="Z66" t="str">
            <v>Refrigeradoras,Lavadoras,Cocinas</v>
          </cell>
          <cell r="AA66" t="str">
            <v>-</v>
          </cell>
          <cell r="AB66" t="str">
            <v>-</v>
          </cell>
          <cell r="AC66" t="str">
            <v>S/F</v>
          </cell>
        </row>
        <row r="67">
          <cell r="A67" t="str">
            <v>G78WSA6</v>
          </cell>
          <cell r="B67" t="str">
            <v xml:space="preserve">Esmalte Horneable Acrilico Blanco  </v>
          </cell>
          <cell r="C67" t="str">
            <v>Interior-Exterior Limitada</v>
          </cell>
          <cell r="D67" t="str">
            <v>Hierro</v>
          </cell>
          <cell r="E67" t="str">
            <v>Limpieza Quimica y Fosfatizacion</v>
          </cell>
          <cell r="F67" t="str">
            <v>Acrilic Monobake White Primer (E68WSA4)</v>
          </cell>
          <cell r="G67" t="str">
            <v>9.77 Lbs/Gl</v>
          </cell>
          <cell r="H67" t="str">
            <v>26.6%</v>
          </cell>
          <cell r="I67" t="str">
            <v>57.65%</v>
          </cell>
          <cell r="J67" t="str">
            <v>42.30%</v>
          </cell>
          <cell r="K67" t="str">
            <v>20.75%</v>
          </cell>
          <cell r="L67" t="str">
            <v>38.13%</v>
          </cell>
          <cell r="M67" t="str">
            <v>180"-200" Copa Zanh #2</v>
          </cell>
          <cell r="N67" t="str">
            <v>Pistola</v>
          </cell>
          <cell r="O67" t="str">
            <v>28"-32" Copa Zanh #2</v>
          </cell>
          <cell r="P67" t="str">
            <v>40-50%</v>
          </cell>
          <cell r="Q67" t="str">
            <v>R2K4         Industrial reducer</v>
          </cell>
          <cell r="R67" t="str">
            <v>1.3-1.5 mills con E68WSA4</v>
          </cell>
          <cell r="S67" t="str">
            <v>Al Horno</v>
          </cell>
          <cell r="T67" t="str">
            <v>15' a 370°F</v>
          </cell>
          <cell r="U67" t="str">
            <v xml:space="preserve">37.87 metros cuadrados por galon a una 1.5 MILS de pulgada </v>
          </cell>
          <cell r="V67" t="str">
            <v>90-95</v>
          </cell>
          <cell r="W67" t="str">
            <v>2H</v>
          </cell>
          <cell r="X67" t="str">
            <v>6 meses</v>
          </cell>
          <cell r="Y67" t="str">
            <v>PRADO S.A</v>
          </cell>
          <cell r="Z67" t="str">
            <v>Refrigeradoras,Lavadoras,Cocinas</v>
          </cell>
          <cell r="AA67" t="str">
            <v>VOC=4.14 LBS/GALON</v>
          </cell>
          <cell r="AB67" t="str">
            <v>-</v>
          </cell>
          <cell r="AC67" t="str">
            <v>S/F</v>
          </cell>
        </row>
        <row r="68">
          <cell r="A68" t="str">
            <v>G78WSA8</v>
          </cell>
          <cell r="B68" t="str">
            <v>Esmalte Horneable Acrilico Blanco Especial</v>
          </cell>
          <cell r="C68" t="str">
            <v>Interior-Exterior Limitada</v>
          </cell>
          <cell r="D68" t="str">
            <v>Lamina Electrogalvanizada</v>
          </cell>
          <cell r="E68" t="str">
            <v>Limpieza Adecuada Con Industrial Reducer R2K4</v>
          </cell>
          <cell r="F68" t="str">
            <v>Wash Primer Green (P60G2)</v>
          </cell>
          <cell r="G68" t="str">
            <v>9.82 Lbs/Gl</v>
          </cell>
          <cell r="H68" t="str">
            <v>26.49%</v>
          </cell>
          <cell r="I68" t="str">
            <v>55.02%</v>
          </cell>
          <cell r="J68" t="str">
            <v>40.44%</v>
          </cell>
          <cell r="K68" t="str">
            <v>21.10%</v>
          </cell>
          <cell r="L68" t="str">
            <v>35.6%</v>
          </cell>
          <cell r="M68" t="str">
            <v>100"-110" Copa Zanh #2</v>
          </cell>
          <cell r="N68" t="str">
            <v>Pistola Convencional o Elestrostática</v>
          </cell>
          <cell r="O68" t="str">
            <v>20"-25" Copa Zanh #2</v>
          </cell>
          <cell r="P68" t="str">
            <v>20-25%</v>
          </cell>
          <cell r="Q68" t="str">
            <v>Acrilic Baking Enamel Reducer (R7KSA9)</v>
          </cell>
          <cell r="R68" t="str">
            <v>1.0-1.2 mills</v>
          </cell>
          <cell r="S68" t="str">
            <v>5-10 min</v>
          </cell>
          <cell r="T68" t="str">
            <v>30' a 350°F ó 15' a 400°F</v>
          </cell>
          <cell r="U68" t="str">
            <v>814 Pies Cuadrados/Gl</v>
          </cell>
          <cell r="V68" t="str">
            <v>90-95</v>
          </cell>
          <cell r="W68" t="str">
            <v>2H</v>
          </cell>
          <cell r="X68" t="str">
            <v>12 meses</v>
          </cell>
          <cell r="Y68" t="str">
            <v>INDECA S.A</v>
          </cell>
          <cell r="Z68" t="str">
            <v>Refrigeradoras.</v>
          </cell>
          <cell r="AA68" t="str">
            <v>-</v>
          </cell>
          <cell r="AB68" t="str">
            <v>-</v>
          </cell>
          <cell r="AC68" t="str">
            <v>S/F</v>
          </cell>
        </row>
        <row r="69">
          <cell r="A69" t="str">
            <v>G78YSA10</v>
          </cell>
          <cell r="B69" t="str">
            <v>Acrylic Baking Enamel Harvest Wheat Martillado</v>
          </cell>
          <cell r="C69" t="str">
            <v>Interior-Exterior Limitada</v>
          </cell>
          <cell r="D69" t="str">
            <v>Hierro</v>
          </cell>
          <cell r="E69" t="str">
            <v>Limpieza Quimica y Fosfatizacion</v>
          </cell>
          <cell r="F69" t="str">
            <v>Acrilic Monobake White Primer (E68WSA4)</v>
          </cell>
          <cell r="G69" t="str">
            <v>8.18 Lbs/Gl</v>
          </cell>
          <cell r="H69" t="str">
            <v>19.7%</v>
          </cell>
          <cell r="I69" t="str">
            <v>52.82%</v>
          </cell>
          <cell r="J69" t="str">
            <v>41.3%</v>
          </cell>
          <cell r="K69" t="str">
            <v>15.15%</v>
          </cell>
          <cell r="L69" t="str">
            <v>35.77%</v>
          </cell>
          <cell r="M69" t="str">
            <v>180"-200" Copa Zanh #2</v>
          </cell>
          <cell r="N69" t="str">
            <v>Pistola</v>
          </cell>
          <cell r="O69" t="str">
            <v>28"-32" Zanh #2</v>
          </cell>
          <cell r="P69" t="str">
            <v>30-40%</v>
          </cell>
          <cell r="Q69" t="str">
            <v>R2K4         Industrial reducer</v>
          </cell>
          <cell r="R69" t="str">
            <v>1.3-1.5 mills con E68WSA4</v>
          </cell>
          <cell r="S69" t="str">
            <v>Al Horno</v>
          </cell>
          <cell r="T69" t="str">
            <v>15' a 370°F</v>
          </cell>
          <cell r="U69" t="str">
            <v>-</v>
          </cell>
          <cell r="V69" t="str">
            <v>90-95</v>
          </cell>
          <cell r="W69" t="str">
            <v>2H</v>
          </cell>
          <cell r="X69" t="str">
            <v>6 meses</v>
          </cell>
          <cell r="Y69" t="str">
            <v>PRADO S.A</v>
          </cell>
          <cell r="Z69" t="str">
            <v>Refrigeradoras,Lavadoras,Cocinas</v>
          </cell>
          <cell r="AA69" t="str">
            <v>-</v>
          </cell>
          <cell r="AB69" t="str">
            <v>-</v>
          </cell>
          <cell r="AC69" t="str">
            <v>S/F</v>
          </cell>
        </row>
        <row r="70">
          <cell r="A70" t="str">
            <v>G78YSA8</v>
          </cell>
          <cell r="B70" t="str">
            <v>Esmalte Horneable Acrilico Amarillo Especial</v>
          </cell>
          <cell r="C70" t="str">
            <v>Interior-Exterior Limitada</v>
          </cell>
          <cell r="D70" t="str">
            <v>Lamina Electrogalvanizada</v>
          </cell>
          <cell r="E70" t="str">
            <v>Limpieza Adecuada Con Industrial Reducer R2K4</v>
          </cell>
          <cell r="F70" t="str">
            <v>Wash Primer Green (P60G2)</v>
          </cell>
          <cell r="G70" t="str">
            <v>8.89 Lbs/Gl</v>
          </cell>
          <cell r="H70" t="str">
            <v>15.88%</v>
          </cell>
          <cell r="I70" t="str">
            <v>45.47%</v>
          </cell>
          <cell r="J70" t="str">
            <v>38.25%</v>
          </cell>
          <cell r="K70" t="str">
            <v>12.86%</v>
          </cell>
          <cell r="L70" t="str">
            <v>30.25%</v>
          </cell>
          <cell r="M70" t="str">
            <v>100"-110" Copa Zanh #2</v>
          </cell>
          <cell r="N70" t="str">
            <v>Pistola Convencional o Elestrostática</v>
          </cell>
          <cell r="O70" t="str">
            <v>20"-25" Copa Zanh #2</v>
          </cell>
          <cell r="P70" t="str">
            <v>20-25%</v>
          </cell>
          <cell r="Q70" t="str">
            <v>Acrilic Baking Enamel Reducer (R7KSA9)</v>
          </cell>
          <cell r="R70" t="str">
            <v>1.0-1.2 mills</v>
          </cell>
          <cell r="S70" t="str">
            <v>5-10 minutos</v>
          </cell>
          <cell r="T70" t="str">
            <v>30' a 350°F ó 15' a 400 °F</v>
          </cell>
          <cell r="U70" t="str">
            <v>1197 Pies Cuadrados por Galón.</v>
          </cell>
          <cell r="V70" t="str">
            <v>90-95</v>
          </cell>
          <cell r="W70" t="str">
            <v>2H</v>
          </cell>
          <cell r="X70" t="str">
            <v>12 meses</v>
          </cell>
          <cell r="Y70" t="str">
            <v>INDECA S.A</v>
          </cell>
          <cell r="Z70" t="str">
            <v>Refrigeradoras</v>
          </cell>
          <cell r="AA70" t="str">
            <v>-</v>
          </cell>
          <cell r="AB70" t="str">
            <v>-</v>
          </cell>
          <cell r="AC70" t="str">
            <v>S/F</v>
          </cell>
        </row>
        <row r="71">
          <cell r="A71" t="str">
            <v>H87TSA1 (1)</v>
          </cell>
          <cell r="B71" t="str">
            <v>Laca Transparente Para Cuero</v>
          </cell>
          <cell r="C71" t="str">
            <v>Interior-Exterior</v>
          </cell>
          <cell r="D71" t="str">
            <v>Cuero</v>
          </cell>
          <cell r="E71" t="str">
            <v>Limpieza Adecuada</v>
          </cell>
          <cell r="F71" t="str">
            <v>Ninguno</v>
          </cell>
          <cell r="G71" t="str">
            <v>7.78 Lbs/Gl</v>
          </cell>
          <cell r="H71" t="str">
            <v>-</v>
          </cell>
          <cell r="I71" t="str">
            <v>12.4%</v>
          </cell>
          <cell r="J71" t="str">
            <v>12.4%</v>
          </cell>
          <cell r="K71" t="str">
            <v>-</v>
          </cell>
          <cell r="L71" t="str">
            <v>9.55%</v>
          </cell>
          <cell r="M71" t="str">
            <v>20-30 seg Copa SW #%</v>
          </cell>
          <cell r="N71" t="str">
            <v>Pistola de Aire</v>
          </cell>
          <cell r="O71" t="str">
            <v>18-22 seg en Zanh #2</v>
          </cell>
          <cell r="P71" t="str">
            <v>100-150%</v>
          </cell>
          <cell r="Q71" t="str">
            <v>R7KSA7 Thinner Esp. No.1 ó R7K128 Opex Lacquer Thinner</v>
          </cell>
          <cell r="R71" t="str">
            <v>0.5-1.0 mills/Pulgada</v>
          </cell>
          <cell r="S71" t="str">
            <v>Al Aire 10 minutos Seco completo. Al Horno 1 1/2 minutos</v>
          </cell>
          <cell r="T71" t="str">
            <v>1-14 1/2 minutos a 70-80°C</v>
          </cell>
          <cell r="U71" t="str">
            <v>250-300 Pies Cuadrados por Galón</v>
          </cell>
          <cell r="V71" t="str">
            <v>Brillante      (80-82)</v>
          </cell>
          <cell r="W71" t="str">
            <v>B</v>
          </cell>
          <cell r="X71" t="str">
            <v>12 Meses</v>
          </cell>
          <cell r="Y71" t="str">
            <v>DIREYA, S.A</v>
          </cell>
          <cell r="Z71" t="str">
            <v>Cueros</v>
          </cell>
          <cell r="AA71" t="str">
            <v>-</v>
          </cell>
          <cell r="AB71" t="str">
            <v>-</v>
          </cell>
          <cell r="AC71" t="str">
            <v>S/F</v>
          </cell>
        </row>
        <row r="72">
          <cell r="A72" t="str">
            <v>H87TSA2 (1)</v>
          </cell>
          <cell r="B72" t="str">
            <v>Laca Transparente Especial Para Cuero</v>
          </cell>
          <cell r="C72" t="str">
            <v>-</v>
          </cell>
          <cell r="D72" t="str">
            <v>Cuero</v>
          </cell>
          <cell r="E72" t="str">
            <v>Limpio con Solvente</v>
          </cell>
          <cell r="F72" t="str">
            <v>Ninguno</v>
          </cell>
          <cell r="G72" t="str">
            <v>7.81 Lbs/Gl</v>
          </cell>
          <cell r="H72" t="str">
            <v>-</v>
          </cell>
          <cell r="I72" t="str">
            <v>34.50%</v>
          </cell>
          <cell r="J72" t="str">
            <v>34.50%</v>
          </cell>
          <cell r="K72" t="str">
            <v>-</v>
          </cell>
          <cell r="L72" t="str">
            <v>26.90%</v>
          </cell>
          <cell r="M72" t="str">
            <v>20"-25" SW#5</v>
          </cell>
          <cell r="N72" t="str">
            <v>Pistola</v>
          </cell>
          <cell r="O72" t="str">
            <v>18"-20" Copa Ford #4</v>
          </cell>
          <cell r="P72" t="str">
            <v>100-150% R7K128</v>
          </cell>
          <cell r="Q72" t="str">
            <v>R7K128</v>
          </cell>
          <cell r="R72" t="str">
            <v>-</v>
          </cell>
          <cell r="S72" t="str">
            <v>20 minutos</v>
          </cell>
          <cell r="T72" t="str">
            <v>-</v>
          </cell>
          <cell r="U72" t="str">
            <v>-</v>
          </cell>
          <cell r="V72" t="str">
            <v>+80</v>
          </cell>
          <cell r="W72" t="str">
            <v>-</v>
          </cell>
          <cell r="X72" t="str">
            <v>6 meses</v>
          </cell>
          <cell r="Y72" t="str">
            <v>Calzado Infantil, S:A de C:V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S/F</v>
          </cell>
        </row>
        <row r="73">
          <cell r="A73" t="str">
            <v>K7W97</v>
          </cell>
          <cell r="B73" t="str">
            <v>Super Kem Tone Blanco Puro</v>
          </cell>
          <cell r="C73" t="str">
            <v>Interior</v>
          </cell>
          <cell r="D73" t="str">
            <v>Concreto-Madera-Estuco</v>
          </cell>
          <cell r="E73" t="str">
            <v>Superficie Seca y Limpia</v>
          </cell>
          <cell r="F73" t="str">
            <v>A71WSA4 para pintar sobre madera</v>
          </cell>
          <cell r="G73" t="str">
            <v>11.22 Lbs/Gl</v>
          </cell>
          <cell r="H73" t="str">
            <v>-</v>
          </cell>
          <cell r="I73" t="str">
            <v>53.8%</v>
          </cell>
          <cell r="J73" t="str">
            <v>-</v>
          </cell>
          <cell r="K73" t="str">
            <v>-</v>
          </cell>
          <cell r="L73" t="str">
            <v>38.7%</v>
          </cell>
          <cell r="M73" t="str">
            <v>20"-22" Copa SW #4</v>
          </cell>
          <cell r="N73" t="str">
            <v>Brocha-Rodillo</v>
          </cell>
          <cell r="O73" t="str">
            <v>El de la Pintura</v>
          </cell>
          <cell r="P73" t="str">
            <v>Ninguno</v>
          </cell>
          <cell r="Q73" t="str">
            <v>-</v>
          </cell>
          <cell r="R73" t="str">
            <v>5 mills</v>
          </cell>
          <cell r="S73" t="str">
            <v>Al aire</v>
          </cell>
          <cell r="T73" t="str">
            <v>-</v>
          </cell>
          <cell r="U73" t="str">
            <v>50 Mts cuadrados/Gl</v>
          </cell>
          <cell r="V73" t="str">
            <v>2-4 (85°)</v>
          </cell>
          <cell r="W73" t="str">
            <v>-</v>
          </cell>
          <cell r="X73" t="str">
            <v>1-2 Años</v>
          </cell>
          <cell r="Y73" t="str">
            <v>Warner Lambert-Guatemala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S/F</v>
          </cell>
        </row>
        <row r="74">
          <cell r="A74" t="str">
            <v>L60ASA10</v>
          </cell>
          <cell r="B74" t="str">
            <v>Laca Industrial Gris Especial</v>
          </cell>
          <cell r="C74" t="str">
            <v>Interior</v>
          </cell>
          <cell r="D74" t="str">
            <v>Hierro</v>
          </cell>
          <cell r="E74" t="str">
            <v xml:space="preserve">Limpio  </v>
          </cell>
          <cell r="F74" t="str">
            <v>Ninguno</v>
          </cell>
          <cell r="G74" t="str">
            <v>8.15 Lbs/Gl</v>
          </cell>
          <cell r="H74" t="str">
            <v>5.24%</v>
          </cell>
          <cell r="I74" t="str">
            <v>39.57%</v>
          </cell>
          <cell r="J74" t="str">
            <v>36.23%</v>
          </cell>
          <cell r="K74" t="str">
            <v>4.61%</v>
          </cell>
          <cell r="L74" t="str">
            <v>29.92%</v>
          </cell>
          <cell r="M74" t="str">
            <v>20"-25" Copa SW #5</v>
          </cell>
          <cell r="N74" t="str">
            <v>Inmersión</v>
          </cell>
          <cell r="O74" t="str">
            <v>18"-20" Copa Ford #4</v>
          </cell>
          <cell r="P74" t="str">
            <v>50% con R7K128</v>
          </cell>
          <cell r="Q74" t="str">
            <v>R7K128</v>
          </cell>
          <cell r="R74" t="str">
            <v>1 mills</v>
          </cell>
          <cell r="S74" t="str">
            <v>Al aire</v>
          </cell>
          <cell r="T74" t="str">
            <v>-</v>
          </cell>
          <cell r="U74" t="str">
            <v>633 Pies Cuadrados/Gl</v>
          </cell>
          <cell r="V74" t="str">
            <v>80</v>
          </cell>
          <cell r="W74" t="str">
            <v>2B</v>
          </cell>
          <cell r="X74" t="str">
            <v>6-12 meses</v>
          </cell>
          <cell r="Y74" t="str">
            <v>BOIRA</v>
          </cell>
          <cell r="Z74" t="str">
            <v>-</v>
          </cell>
          <cell r="AA74" t="str">
            <v>-</v>
          </cell>
          <cell r="AB74" t="str">
            <v>Luis Nolasco</v>
          </cell>
          <cell r="AC74" t="str">
            <v>S/F</v>
          </cell>
        </row>
        <row r="75">
          <cell r="A75" t="str">
            <v>M72WSA1</v>
          </cell>
          <cell r="B75" t="str">
            <v>Recubrimiento Blanco Para Cartón</v>
          </cell>
          <cell r="C75" t="str">
            <v>Interior</v>
          </cell>
          <cell r="D75" t="str">
            <v>Carton</v>
          </cell>
          <cell r="E75" t="str">
            <v>Ninguna</v>
          </cell>
          <cell r="F75" t="str">
            <v>-</v>
          </cell>
          <cell r="G75" t="str">
            <v>11.78 Lbs/Gl</v>
          </cell>
          <cell r="H75" t="str">
            <v>41.22%</v>
          </cell>
          <cell r="I75" t="str">
            <v>57.06%</v>
          </cell>
          <cell r="J75" t="str">
            <v>15.84%</v>
          </cell>
          <cell r="K75" t="str">
            <v>50.0%</v>
          </cell>
          <cell r="L75" t="str">
            <v>41.46%</v>
          </cell>
          <cell r="M75" t="str">
            <v>30-35 seg Copa Zanh #2</v>
          </cell>
          <cell r="N75" t="str">
            <v>Cuchilla de Hule</v>
          </cell>
          <cell r="O75" t="str">
            <v>20-25 seg. Copa Zanh #2</v>
          </cell>
          <cell r="P75" t="str">
            <v>2-3% con Agua</v>
          </cell>
          <cell r="Q75" t="str">
            <v>Agua</v>
          </cell>
          <cell r="R75" t="str">
            <v>-</v>
          </cell>
          <cell r="S75" t="str">
            <v>Con Rodillo Caliente 150°C</v>
          </cell>
          <cell r="T75" t="str">
            <v>1 Minuto a 150°C</v>
          </cell>
          <cell r="U75" t="str">
            <v>-</v>
          </cell>
          <cell r="V75" t="str">
            <v>Mate</v>
          </cell>
          <cell r="W75" t="str">
            <v>-</v>
          </cell>
          <cell r="X75" t="str">
            <v>4-6 Meses</v>
          </cell>
          <cell r="Y75" t="str">
            <v>Cajas y Bolsas S.A</v>
          </cell>
          <cell r="Z75" t="str">
            <v>Cajas de Cartón</v>
          </cell>
          <cell r="AA75" t="str">
            <v>-</v>
          </cell>
          <cell r="AB75" t="str">
            <v>-</v>
          </cell>
          <cell r="AC75" t="str">
            <v>S/F</v>
          </cell>
        </row>
        <row r="76">
          <cell r="A76" t="str">
            <v>R7KSA13 (1)</v>
          </cell>
          <cell r="B76" t="str">
            <v>Thinner Especial</v>
          </cell>
          <cell r="C76" t="str">
            <v>-</v>
          </cell>
          <cell r="D76" t="str">
            <v>Polietileno y Poliestireno</v>
          </cell>
          <cell r="E76" t="str">
            <v>-</v>
          </cell>
          <cell r="F76" t="str">
            <v>-</v>
          </cell>
          <cell r="G76" t="str">
            <v>6.68 Lbs/Gl</v>
          </cell>
          <cell r="H76" t="str">
            <v>-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Adornos Navideños y otros.</v>
          </cell>
          <cell r="AA76" t="str">
            <v>-</v>
          </cell>
          <cell r="AB76" t="str">
            <v>-</v>
          </cell>
          <cell r="AC76" t="str">
            <v>S/F</v>
          </cell>
        </row>
        <row r="77">
          <cell r="A77" t="str">
            <v>SAA 1713</v>
          </cell>
          <cell r="B77" t="str">
            <v>Esmalte Horneable Acrilico Negro Satinado</v>
          </cell>
          <cell r="C77" t="str">
            <v>Interior-Exterior Limitada</v>
          </cell>
          <cell r="D77" t="str">
            <v>Artículos de Aluminio</v>
          </cell>
          <cell r="E77" t="str">
            <v>Limpieza con Solvente</v>
          </cell>
          <cell r="F77" t="str">
            <v>Gripclad Primer</v>
          </cell>
          <cell r="G77" t="str">
            <v>8.80 Lbs/Gl</v>
          </cell>
          <cell r="H77" t="str">
            <v>-</v>
          </cell>
          <cell r="I77" t="str">
            <v>51.40%</v>
          </cell>
          <cell r="J77" t="str">
            <v>-</v>
          </cell>
          <cell r="K77" t="str">
            <v>-</v>
          </cell>
          <cell r="L77" t="str">
            <v>37.44%</v>
          </cell>
          <cell r="M77" t="str">
            <v>100"-110" Copa Zanh #2</v>
          </cell>
          <cell r="N77" t="str">
            <v>Pistola</v>
          </cell>
          <cell r="O77" t="str">
            <v>25"-30" Copa Zanh #2</v>
          </cell>
          <cell r="P77" t="str">
            <v>20%</v>
          </cell>
          <cell r="Q77" t="str">
            <v>Acrilic Baking Enamel Reducer (R7KSA9)</v>
          </cell>
          <cell r="R77" t="str">
            <v>1.0-1.5 mills</v>
          </cell>
          <cell r="S77" t="str">
            <v>-</v>
          </cell>
          <cell r="T77" t="str">
            <v>15' a 400°F</v>
          </cell>
          <cell r="U77" t="str">
            <v>600 Pies Cuadrados/Gl</v>
          </cell>
          <cell r="V77" t="str">
            <v>10-12</v>
          </cell>
          <cell r="W77" t="str">
            <v>3H</v>
          </cell>
          <cell r="X77" t="str">
            <v>12 meses</v>
          </cell>
          <cell r="Y77" t="str">
            <v>Productos Atmosféricos (Nicaragua)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S/F</v>
          </cell>
        </row>
        <row r="78">
          <cell r="A78" t="str">
            <v>SAA 1723</v>
          </cell>
          <cell r="B78" t="str">
            <v>Kem Fast Dry Oxide Black</v>
          </cell>
          <cell r="C78" t="str">
            <v>Interior-Exterior</v>
          </cell>
          <cell r="D78" t="str">
            <v>Hierro Negro</v>
          </cell>
          <cell r="E78" t="str">
            <v>Cepillo de Alambre y Productos Químicos</v>
          </cell>
          <cell r="F78" t="str">
            <v>-</v>
          </cell>
          <cell r="G78" t="str">
            <v>9.54 Lbs/Gl</v>
          </cell>
          <cell r="H78" t="str">
            <v>-</v>
          </cell>
          <cell r="I78" t="str">
            <v>52.31%</v>
          </cell>
          <cell r="J78" t="str">
            <v>-</v>
          </cell>
          <cell r="K78" t="str">
            <v>-</v>
          </cell>
          <cell r="L78" t="str">
            <v>31.61%</v>
          </cell>
          <cell r="M78" t="str">
            <v>25"-30" Copa Ford #4</v>
          </cell>
          <cell r="N78" t="str">
            <v>Pistola</v>
          </cell>
          <cell r="O78" t="str">
            <v>20"-22" Copa Ford #4</v>
          </cell>
          <cell r="P78" t="str">
            <v>12.5% R2K4</v>
          </cell>
          <cell r="Q78" t="str">
            <v>R2K4         Industrial reducer</v>
          </cell>
          <cell r="R78" t="str">
            <v>1.0-1.5 mills</v>
          </cell>
          <cell r="S78" t="str">
            <v>Al Tacto: 20 Min.        Completo: 1 Hr.</v>
          </cell>
          <cell r="T78" t="str">
            <v>-</v>
          </cell>
          <cell r="U78" t="str">
            <v>480 Pies Cuadrados/Gl</v>
          </cell>
          <cell r="V78" t="str">
            <v>0-5</v>
          </cell>
          <cell r="W78" t="str">
            <v>-</v>
          </cell>
          <cell r="X78" t="str">
            <v>12 meses</v>
          </cell>
          <cell r="Y78" t="str">
            <v>Ferro Arte Nicaragua</v>
          </cell>
          <cell r="Z78" t="str">
            <v>Verjas de Hierro Negro</v>
          </cell>
          <cell r="AA78" t="str">
            <v>-</v>
          </cell>
          <cell r="AB78" t="str">
            <v>-</v>
          </cell>
          <cell r="AC78" t="str">
            <v>S/F</v>
          </cell>
        </row>
        <row r="79">
          <cell r="A79" t="str">
            <v>SAA 1868</v>
          </cell>
          <cell r="B79" t="str">
            <v>Wet Ink Varnish (Silver V)</v>
          </cell>
          <cell r="C79" t="str">
            <v>-</v>
          </cell>
          <cell r="D79" t="str">
            <v>Hojalata</v>
          </cell>
          <cell r="E79" t="str">
            <v>Normal</v>
          </cell>
          <cell r="F79" t="str">
            <v>Ninguno</v>
          </cell>
          <cell r="G79" t="str">
            <v>7.46 Lbs/Gl</v>
          </cell>
          <cell r="H79" t="str">
            <v>-</v>
          </cell>
          <cell r="I79" t="str">
            <v>40.0%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35-40" Copa Ford #4</v>
          </cell>
          <cell r="N79" t="str">
            <v>Roller Coating</v>
          </cell>
          <cell r="O79" t="str">
            <v>Igual</v>
          </cell>
          <cell r="P79" t="str">
            <v>Ninguno</v>
          </cell>
          <cell r="Q79" t="str">
            <v>03-23-100 R2K7</v>
          </cell>
          <cell r="R79" t="str">
            <v>13 mm</v>
          </cell>
          <cell r="S79" t="str">
            <v>Al Horno</v>
          </cell>
          <cell r="T79" t="str">
            <v>12-15' a 160-165°C</v>
          </cell>
          <cell r="U79" t="str">
            <v>-</v>
          </cell>
          <cell r="V79" t="str">
            <v>90</v>
          </cell>
          <cell r="W79" t="str">
            <v>HB</v>
          </cell>
          <cell r="X79" t="str">
            <v>6 meses</v>
          </cell>
          <cell r="Y79" t="str">
            <v>CORLASA</v>
          </cell>
          <cell r="Z79" t="str">
            <v>Lamina Litografiada</v>
          </cell>
          <cell r="AA79" t="str">
            <v>-</v>
          </cell>
          <cell r="AB79" t="str">
            <v>-</v>
          </cell>
          <cell r="AC79" t="str">
            <v>S/F</v>
          </cell>
        </row>
        <row r="80">
          <cell r="A80" t="str">
            <v>SAA 2031</v>
          </cell>
          <cell r="B80" t="str">
            <v>Esmalte Horneable Rojo Especial</v>
          </cell>
          <cell r="C80" t="str">
            <v>Exterior</v>
          </cell>
          <cell r="D80" t="str">
            <v>Acero</v>
          </cell>
          <cell r="E80" t="str">
            <v>Limpia sin óxido</v>
          </cell>
          <cell r="F80" t="str">
            <v>E68WSA1</v>
          </cell>
          <cell r="G80" t="str">
            <v>8.37 Lbs/Gl</v>
          </cell>
          <cell r="H80" t="str">
            <v>6.38%</v>
          </cell>
          <cell r="I80" t="str">
            <v>50.75%</v>
          </cell>
          <cell r="J80" t="str">
            <v>44.37%</v>
          </cell>
          <cell r="K80" t="str">
            <v>4.94%</v>
          </cell>
          <cell r="L80" t="str">
            <v>42.07%</v>
          </cell>
          <cell r="M80" t="str">
            <v>80"-90" Copa Zanh #2</v>
          </cell>
          <cell r="N80" t="str">
            <v>Pistola</v>
          </cell>
          <cell r="O80" t="str">
            <v>25"-30" Copa Zanh #2</v>
          </cell>
          <cell r="P80" t="str">
            <v>20% R2K4</v>
          </cell>
          <cell r="Q80" t="str">
            <v>R2K4         Industrial reducer</v>
          </cell>
          <cell r="R80" t="str">
            <v xml:space="preserve">0.5-1.0 mills </v>
          </cell>
          <cell r="S80" t="str">
            <v>Al Horno</v>
          </cell>
          <cell r="T80" t="str">
            <v>15' a 300°F</v>
          </cell>
          <cell r="U80" t="str">
            <v>-</v>
          </cell>
          <cell r="V80" t="str">
            <v>+95</v>
          </cell>
          <cell r="W80" t="str">
            <v>H 24 Hrs después</v>
          </cell>
          <cell r="X80" t="str">
            <v>-</v>
          </cell>
          <cell r="Y80" t="str">
            <v>Productos Eléctricos, S.A</v>
          </cell>
          <cell r="Z80" t="str">
            <v>Triciclos</v>
          </cell>
          <cell r="AA80" t="str">
            <v>-</v>
          </cell>
          <cell r="AB80" t="str">
            <v>-</v>
          </cell>
          <cell r="AC80" t="str">
            <v>S/F</v>
          </cell>
        </row>
        <row r="81">
          <cell r="A81" t="str">
            <v>SAA 2032</v>
          </cell>
          <cell r="B81" t="str">
            <v>Acrylid Acrylic Enamel Alpine White</v>
          </cell>
          <cell r="C81" t="str">
            <v>Exterior</v>
          </cell>
          <cell r="D81" t="str">
            <v>Acero</v>
          </cell>
          <cell r="E81" t="str">
            <v>Fosfatizado</v>
          </cell>
          <cell r="F81" t="str">
            <v>E68ASA1   E68RSA1</v>
          </cell>
          <cell r="G81" t="str">
            <v>9.37 Lbs/Gl</v>
          </cell>
          <cell r="H81" t="str">
            <v>21.16%</v>
          </cell>
          <cell r="I81" t="str">
            <v>57.93%</v>
          </cell>
          <cell r="J81" t="str">
            <v>36.76%</v>
          </cell>
          <cell r="K81" t="str">
            <v>13.09%</v>
          </cell>
          <cell r="L81" t="str">
            <v>44.76%</v>
          </cell>
          <cell r="M81" t="str">
            <v>70"-80" Copa Ford #4</v>
          </cell>
          <cell r="N81" t="str">
            <v>Pistola</v>
          </cell>
          <cell r="O81" t="str">
            <v>18"-20" Copa Ford #4</v>
          </cell>
          <cell r="P81" t="str">
            <v>50%</v>
          </cell>
          <cell r="Q81" t="str">
            <v>R7K212</v>
          </cell>
          <cell r="R81" t="str">
            <v>1.5-2.0 mills</v>
          </cell>
          <cell r="S81" t="str">
            <v>Al Horno</v>
          </cell>
          <cell r="T81" t="str">
            <v>15' a 350°F</v>
          </cell>
          <cell r="U81" t="str">
            <v>282.5 Pies Cuadrados por Galón</v>
          </cell>
          <cell r="V81" t="str">
            <v>+80</v>
          </cell>
          <cell r="W81" t="str">
            <v>2B Después de 24 Hrs</v>
          </cell>
          <cell r="X81" t="str">
            <v>un Año</v>
          </cell>
          <cell r="Y81" t="str">
            <v>COOPESA (COSTA RICA)</v>
          </cell>
          <cell r="Z81" t="str">
            <v>Automóviles</v>
          </cell>
          <cell r="AA81" t="str">
            <v>-</v>
          </cell>
          <cell r="AB81" t="str">
            <v>-</v>
          </cell>
          <cell r="AC81" t="str">
            <v>S/F</v>
          </cell>
        </row>
        <row r="82">
          <cell r="A82" t="str">
            <v>SAA 2041</v>
          </cell>
          <cell r="B82" t="str">
            <v>Roller Coating White</v>
          </cell>
          <cell r="C82" t="str">
            <v>Interior</v>
          </cell>
          <cell r="D82" t="str">
            <v>Hojalata</v>
          </cell>
          <cell r="E82" t="str">
            <v>Limpieza con Solvente</v>
          </cell>
          <cell r="F82" t="str">
            <v>Ninguno</v>
          </cell>
          <cell r="G82" t="str">
            <v>9.39 Lbs/Gl</v>
          </cell>
          <cell r="H82" t="str">
            <v>21.2%</v>
          </cell>
          <cell r="I82" t="str">
            <v>37.8%</v>
          </cell>
          <cell r="J82" t="str">
            <v>78.8%</v>
          </cell>
          <cell r="K82" t="str">
            <v>30.7%</v>
          </cell>
          <cell r="L82" t="str">
            <v>19.7%</v>
          </cell>
          <cell r="M82" t="str">
            <v>70"-80" Copa Ford #4</v>
          </cell>
          <cell r="N82" t="str">
            <v>Rodillo</v>
          </cell>
          <cell r="O82" t="str">
            <v>70"-80" Copa Ford #4</v>
          </cell>
          <cell r="P82" t="str">
            <v>Ninguno</v>
          </cell>
          <cell r="Q82" t="str">
            <v>-</v>
          </cell>
          <cell r="R82" t="str">
            <v>1.0 mills</v>
          </cell>
          <cell r="S82" t="str">
            <v>Horneo</v>
          </cell>
          <cell r="T82" t="str">
            <v>15' a 360°F</v>
          </cell>
          <cell r="U82" t="str">
            <v>44.62 Mts Cuadrados/Gl</v>
          </cell>
          <cell r="V82" t="str">
            <v>85 Minimo</v>
          </cell>
          <cell r="W82" t="str">
            <v>HB</v>
          </cell>
          <cell r="X82" t="str">
            <v>12 meses</v>
          </cell>
          <cell r="Y82" t="str">
            <v>UNICAN</v>
          </cell>
          <cell r="Z82" t="str">
            <v>Litografía</v>
          </cell>
          <cell r="AA82" t="str">
            <v>-</v>
          </cell>
          <cell r="AB82" t="str">
            <v>-</v>
          </cell>
          <cell r="AC82" t="str">
            <v>S/F</v>
          </cell>
        </row>
        <row r="83">
          <cell r="A83" t="str">
            <v>SAA 2086</v>
          </cell>
          <cell r="B83" t="str">
            <v>Collapsible Tube Enamel White</v>
          </cell>
          <cell r="C83" t="str">
            <v>Interior</v>
          </cell>
          <cell r="D83" t="str">
            <v>Tubos de Estaño y Plomo</v>
          </cell>
          <cell r="E83" t="str">
            <v>Limpieza</v>
          </cell>
          <cell r="F83" t="str">
            <v>Ninguno</v>
          </cell>
          <cell r="G83" t="str">
            <v>10.71 Lbs/Gl</v>
          </cell>
          <cell r="H83" t="str">
            <v>29.55%</v>
          </cell>
          <cell r="I83" t="str">
            <v>53.56%</v>
          </cell>
          <cell r="J83" t="str">
            <v>34.08%</v>
          </cell>
          <cell r="K83" t="str">
            <v>27.64%</v>
          </cell>
          <cell r="L83" t="str">
            <v>33.94%</v>
          </cell>
          <cell r="M83" t="str">
            <v>130-135 KU</v>
          </cell>
          <cell r="N83" t="str">
            <v>Especial</v>
          </cell>
          <cell r="O83" t="str">
            <v>130-135 KU</v>
          </cell>
          <cell r="P83" t="str">
            <v>Ninguno</v>
          </cell>
          <cell r="Q83" t="str">
            <v>Ninguno</v>
          </cell>
          <cell r="R83" t="str">
            <v>-</v>
          </cell>
          <cell r="S83" t="str">
            <v>-</v>
          </cell>
          <cell r="T83" t="str">
            <v>3-1/2 Minutos a 230°F</v>
          </cell>
          <cell r="U83" t="str">
            <v>-</v>
          </cell>
          <cell r="V83" t="str">
            <v>80 Minimo</v>
          </cell>
          <cell r="W83" t="str">
            <v>F</v>
          </cell>
          <cell r="X83" t="str">
            <v>12 meses</v>
          </cell>
          <cell r="Y83" t="str">
            <v>Colgate Palmolive</v>
          </cell>
          <cell r="Z83" t="str">
            <v>Pasta Dental</v>
          </cell>
          <cell r="AA83" t="str">
            <v>-</v>
          </cell>
          <cell r="AB83" t="str">
            <v>-</v>
          </cell>
          <cell r="AC83" t="str">
            <v>S/F</v>
          </cell>
        </row>
        <row r="84">
          <cell r="A84" t="str">
            <v>SAA 3154</v>
          </cell>
          <cell r="B84" t="str">
            <v>Chemical And Moisture Resisting Primer</v>
          </cell>
          <cell r="C84" t="str">
            <v>-</v>
          </cell>
          <cell r="D84" t="str">
            <v>Concreto, Hierro, Aluminio, Galvanizado</v>
          </cell>
          <cell r="E84" t="str">
            <v>Limpia, Seca y Libre de Grasa o Aceite</v>
          </cell>
          <cell r="F84" t="str">
            <v>Ninguno</v>
          </cell>
          <cell r="G84" t="str">
            <v>12.58 Lbs/Gl</v>
          </cell>
          <cell r="H84" t="str">
            <v>41.17%</v>
          </cell>
          <cell r="I84" t="str">
            <v>66.61%</v>
          </cell>
          <cell r="J84" t="str">
            <v>23.85%</v>
          </cell>
          <cell r="K84" t="str">
            <v>42.76%</v>
          </cell>
          <cell r="L84" t="str">
            <v>38.79%</v>
          </cell>
          <cell r="M84" t="str">
            <v>30-35 seg Copa SW #3</v>
          </cell>
          <cell r="N84" t="str">
            <v>Brocha o Pistola de Aire</v>
          </cell>
          <cell r="O84" t="str">
            <v>-</v>
          </cell>
          <cell r="P84" t="str">
            <v>Brocha: Ninguno, Pistola de Aire 25%</v>
          </cell>
          <cell r="Q84" t="str">
            <v>R2K4         Industrial reducer</v>
          </cell>
          <cell r="R84" t="str">
            <v>1.0 mills</v>
          </cell>
          <cell r="S84" t="str">
            <v>Seco Tocar 30 Min. Seco Completo 1-2 Hrs</v>
          </cell>
          <cell r="T84" t="str">
            <v>-</v>
          </cell>
          <cell r="U84" t="str">
            <v>45 Mts Cuadrados/Gl</v>
          </cell>
          <cell r="V84" t="str">
            <v>Satinado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S/F</v>
          </cell>
        </row>
        <row r="85">
          <cell r="A85" t="str">
            <v>SAA 3160</v>
          </cell>
          <cell r="B85" t="str">
            <v>Laca Industrial Champagne</v>
          </cell>
          <cell r="C85" t="str">
            <v>-</v>
          </cell>
          <cell r="D85" t="str">
            <v>Madera</v>
          </cell>
          <cell r="E85" t="str">
            <v>Seca, Debidamente Lijada y Libre de Polvo.</v>
          </cell>
          <cell r="F85" t="str">
            <v>Opex Industrial Primer Surfacer</v>
          </cell>
          <cell r="G85" t="str">
            <v>9.40 Lbs/Gl</v>
          </cell>
          <cell r="H85" t="str">
            <v>22.60%</v>
          </cell>
          <cell r="I85" t="str">
            <v>44.10%</v>
          </cell>
          <cell r="J85" t="str">
            <v>21.50%</v>
          </cell>
          <cell r="K85" t="str">
            <v>25.80%</v>
          </cell>
          <cell r="L85" t="str">
            <v>26.30%</v>
          </cell>
          <cell r="M85" t="str">
            <v>30-40 Seg. Copa SW #5</v>
          </cell>
          <cell r="N85" t="str">
            <v>Pistola</v>
          </cell>
          <cell r="O85" t="str">
            <v>-</v>
          </cell>
          <cell r="P85" t="str">
            <v>100-150</v>
          </cell>
          <cell r="Q85" t="str">
            <v>R7K128 Opex Lacquer Thinner 128</v>
          </cell>
          <cell r="R85" t="str">
            <v>1.0 mills</v>
          </cell>
          <cell r="S85" t="str">
            <v>Seco Tocar: 10 Min; Seco Completo: 20 Min.</v>
          </cell>
          <cell r="T85" t="str">
            <v>-</v>
          </cell>
          <cell r="U85" t="str">
            <v>421 Pies Cuadrados/Gl</v>
          </cell>
          <cell r="V85" t="str">
            <v>Mate</v>
          </cell>
          <cell r="W85" t="str">
            <v>-</v>
          </cell>
          <cell r="X85" t="str">
            <v>-</v>
          </cell>
          <cell r="Y85" t="str">
            <v>MADERAMA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S/F</v>
          </cell>
        </row>
        <row r="86">
          <cell r="A86" t="str">
            <v>SAA 3161</v>
          </cell>
          <cell r="B86" t="str">
            <v>Esmalte Horneable Alkydico Rojo</v>
          </cell>
          <cell r="C86" t="str">
            <v>-</v>
          </cell>
          <cell r="D86" t="str">
            <v>Hierro</v>
          </cell>
          <cell r="E86" t="str">
            <v>Limpieza Química</v>
          </cell>
          <cell r="F86" t="str">
            <v>Ninguno</v>
          </cell>
          <cell r="G86" t="str">
            <v>8.56 Lbs/Gl</v>
          </cell>
          <cell r="H86" t="str">
            <v>-</v>
          </cell>
          <cell r="I86" t="str">
            <v>55.10%</v>
          </cell>
          <cell r="J86" t="str">
            <v>55.10%</v>
          </cell>
          <cell r="K86" t="str">
            <v>-</v>
          </cell>
          <cell r="L86" t="str">
            <v>47.90%</v>
          </cell>
          <cell r="M86" t="str">
            <v>40-50 Seg Copa Ford #4</v>
          </cell>
          <cell r="N86" t="str">
            <v>Pistolas Electrostáticas</v>
          </cell>
          <cell r="O86" t="str">
            <v>-</v>
          </cell>
          <cell r="P86" t="str">
            <v>20-25%</v>
          </cell>
          <cell r="Q86" t="str">
            <v>R2K4         Industrial reducer</v>
          </cell>
          <cell r="R86" t="str">
            <v>1.2 mills</v>
          </cell>
          <cell r="S86" t="str">
            <v>-</v>
          </cell>
          <cell r="T86" t="str">
            <v>15 Min. A 350°F</v>
          </cell>
          <cell r="U86" t="str">
            <v>640 Pies Cuadrados/Gl</v>
          </cell>
          <cell r="V86" t="str">
            <v>+90</v>
          </cell>
          <cell r="W86" t="str">
            <v>H</v>
          </cell>
          <cell r="X86" t="str">
            <v>-</v>
          </cell>
          <cell r="Y86" t="str">
            <v>VECESA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S/F</v>
          </cell>
        </row>
        <row r="87">
          <cell r="A87" t="str">
            <v>SAA 3171</v>
          </cell>
          <cell r="B87" t="str">
            <v>Sherwood 850 F.D Kemvar Gloss</v>
          </cell>
          <cell r="C87" t="str">
            <v>-</v>
          </cell>
          <cell r="D87" t="str">
            <v>Madera</v>
          </cell>
          <cell r="E87" t="str">
            <v>Lijada y libre de Polvo</v>
          </cell>
          <cell r="F87" t="str">
            <v>Sellador Vinílico T67F2</v>
          </cell>
          <cell r="G87" t="str">
            <v>7.99 Lbs/Gl</v>
          </cell>
          <cell r="H87" t="str">
            <v>-</v>
          </cell>
          <cell r="I87" t="str">
            <v>43.80%</v>
          </cell>
          <cell r="J87" t="str">
            <v>43.80%</v>
          </cell>
          <cell r="K87" t="str">
            <v>-</v>
          </cell>
          <cell r="L87" t="str">
            <v>35.80%</v>
          </cell>
          <cell r="M87" t="str">
            <v>25-30 Seg. Copa Ford #4</v>
          </cell>
          <cell r="N87" t="str">
            <v>Pistola de Aire</v>
          </cell>
          <cell r="O87" t="str">
            <v>-</v>
          </cell>
          <cell r="P87" t="str">
            <v>4% Más V66V21</v>
          </cell>
          <cell r="Q87" t="str">
            <v>R2K4         Industrial reducer</v>
          </cell>
          <cell r="R87" t="str">
            <v>1.0 mills</v>
          </cell>
          <cell r="S87" t="str">
            <v>Seco Tocar: 30 Min. Seco Completo: 90 Min.</v>
          </cell>
          <cell r="T87" t="str">
            <v>-</v>
          </cell>
          <cell r="U87" t="str">
            <v>574 Pies Cuadrados/Gl</v>
          </cell>
          <cell r="V87" t="str">
            <v>+90</v>
          </cell>
          <cell r="W87" t="str">
            <v>-</v>
          </cell>
          <cell r="X87" t="str">
            <v>-</v>
          </cell>
          <cell r="Y87" t="str">
            <v>Jimenez Castillo Arquitectos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S/F</v>
          </cell>
        </row>
        <row r="88">
          <cell r="A88" t="str">
            <v>SAA 3175</v>
          </cell>
          <cell r="B88" t="str">
            <v>Esmalte Litográfico Troquelable</v>
          </cell>
          <cell r="C88" t="str">
            <v>Interperie</v>
          </cell>
          <cell r="D88" t="str">
            <v>Hojalata ETP</v>
          </cell>
          <cell r="E88" t="str">
            <v>Limpia de Grasa</v>
          </cell>
          <cell r="F88" t="str">
            <v>Ninguno</v>
          </cell>
          <cell r="G88" t="str">
            <v>10.78 Lbs/Gl</v>
          </cell>
          <cell r="H88" t="str">
            <v>55.20%</v>
          </cell>
          <cell r="I88" t="str">
            <v>61.90%</v>
          </cell>
          <cell r="J88" t="str">
            <v>6.70%</v>
          </cell>
          <cell r="K88" t="str">
            <v>25.80%</v>
          </cell>
          <cell r="L88" t="str">
            <v>40.50%</v>
          </cell>
          <cell r="M88" t="str">
            <v>-</v>
          </cell>
          <cell r="N88" t="str">
            <v>Rodilllo</v>
          </cell>
          <cell r="O88" t="str">
            <v>178"-188" Copa Ford #4</v>
          </cell>
          <cell r="P88" t="str">
            <v>-</v>
          </cell>
          <cell r="Q88" t="str">
            <v>-</v>
          </cell>
          <cell r="R88" t="str">
            <v>1.0 mills</v>
          </cell>
          <cell r="S88" t="str">
            <v>-</v>
          </cell>
          <cell r="T88" t="str">
            <v>10 Min a 356°F</v>
          </cell>
          <cell r="U88" t="str">
            <v>649.22 Pies Cuadrados/Gl</v>
          </cell>
          <cell r="V88" t="str">
            <v>-</v>
          </cell>
          <cell r="W88" t="str">
            <v>-</v>
          </cell>
          <cell r="X88" t="str">
            <v>6 meses</v>
          </cell>
          <cell r="Y88" t="str">
            <v>Tapa Metal Guatemala</v>
          </cell>
          <cell r="Z88" t="str">
            <v>Tapones con Rosca</v>
          </cell>
          <cell r="AA88" t="str">
            <v>-</v>
          </cell>
          <cell r="AB88" t="str">
            <v>-</v>
          </cell>
          <cell r="AC88" t="str">
            <v>S/F</v>
          </cell>
        </row>
        <row r="89">
          <cell r="A89" t="str">
            <v>SAA 3181</v>
          </cell>
          <cell r="B89" t="str">
            <v>Esmalte Litográfico Troquelable</v>
          </cell>
          <cell r="C89" t="str">
            <v>Interperie</v>
          </cell>
          <cell r="D89" t="str">
            <v>Hojalata ETP</v>
          </cell>
          <cell r="E89" t="str">
            <v>Limpia de Grasa</v>
          </cell>
          <cell r="F89" t="str">
            <v>Ninguno</v>
          </cell>
          <cell r="G89" t="str">
            <v>11.15 Lbs/Gl</v>
          </cell>
          <cell r="H89" t="str">
            <v>33.60%</v>
          </cell>
          <cell r="I89" t="str">
            <v>60.86%</v>
          </cell>
          <cell r="J89" t="str">
            <v>27.26%</v>
          </cell>
          <cell r="K89" t="str">
            <v>23.65%</v>
          </cell>
          <cell r="L89" t="str">
            <v>46.30%</v>
          </cell>
          <cell r="M89" t="str">
            <v>-</v>
          </cell>
          <cell r="N89" t="str">
            <v>Rodilllo</v>
          </cell>
          <cell r="O89" t="str">
            <v>168 Seg. Copa Ford #4</v>
          </cell>
          <cell r="P89" t="str">
            <v>-</v>
          </cell>
          <cell r="Q89" t="str">
            <v>-</v>
          </cell>
          <cell r="R89" t="str">
            <v>1.0 mills</v>
          </cell>
          <cell r="S89" t="str">
            <v>-</v>
          </cell>
          <cell r="T89" t="str">
            <v>10 Min a 180°C</v>
          </cell>
          <cell r="U89" t="str">
            <v>759.32 Pies Cuadrados/Gl</v>
          </cell>
          <cell r="V89" t="str">
            <v>-</v>
          </cell>
          <cell r="W89" t="str">
            <v>-</v>
          </cell>
          <cell r="X89" t="str">
            <v>6 meses</v>
          </cell>
          <cell r="Y89" t="str">
            <v>Tapa Metal Guatemala</v>
          </cell>
          <cell r="Z89" t="str">
            <v>Tapones con Rosca</v>
          </cell>
          <cell r="AA89" t="str">
            <v>-</v>
          </cell>
          <cell r="AB89" t="str">
            <v>-</v>
          </cell>
          <cell r="AC89" t="str">
            <v>S/F</v>
          </cell>
        </row>
        <row r="90">
          <cell r="A90" t="str">
            <v>SAA 3198</v>
          </cell>
          <cell r="B90" t="str">
            <v>Oil Stain Nogal</v>
          </cell>
          <cell r="C90" t="str">
            <v>Interior</v>
          </cell>
          <cell r="D90" t="str">
            <v>Madera</v>
          </cell>
          <cell r="E90" t="str">
            <v>Lijado</v>
          </cell>
          <cell r="F90" t="str">
            <v>Ninguno</v>
          </cell>
          <cell r="G90" t="str">
            <v>7.61 Lbs/Gl</v>
          </cell>
          <cell r="H90" t="str">
            <v>12.5%</v>
          </cell>
          <cell r="I90" t="str">
            <v>29.47%</v>
          </cell>
          <cell r="J90" t="str">
            <v>18.48%</v>
          </cell>
          <cell r="K90" t="str">
            <v>16.76%</v>
          </cell>
          <cell r="L90" t="str">
            <v>29.47%</v>
          </cell>
          <cell r="M90" t="str">
            <v>10-12 seg Copa Ford #4</v>
          </cell>
          <cell r="N90" t="str">
            <v>Pistola</v>
          </cell>
          <cell r="O90" t="str">
            <v>10-12 seg Copa Ford #4</v>
          </cell>
          <cell r="P90" t="str">
            <v>Ninguno</v>
          </cell>
          <cell r="Q90" t="str">
            <v>Ninguno</v>
          </cell>
          <cell r="R90" t="str">
            <v>-</v>
          </cell>
          <cell r="S90" t="str">
            <v>4 Horas</v>
          </cell>
          <cell r="T90" t="str">
            <v>-</v>
          </cell>
          <cell r="U90" t="str">
            <v>-</v>
          </cell>
          <cell r="V90" t="str">
            <v>Mate</v>
          </cell>
          <cell r="W90" t="str">
            <v>-</v>
          </cell>
          <cell r="X90" t="str">
            <v>12 meses</v>
          </cell>
          <cell r="Y90" t="str">
            <v>Olympia Empac-Guatemala</v>
          </cell>
          <cell r="Z90" t="str">
            <v>Muebles de Madera.</v>
          </cell>
          <cell r="AA90" t="str">
            <v>-</v>
          </cell>
          <cell r="AB90" t="str">
            <v>-</v>
          </cell>
          <cell r="AC90" t="str">
            <v>S/F</v>
          </cell>
        </row>
        <row r="91">
          <cell r="A91" t="str">
            <v>SAA 3199</v>
          </cell>
          <cell r="B91" t="str">
            <v>Sellador Lijable Listo Para Usar</v>
          </cell>
          <cell r="C91" t="str">
            <v>Interior</v>
          </cell>
          <cell r="D91" t="str">
            <v>Madera</v>
          </cell>
          <cell r="E91" t="str">
            <v>Lijado</v>
          </cell>
          <cell r="F91" t="str">
            <v>Oil Stain</v>
          </cell>
          <cell r="G91" t="str">
            <v>7.43 Lbs/Gl</v>
          </cell>
          <cell r="H91" t="str">
            <v>11.90%</v>
          </cell>
          <cell r="I91" t="str">
            <v>25.60%</v>
          </cell>
          <cell r="J91" t="str">
            <v>23.55%</v>
          </cell>
          <cell r="K91" t="str">
            <v>11.20%</v>
          </cell>
          <cell r="L91" t="str">
            <v>18.39%</v>
          </cell>
          <cell r="M91" t="str">
            <v>18-20 seg. Copa Ford #4</v>
          </cell>
          <cell r="N91" t="str">
            <v>Pistola</v>
          </cell>
          <cell r="O91" t="str">
            <v>18-20 seg. Copa Ford #4</v>
          </cell>
          <cell r="P91" t="str">
            <v>Ninguno</v>
          </cell>
          <cell r="Q91" t="str">
            <v>Ninguno</v>
          </cell>
          <cell r="R91" t="str">
            <v>-</v>
          </cell>
          <cell r="S91" t="str">
            <v>20-25 min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12 meses</v>
          </cell>
          <cell r="Y91" t="str">
            <v>Olympia Empac-Guatemala</v>
          </cell>
          <cell r="Z91" t="str">
            <v>Muebles de Madera.</v>
          </cell>
          <cell r="AA91" t="str">
            <v>-</v>
          </cell>
          <cell r="AB91" t="str">
            <v>-</v>
          </cell>
          <cell r="AC91" t="str">
            <v>S/F</v>
          </cell>
        </row>
        <row r="92">
          <cell r="A92" t="str">
            <v>SAA 3200</v>
          </cell>
          <cell r="B92" t="str">
            <v>Laca Transparente Semimate Lista Para Usar</v>
          </cell>
          <cell r="C92" t="str">
            <v>Interior</v>
          </cell>
          <cell r="D92" t="str">
            <v>Madera</v>
          </cell>
          <cell r="E92" t="str">
            <v>Lijado</v>
          </cell>
          <cell r="F92" t="str">
            <v>Oil Stain+Sellador Lijable</v>
          </cell>
          <cell r="G92" t="str">
            <v>7.41 Lbs/Gl</v>
          </cell>
          <cell r="H92" t="str">
            <v>0.005%</v>
          </cell>
          <cell r="I92" t="str">
            <v>20.63%</v>
          </cell>
          <cell r="J92" t="str">
            <v>20.20%</v>
          </cell>
          <cell r="K92" t="str">
            <v>1.66%</v>
          </cell>
          <cell r="L92" t="str">
            <v>13.29%</v>
          </cell>
          <cell r="M92" t="str">
            <v>18-20 seg. Copa Ford #4</v>
          </cell>
          <cell r="N92" t="str">
            <v>Pistola</v>
          </cell>
          <cell r="O92" t="str">
            <v>18-20 seg. Copa Ford #4</v>
          </cell>
          <cell r="P92" t="str">
            <v>Ninguno</v>
          </cell>
          <cell r="Q92" t="str">
            <v>Ninguno</v>
          </cell>
          <cell r="R92" t="str">
            <v>-</v>
          </cell>
          <cell r="S92" t="str">
            <v>20-25 min</v>
          </cell>
          <cell r="T92" t="str">
            <v>-</v>
          </cell>
          <cell r="U92" t="str">
            <v>-</v>
          </cell>
          <cell r="V92" t="str">
            <v>75</v>
          </cell>
          <cell r="W92" t="str">
            <v>-</v>
          </cell>
          <cell r="X92" t="str">
            <v>12 meses</v>
          </cell>
          <cell r="Y92" t="str">
            <v>Olympia Empac-Guatemala</v>
          </cell>
          <cell r="Z92" t="str">
            <v>Muebles de Madera.</v>
          </cell>
          <cell r="AA92" t="str">
            <v>-</v>
          </cell>
          <cell r="AB92" t="str">
            <v>-</v>
          </cell>
          <cell r="AC92" t="str">
            <v>S/F</v>
          </cell>
        </row>
        <row r="93">
          <cell r="A93" t="str">
            <v>SAA 3201</v>
          </cell>
          <cell r="B93" t="str">
            <v>White Wood Surfacer</v>
          </cell>
          <cell r="C93" t="str">
            <v>Interior</v>
          </cell>
          <cell r="D93" t="str">
            <v>Madera</v>
          </cell>
          <cell r="E93" t="str">
            <v>Lijado</v>
          </cell>
          <cell r="F93" t="str">
            <v>Ninguno</v>
          </cell>
          <cell r="G93" t="str">
            <v>8.10 Lbs/Gl</v>
          </cell>
          <cell r="H93" t="str">
            <v>13.50%</v>
          </cell>
          <cell r="I93" t="str">
            <v>31.50%</v>
          </cell>
          <cell r="J93" t="str">
            <v>20.81%</v>
          </cell>
          <cell r="K93" t="str">
            <v>23.74%</v>
          </cell>
          <cell r="L93" t="str">
            <v>18.03%</v>
          </cell>
          <cell r="M93" t="str">
            <v>18-20 seg. Copa Ford #4</v>
          </cell>
          <cell r="N93" t="str">
            <v>Pistola</v>
          </cell>
          <cell r="O93" t="str">
            <v>18-20 seg. Copa Ford #4</v>
          </cell>
          <cell r="P93" t="str">
            <v>Ninguno</v>
          </cell>
          <cell r="Q93" t="str">
            <v>Ninguno</v>
          </cell>
          <cell r="R93" t="str">
            <v>-</v>
          </cell>
          <cell r="S93" t="str">
            <v>20-25 min</v>
          </cell>
          <cell r="T93" t="str">
            <v>-</v>
          </cell>
          <cell r="U93" t="str">
            <v>-</v>
          </cell>
          <cell r="V93" t="str">
            <v>Mate</v>
          </cell>
          <cell r="W93" t="str">
            <v>-</v>
          </cell>
          <cell r="X93" t="str">
            <v>12 meses</v>
          </cell>
          <cell r="Y93" t="str">
            <v>Olympia Empac-Guatemala</v>
          </cell>
          <cell r="Z93" t="str">
            <v>Muebles de Madera.</v>
          </cell>
          <cell r="AA93" t="str">
            <v>-</v>
          </cell>
          <cell r="AB93" t="str">
            <v>-</v>
          </cell>
          <cell r="AC93" t="str">
            <v>S/F</v>
          </cell>
        </row>
        <row r="94">
          <cell r="A94" t="str">
            <v>SAA 3202</v>
          </cell>
          <cell r="B94" t="str">
            <v>Laca Industrial Blanca</v>
          </cell>
          <cell r="C94" t="str">
            <v>Interior</v>
          </cell>
          <cell r="D94" t="str">
            <v>Madera</v>
          </cell>
          <cell r="E94" t="str">
            <v>Lijado</v>
          </cell>
          <cell r="F94" t="str">
            <v>White Wood Surfacer</v>
          </cell>
          <cell r="G94" t="str">
            <v>8.29 Lbs/GL</v>
          </cell>
          <cell r="H94" t="str">
            <v>13.17%</v>
          </cell>
          <cell r="I94" t="str">
            <v>32.81%</v>
          </cell>
          <cell r="J94" t="str">
            <v>22.62%</v>
          </cell>
          <cell r="K94" t="str">
            <v>17.37%</v>
          </cell>
          <cell r="L94" t="str">
            <v>18.54%</v>
          </cell>
          <cell r="M94" t="str">
            <v>18-20 seg. Copa Ford #4</v>
          </cell>
          <cell r="N94" t="str">
            <v>Pistola</v>
          </cell>
          <cell r="O94" t="str">
            <v>18-20 seg. Copa Ford #4</v>
          </cell>
          <cell r="P94" t="str">
            <v>Ninguno</v>
          </cell>
          <cell r="Q94" t="str">
            <v>Ninguno</v>
          </cell>
          <cell r="R94" t="str">
            <v>-</v>
          </cell>
          <cell r="S94" t="str">
            <v>25-30 min</v>
          </cell>
          <cell r="T94" t="str">
            <v>-</v>
          </cell>
          <cell r="U94" t="str">
            <v>-</v>
          </cell>
          <cell r="V94" t="str">
            <v>85</v>
          </cell>
          <cell r="W94" t="str">
            <v>-</v>
          </cell>
          <cell r="X94" t="str">
            <v>12 meses</v>
          </cell>
          <cell r="Y94" t="str">
            <v>Olympia Empac-Guatemala</v>
          </cell>
          <cell r="Z94" t="str">
            <v>Muebles de Madera.</v>
          </cell>
          <cell r="AA94" t="str">
            <v>-</v>
          </cell>
          <cell r="AB94" t="str">
            <v>-</v>
          </cell>
          <cell r="AC94" t="str">
            <v>S/F</v>
          </cell>
        </row>
        <row r="95">
          <cell r="A95" t="str">
            <v>SAA 3203</v>
          </cell>
          <cell r="B95" t="str">
            <v>Laca Industrial Beige</v>
          </cell>
          <cell r="C95" t="str">
            <v>Interior</v>
          </cell>
          <cell r="D95" t="str">
            <v>Madera</v>
          </cell>
          <cell r="E95" t="str">
            <v>Lijado</v>
          </cell>
          <cell r="F95" t="str">
            <v>White Wood Surfacer</v>
          </cell>
          <cell r="G95" t="str">
            <v>8.29 Lbs/GL</v>
          </cell>
          <cell r="H95" t="str">
            <v>13.17%</v>
          </cell>
          <cell r="I95" t="str">
            <v>32.81%</v>
          </cell>
          <cell r="J95" t="str">
            <v>22.62%</v>
          </cell>
          <cell r="K95" t="str">
            <v>17.37%</v>
          </cell>
          <cell r="L95" t="str">
            <v>18.54%</v>
          </cell>
          <cell r="M95" t="str">
            <v>18-20 seg. Copa Ford #4</v>
          </cell>
          <cell r="N95" t="str">
            <v>Pistola</v>
          </cell>
          <cell r="O95" t="str">
            <v>18-20 seg. Copa Ford #4</v>
          </cell>
          <cell r="P95" t="str">
            <v>Ninguno</v>
          </cell>
          <cell r="Q95" t="str">
            <v>Ninguno</v>
          </cell>
          <cell r="R95" t="str">
            <v>-</v>
          </cell>
          <cell r="S95" t="str">
            <v>25-30 min</v>
          </cell>
          <cell r="T95" t="str">
            <v>-</v>
          </cell>
          <cell r="U95" t="str">
            <v>-</v>
          </cell>
          <cell r="V95" t="str">
            <v>85</v>
          </cell>
          <cell r="W95" t="str">
            <v>-</v>
          </cell>
          <cell r="X95" t="str">
            <v>12 meses</v>
          </cell>
          <cell r="Y95" t="str">
            <v>Olympia Empac-Guatemala</v>
          </cell>
          <cell r="Z95" t="str">
            <v>Muebles de Madera.</v>
          </cell>
          <cell r="AA95" t="str">
            <v>-</v>
          </cell>
          <cell r="AB95" t="str">
            <v>-</v>
          </cell>
          <cell r="AC95" t="str">
            <v>S/F</v>
          </cell>
        </row>
        <row r="96">
          <cell r="A96" t="str">
            <v>SAA 3209</v>
          </cell>
          <cell r="B96" t="str">
            <v>Pintura Para Recubrimiento Interior Crema Claro</v>
          </cell>
          <cell r="C96" t="str">
            <v>Interior</v>
          </cell>
          <cell r="D96" t="str">
            <v>Hojalata-Lamina Cromada</v>
          </cell>
          <cell r="E96" t="str">
            <v>Limpieza Adecuada</v>
          </cell>
          <cell r="F96" t="str">
            <v>Ninguno</v>
          </cell>
          <cell r="G96" t="str">
            <v>9.01 Lbs/Gl</v>
          </cell>
          <cell r="H96" t="str">
            <v>14.71%</v>
          </cell>
          <cell r="I96" t="str">
            <v>48.73%</v>
          </cell>
          <cell r="J96" t="str">
            <v>40.45%</v>
          </cell>
          <cell r="K96" t="str">
            <v>11.14%</v>
          </cell>
          <cell r="L96" t="str">
            <v>49.17%</v>
          </cell>
          <cell r="M96" t="str">
            <v>20"-25" Copa Ford #4</v>
          </cell>
          <cell r="N96" t="str">
            <v>Pistola</v>
          </cell>
          <cell r="O96" t="str">
            <v>20"-25" Copa Ford #4</v>
          </cell>
          <cell r="P96" t="str">
            <v>Lo necesario con R2K4</v>
          </cell>
          <cell r="Q96" t="str">
            <v>R2K4         Industrial reducer</v>
          </cell>
          <cell r="R96" t="str">
            <v>1.0-1.2 mills</v>
          </cell>
          <cell r="S96" t="str">
            <v>Al horno</v>
          </cell>
          <cell r="T96" t="str">
            <v>10' a 400°F</v>
          </cell>
          <cell r="U96" t="str">
            <v>-</v>
          </cell>
          <cell r="V96" t="str">
            <v>80-85</v>
          </cell>
          <cell r="W96" t="str">
            <v>F</v>
          </cell>
          <cell r="X96" t="str">
            <v>6 meses</v>
          </cell>
          <cell r="Y96" t="str">
            <v>Colgate Palmolive</v>
          </cell>
          <cell r="Z96" t="str">
            <v>Desodorante en Spray</v>
          </cell>
          <cell r="AA96" t="str">
            <v>-</v>
          </cell>
          <cell r="AB96" t="str">
            <v>-</v>
          </cell>
          <cell r="AC96" t="str">
            <v>S/F</v>
          </cell>
        </row>
        <row r="97">
          <cell r="A97" t="str">
            <v>SAA 3246</v>
          </cell>
          <cell r="B97" t="str">
            <v>Collapsible Tube Enamel Black</v>
          </cell>
          <cell r="C97" t="str">
            <v>Horneo 3 Minutos</v>
          </cell>
          <cell r="D97" t="str">
            <v xml:space="preserve">Aluminio </v>
          </cell>
          <cell r="E97" t="str">
            <v>Limpieza con Solvente Sherwin Clean</v>
          </cell>
          <cell r="F97" t="str">
            <v>Ninguno</v>
          </cell>
          <cell r="G97" t="str">
            <v>8.27 Lbs/Gl</v>
          </cell>
          <cell r="H97" t="str">
            <v>1.18%</v>
          </cell>
          <cell r="I97" t="str">
            <v>34.6%</v>
          </cell>
          <cell r="J97" t="str">
            <v>20%</v>
          </cell>
          <cell r="K97" t="str">
            <v>2.43%</v>
          </cell>
          <cell r="L97" t="str">
            <v>27.6%</v>
          </cell>
          <cell r="M97" t="str">
            <v>4000-5000 Cps</v>
          </cell>
          <cell r="N97" t="str">
            <v>Rodillo</v>
          </cell>
          <cell r="O97" t="str">
            <v>4000-5000 Cps</v>
          </cell>
          <cell r="P97" t="str">
            <v>Ninguno</v>
          </cell>
          <cell r="Q97" t="str">
            <v>Ninguno</v>
          </cell>
          <cell r="R97" t="str">
            <v>1 mills</v>
          </cell>
          <cell r="S97" t="str">
            <v>Horneo</v>
          </cell>
          <cell r="T97" t="str">
            <v>3 Minutos a 300°F</v>
          </cell>
          <cell r="U97" t="str">
            <v>51.4 Mts Cuadrados/Gl</v>
          </cell>
          <cell r="V97" t="str">
            <v>+70</v>
          </cell>
          <cell r="W97" t="str">
            <v>H</v>
          </cell>
          <cell r="X97" t="str">
            <v>-</v>
          </cell>
          <cell r="Y97" t="str">
            <v>Colgate Palmolive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S/F</v>
          </cell>
        </row>
        <row r="98">
          <cell r="A98" t="str">
            <v>SAA 3247</v>
          </cell>
          <cell r="B98" t="str">
            <v>Danish Walnut Gloss Glaze</v>
          </cell>
          <cell r="C98" t="str">
            <v>Interior</v>
          </cell>
          <cell r="D98" t="str">
            <v>Madera</v>
          </cell>
          <cell r="E98" t="str">
            <v>Limpia</v>
          </cell>
          <cell r="F98" t="str">
            <v>Ninguno</v>
          </cell>
          <cell r="G98" t="str">
            <v>7.30 Lbs/Gl</v>
          </cell>
          <cell r="H98" t="str">
            <v>0.41%</v>
          </cell>
          <cell r="I98" t="str">
            <v>13.05%</v>
          </cell>
          <cell r="J98" t="str">
            <v>12.89%</v>
          </cell>
          <cell r="K98" t="str">
            <v>0.45%</v>
          </cell>
          <cell r="L98" t="str">
            <v>8.64%</v>
          </cell>
          <cell r="M98" t="str">
            <v>14"-16" Copa Ford #4</v>
          </cell>
          <cell r="N98" t="str">
            <v>Pistola</v>
          </cell>
          <cell r="O98" t="str">
            <v>14"-16" Copa Ford #4</v>
          </cell>
          <cell r="P98" t="str">
            <v>Listo Para Usar</v>
          </cell>
          <cell r="Q98" t="str">
            <v>R7KB28 Si es Necesario</v>
          </cell>
          <cell r="R98" t="str">
            <v>0.5-2.0 mills</v>
          </cell>
          <cell r="S98" t="str">
            <v>Al Aire 30 min.</v>
          </cell>
          <cell r="T98" t="str">
            <v>-</v>
          </cell>
          <cell r="U98" t="str">
            <v>208.8 pies cuadrados por galón</v>
          </cell>
          <cell r="V98" t="str">
            <v>+80</v>
          </cell>
          <cell r="W98" t="str">
            <v>-</v>
          </cell>
          <cell r="X98" t="str">
            <v>12 meses</v>
          </cell>
          <cell r="Y98" t="str">
            <v>Muebles Molina Hnos</v>
          </cell>
          <cell r="Z98" t="str">
            <v>Muebles de Madera.</v>
          </cell>
          <cell r="AA98" t="str">
            <v>-</v>
          </cell>
          <cell r="AB98" t="str">
            <v>-</v>
          </cell>
          <cell r="AC98" t="str">
            <v>S/F</v>
          </cell>
        </row>
        <row r="99">
          <cell r="A99" t="str">
            <v>SAA 3248</v>
          </cell>
          <cell r="B99" t="str">
            <v>African Mahogany Gloss Glaze</v>
          </cell>
          <cell r="C99" t="str">
            <v>Interior</v>
          </cell>
          <cell r="D99" t="str">
            <v>Madera</v>
          </cell>
          <cell r="E99" t="str">
            <v>Limpia</v>
          </cell>
          <cell r="F99" t="str">
            <v>Ninguno</v>
          </cell>
          <cell r="G99" t="str">
            <v>7.30 Lbs/Gl</v>
          </cell>
          <cell r="H99" t="str">
            <v>0.13%</v>
          </cell>
          <cell r="I99" t="str">
            <v>13.0%</v>
          </cell>
          <cell r="J99" t="str">
            <v>12.84%</v>
          </cell>
          <cell r="K99" t="str">
            <v>0.44%</v>
          </cell>
          <cell r="L99" t="str">
            <v>8.64%</v>
          </cell>
          <cell r="M99" t="str">
            <v>14"-16" Copa Ford #4</v>
          </cell>
          <cell r="N99" t="str">
            <v>Pistola</v>
          </cell>
          <cell r="O99" t="str">
            <v>14"-16" Copa Ford #4</v>
          </cell>
          <cell r="P99" t="str">
            <v>Listo Para Usar</v>
          </cell>
          <cell r="Q99" t="str">
            <v>R7KB28 Si es Necesario</v>
          </cell>
          <cell r="R99" t="str">
            <v>0.5-2.0 mills</v>
          </cell>
          <cell r="S99" t="str">
            <v>Al Aire 30 min.</v>
          </cell>
          <cell r="T99" t="str">
            <v>-</v>
          </cell>
          <cell r="U99" t="str">
            <v>208 pies cuadrados por galón</v>
          </cell>
          <cell r="V99" t="str">
            <v>+80</v>
          </cell>
          <cell r="W99" t="str">
            <v>-</v>
          </cell>
          <cell r="X99" t="str">
            <v>12 meses</v>
          </cell>
          <cell r="Y99" t="str">
            <v>Muebles Molina Hnos</v>
          </cell>
          <cell r="Z99" t="str">
            <v>Muebles de Madera.</v>
          </cell>
          <cell r="AA99" t="str">
            <v>-</v>
          </cell>
          <cell r="AB99" t="str">
            <v>-</v>
          </cell>
          <cell r="AC99" t="str">
            <v>S/F</v>
          </cell>
        </row>
        <row r="100">
          <cell r="A100" t="str">
            <v>SAA 3249</v>
          </cell>
          <cell r="B100" t="str">
            <v>English Oak Gloss Glaze</v>
          </cell>
          <cell r="C100" t="str">
            <v>Interior</v>
          </cell>
          <cell r="D100" t="str">
            <v>Madera</v>
          </cell>
          <cell r="E100" t="str">
            <v>Limpia</v>
          </cell>
          <cell r="F100" t="str">
            <v>Ninguno</v>
          </cell>
          <cell r="G100" t="str">
            <v>7.30 Lbs/Gl</v>
          </cell>
          <cell r="H100" t="str">
            <v>0.21%</v>
          </cell>
          <cell r="I100" t="str">
            <v>13.05%</v>
          </cell>
          <cell r="J100" t="str">
            <v>12.87%</v>
          </cell>
          <cell r="K100" t="str">
            <v>0.45%</v>
          </cell>
          <cell r="L100" t="str">
            <v>8.64%</v>
          </cell>
          <cell r="M100" t="str">
            <v>14"-16" Copa Ford #4</v>
          </cell>
          <cell r="N100" t="str">
            <v>Pistola</v>
          </cell>
          <cell r="O100" t="str">
            <v>14"-16" Copa Ford #4</v>
          </cell>
          <cell r="P100" t="str">
            <v>Listo Para Usar</v>
          </cell>
          <cell r="Q100" t="str">
            <v>R7KB28 Si es Necesario</v>
          </cell>
          <cell r="R100" t="str">
            <v>0.5-2.0 mills</v>
          </cell>
          <cell r="S100" t="str">
            <v>Al Aire 30 min.</v>
          </cell>
          <cell r="T100" t="str">
            <v>-</v>
          </cell>
          <cell r="U100" t="str">
            <v>208.8 pies cuadrados por galón</v>
          </cell>
          <cell r="V100" t="str">
            <v>+80</v>
          </cell>
          <cell r="W100" t="str">
            <v>-</v>
          </cell>
          <cell r="X100" t="str">
            <v>12 meses</v>
          </cell>
          <cell r="Y100" t="str">
            <v>Muebles Molina Hnos</v>
          </cell>
          <cell r="Z100" t="str">
            <v>Muebles de Madera.</v>
          </cell>
          <cell r="AA100" t="str">
            <v>-</v>
          </cell>
          <cell r="AB100" t="str">
            <v>-</v>
          </cell>
          <cell r="AC100" t="str">
            <v>S/F</v>
          </cell>
        </row>
        <row r="101">
          <cell r="A101" t="str">
            <v>SAA 3250</v>
          </cell>
          <cell r="B101" t="str">
            <v>Danish Walnut Flat Glaze</v>
          </cell>
          <cell r="C101" t="str">
            <v>Interior</v>
          </cell>
          <cell r="D101" t="str">
            <v>Madera</v>
          </cell>
          <cell r="E101" t="str">
            <v>Limpia</v>
          </cell>
          <cell r="F101" t="str">
            <v>Ninguno</v>
          </cell>
          <cell r="G101" t="str">
            <v>7.22 Lbs/Gl</v>
          </cell>
          <cell r="H101" t="str">
            <v>0.60%</v>
          </cell>
          <cell r="I101" t="str">
            <v>11.62%</v>
          </cell>
          <cell r="J101" t="str">
            <v>11.09%</v>
          </cell>
          <cell r="K101" t="str">
            <v>2.59%</v>
          </cell>
          <cell r="L101" t="str">
            <v>7.92%</v>
          </cell>
          <cell r="M101" t="str">
            <v>14"-16" Copa Ford #4</v>
          </cell>
          <cell r="N101" t="str">
            <v>Pistola</v>
          </cell>
          <cell r="O101" t="str">
            <v>14"-16" Copa Ford #4</v>
          </cell>
          <cell r="P101" t="str">
            <v>Listo Para Usar</v>
          </cell>
          <cell r="Q101" t="str">
            <v>R7KB28 Si es Necesario</v>
          </cell>
          <cell r="R101" t="str">
            <v>0.5-2.0 mills</v>
          </cell>
          <cell r="S101" t="str">
            <v>Al Aire 30 min.</v>
          </cell>
          <cell r="T101" t="str">
            <v>-</v>
          </cell>
          <cell r="U101" t="str">
            <v>185.92 pies cuadrados por galón</v>
          </cell>
          <cell r="V101" t="str">
            <v>+80</v>
          </cell>
          <cell r="W101" t="str">
            <v>-</v>
          </cell>
          <cell r="X101" t="str">
            <v>12 meses</v>
          </cell>
          <cell r="Y101" t="str">
            <v>Muebles Molina Hnos</v>
          </cell>
          <cell r="Z101" t="str">
            <v>Muebles de Madera.</v>
          </cell>
          <cell r="AA101" t="str">
            <v>-</v>
          </cell>
          <cell r="AB101" t="str">
            <v>-</v>
          </cell>
          <cell r="AC101" t="str">
            <v>S/F</v>
          </cell>
        </row>
        <row r="102">
          <cell r="A102" t="str">
            <v>SAA 3251</v>
          </cell>
          <cell r="B102" t="str">
            <v>African Mahogany Flat Glaze</v>
          </cell>
          <cell r="C102" t="str">
            <v>Interior</v>
          </cell>
          <cell r="D102" t="str">
            <v>Madera</v>
          </cell>
          <cell r="E102" t="str">
            <v>Limpia</v>
          </cell>
          <cell r="F102" t="str">
            <v>Ninguno</v>
          </cell>
          <cell r="G102" t="str">
            <v>7.22 Lbs/Gl</v>
          </cell>
          <cell r="H102" t="str">
            <v>0.61%</v>
          </cell>
          <cell r="I102" t="str">
            <v>11.58%</v>
          </cell>
          <cell r="J102" t="str">
            <v>11.04%</v>
          </cell>
          <cell r="K102" t="str">
            <v>3.01%</v>
          </cell>
          <cell r="L102" t="str">
            <v>7.91%</v>
          </cell>
          <cell r="M102" t="str">
            <v>14"-16" Copa Ford #4</v>
          </cell>
          <cell r="N102" t="str">
            <v>Pistola</v>
          </cell>
          <cell r="O102" t="str">
            <v>14"-16" Copa Ford #4</v>
          </cell>
          <cell r="P102" t="str">
            <v>Listo Para Usar</v>
          </cell>
          <cell r="Q102" t="str">
            <v>R7KB28 Si es Necesario</v>
          </cell>
          <cell r="R102" t="str">
            <v>0.5-2.0 mills</v>
          </cell>
          <cell r="S102" t="str">
            <v>Al Aire 30 min.</v>
          </cell>
          <cell r="T102" t="str">
            <v>-</v>
          </cell>
          <cell r="U102" t="str">
            <v>185.28 pies cuadrados por galón</v>
          </cell>
          <cell r="V102" t="str">
            <v>+80</v>
          </cell>
          <cell r="W102" t="str">
            <v>-</v>
          </cell>
          <cell r="X102" t="str">
            <v>12 meses</v>
          </cell>
          <cell r="Y102" t="str">
            <v>Muebles Molina Hnos</v>
          </cell>
          <cell r="Z102" t="str">
            <v>Muebles de Madera.</v>
          </cell>
          <cell r="AA102" t="str">
            <v>-</v>
          </cell>
          <cell r="AB102" t="str">
            <v>-</v>
          </cell>
          <cell r="AC102" t="str">
            <v>S/F</v>
          </cell>
        </row>
        <row r="103">
          <cell r="A103" t="str">
            <v>SAA 3252</v>
          </cell>
          <cell r="B103" t="str">
            <v>English Oak Flat Glaze</v>
          </cell>
          <cell r="C103" t="str">
            <v>Interior</v>
          </cell>
          <cell r="D103" t="str">
            <v>Madera</v>
          </cell>
          <cell r="E103" t="str">
            <v>Limpia</v>
          </cell>
          <cell r="F103" t="str">
            <v>Ninguno</v>
          </cell>
          <cell r="G103" t="str">
            <v>7.22 Lbs/Gl</v>
          </cell>
          <cell r="H103" t="str">
            <v>0.60%</v>
          </cell>
          <cell r="I103" t="str">
            <v>11.63%</v>
          </cell>
          <cell r="J103" t="str">
            <v>11.09%</v>
          </cell>
          <cell r="K103" t="str">
            <v>2.52%</v>
          </cell>
          <cell r="L103" t="str">
            <v>8.11%</v>
          </cell>
          <cell r="M103" t="str">
            <v>14"-16" Copa Ford #4</v>
          </cell>
          <cell r="N103" t="str">
            <v>Pistola</v>
          </cell>
          <cell r="O103" t="str">
            <v>14"-16" Copa Ford #4</v>
          </cell>
          <cell r="P103" t="str">
            <v>Listo Para Usar</v>
          </cell>
          <cell r="Q103" t="str">
            <v>R7KB28 Si es Necesario</v>
          </cell>
          <cell r="R103" t="str">
            <v>0.5-2.0 mills</v>
          </cell>
          <cell r="S103" t="str">
            <v>Al Aire 30 min.</v>
          </cell>
          <cell r="T103" t="str">
            <v>-</v>
          </cell>
          <cell r="U103" t="str">
            <v>186.08 pies cuadrados por galón</v>
          </cell>
          <cell r="V103" t="str">
            <v>+60</v>
          </cell>
          <cell r="W103" t="str">
            <v>-</v>
          </cell>
          <cell r="X103" t="str">
            <v>12 meses</v>
          </cell>
          <cell r="Y103" t="str">
            <v>Muebles Molina Hnos</v>
          </cell>
          <cell r="Z103" t="str">
            <v>Muebles de Madera.</v>
          </cell>
          <cell r="AA103" t="str">
            <v>-</v>
          </cell>
          <cell r="AB103" t="str">
            <v>-</v>
          </cell>
          <cell r="AC103" t="str">
            <v>S/F</v>
          </cell>
        </row>
        <row r="104">
          <cell r="A104" t="str">
            <v>SAA 3299</v>
          </cell>
          <cell r="B104" t="str">
            <v>Sherwood Super Kem Var "C" Gloss (Catalizado)</v>
          </cell>
          <cell r="C104" t="str">
            <v>Interior</v>
          </cell>
          <cell r="D104" t="str">
            <v>Madera</v>
          </cell>
          <cell r="E104" t="str">
            <v>Lijada, Libre de Polvo</v>
          </cell>
          <cell r="F104" t="str">
            <v>Sellador T60F50</v>
          </cell>
          <cell r="G104" t="str">
            <v>8.02 Lbs/Gl</v>
          </cell>
          <cell r="H104" t="str">
            <v>-</v>
          </cell>
          <cell r="I104" t="str">
            <v>45%</v>
          </cell>
          <cell r="J104" t="str">
            <v>52%</v>
          </cell>
          <cell r="K104" t="str">
            <v>-</v>
          </cell>
          <cell r="L104" t="str">
            <v>37.67%</v>
          </cell>
          <cell r="M104" t="str">
            <v>18"-22" Copa Ford #4</v>
          </cell>
          <cell r="N104" t="str">
            <v>Pistola de Aire</v>
          </cell>
          <cell r="O104" t="str">
            <v>18"-22" Copa Ford #4</v>
          </cell>
          <cell r="P104" t="str">
            <v>5% de V66V21 (Catalizador)</v>
          </cell>
          <cell r="Q104" t="str">
            <v>Ninguno</v>
          </cell>
          <cell r="R104" t="str">
            <v>1 mills</v>
          </cell>
          <cell r="S104" t="str">
            <v>Seco Tocar: 15 Min. Seco Completo 30 Min.</v>
          </cell>
          <cell r="T104" t="str">
            <v>-</v>
          </cell>
          <cell r="U104" t="str">
            <v>215 Pies Cuadrados/Gl</v>
          </cell>
          <cell r="V104" t="str">
            <v>+90</v>
          </cell>
          <cell r="W104" t="str">
            <v>4H (1 Mano), Mayor de 6H ( 2 Manos)</v>
          </cell>
          <cell r="X104" t="str">
            <v>-</v>
          </cell>
          <cell r="Y104" t="str">
            <v>INDECO-Guatemala</v>
          </cell>
          <cell r="Z104" t="str">
            <v>Muebles de Madera.</v>
          </cell>
          <cell r="AA104" t="str">
            <v>Este Producto Puede Permanecer Catalizado 7 Horas Antes de Gelarse Por la Catalización.</v>
          </cell>
          <cell r="AB104" t="str">
            <v>-</v>
          </cell>
          <cell r="AC104" t="str">
            <v>S/F</v>
          </cell>
        </row>
        <row r="105">
          <cell r="A105" t="str">
            <v>SAA 3300</v>
          </cell>
          <cell r="B105" t="str">
            <v>Tapaporo Nogal Oscuro Listo Para Usar</v>
          </cell>
          <cell r="C105" t="str">
            <v>Interior-Exterior</v>
          </cell>
          <cell r="D105" t="str">
            <v>Madera</v>
          </cell>
          <cell r="E105" t="str">
            <v>Lijada, Libre de Polvo</v>
          </cell>
          <cell r="F105" t="str">
            <v>Ninguno</v>
          </cell>
          <cell r="G105" t="str">
            <v>10.42 Lbs/Gl</v>
          </cell>
          <cell r="H105" t="str">
            <v>-</v>
          </cell>
          <cell r="I105" t="str">
            <v>50.8%</v>
          </cell>
          <cell r="J105" t="str">
            <v>45%</v>
          </cell>
          <cell r="K105" t="str">
            <v>-</v>
          </cell>
          <cell r="L105" t="str">
            <v>28.18%</v>
          </cell>
          <cell r="M105" t="str">
            <v>18"-22" Copa Ford #4</v>
          </cell>
          <cell r="N105" t="str">
            <v>Brocha-Whipe</v>
          </cell>
          <cell r="O105" t="str">
            <v>18"-22" Copa Ford #4</v>
          </cell>
          <cell r="P105" t="str">
            <v>Ninguno</v>
          </cell>
          <cell r="Q105" t="str">
            <v>Ninguno</v>
          </cell>
          <cell r="R105" t="str">
            <v>-</v>
          </cell>
          <cell r="S105" t="str">
            <v>5-10 MInutos</v>
          </cell>
          <cell r="T105" t="str">
            <v>-</v>
          </cell>
          <cell r="U105" t="str">
            <v>100 Mts Cuadrados/Gl</v>
          </cell>
          <cell r="V105" t="str">
            <v>Mate</v>
          </cell>
          <cell r="W105" t="str">
            <v>-</v>
          </cell>
          <cell r="X105" t="str">
            <v>-</v>
          </cell>
          <cell r="Y105" t="str">
            <v>INDECO-Guatemala</v>
          </cell>
          <cell r="Z105" t="str">
            <v>Muebles de Madera.</v>
          </cell>
          <cell r="AA105" t="str">
            <v>-</v>
          </cell>
          <cell r="AB105" t="str">
            <v>-</v>
          </cell>
          <cell r="AC105" t="str">
            <v>S/F</v>
          </cell>
        </row>
        <row r="106">
          <cell r="A106" t="str">
            <v>SAA 3302</v>
          </cell>
          <cell r="B106" t="str">
            <v>Barniz Sanitario Fenólico</v>
          </cell>
          <cell r="C106" t="str">
            <v>Interior-Exterior</v>
          </cell>
          <cell r="D106" t="str">
            <v>Hojalata</v>
          </cell>
          <cell r="E106" t="str">
            <v>Lipiar con Solvente</v>
          </cell>
          <cell r="F106" t="str">
            <v>Ninguno</v>
          </cell>
          <cell r="G106" t="str">
            <v>7.65 Lbs/Gl</v>
          </cell>
          <cell r="H106" t="str">
            <v>-</v>
          </cell>
          <cell r="I106" t="str">
            <v>27.7%</v>
          </cell>
          <cell r="J106" t="str">
            <v>54%</v>
          </cell>
          <cell r="K106" t="str">
            <v>-</v>
          </cell>
          <cell r="L106" t="str">
            <v>20.39%</v>
          </cell>
          <cell r="M106" t="str">
            <v>14"-17" Copa Ford #4</v>
          </cell>
          <cell r="N106" t="str">
            <v>Pistola de Aire</v>
          </cell>
          <cell r="O106" t="str">
            <v>14"-17" Copa Ford #4</v>
          </cell>
          <cell r="P106" t="str">
            <v>Ninguno</v>
          </cell>
          <cell r="Q106" t="str">
            <v>Ninguno</v>
          </cell>
          <cell r="R106" t="str">
            <v>1.0 mills</v>
          </cell>
          <cell r="S106" t="str">
            <v>Horneo</v>
          </cell>
          <cell r="T106" t="str">
            <v>20' a 375°F (190 °C)</v>
          </cell>
          <cell r="U106" t="str">
            <v>-</v>
          </cell>
          <cell r="V106" t="str">
            <v>Full</v>
          </cell>
          <cell r="W106" t="str">
            <v>5H-6H</v>
          </cell>
          <cell r="X106" t="str">
            <v>-</v>
          </cell>
          <cell r="Y106" t="str">
            <v>CORLASA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S/F</v>
          </cell>
        </row>
        <row r="107">
          <cell r="A107" t="str">
            <v>SAA 3305</v>
          </cell>
          <cell r="B107" t="str">
            <v>Tile Clad Enamel Blanco Hueso</v>
          </cell>
          <cell r="C107" t="str">
            <v>Interior</v>
          </cell>
          <cell r="D107" t="str">
            <v>Hierro-Acero-Aluminio</v>
          </cell>
          <cell r="E107" t="str">
            <v>Limpieza con Solvente</v>
          </cell>
          <cell r="F107" t="str">
            <v>Zinc Clad 7 (B69A47)</v>
          </cell>
          <cell r="G107" t="str">
            <v>11.03-11.15 Lbs/Gl</v>
          </cell>
          <cell r="H107" t="str">
            <v>43%</v>
          </cell>
          <cell r="I107" t="str">
            <v>63.7%</v>
          </cell>
          <cell r="J107" t="str">
            <v>60%</v>
          </cell>
          <cell r="K107" t="str">
            <v>37%</v>
          </cell>
          <cell r="L107" t="str">
            <v>43.7%</v>
          </cell>
          <cell r="M107" t="str">
            <v>75-80 KU</v>
          </cell>
          <cell r="N107" t="str">
            <v>Pistola de Aire-Brocha</v>
          </cell>
          <cell r="O107" t="str">
            <v>30-35 KU (Mezclado con Eggshell Hardener)</v>
          </cell>
          <cell r="P107" t="str">
            <v>20% con R2K4</v>
          </cell>
          <cell r="Q107" t="str">
            <v>R2K4         Industrial reducer</v>
          </cell>
          <cell r="R107" t="str">
            <v>1 mills</v>
          </cell>
          <cell r="S107" t="str">
            <v>Tocar: 1 Hra. Completo: 4 Hrs. Segunda Mano: 6 Hrs a Temperatura Ambiente</v>
          </cell>
          <cell r="T107" t="str">
            <v>-</v>
          </cell>
          <cell r="U107" t="str">
            <v>740 Pies cuadrados por Galon</v>
          </cell>
          <cell r="V107" t="str">
            <v>+35</v>
          </cell>
          <cell r="W107" t="str">
            <v>6H-7H</v>
          </cell>
          <cell r="X107" t="str">
            <v>36 meses cerrado</v>
          </cell>
          <cell r="Y107" t="str">
            <v>Beneficio El Tazumal (Chalchuapa)/(IMSA) Industrias Metalicas, S.A.</v>
          </cell>
          <cell r="Z107" t="str">
            <v>-</v>
          </cell>
          <cell r="AA107" t="str">
            <v>Mezclar una parte de Tile Clad con una parte de Eggshell Hardener, en volumen. Dejar reposar una hora antes de Aplicar. Tiempo de vida de la mezcla 8 horas.</v>
          </cell>
          <cell r="AB107" t="str">
            <v>-</v>
          </cell>
          <cell r="AC107" t="str">
            <v>S/F</v>
          </cell>
        </row>
        <row r="108">
          <cell r="A108" t="str">
            <v>SAA 3306</v>
          </cell>
          <cell r="B108" t="str">
            <v>Eggshell Hardener (Catalizador De Tile Clad Enamel)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10.42-10.67 Lbs/Gl</v>
          </cell>
          <cell r="H108" t="str">
            <v>32%</v>
          </cell>
          <cell r="I108" t="str">
            <v>69.57%</v>
          </cell>
          <cell r="J108" t="str">
            <v>60%</v>
          </cell>
          <cell r="K108" t="str">
            <v>26.6%</v>
          </cell>
          <cell r="L108" t="str">
            <v>55.9%</v>
          </cell>
          <cell r="M108" t="str">
            <v>75-80 KU</v>
          </cell>
          <cell r="N108" t="str">
            <v>Mezclar uno a uno en volumen con Tile Clad Enamel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Beneficio El Tazumal (Chalchuapa)/(IMSA) Industrias Metalicas, S.A.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S/F</v>
          </cell>
        </row>
        <row r="109">
          <cell r="A109" t="str">
            <v>SAA 3309</v>
          </cell>
          <cell r="B109" t="str">
            <v>Barniz Final Para Hojalata</v>
          </cell>
          <cell r="C109" t="str">
            <v>Interior-Exterior</v>
          </cell>
          <cell r="D109" t="str">
            <v>Hojalata</v>
          </cell>
          <cell r="E109" t="str">
            <v xml:space="preserve">Limpia </v>
          </cell>
          <cell r="F109" t="str">
            <v>Ninguno</v>
          </cell>
          <cell r="G109" t="str">
            <v>7.98 Lbs/Gl</v>
          </cell>
          <cell r="H109" t="str">
            <v>-</v>
          </cell>
          <cell r="I109" t="str">
            <v>42.50%</v>
          </cell>
          <cell r="J109" t="str">
            <v>42.50%</v>
          </cell>
          <cell r="K109" t="str">
            <v>-</v>
          </cell>
          <cell r="L109" t="str">
            <v>33.60%</v>
          </cell>
          <cell r="M109" t="str">
            <v>60"-65" copa Ford #4</v>
          </cell>
          <cell r="N109" t="str">
            <v>Rodillo</v>
          </cell>
          <cell r="O109" t="str">
            <v>60"-65" Copa Ford #4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12 Min a 160°C</v>
          </cell>
          <cell r="U109" t="str">
            <v>680 Pies cuadrados por Galón</v>
          </cell>
          <cell r="V109" t="str">
            <v>+90</v>
          </cell>
          <cell r="W109" t="str">
            <v>HB</v>
          </cell>
          <cell r="X109" t="str">
            <v>12 meses</v>
          </cell>
          <cell r="Y109" t="str">
            <v>Central de Empaques, Didema Guatemala</v>
          </cell>
          <cell r="Z109" t="str">
            <v>Corcholatas y Hojalatas</v>
          </cell>
          <cell r="AA109" t="str">
            <v>-</v>
          </cell>
          <cell r="AB109" t="str">
            <v>-</v>
          </cell>
          <cell r="AC109" t="str">
            <v>S/F</v>
          </cell>
        </row>
        <row r="110">
          <cell r="A110" t="str">
            <v>SAA 3310</v>
          </cell>
          <cell r="B110" t="str">
            <v>Barniz De Sobre Impresión</v>
          </cell>
          <cell r="C110" t="str">
            <v>Interior-Exterior</v>
          </cell>
          <cell r="D110" t="str">
            <v>Hojalata</v>
          </cell>
          <cell r="E110" t="str">
            <v xml:space="preserve">Limpia </v>
          </cell>
          <cell r="F110" t="str">
            <v>Ninguno</v>
          </cell>
          <cell r="G110" t="str">
            <v>7.98 Lbs/Gl</v>
          </cell>
          <cell r="H110" t="str">
            <v>-</v>
          </cell>
          <cell r="I110" t="str">
            <v>42.50%</v>
          </cell>
          <cell r="J110" t="str">
            <v>42.50%</v>
          </cell>
          <cell r="K110" t="str">
            <v>-</v>
          </cell>
          <cell r="L110" t="str">
            <v>33.60%</v>
          </cell>
          <cell r="M110" t="str">
            <v>60"-65" copa Ford #4</v>
          </cell>
          <cell r="N110" t="str">
            <v>Rodillo</v>
          </cell>
          <cell r="O110" t="str">
            <v>60"-65" Copa Ford #4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12 Min a 160°C</v>
          </cell>
          <cell r="U110" t="str">
            <v>680 Pies cuadrados por Galón</v>
          </cell>
          <cell r="V110" t="str">
            <v>+90</v>
          </cell>
          <cell r="W110" t="str">
            <v>HB</v>
          </cell>
          <cell r="X110" t="str">
            <v>12 meses</v>
          </cell>
          <cell r="Y110" t="str">
            <v>Central de Empaques, Didema Guatemala</v>
          </cell>
          <cell r="Z110" t="str">
            <v>Corcholatas y Hojalatas</v>
          </cell>
          <cell r="AA110" t="str">
            <v>-</v>
          </cell>
          <cell r="AB110" t="str">
            <v>-</v>
          </cell>
          <cell r="AC110" t="str">
            <v>S/F</v>
          </cell>
        </row>
        <row r="111">
          <cell r="A111" t="str">
            <v>SAA 3330</v>
          </cell>
          <cell r="B111" t="str">
            <v>Sellador Extra Concentrado</v>
          </cell>
          <cell r="C111" t="str">
            <v>Interior</v>
          </cell>
          <cell r="D111" t="str">
            <v>Madera</v>
          </cell>
          <cell r="E111" t="str">
            <v>Lijada y Limpia de Polvo</v>
          </cell>
          <cell r="F111" t="str">
            <v>D70T1</v>
          </cell>
          <cell r="G111" t="str">
            <v>8.02 Lbs/Gl</v>
          </cell>
          <cell r="H111" t="str">
            <v>-</v>
          </cell>
          <cell r="I111" t="str">
            <v>42.24%</v>
          </cell>
          <cell r="J111" t="str">
            <v>-</v>
          </cell>
          <cell r="K111" t="str">
            <v>-</v>
          </cell>
          <cell r="L111" t="str">
            <v>24.38%</v>
          </cell>
          <cell r="M111" t="str">
            <v>105,000-115,000 cps</v>
          </cell>
          <cell r="N111" t="str">
            <v>Pistola de Aire</v>
          </cell>
          <cell r="O111" t="str">
            <v>25"-30" Copa Zanh #2</v>
          </cell>
          <cell r="P111" t="str">
            <v>400%</v>
          </cell>
          <cell r="Q111" t="str">
            <v>R7K128</v>
          </cell>
          <cell r="R111" t="str">
            <v>-</v>
          </cell>
          <cell r="S111" t="str">
            <v>Tocar: 5 Min Completo: 20 Min</v>
          </cell>
          <cell r="T111" t="str">
            <v>-</v>
          </cell>
          <cell r="U111" t="str">
            <v>-</v>
          </cell>
          <cell r="V111" t="str">
            <v>Mate</v>
          </cell>
          <cell r="W111" t="str">
            <v>-</v>
          </cell>
          <cell r="X111" t="str">
            <v>-</v>
          </cell>
          <cell r="Y111" t="str">
            <v xml:space="preserve">DIDEMA  </v>
          </cell>
          <cell r="Z111" t="str">
            <v>Muebles de Madera.</v>
          </cell>
          <cell r="AA111" t="str">
            <v>-</v>
          </cell>
          <cell r="AB111" t="str">
            <v>-</v>
          </cell>
          <cell r="AC111" t="str">
            <v>S/F</v>
          </cell>
        </row>
        <row r="112">
          <cell r="A112" t="str">
            <v>SAA 3335</v>
          </cell>
          <cell r="B112" t="str">
            <v>Laca Transparente Brillante Especial</v>
          </cell>
          <cell r="C112" t="str">
            <v>Interiores</v>
          </cell>
          <cell r="D112" t="str">
            <v>Hierro (Picos, Azadones, Palas)</v>
          </cell>
          <cell r="E112" t="str">
            <v>Limpiar con solvente R7K128</v>
          </cell>
          <cell r="F112" t="str">
            <v>Ninguno</v>
          </cell>
          <cell r="G112" t="str">
            <v>7.44 Lbs/Gl</v>
          </cell>
          <cell r="H112" t="str">
            <v>-</v>
          </cell>
          <cell r="I112" t="str">
            <v>21.5%</v>
          </cell>
          <cell r="J112" t="str">
            <v>-</v>
          </cell>
          <cell r="K112" t="str">
            <v>-</v>
          </cell>
          <cell r="L112" t="str">
            <v>15.65%</v>
          </cell>
          <cell r="M112" t="str">
            <v>28-32" Copa Ford #4</v>
          </cell>
          <cell r="N112" t="str">
            <v>Inmersion</v>
          </cell>
          <cell r="O112" t="str">
            <v>28-32" Copa Ford #4</v>
          </cell>
          <cell r="P112" t="str">
            <v>Ninguno</v>
          </cell>
          <cell r="Q112" t="str">
            <v>Ninguno</v>
          </cell>
          <cell r="R112" t="str">
            <v>1 mills</v>
          </cell>
          <cell r="S112" t="str">
            <v>Tacto: 5-10 min Manejable: 15 min</v>
          </cell>
          <cell r="T112" t="str">
            <v>-</v>
          </cell>
          <cell r="U112" t="str">
            <v>-</v>
          </cell>
          <cell r="V112" t="str">
            <v>75-85</v>
          </cell>
          <cell r="W112" t="str">
            <v>-</v>
          </cell>
          <cell r="X112" t="str">
            <v>-</v>
          </cell>
          <cell r="Y112" t="str">
            <v>Vidri</v>
          </cell>
          <cell r="Z112" t="str">
            <v>Picos, Azadones, Palas</v>
          </cell>
          <cell r="AA112" t="str">
            <v>-</v>
          </cell>
          <cell r="AB112" t="str">
            <v>-</v>
          </cell>
          <cell r="AC112" t="str">
            <v>S/F</v>
          </cell>
        </row>
        <row r="113">
          <cell r="A113" t="str">
            <v>SAA 3672</v>
          </cell>
          <cell r="B113" t="str">
            <v>Anticorrosivo Blanco</v>
          </cell>
          <cell r="C113" t="str">
            <v>Interior-Exterior (Recubierta)</v>
          </cell>
          <cell r="D113" t="str">
            <v>Metal (Hierro)</v>
          </cell>
          <cell r="E113" t="str">
            <v>Limpia y Libre de Corrosión</v>
          </cell>
          <cell r="F113" t="str">
            <v>Ninguno</v>
          </cell>
          <cell r="G113" t="str">
            <v>11.17 Lbs/Gl</v>
          </cell>
          <cell r="H113" t="str">
            <v>78% (Respecto a Sólidos)</v>
          </cell>
          <cell r="I113" t="str">
            <v>65.33%</v>
          </cell>
          <cell r="J113" t="str">
            <v>22%</v>
          </cell>
          <cell r="K113" t="str">
            <v>56.6%</v>
          </cell>
          <cell r="L113" t="str">
            <v>41.5%</v>
          </cell>
          <cell r="M113" t="str">
            <v>78-85 KU</v>
          </cell>
          <cell r="N113" t="str">
            <v>Brocha-Pistola</v>
          </cell>
          <cell r="O113" t="str">
            <v>Brocha: 70-80 KU</v>
          </cell>
          <cell r="P113" t="str">
            <v>5-10%</v>
          </cell>
          <cell r="Q113" t="str">
            <v>R1K4</v>
          </cell>
          <cell r="R113" t="str">
            <v>2 mils</v>
          </cell>
          <cell r="S113" t="str">
            <v>Al Aire 5-7 Horas</v>
          </cell>
          <cell r="T113" t="str">
            <v>-</v>
          </cell>
          <cell r="U113" t="str">
            <v>-</v>
          </cell>
          <cell r="V113" t="str">
            <v>Semi-Mate</v>
          </cell>
          <cell r="W113" t="str">
            <v>-</v>
          </cell>
          <cell r="X113" t="str">
            <v>-</v>
          </cell>
          <cell r="Y113" t="str">
            <v xml:space="preserve">DIDEMA, S.A  </v>
          </cell>
          <cell r="Z113" t="str">
            <v>-</v>
          </cell>
          <cell r="AA113" t="str">
            <v>-</v>
          </cell>
          <cell r="AB113" t="str">
            <v>Rene Ferrufino</v>
          </cell>
          <cell r="AC113" t="str">
            <v>S/F</v>
          </cell>
        </row>
        <row r="114">
          <cell r="A114" t="str">
            <v>SAA 3769</v>
          </cell>
          <cell r="B114" t="str">
            <v>Permaclad 2500 White</v>
          </cell>
          <cell r="C114" t="str">
            <v>Interior</v>
          </cell>
          <cell r="D114" t="str">
            <v>Hierro</v>
          </cell>
          <cell r="E114" t="str">
            <v>Limpio con Solvente</v>
          </cell>
          <cell r="F114" t="str">
            <v>Ninguno</v>
          </cell>
          <cell r="G114" t="str">
            <v>12.02 Lbs/Gl</v>
          </cell>
          <cell r="H114" t="str">
            <v>41.28%</v>
          </cell>
          <cell r="I114" t="str">
            <v>79.75%</v>
          </cell>
          <cell r="J114" t="str">
            <v>65.51%</v>
          </cell>
          <cell r="K114" t="str">
            <v>22.80%</v>
          </cell>
          <cell r="L114" t="str">
            <v>65.69%</v>
          </cell>
          <cell r="M114" t="str">
            <v>30"-40" Copa Zanh #2</v>
          </cell>
          <cell r="N114" t="str">
            <v>Pistola</v>
          </cell>
          <cell r="O114" t="str">
            <v>18"-20" Copa Ford #4</v>
          </cell>
          <cell r="P114" t="str">
            <v>20%</v>
          </cell>
          <cell r="Q114" t="str">
            <v>R2K4         Industrial reducer</v>
          </cell>
          <cell r="R114" t="str">
            <v>1.0-1.2 mills</v>
          </cell>
          <cell r="S114" t="str">
            <v>Al Horno</v>
          </cell>
          <cell r="T114" t="str">
            <v>11' a 325°F</v>
          </cell>
          <cell r="U114" t="str">
            <v>1276 Pies Cuadrados/Gl a 1 mills seco</v>
          </cell>
          <cell r="V114" t="str">
            <v>85-90</v>
          </cell>
          <cell r="W114" t="str">
            <v>H-2H</v>
          </cell>
          <cell r="X114" t="str">
            <v>-</v>
          </cell>
          <cell r="Y114" t="str">
            <v>IMSA</v>
          </cell>
          <cell r="Z114" t="str">
            <v>Muebles Metálicos</v>
          </cell>
          <cell r="AA114" t="str">
            <v>-</v>
          </cell>
          <cell r="AB114" t="str">
            <v>Luis Nolasco</v>
          </cell>
          <cell r="AC114" t="str">
            <v>S/F</v>
          </cell>
        </row>
        <row r="115">
          <cell r="A115" t="str">
            <v>SAA 3791</v>
          </cell>
          <cell r="B115" t="str">
            <v>Esmalte Horneable Acrilico Blanco TAPPAN</v>
          </cell>
          <cell r="C115" t="str">
            <v>Interior-Exterior Limitada</v>
          </cell>
          <cell r="D115" t="str">
            <v>Hierro</v>
          </cell>
          <cell r="E115" t="str">
            <v>Lavado, Desengrase y Fosfatizado</v>
          </cell>
          <cell r="F115" t="str">
            <v>E68WSA4 Acrylic Monobake White Primer</v>
          </cell>
          <cell r="G115" t="str">
            <v>10.06 Lbs/Gl</v>
          </cell>
          <cell r="H115" t="str">
            <v>29.75%</v>
          </cell>
          <cell r="I115" t="str">
            <v>54.86%</v>
          </cell>
          <cell r="J115" t="str">
            <v>38.54%</v>
          </cell>
          <cell r="K115" t="str">
            <v>25.5%</v>
          </cell>
          <cell r="L115" t="str">
            <v>35.5%</v>
          </cell>
          <cell r="M115" t="str">
            <v>100"-110" Copa Zanh #2</v>
          </cell>
          <cell r="N115" t="str">
            <v>Pistola</v>
          </cell>
          <cell r="O115" t="str">
            <v>25"-30" Copa Zanh #2</v>
          </cell>
          <cell r="P115" t="str">
            <v>20-25%</v>
          </cell>
          <cell r="Q115" t="str">
            <v>R2K4         Industrial reducer</v>
          </cell>
          <cell r="R115" t="str">
            <v>1.0-1.2 mills</v>
          </cell>
          <cell r="S115" t="str">
            <v>Al Horno</v>
          </cell>
          <cell r="T115" t="str">
            <v>15' a 350-400°F</v>
          </cell>
          <cell r="U115" t="str">
            <v>878 Pies Cuadrados/Gl</v>
          </cell>
          <cell r="V115" t="str">
            <v>+85</v>
          </cell>
          <cell r="W115" t="str">
            <v>2H-3H</v>
          </cell>
          <cell r="X115" t="str">
            <v>6-12 meses</v>
          </cell>
          <cell r="Y115" t="str">
            <v>TAPPAN-GUATEMALA</v>
          </cell>
          <cell r="Z115" t="str">
            <v>Cocinas</v>
          </cell>
          <cell r="AA115" t="str">
            <v>-</v>
          </cell>
          <cell r="AB115" t="str">
            <v>Luis Nolasco</v>
          </cell>
          <cell r="AC115" t="str">
            <v>S/F</v>
          </cell>
        </row>
        <row r="116">
          <cell r="A116" t="str">
            <v>SAA 3792</v>
          </cell>
          <cell r="B116" t="str">
            <v>Esmalte Horneable Troquelable Blanco</v>
          </cell>
          <cell r="C116" t="str">
            <v>Exterior de Tapacoronas</v>
          </cell>
          <cell r="D116" t="str">
            <v>Hojalata</v>
          </cell>
          <cell r="E116" t="str">
            <v>Limpia</v>
          </cell>
          <cell r="F116" t="str">
            <v>Ninguno</v>
          </cell>
          <cell r="G116" t="str">
            <v>9.54 Lbs/Gl</v>
          </cell>
          <cell r="H116" t="str">
            <v>20.83%</v>
          </cell>
          <cell r="I116" t="str">
            <v>40.63%</v>
          </cell>
          <cell r="J116" t="str">
            <v>23.76%</v>
          </cell>
          <cell r="K116" t="str">
            <v>57.69%</v>
          </cell>
          <cell r="L116" t="str">
            <v>24.67%</v>
          </cell>
          <cell r="M116" t="str">
            <v>90-100 KU</v>
          </cell>
          <cell r="N116" t="str">
            <v>Ninguno</v>
          </cell>
          <cell r="O116" t="str">
            <v>90-100 KU</v>
          </cell>
          <cell r="P116" t="str">
            <v>Ninguno</v>
          </cell>
          <cell r="Q116" t="str">
            <v>-</v>
          </cell>
          <cell r="R116" t="str">
            <v>1 mills</v>
          </cell>
          <cell r="S116" t="str">
            <v>Al Horno</v>
          </cell>
          <cell r="T116" t="str">
            <v>12' a 180°C</v>
          </cell>
          <cell r="U116" t="str">
            <v>650.08 Pies Cuadrados/Gl a 1 mills de espesor</v>
          </cell>
          <cell r="V116" t="str">
            <v>+80</v>
          </cell>
          <cell r="W116" t="str">
            <v>-</v>
          </cell>
          <cell r="X116" t="str">
            <v>6-12 meses</v>
          </cell>
          <cell r="Y116" t="str">
            <v>Nicaragua</v>
          </cell>
          <cell r="Z116" t="str">
            <v>-</v>
          </cell>
          <cell r="AA116" t="str">
            <v>-</v>
          </cell>
          <cell r="AB116" t="str">
            <v>Luis Nolasco</v>
          </cell>
          <cell r="AC116" t="str">
            <v>S/F</v>
          </cell>
        </row>
        <row r="117">
          <cell r="A117" t="str">
            <v>SAA 3810</v>
          </cell>
          <cell r="B117" t="str">
            <v>Esmalte de Polyuretano Aluminio</v>
          </cell>
          <cell r="C117" t="str">
            <v>Interior-Exterior</v>
          </cell>
          <cell r="D117" t="str">
            <v>Hierro-Acero</v>
          </cell>
          <cell r="E117" t="str">
            <v>Libre de Grasa y Polvo</v>
          </cell>
          <cell r="F117" t="str">
            <v>P2A32</v>
          </cell>
          <cell r="G117" t="str">
            <v>8.61 Lbs/Gl</v>
          </cell>
          <cell r="H117" t="str">
            <v>23%</v>
          </cell>
          <cell r="I117" t="str">
            <v>34.86%</v>
          </cell>
          <cell r="J117" t="str">
            <v>77%</v>
          </cell>
          <cell r="K117" t="str">
            <v>13%</v>
          </cell>
          <cell r="L117" t="str">
            <v>26.5%</v>
          </cell>
          <cell r="M117" t="str">
            <v>12-14 Seg. Copa Ford #4</v>
          </cell>
          <cell r="N117" t="str">
            <v>Pistola</v>
          </cell>
          <cell r="O117" t="str">
            <v>12-14 Seg. Copa Ford #4</v>
          </cell>
          <cell r="P117" t="str">
            <v>Ninguno</v>
          </cell>
          <cell r="Q117" t="str">
            <v>Ninguno</v>
          </cell>
          <cell r="R117" t="str">
            <v>1 mills de Pulgada Seca</v>
          </cell>
          <cell r="S117" t="str">
            <v>Al Aire una hora y media.</v>
          </cell>
          <cell r="T117" t="str">
            <v>-</v>
          </cell>
          <cell r="U117" t="str">
            <v>95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Ing. José Guillermo Castillo</v>
          </cell>
          <cell r="Z117" t="str">
            <v>Tuberías</v>
          </cell>
          <cell r="AA117" t="str">
            <v>Mezclar 4 partes en Vol. Del SAA 3810 con una parte de Catalizador V6V283, Mexclar bien y aplicar con Pistola.</v>
          </cell>
          <cell r="AB117" t="str">
            <v>Rene Ferrufino</v>
          </cell>
          <cell r="AC117" t="str">
            <v>S/F</v>
          </cell>
        </row>
        <row r="118">
          <cell r="A118" t="str">
            <v>SAA 3811</v>
          </cell>
          <cell r="B118" t="str">
            <v>Esmalte Horneable Acrilico Negro Brillante</v>
          </cell>
          <cell r="C118" t="str">
            <v>Interior-Exterior Limitada</v>
          </cell>
          <cell r="D118" t="str">
            <v>Hierro</v>
          </cell>
          <cell r="E118" t="str">
            <v>Lavado, Desengrase y Fosfatizado</v>
          </cell>
          <cell r="F118" t="str">
            <v>E68WSA4 Acrylic Monobake White Primer</v>
          </cell>
          <cell r="G118" t="str">
            <v>7.90 Lbs/Gl</v>
          </cell>
          <cell r="H118" t="str">
            <v>2.78%</v>
          </cell>
          <cell r="I118" t="str">
            <v>40.67%</v>
          </cell>
          <cell r="J118" t="str">
            <v>38.38%</v>
          </cell>
          <cell r="K118" t="str">
            <v>4.08%</v>
          </cell>
          <cell r="L118" t="str">
            <v>37.03%</v>
          </cell>
          <cell r="M118" t="str">
            <v>100"-110" Copa Zanh #2</v>
          </cell>
          <cell r="N118" t="str">
            <v>Pistola</v>
          </cell>
          <cell r="O118" t="str">
            <v>25"-30" Copa Zanh #2</v>
          </cell>
          <cell r="P118" t="str">
            <v>20-25%</v>
          </cell>
          <cell r="Q118" t="str">
            <v>R2K4         Industrial reducer</v>
          </cell>
          <cell r="R118" t="str">
            <v>1.0-1.2 mills</v>
          </cell>
          <cell r="S118" t="str">
            <v>Al Horno</v>
          </cell>
          <cell r="T118" t="str">
            <v>15' a 350-400°F</v>
          </cell>
          <cell r="U118" t="str">
            <v>650.72 Pies Cuadrados/Gl a 1 mills de espesor</v>
          </cell>
          <cell r="V118" t="str">
            <v>+85</v>
          </cell>
          <cell r="W118" t="str">
            <v>2H-3H</v>
          </cell>
          <cell r="X118" t="str">
            <v>6-12 meses</v>
          </cell>
          <cell r="Y118" t="str">
            <v>TAPPAN-GUATEMALA</v>
          </cell>
          <cell r="Z118" t="str">
            <v>Cocinas</v>
          </cell>
          <cell r="AA118" t="str">
            <v>-</v>
          </cell>
          <cell r="AB118" t="str">
            <v>Luis Nolasco</v>
          </cell>
          <cell r="AC118" t="str">
            <v>S/F</v>
          </cell>
        </row>
        <row r="119">
          <cell r="A119" t="str">
            <v>SAA 3812</v>
          </cell>
          <cell r="B119" t="str">
            <v>Esmalte Horneble Acrílico Amarillo Suave</v>
          </cell>
          <cell r="C119" t="str">
            <v>Interior-Exterior Limitada</v>
          </cell>
          <cell r="D119" t="str">
            <v>Hierro</v>
          </cell>
          <cell r="E119" t="str">
            <v>Lavado, Desengrase y Fosfatizado</v>
          </cell>
          <cell r="F119" t="str">
            <v>E68WSA4 Acrylic Monobake White Primer</v>
          </cell>
          <cell r="G119" t="str">
            <v>9.48 Lbs/Gl</v>
          </cell>
          <cell r="H119" t="str">
            <v>23.77%</v>
          </cell>
          <cell r="I119" t="str">
            <v>52.91%</v>
          </cell>
          <cell r="J119" t="str">
            <v>38.22%</v>
          </cell>
          <cell r="K119" t="str">
            <v>17.82%</v>
          </cell>
          <cell r="L119" t="str">
            <v>38.27%</v>
          </cell>
          <cell r="M119" t="str">
            <v>100"-110" Copa Zanh #2</v>
          </cell>
          <cell r="N119" t="str">
            <v>Pistola</v>
          </cell>
          <cell r="O119" t="str">
            <v>25"-30" Copa Zanh #2</v>
          </cell>
          <cell r="P119" t="str">
            <v>20-25%</v>
          </cell>
          <cell r="Q119" t="str">
            <v>R2K4         Industrial reducer</v>
          </cell>
          <cell r="R119" t="str">
            <v>1.0-1.2 mills</v>
          </cell>
          <cell r="S119" t="str">
            <v>Al Horno</v>
          </cell>
          <cell r="T119" t="str">
            <v>15' a 350-400°F</v>
          </cell>
          <cell r="U119" t="str">
            <v>846.56 Pies Cuadrados/Gl a 1 mills de espesor</v>
          </cell>
          <cell r="V119" t="str">
            <v>+85</v>
          </cell>
          <cell r="W119" t="str">
            <v>2H-3H</v>
          </cell>
          <cell r="X119" t="str">
            <v>6-12 meses</v>
          </cell>
          <cell r="Y119" t="str">
            <v>TAPPAN-GUATEMALA</v>
          </cell>
          <cell r="Z119" t="str">
            <v>Cocinas</v>
          </cell>
          <cell r="AA119" t="str">
            <v>-</v>
          </cell>
          <cell r="AB119" t="str">
            <v>Luis Nolasco</v>
          </cell>
          <cell r="AC119" t="str">
            <v>S/F</v>
          </cell>
        </row>
        <row r="120">
          <cell r="A120" t="str">
            <v>SAA 3815</v>
          </cell>
          <cell r="B120" t="str">
            <v>Laca Industrial Negro Especial</v>
          </cell>
          <cell r="C120" t="str">
            <v>Interior-Exterior</v>
          </cell>
          <cell r="D120" t="str">
            <v>Hierro</v>
          </cell>
          <cell r="E120" t="str">
            <v>Limpia con Krill Clean</v>
          </cell>
          <cell r="F120" t="str">
            <v>Ninguno</v>
          </cell>
          <cell r="G120" t="str">
            <v>7.57 Lbs/Gl</v>
          </cell>
          <cell r="H120" t="str">
            <v>5.2%</v>
          </cell>
          <cell r="I120" t="str">
            <v>20%</v>
          </cell>
          <cell r="J120" t="str">
            <v>94.8%</v>
          </cell>
          <cell r="K120" t="str">
            <v>4%</v>
          </cell>
          <cell r="L120" t="str">
            <v>13.4%</v>
          </cell>
          <cell r="M120" t="str">
            <v>20"-30" Copa SW #5</v>
          </cell>
          <cell r="N120" t="str">
            <v>Inmersión</v>
          </cell>
          <cell r="O120" t="str">
            <v>18"-25" Copa Zanh #2</v>
          </cell>
          <cell r="P120" t="str">
            <v>50% con R7K128</v>
          </cell>
          <cell r="Q120" t="str">
            <v>R7K128</v>
          </cell>
          <cell r="R120" t="str">
            <v>1 mills seco</v>
          </cell>
          <cell r="S120" t="str">
            <v>Aire (5-10 Min)</v>
          </cell>
          <cell r="T120" t="str">
            <v>-</v>
          </cell>
          <cell r="U120" t="str">
            <v>30 Mts Cuadrados/Gl</v>
          </cell>
          <cell r="V120" t="str">
            <v>75-85</v>
          </cell>
          <cell r="W120" t="str">
            <v>-</v>
          </cell>
          <cell r="X120" t="str">
            <v>-</v>
          </cell>
          <cell r="Y120" t="str">
            <v>HECASA</v>
          </cell>
          <cell r="Z120" t="str">
            <v>Muebles de Metal</v>
          </cell>
          <cell r="AA120" t="str">
            <v>-</v>
          </cell>
          <cell r="AB120" t="str">
            <v>Rene Ferrufino</v>
          </cell>
          <cell r="AC120" t="str">
            <v>S/F</v>
          </cell>
        </row>
        <row r="121">
          <cell r="A121" t="str">
            <v>SAA 3816</v>
          </cell>
          <cell r="B121" t="str">
            <v>Esmalte Horneble Acrílico Marfil Suave</v>
          </cell>
          <cell r="C121" t="str">
            <v>Interior-Exterior Limitada</v>
          </cell>
          <cell r="D121" t="str">
            <v>Hierro</v>
          </cell>
          <cell r="E121" t="str">
            <v>Lavado, Desengrase y Fosfatizado</v>
          </cell>
          <cell r="F121" t="str">
            <v>E68WSA4 Acrylic Monobake White Primer</v>
          </cell>
          <cell r="G121" t="str">
            <v>10.06 Lbs/Gl</v>
          </cell>
          <cell r="H121" t="str">
            <v>29.75%</v>
          </cell>
          <cell r="I121" t="str">
            <v>54.86%</v>
          </cell>
          <cell r="J121" t="str">
            <v>38.54%</v>
          </cell>
          <cell r="K121" t="str">
            <v>25.5%</v>
          </cell>
          <cell r="L121" t="str">
            <v>36.5%</v>
          </cell>
          <cell r="M121" t="str">
            <v>100"-110" Copa Zanh #2</v>
          </cell>
          <cell r="N121" t="str">
            <v>Pistola</v>
          </cell>
          <cell r="O121" t="str">
            <v>25"-30" Copa Zanh #2</v>
          </cell>
          <cell r="P121" t="str">
            <v>20-25%</v>
          </cell>
          <cell r="Q121" t="str">
            <v>R2K4         Industrial reducer</v>
          </cell>
          <cell r="R121" t="str">
            <v>1.0-1.2 mills</v>
          </cell>
          <cell r="S121" t="str">
            <v>Al Horno</v>
          </cell>
          <cell r="T121" t="str">
            <v>15' a 350-400°F</v>
          </cell>
          <cell r="U121" t="str">
            <v>878 Pies Cuadrados/Gl a 1 mills de espesor</v>
          </cell>
          <cell r="V121" t="str">
            <v>+85</v>
          </cell>
          <cell r="W121" t="str">
            <v>2H-3H</v>
          </cell>
          <cell r="X121" t="str">
            <v>6-12 meses</v>
          </cell>
          <cell r="Y121" t="str">
            <v>TAPPAN-GUATEMALA</v>
          </cell>
          <cell r="Z121" t="str">
            <v>Cocinas</v>
          </cell>
          <cell r="AA121" t="str">
            <v>-</v>
          </cell>
          <cell r="AB121" t="str">
            <v>Luis Nolasco</v>
          </cell>
          <cell r="AC121" t="str">
            <v>S/F</v>
          </cell>
        </row>
        <row r="122">
          <cell r="A122" t="str">
            <v>SAA 3821</v>
          </cell>
          <cell r="B122" t="str">
            <v>Esmalte Horneble Acrílico Blanco Almendra</v>
          </cell>
          <cell r="C122" t="str">
            <v>Interior-Exterior Limitada</v>
          </cell>
          <cell r="D122" t="str">
            <v>Hierro</v>
          </cell>
          <cell r="E122" t="str">
            <v>Lavado, Desengrase y Fosfatizado</v>
          </cell>
          <cell r="F122" t="str">
            <v>E68WSA4 Acrylic Monobake White Primer</v>
          </cell>
          <cell r="G122" t="str">
            <v>10.06 Lbs/Gl</v>
          </cell>
          <cell r="H122" t="str">
            <v>29.75%</v>
          </cell>
          <cell r="I122" t="str">
            <v>54.86%</v>
          </cell>
          <cell r="J122" t="str">
            <v>38.54%</v>
          </cell>
          <cell r="K122" t="str">
            <v>25.5%</v>
          </cell>
          <cell r="L122" t="str">
            <v>36.5%</v>
          </cell>
          <cell r="M122" t="str">
            <v>100"-110" Copa Zanh #2</v>
          </cell>
          <cell r="N122" t="str">
            <v>Pistola</v>
          </cell>
          <cell r="O122" t="str">
            <v>25"-30" Copa Zanh #2</v>
          </cell>
          <cell r="P122" t="str">
            <v>20-25%</v>
          </cell>
          <cell r="Q122" t="str">
            <v>R2K4         Industrial reducer</v>
          </cell>
          <cell r="R122" t="str">
            <v>1.0-1.2 mills</v>
          </cell>
          <cell r="S122" t="str">
            <v>Al Horno</v>
          </cell>
          <cell r="T122" t="str">
            <v>15' a 350-400°F</v>
          </cell>
          <cell r="U122" t="str">
            <v>878 Pies Cuadrados/Gl a 1 mills de espesor</v>
          </cell>
          <cell r="V122" t="str">
            <v>+85</v>
          </cell>
          <cell r="W122" t="str">
            <v>2H-3H</v>
          </cell>
          <cell r="X122" t="str">
            <v>6-12 meses</v>
          </cell>
          <cell r="Y122" t="str">
            <v>TAPPAN-GUATEMALA</v>
          </cell>
          <cell r="Z122" t="str">
            <v>Cocinas</v>
          </cell>
          <cell r="AA122" t="str">
            <v>-</v>
          </cell>
          <cell r="AB122" t="str">
            <v>Luis Nolasco</v>
          </cell>
          <cell r="AC122" t="str">
            <v>S/F</v>
          </cell>
        </row>
        <row r="123">
          <cell r="A123" t="str">
            <v>SAA 3828</v>
          </cell>
          <cell r="B123" t="str">
            <v>Esmalte Horneable Acrílico Blanco Enfriador</v>
          </cell>
          <cell r="C123" t="str">
            <v>Interior-Exterior Limitada</v>
          </cell>
          <cell r="D123" t="str">
            <v>Hierro</v>
          </cell>
          <cell r="E123" t="str">
            <v>Lavado, Desengrase y Fosfatizado</v>
          </cell>
          <cell r="F123" t="str">
            <v>E68WSA4 Acrylic Monobake White Primer</v>
          </cell>
          <cell r="G123" t="str">
            <v>10.06 Lbs/Gl</v>
          </cell>
          <cell r="H123" t="str">
            <v>29.75%</v>
          </cell>
          <cell r="I123" t="str">
            <v>54.86%</v>
          </cell>
          <cell r="J123" t="str">
            <v>38.54%</v>
          </cell>
          <cell r="K123" t="str">
            <v>25.5%</v>
          </cell>
          <cell r="L123" t="str">
            <v>36.5%</v>
          </cell>
          <cell r="M123" t="str">
            <v>100"-110" Copa Zanh #2</v>
          </cell>
          <cell r="N123" t="str">
            <v>Pistola</v>
          </cell>
          <cell r="O123" t="str">
            <v>25"-30" Copa Zanh #2</v>
          </cell>
          <cell r="P123" t="str">
            <v>20-25%</v>
          </cell>
          <cell r="Q123" t="str">
            <v>R2K4         Industrial reducer</v>
          </cell>
          <cell r="R123" t="str">
            <v>1.0-1.2 mills</v>
          </cell>
          <cell r="S123" t="str">
            <v>Al Horno</v>
          </cell>
          <cell r="T123" t="str">
            <v>15' a 350-400°F</v>
          </cell>
          <cell r="U123" t="str">
            <v>878 Pies Cuadrados/Gl a 1 mills de espesor</v>
          </cell>
          <cell r="V123" t="str">
            <v>+85</v>
          </cell>
          <cell r="W123" t="str">
            <v>2H-3H</v>
          </cell>
          <cell r="X123" t="str">
            <v>6-12 meses</v>
          </cell>
          <cell r="Y123" t="str">
            <v>TAPPAN-GUATEMALA</v>
          </cell>
          <cell r="Z123" t="str">
            <v>Cocinas</v>
          </cell>
          <cell r="AA123" t="str">
            <v>-</v>
          </cell>
          <cell r="AB123" t="str">
            <v>Luis Nolasco</v>
          </cell>
          <cell r="AC123" t="str">
            <v>S/F</v>
          </cell>
        </row>
        <row r="124">
          <cell r="A124" t="str">
            <v>SAA 3829</v>
          </cell>
          <cell r="B124" t="str">
            <v>Esmalte Horneable Acrílico Blanco Cocina</v>
          </cell>
          <cell r="C124" t="str">
            <v>Interior-Exterior Limitada</v>
          </cell>
          <cell r="D124" t="str">
            <v>Hierro</v>
          </cell>
          <cell r="E124" t="str">
            <v>Lavado, Desengrase y Fosfatizado</v>
          </cell>
          <cell r="F124" t="str">
            <v>E68WSA4 Acrylic Monobake White Primer</v>
          </cell>
          <cell r="G124" t="str">
            <v>10.06 Lbs/Gl</v>
          </cell>
          <cell r="H124" t="str">
            <v>29.75%</v>
          </cell>
          <cell r="I124" t="str">
            <v>54.86%</v>
          </cell>
          <cell r="J124" t="str">
            <v>38.54%</v>
          </cell>
          <cell r="K124" t="str">
            <v>25.5%</v>
          </cell>
          <cell r="L124" t="str">
            <v>36.5%</v>
          </cell>
          <cell r="M124" t="str">
            <v>100"-110" Copa Zanh #2</v>
          </cell>
          <cell r="N124" t="str">
            <v>Pistola</v>
          </cell>
          <cell r="O124" t="str">
            <v>25"-30" Copa Zanh #2</v>
          </cell>
          <cell r="P124" t="str">
            <v>20-25%</v>
          </cell>
          <cell r="Q124" t="str">
            <v>R2K4         Industrial reducer</v>
          </cell>
          <cell r="R124" t="str">
            <v>1.0-1.2 mills</v>
          </cell>
          <cell r="S124" t="str">
            <v>Al Horno</v>
          </cell>
          <cell r="T124" t="str">
            <v>15' a 350-400°F</v>
          </cell>
          <cell r="U124" t="str">
            <v>878 Pies Cuadrados/Gl a 1 mills de espesor</v>
          </cell>
          <cell r="V124" t="str">
            <v>+85</v>
          </cell>
          <cell r="W124" t="str">
            <v>2H-3H</v>
          </cell>
          <cell r="X124" t="str">
            <v>6-12 meses</v>
          </cell>
          <cell r="Y124" t="str">
            <v>TAPPAN-GUATEMALA</v>
          </cell>
          <cell r="Z124" t="str">
            <v>Cocinas</v>
          </cell>
          <cell r="AA124" t="str">
            <v>-</v>
          </cell>
          <cell r="AB124" t="str">
            <v>Luis Nolasco</v>
          </cell>
          <cell r="AC124" t="str">
            <v>S/F</v>
          </cell>
        </row>
        <row r="125">
          <cell r="A125" t="str">
            <v>SAA 3835</v>
          </cell>
          <cell r="B125" t="str">
            <v>Esmalte Horneable Acrílico Marfil Oscuro Mate Liso</v>
          </cell>
          <cell r="C125" t="str">
            <v>Interior-Exterior Limitada</v>
          </cell>
          <cell r="D125" t="str">
            <v>Lamina Electrogalvanizada</v>
          </cell>
          <cell r="E125" t="str">
            <v>Lavado y Desengrase</v>
          </cell>
          <cell r="F125" t="str">
            <v>E68WSA4 Acrylic Monobake White Primer</v>
          </cell>
          <cell r="G125" t="str">
            <v>9.20 Lbs/Gl</v>
          </cell>
          <cell r="H125" t="str">
            <v>22.89%</v>
          </cell>
          <cell r="I125" t="str">
            <v>49.89%</v>
          </cell>
          <cell r="J125" t="str">
            <v>35.12%</v>
          </cell>
          <cell r="K125" t="str">
            <v>22.55%</v>
          </cell>
          <cell r="L125" t="str">
            <v>36.59%</v>
          </cell>
          <cell r="M125" t="str">
            <v>100"-110" Copa Zanh #2</v>
          </cell>
          <cell r="N125" t="str">
            <v>Pistola</v>
          </cell>
          <cell r="O125" t="str">
            <v>25"-30" Copa Zanh #2</v>
          </cell>
          <cell r="P125" t="str">
            <v>20-25%</v>
          </cell>
          <cell r="Q125" t="str">
            <v>R2K4         Industrial reducer</v>
          </cell>
          <cell r="R125" t="str">
            <v>1.0-1.2 mills</v>
          </cell>
          <cell r="S125" t="str">
            <v>Al Horno</v>
          </cell>
          <cell r="T125" t="str">
            <v>15' a 300°F</v>
          </cell>
          <cell r="U125" t="str">
            <v>800 Pies Cuadrados/Gl a 1 mills de espesor</v>
          </cell>
          <cell r="V125" t="str">
            <v>2-4</v>
          </cell>
          <cell r="W125" t="str">
            <v>2H-3H</v>
          </cell>
          <cell r="X125" t="str">
            <v>6-12 meses</v>
          </cell>
          <cell r="Y125" t="str">
            <v>Panavisión-Honduras</v>
          </cell>
          <cell r="Z125" t="str">
            <v>Mobiliario de Oficina</v>
          </cell>
          <cell r="AA125" t="str">
            <v>-</v>
          </cell>
          <cell r="AB125" t="str">
            <v>Luis Nolasco</v>
          </cell>
          <cell r="AC125" t="str">
            <v>S/F</v>
          </cell>
        </row>
        <row r="126">
          <cell r="A126" t="str">
            <v>SAA 3836</v>
          </cell>
          <cell r="B126" t="str">
            <v>Esmalte Horneable Acrílico Marfil Oscuro Mate Martillado</v>
          </cell>
          <cell r="C126" t="str">
            <v>Interior-Exterior Limitada</v>
          </cell>
          <cell r="D126" t="str">
            <v>Lamina Electrogalvanizada</v>
          </cell>
          <cell r="E126" t="str">
            <v>Lavado y Desengrase</v>
          </cell>
          <cell r="F126" t="str">
            <v>E68WSA4 Acrylic Monobake White Primer</v>
          </cell>
          <cell r="G126" t="str">
            <v>9.20 Lbs/Gl</v>
          </cell>
          <cell r="H126" t="str">
            <v>22.89%</v>
          </cell>
          <cell r="I126" t="str">
            <v>49.89%</v>
          </cell>
          <cell r="J126" t="str">
            <v>35.12%</v>
          </cell>
          <cell r="K126" t="str">
            <v>22.55%</v>
          </cell>
          <cell r="L126" t="str">
            <v>36.59%</v>
          </cell>
          <cell r="M126" t="str">
            <v>100"-110" Copa Zanh #2</v>
          </cell>
          <cell r="N126" t="str">
            <v>Pistola</v>
          </cell>
          <cell r="O126" t="str">
            <v>Listo para Usar</v>
          </cell>
          <cell r="P126" t="str">
            <v>-</v>
          </cell>
          <cell r="Q126" t="str">
            <v>R2K4         Industrial reducer, Si es Necesario</v>
          </cell>
          <cell r="R126" t="str">
            <v>1.0-1.2 mills</v>
          </cell>
          <cell r="S126" t="str">
            <v>Al Horno</v>
          </cell>
          <cell r="T126" t="str">
            <v>15' a 300°F</v>
          </cell>
          <cell r="U126" t="str">
            <v>800 Pies Cuadrados/Gl a 1 mills de espesor</v>
          </cell>
          <cell r="V126" t="str">
            <v>2-4</v>
          </cell>
          <cell r="W126" t="str">
            <v>2H-3H</v>
          </cell>
          <cell r="X126" t="str">
            <v>6-12 meses</v>
          </cell>
          <cell r="Y126" t="str">
            <v>Panavisión-Honduras</v>
          </cell>
          <cell r="Z126" t="str">
            <v>Mobiliario de Oficina</v>
          </cell>
          <cell r="AA126" t="str">
            <v>-</v>
          </cell>
          <cell r="AB126" t="str">
            <v>Luis Nolasco</v>
          </cell>
          <cell r="AC126" t="str">
            <v>S/F</v>
          </cell>
        </row>
        <row r="127">
          <cell r="A127" t="str">
            <v>SAA 3851</v>
          </cell>
          <cell r="B127" t="str">
            <v>Esmalte Horneable acrílico Café TAPPAN</v>
          </cell>
          <cell r="C127" t="str">
            <v>Interior-Exterior Limitada</v>
          </cell>
          <cell r="D127" t="str">
            <v>Hierro</v>
          </cell>
          <cell r="E127" t="str">
            <v>Lavado, Desengrase y Fosfatizado</v>
          </cell>
          <cell r="F127" t="str">
            <v>E68WSA4 Acrylic Monobake White Primer</v>
          </cell>
          <cell r="G127" t="str">
            <v>8.24 Lbs/Gl</v>
          </cell>
          <cell r="H127" t="str">
            <v>7.98%</v>
          </cell>
          <cell r="I127" t="str">
            <v>41.63%</v>
          </cell>
          <cell r="J127" t="str">
            <v>36.57%</v>
          </cell>
          <cell r="K127" t="str">
            <v>6.76%</v>
          </cell>
          <cell r="L127" t="str">
            <v>33.73%</v>
          </cell>
          <cell r="M127" t="str">
            <v>100"-110" Copa Zanh #2</v>
          </cell>
          <cell r="N127" t="str">
            <v>Pistola</v>
          </cell>
          <cell r="O127" t="str">
            <v>25"-30" Copa Zanh #2</v>
          </cell>
          <cell r="P127" t="str">
            <v>20-25%</v>
          </cell>
          <cell r="Q127" t="str">
            <v>R2K4         Industrial reducer</v>
          </cell>
          <cell r="R127" t="str">
            <v>1.0-1.2 mills</v>
          </cell>
          <cell r="S127" t="str">
            <v>Al Horno</v>
          </cell>
          <cell r="T127" t="str">
            <v>15' a 350-400°F</v>
          </cell>
          <cell r="U127" t="str">
            <v>666 Pies Cuadrados/Gl a 1 mills de espesor</v>
          </cell>
          <cell r="V127" t="str">
            <v>+85</v>
          </cell>
          <cell r="W127" t="str">
            <v>2H-3H</v>
          </cell>
          <cell r="X127" t="str">
            <v>6-12 meses</v>
          </cell>
          <cell r="Y127" t="str">
            <v>TAPPAN-GUATEMALA</v>
          </cell>
          <cell r="Z127" t="str">
            <v>Cocinas</v>
          </cell>
          <cell r="AA127" t="str">
            <v>-</v>
          </cell>
          <cell r="AB127" t="str">
            <v>Luis Nolasco</v>
          </cell>
          <cell r="AC127" t="str">
            <v>S/F</v>
          </cell>
        </row>
        <row r="128">
          <cell r="A128" t="str">
            <v>SAA 3852</v>
          </cell>
          <cell r="B128" t="str">
            <v>Esmalte Horneable acrílico Amarillo TAPPAN</v>
          </cell>
          <cell r="C128" t="str">
            <v>Interior-Exterior Limitada</v>
          </cell>
          <cell r="D128" t="str">
            <v>Hierro</v>
          </cell>
          <cell r="E128" t="str">
            <v>Lavado, Desengrase y Fosfatizado</v>
          </cell>
          <cell r="F128" t="str">
            <v>E68WSA4 Acrylic Monobake White Primer</v>
          </cell>
          <cell r="G128" t="str">
            <v>9.13 Lbs/Gl</v>
          </cell>
          <cell r="H128" t="str">
            <v>19.8%</v>
          </cell>
          <cell r="I128" t="str">
            <v>50.05%</v>
          </cell>
          <cell r="J128" t="str">
            <v>37.72%</v>
          </cell>
          <cell r="K128" t="str">
            <v>14.84%</v>
          </cell>
          <cell r="L128" t="str">
            <v>36.93%</v>
          </cell>
          <cell r="M128" t="str">
            <v>100"-110" Copa Zanh #2</v>
          </cell>
          <cell r="N128" t="str">
            <v>Pistola</v>
          </cell>
          <cell r="O128" t="str">
            <v>25"-30" Copa Zanh #2</v>
          </cell>
          <cell r="P128" t="str">
            <v>20-25%</v>
          </cell>
          <cell r="Q128" t="str">
            <v>R2K4         Industrial reducer</v>
          </cell>
          <cell r="R128" t="str">
            <v>1.0-1.2 mills</v>
          </cell>
          <cell r="S128" t="str">
            <v>Al Horno</v>
          </cell>
          <cell r="T128" t="str">
            <v>15' a 350-400°F</v>
          </cell>
          <cell r="U128" t="str">
            <v>800.8 Pies Cuadrados/Gl a 1 mills de espesor</v>
          </cell>
          <cell r="V128" t="str">
            <v>+85</v>
          </cell>
          <cell r="W128" t="str">
            <v>2H-3H</v>
          </cell>
          <cell r="X128" t="str">
            <v>6-12 meses</v>
          </cell>
          <cell r="Y128" t="str">
            <v>TAPPAN-GUATEMALA</v>
          </cell>
          <cell r="Z128" t="str">
            <v>Cocinas</v>
          </cell>
          <cell r="AA128" t="str">
            <v>-</v>
          </cell>
          <cell r="AB128" t="str">
            <v>Luis Nolasco</v>
          </cell>
          <cell r="AC128" t="str">
            <v>S/F</v>
          </cell>
        </row>
        <row r="129">
          <cell r="A129" t="str">
            <v>SAA 3863</v>
          </cell>
          <cell r="B129" t="str">
            <v>Esmalte Horneable Alquidico Café Oscuro Satinado</v>
          </cell>
          <cell r="C129" t="str">
            <v>Interior-Exterior</v>
          </cell>
          <cell r="D129" t="str">
            <v>Hierro</v>
          </cell>
          <cell r="E129" t="str">
            <v>Limpieza con R2K4, Desengrase, Fosfatizado</v>
          </cell>
          <cell r="F129" t="str">
            <v>Ninguno</v>
          </cell>
          <cell r="G129" t="str">
            <v>8.85 Lbs/Gl</v>
          </cell>
          <cell r="H129" t="str">
            <v>33.6%</v>
          </cell>
          <cell r="I129" t="str">
            <v>55.9%</v>
          </cell>
          <cell r="J129" t="str">
            <v>22.2%</v>
          </cell>
          <cell r="K129" t="str">
            <v>25.2%</v>
          </cell>
          <cell r="L129" t="str">
            <v>38.2%</v>
          </cell>
          <cell r="M129" t="str">
            <v>100"-110" Copa Zanh #2</v>
          </cell>
          <cell r="N129" t="str">
            <v>Pistola</v>
          </cell>
          <cell r="O129" t="str">
            <v>20-25 seg. Copa Zanh #2</v>
          </cell>
          <cell r="P129" t="str">
            <v>20-25%</v>
          </cell>
          <cell r="Q129" t="str">
            <v>R2K4         Industrial reducer</v>
          </cell>
          <cell r="R129" t="str">
            <v>1.0-1.2 mills</v>
          </cell>
          <cell r="S129" t="str">
            <v>Al horno</v>
          </cell>
          <cell r="T129" t="str">
            <v>15' a 300°F</v>
          </cell>
          <cell r="U129" t="str">
            <v xml:space="preserve">620 Pies Cuadrados/Gl </v>
          </cell>
          <cell r="V129" t="str">
            <v>40-50 unidades</v>
          </cell>
          <cell r="W129" t="str">
            <v>HB</v>
          </cell>
          <cell r="X129" t="str">
            <v>6-12 meses</v>
          </cell>
          <cell r="Y129" t="str">
            <v>HECASA</v>
          </cell>
          <cell r="Z129" t="str">
            <v>Muebles y Puertas Metálicas</v>
          </cell>
          <cell r="AA129" t="str">
            <v>-</v>
          </cell>
          <cell r="AB129" t="str">
            <v>Rene Ferrufino</v>
          </cell>
          <cell r="AC129" t="str">
            <v>S/F</v>
          </cell>
        </row>
        <row r="130">
          <cell r="A130" t="str">
            <v>SAA 3864</v>
          </cell>
          <cell r="B130" t="str">
            <v>Esmalte Horneable Alquidico Gris Oscuro</v>
          </cell>
          <cell r="C130" t="str">
            <v>Interior-Exterior</v>
          </cell>
          <cell r="D130" t="str">
            <v>Hierro</v>
          </cell>
          <cell r="E130" t="str">
            <v>Limpieza con Solvente</v>
          </cell>
          <cell r="F130" t="str">
            <v>Ninguno</v>
          </cell>
          <cell r="G130" t="str">
            <v>8.25 Lbs/Gl</v>
          </cell>
          <cell r="H130" t="str">
            <v>5.42%</v>
          </cell>
          <cell r="I130" t="str">
            <v>45.42%</v>
          </cell>
          <cell r="J130" t="str">
            <v>42.29%</v>
          </cell>
          <cell r="K130" t="str">
            <v>4.69%</v>
          </cell>
          <cell r="L130" t="str">
            <v>35.17%</v>
          </cell>
          <cell r="M130" t="str">
            <v>100"-110" Copa Zanh #2</v>
          </cell>
          <cell r="N130" t="str">
            <v>Pistola</v>
          </cell>
          <cell r="O130" t="str">
            <v>20-25 seg. Copa Zanh #2</v>
          </cell>
          <cell r="P130" t="str">
            <v>20-25%</v>
          </cell>
          <cell r="Q130" t="str">
            <v>R2K4         Industrial reducer</v>
          </cell>
          <cell r="R130" t="str">
            <v>1.0-1.2 mills</v>
          </cell>
          <cell r="S130" t="str">
            <v>Al horno</v>
          </cell>
          <cell r="T130" t="str">
            <v>15' a 300°F</v>
          </cell>
          <cell r="U130" t="str">
            <v>728.32  Pies Cuadrados/Gl a un mills de espesor</v>
          </cell>
          <cell r="V130" t="str">
            <v>+85</v>
          </cell>
          <cell r="W130" t="str">
            <v>H</v>
          </cell>
          <cell r="X130" t="str">
            <v>6-12 meses</v>
          </cell>
          <cell r="Y130" t="str">
            <v>Van Leer-Nicaragua</v>
          </cell>
          <cell r="Z130" t="str">
            <v>Barriles de Hierro</v>
          </cell>
          <cell r="AA130" t="str">
            <v>-</v>
          </cell>
          <cell r="AB130" t="str">
            <v>Luis Nolasco</v>
          </cell>
          <cell r="AC130" t="str">
            <v>S/F</v>
          </cell>
        </row>
        <row r="131">
          <cell r="A131" t="str">
            <v>SAA 3865</v>
          </cell>
          <cell r="B131" t="str">
            <v>Esmalte Horneable Negro Brillante</v>
          </cell>
          <cell r="C131" t="str">
            <v>Interior-Exterior</v>
          </cell>
          <cell r="D131" t="str">
            <v>Hierro</v>
          </cell>
          <cell r="E131" t="str">
            <v>Limpieza con Solvente</v>
          </cell>
          <cell r="F131" t="str">
            <v>Ninguno</v>
          </cell>
          <cell r="G131" t="str">
            <v>8.11 Lbs/Gl</v>
          </cell>
          <cell r="H131" t="str">
            <v>2.45%</v>
          </cell>
          <cell r="I131" t="str">
            <v>42.15%</v>
          </cell>
          <cell r="J131" t="str">
            <v>40.69%</v>
          </cell>
          <cell r="K131" t="str">
            <v>3.96%</v>
          </cell>
          <cell r="L131" t="str">
            <v>38.61%</v>
          </cell>
          <cell r="M131" t="str">
            <v>100"-110" Copa Zanh #2</v>
          </cell>
          <cell r="N131" t="str">
            <v>Pistola</v>
          </cell>
          <cell r="O131" t="str">
            <v>20-25 seg. Copa Zanh #2</v>
          </cell>
          <cell r="P131" t="str">
            <v>20-25%</v>
          </cell>
          <cell r="Q131" t="str">
            <v>R2K4         Industrial reducer</v>
          </cell>
          <cell r="R131" t="str">
            <v>1.0-1.2 mills</v>
          </cell>
          <cell r="S131" t="str">
            <v>Al horno</v>
          </cell>
          <cell r="T131" t="str">
            <v>15' a 300°F</v>
          </cell>
          <cell r="U131" t="str">
            <v>674.4 Pies Cuadrados/Gl a un mills de espesor</v>
          </cell>
          <cell r="V131" t="str">
            <v>+85</v>
          </cell>
          <cell r="W131" t="str">
            <v>H</v>
          </cell>
          <cell r="X131" t="str">
            <v>6-12 meses</v>
          </cell>
          <cell r="Y131" t="str">
            <v>Van Leer-Nicaragua</v>
          </cell>
          <cell r="Z131" t="str">
            <v>Barriles de Hierro</v>
          </cell>
          <cell r="AA131" t="str">
            <v>-</v>
          </cell>
          <cell r="AB131" t="str">
            <v>Luis Nolasco</v>
          </cell>
          <cell r="AC131" t="str">
            <v>S/F</v>
          </cell>
        </row>
        <row r="132">
          <cell r="A132" t="str">
            <v>SAA 3866</v>
          </cell>
          <cell r="B132" t="str">
            <v>Esmalte Horneable Alquidico Naranja Suave</v>
          </cell>
          <cell r="C132" t="str">
            <v>Interior-Exterior</v>
          </cell>
          <cell r="D132" t="str">
            <v>Hierro</v>
          </cell>
          <cell r="E132" t="str">
            <v>Limpieza con Solvente</v>
          </cell>
          <cell r="F132" t="str">
            <v>Ninguno</v>
          </cell>
          <cell r="G132" t="str">
            <v>9.05 Lbs/Gl</v>
          </cell>
          <cell r="H132" t="str">
            <v>14.95%</v>
          </cell>
          <cell r="I132" t="str">
            <v>51.53%</v>
          </cell>
          <cell r="J132" t="str">
            <v>42.89%</v>
          </cell>
          <cell r="K132" t="str">
            <v>8.79%</v>
          </cell>
          <cell r="L132" t="str">
            <v>36.89%</v>
          </cell>
          <cell r="M132" t="str">
            <v>100"-110" Copa Zanh #2</v>
          </cell>
          <cell r="N132" t="str">
            <v>Pistola</v>
          </cell>
          <cell r="O132" t="str">
            <v>20-25 seg. Copa Zanh #2</v>
          </cell>
          <cell r="P132" t="str">
            <v>20-25%</v>
          </cell>
          <cell r="Q132" t="str">
            <v>R2K4         Industrial reducer</v>
          </cell>
          <cell r="R132" t="str">
            <v>1.0-1.2 mills</v>
          </cell>
          <cell r="S132" t="str">
            <v>Al horno</v>
          </cell>
          <cell r="T132" t="str">
            <v>15' a 300°F</v>
          </cell>
          <cell r="U132" t="str">
            <v>824.48 Pies Cuadrados/Gl a un mills de espesor</v>
          </cell>
          <cell r="V132" t="str">
            <v>+85</v>
          </cell>
          <cell r="W132" t="str">
            <v>H</v>
          </cell>
          <cell r="X132" t="str">
            <v>6-12 meses</v>
          </cell>
          <cell r="Y132" t="str">
            <v>Van Leer-Nicaragua</v>
          </cell>
          <cell r="Z132" t="str">
            <v>Barriles de Hierro</v>
          </cell>
          <cell r="AA132" t="str">
            <v>-</v>
          </cell>
          <cell r="AB132" t="str">
            <v>Luis Nolasco</v>
          </cell>
          <cell r="AC132" t="str">
            <v>S/F</v>
          </cell>
        </row>
        <row r="133">
          <cell r="A133" t="str">
            <v>SAA 3873</v>
          </cell>
          <cell r="B133" t="str">
            <v>Esmalte Horneable Alquidico Beige Standard Steel</v>
          </cell>
          <cell r="C133" t="str">
            <v>Interior-Exterior</v>
          </cell>
          <cell r="D133" t="str">
            <v>Hierro</v>
          </cell>
          <cell r="E133" t="str">
            <v>Limpieza con R2K4, Desengrase, Fosfatizado</v>
          </cell>
          <cell r="F133" t="str">
            <v>Ninguno</v>
          </cell>
          <cell r="G133" t="str">
            <v>9.44 Lbs/Gl</v>
          </cell>
          <cell r="H133" t="str">
            <v>33.6%</v>
          </cell>
          <cell r="I133" t="str">
            <v>57.95%</v>
          </cell>
          <cell r="J133" t="str">
            <v>22.3%</v>
          </cell>
          <cell r="K133" t="str">
            <v>42.8%</v>
          </cell>
          <cell r="L133" t="str">
            <v>10.81%</v>
          </cell>
          <cell r="M133" t="str">
            <v>100"-110" Copa Zanh #2</v>
          </cell>
          <cell r="N133" t="str">
            <v>Pistola</v>
          </cell>
          <cell r="O133" t="str">
            <v>20-25 seg. Copa Zanh #2</v>
          </cell>
          <cell r="P133" t="str">
            <v>20-25%</v>
          </cell>
          <cell r="Q133" t="str">
            <v>R2K4         Industrial reducer</v>
          </cell>
          <cell r="R133" t="str">
            <v>1.0-1.2 mills</v>
          </cell>
          <cell r="S133" t="str">
            <v>Al horno</v>
          </cell>
          <cell r="T133" t="str">
            <v>15' a 300°F</v>
          </cell>
          <cell r="U133" t="str">
            <v xml:space="preserve">690 Pies Cuadrados/Gl </v>
          </cell>
          <cell r="V133" t="str">
            <v>+90</v>
          </cell>
          <cell r="W133" t="str">
            <v>HB</v>
          </cell>
          <cell r="X133" t="str">
            <v>6-12 meses</v>
          </cell>
          <cell r="Y133" t="str">
            <v>STANDARD STEEL (Nicaragua)</v>
          </cell>
          <cell r="Z133" t="str">
            <v>Muebles Metálicos</v>
          </cell>
          <cell r="AA133" t="str">
            <v>-</v>
          </cell>
          <cell r="AB133" t="str">
            <v>Rene Ferrufino</v>
          </cell>
          <cell r="AC133" t="str">
            <v>S/F</v>
          </cell>
        </row>
        <row r="134">
          <cell r="A134" t="str">
            <v>SAA 3874</v>
          </cell>
          <cell r="B134" t="str">
            <v>Esmalte Horneable Alquidico Rojo Shell</v>
          </cell>
          <cell r="C134" t="str">
            <v>Interior-Exterior</v>
          </cell>
          <cell r="D134" t="str">
            <v>Hierro</v>
          </cell>
          <cell r="E134" t="str">
            <v>Limpieza con Solvente</v>
          </cell>
          <cell r="F134" t="str">
            <v>Ninguno</v>
          </cell>
          <cell r="G134" t="str">
            <v>8.08 Lbs/Gl</v>
          </cell>
          <cell r="H134" t="str">
            <v>4.43%</v>
          </cell>
          <cell r="I134" t="str">
            <v>45.31%</v>
          </cell>
          <cell r="J134" t="str">
            <v>42.78%</v>
          </cell>
          <cell r="K134" t="str">
            <v>7.71%</v>
          </cell>
          <cell r="L134" t="str">
            <v>36.32%</v>
          </cell>
          <cell r="M134" t="str">
            <v>100"-110" Copa Zanh #2</v>
          </cell>
          <cell r="N134" t="str">
            <v>Pistola</v>
          </cell>
          <cell r="O134" t="str">
            <v>20-25 seg. Copa Zanh #2</v>
          </cell>
          <cell r="P134" t="str">
            <v>20-25%</v>
          </cell>
          <cell r="Q134" t="str">
            <v>R2K4         Industrial reducer</v>
          </cell>
          <cell r="R134" t="str">
            <v>1.0-1.2 mills</v>
          </cell>
          <cell r="S134" t="str">
            <v>Al horno</v>
          </cell>
          <cell r="T134" t="str">
            <v>15' a 300°F</v>
          </cell>
          <cell r="U134" t="str">
            <v>724.96 Pies Cuadrados/Gl a un mills de espesor</v>
          </cell>
          <cell r="V134" t="str">
            <v>+85</v>
          </cell>
          <cell r="W134" t="str">
            <v>H</v>
          </cell>
          <cell r="X134" t="str">
            <v>6-12 meses</v>
          </cell>
          <cell r="Y134" t="str">
            <v>Van Leer-Nicaragua</v>
          </cell>
          <cell r="Z134" t="str">
            <v>Barriles de Hierro</v>
          </cell>
          <cell r="AA134" t="str">
            <v>-</v>
          </cell>
          <cell r="AB134" t="str">
            <v>Luis Nolasco</v>
          </cell>
          <cell r="AC134" t="str">
            <v>S/F</v>
          </cell>
        </row>
        <row r="135">
          <cell r="A135" t="str">
            <v>SAA 3875</v>
          </cell>
          <cell r="B135" t="str">
            <v>Esmalte Horneable Alquidico Amarillo Shell</v>
          </cell>
          <cell r="C135" t="str">
            <v>Interior-Exterior</v>
          </cell>
          <cell r="D135" t="str">
            <v>Hierro</v>
          </cell>
          <cell r="E135" t="str">
            <v>Limpieza con Solvente</v>
          </cell>
          <cell r="F135" t="str">
            <v>Ninguno</v>
          </cell>
          <cell r="G135" t="str">
            <v>9.70 Lbs/Gl</v>
          </cell>
          <cell r="H135" t="str">
            <v>22.27%</v>
          </cell>
          <cell r="I135" t="str">
            <v>56.05%</v>
          </cell>
          <cell r="J135" t="str">
            <v>43.46%</v>
          </cell>
          <cell r="K135" t="str">
            <v>13.14%</v>
          </cell>
          <cell r="L135" t="str">
            <v>38.59%</v>
          </cell>
          <cell r="M135" t="str">
            <v>100"-110" Copa Zanh #2</v>
          </cell>
          <cell r="N135" t="str">
            <v>Pistola</v>
          </cell>
          <cell r="O135" t="str">
            <v>20-25 seg. Copa Zanh #2</v>
          </cell>
          <cell r="P135" t="str">
            <v>20-25%</v>
          </cell>
          <cell r="Q135" t="str">
            <v>R2K4         Industrial reducer</v>
          </cell>
          <cell r="R135" t="str">
            <v>1.0-1.2 mills</v>
          </cell>
          <cell r="S135" t="str">
            <v>Al horno</v>
          </cell>
          <cell r="T135" t="str">
            <v>15' a 300°F</v>
          </cell>
          <cell r="U135" t="str">
            <v>896.8 Pies Cuadrados/Gl a un mills de espesor</v>
          </cell>
          <cell r="V135" t="str">
            <v>+85</v>
          </cell>
          <cell r="W135" t="str">
            <v>H</v>
          </cell>
          <cell r="X135" t="str">
            <v>6-12 meses</v>
          </cell>
          <cell r="Y135" t="str">
            <v>Van Leer-Nicaragua</v>
          </cell>
          <cell r="Z135" t="str">
            <v>Barriles de Hierro</v>
          </cell>
          <cell r="AA135" t="str">
            <v>-</v>
          </cell>
          <cell r="AB135" t="str">
            <v>Luis Nolasco</v>
          </cell>
          <cell r="AC135" t="str">
            <v>S/F</v>
          </cell>
        </row>
        <row r="136">
          <cell r="A136" t="str">
            <v>SAA 3876</v>
          </cell>
          <cell r="B136" t="str">
            <v>Esmalte Horneable Café Claro</v>
          </cell>
          <cell r="C136" t="str">
            <v>Interior-Exterior</v>
          </cell>
          <cell r="D136" t="str">
            <v>Hierro</v>
          </cell>
          <cell r="E136" t="str">
            <v>Limpieza con Solvente</v>
          </cell>
          <cell r="F136" t="str">
            <v>Ninguno</v>
          </cell>
          <cell r="G136" t="str">
            <v>9.91 Lbs/Gl</v>
          </cell>
          <cell r="H136" t="str">
            <v>51.12%</v>
          </cell>
          <cell r="I136" t="str">
            <v>58%</v>
          </cell>
          <cell r="J136" t="str">
            <v>6.88%</v>
          </cell>
          <cell r="K136" t="str">
            <v>29.41%</v>
          </cell>
          <cell r="L136" t="str">
            <v>41%</v>
          </cell>
          <cell r="M136" t="str">
            <v>100"-110" Copa Zanh #2</v>
          </cell>
          <cell r="N136" t="str">
            <v>Pistola</v>
          </cell>
          <cell r="O136" t="str">
            <v>20-25 seg. Copa Zanh #2</v>
          </cell>
          <cell r="P136" t="str">
            <v>20-25%</v>
          </cell>
          <cell r="Q136" t="str">
            <v>R2K4         Industrial reducer</v>
          </cell>
          <cell r="R136" t="str">
            <v>1.0-1.2 mills</v>
          </cell>
          <cell r="S136" t="str">
            <v>Al horno</v>
          </cell>
          <cell r="T136" t="str">
            <v>15' a 300°F</v>
          </cell>
          <cell r="U136" t="str">
            <v>656 Pies Cuadrados/Gl a un mills de espesor</v>
          </cell>
          <cell r="V136" t="str">
            <v>18-25</v>
          </cell>
          <cell r="W136" t="str">
            <v>H</v>
          </cell>
          <cell r="X136" t="str">
            <v>6-12 meses</v>
          </cell>
          <cell r="Y136" t="str">
            <v>HECASA</v>
          </cell>
          <cell r="Z136" t="str">
            <v>Muebles Metálicos</v>
          </cell>
          <cell r="AA136" t="str">
            <v>-</v>
          </cell>
          <cell r="AB136" t="str">
            <v>Beatriz Sandoval</v>
          </cell>
          <cell r="AC136" t="str">
            <v>S/F</v>
          </cell>
        </row>
        <row r="137">
          <cell r="A137" t="str">
            <v>SAA 3879</v>
          </cell>
          <cell r="B137" t="str">
            <v>Rubbing Compound Extra Fino</v>
          </cell>
          <cell r="C137" t="str">
            <v>-</v>
          </cell>
          <cell r="D137" t="str">
            <v>Acabados Finales Finos (Transparentes, Lacas, Esmaltes)*</v>
          </cell>
          <cell r="E137" t="str">
            <v>Limpia de Suciedad (agua)</v>
          </cell>
          <cell r="F137" t="str">
            <v>-</v>
          </cell>
          <cell r="G137" t="str">
            <v>11.01 Lbs/Gl</v>
          </cell>
          <cell r="H137" t="str">
            <v>88.3%</v>
          </cell>
          <cell r="I137" t="str">
            <v>52.6%</v>
          </cell>
          <cell r="J137" t="str">
            <v>11.7%</v>
          </cell>
          <cell r="K137" t="str">
            <v>73.9%</v>
          </cell>
          <cell r="L137" t="str">
            <v>31.4%</v>
          </cell>
          <cell r="M137" t="str">
            <v>65/70 KU</v>
          </cell>
          <cell r="N137" t="str">
            <v>Untado con Wipe, Franela o con la Mano.</v>
          </cell>
          <cell r="O137" t="str">
            <v>65-70 KU</v>
          </cell>
          <cell r="P137" t="str">
            <v>Ninguno</v>
          </cell>
          <cell r="Q137" t="str">
            <v>Agua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1 Año</v>
          </cell>
          <cell r="Y137" t="str">
            <v>Talleres Automotrices</v>
          </cell>
          <cell r="Z137" t="str">
            <v>Pintado y Pasteado de Vehículos Automotrices.</v>
          </cell>
          <cell r="AA137" t="str">
            <v>*En donde se requiera poca abrasión, para no dañar acabados sumamente finos.</v>
          </cell>
          <cell r="AB137" t="str">
            <v>Rene Ferrufino</v>
          </cell>
          <cell r="AC137" t="str">
            <v>S/F</v>
          </cell>
        </row>
        <row r="138">
          <cell r="A138" t="str">
            <v>T60F50</v>
          </cell>
          <cell r="B138" t="str">
            <v>Sherwood Sanding Sealer No. 46</v>
          </cell>
          <cell r="C138" t="str">
            <v>Interior</v>
          </cell>
          <cell r="D138" t="str">
            <v>Madra</v>
          </cell>
          <cell r="E138" t="str">
            <v>Lijar Madera</v>
          </cell>
          <cell r="F138" t="str">
            <v>Tapaporo Nogal Oscuro Listo Para Usar</v>
          </cell>
          <cell r="G138" t="str">
            <v>7.8 Lbs/Gl</v>
          </cell>
          <cell r="H138" t="str">
            <v>-</v>
          </cell>
          <cell r="I138" t="str">
            <v>39%</v>
          </cell>
          <cell r="J138" t="str">
            <v>-</v>
          </cell>
          <cell r="K138" t="str">
            <v>-</v>
          </cell>
          <cell r="L138" t="str">
            <v>29%</v>
          </cell>
          <cell r="M138" t="str">
            <v>135-140 KU</v>
          </cell>
          <cell r="N138" t="str">
            <v>Pistola de aire</v>
          </cell>
          <cell r="O138" t="str">
            <v>25-30 Seg. Copa Zanh #2</v>
          </cell>
          <cell r="P138" t="str">
            <v>200% con Thinner R7K128</v>
          </cell>
          <cell r="Q138" t="str">
            <v>R7K128</v>
          </cell>
          <cell r="R138" t="str">
            <v>0.8 mills</v>
          </cell>
          <cell r="S138" t="str">
            <v>Tocar: 5-10 Min, Total: 15 Min. Recubrir: 30 Min.</v>
          </cell>
          <cell r="T138" t="str">
            <v>-</v>
          </cell>
          <cell r="U138" t="str">
            <v>45 Mts Cuadrados/Gl</v>
          </cell>
          <cell r="V138" t="str">
            <v>5-10</v>
          </cell>
          <cell r="W138" t="str">
            <v>-</v>
          </cell>
          <cell r="X138" t="str">
            <v>-</v>
          </cell>
          <cell r="Y138" t="str">
            <v>Olympia Empac-Guatemala</v>
          </cell>
          <cell r="Z138" t="str">
            <v>Muebles de Madera.</v>
          </cell>
          <cell r="AA138" t="str">
            <v>-</v>
          </cell>
          <cell r="AB138" t="str">
            <v>-</v>
          </cell>
          <cell r="AC138" t="str">
            <v>S/F</v>
          </cell>
        </row>
        <row r="139">
          <cell r="A139" t="str">
            <v>T70CSA16 (1)</v>
          </cell>
          <cell r="B139" t="str">
            <v>Laca Industrial Transparente Brillante</v>
          </cell>
          <cell r="C139" t="str">
            <v>Interior</v>
          </cell>
          <cell r="D139" t="str">
            <v>Polietileno y Poliestireno</v>
          </cell>
          <cell r="E139" t="str">
            <v>Limpieza Adecuada</v>
          </cell>
          <cell r="F139" t="str">
            <v>-</v>
          </cell>
          <cell r="G139" t="str">
            <v>8.0 Lbs/Gl</v>
          </cell>
          <cell r="H139" t="str">
            <v>-</v>
          </cell>
          <cell r="I139" t="str">
            <v>40%</v>
          </cell>
          <cell r="J139" t="str">
            <v>40%</v>
          </cell>
          <cell r="K139" t="str">
            <v>-</v>
          </cell>
          <cell r="L139" t="str">
            <v>32%</v>
          </cell>
          <cell r="M139" t="str">
            <v>J-L (Gardner-Holdt)</v>
          </cell>
          <cell r="N139" t="str">
            <v>Spray (Pistola)</v>
          </cell>
          <cell r="O139" t="str">
            <v>25"-28" Copa Zanh #2</v>
          </cell>
          <cell r="P139" t="str">
            <v>100-125%</v>
          </cell>
          <cell r="Q139" t="str">
            <v>R6KA10 Thinner Especial INDISA</v>
          </cell>
          <cell r="R139" t="str">
            <v>0.5-0.7 mills</v>
          </cell>
          <cell r="S139" t="str">
            <v>Al Aire 5-10 min</v>
          </cell>
          <cell r="T139" t="str">
            <v>-</v>
          </cell>
          <cell r="V139" t="str">
            <v>80</v>
          </cell>
          <cell r="W139" t="str">
            <v>2B-B</v>
          </cell>
          <cell r="X139" t="str">
            <v>1-1 1/2 Años</v>
          </cell>
          <cell r="Y139" t="str">
            <v>INDISA</v>
          </cell>
          <cell r="Z139" t="str">
            <v>Adornos Navideños y otros.</v>
          </cell>
          <cell r="AA139" t="str">
            <v>-</v>
          </cell>
          <cell r="AB139" t="str">
            <v>-</v>
          </cell>
          <cell r="AC139" t="str">
            <v>S/F</v>
          </cell>
        </row>
        <row r="140">
          <cell r="A140" t="str">
            <v>T70CSA18</v>
          </cell>
          <cell r="B140" t="str">
            <v>Laca Especial Transparente Final</v>
          </cell>
          <cell r="C140" t="str">
            <v>Interior</v>
          </cell>
          <cell r="D140" t="str">
            <v>Polietileno y Poliestireno</v>
          </cell>
          <cell r="E140" t="str">
            <v>Limpieza Adecuada</v>
          </cell>
          <cell r="F140" t="str">
            <v>T70CSA16</v>
          </cell>
          <cell r="G140" t="str">
            <v>7.59 Lbs/Gl</v>
          </cell>
          <cell r="H140" t="str">
            <v>-</v>
          </cell>
          <cell r="I140" t="str">
            <v>20.84%</v>
          </cell>
          <cell r="J140" t="str">
            <v>20.84%</v>
          </cell>
          <cell r="K140" t="str">
            <v>-</v>
          </cell>
          <cell r="L140" t="str">
            <v>13.51%</v>
          </cell>
          <cell r="M140" t="str">
            <v>10"-15" SW#5</v>
          </cell>
          <cell r="N140" t="str">
            <v>Spray (Pistola)</v>
          </cell>
          <cell r="O140" t="str">
            <v>25"-28" Copa Zanh #2</v>
          </cell>
          <cell r="P140" t="str">
            <v>100-125%</v>
          </cell>
          <cell r="Q140" t="str">
            <v>R7KSA13 Thinner Especial</v>
          </cell>
          <cell r="R140" t="str">
            <v>0.5-0.7 mills</v>
          </cell>
          <cell r="S140" t="str">
            <v>Al aire 5-10 min</v>
          </cell>
          <cell r="T140" t="str">
            <v>-</v>
          </cell>
          <cell r="U140" t="str">
            <v>-</v>
          </cell>
          <cell r="V140" t="str">
            <v>85-90 unidades</v>
          </cell>
          <cell r="W140" t="str">
            <v>2B-B</v>
          </cell>
          <cell r="X140" t="str">
            <v>1-1 1/2 Años</v>
          </cell>
          <cell r="Y140" t="str">
            <v>INDISA</v>
          </cell>
          <cell r="Z140" t="str">
            <v>Adornos Navideños y otros.</v>
          </cell>
          <cell r="AA140" t="str">
            <v>-</v>
          </cell>
          <cell r="AB140" t="str">
            <v>-</v>
          </cell>
          <cell r="AC140" t="str">
            <v>S/F</v>
          </cell>
        </row>
        <row r="141">
          <cell r="A141" t="str">
            <v>V71VSA1 T-1</v>
          </cell>
          <cell r="B141" t="str">
            <v>Barniz Interior Sanitario  Dorado</v>
          </cell>
          <cell r="C141" t="str">
            <v>Interior</v>
          </cell>
          <cell r="D141" t="str">
            <v>Hojalata</v>
          </cell>
          <cell r="E141" t="str">
            <v>Limpia con Solvente</v>
          </cell>
          <cell r="F141" t="str">
            <v>Ninguno</v>
          </cell>
          <cell r="G141" t="str">
            <v>8.15 Lbs/Gl</v>
          </cell>
          <cell r="H141" t="str">
            <v>-</v>
          </cell>
          <cell r="I141" t="str">
            <v>31.68%</v>
          </cell>
          <cell r="J141" t="str">
            <v>31.68%</v>
          </cell>
          <cell r="K141" t="str">
            <v>-</v>
          </cell>
          <cell r="L141" t="str">
            <v>27.65%</v>
          </cell>
          <cell r="M141" t="str">
            <v>160"-170" Copa SW #3</v>
          </cell>
          <cell r="N141" t="str">
            <v>Rodillo</v>
          </cell>
          <cell r="O141" t="str">
            <v>160"-170" Copa SW #3</v>
          </cell>
          <cell r="P141" t="str">
            <v>-</v>
          </cell>
          <cell r="Q141" t="str">
            <v>-</v>
          </cell>
          <cell r="R141" t="str">
            <v>1 mills</v>
          </cell>
          <cell r="S141" t="str">
            <v>Al Horno</v>
          </cell>
          <cell r="T141" t="str">
            <v>12' a 190°C</v>
          </cell>
          <cell r="U141" t="str">
            <v>547 Mts Cuadrados/Gl a 1 mills de espesor.</v>
          </cell>
          <cell r="V141" t="str">
            <v>+90</v>
          </cell>
          <cell r="W141" t="str">
            <v>-</v>
          </cell>
          <cell r="X141" t="str">
            <v>6-12 meses</v>
          </cell>
          <cell r="Y141" t="str">
            <v>Nicaragua</v>
          </cell>
          <cell r="Z141" t="str">
            <v>-</v>
          </cell>
          <cell r="AA141" t="str">
            <v>-</v>
          </cell>
          <cell r="AB141" t="str">
            <v>Luis Nolasco</v>
          </cell>
          <cell r="AC141" t="str">
            <v>S/F</v>
          </cell>
        </row>
        <row r="142">
          <cell r="A142" t="str">
            <v>V76VSA11 T-2</v>
          </cell>
          <cell r="B142" t="str">
            <v>Wet Ink Varnish Special</v>
          </cell>
          <cell r="C142" t="str">
            <v>Interior-Exterior</v>
          </cell>
          <cell r="D142" t="str">
            <v>Hojalata</v>
          </cell>
          <cell r="E142" t="str">
            <v>Limpia</v>
          </cell>
          <cell r="F142" t="str">
            <v>Ninguno</v>
          </cell>
          <cell r="G142" t="str">
            <v>7.69 Lbs/Gl</v>
          </cell>
          <cell r="H142" t="str">
            <v>-</v>
          </cell>
          <cell r="I142" t="str">
            <v>50.11%</v>
          </cell>
          <cell r="J142" t="str">
            <v>50.11%</v>
          </cell>
          <cell r="K142" t="str">
            <v>-</v>
          </cell>
          <cell r="L142" t="str">
            <v>42.72%</v>
          </cell>
          <cell r="M142" t="str">
            <v>50"-60" Copa Ford #4</v>
          </cell>
          <cell r="N142" t="str">
            <v>Rodillo</v>
          </cell>
          <cell r="O142" t="str">
            <v>50"-60" Copa Ford #4</v>
          </cell>
          <cell r="P142" t="str">
            <v>03-32-10 Si es Necesario</v>
          </cell>
          <cell r="Q142" t="str">
            <v>03-32-10</v>
          </cell>
          <cell r="R142" t="str">
            <v>-</v>
          </cell>
          <cell r="S142" t="str">
            <v>-</v>
          </cell>
          <cell r="T142" t="str">
            <v>12' a 160°C</v>
          </cell>
          <cell r="U142" t="str">
            <v>-</v>
          </cell>
          <cell r="V142" t="str">
            <v>+90</v>
          </cell>
          <cell r="W142" t="str">
            <v>B</v>
          </cell>
          <cell r="X142" t="str">
            <v>12 meses</v>
          </cell>
          <cell r="Y142" t="str">
            <v>CORLASA</v>
          </cell>
          <cell r="Z142" t="str">
            <v>Tapas Coronas, Afiches, Etc.</v>
          </cell>
          <cell r="AA142" t="str">
            <v>-</v>
          </cell>
          <cell r="AB142" t="str">
            <v>-</v>
          </cell>
          <cell r="AC142" t="str">
            <v>S/F</v>
          </cell>
        </row>
        <row r="143">
          <cell r="A143" t="str">
            <v>V76VSA13 T-2</v>
          </cell>
          <cell r="B143" t="str">
            <v>Barniz para Interiores Fenólico de Alta Resistencia Química</v>
          </cell>
          <cell r="C143" t="str">
            <v>Interior</v>
          </cell>
          <cell r="D143" t="str">
            <v>Hojalata</v>
          </cell>
          <cell r="E143" t="str">
            <v>Limpia</v>
          </cell>
          <cell r="F143" t="str">
            <v>Ninguno</v>
          </cell>
          <cell r="G143" t="str">
            <v>8.0 Lbs/Gl</v>
          </cell>
          <cell r="H143" t="str">
            <v>-</v>
          </cell>
          <cell r="I143" t="str">
            <v>38.91%</v>
          </cell>
          <cell r="J143" t="str">
            <v>38.91%</v>
          </cell>
          <cell r="K143" t="str">
            <v>-</v>
          </cell>
          <cell r="L143" t="str">
            <v>25.34%</v>
          </cell>
          <cell r="M143" t="str">
            <v>55"-65" Copa Ford #4</v>
          </cell>
          <cell r="N143" t="str">
            <v>Rodillo</v>
          </cell>
          <cell r="O143" t="str">
            <v>55"-65" Copa Ford #4</v>
          </cell>
          <cell r="P143" t="str">
            <v>Ninguno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20' a 375°F</v>
          </cell>
          <cell r="U143" t="str">
            <v>622.56 Pies Cuadrados/Gl</v>
          </cell>
          <cell r="V143" t="str">
            <v>80</v>
          </cell>
          <cell r="W143" t="str">
            <v>-</v>
          </cell>
          <cell r="X143" t="str">
            <v>12 meses</v>
          </cell>
          <cell r="Y143" t="str">
            <v>Van Leer</v>
          </cell>
          <cell r="Z143" t="str">
            <v>Envases Metálicos</v>
          </cell>
          <cell r="AA143" t="str">
            <v>-</v>
          </cell>
          <cell r="AB143" t="str">
            <v>-</v>
          </cell>
          <cell r="AC143" t="str">
            <v>S/F</v>
          </cell>
        </row>
        <row r="144">
          <cell r="A144" t="str">
            <v>V76VSA16 (1)</v>
          </cell>
          <cell r="B144" t="str">
            <v>Barniz Horneable Especial Para Tapacoronas</v>
          </cell>
          <cell r="C144" t="str">
            <v>Exterior</v>
          </cell>
          <cell r="D144" t="str">
            <v>Hojalata</v>
          </cell>
          <cell r="E144" t="str">
            <v>Limpia</v>
          </cell>
          <cell r="F144" t="str">
            <v>Ninguno</v>
          </cell>
          <cell r="G144" t="str">
            <v>8.03 Lbs/Gl</v>
          </cell>
          <cell r="H144" t="str">
            <v>-</v>
          </cell>
          <cell r="I144" t="str">
            <v>48.58%</v>
          </cell>
          <cell r="J144" t="str">
            <v>48.58%</v>
          </cell>
          <cell r="K144" t="str">
            <v>-</v>
          </cell>
          <cell r="L144" t="str">
            <v>40.40%</v>
          </cell>
          <cell r="M144" t="str">
            <v>50"-55" Copa SW #3</v>
          </cell>
          <cell r="N144" t="str">
            <v>Rodillo</v>
          </cell>
          <cell r="O144" t="str">
            <v>50"-55" Copa SW #3</v>
          </cell>
          <cell r="P144" t="str">
            <v>-</v>
          </cell>
          <cell r="Q144" t="str">
            <v>-</v>
          </cell>
          <cell r="R144" t="str">
            <v>1 mills</v>
          </cell>
          <cell r="S144" t="str">
            <v>Al Horno</v>
          </cell>
          <cell r="T144" t="str">
            <v>12' a 190°C</v>
          </cell>
          <cell r="U144" t="str">
            <v>777 Mts Cuadrados/Gl a 1 mills de espesor.</v>
          </cell>
          <cell r="V144" t="str">
            <v>+90</v>
          </cell>
          <cell r="W144" t="str">
            <v>H</v>
          </cell>
          <cell r="X144" t="str">
            <v>6-12 meses</v>
          </cell>
          <cell r="Y144" t="str">
            <v>Nicaragua</v>
          </cell>
          <cell r="Z144" t="str">
            <v>-</v>
          </cell>
          <cell r="AA144" t="str">
            <v>-</v>
          </cell>
          <cell r="AB144" t="str">
            <v>Luis Nolasco</v>
          </cell>
          <cell r="AC144" t="str">
            <v>S/F</v>
          </cell>
        </row>
        <row r="145">
          <cell r="A145" t="str">
            <v>V76VSA9 T-11</v>
          </cell>
          <cell r="B145" t="str">
            <v xml:space="preserve">Wet Ink Varnish </v>
          </cell>
          <cell r="C145" t="str">
            <v>Interior-Exterior</v>
          </cell>
          <cell r="D145" t="str">
            <v>Hojalata</v>
          </cell>
          <cell r="E145" t="str">
            <v>Limpia</v>
          </cell>
          <cell r="F145" t="str">
            <v>Ninguno</v>
          </cell>
          <cell r="G145" t="str">
            <v>8.09 Lbs/Gl</v>
          </cell>
          <cell r="H145" t="str">
            <v>-</v>
          </cell>
          <cell r="I145" t="str">
            <v>49.09%</v>
          </cell>
          <cell r="J145" t="str">
            <v>49.09%</v>
          </cell>
          <cell r="K145" t="str">
            <v>-</v>
          </cell>
          <cell r="L145" t="str">
            <v>41.69%</v>
          </cell>
          <cell r="M145" t="str">
            <v>50"-60" Copa Ford #4</v>
          </cell>
          <cell r="N145" t="str">
            <v>Rodillo</v>
          </cell>
          <cell r="O145" t="str">
            <v>50"-60" Copa Ford #4</v>
          </cell>
          <cell r="P145" t="str">
            <v>03-32-10 Si es Necesario</v>
          </cell>
          <cell r="Q145" t="str">
            <v>03-32-10</v>
          </cell>
          <cell r="R145" t="str">
            <v>-</v>
          </cell>
          <cell r="S145" t="str">
            <v>-</v>
          </cell>
          <cell r="T145" t="str">
            <v>12' a 160°C</v>
          </cell>
          <cell r="U145" t="str">
            <v>-</v>
          </cell>
          <cell r="V145" t="str">
            <v>+90</v>
          </cell>
          <cell r="W145" t="str">
            <v>B</v>
          </cell>
          <cell r="X145" t="str">
            <v>12 meses</v>
          </cell>
          <cell r="Y145" t="str">
            <v>CORLASA</v>
          </cell>
          <cell r="Z145" t="str">
            <v>Tapas Coronas, Afiches, Etc.</v>
          </cell>
          <cell r="AA145" t="str">
            <v>-</v>
          </cell>
          <cell r="AB145" t="str">
            <v>-</v>
          </cell>
          <cell r="AC145" t="str">
            <v>S/F</v>
          </cell>
        </row>
        <row r="146">
          <cell r="A146" t="str">
            <v>V83CSA2</v>
          </cell>
          <cell r="B146" t="str">
            <v>Barniz Artesanal</v>
          </cell>
          <cell r="C146" t="str">
            <v>Interior</v>
          </cell>
          <cell r="D146" t="str">
            <v>Madera</v>
          </cell>
          <cell r="E146" t="str">
            <v>Limpia, sin Polvo</v>
          </cell>
          <cell r="F146" t="str">
            <v>-</v>
          </cell>
          <cell r="G146" t="str">
            <v>7.87 Lbs/Gl</v>
          </cell>
          <cell r="H146" t="str">
            <v>-</v>
          </cell>
          <cell r="I146" t="str">
            <v>40.1%</v>
          </cell>
          <cell r="J146" t="str">
            <v>40.1%</v>
          </cell>
          <cell r="K146" t="str">
            <v>-</v>
          </cell>
          <cell r="L146" t="str">
            <v>35.2%</v>
          </cell>
          <cell r="M146" t="str">
            <v>J-L (Gardner-Holdt)</v>
          </cell>
          <cell r="N146" t="str">
            <v>Brocha,Pistola de Aire</v>
          </cell>
          <cell r="O146" t="str">
            <v>-</v>
          </cell>
          <cell r="P146" t="str">
            <v>Brocha: Lo necesario con R2K4; Pistola de Aire: 20% con R2K4</v>
          </cell>
          <cell r="Q146" t="str">
            <v>R2K4         Industrial reducer</v>
          </cell>
          <cell r="R146" t="str">
            <v>-</v>
          </cell>
          <cell r="S146" t="str">
            <v>Al Aire</v>
          </cell>
          <cell r="T146" t="str">
            <v>-</v>
          </cell>
          <cell r="U146" t="str">
            <v>-</v>
          </cell>
          <cell r="V146" t="str">
            <v>80</v>
          </cell>
          <cell r="W146" t="str">
            <v>-</v>
          </cell>
          <cell r="X146" t="str">
            <v>10-12 meses</v>
          </cell>
          <cell r="Y146" t="str">
            <v>La semilla de Dios</v>
          </cell>
          <cell r="Z146" t="str">
            <v>Cuadros y Figuras Artesanales</v>
          </cell>
          <cell r="AA146" t="str">
            <v>Recubrir 3 Horas después de aplicar la Primera mano. Empaquetar después de 48 Horas de Aplicado.</v>
          </cell>
          <cell r="AB146" t="str">
            <v>-</v>
          </cell>
          <cell r="AC146" t="str">
            <v>S/F</v>
          </cell>
        </row>
        <row r="147">
          <cell r="A147" t="str">
            <v>X79ASA1</v>
          </cell>
          <cell r="B147" t="str">
            <v>Plastisol Crown Lining</v>
          </cell>
          <cell r="C147" t="str">
            <v>Interior</v>
          </cell>
          <cell r="D147" t="str">
            <v>Tapa Corona</v>
          </cell>
          <cell r="E147" t="str">
            <v>Limpieza</v>
          </cell>
          <cell r="F147" t="str">
            <v>Ninguno</v>
          </cell>
          <cell r="G147" t="str">
            <v>10.17 Lbs/Gl</v>
          </cell>
          <cell r="H147" t="str">
            <v>Ninguno</v>
          </cell>
          <cell r="I147" t="str">
            <v>100%</v>
          </cell>
          <cell r="J147" t="str">
            <v>100%</v>
          </cell>
          <cell r="K147" t="str">
            <v>-</v>
          </cell>
          <cell r="L147" t="str">
            <v>100%</v>
          </cell>
          <cell r="M147" t="str">
            <v>130-140 KU</v>
          </cell>
          <cell r="N147" t="str">
            <v>Especial</v>
          </cell>
          <cell r="O147" t="str">
            <v>130-140 KU</v>
          </cell>
          <cell r="P147" t="str">
            <v>Ninguno</v>
          </cell>
          <cell r="Q147" t="str">
            <v>Ninguno</v>
          </cell>
          <cell r="R147" t="str">
            <v>-</v>
          </cell>
          <cell r="S147" t="str">
            <v>-</v>
          </cell>
          <cell r="T147" t="str">
            <v>70 Seg. a 210°C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12 meses</v>
          </cell>
          <cell r="Y147" t="str">
            <v>MAVICA Guatemala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S/F</v>
          </cell>
        </row>
        <row r="148">
          <cell r="A148" t="str">
            <v>SAA 1737</v>
          </cell>
          <cell r="B148" t="str">
            <v>Anticorrosivo Verde Esmeralda</v>
          </cell>
          <cell r="C148" t="str">
            <v>Interior-Exterior</v>
          </cell>
          <cell r="D148" t="str">
            <v>Estantes Metálicos</v>
          </cell>
          <cell r="E148" t="str">
            <v>Limpieza con Cepillo de Alambre</v>
          </cell>
          <cell r="F148" t="str">
            <v>-</v>
          </cell>
          <cell r="G148" t="str">
            <v>10.40 Lbs/Gl</v>
          </cell>
          <cell r="H148" t="str">
            <v>-</v>
          </cell>
          <cell r="I148" t="str">
            <v>68.39%</v>
          </cell>
          <cell r="J148" t="str">
            <v>-</v>
          </cell>
          <cell r="K148" t="str">
            <v>-</v>
          </cell>
          <cell r="L148" t="str">
            <v>50.41%</v>
          </cell>
          <cell r="M148" t="str">
            <v>30"-40"</v>
          </cell>
          <cell r="N148" t="str">
            <v>Brocha</v>
          </cell>
          <cell r="O148" t="str">
            <v>Directa</v>
          </cell>
          <cell r="P148" t="str">
            <v>15% con R1K4 si es Necesario</v>
          </cell>
          <cell r="Q148" t="str">
            <v>R1K4   Mineral Spirits</v>
          </cell>
          <cell r="R148" t="str">
            <v>2 mills</v>
          </cell>
          <cell r="S148" t="str">
            <v>-</v>
          </cell>
          <cell r="T148" t="str">
            <v>-</v>
          </cell>
          <cell r="U148" t="str">
            <v>725 Pies Cuadrados/Gl</v>
          </cell>
          <cell r="V148" t="str">
            <v>-</v>
          </cell>
          <cell r="W148" t="str">
            <v>-</v>
          </cell>
          <cell r="X148" t="str">
            <v>12 meses</v>
          </cell>
          <cell r="Y148" t="str">
            <v>Gobierno de El Salvador</v>
          </cell>
          <cell r="Z148" t="str">
            <v>Estantes Metálicos</v>
          </cell>
          <cell r="AA148" t="str">
            <v>-</v>
          </cell>
          <cell r="AB148" t="str">
            <v>-</v>
          </cell>
          <cell r="AC148">
            <v>27796</v>
          </cell>
        </row>
        <row r="149">
          <cell r="A149" t="str">
            <v>SAA 1735</v>
          </cell>
          <cell r="B149" t="str">
            <v>Laca Industrial Aluminio</v>
          </cell>
          <cell r="C149" t="str">
            <v>Interior</v>
          </cell>
          <cell r="D149" t="str">
            <v>Muebles Metálicos</v>
          </cell>
          <cell r="E149" t="str">
            <v>Lijado y Limpieza con Solvente</v>
          </cell>
          <cell r="F149" t="str">
            <v>P61W1</v>
          </cell>
          <cell r="G149" t="str">
            <v>7.90 Lbs/Gl</v>
          </cell>
          <cell r="H149" t="str">
            <v>-</v>
          </cell>
          <cell r="I149" t="str">
            <v>30.37%</v>
          </cell>
          <cell r="J149" t="str">
            <v>-</v>
          </cell>
          <cell r="K149" t="str">
            <v>-</v>
          </cell>
          <cell r="L149" t="str">
            <v>22.26%</v>
          </cell>
          <cell r="M149" t="str">
            <v>35"-40" Copa SW #5</v>
          </cell>
          <cell r="N149" t="str">
            <v>Pistola</v>
          </cell>
          <cell r="O149" t="str">
            <v>20"-22" Copa Ford #4</v>
          </cell>
          <cell r="P149" t="str">
            <v>100-150%</v>
          </cell>
          <cell r="Q149" t="str">
            <v>R7K128</v>
          </cell>
          <cell r="R149" t="str">
            <v>1.0 mills</v>
          </cell>
          <cell r="S149" t="str">
            <v>-</v>
          </cell>
          <cell r="T149" t="str">
            <v>-</v>
          </cell>
          <cell r="U149" t="str">
            <v>30 Pies Cuadrados/Gl</v>
          </cell>
          <cell r="V149" t="str">
            <v>+85</v>
          </cell>
          <cell r="W149" t="str">
            <v>-</v>
          </cell>
          <cell r="X149" t="str">
            <v>12 meses</v>
          </cell>
          <cell r="Y149" t="str">
            <v>Muebles Ganz</v>
          </cell>
          <cell r="Z149" t="str">
            <v>Muebles Metálicos</v>
          </cell>
          <cell r="AA149" t="str">
            <v>-</v>
          </cell>
          <cell r="AB149" t="str">
            <v>-</v>
          </cell>
          <cell r="AC149">
            <v>27800</v>
          </cell>
        </row>
        <row r="150">
          <cell r="A150" t="str">
            <v>SAA 1736</v>
          </cell>
          <cell r="B150" t="str">
            <v>Esmalte Horneable Alquídico Aluminio</v>
          </cell>
          <cell r="C150" t="str">
            <v>Interior</v>
          </cell>
          <cell r="D150" t="str">
            <v>Operadores de Ventanas de Zamak</v>
          </cell>
          <cell r="E150" t="str">
            <v>Limpieza con Solvente</v>
          </cell>
          <cell r="F150" t="str">
            <v>-</v>
          </cell>
          <cell r="G150" t="str">
            <v>8.27 Lbs/Gl</v>
          </cell>
          <cell r="H150" t="str">
            <v>-</v>
          </cell>
          <cell r="I150" t="str">
            <v>50.78%</v>
          </cell>
          <cell r="J150" t="str">
            <v>-</v>
          </cell>
          <cell r="K150" t="str">
            <v>-</v>
          </cell>
          <cell r="L150" t="str">
            <v>40.45%</v>
          </cell>
          <cell r="M150" t="str">
            <v>80"-90" Copa Zanh #2</v>
          </cell>
          <cell r="N150" t="str">
            <v>Pistola</v>
          </cell>
          <cell r="O150" t="str">
            <v>25"-30" Copa Zanh #2</v>
          </cell>
          <cell r="P150" t="str">
            <v>20% R2K4</v>
          </cell>
          <cell r="Q150" t="str">
            <v>R2K4         Industrial reducer</v>
          </cell>
          <cell r="R150" t="str">
            <v>1.0-1.5 mills</v>
          </cell>
          <cell r="S150" t="str">
            <v>Al Horno</v>
          </cell>
          <cell r="T150" t="str">
            <v>15' a 300°F</v>
          </cell>
          <cell r="U150" t="str">
            <v>600 Pies Cuadrados/Gl</v>
          </cell>
          <cell r="V150" t="str">
            <v>+85</v>
          </cell>
          <cell r="W150" t="str">
            <v>H</v>
          </cell>
          <cell r="X150" t="str">
            <v>12 meses</v>
          </cell>
          <cell r="Y150" t="str">
            <v>Industrias Metálicas S.A</v>
          </cell>
          <cell r="Z150" t="str">
            <v>Artículos Metálicos</v>
          </cell>
          <cell r="AA150" t="str">
            <v>-</v>
          </cell>
          <cell r="AB150" t="str">
            <v>-</v>
          </cell>
          <cell r="AC150">
            <v>27800</v>
          </cell>
        </row>
        <row r="151">
          <cell r="A151" t="str">
            <v>B69W16</v>
          </cell>
          <cell r="B151" t="str">
            <v>C&amp;M Resisting Enamel White</v>
          </cell>
          <cell r="C151" t="str">
            <v>Interior-Exterior</v>
          </cell>
          <cell r="D151" t="str">
            <v>Tanques de Concreto</v>
          </cell>
          <cell r="E151" t="str">
            <v>Lavado con Agua y Detergente</v>
          </cell>
          <cell r="F151" t="str">
            <v>-</v>
          </cell>
          <cell r="G151" t="str">
            <v>10.83 Lbs/Gl</v>
          </cell>
          <cell r="H151" t="str">
            <v>-</v>
          </cell>
          <cell r="I151" t="str">
            <v>60.01%</v>
          </cell>
          <cell r="J151" t="str">
            <v>-</v>
          </cell>
          <cell r="K151" t="str">
            <v>-</v>
          </cell>
          <cell r="L151" t="str">
            <v>36.41%</v>
          </cell>
          <cell r="M151" t="str">
            <v>40"-50" Copa SW #3</v>
          </cell>
          <cell r="N151" t="str">
            <v>Brocha-Pistola</v>
          </cell>
          <cell r="O151" t="str">
            <v>20"-25" Copa Ford #4</v>
          </cell>
          <cell r="P151" t="str">
            <v>50%</v>
          </cell>
          <cell r="Q151" t="str">
            <v>R2K4         Industrial reducer</v>
          </cell>
          <cell r="R151" t="str">
            <v>2-4 mills</v>
          </cell>
          <cell r="S151" t="str">
            <v>-</v>
          </cell>
          <cell r="T151" t="str">
            <v>-</v>
          </cell>
          <cell r="U151" t="str">
            <v>550 Pies Cuadrados/Gl</v>
          </cell>
          <cell r="V151" t="str">
            <v>20-30</v>
          </cell>
          <cell r="W151" t="str">
            <v>-</v>
          </cell>
          <cell r="X151" t="str">
            <v>12 meses</v>
          </cell>
          <cell r="Y151" t="str">
            <v>Ingenio del Jiboa</v>
          </cell>
          <cell r="Z151" t="str">
            <v>Tanques de Concreto para Acidos</v>
          </cell>
          <cell r="AA151" t="str">
            <v>-</v>
          </cell>
          <cell r="AB151" t="str">
            <v>-</v>
          </cell>
          <cell r="AC151">
            <v>27801</v>
          </cell>
        </row>
        <row r="152">
          <cell r="A152" t="str">
            <v>SAA 1734</v>
          </cell>
          <cell r="B152" t="str">
            <v>Esmalte Horneable Gris IESSA</v>
          </cell>
          <cell r="C152" t="str">
            <v>Interior-Exterior Limitada</v>
          </cell>
          <cell r="D152" t="str">
            <v>Lamina de Hierro</v>
          </cell>
          <cell r="E152" t="str">
            <v>Limpieza Química</v>
          </cell>
          <cell r="F152" t="str">
            <v>-</v>
          </cell>
          <cell r="G152" t="str">
            <v>9.03 Lbs/Gl</v>
          </cell>
          <cell r="H152" t="str">
            <v>-</v>
          </cell>
          <cell r="I152" t="str">
            <v>52.49%</v>
          </cell>
          <cell r="J152" t="str">
            <v>-</v>
          </cell>
          <cell r="K152" t="str">
            <v>-</v>
          </cell>
          <cell r="L152" t="str">
            <v>38.45%</v>
          </cell>
          <cell r="M152" t="str">
            <v>80"-90" Copa Zanh #2</v>
          </cell>
          <cell r="N152" t="str">
            <v>Pistola</v>
          </cell>
          <cell r="O152" t="str">
            <v>25"-30" Copa Zanh #2</v>
          </cell>
          <cell r="P152" t="str">
            <v>20%</v>
          </cell>
          <cell r="Q152" t="str">
            <v>R2K4         Industrial reducer</v>
          </cell>
          <cell r="R152" t="str">
            <v>1.0-1.5 mills</v>
          </cell>
          <cell r="S152" t="str">
            <v>-</v>
          </cell>
          <cell r="T152" t="str">
            <v>15' a 300°F</v>
          </cell>
          <cell r="U152" t="str">
            <v>600 Pies Cuadrados/Gl</v>
          </cell>
          <cell r="V152" t="str">
            <v>+80</v>
          </cell>
          <cell r="W152" t="str">
            <v>H</v>
          </cell>
          <cell r="X152" t="str">
            <v>12 meses</v>
          </cell>
          <cell r="Y152" t="str">
            <v>IESSA</v>
          </cell>
          <cell r="Z152" t="str">
            <v>Cajas Térmicas</v>
          </cell>
          <cell r="AA152" t="str">
            <v>-</v>
          </cell>
          <cell r="AB152" t="str">
            <v>-</v>
          </cell>
          <cell r="AC152">
            <v>27809</v>
          </cell>
        </row>
        <row r="153">
          <cell r="A153" t="str">
            <v>SAA 1745</v>
          </cell>
          <cell r="B153" t="str">
            <v>Esmalte Horneable Acrilico Light Bronze</v>
          </cell>
          <cell r="C153" t="str">
            <v>Interior-Exterior Limitada</v>
          </cell>
          <cell r="D153" t="str">
            <v>Lamina de Aluminio</v>
          </cell>
          <cell r="E153" t="str">
            <v>Limpieza con Solvente</v>
          </cell>
          <cell r="F153" t="str">
            <v>Gripclad Primer</v>
          </cell>
          <cell r="G153" t="str">
            <v>8.4Lbs/Gl</v>
          </cell>
          <cell r="H153" t="str">
            <v>-</v>
          </cell>
          <cell r="I153" t="str">
            <v>43.48%</v>
          </cell>
          <cell r="J153" t="str">
            <v>-</v>
          </cell>
          <cell r="K153" t="str">
            <v>-</v>
          </cell>
          <cell r="L153" t="str">
            <v>50.93%</v>
          </cell>
          <cell r="M153" t="str">
            <v>80"-90" Copa Zanh #2</v>
          </cell>
          <cell r="N153" t="str">
            <v>Pistola</v>
          </cell>
          <cell r="O153" t="str">
            <v>25"-30" Copa Zanh #2</v>
          </cell>
          <cell r="P153" t="str">
            <v>20%</v>
          </cell>
          <cell r="Q153" t="str">
            <v>Acrilic Baking Enamel Reducer (R7KSA9)</v>
          </cell>
          <cell r="R153" t="str">
            <v>1.0-1.5 mills</v>
          </cell>
          <cell r="S153" t="str">
            <v>-</v>
          </cell>
          <cell r="T153" t="str">
            <v>15' a 400°F</v>
          </cell>
          <cell r="U153" t="str">
            <v>490 Pies Cuadrados/Gl</v>
          </cell>
          <cell r="V153" t="str">
            <v>40-50</v>
          </cell>
          <cell r="W153" t="str">
            <v>3H</v>
          </cell>
          <cell r="X153" t="str">
            <v>12 meses</v>
          </cell>
          <cell r="Y153" t="str">
            <v>ALUMEX (Nicaragua)</v>
          </cell>
          <cell r="Z153" t="str">
            <v>Ventanas de Aluminio</v>
          </cell>
          <cell r="AA153" t="str">
            <v>-</v>
          </cell>
          <cell r="AB153" t="str">
            <v>-</v>
          </cell>
          <cell r="AC153">
            <v>27816</v>
          </cell>
        </row>
        <row r="154">
          <cell r="A154" t="str">
            <v>SAA 1746</v>
          </cell>
          <cell r="B154" t="str">
            <v>Esmalte Horneable Acrilico Dark Bronze</v>
          </cell>
          <cell r="C154" t="str">
            <v>Interior-Exterior Limitada</v>
          </cell>
          <cell r="D154" t="str">
            <v>Lamina de Aluminio</v>
          </cell>
          <cell r="E154" t="str">
            <v>Limpieza con Solvente</v>
          </cell>
          <cell r="F154" t="str">
            <v>Gripclad Primer</v>
          </cell>
          <cell r="G154" t="str">
            <v>8.75 Lbs/Gl</v>
          </cell>
          <cell r="H154" t="str">
            <v>-</v>
          </cell>
          <cell r="I154" t="str">
            <v>48.23%</v>
          </cell>
          <cell r="J154" t="str">
            <v>-</v>
          </cell>
          <cell r="K154" t="str">
            <v>-</v>
          </cell>
          <cell r="L154" t="str">
            <v>33.83%</v>
          </cell>
          <cell r="M154" t="str">
            <v>80"-90" Copa Zanh #2</v>
          </cell>
          <cell r="N154" t="str">
            <v>Pistola</v>
          </cell>
          <cell r="O154" t="str">
            <v>25"-30" Copa Zanh #2</v>
          </cell>
          <cell r="P154" t="str">
            <v>20%</v>
          </cell>
          <cell r="Q154" t="str">
            <v>Acrilic Baking Enamel Reducer (R7KSA9)</v>
          </cell>
          <cell r="R154" t="str">
            <v>1.0-1.5 mills</v>
          </cell>
          <cell r="S154" t="str">
            <v>-</v>
          </cell>
          <cell r="T154" t="str">
            <v>15' a 400°F</v>
          </cell>
          <cell r="U154" t="str">
            <v>540 Pies Cuadrados/Gl</v>
          </cell>
          <cell r="V154" t="str">
            <v>5-8</v>
          </cell>
          <cell r="W154" t="str">
            <v>3H</v>
          </cell>
          <cell r="X154" t="str">
            <v>12 meses</v>
          </cell>
          <cell r="Y154" t="str">
            <v>ALUMEX (Nicaragua)</v>
          </cell>
          <cell r="Z154" t="str">
            <v>Ventanas de Aluminio</v>
          </cell>
          <cell r="AA154" t="str">
            <v>-</v>
          </cell>
          <cell r="AB154" t="str">
            <v>-</v>
          </cell>
          <cell r="AC154">
            <v>27816</v>
          </cell>
        </row>
        <row r="155">
          <cell r="A155" t="str">
            <v>SAA 1765</v>
          </cell>
          <cell r="B155" t="str">
            <v>Esmalte Horneable Naranja</v>
          </cell>
          <cell r="C155" t="str">
            <v>Interior</v>
          </cell>
          <cell r="D155" t="str">
            <v>Muebles de Hierro</v>
          </cell>
          <cell r="E155" t="str">
            <v xml:space="preserve">Limpieza Quimica  </v>
          </cell>
          <cell r="F155" t="str">
            <v>-</v>
          </cell>
          <cell r="G155" t="str">
            <v>9.27 Lbs/Gl</v>
          </cell>
          <cell r="H155" t="str">
            <v>-</v>
          </cell>
          <cell r="I155" t="str">
            <v>56.37%</v>
          </cell>
          <cell r="J155" t="str">
            <v>-</v>
          </cell>
          <cell r="K155" t="str">
            <v>-</v>
          </cell>
          <cell r="L155" t="str">
            <v>41.64%</v>
          </cell>
          <cell r="M155" t="str">
            <v>100-110 KU</v>
          </cell>
          <cell r="N155" t="str">
            <v>Pistola Airless</v>
          </cell>
          <cell r="O155" t="str">
            <v>40-50 KU</v>
          </cell>
          <cell r="P155" t="str">
            <v>25%</v>
          </cell>
          <cell r="Q155" t="str">
            <v>R2K4         Industrial reducer</v>
          </cell>
          <cell r="R155" t="str">
            <v>1.5-2 mills</v>
          </cell>
          <cell r="S155" t="str">
            <v>-</v>
          </cell>
          <cell r="T155" t="str">
            <v>15' a 300°F</v>
          </cell>
          <cell r="U155" t="str">
            <v>900 Pies Cuadrados/Gl</v>
          </cell>
          <cell r="V155" t="str">
            <v>+85</v>
          </cell>
          <cell r="W155" t="str">
            <v>2H mínimo</v>
          </cell>
          <cell r="X155" t="str">
            <v>12 meses</v>
          </cell>
          <cell r="Y155" t="str">
            <v>DM. NACIONAL</v>
          </cell>
          <cell r="Z155" t="str">
            <v>Muebles de Metal</v>
          </cell>
          <cell r="AA155" t="str">
            <v>-</v>
          </cell>
          <cell r="AB155" t="str">
            <v>-</v>
          </cell>
          <cell r="AC155">
            <v>27856</v>
          </cell>
        </row>
        <row r="156">
          <cell r="A156" t="str">
            <v>V76VSA2</v>
          </cell>
          <cell r="B156" t="str">
            <v>Acrylic Wet Ink Varnish</v>
          </cell>
          <cell r="C156" t="str">
            <v>Interior-Exterior</v>
          </cell>
          <cell r="D156" t="str">
            <v>Hojalata</v>
          </cell>
          <cell r="E156" t="str">
            <v>-</v>
          </cell>
          <cell r="F156" t="str">
            <v>-</v>
          </cell>
          <cell r="G156" t="str">
            <v>7.83 Lbs/Gl</v>
          </cell>
          <cell r="H156" t="str">
            <v>-</v>
          </cell>
          <cell r="I156" t="str">
            <v>42.3%</v>
          </cell>
          <cell r="J156" t="str">
            <v>-</v>
          </cell>
          <cell r="K156" t="str">
            <v>-</v>
          </cell>
          <cell r="L156" t="str">
            <v>32.3%</v>
          </cell>
          <cell r="M156" t="str">
            <v>48"-56" Copa Ford #4</v>
          </cell>
          <cell r="N156" t="str">
            <v>Rodillo</v>
          </cell>
          <cell r="O156" t="str">
            <v>48"-56" Copa Ford #4</v>
          </cell>
          <cell r="P156" t="str">
            <v>Ninguno</v>
          </cell>
          <cell r="Q156" t="str">
            <v>Solvesso 150 si es Necesario</v>
          </cell>
          <cell r="R156" t="str">
            <v>Humedo: 8 Pfung Gauge</v>
          </cell>
          <cell r="S156" t="str">
            <v>-</v>
          </cell>
          <cell r="T156" t="str">
            <v>13' a 160°C</v>
          </cell>
          <cell r="U156" t="str">
            <v>-</v>
          </cell>
          <cell r="V156" t="str">
            <v>+90</v>
          </cell>
          <cell r="W156" t="str">
            <v>HB Mínimo</v>
          </cell>
          <cell r="X156" t="str">
            <v>12 meses</v>
          </cell>
          <cell r="Y156" t="str">
            <v>CORLASA</v>
          </cell>
          <cell r="Z156" t="str">
            <v>Tapas Coronas, Afiches, Etc.</v>
          </cell>
          <cell r="AA156" t="str">
            <v>-</v>
          </cell>
          <cell r="AB156" t="str">
            <v>-</v>
          </cell>
          <cell r="AC156">
            <v>27858</v>
          </cell>
        </row>
        <row r="157">
          <cell r="A157" t="str">
            <v>F73B5 (1)</v>
          </cell>
          <cell r="B157" t="str">
            <v>Extra Flat Baking Enamel Black</v>
          </cell>
          <cell r="C157" t="str">
            <v>Interior</v>
          </cell>
          <cell r="D157" t="str">
            <v>Metal</v>
          </cell>
          <cell r="E157" t="str">
            <v>-</v>
          </cell>
          <cell r="F157" t="str">
            <v>E68WSA1</v>
          </cell>
          <cell r="G157" t="str">
            <v>9.43 Lbs/Gl</v>
          </cell>
          <cell r="H157" t="str">
            <v>-</v>
          </cell>
          <cell r="I157" t="str">
            <v>50.55%</v>
          </cell>
          <cell r="J157" t="str">
            <v>-</v>
          </cell>
          <cell r="K157" t="str">
            <v>-</v>
          </cell>
          <cell r="L157" t="str">
            <v>33.54%</v>
          </cell>
          <cell r="M157" t="str">
            <v>100"-110" Copa Zanh #2</v>
          </cell>
          <cell r="N157" t="str">
            <v>Pistola</v>
          </cell>
          <cell r="O157" t="str">
            <v>40"-50" Copa Zahn #"</v>
          </cell>
          <cell r="P157" t="str">
            <v>20-25%</v>
          </cell>
          <cell r="Q157" t="str">
            <v>R2K4         Industrial reducer</v>
          </cell>
          <cell r="R157" t="str">
            <v>1.5-2 mills</v>
          </cell>
          <cell r="S157" t="str">
            <v>-</v>
          </cell>
          <cell r="T157" t="str">
            <v>15' a 300°F</v>
          </cell>
          <cell r="U157" t="str">
            <v>950 Pies Cuadrados/Gl</v>
          </cell>
          <cell r="V157" t="str">
            <v>7-9 (Mate)</v>
          </cell>
          <cell r="W157" t="str">
            <v>H</v>
          </cell>
          <cell r="X157" t="str">
            <v>12 meses</v>
          </cell>
          <cell r="Y157" t="str">
            <v>-</v>
          </cell>
          <cell r="Z157" t="str">
            <v>-</v>
          </cell>
          <cell r="AA157" t="str">
            <v>-</v>
          </cell>
          <cell r="AB157" t="str">
            <v>-</v>
          </cell>
          <cell r="AC157">
            <v>27871</v>
          </cell>
        </row>
        <row r="158">
          <cell r="A158" t="str">
            <v>SAA 1663</v>
          </cell>
          <cell r="B158" t="str">
            <v>Kem Fast Dry Oxide Black</v>
          </cell>
          <cell r="C158" t="str">
            <v>Exterior</v>
          </cell>
          <cell r="D158" t="str">
            <v>Camas para Camiones</v>
          </cell>
          <cell r="E158" t="str">
            <v>Limpieza con Solvente</v>
          </cell>
          <cell r="F158" t="str">
            <v>-</v>
          </cell>
          <cell r="G158" t="str">
            <v>9.45 Lbs/Gl</v>
          </cell>
          <cell r="H158" t="str">
            <v>-</v>
          </cell>
          <cell r="I158" t="str">
            <v>55.21%</v>
          </cell>
          <cell r="J158" t="str">
            <v>-</v>
          </cell>
          <cell r="K158" t="str">
            <v>-</v>
          </cell>
          <cell r="L158" t="str">
            <v>38.78%</v>
          </cell>
          <cell r="M158" t="str">
            <v>25"-35"</v>
          </cell>
          <cell r="N158" t="str">
            <v>Pistola</v>
          </cell>
          <cell r="O158" t="str">
            <v>Directa</v>
          </cell>
          <cell r="P158" t="str">
            <v>10%</v>
          </cell>
          <cell r="Q158" t="str">
            <v>R2K4         Industrial reducer</v>
          </cell>
          <cell r="R158" t="str">
            <v>1.5 mills</v>
          </cell>
          <cell r="S158" t="str">
            <v>-</v>
          </cell>
          <cell r="T158" t="str">
            <v>-</v>
          </cell>
          <cell r="U158" t="str">
            <v>950 Pies Cuadrados/Gl</v>
          </cell>
          <cell r="V158" t="str">
            <v>0-5 (Mate)</v>
          </cell>
          <cell r="W158" t="str">
            <v>-</v>
          </cell>
          <cell r="X158" t="str">
            <v>12 meses</v>
          </cell>
          <cell r="Y158" t="str">
            <v>IMSA S.A</v>
          </cell>
          <cell r="Z158" t="str">
            <v>Productos Metálicos</v>
          </cell>
          <cell r="AA158" t="str">
            <v>-</v>
          </cell>
          <cell r="AB158" t="str">
            <v>-</v>
          </cell>
          <cell r="AC158">
            <v>27883</v>
          </cell>
        </row>
        <row r="159">
          <cell r="A159" t="str">
            <v>B59S8</v>
          </cell>
          <cell r="B159" t="str">
            <v>Silver Brite (R) Hi-Heat Silicone Alkyd Aluminum Paint</v>
          </cell>
          <cell r="C159" t="str">
            <v>Interior-Exterior</v>
          </cell>
          <cell r="D159" t="str">
            <v>Hierro-Acero</v>
          </cell>
          <cell r="E159" t="str">
            <v>Sand Blasting</v>
          </cell>
          <cell r="F159" t="str">
            <v>Ninguno</v>
          </cell>
          <cell r="G159" t="str">
            <v>9.0 Lbs/Gl</v>
          </cell>
          <cell r="H159" t="str">
            <v>-</v>
          </cell>
          <cell r="I159" t="str">
            <v>40.6%</v>
          </cell>
          <cell r="J159" t="str">
            <v>-</v>
          </cell>
          <cell r="K159" t="str">
            <v>-</v>
          </cell>
          <cell r="L159" t="str">
            <v>25.2%</v>
          </cell>
          <cell r="M159" t="str">
            <v>54-67 KU</v>
          </cell>
          <cell r="N159" t="str">
            <v>Pistola</v>
          </cell>
          <cell r="O159" t="str">
            <v>54-67 KU</v>
          </cell>
          <cell r="P159" t="str">
            <v>Ninguno</v>
          </cell>
          <cell r="Q159" t="str">
            <v>Ninguno</v>
          </cell>
          <cell r="R159" t="str">
            <v>1.0 mills</v>
          </cell>
          <cell r="S159" t="str">
            <v>-</v>
          </cell>
          <cell r="T159" t="str">
            <v>400°F</v>
          </cell>
          <cell r="U159" t="str">
            <v>400 Pies Cuadrados/Gl</v>
          </cell>
          <cell r="V159" t="str">
            <v>-</v>
          </cell>
          <cell r="W159" t="str">
            <v>-</v>
          </cell>
          <cell r="X159" t="str">
            <v>12 meses</v>
          </cell>
          <cell r="Y159" t="str">
            <v>SWCA</v>
          </cell>
          <cell r="Z159" t="str">
            <v>-</v>
          </cell>
          <cell r="AA159" t="str">
            <v>-</v>
          </cell>
          <cell r="AB159" t="str">
            <v>-</v>
          </cell>
          <cell r="AC159">
            <v>27886</v>
          </cell>
        </row>
        <row r="160">
          <cell r="A160" t="str">
            <v>SAA 1800</v>
          </cell>
          <cell r="B160" t="str">
            <v>Esmalte Horneable Alquidico Rojo Metálico</v>
          </cell>
          <cell r="C160" t="str">
            <v>Interior-Exterior Limitada</v>
          </cell>
          <cell r="D160" t="str">
            <v>Hierro</v>
          </cell>
          <cell r="E160" t="str">
            <v>Limpieza Química</v>
          </cell>
          <cell r="F160" t="str">
            <v>E68WSA1</v>
          </cell>
          <cell r="G160" t="str">
            <v>7.85 Lbs/Gl</v>
          </cell>
          <cell r="H160" t="str">
            <v>-</v>
          </cell>
          <cell r="I160" t="str">
            <v>46.37%</v>
          </cell>
          <cell r="J160" t="str">
            <v>-</v>
          </cell>
          <cell r="K160" t="str">
            <v>-</v>
          </cell>
          <cell r="L160" t="str">
            <v>37.20%</v>
          </cell>
          <cell r="M160" t="str">
            <v>80"-90" Copa Zanh #2</v>
          </cell>
          <cell r="N160" t="str">
            <v>Pistola</v>
          </cell>
          <cell r="O160" t="str">
            <v>20"-25" Copa Zanh #2</v>
          </cell>
          <cell r="P160" t="str">
            <v>20%</v>
          </cell>
          <cell r="Q160" t="str">
            <v>R2K4         Industrial reducer</v>
          </cell>
          <cell r="R160" t="str">
            <v>1.0-1.5 mills</v>
          </cell>
          <cell r="S160" t="str">
            <v>Al Horno</v>
          </cell>
          <cell r="T160" t="str">
            <v>15' a 300°F</v>
          </cell>
          <cell r="U160" t="str">
            <v>600 Pies Cuadrados/Gl</v>
          </cell>
          <cell r="V160" t="str">
            <v>90</v>
          </cell>
          <cell r="W160" t="str">
            <v>F-H</v>
          </cell>
          <cell r="X160" t="str">
            <v>12 meses</v>
          </cell>
          <cell r="Y160" t="str">
            <v>PROESA</v>
          </cell>
          <cell r="Z160" t="str">
            <v>Triciclos y Bicicletas de Hierro</v>
          </cell>
          <cell r="AA160" t="str">
            <v>-</v>
          </cell>
          <cell r="AB160" t="str">
            <v>-</v>
          </cell>
          <cell r="AC160">
            <v>27901</v>
          </cell>
        </row>
        <row r="161">
          <cell r="A161" t="str">
            <v xml:space="preserve">SAA 1801 </v>
          </cell>
          <cell r="B161" t="str">
            <v>Esmalte Horneable Alquidico Verde Metálico</v>
          </cell>
          <cell r="C161" t="str">
            <v>Interior-Exterior Limitada</v>
          </cell>
          <cell r="D161" t="str">
            <v>Hierro</v>
          </cell>
          <cell r="E161" t="str">
            <v>Limpieza Química</v>
          </cell>
          <cell r="F161" t="str">
            <v>E68WSA1</v>
          </cell>
          <cell r="G161" t="str">
            <v>7.81 Lbs/Gl</v>
          </cell>
          <cell r="H161" t="str">
            <v>-</v>
          </cell>
          <cell r="I161" t="str">
            <v>46.09%</v>
          </cell>
          <cell r="J161" t="str">
            <v>-</v>
          </cell>
          <cell r="K161" t="str">
            <v>-</v>
          </cell>
          <cell r="L161" t="str">
            <v>36.74%</v>
          </cell>
          <cell r="M161" t="str">
            <v>80"-90" Copa Zanh #2</v>
          </cell>
          <cell r="N161" t="str">
            <v>Pistola</v>
          </cell>
          <cell r="O161" t="str">
            <v>20"-25" Copa Zanh #2</v>
          </cell>
          <cell r="P161" t="str">
            <v>20%</v>
          </cell>
          <cell r="Q161" t="str">
            <v>R2K4         Industrial reducer</v>
          </cell>
          <cell r="R161" t="str">
            <v>1.0-1.5 mills</v>
          </cell>
          <cell r="S161" t="str">
            <v>Al Horno</v>
          </cell>
          <cell r="T161" t="str">
            <v>15' a 300°F</v>
          </cell>
          <cell r="U161" t="str">
            <v>580 Pies Cuadrados/Gl</v>
          </cell>
          <cell r="V161" t="str">
            <v>90</v>
          </cell>
          <cell r="W161" t="str">
            <v>F-H</v>
          </cell>
          <cell r="X161" t="str">
            <v>12 meses</v>
          </cell>
          <cell r="Y161" t="str">
            <v>PROESA</v>
          </cell>
          <cell r="Z161" t="str">
            <v>Triciclos y Bicicletas de Hierro</v>
          </cell>
          <cell r="AA161" t="str">
            <v>-</v>
          </cell>
          <cell r="AB161" t="str">
            <v>-</v>
          </cell>
          <cell r="AC161">
            <v>27901</v>
          </cell>
        </row>
        <row r="162">
          <cell r="A162" t="str">
            <v>SAA 1802</v>
          </cell>
          <cell r="B162" t="str">
            <v>Esmalte Horneable Alquidico Azul Metálico</v>
          </cell>
          <cell r="C162" t="str">
            <v>Interior-Exterior Limitada</v>
          </cell>
          <cell r="D162" t="str">
            <v>Hierro</v>
          </cell>
          <cell r="E162" t="str">
            <v>Limpieza Química</v>
          </cell>
          <cell r="F162" t="str">
            <v>E68WSA1</v>
          </cell>
          <cell r="G162" t="str">
            <v>7.83 Lbs/Gl</v>
          </cell>
          <cell r="H162" t="str">
            <v>-</v>
          </cell>
          <cell r="I162" t="str">
            <v>45.95%</v>
          </cell>
          <cell r="J162" t="str">
            <v>-</v>
          </cell>
          <cell r="K162" t="str">
            <v>-</v>
          </cell>
          <cell r="L162" t="str">
            <v>37.55%</v>
          </cell>
          <cell r="M162" t="str">
            <v>80"-90" Copa Zanh #2</v>
          </cell>
          <cell r="N162" t="str">
            <v>Pistola</v>
          </cell>
          <cell r="O162" t="str">
            <v>20"-25" Copa Zanh #2</v>
          </cell>
          <cell r="P162" t="str">
            <v>20%</v>
          </cell>
          <cell r="Q162" t="str">
            <v>R2K4         Industrial reducer</v>
          </cell>
          <cell r="R162" t="str">
            <v>1.0-1.5 mills</v>
          </cell>
          <cell r="S162" t="str">
            <v>Al Horno</v>
          </cell>
          <cell r="T162" t="str">
            <v>15' a 300°F</v>
          </cell>
          <cell r="U162" t="str">
            <v>690 Pies Cuadrados/Gl</v>
          </cell>
          <cell r="V162" t="str">
            <v>90</v>
          </cell>
          <cell r="W162" t="str">
            <v>F-H</v>
          </cell>
          <cell r="X162" t="str">
            <v>12 meses</v>
          </cell>
          <cell r="Y162" t="str">
            <v>PROESA</v>
          </cell>
          <cell r="Z162" t="str">
            <v>Triciclos y Bicicletas de Hierro</v>
          </cell>
          <cell r="AA162" t="str">
            <v>-</v>
          </cell>
          <cell r="AB162" t="str">
            <v>-</v>
          </cell>
          <cell r="AC162">
            <v>27901</v>
          </cell>
        </row>
        <row r="163">
          <cell r="A163" t="str">
            <v>SAA 1809</v>
          </cell>
          <cell r="B163" t="str">
            <v>Primer (Wash) Pretreatment Blue</v>
          </cell>
          <cell r="C163" t="str">
            <v>-</v>
          </cell>
          <cell r="D163" t="str">
            <v>Lamina Electrogalvanizada, Aluminio</v>
          </cell>
          <cell r="E163" t="str">
            <v>Limpieza con Solvente</v>
          </cell>
          <cell r="F163" t="str">
            <v>-</v>
          </cell>
          <cell r="G163" t="str">
            <v>8.0 Lbs/Gl</v>
          </cell>
          <cell r="H163" t="str">
            <v>-</v>
          </cell>
          <cell r="I163" t="str">
            <v>25.12 %</v>
          </cell>
          <cell r="J163" t="str">
            <v>-</v>
          </cell>
          <cell r="K163" t="str">
            <v>-</v>
          </cell>
          <cell r="L163" t="str">
            <v>12.19%</v>
          </cell>
          <cell r="M163" t="str">
            <v>65-80 KU</v>
          </cell>
          <cell r="N163" t="str">
            <v>Pistola</v>
          </cell>
          <cell r="O163" t="str">
            <v>20"-22" Copa Ford #4</v>
          </cell>
          <cell r="P163" t="str">
            <v>4:1 con SAA 1810</v>
          </cell>
          <cell r="Q163" t="str">
            <v>-</v>
          </cell>
          <cell r="R163" t="str">
            <v>2-4 mills</v>
          </cell>
          <cell r="S163" t="str">
            <v>-</v>
          </cell>
          <cell r="T163" t="str">
            <v>-</v>
          </cell>
          <cell r="U163" t="str">
            <v>60-70 Mts Cuadrados/Gl</v>
          </cell>
          <cell r="V163" t="str">
            <v>Semi-Mate</v>
          </cell>
          <cell r="W163" t="str">
            <v>-</v>
          </cell>
          <cell r="X163" t="str">
            <v>12 meses</v>
          </cell>
          <cell r="Y163" t="str">
            <v>Shewin Williams de Panama</v>
          </cell>
          <cell r="Z163" t="str">
            <v>-</v>
          </cell>
          <cell r="AA163" t="str">
            <v>4 Partes de Primer (SAA 1809) con 1 Parte de Activador (SAA 1810).</v>
          </cell>
          <cell r="AB163" t="str">
            <v>-</v>
          </cell>
          <cell r="AC163">
            <v>27915</v>
          </cell>
        </row>
        <row r="164">
          <cell r="A164" t="str">
            <v xml:space="preserve">SAA 1810 </v>
          </cell>
          <cell r="B164" t="str">
            <v>Activador Primer (Wash) Pretreatment Blue</v>
          </cell>
          <cell r="C164" t="str">
            <v>-</v>
          </cell>
          <cell r="D164" t="str">
            <v>Lamina Electrogalvanizada, Aluminio</v>
          </cell>
          <cell r="E164" t="str">
            <v>Limpieza con Solvente</v>
          </cell>
          <cell r="F164" t="str">
            <v>-</v>
          </cell>
          <cell r="G164" t="str">
            <v>7.76 Lbs/Gl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Pistola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3-4 mills</v>
          </cell>
          <cell r="S164" t="str">
            <v>-</v>
          </cell>
          <cell r="T164" t="str">
            <v>-</v>
          </cell>
          <cell r="U164" t="str">
            <v>60-70 Mts Cuadrados/Gl</v>
          </cell>
          <cell r="V164" t="str">
            <v>Semi-Mate</v>
          </cell>
          <cell r="W164" t="str">
            <v>-</v>
          </cell>
          <cell r="X164" t="str">
            <v>12 meses</v>
          </cell>
          <cell r="Y164" t="str">
            <v>Shewin Williams de Panama</v>
          </cell>
          <cell r="Z164" t="str">
            <v>-</v>
          </cell>
          <cell r="AA164" t="str">
            <v>4 Partes de Primer (SAA 1809) con 1 Parte de Activador (SAA 1810).</v>
          </cell>
          <cell r="AB164" t="str">
            <v>-</v>
          </cell>
          <cell r="AC164">
            <v>27915</v>
          </cell>
        </row>
        <row r="165">
          <cell r="A165" t="str">
            <v>A86ESA1</v>
          </cell>
          <cell r="B165" t="str">
            <v>Traffic Zone Paint Orange</v>
          </cell>
          <cell r="C165" t="str">
            <v>Exterior</v>
          </cell>
          <cell r="D165" t="str">
            <v>Asfalto, Concreto</v>
          </cell>
          <cell r="E165" t="str">
            <v>Limpieza</v>
          </cell>
          <cell r="F165" t="str">
            <v>Ninguno</v>
          </cell>
          <cell r="G165" t="str">
            <v>12.83 Lbs/Gl</v>
          </cell>
          <cell r="H165" t="str">
            <v>-</v>
          </cell>
          <cell r="I165" t="str">
            <v>79.19%</v>
          </cell>
          <cell r="J165" t="str">
            <v>-</v>
          </cell>
          <cell r="K165" t="str">
            <v>-</v>
          </cell>
          <cell r="L165" t="str">
            <v>50.84%</v>
          </cell>
          <cell r="M165" t="str">
            <v>68-80 KU</v>
          </cell>
          <cell r="N165" t="str">
            <v>Brocha-Maquina Demarcadora</v>
          </cell>
          <cell r="O165" t="str">
            <v>60-80 KU</v>
          </cell>
          <cell r="P165" t="str">
            <v>-</v>
          </cell>
          <cell r="Q165" t="str">
            <v>R1K3 si es necesario</v>
          </cell>
          <cell r="R165" t="str">
            <v>5 mills</v>
          </cell>
          <cell r="S165" t="str">
            <v>-</v>
          </cell>
          <cell r="T165" t="str">
            <v>-</v>
          </cell>
          <cell r="U165" t="str">
            <v>35-40 Mts Cuadrados/Gl</v>
          </cell>
          <cell r="V165" t="str">
            <v>Mate</v>
          </cell>
          <cell r="W165" t="str">
            <v>-</v>
          </cell>
          <cell r="X165" t="str">
            <v>12 meses</v>
          </cell>
          <cell r="Y165" t="str">
            <v>Tesorería Gral de la Nación. Guatemala</v>
          </cell>
          <cell r="Z165" t="str">
            <v>-</v>
          </cell>
          <cell r="AA165" t="str">
            <v>-</v>
          </cell>
          <cell r="AB165" t="str">
            <v>-</v>
          </cell>
          <cell r="AC165">
            <v>27921</v>
          </cell>
        </row>
        <row r="166">
          <cell r="A166" t="str">
            <v>L60HSA4</v>
          </cell>
          <cell r="B166" t="str">
            <v>Laca Industrial Marfil 18552</v>
          </cell>
          <cell r="C166" t="str">
            <v>Interior</v>
          </cell>
          <cell r="D166" t="str">
            <v>Madera</v>
          </cell>
          <cell r="E166" t="str">
            <v>Lijado Completo</v>
          </cell>
          <cell r="F166" t="str">
            <v>P61A1</v>
          </cell>
          <cell r="G166" t="str">
            <v>8.25 Lbs/Gl</v>
          </cell>
          <cell r="H166" t="str">
            <v>-</v>
          </cell>
          <cell r="I166" t="str">
            <v>35.75%</v>
          </cell>
          <cell r="J166" t="str">
            <v>-</v>
          </cell>
          <cell r="K166" t="str">
            <v>-</v>
          </cell>
          <cell r="L166" t="str">
            <v>23.32%</v>
          </cell>
          <cell r="M166" t="str">
            <v>30"-40" Copa SW #5</v>
          </cell>
          <cell r="N166" t="str">
            <v>Pistola</v>
          </cell>
          <cell r="O166" t="str">
            <v>22"-25" Copa Ford #4</v>
          </cell>
          <cell r="P166" t="str">
            <v>100-150% R7K128</v>
          </cell>
          <cell r="Q166" t="str">
            <v>Opex Thinner R7K128</v>
          </cell>
          <cell r="R166" t="str">
            <v>2.0 mills</v>
          </cell>
          <cell r="S166" t="str">
            <v>-</v>
          </cell>
          <cell r="T166" t="str">
            <v>-</v>
          </cell>
          <cell r="U166" t="str">
            <v>200 Pies Cuadrados/Gl</v>
          </cell>
          <cell r="V166" t="str">
            <v>+85</v>
          </cell>
          <cell r="W166" t="str">
            <v>-</v>
          </cell>
          <cell r="X166" t="str">
            <v>12 meses</v>
          </cell>
          <cell r="Y166" t="str">
            <v>SIMCO</v>
          </cell>
          <cell r="Z166" t="str">
            <v>Muebles de Madera.</v>
          </cell>
          <cell r="AA166" t="str">
            <v>-</v>
          </cell>
          <cell r="AB166" t="str">
            <v>-</v>
          </cell>
          <cell r="AC166">
            <v>27922</v>
          </cell>
        </row>
        <row r="167">
          <cell r="A167" t="str">
            <v>L60WSA7</v>
          </cell>
          <cell r="B167" t="str">
            <v>Laca Industrial Blanco Ostra</v>
          </cell>
          <cell r="C167" t="str">
            <v>Interior</v>
          </cell>
          <cell r="D167" t="str">
            <v>Madera</v>
          </cell>
          <cell r="E167" t="str">
            <v>Lijado Completo</v>
          </cell>
          <cell r="F167" t="str">
            <v>P61A1</v>
          </cell>
          <cell r="G167" t="str">
            <v>8.25 Lbs/Gl</v>
          </cell>
          <cell r="H167" t="str">
            <v>-</v>
          </cell>
          <cell r="I167" t="str">
            <v>35.75%</v>
          </cell>
          <cell r="J167" t="str">
            <v>-</v>
          </cell>
          <cell r="K167" t="str">
            <v>-</v>
          </cell>
          <cell r="L167" t="str">
            <v>23.32%</v>
          </cell>
          <cell r="M167" t="str">
            <v>30"-40" Copa SW #5</v>
          </cell>
          <cell r="N167" t="str">
            <v>Pistola</v>
          </cell>
          <cell r="O167" t="str">
            <v>22"-25" Copa Ford #4</v>
          </cell>
          <cell r="P167" t="str">
            <v>100-150% R7K128</v>
          </cell>
          <cell r="Q167" t="str">
            <v>Opex Thinner R7K128</v>
          </cell>
          <cell r="R167" t="str">
            <v>2.0 mills</v>
          </cell>
          <cell r="S167" t="str">
            <v>-</v>
          </cell>
          <cell r="T167" t="str">
            <v>-</v>
          </cell>
          <cell r="U167" t="str">
            <v>200 Pies Cuadrados/Gl</v>
          </cell>
          <cell r="V167" t="str">
            <v>+85</v>
          </cell>
          <cell r="W167" t="str">
            <v>-</v>
          </cell>
          <cell r="X167" t="str">
            <v>12 meses</v>
          </cell>
          <cell r="Y167" t="str">
            <v>SIMCO</v>
          </cell>
          <cell r="Z167" t="str">
            <v>Muebles de Madera.</v>
          </cell>
          <cell r="AA167" t="str">
            <v>-</v>
          </cell>
          <cell r="AB167" t="str">
            <v>-</v>
          </cell>
          <cell r="AC167">
            <v>27922</v>
          </cell>
        </row>
        <row r="168">
          <cell r="A168" t="str">
            <v>SAA 1822</v>
          </cell>
          <cell r="B168" t="str">
            <v>Esmalte Especial Amarillo Ray-O-Vac</v>
          </cell>
          <cell r="C168" t="str">
            <v>Interior-Exterior</v>
          </cell>
          <cell r="D168" t="str">
            <v>Lamina de Hojalata</v>
          </cell>
          <cell r="E168" t="str">
            <v>Limpieza con Solvente</v>
          </cell>
          <cell r="F168" t="str">
            <v>P60G2</v>
          </cell>
          <cell r="G168" t="str">
            <v>9.97 Lbs/Gl</v>
          </cell>
          <cell r="H168" t="str">
            <v>-</v>
          </cell>
          <cell r="I168" t="str">
            <v>61.03%</v>
          </cell>
          <cell r="J168" t="str">
            <v>-</v>
          </cell>
          <cell r="K168" t="str">
            <v>-</v>
          </cell>
          <cell r="L168" t="str">
            <v>46.78%</v>
          </cell>
          <cell r="M168" t="str">
            <v>15"-20" Copa SW #3</v>
          </cell>
          <cell r="N168" t="str">
            <v>Pistola</v>
          </cell>
          <cell r="O168" t="str">
            <v>20"-22" Copa Ford #4</v>
          </cell>
          <cell r="P168" t="str">
            <v>10-15% VMP Nafta</v>
          </cell>
          <cell r="Q168" t="str">
            <v>R1K3 VMP Nafta</v>
          </cell>
          <cell r="R168" t="str">
            <v>1.0-1.5 mills</v>
          </cell>
          <cell r="S168" t="str">
            <v>-</v>
          </cell>
          <cell r="T168" t="str">
            <v>-</v>
          </cell>
          <cell r="U168" t="str">
            <v>725 Pies Cuadrados/Gl</v>
          </cell>
          <cell r="V168" t="str">
            <v>+85</v>
          </cell>
          <cell r="W168" t="str">
            <v>-</v>
          </cell>
          <cell r="X168" t="str">
            <v>12 meses</v>
          </cell>
          <cell r="Y168" t="str">
            <v>IGSAL</v>
          </cell>
          <cell r="Z168" t="str">
            <v>Rotulos de Hojalata</v>
          </cell>
          <cell r="AA168" t="str">
            <v>-</v>
          </cell>
          <cell r="AB168" t="str">
            <v>-</v>
          </cell>
          <cell r="AC168">
            <v>27937</v>
          </cell>
        </row>
        <row r="169">
          <cell r="A169" t="str">
            <v>B69NSA3</v>
          </cell>
          <cell r="B169" t="str">
            <v>Kem Cati Coat Light Brown</v>
          </cell>
          <cell r="C169" t="str">
            <v>Interior</v>
          </cell>
          <cell r="D169" t="str">
            <v xml:space="preserve">Concreto </v>
          </cell>
          <cell r="E169" t="str">
            <v>Limpieza</v>
          </cell>
          <cell r="F169" t="str">
            <v>B69G31</v>
          </cell>
          <cell r="G169" t="str">
            <v>9.80 Lbs/Gl</v>
          </cell>
          <cell r="H169" t="str">
            <v>-</v>
          </cell>
          <cell r="I169" t="str">
            <v>64.74%</v>
          </cell>
          <cell r="J169" t="str">
            <v>-</v>
          </cell>
          <cell r="K169" t="str">
            <v>-</v>
          </cell>
          <cell r="L169" t="str">
            <v>51.47%</v>
          </cell>
          <cell r="M169" t="str">
            <v>10"-15" Copa SW #3</v>
          </cell>
          <cell r="N169" t="str">
            <v>Brocha-Pistola</v>
          </cell>
          <cell r="O169" t="str">
            <v>Brocha-Ninguno, Pistola 20-22" Ford #4</v>
          </cell>
          <cell r="P169" t="str">
            <v>50cc lote/50 cc V66V19</v>
          </cell>
          <cell r="Q169" t="str">
            <v>20% R7K203</v>
          </cell>
          <cell r="R169" t="str">
            <v>1.5 mills</v>
          </cell>
          <cell r="S169" t="str">
            <v>-</v>
          </cell>
          <cell r="T169" t="str">
            <v>-</v>
          </cell>
          <cell r="U169" t="str">
            <v>525 Pies Cuadrados/Gl</v>
          </cell>
          <cell r="V169" t="str">
            <v>85</v>
          </cell>
          <cell r="W169" t="str">
            <v>-</v>
          </cell>
          <cell r="X169" t="str">
            <v>12 meses</v>
          </cell>
          <cell r="Y169" t="str">
            <v>DIDEMA-GUATEMALA</v>
          </cell>
          <cell r="Z169" t="str">
            <v>-</v>
          </cell>
          <cell r="AA169" t="str">
            <v>Para Aplicar Mezclar 50 cc de V66V19 con 50 cc de Lote, Aplicar después de 30 minutos.</v>
          </cell>
          <cell r="AB169" t="str">
            <v>-</v>
          </cell>
          <cell r="AC169">
            <v>27955</v>
          </cell>
        </row>
        <row r="170">
          <cell r="A170" t="str">
            <v>A86W11</v>
          </cell>
          <cell r="B170" t="str">
            <v>Sher Guide Reflector Traffic Paint White</v>
          </cell>
          <cell r="C170" t="str">
            <v>-</v>
          </cell>
          <cell r="D170" t="str">
            <v>Carreteras de Asfalto o Concreto</v>
          </cell>
          <cell r="E170" t="str">
            <v>-</v>
          </cell>
          <cell r="F170" t="str">
            <v>-</v>
          </cell>
          <cell r="G170" t="str">
            <v>13.44 Lbs/Gl</v>
          </cell>
          <cell r="H170" t="str">
            <v>67%</v>
          </cell>
          <cell r="I170" t="str">
            <v>79.25%</v>
          </cell>
          <cell r="J170" t="str">
            <v>37%</v>
          </cell>
          <cell r="K170" t="str">
            <v>-</v>
          </cell>
          <cell r="L170" t="str">
            <v>56.49%</v>
          </cell>
          <cell r="M170" t="str">
            <v>75-85 KU</v>
          </cell>
          <cell r="N170" t="str">
            <v>Con Brocha o máquina</v>
          </cell>
          <cell r="O170" t="str">
            <v>Con Brocha como Viene</v>
          </cell>
          <cell r="P170" t="str">
            <v>De Acuerdo con Tipo de Maquina Aplicadora</v>
          </cell>
          <cell r="Q170" t="str">
            <v>Mezcla 1:1 lSA3/03-17-10</v>
          </cell>
          <cell r="R170" t="str">
            <v>15-20 mills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Mate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>
            <v>28107</v>
          </cell>
        </row>
        <row r="171">
          <cell r="A171" t="str">
            <v>A86WSA7</v>
          </cell>
          <cell r="B171" t="str">
            <v>Sher-Guide Traffic Paint White</v>
          </cell>
          <cell r="C171" t="str">
            <v>-</v>
          </cell>
          <cell r="D171" t="str">
            <v>Carreteras de Asfalto o Concreto</v>
          </cell>
          <cell r="E171" t="str">
            <v>-</v>
          </cell>
          <cell r="F171" t="str">
            <v>-</v>
          </cell>
          <cell r="G171" t="str">
            <v>11.50 Lbs/Gl</v>
          </cell>
          <cell r="H171" t="str">
            <v>52.90%</v>
          </cell>
          <cell r="I171" t="str">
            <v>71.12%</v>
          </cell>
          <cell r="J171" t="str">
            <v>38.0%</v>
          </cell>
          <cell r="K171" t="str">
            <v>-</v>
          </cell>
          <cell r="L171" t="str">
            <v>52.90%</v>
          </cell>
          <cell r="M171" t="str">
            <v>90-95 KU</v>
          </cell>
          <cell r="N171" t="str">
            <v>Con Brocha o máquina</v>
          </cell>
          <cell r="O171" t="str">
            <v>Con Brocha como Viene</v>
          </cell>
          <cell r="P171" t="str">
            <v>De Acuerdo con Tipo de Maquina Aplicadora</v>
          </cell>
          <cell r="Q171" t="str">
            <v>Mezcla 1:1 lSA3/03-17-10</v>
          </cell>
          <cell r="R171" t="str">
            <v>15-20 mills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Mate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>
            <v>28107</v>
          </cell>
        </row>
        <row r="172">
          <cell r="A172" t="str">
            <v>A86Y12</v>
          </cell>
          <cell r="B172" t="str">
            <v>Sher-Guide Reflectorized Yellow Traffic Paint</v>
          </cell>
          <cell r="C172" t="str">
            <v>-</v>
          </cell>
          <cell r="D172" t="str">
            <v>Carreteras de Asfalto o Concreto</v>
          </cell>
          <cell r="E172" t="str">
            <v>-</v>
          </cell>
          <cell r="F172" t="str">
            <v>-</v>
          </cell>
          <cell r="G172" t="str">
            <v>11.30 Lbs/Gl</v>
          </cell>
          <cell r="H172" t="str">
            <v>58%</v>
          </cell>
          <cell r="I172" t="str">
            <v>72%</v>
          </cell>
          <cell r="J172" t="str">
            <v>33.0%</v>
          </cell>
          <cell r="K172" t="str">
            <v>-</v>
          </cell>
          <cell r="L172" t="str">
            <v>51.3%</v>
          </cell>
          <cell r="M172" t="str">
            <v>75-85 KU</v>
          </cell>
          <cell r="N172" t="str">
            <v>Con Brocha o máquina</v>
          </cell>
          <cell r="O172" t="str">
            <v>Con Brocha como Viene</v>
          </cell>
          <cell r="P172" t="str">
            <v>De Acuerdo con Tipo de Maquina Aplicadora</v>
          </cell>
          <cell r="Q172" t="str">
            <v>Mezcla 1:1 lSA3/03-17-10</v>
          </cell>
          <cell r="R172" t="str">
            <v>15-20 mills</v>
          </cell>
          <cell r="S172" t="str">
            <v>-</v>
          </cell>
          <cell r="T172" t="str">
            <v>-</v>
          </cell>
          <cell r="U172" t="str">
            <v>100 metros lineales con 1 galón faja de 4" ancho</v>
          </cell>
          <cell r="V172" t="str">
            <v>Mate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>
            <v>28107</v>
          </cell>
        </row>
        <row r="173">
          <cell r="A173" t="str">
            <v>A86YSA8</v>
          </cell>
          <cell r="B173" t="str">
            <v>Sher-Guide Traffic Paint Yellow</v>
          </cell>
          <cell r="C173" t="str">
            <v>-</v>
          </cell>
          <cell r="D173" t="str">
            <v>Carreteras de Asfalto o Concreto</v>
          </cell>
          <cell r="E173" t="str">
            <v>-</v>
          </cell>
          <cell r="F173" t="str">
            <v>-</v>
          </cell>
          <cell r="G173" t="str">
            <v>11.10 Lbs/Gl</v>
          </cell>
          <cell r="H173" t="str">
            <v>51%</v>
          </cell>
          <cell r="I173" t="str">
            <v>68%</v>
          </cell>
          <cell r="J173" t="str">
            <v>41%</v>
          </cell>
          <cell r="K173" t="str">
            <v>-</v>
          </cell>
          <cell r="L173" t="str">
            <v>50.3%</v>
          </cell>
          <cell r="M173" t="str">
            <v>90-95 KU</v>
          </cell>
          <cell r="N173" t="str">
            <v>Con Brocha o máquina</v>
          </cell>
          <cell r="O173" t="str">
            <v>Con Brocha como Viene</v>
          </cell>
          <cell r="P173" t="str">
            <v>De Acuerdo con Tipo de Maquina Aplicadora</v>
          </cell>
          <cell r="Q173" t="str">
            <v>R1K3 si es necesario</v>
          </cell>
          <cell r="R173" t="str">
            <v>15-20 mills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Mate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>
            <v>28107</v>
          </cell>
        </row>
        <row r="174">
          <cell r="A174" t="str">
            <v>V76SSA1</v>
          </cell>
          <cell r="B174" t="str">
            <v>Sizing Aluminum</v>
          </cell>
          <cell r="C174" t="str">
            <v>-</v>
          </cell>
          <cell r="D174" t="str">
            <v>Lamina</v>
          </cell>
          <cell r="E174" t="str">
            <v>Limpia</v>
          </cell>
          <cell r="F174" t="str">
            <v>-</v>
          </cell>
          <cell r="G174" t="str">
            <v>7.90 Lbs/Gl</v>
          </cell>
          <cell r="H174" t="str">
            <v>21%</v>
          </cell>
          <cell r="I174" t="str">
            <v>12.2%</v>
          </cell>
          <cell r="J174" t="str">
            <v>25%</v>
          </cell>
          <cell r="K174" t="str">
            <v>-</v>
          </cell>
          <cell r="L174" t="str">
            <v>17.8%</v>
          </cell>
          <cell r="M174" t="str">
            <v>50"-60"</v>
          </cell>
          <cell r="N174" t="str">
            <v>Pistola</v>
          </cell>
          <cell r="O174" t="str">
            <v>50"-60"</v>
          </cell>
          <cell r="P174" t="str">
            <v>25% Si Es Necesario</v>
          </cell>
          <cell r="Q174" t="str">
            <v>R2K4         Industrial reducer</v>
          </cell>
          <cell r="R174" t="str">
            <v>-</v>
          </cell>
          <cell r="S174" t="str">
            <v>-</v>
          </cell>
          <cell r="T174" t="str">
            <v>15' a 300°F</v>
          </cell>
          <cell r="U174" t="str">
            <v>-</v>
          </cell>
          <cell r="V174" t="str">
            <v>Full</v>
          </cell>
          <cell r="W174" t="str">
            <v>-</v>
          </cell>
          <cell r="X174" t="str">
            <v>-</v>
          </cell>
          <cell r="Y174" t="str">
            <v>CORLASA</v>
          </cell>
          <cell r="Z174" t="str">
            <v xml:space="preserve">Lamina  </v>
          </cell>
          <cell r="AA174" t="str">
            <v>-</v>
          </cell>
          <cell r="AB174" t="str">
            <v>-</v>
          </cell>
          <cell r="AC174">
            <v>28808</v>
          </cell>
        </row>
        <row r="175">
          <cell r="A175" t="str">
            <v>V76VSA9</v>
          </cell>
          <cell r="B175" t="str">
            <v xml:space="preserve">Wet Ink Varnish </v>
          </cell>
          <cell r="C175" t="str">
            <v>-</v>
          </cell>
          <cell r="D175" t="str">
            <v>Hojalata</v>
          </cell>
          <cell r="E175" t="str">
            <v>Limpia</v>
          </cell>
          <cell r="F175" t="str">
            <v>-</v>
          </cell>
          <cell r="G175" t="str">
            <v>7.63 Lbs/Gl</v>
          </cell>
          <cell r="H175" t="str">
            <v>44.97%</v>
          </cell>
          <cell r="I175" t="str">
            <v>-</v>
          </cell>
          <cell r="J175" t="str">
            <v>70.9%</v>
          </cell>
          <cell r="K175" t="str">
            <v>-</v>
          </cell>
          <cell r="L175" t="str">
            <v>70.24%</v>
          </cell>
          <cell r="M175" t="str">
            <v>36"-42"</v>
          </cell>
          <cell r="N175" t="str">
            <v>Roller Coating</v>
          </cell>
          <cell r="O175" t="str">
            <v>36"-42"</v>
          </cell>
          <cell r="P175" t="str">
            <v>03-32-10 Si es Necesario</v>
          </cell>
          <cell r="Q175" t="str">
            <v>03-32-10</v>
          </cell>
          <cell r="R175" t="str">
            <v>-</v>
          </cell>
          <cell r="S175" t="str">
            <v>-</v>
          </cell>
          <cell r="T175" t="str">
            <v>160°C 12 Minutos</v>
          </cell>
          <cell r="U175" t="str">
            <v>-</v>
          </cell>
          <cell r="V175" t="str">
            <v>90</v>
          </cell>
          <cell r="W175" t="str">
            <v>F-H</v>
          </cell>
          <cell r="X175" t="str">
            <v>6 meses</v>
          </cell>
          <cell r="Y175" t="str">
            <v>CORLASA</v>
          </cell>
          <cell r="Z175" t="str">
            <v>-</v>
          </cell>
          <cell r="AA175" t="str">
            <v>-</v>
          </cell>
          <cell r="AB175" t="str">
            <v>-</v>
          </cell>
          <cell r="AC175">
            <v>28808</v>
          </cell>
        </row>
        <row r="176">
          <cell r="A176" t="str">
            <v>SAA 2049</v>
          </cell>
          <cell r="B176" t="str">
            <v>Collapsible Tube Enamel White</v>
          </cell>
          <cell r="C176" t="str">
            <v>Interior</v>
          </cell>
          <cell r="D176" t="str">
            <v>Tubos de Estaño y Plomo</v>
          </cell>
          <cell r="E176" t="str">
            <v>Limpieza</v>
          </cell>
          <cell r="F176" t="str">
            <v>Ninguno</v>
          </cell>
          <cell r="G176" t="str">
            <v>10.65 Lbs/Gl</v>
          </cell>
          <cell r="H176" t="str">
            <v>30%</v>
          </cell>
          <cell r="I176" t="str">
            <v>53.80%</v>
          </cell>
          <cell r="J176" t="str">
            <v>33.80%</v>
          </cell>
          <cell r="K176" t="str">
            <v>27.70%</v>
          </cell>
          <cell r="L176" t="str">
            <v>33.89%</v>
          </cell>
          <cell r="M176" t="str">
            <v>130-135 KU</v>
          </cell>
          <cell r="N176" t="str">
            <v>Especial</v>
          </cell>
          <cell r="O176" t="str">
            <v>130-135 KU</v>
          </cell>
          <cell r="P176" t="str">
            <v>Ninguno</v>
          </cell>
          <cell r="Q176" t="str">
            <v>Ninguno</v>
          </cell>
          <cell r="R176" t="str">
            <v>-</v>
          </cell>
          <cell r="S176" t="str">
            <v>-</v>
          </cell>
          <cell r="T176" t="str">
            <v>6 Min a 300°F</v>
          </cell>
          <cell r="U176" t="str">
            <v>-</v>
          </cell>
          <cell r="V176" t="str">
            <v>80 Minimo</v>
          </cell>
          <cell r="W176" t="str">
            <v>F</v>
          </cell>
          <cell r="X176" t="str">
            <v>12 meses</v>
          </cell>
          <cell r="Y176" t="str">
            <v>Colgate Palmolive</v>
          </cell>
          <cell r="Z176" t="str">
            <v>Pasta Dental</v>
          </cell>
          <cell r="AA176" t="str">
            <v>-</v>
          </cell>
          <cell r="AB176" t="str">
            <v>-</v>
          </cell>
          <cell r="AC176">
            <v>29430</v>
          </cell>
        </row>
        <row r="177">
          <cell r="A177" t="str">
            <v>SAA 3155</v>
          </cell>
          <cell r="B177" t="str">
            <v>Recubrimiento Blanco Para Cartón</v>
          </cell>
          <cell r="C177" t="str">
            <v>Interior</v>
          </cell>
          <cell r="D177" t="str">
            <v>Carton</v>
          </cell>
          <cell r="E177" t="str">
            <v>Ninguna</v>
          </cell>
          <cell r="F177" t="str">
            <v>-</v>
          </cell>
          <cell r="G177" t="str">
            <v>11.25 Lbs/Gl</v>
          </cell>
          <cell r="H177" t="str">
            <v>33.37%</v>
          </cell>
          <cell r="I177" t="str">
            <v>49.84%</v>
          </cell>
          <cell r="J177" t="str">
            <v>16.47</v>
          </cell>
          <cell r="K177" t="str">
            <v>40.90%</v>
          </cell>
          <cell r="L177" t="str">
            <v>33.92%</v>
          </cell>
          <cell r="M177" t="str">
            <v>25-30 seg Copa Zanh #2</v>
          </cell>
          <cell r="N177" t="str">
            <v>Cuchilla de Hule</v>
          </cell>
          <cell r="O177" t="str">
            <v>20-25 seg. Copa Zanh #2</v>
          </cell>
          <cell r="P177" t="str">
            <v>2-3% con Agua</v>
          </cell>
          <cell r="Q177" t="str">
            <v>Agua</v>
          </cell>
          <cell r="R177" t="str">
            <v>-</v>
          </cell>
          <cell r="S177" t="str">
            <v>Con Rodillo Caliente 150°C</v>
          </cell>
          <cell r="T177" t="str">
            <v>1 Minuto a 150°C</v>
          </cell>
          <cell r="U177" t="str">
            <v>-</v>
          </cell>
          <cell r="V177" t="str">
            <v>Mate</v>
          </cell>
          <cell r="W177" t="str">
            <v>-</v>
          </cell>
          <cell r="X177" t="str">
            <v>4-6 Meses</v>
          </cell>
          <cell r="Y177" t="str">
            <v>-</v>
          </cell>
          <cell r="Z177" t="str">
            <v>Cajas de Cartón</v>
          </cell>
          <cell r="AA177" t="str">
            <v>-</v>
          </cell>
          <cell r="AB177" t="str">
            <v>-</v>
          </cell>
          <cell r="AC177">
            <v>31404</v>
          </cell>
        </row>
        <row r="178">
          <cell r="A178" t="str">
            <v>SAA 3386</v>
          </cell>
          <cell r="B178" t="str">
            <v>Pintura de Trafico Blanca TTP-115E Tipo III</v>
          </cell>
          <cell r="C178" t="str">
            <v>Interior-Exterior</v>
          </cell>
          <cell r="D178" t="str">
            <v>Asfalto y Concreto</v>
          </cell>
          <cell r="E178" t="str">
            <v>Limpia, Seca y Libre de Exudación de Asfalto</v>
          </cell>
          <cell r="F178" t="str">
            <v>Ninguno</v>
          </cell>
          <cell r="G178" t="str">
            <v>19.47 Lbs/Gl</v>
          </cell>
          <cell r="H178" t="str">
            <v>57%</v>
          </cell>
          <cell r="I178" t="str">
            <v>75%</v>
          </cell>
          <cell r="J178" t="str">
            <v>43%</v>
          </cell>
          <cell r="K178" t="str">
            <v>58.7%</v>
          </cell>
          <cell r="L178" t="str">
            <v>49.4%</v>
          </cell>
          <cell r="M178" t="str">
            <v>70-80 KU (Stormer)</v>
          </cell>
          <cell r="N178" t="str">
            <v>Brocha, Rodillo Industrial, Máquina Franjeadora, Etc.</v>
          </cell>
          <cell r="O178" t="str">
            <v>Lista para Usarse con Brocha y Rodillo</v>
          </cell>
          <cell r="P178" t="str">
            <v>Para usar con Máquina Franjeadora, Reduzca con 1/8 de Galón</v>
          </cell>
          <cell r="Q178" t="str">
            <v>R2K4         Industrial reducer</v>
          </cell>
          <cell r="R178" t="str">
            <v>4-5 mills/Pulg.</v>
          </cell>
          <cell r="S178" t="str">
            <v>5-10 Minutos. No transitar antes de 20 Minutos</v>
          </cell>
          <cell r="T178" t="str">
            <v>-</v>
          </cell>
          <cell r="U178" t="str">
            <v>45-50 Mts Cuadrados/Gl</v>
          </cell>
          <cell r="V178" t="str">
            <v>Mate 1-2</v>
          </cell>
          <cell r="W178" t="str">
            <v>2B</v>
          </cell>
          <cell r="X178" t="str">
            <v>12 meses</v>
          </cell>
          <cell r="Y178" t="str">
            <v>EDISAL</v>
          </cell>
          <cell r="Z178" t="str">
            <v>-</v>
          </cell>
          <cell r="AA178" t="str">
            <v>-</v>
          </cell>
          <cell r="AB178" t="str">
            <v>José A. Romero Valle.</v>
          </cell>
          <cell r="AC178">
            <v>32660</v>
          </cell>
        </row>
        <row r="179">
          <cell r="A179" t="str">
            <v>SAA 3387</v>
          </cell>
          <cell r="B179" t="str">
            <v>Pintura de Trafico Amarilla TTP-115E Tipo III</v>
          </cell>
          <cell r="C179" t="str">
            <v>Interior-Exterior</v>
          </cell>
          <cell r="D179" t="str">
            <v>Asfalto y Concreto</v>
          </cell>
          <cell r="E179" t="str">
            <v>Limpia, Seca y Libre de Exudación de Asfalto</v>
          </cell>
          <cell r="F179" t="str">
            <v>Ninguno</v>
          </cell>
          <cell r="G179" t="str">
            <v>19.53 Lbs/Gl</v>
          </cell>
          <cell r="H179" t="str">
            <v>57%</v>
          </cell>
          <cell r="I179" t="str">
            <v>75%</v>
          </cell>
          <cell r="J179" t="str">
            <v>43%</v>
          </cell>
          <cell r="K179" t="str">
            <v>49%</v>
          </cell>
          <cell r="L179" t="str">
            <v>48%</v>
          </cell>
          <cell r="M179" t="str">
            <v>70-80 KU (Stormer)</v>
          </cell>
          <cell r="N179" t="str">
            <v>Brocha, Rodillo Industrial, Máquina Franjeadora, Etc.</v>
          </cell>
          <cell r="O179" t="str">
            <v>Lista para Usarse con Brocha y Rodillo</v>
          </cell>
          <cell r="P179" t="str">
            <v>Para usar con Máquina Franjeadora, Reduzca con 1/8 de Galón</v>
          </cell>
          <cell r="Q179" t="str">
            <v>R2K4         Industrial reducer</v>
          </cell>
          <cell r="R179" t="str">
            <v>4-5 mills/Pulg.</v>
          </cell>
          <cell r="S179" t="str">
            <v>5-10 Minutos. No transitar antes de 20 Minutos</v>
          </cell>
          <cell r="T179" t="str">
            <v>-</v>
          </cell>
          <cell r="U179" t="str">
            <v>45-50 Mts Cuadrados/Gl</v>
          </cell>
          <cell r="V179" t="str">
            <v>Mate 1-2</v>
          </cell>
          <cell r="W179" t="str">
            <v>2B</v>
          </cell>
          <cell r="X179" t="str">
            <v>12 meses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José A. Romero Valle.</v>
          </cell>
          <cell r="AC179">
            <v>32660</v>
          </cell>
        </row>
        <row r="180">
          <cell r="A180" t="str">
            <v>SAA 3388</v>
          </cell>
          <cell r="B180" t="str">
            <v>Pintura de Tráfico Blanca TTP-1952 B</v>
          </cell>
          <cell r="C180" t="str">
            <v>Interior-Exterior</v>
          </cell>
          <cell r="D180" t="str">
            <v>Asfalto y Concreto</v>
          </cell>
          <cell r="E180" t="str">
            <v>Limpia, Seca y Libre de Exudación de Asfalto</v>
          </cell>
          <cell r="F180" t="str">
            <v>Ninguno</v>
          </cell>
          <cell r="G180" t="str">
            <v>12.41 Lbs/Gl</v>
          </cell>
          <cell r="H180" t="str">
            <v>50%</v>
          </cell>
          <cell r="I180" t="str">
            <v>66.5%</v>
          </cell>
          <cell r="J180" t="str">
            <v>33%</v>
          </cell>
          <cell r="K180" t="str">
            <v>-</v>
          </cell>
          <cell r="L180" t="str">
            <v>51%</v>
          </cell>
          <cell r="M180" t="str">
            <v>75-85 KU (Stormer)</v>
          </cell>
          <cell r="N180" t="str">
            <v>Brocha, Rodillo Industrial, Máquina Franjeadora, Etc.</v>
          </cell>
          <cell r="O180" t="str">
            <v>Lista para Usarse con Brocha y Rodillo</v>
          </cell>
          <cell r="P180" t="str">
            <v>Para usar con Máquina Franjeadora, Reduzca con 1/8 y 1/4de Galón</v>
          </cell>
          <cell r="Q180" t="str">
            <v>Agua</v>
          </cell>
          <cell r="R180" t="str">
            <v>4-5 mills/Pulg.</v>
          </cell>
          <cell r="S180" t="str">
            <v>30 Minutos. No transitar antes de 1 Hora.</v>
          </cell>
          <cell r="T180" t="str">
            <v>-</v>
          </cell>
          <cell r="U180" t="str">
            <v>45-50 Mts Cuadrados/Gl</v>
          </cell>
          <cell r="V180" t="str">
            <v>Mate 1-2</v>
          </cell>
          <cell r="W180" t="str">
            <v>5B-4B</v>
          </cell>
          <cell r="X180" t="str">
            <v>12 meses</v>
          </cell>
          <cell r="Y180" t="str">
            <v>EDISAL</v>
          </cell>
          <cell r="Z180" t="str">
            <v>-</v>
          </cell>
          <cell r="AA180" t="str">
            <v>-</v>
          </cell>
          <cell r="AB180" t="str">
            <v>José A. Romero Valle.</v>
          </cell>
          <cell r="AC180">
            <v>32660</v>
          </cell>
        </row>
        <row r="181">
          <cell r="A181" t="str">
            <v>SAA 3389</v>
          </cell>
          <cell r="B181" t="str">
            <v>Pintura de Tráfico Amarilla TTP-1952 B</v>
          </cell>
          <cell r="C181" t="str">
            <v>Interior-Exterior</v>
          </cell>
          <cell r="D181" t="str">
            <v>Asfalto y Concreto</v>
          </cell>
          <cell r="E181" t="str">
            <v>Limpia, Seca y Libre de Exudación de Asfalto</v>
          </cell>
          <cell r="F181" t="str">
            <v>Ninguno</v>
          </cell>
          <cell r="G181" t="str">
            <v>12.88 Lbs/Gl</v>
          </cell>
          <cell r="H181" t="str">
            <v>47%</v>
          </cell>
          <cell r="I181" t="str">
            <v>63%</v>
          </cell>
          <cell r="J181" t="str">
            <v>32.9%</v>
          </cell>
          <cell r="K181" t="str">
            <v>-</v>
          </cell>
          <cell r="L181" t="str">
            <v>50%</v>
          </cell>
          <cell r="M181" t="str">
            <v>75-85 KU (Stormer)</v>
          </cell>
          <cell r="N181" t="str">
            <v>Brocha, Rodillo Industrial, Máquina Franjeadora, Etc.</v>
          </cell>
          <cell r="O181" t="str">
            <v>Lista para Usarse con Brocha y Rodillo</v>
          </cell>
          <cell r="P181" t="str">
            <v>Para usar con Máquina Franjeadora, Reduzca con 1/8 y 1/4de Galón</v>
          </cell>
          <cell r="Q181" t="str">
            <v>Agua</v>
          </cell>
          <cell r="R181" t="str">
            <v>4-5 mills/Pulg.</v>
          </cell>
          <cell r="S181" t="str">
            <v>30 Minutos. No transitar antes de 1 Hora.</v>
          </cell>
          <cell r="T181" t="str">
            <v>-</v>
          </cell>
          <cell r="U181" t="str">
            <v>45-50 Mts Cuadrados/Gl</v>
          </cell>
          <cell r="V181" t="str">
            <v>Mate 1-2</v>
          </cell>
          <cell r="W181" t="str">
            <v>5B-4B</v>
          </cell>
          <cell r="X181" t="str">
            <v>12 meses</v>
          </cell>
          <cell r="Y181" t="str">
            <v>EDISAL</v>
          </cell>
          <cell r="Z181" t="str">
            <v>-</v>
          </cell>
          <cell r="AA181" t="str">
            <v>-</v>
          </cell>
          <cell r="AB181" t="str">
            <v>José A. Romero Valle.</v>
          </cell>
          <cell r="AC181">
            <v>32660</v>
          </cell>
        </row>
        <row r="182">
          <cell r="A182" t="str">
            <v>SAA 3390</v>
          </cell>
          <cell r="B182" t="str">
            <v>Pintura de Tráfico Blanco TTP-85E</v>
          </cell>
          <cell r="C182" t="str">
            <v>Interior-Exterior</v>
          </cell>
          <cell r="D182" t="str">
            <v>Asfalto y Concreto</v>
          </cell>
          <cell r="E182" t="str">
            <v>Limpia, Seca y Libre de Exudación de Asfalto</v>
          </cell>
          <cell r="F182" t="str">
            <v>Ninguno</v>
          </cell>
          <cell r="G182" t="str">
            <v>11.42 Lbs/Gl</v>
          </cell>
          <cell r="H182" t="str">
            <v>53%</v>
          </cell>
          <cell r="I182" t="str">
            <v>71.3%</v>
          </cell>
          <cell r="J182" t="str">
            <v>40%</v>
          </cell>
          <cell r="K182" t="str">
            <v>-</v>
          </cell>
          <cell r="L182" t="str">
            <v>52.52%</v>
          </cell>
          <cell r="M182" t="str">
            <v>70-80 KU (Stormer)</v>
          </cell>
          <cell r="N182" t="str">
            <v>Brocha, Rodillo Industrial, Máquina Franjeadora, Etc.</v>
          </cell>
          <cell r="O182" t="str">
            <v>Lista para Usarse con Brocha y Rodillo</v>
          </cell>
          <cell r="P182" t="str">
            <v>Para usar con Máquina Franjeadora, Reduzca con 1/8 y 1/4de Galón</v>
          </cell>
          <cell r="Q182" t="str">
            <v>R1K3 VM&amp;P Nafta</v>
          </cell>
          <cell r="R182" t="str">
            <v>4-5 mills/Pulg.</v>
          </cell>
          <cell r="S182" t="str">
            <v>15-20 Minutos. No transitar Antes de 30 Minutos</v>
          </cell>
          <cell r="T182" t="str">
            <v>-</v>
          </cell>
          <cell r="U182" t="str">
            <v>40-45 Mts Cuadrados/Gl/Mano</v>
          </cell>
          <cell r="V182" t="str">
            <v>Mate 1-2</v>
          </cell>
          <cell r="W182" t="str">
            <v>2B</v>
          </cell>
          <cell r="X182" t="str">
            <v>12 meses a 77°F y 50-55% de Humedad Relativa</v>
          </cell>
          <cell r="Y182" t="str">
            <v>EDISAL</v>
          </cell>
          <cell r="Z182" t="str">
            <v>-</v>
          </cell>
          <cell r="AA182" t="str">
            <v>-</v>
          </cell>
          <cell r="AB182" t="str">
            <v>José A. Romero Valle.</v>
          </cell>
          <cell r="AC182">
            <v>32660</v>
          </cell>
        </row>
        <row r="183">
          <cell r="A183" t="str">
            <v>SAA 3391</v>
          </cell>
          <cell r="B183" t="str">
            <v>Pintura de Tráfico Amarilla TTP-85E</v>
          </cell>
          <cell r="C183" t="str">
            <v>Interior-Exterior</v>
          </cell>
          <cell r="D183" t="str">
            <v>Asfalto y Concreto</v>
          </cell>
          <cell r="E183" t="str">
            <v>Limpia, Seca y Libre de Exudación de Asfalto</v>
          </cell>
          <cell r="F183" t="str">
            <v>Ninguno</v>
          </cell>
          <cell r="G183" t="str">
            <v>11.69 Lbs/Gl</v>
          </cell>
          <cell r="H183" t="str">
            <v>53.7%</v>
          </cell>
          <cell r="I183" t="str">
            <v>72%</v>
          </cell>
          <cell r="J183" t="str">
            <v>40%</v>
          </cell>
          <cell r="K183" t="str">
            <v>-</v>
          </cell>
          <cell r="L183" t="str">
            <v>52.6%</v>
          </cell>
          <cell r="M183" t="str">
            <v>70-80 KU (Stormer)</v>
          </cell>
          <cell r="N183" t="str">
            <v>Brocha, Rodillo Industrial, Máquina Franjeadora, Etc.</v>
          </cell>
          <cell r="O183" t="str">
            <v>Lista para Usarse con Brocha y Rodillo</v>
          </cell>
          <cell r="P183" t="str">
            <v>Para usar con Máquina Franjeadora, Reduzca con 1/8 y 1/4de Galón</v>
          </cell>
          <cell r="Q183" t="str">
            <v>R1K3 VM&amp;P Nafta</v>
          </cell>
          <cell r="R183" t="str">
            <v>4-5 mills/Pulg.</v>
          </cell>
          <cell r="S183" t="str">
            <v>15-20 Minutos. No transitar Antes de 30 Minutos</v>
          </cell>
          <cell r="T183" t="str">
            <v>-</v>
          </cell>
          <cell r="U183" t="str">
            <v>40-45 Mts Cuadrados/Gl/Mano</v>
          </cell>
          <cell r="V183" t="str">
            <v>Mate 1-2</v>
          </cell>
          <cell r="W183" t="str">
            <v>2B</v>
          </cell>
          <cell r="X183" t="str">
            <v>12 meses a 77°F y 50-55% de Humedad Relativa</v>
          </cell>
          <cell r="Y183" t="str">
            <v>EDISAL</v>
          </cell>
          <cell r="Z183" t="str">
            <v>-</v>
          </cell>
          <cell r="AA183" t="str">
            <v>-</v>
          </cell>
          <cell r="AB183" t="str">
            <v>José A. Romero Valle.</v>
          </cell>
          <cell r="AC183">
            <v>32660</v>
          </cell>
        </row>
        <row r="184">
          <cell r="A184" t="str">
            <v>SAA 3507</v>
          </cell>
          <cell r="B184" t="str">
            <v>Collapsible Tube Enamel White</v>
          </cell>
          <cell r="C184" t="str">
            <v>Interior</v>
          </cell>
          <cell r="D184" t="str">
            <v>Tubos de Estaño y Aluminio</v>
          </cell>
          <cell r="E184" t="str">
            <v>Limpieza</v>
          </cell>
          <cell r="F184" t="str">
            <v>Ninguno</v>
          </cell>
          <cell r="G184" t="str">
            <v>11.34 Lbs/Gl</v>
          </cell>
          <cell r="H184" t="str">
            <v>14.83%</v>
          </cell>
          <cell r="I184" t="str">
            <v>61.34%</v>
          </cell>
          <cell r="J184" t="str">
            <v>54.61%</v>
          </cell>
          <cell r="K184" t="str">
            <v>30.29%</v>
          </cell>
          <cell r="L184" t="str">
            <v>40.15%</v>
          </cell>
          <cell r="M184" t="str">
            <v>6000-7000 Cps</v>
          </cell>
          <cell r="N184" t="str">
            <v>Especial</v>
          </cell>
          <cell r="O184" t="str">
            <v>6000-7000 Cps</v>
          </cell>
          <cell r="P184" t="str">
            <v>Ninguno</v>
          </cell>
          <cell r="Q184" t="str">
            <v>Ninguno</v>
          </cell>
          <cell r="R184" t="str">
            <v>1.0-1.2 mills</v>
          </cell>
          <cell r="S184" t="str">
            <v>Al Horno</v>
          </cell>
          <cell r="T184" t="str">
            <v>3.5 Min a 300°F</v>
          </cell>
          <cell r="U184" t="str">
            <v>931.44 Pies Cuadrados/Gl</v>
          </cell>
          <cell r="V184" t="str">
            <v>80 Minimo</v>
          </cell>
          <cell r="W184" t="str">
            <v>F</v>
          </cell>
          <cell r="X184" t="str">
            <v>12 meses</v>
          </cell>
          <cell r="Y184" t="str">
            <v>ENVASA Costa Rica.</v>
          </cell>
          <cell r="Z184" t="str">
            <v>-</v>
          </cell>
          <cell r="AA184" t="str">
            <v>-</v>
          </cell>
          <cell r="AB184" t="str">
            <v>-</v>
          </cell>
          <cell r="AC184">
            <v>33032</v>
          </cell>
        </row>
        <row r="185">
          <cell r="A185" t="str">
            <v>SAA 3543</v>
          </cell>
          <cell r="B185" t="str">
            <v>Acrylic Metal Lacquer</v>
          </cell>
          <cell r="C185" t="str">
            <v>Interior</v>
          </cell>
          <cell r="D185" t="str">
            <v>Hierro-Acero</v>
          </cell>
          <cell r="E185" t="str">
            <v>Limpiar con solvente</v>
          </cell>
          <cell r="F185" t="str">
            <v>Ninguno</v>
          </cell>
          <cell r="G185" t="str">
            <v>7.47 Lbs/Gl</v>
          </cell>
          <cell r="H185" t="str">
            <v>-</v>
          </cell>
          <cell r="I185" t="str">
            <v>20.5%</v>
          </cell>
          <cell r="J185" t="str">
            <v>60%</v>
          </cell>
          <cell r="K185" t="str">
            <v>-</v>
          </cell>
          <cell r="L185" t="str">
            <v>13.3%</v>
          </cell>
          <cell r="M185" t="str">
            <v>35"-40" Copa SW #3</v>
          </cell>
          <cell r="N185" t="str">
            <v>Inmersión</v>
          </cell>
          <cell r="O185" t="str">
            <v>25"-40" Copa SW #3</v>
          </cell>
          <cell r="P185" t="str">
            <v>Ninguno</v>
          </cell>
          <cell r="Q185" t="str">
            <v>Por inmersión Ninguno. Pistola 25% con R7K203</v>
          </cell>
          <cell r="R185" t="str">
            <v>-</v>
          </cell>
          <cell r="S185" t="str">
            <v>5 Minutos</v>
          </cell>
          <cell r="T185" t="str">
            <v>-</v>
          </cell>
          <cell r="U185" t="str">
            <v>-</v>
          </cell>
          <cell r="V185" t="str">
            <v>90-93</v>
          </cell>
          <cell r="W185" t="str">
            <v>-</v>
          </cell>
          <cell r="Y185" t="str">
            <v>VIDRI S.A</v>
          </cell>
          <cell r="Z185" t="str">
            <v>Azadones, Picos y Palas</v>
          </cell>
          <cell r="AA185" t="str">
            <v>-</v>
          </cell>
          <cell r="AB185" t="str">
            <v>-</v>
          </cell>
          <cell r="AC185">
            <v>33105</v>
          </cell>
        </row>
        <row r="186">
          <cell r="A186" t="str">
            <v>SAA 3544</v>
          </cell>
          <cell r="B186" t="str">
            <v>Sherwood Walnut Stain Concentrate</v>
          </cell>
          <cell r="C186" t="str">
            <v>Interior</v>
          </cell>
          <cell r="D186" t="str">
            <v>Madera</v>
          </cell>
          <cell r="E186" t="str">
            <v>Madera Lijada</v>
          </cell>
          <cell r="F186" t="str">
            <v>Ninguno</v>
          </cell>
          <cell r="G186" t="str">
            <v>10.17 Lbs/Gl</v>
          </cell>
          <cell r="H186" t="str">
            <v>78.7%</v>
          </cell>
          <cell r="I186" t="str">
            <v>51.44%</v>
          </cell>
          <cell r="J186" t="str">
            <v>52%</v>
          </cell>
          <cell r="K186" t="str">
            <v>50.6%</v>
          </cell>
          <cell r="L186" t="str">
            <v>24.25%</v>
          </cell>
          <cell r="M186" t="str">
            <v>13"-16" Copa Ford #4</v>
          </cell>
          <cell r="N186" t="str">
            <v>Brocha o Wipe</v>
          </cell>
          <cell r="O186" t="str">
            <v>13"-16" Copa Ford #4</v>
          </cell>
          <cell r="P186" t="str">
            <v>Ninguno</v>
          </cell>
          <cell r="Q186" t="str">
            <v>Ninguno</v>
          </cell>
          <cell r="R186" t="str">
            <v>-</v>
          </cell>
          <cell r="S186" t="str">
            <v>1 Hora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MAYMO (Guatemala)</v>
          </cell>
          <cell r="Z186" t="str">
            <v>Muebles de Madera.</v>
          </cell>
          <cell r="AA186" t="str">
            <v>-</v>
          </cell>
          <cell r="AB186" t="str">
            <v>-</v>
          </cell>
          <cell r="AC186">
            <v>33109</v>
          </cell>
        </row>
        <row r="187">
          <cell r="A187" t="str">
            <v>G78</v>
          </cell>
          <cell r="B187" t="str">
            <v>Linea Permaclad 1700</v>
          </cell>
          <cell r="C187" t="str">
            <v>Interior-Exterior</v>
          </cell>
          <cell r="D187" t="str">
            <v>Lamina Galvanizada</v>
          </cell>
          <cell r="E187" t="str">
            <v>Limpia con Solvente</v>
          </cell>
          <cell r="F187" t="str">
            <v>Super Clad Primer P66YC1</v>
          </cell>
          <cell r="G187" t="str">
            <v>9.40 Lbs/Gl</v>
          </cell>
          <cell r="H187" t="str">
            <v>19.35%</v>
          </cell>
          <cell r="I187" t="str">
            <v>51.96%</v>
          </cell>
          <cell r="J187" t="str">
            <v>55%</v>
          </cell>
          <cell r="K187" t="str">
            <v>9.95%</v>
          </cell>
          <cell r="L187" t="str">
            <v>38.3%</v>
          </cell>
          <cell r="M187" t="str">
            <v>30"-35" Copa SW #3</v>
          </cell>
          <cell r="N187" t="str">
            <v>Pistola</v>
          </cell>
          <cell r="O187" t="str">
            <v>15"-18" Copa Ford #4</v>
          </cell>
          <cell r="P187" t="str">
            <v>15-20% con R2K4</v>
          </cell>
          <cell r="Q187" t="str">
            <v>R2K4         Industrial reducer</v>
          </cell>
          <cell r="R187" t="str">
            <v>0.8 mills</v>
          </cell>
          <cell r="S187" t="str">
            <v>Horno</v>
          </cell>
          <cell r="T187" t="str">
            <v>un minuto a 450°F</v>
          </cell>
          <cell r="U187" t="str">
            <v>79 Mts Cuadrados/Gl a 0.8 mills</v>
          </cell>
          <cell r="V187" t="str">
            <v>85-90</v>
          </cell>
          <cell r="W187" t="str">
            <v>H-2H</v>
          </cell>
          <cell r="X187" t="str">
            <v>-</v>
          </cell>
          <cell r="Y187" t="str">
            <v>PROFESAL</v>
          </cell>
          <cell r="Z187" t="str">
            <v>Laminas Galvanizadas Esmaltadas</v>
          </cell>
          <cell r="AA187" t="str">
            <v>-</v>
          </cell>
          <cell r="AB187" t="str">
            <v>-</v>
          </cell>
          <cell r="AC187">
            <v>33119</v>
          </cell>
        </row>
        <row r="188">
          <cell r="A188" t="str">
            <v>P66YC1 (1)</v>
          </cell>
          <cell r="B188" t="str">
            <v>Superclad Primer</v>
          </cell>
          <cell r="C188" t="str">
            <v>Primer (Interior-Exterior)</v>
          </cell>
          <cell r="D188" t="str">
            <v>Lamina Galvanizada</v>
          </cell>
          <cell r="E188" t="str">
            <v>Limpia con Solvente</v>
          </cell>
          <cell r="F188" t="str">
            <v>Ninguno</v>
          </cell>
          <cell r="G188" t="str">
            <v>9.4 Lbs/Gl</v>
          </cell>
          <cell r="H188" t="str">
            <v>42.8%</v>
          </cell>
          <cell r="I188" t="str">
            <v>42.6%</v>
          </cell>
          <cell r="J188" t="str">
            <v>24.45%</v>
          </cell>
          <cell r="K188" t="str">
            <v>19.2%</v>
          </cell>
          <cell r="L188" t="str">
            <v>27.0%</v>
          </cell>
          <cell r="M188" t="str">
            <v>25"-35" Copa SW #3</v>
          </cell>
          <cell r="N188" t="str">
            <v>Pistola</v>
          </cell>
          <cell r="O188" t="str">
            <v>13"-17" Copa Ford #4</v>
          </cell>
          <cell r="P188" t="str">
            <v>100% con R7KSA15</v>
          </cell>
          <cell r="Q188" t="str">
            <v>Thinner Metasa R7KSA15</v>
          </cell>
          <cell r="R188" t="str">
            <v>0.13-0.17 mills</v>
          </cell>
          <cell r="S188" t="str">
            <v>Horno</v>
          </cell>
          <cell r="T188" t="str">
            <v>1 minuto a 450°F</v>
          </cell>
          <cell r="U188" t="str">
            <v>268.3 Mts Cuadrados/Gl a 0.13 mills</v>
          </cell>
          <cell r="V188" t="str">
            <v>-</v>
          </cell>
          <cell r="W188" t="str">
            <v>-</v>
          </cell>
          <cell r="X188" t="str">
            <v>-</v>
          </cell>
          <cell r="Y188" t="str">
            <v>PROFESAL</v>
          </cell>
          <cell r="Z188" t="str">
            <v>Laminas Galvanizadas Esmaltadas</v>
          </cell>
          <cell r="AA188" t="str">
            <v>-</v>
          </cell>
          <cell r="AB188" t="str">
            <v>-</v>
          </cell>
          <cell r="AC188">
            <v>33119</v>
          </cell>
        </row>
        <row r="189">
          <cell r="A189" t="str">
            <v>R7KSA13</v>
          </cell>
          <cell r="B189" t="str">
            <v>Thinner Especial</v>
          </cell>
          <cell r="C189" t="str">
            <v>Interior</v>
          </cell>
          <cell r="D189" t="str">
            <v>-</v>
          </cell>
          <cell r="E189" t="str">
            <v>-</v>
          </cell>
          <cell r="F189" t="str">
            <v>-</v>
          </cell>
          <cell r="G189" t="str">
            <v>6.68 Lbs/Gl</v>
          </cell>
          <cell r="H189" t="str">
            <v>-</v>
          </cell>
          <cell r="I189" t="str">
            <v>-</v>
          </cell>
          <cell r="J189" t="str">
            <v>-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INDISA</v>
          </cell>
          <cell r="Z189" t="str">
            <v>Adornos Navideños y otros.</v>
          </cell>
          <cell r="AA189" t="str">
            <v>-</v>
          </cell>
          <cell r="AB189" t="str">
            <v>-</v>
          </cell>
          <cell r="AC189">
            <v>33129</v>
          </cell>
        </row>
        <row r="190">
          <cell r="A190" t="str">
            <v>R7KSA8</v>
          </cell>
          <cell r="B190" t="str">
            <v>Thinner Base Especial</v>
          </cell>
          <cell r="C190" t="str">
            <v>Interior</v>
          </cell>
          <cell r="D190" t="str">
            <v>-</v>
          </cell>
          <cell r="E190" t="str">
            <v>-</v>
          </cell>
          <cell r="F190" t="str">
            <v>-</v>
          </cell>
          <cell r="G190" t="str">
            <v>6.52 Lbs/Gl</v>
          </cell>
          <cell r="H190" t="str">
            <v>-</v>
          </cell>
          <cell r="I190" t="str">
            <v>-</v>
          </cell>
          <cell r="J190" t="str">
            <v>-</v>
          </cell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INDISA</v>
          </cell>
          <cell r="Z190" t="str">
            <v>Adornos Navideños y otros.</v>
          </cell>
          <cell r="AA190" t="str">
            <v>-</v>
          </cell>
          <cell r="AB190" t="str">
            <v>-</v>
          </cell>
          <cell r="AC190">
            <v>33129</v>
          </cell>
        </row>
        <row r="191">
          <cell r="A191" t="str">
            <v>T70CSA16</v>
          </cell>
          <cell r="B191" t="str">
            <v>Laca Transparente Brillante No.1</v>
          </cell>
          <cell r="C191" t="str">
            <v>Interior</v>
          </cell>
          <cell r="D191" t="str">
            <v>Polietileno y Poliestireno</v>
          </cell>
          <cell r="E191" t="str">
            <v>Limpieza Adecuada</v>
          </cell>
          <cell r="F191" t="str">
            <v>NINGUNO</v>
          </cell>
          <cell r="G191" t="str">
            <v>8.0 Lbs/Gl</v>
          </cell>
          <cell r="H191" t="str">
            <v>0.0%</v>
          </cell>
          <cell r="I191" t="str">
            <v>40%</v>
          </cell>
          <cell r="J191" t="str">
            <v>40%</v>
          </cell>
          <cell r="K191" t="str">
            <v>0.0 %</v>
          </cell>
          <cell r="L191" t="str">
            <v>33.85 %</v>
          </cell>
          <cell r="M191" t="str">
            <v>J-L (Gardner-Holdt)</v>
          </cell>
          <cell r="N191" t="str">
            <v>Especial</v>
          </cell>
          <cell r="O191" t="str">
            <v>18" - 22" COPA Zanh#2</v>
          </cell>
          <cell r="P191" t="str">
            <v>Ninguno</v>
          </cell>
          <cell r="Q191" t="str">
            <v>ninguno</v>
          </cell>
          <cell r="R191" t="str">
            <v>1.0 mills</v>
          </cell>
          <cell r="S191" t="str">
            <v>-</v>
          </cell>
          <cell r="T191" t="str">
            <v>-</v>
          </cell>
          <cell r="U191" t="str">
            <v>540 Pies Cuadrados/Gl a 1 mils de espesor seco</v>
          </cell>
          <cell r="V191" t="str">
            <v>80</v>
          </cell>
          <cell r="W191" t="str">
            <v>2B-B</v>
          </cell>
          <cell r="X191" t="str">
            <v>1 1/2 Años</v>
          </cell>
          <cell r="Y191" t="str">
            <v>INDISA</v>
          </cell>
          <cell r="Z191" t="str">
            <v>Adornos Navideños y otros.</v>
          </cell>
          <cell r="AA191" t="str">
            <v>-</v>
          </cell>
          <cell r="AB191" t="str">
            <v>Corina de Turcios</v>
          </cell>
          <cell r="AC191">
            <v>33129</v>
          </cell>
        </row>
        <row r="192">
          <cell r="A192" t="str">
            <v>T70CSA20</v>
          </cell>
          <cell r="B192" t="str">
            <v>Laca Especial Transparente Brillante</v>
          </cell>
          <cell r="C192" t="str">
            <v>Interior</v>
          </cell>
          <cell r="D192" t="str">
            <v>Polietileno y Poliestireno</v>
          </cell>
          <cell r="E192" t="str">
            <v>Limpieza Adecuada</v>
          </cell>
          <cell r="F192" t="str">
            <v>ninguno</v>
          </cell>
          <cell r="G192" t="str">
            <v>7.98 Lbs/Gl</v>
          </cell>
          <cell r="H192" t="str">
            <v>0.0 %</v>
          </cell>
          <cell r="I192" t="str">
            <v>30.70%</v>
          </cell>
          <cell r="J192" t="str">
            <v>30.70%</v>
          </cell>
          <cell r="K192" t="str">
            <v>0.0 %</v>
          </cell>
          <cell r="L192" t="str">
            <v>21%</v>
          </cell>
          <cell r="M192" t="str">
            <v>10-15 seg. Copa SW #5</v>
          </cell>
          <cell r="N192" t="str">
            <v>Pistola</v>
          </cell>
          <cell r="O192" t="str">
            <v>10-15 seg. Copa SW #5</v>
          </cell>
          <cell r="P192" t="str">
            <v>100</v>
          </cell>
          <cell r="Q192" t="str">
            <v>R7K128</v>
          </cell>
          <cell r="R192" t="str">
            <v>0.5-0.7 mills</v>
          </cell>
          <cell r="S192" t="str">
            <v>Al Aire. Seco Tocar: 5 Minutos. Seco Completo: 20 Minutos</v>
          </cell>
          <cell r="T192" t="str">
            <v>-</v>
          </cell>
          <cell r="U192" t="str">
            <v>480 Pies Cuadrados/Gl</v>
          </cell>
          <cell r="V192" t="str">
            <v>+80</v>
          </cell>
          <cell r="W192" t="str">
            <v>2B-B</v>
          </cell>
          <cell r="X192" t="str">
            <v>1 1/2 Años</v>
          </cell>
          <cell r="Y192" t="str">
            <v>INDISA</v>
          </cell>
          <cell r="Z192" t="str">
            <v>Adornos Navideños y otros.</v>
          </cell>
          <cell r="AA192" t="str">
            <v>-</v>
          </cell>
          <cell r="AC192" t="str">
            <v>Noviembre 27, 2002</v>
          </cell>
        </row>
        <row r="193">
          <cell r="A193" t="str">
            <v>A17VSA2</v>
          </cell>
          <cell r="B193" t="str">
            <v>Preservante-Repelente Para Fibrolite</v>
          </cell>
          <cell r="C193" t="str">
            <v>Interior-Exterior</v>
          </cell>
          <cell r="D193" t="str">
            <v>Fibrocemento</v>
          </cell>
          <cell r="E193" t="str">
            <v>Seca, Limpia y sin Polvo</v>
          </cell>
          <cell r="F193" t="str">
            <v>-</v>
          </cell>
          <cell r="G193" t="str">
            <v>6.76 Lbs/Gl</v>
          </cell>
          <cell r="H193" t="str">
            <v>-</v>
          </cell>
          <cell r="I193" t="str">
            <v>-</v>
          </cell>
          <cell r="J193" t="str">
            <v>-</v>
          </cell>
          <cell r="K193" t="str">
            <v>7%</v>
          </cell>
          <cell r="L193" t="str">
            <v>11%</v>
          </cell>
          <cell r="M193" t="str">
            <v>-</v>
          </cell>
          <cell r="N193" t="str">
            <v>Brocha-Inmersión</v>
          </cell>
          <cell r="O193" t="str">
            <v>A (Gardner-Hold)</v>
          </cell>
          <cell r="P193" t="str">
            <v>Ninguno</v>
          </cell>
          <cell r="Q193" t="str">
            <v>-</v>
          </cell>
          <cell r="R193" t="str">
            <v>-</v>
          </cell>
          <cell r="S193" t="str">
            <v>Al Aire</v>
          </cell>
          <cell r="T193" t="str">
            <v>-</v>
          </cell>
          <cell r="U193" t="str">
            <v>11-12 Mts cuadrados/ galón/mano dependiendo de la porosidad de la superficie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EUREKA</v>
          </cell>
          <cell r="Z193" t="str">
            <v>Techos de Fibrocemento</v>
          </cell>
          <cell r="AA193" t="str">
            <v>-</v>
          </cell>
          <cell r="AB193" t="str">
            <v>-</v>
          </cell>
          <cell r="AC193">
            <v>33157</v>
          </cell>
        </row>
        <row r="194">
          <cell r="A194" t="str">
            <v>A44WSA3</v>
          </cell>
          <cell r="B194" t="str">
            <v>Texture Paint For Ceiling</v>
          </cell>
          <cell r="C194" t="str">
            <v>Interior</v>
          </cell>
          <cell r="D194" t="str">
            <v>Fibrocemento</v>
          </cell>
          <cell r="E194" t="str">
            <v>Limpia de Polvo, y Seca</v>
          </cell>
          <cell r="F194" t="str">
            <v>-</v>
          </cell>
          <cell r="G194" t="str">
            <v>14.5 Lbs/Gl</v>
          </cell>
          <cell r="H194" t="str">
            <v>-</v>
          </cell>
          <cell r="I194" t="str">
            <v>72%</v>
          </cell>
          <cell r="J194" t="str">
            <v>49.6%</v>
          </cell>
          <cell r="K194" t="str">
            <v>-</v>
          </cell>
          <cell r="L194" t="str">
            <v>-</v>
          </cell>
          <cell r="M194" t="str">
            <v>96,000 CPS</v>
          </cell>
          <cell r="N194" t="str">
            <v>Rodillo-Brocha</v>
          </cell>
          <cell r="O194" t="str">
            <v>96,000 CPS</v>
          </cell>
          <cell r="P194" t="str">
            <v>-</v>
          </cell>
          <cell r="Q194" t="str">
            <v>Agua</v>
          </cell>
          <cell r="R194" t="str">
            <v>-</v>
          </cell>
          <cell r="S194" t="str">
            <v>Al aire</v>
          </cell>
          <cell r="T194" t="str">
            <v>-</v>
          </cell>
          <cell r="U194" t="str">
            <v>6.5-7.5 Mts Cuadrados/Gl dependiendo del estilo</v>
          </cell>
          <cell r="V194" t="str">
            <v>Mate</v>
          </cell>
          <cell r="W194" t="str">
            <v>-</v>
          </cell>
          <cell r="X194" t="str">
            <v>1-2 Años</v>
          </cell>
          <cell r="Y194" t="str">
            <v>EUREKA</v>
          </cell>
          <cell r="Z194" t="str">
            <v>Techos de Fibrocemento</v>
          </cell>
          <cell r="AA194" t="str">
            <v>-</v>
          </cell>
          <cell r="AB194" t="str">
            <v>-</v>
          </cell>
          <cell r="AC194">
            <v>33157</v>
          </cell>
        </row>
        <row r="195">
          <cell r="A195" t="str">
            <v>A44WSA4</v>
          </cell>
          <cell r="B195" t="str">
            <v>Texture Paint For Walls</v>
          </cell>
          <cell r="C195" t="str">
            <v>Interior</v>
          </cell>
          <cell r="D195" t="str">
            <v>Fibrocemento</v>
          </cell>
          <cell r="E195" t="str">
            <v>Limpia de Polvo, y Seca</v>
          </cell>
          <cell r="F195" t="str">
            <v>-</v>
          </cell>
          <cell r="G195" t="str">
            <v>14.5 Lbs/Gl</v>
          </cell>
          <cell r="H195" t="str">
            <v>-</v>
          </cell>
          <cell r="I195" t="str">
            <v>72%</v>
          </cell>
          <cell r="J195" t="str">
            <v>49.6%</v>
          </cell>
          <cell r="K195" t="str">
            <v>-</v>
          </cell>
          <cell r="L195" t="str">
            <v>-</v>
          </cell>
          <cell r="M195" t="str">
            <v>-</v>
          </cell>
          <cell r="N195" t="str">
            <v>Rodillo, Espátula, Brocha</v>
          </cell>
          <cell r="O195" t="str">
            <v>96,000-100,000 CPS</v>
          </cell>
          <cell r="P195" t="str">
            <v>-</v>
          </cell>
          <cell r="Q195" t="str">
            <v>Agua</v>
          </cell>
          <cell r="R195" t="str">
            <v>-</v>
          </cell>
          <cell r="S195" t="str">
            <v>Al aire</v>
          </cell>
          <cell r="T195" t="str">
            <v>-</v>
          </cell>
          <cell r="U195" t="str">
            <v>6.5-7.5 Mts Cuadrados/Gl dependiendo del estilo</v>
          </cell>
          <cell r="V195" t="str">
            <v>Mate</v>
          </cell>
          <cell r="W195" t="str">
            <v>-</v>
          </cell>
          <cell r="X195" t="str">
            <v>1-2 Años</v>
          </cell>
          <cell r="Y195" t="str">
            <v>EUREKA</v>
          </cell>
          <cell r="Z195" t="str">
            <v>Techos de Fibrocemento</v>
          </cell>
          <cell r="AA195" t="str">
            <v>-</v>
          </cell>
          <cell r="AB195" t="str">
            <v>-</v>
          </cell>
          <cell r="AC195">
            <v>33157</v>
          </cell>
        </row>
        <row r="196">
          <cell r="A196" t="str">
            <v>A95GSA14</v>
          </cell>
          <cell r="B196" t="str">
            <v>Pintura Especial Verde Para Techos de Fibrocemento</v>
          </cell>
          <cell r="C196" t="str">
            <v>Exterior</v>
          </cell>
          <cell r="D196" t="str">
            <v>Fibrocemento</v>
          </cell>
          <cell r="E196" t="str">
            <v>Lijada, Libre de Polvo y Seca</v>
          </cell>
          <cell r="F196" t="str">
            <v>-</v>
          </cell>
          <cell r="G196" t="str">
            <v>10.80 Lbs/Gl</v>
          </cell>
          <cell r="H196" t="str">
            <v>30.9%</v>
          </cell>
          <cell r="I196" t="str">
            <v>48.8%</v>
          </cell>
          <cell r="J196" t="str">
            <v>17.9%</v>
          </cell>
          <cell r="K196" t="str">
            <v>13.6%</v>
          </cell>
          <cell r="L196" t="str">
            <v>35.0%</v>
          </cell>
          <cell r="M196" t="str">
            <v>79-85 KU</v>
          </cell>
          <cell r="N196" t="str">
            <v>Pistola Airless 30-35 Libras de Presión</v>
          </cell>
          <cell r="O196" t="str">
            <v>-</v>
          </cell>
          <cell r="P196" t="str">
            <v>25% con Agua</v>
          </cell>
          <cell r="Q196" t="str">
            <v>Agua Corriente</v>
          </cell>
          <cell r="R196" t="str">
            <v>5 mills</v>
          </cell>
          <cell r="S196" t="str">
            <v>Al Aire</v>
          </cell>
          <cell r="T196" t="str">
            <v>No recomendado</v>
          </cell>
          <cell r="U196" t="str">
            <v>45-55 Mts cuadrados por Galón</v>
          </cell>
          <cell r="V196" t="str">
            <v>Mate</v>
          </cell>
          <cell r="W196" t="str">
            <v>-</v>
          </cell>
          <cell r="X196" t="str">
            <v>1-2 Años</v>
          </cell>
          <cell r="Y196" t="str">
            <v>EUREKA</v>
          </cell>
          <cell r="Z196" t="str">
            <v>Techos de Fibrocemento</v>
          </cell>
          <cell r="AA196" t="str">
            <v>-</v>
          </cell>
          <cell r="AB196" t="str">
            <v>-</v>
          </cell>
          <cell r="AC196">
            <v>33157</v>
          </cell>
        </row>
        <row r="197">
          <cell r="A197" t="str">
            <v>SAA 3567-B</v>
          </cell>
          <cell r="B197" t="str">
            <v>Sherwood White Oak Oil Stain</v>
          </cell>
          <cell r="C197" t="str">
            <v>Interiores</v>
          </cell>
          <cell r="D197" t="str">
            <v>Fibrocemento(Fibrolit)</v>
          </cell>
          <cell r="E197" t="str">
            <v>Sellada y Limpia</v>
          </cell>
          <cell r="F197" t="str">
            <v>Kem Patching Paste</v>
          </cell>
          <cell r="G197" t="str">
            <v>7.22 Lbs/Gl</v>
          </cell>
          <cell r="H197" t="str">
            <v>38%</v>
          </cell>
          <cell r="I197" t="str">
            <v>22%</v>
          </cell>
          <cell r="J197" t="str">
            <v>50%</v>
          </cell>
          <cell r="K197" t="str">
            <v>21%</v>
          </cell>
          <cell r="L197" t="str">
            <v>13%</v>
          </cell>
          <cell r="M197" t="str">
            <v>9"-12" Copa Ford #4</v>
          </cell>
          <cell r="N197" t="str">
            <v>Arrastre con Wipe</v>
          </cell>
          <cell r="O197" t="str">
            <v>9"-12" Copa Ford #4</v>
          </cell>
          <cell r="P197" t="str">
            <v>Ninguno</v>
          </cell>
          <cell r="Q197" t="str">
            <v>Ninguno</v>
          </cell>
          <cell r="R197" t="str">
            <v>-</v>
          </cell>
          <cell r="S197" t="str">
            <v>Al aire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EUREKA</v>
          </cell>
          <cell r="Z197" t="str">
            <v>Fibrocemento</v>
          </cell>
          <cell r="AA197" t="str">
            <v>-</v>
          </cell>
          <cell r="AB197" t="str">
            <v>-</v>
          </cell>
          <cell r="AC197">
            <v>33168</v>
          </cell>
        </row>
        <row r="198">
          <cell r="A198" t="str">
            <v>SAA 3568</v>
          </cell>
          <cell r="B198" t="str">
            <v>Laca Transparente Brillante Lista para Usar</v>
          </cell>
          <cell r="C198" t="str">
            <v>Interiores</v>
          </cell>
          <cell r="D198" t="str">
            <v>Fibrocemento(Fibrolit)</v>
          </cell>
          <cell r="E198" t="str">
            <v>Sellada y Limpia</v>
          </cell>
          <cell r="F198" t="str">
            <v>-</v>
          </cell>
          <cell r="G198" t="str">
            <v>7.43 Lbs/Gl</v>
          </cell>
          <cell r="H198" t="str">
            <v>-</v>
          </cell>
          <cell r="I198" t="str">
            <v>21%</v>
          </cell>
          <cell r="J198" t="str">
            <v>-</v>
          </cell>
          <cell r="K198" t="str">
            <v>-</v>
          </cell>
          <cell r="L198" t="str">
            <v>14.5%</v>
          </cell>
          <cell r="M198" t="str">
            <v>15"-19" Copa Ford #4</v>
          </cell>
          <cell r="N198" t="str">
            <v>Pistola</v>
          </cell>
          <cell r="O198" t="str">
            <v>15"-19" Copa Ford #4</v>
          </cell>
          <cell r="P198" t="str">
            <v>Ninguno</v>
          </cell>
          <cell r="Q198" t="str">
            <v>R7K203 si es necesario</v>
          </cell>
          <cell r="R198" t="str">
            <v>-</v>
          </cell>
          <cell r="S198" t="str">
            <v>Al Aire</v>
          </cell>
          <cell r="T198" t="str">
            <v>-</v>
          </cell>
          <cell r="U198" t="str">
            <v>-</v>
          </cell>
          <cell r="V198" t="str">
            <v>85-90</v>
          </cell>
          <cell r="W198" t="str">
            <v>-</v>
          </cell>
          <cell r="X198" t="str">
            <v>-</v>
          </cell>
          <cell r="Y198" t="str">
            <v>EUREKA</v>
          </cell>
          <cell r="Z198" t="str">
            <v>Fibrocemento</v>
          </cell>
          <cell r="AA198" t="str">
            <v>-</v>
          </cell>
          <cell r="AB198" t="str">
            <v>-</v>
          </cell>
          <cell r="AC198">
            <v>33168</v>
          </cell>
        </row>
        <row r="199">
          <cell r="A199" t="str">
            <v>B24WSA1</v>
          </cell>
          <cell r="B199" t="str">
            <v>Sellador Rellenador Especial Para Fibrolit</v>
          </cell>
          <cell r="C199" t="str">
            <v>Interiores</v>
          </cell>
          <cell r="D199" t="str">
            <v>Fibrocemento</v>
          </cell>
          <cell r="E199" t="str">
            <v>Libre de Polvo y otras Sustancias</v>
          </cell>
          <cell r="F199" t="str">
            <v>Ninguno</v>
          </cell>
          <cell r="G199" t="str">
            <v>12.27 Lbs/Gl</v>
          </cell>
          <cell r="H199" t="str">
            <v>69.2%</v>
          </cell>
          <cell r="I199" t="str">
            <v>46%</v>
          </cell>
          <cell r="J199" t="str">
            <v>55%</v>
          </cell>
          <cell r="K199" t="str">
            <v>51%</v>
          </cell>
          <cell r="L199" t="str">
            <v>30%</v>
          </cell>
          <cell r="M199" t="str">
            <v>13,000-15,000 CPS</v>
          </cell>
          <cell r="N199" t="str">
            <v>Espátula-Wipe</v>
          </cell>
          <cell r="O199" t="str">
            <v>13,000-15,000 CPS</v>
          </cell>
          <cell r="P199" t="str">
            <v>Ninguno</v>
          </cell>
          <cell r="Q199" t="str">
            <v>Ninguno</v>
          </cell>
          <cell r="R199" t="str">
            <v>-</v>
          </cell>
          <cell r="S199" t="str">
            <v>Al Aire</v>
          </cell>
          <cell r="T199" t="str">
            <v>-</v>
          </cell>
          <cell r="U199" t="str">
            <v>-</v>
          </cell>
          <cell r="V199" t="str">
            <v>-</v>
          </cell>
          <cell r="W199" t="str">
            <v>-</v>
          </cell>
          <cell r="X199" t="str">
            <v>-</v>
          </cell>
          <cell r="Y199" t="str">
            <v>EUREKA</v>
          </cell>
          <cell r="Z199" t="str">
            <v>Fibrocemento</v>
          </cell>
          <cell r="AA199" t="str">
            <v>-</v>
          </cell>
          <cell r="AB199" t="str">
            <v>-</v>
          </cell>
          <cell r="AC199">
            <v>33170</v>
          </cell>
        </row>
        <row r="200">
          <cell r="A200" t="str">
            <v>B45WSA1 (2)</v>
          </cell>
          <cell r="B200" t="str">
            <v>Fast Dry Latex Wall Primer (Primario)</v>
          </cell>
          <cell r="C200" t="str">
            <v>Interior</v>
          </cell>
          <cell r="D200" t="str">
            <v>Dryboard.</v>
          </cell>
          <cell r="E200" t="str">
            <v>Libre de Polvo y otras Sustancias</v>
          </cell>
          <cell r="F200" t="str">
            <v>Ninguno</v>
          </cell>
          <cell r="G200" t="str">
            <v>11.17 Lbs/Gl</v>
          </cell>
          <cell r="H200" t="str">
            <v>34.4%</v>
          </cell>
          <cell r="I200" t="str">
            <v>48.1%</v>
          </cell>
          <cell r="J200" t="str">
            <v>55%</v>
          </cell>
          <cell r="K200" t="str">
            <v>48.3%</v>
          </cell>
          <cell r="L200" t="str">
            <v>30.4%</v>
          </cell>
          <cell r="M200" t="str">
            <v>10,000-11,000 CPS</v>
          </cell>
          <cell r="N200" t="str">
            <v>Brocha-Pistola-Rodillo</v>
          </cell>
          <cell r="O200" t="str">
            <v>1,400-1,800 CPS con Brocha. 60-100 CPS con Pistola</v>
          </cell>
          <cell r="P200" t="str">
            <v>Brocha o Rodillo: 10% en Vol. Con agua. Pistola: 80% en Vol. Con Agua.</v>
          </cell>
          <cell r="Q200" t="str">
            <v>Agua</v>
          </cell>
          <cell r="R200" t="str">
            <v>2 mills</v>
          </cell>
          <cell r="S200" t="str">
            <v>Al Aire. Seco Tocar: 15 Minutos. Seco Completo: 45 Minutos</v>
          </cell>
          <cell r="T200" t="str">
            <v>Ninguno</v>
          </cell>
          <cell r="U200" t="str">
            <v>35 Mts Cuadrados/Gl</v>
          </cell>
          <cell r="V200" t="str">
            <v>Mate</v>
          </cell>
          <cell r="W200" t="str">
            <v>-</v>
          </cell>
          <cell r="X200" t="str">
            <v>2 años</v>
          </cell>
          <cell r="Y200" t="str">
            <v>Embajada Americana/Sepinta</v>
          </cell>
          <cell r="Z200" t="str">
            <v>Dryboard, Durapanel, Madera, Concreto.</v>
          </cell>
          <cell r="AA200" t="str">
            <v>-</v>
          </cell>
          <cell r="AB200" t="str">
            <v>-</v>
          </cell>
          <cell r="AC200">
            <v>33246</v>
          </cell>
        </row>
        <row r="201">
          <cell r="A201" t="str">
            <v>B49WSA1</v>
          </cell>
          <cell r="B201" t="str">
            <v>Promar 200 Alkyd Undercoater</v>
          </cell>
          <cell r="C201" t="str">
            <v>Interiores</v>
          </cell>
          <cell r="D201" t="str">
            <v>Dryboard, Concreto, Madera</v>
          </cell>
          <cell r="E201" t="str">
            <v>Limpia de Polvo</v>
          </cell>
          <cell r="F201" t="str">
            <v>Ninguno</v>
          </cell>
          <cell r="G201" t="str">
            <v>11.81 Lbs/Gl</v>
          </cell>
          <cell r="H201" t="str">
            <v>75.5%</v>
          </cell>
          <cell r="I201" t="str">
            <v>71.14%</v>
          </cell>
          <cell r="J201" t="str">
            <v>41%</v>
          </cell>
          <cell r="K201" t="str">
            <v>53.7%</v>
          </cell>
          <cell r="L201" t="str">
            <v>48.71%</v>
          </cell>
          <cell r="M201" t="str">
            <v>88-98 KU</v>
          </cell>
          <cell r="N201" t="str">
            <v>Brocha-Rodillo-Pistola</v>
          </cell>
          <cell r="O201" t="str">
            <v>Brocha (88-98 KU), Pistola (13-18" Ford #4)</v>
          </cell>
          <cell r="P201" t="str">
            <v>Brocha y Rodillo (Ninguna), Pistola (25% con R1K4)</v>
          </cell>
          <cell r="Q201" t="str">
            <v>R1K4</v>
          </cell>
          <cell r="R201" t="str">
            <v>2 mills seco</v>
          </cell>
          <cell r="S201" t="str">
            <v>Seco Tocar: 1-2 Horas, Seco Completo: 16-24 Horas.</v>
          </cell>
          <cell r="T201" t="str">
            <v>-</v>
          </cell>
          <cell r="U201" t="str">
            <v>29 Mts Cuadrados/Gl a 2 mills seco</v>
          </cell>
          <cell r="V201" t="str">
            <v>Mate</v>
          </cell>
          <cell r="W201" t="str">
            <v>-</v>
          </cell>
          <cell r="X201" t="str">
            <v>-</v>
          </cell>
          <cell r="Y201" t="str">
            <v>Embajada Americana/Sepinta</v>
          </cell>
          <cell r="Z201" t="str">
            <v>-</v>
          </cell>
          <cell r="AA201" t="str">
            <v>-</v>
          </cell>
          <cell r="AB201" t="str">
            <v>-</v>
          </cell>
          <cell r="AC201">
            <v>33246</v>
          </cell>
        </row>
        <row r="202">
          <cell r="A202" t="str">
            <v>V6V241</v>
          </cell>
          <cell r="B202" t="str">
            <v>Polasol</v>
          </cell>
          <cell r="C202" t="str">
            <v>Catalizador para Kem Lustral</v>
          </cell>
          <cell r="D202" t="str">
            <v>-</v>
          </cell>
          <cell r="E202" t="str">
            <v>-</v>
          </cell>
          <cell r="F202" t="str">
            <v>-</v>
          </cell>
          <cell r="G202" t="str">
            <v>8.91 Lbs/Gl</v>
          </cell>
          <cell r="H202" t="str">
            <v>-</v>
          </cell>
          <cell r="I202" t="str">
            <v>75%</v>
          </cell>
          <cell r="J202" t="str">
            <v>-</v>
          </cell>
          <cell r="K202" t="str">
            <v>-</v>
          </cell>
          <cell r="L202" t="str">
            <v>70.7%</v>
          </cell>
          <cell r="M202" t="str">
            <v>60-65 KU</v>
          </cell>
          <cell r="N202" t="str">
            <v>-</v>
          </cell>
          <cell r="O202" t="str">
            <v>-</v>
          </cell>
          <cell r="P202" t="str">
            <v>Se agrega 6% a Kem Lustral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Incrementa Dureza a Kem Lustral</v>
          </cell>
          <cell r="X202" t="str">
            <v>-</v>
          </cell>
          <cell r="Y202" t="str">
            <v>Sepinta, S.A</v>
          </cell>
          <cell r="Z202" t="str">
            <v>-</v>
          </cell>
          <cell r="AA202" t="str">
            <v>El Polysocianato Actúa sobre las Cadenas Alkydicas del Kem Lustral, Incrementando su Dureza, Resistencia y Adhesión.</v>
          </cell>
          <cell r="AB202" t="str">
            <v>-</v>
          </cell>
          <cell r="AC202">
            <v>33246</v>
          </cell>
        </row>
        <row r="203">
          <cell r="A203" t="str">
            <v>B60FSA1</v>
          </cell>
          <cell r="B203" t="str">
            <v>Eggshell Hardener (Catalizador De Tile Clad II Satinado)</v>
          </cell>
          <cell r="C203" t="str">
            <v>-</v>
          </cell>
          <cell r="D203" t="str">
            <v>-</v>
          </cell>
          <cell r="E203" t="str">
            <v>-</v>
          </cell>
          <cell r="G203" t="str">
            <v>10.42-10.67 Lbs/Gl</v>
          </cell>
          <cell r="H203" t="str">
            <v>32%</v>
          </cell>
          <cell r="I203" t="str">
            <v>69.57%</v>
          </cell>
          <cell r="J203" t="str">
            <v>60%</v>
          </cell>
          <cell r="K203" t="str">
            <v>26.6%</v>
          </cell>
          <cell r="L203" t="str">
            <v>55.9%</v>
          </cell>
          <cell r="M203" t="str">
            <v>68-75 KU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Freund, S.A</v>
          </cell>
          <cell r="Z203" t="str">
            <v>-</v>
          </cell>
          <cell r="AA203" t="str">
            <v>-</v>
          </cell>
          <cell r="AB203" t="str">
            <v>-</v>
          </cell>
          <cell r="AC203">
            <v>33249</v>
          </cell>
        </row>
        <row r="204">
          <cell r="A204" t="str">
            <v>B62BSA1/B60FSA1</v>
          </cell>
          <cell r="B204" t="str">
            <v>Tile Clad II Negro Satinado</v>
          </cell>
          <cell r="C204" t="str">
            <v>Interior-Exterior</v>
          </cell>
          <cell r="D204" t="str">
            <v>Concreto-Fibrocemento-Madera-Metal</v>
          </cell>
          <cell r="E204" t="str">
            <v>Limpia de Polvo, Grasa, Suciedad</v>
          </cell>
          <cell r="F204" t="str">
            <v>B24WSA1 ó B45WSA1(concreto, fibrocemento, madera) B69A47 (metal)</v>
          </cell>
          <cell r="G204" t="str">
            <v>8.09 Lbs/Gl</v>
          </cell>
          <cell r="H204" t="str">
            <v>18%</v>
          </cell>
          <cell r="I204" t="str">
            <v>45.6%</v>
          </cell>
          <cell r="J204" t="str">
            <v>60%</v>
          </cell>
          <cell r="K204" t="str">
            <v>11.5%</v>
          </cell>
          <cell r="L204" t="str">
            <v>40.7%</v>
          </cell>
          <cell r="M204" t="str">
            <v>75-83 ku</v>
          </cell>
          <cell r="N204" t="str">
            <v>Brocha-Pistola</v>
          </cell>
          <cell r="O204" t="str">
            <v>Brocha</v>
          </cell>
          <cell r="P204" t="str">
            <v>-</v>
          </cell>
          <cell r="Q204" t="str">
            <v>R2K4         Industrial reducer</v>
          </cell>
          <cell r="R204" t="str">
            <v>2-4 mills seco</v>
          </cell>
          <cell r="S204" t="str">
            <v>Seco Tocar: 1 Hra, Seco Completo 4-6 Hrs, Repintar: 12 Horas</v>
          </cell>
          <cell r="T204" t="str">
            <v>-</v>
          </cell>
          <cell r="U204" t="str">
            <v>25 Mts Cuadrados/Gl (4 mills), 50 Mts Cuadrados (2 mills)</v>
          </cell>
          <cell r="V204" t="str">
            <v>35 +/- 10 unidades</v>
          </cell>
          <cell r="W204" t="str">
            <v>2H</v>
          </cell>
          <cell r="X204" t="str">
            <v>-</v>
          </cell>
          <cell r="Y204" t="str">
            <v>Freund, S.A</v>
          </cell>
          <cell r="Z204" t="str">
            <v>-</v>
          </cell>
          <cell r="AA204" t="str">
            <v>-</v>
          </cell>
          <cell r="AB204" t="str">
            <v>-</v>
          </cell>
          <cell r="AC204">
            <v>33249</v>
          </cell>
        </row>
        <row r="205">
          <cell r="A205" t="str">
            <v>B42W1</v>
          </cell>
          <cell r="B205" t="str">
            <v>BLOC-TEX</v>
          </cell>
          <cell r="C205" t="str">
            <v>Interior-Exterior</v>
          </cell>
          <cell r="D205" t="str">
            <v>Bloques de Concreto</v>
          </cell>
          <cell r="E205" t="str">
            <v>Limpia con Agua y Jabón</v>
          </cell>
          <cell r="F205" t="str">
            <v>Ninguno</v>
          </cell>
          <cell r="G205" t="str">
            <v>14.47 Lbs/Gl</v>
          </cell>
          <cell r="H205" t="str">
            <v>80%</v>
          </cell>
          <cell r="I205" t="str">
            <v>74.7%</v>
          </cell>
          <cell r="J205" t="str">
            <v>50%</v>
          </cell>
          <cell r="K205" t="str">
            <v>75%</v>
          </cell>
          <cell r="L205" t="str">
            <v>57.7%</v>
          </cell>
          <cell r="M205" t="str">
            <v>Pasta</v>
          </cell>
          <cell r="N205" t="str">
            <v>Brocha-Rodillo</v>
          </cell>
          <cell r="O205" t="str">
            <v>110-120 KU</v>
          </cell>
          <cell r="P205" t="str">
            <v>25-50% con Excello Latex</v>
          </cell>
          <cell r="Q205" t="str">
            <v>Agua</v>
          </cell>
          <cell r="R205" t="str">
            <v>5-7 mills Seco</v>
          </cell>
          <cell r="S205" t="str">
            <v>20 minutos</v>
          </cell>
          <cell r="T205" t="str">
            <v>-</v>
          </cell>
          <cell r="U205" t="str">
            <v>15-20 Mts Cuadrados/Gl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Sepinta, S.A</v>
          </cell>
          <cell r="Z205" t="str">
            <v>-</v>
          </cell>
          <cell r="AA205" t="str">
            <v>-</v>
          </cell>
          <cell r="AB205" t="str">
            <v>-</v>
          </cell>
          <cell r="AC205">
            <v>33261</v>
          </cell>
        </row>
        <row r="206">
          <cell r="A206" t="str">
            <v>B45ASA1</v>
          </cell>
          <cell r="B206" t="str">
            <v>Sellador Para Concreto Gris</v>
          </cell>
          <cell r="C206" t="str">
            <v>Interior-Exterior</v>
          </cell>
          <cell r="D206" t="str">
            <v>Concreto</v>
          </cell>
          <cell r="E206" t="str">
            <v>Libre de Polvo y otras Sustancias</v>
          </cell>
          <cell r="F206" t="str">
            <v>Ninguno</v>
          </cell>
          <cell r="G206" t="str">
            <v>10.66 Lbs/Gl</v>
          </cell>
          <cell r="H206" t="str">
            <v>-</v>
          </cell>
          <cell r="I206" t="str">
            <v>47.3%</v>
          </cell>
          <cell r="J206" t="str">
            <v>50%</v>
          </cell>
          <cell r="K206" t="str">
            <v>45.5%</v>
          </cell>
          <cell r="L206" t="str">
            <v>31.4%</v>
          </cell>
          <cell r="M206" t="str">
            <v>13,000-15,000 CPS</v>
          </cell>
          <cell r="N206" t="str">
            <v>Brocha-Rodillo</v>
          </cell>
          <cell r="O206" t="str">
            <v>2,000-2,500 CPS</v>
          </cell>
          <cell r="P206" t="str">
            <v>10-15% de Agua</v>
          </cell>
          <cell r="Q206" t="str">
            <v>Agua</v>
          </cell>
          <cell r="R206" t="str">
            <v>2 mills</v>
          </cell>
          <cell r="S206" t="str">
            <v>Al aire (20 Min)</v>
          </cell>
          <cell r="T206" t="str">
            <v>-</v>
          </cell>
          <cell r="U206" t="str">
            <v>30 Mts Cuadrados/Gl</v>
          </cell>
          <cell r="V206" t="str">
            <v>-</v>
          </cell>
          <cell r="W206" t="str">
            <v>-</v>
          </cell>
          <cell r="X206" t="str">
            <v>-</v>
          </cell>
          <cell r="Y206" t="str">
            <v>Constructora Orion</v>
          </cell>
          <cell r="Z206" t="str">
            <v>Estructuras de Concreto</v>
          </cell>
          <cell r="AA206" t="str">
            <v>-</v>
          </cell>
          <cell r="AB206" t="str">
            <v>-</v>
          </cell>
          <cell r="AC206">
            <v>33280</v>
          </cell>
        </row>
        <row r="207">
          <cell r="A207" t="str">
            <v xml:space="preserve">V76VSA13 </v>
          </cell>
          <cell r="B207" t="str">
            <v>Barniz para Interiores Fenólico de Alta Resistencia Química</v>
          </cell>
          <cell r="C207" t="str">
            <v>Interiores</v>
          </cell>
          <cell r="D207" t="str">
            <v>Hojalata</v>
          </cell>
          <cell r="E207" t="str">
            <v>Limpia de Grasa  o suciedad</v>
          </cell>
          <cell r="F207" t="str">
            <v>Ninguno</v>
          </cell>
          <cell r="G207" t="str">
            <v>8.0 Lbs/Gl</v>
          </cell>
          <cell r="H207" t="str">
            <v>-</v>
          </cell>
          <cell r="I207" t="str">
            <v>38.91%</v>
          </cell>
          <cell r="J207" t="str">
            <v>54%</v>
          </cell>
          <cell r="K207" t="str">
            <v>-</v>
          </cell>
          <cell r="L207" t="str">
            <v>25.34%</v>
          </cell>
          <cell r="M207" t="str">
            <v>55"-65" Copa Ford #4</v>
          </cell>
          <cell r="N207" t="str">
            <v>Rodillo</v>
          </cell>
          <cell r="O207" t="str">
            <v>55"-65" Copa Ford #4</v>
          </cell>
          <cell r="P207" t="str">
            <v>Ninguno</v>
          </cell>
          <cell r="Q207" t="str">
            <v>Ninguno</v>
          </cell>
          <cell r="R207" t="str">
            <v>0.56 mills</v>
          </cell>
          <cell r="S207" t="str">
            <v>Horneo</v>
          </cell>
          <cell r="T207" t="str">
            <v>20" A 375°F</v>
          </cell>
          <cell r="U207" t="str">
            <v>-</v>
          </cell>
          <cell r="V207" t="str">
            <v>+80</v>
          </cell>
          <cell r="W207" t="str">
            <v>7H</v>
          </cell>
          <cell r="X207" t="str">
            <v>-</v>
          </cell>
          <cell r="Y207" t="str">
            <v>Pinsal</v>
          </cell>
          <cell r="Z207" t="str">
            <v>Pinturas</v>
          </cell>
          <cell r="AA207" t="str">
            <v>-</v>
          </cell>
          <cell r="AB207" t="str">
            <v>-</v>
          </cell>
          <cell r="AC207">
            <v>33288</v>
          </cell>
        </row>
        <row r="208">
          <cell r="A208" t="str">
            <v>B23WSA1 (1)</v>
          </cell>
          <cell r="B208" t="str">
            <v>Sellador Blanco Para Fibrolite</v>
          </cell>
          <cell r="C208" t="str">
            <v>Exterior e Interior</v>
          </cell>
          <cell r="D208" t="str">
            <v>Fibrolit</v>
          </cell>
          <cell r="E208" t="str">
            <v>-</v>
          </cell>
          <cell r="F208" t="str">
            <v>Ninguno</v>
          </cell>
          <cell r="G208" t="str">
            <v>13.55 Lbs/Gl</v>
          </cell>
          <cell r="H208" t="str">
            <v>68.27%</v>
          </cell>
          <cell r="I208" t="str">
            <v>75.28%</v>
          </cell>
          <cell r="J208" t="str">
            <v>5.54%</v>
          </cell>
          <cell r="K208" t="str">
            <v>76.25%</v>
          </cell>
          <cell r="L208" t="str">
            <v>48.06%</v>
          </cell>
          <cell r="M208" t="str">
            <v>100 KU</v>
          </cell>
          <cell r="N208" t="str">
            <v xml:space="preserve">Brocha </v>
          </cell>
          <cell r="O208" t="str">
            <v>100 KU</v>
          </cell>
          <cell r="P208" t="str">
            <v>Ninguno</v>
          </cell>
          <cell r="Q208" t="str">
            <v>Ninguno</v>
          </cell>
          <cell r="R208" t="str">
            <v>3-4 Mills</v>
          </cell>
          <cell r="S208" t="str">
            <v>Al Aire</v>
          </cell>
          <cell r="T208" t="str">
            <v>-</v>
          </cell>
          <cell r="U208" t="str">
            <v>12 Mts Cuadrados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Al recubrir con Pinturas de Aceite y/o Epóxicas dar una mano de Látex Antes (Colonial o Excello)</v>
          </cell>
          <cell r="AB208" t="str">
            <v>-</v>
          </cell>
          <cell r="AC208">
            <v>33291</v>
          </cell>
        </row>
        <row r="209">
          <cell r="A209" t="str">
            <v>F63W56 (1)</v>
          </cell>
          <cell r="B209" t="str">
            <v>Polane HS White</v>
          </cell>
          <cell r="C209" t="str">
            <v>Exterior e Interior</v>
          </cell>
          <cell r="D209" t="str">
            <v>Lexan</v>
          </cell>
          <cell r="E209" t="str">
            <v>Limpia de Polvo, Grasa, Suciedad</v>
          </cell>
          <cell r="F209" t="str">
            <v>Ninguno</v>
          </cell>
          <cell r="G209" t="str">
            <v>12 Lbs/Gl</v>
          </cell>
          <cell r="H209" t="str">
            <v>45.65%</v>
          </cell>
          <cell r="I209" t="str">
            <v>77.96%</v>
          </cell>
          <cell r="J209" t="str">
            <v>45.40%</v>
          </cell>
          <cell r="K209" t="str">
            <v>27.1%</v>
          </cell>
          <cell r="L209" t="str">
            <v>62.30%</v>
          </cell>
          <cell r="M209" t="str">
            <v>60-65 KU</v>
          </cell>
          <cell r="N209" t="str">
            <v>Pistola</v>
          </cell>
          <cell r="O209" t="str">
            <v>15"-20" Copa Ford #4</v>
          </cell>
          <cell r="P209" t="str">
            <v>**</v>
          </cell>
          <cell r="Q209" t="str">
            <v>Thinner R7K94 (Secado más Rápido) ó R7K84 (Secado más Lento)</v>
          </cell>
          <cell r="R209" t="str">
            <v>1.5 mills Seca</v>
          </cell>
          <cell r="S209" t="str">
            <v>Seco Tocar: 20 Minutos; Seco Completo: 30 Minutos; Manejable: 8 Hrs</v>
          </cell>
          <cell r="T209" t="str">
            <v>Ninguno</v>
          </cell>
          <cell r="U209" t="str">
            <v>75 Mts Cuadrados/Gl</v>
          </cell>
          <cell r="V209" t="str">
            <v>90</v>
          </cell>
          <cell r="W209" t="str">
            <v>3H</v>
          </cell>
          <cell r="X209" t="str">
            <v>-</v>
          </cell>
          <cell r="Y209" t="str">
            <v>SAGRISSA</v>
          </cell>
          <cell r="Z209" t="str">
            <v>Carteles, Rotulos en Lexan.</v>
          </cell>
          <cell r="AA209" t="str">
            <v>Uso Exterior: 2 partes en Vol. De F63W56 con 1 parte de V66V29 y 1 parte de R7K94. Uso Interior:2 partes en Vol. De F63W56 con 1 parte de V66V27 y 1 parte de R7K94</v>
          </cell>
          <cell r="AB209" t="str">
            <v>-</v>
          </cell>
          <cell r="AC209">
            <v>33295</v>
          </cell>
        </row>
        <row r="210">
          <cell r="A210" t="str">
            <v>B23WSA1</v>
          </cell>
          <cell r="B210" t="str">
            <v>Sellador Blanco Para Fibrolite</v>
          </cell>
          <cell r="C210" t="str">
            <v>Exterior e Interior</v>
          </cell>
          <cell r="D210" t="str">
            <v>Fibrolit</v>
          </cell>
          <cell r="E210" t="str">
            <v>-</v>
          </cell>
          <cell r="F210" t="str">
            <v>Ninguno</v>
          </cell>
          <cell r="G210" t="str">
            <v>13.55 Lbs/Gl</v>
          </cell>
          <cell r="H210" t="str">
            <v>68.27%</v>
          </cell>
          <cell r="I210" t="str">
            <v>75.28%</v>
          </cell>
          <cell r="J210" t="str">
            <v>5.54%</v>
          </cell>
          <cell r="K210" t="str">
            <v>76.25%</v>
          </cell>
          <cell r="L210" t="str">
            <v>48.06%</v>
          </cell>
          <cell r="M210" t="str">
            <v>100 KU</v>
          </cell>
          <cell r="N210" t="str">
            <v>Brocha</v>
          </cell>
          <cell r="O210" t="str">
            <v>100 KU</v>
          </cell>
          <cell r="P210" t="str">
            <v>Ninguno</v>
          </cell>
          <cell r="Q210" t="str">
            <v>Ninguno</v>
          </cell>
          <cell r="R210" t="str">
            <v>3-4 mills</v>
          </cell>
          <cell r="S210" t="str">
            <v>Al Aire</v>
          </cell>
          <cell r="T210" t="str">
            <v>-</v>
          </cell>
          <cell r="U210" t="str">
            <v>12 Mts Cuadrados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Sepinta, S.A</v>
          </cell>
          <cell r="Z210" t="str">
            <v>-</v>
          </cell>
          <cell r="AA210" t="str">
            <v>Al recubrir con Pinturas de Aceite y/o Epóxicas dar una mano de Látex Antes (Colonial o Excello)</v>
          </cell>
          <cell r="AB210" t="str">
            <v>-</v>
          </cell>
          <cell r="AC210">
            <v>33298</v>
          </cell>
        </row>
        <row r="211">
          <cell r="A211" t="str">
            <v>B45WSA1 (1)</v>
          </cell>
          <cell r="B211" t="str">
            <v>Fast Dry Latex Wall Primer (Primario)</v>
          </cell>
          <cell r="C211" t="str">
            <v>Interior-Exterior</v>
          </cell>
          <cell r="D211" t="str">
            <v>Fibrocemento</v>
          </cell>
          <cell r="E211" t="str">
            <v>Libre de Polvo y otras Sustancias</v>
          </cell>
          <cell r="F211" t="str">
            <v>Ninguno</v>
          </cell>
          <cell r="G211" t="str">
            <v>11.17 Lbs/Gl</v>
          </cell>
          <cell r="H211" t="str">
            <v>34.4%</v>
          </cell>
          <cell r="I211" t="str">
            <v>48.1%</v>
          </cell>
          <cell r="J211" t="str">
            <v>55%</v>
          </cell>
          <cell r="K211" t="str">
            <v>48.3%</v>
          </cell>
          <cell r="L211" t="str">
            <v>30.4%</v>
          </cell>
          <cell r="M211" t="str">
            <v>13,000-15,000 CPS</v>
          </cell>
          <cell r="N211" t="str">
            <v>Brocha-Pistola</v>
          </cell>
          <cell r="O211" t="str">
            <v>1,400-1,800 CPS con Brocha. 60-100 CPS con Pistola</v>
          </cell>
          <cell r="P211" t="str">
            <v>Brocha: 10% en Vol. Con agua. Pistola: 80% en Vol. Con Agua.</v>
          </cell>
          <cell r="Q211" t="str">
            <v>Agua</v>
          </cell>
          <cell r="R211" t="str">
            <v>2 mills</v>
          </cell>
          <cell r="S211" t="str">
            <v>Al Aire. Seco Tocar: 15 Minutos. Seco Completo: 45 Minutos</v>
          </cell>
          <cell r="T211" t="str">
            <v>Ninguno</v>
          </cell>
          <cell r="U211" t="str">
            <v>35 Mts Cuadrados/Gl</v>
          </cell>
          <cell r="V211" t="str">
            <v>Mate</v>
          </cell>
          <cell r="W211" t="str">
            <v>-</v>
          </cell>
          <cell r="X211" t="str">
            <v>2 años</v>
          </cell>
          <cell r="Y211" t="str">
            <v>EUREKA</v>
          </cell>
          <cell r="Z211" t="str">
            <v>Laminas de Fibrocemento</v>
          </cell>
          <cell r="AA211" t="str">
            <v>-</v>
          </cell>
          <cell r="AB211" t="str">
            <v>-</v>
          </cell>
          <cell r="AC211">
            <v>33298</v>
          </cell>
        </row>
        <row r="212">
          <cell r="A212" t="str">
            <v>G78WSA11</v>
          </cell>
          <cell r="B212" t="str">
            <v xml:space="preserve">Esmalte Horneable acrilico Blanco Almendra  </v>
          </cell>
          <cell r="C212" t="str">
            <v>Interior-Exterior Limitada</v>
          </cell>
          <cell r="D212" t="str">
            <v>Hierro</v>
          </cell>
          <cell r="E212" t="str">
            <v>Limpieza Química y Fosfatización</v>
          </cell>
          <cell r="F212" t="str">
            <v>E68WSA4 Acrylic Monobake White Primer</v>
          </cell>
          <cell r="G212" t="str">
            <v>10.06 Lbs/Gl</v>
          </cell>
          <cell r="H212" t="str">
            <v>29.75%</v>
          </cell>
          <cell r="I212" t="str">
            <v>54.86%</v>
          </cell>
          <cell r="J212" t="str">
            <v>37.74%</v>
          </cell>
          <cell r="K212" t="str">
            <v>25.53%</v>
          </cell>
          <cell r="L212" t="str">
            <v>34.98%</v>
          </cell>
          <cell r="M212" t="str">
            <v>100"-110" Copa Zanh #2</v>
          </cell>
          <cell r="N212" t="str">
            <v>Pistola</v>
          </cell>
          <cell r="O212" t="str">
            <v>18"-20" Copa Ford #4</v>
          </cell>
          <cell r="P212" t="str">
            <v>20-25%</v>
          </cell>
          <cell r="Q212" t="str">
            <v>R2K4         Industrial reducer</v>
          </cell>
          <cell r="R212" t="str">
            <v>1.3-1.4 Con E68WSA4</v>
          </cell>
          <cell r="S212" t="str">
            <v>Al Horno</v>
          </cell>
          <cell r="T212" t="str">
            <v>15' a 400°F</v>
          </cell>
          <cell r="U212" t="str">
            <v>877.76 Pies Cuadrados/Gl</v>
          </cell>
          <cell r="V212" t="str">
            <v>+85</v>
          </cell>
          <cell r="W212" t="str">
            <v>2H</v>
          </cell>
          <cell r="X212" t="str">
            <v>6 meses</v>
          </cell>
          <cell r="Y212" t="str">
            <v>Atlas Electric-Costa Rica</v>
          </cell>
          <cell r="Z212" t="str">
            <v>Refrigeradoras, Cocinas, Lavadoras</v>
          </cell>
          <cell r="AA212" t="str">
            <v>-</v>
          </cell>
          <cell r="AB212" t="str">
            <v>Luis Nolasco</v>
          </cell>
          <cell r="AC212">
            <v>33424</v>
          </cell>
        </row>
        <row r="213">
          <cell r="A213" t="str">
            <v>G78WSA7</v>
          </cell>
          <cell r="B213" t="str">
            <v>Esmalte Horneable Acrílico Blanco.</v>
          </cell>
          <cell r="C213" t="str">
            <v>Interior-Exterior Limitada</v>
          </cell>
          <cell r="D213" t="str">
            <v>Hierro</v>
          </cell>
          <cell r="E213" t="str">
            <v>Limpieza Química y Fosfatización</v>
          </cell>
          <cell r="F213" t="str">
            <v>E68WSA4 Acrylic Monobake White Primer</v>
          </cell>
          <cell r="G213" t="str">
            <v>10.06 Lbs/Gl</v>
          </cell>
          <cell r="H213" t="str">
            <v>29.75%</v>
          </cell>
          <cell r="I213" t="str">
            <v>54.86%</v>
          </cell>
          <cell r="J213" t="str">
            <v>37.74%</v>
          </cell>
          <cell r="K213" t="str">
            <v>25.5%</v>
          </cell>
          <cell r="L213" t="str">
            <v>34.98%</v>
          </cell>
          <cell r="M213" t="str">
            <v>100"-110" Copa Zanh #2</v>
          </cell>
          <cell r="N213" t="str">
            <v>Pistola</v>
          </cell>
          <cell r="O213" t="str">
            <v>18"-20" Copa Ford #4</v>
          </cell>
          <cell r="P213" t="str">
            <v>20-25%</v>
          </cell>
          <cell r="Q213" t="str">
            <v>R2K4         Industrial reducer</v>
          </cell>
          <cell r="R213" t="str">
            <v>1.3-1.4 mills</v>
          </cell>
          <cell r="S213" t="str">
            <v>Al Horno</v>
          </cell>
          <cell r="T213" t="str">
            <v>15' a 400°F</v>
          </cell>
          <cell r="U213" t="str">
            <v>877.76 Pies Cuadrados/Gl a 1 mills de espesor</v>
          </cell>
          <cell r="V213" t="str">
            <v>+85</v>
          </cell>
          <cell r="W213" t="str">
            <v>2H</v>
          </cell>
          <cell r="X213" t="str">
            <v>6 meses</v>
          </cell>
          <cell r="Y213" t="str">
            <v>Atlas Electric-Costa Rica</v>
          </cell>
          <cell r="Z213" t="str">
            <v>Refrigeradoras, Cocinas, Lavadoras</v>
          </cell>
          <cell r="AA213" t="str">
            <v>-</v>
          </cell>
          <cell r="AB213" t="str">
            <v>Luis Nolasco</v>
          </cell>
          <cell r="AC213">
            <v>33424</v>
          </cell>
        </row>
        <row r="214">
          <cell r="A214" t="str">
            <v>SAA 3644</v>
          </cell>
          <cell r="B214" t="str">
            <v>Recubrimiento Para Cartón Corrugado #7</v>
          </cell>
          <cell r="C214" t="str">
            <v>Interior</v>
          </cell>
          <cell r="D214" t="str">
            <v>Cartón Corrugado</v>
          </cell>
          <cell r="E214" t="str">
            <v>Ninguna</v>
          </cell>
          <cell r="F214" t="str">
            <v>Ninguno</v>
          </cell>
          <cell r="G214" t="str">
            <v>13.4 Lbs/Gl</v>
          </cell>
          <cell r="H214" t="str">
            <v>57.27%</v>
          </cell>
          <cell r="I214" t="str">
            <v>63.14%</v>
          </cell>
          <cell r="J214" t="str">
            <v>6.45%</v>
          </cell>
          <cell r="K214" t="str">
            <v>80.7%</v>
          </cell>
          <cell r="L214" t="str">
            <v>40.37%</v>
          </cell>
          <cell r="M214" t="str">
            <v>85 KU</v>
          </cell>
          <cell r="N214" t="str">
            <v>Cuchilla de Hule</v>
          </cell>
          <cell r="O214" t="str">
            <v>80-85 KU</v>
          </cell>
          <cell r="P214" t="str">
            <v>Ninguno</v>
          </cell>
          <cell r="Q214" t="str">
            <v>Agua (Si es Necesario)</v>
          </cell>
          <cell r="R214" t="str">
            <v>1 mills</v>
          </cell>
          <cell r="S214" t="str">
            <v xml:space="preserve">15-20 Minutos.  </v>
          </cell>
          <cell r="T214" t="str">
            <v>-</v>
          </cell>
          <cell r="U214" t="str">
            <v>98.3 Mts Cuadrados</v>
          </cell>
          <cell r="V214" t="str">
            <v>Mate</v>
          </cell>
          <cell r="W214" t="str">
            <v>-</v>
          </cell>
          <cell r="X214" t="str">
            <v>6 meses</v>
          </cell>
          <cell r="Y214" t="str">
            <v>DIDEMA, S.A (Attn: Sr. Jorge Ramirez)</v>
          </cell>
          <cell r="Z214" t="str">
            <v>Cartón Corrugado</v>
          </cell>
          <cell r="AA214" t="str">
            <v>-</v>
          </cell>
          <cell r="AB214" t="str">
            <v>Audrey de Morales</v>
          </cell>
          <cell r="AC214">
            <v>33442</v>
          </cell>
        </row>
        <row r="215">
          <cell r="A215" t="str">
            <v>SAA 3652</v>
          </cell>
          <cell r="B215" t="str">
            <v>Esmalte Litográfico Blanco Troquelable</v>
          </cell>
          <cell r="C215" t="str">
            <v>Interior-Exterior Limitada</v>
          </cell>
          <cell r="D215" t="str">
            <v>Laminas de Hojalata</v>
          </cell>
          <cell r="E215" t="str">
            <v>Desengrase y Limpieza</v>
          </cell>
          <cell r="F215" t="str">
            <v>Ninguno</v>
          </cell>
          <cell r="G215" t="str">
            <v>9.59 Lbs/Gl</v>
          </cell>
          <cell r="H215" t="str">
            <v>24.55%</v>
          </cell>
          <cell r="I215" t="str">
            <v>54.85%</v>
          </cell>
          <cell r="J215" t="str">
            <v>40.4%</v>
          </cell>
          <cell r="K215" t="str">
            <v>18.44%</v>
          </cell>
          <cell r="L215" t="str">
            <v>37.37%</v>
          </cell>
          <cell r="M215" t="str">
            <v>80-85 KU</v>
          </cell>
          <cell r="N215" t="str">
            <v>Rodillo Litográfico</v>
          </cell>
          <cell r="O215" t="str">
            <v>80-85 KU</v>
          </cell>
          <cell r="P215" t="str">
            <v>Ninguno</v>
          </cell>
          <cell r="Q215" t="str">
            <v>Si fuese necesario, use Solvesso 150</v>
          </cell>
          <cell r="R215" t="str">
            <v>1.0 mills/Pulg.</v>
          </cell>
          <cell r="S215" t="str">
            <v>Al Horno</v>
          </cell>
          <cell r="T215" t="str">
            <v>12-15 Min a 170-180°C</v>
          </cell>
          <cell r="U215" t="str">
            <v>878 Pies Cuadrados/Gl</v>
          </cell>
          <cell r="V215" t="str">
            <v>80-85</v>
          </cell>
          <cell r="W215" t="str">
            <v>B-HB</v>
          </cell>
          <cell r="X215" t="str">
            <v>6-12 meses</v>
          </cell>
          <cell r="Y215" t="str">
            <v>TAPA METAL Y CORLASA</v>
          </cell>
          <cell r="Z215" t="str">
            <v>Tapacoronas, Tapaderas diversas.</v>
          </cell>
          <cell r="AA215" t="str">
            <v>-</v>
          </cell>
          <cell r="AB215" t="str">
            <v>Roberto Alam</v>
          </cell>
          <cell r="AC215">
            <v>33512</v>
          </cell>
        </row>
        <row r="216">
          <cell r="A216" t="str">
            <v>A86WCR12 (1)</v>
          </cell>
          <cell r="B216" t="str">
            <v>Pintura de Trafico Blanca TTP-115E Tipo III</v>
          </cell>
          <cell r="C216" t="str">
            <v>Interior-Exterior</v>
          </cell>
          <cell r="D216" t="str">
            <v>Asfalto y Concreto</v>
          </cell>
          <cell r="E216" t="str">
            <v>Limpia, Seca y Libre de Exudación de Asfalto</v>
          </cell>
          <cell r="F216" t="str">
            <v>Ninguno</v>
          </cell>
          <cell r="G216" t="str">
            <v>13.18 Lbs/Gl</v>
          </cell>
          <cell r="H216" t="str">
            <v>57%</v>
          </cell>
          <cell r="I216" t="str">
            <v>75%</v>
          </cell>
          <cell r="J216" t="str">
            <v>41%</v>
          </cell>
          <cell r="K216" t="str">
            <v>-</v>
          </cell>
          <cell r="L216" t="str">
            <v>-</v>
          </cell>
          <cell r="M216" t="str">
            <v>75-80 KU</v>
          </cell>
          <cell r="N216" t="str">
            <v>Brocha, Rodillo Industrial, Máquina Franjeadora, Etc.</v>
          </cell>
          <cell r="O216" t="str">
            <v>Lista para Usarse con Brocha y Rodillo</v>
          </cell>
          <cell r="P216" t="str">
            <v>Con Maquina Franjeadora, Reduzca con 1/8 de Galón</v>
          </cell>
          <cell r="Q216" t="str">
            <v>R2K4         Industrial reducer</v>
          </cell>
          <cell r="R216" t="str">
            <v>4-5 mills/Pulg.</v>
          </cell>
          <cell r="S216" t="str">
            <v>5-15 Minutos, No transitar antes de 20 minutos</v>
          </cell>
          <cell r="T216" t="str">
            <v>-</v>
          </cell>
          <cell r="U216" t="str">
            <v>45-50 Mts Cuadrados/Gl</v>
          </cell>
          <cell r="V216" t="str">
            <v>Mate</v>
          </cell>
          <cell r="W216" t="str">
            <v>2B</v>
          </cell>
          <cell r="X216" t="str">
            <v>12 meses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Ana Irene Mendez Vides</v>
          </cell>
          <cell r="AC216">
            <v>33526</v>
          </cell>
        </row>
        <row r="217">
          <cell r="A217" t="str">
            <v>D61A23</v>
          </cell>
          <cell r="B217" t="str">
            <v>Polane Spray Fil</v>
          </cell>
          <cell r="C217" t="str">
            <v>Interior</v>
          </cell>
          <cell r="D217" t="str">
            <v>Fibrex, Tablex, Durapanel, Plastico</v>
          </cell>
          <cell r="E217" t="str">
            <v>Limpia de Polvo, Grasa, Suciedad</v>
          </cell>
          <cell r="F217" t="str">
            <v>-</v>
          </cell>
          <cell r="G217" t="str">
            <v>13.9 Lbs/Gl</v>
          </cell>
          <cell r="H217" t="str">
            <v>61.01%</v>
          </cell>
          <cell r="I217" t="str">
            <v>70.42%</v>
          </cell>
          <cell r="J217" t="str">
            <v>9.41%</v>
          </cell>
          <cell r="K217" t="str">
            <v>68.8%</v>
          </cell>
          <cell r="L217" t="str">
            <v>43.83%</v>
          </cell>
          <cell r="M217" t="str">
            <v>45-55 Seg. Copa Ford #4</v>
          </cell>
          <cell r="N217" t="str">
            <v>Pistola</v>
          </cell>
          <cell r="O217" t="str">
            <v>15-22 Seg. Copa Ford #4</v>
          </cell>
          <cell r="P217" t="str">
            <v>20-25% con R7K84</v>
          </cell>
          <cell r="Q217" t="str">
            <v>R7K84</v>
          </cell>
          <cell r="R217" t="str">
            <v>1.5-2.5 Mills</v>
          </cell>
          <cell r="S217" t="str">
            <v>Al Tacto: 15 Min; Completo: 1 Hora; Lijar: 4 Horas.</v>
          </cell>
          <cell r="T217" t="str">
            <v>-</v>
          </cell>
          <cell r="U217" t="str">
            <v>57.62 Mts Cuadrados/Gl</v>
          </cell>
          <cell r="V217" t="str">
            <v>Mate</v>
          </cell>
          <cell r="W217" t="str">
            <v>-</v>
          </cell>
          <cell r="X217" t="str">
            <v>-</v>
          </cell>
          <cell r="Y217" t="str">
            <v>INCESA STANDARD</v>
          </cell>
          <cell r="Z217" t="str">
            <v>Tapaderas de Inodoros</v>
          </cell>
          <cell r="AA217" t="str">
            <v>Este producto deberá ser catalizado. 13 partes en volumen de D61A23 con 1 parte de catalizador V66V27 ó V66V29. Reducir la mezcla con 25% con R7K84</v>
          </cell>
          <cell r="AB217" t="str">
            <v>Rene Ferrufino</v>
          </cell>
          <cell r="AC217">
            <v>33585</v>
          </cell>
        </row>
        <row r="218">
          <cell r="A218" t="str">
            <v>E65A4</v>
          </cell>
          <cell r="B218" t="str">
            <v>Polane Primer Sealer</v>
          </cell>
          <cell r="C218" t="str">
            <v>Interior</v>
          </cell>
          <cell r="D218" t="str">
            <v>Fibrex, Tablex, Durapanel, Plastico</v>
          </cell>
          <cell r="E218" t="str">
            <v>Libre de Polvo. Lijada</v>
          </cell>
          <cell r="F218" t="str">
            <v>Polane Spray Fil (D61A23)</v>
          </cell>
          <cell r="G218" t="str">
            <v>9.42 Lbs/Gl</v>
          </cell>
          <cell r="H218" t="str">
            <v>28.24%</v>
          </cell>
          <cell r="I218" t="str">
            <v>43.68%</v>
          </cell>
          <cell r="J218" t="str">
            <v>15.14%</v>
          </cell>
          <cell r="K218" t="str">
            <v>43.1%</v>
          </cell>
          <cell r="L218" t="str">
            <v>26.05%</v>
          </cell>
          <cell r="M218" t="str">
            <v>30-50 Seg. Copa Ford #4</v>
          </cell>
          <cell r="N218" t="str">
            <v>Pistola</v>
          </cell>
          <cell r="O218" t="str">
            <v>15-22 Seg. Copa Ford #4</v>
          </cell>
          <cell r="P218" t="str">
            <v>15-20% con R7K84</v>
          </cell>
          <cell r="Q218" t="str">
            <v>R7K84</v>
          </cell>
          <cell r="R218" t="str">
            <v>1.0-1.25 Mills</v>
          </cell>
          <cell r="S218" t="str">
            <v>Tacto: 5-15 Min; Completo: 1 Hora; Lijable: 2 Horas.</v>
          </cell>
          <cell r="T218" t="str">
            <v>-</v>
          </cell>
          <cell r="U218" t="str">
            <v>35-40 Mts Cuadrados/Gl</v>
          </cell>
          <cell r="V218" t="str">
            <v>Mate</v>
          </cell>
          <cell r="W218" t="str">
            <v>-</v>
          </cell>
          <cell r="X218" t="str">
            <v>-</v>
          </cell>
          <cell r="Y218" t="str">
            <v>INCESA STANDARD</v>
          </cell>
          <cell r="Z218" t="str">
            <v>Tapaderas de Inodoros</v>
          </cell>
          <cell r="AA218" t="str">
            <v>Este producto deberá ser catalizado. 13 partes en volumen de E65A4 con 1 parte de catalizador V66V27 ó V66V29. Reducir la mezcla con 20% con R7K84</v>
          </cell>
          <cell r="AB218" t="str">
            <v>Rene Ferrufino</v>
          </cell>
          <cell r="AC218">
            <v>33585</v>
          </cell>
        </row>
        <row r="219">
          <cell r="A219" t="str">
            <v>F63W56</v>
          </cell>
          <cell r="B219" t="str">
            <v>Polane HS Enamel White</v>
          </cell>
          <cell r="C219" t="str">
            <v>Interior-Exterior</v>
          </cell>
          <cell r="D219" t="str">
            <v>Fibrex, Tablex, Durapanel, Plastico</v>
          </cell>
          <cell r="E219" t="str">
            <v>Libre de Polvo.</v>
          </cell>
          <cell r="F219" t="str">
            <v>Sistema D61A23/E65A4</v>
          </cell>
          <cell r="G219" t="str">
            <v>12.0 Lbs/Gl</v>
          </cell>
          <cell r="H219" t="str">
            <v>45.65%</v>
          </cell>
          <cell r="I219" t="str">
            <v>77.96%</v>
          </cell>
          <cell r="J219" t="str">
            <v>32.31%</v>
          </cell>
          <cell r="K219" t="str">
            <v>27.1%</v>
          </cell>
          <cell r="L219" t="str">
            <v>62.30%</v>
          </cell>
          <cell r="M219" t="str">
            <v>30-40 Seg. Copa SW #3</v>
          </cell>
          <cell r="N219" t="str">
            <v>Pistola</v>
          </cell>
          <cell r="O219" t="str">
            <v>15-22 Seg. Copa Ford #4</v>
          </cell>
          <cell r="P219" t="str">
            <v>25-35% con R7K84</v>
          </cell>
          <cell r="Q219" t="str">
            <v>R7K84</v>
          </cell>
          <cell r="R219" t="str">
            <v>1.25-1.5 Mills</v>
          </cell>
          <cell r="S219" t="str">
            <v>Al Tacto: 20 Min; Completo: 30 Min; Manejable: 8 Hrs.</v>
          </cell>
          <cell r="T219" t="str">
            <v>-</v>
          </cell>
          <cell r="U219" t="str">
            <v>80-90 Mts Cuadrados/Gl</v>
          </cell>
          <cell r="V219" t="str">
            <v>95-97</v>
          </cell>
          <cell r="W219" t="str">
            <v>-</v>
          </cell>
          <cell r="X219" t="str">
            <v>-</v>
          </cell>
          <cell r="Y219" t="str">
            <v>INCESA STANDARD</v>
          </cell>
          <cell r="Z219" t="str">
            <v>Tapaderas de Inodoros</v>
          </cell>
          <cell r="AA219" t="str">
            <v>Este Producto deberá ser catalizado: 2 partes en Vol. De F63W56 con 1 parte de catalizador V66V27 ó V66V29. Reducir la mezcla con 25-35% de R7K84.</v>
          </cell>
          <cell r="AB219" t="str">
            <v>Rene Ferrufino</v>
          </cell>
          <cell r="AC219">
            <v>33585</v>
          </cell>
        </row>
        <row r="220">
          <cell r="A220" t="str">
            <v>SAA 3742</v>
          </cell>
          <cell r="B220" t="str">
            <v xml:space="preserve">Barniz Interior Sanitario </v>
          </cell>
          <cell r="C220" t="str">
            <v>-</v>
          </cell>
          <cell r="D220" t="str">
            <v>Hojalata</v>
          </cell>
          <cell r="E220" t="str">
            <v>Limpiar con Solvente</v>
          </cell>
          <cell r="F220" t="str">
            <v>Ninguno</v>
          </cell>
          <cell r="G220" t="str">
            <v>8.77 Lbs/Gl</v>
          </cell>
          <cell r="H220" t="str">
            <v>-</v>
          </cell>
          <cell r="I220" t="str">
            <v>40%</v>
          </cell>
          <cell r="J220" t="str">
            <v>40%</v>
          </cell>
          <cell r="K220" t="str">
            <v>-</v>
          </cell>
          <cell r="L220" t="str">
            <v>36%</v>
          </cell>
          <cell r="M220" t="str">
            <v>120-130 KU</v>
          </cell>
          <cell r="N220" t="str">
            <v>Especial</v>
          </cell>
          <cell r="O220" t="str">
            <v>120-130KU</v>
          </cell>
          <cell r="P220" t="str">
            <v>-</v>
          </cell>
          <cell r="Q220" t="str">
            <v>-</v>
          </cell>
          <cell r="R220" t="str">
            <v>1.0 mills</v>
          </cell>
          <cell r="S220" t="str">
            <v>Al Horno</v>
          </cell>
          <cell r="T220" t="str">
            <v>12' a 190°</v>
          </cell>
          <cell r="U220" t="str">
            <v>640 Pies Cuadrados/Gl</v>
          </cell>
          <cell r="V220" t="str">
            <v>+100</v>
          </cell>
          <cell r="W220" t="str">
            <v>HB</v>
          </cell>
          <cell r="X220" t="str">
            <v>-</v>
          </cell>
          <cell r="Y220" t="str">
            <v>CORLASA</v>
          </cell>
          <cell r="Z220" t="str">
            <v>Corcholatas y Hojalatas</v>
          </cell>
          <cell r="AA220" t="str">
            <v>-</v>
          </cell>
          <cell r="AB220" t="str">
            <v>Luis Nolasco</v>
          </cell>
          <cell r="AC220">
            <v>33788</v>
          </cell>
        </row>
        <row r="221">
          <cell r="A221" t="str">
            <v>V76VSA12</v>
          </cell>
          <cell r="B221" t="str">
            <v>Barniz Para Tapacorona</v>
          </cell>
          <cell r="C221" t="str">
            <v>Exterior de Tapacoronas</v>
          </cell>
          <cell r="D221" t="str">
            <v>Hojalata</v>
          </cell>
          <cell r="E221" t="str">
            <v>Limpia</v>
          </cell>
          <cell r="F221" t="str">
            <v>Ninguno</v>
          </cell>
          <cell r="G221" t="str">
            <v>7.98 Lbs/Gl</v>
          </cell>
          <cell r="H221" t="str">
            <v>-</v>
          </cell>
          <cell r="I221" t="str">
            <v>42.5%</v>
          </cell>
          <cell r="J221" t="str">
            <v>42.5%</v>
          </cell>
          <cell r="K221" t="str">
            <v>-</v>
          </cell>
          <cell r="L221" t="str">
            <v>33.60%</v>
          </cell>
          <cell r="M221" t="str">
            <v>60 Seg. Copa Ford #4</v>
          </cell>
          <cell r="N221" t="str">
            <v>Rodillo</v>
          </cell>
          <cell r="O221" t="str">
            <v>60 Seg. Copa Ford #4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12 Min a 160°C</v>
          </cell>
          <cell r="U221" t="str">
            <v>-</v>
          </cell>
          <cell r="V221" t="str">
            <v>+90</v>
          </cell>
          <cell r="W221" t="str">
            <v>-</v>
          </cell>
          <cell r="X221" t="str">
            <v>12 meses</v>
          </cell>
          <cell r="Y221" t="str">
            <v>CORLASA</v>
          </cell>
          <cell r="Z221" t="str">
            <v>Tapas Coronas, Afiches, Etc.</v>
          </cell>
          <cell r="AA221" t="str">
            <v>-</v>
          </cell>
          <cell r="AB221" t="str">
            <v>Luis Nolasco</v>
          </cell>
          <cell r="AC221">
            <v>33788</v>
          </cell>
        </row>
        <row r="222">
          <cell r="A222" t="str">
            <v>SAA 3859</v>
          </cell>
          <cell r="B222" t="str">
            <v>Esmalte Horneable acrilico Blanco Almendra  MADECA</v>
          </cell>
          <cell r="C222" t="str">
            <v>Interior-Exterior Limitada</v>
          </cell>
          <cell r="D222" t="str">
            <v>Hierro</v>
          </cell>
          <cell r="E222" t="str">
            <v>Lavado, Desengrase y Fosfatizado</v>
          </cell>
          <cell r="F222" t="str">
            <v>E68WSA4 Acrylic Monobake White Primer</v>
          </cell>
          <cell r="G222" t="str">
            <v>10.06 Lbs/Gl</v>
          </cell>
          <cell r="H222" t="str">
            <v>53.08%</v>
          </cell>
          <cell r="I222" t="str">
            <v>54.86%</v>
          </cell>
          <cell r="J222" t="str">
            <v>46.92%</v>
          </cell>
          <cell r="K222" t="str">
            <v>25.5%</v>
          </cell>
          <cell r="L222" t="str">
            <v>35.02%</v>
          </cell>
          <cell r="M222" t="str">
            <v>100"-110" Copa Zanh #2</v>
          </cell>
          <cell r="N222" t="str">
            <v>Pistola</v>
          </cell>
          <cell r="O222" t="str">
            <v>25"-30" Copa Zanh #2</v>
          </cell>
          <cell r="P222" t="str">
            <v>20-25%</v>
          </cell>
          <cell r="Q222" t="str">
            <v>R2K4         Industrial reducer</v>
          </cell>
          <cell r="R222" t="str">
            <v>1.0-1.2 mills</v>
          </cell>
          <cell r="S222" t="str">
            <v>Al Horno</v>
          </cell>
          <cell r="T222" t="str">
            <v>15' a 350-400°F</v>
          </cell>
          <cell r="U222" t="str">
            <v>650-700 Pies Cuadrados/Gl a 1 mills de espesor</v>
          </cell>
          <cell r="V222" t="str">
            <v>+85</v>
          </cell>
          <cell r="W222" t="str">
            <v>2H-3H</v>
          </cell>
          <cell r="X222" t="str">
            <v>6-12 meses</v>
          </cell>
          <cell r="Y222" t="str">
            <v>MADECA</v>
          </cell>
          <cell r="Z222" t="str">
            <v>-</v>
          </cell>
          <cell r="AA222" t="str">
            <v>-</v>
          </cell>
          <cell r="AB222" t="str">
            <v>Rene Ferrufino</v>
          </cell>
          <cell r="AC222">
            <v>33856</v>
          </cell>
        </row>
        <row r="223">
          <cell r="A223" t="str">
            <v>SAA 3860</v>
          </cell>
          <cell r="B223" t="str">
            <v>Roller Coating Special White</v>
          </cell>
          <cell r="C223" t="str">
            <v>Exterior del Recipiente</v>
          </cell>
          <cell r="D223" t="str">
            <v>Hojalata</v>
          </cell>
          <cell r="E223" t="str">
            <v>Limpieza con Solvente</v>
          </cell>
          <cell r="F223" t="str">
            <v>Ninguno</v>
          </cell>
          <cell r="G223" t="str">
            <v>10.68 Lbs/Gl</v>
          </cell>
          <cell r="H223" t="str">
            <v>35%</v>
          </cell>
          <cell r="I223" t="str">
            <v>61.46%</v>
          </cell>
          <cell r="J223" t="str">
            <v>40.95%</v>
          </cell>
          <cell r="K223" t="str">
            <v>27.55%</v>
          </cell>
          <cell r="L223" t="str">
            <v>40.95%</v>
          </cell>
          <cell r="M223" t="str">
            <v>70"-80" Copa Ford #4</v>
          </cell>
          <cell r="N223" t="str">
            <v>Rodillo</v>
          </cell>
          <cell r="O223" t="str">
            <v>70"-80" Copa Ford #4</v>
          </cell>
          <cell r="P223" t="str">
            <v>Ninguno</v>
          </cell>
          <cell r="Q223" t="str">
            <v>-</v>
          </cell>
          <cell r="R223" t="str">
            <v>1.0 mills</v>
          </cell>
          <cell r="S223" t="str">
            <v>-</v>
          </cell>
          <cell r="T223" t="str">
            <v>15' a 360°F</v>
          </cell>
          <cell r="U223" t="str">
            <v>983.36 Pies Cuadrados/Gl a 1 mills de espesor</v>
          </cell>
          <cell r="V223" t="str">
            <v>+80</v>
          </cell>
          <cell r="W223" t="str">
            <v>-</v>
          </cell>
          <cell r="X223" t="str">
            <v>12 meses</v>
          </cell>
          <cell r="Y223" t="str">
            <v>TAPAMETAL-GUATEMALA</v>
          </cell>
          <cell r="Z223" t="str">
            <v>-</v>
          </cell>
          <cell r="AA223" t="str">
            <v>-</v>
          </cell>
          <cell r="AB223" t="str">
            <v>Luis Nolasco</v>
          </cell>
          <cell r="AC223">
            <v>33857</v>
          </cell>
        </row>
        <row r="224">
          <cell r="A224" t="str">
            <v>V76VSA16</v>
          </cell>
          <cell r="B224" t="str">
            <v>Barniz Horneable Exterior Para Tapacoronas</v>
          </cell>
          <cell r="C224" t="str">
            <v>Exterior</v>
          </cell>
          <cell r="D224" t="str">
            <v>Hojalata</v>
          </cell>
          <cell r="E224" t="str">
            <v>Limpia</v>
          </cell>
          <cell r="F224" t="str">
            <v>Ninguno</v>
          </cell>
          <cell r="G224" t="str">
            <v>8.03 Lbs/Gl</v>
          </cell>
          <cell r="H224" t="str">
            <v>-</v>
          </cell>
          <cell r="I224" t="str">
            <v>48.58%</v>
          </cell>
          <cell r="J224" t="str">
            <v>48.58%</v>
          </cell>
          <cell r="K224" t="str">
            <v>-</v>
          </cell>
          <cell r="L224" t="str">
            <v>40.40%</v>
          </cell>
          <cell r="M224" t="str">
            <v>50"-55" Copa SW #3</v>
          </cell>
          <cell r="N224" t="str">
            <v>Rodillo</v>
          </cell>
          <cell r="O224" t="str">
            <v>50"-55" Copa SW #3</v>
          </cell>
          <cell r="P224" t="str">
            <v>-</v>
          </cell>
          <cell r="Q224" t="str">
            <v>-</v>
          </cell>
          <cell r="R224" t="str">
            <v>1 mills</v>
          </cell>
          <cell r="S224" t="str">
            <v>Al Horno</v>
          </cell>
          <cell r="T224" t="str">
            <v>12' a 190°C</v>
          </cell>
          <cell r="U224" t="str">
            <v>777 Mts Cuadrados/Gl a 1 mills de espesor.</v>
          </cell>
          <cell r="V224" t="str">
            <v>+90</v>
          </cell>
          <cell r="W224" t="str">
            <v>H</v>
          </cell>
          <cell r="X224" t="str">
            <v>6-12 meses</v>
          </cell>
          <cell r="Y224" t="str">
            <v>TAPAMETAL-GUATEMALA</v>
          </cell>
          <cell r="Z224" t="str">
            <v>Baterias-Afiches de Hojalata</v>
          </cell>
          <cell r="AA224" t="str">
            <v>-</v>
          </cell>
          <cell r="AB224" t="str">
            <v>Luis Nolasco</v>
          </cell>
          <cell r="AC224">
            <v>33897</v>
          </cell>
        </row>
        <row r="225">
          <cell r="A225" t="str">
            <v>SAA 3877</v>
          </cell>
          <cell r="B225" t="str">
            <v>Esmalte Horneable Alquidico Blanco.</v>
          </cell>
          <cell r="C225" t="str">
            <v>Interior-Exterior</v>
          </cell>
          <cell r="D225" t="str">
            <v>Lamina de Hierro</v>
          </cell>
          <cell r="E225" t="str">
            <v>Limpiar con Solvente</v>
          </cell>
          <cell r="F225" t="str">
            <v>Ninguno</v>
          </cell>
          <cell r="G225" t="str">
            <v>10.04 Lbs/Gl</v>
          </cell>
          <cell r="H225" t="str">
            <v>25-64%</v>
          </cell>
          <cell r="I225" t="str">
            <v>58.03%</v>
          </cell>
          <cell r="J225" t="str">
            <v>43.56%</v>
          </cell>
          <cell r="K225" t="str">
            <v>18.39%</v>
          </cell>
          <cell r="L225" t="str">
            <v>41.87%</v>
          </cell>
          <cell r="M225" t="str">
            <v>100"-110" Copa Zanh #2</v>
          </cell>
          <cell r="N225" t="str">
            <v>Pistola</v>
          </cell>
          <cell r="O225" t="str">
            <v>20-25 seg. Copa Zanh #2</v>
          </cell>
          <cell r="P225" t="str">
            <v>20-25%</v>
          </cell>
          <cell r="Q225" t="str">
            <v>R2K4         Industrial reducer</v>
          </cell>
          <cell r="R225" t="str">
            <v>1.0-1.2 mills</v>
          </cell>
          <cell r="S225" t="str">
            <v>Al horno</v>
          </cell>
          <cell r="T225" t="str">
            <v>15' a 300°F</v>
          </cell>
          <cell r="U225" t="str">
            <v>628.48 Pies Cuadrados/Gl a un mills de espesor</v>
          </cell>
          <cell r="V225" t="str">
            <v>+85</v>
          </cell>
          <cell r="W225" t="str">
            <v>H</v>
          </cell>
          <cell r="X225" t="str">
            <v>6-12 meses</v>
          </cell>
          <cell r="Y225" t="str">
            <v>Silvania-Costa Rica</v>
          </cell>
          <cell r="Z225" t="str">
            <v>Lamparas</v>
          </cell>
          <cell r="AA225" t="str">
            <v>-</v>
          </cell>
          <cell r="AB225" t="str">
            <v>Luis Nolasco</v>
          </cell>
          <cell r="AC225">
            <v>33903</v>
          </cell>
        </row>
        <row r="226">
          <cell r="A226" t="str">
            <v>H87TSA1 (2)</v>
          </cell>
          <cell r="B226" t="str">
            <v>Laca Transparente Para Cuero</v>
          </cell>
          <cell r="C226" t="str">
            <v>Interior-Exterior</v>
          </cell>
          <cell r="D226" t="str">
            <v>Cuero</v>
          </cell>
          <cell r="E226" t="str">
            <v>Limpiar con R2K4</v>
          </cell>
          <cell r="F226" t="str">
            <v>Laca de Color</v>
          </cell>
          <cell r="G226" t="str">
            <v>7.84 Lbs/Gl</v>
          </cell>
          <cell r="H226" t="str">
            <v>-</v>
          </cell>
          <cell r="I226" t="str">
            <v>23.47%</v>
          </cell>
          <cell r="J226" t="str">
            <v>23.47%</v>
          </cell>
          <cell r="K226" t="str">
            <v>-</v>
          </cell>
          <cell r="L226" t="str">
            <v>16.68%</v>
          </cell>
          <cell r="M226" t="str">
            <v>85-95 KU (Unidades Kress)</v>
          </cell>
          <cell r="N226" t="str">
            <v>Pistola Convencional</v>
          </cell>
          <cell r="O226" t="str">
            <v>18-20 Seg. Copa Zanh #2</v>
          </cell>
          <cell r="P226" t="str">
            <v>100-150%</v>
          </cell>
          <cell r="Q226" t="str">
            <v>R7K128</v>
          </cell>
          <cell r="R226" t="str">
            <v>1.5 mills Seca</v>
          </cell>
          <cell r="S226" t="str">
            <v>Seco Tocar: 45 Min.; Seco Completo: 1 1/2 Horas.</v>
          </cell>
          <cell r="T226" t="str">
            <v>-</v>
          </cell>
          <cell r="U226" t="str">
            <v>272 Pies Cuadrados/Gl</v>
          </cell>
          <cell r="V226" t="str">
            <v>+85</v>
          </cell>
          <cell r="W226" t="str">
            <v>-</v>
          </cell>
          <cell r="X226" t="str">
            <v>1 año</v>
          </cell>
          <cell r="Y226" t="str">
            <v>ADOC (TENERIA)</v>
          </cell>
          <cell r="Z226" t="str">
            <v>Artículos de Cuero</v>
          </cell>
          <cell r="AA226" t="str">
            <v>-</v>
          </cell>
          <cell r="AB226" t="str">
            <v>Rene Ferrufino</v>
          </cell>
          <cell r="AC226">
            <v>33904</v>
          </cell>
        </row>
        <row r="227">
          <cell r="A227" t="str">
            <v>H87TSA2</v>
          </cell>
          <cell r="B227" t="str">
            <v>Laca Especial Para Cuero Transparente (Secado Rápido)</v>
          </cell>
          <cell r="C227" t="str">
            <v>Interior-Exterior</v>
          </cell>
          <cell r="D227" t="str">
            <v>Cuero</v>
          </cell>
          <cell r="E227" t="str">
            <v>Limpiar con R2K4</v>
          </cell>
          <cell r="F227" t="str">
            <v>Laca de Color</v>
          </cell>
          <cell r="G227" t="str">
            <v>7.81 Lbs/Gl</v>
          </cell>
          <cell r="H227" t="str">
            <v>-</v>
          </cell>
          <cell r="I227" t="str">
            <v>34.50%</v>
          </cell>
          <cell r="J227" t="str">
            <v>34.50%</v>
          </cell>
          <cell r="K227" t="str">
            <v>-</v>
          </cell>
          <cell r="L227" t="str">
            <v>26.90%</v>
          </cell>
          <cell r="M227" t="str">
            <v>85-95 KU (Unidades Kress)</v>
          </cell>
          <cell r="N227" t="str">
            <v>Pistola Convencional</v>
          </cell>
          <cell r="O227" t="str">
            <v>18-20 Seg. Copa Zanh #2</v>
          </cell>
          <cell r="P227" t="str">
            <v>100-150%</v>
          </cell>
          <cell r="Q227" t="str">
            <v>R7K128</v>
          </cell>
          <cell r="R227" t="str">
            <v>1.5 mills Seca</v>
          </cell>
          <cell r="S227" t="str">
            <v>Seco Tocar: 5 Min.; Seco Completo: 20 min.</v>
          </cell>
          <cell r="T227" t="str">
            <v>-</v>
          </cell>
          <cell r="U227" t="str">
            <v>450 Pies Cuadrados/Gl</v>
          </cell>
          <cell r="V227" t="str">
            <v>+85</v>
          </cell>
          <cell r="W227" t="str">
            <v>-</v>
          </cell>
          <cell r="X227" t="str">
            <v>1 año</v>
          </cell>
          <cell r="Y227" t="str">
            <v>ADOC (TENERIA)</v>
          </cell>
          <cell r="Z227" t="str">
            <v>Artículos de Cuero</v>
          </cell>
          <cell r="AA227" t="str">
            <v>-</v>
          </cell>
          <cell r="AB227" t="str">
            <v>Rene Ferrufino</v>
          </cell>
          <cell r="AC227">
            <v>33904</v>
          </cell>
        </row>
        <row r="228">
          <cell r="A228" t="str">
            <v>SAA 3862</v>
          </cell>
          <cell r="B228" t="str">
            <v xml:space="preserve">Esmalte Horneable Alquidico Amarillo  </v>
          </cell>
          <cell r="C228" t="str">
            <v>Interior-Exterior</v>
          </cell>
          <cell r="D228" t="str">
            <v>Hierro</v>
          </cell>
          <cell r="E228" t="str">
            <v>Limpieza con Solvente</v>
          </cell>
          <cell r="F228" t="str">
            <v>Ninguno</v>
          </cell>
          <cell r="G228" t="str">
            <v>10.18 Lbs/Gl</v>
          </cell>
          <cell r="H228" t="str">
            <v>25.48%</v>
          </cell>
          <cell r="I228" t="str">
            <v>58.44%</v>
          </cell>
          <cell r="J228" t="str">
            <v>32.96%</v>
          </cell>
          <cell r="K228" t="str">
            <v>15.53%</v>
          </cell>
          <cell r="L228" t="str">
            <v>38.62%</v>
          </cell>
          <cell r="M228" t="str">
            <v>100"-110" Copa Zanh #2</v>
          </cell>
          <cell r="N228" t="str">
            <v>Pistola</v>
          </cell>
          <cell r="O228" t="str">
            <v>20-25 seg. Copa Zanh #2</v>
          </cell>
          <cell r="P228" t="str">
            <v>20-25%</v>
          </cell>
          <cell r="Q228" t="str">
            <v>R2K4         Industrial reducer</v>
          </cell>
          <cell r="R228" t="str">
            <v>1.0-1.2 mills</v>
          </cell>
          <cell r="S228" t="str">
            <v>Al horno</v>
          </cell>
          <cell r="T228" t="str">
            <v>15' a 300°F</v>
          </cell>
          <cell r="U228" t="str">
            <v xml:space="preserve">617.92 Pies Cuadrados/Gl </v>
          </cell>
          <cell r="V228" t="str">
            <v>+85</v>
          </cell>
          <cell r="W228" t="str">
            <v>H</v>
          </cell>
          <cell r="X228" t="str">
            <v>6-12 meses</v>
          </cell>
          <cell r="Y228" t="str">
            <v>Van Leer-Nicaragua</v>
          </cell>
          <cell r="Z228" t="str">
            <v>Barriles de Hierro</v>
          </cell>
          <cell r="AA228" t="str">
            <v>-</v>
          </cell>
          <cell r="AB228" t="str">
            <v>Beatriz Sandoval</v>
          </cell>
          <cell r="AC228">
            <v>33905</v>
          </cell>
        </row>
        <row r="229">
          <cell r="A229" t="str">
            <v>SAA 3884</v>
          </cell>
          <cell r="B229" t="str">
            <v>Esmalte Horneable Alquídico Azul Metálico Martillado</v>
          </cell>
          <cell r="C229" t="str">
            <v>Interior-Exterior</v>
          </cell>
          <cell r="D229" t="str">
            <v>Lamina de Hierro</v>
          </cell>
          <cell r="E229" t="str">
            <v>Lavado y Desengrase</v>
          </cell>
          <cell r="F229" t="str">
            <v>Ninguno</v>
          </cell>
          <cell r="G229" t="str">
            <v>8.12 Lbs/Gl</v>
          </cell>
          <cell r="H229" t="str">
            <v>3.2%</v>
          </cell>
          <cell r="I229" t="str">
            <v>44.5%</v>
          </cell>
          <cell r="J229" t="str">
            <v>42.67%</v>
          </cell>
          <cell r="K229" t="str">
            <v>1.95%</v>
          </cell>
          <cell r="L229" t="str">
            <v>35.41%</v>
          </cell>
          <cell r="M229" t="str">
            <v>70-80 En Copa Zanh #2</v>
          </cell>
          <cell r="N229" t="str">
            <v>Pistola</v>
          </cell>
          <cell r="O229" t="str">
            <v>Listo para Usar</v>
          </cell>
          <cell r="P229" t="str">
            <v>Ninguno</v>
          </cell>
          <cell r="Q229" t="str">
            <v>R2K4 Industrial Reducer si Fuera Necesario</v>
          </cell>
          <cell r="R229" t="str">
            <v>1.5-2.0 mills</v>
          </cell>
          <cell r="S229" t="str">
            <v>Al Horno</v>
          </cell>
          <cell r="T229" t="str">
            <v>15' a 300°F</v>
          </cell>
          <cell r="U229" t="str">
            <v>712 Pies cuadrados/Gl</v>
          </cell>
          <cell r="V229" t="str">
            <v>30-40</v>
          </cell>
          <cell r="W229" t="str">
            <v>H</v>
          </cell>
          <cell r="X229" t="str">
            <v>6-12 meses</v>
          </cell>
          <cell r="Y229" t="str">
            <v>Corporación Industrial Americana-Honduras</v>
          </cell>
          <cell r="Z229" t="str">
            <v>Piezas Metálicas</v>
          </cell>
          <cell r="AA229" t="str">
            <v>-</v>
          </cell>
          <cell r="AB229" t="str">
            <v>Luis Nolasco</v>
          </cell>
          <cell r="AC229">
            <v>33920</v>
          </cell>
        </row>
        <row r="230">
          <cell r="A230" t="str">
            <v>P66YC1</v>
          </cell>
          <cell r="B230" t="str">
            <v>Superclad Primer</v>
          </cell>
          <cell r="C230" t="str">
            <v>Primer</v>
          </cell>
          <cell r="D230" t="str">
            <v>Lamina Galvanizada</v>
          </cell>
          <cell r="E230" t="str">
            <v>Limpia con Solvente R7K156</v>
          </cell>
          <cell r="F230" t="str">
            <v>Ninguno</v>
          </cell>
          <cell r="G230" t="str">
            <v>9.34 Lbs/Gl</v>
          </cell>
          <cell r="H230" t="str">
            <v>18.16%</v>
          </cell>
          <cell r="I230" t="str">
            <v>42.62%</v>
          </cell>
          <cell r="J230" t="str">
            <v>81.84%</v>
          </cell>
          <cell r="K230" t="str">
            <v>19.2%</v>
          </cell>
          <cell r="L230" t="str">
            <v>27.09%</v>
          </cell>
          <cell r="M230" t="str">
            <v>25-35 Copa Zanh #4</v>
          </cell>
          <cell r="N230" t="str">
            <v>Atomización con Pistola Convencional (Rociado)</v>
          </cell>
          <cell r="O230" t="str">
            <v>18"-22" Copa Zanh #2</v>
          </cell>
          <cell r="P230" t="str">
            <v>100%</v>
          </cell>
          <cell r="Q230" t="str">
            <v>R7KSA15</v>
          </cell>
          <cell r="R230" t="str">
            <v>0.1-0.2 mills</v>
          </cell>
          <cell r="S230" t="str">
            <v>Horno</v>
          </cell>
          <cell r="T230" t="str">
            <v>1 Minuto a 450°F</v>
          </cell>
          <cell r="U230" t="str">
            <v>270 Mts Cuadrados/Gl a 0.15 mills Seco</v>
          </cell>
          <cell r="V230" t="str">
            <v>Mate</v>
          </cell>
          <cell r="W230" t="str">
            <v>-</v>
          </cell>
          <cell r="X230" t="str">
            <v>6 meses</v>
          </cell>
          <cell r="Y230" t="str">
            <v>METALCO (Costa Rica)</v>
          </cell>
          <cell r="Z230" t="str">
            <v>Laminas Esmaltadas</v>
          </cell>
          <cell r="AA230" t="str">
            <v>-</v>
          </cell>
          <cell r="AB230" t="str">
            <v>Rene Ferrufino</v>
          </cell>
          <cell r="AC230">
            <v>33928</v>
          </cell>
        </row>
        <row r="231">
          <cell r="A231" t="str">
            <v>SAA 3889</v>
          </cell>
          <cell r="B231" t="str">
            <v>Permaclad 1700 Marfil Metálico</v>
          </cell>
          <cell r="C231" t="str">
            <v>Interior-Exterior</v>
          </cell>
          <cell r="D231" t="str">
            <v>Lamina Galvanizada</v>
          </cell>
          <cell r="E231" t="str">
            <v>Limpia con Solvente Sher Will Clean R7K156</v>
          </cell>
          <cell r="F231" t="str">
            <v>Superclad Primer (P66YC1)</v>
          </cell>
          <cell r="G231" t="str">
            <v>9.66 Lbs/Gl</v>
          </cell>
          <cell r="H231" t="str">
            <v>20.12%</v>
          </cell>
          <cell r="I231" t="str">
            <v>51.96%</v>
          </cell>
          <cell r="J231" t="str">
            <v>79.88%</v>
          </cell>
          <cell r="K231" t="str">
            <v>9.95%</v>
          </cell>
          <cell r="L231" t="str">
            <v>38.3%</v>
          </cell>
          <cell r="M231" t="str">
            <v>65-70 KU</v>
          </cell>
          <cell r="N231" t="str">
            <v>Atomización con Pistola Convencional (Rociado)</v>
          </cell>
          <cell r="O231" t="str">
            <v>18"-22" Copa Zanh #2</v>
          </cell>
          <cell r="P231" t="str">
            <v>20-25%</v>
          </cell>
          <cell r="Q231" t="str">
            <v>R2K4         Industrial reducer</v>
          </cell>
          <cell r="R231" t="str">
            <v>1.2-1.3 mills</v>
          </cell>
          <cell r="S231" t="str">
            <v>Al Horno</v>
          </cell>
          <cell r="T231" t="str">
            <v>1 Minuto a 450°F</v>
          </cell>
          <cell r="U231" t="str">
            <v>510 Pies Cuadrados/Gl</v>
          </cell>
          <cell r="V231" t="str">
            <v>90-92 unidades</v>
          </cell>
          <cell r="W231" t="str">
            <v>H-2H</v>
          </cell>
          <cell r="X231" t="str">
            <v>6 meses</v>
          </cell>
          <cell r="Y231" t="str">
            <v>METALCO (Costa Rica)</v>
          </cell>
          <cell r="Z231" t="str">
            <v>Laminas Esmaltadas</v>
          </cell>
          <cell r="AA231" t="str">
            <v>-</v>
          </cell>
          <cell r="AB231" t="str">
            <v>Rene Ferrufino</v>
          </cell>
          <cell r="AC231">
            <v>33928</v>
          </cell>
        </row>
        <row r="232">
          <cell r="A232" t="str">
            <v>SAA 3880</v>
          </cell>
          <cell r="B232" t="str">
            <v>Sellador Ultra Concentrado</v>
          </cell>
          <cell r="C232" t="str">
            <v>Interior</v>
          </cell>
          <cell r="D232" t="str">
            <v>Madera</v>
          </cell>
          <cell r="E232" t="str">
            <v>Lijada</v>
          </cell>
          <cell r="F232" t="str">
            <v>D70T1 Sherwood Fast Drying Semi Paste Wood Filler</v>
          </cell>
          <cell r="G232" t="str">
            <v>7.77 Lbs/Gl</v>
          </cell>
          <cell r="H232" t="str">
            <v>-</v>
          </cell>
          <cell r="I232" t="str">
            <v>29.5%</v>
          </cell>
          <cell r="J232" t="str">
            <v>29.5%</v>
          </cell>
          <cell r="K232" t="str">
            <v>-</v>
          </cell>
          <cell r="L232" t="str">
            <v>22.5%</v>
          </cell>
          <cell r="M232" t="str">
            <v>280,000-290,000 CPS</v>
          </cell>
          <cell r="N232" t="str">
            <v>Pistola</v>
          </cell>
          <cell r="O232" t="str">
            <v>20-25 seg. Copa Zanh #2</v>
          </cell>
          <cell r="P232" t="str">
            <v>650-700%</v>
          </cell>
          <cell r="Q232" t="str">
            <v>R7K128</v>
          </cell>
          <cell r="R232" t="str">
            <v>0.8 mills Seco</v>
          </cell>
          <cell r="S232" t="str">
            <v>Al Tacto 5-10 Min; Para Manipular: 15 Min.</v>
          </cell>
          <cell r="T232" t="str">
            <v>-</v>
          </cell>
          <cell r="U232" t="str">
            <v>44 Mts Cuadrados/Gl a 1 mills</v>
          </cell>
          <cell r="V232" t="str">
            <v>Mate</v>
          </cell>
          <cell r="W232" t="str">
            <v>-</v>
          </cell>
          <cell r="X232" t="str">
            <v>1 Año</v>
          </cell>
          <cell r="Y232" t="str">
            <v>Talleres de Muebles de Madera.</v>
          </cell>
          <cell r="Z232" t="str">
            <v>Muebles de Madera.</v>
          </cell>
          <cell r="AA232" t="str">
            <v>-</v>
          </cell>
          <cell r="AB232" t="str">
            <v>Rene Ferrufino</v>
          </cell>
          <cell r="AC232">
            <v>33933</v>
          </cell>
        </row>
        <row r="233">
          <cell r="A233" t="str">
            <v>SAA 3892</v>
          </cell>
          <cell r="B233" t="str">
            <v>Esmalte Horneable Alquidico Amarillo Especial</v>
          </cell>
          <cell r="C233" t="str">
            <v>Interior-Exterior</v>
          </cell>
          <cell r="D233" t="str">
            <v>Hierro</v>
          </cell>
          <cell r="E233" t="str">
            <v>Limpieza con Solvente</v>
          </cell>
          <cell r="F233" t="str">
            <v>Ninguno</v>
          </cell>
          <cell r="G233" t="str">
            <v>9.25 Lbs/Gl</v>
          </cell>
          <cell r="H233" t="str">
            <v>37.32%</v>
          </cell>
          <cell r="I233" t="str">
            <v>56.73%</v>
          </cell>
          <cell r="J233" t="str">
            <v>19.41%</v>
          </cell>
          <cell r="K233" t="str">
            <v>11.95%</v>
          </cell>
          <cell r="L233" t="str">
            <v>38.47%</v>
          </cell>
          <cell r="M233" t="str">
            <v>100"-110" Copa Zanh #2</v>
          </cell>
          <cell r="N233" t="str">
            <v>Pistola</v>
          </cell>
          <cell r="O233" t="str">
            <v>20-25 seg. Copa Zanh #2</v>
          </cell>
          <cell r="P233" t="str">
            <v>20-25%</v>
          </cell>
          <cell r="Q233" t="str">
            <v>R2K4         Industrial reducer</v>
          </cell>
          <cell r="R233" t="str">
            <v>1.0-1.2 mills</v>
          </cell>
          <cell r="S233" t="str">
            <v>Al horno</v>
          </cell>
          <cell r="T233" t="str">
            <v>15' a 300°F</v>
          </cell>
          <cell r="U233" t="str">
            <v xml:space="preserve">618.48 Pies Cuadrados/Gl a un mills de espesor </v>
          </cell>
          <cell r="V233" t="str">
            <v>+85</v>
          </cell>
          <cell r="W233" t="str">
            <v>2H</v>
          </cell>
          <cell r="X233" t="str">
            <v>6-12 meses</v>
          </cell>
          <cell r="Y233" t="str">
            <v>SW Honduras</v>
          </cell>
          <cell r="Z233" t="str">
            <v>Muebles de Hierro</v>
          </cell>
          <cell r="AA233" t="str">
            <v>-</v>
          </cell>
          <cell r="AB233" t="str">
            <v>Beatriz Sandoval</v>
          </cell>
          <cell r="AC233">
            <v>33933</v>
          </cell>
        </row>
        <row r="234">
          <cell r="A234" t="str">
            <v>SAA 3894</v>
          </cell>
          <cell r="B234" t="str">
            <v>Esmalte Horneable Alquídico Azul intenso Martillado</v>
          </cell>
          <cell r="C234" t="str">
            <v>Interior-Exterior</v>
          </cell>
          <cell r="D234" t="str">
            <v>Lamina de Hierro</v>
          </cell>
          <cell r="E234" t="str">
            <v xml:space="preserve">Lavado con Solvente R7K156 </v>
          </cell>
          <cell r="F234" t="str">
            <v>Ninguno</v>
          </cell>
          <cell r="G234" t="str">
            <v>8.57 Lbs/Gl</v>
          </cell>
          <cell r="H234" t="str">
            <v>19.4%</v>
          </cell>
          <cell r="I234" t="str">
            <v>47.2%</v>
          </cell>
          <cell r="J234" t="str">
            <v>27.8%</v>
          </cell>
          <cell r="K234" t="str">
            <v>9.4%</v>
          </cell>
          <cell r="L234" t="str">
            <v>36.18%</v>
          </cell>
          <cell r="M234" t="str">
            <v>100"-110" Copa Zanh #2</v>
          </cell>
          <cell r="N234" t="str">
            <v>Pistola</v>
          </cell>
          <cell r="O234" t="str">
            <v>20-25 seg. Copa Zanh #2</v>
          </cell>
          <cell r="P234" t="str">
            <v>20-25%</v>
          </cell>
          <cell r="Q234" t="str">
            <v>R2K4 Industrial Reducer si Fuera Necesario</v>
          </cell>
          <cell r="R234" t="str">
            <v>1.2 mills</v>
          </cell>
          <cell r="S234" t="str">
            <v>Al Horno</v>
          </cell>
          <cell r="T234" t="str">
            <v>15' a 300°F</v>
          </cell>
          <cell r="U234" t="str">
            <v>53.8 Mts Cuadrados/Gl</v>
          </cell>
          <cell r="V234" t="str">
            <v>80</v>
          </cell>
          <cell r="W234" t="str">
            <v>H</v>
          </cell>
          <cell r="X234" t="str">
            <v>6 meses</v>
          </cell>
          <cell r="Y234" t="str">
            <v>SW Honduras</v>
          </cell>
          <cell r="Z234" t="str">
            <v>Muebles de Hierro</v>
          </cell>
          <cell r="AA234" t="str">
            <v>-</v>
          </cell>
          <cell r="AB234" t="str">
            <v>Rene Ferrufino</v>
          </cell>
          <cell r="AC234">
            <v>33940</v>
          </cell>
        </row>
        <row r="235">
          <cell r="A235" t="str">
            <v>SAA 3895</v>
          </cell>
          <cell r="B235" t="str">
            <v>Esmalte Horneable acrílico Verde Tappan</v>
          </cell>
          <cell r="C235" t="str">
            <v>Interior-Exterior Limitada</v>
          </cell>
          <cell r="D235" t="str">
            <v>Hierro</v>
          </cell>
          <cell r="E235" t="str">
            <v>Lavado, Desengrase y Fosfatizado</v>
          </cell>
          <cell r="F235" t="str">
            <v>E68WSA4 Acrylic Monobake White Primer</v>
          </cell>
          <cell r="G235" t="str">
            <v>8.58 Lbs/Gl</v>
          </cell>
          <cell r="H235" t="str">
            <v>12.70%</v>
          </cell>
          <cell r="I235" t="str">
            <v>44.94%</v>
          </cell>
          <cell r="J235" t="str">
            <v>36.94%</v>
          </cell>
          <cell r="K235" t="str">
            <v>9.65%</v>
          </cell>
          <cell r="L235" t="str">
            <v>34.81%</v>
          </cell>
          <cell r="M235" t="str">
            <v>100"-110" Copa Zanh #2</v>
          </cell>
          <cell r="N235" t="str">
            <v>Pistola</v>
          </cell>
          <cell r="O235" t="str">
            <v>25"-30" Copa Zanh #2</v>
          </cell>
          <cell r="P235" t="str">
            <v>20-25%</v>
          </cell>
          <cell r="Q235" t="str">
            <v>R2K4         Industrial reducer</v>
          </cell>
          <cell r="R235" t="str">
            <v>1.0-1.2 mills</v>
          </cell>
          <cell r="S235" t="str">
            <v>Al Horno</v>
          </cell>
          <cell r="T235" t="str">
            <v>15' a 350-400°F</v>
          </cell>
          <cell r="U235" t="str">
            <v>719.04 Pies Cuadrados/Gl a 1 mills de espesor</v>
          </cell>
          <cell r="V235" t="str">
            <v>+85</v>
          </cell>
          <cell r="W235" t="str">
            <v>2H-3H</v>
          </cell>
          <cell r="X235" t="str">
            <v>6-12 meses</v>
          </cell>
          <cell r="Y235" t="str">
            <v>TAPPAN-GUATEMALA</v>
          </cell>
          <cell r="Z235" t="str">
            <v>Cocinas</v>
          </cell>
          <cell r="AA235" t="str">
            <v>-</v>
          </cell>
          <cell r="AB235" t="str">
            <v>Luis Nolasco</v>
          </cell>
          <cell r="AC235">
            <v>33942</v>
          </cell>
        </row>
        <row r="236">
          <cell r="A236" t="str">
            <v>SAA 3896</v>
          </cell>
          <cell r="B236" t="str">
            <v>Esmalte Horneable Alquidico Rojo Esso</v>
          </cell>
          <cell r="C236" t="str">
            <v>Interior-Exterior</v>
          </cell>
          <cell r="D236" t="str">
            <v>Barrilles</v>
          </cell>
          <cell r="E236" t="str">
            <v>Limpieza con Solvente</v>
          </cell>
          <cell r="F236" t="str">
            <v>Ninguno</v>
          </cell>
          <cell r="G236" t="str">
            <v>8.47 Lbs/Gl</v>
          </cell>
          <cell r="H236" t="str">
            <v>15.54%</v>
          </cell>
          <cell r="I236" t="str">
            <v>46.06%</v>
          </cell>
          <cell r="J236" t="str">
            <v>30.82%</v>
          </cell>
          <cell r="K236" t="str">
            <v>4.91%</v>
          </cell>
          <cell r="L236" t="str">
            <v>34.76%</v>
          </cell>
          <cell r="M236" t="str">
            <v>100"-110" Copa Zanh #2</v>
          </cell>
          <cell r="N236" t="str">
            <v>Pistola</v>
          </cell>
          <cell r="O236" t="str">
            <v>20-25 seg. Copa Zanh #2</v>
          </cell>
          <cell r="P236" t="str">
            <v>25-30%</v>
          </cell>
          <cell r="Q236" t="str">
            <v>R2K4         Industrial reducer</v>
          </cell>
          <cell r="R236" t="str">
            <v>0.8-0.9 mills</v>
          </cell>
          <cell r="S236" t="str">
            <v>Al horno</v>
          </cell>
          <cell r="T236" t="str">
            <v>15' a 300°F</v>
          </cell>
          <cell r="U236" t="str">
            <v xml:space="preserve">556.16 Pies Cuadrados/Gl </v>
          </cell>
          <cell r="V236" t="str">
            <v>+85</v>
          </cell>
          <cell r="W236" t="str">
            <v>2H</v>
          </cell>
          <cell r="X236" t="str">
            <v>6 meses</v>
          </cell>
          <cell r="Y236" t="str">
            <v>Van Leer-Guatemala</v>
          </cell>
          <cell r="Z236" t="str">
            <v>Barriles de Hierro</v>
          </cell>
          <cell r="AA236" t="str">
            <v>-</v>
          </cell>
          <cell r="AB236" t="str">
            <v>Beatriz Sandoval</v>
          </cell>
          <cell r="AC236">
            <v>33945</v>
          </cell>
        </row>
        <row r="237">
          <cell r="A237" t="str">
            <v>SAA 3897</v>
          </cell>
          <cell r="B237" t="str">
            <v>Esmalte Horneable Alquidico Beige Siemens</v>
          </cell>
          <cell r="C237" t="str">
            <v>Interior-Exterior</v>
          </cell>
          <cell r="D237" t="str">
            <v>Lámina de Hierro</v>
          </cell>
          <cell r="E237" t="str">
            <v xml:space="preserve">Lavado con Solvente R7K156 </v>
          </cell>
          <cell r="F237" t="str">
            <v>E68WSA1 (Monobake Primer)</v>
          </cell>
          <cell r="G237" t="str">
            <v>8.98 Lbs/Gl</v>
          </cell>
          <cell r="H237" t="str">
            <v>25.4%</v>
          </cell>
          <cell r="I237" t="str">
            <v>49.2%</v>
          </cell>
          <cell r="J237" t="str">
            <v>23.2%</v>
          </cell>
          <cell r="K237" t="str">
            <v>9.5%</v>
          </cell>
          <cell r="L237" t="str">
            <v>36.9%</v>
          </cell>
          <cell r="M237" t="str">
            <v>80"-90" Copa zanh #2</v>
          </cell>
          <cell r="N237" t="str">
            <v>Pistola Convencional</v>
          </cell>
          <cell r="O237" t="str">
            <v>20"-25" Copa Zanh #2</v>
          </cell>
          <cell r="P237" t="str">
            <v>20-25%</v>
          </cell>
          <cell r="Q237" t="str">
            <v>R2K4         Industrial reducer</v>
          </cell>
          <cell r="R237" t="str">
            <v>1.2 mills seco</v>
          </cell>
          <cell r="S237" t="str">
            <v>Al horno</v>
          </cell>
          <cell r="T237" t="str">
            <v>15' a 300°F</v>
          </cell>
          <cell r="U237" t="str">
            <v>495 Pies Cuadrados/Gl. 45.72 Mts Cuadrados/Gl</v>
          </cell>
          <cell r="V237" t="str">
            <v>89 unidades</v>
          </cell>
          <cell r="W237" t="str">
            <v>H</v>
          </cell>
          <cell r="X237" t="str">
            <v>6 meses</v>
          </cell>
          <cell r="Y237" t="str">
            <v>Siemens-Nicaragua</v>
          </cell>
          <cell r="Z237" t="str">
            <v>Hardware</v>
          </cell>
          <cell r="AA237" t="str">
            <v>-</v>
          </cell>
          <cell r="AB237" t="str">
            <v>Rene Ferrufino</v>
          </cell>
          <cell r="AC237">
            <v>33947</v>
          </cell>
        </row>
        <row r="238">
          <cell r="A238" t="str">
            <v>SAA 3898</v>
          </cell>
          <cell r="B238" t="str">
            <v>Esmalte Horneable Alquidico Café Claro.</v>
          </cell>
          <cell r="C238" t="str">
            <v>Interior-Exterior</v>
          </cell>
          <cell r="D238" t="str">
            <v>Hierro</v>
          </cell>
          <cell r="E238" t="str">
            <v>Limpieza con Solvente</v>
          </cell>
          <cell r="F238" t="str">
            <v>Ninguno</v>
          </cell>
          <cell r="G238" t="str">
            <v>10.16 Lbs/Gl</v>
          </cell>
          <cell r="H238" t="str">
            <v>52.76%</v>
          </cell>
          <cell r="I238" t="str">
            <v>59.52%</v>
          </cell>
          <cell r="J238" t="str">
            <v>6.76%</v>
          </cell>
          <cell r="K238" t="str">
            <v>28.11%</v>
          </cell>
          <cell r="L238" t="str">
            <v>40.74%</v>
          </cell>
          <cell r="M238" t="str">
            <v>100"-110" Copa Zanh #2</v>
          </cell>
          <cell r="N238" t="str">
            <v>Pistola</v>
          </cell>
          <cell r="O238" t="str">
            <v>20-25 seg. Copa Zanh #2</v>
          </cell>
          <cell r="P238" t="str">
            <v>20-25%</v>
          </cell>
          <cell r="Q238" t="str">
            <v>R2K4 Industrial Reducer si Fuera Necesario</v>
          </cell>
          <cell r="R238" t="str">
            <v>1.0-1.2 mills</v>
          </cell>
          <cell r="S238" t="str">
            <v>Al Horno</v>
          </cell>
          <cell r="T238" t="str">
            <v>15' a 300°F</v>
          </cell>
          <cell r="U238" t="str">
            <v>651.84 Pies Cuadrados/Gl a 1 mills de espesor</v>
          </cell>
          <cell r="V238" t="str">
            <v>18-25</v>
          </cell>
          <cell r="W238" t="str">
            <v>H</v>
          </cell>
          <cell r="X238" t="str">
            <v>6-12 meses</v>
          </cell>
          <cell r="Y238" t="str">
            <v>HECASA</v>
          </cell>
          <cell r="Z238" t="str">
            <v>Muebles Metálicos</v>
          </cell>
          <cell r="AA238" t="str">
            <v>-</v>
          </cell>
          <cell r="AB238" t="str">
            <v>Beatriz Sandoval</v>
          </cell>
          <cell r="AC238">
            <v>33955</v>
          </cell>
        </row>
        <row r="239">
          <cell r="A239" t="str">
            <v>SAA 3900</v>
          </cell>
          <cell r="B239" t="str">
            <v>Esamalte Horneable Alquídico Rojo Shell</v>
          </cell>
          <cell r="C239" t="str">
            <v>Interior-Exterior</v>
          </cell>
          <cell r="D239" t="str">
            <v>Lámina de Hierro</v>
          </cell>
          <cell r="E239" t="str">
            <v>Lavado y Desengrase</v>
          </cell>
          <cell r="F239" t="str">
            <v>Ninguno</v>
          </cell>
          <cell r="G239" t="str">
            <v>8.64 Lbs/Gl</v>
          </cell>
          <cell r="H239" t="str">
            <v>10.46%</v>
          </cell>
          <cell r="I239" t="str">
            <v>48.61%</v>
          </cell>
          <cell r="J239" t="str">
            <v>42.61%</v>
          </cell>
          <cell r="K239" t="str">
            <v>5.76%</v>
          </cell>
          <cell r="L239" t="str">
            <v>35.57%</v>
          </cell>
          <cell r="M239" t="str">
            <v>100"-110" Copa Zanh #2</v>
          </cell>
          <cell r="N239" t="str">
            <v>Pistola</v>
          </cell>
          <cell r="O239" t="str">
            <v>25"-30" Copa Zanh #2</v>
          </cell>
          <cell r="P239" t="str">
            <v>20-25%</v>
          </cell>
          <cell r="Q239" t="str">
            <v>R2K4         Industrial reducer</v>
          </cell>
          <cell r="R239" t="str">
            <v>1.0-1.2 mills</v>
          </cell>
          <cell r="S239" t="str">
            <v>Al Horno</v>
          </cell>
          <cell r="T239" t="str">
            <v>15' a 300°F</v>
          </cell>
          <cell r="U239" t="str">
            <v>777.76 Pies Cuadrados/Gl a 1 mills de espesor</v>
          </cell>
          <cell r="V239" t="str">
            <v>+85</v>
          </cell>
          <cell r="W239" t="str">
            <v>H</v>
          </cell>
          <cell r="X239" t="str">
            <v>6-12 meses</v>
          </cell>
          <cell r="Y239" t="str">
            <v>Van Leer-Guatemala</v>
          </cell>
          <cell r="Z239" t="str">
            <v>Barriles de Hierro</v>
          </cell>
          <cell r="AA239" t="str">
            <v>-</v>
          </cell>
          <cell r="AB239" t="str">
            <v>Luis Nolasco</v>
          </cell>
          <cell r="AC239">
            <v>33955</v>
          </cell>
        </row>
        <row r="240">
          <cell r="A240" t="str">
            <v>SAA 3903</v>
          </cell>
          <cell r="B240" t="str">
            <v>Esmalte Horneable Alquidico Rojo Coca Cola Martillado</v>
          </cell>
          <cell r="C240" t="str">
            <v>Interior-Exterior</v>
          </cell>
          <cell r="D240" t="str">
            <v>Lámina de Hierro</v>
          </cell>
          <cell r="E240" t="str">
            <v xml:space="preserve">Lavado con Solvente R7K156 </v>
          </cell>
          <cell r="F240" t="str">
            <v>Ninguno</v>
          </cell>
          <cell r="G240" t="str">
            <v>8.47 Lbs/Gl</v>
          </cell>
          <cell r="H240" t="str">
            <v>12%</v>
          </cell>
          <cell r="I240" t="str">
            <v>50.3%</v>
          </cell>
          <cell r="J240" t="str">
            <v>38.3%</v>
          </cell>
          <cell r="K240" t="str">
            <v>3%</v>
          </cell>
          <cell r="L240" t="str">
            <v>35.6%</v>
          </cell>
          <cell r="M240" t="str">
            <v>100"-110" Copa Zanh #2</v>
          </cell>
          <cell r="N240" t="str">
            <v>Pistola Comercial</v>
          </cell>
          <cell r="O240" t="str">
            <v>18"-22" Copa Zanh #2</v>
          </cell>
          <cell r="P240" t="str">
            <v>20-25%</v>
          </cell>
          <cell r="Q240" t="str">
            <v>R2K4 Industrial Reducer</v>
          </cell>
          <cell r="R240" t="str">
            <v>1.3 mills seco</v>
          </cell>
          <cell r="S240" t="str">
            <v>Al Horno</v>
          </cell>
          <cell r="T240" t="str">
            <v>15' a 300°F</v>
          </cell>
          <cell r="U240" t="str">
            <v>41 Mts Cuadrados/Gl</v>
          </cell>
          <cell r="V240" t="str">
            <v>80</v>
          </cell>
          <cell r="W240" t="str">
            <v>H</v>
          </cell>
          <cell r="X240" t="str">
            <v>6 meses</v>
          </cell>
          <cell r="Y240" t="str">
            <v>Comercial Leon Quant (Tegucigalpa-Honduras)</v>
          </cell>
          <cell r="Z240" t="str">
            <v>Muebles Metálicos</v>
          </cell>
          <cell r="AA240" t="str">
            <v>-</v>
          </cell>
          <cell r="AB240" t="str">
            <v>Rene Ferrufino</v>
          </cell>
          <cell r="AC240">
            <v>33983</v>
          </cell>
        </row>
        <row r="241">
          <cell r="A241" t="str">
            <v>SAA 3904</v>
          </cell>
          <cell r="B241" t="str">
            <v>Esmalte Horneable Alkydico Amarillo Henkel Martillado</v>
          </cell>
          <cell r="C241" t="str">
            <v>Interior-Exterior</v>
          </cell>
          <cell r="D241" t="str">
            <v>Lámina de Hierro</v>
          </cell>
          <cell r="E241" t="str">
            <v xml:space="preserve">Lavado con Solvente R7K156 </v>
          </cell>
          <cell r="F241" t="str">
            <v>Ninguno</v>
          </cell>
          <cell r="G241" t="str">
            <v>9.49 Lbs/Gl</v>
          </cell>
          <cell r="H241" t="str">
            <v>19.4%</v>
          </cell>
          <cell r="I241" t="str">
            <v>54.3%</v>
          </cell>
          <cell r="J241" t="str">
            <v>34.9%</v>
          </cell>
          <cell r="K241" t="str">
            <v>12%</v>
          </cell>
          <cell r="L241" t="str">
            <v>38.0%</v>
          </cell>
          <cell r="M241" t="str">
            <v>100"-110" Copa Zanh #2</v>
          </cell>
          <cell r="N241" t="str">
            <v>Pistola Comercial</v>
          </cell>
          <cell r="O241" t="str">
            <v>18"-22" Copa Zanh #2</v>
          </cell>
          <cell r="P241" t="str">
            <v>20-25%</v>
          </cell>
          <cell r="Q241" t="str">
            <v>R2K4 Industrial Reducer</v>
          </cell>
          <cell r="R241" t="str">
            <v>1.3 mills seco</v>
          </cell>
          <cell r="S241" t="str">
            <v>Al Horno</v>
          </cell>
          <cell r="T241" t="str">
            <v>15' a 300°F</v>
          </cell>
          <cell r="U241" t="str">
            <v>43 Mts Cuadrados/Gl</v>
          </cell>
          <cell r="V241" t="str">
            <v>80</v>
          </cell>
          <cell r="W241" t="str">
            <v>H</v>
          </cell>
          <cell r="X241" t="str">
            <v>6 meses</v>
          </cell>
          <cell r="Y241" t="str">
            <v>Comercial Leon Quant (Tegucigalpa-Honduras)</v>
          </cell>
          <cell r="Z241" t="str">
            <v>Muebles Metálicos</v>
          </cell>
          <cell r="AA241" t="str">
            <v>-</v>
          </cell>
          <cell r="AB241" t="str">
            <v>Rene Ferrufino</v>
          </cell>
          <cell r="AC241">
            <v>33987</v>
          </cell>
        </row>
        <row r="242">
          <cell r="A242" t="str">
            <v>SAA 3911</v>
          </cell>
          <cell r="B242" t="str">
            <v>Esmalte Horneable Alquidico Blanco.</v>
          </cell>
          <cell r="C242" t="str">
            <v>Interior-Exterior</v>
          </cell>
          <cell r="D242" t="str">
            <v>Lámina de Hierro</v>
          </cell>
          <cell r="E242" t="str">
            <v>Limpiar con solvente</v>
          </cell>
          <cell r="F242" t="str">
            <v>Ninguno</v>
          </cell>
          <cell r="G242" t="str">
            <v>10.19 Lbs/Gl</v>
          </cell>
          <cell r="H242" t="str">
            <v>43%</v>
          </cell>
          <cell r="I242" t="str">
            <v>58.12%</v>
          </cell>
          <cell r="J242" t="str">
            <v>15.12%</v>
          </cell>
          <cell r="K242" t="str">
            <v>18.45%</v>
          </cell>
          <cell r="L242" t="str">
            <v>41.94%</v>
          </cell>
          <cell r="M242" t="str">
            <v>200"-210" Copa Zanh #2</v>
          </cell>
          <cell r="N242" t="str">
            <v>Pistola Convencional</v>
          </cell>
          <cell r="O242" t="str">
            <v>18"-22" Copa Zanh #2</v>
          </cell>
          <cell r="P242" t="str">
            <v>50-55%</v>
          </cell>
          <cell r="Q242" t="str">
            <v>R2K4 Industrial Reducer</v>
          </cell>
          <cell r="R242" t="str">
            <v>1.2-1.4 mills</v>
          </cell>
          <cell r="S242" t="str">
            <v>Al Horno</v>
          </cell>
          <cell r="T242" t="str">
            <v>15' a 300°F</v>
          </cell>
          <cell r="U242" t="str">
            <v>52 Mts Cuadrados/Gl</v>
          </cell>
          <cell r="V242" t="str">
            <v>+90</v>
          </cell>
          <cell r="W242" t="str">
            <v>H</v>
          </cell>
          <cell r="X242" t="str">
            <v>6-12 meses</v>
          </cell>
          <cell r="Y242" t="str">
            <v>Sylvania-Costa Rica</v>
          </cell>
          <cell r="Z242" t="str">
            <v>Lamparas</v>
          </cell>
          <cell r="AA242" t="str">
            <v>-</v>
          </cell>
          <cell r="AB242" t="str">
            <v>Rene Ferrufino</v>
          </cell>
          <cell r="AC242">
            <v>34002</v>
          </cell>
        </row>
        <row r="243">
          <cell r="A243" t="str">
            <v>SAA 3912</v>
          </cell>
          <cell r="B243" t="str">
            <v>Esmalte Horneable Acrílico Negro Brillante</v>
          </cell>
          <cell r="C243" t="str">
            <v>Interior-Exterior</v>
          </cell>
          <cell r="D243" t="str">
            <v>Hierro</v>
          </cell>
          <cell r="E243" t="str">
            <v>Lavado, Desengrase y Fosfatizado</v>
          </cell>
          <cell r="F243" t="str">
            <v>E68WSA4 Acrylic Monobake White Primer</v>
          </cell>
          <cell r="G243" t="str">
            <v>7.90 Lbs/Gl</v>
          </cell>
          <cell r="H243" t="str">
            <v>2.78%</v>
          </cell>
          <cell r="I243" t="str">
            <v>40.67%</v>
          </cell>
          <cell r="J243" t="str">
            <v>38.38%</v>
          </cell>
          <cell r="K243" t="str">
            <v>4.08%</v>
          </cell>
          <cell r="L243" t="str">
            <v>37.03%</v>
          </cell>
          <cell r="M243" t="str">
            <v>100"-110" Copa Zanh #2</v>
          </cell>
          <cell r="N243" t="str">
            <v>Pistola</v>
          </cell>
          <cell r="O243" t="str">
            <v>25"-30" Copa Zanh #2</v>
          </cell>
          <cell r="P243" t="str">
            <v>20-25%</v>
          </cell>
          <cell r="Q243" t="str">
            <v>R2K4         Industrial reducer</v>
          </cell>
          <cell r="R243" t="str">
            <v>1.0-1.2 mills</v>
          </cell>
          <cell r="S243" t="str">
            <v>Al Horno</v>
          </cell>
          <cell r="T243" t="str">
            <v>15' a 350-400°F</v>
          </cell>
          <cell r="U243" t="str">
            <v>650.72 Pies Cuadrados/Gl a 1 mills de espesor</v>
          </cell>
          <cell r="V243" t="str">
            <v>+85</v>
          </cell>
          <cell r="W243" t="str">
            <v>2H-3H</v>
          </cell>
          <cell r="X243" t="str">
            <v>6-12 meses</v>
          </cell>
          <cell r="Y243" t="str">
            <v>Industrias Metálicas S.A</v>
          </cell>
          <cell r="Z243" t="str">
            <v>Muebles Metálicos</v>
          </cell>
          <cell r="AA243" t="str">
            <v>-</v>
          </cell>
          <cell r="AB243" t="str">
            <v>Luis Nolasco</v>
          </cell>
          <cell r="AC243">
            <v>34003</v>
          </cell>
        </row>
        <row r="244">
          <cell r="A244" t="str">
            <v>F73B5 (2)</v>
          </cell>
          <cell r="B244" t="str">
            <v>Esmalte Horneable  Negro Brillante</v>
          </cell>
          <cell r="C244" t="str">
            <v>Interior-Exterior</v>
          </cell>
          <cell r="D244" t="str">
            <v>Hierro</v>
          </cell>
          <cell r="E244" t="str">
            <v>Limpieza con Solvente</v>
          </cell>
          <cell r="F244" t="str">
            <v>Ninguno</v>
          </cell>
          <cell r="G244" t="str">
            <v>8.11 Lbs/Gl</v>
          </cell>
          <cell r="H244" t="str">
            <v>2.45%</v>
          </cell>
          <cell r="I244" t="str">
            <v>42.15%</v>
          </cell>
          <cell r="J244" t="str">
            <v>40.69%</v>
          </cell>
          <cell r="K244" t="str">
            <v>3.96%</v>
          </cell>
          <cell r="L244" t="str">
            <v>38.61%</v>
          </cell>
          <cell r="M244" t="str">
            <v>100"-110" Copa Zanh #2</v>
          </cell>
          <cell r="N244" t="str">
            <v>Pistola</v>
          </cell>
          <cell r="O244" t="str">
            <v>20-25 seg. Copa Zanh #2</v>
          </cell>
          <cell r="P244" t="str">
            <v>20-25%</v>
          </cell>
          <cell r="Q244" t="str">
            <v>R2K4         Industrial reducer</v>
          </cell>
          <cell r="R244" t="str">
            <v>1.0-1.2 mills</v>
          </cell>
          <cell r="S244" t="str">
            <v>Al Horno</v>
          </cell>
          <cell r="T244" t="str">
            <v>15' a 300°F</v>
          </cell>
          <cell r="U244" t="str">
            <v>674.4 Pies Cuadrados/Gl a 1 mills de espesor</v>
          </cell>
          <cell r="V244" t="str">
            <v>+85</v>
          </cell>
          <cell r="W244" t="str">
            <v>H</v>
          </cell>
          <cell r="X244" t="str">
            <v>6-12 meses</v>
          </cell>
          <cell r="Y244" t="str">
            <v>VECESA</v>
          </cell>
          <cell r="Z244" t="str">
            <v>Bicicletas</v>
          </cell>
          <cell r="AA244" t="str">
            <v>-</v>
          </cell>
          <cell r="AB244" t="str">
            <v>Luis Nolasco</v>
          </cell>
          <cell r="AC244">
            <v>34005</v>
          </cell>
        </row>
        <row r="245">
          <cell r="A245" t="str">
            <v>F73WSA18</v>
          </cell>
          <cell r="B245" t="str">
            <v>Esmalte Horneable Extra Blanco</v>
          </cell>
          <cell r="C245" t="str">
            <v>Interior-Exterior</v>
          </cell>
          <cell r="D245" t="str">
            <v>Hierro</v>
          </cell>
          <cell r="E245" t="str">
            <v>Limpieza con Solvente</v>
          </cell>
          <cell r="F245" t="str">
            <v>Ninguno</v>
          </cell>
          <cell r="G245" t="str">
            <v>10.72 Lbs/Gl</v>
          </cell>
          <cell r="H245" t="str">
            <v>30.44%</v>
          </cell>
          <cell r="I245" t="str">
            <v>65.61%</v>
          </cell>
          <cell r="J245" t="str">
            <v>50.56%</v>
          </cell>
          <cell r="K245" t="str">
            <v>20.89%</v>
          </cell>
          <cell r="L245" t="str">
            <v>47.61%</v>
          </cell>
          <cell r="M245" t="str">
            <v>95-105 Copa Zanh #2</v>
          </cell>
          <cell r="N245" t="str">
            <v>Pistola</v>
          </cell>
          <cell r="O245" t="str">
            <v>20-25 seg. Copa Zanh #2</v>
          </cell>
          <cell r="P245" t="str">
            <v>20-25%</v>
          </cell>
          <cell r="Q245" t="str">
            <v>R2K4         Industrial reducer</v>
          </cell>
          <cell r="R245" t="str">
            <v>1.0-1.2 mills</v>
          </cell>
          <cell r="S245" t="str">
            <v>Al Horno</v>
          </cell>
          <cell r="T245" t="str">
            <v>15' a 300°F</v>
          </cell>
          <cell r="U245" t="str">
            <v>1049.6 Pies Cuadrados/Gl a 1 mills de espesor</v>
          </cell>
          <cell r="V245" t="str">
            <v>+90</v>
          </cell>
          <cell r="W245" t="str">
            <v>H</v>
          </cell>
          <cell r="X245" t="str">
            <v>6-12 meses</v>
          </cell>
          <cell r="Y245" t="str">
            <v>VECESA</v>
          </cell>
          <cell r="Z245" t="str">
            <v>Bicicletas</v>
          </cell>
          <cell r="AA245" t="str">
            <v>-</v>
          </cell>
          <cell r="AB245" t="str">
            <v>Luis Nolasco</v>
          </cell>
          <cell r="AC245">
            <v>34005</v>
          </cell>
        </row>
        <row r="246">
          <cell r="A246" t="str">
            <v>SAA 3913</v>
          </cell>
          <cell r="B246" t="str">
            <v>Esmalte Horneable Alquídico Aluminio Grueso</v>
          </cell>
          <cell r="C246" t="str">
            <v>Interior-Exterior</v>
          </cell>
          <cell r="D246" t="str">
            <v>Hierro</v>
          </cell>
          <cell r="E246" t="str">
            <v>Limpieza con Solvente</v>
          </cell>
          <cell r="F246" t="str">
            <v>Ninguno</v>
          </cell>
          <cell r="G246" t="str">
            <v>7.98 Lbs/Gl</v>
          </cell>
          <cell r="H246" t="str">
            <v>0.04%</v>
          </cell>
          <cell r="I246" t="str">
            <v>42.52%</v>
          </cell>
          <cell r="J246" t="str">
            <v>41.46%</v>
          </cell>
          <cell r="K246" t="str">
            <v>1.88%</v>
          </cell>
          <cell r="L246" t="str">
            <v>33.58%</v>
          </cell>
          <cell r="M246" t="str">
            <v>60"-70" Copa Zanh #2</v>
          </cell>
          <cell r="N246" t="str">
            <v>Pistola</v>
          </cell>
          <cell r="O246" t="str">
            <v>20"-25" Copa Zanh #2</v>
          </cell>
          <cell r="P246" t="str">
            <v>20-25%</v>
          </cell>
          <cell r="Q246" t="str">
            <v>R2K4         Industrial reducer</v>
          </cell>
          <cell r="R246" t="str">
            <v>1.0-1.2 mills</v>
          </cell>
          <cell r="S246" t="str">
            <v>Al Horno</v>
          </cell>
          <cell r="T246" t="str">
            <v>15' a 300°F</v>
          </cell>
          <cell r="U246" t="str">
            <v>682.32 Pies Cuadrados/Gl a 1 mills de espesor</v>
          </cell>
          <cell r="V246" t="str">
            <v>+80</v>
          </cell>
          <cell r="W246" t="str">
            <v>H</v>
          </cell>
          <cell r="X246" t="str">
            <v>6-12 meses</v>
          </cell>
          <cell r="Y246" t="str">
            <v>VECESA</v>
          </cell>
          <cell r="Z246" t="str">
            <v>Bicicletas</v>
          </cell>
          <cell r="AA246" t="str">
            <v>-</v>
          </cell>
          <cell r="AB246" t="str">
            <v>Luis Nolasco</v>
          </cell>
          <cell r="AC246">
            <v>34005</v>
          </cell>
        </row>
        <row r="247">
          <cell r="A247" t="str">
            <v>SAA 3917</v>
          </cell>
          <cell r="B247" t="str">
            <v>Esmalte Horneable Alquídico Verde Oscuro</v>
          </cell>
          <cell r="C247" t="str">
            <v>Interior-Exterior</v>
          </cell>
          <cell r="D247" t="str">
            <v>Hierro</v>
          </cell>
          <cell r="E247" t="str">
            <v>Limpieza con Solvente</v>
          </cell>
          <cell r="F247" t="str">
            <v>Ninguno</v>
          </cell>
          <cell r="G247" t="str">
            <v>8.35 Lbs/Gl</v>
          </cell>
          <cell r="H247" t="str">
            <v>15%</v>
          </cell>
          <cell r="I247" t="str">
            <v>45.6%</v>
          </cell>
          <cell r="J247" t="str">
            <v>85%</v>
          </cell>
          <cell r="K247" t="str">
            <v>6.4%</v>
          </cell>
          <cell r="L247" t="str">
            <v>35.02%</v>
          </cell>
          <cell r="M247" t="str">
            <v>100"-110" Copa Zanh #2</v>
          </cell>
          <cell r="N247" t="str">
            <v>Pistola Convencional</v>
          </cell>
          <cell r="O247" t="str">
            <v>18"-22" Copa Zanh #2</v>
          </cell>
          <cell r="P247" t="str">
            <v>20-25%</v>
          </cell>
          <cell r="Q247" t="str">
            <v>R2K4         Industrial reducer</v>
          </cell>
          <cell r="R247" t="str">
            <v>1.2-1.5 mills</v>
          </cell>
          <cell r="S247" t="str">
            <v>Al Horno</v>
          </cell>
          <cell r="T247" t="str">
            <v>15' a 300°F</v>
          </cell>
          <cell r="U247" t="str">
            <v>470 Pies Cuadrados/Gl a 1.2 mills seco de espesor</v>
          </cell>
          <cell r="V247" t="str">
            <v>+90</v>
          </cell>
          <cell r="W247" t="str">
            <v>H</v>
          </cell>
          <cell r="X247" t="str">
            <v>6-12 meses</v>
          </cell>
          <cell r="Y247" t="str">
            <v>IMSA</v>
          </cell>
          <cell r="Z247" t="str">
            <v>Muebles Metálicos</v>
          </cell>
          <cell r="AA247" t="str">
            <v>-</v>
          </cell>
          <cell r="AB247" t="str">
            <v>Rene Ferrufino</v>
          </cell>
          <cell r="AC247">
            <v>34010</v>
          </cell>
        </row>
        <row r="248">
          <cell r="A248" t="str">
            <v>SAA 3918</v>
          </cell>
          <cell r="B248" t="str">
            <v>Esmalte Horneable Alquídico Azul Metálico Grueso</v>
          </cell>
          <cell r="C248" t="str">
            <v>Interior-Exterior</v>
          </cell>
          <cell r="D248" t="str">
            <v>Hierro</v>
          </cell>
          <cell r="E248" t="str">
            <v>Limpieza con Solvente</v>
          </cell>
          <cell r="F248" t="str">
            <v>Ninguno</v>
          </cell>
          <cell r="G248" t="str">
            <v>8.03 Lbs/Gl</v>
          </cell>
          <cell r="H248" t="str">
            <v>2.35%</v>
          </cell>
          <cell r="I248" t="str">
            <v>43.51%</v>
          </cell>
          <cell r="J248" t="str">
            <v>42.15%</v>
          </cell>
          <cell r="K248" t="str">
            <v>3.48%</v>
          </cell>
          <cell r="L248" t="str">
            <v>33.86%</v>
          </cell>
          <cell r="M248" t="str">
            <v>100"-110" Copa Zanh #2</v>
          </cell>
          <cell r="N248" t="str">
            <v>Pistola</v>
          </cell>
          <cell r="O248" t="str">
            <v>20-25 seg. Copa Zanh #2</v>
          </cell>
          <cell r="P248" t="str">
            <v>20-25%</v>
          </cell>
          <cell r="Q248" t="str">
            <v>R2K4         Industrial reducer</v>
          </cell>
          <cell r="R248" t="str">
            <v>1.0-1.2 mills</v>
          </cell>
          <cell r="S248" t="str">
            <v>Al Horno</v>
          </cell>
          <cell r="T248" t="str">
            <v>15' a 300°F</v>
          </cell>
          <cell r="U248" t="str">
            <v>696.16 Pies Cuadrados/Gl a 1 mills de espesor</v>
          </cell>
          <cell r="V248" t="str">
            <v>+80</v>
          </cell>
          <cell r="W248" t="str">
            <v>H</v>
          </cell>
          <cell r="X248" t="str">
            <v>6-12 meses</v>
          </cell>
          <cell r="Y248" t="str">
            <v>VECESA</v>
          </cell>
          <cell r="Z248" t="str">
            <v>Bicicletas</v>
          </cell>
          <cell r="AA248" t="str">
            <v>-</v>
          </cell>
          <cell r="AB248" t="str">
            <v>Luis Nolasco</v>
          </cell>
          <cell r="AC248">
            <v>34011</v>
          </cell>
        </row>
        <row r="249">
          <cell r="A249" t="str">
            <v>SAA 3921</v>
          </cell>
          <cell r="B249" t="str">
            <v>Esmalte Horneable Acrilico Amarillo Alfa</v>
          </cell>
          <cell r="C249" t="str">
            <v>Interior-Exterior</v>
          </cell>
          <cell r="D249" t="str">
            <v>Hierro</v>
          </cell>
          <cell r="E249" t="str">
            <v>Enjuague, Desengrase, Desoxidación y Fostatización</v>
          </cell>
          <cell r="F249" t="str">
            <v>E68WSA4 Acrylic Monobake White Primer</v>
          </cell>
          <cell r="G249" t="str">
            <v>9.05 Lbs/Gl</v>
          </cell>
          <cell r="H249" t="str">
            <v>18.44%</v>
          </cell>
          <cell r="I249" t="str">
            <v>48.99%</v>
          </cell>
          <cell r="J249" t="str">
            <v>37.45%</v>
          </cell>
          <cell r="K249" t="str">
            <v>27.25%</v>
          </cell>
          <cell r="L249" t="str">
            <v>36.37%</v>
          </cell>
          <cell r="M249" t="str">
            <v>100"-110" Copa Zanh #2</v>
          </cell>
          <cell r="N249" t="str">
            <v>Pistola</v>
          </cell>
          <cell r="O249" t="str">
            <v>25"-30" Copa Zanh #2</v>
          </cell>
          <cell r="P249" t="str">
            <v>20-25%</v>
          </cell>
          <cell r="Q249" t="str">
            <v>R2K4         Industrial reducer</v>
          </cell>
          <cell r="R249" t="str">
            <v>1.0-1.2 mills</v>
          </cell>
          <cell r="S249" t="str">
            <v>Al Horno</v>
          </cell>
          <cell r="T249" t="str">
            <v>15' a 300°F</v>
          </cell>
          <cell r="U249" t="str">
            <v>783.84 Pies Cuadrados/Gl a 1 mills de espesor</v>
          </cell>
          <cell r="V249" t="str">
            <v>+85</v>
          </cell>
          <cell r="W249" t="str">
            <v>2H-3H</v>
          </cell>
          <cell r="X249" t="str">
            <v>6-12 meses</v>
          </cell>
          <cell r="Y249" t="str">
            <v>Industras ALFA S.A</v>
          </cell>
          <cell r="Z249" t="str">
            <v>Refrigeradoras.</v>
          </cell>
          <cell r="AA249" t="str">
            <v>-</v>
          </cell>
          <cell r="AB249" t="str">
            <v>Luis Nolasco</v>
          </cell>
          <cell r="AC249">
            <v>34078</v>
          </cell>
        </row>
        <row r="250">
          <cell r="A250" t="str">
            <v>SAA 3922</v>
          </cell>
          <cell r="B250" t="str">
            <v>Esmalte Horneable Acrilico Verde Alfa</v>
          </cell>
          <cell r="C250" t="str">
            <v>Interior-Exterior</v>
          </cell>
          <cell r="D250" t="str">
            <v>Hierro</v>
          </cell>
          <cell r="E250" t="str">
            <v>Enjuague, Desengrase, Desoxidación y Fostatización</v>
          </cell>
          <cell r="F250" t="str">
            <v>E68WSA4 Acrylic Monobake White Primer</v>
          </cell>
          <cell r="G250" t="str">
            <v>8.50 Lbs/Gl</v>
          </cell>
          <cell r="H250" t="str">
            <v>11.41%</v>
          </cell>
          <cell r="I250" t="str">
            <v>43.98%</v>
          </cell>
          <cell r="J250" t="str">
            <v>36.76%</v>
          </cell>
          <cell r="K250" t="str">
            <v>8.73%</v>
          </cell>
          <cell r="L250" t="str">
            <v>34.48%</v>
          </cell>
          <cell r="M250" t="str">
            <v>100"-110" Copa Zanh #2</v>
          </cell>
          <cell r="N250" t="str">
            <v>Pistola</v>
          </cell>
          <cell r="O250" t="str">
            <v>25"-30" Copa Zanh #2</v>
          </cell>
          <cell r="P250" t="str">
            <v>20-25%</v>
          </cell>
          <cell r="Q250" t="str">
            <v>R2K4         Industrial reducer</v>
          </cell>
          <cell r="R250" t="str">
            <v>1.0-1.2 mills</v>
          </cell>
          <cell r="S250" t="str">
            <v>Al Horno</v>
          </cell>
          <cell r="T250" t="str">
            <v>15' a 300°F</v>
          </cell>
          <cell r="U250" t="str">
            <v>863.68 Pies Cuadrados/Gl a 1 mills de espesor</v>
          </cell>
          <cell r="V250" t="str">
            <v>+85</v>
          </cell>
          <cell r="W250" t="str">
            <v>2H-3H</v>
          </cell>
          <cell r="X250" t="str">
            <v>6-12 meses</v>
          </cell>
          <cell r="Y250" t="str">
            <v>Industras ALFA S.A</v>
          </cell>
          <cell r="Z250" t="str">
            <v>Refrigeradoras.</v>
          </cell>
          <cell r="AA250" t="str">
            <v>-</v>
          </cell>
          <cell r="AB250" t="str">
            <v>Luis Nolasco</v>
          </cell>
          <cell r="AC250">
            <v>34078</v>
          </cell>
        </row>
        <row r="251">
          <cell r="A251" t="str">
            <v>G70NSA5</v>
          </cell>
          <cell r="B251" t="str">
            <v>Wet Ink Varnish Gold</v>
          </cell>
          <cell r="C251" t="str">
            <v>Interior</v>
          </cell>
          <cell r="D251" t="str">
            <v>Hojalata</v>
          </cell>
          <cell r="E251" t="str">
            <v>Limpio con R2K4 Industrial Reducer</v>
          </cell>
          <cell r="F251" t="str">
            <v>Ninguno</v>
          </cell>
          <cell r="G251" t="str">
            <v>7.23 Lbs/Gl</v>
          </cell>
          <cell r="H251" t="str">
            <v>0.04%</v>
          </cell>
          <cell r="I251" t="str">
            <v>12.92%</v>
          </cell>
          <cell r="J251" t="str">
            <v>12.59%</v>
          </cell>
          <cell r="K251" t="str">
            <v>2.30%</v>
          </cell>
          <cell r="L251" t="str">
            <v>10.01%</v>
          </cell>
          <cell r="M251" t="str">
            <v>50"-55" Copa Zanh #2</v>
          </cell>
          <cell r="N251" t="str">
            <v>Especial</v>
          </cell>
          <cell r="O251" t="str">
            <v>50"-55" Copa Zanh #2</v>
          </cell>
          <cell r="P251" t="str">
            <v>-</v>
          </cell>
          <cell r="Q251" t="str">
            <v>-</v>
          </cell>
          <cell r="R251" t="str">
            <v>1.0 mills</v>
          </cell>
          <cell r="S251" t="str">
            <v>Al Horno</v>
          </cell>
          <cell r="T251" t="str">
            <v>15' a 300°F</v>
          </cell>
          <cell r="U251" t="str">
            <v>207.2 Pies Cuadrados/Gl a 1 mills de espesor</v>
          </cell>
          <cell r="V251" t="str">
            <v>+80</v>
          </cell>
          <cell r="W251" t="str">
            <v>F-H</v>
          </cell>
          <cell r="X251" t="str">
            <v>6 meses</v>
          </cell>
          <cell r="Y251" t="str">
            <v>CORLASA</v>
          </cell>
          <cell r="Z251" t="str">
            <v>Envases de Hojalata</v>
          </cell>
          <cell r="AA251" t="str">
            <v>-</v>
          </cell>
          <cell r="AB251" t="str">
            <v>Luis Nolasco</v>
          </cell>
          <cell r="AC251">
            <v>34080</v>
          </cell>
        </row>
        <row r="252">
          <cell r="A252" t="str">
            <v>F73SSA3</v>
          </cell>
          <cell r="B252" t="str">
            <v>Esmalte Horneable Aluminio Martillado</v>
          </cell>
          <cell r="C252" t="str">
            <v>Interior-Exterior</v>
          </cell>
          <cell r="D252" t="str">
            <v>Hierro</v>
          </cell>
          <cell r="E252" t="str">
            <v>Limpio con R2K4 Industrial Reducer</v>
          </cell>
          <cell r="F252" t="str">
            <v>Ninguno</v>
          </cell>
          <cell r="G252" t="str">
            <v>8.10 Lbs/Gl</v>
          </cell>
          <cell r="H252" t="str">
            <v>3.98%</v>
          </cell>
          <cell r="I252" t="str">
            <v>47.30%</v>
          </cell>
          <cell r="J252" t="str">
            <v>43.22%</v>
          </cell>
          <cell r="K252" t="str">
            <v>1.93%</v>
          </cell>
          <cell r="L252" t="str">
            <v>38.31%</v>
          </cell>
          <cell r="M252" t="str">
            <v>60-70 Seg. Copa Zanh #2</v>
          </cell>
          <cell r="N252" t="str">
            <v>Pistola Convencional</v>
          </cell>
          <cell r="O252" t="str">
            <v>100"-110" Copa Zanh #2</v>
          </cell>
          <cell r="P252" t="str">
            <v>20-25%</v>
          </cell>
          <cell r="Q252" t="str">
            <v>R2K4         Industrial reducer</v>
          </cell>
          <cell r="R252" t="str">
            <v>1.0-1.25 mills</v>
          </cell>
          <cell r="S252" t="str">
            <v>Al Horno</v>
          </cell>
          <cell r="T252" t="str">
            <v>15' a 300°F</v>
          </cell>
          <cell r="U252" t="str">
            <v>612.96 Pies Cuadrados/Gl a 1 mills de espesor</v>
          </cell>
          <cell r="V252" t="str">
            <v>80-85</v>
          </cell>
          <cell r="W252" t="str">
            <v>H</v>
          </cell>
          <cell r="X252" t="str">
            <v>6 meses</v>
          </cell>
          <cell r="Y252" t="str">
            <v>SW San Pedro</v>
          </cell>
          <cell r="Z252" t="str">
            <v>Muebles Metálicos</v>
          </cell>
          <cell r="AA252" t="str">
            <v>-</v>
          </cell>
          <cell r="AB252" t="str">
            <v>Anabella de Mayorga</v>
          </cell>
          <cell r="AC252">
            <v>34100</v>
          </cell>
        </row>
        <row r="253">
          <cell r="A253" t="str">
            <v>K67ESA1</v>
          </cell>
          <cell r="B253" t="str">
            <v>Spray Enamel Aerosol Blaze Fluorescent</v>
          </cell>
          <cell r="C253" t="str">
            <v>Interior-Exterior</v>
          </cell>
          <cell r="D253" t="str">
            <v>Madera o Metal</v>
          </cell>
          <cell r="E253" t="str">
            <v>Limpia, Seca, Libre de Suciedad</v>
          </cell>
          <cell r="F253" t="str">
            <v>Aplicar una Primera Mano de F67WSA2</v>
          </cell>
          <cell r="G253" t="str">
            <v>8.17 Lbs/Gl</v>
          </cell>
          <cell r="H253" t="str">
            <v>63.98%</v>
          </cell>
          <cell r="I253" t="str">
            <v>43.62%</v>
          </cell>
          <cell r="J253" t="str">
            <v>36.02%</v>
          </cell>
          <cell r="K253" t="str">
            <v>54.42%</v>
          </cell>
          <cell r="L253" t="str">
            <v>30.56%</v>
          </cell>
          <cell r="M253" t="str">
            <v>12-15 Seg. Copa Ford #4</v>
          </cell>
          <cell r="N253" t="str">
            <v>Aerosol</v>
          </cell>
          <cell r="O253" t="str">
            <v>12-15 Seg. Copa Ford #4</v>
          </cell>
          <cell r="P253" t="str">
            <v>Ninguno</v>
          </cell>
          <cell r="Q253" t="str">
            <v>-</v>
          </cell>
          <cell r="R253" t="str">
            <v>1 mills</v>
          </cell>
          <cell r="S253" t="str">
            <v>-</v>
          </cell>
          <cell r="T253" t="str">
            <v>-</v>
          </cell>
          <cell r="U253" t="str">
            <v>490 Pies Cuadrados/Gl a 1 mills de espesor</v>
          </cell>
          <cell r="V253" t="str">
            <v>Mate</v>
          </cell>
          <cell r="W253" t="str">
            <v>-</v>
          </cell>
          <cell r="X253" t="str">
            <v>6-12 meses</v>
          </cell>
          <cell r="Y253" t="str">
            <v>SW</v>
          </cell>
          <cell r="Z253" t="str">
            <v>-</v>
          </cell>
          <cell r="AA253" t="str">
            <v>-</v>
          </cell>
          <cell r="AB253" t="str">
            <v>Anabella de Mayorga</v>
          </cell>
          <cell r="AC253">
            <v>34164</v>
          </cell>
        </row>
        <row r="254">
          <cell r="A254" t="str">
            <v>K67GSA1</v>
          </cell>
          <cell r="B254" t="str">
            <v>Spray Enamel Aerosol Stellar Green Fluorescent</v>
          </cell>
          <cell r="C254" t="str">
            <v>Interior-Exterior</v>
          </cell>
          <cell r="D254" t="str">
            <v>Madera o Metal</v>
          </cell>
          <cell r="E254" t="str">
            <v>Limpia, Seca, Libre de Suciedad</v>
          </cell>
          <cell r="F254" t="str">
            <v>Aplicar una Primera Mano de F67WSA2</v>
          </cell>
          <cell r="G254" t="str">
            <v>8.63 Lbs/Gl</v>
          </cell>
          <cell r="H254" t="str">
            <v>63.9%</v>
          </cell>
          <cell r="I254" t="str">
            <v>41.4%</v>
          </cell>
          <cell r="J254" t="str">
            <v>36%</v>
          </cell>
          <cell r="K254" t="str">
            <v>54.9%</v>
          </cell>
          <cell r="L254" t="str">
            <v>30.3%</v>
          </cell>
          <cell r="M254" t="str">
            <v>12-15 Seg. Copa Ford #4</v>
          </cell>
          <cell r="N254" t="str">
            <v>Aerosol</v>
          </cell>
          <cell r="O254" t="str">
            <v>12-15 Seg. Copa Ford #4</v>
          </cell>
          <cell r="P254" t="str">
            <v>Ninguno</v>
          </cell>
          <cell r="Q254" t="str">
            <v>-</v>
          </cell>
          <cell r="R254" t="str">
            <v>1 mills</v>
          </cell>
          <cell r="S254" t="str">
            <v>Al Aire-15 Minutos</v>
          </cell>
          <cell r="T254" t="str">
            <v>-</v>
          </cell>
          <cell r="U254" t="str">
            <v>45 Mts Cuadrados/Gl</v>
          </cell>
          <cell r="V254" t="str">
            <v>Mate</v>
          </cell>
          <cell r="W254" t="str">
            <v>-</v>
          </cell>
          <cell r="X254" t="str">
            <v>6-12 meses</v>
          </cell>
          <cell r="Y254" t="str">
            <v>SW</v>
          </cell>
          <cell r="Z254" t="str">
            <v>-</v>
          </cell>
          <cell r="AA254" t="str">
            <v>-</v>
          </cell>
          <cell r="AB254" t="str">
            <v>Rene Ferrufino</v>
          </cell>
          <cell r="AC254">
            <v>34164</v>
          </cell>
        </row>
        <row r="255">
          <cell r="A255" t="str">
            <v>K67RSA1</v>
          </cell>
          <cell r="B255" t="str">
            <v>Spray Enamel Aerosol Laser Red Fluorescent</v>
          </cell>
          <cell r="C255" t="str">
            <v>Interior-Exterior</v>
          </cell>
          <cell r="D255" t="str">
            <v>Madera o Metal</v>
          </cell>
          <cell r="E255" t="str">
            <v>Limpia, Seca, Libre de Suciedad</v>
          </cell>
          <cell r="F255" t="str">
            <v>Aplicar una Primera Mano de F67WSA2</v>
          </cell>
          <cell r="G255" t="str">
            <v>8.17 Lbs/Gl</v>
          </cell>
          <cell r="H255" t="str">
            <v>63.98%</v>
          </cell>
          <cell r="I255" t="str">
            <v>43.62%</v>
          </cell>
          <cell r="J255" t="str">
            <v>36.02%</v>
          </cell>
          <cell r="K255" t="str">
            <v>54.42%</v>
          </cell>
          <cell r="L255" t="str">
            <v>30.56%</v>
          </cell>
          <cell r="M255" t="str">
            <v>12-15 Seg. Copa Ford #4</v>
          </cell>
          <cell r="N255" t="str">
            <v>Aerosol</v>
          </cell>
          <cell r="O255" t="str">
            <v>12-15 Seg. Copa Ford #4</v>
          </cell>
          <cell r="P255" t="str">
            <v>Ninguno</v>
          </cell>
          <cell r="Q255" t="str">
            <v>-</v>
          </cell>
          <cell r="R255" t="str">
            <v>1 mills</v>
          </cell>
          <cell r="S255" t="str">
            <v>-</v>
          </cell>
          <cell r="T255" t="str">
            <v>-</v>
          </cell>
          <cell r="U255" t="str">
            <v>490 Pies Cuadrados/Gl a 1 mills de espesor</v>
          </cell>
          <cell r="V255" t="str">
            <v>Mate</v>
          </cell>
          <cell r="W255" t="str">
            <v>-</v>
          </cell>
          <cell r="X255" t="str">
            <v>6-12 meses</v>
          </cell>
          <cell r="Y255" t="str">
            <v>SW</v>
          </cell>
          <cell r="Z255" t="str">
            <v>-</v>
          </cell>
          <cell r="AA255" t="str">
            <v>-</v>
          </cell>
          <cell r="AB255" t="str">
            <v>Anabella de Mayorga</v>
          </cell>
          <cell r="AC255">
            <v>34164</v>
          </cell>
        </row>
        <row r="256">
          <cell r="A256" t="str">
            <v>K67YSA1</v>
          </cell>
          <cell r="B256" t="str">
            <v>Spray Enamel Aerosol Lunar Yellow Fluorescent</v>
          </cell>
          <cell r="C256" t="str">
            <v>Interior-Exterior</v>
          </cell>
          <cell r="D256" t="str">
            <v>Madera o Metal</v>
          </cell>
          <cell r="E256" t="str">
            <v>Limpia de Polvo</v>
          </cell>
          <cell r="F256" t="str">
            <v>Aplicar una Primera Mano de F67WSA2</v>
          </cell>
          <cell r="G256" t="str">
            <v>8.35 Lbs/Gl</v>
          </cell>
          <cell r="H256" t="str">
            <v>63.9%</v>
          </cell>
          <cell r="I256" t="str">
            <v>42.7%</v>
          </cell>
          <cell r="J256" t="str">
            <v>36%</v>
          </cell>
          <cell r="K256" t="str">
            <v>52.21%</v>
          </cell>
          <cell r="L256" t="str">
            <v>31.8%</v>
          </cell>
          <cell r="M256" t="str">
            <v>12-15 Seg. Copa Ford #4</v>
          </cell>
          <cell r="N256" t="str">
            <v>Aerosol</v>
          </cell>
          <cell r="O256" t="str">
            <v>12-15 Seg. Copa Ford #4</v>
          </cell>
          <cell r="P256" t="str">
            <v>Ninguno</v>
          </cell>
          <cell r="Q256" t="str">
            <v>-</v>
          </cell>
          <cell r="R256" t="str">
            <v>1 mills</v>
          </cell>
          <cell r="S256" t="str">
            <v>Al Aire-15 Minutos</v>
          </cell>
          <cell r="T256" t="str">
            <v>-</v>
          </cell>
          <cell r="U256" t="str">
            <v>45 Mts Cuadrados/Gl</v>
          </cell>
          <cell r="V256" t="str">
            <v>Mate</v>
          </cell>
          <cell r="W256" t="str">
            <v>-</v>
          </cell>
          <cell r="X256" t="str">
            <v>6-12 meses</v>
          </cell>
          <cell r="Y256" t="str">
            <v>SW</v>
          </cell>
          <cell r="Z256" t="str">
            <v>-</v>
          </cell>
          <cell r="AA256" t="str">
            <v>-</v>
          </cell>
          <cell r="AB256" t="str">
            <v>Rene Ferrufino</v>
          </cell>
          <cell r="AC256">
            <v>34164</v>
          </cell>
        </row>
        <row r="257">
          <cell r="A257" t="str">
            <v>SAA 3940</v>
          </cell>
          <cell r="B257" t="str">
            <v>Oil Stain Café Oscuro</v>
          </cell>
          <cell r="C257" t="str">
            <v>Interior</v>
          </cell>
          <cell r="D257" t="str">
            <v>Madera</v>
          </cell>
          <cell r="E257" t="str">
            <v>Lijada</v>
          </cell>
          <cell r="F257" t="str">
            <v>Ninguno</v>
          </cell>
          <cell r="G257" t="str">
            <v>7.26 Lbs/Gl</v>
          </cell>
          <cell r="H257" t="str">
            <v>-</v>
          </cell>
          <cell r="I257" t="str">
            <v>24.20%</v>
          </cell>
          <cell r="J257" t="str">
            <v>24.20%</v>
          </cell>
          <cell r="K257" t="str">
            <v>-</v>
          </cell>
          <cell r="L257" t="str">
            <v>20.26</v>
          </cell>
          <cell r="M257" t="str">
            <v>14"-16" Copa Zanh #2</v>
          </cell>
          <cell r="N257" t="str">
            <v>Brocha</v>
          </cell>
          <cell r="O257" t="str">
            <v>14"-16" Copa Zanh #2</v>
          </cell>
          <cell r="P257" t="str">
            <v>Ninguno</v>
          </cell>
          <cell r="Q257" t="str">
            <v>Ninguno</v>
          </cell>
          <cell r="R257" t="str">
            <v>-</v>
          </cell>
          <cell r="S257" t="str">
            <v>30 Minutos</v>
          </cell>
          <cell r="T257" t="str">
            <v>-</v>
          </cell>
          <cell r="U257" t="str">
            <v>387.2 Pies Cuadrados/Gl</v>
          </cell>
          <cell r="V257" t="str">
            <v>-</v>
          </cell>
          <cell r="W257" t="str">
            <v>-</v>
          </cell>
          <cell r="X257" t="str">
            <v>6-12 meses</v>
          </cell>
          <cell r="Y257" t="str">
            <v>Industrias Olins</v>
          </cell>
          <cell r="Z257" t="str">
            <v>Muebles de Madera.</v>
          </cell>
          <cell r="AA257" t="str">
            <v>-</v>
          </cell>
          <cell r="AB257" t="str">
            <v>Luis Nolasco</v>
          </cell>
          <cell r="AC257">
            <v>34178</v>
          </cell>
        </row>
        <row r="258">
          <cell r="A258" t="str">
            <v>SAA 3941</v>
          </cell>
          <cell r="B258" t="str">
            <v>Esmalte Horneable Acrilico Blanco Alfa</v>
          </cell>
          <cell r="C258" t="str">
            <v>Interior-Exterior Limitada</v>
          </cell>
          <cell r="D258" t="str">
            <v>Hierro</v>
          </cell>
          <cell r="E258" t="str">
            <v>Lavado, Desengrase y Fosfatizado</v>
          </cell>
          <cell r="F258" t="str">
            <v>E68WSA4 Acrylic Monobake White Primer</v>
          </cell>
          <cell r="G258" t="str">
            <v>10.06 Lbs/Gl</v>
          </cell>
          <cell r="H258" t="str">
            <v>29.75%</v>
          </cell>
          <cell r="I258" t="str">
            <v>54.86%</v>
          </cell>
          <cell r="J258" t="str">
            <v>38.54%</v>
          </cell>
          <cell r="K258" t="str">
            <v>25.50%</v>
          </cell>
          <cell r="L258" t="str">
            <v>35.50%</v>
          </cell>
          <cell r="M258" t="str">
            <v>100"-110" Copa Zanh #2</v>
          </cell>
          <cell r="N258" t="str">
            <v>Pistola</v>
          </cell>
          <cell r="O258" t="str">
            <v>25"-30" Copa Zanh #2</v>
          </cell>
          <cell r="P258" t="str">
            <v>20-25%</v>
          </cell>
          <cell r="Q258" t="str">
            <v>R2K4         Industrial reducer</v>
          </cell>
          <cell r="R258" t="str">
            <v>1.0-1.2 mills</v>
          </cell>
          <cell r="S258" t="str">
            <v>Al Horno</v>
          </cell>
          <cell r="T258" t="str">
            <v>15' a 350-400°F</v>
          </cell>
          <cell r="U258" t="str">
            <v>878 Pies Cuadrados/Gl a 1 mills de espesor</v>
          </cell>
          <cell r="V258" t="str">
            <v>+85</v>
          </cell>
          <cell r="W258" t="str">
            <v>2H-3H</v>
          </cell>
          <cell r="X258" t="str">
            <v>6-12 meses</v>
          </cell>
          <cell r="Y258" t="str">
            <v>Industrias ALFA S.A</v>
          </cell>
          <cell r="Z258" t="str">
            <v>Refrigeradoras</v>
          </cell>
          <cell r="AA258" t="str">
            <v>-</v>
          </cell>
          <cell r="AB258" t="str">
            <v>Luis Nolasco</v>
          </cell>
          <cell r="AC258">
            <v>34204</v>
          </cell>
        </row>
        <row r="259">
          <cell r="A259" t="str">
            <v>SAA 3942</v>
          </cell>
          <cell r="B259" t="str">
            <v>Esmalte Horneable Acrilico Almendra Alfa</v>
          </cell>
          <cell r="C259" t="str">
            <v>Interior-Exterior Limitada</v>
          </cell>
          <cell r="D259" t="str">
            <v>Hierro</v>
          </cell>
          <cell r="E259" t="str">
            <v>Lavado, Desengrase y Fosfatizado</v>
          </cell>
          <cell r="F259" t="str">
            <v>E68WSA4 Acrylic Monobake White Primer</v>
          </cell>
          <cell r="G259" t="str">
            <v>10.06 Lbs/Gl</v>
          </cell>
          <cell r="H259" t="str">
            <v>29.75%</v>
          </cell>
          <cell r="I259" t="str">
            <v>54.86%</v>
          </cell>
          <cell r="J259" t="str">
            <v>38.54%</v>
          </cell>
          <cell r="K259" t="str">
            <v>25.50%</v>
          </cell>
          <cell r="L259" t="str">
            <v>35.50%</v>
          </cell>
          <cell r="M259" t="str">
            <v>100"-110" Copa Zanh #2</v>
          </cell>
          <cell r="N259" t="str">
            <v>Pistola</v>
          </cell>
          <cell r="O259" t="str">
            <v>25"-30" Copa Zanh #2</v>
          </cell>
          <cell r="P259" t="str">
            <v>20-25%</v>
          </cell>
          <cell r="Q259" t="str">
            <v>R2K4         Industrial reducer</v>
          </cell>
          <cell r="R259" t="str">
            <v>1.0-1.2 mills</v>
          </cell>
          <cell r="S259" t="str">
            <v>Al Horno</v>
          </cell>
          <cell r="T259" t="str">
            <v>15' a 350-400°F</v>
          </cell>
          <cell r="U259" t="str">
            <v>878 Pies Cuadrados/Gl a 1 mills de espesor</v>
          </cell>
          <cell r="V259" t="str">
            <v>+85</v>
          </cell>
          <cell r="W259" t="str">
            <v>2H-3H</v>
          </cell>
          <cell r="X259" t="str">
            <v>6-12 meses</v>
          </cell>
          <cell r="Y259" t="str">
            <v>Industrias ALFA S.A</v>
          </cell>
          <cell r="Z259" t="str">
            <v>Refrigeradoras</v>
          </cell>
          <cell r="AA259" t="str">
            <v>-</v>
          </cell>
          <cell r="AB259" t="str">
            <v>Luis Nolasco</v>
          </cell>
          <cell r="AC259">
            <v>34204</v>
          </cell>
        </row>
        <row r="260">
          <cell r="A260" t="str">
            <v>G78RSA3</v>
          </cell>
          <cell r="B260" t="str">
            <v>Esmalte Horneable Acrilico Rojo TAPPAN</v>
          </cell>
          <cell r="C260" t="str">
            <v>Interior-Exterior Limitada</v>
          </cell>
          <cell r="D260" t="str">
            <v>Hierro</v>
          </cell>
          <cell r="E260" t="str">
            <v>Lavado y Eliminación de Corrosión</v>
          </cell>
          <cell r="F260" t="str">
            <v>E68WSA4 Acrylic Monobake White Primer</v>
          </cell>
          <cell r="G260" t="str">
            <v>8.46 Lbs/Gl</v>
          </cell>
          <cell r="H260" t="str">
            <v>10.35%</v>
          </cell>
          <cell r="I260" t="str">
            <v>43.09%</v>
          </cell>
          <cell r="J260" t="str">
            <v>36.52%</v>
          </cell>
          <cell r="K260" t="str">
            <v>6.84%</v>
          </cell>
          <cell r="L260" t="str">
            <v>33.78%</v>
          </cell>
          <cell r="M260" t="str">
            <v>100"-110" Copa Zanh #2</v>
          </cell>
          <cell r="N260" t="str">
            <v>Pistola</v>
          </cell>
          <cell r="O260" t="str">
            <v>25"-30" Copa Zanh #2</v>
          </cell>
          <cell r="P260" t="str">
            <v>20-25%</v>
          </cell>
          <cell r="Q260" t="str">
            <v>R2K4         Industrial reducer</v>
          </cell>
          <cell r="R260" t="str">
            <v>1.0-1.2 mills</v>
          </cell>
          <cell r="S260" t="str">
            <v>Al Horno</v>
          </cell>
          <cell r="T260" t="str">
            <v>15' a 350-400°F</v>
          </cell>
          <cell r="U260" t="str">
            <v>689.44 Pies Cuadrados/Gl a 1 mills de espesor</v>
          </cell>
          <cell r="V260" t="str">
            <v>+85</v>
          </cell>
          <cell r="W260" t="str">
            <v>2H-3H</v>
          </cell>
          <cell r="X260" t="str">
            <v>6-12 meses</v>
          </cell>
          <cell r="Y260" t="str">
            <v>TAPPAN-GUATEMALA</v>
          </cell>
          <cell r="Z260" t="str">
            <v>Artículos de Cocina</v>
          </cell>
          <cell r="AA260" t="str">
            <v>-</v>
          </cell>
          <cell r="AB260" t="str">
            <v>Luis Nolasco</v>
          </cell>
          <cell r="AC260">
            <v>34215</v>
          </cell>
        </row>
        <row r="261">
          <cell r="A261" t="str">
            <v>B97WD2049</v>
          </cell>
          <cell r="B261" t="str">
            <v>Pintura de Tráfico Blanca TTP-1952-B</v>
          </cell>
          <cell r="C261" t="str">
            <v>Interior-Exterior</v>
          </cell>
          <cell r="D261" t="str">
            <v>Asfalto y Concreto</v>
          </cell>
          <cell r="E261" t="str">
            <v>Limpia, Seca y Libre de Exudación de Asfalto</v>
          </cell>
          <cell r="F261" t="str">
            <v>Ninguno</v>
          </cell>
          <cell r="G261" t="str">
            <v>12.41 Lbs/Gl</v>
          </cell>
          <cell r="H261" t="str">
            <v>50%</v>
          </cell>
          <cell r="I261" t="str">
            <v>66.5%</v>
          </cell>
          <cell r="J261" t="str">
            <v>33%</v>
          </cell>
          <cell r="K261" t="str">
            <v>-</v>
          </cell>
          <cell r="L261" t="str">
            <v>51%</v>
          </cell>
          <cell r="M261" t="str">
            <v>75-85 KU (Stormer)</v>
          </cell>
          <cell r="N261" t="str">
            <v>Brocha, Rodillo Industrial, Máquina Franjeadora, Etc.</v>
          </cell>
          <cell r="O261" t="str">
            <v>Lista Para Usar.</v>
          </cell>
          <cell r="P261" t="str">
            <v>Ninguno</v>
          </cell>
          <cell r="Q261" t="str">
            <v>Agua, si es necesario.</v>
          </cell>
          <cell r="R261" t="str">
            <v>4-5 mills/Pulg.</v>
          </cell>
          <cell r="S261" t="str">
            <v>30 Minutos. No Transitar antes de 1 Hora</v>
          </cell>
          <cell r="T261" t="str">
            <v>-</v>
          </cell>
          <cell r="U261" t="str">
            <v>45-50 Mts Cuadrados/Gl</v>
          </cell>
          <cell r="V261" t="str">
            <v>1-2 (Mate)</v>
          </cell>
          <cell r="W261" t="str">
            <v>5B-4B</v>
          </cell>
          <cell r="X261" t="str">
            <v>12 meses</v>
          </cell>
          <cell r="Y261" t="str">
            <v>Mercantil Internacional, S.A de C.V</v>
          </cell>
          <cell r="Z261" t="str">
            <v>Placas de Vehículos.</v>
          </cell>
          <cell r="AA261" t="str">
            <v>-</v>
          </cell>
          <cell r="AB261" t="str">
            <v>Rene Ferrufino</v>
          </cell>
          <cell r="AC261">
            <v>34225</v>
          </cell>
        </row>
        <row r="262">
          <cell r="A262" t="str">
            <v>SAA 3947</v>
          </cell>
          <cell r="B262" t="str">
            <v>Esmalte Horneable Blanco IMSA</v>
          </cell>
          <cell r="C262" t="str">
            <v>Interior-Exterior</v>
          </cell>
          <cell r="D262" t="str">
            <v>Hierro</v>
          </cell>
          <cell r="E262" t="str">
            <v>Limpio con R2K4 Industrial Reducer</v>
          </cell>
          <cell r="F262" t="str">
            <v>Ninguno</v>
          </cell>
          <cell r="G262" t="str">
            <v>9.46 Lbs/Gl</v>
          </cell>
          <cell r="H262" t="str">
            <v>43.30%</v>
          </cell>
          <cell r="I262" t="str">
            <v>58.50%</v>
          </cell>
          <cell r="J262" t="str">
            <v>56.70%</v>
          </cell>
          <cell r="K262" t="str">
            <v>17.95%</v>
          </cell>
          <cell r="L262" t="str">
            <v>41.22%</v>
          </cell>
          <cell r="M262" t="str">
            <v>100"-110" Copa Zanh #2</v>
          </cell>
          <cell r="N262" t="str">
            <v>Pistola Convencional</v>
          </cell>
          <cell r="O262" t="str">
            <v>20-25 seg. Copa Zanh #2</v>
          </cell>
          <cell r="P262" t="str">
            <v>20-25%</v>
          </cell>
          <cell r="Q262" t="str">
            <v>R2K4         Industrial reducer</v>
          </cell>
          <cell r="R262" t="str">
            <v>1.0-1.25 mills</v>
          </cell>
          <cell r="S262" t="str">
            <v>Al Horno</v>
          </cell>
          <cell r="T262" t="str">
            <v>15' a 300°F</v>
          </cell>
          <cell r="U262" t="str">
            <v>655 Pies Cuadrados/Gl a 1 mills de espesor</v>
          </cell>
          <cell r="V262" t="str">
            <v>+85</v>
          </cell>
          <cell r="W262" t="str">
            <v>H</v>
          </cell>
          <cell r="X262" t="str">
            <v>6-12 meses</v>
          </cell>
          <cell r="Y262" t="str">
            <v>Industrias Metálicas S.A</v>
          </cell>
          <cell r="Z262" t="str">
            <v>Muebles Metálicos</v>
          </cell>
          <cell r="AA262" t="str">
            <v>-</v>
          </cell>
          <cell r="AB262" t="str">
            <v>Anabella de Mayorga</v>
          </cell>
          <cell r="AC262">
            <v>34235</v>
          </cell>
        </row>
        <row r="263">
          <cell r="A263" t="str">
            <v>SAA 3948</v>
          </cell>
          <cell r="B263" t="str">
            <v>Esmalte Horneable Acrílico Beige</v>
          </cell>
          <cell r="C263" t="str">
            <v>Interior-Exterior Limitada</v>
          </cell>
          <cell r="D263" t="str">
            <v>Hierro</v>
          </cell>
          <cell r="E263" t="str">
            <v>Lavado, Desengrase y Fosfatizado</v>
          </cell>
          <cell r="F263" t="str">
            <v>E68WSA4 Acrylic Monobake White Primer</v>
          </cell>
          <cell r="G263" t="str">
            <v>10.06 Lbs/Gl</v>
          </cell>
          <cell r="H263" t="str">
            <v>29.75%</v>
          </cell>
          <cell r="I263" t="str">
            <v>54.86%</v>
          </cell>
          <cell r="J263" t="str">
            <v>38.54%</v>
          </cell>
          <cell r="K263" t="str">
            <v>25.50%</v>
          </cell>
          <cell r="L263" t="str">
            <v>35.50%</v>
          </cell>
          <cell r="M263" t="str">
            <v>100"-110" Copa Zanh #2</v>
          </cell>
          <cell r="N263" t="str">
            <v>Pistola</v>
          </cell>
          <cell r="O263" t="str">
            <v>25"-30" Copa Zanh #2</v>
          </cell>
          <cell r="P263" t="str">
            <v>20-25%</v>
          </cell>
          <cell r="Q263" t="str">
            <v>R2K4         Industrial reducer</v>
          </cell>
          <cell r="R263" t="str">
            <v>1.0-1.2 mills</v>
          </cell>
          <cell r="S263" t="str">
            <v>Al Horno</v>
          </cell>
          <cell r="T263" t="str">
            <v>15' a 350-400°F</v>
          </cell>
          <cell r="U263" t="str">
            <v>878 Pies Cuadrados/Gl a 1 mills de espesor</v>
          </cell>
          <cell r="V263" t="str">
            <v>+85</v>
          </cell>
          <cell r="W263" t="str">
            <v>2H-3H</v>
          </cell>
          <cell r="X263" t="str">
            <v>6-12 meses</v>
          </cell>
          <cell r="Y263" t="str">
            <v>TAPPAN-GUATEMALA</v>
          </cell>
          <cell r="Z263" t="str">
            <v>Cocinas</v>
          </cell>
          <cell r="AA263" t="str">
            <v>-</v>
          </cell>
          <cell r="AB263" t="str">
            <v>Luis Nolasco</v>
          </cell>
          <cell r="AC263">
            <v>34236</v>
          </cell>
        </row>
        <row r="264">
          <cell r="A264" t="str">
            <v>SAA 3952</v>
          </cell>
          <cell r="B264" t="str">
            <v>Esmalte Horneable Acrílico Blanco TAPPAN</v>
          </cell>
          <cell r="C264" t="str">
            <v>Interior-Exterior Limitada</v>
          </cell>
          <cell r="D264" t="str">
            <v>Hierro</v>
          </cell>
          <cell r="E264" t="str">
            <v>Lavado, Desengrase y Fosfatizado</v>
          </cell>
          <cell r="F264" t="str">
            <v>E68WSA4 Acrylic Monobake White Primer</v>
          </cell>
          <cell r="G264" t="str">
            <v>10.06 Lbs/Gl</v>
          </cell>
          <cell r="H264" t="str">
            <v>29.75%</v>
          </cell>
          <cell r="I264" t="str">
            <v>54.86%</v>
          </cell>
          <cell r="J264" t="str">
            <v>38.54%</v>
          </cell>
          <cell r="K264" t="str">
            <v>25.50%</v>
          </cell>
          <cell r="L264" t="str">
            <v>35.50%</v>
          </cell>
          <cell r="M264" t="str">
            <v>100"-110" Copa Zanh #2</v>
          </cell>
          <cell r="N264" t="str">
            <v>Pistola</v>
          </cell>
          <cell r="O264" t="str">
            <v>25"-30" Copa Zanh #2</v>
          </cell>
          <cell r="P264" t="str">
            <v>20-25%</v>
          </cell>
          <cell r="Q264" t="str">
            <v>R2K4         Industrial reducer</v>
          </cell>
          <cell r="R264" t="str">
            <v>1.0-1.2 mills</v>
          </cell>
          <cell r="S264" t="str">
            <v>Al Horno</v>
          </cell>
          <cell r="T264" t="str">
            <v>15' a 350-400°F</v>
          </cell>
          <cell r="U264" t="str">
            <v>878 Pies Cuadrados/Gl a 1 mills de espesor</v>
          </cell>
          <cell r="V264" t="str">
            <v>+85</v>
          </cell>
          <cell r="W264" t="str">
            <v>2H-3H</v>
          </cell>
          <cell r="X264" t="str">
            <v>6-12 meses</v>
          </cell>
          <cell r="Y264" t="str">
            <v>TAPPAN-GUATEMALA</v>
          </cell>
          <cell r="Z264" t="str">
            <v>Cocinas</v>
          </cell>
          <cell r="AA264" t="str">
            <v>-</v>
          </cell>
          <cell r="AB264" t="str">
            <v>Luis Nolasco</v>
          </cell>
          <cell r="AC264">
            <v>34249</v>
          </cell>
        </row>
        <row r="265">
          <cell r="A265" t="str">
            <v>SAA 3960</v>
          </cell>
          <cell r="B265" t="str">
            <v>Laca Industrial Naranja Boira</v>
          </cell>
          <cell r="C265" t="str">
            <v>Interior</v>
          </cell>
          <cell r="D265" t="str">
            <v>Hierro</v>
          </cell>
          <cell r="E265" t="str">
            <v>Limpia con Solvente Kreel Clean</v>
          </cell>
          <cell r="F265" t="str">
            <v>Ninguno</v>
          </cell>
          <cell r="G265" t="str">
            <v>7.41 Lbs/Gl</v>
          </cell>
          <cell r="H265" t="str">
            <v>5.21%</v>
          </cell>
          <cell r="I265" t="str">
            <v>38.6%</v>
          </cell>
          <cell r="J265" t="str">
            <v>33.39%</v>
          </cell>
          <cell r="K265" t="str">
            <v>4.60%</v>
          </cell>
          <cell r="L265" t="str">
            <v>28.85%</v>
          </cell>
          <cell r="M265" t="str">
            <v>30"-40" SW #5</v>
          </cell>
          <cell r="N265" t="str">
            <v>Inmersión</v>
          </cell>
          <cell r="O265" t="str">
            <v>18"-20" Copa Ford #4</v>
          </cell>
          <cell r="P265" t="str">
            <v>100-150%</v>
          </cell>
          <cell r="Q265" t="str">
            <v>R7K128</v>
          </cell>
          <cell r="R265" t="str">
            <v>1 mills</v>
          </cell>
          <cell r="S265" t="str">
            <v>Al Aire</v>
          </cell>
          <cell r="T265" t="str">
            <v>-</v>
          </cell>
          <cell r="U265" t="str">
            <v>461 Pies Cuadrados/Gl</v>
          </cell>
          <cell r="V265" t="str">
            <v>+80</v>
          </cell>
          <cell r="W265" t="str">
            <v>2B</v>
          </cell>
          <cell r="X265" t="str">
            <v>6-12 meses</v>
          </cell>
          <cell r="Y265" t="str">
            <v>BOIRA</v>
          </cell>
          <cell r="Z265" t="str">
            <v>Sierras Metálicas</v>
          </cell>
          <cell r="AA265" t="str">
            <v>-</v>
          </cell>
          <cell r="AB265" t="str">
            <v>Rene Ferrufino</v>
          </cell>
          <cell r="AC265">
            <v>34257</v>
          </cell>
        </row>
        <row r="266">
          <cell r="A266" t="str">
            <v>SAA 3963</v>
          </cell>
          <cell r="B266" t="str">
            <v>Esmalte Horneable Alquidico Blanco IMSA</v>
          </cell>
          <cell r="C266" t="str">
            <v>Interior-Exterior</v>
          </cell>
          <cell r="D266" t="str">
            <v>Hierro</v>
          </cell>
          <cell r="E266" t="str">
            <v>Limpio con R2K4 Industrial Reducer</v>
          </cell>
          <cell r="F266" t="str">
            <v>Ninguno</v>
          </cell>
          <cell r="G266" t="str">
            <v>10.39 Lbs/Gl</v>
          </cell>
          <cell r="H266" t="str">
            <v>28.57%</v>
          </cell>
          <cell r="I266" t="str">
            <v>64.88%</v>
          </cell>
          <cell r="J266" t="str">
            <v>50.83%</v>
          </cell>
          <cell r="K266" t="str">
            <v>18.89%</v>
          </cell>
          <cell r="L266" t="str">
            <v>47.43%</v>
          </cell>
          <cell r="M266" t="str">
            <v>100"-110" Copa Zanh #2</v>
          </cell>
          <cell r="N266" t="str">
            <v>Pistola</v>
          </cell>
          <cell r="O266" t="str">
            <v>25"-30" Copa Zanh #2</v>
          </cell>
          <cell r="P266" t="str">
            <v>20-25%</v>
          </cell>
          <cell r="Q266" t="str">
            <v>R2K4         Industrial reducer</v>
          </cell>
          <cell r="R266" t="str">
            <v>1.0-1.2 mills</v>
          </cell>
          <cell r="S266" t="str">
            <v>Al Horno</v>
          </cell>
          <cell r="T266" t="str">
            <v>15' a 300°F</v>
          </cell>
          <cell r="U266" t="str">
            <v>1,038.08 Pies Cuadrados/Gl a 1 mills de espesor</v>
          </cell>
          <cell r="V266" t="str">
            <v>+85</v>
          </cell>
          <cell r="W266" t="str">
            <v>H</v>
          </cell>
          <cell r="X266" t="str">
            <v>6-12 meses</v>
          </cell>
          <cell r="Y266" t="str">
            <v>Industrias Metálicas S.A</v>
          </cell>
          <cell r="Z266" t="str">
            <v>Muebles Metálicos</v>
          </cell>
          <cell r="AA266" t="str">
            <v>-</v>
          </cell>
          <cell r="AB266" t="str">
            <v>Luis Nolasco</v>
          </cell>
          <cell r="AC266">
            <v>34260</v>
          </cell>
        </row>
        <row r="267">
          <cell r="A267" t="str">
            <v>SAA 3965</v>
          </cell>
          <cell r="B267" t="str">
            <v>Esmalte Horneable Alquidico Café Metálico IMSA</v>
          </cell>
          <cell r="C267" t="str">
            <v>Interior-Exterior</v>
          </cell>
          <cell r="D267" t="str">
            <v>Hierro</v>
          </cell>
          <cell r="E267" t="str">
            <v>Limpio con R2K4 Industrial Reducer</v>
          </cell>
          <cell r="F267" t="str">
            <v>Ninguno</v>
          </cell>
          <cell r="G267" t="str">
            <v>8.48 Lbs/Gl</v>
          </cell>
          <cell r="H267" t="str">
            <v>9.74%</v>
          </cell>
          <cell r="I267" t="str">
            <v>48.31%</v>
          </cell>
          <cell r="J267" t="str">
            <v>42.73%</v>
          </cell>
          <cell r="K267" t="str">
            <v>10.75%</v>
          </cell>
          <cell r="L267" t="str">
            <v>37.22%</v>
          </cell>
          <cell r="M267" t="str">
            <v>100"-110" Copa Zanh #2</v>
          </cell>
          <cell r="N267" t="str">
            <v>Pistola</v>
          </cell>
          <cell r="O267" t="str">
            <v>25"-30" Copa Zanh #2</v>
          </cell>
          <cell r="P267" t="str">
            <v>20-25%</v>
          </cell>
          <cell r="Q267" t="str">
            <v>R2K4         Industrial reducer</v>
          </cell>
          <cell r="R267" t="str">
            <v>1.0-1.2 mills</v>
          </cell>
          <cell r="S267" t="str">
            <v>Al Horno</v>
          </cell>
          <cell r="T267" t="str">
            <v>15' a 300°F</v>
          </cell>
          <cell r="U267" t="str">
            <v>772.96 Pies Cuadrados/Gl a 1 mills de espesor</v>
          </cell>
          <cell r="V267" t="str">
            <v>14-16</v>
          </cell>
          <cell r="W267" t="str">
            <v>H</v>
          </cell>
          <cell r="X267" t="str">
            <v>6-12 meses</v>
          </cell>
          <cell r="Y267" t="str">
            <v>Industrias Metálicas S.A</v>
          </cell>
          <cell r="Z267" t="str">
            <v>Muebles Metálicos</v>
          </cell>
          <cell r="AA267" t="str">
            <v>-</v>
          </cell>
          <cell r="AB267" t="str">
            <v>Luis Nolasco</v>
          </cell>
          <cell r="AC267">
            <v>34270</v>
          </cell>
        </row>
        <row r="268">
          <cell r="A268" t="str">
            <v>SAA 3966</v>
          </cell>
          <cell r="B268" t="str">
            <v>Esmalte Horneable Alquidico Azul Metálico Martillado</v>
          </cell>
          <cell r="C268" t="str">
            <v>Interior-Exterior</v>
          </cell>
          <cell r="D268" t="str">
            <v>Hierro</v>
          </cell>
          <cell r="E268" t="str">
            <v>Limpio con R2K4 Industrial Reducer</v>
          </cell>
          <cell r="F268" t="str">
            <v>Ninguno</v>
          </cell>
          <cell r="G268" t="str">
            <v>8.06 Lbs/Gl</v>
          </cell>
          <cell r="H268" t="str">
            <v>2.86%</v>
          </cell>
          <cell r="I268" t="str">
            <v>43.36%</v>
          </cell>
          <cell r="J268" t="str">
            <v>41.69%</v>
          </cell>
          <cell r="K268" t="str">
            <v>3.93%</v>
          </cell>
          <cell r="L268" t="str">
            <v>34.60%</v>
          </cell>
          <cell r="M268" t="str">
            <v>60"-70" Copa Zanh #2</v>
          </cell>
          <cell r="N268" t="str">
            <v>Pistola</v>
          </cell>
          <cell r="O268" t="str">
            <v>60"-70" Copa Zanh #2</v>
          </cell>
          <cell r="P268" t="str">
            <v>Listo Para Usar</v>
          </cell>
          <cell r="Q268" t="str">
            <v>Lo necesario con R2K4         Industrial reducer</v>
          </cell>
          <cell r="R268" t="str">
            <v>1.2-1.4 mills</v>
          </cell>
          <cell r="S268" t="str">
            <v>Al Horno</v>
          </cell>
          <cell r="T268" t="str">
            <v>15' a 300°F</v>
          </cell>
          <cell r="U268" t="str">
            <v>693.76 Pies Cuadrados/Gl a 1 mills de espesor</v>
          </cell>
          <cell r="V268" t="str">
            <v>80-85</v>
          </cell>
          <cell r="W268" t="str">
            <v>H</v>
          </cell>
          <cell r="X268" t="str">
            <v>6-12 meses</v>
          </cell>
          <cell r="Y268" t="str">
            <v>Leon Quam</v>
          </cell>
          <cell r="Z268" t="str">
            <v>Cocinas Metálicas</v>
          </cell>
          <cell r="AA268" t="str">
            <v>-</v>
          </cell>
          <cell r="AB268" t="str">
            <v>Luis Nolasco</v>
          </cell>
          <cell r="AC268">
            <v>34277</v>
          </cell>
        </row>
        <row r="269">
          <cell r="A269" t="str">
            <v>SAA 3967</v>
          </cell>
          <cell r="B269" t="str">
            <v>Laca Azul Especial Para Cuero</v>
          </cell>
          <cell r="C269" t="str">
            <v>Interior</v>
          </cell>
          <cell r="D269" t="str">
            <v>Cuero-Plastico</v>
          </cell>
          <cell r="E269" t="str">
            <v>Limpio con Solvente</v>
          </cell>
          <cell r="F269" t="str">
            <v>Ninguno</v>
          </cell>
          <cell r="G269" t="str">
            <v>7.60 Lbs/Gl</v>
          </cell>
          <cell r="H269" t="str">
            <v>-</v>
          </cell>
          <cell r="I269" t="str">
            <v>30.21%</v>
          </cell>
          <cell r="J269" t="str">
            <v>-</v>
          </cell>
          <cell r="K269" t="str">
            <v>-</v>
          </cell>
          <cell r="L269" t="str">
            <v>23.30%</v>
          </cell>
          <cell r="M269" t="str">
            <v>25"-30" Copa SW #5</v>
          </cell>
          <cell r="N269" t="str">
            <v>Pistola</v>
          </cell>
          <cell r="O269" t="str">
            <v>18"-20" Copa Zanh #2</v>
          </cell>
          <cell r="P269" t="str">
            <v>100-150%</v>
          </cell>
          <cell r="Q269" t="str">
            <v>R7K128</v>
          </cell>
          <cell r="R269" t="str">
            <v>1.0-1.2 mills</v>
          </cell>
          <cell r="S269" t="str">
            <v>Al Aire</v>
          </cell>
          <cell r="T269" t="str">
            <v>-</v>
          </cell>
          <cell r="U269" t="str">
            <v>483.36 Pies Cuadrados/Gl a 1 mills de espesor</v>
          </cell>
          <cell r="V269" t="str">
            <v>+85</v>
          </cell>
          <cell r="W269" t="str">
            <v xml:space="preserve">B </v>
          </cell>
          <cell r="X269" t="str">
            <v>6-12 meses</v>
          </cell>
          <cell r="Y269" t="str">
            <v>L.F RIVERA-HONDURAS</v>
          </cell>
          <cell r="Z269" t="str">
            <v>Objetos de Cuero y Plastico</v>
          </cell>
          <cell r="AA269" t="str">
            <v>-</v>
          </cell>
          <cell r="AB269" t="str">
            <v>Luis Nolasco</v>
          </cell>
          <cell r="AC269">
            <v>34311</v>
          </cell>
        </row>
        <row r="270">
          <cell r="A270" t="str">
            <v>SAA 3974</v>
          </cell>
          <cell r="B270" t="str">
            <v>Esmalte Horneable Alquidico Café HECASA</v>
          </cell>
          <cell r="C270" t="str">
            <v>Interior-Exterior</v>
          </cell>
          <cell r="D270" t="str">
            <v>Hierro</v>
          </cell>
          <cell r="E270" t="str">
            <v>Lavado y Desengrase Químico por Inmersión</v>
          </cell>
          <cell r="F270" t="str">
            <v>E68WSA1 (Monobake Primer)</v>
          </cell>
          <cell r="G270" t="str">
            <v>8.36 Lbs/Gl</v>
          </cell>
          <cell r="H270" t="str">
            <v>7.37%</v>
          </cell>
          <cell r="I270" t="str">
            <v>47.08%</v>
          </cell>
          <cell r="J270" t="str">
            <v>42.87%</v>
          </cell>
          <cell r="K270" t="str">
            <v>2.45%</v>
          </cell>
          <cell r="L270" t="str">
            <v>35.97%</v>
          </cell>
          <cell r="M270" t="str">
            <v>100"-110" Copa Zanh #2</v>
          </cell>
          <cell r="N270" t="str">
            <v>Pistola</v>
          </cell>
          <cell r="O270" t="str">
            <v>20"-25" Copa Zanh #2</v>
          </cell>
          <cell r="P270" t="str">
            <v>20-25%</v>
          </cell>
          <cell r="Q270" t="str">
            <v>R2K4         Industrial reducer</v>
          </cell>
          <cell r="R270" t="str">
            <v>1.0-1.2 mills</v>
          </cell>
          <cell r="S270" t="str">
            <v>Al Horno</v>
          </cell>
          <cell r="T270" t="str">
            <v>15' a 300°F</v>
          </cell>
          <cell r="U270" t="str">
            <v>753.28 Pies Cuadrados/Gl a 1 mills de espesor</v>
          </cell>
          <cell r="V270" t="str">
            <v>35-40</v>
          </cell>
          <cell r="W270" t="str">
            <v>H</v>
          </cell>
          <cell r="X270" t="str">
            <v>6-12 meses</v>
          </cell>
          <cell r="Y270" t="str">
            <v>HECASA</v>
          </cell>
          <cell r="Z270" t="str">
            <v>Puertas Metálicas</v>
          </cell>
          <cell r="AA270" t="str">
            <v>-</v>
          </cell>
          <cell r="AB270" t="str">
            <v>Luis Nolasco</v>
          </cell>
          <cell r="AC270">
            <v>34386</v>
          </cell>
        </row>
        <row r="271">
          <cell r="A271" t="str">
            <v>SAA 3975</v>
          </cell>
          <cell r="B271" t="str">
            <v>Esmalte horneable Alquídico Café ALFA</v>
          </cell>
          <cell r="C271" t="str">
            <v>Interior-Exterior</v>
          </cell>
          <cell r="D271" t="str">
            <v>Hierro</v>
          </cell>
          <cell r="E271" t="str">
            <v>Limpio con R2K4 Industrial Reducer</v>
          </cell>
          <cell r="F271" t="str">
            <v>E68WSA1 (Monobake Primer)</v>
          </cell>
          <cell r="G271" t="str">
            <v>8.25 Lbs/Gl</v>
          </cell>
          <cell r="H271" t="str">
            <v>5.54%</v>
          </cell>
          <cell r="I271" t="str">
            <v>45.39%</v>
          </cell>
          <cell r="J271" t="str">
            <v>42.19%</v>
          </cell>
          <cell r="K271" t="str">
            <v>4.04%</v>
          </cell>
          <cell r="L271" t="str">
            <v>34.93%</v>
          </cell>
          <cell r="M271" t="str">
            <v>100"-110" Copa Zanh #2</v>
          </cell>
          <cell r="N271" t="str">
            <v>Pistola</v>
          </cell>
          <cell r="O271" t="str">
            <v>20"-25" Copa Zanh #2</v>
          </cell>
          <cell r="P271" t="str">
            <v>20-25%</v>
          </cell>
          <cell r="Q271" t="str">
            <v>R2K4         Industrial reducer</v>
          </cell>
          <cell r="R271" t="str">
            <v>1.0-1.2 mills</v>
          </cell>
          <cell r="S271" t="str">
            <v>Al Horno</v>
          </cell>
          <cell r="T271" t="str">
            <v>15' a 300°F</v>
          </cell>
          <cell r="U271" t="str">
            <v>726.74 Pies Cuadrados/Gl a 1 mills de espesor</v>
          </cell>
          <cell r="V271" t="str">
            <v>+85</v>
          </cell>
          <cell r="W271" t="str">
            <v>H</v>
          </cell>
          <cell r="X271" t="str">
            <v>6-12 meses</v>
          </cell>
          <cell r="Y271" t="str">
            <v>Industrias ALFA S.A</v>
          </cell>
          <cell r="Z271" t="str">
            <v>Cocinas</v>
          </cell>
          <cell r="AA271" t="str">
            <v>-</v>
          </cell>
          <cell r="AB271" t="str">
            <v>Luis Nolasco</v>
          </cell>
          <cell r="AC271">
            <v>34387</v>
          </cell>
        </row>
        <row r="272">
          <cell r="A272" t="str">
            <v>SAA 3977</v>
          </cell>
          <cell r="B272" t="str">
            <v>Esmalte Horneable Alquídico Café Oscuro Martillado</v>
          </cell>
          <cell r="C272" t="str">
            <v>Interior-Exterior</v>
          </cell>
          <cell r="D272" t="str">
            <v>Hierro</v>
          </cell>
          <cell r="E272" t="str">
            <v>Limpio con R2K4 Industrial Reducer</v>
          </cell>
          <cell r="F272" t="str">
            <v>Ninguno</v>
          </cell>
          <cell r="G272" t="str">
            <v>8.14 Lbs/Gl</v>
          </cell>
          <cell r="H272" t="str">
            <v>1.54%</v>
          </cell>
          <cell r="I272" t="str">
            <v>46.88%</v>
          </cell>
          <cell r="J272" t="str">
            <v>46.08%</v>
          </cell>
          <cell r="K272" t="str">
            <v>2.09%</v>
          </cell>
          <cell r="L272" t="str">
            <v>38.30%</v>
          </cell>
          <cell r="M272" t="str">
            <v>100"-110" Copa Zanh #2</v>
          </cell>
          <cell r="N272" t="str">
            <v>Pistola</v>
          </cell>
          <cell r="O272" t="str">
            <v>70"-80" Copa Zanh #2</v>
          </cell>
          <cell r="P272" t="str">
            <v>Lo necesario</v>
          </cell>
          <cell r="Q272" t="str">
            <v>R2K4         Industrial reducer</v>
          </cell>
          <cell r="R272" t="str">
            <v>1.0-1.2 mills</v>
          </cell>
          <cell r="S272" t="str">
            <v>Al Horno</v>
          </cell>
          <cell r="T272" t="str">
            <v>15' a 300°F</v>
          </cell>
          <cell r="U272" t="str">
            <v>750.08 Pies Cuadrados/Gl a 1 mills de espesor</v>
          </cell>
          <cell r="V272" t="str">
            <v>STD</v>
          </cell>
          <cell r="W272" t="str">
            <v>H</v>
          </cell>
          <cell r="X272" t="str">
            <v>6-12 meses</v>
          </cell>
          <cell r="Y272" t="str">
            <v>Industrias ALFA S.A</v>
          </cell>
          <cell r="Z272" t="str">
            <v>Cocinas</v>
          </cell>
          <cell r="AA272" t="str">
            <v>-</v>
          </cell>
          <cell r="AB272" t="str">
            <v>Luis Nolasco</v>
          </cell>
          <cell r="AC272">
            <v>34393</v>
          </cell>
        </row>
        <row r="273">
          <cell r="A273" t="str">
            <v>SAA 3978</v>
          </cell>
          <cell r="B273" t="str">
            <v>Esmalte Horneable Alquídico Negro Martillado</v>
          </cell>
          <cell r="C273" t="str">
            <v>Interior-Exterior</v>
          </cell>
          <cell r="D273" t="str">
            <v>Hierro</v>
          </cell>
          <cell r="E273" t="str">
            <v>Limpio con R2K4 Industrial Reducer</v>
          </cell>
          <cell r="F273" t="str">
            <v>Ninguno</v>
          </cell>
          <cell r="G273" t="str">
            <v>8.13 Lbs/Gl</v>
          </cell>
          <cell r="H273" t="str">
            <v>1.22%</v>
          </cell>
          <cell r="I273" t="str">
            <v>46.62%</v>
          </cell>
          <cell r="J273" t="str">
            <v>45.96%</v>
          </cell>
          <cell r="K273" t="str">
            <v>1.58%</v>
          </cell>
          <cell r="L273" t="str">
            <v>43.76%</v>
          </cell>
          <cell r="M273" t="str">
            <v>100"-110" Copa Zanh #2</v>
          </cell>
          <cell r="N273" t="str">
            <v>Pistola</v>
          </cell>
          <cell r="O273" t="str">
            <v>70"-80" Copa Zanh #2</v>
          </cell>
          <cell r="P273" t="str">
            <v>Lo necesario</v>
          </cell>
          <cell r="Q273" t="str">
            <v>R2K4         Industrial reducer</v>
          </cell>
          <cell r="R273" t="str">
            <v>1.0-1.2 mills</v>
          </cell>
          <cell r="S273" t="str">
            <v>Al Horno</v>
          </cell>
          <cell r="T273" t="str">
            <v>15' a 300°F</v>
          </cell>
          <cell r="U273" t="str">
            <v>745.92 Pies Cuadrados/Gl a 1 mills de espesor</v>
          </cell>
          <cell r="V273" t="str">
            <v>STD</v>
          </cell>
          <cell r="W273" t="str">
            <v>H</v>
          </cell>
          <cell r="X273" t="str">
            <v>6-12 meses</v>
          </cell>
          <cell r="Y273" t="str">
            <v>Industrias ALFA S.A</v>
          </cell>
          <cell r="Z273" t="str">
            <v>Cocinas</v>
          </cell>
          <cell r="AA273" t="str">
            <v>-</v>
          </cell>
          <cell r="AB273" t="str">
            <v>Luis Nolasco</v>
          </cell>
          <cell r="AC273">
            <v>34393</v>
          </cell>
        </row>
        <row r="274">
          <cell r="A274" t="str">
            <v>SAA 3979</v>
          </cell>
          <cell r="B274" t="str">
            <v>Esmalte horneable Alquídico Café Metálico IMSA</v>
          </cell>
          <cell r="C274" t="str">
            <v>Interior-Exterior</v>
          </cell>
          <cell r="D274" t="str">
            <v>Hierro</v>
          </cell>
          <cell r="E274" t="str">
            <v>Limpio con R2K4 Industrial Reducer</v>
          </cell>
          <cell r="F274" t="str">
            <v>Ninguno</v>
          </cell>
          <cell r="G274" t="str">
            <v>8.35 Lbs/Gl</v>
          </cell>
          <cell r="H274" t="str">
            <v>9.29%</v>
          </cell>
          <cell r="I274" t="str">
            <v>46.82%</v>
          </cell>
          <cell r="J274" t="str">
            <v>42.15%</v>
          </cell>
          <cell r="K274" t="str">
            <v>9.33%</v>
          </cell>
          <cell r="L274" t="str">
            <v>36.24%</v>
          </cell>
          <cell r="M274" t="str">
            <v>100"-110" Copa Zanh #2</v>
          </cell>
          <cell r="N274" t="str">
            <v>Pistola</v>
          </cell>
          <cell r="O274" t="str">
            <v>20"-25" Copa Zanh #2</v>
          </cell>
          <cell r="P274" t="str">
            <v>20-25%</v>
          </cell>
          <cell r="Q274" t="str">
            <v>R2K4         Industrial reducer</v>
          </cell>
          <cell r="R274" t="str">
            <v>1.0-1.2 mills</v>
          </cell>
          <cell r="S274" t="str">
            <v>Al Horno</v>
          </cell>
          <cell r="T274" t="str">
            <v>15' a 300°F</v>
          </cell>
          <cell r="U274" t="str">
            <v>749.12 Pies Cuadrados/Gl a 1 mills de espesor</v>
          </cell>
          <cell r="V274" t="str">
            <v>20-25</v>
          </cell>
          <cell r="W274" t="str">
            <v>H</v>
          </cell>
          <cell r="X274" t="str">
            <v>6-12 meses</v>
          </cell>
          <cell r="Y274" t="str">
            <v>Industrias Metálicas S.A</v>
          </cell>
          <cell r="Z274" t="str">
            <v>Muebles Metálicos</v>
          </cell>
          <cell r="AA274" t="str">
            <v>-</v>
          </cell>
          <cell r="AB274" t="str">
            <v>Luis Nolasco</v>
          </cell>
          <cell r="AC274">
            <v>34401</v>
          </cell>
        </row>
        <row r="275">
          <cell r="A275" t="str">
            <v>SAA 3987</v>
          </cell>
          <cell r="B275" t="str">
            <v>Esmalte Horneable Alquídico Amarillo Oro Semi-Brillante</v>
          </cell>
          <cell r="C275" t="str">
            <v>Interior-Exterior</v>
          </cell>
          <cell r="D275" t="str">
            <v>Zamak</v>
          </cell>
          <cell r="E275" t="str">
            <v>Desengrase y Fosfatizado</v>
          </cell>
          <cell r="F275" t="str">
            <v>P60G2 Wash Primer Green</v>
          </cell>
          <cell r="G275" t="str">
            <v>8.37 Lbs/Gl</v>
          </cell>
          <cell r="H275" t="str">
            <v>13.80%</v>
          </cell>
          <cell r="I275" t="str">
            <v>46.67%</v>
          </cell>
          <cell r="J275" t="str">
            <v>42.50%</v>
          </cell>
          <cell r="K275" t="str">
            <v>6.62%</v>
          </cell>
          <cell r="L275" t="str">
            <v>35.06%</v>
          </cell>
          <cell r="M275" t="str">
            <v>100"-110" Copa Zanh #2</v>
          </cell>
          <cell r="N275" t="str">
            <v>Pistola</v>
          </cell>
          <cell r="O275" t="str">
            <v>20"-25" Copa Zanh #2</v>
          </cell>
          <cell r="P275" t="str">
            <v>20-25%</v>
          </cell>
          <cell r="Q275" t="str">
            <v>R2K4         Industrial reducer</v>
          </cell>
          <cell r="R275" t="str">
            <v>1.0-1.2 mills</v>
          </cell>
          <cell r="S275" t="str">
            <v>Al Horno</v>
          </cell>
          <cell r="T275" t="str">
            <v>15' a 300°F</v>
          </cell>
          <cell r="U275" t="str">
            <v>746.72 Pies Cuadrados/Gl a 1 mills de espesor</v>
          </cell>
          <cell r="V275" t="str">
            <v>50</v>
          </cell>
          <cell r="W275" t="str">
            <v>H</v>
          </cell>
          <cell r="X275" t="str">
            <v>6-12 meses</v>
          </cell>
          <cell r="Y275" t="str">
            <v>Industrias Metálicas S.A</v>
          </cell>
          <cell r="Z275" t="str">
            <v>Operadores</v>
          </cell>
          <cell r="AA275" t="str">
            <v>-</v>
          </cell>
          <cell r="AB275" t="str">
            <v>Luis Nolasco</v>
          </cell>
          <cell r="AC275">
            <v>34445</v>
          </cell>
        </row>
        <row r="276">
          <cell r="A276" t="str">
            <v>SAA 3988</v>
          </cell>
          <cell r="B276" t="str">
            <v>Esmalte Horneable Alquídico Amarillo Oro Brillante</v>
          </cell>
          <cell r="C276" t="str">
            <v>Interior-Exterior</v>
          </cell>
          <cell r="D276" t="str">
            <v>Zamak</v>
          </cell>
          <cell r="E276" t="str">
            <v>Desengrase y Fosfatizado</v>
          </cell>
          <cell r="F276" t="str">
            <v>P60G2 Wash Primer Green</v>
          </cell>
          <cell r="G276" t="str">
            <v>8.30 Lbs/Gl</v>
          </cell>
          <cell r="H276" t="str">
            <v>6.11%</v>
          </cell>
          <cell r="I276" t="str">
            <v>45.86%</v>
          </cell>
          <cell r="J276" t="str">
            <v>42.34%</v>
          </cell>
          <cell r="K276" t="str">
            <v>5.13%</v>
          </cell>
          <cell r="L276" t="str">
            <v>34.15%</v>
          </cell>
          <cell r="M276" t="str">
            <v>100"-110" Copa Zanh #2</v>
          </cell>
          <cell r="N276" t="str">
            <v>Pistola</v>
          </cell>
          <cell r="O276" t="str">
            <v>20"-25" Copa Zanh #2</v>
          </cell>
          <cell r="P276" t="str">
            <v>20-25%</v>
          </cell>
          <cell r="Q276" t="str">
            <v>R2K4         Industrial reducer</v>
          </cell>
          <cell r="R276" t="str">
            <v>1.0-1.2 mills</v>
          </cell>
          <cell r="S276" t="str">
            <v>Al Horno</v>
          </cell>
          <cell r="T276" t="str">
            <v>15' a 300°F</v>
          </cell>
          <cell r="U276" t="str">
            <v>733.76 Pies Cuadrados/Gl a 1 mills de espesor</v>
          </cell>
          <cell r="V276" t="str">
            <v>+80</v>
          </cell>
          <cell r="W276" t="str">
            <v>H</v>
          </cell>
          <cell r="X276" t="str">
            <v>6-12 meses</v>
          </cell>
          <cell r="Y276" t="str">
            <v>Industrias Metálicas S.A</v>
          </cell>
          <cell r="Z276" t="str">
            <v>Operadores</v>
          </cell>
          <cell r="AA276" t="str">
            <v>-</v>
          </cell>
          <cell r="AB276" t="str">
            <v>Luis Nolasco</v>
          </cell>
          <cell r="AC276">
            <v>34445</v>
          </cell>
        </row>
        <row r="277">
          <cell r="A277" t="str">
            <v>SAA 3992</v>
          </cell>
          <cell r="B277" t="str">
            <v>Esmalte Horneable Alquídico Verde IMSA</v>
          </cell>
          <cell r="C277" t="str">
            <v>Interior-Exterior</v>
          </cell>
          <cell r="D277" t="str">
            <v>Zamak</v>
          </cell>
          <cell r="E277" t="str">
            <v>Desengrase y Fosfatizado</v>
          </cell>
          <cell r="F277" t="str">
            <v>P60G2 Wash Primer Green</v>
          </cell>
          <cell r="G277" t="str">
            <v>8.40 Lbs/Gl</v>
          </cell>
          <cell r="H277" t="str">
            <v>8.05%</v>
          </cell>
          <cell r="I277" t="str">
            <v>47.33%</v>
          </cell>
          <cell r="J277" t="str">
            <v>42.72%</v>
          </cell>
          <cell r="K277" t="str">
            <v>7.20%</v>
          </cell>
          <cell r="L277" t="str">
            <v>36.12%</v>
          </cell>
          <cell r="M277" t="str">
            <v>100"-110" Copa Zanh #2</v>
          </cell>
          <cell r="N277" t="str">
            <v>Pistola</v>
          </cell>
          <cell r="O277" t="str">
            <v>20"-25" Copa Zanh #2</v>
          </cell>
          <cell r="P277" t="str">
            <v>20-25%</v>
          </cell>
          <cell r="Q277" t="str">
            <v>R2K4         Industrial reducer</v>
          </cell>
          <cell r="R277" t="str">
            <v>1.0-1.2 mills</v>
          </cell>
          <cell r="S277" t="str">
            <v>Al Horno</v>
          </cell>
          <cell r="T277" t="str">
            <v>15' a 300°F</v>
          </cell>
          <cell r="U277" t="str">
            <v>757.28 Pies Cuadrados/Gl a 1 mills de espesor</v>
          </cell>
          <cell r="V277" t="str">
            <v>+80</v>
          </cell>
          <cell r="W277" t="str">
            <v>H</v>
          </cell>
          <cell r="X277" t="str">
            <v>6-12 meses</v>
          </cell>
          <cell r="Y277" t="str">
            <v>Industrias Metálicas S.A</v>
          </cell>
          <cell r="Z277" t="str">
            <v>Operadores</v>
          </cell>
          <cell r="AA277" t="str">
            <v>-</v>
          </cell>
          <cell r="AB277" t="str">
            <v>Luis Nolasco</v>
          </cell>
          <cell r="AC277">
            <v>34456</v>
          </cell>
        </row>
        <row r="278">
          <cell r="A278" t="str">
            <v>SAA 3999</v>
          </cell>
          <cell r="B278" t="str">
            <v>Esmalte horneable Alquídico Café Suave</v>
          </cell>
          <cell r="C278" t="str">
            <v>Interior-Exterior</v>
          </cell>
          <cell r="D278" t="str">
            <v>Hierro</v>
          </cell>
          <cell r="E278" t="str">
            <v>Limpio con Solvente</v>
          </cell>
          <cell r="F278" t="str">
            <v>Ninguno</v>
          </cell>
          <cell r="G278" t="str">
            <v>8.59 Lbs/Gl</v>
          </cell>
          <cell r="H278" t="str">
            <v>10.01%</v>
          </cell>
          <cell r="I278" t="str">
            <v>48.27%</v>
          </cell>
          <cell r="J278" t="str">
            <v>42.51%</v>
          </cell>
          <cell r="K278" t="str">
            <v>7.40%</v>
          </cell>
          <cell r="L278" t="str">
            <v>36.20%</v>
          </cell>
          <cell r="M278" t="str">
            <v>100"-110" Copa Zanh #2</v>
          </cell>
          <cell r="N278" t="str">
            <v>Pistola</v>
          </cell>
          <cell r="O278" t="str">
            <v>25"-30" Copa Zanh #2</v>
          </cell>
          <cell r="P278" t="str">
            <v>20-25%</v>
          </cell>
          <cell r="Q278" t="str">
            <v>R2K4         Industrial reducer</v>
          </cell>
          <cell r="R278" t="str">
            <v>1.0-1.2 mills</v>
          </cell>
          <cell r="S278" t="str">
            <v>Al Horno</v>
          </cell>
          <cell r="T278" t="str">
            <v>15' a 300°F</v>
          </cell>
          <cell r="U278" t="str">
            <v>772.32 Pies Cuadrados/Gl a 1 mills de espesor</v>
          </cell>
          <cell r="V278" t="str">
            <v>+80</v>
          </cell>
          <cell r="W278" t="str">
            <v>H</v>
          </cell>
          <cell r="X278" t="str">
            <v>6-12 meses</v>
          </cell>
          <cell r="Y278" t="str">
            <v>SW Costa Rica</v>
          </cell>
          <cell r="Z278" t="str">
            <v>-</v>
          </cell>
          <cell r="AA278" t="str">
            <v>-</v>
          </cell>
          <cell r="AB278" t="str">
            <v>Luis Nolasco</v>
          </cell>
          <cell r="AC278">
            <v>34477</v>
          </cell>
        </row>
        <row r="279">
          <cell r="A279" t="str">
            <v>SAA 4000</v>
          </cell>
          <cell r="B279" t="str">
            <v>Esmalte Horneable Alquídico Negro Satinado</v>
          </cell>
          <cell r="C279" t="str">
            <v>Interior-Exterior</v>
          </cell>
          <cell r="D279" t="str">
            <v>Hierro</v>
          </cell>
          <cell r="E279" t="str">
            <v>Limpio con Solvente</v>
          </cell>
          <cell r="F279" t="str">
            <v>Ninguno</v>
          </cell>
          <cell r="G279" t="str">
            <v>8.82 Lbs/Gl</v>
          </cell>
          <cell r="H279" t="str">
            <v>17.79%</v>
          </cell>
          <cell r="I279" t="str">
            <v>50.91%</v>
          </cell>
          <cell r="J279" t="str">
            <v>39.95%</v>
          </cell>
          <cell r="K279" t="str">
            <v>17.96%</v>
          </cell>
          <cell r="L279" t="str">
            <v>43.12%</v>
          </cell>
          <cell r="M279" t="str">
            <v>100"-110" Copa Zanh #2</v>
          </cell>
          <cell r="N279" t="str">
            <v>Pistola</v>
          </cell>
          <cell r="O279" t="str">
            <v>25"-30" Copa Zanh #2</v>
          </cell>
          <cell r="P279" t="str">
            <v>20-25%</v>
          </cell>
          <cell r="Q279" t="str">
            <v>R2K4         Industrial reducer</v>
          </cell>
          <cell r="R279" t="str">
            <v>1.0-1.2 mills</v>
          </cell>
          <cell r="S279" t="str">
            <v>Al Horno</v>
          </cell>
          <cell r="T279" t="str">
            <v>15' a 300°F</v>
          </cell>
          <cell r="U279" t="str">
            <v>814.56 Pies Cuadrados/Gl a 1 mills de espesor</v>
          </cell>
          <cell r="V279" t="str">
            <v>20-22</v>
          </cell>
          <cell r="W279" t="str">
            <v>H</v>
          </cell>
          <cell r="X279" t="str">
            <v>6-12 meses</v>
          </cell>
          <cell r="Y279" t="str">
            <v>SW Costa Rica</v>
          </cell>
          <cell r="Z279" t="str">
            <v>-</v>
          </cell>
          <cell r="AA279" t="str">
            <v>-</v>
          </cell>
          <cell r="AB279" t="str">
            <v>Luis Nolasco</v>
          </cell>
          <cell r="AC279">
            <v>34477</v>
          </cell>
        </row>
        <row r="280">
          <cell r="A280" t="str">
            <v>SAA 4005</v>
          </cell>
          <cell r="B280" t="str">
            <v xml:space="preserve">Esmalte horneable Alquídico Café Oscuro  </v>
          </cell>
          <cell r="C280" t="str">
            <v>Interior-Exterior</v>
          </cell>
          <cell r="D280" t="str">
            <v>Hierro</v>
          </cell>
          <cell r="E280" t="str">
            <v>Limpio con Solvente</v>
          </cell>
          <cell r="F280" t="str">
            <v>Ninguno</v>
          </cell>
          <cell r="G280" t="str">
            <v>8.29 Lbs/Gl</v>
          </cell>
          <cell r="H280" t="str">
            <v>6.12%</v>
          </cell>
          <cell r="I280" t="str">
            <v>45.77%</v>
          </cell>
          <cell r="J280" t="str">
            <v>42.24%</v>
          </cell>
          <cell r="K280" t="str">
            <v>4.53%</v>
          </cell>
          <cell r="L280" t="str">
            <v>35.11%</v>
          </cell>
          <cell r="M280" t="str">
            <v>100"-110" Copa Zanh #2</v>
          </cell>
          <cell r="N280" t="str">
            <v>Pistola</v>
          </cell>
          <cell r="O280" t="str">
            <v>25"-30" Copa Zanh #2</v>
          </cell>
          <cell r="P280" t="str">
            <v>20-25%</v>
          </cell>
          <cell r="Q280" t="str">
            <v>R2K4         Industrial reducer</v>
          </cell>
          <cell r="R280" t="str">
            <v>1.0-1.2 mills</v>
          </cell>
          <cell r="S280" t="str">
            <v>Al Horno</v>
          </cell>
          <cell r="T280" t="str">
            <v>15' a 300°F</v>
          </cell>
          <cell r="U280" t="str">
            <v>732.32 Pies Cuadrados/Gl a 1 mills de espesor</v>
          </cell>
          <cell r="V280" t="str">
            <v>+80</v>
          </cell>
          <cell r="W280" t="str">
            <v>H</v>
          </cell>
          <cell r="X280" t="str">
            <v>6-12 meses</v>
          </cell>
          <cell r="Y280" t="str">
            <v>SW Costa Rica</v>
          </cell>
          <cell r="Z280" t="str">
            <v>-</v>
          </cell>
          <cell r="AA280" t="str">
            <v>-</v>
          </cell>
          <cell r="AB280" t="str">
            <v>Luis Nolasco</v>
          </cell>
          <cell r="AC280">
            <v>34487</v>
          </cell>
        </row>
        <row r="281">
          <cell r="A281" t="str">
            <v>SAA 4006</v>
          </cell>
          <cell r="B281" t="str">
            <v>Esmalte Horneable Alquídico Naranja</v>
          </cell>
          <cell r="C281" t="str">
            <v>Interior-Exterior</v>
          </cell>
          <cell r="D281" t="str">
            <v>Hierro</v>
          </cell>
          <cell r="E281" t="str">
            <v>Limpio con Solvente</v>
          </cell>
          <cell r="F281" t="str">
            <v>Ninguno</v>
          </cell>
          <cell r="G281" t="str">
            <v>8.47 Lbs/Gl</v>
          </cell>
          <cell r="H281" t="str">
            <v>8.45%</v>
          </cell>
          <cell r="I281" t="str">
            <v>47.27%</v>
          </cell>
          <cell r="J281" t="str">
            <v>42.41%</v>
          </cell>
          <cell r="K281" t="str">
            <v>5.55%</v>
          </cell>
          <cell r="L281" t="str">
            <v>35.49%</v>
          </cell>
          <cell r="M281" t="str">
            <v>100"-110" Copa Zanh #2</v>
          </cell>
          <cell r="N281" t="str">
            <v>Pistola</v>
          </cell>
          <cell r="O281" t="str">
            <v>25"-30" Copa Zanh #2</v>
          </cell>
          <cell r="P281" t="str">
            <v>20-25%</v>
          </cell>
          <cell r="Q281" t="str">
            <v>R2K4         Industrial reducer</v>
          </cell>
          <cell r="R281" t="str">
            <v>1.0-1.2 mills</v>
          </cell>
          <cell r="S281" t="str">
            <v>Al Horno</v>
          </cell>
          <cell r="T281" t="str">
            <v>15' a 300°F</v>
          </cell>
          <cell r="U281" t="str">
            <v>756.32 Pies Cuadrados/Gl a 1 mills de espesor</v>
          </cell>
          <cell r="V281" t="str">
            <v>+80</v>
          </cell>
          <cell r="W281" t="str">
            <v>H</v>
          </cell>
          <cell r="X281" t="str">
            <v>6-12 meses</v>
          </cell>
          <cell r="Y281" t="str">
            <v>SW Costa Rica</v>
          </cell>
          <cell r="Z281" t="str">
            <v>-</v>
          </cell>
          <cell r="AA281" t="str">
            <v>-</v>
          </cell>
          <cell r="AB281" t="str">
            <v>Luis Nolasco</v>
          </cell>
          <cell r="AC281">
            <v>34487</v>
          </cell>
        </row>
        <row r="282">
          <cell r="A282" t="str">
            <v>SAA 4007</v>
          </cell>
          <cell r="B282" t="str">
            <v>Esmalte Horneable Alquídico Verde Metálico</v>
          </cell>
          <cell r="C282" t="str">
            <v>Interior-Exterior</v>
          </cell>
          <cell r="D282" t="str">
            <v>Hierro</v>
          </cell>
          <cell r="E282" t="str">
            <v>Limpio con Solvente</v>
          </cell>
          <cell r="F282" t="str">
            <v>Ninguno</v>
          </cell>
          <cell r="G282" t="str">
            <v>7.98 Lbs/Gl</v>
          </cell>
          <cell r="H282" t="str">
            <v>2.49%</v>
          </cell>
          <cell r="I282" t="str">
            <v>43.92%</v>
          </cell>
          <cell r="J282" t="str">
            <v>42.48%</v>
          </cell>
          <cell r="K282" t="str">
            <v>1.95%</v>
          </cell>
          <cell r="L282" t="str">
            <v>33.86%</v>
          </cell>
          <cell r="M282" t="str">
            <v>100"-110" Copa Zanh #2</v>
          </cell>
          <cell r="N282" t="str">
            <v>Pistola</v>
          </cell>
          <cell r="O282" t="str">
            <v>25"-30" Copa Zanh #2</v>
          </cell>
          <cell r="P282" t="str">
            <v>20-25%</v>
          </cell>
          <cell r="Q282" t="str">
            <v>R2K4         Industrial reducer</v>
          </cell>
          <cell r="R282" t="str">
            <v>1.0-1.2 mills</v>
          </cell>
          <cell r="S282" t="str">
            <v>Al Horno</v>
          </cell>
          <cell r="T282" t="str">
            <v>15' a 300°F</v>
          </cell>
          <cell r="U282" t="str">
            <v>702.72 Pies Cuadrados/Gl a 1 mills de espesor</v>
          </cell>
          <cell r="V282" t="str">
            <v>+80</v>
          </cell>
          <cell r="W282" t="str">
            <v>H</v>
          </cell>
          <cell r="X282" t="str">
            <v>6-12 meses</v>
          </cell>
          <cell r="Y282" t="str">
            <v>SW Costa Rica</v>
          </cell>
          <cell r="Z282" t="str">
            <v>-</v>
          </cell>
          <cell r="AA282" t="str">
            <v>-</v>
          </cell>
          <cell r="AB282" t="str">
            <v>Luis Nolasco</v>
          </cell>
          <cell r="AC282">
            <v>34487</v>
          </cell>
        </row>
        <row r="283">
          <cell r="A283" t="str">
            <v>SAA 4008</v>
          </cell>
          <cell r="B283" t="str">
            <v>Esmalte Horneable Alquídico Gris Oscuro</v>
          </cell>
          <cell r="C283" t="str">
            <v>Interior-Exterior</v>
          </cell>
          <cell r="D283" t="str">
            <v>Hierro</v>
          </cell>
          <cell r="E283" t="str">
            <v>Limpio con Solvente</v>
          </cell>
          <cell r="F283" t="str">
            <v>Ninguno</v>
          </cell>
          <cell r="G283" t="str">
            <v>8.43 Lbs/Gl</v>
          </cell>
          <cell r="H283" t="str">
            <v>8.25%</v>
          </cell>
          <cell r="I283" t="str">
            <v>47.26%</v>
          </cell>
          <cell r="J283" t="str">
            <v>42.58%</v>
          </cell>
          <cell r="K283" t="str">
            <v>6.45%</v>
          </cell>
          <cell r="L283" t="str">
            <v>35.83%</v>
          </cell>
          <cell r="M283" t="str">
            <v>100"-110" Copa Zanh #2</v>
          </cell>
          <cell r="N283" t="str">
            <v>Pistola</v>
          </cell>
          <cell r="O283" t="str">
            <v>25"-30" Copa Zanh #2</v>
          </cell>
          <cell r="P283" t="str">
            <v>20-25%</v>
          </cell>
          <cell r="Q283" t="str">
            <v>R2K4         Industrial reducer</v>
          </cell>
          <cell r="R283" t="str">
            <v>1.0-1.2 mills</v>
          </cell>
          <cell r="S283" t="str">
            <v>Al Horno</v>
          </cell>
          <cell r="T283" t="str">
            <v>15' a 300°F</v>
          </cell>
          <cell r="U283" t="str">
            <v>761.92 Pies Cuadrados/Gl a 1 mills de espesor</v>
          </cell>
          <cell r="V283" t="str">
            <v>+80</v>
          </cell>
          <cell r="W283" t="str">
            <v>H</v>
          </cell>
          <cell r="X283" t="str">
            <v>6-12 meses</v>
          </cell>
          <cell r="Y283" t="str">
            <v>SW Costa Rica</v>
          </cell>
          <cell r="Z283" t="str">
            <v>-</v>
          </cell>
          <cell r="AA283" t="str">
            <v>-</v>
          </cell>
          <cell r="AB283" t="str">
            <v>Luis Nolasco</v>
          </cell>
          <cell r="AC283">
            <v>34487</v>
          </cell>
        </row>
        <row r="284">
          <cell r="A284" t="str">
            <v>SAA 4009</v>
          </cell>
          <cell r="B284" t="str">
            <v xml:space="preserve">Esmalte Horneable Alquídico Azul Intenso  </v>
          </cell>
          <cell r="C284" t="str">
            <v>Interior-Exterior</v>
          </cell>
          <cell r="D284" t="str">
            <v>Hierro</v>
          </cell>
          <cell r="E284" t="str">
            <v>Limpio con Solvente</v>
          </cell>
          <cell r="F284" t="str">
            <v>Ninguno</v>
          </cell>
          <cell r="G284" t="str">
            <v>8.44 Lbs/Gl</v>
          </cell>
          <cell r="H284" t="str">
            <v>9.07%</v>
          </cell>
          <cell r="I284" t="str">
            <v>48.03%</v>
          </cell>
          <cell r="J284" t="str">
            <v>42.84%</v>
          </cell>
          <cell r="K284" t="str">
            <v>9.18%</v>
          </cell>
          <cell r="L284" t="str">
            <v>36.91%</v>
          </cell>
          <cell r="M284" t="str">
            <v>100"-110" Copa Zanh #2</v>
          </cell>
          <cell r="N284" t="str">
            <v>Pistola</v>
          </cell>
          <cell r="O284" t="str">
            <v>25"-30" Copa Zanh #2</v>
          </cell>
          <cell r="P284" t="str">
            <v>20-25%</v>
          </cell>
          <cell r="Q284" t="str">
            <v>R2K4         Industrial reducer</v>
          </cell>
          <cell r="R284" t="str">
            <v>1.0-1.2 mills</v>
          </cell>
          <cell r="S284" t="str">
            <v>Al Horno</v>
          </cell>
          <cell r="T284" t="str">
            <v>15' a 300°F</v>
          </cell>
          <cell r="U284" t="str">
            <v>768.48 Pies Cuadrados/Gl a 1 mills de espesor</v>
          </cell>
          <cell r="V284" t="str">
            <v>+80</v>
          </cell>
          <cell r="W284" t="str">
            <v>H</v>
          </cell>
          <cell r="X284" t="str">
            <v>6-12 meses</v>
          </cell>
          <cell r="Y284" t="str">
            <v>SW Costa Rica</v>
          </cell>
          <cell r="Z284" t="str">
            <v>-</v>
          </cell>
          <cell r="AA284" t="str">
            <v>-</v>
          </cell>
          <cell r="AB284" t="str">
            <v>Luis Nolasco</v>
          </cell>
          <cell r="AC284">
            <v>34498</v>
          </cell>
        </row>
        <row r="285">
          <cell r="A285" t="str">
            <v>F73BSA14</v>
          </cell>
          <cell r="B285" t="str">
            <v>Esmalte Horneable Negro Semibrillante</v>
          </cell>
          <cell r="C285" t="str">
            <v>Interior-Exterior</v>
          </cell>
          <cell r="D285" t="str">
            <v>Hierro</v>
          </cell>
          <cell r="E285" t="str">
            <v>Limpieza con R2K4, Desengrase, Fosfatizado</v>
          </cell>
          <cell r="F285" t="str">
            <v>Ninguno</v>
          </cell>
          <cell r="G285" t="str">
            <v>8.73 Lbs/Gl</v>
          </cell>
          <cell r="H285" t="str">
            <v>16.27%</v>
          </cell>
          <cell r="I285" t="str">
            <v>49.50%</v>
          </cell>
          <cell r="J285" t="str">
            <v>34.94%</v>
          </cell>
          <cell r="K285" t="str">
            <v>18.97%</v>
          </cell>
          <cell r="L285" t="str">
            <v>36.43%</v>
          </cell>
          <cell r="M285" t="str">
            <v>100"-110" Copa Zanh #2</v>
          </cell>
          <cell r="N285" t="str">
            <v>Pistola</v>
          </cell>
          <cell r="O285" t="str">
            <v>20"-25" Copa Zanh #2</v>
          </cell>
          <cell r="P285" t="str">
            <v>20-25%</v>
          </cell>
          <cell r="Q285" t="str">
            <v>R2K4         Industrial reducer</v>
          </cell>
          <cell r="R285" t="str">
            <v>1.2-1.5 mills</v>
          </cell>
          <cell r="S285" t="str">
            <v>Al Horno</v>
          </cell>
          <cell r="T285" t="str">
            <v>15' a 300°F</v>
          </cell>
          <cell r="U285" t="str">
            <v>792 Pies Cuadrados/Gl a 1 mills de espesor</v>
          </cell>
          <cell r="V285" t="str">
            <v>40-45</v>
          </cell>
          <cell r="W285" t="str">
            <v>H</v>
          </cell>
          <cell r="X285" t="str">
            <v>6-12 meses</v>
          </cell>
          <cell r="Y285" t="str">
            <v>IMSA</v>
          </cell>
          <cell r="Z285" t="str">
            <v>Muebles Metálicos</v>
          </cell>
          <cell r="AA285" t="str">
            <v>-</v>
          </cell>
          <cell r="AB285" t="str">
            <v>Luis Nolasco</v>
          </cell>
          <cell r="AC285">
            <v>34773</v>
          </cell>
        </row>
        <row r="286">
          <cell r="A286" t="str">
            <v>SAA 4596</v>
          </cell>
          <cell r="B286" t="str">
            <v>Esmalte Horneable Alquidico Económico Beige</v>
          </cell>
          <cell r="C286" t="str">
            <v>Interior-Exterior</v>
          </cell>
          <cell r="D286" t="str">
            <v>Hierro</v>
          </cell>
          <cell r="E286" t="str">
            <v>Limpieza y Desengrase</v>
          </cell>
          <cell r="F286" t="str">
            <v>Ninguno</v>
          </cell>
          <cell r="G286" t="str">
            <v>8.12 Lbs/Gl</v>
          </cell>
          <cell r="H286" t="str">
            <v>10.95%</v>
          </cell>
          <cell r="I286" t="str">
            <v>47.43%</v>
          </cell>
          <cell r="J286" t="str">
            <v>41.52%</v>
          </cell>
          <cell r="K286" t="str">
            <v>7.52%</v>
          </cell>
          <cell r="L286" t="str">
            <v>35.36%</v>
          </cell>
          <cell r="M286" t="str">
            <v>50"-60" Copa Zanh #2</v>
          </cell>
          <cell r="N286" t="str">
            <v>Pistola</v>
          </cell>
          <cell r="O286" t="str">
            <v>16"-18" Copa Zanh #2</v>
          </cell>
          <cell r="P286" t="str">
            <v>10-15%</v>
          </cell>
          <cell r="Q286" t="str">
            <v>R2K4         Industrial reducer</v>
          </cell>
          <cell r="R286" t="str">
            <v>1 mills</v>
          </cell>
          <cell r="S286" t="str">
            <v>Al Horno</v>
          </cell>
          <cell r="T286" t="str">
            <v>15' a 300°F</v>
          </cell>
          <cell r="U286" t="str">
            <v>758.88 Pies Cuadrados/Gl a 1 mills de espesor</v>
          </cell>
          <cell r="V286" t="str">
            <v>+85</v>
          </cell>
          <cell r="W286" t="str">
            <v>H</v>
          </cell>
          <cell r="X286" t="str">
            <v>6-12 meses</v>
          </cell>
          <cell r="Y286" t="str">
            <v>SW Costa Rica</v>
          </cell>
          <cell r="Z286" t="str">
            <v>-</v>
          </cell>
          <cell r="AA286" t="str">
            <v>-</v>
          </cell>
          <cell r="AB286" t="str">
            <v>Luis Nolasco</v>
          </cell>
          <cell r="AC286">
            <v>35828</v>
          </cell>
        </row>
        <row r="287">
          <cell r="A287" t="str">
            <v>SAA 4597</v>
          </cell>
          <cell r="B287" t="str">
            <v>Esmalte Horneable Alquidico Económico Gris Oscuro</v>
          </cell>
          <cell r="C287" t="str">
            <v>Interior-Exterior</v>
          </cell>
          <cell r="D287" t="str">
            <v>Hierro</v>
          </cell>
          <cell r="E287" t="str">
            <v>Limpieza y Desengrase</v>
          </cell>
          <cell r="F287" t="str">
            <v>Ninguno</v>
          </cell>
          <cell r="G287" t="str">
            <v>8.0 Lbs/Gl</v>
          </cell>
          <cell r="H287" t="str">
            <v>9.32%</v>
          </cell>
          <cell r="I287" t="str">
            <v>46.87%</v>
          </cell>
          <cell r="J287" t="str">
            <v>41.42%</v>
          </cell>
          <cell r="K287" t="str">
            <v>6.68%</v>
          </cell>
          <cell r="L287" t="str">
            <v>35.04%</v>
          </cell>
          <cell r="M287" t="str">
            <v>50"-60" Copa Zanh #2</v>
          </cell>
          <cell r="N287" t="str">
            <v>Pistola</v>
          </cell>
          <cell r="O287" t="str">
            <v>16"-18" Copa Zanh #2</v>
          </cell>
          <cell r="P287" t="str">
            <v>10-15%</v>
          </cell>
          <cell r="Q287" t="str">
            <v>R2K4         Industrial reducer</v>
          </cell>
          <cell r="R287" t="str">
            <v>1 mills</v>
          </cell>
          <cell r="S287" t="str">
            <v>Al Horno</v>
          </cell>
          <cell r="T287" t="str">
            <v>15' a 300°F</v>
          </cell>
          <cell r="U287" t="str">
            <v>749.92 Pies Cuadrados/Gl a 1 mills de espesor</v>
          </cell>
          <cell r="V287" t="str">
            <v>+85</v>
          </cell>
          <cell r="W287" t="str">
            <v>H</v>
          </cell>
          <cell r="X287" t="str">
            <v>6-12 meses</v>
          </cell>
          <cell r="Y287" t="str">
            <v>SW Costa Rica</v>
          </cell>
          <cell r="Z287" t="str">
            <v>-</v>
          </cell>
          <cell r="AA287" t="str">
            <v>-</v>
          </cell>
          <cell r="AB287" t="str">
            <v>Luis Nolasco</v>
          </cell>
          <cell r="AC287">
            <v>35828</v>
          </cell>
        </row>
        <row r="288">
          <cell r="A288" t="str">
            <v>SAA 4599</v>
          </cell>
          <cell r="B288" t="str">
            <v>Oil Stain Café Oscuro</v>
          </cell>
          <cell r="C288" t="str">
            <v>Interior</v>
          </cell>
          <cell r="D288" t="str">
            <v>Madera</v>
          </cell>
          <cell r="E288" t="str">
            <v>Lijada</v>
          </cell>
          <cell r="F288" t="str">
            <v>Ninguno</v>
          </cell>
          <cell r="G288" t="str">
            <v>7.27 Lbs/Gl</v>
          </cell>
          <cell r="H288" t="str">
            <v>6.99%</v>
          </cell>
          <cell r="I288" t="str">
            <v>24.48%</v>
          </cell>
          <cell r="J288" t="str">
            <v>18.81%</v>
          </cell>
          <cell r="K288" t="str">
            <v>10%</v>
          </cell>
          <cell r="L288" t="str">
            <v>16.20%</v>
          </cell>
          <cell r="M288" t="str">
            <v>9"-11" Copa Ford #4</v>
          </cell>
          <cell r="N288" t="str">
            <v>Brocha-Chupón</v>
          </cell>
          <cell r="O288" t="str">
            <v>9"-11" Copa Ford #4</v>
          </cell>
          <cell r="P288" t="str">
            <v>-</v>
          </cell>
          <cell r="Q288" t="str">
            <v>-</v>
          </cell>
          <cell r="R288" t="str">
            <v>-</v>
          </cell>
          <cell r="S288" t="str">
            <v>Al Aire</v>
          </cell>
          <cell r="T288" t="str">
            <v>-</v>
          </cell>
          <cell r="U288" t="str">
            <v>391.68 Pies Cuadrados/Gl a 1 mills de espesor</v>
          </cell>
          <cell r="V288" t="str">
            <v>-</v>
          </cell>
          <cell r="W288" t="str">
            <v>-</v>
          </cell>
          <cell r="X288" t="str">
            <v>6-12 meses</v>
          </cell>
          <cell r="Y288" t="str">
            <v>MADECORT(El Salvador)    SW Nicaragua.</v>
          </cell>
          <cell r="Z288" t="str">
            <v>Muebles de Madera.</v>
          </cell>
          <cell r="AA288" t="str">
            <v>-</v>
          </cell>
          <cell r="AB288" t="str">
            <v>Luis Nolasco</v>
          </cell>
          <cell r="AC288">
            <v>35830</v>
          </cell>
        </row>
        <row r="289">
          <cell r="A289" t="str">
            <v>SAA 4600</v>
          </cell>
          <cell r="B289" t="str">
            <v>Oil Stain Café Oscuro</v>
          </cell>
          <cell r="C289" t="str">
            <v>Interior</v>
          </cell>
          <cell r="D289" t="str">
            <v>Madera</v>
          </cell>
          <cell r="E289" t="str">
            <v>Lijada</v>
          </cell>
          <cell r="F289" t="str">
            <v>Ninguno</v>
          </cell>
          <cell r="G289" t="str">
            <v>7.33 Lbs/Gl</v>
          </cell>
          <cell r="H289" t="str">
            <v>8.29%</v>
          </cell>
          <cell r="I289" t="str">
            <v>25.64%</v>
          </cell>
          <cell r="J289" t="str">
            <v>18.98%</v>
          </cell>
          <cell r="K289" t="str">
            <v>12.90%</v>
          </cell>
          <cell r="L289" t="str">
            <v>16.74%</v>
          </cell>
          <cell r="M289" t="str">
            <v>9"-11" Copa Ford #4</v>
          </cell>
          <cell r="N289" t="str">
            <v>Brocha-Chupón</v>
          </cell>
          <cell r="O289" t="str">
            <v>9"-11" Copa Ford #4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Al Aire</v>
          </cell>
          <cell r="T289" t="str">
            <v>-</v>
          </cell>
          <cell r="U289" t="str">
            <v>410.24 Pies Cuadrados/Gl a 1 mills de espesor</v>
          </cell>
          <cell r="V289" t="str">
            <v>-</v>
          </cell>
          <cell r="W289" t="str">
            <v>-</v>
          </cell>
          <cell r="X289" t="str">
            <v>6-12 meses</v>
          </cell>
          <cell r="Y289" t="str">
            <v>MADECORT</v>
          </cell>
          <cell r="Z289" t="str">
            <v>Muebles de Madera.</v>
          </cell>
          <cell r="AA289" t="str">
            <v>-</v>
          </cell>
          <cell r="AB289" t="str">
            <v>Luis Nolasco</v>
          </cell>
          <cell r="AC289">
            <v>35830</v>
          </cell>
        </row>
        <row r="290">
          <cell r="A290" t="str">
            <v>SAA 4601</v>
          </cell>
          <cell r="B290" t="str">
            <v>Primer Poliuretano Blanco Para Madera</v>
          </cell>
          <cell r="C290" t="str">
            <v>Interior</v>
          </cell>
          <cell r="D290" t="str">
            <v>Madera</v>
          </cell>
          <cell r="E290" t="str">
            <v>Lijada, Limpia y Seca</v>
          </cell>
          <cell r="F290" t="str">
            <v>-</v>
          </cell>
          <cell r="G290" t="str">
            <v>8.40 Lbs/Gl</v>
          </cell>
          <cell r="H290" t="str">
            <v>14.81%</v>
          </cell>
          <cell r="I290" t="str">
            <v>34.32%</v>
          </cell>
          <cell r="J290" t="str">
            <v>22.90%</v>
          </cell>
          <cell r="K290" t="str">
            <v>22.54%</v>
          </cell>
          <cell r="L290" t="str">
            <v>27.51%</v>
          </cell>
          <cell r="M290" t="str">
            <v>50"-55" Copa Ford #4</v>
          </cell>
          <cell r="N290" t="str">
            <v>Pistola</v>
          </cell>
          <cell r="O290" t="str">
            <v>18"-20" Copa Ford #4</v>
          </cell>
          <cell r="P290" t="str">
            <v>25%</v>
          </cell>
          <cell r="Q290" t="str">
            <v>R7K1499 Reductor Universal Medio #3</v>
          </cell>
          <cell r="R290" t="str">
            <v>1 mills</v>
          </cell>
          <cell r="S290" t="str">
            <v>Al Aire (Catalizar con 1/16 por Galón con V6V690)</v>
          </cell>
          <cell r="T290" t="str">
            <v>-</v>
          </cell>
          <cell r="U290" t="str">
            <v>549.12 Pies Cuadrados/Gl a 1 mills de espesor</v>
          </cell>
          <cell r="V290" t="str">
            <v>-</v>
          </cell>
          <cell r="W290" t="str">
            <v>-</v>
          </cell>
          <cell r="X290" t="str">
            <v>3 Años</v>
          </cell>
          <cell r="Y290" t="str">
            <v>Varios</v>
          </cell>
          <cell r="Z290" t="str">
            <v>Muebles de Madera.</v>
          </cell>
          <cell r="AA290" t="str">
            <v>-</v>
          </cell>
          <cell r="AB290" t="str">
            <v>Luis Nolasco</v>
          </cell>
          <cell r="AC290">
            <v>35849</v>
          </cell>
        </row>
        <row r="291">
          <cell r="A291" t="str">
            <v>SAA 4602</v>
          </cell>
          <cell r="B291" t="str">
            <v>Poliuretano Blanco Para Madera</v>
          </cell>
          <cell r="C291" t="str">
            <v>Interior</v>
          </cell>
          <cell r="D291" t="str">
            <v>Madera</v>
          </cell>
          <cell r="E291" t="str">
            <v>Lijada, Limpia y Seca</v>
          </cell>
          <cell r="F291" t="str">
            <v>SAA 4601</v>
          </cell>
          <cell r="G291" t="str">
            <v>8.25 Lbs/Gl</v>
          </cell>
          <cell r="H291" t="str">
            <v>9.90%</v>
          </cell>
          <cell r="I291" t="str">
            <v>29.79%</v>
          </cell>
          <cell r="J291" t="str">
            <v>22.07%</v>
          </cell>
          <cell r="K291" t="str">
            <v>10.55%</v>
          </cell>
          <cell r="L291" t="str">
            <v>23.89%</v>
          </cell>
          <cell r="M291" t="str">
            <v>22"-26" Copa Ford #4</v>
          </cell>
          <cell r="N291" t="str">
            <v>Pistola</v>
          </cell>
          <cell r="O291" t="str">
            <v>18"-20" Copa Ford #4</v>
          </cell>
          <cell r="P291" t="str">
            <v>10%</v>
          </cell>
          <cell r="Q291" t="str">
            <v>R7K1499 Reductor Universal Medio #3</v>
          </cell>
          <cell r="R291" t="str">
            <v>1 mills</v>
          </cell>
          <cell r="S291" t="str">
            <v>Al Aire (Catalizar con 1/16 por Galón con V6V690)</v>
          </cell>
          <cell r="T291" t="str">
            <v>-</v>
          </cell>
          <cell r="U291" t="str">
            <v>476.64 Pies Cuadrados/Gl a 1 mills de espesor</v>
          </cell>
          <cell r="V291" t="str">
            <v>+80</v>
          </cell>
          <cell r="W291" t="str">
            <v>-</v>
          </cell>
          <cell r="X291" t="str">
            <v>3 Años</v>
          </cell>
          <cell r="Y291" t="str">
            <v>Varios</v>
          </cell>
          <cell r="Z291" t="str">
            <v>Muebles de Madera.</v>
          </cell>
          <cell r="AA291" t="str">
            <v>-</v>
          </cell>
          <cell r="AB291" t="str">
            <v>Luis Nolasco</v>
          </cell>
          <cell r="AC291">
            <v>35849</v>
          </cell>
        </row>
        <row r="292">
          <cell r="A292" t="str">
            <v>E60FSA1 (1)</v>
          </cell>
          <cell r="B292" t="str">
            <v>Sellador Poliuretano Para Madera</v>
          </cell>
          <cell r="C292" t="str">
            <v>Interior</v>
          </cell>
          <cell r="D292" t="str">
            <v>Madera</v>
          </cell>
          <cell r="E292" t="str">
            <v>Lijado + Tapaporo + Tintes</v>
          </cell>
          <cell r="F292" t="str">
            <v>Mismo</v>
          </cell>
          <cell r="G292" t="str">
            <v>7.73 Lbs/Gl</v>
          </cell>
          <cell r="H292" t="str">
            <v>3.23%</v>
          </cell>
          <cell r="I292" t="str">
            <v>24.4% (Catalizado 27.20%)</v>
          </cell>
          <cell r="J292" t="str">
            <v>21.17%</v>
          </cell>
          <cell r="K292" t="str">
            <v>12.85%</v>
          </cell>
          <cell r="L292" t="str">
            <v>17.88% (Catalizado 20.46)</v>
          </cell>
          <cell r="M292" t="str">
            <v>18"-20" Copa Ford #4</v>
          </cell>
          <cell r="N292" t="str">
            <v>Pistola</v>
          </cell>
          <cell r="O292" t="str">
            <v>18"-20" Copa Ford #4</v>
          </cell>
          <cell r="P292" t="str">
            <v>Ninguno</v>
          </cell>
          <cell r="Q292" t="str">
            <v>Ninguno</v>
          </cell>
          <cell r="R292" t="str">
            <v>2 mills</v>
          </cell>
          <cell r="S292" t="str">
            <v>45 Minutos</v>
          </cell>
          <cell r="T292" t="str">
            <v>Catalizado con 1/16 de V6V690</v>
          </cell>
          <cell r="U292" t="str">
            <v>13.37 Mts Cuadrados/Gl a 2 mills de Espesor</v>
          </cell>
          <cell r="V292" t="str">
            <v>20 Unidades</v>
          </cell>
          <cell r="W292" t="str">
            <v>HB</v>
          </cell>
          <cell r="X292" t="str">
            <v>3 Años</v>
          </cell>
          <cell r="Y292" t="str">
            <v>-</v>
          </cell>
          <cell r="Z292" t="str">
            <v>-</v>
          </cell>
          <cell r="AA292" t="str">
            <v>-</v>
          </cell>
          <cell r="AB292" t="str">
            <v>Anabella de Mayorga</v>
          </cell>
          <cell r="AC292">
            <v>35858</v>
          </cell>
        </row>
        <row r="293">
          <cell r="A293" t="str">
            <v>F74C51 (1)</v>
          </cell>
          <cell r="B293" t="str">
            <v>Barniz Poliuretano Brillante Para Madera</v>
          </cell>
          <cell r="C293" t="str">
            <v>Interior</v>
          </cell>
          <cell r="D293" t="str">
            <v>Madera</v>
          </cell>
          <cell r="E293" t="str">
            <v>Lijado + Tapaporo + Tintes + Sellador</v>
          </cell>
          <cell r="F293" t="str">
            <v>Sellador Poliuretano E60FSA1</v>
          </cell>
          <cell r="G293" t="str">
            <v>7.88 Lbs/Gl</v>
          </cell>
          <cell r="H293" t="str">
            <v>-</v>
          </cell>
          <cell r="I293" t="str">
            <v>21.94% (Catalizado 24.92%)</v>
          </cell>
          <cell r="J293" t="str">
            <v>21.94%</v>
          </cell>
          <cell r="K293" t="str">
            <v>-</v>
          </cell>
          <cell r="L293" t="str">
            <v>15.77% (Catalizado 18.38%)</v>
          </cell>
          <cell r="M293" t="str">
            <v>18"-20" Copa Ford #4</v>
          </cell>
          <cell r="N293" t="str">
            <v>Pistola</v>
          </cell>
          <cell r="O293" t="str">
            <v>18"-20" Copa Ford #4</v>
          </cell>
          <cell r="P293" t="str">
            <v>Ninguno</v>
          </cell>
          <cell r="Q293" t="str">
            <v>Ninguno</v>
          </cell>
          <cell r="R293" t="str">
            <v>2 mills</v>
          </cell>
          <cell r="S293" t="str">
            <v>30 Minutos Al Aire</v>
          </cell>
          <cell r="T293" t="str">
            <v>Catalizado con 1/16 de V6V690</v>
          </cell>
          <cell r="U293" t="str">
            <v>11.72 Mts Cuadrados/Gl a 2 mills de Espesor</v>
          </cell>
          <cell r="V293" t="str">
            <v>80 Unidades</v>
          </cell>
          <cell r="W293" t="str">
            <v>HB</v>
          </cell>
          <cell r="X293" t="str">
            <v>3 Años</v>
          </cell>
          <cell r="Y293" t="str">
            <v>-</v>
          </cell>
          <cell r="Z293" t="str">
            <v>-</v>
          </cell>
          <cell r="AA293" t="str">
            <v>-</v>
          </cell>
          <cell r="AB293" t="str">
            <v>Anabella de Mayorga</v>
          </cell>
          <cell r="AC293">
            <v>35858</v>
          </cell>
        </row>
        <row r="294">
          <cell r="A294" t="str">
            <v>F74FSA1 (1)</v>
          </cell>
          <cell r="B294" t="str">
            <v>Barniz Poliuretano Mate Para Madera</v>
          </cell>
          <cell r="C294" t="str">
            <v>Interior</v>
          </cell>
          <cell r="D294" t="str">
            <v>Madera</v>
          </cell>
          <cell r="E294" t="str">
            <v>Lijado + Tapaporo + Tintes + Sellador</v>
          </cell>
          <cell r="F294" t="str">
            <v>Sellador Poliuretano E60FSA1</v>
          </cell>
          <cell r="G294" t="str">
            <v>7.88 Lbs/Gl</v>
          </cell>
          <cell r="H294" t="str">
            <v>5.82%</v>
          </cell>
          <cell r="I294" t="str">
            <v>25.99% (Catalizado 28.63%)</v>
          </cell>
          <cell r="J294" t="str">
            <v>20.17%</v>
          </cell>
          <cell r="K294" t="str">
            <v>14.63%</v>
          </cell>
          <cell r="L294" t="str">
            <v>18.05% (Catalizado 20.53%)</v>
          </cell>
          <cell r="M294" t="str">
            <v>18"-20" Copa Ford #4</v>
          </cell>
          <cell r="N294" t="str">
            <v>Pistola</v>
          </cell>
          <cell r="O294" t="str">
            <v>18"-20" Copa Ford #4</v>
          </cell>
          <cell r="P294" t="str">
            <v>Ninguno</v>
          </cell>
          <cell r="Q294" t="str">
            <v>Ninguno</v>
          </cell>
          <cell r="R294" t="str">
            <v>2 mills</v>
          </cell>
          <cell r="S294" t="str">
            <v>30 Minutos Al Aire</v>
          </cell>
          <cell r="T294" t="str">
            <v>Catalizado con 1/16 de V6V690</v>
          </cell>
          <cell r="U294" t="str">
            <v>13.42 Mts Cuadrados/Gl a 2 mills de Espesor</v>
          </cell>
          <cell r="V294" t="str">
            <v>5-7 Unidades</v>
          </cell>
          <cell r="W294" t="str">
            <v>HB</v>
          </cell>
          <cell r="X294" t="str">
            <v>3 Años</v>
          </cell>
          <cell r="Y294" t="str">
            <v>-</v>
          </cell>
          <cell r="Z294" t="str">
            <v>-</v>
          </cell>
          <cell r="AA294" t="str">
            <v>-</v>
          </cell>
          <cell r="AB294" t="str">
            <v>Anabella de Mayorga</v>
          </cell>
          <cell r="AC294">
            <v>35858</v>
          </cell>
        </row>
        <row r="295">
          <cell r="A295" t="str">
            <v>F63FSA2</v>
          </cell>
          <cell r="B295" t="str">
            <v>Barniz Poliuretano Satinado</v>
          </cell>
          <cell r="C295" t="str">
            <v>Interior</v>
          </cell>
          <cell r="D295" t="str">
            <v>Madera</v>
          </cell>
          <cell r="E295" t="str">
            <v>Lijado+Tapaporo+Tinte+Primer E65</v>
          </cell>
          <cell r="F295" t="str">
            <v>Poliuretano E65FSA1</v>
          </cell>
          <cell r="G295" t="str">
            <v>7.89Lbs/Gl</v>
          </cell>
          <cell r="H295" t="str">
            <v>1.29%</v>
          </cell>
          <cell r="I295" t="str">
            <v>23.44%</v>
          </cell>
          <cell r="J295" t="str">
            <v>22.44%</v>
          </cell>
          <cell r="K295" t="str">
            <v>3.27%</v>
          </cell>
          <cell r="L295" t="str">
            <v>16.82%</v>
          </cell>
          <cell r="M295" t="str">
            <v>18"-20" Copa Ford #4</v>
          </cell>
          <cell r="N295" t="str">
            <v>Pistola</v>
          </cell>
          <cell r="O295" t="str">
            <v>18"-20" Copa Ford #4</v>
          </cell>
          <cell r="P295" t="str">
            <v>Ninguno</v>
          </cell>
          <cell r="Q295" t="str">
            <v>NINGUNO</v>
          </cell>
          <cell r="R295" t="str">
            <v>1 mills</v>
          </cell>
          <cell r="S295" t="str">
            <v>Al Aire</v>
          </cell>
          <cell r="T295" t="str">
            <v>-</v>
          </cell>
          <cell r="U295" t="str">
            <v>375.04 Pies Cuadrados/Gl a 1 mills de espesor</v>
          </cell>
          <cell r="V295" t="str">
            <v>38-42</v>
          </cell>
          <cell r="W295" t="str">
            <v>-</v>
          </cell>
          <cell r="X295" t="str">
            <v>3 Años</v>
          </cell>
          <cell r="Y295" t="str">
            <v>Muebles Capri</v>
          </cell>
          <cell r="Z295" t="str">
            <v>Muebles de Madera.</v>
          </cell>
          <cell r="AA295" t="str">
            <v>-</v>
          </cell>
          <cell r="AB295" t="str">
            <v>Luis Nolasco</v>
          </cell>
          <cell r="AC295" t="str">
            <v xml:space="preserve">´MARZO 5 DE 1998 </v>
          </cell>
        </row>
        <row r="296">
          <cell r="A296" t="str">
            <v>SAA 4612</v>
          </cell>
          <cell r="B296" t="str">
            <v>Sher Wood 500 Café Especial</v>
          </cell>
          <cell r="C296" t="str">
            <v>Interior</v>
          </cell>
          <cell r="D296" t="str">
            <v>Madera</v>
          </cell>
          <cell r="E296" t="str">
            <v>Lijada, Limpia y Seca</v>
          </cell>
          <cell r="F296" t="str">
            <v>Ninguno</v>
          </cell>
          <cell r="G296" t="str">
            <v>6.72 Lbs/Gl</v>
          </cell>
          <cell r="H296" t="str">
            <v>2.38%</v>
          </cell>
          <cell r="I296" t="str">
            <v>2.38%</v>
          </cell>
          <cell r="J296" t="str">
            <v>-</v>
          </cell>
          <cell r="K296" t="str">
            <v>1.34%</v>
          </cell>
          <cell r="L296" t="str">
            <v>1.34%</v>
          </cell>
          <cell r="M296" t="str">
            <v>-</v>
          </cell>
          <cell r="N296" t="str">
            <v>Pistola-Inmersión-Brocha-Chupón</v>
          </cell>
          <cell r="O296" t="str">
            <v>-</v>
          </cell>
          <cell r="P296" t="str">
            <v>200-1000%</v>
          </cell>
          <cell r="Q296" t="str">
            <v>R6K1 Thinner Para Tintes Al Alcohol</v>
          </cell>
          <cell r="R296" t="str">
            <v>-</v>
          </cell>
          <cell r="S296" t="str">
            <v>Al Aire</v>
          </cell>
          <cell r="T296" t="str">
            <v>-</v>
          </cell>
          <cell r="U296" t="str">
            <v>-</v>
          </cell>
          <cell r="V296" t="str">
            <v>Mate</v>
          </cell>
          <cell r="W296" t="str">
            <v>-</v>
          </cell>
          <cell r="X296" t="str">
            <v>2 años</v>
          </cell>
          <cell r="Y296" t="str">
            <v>Muebles Capri</v>
          </cell>
          <cell r="Z296" t="str">
            <v>Muebles de Madera.</v>
          </cell>
          <cell r="AA296" t="str">
            <v>-</v>
          </cell>
          <cell r="AB296" t="str">
            <v>Luis Nolasco</v>
          </cell>
          <cell r="AC296">
            <v>35859</v>
          </cell>
        </row>
        <row r="297">
          <cell r="A297" t="str">
            <v>LINEA A5 AQUALATEX</v>
          </cell>
          <cell r="B297" t="str">
            <v>Aqualatex</v>
          </cell>
          <cell r="C297" t="str">
            <v>Interior-Exterior</v>
          </cell>
          <cell r="D297" t="str">
            <v>Fibrolite, Concreto, Lámina.</v>
          </cell>
          <cell r="E297" t="str">
            <v>Limpia y Seca</v>
          </cell>
          <cell r="F297" t="str">
            <v>-</v>
          </cell>
          <cell r="G297" t="str">
            <v>10.48-10.52 Lbs/Gl</v>
          </cell>
          <cell r="H297" t="str">
            <v>29.8-30.2%</v>
          </cell>
          <cell r="I297" t="str">
            <v>55.5-55.9%</v>
          </cell>
          <cell r="J297" t="str">
            <v>47.5-47.9%</v>
          </cell>
          <cell r="K297" t="str">
            <v>25.1-25.5%</v>
          </cell>
          <cell r="L297" t="str">
            <v>47.6-50.0%</v>
          </cell>
          <cell r="M297" t="str">
            <v>92-96 KU</v>
          </cell>
          <cell r="N297" t="str">
            <v>Brocha</v>
          </cell>
          <cell r="O297" t="str">
            <v>85-90 KU</v>
          </cell>
          <cell r="P297" t="str">
            <v>10%</v>
          </cell>
          <cell r="Q297" t="str">
            <v>Agua Limpia</v>
          </cell>
          <cell r="R297" t="str">
            <v>5 mills</v>
          </cell>
          <cell r="S297" t="str">
            <v>Al Aire</v>
          </cell>
          <cell r="T297" t="str">
            <v>-</v>
          </cell>
          <cell r="U297" t="str">
            <v>13-14 Mts Cuadrados/Gl dependiendo de la porosidad de la superficie.</v>
          </cell>
          <cell r="V297" t="str">
            <v>Satinado</v>
          </cell>
          <cell r="W297" t="str">
            <v>-</v>
          </cell>
          <cell r="X297" t="str">
            <v>1-2 Años</v>
          </cell>
          <cell r="Y297" t="str">
            <v>-</v>
          </cell>
          <cell r="Z297" t="str">
            <v>-</v>
          </cell>
          <cell r="AA297" t="str">
            <v>-</v>
          </cell>
          <cell r="AB297" t="str">
            <v>Ana Irene Mendez Vides</v>
          </cell>
          <cell r="AC297" t="str">
            <v>23/5/03</v>
          </cell>
        </row>
        <row r="298">
          <cell r="A298" t="str">
            <v>Linea A21</v>
          </cell>
          <cell r="B298" t="str">
            <v>Color Accent (Bases L, W, V, M, P, R)</v>
          </cell>
          <cell r="C298" t="str">
            <v>Interior</v>
          </cell>
          <cell r="D298" t="str">
            <v>Cemento, Ladrillo, Concreto.</v>
          </cell>
          <cell r="E298" t="str">
            <v>Curada, Limpia, Seca y Libre de toda contaminación</v>
          </cell>
          <cell r="F298" t="str">
            <v>-</v>
          </cell>
          <cell r="G298" t="str">
            <v>10.37-10.41 Lbs/Gl</v>
          </cell>
          <cell r="H298" t="str">
            <v>25%</v>
          </cell>
          <cell r="I298" t="str">
            <v>42.9-43.1%</v>
          </cell>
          <cell r="J298" t="str">
            <v>75%</v>
          </cell>
          <cell r="K298" t="str">
            <v>24.27-25.1%</v>
          </cell>
          <cell r="L298" t="str">
            <v>55.9-56.1%</v>
          </cell>
          <cell r="M298" t="str">
            <v>95-105 Ku</v>
          </cell>
          <cell r="N298" t="str">
            <v>Brocha-Rodillo</v>
          </cell>
          <cell r="O298" t="str">
            <v>95-105 KU</v>
          </cell>
          <cell r="P298" t="str">
            <v>Ninguno</v>
          </cell>
          <cell r="Q298" t="str">
            <v>Agua Limpia para Lavar Equipo Utilizado.</v>
          </cell>
          <cell r="R298" t="str">
            <v>2.5 mills</v>
          </cell>
          <cell r="S298" t="str">
            <v>Al Aire. Recubrir después de 4 Horas.</v>
          </cell>
          <cell r="T298" t="str">
            <v>-</v>
          </cell>
          <cell r="U298" t="str">
            <v>29-33 Mts Cuadrados/Gl, Dependiendo de la Superficie.</v>
          </cell>
          <cell r="V298" t="str">
            <v xml:space="preserve">Mate.  </v>
          </cell>
          <cell r="W298" t="str">
            <v>-</v>
          </cell>
          <cell r="X298" t="str">
            <v>3 Años</v>
          </cell>
          <cell r="Y298" t="str">
            <v>-</v>
          </cell>
          <cell r="Z298" t="str">
            <v>-</v>
          </cell>
          <cell r="AA298" t="str">
            <v>La Base R en Látex para Interiores se Tiene en Mate y Satinada.</v>
          </cell>
          <cell r="AB298" t="str">
            <v>Ana Irene Mendez Vides</v>
          </cell>
          <cell r="AC298">
            <v>35958</v>
          </cell>
        </row>
        <row r="299">
          <cell r="A299" t="str">
            <v>Linea A36</v>
          </cell>
          <cell r="B299" t="str">
            <v>Decorator Colors (Bases L, W, V, M, P, R)</v>
          </cell>
          <cell r="C299" t="str">
            <v>Interior</v>
          </cell>
          <cell r="D299" t="str">
            <v>Concreto, Ladrillo, Hierro, Madera</v>
          </cell>
          <cell r="E299" t="str">
            <v>Completamente Libre de Grasa o Cualquier Contaminación</v>
          </cell>
          <cell r="F299" t="str">
            <v>Kromik Metal Primer, Sellador 44, Excello Látex*</v>
          </cell>
          <cell r="G299" t="str">
            <v>8.67 Lbs/Gl más o menos 0.3</v>
          </cell>
          <cell r="H299" t="str">
            <v>26%</v>
          </cell>
          <cell r="I299" t="str">
            <v>51% más o menos 1</v>
          </cell>
          <cell r="J299" t="str">
            <v>74%</v>
          </cell>
          <cell r="K299" t="str">
            <v>22% más ó menos 2</v>
          </cell>
          <cell r="L299" t="str">
            <v>34% más o menos 2</v>
          </cell>
          <cell r="M299" t="str">
            <v>72-77 KU</v>
          </cell>
          <cell r="N299" t="str">
            <v>Brocha, Rodillo, Pistola</v>
          </cell>
          <cell r="O299" t="str">
            <v>-</v>
          </cell>
          <cell r="P299" t="str">
            <v>Con Brocha y Rodillo hasta 10%, Pistola 25%</v>
          </cell>
          <cell r="Q299" t="str">
            <v>Solvente Mineral</v>
          </cell>
          <cell r="R299" t="str">
            <v>2 mills</v>
          </cell>
          <cell r="S299" t="str">
            <v>Seco Tocar: 1-2 Horas, Completo: 3-4 Horas</v>
          </cell>
          <cell r="T299" t="str">
            <v>-</v>
          </cell>
          <cell r="U299" t="str">
            <v>38 más o menos 2 Mts cuadrados/Gl dependiendo de la Superficie.</v>
          </cell>
          <cell r="V299" t="str">
            <v>Semibrillante</v>
          </cell>
          <cell r="W299" t="str">
            <v>-</v>
          </cell>
          <cell r="X299" t="str">
            <v>3 años</v>
          </cell>
          <cell r="Y299" t="str">
            <v>-</v>
          </cell>
          <cell r="Z299" t="str">
            <v>-</v>
          </cell>
          <cell r="AA299" t="str">
            <v>* El Primer Depende del sustrato que se va a Pintar</v>
          </cell>
          <cell r="AB299" t="str">
            <v>Ana Irene Mendez Vides</v>
          </cell>
          <cell r="AC299">
            <v>35958</v>
          </cell>
        </row>
        <row r="300">
          <cell r="A300" t="str">
            <v>Linea B5 COLORES TROPICALES</v>
          </cell>
          <cell r="B300" t="str">
            <v>Colores Tropicales Intensos</v>
          </cell>
          <cell r="C300" t="str">
            <v>Interior-Exterior</v>
          </cell>
          <cell r="D300" t="str">
            <v>Cemento, Ladrillo, Concreto.</v>
          </cell>
          <cell r="E300" t="str">
            <v>Curada, Limpia, Seca y Libre de toda contaminación</v>
          </cell>
          <cell r="F300" t="str">
            <v>-</v>
          </cell>
          <cell r="G300" t="str">
            <v>10.86 Lbs/Gl más o menos 0.2</v>
          </cell>
          <cell r="H300" t="str">
            <v>35%</v>
          </cell>
          <cell r="I300" t="str">
            <v>46%  más o menos 2</v>
          </cell>
          <cell r="J300" t="str">
            <v>65%</v>
          </cell>
          <cell r="K300" t="str">
            <v>54.45% más o menos 2</v>
          </cell>
          <cell r="L300" t="str">
            <v>31.76% más o menos 2</v>
          </cell>
          <cell r="M300" t="str">
            <v>90-93 KU</v>
          </cell>
          <cell r="N300" t="str">
            <v>Brocha-Rodillo</v>
          </cell>
          <cell r="O300" t="str">
            <v>90-93 KU</v>
          </cell>
          <cell r="P300" t="str">
            <v>Ninguno</v>
          </cell>
          <cell r="Q300" t="str">
            <v>Agua Limpia para Lavar Equipo Utilizado.</v>
          </cell>
          <cell r="R300" t="str">
            <v>1.5 mills Seca</v>
          </cell>
          <cell r="S300" t="str">
            <v>Al Aire. Recubrir después de 4 Horas.</v>
          </cell>
          <cell r="T300" t="str">
            <v>-</v>
          </cell>
          <cell r="U300" t="str">
            <v>30-32 Mts Cuadrados/Gl, Dependiendo de la Superficie.</v>
          </cell>
          <cell r="V300" t="str">
            <v xml:space="preserve">Mate.  </v>
          </cell>
          <cell r="W300" t="str">
            <v>-</v>
          </cell>
          <cell r="X300" t="str">
            <v>3 Años</v>
          </cell>
          <cell r="Y300" t="str">
            <v>-</v>
          </cell>
          <cell r="Z300" t="str">
            <v>-</v>
          </cell>
          <cell r="AA300" t="str">
            <v>Colores Disponibles: Azul Mariposa, Mandarina, Mora salvaje, Fucsia silvestre, Rosa Maya, Rojo Sandía, Verde Helecho, café Zapote, Amarillo Sol.</v>
          </cell>
          <cell r="AB300" t="str">
            <v>Ana Irene Mendez Vides</v>
          </cell>
          <cell r="AC300">
            <v>35958</v>
          </cell>
        </row>
        <row r="301">
          <cell r="A301" t="str">
            <v>E60FSA1 (2)</v>
          </cell>
          <cell r="B301" t="str">
            <v>Sellador Poliuretano Para Madera</v>
          </cell>
          <cell r="C301" t="str">
            <v>Interior</v>
          </cell>
          <cell r="D301" t="str">
            <v>Madera</v>
          </cell>
          <cell r="E301" t="str">
            <v>Lijado + Tapaporo + Tintes</v>
          </cell>
          <cell r="F301" t="str">
            <v>-</v>
          </cell>
          <cell r="G301" t="str">
            <v>7.72 Lbs/Gl</v>
          </cell>
          <cell r="H301" t="str">
            <v>1.29%</v>
          </cell>
          <cell r="I301" t="str">
            <v>23.90%</v>
          </cell>
          <cell r="J301" t="str">
            <v>22.60%</v>
          </cell>
          <cell r="K301" t="str">
            <v>3.72%</v>
          </cell>
          <cell r="L301" t="str">
            <v>17.75%</v>
          </cell>
          <cell r="M301" t="str">
            <v>18"-20" Copa Ford #4</v>
          </cell>
          <cell r="N301" t="str">
            <v>Pistola</v>
          </cell>
          <cell r="O301" t="str">
            <v>18"-20" Copa Ford #4</v>
          </cell>
          <cell r="P301" t="str">
            <v>Ninguno</v>
          </cell>
          <cell r="Q301" t="str">
            <v>Solo si es necesario R7K7590 Reductor Universal.</v>
          </cell>
          <cell r="R301" t="str">
            <v>1 mills</v>
          </cell>
          <cell r="S301" t="str">
            <v>Al aire</v>
          </cell>
          <cell r="T301" t="str">
            <v>Catalizado con  V6V690</v>
          </cell>
          <cell r="U301" t="str">
            <v>284.53 Pies Cuadrados/Gl a 1 mills de Película Seca</v>
          </cell>
          <cell r="V301" t="str">
            <v>Satinado</v>
          </cell>
          <cell r="W301" t="str">
            <v>-</v>
          </cell>
          <cell r="X301" t="str">
            <v>1 año</v>
          </cell>
          <cell r="Y301" t="str">
            <v>-</v>
          </cell>
          <cell r="Z301" t="str">
            <v>-</v>
          </cell>
          <cell r="AA301" t="str">
            <v>-</v>
          </cell>
          <cell r="AB301" t="str">
            <v>Oscar Enrique Ascencio.</v>
          </cell>
          <cell r="AC301">
            <v>36003</v>
          </cell>
        </row>
        <row r="302">
          <cell r="A302" t="str">
            <v>F74C51 (2)</v>
          </cell>
          <cell r="B302" t="str">
            <v>Barniz Poliuretano Brillante</v>
          </cell>
          <cell r="C302" t="str">
            <v>Interior</v>
          </cell>
          <cell r="D302" t="str">
            <v>Madera</v>
          </cell>
          <cell r="E302" t="str">
            <v>Lijado + Tapaporo + Tintes + Primer (E60FSA1)</v>
          </cell>
          <cell r="F302" t="str">
            <v>Sellador Poliuretano</v>
          </cell>
          <cell r="G302" t="str">
            <v>7.66 Lbs/Gl</v>
          </cell>
          <cell r="H302" t="str">
            <v>-</v>
          </cell>
          <cell r="I302" t="str">
            <v xml:space="preserve">21.94% </v>
          </cell>
          <cell r="J302" t="str">
            <v>21.94%</v>
          </cell>
          <cell r="K302" t="str">
            <v>-</v>
          </cell>
          <cell r="L302" t="str">
            <v>16.04%</v>
          </cell>
          <cell r="M302" t="str">
            <v>18"-20" Copa Ford #4</v>
          </cell>
          <cell r="N302" t="str">
            <v>Pistola</v>
          </cell>
          <cell r="O302" t="str">
            <v>18"-20" Copa Ford #4</v>
          </cell>
          <cell r="P302" t="str">
            <v>Ninguno</v>
          </cell>
          <cell r="Q302" t="str">
            <v>Solo si es necesario R7K7590 Reductor Universal.</v>
          </cell>
          <cell r="R302" t="str">
            <v>1 mills</v>
          </cell>
          <cell r="S302" t="str">
            <v>Al aire</v>
          </cell>
          <cell r="T302" t="str">
            <v>Catalizado con 1/16 de V6V690</v>
          </cell>
          <cell r="U302" t="str">
            <v>25.12 Pies Cuadrados/Gl a 1 mills de película seca.</v>
          </cell>
          <cell r="V302" t="str">
            <v>+80</v>
          </cell>
          <cell r="W302" t="str">
            <v>-</v>
          </cell>
          <cell r="X302" t="str">
            <v>1 Año</v>
          </cell>
          <cell r="Y302" t="str">
            <v>-</v>
          </cell>
          <cell r="Z302" t="str">
            <v>-</v>
          </cell>
          <cell r="AA302" t="str">
            <v>-</v>
          </cell>
          <cell r="AB302" t="str">
            <v>Oscar Enrique Ascencio.</v>
          </cell>
          <cell r="AC302">
            <v>36003</v>
          </cell>
        </row>
        <row r="303">
          <cell r="A303" t="str">
            <v>F74FSA1 (2)</v>
          </cell>
          <cell r="B303" t="str">
            <v>Barniz Poliuretano Mate Industrial</v>
          </cell>
          <cell r="C303" t="str">
            <v>Interior</v>
          </cell>
          <cell r="D303" t="str">
            <v>Madera</v>
          </cell>
          <cell r="E303" t="str">
            <v>Lijado+Tapaporo+Tinte+Primer (E60FSA1)</v>
          </cell>
          <cell r="F303" t="str">
            <v>E60FSA1</v>
          </cell>
          <cell r="G303" t="str">
            <v>7.85 Lbs/Gl</v>
          </cell>
          <cell r="H303" t="str">
            <v>5.22%</v>
          </cell>
          <cell r="I303" t="str">
            <v>25.96%</v>
          </cell>
          <cell r="J303" t="str">
            <v>20.73%</v>
          </cell>
          <cell r="K303" t="str">
            <v>14.63%</v>
          </cell>
          <cell r="L303" t="str">
            <v>18.04%</v>
          </cell>
          <cell r="M303" t="str">
            <v>18"-20" Copa Ford #4</v>
          </cell>
          <cell r="N303" t="str">
            <v>Pistola</v>
          </cell>
          <cell r="O303" t="str">
            <v>18"-20" Copa Ford #4</v>
          </cell>
          <cell r="P303" t="str">
            <v>Ninguno</v>
          </cell>
          <cell r="Q303" t="str">
            <v>R7K7590  si es Necesario</v>
          </cell>
          <cell r="R303" t="str">
            <v>1 mills</v>
          </cell>
          <cell r="S303" t="str">
            <v>Al Aire</v>
          </cell>
          <cell r="T303" t="str">
            <v>Catalizado con 1/16 de V6V690</v>
          </cell>
          <cell r="U303" t="str">
            <v>289.18 Pies Cuadrados/Gl a 1 mills de película seca.</v>
          </cell>
          <cell r="V303" t="str">
            <v>5-7</v>
          </cell>
          <cell r="W303" t="str">
            <v>-</v>
          </cell>
          <cell r="X303" t="str">
            <v>1 Año</v>
          </cell>
          <cell r="Y303" t="str">
            <v>-</v>
          </cell>
          <cell r="Z303" t="str">
            <v>-</v>
          </cell>
          <cell r="AA303" t="str">
            <v>-</v>
          </cell>
          <cell r="AB303" t="str">
            <v>Oscar Enrique Ascencio.</v>
          </cell>
          <cell r="AC303">
            <v>36003</v>
          </cell>
        </row>
        <row r="304">
          <cell r="A304" t="str">
            <v>F74FSA2 (1)</v>
          </cell>
          <cell r="B304" t="str">
            <v>Barniz Poliuretano Satinado Industrial</v>
          </cell>
          <cell r="C304" t="str">
            <v>Interior</v>
          </cell>
          <cell r="D304" t="str">
            <v>Madera</v>
          </cell>
          <cell r="E304" t="str">
            <v>Lijado+Tapaporo+Tinte+Primer (E60FSA1)</v>
          </cell>
          <cell r="F304" t="str">
            <v>E60FSA1</v>
          </cell>
          <cell r="G304" t="str">
            <v>7.69 Lbs/Gl</v>
          </cell>
          <cell r="H304" t="str">
            <v>1.82% p/p</v>
          </cell>
          <cell r="I304" t="str">
            <v>22.45%</v>
          </cell>
          <cell r="J304" t="str">
            <v>20.63%</v>
          </cell>
          <cell r="K304" t="str">
            <v>0.50%</v>
          </cell>
          <cell r="L304" t="str">
            <v>16.28%</v>
          </cell>
          <cell r="M304" t="str">
            <v>18"-20" Copa Ford #4</v>
          </cell>
          <cell r="N304" t="str">
            <v>Pistola</v>
          </cell>
          <cell r="O304" t="str">
            <v>18"-20" Copa Ford #4</v>
          </cell>
          <cell r="P304" t="str">
            <v>Ninguno</v>
          </cell>
          <cell r="Q304" t="str">
            <v>Solo si es necesario R7K7590 Reductor Universal.</v>
          </cell>
          <cell r="R304" t="str">
            <v>1 mills</v>
          </cell>
          <cell r="S304" t="str">
            <v>Al aire</v>
          </cell>
          <cell r="T304" t="str">
            <v>Catalizado con  V6V690</v>
          </cell>
          <cell r="U304" t="str">
            <v>260.97 Pies Cuadrados/Gl a 1 mills de película seca.</v>
          </cell>
          <cell r="V304" t="str">
            <v>27-32</v>
          </cell>
          <cell r="W304" t="str">
            <v>-</v>
          </cell>
          <cell r="X304" t="str">
            <v>1 Año</v>
          </cell>
          <cell r="Y304" t="str">
            <v>-</v>
          </cell>
          <cell r="Z304" t="str">
            <v>-</v>
          </cell>
          <cell r="AA304" t="str">
            <v>-</v>
          </cell>
          <cell r="AB304" t="str">
            <v>Oscar Enrique Ascencio.</v>
          </cell>
          <cell r="AC304">
            <v>36003</v>
          </cell>
        </row>
        <row r="305">
          <cell r="A305" t="str">
            <v>P2YCR1</v>
          </cell>
          <cell r="B305" t="str">
            <v>Primario Combo Amarillo Ocre</v>
          </cell>
          <cell r="C305" t="str">
            <v>-</v>
          </cell>
          <cell r="D305" t="str">
            <v>Acero, Hierro, Superficies adecuadamente tratadas no Galvanizadas.</v>
          </cell>
          <cell r="E305" t="str">
            <v>Lijado+Lavado con Agua y Jabón+Solvente Limpiador R7K158.</v>
          </cell>
          <cell r="F305" t="str">
            <v>-</v>
          </cell>
          <cell r="G305" t="str">
            <v>9.68 Lbs/Gl</v>
          </cell>
          <cell r="H305" t="str">
            <v>27.38%</v>
          </cell>
          <cell r="I305" t="str">
            <v>46.60%</v>
          </cell>
          <cell r="J305" t="str">
            <v>19.30%</v>
          </cell>
          <cell r="K305" t="str">
            <v>36.68%</v>
          </cell>
          <cell r="L305" t="str">
            <v>20.15%</v>
          </cell>
          <cell r="M305" t="str">
            <v>7,000-3,000 CPS Copa Brokfield</v>
          </cell>
          <cell r="N305" t="str">
            <v>Pistola</v>
          </cell>
          <cell r="O305" t="str">
            <v>16"-18" Copa Zanh #2</v>
          </cell>
          <cell r="P305" t="str">
            <v>200% con R7K128</v>
          </cell>
          <cell r="Q305" t="str">
            <v>R7K128</v>
          </cell>
          <cell r="R305" t="str">
            <v>2 mills después de Lijado.</v>
          </cell>
          <cell r="S305" t="str">
            <v>Al Aire (Ambiente)</v>
          </cell>
          <cell r="T305" t="str">
            <v>-</v>
          </cell>
          <cell r="U305" t="str">
            <v>161.50 Pies Cuadrados/Gl a 2 mills de Película Seca sin lijar.</v>
          </cell>
          <cell r="V305" t="str">
            <v>-</v>
          </cell>
          <cell r="W305" t="str">
            <v>-</v>
          </cell>
          <cell r="X305" t="str">
            <v>3 Años sin Abrir.</v>
          </cell>
          <cell r="Y305" t="str">
            <v>-</v>
          </cell>
          <cell r="Z305" t="str">
            <v>-</v>
          </cell>
          <cell r="AA305" t="str">
            <v>-</v>
          </cell>
          <cell r="AB305" t="str">
            <v>Oscar Enrique Ascencio.</v>
          </cell>
          <cell r="AC305">
            <v>36003</v>
          </cell>
        </row>
        <row r="306">
          <cell r="A306" t="str">
            <v>B51ASA1</v>
          </cell>
          <cell r="B306" t="str">
            <v>Primera Mano Para Paredes.</v>
          </cell>
          <cell r="C306" t="str">
            <v>Interior-Exterior</v>
          </cell>
          <cell r="D306" t="str">
            <v>Ladrillos Saltex, Concreto</v>
          </cell>
          <cell r="E306" t="str">
            <v>Libre de Polvo, Grasa o Cuarquier Sustancia Contaminate</v>
          </cell>
          <cell r="F306" t="str">
            <v>Ninguno</v>
          </cell>
          <cell r="G306" t="str">
            <v>11 Lbs/Gl</v>
          </cell>
          <cell r="H306" t="str">
            <v>-</v>
          </cell>
          <cell r="I306" t="str">
            <v>48.61%</v>
          </cell>
          <cell r="J306" t="str">
            <v>-</v>
          </cell>
          <cell r="K306" t="str">
            <v>-</v>
          </cell>
          <cell r="L306" t="str">
            <v>32.87%</v>
          </cell>
          <cell r="M306" t="str">
            <v>105-110 KU</v>
          </cell>
          <cell r="N306" t="str">
            <v>Brocha</v>
          </cell>
          <cell r="O306" t="str">
            <v>95-100 KU</v>
          </cell>
          <cell r="P306" t="str">
            <v>10%</v>
          </cell>
          <cell r="Q306" t="str">
            <v>Agua Limpia</v>
          </cell>
          <cell r="R306" t="str">
            <v>4 mills</v>
          </cell>
          <cell r="S306" t="str">
            <v>Al Aire</v>
          </cell>
          <cell r="T306" t="str">
            <v>-</v>
          </cell>
          <cell r="U306" t="str">
            <v>12.5 Metros Cuadrados/Gl a 4 mills seco</v>
          </cell>
          <cell r="V306" t="str">
            <v>Mate</v>
          </cell>
          <cell r="W306" t="str">
            <v>-</v>
          </cell>
          <cell r="X306" t="str">
            <v>2 años</v>
          </cell>
          <cell r="Y306" t="str">
            <v>Varios</v>
          </cell>
          <cell r="Z306" t="str">
            <v>-</v>
          </cell>
          <cell r="AA306" t="str">
            <v>-</v>
          </cell>
          <cell r="AB306" t="str">
            <v>Ana Irene Mendez Vides</v>
          </cell>
          <cell r="AC306">
            <v>36024</v>
          </cell>
        </row>
        <row r="307">
          <cell r="A307" t="str">
            <v>M91GSA1</v>
          </cell>
          <cell r="B307" t="str">
            <v>Laca Para Escobas Verde.</v>
          </cell>
          <cell r="C307" t="str">
            <v>Interior-Exterior</v>
          </cell>
          <cell r="D307" t="str">
            <v>Madera-Palos de escoba.</v>
          </cell>
          <cell r="E307" t="str">
            <v>De acuerdo al cliente</v>
          </cell>
          <cell r="F307" t="str">
            <v>Ninguno</v>
          </cell>
          <cell r="G307" t="str">
            <v>8.36 Lbs</v>
          </cell>
          <cell r="H307" t="str">
            <v>8.05%</v>
          </cell>
          <cell r="I307" t="str">
            <v>37.54%</v>
          </cell>
          <cell r="J307" t="str">
            <v>22.11%</v>
          </cell>
          <cell r="K307" t="str">
            <v>9.72%</v>
          </cell>
          <cell r="L307" t="str">
            <v>24.49%</v>
          </cell>
          <cell r="M307" t="str">
            <v>18,000 - 23,000 cps</v>
          </cell>
          <cell r="N307" t="str">
            <v>De acuerdo al cliente</v>
          </cell>
          <cell r="O307" t="str">
            <v>-</v>
          </cell>
          <cell r="P307" t="str">
            <v>Ninguno</v>
          </cell>
          <cell r="Q307" t="str">
            <v>de ser necesario con thinner R7K128</v>
          </cell>
          <cell r="R307" t="str">
            <v>de acuerdo al cliente</v>
          </cell>
          <cell r="S307" t="str">
            <v>Al Aire</v>
          </cell>
          <cell r="T307" t="str">
            <v>-</v>
          </cell>
          <cell r="U307" t="str">
            <v>36.49 Mts Cuadrados/galon a 1 mills de película seca.</v>
          </cell>
          <cell r="V307" t="str">
            <v>-</v>
          </cell>
          <cell r="W307" t="str">
            <v>-</v>
          </cell>
          <cell r="X307" t="str">
            <v>6-12 meses</v>
          </cell>
          <cell r="Y307" t="str">
            <v>MULTIPLAST</v>
          </cell>
          <cell r="Z307" t="str">
            <v>Escobas</v>
          </cell>
          <cell r="AA307" t="str">
            <v>-</v>
          </cell>
          <cell r="AB307" t="str">
            <v>Ing. Juan Antonio Méndez</v>
          </cell>
          <cell r="AC307" t="str">
            <v>Junio, 2 del 2003</v>
          </cell>
        </row>
        <row r="308">
          <cell r="A308" t="str">
            <v>Y81WSA1</v>
          </cell>
          <cell r="B308" t="str">
            <v>Colorámica Látex Blanco</v>
          </cell>
          <cell r="C308" t="str">
            <v>Interior-Exterior</v>
          </cell>
          <cell r="D308" t="str">
            <v>Concreto, Ladrillo, Madera</v>
          </cell>
          <cell r="E308" t="str">
            <v>Libre de Polvo, Grasa o Cuarquier Sustancia Contaminate</v>
          </cell>
          <cell r="F308" t="str">
            <v>Ninguno</v>
          </cell>
          <cell r="G308" t="str">
            <v>11.42 Lbs/gl</v>
          </cell>
          <cell r="H308" t="str">
            <v>-</v>
          </cell>
          <cell r="I308" t="str">
            <v>45.45%</v>
          </cell>
          <cell r="J308" t="str">
            <v>-</v>
          </cell>
          <cell r="K308" t="str">
            <v>-</v>
          </cell>
          <cell r="L308" t="str">
            <v>26.03%</v>
          </cell>
          <cell r="M308" t="str">
            <v>102-105 KU</v>
          </cell>
          <cell r="N308" t="str">
            <v>Brocha-Rodillo</v>
          </cell>
          <cell r="O308" t="str">
            <v>95-98 KU</v>
          </cell>
          <cell r="P308" t="str">
            <v>Máximo 5% si fuera Necesario</v>
          </cell>
          <cell r="Q308" t="str">
            <v>Agua Limpia</v>
          </cell>
          <cell r="R308" t="str">
            <v>2 mills</v>
          </cell>
          <cell r="S308" t="str">
            <v>Al Aire</v>
          </cell>
          <cell r="T308" t="str">
            <v>-</v>
          </cell>
          <cell r="U308" t="str">
            <v>20 Mts Cuadrados/Gl, dependiendo de la Superficie</v>
          </cell>
          <cell r="V308" t="str">
            <v>-</v>
          </cell>
          <cell r="W308" t="str">
            <v>-</v>
          </cell>
          <cell r="X308" t="str">
            <v>2 años</v>
          </cell>
          <cell r="Y308" t="str">
            <v>DIDEMA-GUATEMALA (5°P.P)</v>
          </cell>
          <cell r="Z308" t="str">
            <v>-</v>
          </cell>
          <cell r="AA308" t="str">
            <v>-</v>
          </cell>
          <cell r="AB308" t="str">
            <v>Ana Irene Mendez Vides</v>
          </cell>
          <cell r="AC308">
            <v>37901</v>
          </cell>
        </row>
        <row r="309">
          <cell r="A309" t="str">
            <v>R7KDSA1</v>
          </cell>
          <cell r="B309" t="str">
            <v>Solvente Para Limpieza Industrial</v>
          </cell>
          <cell r="C309" t="str">
            <v>-</v>
          </cell>
          <cell r="D309" t="str">
            <v>-</v>
          </cell>
          <cell r="E309" t="str">
            <v>-</v>
          </cell>
          <cell r="F309" t="str">
            <v>-</v>
          </cell>
          <cell r="G309" t="str">
            <v>6.9 Lbs/Gl</v>
          </cell>
          <cell r="H309" t="str">
            <v>-</v>
          </cell>
          <cell r="I309" t="str">
            <v>-</v>
          </cell>
          <cell r="J309" t="str">
            <v>-</v>
          </cell>
          <cell r="K309" t="str">
            <v>-</v>
          </cell>
          <cell r="L309" t="str">
            <v>-</v>
          </cell>
          <cell r="M309" t="str">
            <v>-</v>
          </cell>
          <cell r="N309" t="str">
            <v>-</v>
          </cell>
          <cell r="O309" t="str">
            <v>-</v>
          </cell>
          <cell r="P309" t="str">
            <v>-</v>
          </cell>
          <cell r="Q309" t="str">
            <v>-</v>
          </cell>
          <cell r="R309" t="str">
            <v>-</v>
          </cell>
          <cell r="S309" t="str">
            <v>-</v>
          </cell>
          <cell r="T309" t="str">
            <v>-</v>
          </cell>
          <cell r="U309" t="str">
            <v>-</v>
          </cell>
          <cell r="V309" t="str">
            <v>-</v>
          </cell>
          <cell r="W309" t="str">
            <v>-</v>
          </cell>
          <cell r="X309" t="str">
            <v>-</v>
          </cell>
          <cell r="Y309" t="str">
            <v>Industria General</v>
          </cell>
          <cell r="Z309" t="str">
            <v>-</v>
          </cell>
          <cell r="AA309" t="str">
            <v>Kauri Butanol = Infinito.  Gravedad Específica = 0.84</v>
          </cell>
          <cell r="AB309" t="str">
            <v>Rigoberto Montalvo</v>
          </cell>
          <cell r="AC309">
            <v>36144</v>
          </cell>
        </row>
        <row r="310">
          <cell r="A310" t="str">
            <v>T1CSA4</v>
          </cell>
          <cell r="B310" t="str">
            <v>Recubrimiento Acrílico Para Metales</v>
          </cell>
          <cell r="C310" t="str">
            <v>Interior-Exterior</v>
          </cell>
          <cell r="D310" t="str">
            <v>Metal</v>
          </cell>
          <cell r="E310" t="str">
            <v>Lavado con agua y detergente, solvente de limpieza, si existe corrosión aplicar W4K288.</v>
          </cell>
          <cell r="F310" t="str">
            <v>Ninguno</v>
          </cell>
          <cell r="G310" t="str">
            <v>7.07 Lbs/Gl</v>
          </cell>
          <cell r="H310" t="str">
            <v>-</v>
          </cell>
          <cell r="I310" t="str">
            <v>21.20%</v>
          </cell>
          <cell r="J310" t="str">
            <v>100%</v>
          </cell>
          <cell r="K310" t="str">
            <v>-</v>
          </cell>
          <cell r="L310" t="str">
            <v>19%</v>
          </cell>
          <cell r="M310" t="str">
            <v>24"-28" Copa Ford #4.</v>
          </cell>
          <cell r="N310" t="str">
            <v>Pistola</v>
          </cell>
          <cell r="O310" t="str">
            <v>20" Copa Zanh #2</v>
          </cell>
          <cell r="P310" t="str">
            <v>La Necesaria para su aplicación.</v>
          </cell>
          <cell r="Q310" t="str">
            <v>R7K203</v>
          </cell>
          <cell r="R310" t="str">
            <v>1.2-1.5 Mills</v>
          </cell>
          <cell r="S310" t="str">
            <v>Al aire, 1 Hora Seco completo.</v>
          </cell>
          <cell r="T310" t="str">
            <v>-</v>
          </cell>
          <cell r="U310" t="str">
            <v>23.59 Mts Cuadrados/Gl a 1.2 mills de película seca.</v>
          </cell>
          <cell r="V310" t="str">
            <v>70 Mínimo.</v>
          </cell>
          <cell r="W310" t="str">
            <v>-</v>
          </cell>
          <cell r="X310" t="str">
            <v>2 años sin Abrir.</v>
          </cell>
          <cell r="Y310" t="str">
            <v>-</v>
          </cell>
          <cell r="Z310" t="str">
            <v>-</v>
          </cell>
          <cell r="AA310" t="str">
            <v>-</v>
          </cell>
          <cell r="AB310" t="str">
            <v>Oscar Enrique Ascencio.</v>
          </cell>
          <cell r="AC310">
            <v>36201</v>
          </cell>
        </row>
        <row r="311">
          <cell r="A311" t="str">
            <v>T60FCR1</v>
          </cell>
          <cell r="B311" t="str">
            <v>Sellador Ultra Concentrado</v>
          </cell>
          <cell r="C311" t="str">
            <v>Interior</v>
          </cell>
          <cell r="D311" t="str">
            <v>Madera</v>
          </cell>
          <cell r="E311" t="str">
            <v>Lijado</v>
          </cell>
          <cell r="F311" t="str">
            <v>D70T1 Tapaporo Natural</v>
          </cell>
          <cell r="G311" t="str">
            <v>7.75 Lbs/Gl</v>
          </cell>
          <cell r="H311" t="str">
            <v>-</v>
          </cell>
          <cell r="I311" t="str">
            <v>19.40%</v>
          </cell>
          <cell r="J311" t="str">
            <v>19.52%</v>
          </cell>
          <cell r="K311" t="str">
            <v>-</v>
          </cell>
          <cell r="L311" t="str">
            <v>11.90</v>
          </cell>
          <cell r="M311" t="str">
            <v>230,000-240,000 CPS ( Brookfield Spin #7 a 10 RPM)</v>
          </cell>
          <cell r="N311" t="str">
            <v>Pistola</v>
          </cell>
          <cell r="O311" t="str">
            <v>18"-22" Copa Ford #4</v>
          </cell>
          <cell r="P311" t="str">
            <v>800-850%</v>
          </cell>
          <cell r="Q311" t="str">
            <v>R7K128</v>
          </cell>
          <cell r="R311" t="str">
            <v>-</v>
          </cell>
          <cell r="S311" t="str">
            <v>Al Aire</v>
          </cell>
          <cell r="T311" t="str">
            <v>-</v>
          </cell>
          <cell r="U311" t="str">
            <v>30. Mts Cuadrados/Gl a 1 mills de película Seca.</v>
          </cell>
          <cell r="V311" t="str">
            <v>+40</v>
          </cell>
          <cell r="W311" t="str">
            <v>-</v>
          </cell>
          <cell r="X311" t="str">
            <v>2 años sin Abrir.</v>
          </cell>
          <cell r="Y311" t="str">
            <v>-</v>
          </cell>
          <cell r="Z311" t="str">
            <v>-</v>
          </cell>
          <cell r="AA311" t="str">
            <v>-</v>
          </cell>
          <cell r="AB311" t="str">
            <v>Rigoberto Montalvo</v>
          </cell>
          <cell r="AC311">
            <v>37427</v>
          </cell>
        </row>
        <row r="312">
          <cell r="A312" t="str">
            <v>SAA 4785 (1)</v>
          </cell>
          <cell r="B312" t="str">
            <v>Kem Lustral Verde Químico</v>
          </cell>
          <cell r="C312" t="str">
            <v>Interior-Exterior</v>
          </cell>
          <cell r="D312" t="str">
            <v>Madera, Metal, Cartón, Ladrillo, Cemento.</v>
          </cell>
          <cell r="E312" t="str">
            <v>Limpia y Seca. Libre de Aceite, Grasa u óxido.</v>
          </cell>
          <cell r="F312" t="str">
            <v>Anticorrosivo. Depende de la Superficie.</v>
          </cell>
          <cell r="G312" t="str">
            <v>8.27 Lbs/Gl</v>
          </cell>
          <cell r="H312" t="str">
            <v>11.97% p/p</v>
          </cell>
          <cell r="I312" t="str">
            <v>49.64% p/p</v>
          </cell>
          <cell r="J312" t="str">
            <v>-</v>
          </cell>
          <cell r="K312" t="str">
            <v>7.78% v/v</v>
          </cell>
          <cell r="L312" t="str">
            <v>38.79% v/v</v>
          </cell>
          <cell r="M312" t="str">
            <v>80-85 KU</v>
          </cell>
          <cell r="N312" t="str">
            <v>Brocha, Rodillo, Pistola o Inmersión.</v>
          </cell>
          <cell r="O312" t="str">
            <v>70-80 KU</v>
          </cell>
          <cell r="P312" t="str">
            <v>20-25%</v>
          </cell>
          <cell r="Q312" t="str">
            <v>R1K3 VMP Naphta.</v>
          </cell>
          <cell r="R312" t="str">
            <v>1.5-2 mills</v>
          </cell>
          <cell r="S312" t="str">
            <v>Al Aire</v>
          </cell>
          <cell r="T312" t="str">
            <v>-</v>
          </cell>
          <cell r="U312" t="str">
            <v>38 Mts Cuadrados/Gl a 1.5 mills de Espesor.</v>
          </cell>
          <cell r="V312" t="str">
            <v xml:space="preserve">90 </v>
          </cell>
          <cell r="W312" t="str">
            <v>-</v>
          </cell>
          <cell r="X312" t="str">
            <v>3 Años</v>
          </cell>
          <cell r="Y312" t="str">
            <v>DIDEMA-GUATEMALA</v>
          </cell>
          <cell r="Z312" t="str">
            <v>-</v>
          </cell>
          <cell r="AA312" t="str">
            <v>-</v>
          </cell>
          <cell r="AB312" t="str">
            <v>Mario Galán.</v>
          </cell>
          <cell r="AC312">
            <v>36236</v>
          </cell>
        </row>
        <row r="313">
          <cell r="A313" t="str">
            <v>A58RSA2</v>
          </cell>
          <cell r="B313" t="str">
            <v>Pasta Para Bloques</v>
          </cell>
          <cell r="C313" t="str">
            <v>Interior-Exterior</v>
          </cell>
          <cell r="D313" t="str">
            <v>Bloques</v>
          </cell>
          <cell r="E313" t="str">
            <v>-</v>
          </cell>
          <cell r="F313" t="str">
            <v>Ninguno</v>
          </cell>
          <cell r="G313" t="str">
            <v>19.79 Lbs/Gl</v>
          </cell>
          <cell r="H313" t="str">
            <v>71 más o menos 2</v>
          </cell>
          <cell r="I313" t="str">
            <v>75.54%</v>
          </cell>
          <cell r="J313" t="str">
            <v>-</v>
          </cell>
          <cell r="K313" t="str">
            <v>-</v>
          </cell>
          <cell r="L313" t="str">
            <v>38.90%</v>
          </cell>
          <cell r="M313" t="str">
            <v>110-115 KU</v>
          </cell>
          <cell r="N313" t="str">
            <v>Es una Mezcla hecha de Cemento, Grava, arena, Pasta Para Obtener Bloques de color.</v>
          </cell>
          <cell r="O313" t="str">
            <v>110-115 KU</v>
          </cell>
          <cell r="P313" t="str">
            <v>Ninguno</v>
          </cell>
          <cell r="Q313" t="str">
            <v>Agua Para Lavar Equipo</v>
          </cell>
          <cell r="R313" t="str">
            <v>-</v>
          </cell>
          <cell r="S313" t="str">
            <v>-</v>
          </cell>
          <cell r="T313" t="str">
            <v>-</v>
          </cell>
          <cell r="U313" t="str">
            <v>-</v>
          </cell>
          <cell r="V313" t="str">
            <v>Satinado</v>
          </cell>
          <cell r="W313" t="str">
            <v>-</v>
          </cell>
          <cell r="X313" t="str">
            <v>2 Años</v>
          </cell>
          <cell r="Y313" t="str">
            <v>BLOCTEKA-GUATEMALA</v>
          </cell>
          <cell r="Z313" t="str">
            <v>Bloques de Color.</v>
          </cell>
          <cell r="AA313" t="str">
            <v>-</v>
          </cell>
          <cell r="AB313" t="str">
            <v>Ana Irene Mendez Vides</v>
          </cell>
          <cell r="AC313">
            <v>36248</v>
          </cell>
        </row>
        <row r="314">
          <cell r="A314" t="str">
            <v>A58RSA3</v>
          </cell>
          <cell r="B314" t="str">
            <v>Pasta Para Bloques</v>
          </cell>
          <cell r="C314" t="str">
            <v>Interior-Exterior</v>
          </cell>
          <cell r="D314" t="str">
            <v>Bloques</v>
          </cell>
          <cell r="E314" t="str">
            <v>-</v>
          </cell>
          <cell r="F314" t="str">
            <v>Ninguno</v>
          </cell>
          <cell r="G314" t="str">
            <v>19.79 Lbs/Gl</v>
          </cell>
          <cell r="H314" t="str">
            <v>71 más o menos 2</v>
          </cell>
          <cell r="I314" t="str">
            <v>75.54%</v>
          </cell>
          <cell r="J314" t="str">
            <v>-</v>
          </cell>
          <cell r="K314" t="str">
            <v>-</v>
          </cell>
          <cell r="L314" t="str">
            <v>38.90%</v>
          </cell>
          <cell r="M314" t="str">
            <v>110-115 KU</v>
          </cell>
          <cell r="N314" t="str">
            <v>Es una Mezcla hecha de Cemento, Grava, arena, Pasta Para Obtener Bloques de color.</v>
          </cell>
          <cell r="O314" t="str">
            <v>110-115 KU</v>
          </cell>
          <cell r="P314" t="str">
            <v>Ninguno</v>
          </cell>
          <cell r="Q314" t="str">
            <v>Agua Para Lavar Equipo</v>
          </cell>
          <cell r="R314" t="str">
            <v>-</v>
          </cell>
          <cell r="S314" t="str">
            <v>-</v>
          </cell>
          <cell r="T314" t="str">
            <v>-</v>
          </cell>
          <cell r="U314" t="str">
            <v>-</v>
          </cell>
          <cell r="V314" t="str">
            <v>Satinado</v>
          </cell>
          <cell r="W314" t="str">
            <v>-</v>
          </cell>
          <cell r="X314" t="str">
            <v>2 Años</v>
          </cell>
          <cell r="Y314" t="str">
            <v>BLOCTEKA-GUATEMALA</v>
          </cell>
          <cell r="Z314" t="str">
            <v>Bloques de Color.</v>
          </cell>
          <cell r="AA314" t="str">
            <v>-</v>
          </cell>
          <cell r="AB314" t="str">
            <v>Ana Irene Mendez Vides</v>
          </cell>
          <cell r="AC314">
            <v>36248</v>
          </cell>
        </row>
        <row r="315">
          <cell r="A315" t="str">
            <v>B11ASA1</v>
          </cell>
          <cell r="B315" t="str">
            <v>Primera Mano Para Metales.</v>
          </cell>
          <cell r="C315" t="str">
            <v>Interior-Exterior</v>
          </cell>
          <cell r="D315" t="str">
            <v>Metal</v>
          </cell>
          <cell r="E315" t="str">
            <v>Libre de Polvo, Grasa u óxido.</v>
          </cell>
          <cell r="F315" t="str">
            <v>Ninguno</v>
          </cell>
          <cell r="G315" t="str">
            <v>9.24 Lbs/Gl</v>
          </cell>
          <cell r="H315" t="str">
            <v>-</v>
          </cell>
          <cell r="I315" t="str">
            <v>51.40%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70-90 KU</v>
          </cell>
          <cell r="N315" t="str">
            <v xml:space="preserve">Brocha-Pistola </v>
          </cell>
          <cell r="O315" t="str">
            <v>60-65 KU al Aplicar con Pistola</v>
          </cell>
          <cell r="P315" t="str">
            <v>10%-15%</v>
          </cell>
          <cell r="Q315" t="str">
            <v>R1K4</v>
          </cell>
          <cell r="R315" t="str">
            <v>1.5 mills Seca</v>
          </cell>
          <cell r="S315" t="str">
            <v>Al aire</v>
          </cell>
          <cell r="T315" t="str">
            <v>-</v>
          </cell>
          <cell r="U315" t="str">
            <v>30-33 Mts Cuadrados/Gl a 3 mills húmedo.</v>
          </cell>
          <cell r="V315" t="str">
            <v>Mate</v>
          </cell>
          <cell r="W315" t="str">
            <v>-</v>
          </cell>
          <cell r="X315" t="str">
            <v>2 Años</v>
          </cell>
          <cell r="Y315" t="str">
            <v>-</v>
          </cell>
          <cell r="Z315" t="str">
            <v>-</v>
          </cell>
          <cell r="AA315" t="str">
            <v>-</v>
          </cell>
          <cell r="AB315" t="str">
            <v>Soraya de Quijada</v>
          </cell>
          <cell r="AC315">
            <v>36391</v>
          </cell>
        </row>
        <row r="316">
          <cell r="A316" t="str">
            <v>A17V1</v>
          </cell>
          <cell r="B316" t="str">
            <v>Kem Wood Preservative #1</v>
          </cell>
          <cell r="C316" t="str">
            <v>Interior-Exterior</v>
          </cell>
          <cell r="D316" t="str">
            <v>Madera Sin Pintar</v>
          </cell>
          <cell r="E316" t="str">
            <v>Limpia, seca y libre de Cualquier Contaminación.</v>
          </cell>
          <cell r="F316" t="str">
            <v>-</v>
          </cell>
          <cell r="G316" t="str">
            <v>6.80 Lbs/Gl</v>
          </cell>
          <cell r="H316" t="str">
            <v>-</v>
          </cell>
          <cell r="I316" t="str">
            <v>16.23%</v>
          </cell>
          <cell r="J316" t="str">
            <v>-</v>
          </cell>
          <cell r="K316" t="str">
            <v>-</v>
          </cell>
          <cell r="L316" t="str">
            <v>10.0%</v>
          </cell>
          <cell r="M316" t="str">
            <v>-</v>
          </cell>
          <cell r="N316" t="str">
            <v>Brocha, Pistola o Inmersión.</v>
          </cell>
          <cell r="O316" t="str">
            <v>-</v>
          </cell>
          <cell r="P316" t="str">
            <v>Ninguno</v>
          </cell>
          <cell r="Q316" t="str">
            <v>-</v>
          </cell>
          <cell r="R316" t="str">
            <v>-</v>
          </cell>
          <cell r="S316" t="str">
            <v>Seco Tocar: 2 Horas; Retocar: 48 Horas</v>
          </cell>
          <cell r="T316" t="str">
            <v>-</v>
          </cell>
          <cell r="U316" t="str">
            <v>Brocha:Aplicar 2 manos gruesas de preservante.Inmersión:sumergir por 5 min. Por c/pulg. De grosor.</v>
          </cell>
          <cell r="V316" t="str">
            <v>-</v>
          </cell>
          <cell r="W316" t="str">
            <v>-</v>
          </cell>
          <cell r="X316" t="str">
            <v>2 años</v>
          </cell>
          <cell r="Y316" t="str">
            <v>SW de CA</v>
          </cell>
          <cell r="Z316" t="str">
            <v>-</v>
          </cell>
          <cell r="AA316" t="str">
            <v>El equipo puede lavarse con R1K4. Usar lentes, mascarilla y guantes. Es un producto irritante. Ingrediente activo: 3-yodo-2-propynyl butyl carbamate.</v>
          </cell>
          <cell r="AB316" t="str">
            <v>Ana Irene Mendez Vides</v>
          </cell>
          <cell r="AC316">
            <v>36441</v>
          </cell>
        </row>
        <row r="317">
          <cell r="A317" t="str">
            <v>F68BSA5</v>
          </cell>
          <cell r="B317" t="str">
            <v>Super Fast Dry Negro.</v>
          </cell>
          <cell r="C317" t="str">
            <v>Interior-Exterior</v>
          </cell>
          <cell r="D317" t="str">
            <v>Metal</v>
          </cell>
          <cell r="E317" t="str">
            <v>Según tipo de superficie, consultar al distribuidor.</v>
          </cell>
          <cell r="F317" t="str">
            <v>Para Máxima Protección Aplicar E61R9</v>
          </cell>
          <cell r="G317" t="str">
            <v>8.04 Lbs/Gl</v>
          </cell>
          <cell r="H317" t="str">
            <v>2.42% p/p</v>
          </cell>
          <cell r="I317" t="str">
            <v>44.21% p/p</v>
          </cell>
          <cell r="J317" t="str">
            <v>41.79% p/p</v>
          </cell>
          <cell r="K317" t="str">
            <v>3.87% v/v</v>
          </cell>
          <cell r="L317" t="str">
            <v>35.60% v/v</v>
          </cell>
          <cell r="M317" t="str">
            <v>75-80 KU</v>
          </cell>
          <cell r="N317" t="str">
            <v>Pistola</v>
          </cell>
          <cell r="O317" t="str">
            <v>20-25 seg. Copa Zanh #2</v>
          </cell>
          <cell r="P317" t="str">
            <v>25-28%</v>
          </cell>
          <cell r="Q317" t="str">
            <v>Industrial Reducer  R2K4</v>
          </cell>
          <cell r="R317" t="str">
            <v>1.2 mills</v>
          </cell>
          <cell r="S317" t="str">
            <v>Al Aire</v>
          </cell>
          <cell r="T317" t="str">
            <v>-</v>
          </cell>
          <cell r="U317" t="str">
            <v>44 Mts Cuadrados/Gl a 1.2 mills de Película Seca</v>
          </cell>
          <cell r="V317" t="str">
            <v>+80</v>
          </cell>
          <cell r="W317" t="str">
            <v>-</v>
          </cell>
          <cell r="X317" t="str">
            <v>2 años sin Abrir.</v>
          </cell>
          <cell r="Y317" t="str">
            <v>DIDEMA-NICARAGUA</v>
          </cell>
          <cell r="Z317" t="str">
            <v>-</v>
          </cell>
          <cell r="AA317" t="str">
            <v>-</v>
          </cell>
          <cell r="AB317" t="str">
            <v>Oscar Enrique Ascencio.</v>
          </cell>
          <cell r="AC317">
            <v>36441</v>
          </cell>
        </row>
        <row r="318">
          <cell r="A318" t="str">
            <v>F68GSA6</v>
          </cell>
          <cell r="B318" t="str">
            <v>Super Fast Dry Verde John Deere</v>
          </cell>
          <cell r="C318" t="str">
            <v>Interior-Exterior</v>
          </cell>
          <cell r="D318" t="str">
            <v>Metal</v>
          </cell>
          <cell r="E318" t="str">
            <v>Según tipo de superficie, consultar al distribuidor.</v>
          </cell>
          <cell r="F318" t="str">
            <v>Para Máxima Protección Aplicar E61R9</v>
          </cell>
          <cell r="G318" t="str">
            <v>8.42 Lbs/Gl</v>
          </cell>
          <cell r="H318" t="str">
            <v>8.58% p/p</v>
          </cell>
          <cell r="I318" t="str">
            <v>44.46% p/p</v>
          </cell>
          <cell r="J318" t="str">
            <v>35.88% p/p</v>
          </cell>
          <cell r="K318" t="str">
            <v>6.36% v/v</v>
          </cell>
          <cell r="L318" t="str">
            <v>37.77% v/v</v>
          </cell>
          <cell r="M318" t="str">
            <v>75-80 KU</v>
          </cell>
          <cell r="N318" t="str">
            <v>Pistola</v>
          </cell>
          <cell r="O318" t="str">
            <v>20-25 seg. Copa Zanh #2</v>
          </cell>
          <cell r="P318" t="str">
            <v>25-28%</v>
          </cell>
          <cell r="Q318" t="str">
            <v>Industrial Reducer  R2K4</v>
          </cell>
          <cell r="R318" t="str">
            <v>1.2 mills</v>
          </cell>
          <cell r="S318" t="str">
            <v>Al Aire</v>
          </cell>
          <cell r="T318" t="str">
            <v>-</v>
          </cell>
          <cell r="U318" t="str">
            <v>40.69 Mts Cuadrados/Gl a 1.2 mills de Película Seca</v>
          </cell>
          <cell r="V318" t="str">
            <v>+80</v>
          </cell>
          <cell r="W318" t="str">
            <v>-</v>
          </cell>
          <cell r="X318" t="str">
            <v>2 años sin Abrir.</v>
          </cell>
          <cell r="Y318" t="str">
            <v>DIDEMA-NICARAGUA</v>
          </cell>
          <cell r="Z318" t="str">
            <v>-</v>
          </cell>
          <cell r="AA318" t="str">
            <v>-</v>
          </cell>
          <cell r="AB318" t="str">
            <v>Oscar Enrique Ascencio.</v>
          </cell>
          <cell r="AC318">
            <v>36441</v>
          </cell>
        </row>
        <row r="319">
          <cell r="A319" t="str">
            <v>F68RSA10</v>
          </cell>
          <cell r="B319" t="str">
            <v>Super fast Dry Rojo Internacional</v>
          </cell>
          <cell r="C319" t="str">
            <v>Interior-Exterior</v>
          </cell>
          <cell r="D319" t="str">
            <v>Metal</v>
          </cell>
          <cell r="E319" t="str">
            <v>Según tipo de superficie, consultar al distribuidor.</v>
          </cell>
          <cell r="F319" t="str">
            <v>Para Máxima Protección Aplicar E61R9</v>
          </cell>
          <cell r="G319" t="str">
            <v>8.09 Lbs/Gl</v>
          </cell>
          <cell r="H319" t="str">
            <v>5.39% p/p</v>
          </cell>
          <cell r="I319" t="str">
            <v>42.66% p/p</v>
          </cell>
          <cell r="J319" t="str">
            <v>31.27% p/p</v>
          </cell>
          <cell r="K319" t="str">
            <v>8.0% v/v</v>
          </cell>
          <cell r="L319" t="str">
            <v>33.36% v/v</v>
          </cell>
          <cell r="M319" t="str">
            <v>75-80 KU</v>
          </cell>
          <cell r="N319" t="str">
            <v>Pistola</v>
          </cell>
          <cell r="O319" t="str">
            <v>20-25 seg. Copa Zanh #2</v>
          </cell>
          <cell r="P319" t="str">
            <v>25-28%</v>
          </cell>
          <cell r="Q319" t="str">
            <v>Industrial Reducer  R2K4</v>
          </cell>
          <cell r="R319" t="str">
            <v>1.2 mills</v>
          </cell>
          <cell r="S319" t="str">
            <v>Al Aire</v>
          </cell>
          <cell r="T319" t="str">
            <v>-</v>
          </cell>
          <cell r="U319" t="str">
            <v>41.42 Mts Cuadrados/Gl a 1.2 mills de Película Seca</v>
          </cell>
          <cell r="V319" t="str">
            <v>+80</v>
          </cell>
          <cell r="W319" t="str">
            <v>-</v>
          </cell>
          <cell r="X319" t="str">
            <v>2 años sin Abrir.</v>
          </cell>
          <cell r="Y319" t="str">
            <v>DIDEMA-NICARAGUA</v>
          </cell>
          <cell r="Z319" t="str">
            <v>-</v>
          </cell>
          <cell r="AA319" t="str">
            <v>-</v>
          </cell>
          <cell r="AB319" t="str">
            <v>Oscar Enrique Ascencio.</v>
          </cell>
          <cell r="AC319">
            <v>36441</v>
          </cell>
        </row>
        <row r="321">
          <cell r="A321" t="str">
            <v xml:space="preserve">B45WSA1  </v>
          </cell>
          <cell r="B321" t="str">
            <v>Sellador Blanco Rápido Secamiento/Tablayeso (Gypsum)*</v>
          </cell>
          <cell r="C321" t="str">
            <v>Interior</v>
          </cell>
          <cell r="D321" t="str">
            <v>Concreto, Cemento, Drywall y Fibrocemento</v>
          </cell>
          <cell r="E321" t="str">
            <v>Limpia, seca y libre de Cualquier Contaminación.</v>
          </cell>
          <cell r="F321" t="str">
            <v>Ninguno</v>
          </cell>
          <cell r="G321" t="str">
            <v>11.15 Lbs/Gl</v>
          </cell>
          <cell r="H321" t="str">
            <v>34%</v>
          </cell>
          <cell r="I321" t="str">
            <v>48.10%</v>
          </cell>
          <cell r="J321" t="str">
            <v>62%</v>
          </cell>
          <cell r="K321" t="str">
            <v>48.30%</v>
          </cell>
          <cell r="L321" t="str">
            <v>30.40%</v>
          </cell>
          <cell r="M321" t="str">
            <v>13-15*1000 CPS</v>
          </cell>
          <cell r="N321" t="str">
            <v>Brocha, Rodillo, Pistola.</v>
          </cell>
          <cell r="O321" t="str">
            <v>13-15*1000 CPS</v>
          </cell>
          <cell r="P321" t="str">
            <v>Brocha o Rodillo: Ninguna; Pistola 15-25% con Agua Limpia.</v>
          </cell>
          <cell r="Q321" t="str">
            <v>Ninguno</v>
          </cell>
          <cell r="R321" t="str">
            <v>1.5 mills Seca</v>
          </cell>
          <cell r="S321" t="str">
            <v>Al aire</v>
          </cell>
          <cell r="T321" t="str">
            <v>-</v>
          </cell>
          <cell r="U321" t="str">
            <v>28-30 Mts Cuadrados/Gl</v>
          </cell>
          <cell r="V321" t="str">
            <v>Mate</v>
          </cell>
          <cell r="W321" t="str">
            <v>-</v>
          </cell>
          <cell r="X321" t="str">
            <v>2 años sin Abrir.</v>
          </cell>
          <cell r="Y321" t="str">
            <v>DIDEMA-COSTA RICA</v>
          </cell>
          <cell r="Z321" t="str">
            <v>-</v>
          </cell>
          <cell r="AA321" t="str">
            <v>*Originalmente el nombre de este producto fue: FAST DRY LATEX WALL PRIMER.</v>
          </cell>
          <cell r="AB321" t="str">
            <v>Ana Irene Mendez Vides</v>
          </cell>
          <cell r="AC321">
            <v>36447</v>
          </cell>
        </row>
        <row r="322">
          <cell r="A322" t="str">
            <v>A86WCR12</v>
          </cell>
          <cell r="B322" t="str">
            <v>PINT. AMARILLO P/TRAFICO SHER GUIDE CAUCHO CLORADO FS TTP-115F</v>
          </cell>
          <cell r="C322" t="str">
            <v>Interior-Exterior</v>
          </cell>
          <cell r="D322" t="str">
            <v>Asfalto y Concreto</v>
          </cell>
          <cell r="E322" t="str">
            <v>Limpia, Seca y Libre de Exudación de Asfalto</v>
          </cell>
          <cell r="F322" t="str">
            <v>Ninguno</v>
          </cell>
          <cell r="G322" t="str">
            <v>13.5 Lbs/Gl                      ASTM D-1475</v>
          </cell>
          <cell r="H322" t="str">
            <v>51%</v>
          </cell>
          <cell r="I322" t="str">
            <v>80.0%                            ASTM D-2697</v>
          </cell>
          <cell r="J322" t="str">
            <v>49.0 %</v>
          </cell>
          <cell r="K322" t="str">
            <v>57.0%</v>
          </cell>
          <cell r="L322" t="str">
            <v>63.0 %</v>
          </cell>
          <cell r="M322" t="str">
            <v>75-80 KU                                    ASTM D-562</v>
          </cell>
          <cell r="N322" t="str">
            <v>Brocha, Rodillo Industrial, Máquina Franjeadora, Etc.</v>
          </cell>
          <cell r="O322" t="str">
            <v>Para Usar con Máquina franjeadora, reduzca con 1/8 de galón.</v>
          </cell>
          <cell r="P322" t="str">
            <v>Listo para usarse con Brocha y Rodillo.</v>
          </cell>
          <cell r="Q322" t="str">
            <v>R2K4 Industrial Reducer.</v>
          </cell>
          <cell r="R322" t="str">
            <v>7 mills</v>
          </cell>
          <cell r="S322" t="str">
            <v>15-20 Min.                         ASTM D-711</v>
          </cell>
          <cell r="T322" t="str">
            <v>-</v>
          </cell>
          <cell r="U322" t="str">
            <v>10-11 Mts cuadrados/Gl a 7 mills seco.</v>
          </cell>
          <cell r="V322" t="str">
            <v>Mate más o menos 1-2</v>
          </cell>
          <cell r="W322" t="str">
            <v>-</v>
          </cell>
          <cell r="X322" t="str">
            <v>36 meses</v>
          </cell>
          <cell r="Y322" t="str">
            <v>-</v>
          </cell>
          <cell r="Z322" t="str">
            <v>-</v>
          </cell>
          <cell r="AA322" t="str">
            <v>Abrasión: 38 Litros mínimo  (D968). Finura Hegman: 3H-0   (D-1210). Flexibilidad:  (D-522). Adherencia:   (D-3359).</v>
          </cell>
          <cell r="AB322" t="str">
            <v>Ana Irene Mendez Vides</v>
          </cell>
          <cell r="AC322">
            <v>39416</v>
          </cell>
        </row>
        <row r="323">
          <cell r="A323" t="str">
            <v>A86YCR11</v>
          </cell>
          <cell r="B323" t="str">
            <v>PINT. AMARILLO P/TRAFICO SHER GUIDE CAUCHO CLORADO FS TTP-115F</v>
          </cell>
          <cell r="C323" t="str">
            <v>Interior-Exterior</v>
          </cell>
          <cell r="D323" t="str">
            <v>Asfalto y Concreto</v>
          </cell>
          <cell r="E323" t="str">
            <v>Limpia, Seca y Libre de Exudación de Asfalto</v>
          </cell>
          <cell r="F323" t="str">
            <v>Ninguno</v>
          </cell>
          <cell r="G323" t="str">
            <v>14.25 Lbs/Gl                                   ASTM D-1475</v>
          </cell>
          <cell r="H323" t="str">
            <v>65.0 %</v>
          </cell>
          <cell r="I323" t="str">
            <v>80.0%                             ASTM D-2697</v>
          </cell>
          <cell r="J323" t="str">
            <v>49.0%</v>
          </cell>
          <cell r="K323" t="str">
            <v>57.70%</v>
          </cell>
          <cell r="L323" t="str">
            <v>62.0%</v>
          </cell>
          <cell r="M323" t="str">
            <v>75-80 KU                                           ASTM D-562</v>
          </cell>
          <cell r="N323" t="str">
            <v>Brocha, Rodillo Industrial, Máquina Franjeadora, Etc.</v>
          </cell>
          <cell r="O323" t="str">
            <v>Para Usar con Máquina franjeadora, reduzca con 1/8 de galón.</v>
          </cell>
          <cell r="P323" t="str">
            <v>Listo para usarse con Brocha y Rodillo.</v>
          </cell>
          <cell r="Q323" t="str">
            <v>R2K4 Industrial Reducer.</v>
          </cell>
          <cell r="R323" t="str">
            <v>7 mills</v>
          </cell>
          <cell r="S323" t="str">
            <v>15-20 Min.                         ASTM D-711</v>
          </cell>
          <cell r="T323" t="str">
            <v>-</v>
          </cell>
          <cell r="U323" t="str">
            <v>10-11 Mts cuadrados/Gl a 7 mills seco.</v>
          </cell>
          <cell r="V323" t="str">
            <v>Mate más o menos 1-2</v>
          </cell>
          <cell r="W323" t="str">
            <v>-</v>
          </cell>
          <cell r="X323" t="str">
            <v>36 meses</v>
          </cell>
          <cell r="Y323" t="str">
            <v>SEVISAL</v>
          </cell>
          <cell r="Z323" t="str">
            <v>-</v>
          </cell>
          <cell r="AA323" t="str">
            <v>Abrasión: 38 Litros mínimo  (D968). Finura Hegman: 3H-0   (D-1210). Flexibilidad:  (D-522). Adherencia:   (D-3359).</v>
          </cell>
          <cell r="AB323" t="str">
            <v>Ana Irene Mendez Vides</v>
          </cell>
          <cell r="AC323">
            <v>39416</v>
          </cell>
        </row>
        <row r="324">
          <cell r="A324" t="str">
            <v>F73B5</v>
          </cell>
          <cell r="B324" t="str">
            <v>Esmalte Horneable Negro Brillante</v>
          </cell>
          <cell r="C324" t="str">
            <v>Interior-Exterior</v>
          </cell>
          <cell r="D324" t="str">
            <v xml:space="preserve">Acero </v>
          </cell>
          <cell r="E324" t="str">
            <v>Limpieza y Desengrase</v>
          </cell>
          <cell r="F324" t="str">
            <v>Ninguno</v>
          </cell>
          <cell r="G324" t="str">
            <v>8.29 Lbs/Gl</v>
          </cell>
          <cell r="H324" t="str">
            <v>2.39%</v>
          </cell>
          <cell r="I324" t="str">
            <v>42.28%</v>
          </cell>
          <cell r="J324" t="str">
            <v>93.77%</v>
          </cell>
          <cell r="K324" t="str">
            <v>3.62%</v>
          </cell>
          <cell r="L324" t="str">
            <v>37.82%</v>
          </cell>
          <cell r="M324" t="str">
            <v>100"-110" Copa Zanh #2</v>
          </cell>
          <cell r="N324" t="str">
            <v>Pistola</v>
          </cell>
          <cell r="O324" t="str">
            <v>18"-22" Copa Zanh #2</v>
          </cell>
          <cell r="P324" t="str">
            <v>20-25%</v>
          </cell>
          <cell r="Q324" t="str">
            <v>R2K4 Industrial Reducer.</v>
          </cell>
          <cell r="R324" t="str">
            <v>1-1.5 mills</v>
          </cell>
          <cell r="S324" t="str">
            <v>Al horno</v>
          </cell>
          <cell r="T324" t="str">
            <v>15 Min a 300°F</v>
          </cell>
          <cell r="U324" t="str">
            <v>56 Mts Cuadrados/Gl a 1 mills de espesor.</v>
          </cell>
          <cell r="V324" t="str">
            <v>+85</v>
          </cell>
          <cell r="W324" t="str">
            <v>H</v>
          </cell>
          <cell r="X324" t="str">
            <v>6-12 meses</v>
          </cell>
          <cell r="Y324" t="str">
            <v>Van Leer Guatemala</v>
          </cell>
          <cell r="Z324" t="str">
            <v>Tambores Metálicos.</v>
          </cell>
          <cell r="AA324" t="str">
            <v>-</v>
          </cell>
          <cell r="AB324" t="str">
            <v>Corina de Turcios</v>
          </cell>
          <cell r="AC324">
            <v>36493</v>
          </cell>
        </row>
        <row r="325">
          <cell r="A325" t="str">
            <v>SAA 4902</v>
          </cell>
          <cell r="B325" t="str">
            <v>Esmalte Horneable Azul RAL 5010</v>
          </cell>
          <cell r="C325" t="str">
            <v>Interior-Exterior</v>
          </cell>
          <cell r="D325" t="str">
            <v xml:space="preserve">Acero </v>
          </cell>
          <cell r="E325" t="str">
            <v>Limpieza y Desengrase</v>
          </cell>
          <cell r="F325" t="str">
            <v>Ninguno</v>
          </cell>
          <cell r="G325" t="str">
            <v>8.3 Lbs/Gl</v>
          </cell>
          <cell r="H325" t="str">
            <v>6%</v>
          </cell>
          <cell r="I325" t="str">
            <v>44.86%</v>
          </cell>
          <cell r="J325" t="str">
            <v>86.30%</v>
          </cell>
          <cell r="K325" t="str">
            <v>6.30%</v>
          </cell>
          <cell r="L325" t="str">
            <v>36.20%</v>
          </cell>
          <cell r="M325" t="str">
            <v>100"-110" Copa Zanh #2</v>
          </cell>
          <cell r="N325" t="str">
            <v>Pistola</v>
          </cell>
          <cell r="O325" t="str">
            <v>18"-22" Copa Zanh #2</v>
          </cell>
          <cell r="P325" t="str">
            <v>20-25%</v>
          </cell>
          <cell r="Q325" t="str">
            <v>R2K4 Industrial Reducer.</v>
          </cell>
          <cell r="R325" t="str">
            <v>1-1.5 mills</v>
          </cell>
          <cell r="S325" t="str">
            <v>Al horno</v>
          </cell>
          <cell r="T325" t="str">
            <v>15 Min a 300°F</v>
          </cell>
          <cell r="U325" t="str">
            <v>53 Mts Cuadrados/Gl a 1 mills de espesor.</v>
          </cell>
          <cell r="V325" t="str">
            <v>+80</v>
          </cell>
          <cell r="W325" t="str">
            <v>H</v>
          </cell>
          <cell r="X325" t="str">
            <v>6-12 meses</v>
          </cell>
          <cell r="Y325" t="str">
            <v>Van Leer Guatemala</v>
          </cell>
          <cell r="Z325" t="str">
            <v>Tambores Metálicos.</v>
          </cell>
          <cell r="AA325" t="str">
            <v>-</v>
          </cell>
          <cell r="AB325" t="str">
            <v>Corina de Turcios</v>
          </cell>
          <cell r="AC325">
            <v>36493</v>
          </cell>
        </row>
        <row r="326">
          <cell r="A326" t="str">
            <v>SAA 4903</v>
          </cell>
          <cell r="B326" t="str">
            <v>Esmalte Horneable Verde RAL 6010</v>
          </cell>
          <cell r="C326" t="str">
            <v>Interior-Exterior</v>
          </cell>
          <cell r="D326" t="str">
            <v xml:space="preserve">Acero </v>
          </cell>
          <cell r="E326" t="str">
            <v>Limpieza y Desengrase</v>
          </cell>
          <cell r="F326" t="str">
            <v>Ninguno</v>
          </cell>
          <cell r="G326" t="str">
            <v>8.77 Lbs/Gl</v>
          </cell>
          <cell r="H326" t="str">
            <v>7.53%</v>
          </cell>
          <cell r="I326" t="str">
            <v>45.40%</v>
          </cell>
          <cell r="J326" t="str">
            <v>83.0%</v>
          </cell>
          <cell r="K326" t="str">
            <v>6.30%</v>
          </cell>
          <cell r="L326" t="str">
            <v>35.74%</v>
          </cell>
          <cell r="M326" t="str">
            <v>100"-110" Copa Zanh #2</v>
          </cell>
          <cell r="N326" t="str">
            <v>Pistola</v>
          </cell>
          <cell r="O326" t="str">
            <v>18"-22" Copa Zanh #2</v>
          </cell>
          <cell r="P326" t="str">
            <v>20-25%</v>
          </cell>
          <cell r="Q326" t="str">
            <v>R2K4 Industrial Reducer.</v>
          </cell>
          <cell r="R326" t="str">
            <v>1-1.5 mills</v>
          </cell>
          <cell r="S326" t="str">
            <v>Al horno</v>
          </cell>
          <cell r="T326" t="str">
            <v>15 Min a 300°F</v>
          </cell>
          <cell r="U326" t="str">
            <v>53.25 Mts Cuadrados/Gl a 1 mills de espesor.</v>
          </cell>
          <cell r="V326" t="str">
            <v>+80</v>
          </cell>
          <cell r="W326" t="str">
            <v>H</v>
          </cell>
          <cell r="X326" t="str">
            <v>6-12 meses</v>
          </cell>
          <cell r="Y326" t="str">
            <v>Van Leer Guatemala</v>
          </cell>
          <cell r="Z326" t="str">
            <v>Tambores Metálicos.</v>
          </cell>
          <cell r="AA326" t="str">
            <v>-</v>
          </cell>
          <cell r="AB326" t="str">
            <v>Rigoberto Montalvo</v>
          </cell>
          <cell r="AC326">
            <v>36493</v>
          </cell>
        </row>
        <row r="327">
          <cell r="A327" t="str">
            <v>SAA 4904</v>
          </cell>
          <cell r="B327" t="str">
            <v>Esmalte Horneable Gris RAL 7035</v>
          </cell>
          <cell r="C327" t="str">
            <v>Interior-Exterior</v>
          </cell>
          <cell r="D327" t="str">
            <v xml:space="preserve">Acero </v>
          </cell>
          <cell r="E327" t="str">
            <v>Limpieza y Desengrase</v>
          </cell>
          <cell r="F327" t="str">
            <v>Ninguno</v>
          </cell>
          <cell r="G327" t="str">
            <v>9.37 Lbs/Gl</v>
          </cell>
          <cell r="H327" t="str">
            <v>16%</v>
          </cell>
          <cell r="I327" t="str">
            <v>51.80%</v>
          </cell>
          <cell r="J327" t="str">
            <v>68.8%</v>
          </cell>
          <cell r="K327" t="str">
            <v>11.60%</v>
          </cell>
          <cell r="L327" t="str">
            <v>38.71%</v>
          </cell>
          <cell r="M327" t="str">
            <v>100"-110" Copa Zanh #2</v>
          </cell>
          <cell r="N327" t="str">
            <v>Pistola</v>
          </cell>
          <cell r="O327" t="str">
            <v>18"-22" Copa Zanh #2</v>
          </cell>
          <cell r="P327" t="str">
            <v>20-25%</v>
          </cell>
          <cell r="Q327" t="str">
            <v>R2K4 Industrial Reducer.</v>
          </cell>
          <cell r="R327" t="str">
            <v>1-1.5 mills</v>
          </cell>
          <cell r="S327" t="str">
            <v>Al horno</v>
          </cell>
          <cell r="T327" t="str">
            <v>15 Min a 300°F</v>
          </cell>
          <cell r="U327" t="str">
            <v>57.7 Mts Cuadrados/Gl a 1 mills de espesor.</v>
          </cell>
          <cell r="V327" t="str">
            <v>+80</v>
          </cell>
          <cell r="W327" t="str">
            <v>H</v>
          </cell>
          <cell r="X327" t="str">
            <v>6-12 meses</v>
          </cell>
          <cell r="Y327" t="str">
            <v>Van Leer Guatemala</v>
          </cell>
          <cell r="Z327" t="str">
            <v>Tambores Metálicos.</v>
          </cell>
          <cell r="AA327" t="str">
            <v>-</v>
          </cell>
          <cell r="AB327" t="str">
            <v>Rigoberto Montalvo</v>
          </cell>
          <cell r="AC327">
            <v>36493</v>
          </cell>
        </row>
        <row r="328">
          <cell r="A328" t="str">
            <v>SAA 4910</v>
          </cell>
          <cell r="B328" t="str">
            <v>Esmalte Horneable Rojo Texaco</v>
          </cell>
          <cell r="C328" t="str">
            <v>Interior-Exterior</v>
          </cell>
          <cell r="D328" t="str">
            <v xml:space="preserve">Acero </v>
          </cell>
          <cell r="E328" t="str">
            <v>Limpieza y Desengrase</v>
          </cell>
          <cell r="F328" t="str">
            <v>Ninguno</v>
          </cell>
          <cell r="G328" t="str">
            <v>8.84 Lbs/Gl</v>
          </cell>
          <cell r="H328" t="str">
            <v>12.25%</v>
          </cell>
          <cell r="I328" t="str">
            <v>50.26%</v>
          </cell>
          <cell r="J328" t="str">
            <v>70.52%</v>
          </cell>
          <cell r="K328" t="str">
            <v>3.20%</v>
          </cell>
          <cell r="L328" t="str">
            <v>38.25%</v>
          </cell>
          <cell r="M328" t="str">
            <v>100"-110" Copa Zanh #2</v>
          </cell>
          <cell r="N328" t="str">
            <v>Pistola</v>
          </cell>
          <cell r="O328" t="str">
            <v>18"-22" Copa Zanh #2</v>
          </cell>
          <cell r="P328" t="str">
            <v>20-25%</v>
          </cell>
          <cell r="Q328" t="str">
            <v>R2K4 Industrial Reducer.</v>
          </cell>
          <cell r="R328" t="str">
            <v>1-1.5 mills</v>
          </cell>
          <cell r="S328" t="str">
            <v>Al horno</v>
          </cell>
          <cell r="T328" t="str">
            <v>15 Min a 300°F</v>
          </cell>
          <cell r="U328" t="str">
            <v>57 Mts Cuadrados/Gl a 1 mills de espesor.</v>
          </cell>
          <cell r="V328" t="str">
            <v>+70</v>
          </cell>
          <cell r="W328" t="str">
            <v>H</v>
          </cell>
          <cell r="X328" t="str">
            <v>6-12 meses</v>
          </cell>
          <cell r="Y328" t="str">
            <v>Van Leer Guatemala</v>
          </cell>
          <cell r="Z328" t="str">
            <v>Tambores Metálicos.</v>
          </cell>
          <cell r="AA328" t="str">
            <v>-</v>
          </cell>
          <cell r="AB328" t="str">
            <v>Corina de Turcios</v>
          </cell>
          <cell r="AC328">
            <v>36502</v>
          </cell>
        </row>
        <row r="329">
          <cell r="A329" t="str">
            <v>F75WSA1 (1)</v>
          </cell>
          <cell r="B329" t="str">
            <v>Esmalte Horneable Industrial Blanco</v>
          </cell>
          <cell r="C329" t="str">
            <v>Interior-Exterior</v>
          </cell>
          <cell r="D329" t="str">
            <v xml:space="preserve">Acero </v>
          </cell>
          <cell r="E329" t="str">
            <v>Limpieza y Desengrase</v>
          </cell>
          <cell r="F329" t="str">
            <v>Ninguno</v>
          </cell>
          <cell r="G329" t="str">
            <v>9.86 Lbs/Gl</v>
          </cell>
          <cell r="H329" t="str">
            <v>30.54%</v>
          </cell>
          <cell r="I329" t="str">
            <v>59.38%</v>
          </cell>
          <cell r="J329" t="str">
            <v>47.28%</v>
          </cell>
          <cell r="K329" t="str">
            <v>30.54%</v>
          </cell>
          <cell r="L329" t="str">
            <v>40.44%</v>
          </cell>
          <cell r="M329" t="str">
            <v>95"-105" copa Zanh #2</v>
          </cell>
          <cell r="N329" t="str">
            <v>Pistola</v>
          </cell>
          <cell r="O329" t="str">
            <v>18"-22" Copa Zanh #2</v>
          </cell>
          <cell r="P329" t="str">
            <v>10-15%</v>
          </cell>
          <cell r="Q329" t="str">
            <v>R2K4 Industrial Reducer.</v>
          </cell>
          <cell r="R329" t="str">
            <v>1-1.5 mills</v>
          </cell>
          <cell r="S329" t="str">
            <v>Al horno</v>
          </cell>
          <cell r="T329" t="str">
            <v>15 Min a 300°F</v>
          </cell>
          <cell r="U329" t="str">
            <v>60 Mts Cuadrados/Gl a 1 mills de espesor.</v>
          </cell>
          <cell r="V329" t="str">
            <v>+80</v>
          </cell>
          <cell r="W329" t="str">
            <v>HB</v>
          </cell>
          <cell r="X329" t="str">
            <v>6-12 meses</v>
          </cell>
          <cell r="Y329" t="str">
            <v>Varios</v>
          </cell>
          <cell r="Z329" t="str">
            <v>-</v>
          </cell>
          <cell r="AA329" t="str">
            <v>-</v>
          </cell>
          <cell r="AB329" t="str">
            <v>Corina de Turcios</v>
          </cell>
          <cell r="AC329">
            <v>36595</v>
          </cell>
        </row>
        <row r="330">
          <cell r="A330" t="str">
            <v>B61BSA1</v>
          </cell>
          <cell r="B330" t="str">
            <v>Ebonol</v>
          </cell>
          <cell r="C330" t="str">
            <v>Interior</v>
          </cell>
          <cell r="D330" t="str">
            <v>Madera</v>
          </cell>
          <cell r="E330" t="str">
            <v>Lijada</v>
          </cell>
          <cell r="F330" t="str">
            <v>Ninguno</v>
          </cell>
          <cell r="G330" t="str">
            <v>7.68 Lbs/Gl</v>
          </cell>
          <cell r="H330" t="str">
            <v>0%</v>
          </cell>
          <cell r="I330" t="str">
            <v>45.20%</v>
          </cell>
          <cell r="J330" t="str">
            <v>91.72%</v>
          </cell>
          <cell r="K330" t="str">
            <v>0%</v>
          </cell>
          <cell r="L330" t="str">
            <v>36.63%</v>
          </cell>
          <cell r="M330" t="str">
            <v>40"-60" Copa SW #3</v>
          </cell>
          <cell r="N330" t="str">
            <v>Brocha o Rodillo</v>
          </cell>
          <cell r="O330" t="str">
            <v>-</v>
          </cell>
          <cell r="P330" t="str">
            <v>Lo Necesario 25%</v>
          </cell>
          <cell r="Q330" t="str">
            <v>R1K4 Mineral Spirits</v>
          </cell>
          <cell r="R330" t="str">
            <v>-</v>
          </cell>
          <cell r="S330" t="str">
            <v>Al Aire</v>
          </cell>
          <cell r="T330" t="str">
            <v>-</v>
          </cell>
          <cell r="U330" t="str">
            <v>54 Mts Cuadrados/Gl a 1 mills de espesor.</v>
          </cell>
          <cell r="V330" t="str">
            <v>-</v>
          </cell>
          <cell r="W330" t="str">
            <v>-</v>
          </cell>
          <cell r="X330" t="str">
            <v>6-12 Meses (a 25 °C y Libre de Fuga)</v>
          </cell>
          <cell r="Y330" t="str">
            <v>Varios</v>
          </cell>
          <cell r="Z330" t="str">
            <v>-</v>
          </cell>
          <cell r="AA330" t="str">
            <v>Producto Elaborado en Base a Resinas asfalticas. Libre de Plomo y Mercurio.</v>
          </cell>
          <cell r="AB330" t="str">
            <v>Corina de Turcios</v>
          </cell>
          <cell r="AC330">
            <v>36602</v>
          </cell>
        </row>
        <row r="331">
          <cell r="A331" t="str">
            <v>A86WCR12</v>
          </cell>
          <cell r="B331" t="str">
            <v>Pintura de Tráfico Blanca TTP-115F                        ASTM</v>
          </cell>
          <cell r="C331" t="str">
            <v>Interior-Exterior</v>
          </cell>
          <cell r="D331" t="str">
            <v>Asfalto y Concreto</v>
          </cell>
          <cell r="E331" t="str">
            <v>Limpia, Seca y Libre de Exudación de Asfalto</v>
          </cell>
          <cell r="F331" t="str">
            <v>Ninguno</v>
          </cell>
          <cell r="G331" t="str">
            <v>12.48 Lbs/Gl                                    D-1475</v>
          </cell>
          <cell r="H331" t="str">
            <v>57%</v>
          </cell>
          <cell r="I331" t="str">
            <v>75.0%                             D-2697</v>
          </cell>
          <cell r="J331" t="str">
            <v>41%</v>
          </cell>
          <cell r="K331" t="str">
            <v>57.0%</v>
          </cell>
          <cell r="L331" t="str">
            <v>53.40%</v>
          </cell>
          <cell r="M331" t="str">
            <v>75-80 KU                                           D-562</v>
          </cell>
          <cell r="N331" t="str">
            <v>Brocha, Rodillo Industrial, Máquina Franjeadora, Etc.</v>
          </cell>
          <cell r="O331" t="str">
            <v>Para Usar con Máquina franjeadora, reduzca con 1/8 de galón.</v>
          </cell>
          <cell r="P331" t="str">
            <v>Listo para usarse con Brocha y Rodillo.</v>
          </cell>
          <cell r="Q331" t="str">
            <v>R2K4 Industrial Reducer.</v>
          </cell>
          <cell r="R331" t="str">
            <v>7 mills</v>
          </cell>
          <cell r="S331" t="str">
            <v>15-20 Min. No transitar antes de 30 Minutos.                                             D-1640</v>
          </cell>
          <cell r="T331" t="str">
            <v>-</v>
          </cell>
          <cell r="U331" t="str">
            <v>10-11 Mts cuadrados/Gl a 7 mills seco.</v>
          </cell>
          <cell r="V331" t="str">
            <v>Mate más o menos 1-2</v>
          </cell>
          <cell r="W331" t="str">
            <v>-</v>
          </cell>
          <cell r="X331" t="str">
            <v>36 meses</v>
          </cell>
          <cell r="Y331" t="str">
            <v>-</v>
          </cell>
          <cell r="Z331" t="str">
            <v>-</v>
          </cell>
          <cell r="AA331" t="str">
            <v xml:space="preserve">Abrasión: 38 Litros mínimo  (D968). Finura Hegman: 3H-0   (D-1210). Flexibilidad:  (D-522). Adherencia:   (D-3359). </v>
          </cell>
          <cell r="AB331" t="str">
            <v>Ana Irene Mendez Vides</v>
          </cell>
          <cell r="AC331" t="str">
            <v>Julio 23, 2002</v>
          </cell>
        </row>
        <row r="332">
          <cell r="A332" t="str">
            <v>A86YCR11</v>
          </cell>
          <cell r="B332" t="str">
            <v>Pintura de Tráfico Amarilla TTP-115F                        ASTM</v>
          </cell>
          <cell r="C332" t="str">
            <v>Interior-Exterior</v>
          </cell>
          <cell r="D332" t="str">
            <v>Asfalto y Concreto</v>
          </cell>
          <cell r="E332" t="str">
            <v>Limpia, Seca y Libre de Exudación de Asfalto</v>
          </cell>
          <cell r="F332" t="str">
            <v>Ninguno</v>
          </cell>
          <cell r="G332" t="str">
            <v>12.68 Lbs/Gl                                    D-1475</v>
          </cell>
          <cell r="H332" t="str">
            <v>57.70%</v>
          </cell>
          <cell r="I332" t="str">
            <v>75.0%                             D-2697</v>
          </cell>
          <cell r="J332" t="str">
            <v>41.50%</v>
          </cell>
          <cell r="K332" t="str">
            <v>57.70%</v>
          </cell>
          <cell r="L332" t="str">
            <v>49.90%</v>
          </cell>
          <cell r="M332" t="str">
            <v>75-80 KU                                           D-562 *</v>
          </cell>
          <cell r="N332" t="str">
            <v>Brocha, Rodillo Industrial, Máquina Franjeadora, Etc.</v>
          </cell>
          <cell r="O332" t="str">
            <v>Para Usar con Máquina franjeadora, reduzca con 1/8 de galón.</v>
          </cell>
          <cell r="P332" t="str">
            <v>Listo para usarse con Brocha y Rodillo.</v>
          </cell>
          <cell r="Q332" t="str">
            <v>R2K4 Industrial Reducer.</v>
          </cell>
          <cell r="R332" t="str">
            <v>7 mills</v>
          </cell>
          <cell r="S332" t="str">
            <v>15-20 Min. No transitar antes de 30 Minutos.                                             D-1640</v>
          </cell>
          <cell r="T332" t="str">
            <v>-</v>
          </cell>
          <cell r="U332" t="str">
            <v>10-11 Mts cuadrados/Gl a 7 mills seco.</v>
          </cell>
          <cell r="V332" t="str">
            <v>Mate más o menos 1-2</v>
          </cell>
          <cell r="W332" t="str">
            <v>-</v>
          </cell>
          <cell r="X332" t="str">
            <v>36 meses</v>
          </cell>
          <cell r="Y332" t="str">
            <v>-</v>
          </cell>
          <cell r="Z332" t="str">
            <v>-</v>
          </cell>
          <cell r="AA332" t="str">
            <v>Abrasión: 38 Litros mínimo  (D968). Finura Hegman: 3H-0   (D-1210). Flexibilidad:  (D-522). Adherencia:   (D-3359). * La viscosidad del ASTM D562 es 75-80 KU, pero a solicitud del MOP se fabricará a 120 KU.</v>
          </cell>
          <cell r="AB332" t="str">
            <v>Ana Irene Mendez Vides</v>
          </cell>
          <cell r="AC332" t="str">
            <v>Enero 21, 2002</v>
          </cell>
        </row>
        <row r="333">
          <cell r="A333" t="str">
            <v>B54RSA3</v>
          </cell>
          <cell r="B333" t="str">
            <v>Pintura Industrial Rojo Electrostático HECASA.</v>
          </cell>
          <cell r="C333" t="str">
            <v>Interior-Exterior</v>
          </cell>
          <cell r="D333" t="str">
            <v xml:space="preserve">Acero </v>
          </cell>
          <cell r="E333" t="str">
            <v>Limpieza y Desengrase</v>
          </cell>
          <cell r="F333" t="str">
            <v>Ninguno</v>
          </cell>
          <cell r="G333" t="str">
            <v>8.04 Lbs/Gl</v>
          </cell>
          <cell r="H333" t="str">
            <v>9.27%</v>
          </cell>
          <cell r="I333" t="str">
            <v>29.9%</v>
          </cell>
          <cell r="J333" t="str">
            <v>63.56%</v>
          </cell>
          <cell r="K333" t="str">
            <v>10.02%</v>
          </cell>
          <cell r="L333" t="str">
            <v>19.97%</v>
          </cell>
          <cell r="M333" t="str">
            <v>18"-22" Copa Zanh #2</v>
          </cell>
          <cell r="N333" t="str">
            <v>Pistola</v>
          </cell>
          <cell r="O333" t="str">
            <v>18"-22" Copa Zanh #2</v>
          </cell>
          <cell r="P333" t="str">
            <v>Ninguno</v>
          </cell>
          <cell r="Q333" t="str">
            <v>Ninguno</v>
          </cell>
          <cell r="R333" t="str">
            <v>-</v>
          </cell>
          <cell r="S333" t="str">
            <v>Al Aire</v>
          </cell>
          <cell r="T333" t="str">
            <v>-</v>
          </cell>
          <cell r="U333" t="str">
            <v>29 Mts Cuadrados/Gl a 1 mills de Espesor</v>
          </cell>
          <cell r="V333" t="str">
            <v>STD</v>
          </cell>
          <cell r="W333" t="str">
            <v>-</v>
          </cell>
          <cell r="X333" t="str">
            <v>-</v>
          </cell>
          <cell r="Y333" t="str">
            <v>HECASA</v>
          </cell>
          <cell r="Z333" t="str">
            <v>-</v>
          </cell>
          <cell r="AA333" t="str">
            <v>Rango de Resistividad: 0.5-0.7 Megaohmios.</v>
          </cell>
          <cell r="AB333" t="str">
            <v>Corina de Turcios</v>
          </cell>
          <cell r="AC333">
            <v>36619</v>
          </cell>
        </row>
        <row r="334">
          <cell r="A334" t="str">
            <v>SAA 4981</v>
          </cell>
          <cell r="B334" t="str">
            <v>Colonial Latex Chep Blue W.B</v>
          </cell>
          <cell r="C334" t="str">
            <v>Interior-Exterior</v>
          </cell>
          <cell r="D334" t="str">
            <v>Cemento, Ladrillo, Madera</v>
          </cell>
          <cell r="E334" t="str">
            <v>Curada, Limpia, Seca y Libre de toda contaminación</v>
          </cell>
          <cell r="F334" t="str">
            <v>-</v>
          </cell>
          <cell r="G334" t="str">
            <v>11.55 Lbs/Gl más o menos 0.2</v>
          </cell>
          <cell r="H334" t="str">
            <v>-</v>
          </cell>
          <cell r="I334" t="str">
            <v>48.70% más o menos 0.2</v>
          </cell>
          <cell r="J334" t="str">
            <v>-</v>
          </cell>
          <cell r="K334" t="str">
            <v>63.50%</v>
          </cell>
          <cell r="L334" t="str">
            <v>30.90% más o menos 0.2</v>
          </cell>
          <cell r="M334" t="str">
            <v>79-85 KU</v>
          </cell>
          <cell r="N334" t="str">
            <v>Brocha-Rodillo-Pistola</v>
          </cell>
          <cell r="O334" t="str">
            <v>79-85 KU</v>
          </cell>
          <cell r="P334" t="str">
            <v>Máximo 10%</v>
          </cell>
          <cell r="Q334" t="str">
            <v>Agua Limpia</v>
          </cell>
          <cell r="R334" t="str">
            <v>1.5 mills Seca</v>
          </cell>
          <cell r="S334" t="str">
            <v>Al Aire, Recubrir después de 4 horas.</v>
          </cell>
          <cell r="T334" t="str">
            <v>-</v>
          </cell>
          <cell r="U334" t="str">
            <v>30 Mts Cuadrados/Gl más o menos1</v>
          </cell>
          <cell r="V334" t="str">
            <v>-</v>
          </cell>
          <cell r="W334" t="str">
            <v>-</v>
          </cell>
          <cell r="X334" t="str">
            <v>2 años</v>
          </cell>
          <cell r="Y334" t="str">
            <v>DIDEMA-GUATEMALA</v>
          </cell>
          <cell r="Z334" t="str">
            <v>-</v>
          </cell>
          <cell r="AA334" t="str">
            <v>-</v>
          </cell>
          <cell r="AB334" t="str">
            <v>Ana Irene Mendez Vides</v>
          </cell>
          <cell r="AC334">
            <v>36619</v>
          </cell>
        </row>
        <row r="335">
          <cell r="A335" t="str">
            <v>F75ASA1</v>
          </cell>
          <cell r="B335" t="str">
            <v>Esmalte Horneable Industrial Gris General</v>
          </cell>
          <cell r="C335" t="str">
            <v>Interior-Exterior</v>
          </cell>
          <cell r="D335" t="str">
            <v xml:space="preserve">Hierro-Acero </v>
          </cell>
          <cell r="E335" t="str">
            <v>Limpieza y Desengrase</v>
          </cell>
          <cell r="F335" t="str">
            <v>Ninguno</v>
          </cell>
          <cell r="G335" t="str">
            <v>8.63 Lbs/Gl</v>
          </cell>
          <cell r="H335" t="str">
            <v>17.21%</v>
          </cell>
          <cell r="I335" t="str">
            <v>54.80%</v>
          </cell>
          <cell r="J335" t="str">
            <v>67%</v>
          </cell>
          <cell r="K335" t="str">
            <v>11.02%</v>
          </cell>
          <cell r="L335" t="str">
            <v>41.48%</v>
          </cell>
          <cell r="M335" t="str">
            <v>100"-110" Copa Zanh #2</v>
          </cell>
          <cell r="N335" t="str">
            <v>Pistola</v>
          </cell>
          <cell r="O335" t="str">
            <v>18"-22" Copa Zanh #2</v>
          </cell>
          <cell r="P335" t="str">
            <v>20-25%</v>
          </cell>
          <cell r="Q335" t="str">
            <v>R2K4 Industrial Reducer.</v>
          </cell>
          <cell r="R335" t="str">
            <v>1-1.5 mills</v>
          </cell>
          <cell r="S335" t="str">
            <v>Al horno</v>
          </cell>
          <cell r="T335" t="str">
            <v>15 Min a 300°F (150 °C)</v>
          </cell>
          <cell r="U335" t="str">
            <v>61 Mts Cuadrados/Gl a 1 mills de espesor.</v>
          </cell>
          <cell r="V335" t="str">
            <v>80-90</v>
          </cell>
          <cell r="W335" t="str">
            <v>F-H</v>
          </cell>
          <cell r="X335" t="str">
            <v>6-12 meses</v>
          </cell>
          <cell r="Y335" t="str">
            <v>-</v>
          </cell>
          <cell r="Z335" t="str">
            <v>-</v>
          </cell>
          <cell r="AA335" t="str">
            <v>-</v>
          </cell>
          <cell r="AB335" t="str">
            <v>Corina de Turcios</v>
          </cell>
          <cell r="AC335">
            <v>36644</v>
          </cell>
        </row>
        <row r="336">
          <cell r="A336" t="str">
            <v>F75HSA1</v>
          </cell>
          <cell r="B336" t="str">
            <v>Esmalte Horneable Industrial Beige Tiler</v>
          </cell>
          <cell r="C336" t="str">
            <v>Interior-Exterior</v>
          </cell>
          <cell r="D336" t="str">
            <v>Hierro</v>
          </cell>
          <cell r="E336" t="str">
            <v>Limpieza y Desengrase</v>
          </cell>
          <cell r="F336" t="str">
            <v>Ninguno</v>
          </cell>
          <cell r="G336" t="str">
            <v>8.64 Lbs/Gl</v>
          </cell>
          <cell r="H336" t="str">
            <v>17.42%</v>
          </cell>
          <cell r="I336" t="str">
            <v>54.80%</v>
          </cell>
          <cell r="J336" t="str">
            <v>67%</v>
          </cell>
          <cell r="K336" t="str">
            <v>11.08%</v>
          </cell>
          <cell r="L336" t="str">
            <v>41.43%</v>
          </cell>
          <cell r="M336" t="str">
            <v>100"-110" Copa Zanh #2</v>
          </cell>
          <cell r="N336" t="str">
            <v>Pistola</v>
          </cell>
          <cell r="O336" t="str">
            <v>18"-22" Copa Zanh #2</v>
          </cell>
          <cell r="P336" t="str">
            <v>20-25%</v>
          </cell>
          <cell r="Q336" t="str">
            <v>R2K4 Industrial Reducer.</v>
          </cell>
          <cell r="R336" t="str">
            <v>1-1.5 mills</v>
          </cell>
          <cell r="S336" t="str">
            <v>Al horno</v>
          </cell>
          <cell r="T336" t="str">
            <v>15 Min a 300°F (150 °C)</v>
          </cell>
          <cell r="U336" t="str">
            <v>61 Mts Cuadrados/Gl a 1 mills de espesor.</v>
          </cell>
          <cell r="V336" t="str">
            <v>80-90</v>
          </cell>
          <cell r="W336" t="str">
            <v>F-H</v>
          </cell>
          <cell r="X336" t="str">
            <v>6-12 meses</v>
          </cell>
          <cell r="Y336" t="str">
            <v>-</v>
          </cell>
          <cell r="Z336" t="str">
            <v>-</v>
          </cell>
          <cell r="AA336" t="str">
            <v>-</v>
          </cell>
          <cell r="AB336" t="str">
            <v>Corina de Turcios</v>
          </cell>
          <cell r="AC336">
            <v>36644</v>
          </cell>
        </row>
        <row r="337">
          <cell r="A337" t="str">
            <v>F75NSA1</v>
          </cell>
          <cell r="B337" t="str">
            <v>Esmalte Horneable Industrial Café Liso</v>
          </cell>
          <cell r="C337" t="str">
            <v>Interior-Exterior</v>
          </cell>
          <cell r="D337" t="str">
            <v>Hierro</v>
          </cell>
          <cell r="E337" t="str">
            <v>Limpieza y Desengrase</v>
          </cell>
          <cell r="F337" t="str">
            <v>Ninguno</v>
          </cell>
          <cell r="G337" t="str">
            <v>8.15 Lbs/Gl</v>
          </cell>
          <cell r="H337" t="str">
            <v>10.73%</v>
          </cell>
          <cell r="I337" t="str">
            <v>50.41%</v>
          </cell>
          <cell r="J337" t="str">
            <v>77.3%</v>
          </cell>
          <cell r="K337" t="str">
            <v>6.71%</v>
          </cell>
          <cell r="L337" t="str">
            <v>39.49%</v>
          </cell>
          <cell r="M337" t="str">
            <v>100"-110" Copa Zanh #2</v>
          </cell>
          <cell r="N337" t="str">
            <v>Pistola</v>
          </cell>
          <cell r="O337" t="str">
            <v>18"-22" Copa Zanh #2</v>
          </cell>
          <cell r="P337" t="str">
            <v>20-25%</v>
          </cell>
          <cell r="Q337" t="str">
            <v>R2K4 Industrial Reducer.</v>
          </cell>
          <cell r="R337" t="str">
            <v>1-1.5 mills</v>
          </cell>
          <cell r="S337" t="str">
            <v>Al horno</v>
          </cell>
          <cell r="T337" t="str">
            <v>15 Min a 300°F (150 °C)</v>
          </cell>
          <cell r="U337" t="str">
            <v>58.25 Mts Cuadrados/Gl a 1 mills de espesor.</v>
          </cell>
          <cell r="V337" t="str">
            <v>80-90</v>
          </cell>
          <cell r="W337" t="str">
            <v>F-H</v>
          </cell>
          <cell r="X337" t="str">
            <v>6-12 meses</v>
          </cell>
          <cell r="Y337" t="str">
            <v>-</v>
          </cell>
          <cell r="Z337" t="str">
            <v>-</v>
          </cell>
          <cell r="AA337" t="str">
            <v>-</v>
          </cell>
          <cell r="AB337" t="str">
            <v>Corina de Turcios</v>
          </cell>
          <cell r="AC337">
            <v>36644</v>
          </cell>
        </row>
        <row r="338">
          <cell r="A338" t="str">
            <v>F75NSA2</v>
          </cell>
          <cell r="B338" t="str">
            <v>Esmalte Horneable Industrial Café Chocolate</v>
          </cell>
          <cell r="C338" t="str">
            <v>Interior-Exterior</v>
          </cell>
          <cell r="D338" t="str">
            <v xml:space="preserve">Acero </v>
          </cell>
          <cell r="E338" t="str">
            <v>Limpieza y Desengrase</v>
          </cell>
          <cell r="F338" t="str">
            <v>Ninguno</v>
          </cell>
          <cell r="G338" t="str">
            <v>7.83 Lbs/Gl</v>
          </cell>
          <cell r="H338" t="str">
            <v>6.07%</v>
          </cell>
          <cell r="I338" t="str">
            <v>47.32%</v>
          </cell>
          <cell r="J338" t="str">
            <v>86.38%</v>
          </cell>
          <cell r="K338" t="str">
            <v>3.76%</v>
          </cell>
          <cell r="L338" t="str">
            <v>32.28%</v>
          </cell>
          <cell r="M338" t="str">
            <v>100"-110" Copa Zanh #2</v>
          </cell>
          <cell r="N338" t="str">
            <v>Pistola</v>
          </cell>
          <cell r="O338" t="str">
            <v>18"-22" Copa Zanh #2</v>
          </cell>
          <cell r="P338" t="str">
            <v>20-25%</v>
          </cell>
          <cell r="Q338" t="str">
            <v>R2K4 Industrial Reducer.</v>
          </cell>
          <cell r="R338" t="str">
            <v>1-1.5 mills</v>
          </cell>
          <cell r="S338" t="str">
            <v>Al horno</v>
          </cell>
          <cell r="T338" t="str">
            <v>15 Min a 300°F (150 °C)</v>
          </cell>
          <cell r="U338" t="str">
            <v>57 Mts Cuadrados/Gl a 1 mills de espesor.</v>
          </cell>
          <cell r="V338" t="str">
            <v>80-90</v>
          </cell>
          <cell r="W338" t="str">
            <v>F-H</v>
          </cell>
          <cell r="X338" t="str">
            <v>6-12 meses</v>
          </cell>
          <cell r="Y338" t="str">
            <v>-</v>
          </cell>
          <cell r="Z338" t="str">
            <v>-</v>
          </cell>
          <cell r="AA338" t="str">
            <v>-</v>
          </cell>
          <cell r="AB338" t="str">
            <v>Corina de Turcios</v>
          </cell>
          <cell r="AC338">
            <v>36644</v>
          </cell>
        </row>
        <row r="339">
          <cell r="A339" t="str">
            <v>F75WSA1</v>
          </cell>
          <cell r="B339" t="str">
            <v>Esmalte Horneable Industrial Blanco</v>
          </cell>
          <cell r="C339" t="str">
            <v>Interior-Exterior</v>
          </cell>
          <cell r="D339" t="str">
            <v>Hierro</v>
          </cell>
          <cell r="E339" t="str">
            <v>Limpieza y Desengrase</v>
          </cell>
          <cell r="F339" t="str">
            <v>Ninguno</v>
          </cell>
          <cell r="G339" t="str">
            <v>9.85 Lbs/Gl</v>
          </cell>
          <cell r="H339" t="str">
            <v>30.54%</v>
          </cell>
          <cell r="I339" t="str">
            <v>63.50%</v>
          </cell>
          <cell r="J339" t="str">
            <v>50.69%</v>
          </cell>
          <cell r="K339" t="str">
            <v>19.90%</v>
          </cell>
          <cell r="L339" t="str">
            <v>46.17%</v>
          </cell>
          <cell r="M339" t="str">
            <v>100"-110" Copa Zanh #2</v>
          </cell>
          <cell r="N339" t="str">
            <v>Pistola</v>
          </cell>
          <cell r="O339" t="str">
            <v>18"-22" Copa Zanh #2</v>
          </cell>
          <cell r="P339" t="str">
            <v>20-25%</v>
          </cell>
          <cell r="Q339" t="str">
            <v>R2K4 Industrial Reducer.</v>
          </cell>
          <cell r="R339" t="str">
            <v>1-1.5 mills</v>
          </cell>
          <cell r="S339" t="str">
            <v>Al horno</v>
          </cell>
          <cell r="T339" t="str">
            <v>15 Min a 300°F (150 °C)</v>
          </cell>
          <cell r="U339" t="str">
            <v>68 Mts Cuadrados/Gl a 1 mills de espesor.</v>
          </cell>
          <cell r="V339" t="str">
            <v>80-90</v>
          </cell>
          <cell r="W339" t="str">
            <v>F-H</v>
          </cell>
          <cell r="X339" t="str">
            <v>6-12 meses</v>
          </cell>
          <cell r="Y339" t="str">
            <v>-</v>
          </cell>
          <cell r="Z339" t="str">
            <v>-</v>
          </cell>
          <cell r="AA339" t="str">
            <v>-</v>
          </cell>
          <cell r="AB339" t="str">
            <v>Corina de Turcios</v>
          </cell>
          <cell r="AC339">
            <v>36644</v>
          </cell>
        </row>
        <row r="340">
          <cell r="A340" t="str">
            <v>SAA 4896</v>
          </cell>
          <cell r="B340" t="str">
            <v>Pintura de Látex Acrílico Blanca</v>
          </cell>
          <cell r="C340" t="str">
            <v>Interior-Exterior</v>
          </cell>
          <cell r="D340" t="str">
            <v>Lámina Galvanizada</v>
          </cell>
          <cell r="E340" t="str">
            <v>Libre de Polvo, Grasa o Cuarquier Sustancia Contaminate</v>
          </cell>
          <cell r="F340" t="str">
            <v>Ninguno</v>
          </cell>
          <cell r="G340" t="str">
            <v>10.83 Lbs/Gl</v>
          </cell>
          <cell r="H340" t="str">
            <v>35.49%</v>
          </cell>
          <cell r="I340" t="str">
            <v>46.71%</v>
          </cell>
          <cell r="J340" t="str">
            <v>53.29%</v>
          </cell>
          <cell r="K340" t="str">
            <v>41.71%</v>
          </cell>
          <cell r="L340" t="str">
            <v>31.75%</v>
          </cell>
          <cell r="M340" t="str">
            <v>90-95 KU</v>
          </cell>
          <cell r="N340" t="str">
            <v>Brocha</v>
          </cell>
          <cell r="O340" t="str">
            <v>90-95KU</v>
          </cell>
          <cell r="P340" t="str">
            <v>Ninguno</v>
          </cell>
          <cell r="Q340" t="str">
            <v>Agua Para Lavar Equipo</v>
          </cell>
          <cell r="R340" t="str">
            <v xml:space="preserve">1.5 mills  </v>
          </cell>
          <cell r="S340" t="str">
            <v>Al aire</v>
          </cell>
          <cell r="T340" t="str">
            <v>-</v>
          </cell>
          <cell r="U340" t="str">
            <v>25-30 Mts cuadrados/Gl</v>
          </cell>
          <cell r="V340" t="str">
            <v>Satinado</v>
          </cell>
          <cell r="W340" t="str">
            <v>-</v>
          </cell>
          <cell r="X340" t="str">
            <v>1-2 Años</v>
          </cell>
          <cell r="Y340" t="str">
            <v>PREXCON</v>
          </cell>
          <cell r="Z340" t="str">
            <v>Antenas</v>
          </cell>
          <cell r="AA340" t="str">
            <v>-</v>
          </cell>
          <cell r="AB340" t="str">
            <v>Ana Irene Mendez Vides</v>
          </cell>
          <cell r="AC340">
            <v>36690</v>
          </cell>
        </row>
        <row r="341">
          <cell r="A341" t="str">
            <v>SAA 4897</v>
          </cell>
          <cell r="B341" t="str">
            <v>Pintura de Látex Acrílico Naranja</v>
          </cell>
          <cell r="C341" t="str">
            <v>Interior-Exterior</v>
          </cell>
          <cell r="D341" t="str">
            <v>Lámina Galvanizada</v>
          </cell>
          <cell r="E341" t="str">
            <v>Libre de Polvo, Grasa o Cuarquier Sustancia Contaminate</v>
          </cell>
          <cell r="F341" t="str">
            <v>Ninguno</v>
          </cell>
          <cell r="G341" t="str">
            <v>9.32 Lbs/Gl</v>
          </cell>
          <cell r="H341" t="str">
            <v>35.91%</v>
          </cell>
          <cell r="I341" t="str">
            <v>35.91%</v>
          </cell>
          <cell r="J341" t="str">
            <v>64.05%</v>
          </cell>
          <cell r="K341" t="str">
            <v>36.76%</v>
          </cell>
          <cell r="L341" t="str">
            <v>29.21%</v>
          </cell>
          <cell r="M341" t="str">
            <v>90-95 KU</v>
          </cell>
          <cell r="N341" t="str">
            <v>Brocha</v>
          </cell>
          <cell r="O341" t="str">
            <v>90-95KU</v>
          </cell>
          <cell r="P341" t="str">
            <v>Ninguno</v>
          </cell>
          <cell r="Q341" t="str">
            <v>Agua Para Lavar Equipo</v>
          </cell>
          <cell r="R341" t="str">
            <v xml:space="preserve">1.5 mills  </v>
          </cell>
          <cell r="S341" t="str">
            <v>Al aire</v>
          </cell>
          <cell r="T341" t="str">
            <v>-</v>
          </cell>
          <cell r="U341" t="str">
            <v>25-30 Mts cuadrados/Gl</v>
          </cell>
          <cell r="V341" t="str">
            <v>Satinado</v>
          </cell>
          <cell r="W341" t="str">
            <v>-</v>
          </cell>
          <cell r="X341" t="str">
            <v>1-2 Años</v>
          </cell>
          <cell r="Y341" t="str">
            <v>PREXCON</v>
          </cell>
          <cell r="Z341" t="str">
            <v>Antenas</v>
          </cell>
          <cell r="AA341" t="str">
            <v>-</v>
          </cell>
          <cell r="AB341" t="str">
            <v>Ana Irene Mendez Vides</v>
          </cell>
          <cell r="AC341">
            <v>36690</v>
          </cell>
        </row>
        <row r="342">
          <cell r="A342" t="str">
            <v>D1T13</v>
          </cell>
          <cell r="B342" t="str">
            <v>White Fat Cut Rubbing Compound</v>
          </cell>
          <cell r="C342" t="str">
            <v>-</v>
          </cell>
          <cell r="D342" t="str">
            <v>Metal cubierto con Laca</v>
          </cell>
          <cell r="E342" t="str">
            <v xml:space="preserve">Limpieza de la Superficie </v>
          </cell>
          <cell r="F342" t="str">
            <v>Ninguno</v>
          </cell>
          <cell r="G342" t="str">
            <v>10.49 Lbs/Gl</v>
          </cell>
          <cell r="H342" t="str">
            <v>-</v>
          </cell>
          <cell r="I342" t="str">
            <v>47.54%</v>
          </cell>
          <cell r="J342" t="str">
            <v>-</v>
          </cell>
          <cell r="K342" t="str">
            <v>-</v>
          </cell>
          <cell r="L342" t="str">
            <v>27.14%</v>
          </cell>
          <cell r="M342" t="str">
            <v>Pasta</v>
          </cell>
          <cell r="N342" t="str">
            <v>Trapo</v>
          </cell>
          <cell r="O342" t="str">
            <v>Pasta</v>
          </cell>
          <cell r="P342" t="str">
            <v>No se reduce</v>
          </cell>
          <cell r="Q342" t="str">
            <v>Ninguno</v>
          </cell>
          <cell r="R342" t="str">
            <v>-</v>
          </cell>
          <cell r="S342" t="str">
            <v>-</v>
          </cell>
          <cell r="T342" t="str">
            <v>-</v>
          </cell>
          <cell r="U342" t="str">
            <v>-</v>
          </cell>
          <cell r="V342" t="str">
            <v>-</v>
          </cell>
          <cell r="W342" t="str">
            <v>Pasta Blanda</v>
          </cell>
          <cell r="X342" t="str">
            <v>2 Años</v>
          </cell>
          <cell r="Y342" t="str">
            <v>Clientes Varios</v>
          </cell>
          <cell r="Z342" t="str">
            <v>-</v>
          </cell>
          <cell r="AA342" t="str">
            <v>-</v>
          </cell>
          <cell r="AB342" t="str">
            <v>Rigoberto Montalvo</v>
          </cell>
          <cell r="AC342">
            <v>36698</v>
          </cell>
        </row>
        <row r="343">
          <cell r="A343" t="str">
            <v>H87TSA1</v>
          </cell>
          <cell r="B343" t="str">
            <v>Laca Transparente Para Cuero</v>
          </cell>
          <cell r="C343" t="str">
            <v>-</v>
          </cell>
          <cell r="D343" t="str">
            <v>Cuero</v>
          </cell>
          <cell r="E343" t="str">
            <v>Limpio con Solvente</v>
          </cell>
          <cell r="F343" t="str">
            <v>Ninguno</v>
          </cell>
          <cell r="G343" t="str">
            <v>7.84 Lbs/Gl</v>
          </cell>
          <cell r="H343" t="str">
            <v>-</v>
          </cell>
          <cell r="I343" t="str">
            <v>23.47%</v>
          </cell>
          <cell r="J343" t="str">
            <v>23.47%</v>
          </cell>
          <cell r="K343" t="str">
            <v>-</v>
          </cell>
          <cell r="L343" t="str">
            <v>16.68%</v>
          </cell>
          <cell r="M343" t="str">
            <v>20"-30" Copa SW #5</v>
          </cell>
          <cell r="N343" t="str">
            <v>Pistola</v>
          </cell>
          <cell r="O343" t="str">
            <v>18-20 Seg. Copa Zanh #2</v>
          </cell>
          <cell r="P343" t="str">
            <v>100-150%</v>
          </cell>
          <cell r="Q343" t="str">
            <v>R7KSA7</v>
          </cell>
          <cell r="R343" t="str">
            <v>-</v>
          </cell>
          <cell r="S343" t="str">
            <v xml:space="preserve"> 1 1/2 Horas.</v>
          </cell>
          <cell r="T343" t="str">
            <v>-</v>
          </cell>
          <cell r="U343" t="str">
            <v>-</v>
          </cell>
          <cell r="V343" t="str">
            <v>+80</v>
          </cell>
          <cell r="W343" t="str">
            <v>-</v>
          </cell>
          <cell r="X343" t="str">
            <v>6 meses</v>
          </cell>
          <cell r="Y343" t="str">
            <v>DIDEMA-GUATEMALA</v>
          </cell>
          <cell r="Z343" t="str">
            <v>-</v>
          </cell>
          <cell r="AA343" t="str">
            <v>-</v>
          </cell>
          <cell r="AB343" t="str">
            <v>Corina de Turcios</v>
          </cell>
          <cell r="AC343">
            <v>36746</v>
          </cell>
        </row>
        <row r="344">
          <cell r="A344" t="str">
            <v>E60FSA1</v>
          </cell>
          <cell r="B344" t="str">
            <v>Sellador Poliuretano Para Madera</v>
          </cell>
          <cell r="C344" t="str">
            <v>Interior</v>
          </cell>
          <cell r="D344" t="str">
            <v>Madera</v>
          </cell>
          <cell r="E344" t="str">
            <v>Lijado + Tapaporo + Tintes</v>
          </cell>
          <cell r="F344" t="str">
            <v>Mismo</v>
          </cell>
          <cell r="G344" t="str">
            <v>7.73 Lbs/Gl</v>
          </cell>
          <cell r="H344" t="str">
            <v>3.23%</v>
          </cell>
          <cell r="I344" t="str">
            <v>24.4% (Catalizado 27.20%)</v>
          </cell>
          <cell r="J344" t="str">
            <v>21.17%</v>
          </cell>
          <cell r="K344" t="str">
            <v>12.85%</v>
          </cell>
          <cell r="L344" t="str">
            <v>17.98% (Catalizado 20.46%)</v>
          </cell>
          <cell r="M344" t="str">
            <v>18"-20" Copa Ford #4</v>
          </cell>
          <cell r="N344" t="str">
            <v>Pistola convencional</v>
          </cell>
          <cell r="O344" t="str">
            <v>18"-20" Copa Ford #4</v>
          </cell>
          <cell r="P344" t="str">
            <v>Ninguno</v>
          </cell>
          <cell r="Q344" t="str">
            <v>Ninguno</v>
          </cell>
          <cell r="R344" t="str">
            <v>2 mills</v>
          </cell>
          <cell r="S344" t="str">
            <v>45 Minutos</v>
          </cell>
          <cell r="T344" t="str">
            <v>Catalizado con 1/16 de  V6V690</v>
          </cell>
          <cell r="U344" t="str">
            <v>13.37 Mts Cuadrados/Gl a 2 mills de Película Seca</v>
          </cell>
          <cell r="V344" t="str">
            <v>20 Unidades</v>
          </cell>
          <cell r="W344" t="str">
            <v>HB</v>
          </cell>
          <cell r="X344" t="str">
            <v>3 años</v>
          </cell>
          <cell r="Y344" t="str">
            <v>-</v>
          </cell>
          <cell r="Z344" t="str">
            <v>-</v>
          </cell>
          <cell r="AA344" t="str">
            <v>-</v>
          </cell>
          <cell r="AB344" t="str">
            <v>Corina de Turcios</v>
          </cell>
          <cell r="AC344">
            <v>36756</v>
          </cell>
        </row>
        <row r="345">
          <cell r="A345" t="str">
            <v>F74C51</v>
          </cell>
          <cell r="B345" t="str">
            <v>Barniz Poliuretano Brillante Para Madera</v>
          </cell>
          <cell r="C345" t="str">
            <v>Interior</v>
          </cell>
          <cell r="D345" t="str">
            <v>Madera</v>
          </cell>
          <cell r="E345" t="str">
            <v>Lijado + Tapaporo + Tintes + Sellador</v>
          </cell>
          <cell r="F345" t="str">
            <v>Sellador Poliuretano E60FSA1</v>
          </cell>
          <cell r="G345" t="str">
            <v>7.88 Lbs/Gl</v>
          </cell>
          <cell r="H345" t="str">
            <v>-</v>
          </cell>
          <cell r="I345" t="str">
            <v>24.94% (Catalizado 27.92%)</v>
          </cell>
          <cell r="J345" t="str">
            <v>21.94%</v>
          </cell>
          <cell r="K345" t="str">
            <v>-</v>
          </cell>
          <cell r="L345" t="str">
            <v>15.77% (Catalizado 18.38%)</v>
          </cell>
          <cell r="M345" t="str">
            <v>18"-20" Copa Ford #4</v>
          </cell>
          <cell r="N345" t="str">
            <v>Pistola Convencional</v>
          </cell>
          <cell r="O345" t="str">
            <v>18"-20" Copa Ford #4</v>
          </cell>
          <cell r="P345" t="str">
            <v>Ninguno</v>
          </cell>
          <cell r="Q345" t="str">
            <v>Ninguno</v>
          </cell>
          <cell r="R345" t="str">
            <v>2 mills</v>
          </cell>
          <cell r="S345" t="str">
            <v>30 Minutos Al Aire</v>
          </cell>
          <cell r="T345" t="str">
            <v>Catalizado con 1/16 de V6V690</v>
          </cell>
          <cell r="U345" t="str">
            <v>11.72 Mts Cuadrados/Gl a 2 mills de Espesor</v>
          </cell>
          <cell r="V345" t="str">
            <v>80 Unidades</v>
          </cell>
          <cell r="W345" t="str">
            <v>HB</v>
          </cell>
          <cell r="X345" t="str">
            <v>3 Años</v>
          </cell>
          <cell r="Y345" t="str">
            <v>-</v>
          </cell>
          <cell r="Z345" t="str">
            <v>-</v>
          </cell>
          <cell r="AA345" t="str">
            <v>-</v>
          </cell>
          <cell r="AB345" t="str">
            <v>Corina de Turcios</v>
          </cell>
          <cell r="AC345">
            <v>36756</v>
          </cell>
        </row>
        <row r="346">
          <cell r="A346" t="str">
            <v>F74FSA1</v>
          </cell>
          <cell r="B346" t="str">
            <v>Barniz Poliuretano Mate Para Madera</v>
          </cell>
          <cell r="C346" t="str">
            <v>Interior</v>
          </cell>
          <cell r="D346" t="str">
            <v>Madera</v>
          </cell>
          <cell r="E346" t="str">
            <v>Lijado+Tapaporo+Tinte+Sellador (E60FSA1)</v>
          </cell>
          <cell r="F346" t="str">
            <v>E60FSA1</v>
          </cell>
          <cell r="G346" t="str">
            <v>7.88 Lbs/Gl</v>
          </cell>
          <cell r="H346" t="str">
            <v>5.82%</v>
          </cell>
          <cell r="I346" t="str">
            <v>25.99% (Catalizado 28.63%)</v>
          </cell>
          <cell r="J346" t="str">
            <v>20.17%</v>
          </cell>
          <cell r="K346" t="str">
            <v>14.63%</v>
          </cell>
          <cell r="L346" t="str">
            <v>18.05% (Catalizado 20.53%)</v>
          </cell>
          <cell r="M346" t="str">
            <v>18"-20" Copa Ford #4</v>
          </cell>
          <cell r="N346" t="str">
            <v>Pistola Convencional</v>
          </cell>
          <cell r="O346" t="str">
            <v>18"-20" Copa Ford #4</v>
          </cell>
          <cell r="P346" t="str">
            <v>Ninguno</v>
          </cell>
          <cell r="Q346" t="str">
            <v>Ninguno</v>
          </cell>
          <cell r="R346" t="str">
            <v>2 mills</v>
          </cell>
          <cell r="S346" t="str">
            <v>1/2 hora al aire</v>
          </cell>
          <cell r="T346" t="str">
            <v>Catalizado con 1/16 de V6V690</v>
          </cell>
          <cell r="U346" t="str">
            <v>13.42 Mts Cuadrados/Gl a 2 mills de película seca.</v>
          </cell>
          <cell r="V346" t="str">
            <v>5-7</v>
          </cell>
          <cell r="W346" t="str">
            <v>HB</v>
          </cell>
          <cell r="X346" t="str">
            <v>3 años</v>
          </cell>
          <cell r="Y346" t="str">
            <v>-</v>
          </cell>
          <cell r="Z346" t="str">
            <v>-</v>
          </cell>
          <cell r="AA346" t="str">
            <v>-</v>
          </cell>
          <cell r="AB346" t="str">
            <v>Corina de Turcios</v>
          </cell>
          <cell r="AC346">
            <v>36756</v>
          </cell>
        </row>
        <row r="347">
          <cell r="A347" t="str">
            <v>F74FSA2</v>
          </cell>
          <cell r="B347" t="str">
            <v>Barniz Poliuretano Satinado Industrial</v>
          </cell>
          <cell r="C347" t="str">
            <v>Interior</v>
          </cell>
          <cell r="D347" t="str">
            <v>Madera</v>
          </cell>
          <cell r="E347" t="str">
            <v>Lijado+Tapaporo+Tinte+Sellador (E60FSA1)</v>
          </cell>
          <cell r="F347" t="str">
            <v>E60FSA1</v>
          </cell>
          <cell r="G347" t="str">
            <v>7.69 Lbs/Gl</v>
          </cell>
          <cell r="H347" t="str">
            <v>1.82% p/p</v>
          </cell>
          <cell r="I347" t="str">
            <v>22.45%</v>
          </cell>
          <cell r="J347" t="str">
            <v>20.63%</v>
          </cell>
          <cell r="K347" t="str">
            <v>0.50%</v>
          </cell>
          <cell r="L347" t="str">
            <v>16.28%</v>
          </cell>
          <cell r="M347" t="str">
            <v>18"-20" Copa Ford #4</v>
          </cell>
          <cell r="N347" t="str">
            <v>Pistola Convencional</v>
          </cell>
          <cell r="O347" t="str">
            <v>18"-20" Copa Ford #4</v>
          </cell>
          <cell r="P347" t="str">
            <v>Ninguno</v>
          </cell>
          <cell r="Q347" t="str">
            <v>Solo si es necesario R7K7590 Reductor Universal.</v>
          </cell>
          <cell r="R347" t="str">
            <v>1 mills</v>
          </cell>
          <cell r="S347" t="str">
            <v>Al aire</v>
          </cell>
          <cell r="T347" t="str">
            <v>Catalizado con  V6V690</v>
          </cell>
          <cell r="U347" t="str">
            <v>260.97 Pies Cuadrados/Gl a 1 mills de película seca.</v>
          </cell>
          <cell r="V347" t="str">
            <v>27-32</v>
          </cell>
          <cell r="W347" t="str">
            <v>-</v>
          </cell>
          <cell r="X347" t="str">
            <v>1 Año</v>
          </cell>
          <cell r="Y347" t="str">
            <v>-</v>
          </cell>
          <cell r="Z347" t="str">
            <v>-</v>
          </cell>
          <cell r="AA347" t="str">
            <v>-</v>
          </cell>
          <cell r="AB347" t="str">
            <v>Corina de Turcios</v>
          </cell>
          <cell r="AC347">
            <v>36756</v>
          </cell>
        </row>
        <row r="348">
          <cell r="A348" t="str">
            <v>L60BSA10</v>
          </cell>
          <cell r="B348" t="str">
            <v>Laca Industrial Negro Mate</v>
          </cell>
          <cell r="C348" t="str">
            <v>Interior</v>
          </cell>
          <cell r="D348" t="str">
            <v>Hierro</v>
          </cell>
          <cell r="E348" t="str">
            <v>Limpieza y Desengrase</v>
          </cell>
          <cell r="F348" t="str">
            <v>Ninguno</v>
          </cell>
          <cell r="G348" t="str">
            <v>7.84 Lbs/Gl</v>
          </cell>
          <cell r="H348" t="str">
            <v>1.2%</v>
          </cell>
          <cell r="I348" t="str">
            <v>28.0%</v>
          </cell>
          <cell r="J348" t="str">
            <v>79.50%</v>
          </cell>
          <cell r="K348" t="str">
            <v>3-5%</v>
          </cell>
          <cell r="L348" t="str">
            <v>19.80%</v>
          </cell>
          <cell r="M348" t="str">
            <v>15"-20" Copa SW #5</v>
          </cell>
          <cell r="N348" t="str">
            <v>Inmersión</v>
          </cell>
          <cell r="O348" t="str">
            <v>18"-22" Copa Zanh #2</v>
          </cell>
          <cell r="P348" t="str">
            <v>100%</v>
          </cell>
          <cell r="Q348" t="str">
            <v>R7K128</v>
          </cell>
          <cell r="R348" t="str">
            <v>1 mills</v>
          </cell>
          <cell r="S348" t="str">
            <v>Al Aire</v>
          </cell>
          <cell r="T348" t="str">
            <v>-</v>
          </cell>
          <cell r="U348" t="str">
            <v>28.7 Mts Cuadrados/Gl a 1 mills de espesor</v>
          </cell>
          <cell r="V348" t="str">
            <v>3-4</v>
          </cell>
          <cell r="W348" t="str">
            <v>-</v>
          </cell>
          <cell r="X348" t="str">
            <v>6-12 meses</v>
          </cell>
          <cell r="Y348" t="str">
            <v>-</v>
          </cell>
          <cell r="Z348" t="str">
            <v>-</v>
          </cell>
          <cell r="AA348" t="str">
            <v>-</v>
          </cell>
          <cell r="AB348" t="str">
            <v>Corina de Turcios</v>
          </cell>
          <cell r="AC348">
            <v>36756</v>
          </cell>
        </row>
        <row r="349">
          <cell r="A349" t="str">
            <v>L60ESA2</v>
          </cell>
          <cell r="B349" t="str">
            <v>Laca Industrial Naranja Boira</v>
          </cell>
          <cell r="C349" t="str">
            <v>Interior</v>
          </cell>
          <cell r="D349" t="str">
            <v>Hierro</v>
          </cell>
          <cell r="E349" t="str">
            <v>Limpieza y Desengrase</v>
          </cell>
          <cell r="F349" t="str">
            <v>Ninguno</v>
          </cell>
          <cell r="G349" t="str">
            <v>8.22 Lbs/Gl</v>
          </cell>
          <cell r="H349" t="str">
            <v>11.69%</v>
          </cell>
          <cell r="I349" t="str">
            <v>35.0%</v>
          </cell>
          <cell r="J349" t="str">
            <v>52.62%</v>
          </cell>
          <cell r="K349" t="str">
            <v>9.21%</v>
          </cell>
          <cell r="L349" t="str">
            <v>23.44%</v>
          </cell>
          <cell r="M349" t="str">
            <v>30"-40" Copa SW #5</v>
          </cell>
          <cell r="N349" t="str">
            <v>Inmersión</v>
          </cell>
          <cell r="O349" t="str">
            <v>18"-22" Copa Zanh #2</v>
          </cell>
          <cell r="P349" t="str">
            <v>100-150%</v>
          </cell>
          <cell r="Q349" t="str">
            <v>R7K128</v>
          </cell>
          <cell r="R349" t="str">
            <v>1 mills</v>
          </cell>
          <cell r="S349" t="str">
            <v>Al Aire</v>
          </cell>
          <cell r="T349" t="str">
            <v>-</v>
          </cell>
          <cell r="U349" t="str">
            <v>35 Mts Cuadrados/Gl a 1 mills de espesor</v>
          </cell>
          <cell r="V349" t="str">
            <v>+80</v>
          </cell>
          <cell r="W349" t="str">
            <v>-</v>
          </cell>
          <cell r="X349" t="str">
            <v>6-12 meses</v>
          </cell>
          <cell r="Y349" t="str">
            <v>-</v>
          </cell>
          <cell r="Z349" t="str">
            <v>-</v>
          </cell>
          <cell r="AA349" t="str">
            <v>-</v>
          </cell>
          <cell r="AB349" t="str">
            <v>Corina de Turcios</v>
          </cell>
          <cell r="AC349">
            <v>36769</v>
          </cell>
        </row>
        <row r="350">
          <cell r="A350" t="str">
            <v>SAA 5064</v>
          </cell>
          <cell r="B350" t="str">
            <v>Laca Acrílica Azul Para Bolitas Navideñas</v>
          </cell>
          <cell r="C350" t="str">
            <v>Interior</v>
          </cell>
          <cell r="D350" t="str">
            <v>Polietileno y Poliestireno</v>
          </cell>
          <cell r="E350" t="str">
            <v>Limpieza Adecuada</v>
          </cell>
          <cell r="F350" t="str">
            <v>T70CSA16</v>
          </cell>
          <cell r="G350" t="str">
            <v>7.6 Lbs/Gl</v>
          </cell>
          <cell r="H350" t="str">
            <v>0.40%</v>
          </cell>
          <cell r="I350" t="str">
            <v>20.0%</v>
          </cell>
          <cell r="J350" t="str">
            <v>94.0%</v>
          </cell>
          <cell r="K350" t="str">
            <v>1.90%</v>
          </cell>
          <cell r="L350" t="str">
            <v>13.20%</v>
          </cell>
          <cell r="M350" t="str">
            <v>18"-22" Copa Zanh #2</v>
          </cell>
          <cell r="N350" t="str">
            <v>Inmersión</v>
          </cell>
          <cell r="O350" t="str">
            <v>18"-22" Copa Zanh #2</v>
          </cell>
          <cell r="P350" t="str">
            <v>Ninguno</v>
          </cell>
          <cell r="Q350" t="str">
            <v>-</v>
          </cell>
          <cell r="R350" t="str">
            <v>0.5-0.7 mills</v>
          </cell>
          <cell r="S350" t="str">
            <v>Al Aire 5-10 Minutos</v>
          </cell>
          <cell r="T350" t="str">
            <v>-</v>
          </cell>
          <cell r="U350" t="str">
            <v>19 Mts Cuadrados/Gl a 1 mills de espesor</v>
          </cell>
          <cell r="V350" t="str">
            <v>+85</v>
          </cell>
          <cell r="W350" t="str">
            <v>2B-B</v>
          </cell>
          <cell r="X350" t="str">
            <v>1 1/2 Años</v>
          </cell>
          <cell r="Y350" t="str">
            <v>DIDEMA-GUATEMALA</v>
          </cell>
          <cell r="Z350" t="str">
            <v>Adornos Navideños</v>
          </cell>
          <cell r="AA350" t="str">
            <v>-</v>
          </cell>
          <cell r="AB350" t="str">
            <v>Corina de Turcios</v>
          </cell>
          <cell r="AC350">
            <v>36776</v>
          </cell>
        </row>
        <row r="351">
          <cell r="A351" t="str">
            <v>SAA 5062</v>
          </cell>
          <cell r="B351" t="str">
            <v>Laca Acrílica Roja Para Bolitas Navideñas</v>
          </cell>
          <cell r="C351" t="str">
            <v>Interior</v>
          </cell>
          <cell r="D351" t="str">
            <v>Polietileno y Poliestireno</v>
          </cell>
          <cell r="E351" t="str">
            <v>Limpieza Adecuada</v>
          </cell>
          <cell r="F351" t="str">
            <v>T70CSA16</v>
          </cell>
          <cell r="G351" t="str">
            <v>7.6 Lbs/Gl</v>
          </cell>
          <cell r="H351" t="str">
            <v>0.20%</v>
          </cell>
          <cell r="I351" t="str">
            <v>20.0%</v>
          </cell>
          <cell r="J351" t="str">
            <v>95.0%</v>
          </cell>
          <cell r="K351" t="str">
            <v>1.30%</v>
          </cell>
          <cell r="L351" t="str">
            <v>13.0%</v>
          </cell>
          <cell r="M351" t="str">
            <v>18"-22" Copa Zanh #2</v>
          </cell>
          <cell r="N351" t="str">
            <v>Inmersión</v>
          </cell>
          <cell r="O351" t="str">
            <v>18"-22" Copa Zanh #2</v>
          </cell>
          <cell r="P351" t="str">
            <v>Ninguno</v>
          </cell>
          <cell r="Q351" t="str">
            <v>-</v>
          </cell>
          <cell r="R351" t="str">
            <v>0.5-0.7 mills</v>
          </cell>
          <cell r="S351" t="str">
            <v>Al Aire 5-10 Minutos</v>
          </cell>
          <cell r="T351" t="str">
            <v>-</v>
          </cell>
          <cell r="U351" t="str">
            <v>19 Mts Cuadrados/Gl a 1 mills de espesor</v>
          </cell>
          <cell r="V351" t="str">
            <v>+85</v>
          </cell>
          <cell r="W351" t="str">
            <v>2B-B</v>
          </cell>
          <cell r="X351" t="str">
            <v>1 1/2 Años</v>
          </cell>
          <cell r="Y351" t="str">
            <v>DIDEMA-GUATEMALA</v>
          </cell>
          <cell r="Z351" t="str">
            <v>Adornos Navideños</v>
          </cell>
          <cell r="AA351" t="str">
            <v>-</v>
          </cell>
          <cell r="AB351" t="str">
            <v>Corina de Turcios</v>
          </cell>
          <cell r="AC351">
            <v>36776</v>
          </cell>
        </row>
        <row r="352">
          <cell r="A352" t="str">
            <v>SAA 5063</v>
          </cell>
          <cell r="B352" t="str">
            <v>Laca Acrílica Amarilla Para Bolitas Navideñas</v>
          </cell>
          <cell r="C352" t="str">
            <v>Interior</v>
          </cell>
          <cell r="D352" t="str">
            <v>Polietileno y Poliestireno</v>
          </cell>
          <cell r="E352" t="str">
            <v>Limpieza Adecuada</v>
          </cell>
          <cell r="F352" t="str">
            <v>T70CSA16</v>
          </cell>
          <cell r="G352" t="str">
            <v>7.58 Lbs/Gl</v>
          </cell>
          <cell r="H352" t="str">
            <v>0.13%</v>
          </cell>
          <cell r="I352" t="str">
            <v>20.0%</v>
          </cell>
          <cell r="J352" t="str">
            <v>96.0%</v>
          </cell>
          <cell r="K352" t="str">
            <v>0.68%</v>
          </cell>
          <cell r="L352" t="str">
            <v>13.0%</v>
          </cell>
          <cell r="M352" t="str">
            <v>18"-22" Copa Zanh #2</v>
          </cell>
          <cell r="N352" t="str">
            <v>Inmersión</v>
          </cell>
          <cell r="O352" t="str">
            <v>18"-22" Copa Zanh #2</v>
          </cell>
          <cell r="P352" t="str">
            <v>Ninguno</v>
          </cell>
          <cell r="Q352" t="str">
            <v>-</v>
          </cell>
          <cell r="R352" t="str">
            <v>0.5-0.7 mills</v>
          </cell>
          <cell r="S352" t="str">
            <v>Al Aire 5-10 Minutos</v>
          </cell>
          <cell r="T352" t="str">
            <v>-</v>
          </cell>
          <cell r="U352" t="str">
            <v>19 Mts Cuadrados/Gl a 1 mills de espesor</v>
          </cell>
          <cell r="V352" t="str">
            <v>+85</v>
          </cell>
          <cell r="W352" t="str">
            <v>2B-B</v>
          </cell>
          <cell r="X352" t="str">
            <v>1 1/2 Años</v>
          </cell>
          <cell r="Y352" t="str">
            <v>DIDEMA-GUATEMALA</v>
          </cell>
          <cell r="Z352" t="str">
            <v>Adornos Navideños</v>
          </cell>
          <cell r="AA352" t="str">
            <v>-</v>
          </cell>
          <cell r="AB352" t="str">
            <v>Corina de Turcios</v>
          </cell>
          <cell r="AC352">
            <v>36776</v>
          </cell>
        </row>
        <row r="353">
          <cell r="A353" t="str">
            <v>T70CSA16</v>
          </cell>
          <cell r="B353" t="str">
            <v>Laca Industrial Transparente Brillante</v>
          </cell>
          <cell r="C353" t="str">
            <v>Interior</v>
          </cell>
          <cell r="D353" t="str">
            <v>Polietileno y Poliestireno</v>
          </cell>
          <cell r="E353" t="str">
            <v>Limpieza Adecuada</v>
          </cell>
          <cell r="F353" t="str">
            <v>Ninguno</v>
          </cell>
          <cell r="G353" t="str">
            <v>8.0 Lbs/Gl</v>
          </cell>
          <cell r="H353" t="str">
            <v>-</v>
          </cell>
          <cell r="I353" t="str">
            <v>40%</v>
          </cell>
          <cell r="J353" t="str">
            <v>40%</v>
          </cell>
          <cell r="K353" t="str">
            <v>-</v>
          </cell>
          <cell r="L353" t="str">
            <v>32%</v>
          </cell>
          <cell r="M353" t="str">
            <v>J-I (Gardner-Holdt)</v>
          </cell>
          <cell r="N353" t="str">
            <v>Inmersión</v>
          </cell>
          <cell r="O353" t="str">
            <v>18"-22" Copa Zanh #2</v>
          </cell>
          <cell r="P353" t="str">
            <v>100-125%</v>
          </cell>
          <cell r="Q353" t="str">
            <v>R7KSA7</v>
          </cell>
          <cell r="R353" t="str">
            <v>0.5-0.7 mills</v>
          </cell>
          <cell r="S353" t="str">
            <v>Al Aire 10 Minutos</v>
          </cell>
          <cell r="T353" t="str">
            <v>-</v>
          </cell>
          <cell r="U353" t="str">
            <v>48 Mts Cuadrados/Gl a 1 mills de espesor</v>
          </cell>
          <cell r="V353" t="str">
            <v>+80</v>
          </cell>
          <cell r="W353" t="str">
            <v>2B-B</v>
          </cell>
          <cell r="X353" t="str">
            <v>1 1/2 Años</v>
          </cell>
          <cell r="Y353" t="str">
            <v>DIDEMA-GUATEMALA</v>
          </cell>
          <cell r="Z353" t="str">
            <v>Adornos Navideños</v>
          </cell>
          <cell r="AA353" t="str">
            <v>-</v>
          </cell>
          <cell r="AB353" t="str">
            <v>Corina de Turcios</v>
          </cell>
          <cell r="AC353">
            <v>36776</v>
          </cell>
        </row>
        <row r="354">
          <cell r="A354" t="str">
            <v xml:space="preserve">SAA 4785 </v>
          </cell>
          <cell r="B354" t="str">
            <v>Kem Lustral Verde Químico</v>
          </cell>
          <cell r="C354" t="str">
            <v>Interior-Exterior</v>
          </cell>
          <cell r="D354" t="str">
            <v>Madera, Metal, Concreto.</v>
          </cell>
          <cell r="E354" t="str">
            <v>Limpia y Seca, Libre de grasa, Aceite u Óxido.</v>
          </cell>
          <cell r="F354" t="str">
            <v>Anticorrosivo Kromik Netal Primer para Superficies de Hierro o Acero.</v>
          </cell>
          <cell r="G354" t="str">
            <v>8.59 Lbs/Gl</v>
          </cell>
          <cell r="H354" t="str">
            <v>13.0%</v>
          </cell>
          <cell r="I354" t="str">
            <v>49.55%</v>
          </cell>
          <cell r="J354" t="str">
            <v>76.0%</v>
          </cell>
          <cell r="K354" t="str">
            <v>6.86%</v>
          </cell>
          <cell r="L354" t="str">
            <v>38.85%</v>
          </cell>
          <cell r="M354" t="str">
            <v>75-80 KU</v>
          </cell>
          <cell r="N354" t="str">
            <v xml:space="preserve">Brocha-Pistola </v>
          </cell>
          <cell r="O354" t="str">
            <v>-</v>
          </cell>
          <cell r="P354" t="str">
            <v>25.0%</v>
          </cell>
          <cell r="Q354" t="str">
            <v>VMP Naptha R1K3</v>
          </cell>
          <cell r="R354" t="str">
            <v>1 mills</v>
          </cell>
          <cell r="S354" t="str">
            <v>Completo: 4-6 Horas.</v>
          </cell>
          <cell r="T354" t="str">
            <v>-</v>
          </cell>
          <cell r="U354" t="str">
            <v>50 Mts Cuadrados/Gl a 1 mills de espesor</v>
          </cell>
          <cell r="V354" t="str">
            <v>90</v>
          </cell>
          <cell r="W354" t="str">
            <v>-</v>
          </cell>
          <cell r="X354" t="str">
            <v>3 Años</v>
          </cell>
          <cell r="Y354" t="str">
            <v>DIDEMA-GUATEMALA</v>
          </cell>
          <cell r="Z354" t="str">
            <v>-</v>
          </cell>
          <cell r="AA354" t="str">
            <v>-</v>
          </cell>
          <cell r="AB354" t="str">
            <v>Soraya de Quijada</v>
          </cell>
          <cell r="AC354">
            <v>36790</v>
          </cell>
        </row>
        <row r="355">
          <cell r="A355" t="str">
            <v>SAA 4950</v>
          </cell>
          <cell r="B355" t="str">
            <v>Kem Lustral Enamel Azul Fordson</v>
          </cell>
          <cell r="C355" t="str">
            <v>Interior-Exterior</v>
          </cell>
          <cell r="D355" t="str">
            <v>Madera, Metal, Concreto.</v>
          </cell>
          <cell r="E355" t="str">
            <v>Limpia y Seca, Libre de grasa, Aceite u Óxido.</v>
          </cell>
          <cell r="F355" t="str">
            <v>Anticorrosivo Kromik Netal Primer para Superficies de Hierro o Acero.</v>
          </cell>
          <cell r="G355" t="str">
            <v>8.23 Lbs/Gl</v>
          </cell>
          <cell r="H355" t="str">
            <v>10.0%</v>
          </cell>
          <cell r="I355" t="str">
            <v>47.0%</v>
          </cell>
          <cell r="J355" t="str">
            <v>82.0%</v>
          </cell>
          <cell r="K355" t="str">
            <v>7.40%</v>
          </cell>
          <cell r="L355" t="str">
            <v>38.19%</v>
          </cell>
          <cell r="M355" t="str">
            <v>75-80 KU</v>
          </cell>
          <cell r="N355" t="str">
            <v xml:space="preserve">Brocha-Pistola </v>
          </cell>
          <cell r="O355" t="str">
            <v>-</v>
          </cell>
          <cell r="P355" t="str">
            <v>25.0%</v>
          </cell>
          <cell r="Q355" t="str">
            <v>VMP Naptha R1K3</v>
          </cell>
          <cell r="R355" t="str">
            <v>1 mills</v>
          </cell>
          <cell r="S355" t="str">
            <v>Completo: 4-6 Horas.</v>
          </cell>
          <cell r="T355" t="str">
            <v>-</v>
          </cell>
          <cell r="U355" t="str">
            <v>50 Mts Cuadrados/Gl a 1 mills de espesor</v>
          </cell>
          <cell r="V355" t="str">
            <v>90</v>
          </cell>
          <cell r="W355" t="str">
            <v>-</v>
          </cell>
          <cell r="X355" t="str">
            <v>3 Años</v>
          </cell>
          <cell r="Y355" t="str">
            <v>DIDEMA-GUATEMALA</v>
          </cell>
          <cell r="Z355" t="str">
            <v>-</v>
          </cell>
          <cell r="AA355" t="str">
            <v>-</v>
          </cell>
          <cell r="AB355" t="str">
            <v>Soraya de Quijada</v>
          </cell>
          <cell r="AC355">
            <v>36790</v>
          </cell>
        </row>
        <row r="356">
          <cell r="A356" t="str">
            <v>SAA 4951</v>
          </cell>
          <cell r="B356" t="str">
            <v>Super Fast Dry Verde Químico.</v>
          </cell>
          <cell r="C356" t="str">
            <v>Interior-Exterior</v>
          </cell>
          <cell r="D356" t="str">
            <v>Madera, Metal</v>
          </cell>
          <cell r="E356" t="str">
            <v>Limpia y Seca, Libre de grasa, Aceite u Óxido.</v>
          </cell>
          <cell r="F356" t="str">
            <v>Para Hierro o Acero Kem Fast Dry Primer E61R9</v>
          </cell>
          <cell r="G356" t="str">
            <v>8.68 Lbs/Gl</v>
          </cell>
          <cell r="H356" t="str">
            <v>7.0%</v>
          </cell>
          <cell r="I356" t="str">
            <v>44.13%</v>
          </cell>
          <cell r="J356" t="str">
            <v>84.0%</v>
          </cell>
          <cell r="K356" t="str">
            <v>5.20%</v>
          </cell>
          <cell r="L356" t="str">
            <v>34.57%</v>
          </cell>
          <cell r="M356" t="str">
            <v>30"-35" Copa SW #3</v>
          </cell>
          <cell r="N356" t="str">
            <v>Spray o Inmersión.</v>
          </cell>
          <cell r="O356" t="str">
            <v>-</v>
          </cell>
          <cell r="P356" t="str">
            <v>25-30%</v>
          </cell>
          <cell r="Q356" t="str">
            <v>R2K4 Industrial Reducer.</v>
          </cell>
          <cell r="R356" t="str">
            <v>1.0-1.25 mills</v>
          </cell>
          <cell r="S356" t="str">
            <v>Seco Completo: 1 Hora</v>
          </cell>
          <cell r="T356" t="str">
            <v>-</v>
          </cell>
          <cell r="U356" t="str">
            <v>50 Mts Cuadrados/Gl a 1 mills de espesor</v>
          </cell>
          <cell r="V356" t="str">
            <v>+70</v>
          </cell>
          <cell r="W356" t="str">
            <v>-</v>
          </cell>
          <cell r="X356" t="str">
            <v>2 Años</v>
          </cell>
          <cell r="Y356" t="str">
            <v>DIDEMA-GUATEMALA</v>
          </cell>
          <cell r="Z356" t="str">
            <v>-</v>
          </cell>
          <cell r="AA356" t="str">
            <v>-</v>
          </cell>
          <cell r="AB356" t="str">
            <v>Soraya de Quijada</v>
          </cell>
          <cell r="AC356">
            <v>36790</v>
          </cell>
        </row>
        <row r="357">
          <cell r="A357" t="str">
            <v>A44HSA3</v>
          </cell>
          <cell r="B357" t="str">
            <v>Tex Flex Blanco Hueso</v>
          </cell>
          <cell r="C357" t="str">
            <v>Interior-Exterior</v>
          </cell>
          <cell r="D357" t="str">
            <v>Concreto</v>
          </cell>
          <cell r="E357" t="str">
            <v>Limpia, Seca y Libre de Toda Sustancia Extraña.</v>
          </cell>
          <cell r="F357" t="str">
            <v>B45ASA1</v>
          </cell>
          <cell r="G357" t="str">
            <v>12.47 Lbs/Gl</v>
          </cell>
          <cell r="H357" t="str">
            <v>25.74%</v>
          </cell>
          <cell r="I357" t="str">
            <v>70.71%</v>
          </cell>
          <cell r="J357" t="str">
            <v>-</v>
          </cell>
          <cell r="K357" t="str">
            <v>24.94%</v>
          </cell>
          <cell r="L357" t="str">
            <v>53.23%</v>
          </cell>
          <cell r="M357" t="str">
            <v>123 129 MILES EN CPS</v>
          </cell>
          <cell r="N357" t="str">
            <v>Brocha-Rodillo Texturizado.</v>
          </cell>
          <cell r="O357" t="str">
            <v>123-129 CPS</v>
          </cell>
          <cell r="P357" t="str">
            <v>Ninguno</v>
          </cell>
          <cell r="Q357" t="str">
            <v>-</v>
          </cell>
          <cell r="R357" t="str">
            <v>12 mills</v>
          </cell>
          <cell r="S357" t="str">
            <v>Al Aire</v>
          </cell>
          <cell r="T357" t="str">
            <v>-</v>
          </cell>
          <cell r="U357" t="str">
            <v>6-7 Mts Cuadrados/Gl, dependiendo de la porosidad de la superficie.</v>
          </cell>
          <cell r="V357" t="str">
            <v>Satinado</v>
          </cell>
          <cell r="W357" t="str">
            <v>-</v>
          </cell>
          <cell r="X357" t="str">
            <v>1-2 Años, sin destaparse el envase.</v>
          </cell>
          <cell r="Y357" t="str">
            <v>FRUND</v>
          </cell>
          <cell r="Z357" t="str">
            <v>-</v>
          </cell>
          <cell r="AA357" t="str">
            <v>-</v>
          </cell>
          <cell r="AB357" t="str">
            <v>Ana Irene Mendez Vides</v>
          </cell>
          <cell r="AC357" t="str">
            <v>JULIO 3, 2002</v>
          </cell>
        </row>
        <row r="358">
          <cell r="A358" t="str">
            <v>SAA 5107</v>
          </cell>
          <cell r="B358" t="str">
            <v>Anticorrosivo Al Agua Rojo RECOPE</v>
          </cell>
          <cell r="C358" t="str">
            <v>-</v>
          </cell>
          <cell r="D358" t="str">
            <v>Fibrolite, Concreto, Lámina.</v>
          </cell>
          <cell r="E358" t="str">
            <v>Limpia y Seca</v>
          </cell>
          <cell r="F358" t="str">
            <v>-</v>
          </cell>
          <cell r="G358" t="str">
            <v>10.27 Lbs/Gl más o menos 0.2</v>
          </cell>
          <cell r="H358" t="str">
            <v>29.5% más o menos 0.2</v>
          </cell>
          <cell r="I358" t="str">
            <v>54.49% más o menos 0.2</v>
          </cell>
          <cell r="J358" t="str">
            <v>-</v>
          </cell>
          <cell r="K358" t="str">
            <v>25% más o menos 0.2</v>
          </cell>
          <cell r="L358" t="str">
            <v>48.29% más o menos 0.2</v>
          </cell>
          <cell r="M358" t="str">
            <v>92-96 KU</v>
          </cell>
          <cell r="N358" t="str">
            <v>Brocha</v>
          </cell>
          <cell r="O358" t="str">
            <v>85-90 KU</v>
          </cell>
          <cell r="P358" t="str">
            <v>10% Máximo</v>
          </cell>
          <cell r="Q358" t="str">
            <v>Agua Limpia</v>
          </cell>
          <cell r="R358" t="str">
            <v>5 mills</v>
          </cell>
          <cell r="S358" t="str">
            <v>Al aire</v>
          </cell>
          <cell r="T358" t="str">
            <v>-</v>
          </cell>
          <cell r="U358" t="str">
            <v>14-15 Mts Cuadrados/Gl, dependiendo de la porosidad de la superficie.</v>
          </cell>
          <cell r="V358" t="str">
            <v>Satinado</v>
          </cell>
          <cell r="W358" t="str">
            <v>-</v>
          </cell>
          <cell r="X358" t="str">
            <v>1-2 Años, sin destaparse el envase.</v>
          </cell>
          <cell r="Y358" t="str">
            <v>RECOPE</v>
          </cell>
          <cell r="Z358" t="str">
            <v>-</v>
          </cell>
          <cell r="AA358" t="str">
            <v>-</v>
          </cell>
          <cell r="AB358" t="str">
            <v>Ana Irene Mendez Vides</v>
          </cell>
          <cell r="AC358">
            <v>36795</v>
          </cell>
        </row>
        <row r="359">
          <cell r="A359" t="str">
            <v>SAA 5108</v>
          </cell>
          <cell r="B359" t="str">
            <v>Esmalte Al Agua Aluminio RECOPE</v>
          </cell>
          <cell r="D359" t="str">
            <v>Fibrolite, Concreto, Lámina.</v>
          </cell>
          <cell r="E359" t="str">
            <v>Limpia y Seca</v>
          </cell>
          <cell r="F359" t="str">
            <v>-</v>
          </cell>
          <cell r="G359" t="str">
            <v>9.18 Lbs/Gl más o menos 0.2</v>
          </cell>
          <cell r="H359" t="str">
            <v>-</v>
          </cell>
          <cell r="I359" t="str">
            <v>53.13%</v>
          </cell>
          <cell r="J359" t="str">
            <v>-</v>
          </cell>
          <cell r="K359" t="str">
            <v>14.78%</v>
          </cell>
          <cell r="L359" t="str">
            <v>46.35% más o menos 0.2</v>
          </cell>
          <cell r="M359" t="str">
            <v>135-140 KU</v>
          </cell>
          <cell r="N359" t="str">
            <v>Brocha</v>
          </cell>
          <cell r="O359" t="str">
            <v>135-140 KU</v>
          </cell>
          <cell r="P359" t="str">
            <v>Hasta 5% si fuese necesario, según método de aplicación.</v>
          </cell>
          <cell r="Q359" t="str">
            <v>Agua Limpia</v>
          </cell>
          <cell r="R359" t="str">
            <v>5 mills</v>
          </cell>
          <cell r="S359" t="str">
            <v>Al aire</v>
          </cell>
          <cell r="T359" t="str">
            <v>-</v>
          </cell>
          <cell r="U359" t="str">
            <v>13-14 Mts Cuadrados/Gl, dependiendo de la porosidad de la superficie.</v>
          </cell>
          <cell r="V359" t="str">
            <v>-</v>
          </cell>
          <cell r="W359" t="str">
            <v>-</v>
          </cell>
          <cell r="X359" t="str">
            <v>6 meses sin destapar el envase.</v>
          </cell>
          <cell r="Y359" t="str">
            <v>RECOPE</v>
          </cell>
          <cell r="Z359" t="str">
            <v>-</v>
          </cell>
          <cell r="AA359" t="str">
            <v>-</v>
          </cell>
          <cell r="AB359" t="str">
            <v>Ana Irene Mendez Vides</v>
          </cell>
          <cell r="AC359">
            <v>36830</v>
          </cell>
        </row>
        <row r="360">
          <cell r="A360" t="str">
            <v>B53A4004</v>
          </cell>
          <cell r="B360" t="str">
            <v>Industrial Enamel Ultra Deep Base R</v>
          </cell>
          <cell r="C360" t="str">
            <v>Interior-Exterior</v>
          </cell>
          <cell r="D360" t="str">
            <v>Hierro, Madera, Concreto</v>
          </cell>
          <cell r="E360" t="str">
            <v>Totalmente secas, Libres de Polvo y Grasa</v>
          </cell>
          <cell r="F360" t="str">
            <v>Metal:Kromik Metal Primer,Colonial Anticorrosivo. Madera:Excello Wood Sealer.Concreto:Sellador p/Concreto.</v>
          </cell>
          <cell r="G360" t="str">
            <v>6.86 Lbs/Gl</v>
          </cell>
          <cell r="H360" t="str">
            <v>1.48%</v>
          </cell>
          <cell r="I360" t="str">
            <v>34.91%</v>
          </cell>
          <cell r="J360" t="str">
            <v>33.43%</v>
          </cell>
          <cell r="K360" t="str">
            <v>10.98%</v>
          </cell>
          <cell r="L360" t="str">
            <v>33.70%</v>
          </cell>
          <cell r="M360" t="str">
            <v>72-77 KU</v>
          </cell>
          <cell r="N360" t="str">
            <v>Brocha, Rodillo, Pistola de Aire</v>
          </cell>
          <cell r="O360" t="str">
            <v>Listo Para Usar.</v>
          </cell>
          <cell r="P360" t="str">
            <v xml:space="preserve">Con pistola   10-12% con R1K4 </v>
          </cell>
          <cell r="Q360" t="str">
            <v>R1K4   Mineral Spirits</v>
          </cell>
          <cell r="R360" t="str">
            <v>1 mills</v>
          </cell>
          <cell r="S360" t="str">
            <v>Seco Completo de 4 a 5 Horas (25°C)</v>
          </cell>
          <cell r="T360" t="str">
            <v>-</v>
          </cell>
          <cell r="U360" t="str">
            <v>45-55 Mts Cuadrados/Gl/Mano a 1 mill de pelicula seca. Depende del color.</v>
          </cell>
          <cell r="V360" t="str">
            <v xml:space="preserve">88-92 unidades </v>
          </cell>
          <cell r="W360" t="str">
            <v>-</v>
          </cell>
          <cell r="X360" t="str">
            <v>2 años</v>
          </cell>
          <cell r="Y360" t="str">
            <v>-</v>
          </cell>
          <cell r="Z360" t="str">
            <v>-</v>
          </cell>
          <cell r="AA360" t="str">
            <v>-</v>
          </cell>
          <cell r="AB360" t="str">
            <v>Soraya de Quijada</v>
          </cell>
          <cell r="AC360">
            <v>36901</v>
          </cell>
        </row>
        <row r="361">
          <cell r="A361" t="str">
            <v>B53W4001</v>
          </cell>
          <cell r="B361" t="str">
            <v>Industrial Enamel Pure White Base X</v>
          </cell>
          <cell r="C361" t="str">
            <v>Interior-Exterior</v>
          </cell>
          <cell r="D361" t="str">
            <v>Hierro, Madera, Concreto</v>
          </cell>
          <cell r="E361" t="str">
            <v>Totalmente secas, Libres de Polvo y Grasa</v>
          </cell>
          <cell r="F361" t="str">
            <v>Metal:Kromik Metal Primer,Colonial Anticorrosivo. Madera:Excello Wood Sealer.Concreto:Sellador p/Concreto.</v>
          </cell>
          <cell r="G361" t="str">
            <v>8.91 Lbs/Gl</v>
          </cell>
          <cell r="H361" t="str">
            <v>19.72%</v>
          </cell>
          <cell r="I361" t="str">
            <v>55.35%</v>
          </cell>
          <cell r="J361" t="str">
            <v>35.63%</v>
          </cell>
          <cell r="K361" t="str">
            <v>16.91%</v>
          </cell>
          <cell r="L361" t="str">
            <v>39.08%</v>
          </cell>
          <cell r="M361" t="str">
            <v>80-87 KU</v>
          </cell>
          <cell r="N361" t="str">
            <v>Brocha, Rodillo, Pistola de Aire</v>
          </cell>
          <cell r="O361" t="str">
            <v>70-75 KU</v>
          </cell>
          <cell r="P361" t="str">
            <v xml:space="preserve">Con pistola   12-15% con R1K4 </v>
          </cell>
          <cell r="Q361" t="str">
            <v>R1K4   Mineral Spirits</v>
          </cell>
          <cell r="R361" t="str">
            <v>1 mills</v>
          </cell>
          <cell r="S361" t="str">
            <v>Seco Completo de 4 a 5 Horas (25°C)</v>
          </cell>
          <cell r="T361" t="str">
            <v>-</v>
          </cell>
          <cell r="U361" t="str">
            <v>45-55 Mts Cuadrados/Gl/Mano a 1 mill de pelicula seca. Depende del color.</v>
          </cell>
          <cell r="V361" t="str">
            <v xml:space="preserve">88-92 unidades </v>
          </cell>
          <cell r="W361" t="str">
            <v>-</v>
          </cell>
          <cell r="X361" t="str">
            <v>2 años</v>
          </cell>
          <cell r="Y361" t="str">
            <v>-</v>
          </cell>
          <cell r="Z361" t="str">
            <v>-</v>
          </cell>
          <cell r="AA361" t="str">
            <v>-</v>
          </cell>
          <cell r="AB361" t="str">
            <v>Soraya de Quijada</v>
          </cell>
          <cell r="AC361">
            <v>36901</v>
          </cell>
        </row>
        <row r="362">
          <cell r="A362" t="str">
            <v>B53W4002</v>
          </cell>
          <cell r="B362" t="str">
            <v>Industrial Enamel Midtone Base Y</v>
          </cell>
          <cell r="C362" t="str">
            <v>Interior-Exterior</v>
          </cell>
          <cell r="D362" t="str">
            <v>Hierro, Madera, Concreto</v>
          </cell>
          <cell r="E362" t="str">
            <v>Totalmente secas, Libres de Polvo y Grasa</v>
          </cell>
          <cell r="F362" t="str">
            <v>Metal:Kromik Metal Primer,Colonial Anticorrosivo. Madera:Excello Wood Sealer.Concreto:Sellador p/Concreto.</v>
          </cell>
          <cell r="G362" t="str">
            <v>8.03 Lbs/Gl</v>
          </cell>
          <cell r="H362" t="str">
            <v>15.45%</v>
          </cell>
          <cell r="I362" t="str">
            <v>51.36%</v>
          </cell>
          <cell r="J362" t="str">
            <v>35.95%</v>
          </cell>
          <cell r="K362" t="str">
            <v>12-58%</v>
          </cell>
          <cell r="L362" t="str">
            <v>38-24%</v>
          </cell>
          <cell r="M362" t="str">
            <v>80-87 KU</v>
          </cell>
          <cell r="N362" t="str">
            <v>Brocha, Rodillo, Pistola de Aire</v>
          </cell>
          <cell r="O362" t="str">
            <v>70-75 KU</v>
          </cell>
          <cell r="P362" t="str">
            <v xml:space="preserve">Con pistola   12-15% con R1K4 </v>
          </cell>
          <cell r="Q362" t="str">
            <v>R1K4   Mineral Spirits</v>
          </cell>
          <cell r="R362" t="str">
            <v>1 mills</v>
          </cell>
          <cell r="S362" t="str">
            <v>Seco Completo de 4 a 5 Horas (25°C)</v>
          </cell>
          <cell r="T362" t="str">
            <v>-</v>
          </cell>
          <cell r="U362" t="str">
            <v>45-55 Mts Cuadrados/Gl/Mano a 1 mill de pelicula seca. Depende del color.</v>
          </cell>
          <cell r="V362" t="str">
            <v xml:space="preserve">88-92 unidades </v>
          </cell>
          <cell r="W362" t="str">
            <v>-</v>
          </cell>
          <cell r="X362" t="str">
            <v>2 años</v>
          </cell>
          <cell r="Y362" t="str">
            <v>-</v>
          </cell>
          <cell r="Z362" t="str">
            <v>-</v>
          </cell>
          <cell r="AA362" t="str">
            <v>-</v>
          </cell>
          <cell r="AB362" t="str">
            <v>Soraya de Quijada</v>
          </cell>
          <cell r="AC362">
            <v>36901</v>
          </cell>
        </row>
        <row r="363">
          <cell r="A363" t="str">
            <v>B53W4003</v>
          </cell>
          <cell r="B363" t="str">
            <v>Industrial Enamel Deeptone Base Z</v>
          </cell>
          <cell r="C363" t="str">
            <v>Interior-Exterior</v>
          </cell>
          <cell r="D363" t="str">
            <v>Hierro, Madera, Concreto</v>
          </cell>
          <cell r="E363" t="str">
            <v>Totalmente secas, Libres de Polvo y Grasa</v>
          </cell>
          <cell r="F363" t="str">
            <v>Metal:Kromik Metal Primer,Colonial Anticorrosivo. Madera:Excello Wood Sealer.Concreto:Sellador p/Concreto.</v>
          </cell>
          <cell r="G363" t="str">
            <v>7.51 Lbs/Gl</v>
          </cell>
          <cell r="H363" t="str">
            <v>11.24%</v>
          </cell>
          <cell r="I363" t="str">
            <v>48.04%</v>
          </cell>
          <cell r="J363" t="str">
            <v>36.80%</v>
          </cell>
          <cell r="K363" t="str">
            <v>7.40%</v>
          </cell>
          <cell r="L363" t="str">
            <v>34.09%</v>
          </cell>
          <cell r="M363" t="str">
            <v>80-87 KU</v>
          </cell>
          <cell r="N363" t="str">
            <v>Brocha, Rodillo, Pistola de Aire</v>
          </cell>
          <cell r="O363" t="str">
            <v>70-75 KU</v>
          </cell>
          <cell r="P363" t="str">
            <v xml:space="preserve">Con pistola   12-15% con R1K4 </v>
          </cell>
          <cell r="Q363" t="str">
            <v>R1K4   Mineral Spirits</v>
          </cell>
          <cell r="R363" t="str">
            <v>1 mills</v>
          </cell>
          <cell r="S363" t="str">
            <v>Seco Completo de 4 a 5 Horas (25°C)</v>
          </cell>
          <cell r="T363" t="str">
            <v>-</v>
          </cell>
          <cell r="U363" t="str">
            <v>45-55 Mts Cuadrados/Gl/Mano a 1 mill de pelicula seca. Depende del color.</v>
          </cell>
          <cell r="V363" t="str">
            <v xml:space="preserve">88-92 unidades </v>
          </cell>
          <cell r="W363" t="str">
            <v>-</v>
          </cell>
          <cell r="X363" t="str">
            <v>2 años</v>
          </cell>
          <cell r="Y363" t="str">
            <v>-</v>
          </cell>
          <cell r="Z363" t="str">
            <v>-</v>
          </cell>
          <cell r="AA363" t="str">
            <v>-</v>
          </cell>
          <cell r="AB363" t="str">
            <v>Soraya de Quijada</v>
          </cell>
          <cell r="AC363">
            <v>36901</v>
          </cell>
        </row>
        <row r="364">
          <cell r="A364" t="str">
            <v>B79LSA13</v>
          </cell>
          <cell r="B364" t="str">
            <v>Colonial Latex Chep Blue Pantone 300U</v>
          </cell>
          <cell r="C364" t="str">
            <v>Interior-Exterior</v>
          </cell>
          <cell r="D364" t="str">
            <v>Cemento, Ladrillo, Madera</v>
          </cell>
          <cell r="E364" t="str">
            <v>Curada, Limpia, Seca y Libre de toda contaminación</v>
          </cell>
          <cell r="F364" t="str">
            <v>-</v>
          </cell>
          <cell r="G364" t="str">
            <v>11.41 Lbs/Gl más o menos 0.2</v>
          </cell>
          <cell r="H364" t="str">
            <v>-</v>
          </cell>
          <cell r="I364" t="str">
            <v>47.75% más o menos 0.02</v>
          </cell>
          <cell r="J364" t="str">
            <v>-</v>
          </cell>
          <cell r="K364" t="str">
            <v>65.40%</v>
          </cell>
          <cell r="L364" t="str">
            <v>30.83% más o menos 0.2</v>
          </cell>
          <cell r="M364" t="str">
            <v>79-85 KU</v>
          </cell>
          <cell r="N364" t="str">
            <v>Brocha-Rodillo-Pistola</v>
          </cell>
          <cell r="O364" t="str">
            <v>79-85 KU</v>
          </cell>
          <cell r="P364" t="str">
            <v>Máximo 10%</v>
          </cell>
          <cell r="Q364" t="str">
            <v>Agua Limpia</v>
          </cell>
          <cell r="R364" t="str">
            <v>1.5 mills</v>
          </cell>
          <cell r="S364" t="str">
            <v>Al Aire, Recubrir después de 4 horas.</v>
          </cell>
          <cell r="T364" t="str">
            <v>-</v>
          </cell>
          <cell r="U364" t="str">
            <v>30 Mts Cuadrados/Gl más o menos 1</v>
          </cell>
          <cell r="V364" t="str">
            <v>-</v>
          </cell>
          <cell r="W364" t="str">
            <v>-</v>
          </cell>
          <cell r="X364" t="str">
            <v>2 años</v>
          </cell>
          <cell r="Y364" t="str">
            <v>DIDEMA-GUATEMALA</v>
          </cell>
          <cell r="Z364" t="str">
            <v>-</v>
          </cell>
          <cell r="AA364" t="str">
            <v>-</v>
          </cell>
          <cell r="AB364" t="str">
            <v>Ana Irene Mendez Vides</v>
          </cell>
          <cell r="AC364">
            <v>36907</v>
          </cell>
        </row>
        <row r="365">
          <cell r="A365" t="str">
            <v>SAA 5146</v>
          </cell>
          <cell r="B365" t="str">
            <v>Esmalte Horneable Industrial Verde Imacasa</v>
          </cell>
          <cell r="C365" t="str">
            <v>Interior-Exterior</v>
          </cell>
          <cell r="D365" t="str">
            <v>Acero</v>
          </cell>
          <cell r="E365" t="str">
            <v>Limpieza y desengrase</v>
          </cell>
          <cell r="F365" t="str">
            <v>Ninguno</v>
          </cell>
          <cell r="G365" t="str">
            <v>8.0 Lbs/Gl</v>
          </cell>
          <cell r="H365" t="str">
            <v>6.5%</v>
          </cell>
          <cell r="I365" t="str">
            <v>4.7%</v>
          </cell>
          <cell r="J365" t="str">
            <v>87%</v>
          </cell>
          <cell r="K365" t="str">
            <v>5.56%</v>
          </cell>
          <cell r="L365" t="str">
            <v>38.14%</v>
          </cell>
          <cell r="M365" t="str">
            <v>95-105" Copa Zahn #2</v>
          </cell>
          <cell r="N365" t="str">
            <v>Pistola</v>
          </cell>
          <cell r="O365" t="str">
            <v>18-22" Copa Zahn #2</v>
          </cell>
          <cell r="P365" t="str">
            <v>20-25%</v>
          </cell>
          <cell r="Q365" t="str">
            <v>R2K4         Industrial reducer</v>
          </cell>
          <cell r="R365" t="str">
            <v>1.0-1.5 mills</v>
          </cell>
          <cell r="S365" t="str">
            <v>Al Horno</v>
          </cell>
          <cell r="T365" t="str">
            <v>15 Min. A 300°F</v>
          </cell>
          <cell r="U365" t="str">
            <v>56 Mts Cuadrados/Gl</v>
          </cell>
          <cell r="V365" t="str">
            <v>+80 unidades</v>
          </cell>
          <cell r="W365" t="str">
            <v>F</v>
          </cell>
          <cell r="X365" t="str">
            <v>6-12 años</v>
          </cell>
          <cell r="Y365" t="str">
            <v>IMACASA</v>
          </cell>
          <cell r="Z365" t="str">
            <v>Herramientas Varias</v>
          </cell>
          <cell r="AA365" t="str">
            <v>-</v>
          </cell>
          <cell r="AB365" t="str">
            <v>Corina de Turcios</v>
          </cell>
          <cell r="AC365">
            <v>36924</v>
          </cell>
        </row>
        <row r="366">
          <cell r="A366" t="str">
            <v>F68RSA9</v>
          </cell>
          <cell r="B366" t="str">
            <v>Esmalte para espejos Rojo Especial</v>
          </cell>
          <cell r="C366" t="str">
            <v xml:space="preserve">Interior  </v>
          </cell>
          <cell r="D366" t="str">
            <v>Vidrio</v>
          </cell>
          <cell r="E366" t="str">
            <v>Limpieza Adecuada</v>
          </cell>
          <cell r="F366" t="str">
            <v>Ninguno</v>
          </cell>
          <cell r="G366" t="str">
            <v>10.65 Lbs/Gl</v>
          </cell>
          <cell r="H366" t="str">
            <v>38.1%</v>
          </cell>
          <cell r="I366" t="str">
            <v>61.64%</v>
          </cell>
          <cell r="J366" t="str">
            <v>37.5%</v>
          </cell>
          <cell r="K366" t="str">
            <v>35.6%</v>
          </cell>
          <cell r="L366" t="str">
            <v>44.1%</v>
          </cell>
          <cell r="M366" t="str">
            <v>30-35"        SW #3</v>
          </cell>
          <cell r="N366" t="str">
            <v>Pistola</v>
          </cell>
          <cell r="O366" t="str">
            <v>18-20"             Copa Ford #4</v>
          </cell>
          <cell r="P366" t="str">
            <v>20%</v>
          </cell>
          <cell r="Q366" t="str">
            <v>R2K4         Industrial reducer</v>
          </cell>
          <cell r="R366" t="str">
            <v>1.0 mills</v>
          </cell>
          <cell r="S366" t="str">
            <v>Al aire             5-10 Min</v>
          </cell>
          <cell r="T366" t="str">
            <v>-</v>
          </cell>
          <cell r="U366" t="str">
            <v>65 m2/Gl a un mills de espes.</v>
          </cell>
          <cell r="V366" t="str">
            <v>5-6</v>
          </cell>
          <cell r="W366" t="str">
            <v>-</v>
          </cell>
          <cell r="X366" t="str">
            <v>6 meses</v>
          </cell>
          <cell r="Y366" t="str">
            <v>DIDEMA-GUATEMALA</v>
          </cell>
          <cell r="Z366" t="str">
            <v>Espejos</v>
          </cell>
          <cell r="AA366" t="str">
            <v>-</v>
          </cell>
          <cell r="AB366" t="str">
            <v>Corina de Turcios</v>
          </cell>
          <cell r="AC366">
            <v>36942</v>
          </cell>
        </row>
        <row r="367">
          <cell r="A367" t="str">
            <v>M91GSA2</v>
          </cell>
          <cell r="B367" t="str">
            <v>Laca para escobas verde claro</v>
          </cell>
          <cell r="C367" t="str">
            <v>Interior - Exterior</v>
          </cell>
          <cell r="D367" t="str">
            <v>Palos de Escoba</v>
          </cell>
          <cell r="E367" t="str">
            <v>De Acuerdo Al Cliente</v>
          </cell>
          <cell r="F367" t="str">
            <v>Ninguno</v>
          </cell>
          <cell r="G367" t="str">
            <v>8.21 Lbs</v>
          </cell>
          <cell r="H367" t="str">
            <v>7.93%</v>
          </cell>
          <cell r="I367" t="str">
            <v>37.54%</v>
          </cell>
          <cell r="J367" t="str">
            <v>66.24%</v>
          </cell>
          <cell r="K367" t="str">
            <v>9.83%</v>
          </cell>
          <cell r="L367" t="str">
            <v>24.51%</v>
          </cell>
          <cell r="M367" t="str">
            <v>18,000-23,000 cps</v>
          </cell>
          <cell r="N367" t="str">
            <v>De Acuerdo Al Cliente</v>
          </cell>
          <cell r="O367" t="str">
            <v>-</v>
          </cell>
          <cell r="P367" t="str">
            <v>Ninguno</v>
          </cell>
          <cell r="Q367" t="str">
            <v>De ser necesario reducir con Thinner R7K128</v>
          </cell>
          <cell r="R367" t="str">
            <v>De acuerdo Al Cliente</v>
          </cell>
          <cell r="S367" t="str">
            <v>Al Aire</v>
          </cell>
          <cell r="T367" t="str">
            <v>-</v>
          </cell>
          <cell r="U367" t="str">
            <v>36.51 metros cuadrados por galon a 1 mils de pelicula seca</v>
          </cell>
          <cell r="V367" t="str">
            <v>-</v>
          </cell>
          <cell r="W367" t="str">
            <v>-</v>
          </cell>
          <cell r="X367" t="str">
            <v>6-12 meses</v>
          </cell>
          <cell r="Y367" t="str">
            <v>MULTIPLAST</v>
          </cell>
          <cell r="Z367" t="str">
            <v>Escobas</v>
          </cell>
          <cell r="AA367" t="str">
            <v>-</v>
          </cell>
          <cell r="AB367" t="str">
            <v>Ing. Juan Antonio Méndez</v>
          </cell>
          <cell r="AC367" t="str">
            <v>Junio 2, 2003</v>
          </cell>
        </row>
        <row r="368">
          <cell r="A368" t="str">
            <v>M91LSA2</v>
          </cell>
          <cell r="B368" t="str">
            <v>Laca para Escobas Azul Intenso</v>
          </cell>
          <cell r="C368" t="str">
            <v>Interior - Exterior</v>
          </cell>
          <cell r="D368" t="str">
            <v>Palos de Escoba</v>
          </cell>
          <cell r="E368" t="str">
            <v>De Acuerdo Al Cliente</v>
          </cell>
          <cell r="F368" t="str">
            <v>Ninguno</v>
          </cell>
          <cell r="G368" t="str">
            <v>8.28 Lbs</v>
          </cell>
          <cell r="H368" t="str">
            <v>6.72 %</v>
          </cell>
          <cell r="I368" t="str">
            <v>38.86%</v>
          </cell>
          <cell r="J368" t="str">
            <v>69.38%</v>
          </cell>
          <cell r="K368" t="str">
            <v>9.03%</v>
          </cell>
          <cell r="L368" t="str">
            <v>24.92%</v>
          </cell>
          <cell r="M368" t="str">
            <v>18,000 - 23,000 cps</v>
          </cell>
          <cell r="N368" t="str">
            <v>De Acuerdo Al Cliente</v>
          </cell>
          <cell r="O368" t="str">
            <v>-</v>
          </cell>
          <cell r="P368" t="str">
            <v>Ninguno</v>
          </cell>
          <cell r="Q368" t="str">
            <v>De ser necesario reducir con Thinner R7K128</v>
          </cell>
          <cell r="R368" t="str">
            <v>De acuerdo Al Cliente</v>
          </cell>
          <cell r="S368" t="str">
            <v>Al aire</v>
          </cell>
          <cell r="T368" t="str">
            <v>-</v>
          </cell>
          <cell r="U368" t="str">
            <v>37.85 metros cuadrados por galon a 1 mils de pelicula seca</v>
          </cell>
          <cell r="V368" t="str">
            <v>-</v>
          </cell>
          <cell r="W368" t="str">
            <v>-</v>
          </cell>
          <cell r="X368" t="str">
            <v>6-12 meses</v>
          </cell>
          <cell r="Y368" t="str">
            <v>MULTIPLATS</v>
          </cell>
          <cell r="Z368" t="str">
            <v>Escobas</v>
          </cell>
          <cell r="AA368" t="str">
            <v>-</v>
          </cell>
          <cell r="AB368" t="str">
            <v>Ing. Juan Antonio Méndez</v>
          </cell>
          <cell r="AC368" t="str">
            <v>Junio 2, 2003</v>
          </cell>
        </row>
        <row r="369">
          <cell r="A369" t="str">
            <v>L1ASA1</v>
          </cell>
          <cell r="B369" t="str">
            <v>Opex Lacquer Gris Proaces</v>
          </cell>
          <cell r="C369" t="str">
            <v>Interior-Exterior</v>
          </cell>
          <cell r="D369" t="str">
            <v xml:space="preserve">Hierro-Acero </v>
          </cell>
          <cell r="E369" t="str">
            <v>Lijado, Libre de Polvo y oxido</v>
          </cell>
          <cell r="F369" t="str">
            <v>E2G980, P2A32</v>
          </cell>
          <cell r="G369" t="str">
            <v>8.45</v>
          </cell>
          <cell r="H369" t="str">
            <v>7.47 %</v>
          </cell>
          <cell r="I369" t="str">
            <v>37.92%</v>
          </cell>
          <cell r="J369" t="str">
            <v>70.50%</v>
          </cell>
          <cell r="K369" t="str">
            <v>7.26%</v>
          </cell>
          <cell r="L369" t="str">
            <v>26.86%</v>
          </cell>
          <cell r="M369" t="str">
            <v>60 - 75 "       SW #5</v>
          </cell>
          <cell r="N369" t="str">
            <v>Pistola</v>
          </cell>
          <cell r="O369" t="str">
            <v>18-22" Copa Zahn #2</v>
          </cell>
          <cell r="P369" t="str">
            <v xml:space="preserve">100-150% </v>
          </cell>
          <cell r="Q369" t="str">
            <v>R7K128</v>
          </cell>
          <cell r="R369" t="str">
            <v>1.5 mils</v>
          </cell>
          <cell r="S369" t="str">
            <v>seco tocar 10 min, seco completo 20 min</v>
          </cell>
          <cell r="T369" t="str">
            <v>-</v>
          </cell>
          <cell r="U369" t="str">
            <v>40 m2 / galon a 1 mils de pelicula seca</v>
          </cell>
          <cell r="V369" t="str">
            <v>+85 unidades</v>
          </cell>
          <cell r="W369" t="str">
            <v>-</v>
          </cell>
          <cell r="X369" t="str">
            <v>12 meses</v>
          </cell>
          <cell r="Y369" t="str">
            <v>PROACES</v>
          </cell>
          <cell r="Z369" t="str">
            <v>-</v>
          </cell>
          <cell r="AA369" t="str">
            <v>Aprobado por el cliente 30-Julio-01</v>
          </cell>
          <cell r="AB369" t="str">
            <v>Juan Antonio Méndez</v>
          </cell>
          <cell r="AC369" t="str">
            <v>Agosto 7, 2001</v>
          </cell>
        </row>
        <row r="370">
          <cell r="A370" t="str">
            <v>L1HSA1</v>
          </cell>
          <cell r="B370" t="str">
            <v>Opex Lacquer beige Proaces</v>
          </cell>
          <cell r="C370" t="str">
            <v>Interior-Exterior</v>
          </cell>
          <cell r="D370" t="str">
            <v xml:space="preserve">Hierro-Acero </v>
          </cell>
          <cell r="E370" t="str">
            <v>Lijado, Libre de Polvo y oxido</v>
          </cell>
          <cell r="F370" t="str">
            <v>E2G980, P2A32</v>
          </cell>
          <cell r="G370" t="str">
            <v>8.29</v>
          </cell>
          <cell r="H370" t="str">
            <v>5.55 %</v>
          </cell>
          <cell r="I370" t="str">
            <v>36.62 %</v>
          </cell>
          <cell r="J370" t="str">
            <v>74.48 %</v>
          </cell>
          <cell r="K370" t="str">
            <v>5.16 %</v>
          </cell>
          <cell r="L370" t="str">
            <v>26.27 %</v>
          </cell>
          <cell r="M370" t="str">
            <v>60 - 75 "       SW #5</v>
          </cell>
          <cell r="N370" t="str">
            <v>Pistola</v>
          </cell>
          <cell r="O370" t="str">
            <v>18-22" Copa Zahn #2</v>
          </cell>
          <cell r="P370" t="str">
            <v xml:space="preserve">100-150% </v>
          </cell>
          <cell r="Q370" t="str">
            <v>R7K128</v>
          </cell>
          <cell r="R370" t="str">
            <v>1.5 mils</v>
          </cell>
          <cell r="S370" t="str">
            <v>seco tocar 10 min, seco completo 20 min</v>
          </cell>
          <cell r="T370" t="str">
            <v>-</v>
          </cell>
          <cell r="U370" t="str">
            <v>39 m2 / galon a 1 mils de pelicula seca</v>
          </cell>
          <cell r="V370" t="str">
            <v>+85 unidades</v>
          </cell>
          <cell r="W370" t="str">
            <v>-</v>
          </cell>
          <cell r="X370" t="str">
            <v>12 meses</v>
          </cell>
          <cell r="Y370" t="str">
            <v>PROACES</v>
          </cell>
          <cell r="Z370" t="str">
            <v>-</v>
          </cell>
          <cell r="AA370" t="str">
            <v>Aprobado por el cliente 30-Julio-01</v>
          </cell>
          <cell r="AB370" t="str">
            <v>Juan Antonio Méndez</v>
          </cell>
          <cell r="AC370" t="str">
            <v>Agosto 7, 2001</v>
          </cell>
        </row>
        <row r="371">
          <cell r="A371" t="str">
            <v>P2A34</v>
          </cell>
          <cell r="B371" t="str">
            <v>PRIMER AUTOMOTRIZ GRIS ROSMO</v>
          </cell>
          <cell r="C371" t="str">
            <v>EXTERIOR</v>
          </cell>
          <cell r="D371" t="str">
            <v>HIERRO - ACERO</v>
          </cell>
          <cell r="E371" t="str">
            <v>Lijado, Libre de Polvo, grasa y oxido</v>
          </cell>
          <cell r="F371" t="str">
            <v>-</v>
          </cell>
          <cell r="G371" t="str">
            <v>9.13</v>
          </cell>
          <cell r="H371" t="str">
            <v>3.34</v>
          </cell>
          <cell r="I371" t="str">
            <v>46.21</v>
          </cell>
          <cell r="J371" t="str">
            <v>30.18</v>
          </cell>
          <cell r="K371" t="str">
            <v>30.66</v>
          </cell>
          <cell r="L371" t="str">
            <v>29.5</v>
          </cell>
          <cell r="M371" t="str">
            <v>7000 - 13000   BROOKFIELD</v>
          </cell>
          <cell r="N371" t="str">
            <v>PISTOLA</v>
          </cell>
          <cell r="O371" t="str">
            <v>18 - 20" FORD #4</v>
          </cell>
          <cell r="P371" t="str">
            <v>150-200%</v>
          </cell>
          <cell r="Q371" t="str">
            <v>R7K128</v>
          </cell>
          <cell r="R371" t="str">
            <v>-</v>
          </cell>
          <cell r="S371" t="str">
            <v>5 - 10 Min a condiciones de 25°C y 50-60 % HR</v>
          </cell>
          <cell r="T371" t="str">
            <v>-</v>
          </cell>
          <cell r="U371" t="str">
            <v>45 m2/galon a 1 mils de pelicula seca</v>
          </cell>
          <cell r="V371" t="str">
            <v>-</v>
          </cell>
          <cell r="W371" t="str">
            <v>-</v>
          </cell>
          <cell r="X371" t="str">
            <v>12 meses</v>
          </cell>
          <cell r="Y371" t="str">
            <v>ROSMO</v>
          </cell>
          <cell r="Z371" t="str">
            <v>-</v>
          </cell>
          <cell r="AA371" t="str">
            <v>Aprobado por el cliente 14-Noviembre-2000</v>
          </cell>
          <cell r="AB371" t="str">
            <v>Juan Antonio Méndez</v>
          </cell>
          <cell r="AC371" t="str">
            <v>Agosto 7, 2001</v>
          </cell>
        </row>
        <row r="372">
          <cell r="A372" t="str">
            <v>SAA 4158</v>
          </cell>
          <cell r="B372" t="str">
            <v>LACA TRANSPARENTE SEMIMATE LISTA PARA USAR</v>
          </cell>
          <cell r="C372" t="str">
            <v>INTERIOR</v>
          </cell>
          <cell r="D372" t="str">
            <v>MADERA</v>
          </cell>
          <cell r="E372" t="str">
            <v>D70T1</v>
          </cell>
          <cell r="F372" t="str">
            <v>SELLADOR LIJABLE LISTO PARA USAR</v>
          </cell>
          <cell r="G372" t="str">
            <v>7.6</v>
          </cell>
          <cell r="H372" t="str">
            <v>.64</v>
          </cell>
          <cell r="I372" t="str">
            <v>18.9</v>
          </cell>
          <cell r="J372" t="str">
            <v>18.3</v>
          </cell>
          <cell r="K372" t="str">
            <v>2.09</v>
          </cell>
          <cell r="L372" t="str">
            <v>12.87</v>
          </cell>
          <cell r="M372" t="str">
            <v>20-25SEG FORD#4</v>
          </cell>
          <cell r="N372" t="str">
            <v>PISTOLA</v>
          </cell>
          <cell r="O372" t="str">
            <v>20-25SEG FORD#4</v>
          </cell>
          <cell r="S372" t="str">
            <v>AL AIRE</v>
          </cell>
          <cell r="U372" t="str">
            <v>330 PIE CUADRADO POR GALON A 1MILS</v>
          </cell>
          <cell r="V372" t="str">
            <v>37-42 UNIDADES</v>
          </cell>
          <cell r="X372" t="str">
            <v>12 MESES</v>
          </cell>
          <cell r="Y372" t="str">
            <v>DERIMASA</v>
          </cell>
          <cell r="Z372" t="str">
            <v>Muebles de Madera.</v>
          </cell>
          <cell r="AB372" t="str">
            <v>Rigoberto Montalvo</v>
          </cell>
          <cell r="AC372" t="str">
            <v>SEPTIEMBRE 14, 1995</v>
          </cell>
        </row>
        <row r="373">
          <cell r="A373" t="str">
            <v>P65TSA1</v>
          </cell>
          <cell r="B373" t="str">
            <v>PRIMER PARA MADERA DE SECADO RAPIDO</v>
          </cell>
          <cell r="C373" t="str">
            <v>INTERIOR</v>
          </cell>
          <cell r="D373" t="str">
            <v>MADERA</v>
          </cell>
          <cell r="E373" t="str">
            <v>LIJADO, LIBRE DE POLVO</v>
          </cell>
          <cell r="F373" t="str">
            <v>-</v>
          </cell>
          <cell r="G373" t="str">
            <v>9.48 lbs/ galon</v>
          </cell>
          <cell r="H373" t="str">
            <v>-</v>
          </cell>
          <cell r="I373" t="str">
            <v>45.11%</v>
          </cell>
          <cell r="J373" t="str">
            <v>32.11%</v>
          </cell>
          <cell r="K373" t="str">
            <v>51.37%</v>
          </cell>
          <cell r="L373" t="str">
            <v>26.32 %</v>
          </cell>
          <cell r="M373" t="str">
            <v>115 - 125 KU</v>
          </cell>
          <cell r="N373" t="str">
            <v>PISTOLA</v>
          </cell>
          <cell r="O373" t="str">
            <v>18 - 20" FORD #4</v>
          </cell>
          <cell r="P373" t="str">
            <v>100-150%</v>
          </cell>
          <cell r="Q373" t="str">
            <v>R7K128</v>
          </cell>
          <cell r="R373" t="str">
            <v>1.0 - 1.2 MILS</v>
          </cell>
          <cell r="S373" t="str">
            <v>seco tocar 10 min, seco completo 20 min</v>
          </cell>
          <cell r="T373" t="str">
            <v>-</v>
          </cell>
          <cell r="U373" t="str">
            <v>39.21 m2 / galon</v>
          </cell>
          <cell r="V373" t="str">
            <v>10 - 15 unidades</v>
          </cell>
          <cell r="W373" t="str">
            <v>-</v>
          </cell>
          <cell r="X373" t="str">
            <v>12 Meses</v>
          </cell>
          <cell r="Y373" t="str">
            <v>Didema Guatemala</v>
          </cell>
          <cell r="Z373" t="str">
            <v>-</v>
          </cell>
          <cell r="AA373" t="str">
            <v>Solicitado por Eddy López, SAA 5193</v>
          </cell>
          <cell r="AB373" t="str">
            <v>Juan Antonio Méndez</v>
          </cell>
          <cell r="AC373" t="str">
            <v xml:space="preserve"> Diciembre 27, 2000</v>
          </cell>
        </row>
        <row r="374">
          <cell r="A374" t="str">
            <v>SAA 5306</v>
          </cell>
          <cell r="B374" t="str">
            <v>OPEX LACQUER MAYMO</v>
          </cell>
          <cell r="C374" t="str">
            <v>Interior - Exterior</v>
          </cell>
          <cell r="D374" t="str">
            <v>HIERRO</v>
          </cell>
          <cell r="E374" t="str">
            <v>LIJADO, LIBRE DE POLVO GRASA Y OXIDO</v>
          </cell>
          <cell r="F374" t="str">
            <v>P2A32</v>
          </cell>
          <cell r="G374" t="str">
            <v>8.19 LBS/GALON</v>
          </cell>
          <cell r="H374" t="str">
            <v>3.68%</v>
          </cell>
          <cell r="I374" t="str">
            <v>35.47%</v>
          </cell>
          <cell r="J374" t="str">
            <v>78.07%</v>
          </cell>
          <cell r="K374" t="str">
            <v>3.42%</v>
          </cell>
          <cell r="L374" t="str">
            <v>24.55%</v>
          </cell>
          <cell r="M374" t="str">
            <v>60-75"         SW #5</v>
          </cell>
          <cell r="N374" t="str">
            <v>PISTOLA</v>
          </cell>
          <cell r="O374" t="str">
            <v>18-22" ZANH #2</v>
          </cell>
          <cell r="P374" t="str">
            <v>100-150%</v>
          </cell>
          <cell r="Q374" t="str">
            <v>R7K128</v>
          </cell>
          <cell r="R374" t="str">
            <v>1.5 MILS</v>
          </cell>
          <cell r="S374" t="str">
            <v>seco tocar 10 min, seco completo 20 min</v>
          </cell>
          <cell r="T374" t="str">
            <v>-</v>
          </cell>
          <cell r="U374" t="str">
            <v>36.58 m2/galon a 1 mils de espesor</v>
          </cell>
          <cell r="V374" t="str">
            <v>+85 unidades</v>
          </cell>
          <cell r="W374" t="str">
            <v>-</v>
          </cell>
          <cell r="X374" t="str">
            <v>12 meses</v>
          </cell>
          <cell r="Y374" t="str">
            <v>DIDEMA GUATEMALA</v>
          </cell>
          <cell r="Z374" t="str">
            <v>-</v>
          </cell>
          <cell r="AA374" t="str">
            <v>Solicitado por Arturo Toledo</v>
          </cell>
          <cell r="AB374" t="str">
            <v>Juan Antonio Méndez</v>
          </cell>
          <cell r="AC374" t="str">
            <v>SEPTIEMBRE 5, 2001</v>
          </cell>
        </row>
        <row r="375">
          <cell r="A375" t="str">
            <v>L60RSA11</v>
          </cell>
          <cell r="B375" t="str">
            <v>LACA INDUSTRIAL ROJO RASTRILLO</v>
          </cell>
          <cell r="C375" t="str">
            <v>EXTERIOR-INTERIOR</v>
          </cell>
          <cell r="D375" t="str">
            <v>ACERO - MADERA</v>
          </cell>
          <cell r="E375" t="str">
            <v>Limpieza y Desengrase</v>
          </cell>
          <cell r="F375" t="str">
            <v>P65W1, P2A32</v>
          </cell>
          <cell r="G375" t="str">
            <v>8.34 Lbs / galon</v>
          </cell>
          <cell r="H375" t="str">
            <v>7.8 %</v>
          </cell>
          <cell r="I375" t="str">
            <v>32.30%</v>
          </cell>
          <cell r="J375" t="str">
            <v>77.5%</v>
          </cell>
          <cell r="K375" t="str">
            <v>3.81</v>
          </cell>
          <cell r="L375" t="str">
            <v>25.0%</v>
          </cell>
          <cell r="M375" t="str">
            <v>50-60 seg   SW#5</v>
          </cell>
          <cell r="N375" t="str">
            <v>pistola</v>
          </cell>
          <cell r="O375" t="str">
            <v>18-20 seg     Ford #4</v>
          </cell>
          <cell r="P375" t="str">
            <v>100-150%</v>
          </cell>
          <cell r="Q375" t="str">
            <v>OPEX THINNER R7K128</v>
          </cell>
          <cell r="R375" t="str">
            <v>2.0</v>
          </cell>
          <cell r="S375" t="str">
            <v>Al Aire</v>
          </cell>
          <cell r="T375" t="str">
            <v>-</v>
          </cell>
          <cell r="U375" t="str">
            <v>38.25 Mts Cuadrados/Gl a 1 mills de espesor</v>
          </cell>
          <cell r="V375" t="str">
            <v>65 - 70 UNIDADES</v>
          </cell>
          <cell r="W375" t="str">
            <v>-</v>
          </cell>
          <cell r="X375" t="str">
            <v>6-12 meses</v>
          </cell>
          <cell r="Y375" t="str">
            <v>IMACASA</v>
          </cell>
          <cell r="Z375" t="str">
            <v>-</v>
          </cell>
          <cell r="AA375" t="str">
            <v>-</v>
          </cell>
          <cell r="AB375" t="str">
            <v>Juan Antonio Méndez</v>
          </cell>
          <cell r="AC375" t="str">
            <v xml:space="preserve"> Junio 1°, 2000</v>
          </cell>
        </row>
        <row r="376">
          <cell r="A376" t="str">
            <v>L60LSA20</v>
          </cell>
          <cell r="B376" t="str">
            <v>LACA INDUSTRIAL AZUL INTENSO MATE</v>
          </cell>
          <cell r="C376" t="str">
            <v>Interior</v>
          </cell>
          <cell r="D376" t="str">
            <v>hierro</v>
          </cell>
          <cell r="E376" t="str">
            <v>Limpieza y Desengrase</v>
          </cell>
          <cell r="G376" t="str">
            <v>7.82 Lbs / galon</v>
          </cell>
          <cell r="H376" t="str">
            <v>8.69%</v>
          </cell>
          <cell r="I376" t="str">
            <v>36.64%</v>
          </cell>
          <cell r="J376" t="str">
            <v>79.50%</v>
          </cell>
          <cell r="K376" t="str">
            <v>14.94%</v>
          </cell>
          <cell r="L376" t="str">
            <v>27.91%</v>
          </cell>
          <cell r="M376" t="str">
            <v>20"-25" Copa SW #5</v>
          </cell>
          <cell r="N376" t="str">
            <v>INMERSION</v>
          </cell>
          <cell r="O376" t="str">
            <v>22"-25" Copa Ford #4</v>
          </cell>
          <cell r="P376" t="str">
            <v>100%</v>
          </cell>
          <cell r="Q376" t="str">
            <v>OPEX THINNER R7K128</v>
          </cell>
          <cell r="R376" t="str">
            <v>-</v>
          </cell>
          <cell r="S376" t="str">
            <v>Al Aire</v>
          </cell>
          <cell r="T376" t="str">
            <v>-</v>
          </cell>
          <cell r="U376" t="str">
            <v>42.85 Mts Cuadrados/Gl a 1 mills de espesor</v>
          </cell>
          <cell r="V376" t="str">
            <v>7-9 UNIDADES</v>
          </cell>
          <cell r="W376" t="str">
            <v>-</v>
          </cell>
          <cell r="X376" t="str">
            <v>6-12 meses</v>
          </cell>
          <cell r="Y376" t="str">
            <v>IMACASA</v>
          </cell>
          <cell r="Z376" t="str">
            <v>-</v>
          </cell>
          <cell r="AA376" t="str">
            <v>-</v>
          </cell>
          <cell r="AB376" t="str">
            <v>Juan Antonio Méndez</v>
          </cell>
          <cell r="AC376" t="str">
            <v xml:space="preserve"> Junio 1°, 2000</v>
          </cell>
        </row>
        <row r="377">
          <cell r="A377" t="str">
            <v>T70CSA25</v>
          </cell>
          <cell r="B377" t="str">
            <v>LACA TRANSPARENTE BRILLANTE P/HERRAMIENTAS</v>
          </cell>
          <cell r="C377" t="str">
            <v>EXTERIOR-INTERIOR</v>
          </cell>
          <cell r="D377" t="str">
            <v>ACERO-HIERRRO</v>
          </cell>
          <cell r="E377" t="str">
            <v>Limpieza y Desengrase</v>
          </cell>
          <cell r="F377" t="str">
            <v>NINGUNO</v>
          </cell>
          <cell r="G377" t="str">
            <v>7.46 lbs / galon</v>
          </cell>
          <cell r="H377" t="str">
            <v>0.0%</v>
          </cell>
          <cell r="I377" t="str">
            <v>25%</v>
          </cell>
          <cell r="J377" t="str">
            <v>69%</v>
          </cell>
          <cell r="K377" t="str">
            <v>0.0 %</v>
          </cell>
          <cell r="L377" t="str">
            <v>13.61</v>
          </cell>
          <cell r="M377" t="str">
            <v>40 - 45 seg  SW 35</v>
          </cell>
          <cell r="N377" t="str">
            <v>INMERSION</v>
          </cell>
          <cell r="O377" t="str">
            <v>IGUAL QUE VISCOSIDAD ORIGINAL</v>
          </cell>
          <cell r="P377" t="str">
            <v>NINGUNA</v>
          </cell>
          <cell r="Q377" t="str">
            <v>-</v>
          </cell>
          <cell r="R377" t="str">
            <v>1.5 - 2.0 MILS</v>
          </cell>
          <cell r="S377" t="str">
            <v>Al Aire</v>
          </cell>
          <cell r="T377" t="str">
            <v>SECO TOCAR 10 MIN, SECO COMPLETO 20 MIN  a 25°C y 65% H.R</v>
          </cell>
          <cell r="U377" t="str">
            <v>20.27 Mts Cuadrados/Gl a 1 mills de espesor</v>
          </cell>
          <cell r="V377" t="str">
            <v>+80 unidades</v>
          </cell>
          <cell r="W377" t="str">
            <v>-</v>
          </cell>
          <cell r="X377" t="str">
            <v>6-12 meses</v>
          </cell>
          <cell r="Y377" t="str">
            <v>IMACASA</v>
          </cell>
          <cell r="Z377" t="str">
            <v>-</v>
          </cell>
          <cell r="AA377" t="str">
            <v>-</v>
          </cell>
          <cell r="AB377" t="str">
            <v>Juan Antonio Méndez</v>
          </cell>
          <cell r="AC377" t="str">
            <v xml:space="preserve"> Junio 1°, 2000</v>
          </cell>
        </row>
        <row r="378">
          <cell r="A378" t="str">
            <v>T1CSA3</v>
          </cell>
          <cell r="B378" t="str">
            <v>Recubrimiento Acrílico Para Metales</v>
          </cell>
          <cell r="C378" t="str">
            <v>Interior-Exterior</v>
          </cell>
          <cell r="D378" t="str">
            <v>Metal</v>
          </cell>
          <cell r="E378" t="str">
            <v>Lavado con agua y detergente, solvente de limpieza, si existe corrosión aplicar W4K288.</v>
          </cell>
          <cell r="F378" t="str">
            <v>Ninguno</v>
          </cell>
          <cell r="G378" t="str">
            <v>7.07 Lbs/Gl</v>
          </cell>
          <cell r="H378" t="str">
            <v>-</v>
          </cell>
          <cell r="I378" t="str">
            <v>21.20%</v>
          </cell>
          <cell r="J378" t="str">
            <v>100%</v>
          </cell>
          <cell r="K378" t="str">
            <v>-</v>
          </cell>
          <cell r="L378" t="str">
            <v>19%</v>
          </cell>
          <cell r="M378" t="str">
            <v>24"-28" Copa Ford #4.</v>
          </cell>
          <cell r="N378" t="str">
            <v>Pistola</v>
          </cell>
          <cell r="O378" t="str">
            <v>20" Copa Zanh #2</v>
          </cell>
          <cell r="P378" t="str">
            <v>La Necesaria para su aplicación.</v>
          </cell>
          <cell r="Q378" t="str">
            <v>R7K203</v>
          </cell>
          <cell r="R378" t="str">
            <v>1.2-1.5 Mills</v>
          </cell>
          <cell r="S378" t="str">
            <v>Al aire, 1 Hora Seco completo.</v>
          </cell>
          <cell r="T378" t="str">
            <v>-</v>
          </cell>
          <cell r="U378" t="str">
            <v>23.59 Mts Cuadrados/Gl a 1.2 mills de película seca.</v>
          </cell>
          <cell r="V378" t="str">
            <v>70 Mínimo.</v>
          </cell>
          <cell r="W378" t="str">
            <v>-</v>
          </cell>
          <cell r="X378" t="str">
            <v>2 años sin Abrir.</v>
          </cell>
          <cell r="Y378" t="str">
            <v>-</v>
          </cell>
          <cell r="Z378" t="str">
            <v>-</v>
          </cell>
          <cell r="AA378" t="str">
            <v>-</v>
          </cell>
          <cell r="AB378" t="str">
            <v>Oscar Enrique Ascencio.</v>
          </cell>
          <cell r="AC378">
            <v>36201</v>
          </cell>
        </row>
        <row r="379">
          <cell r="A379" t="str">
            <v>B44V20</v>
          </cell>
          <cell r="B379" t="str">
            <v>BARNIZ MOISTURE CURING</v>
          </cell>
          <cell r="C379" t="str">
            <v>INTERIOR</v>
          </cell>
          <cell r="D379" t="str">
            <v>MADERA</v>
          </cell>
          <cell r="E379" t="str">
            <v>LIJADO, LIBRE DE POLVO</v>
          </cell>
          <cell r="F379" t="str">
            <v>NINGUNO</v>
          </cell>
          <cell r="G379" t="str">
            <v>8.19 LBS/GALON</v>
          </cell>
          <cell r="H379" t="str">
            <v>0.0 %</v>
          </cell>
          <cell r="I379" t="str">
            <v>35.5%</v>
          </cell>
          <cell r="J379" t="str">
            <v>100 %</v>
          </cell>
          <cell r="K379" t="str">
            <v>0.0 %</v>
          </cell>
          <cell r="L379" t="str">
            <v>29.0 %</v>
          </cell>
          <cell r="M379" t="str">
            <v>30 - 35 SEG ZANH #2</v>
          </cell>
          <cell r="N379" t="str">
            <v>BROCHA</v>
          </cell>
          <cell r="O379" t="str">
            <v>30 - 35 SEG ZANH #2</v>
          </cell>
          <cell r="P379" t="str">
            <v>De ser necesario con R2K4</v>
          </cell>
          <cell r="Q379" t="str">
            <v>R2K4</v>
          </cell>
          <cell r="R379" t="str">
            <v>--</v>
          </cell>
          <cell r="S379" t="str">
            <v xml:space="preserve"> 6 -8 HORAS, DEPENDIENDO DE LA HUEMDAD RELATIVA AMBIENTAL</v>
          </cell>
          <cell r="T379" t="str">
            <v>--</v>
          </cell>
          <cell r="U379" t="str">
            <v>43.21 Mts cuadrados / galon a 1.0 mils de pelicula seca</v>
          </cell>
          <cell r="V379" t="str">
            <v>--</v>
          </cell>
          <cell r="W379" t="str">
            <v>F - H</v>
          </cell>
          <cell r="X379" t="str">
            <v>6 meses</v>
          </cell>
          <cell r="Y379" t="str">
            <v>Costa Rica</v>
          </cell>
          <cell r="Z379" t="str">
            <v>--</v>
          </cell>
          <cell r="AA379" t="str">
            <v>--</v>
          </cell>
          <cell r="AB379" t="str">
            <v>Juan Antonio Méndez</v>
          </cell>
          <cell r="AC379" t="str">
            <v>Junio 7, 2001</v>
          </cell>
        </row>
        <row r="380">
          <cell r="A380" t="str">
            <v>SAA 5439</v>
          </cell>
          <cell r="B380" t="str">
            <v>LACA INDUSTRIAL BLANCO PURO ESPECIAL</v>
          </cell>
          <cell r="C380" t="str">
            <v>INTERIOR-EXTERIOR</v>
          </cell>
          <cell r="D380" t="str">
            <v xml:space="preserve">Hierro-Acero </v>
          </cell>
          <cell r="E380" t="str">
            <v>Lijado libre de grasa y oxido</v>
          </cell>
          <cell r="F380" t="str">
            <v xml:space="preserve">Para Hierro o Acero Combo Primer: P2A32. Para Aluminio: WASH PRIMER P60G2 + Combo P2A32 </v>
          </cell>
          <cell r="G380" t="str">
            <v>9.60 Lbs/galón</v>
          </cell>
          <cell r="H380" t="str">
            <v>15%</v>
          </cell>
          <cell r="I380" t="str">
            <v>38.57%</v>
          </cell>
          <cell r="J380" t="str">
            <v>58.6%</v>
          </cell>
          <cell r="K380" t="str">
            <v>18.77 %</v>
          </cell>
          <cell r="L380" t="str">
            <v>25.38%</v>
          </cell>
          <cell r="M380" t="str">
            <v>25 - 30 seg  SW #5</v>
          </cell>
          <cell r="N380" t="str">
            <v>Pistola</v>
          </cell>
          <cell r="O380" t="str">
            <v>-</v>
          </cell>
          <cell r="P380" t="str">
            <v xml:space="preserve">100 - 150% </v>
          </cell>
          <cell r="Q380" t="str">
            <v>R7K128</v>
          </cell>
          <cell r="R380" t="str">
            <v xml:space="preserve">1.0 - 2.0 mils </v>
          </cell>
          <cell r="S380" t="str">
            <v>Seco Tocar. 10 min ; Seco Completo: 20 min</v>
          </cell>
          <cell r="T380" t="str">
            <v>-</v>
          </cell>
          <cell r="U380" t="str">
            <v>37.81 mts cuadrados a un mils de espesor</v>
          </cell>
          <cell r="V380" t="str">
            <v>+80 unidades</v>
          </cell>
          <cell r="W380" t="str">
            <v>-</v>
          </cell>
          <cell r="X380" t="str">
            <v>6 - 12 meses</v>
          </cell>
          <cell r="Y380" t="str">
            <v>Didema Tegucigalpa</v>
          </cell>
          <cell r="Z380" t="str">
            <v>-</v>
          </cell>
          <cell r="AA380" t="str">
            <v>-</v>
          </cell>
          <cell r="AB380" t="str">
            <v>Ing. Juan Antonio Méndez</v>
          </cell>
          <cell r="AC380" t="str">
            <v>Enero 8, 2002</v>
          </cell>
        </row>
        <row r="381">
          <cell r="A381" t="str">
            <v>LINEA B5</v>
          </cell>
          <cell r="B381" t="str">
            <v>EXCELLO LATEX Pintura para Interiores y Exteriores</v>
          </cell>
          <cell r="C381" t="str">
            <v>INTERIOR-EXTERIOR</v>
          </cell>
          <cell r="D381" t="str">
            <v>CONCRETO, LADRILLO</v>
          </cell>
          <cell r="E381" t="str">
            <v>Limpia, Seca, Libre de polvo, grasa, hongos o pintura descascarada.</v>
          </cell>
          <cell r="F381" t="str">
            <v>Sellador para concreto. Linea B45</v>
          </cell>
          <cell r="G381" t="str">
            <v>11.25 Lbs/Gl</v>
          </cell>
          <cell r="H381" t="str">
            <v>-</v>
          </cell>
          <cell r="I381" t="str">
            <v>49%</v>
          </cell>
          <cell r="J381" t="str">
            <v>-</v>
          </cell>
          <cell r="K381" t="str">
            <v>-</v>
          </cell>
          <cell r="L381" t="str">
            <v>32%</v>
          </cell>
          <cell r="M381" t="str">
            <v>90-95 KU</v>
          </cell>
          <cell r="N381" t="str">
            <v>Brocha-Rodillo</v>
          </cell>
          <cell r="O381" t="str">
            <v>-</v>
          </cell>
          <cell r="P381" t="str">
            <v>Hasta un 25%</v>
          </cell>
          <cell r="Q381" t="str">
            <v>Agua</v>
          </cell>
          <cell r="R381" t="str">
            <v>1 mills</v>
          </cell>
          <cell r="S381" t="str">
            <v>Al tacto 1 hora. Retocar: 2-4 horas.</v>
          </cell>
          <cell r="T381" t="str">
            <v>-</v>
          </cell>
          <cell r="U381" t="str">
            <v>40 Mts Cuadrados/Gl a 1 mills de espesor. (13 mts cuadrados/Lt.</v>
          </cell>
          <cell r="V381" t="str">
            <v>Mate 6%</v>
          </cell>
          <cell r="W381" t="str">
            <v>-</v>
          </cell>
          <cell r="X381" t="str">
            <v>36 meses</v>
          </cell>
          <cell r="Y381" t="str">
            <v>-</v>
          </cell>
          <cell r="Z381" t="str">
            <v>-</v>
          </cell>
          <cell r="AA381" t="str">
            <v>Ph:   8.0-8.5                      ESTE PRODUCTO NO CONTIENE PLOMO NI MERCURIO</v>
          </cell>
          <cell r="AB381" t="str">
            <v>Ana Irene Mendez Vides</v>
          </cell>
          <cell r="AC381" t="str">
            <v>Enero 21, 2002</v>
          </cell>
        </row>
        <row r="382">
          <cell r="A382" t="str">
            <v>LINEA B4</v>
          </cell>
          <cell r="B382" t="str">
            <v>EXCELLO ACEITE Pintura para Interiores y Exteriores</v>
          </cell>
          <cell r="C382" t="str">
            <v>INTERIOR-EXTERIOR</v>
          </cell>
          <cell r="D382" t="str">
            <v>Metal, Madera, Concreto</v>
          </cell>
          <cell r="E382" t="str">
            <v>Limpia, Seca, Libre de polvo, grasa,  o pintura descascarada</v>
          </cell>
          <cell r="F382" t="str">
            <v>En superficies de metal, Anticorrosivo Excello Rustop</v>
          </cell>
          <cell r="G382" t="str">
            <v>9.4 Lbs/Gl</v>
          </cell>
          <cell r="H382" t="str">
            <v>-</v>
          </cell>
          <cell r="I382" t="str">
            <v>58.8%</v>
          </cell>
          <cell r="J382" t="str">
            <v>-</v>
          </cell>
          <cell r="K382" t="str">
            <v>-</v>
          </cell>
          <cell r="L382" t="str">
            <v>42%</v>
          </cell>
          <cell r="M382" t="str">
            <v>80-85 KU</v>
          </cell>
          <cell r="N382" t="str">
            <v xml:space="preserve">Brocha-Pistola </v>
          </cell>
          <cell r="O382" t="str">
            <v>-</v>
          </cell>
          <cell r="P382" t="str">
            <v>Hasta un 25%</v>
          </cell>
          <cell r="Q382" t="str">
            <v>Mineral Spirits R1K4</v>
          </cell>
          <cell r="R382" t="str">
            <v>1 mills</v>
          </cell>
          <cell r="S382" t="str">
            <v>Al tacto 1 hora. Retocar: 12 horas.</v>
          </cell>
          <cell r="T382" t="str">
            <v>-</v>
          </cell>
          <cell r="U382" t="str">
            <v>64 Mts Cuadrados/Gl a 1 mills de espesor. (17 mts cuadrados/Lt.</v>
          </cell>
          <cell r="V382" t="str">
            <v>85% minimo (Acabado Brillante)</v>
          </cell>
          <cell r="W382" t="str">
            <v>-</v>
          </cell>
          <cell r="X382" t="str">
            <v>36 Meses</v>
          </cell>
          <cell r="Y382" t="str">
            <v>-</v>
          </cell>
          <cell r="Z382" t="str">
            <v>-</v>
          </cell>
          <cell r="AA382" t="str">
            <v>ESTE PRODUCTO NO CONTIENE PLOMO NI MERCURIO</v>
          </cell>
          <cell r="AB382" t="str">
            <v>Soraya de Quijada</v>
          </cell>
          <cell r="AC382" t="str">
            <v>Enero 21, 2002</v>
          </cell>
        </row>
        <row r="383">
          <cell r="A383" t="str">
            <v>E41N1</v>
          </cell>
          <cell r="B383" t="str">
            <v>KROMIK METAL PRIMER</v>
          </cell>
          <cell r="C383" t="str">
            <v>INTERIOR-EXTERIOR</v>
          </cell>
          <cell r="D383" t="str">
            <v xml:space="preserve">Hierro-Acero </v>
          </cell>
          <cell r="E383" t="str">
            <v>Libre de aceite, grasa, óxido suelto, pintura descascarada</v>
          </cell>
          <cell r="F383" t="str">
            <v>Ninguno</v>
          </cell>
          <cell r="G383" t="str">
            <v>13.65 Lbs/Gl</v>
          </cell>
          <cell r="H383" t="str">
            <v>37.88%</v>
          </cell>
          <cell r="I383" t="str">
            <v>78%</v>
          </cell>
          <cell r="J383" t="str">
            <v>42.43%</v>
          </cell>
          <cell r="K383" t="str">
            <v>43%</v>
          </cell>
          <cell r="L383" t="str">
            <v>56%</v>
          </cell>
          <cell r="M383" t="str">
            <v>25"-30" copa SW #3</v>
          </cell>
          <cell r="N383" t="str">
            <v xml:space="preserve">Brocha-Pistola-Rodillo </v>
          </cell>
          <cell r="O383" t="str">
            <v>-</v>
          </cell>
          <cell r="P383" t="str">
            <v>12.5%</v>
          </cell>
          <cell r="Q383" t="str">
            <v xml:space="preserve"> VMP NAFTHA R1K3</v>
          </cell>
          <cell r="R383" t="str">
            <v>3.0 mills Recomendado</v>
          </cell>
          <cell r="S383" t="str">
            <v>Tocar: 1-2 horas.  Retocar: 18-24 horas</v>
          </cell>
          <cell r="T383" t="str">
            <v>-</v>
          </cell>
          <cell r="U383" t="str">
            <v>55 Mts cuadrados/Gl a 1.5 mills seco</v>
          </cell>
          <cell r="V383" t="str">
            <v>mate</v>
          </cell>
          <cell r="W383" t="str">
            <v>HB</v>
          </cell>
          <cell r="X383" t="str">
            <v>36 meses</v>
          </cell>
          <cell r="Y383" t="str">
            <v>-</v>
          </cell>
          <cell r="Z383" t="str">
            <v>-</v>
          </cell>
          <cell r="AA383" t="str">
            <v xml:space="preserve">Punto de inflamación: 37°C, Resistencia al calor: Hasta 200°F(93°C), Flexibilidad:180°, 1/2" Pasa ASTM 1737, Resistencia a la Abrasión: 220 mg ASTM 1713, Resistencia Al Impacto: 35 in/Lb ASTM G14. </v>
          </cell>
          <cell r="AB383" t="str">
            <v>Ana Irene Mendez Vides</v>
          </cell>
          <cell r="AC383" t="str">
            <v>Enero 21, 2002</v>
          </cell>
        </row>
        <row r="384">
          <cell r="A384" t="str">
            <v>LINEA A5</v>
          </cell>
          <cell r="B384" t="str">
            <v>PINTURA PARA PISCINAS</v>
          </cell>
          <cell r="C384" t="str">
            <v>INTERIOR-EXTERIOR</v>
          </cell>
          <cell r="D384" t="str">
            <v xml:space="preserve">CEMENTO-CONCRETO </v>
          </cell>
          <cell r="E384" t="str">
            <v>Completamente Seca, libre de grasa y aceite.</v>
          </cell>
          <cell r="F384" t="str">
            <v>Ninguno</v>
          </cell>
          <cell r="G384" t="str">
            <v>10.5 Lbs/Gl</v>
          </cell>
          <cell r="H384" t="str">
            <v>-</v>
          </cell>
          <cell r="I384" t="str">
            <v>45-50%</v>
          </cell>
          <cell r="J384" t="str">
            <v>-</v>
          </cell>
          <cell r="K384" t="str">
            <v>-</v>
          </cell>
          <cell r="L384" t="str">
            <v>28-30%</v>
          </cell>
          <cell r="M384" t="str">
            <v>70-75 KU</v>
          </cell>
          <cell r="N384" t="str">
            <v>Brocha-Rodillo-Pistola</v>
          </cell>
          <cell r="O384" t="str">
            <v>-</v>
          </cell>
          <cell r="P384" t="str">
            <v>Brocha-Rodillo: Ninguna. Pistola 25% Industrial Reducer</v>
          </cell>
          <cell r="Q384" t="str">
            <v>R2K4 Industrial Reducer.</v>
          </cell>
          <cell r="R384" t="str">
            <v>-</v>
          </cell>
          <cell r="S384" t="str">
            <v>Al Tacto: 1 Hora. Repintar de 8-12 horas</v>
          </cell>
          <cell r="T384" t="str">
            <v>-</v>
          </cell>
          <cell r="U384" t="str">
            <v>40 Mts cuadrados/Gl a una mano</v>
          </cell>
          <cell r="V384" t="str">
            <v>Satinado</v>
          </cell>
          <cell r="W384" t="str">
            <v>-</v>
          </cell>
          <cell r="X384" t="str">
            <v>36 meses</v>
          </cell>
          <cell r="Y384" t="str">
            <v>-</v>
          </cell>
          <cell r="Z384" t="str">
            <v>-</v>
          </cell>
          <cell r="AA384" t="str">
            <v>Para un buen trabajo es muy importante una correcta preparación de la superficie.llenar la piscina hasta después de 7 días como mínimo.</v>
          </cell>
          <cell r="AB384" t="str">
            <v>Ana Irene Mendez Vides</v>
          </cell>
          <cell r="AC384" t="str">
            <v>Enero 21, 2002</v>
          </cell>
        </row>
        <row r="385">
          <cell r="A385" t="str">
            <v>LINEA A68</v>
          </cell>
          <cell r="B385" t="str">
            <v>GALVITE</v>
          </cell>
          <cell r="C385" t="str">
            <v>INTERIOR-EXTERIOR</v>
          </cell>
          <cell r="D385" t="str">
            <v>Hierro galvanizado, Zinc, Asbesto o hierro</v>
          </cell>
          <cell r="E385" t="str">
            <v>Limpia, seca, libre de grasas, aceites o lubricantes y óxido</v>
          </cell>
          <cell r="F385" t="str">
            <v>Ninguno</v>
          </cell>
          <cell r="G385" t="str">
            <v>-</v>
          </cell>
          <cell r="H385" t="str">
            <v>-</v>
          </cell>
          <cell r="I385" t="str">
            <v>78%</v>
          </cell>
          <cell r="J385" t="str">
            <v>-</v>
          </cell>
          <cell r="K385" t="str">
            <v>-</v>
          </cell>
          <cell r="L385" t="str">
            <v>65%</v>
          </cell>
          <cell r="M385" t="str">
            <v>-</v>
          </cell>
          <cell r="N385" t="str">
            <v>Brocha-Rodillo</v>
          </cell>
          <cell r="O385" t="str">
            <v>-</v>
          </cell>
          <cell r="P385" t="str">
            <v>25%</v>
          </cell>
          <cell r="Q385" t="str">
            <v>R1K4 Mineral Spirits</v>
          </cell>
          <cell r="R385" t="str">
            <v>1 mills</v>
          </cell>
          <cell r="S385" t="str">
            <v>Al tacto: 4-5 hioras. Retocar:24 horas</v>
          </cell>
          <cell r="T385" t="str">
            <v>-</v>
          </cell>
          <cell r="U385" t="str">
            <v>62 Mts cuadrados/Gl a 1 mills</v>
          </cell>
          <cell r="V385" t="str">
            <v>Semi-Mate</v>
          </cell>
          <cell r="W385" t="str">
            <v>-</v>
          </cell>
          <cell r="X385" t="str">
            <v>36 meses</v>
          </cell>
          <cell r="Y385" t="str">
            <v>-</v>
          </cell>
          <cell r="Z385" t="str">
            <v>-</v>
          </cell>
          <cell r="AA385" t="str">
            <v>-</v>
          </cell>
          <cell r="AB385" t="str">
            <v>Ana Irene Mendez Vides</v>
          </cell>
          <cell r="AC385" t="str">
            <v>Enero 21, 2002</v>
          </cell>
        </row>
        <row r="386">
          <cell r="A386" t="str">
            <v>R21KSA1</v>
          </cell>
          <cell r="B386" t="str">
            <v>Removedor de Pintura.</v>
          </cell>
          <cell r="C386" t="str">
            <v>-</v>
          </cell>
          <cell r="D386" t="str">
            <v>-</v>
          </cell>
          <cell r="E386" t="str">
            <v>-</v>
          </cell>
          <cell r="F386" t="str">
            <v>Ninguno</v>
          </cell>
          <cell r="G386" t="str">
            <v>9.7 Lbs/gl</v>
          </cell>
          <cell r="H386" t="str">
            <v>-</v>
          </cell>
          <cell r="I386" t="str">
            <v>4.5%</v>
          </cell>
          <cell r="J386" t="str">
            <v>-</v>
          </cell>
          <cell r="K386" t="str">
            <v>-</v>
          </cell>
          <cell r="L386" t="str">
            <v>4.2%</v>
          </cell>
          <cell r="M386" t="str">
            <v>75-80 KU</v>
          </cell>
          <cell r="N386" t="str">
            <v>Brocha</v>
          </cell>
          <cell r="O386" t="str">
            <v>-</v>
          </cell>
          <cell r="P386" t="str">
            <v>-</v>
          </cell>
          <cell r="Q386" t="str">
            <v>Agua</v>
          </cell>
          <cell r="R386" t="str">
            <v>-</v>
          </cell>
          <cell r="S386" t="str">
            <v>-</v>
          </cell>
          <cell r="T386" t="str">
            <v>-</v>
          </cell>
          <cell r="U386" t="str">
            <v>-</v>
          </cell>
          <cell r="V386" t="str">
            <v>-</v>
          </cell>
          <cell r="W386" t="str">
            <v>-</v>
          </cell>
          <cell r="X386" t="str">
            <v>-</v>
          </cell>
          <cell r="Y386" t="str">
            <v>-</v>
          </cell>
          <cell r="Z386" t="str">
            <v>-</v>
          </cell>
          <cell r="AA386" t="str">
            <v>Cumple especificaciones militares R 25134 A</v>
          </cell>
          <cell r="AB386" t="str">
            <v>Ana Irene Mendez Vides</v>
          </cell>
          <cell r="AC386" t="str">
            <v>Enero 21, 2002</v>
          </cell>
        </row>
        <row r="387">
          <cell r="A387" t="str">
            <v>W4K263</v>
          </cell>
          <cell r="B387" t="str">
            <v>Dual Etch</v>
          </cell>
          <cell r="C387" t="str">
            <v>-</v>
          </cell>
          <cell r="D387" t="str">
            <v>-</v>
          </cell>
          <cell r="E387" t="str">
            <v>-</v>
          </cell>
          <cell r="F387" t="str">
            <v>-</v>
          </cell>
          <cell r="G387" t="str">
            <v>9.7 Lbs/gl</v>
          </cell>
          <cell r="H387" t="str">
            <v>-</v>
          </cell>
          <cell r="I387" t="str">
            <v>32</v>
          </cell>
          <cell r="J387" t="str">
            <v>-</v>
          </cell>
          <cell r="K387" t="str">
            <v>-</v>
          </cell>
          <cell r="L387" t="str">
            <v>20</v>
          </cell>
          <cell r="M387" t="str">
            <v>-</v>
          </cell>
          <cell r="N387" t="str">
            <v>-</v>
          </cell>
          <cell r="O387" t="str">
            <v>-</v>
          </cell>
          <cell r="P387" t="str">
            <v>200-300%</v>
          </cell>
          <cell r="Q387" t="str">
            <v>Agua</v>
          </cell>
          <cell r="R387" t="str">
            <v>-</v>
          </cell>
          <cell r="S387" t="str">
            <v>-</v>
          </cell>
          <cell r="T387" t="str">
            <v>-</v>
          </cell>
          <cell r="U387" t="str">
            <v>-</v>
          </cell>
          <cell r="V387" t="str">
            <v>-</v>
          </cell>
          <cell r="W387" t="str">
            <v>-</v>
          </cell>
          <cell r="X387" t="str">
            <v>6 meses corectamente tapado y almacenado a 25°C</v>
          </cell>
          <cell r="Y387" t="str">
            <v>-</v>
          </cell>
          <cell r="Z387" t="str">
            <v>-</v>
          </cell>
          <cell r="AA387" t="str">
            <v>Punto de Inflamación104°C. Ingrediente Activo: Acido Fosfórico.</v>
          </cell>
          <cell r="AB387" t="str">
            <v>Ana Irene Mendez Vides</v>
          </cell>
          <cell r="AC387" t="str">
            <v>Enero 21, 2002</v>
          </cell>
        </row>
        <row r="388">
          <cell r="A388" t="str">
            <v>R1K4</v>
          </cell>
          <cell r="B388" t="str">
            <v>SOLVENTE MINERAL</v>
          </cell>
          <cell r="C388" t="str">
            <v>-</v>
          </cell>
          <cell r="D388" t="str">
            <v>-</v>
          </cell>
          <cell r="E388" t="str">
            <v>-</v>
          </cell>
          <cell r="F388" t="str">
            <v>-</v>
          </cell>
          <cell r="G388" t="str">
            <v>6.4 Lb/Gl</v>
          </cell>
          <cell r="H388" t="str">
            <v>-</v>
          </cell>
          <cell r="I388" t="str">
            <v>-</v>
          </cell>
          <cell r="J388" t="str">
            <v>-</v>
          </cell>
          <cell r="K388" t="str">
            <v>-</v>
          </cell>
          <cell r="L388" t="str">
            <v>-</v>
          </cell>
          <cell r="M388" t="str">
            <v>-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 t="str">
            <v>-</v>
          </cell>
          <cell r="V388" t="str">
            <v>-</v>
          </cell>
          <cell r="W388" t="str">
            <v>-</v>
          </cell>
          <cell r="X388" t="str">
            <v>6 meses corectamente tapado y almacenado a 25°C</v>
          </cell>
          <cell r="Y388" t="str">
            <v>-</v>
          </cell>
          <cell r="Z388" t="str">
            <v>-</v>
          </cell>
          <cell r="AA388" t="str">
            <v>Adelgazador para pinturas de aceite, esmaltes y barnices aplicados con brocha, elaborado a base de hifrocarburos alifáticos</v>
          </cell>
          <cell r="AB388" t="str">
            <v>Ana Irene Mendez Vides</v>
          </cell>
          <cell r="AC388" t="str">
            <v>Enero 21, 2002</v>
          </cell>
        </row>
        <row r="389">
          <cell r="A389" t="str">
            <v>R7K128</v>
          </cell>
          <cell r="B389" t="str">
            <v>THINNER 128</v>
          </cell>
          <cell r="C389" t="str">
            <v>-</v>
          </cell>
          <cell r="D389" t="str">
            <v>-</v>
          </cell>
          <cell r="E389" t="str">
            <v>-</v>
          </cell>
          <cell r="F389" t="str">
            <v>-</v>
          </cell>
          <cell r="G389" t="str">
            <v>7.0 Lb/Gl</v>
          </cell>
          <cell r="H389" t="str">
            <v>-</v>
          </cell>
          <cell r="I389" t="str">
            <v>-</v>
          </cell>
          <cell r="J389" t="str">
            <v>-</v>
          </cell>
          <cell r="K389" t="str">
            <v>-</v>
          </cell>
          <cell r="L389" t="str">
            <v>-</v>
          </cell>
          <cell r="M389" t="str">
            <v>-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 t="str">
            <v>-</v>
          </cell>
          <cell r="V389" t="str">
            <v>-</v>
          </cell>
          <cell r="W389" t="str">
            <v>-</v>
          </cell>
          <cell r="X389" t="str">
            <v>6 meses corectamente tapado y almacenado a 25°C</v>
          </cell>
          <cell r="Y389" t="str">
            <v>-</v>
          </cell>
          <cell r="Z389" t="str">
            <v>-</v>
          </cell>
          <cell r="AA389" t="str">
            <v>Punto de inflación -4°C. Usese sólo en lugares bien ventilados, evite respirar sus vapores o el contacto con la piel.</v>
          </cell>
          <cell r="AB389" t="str">
            <v>Ana Irene Mendez Vides</v>
          </cell>
          <cell r="AC389" t="str">
            <v>Enero 21, 2002</v>
          </cell>
        </row>
        <row r="390">
          <cell r="A390" t="str">
            <v>R2K4</v>
          </cell>
          <cell r="B390" t="str">
            <v>INDUSTRIAL REDUCER</v>
          </cell>
          <cell r="C390" t="str">
            <v>-</v>
          </cell>
          <cell r="D390" t="str">
            <v>-</v>
          </cell>
          <cell r="E390" t="str">
            <v>-</v>
          </cell>
          <cell r="F390" t="str">
            <v>-</v>
          </cell>
          <cell r="G390" t="str">
            <v>7.2 Lb/Gl</v>
          </cell>
          <cell r="H390" t="str">
            <v>-</v>
          </cell>
          <cell r="I390" t="str">
            <v>-</v>
          </cell>
          <cell r="J390" t="str">
            <v>-</v>
          </cell>
          <cell r="K390" t="str">
            <v>-</v>
          </cell>
          <cell r="L390" t="str">
            <v>-</v>
          </cell>
          <cell r="M390" t="str">
            <v>-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 t="str">
            <v>-</v>
          </cell>
          <cell r="V390" t="str">
            <v>-</v>
          </cell>
          <cell r="W390" t="str">
            <v>-</v>
          </cell>
          <cell r="X390" t="str">
            <v>6 meses corectamente tapado y almacenado a 25°C</v>
          </cell>
          <cell r="Y390" t="str">
            <v>-</v>
          </cell>
          <cell r="Z390" t="str">
            <v>-</v>
          </cell>
          <cell r="AA390" t="str">
            <v>Punto de inflamación: 27°C. Diluyente a base de hidrocarburos aromáticos, no se recomienda para reducir lacas, esmaltes epoxicos ni pinturas a base de latex. Usar en lugares bien ventilados.</v>
          </cell>
          <cell r="AB390" t="str">
            <v>Ana Irene Mendez Vides</v>
          </cell>
          <cell r="AC390" t="str">
            <v>Enero 21, 2002</v>
          </cell>
        </row>
        <row r="391">
          <cell r="A391" t="str">
            <v>SAA 5486</v>
          </cell>
          <cell r="B391" t="str">
            <v>LACA INDUSTRIAL BLANCO PURO SATINADO</v>
          </cell>
          <cell r="C391" t="str">
            <v>INTERIOR</v>
          </cell>
          <cell r="D391" t="str">
            <v>MADERA, ACERO , HIERRO</v>
          </cell>
          <cell r="E391" t="str">
            <v>Lijado libre de grasa y oxido</v>
          </cell>
          <cell r="F391" t="str">
            <v>MADERA: P65W1;                                      ACERO, HIERRO: P2A32</v>
          </cell>
          <cell r="G391" t="str">
            <v>8.66 LBS</v>
          </cell>
          <cell r="H391" t="str">
            <v>11.12%</v>
          </cell>
          <cell r="I391" t="str">
            <v>38.20%</v>
          </cell>
          <cell r="J391" t="str">
            <v>49.88%</v>
          </cell>
          <cell r="K391" t="str">
            <v>15.96%</v>
          </cell>
          <cell r="L391" t="str">
            <v>25.68%</v>
          </cell>
          <cell r="M391" t="str">
            <v>60-75 seg FORD #4</v>
          </cell>
          <cell r="N391" t="str">
            <v>PISTOLA</v>
          </cell>
          <cell r="O391" t="str">
            <v>18-20 SEG ZANH #2</v>
          </cell>
          <cell r="P391" t="str">
            <v>100-200%</v>
          </cell>
          <cell r="Q391" t="str">
            <v>R7K128</v>
          </cell>
          <cell r="R391" t="str">
            <v xml:space="preserve">1.0 -1.5 mils </v>
          </cell>
          <cell r="S391" t="str">
            <v>Seco tocar=10 min; Seco completo= 20 min</v>
          </cell>
          <cell r="T391" t="str">
            <v>-</v>
          </cell>
          <cell r="U391" t="str">
            <v>38.26 metros cuadrados por galon a 1.2 mils de pelicula seca</v>
          </cell>
          <cell r="V391" t="str">
            <v>20-40</v>
          </cell>
          <cell r="W391" t="str">
            <v>-</v>
          </cell>
          <cell r="X391" t="str">
            <v>6 meses</v>
          </cell>
          <cell r="Y391" t="str">
            <v>DIDEMA GUATEMALA</v>
          </cell>
          <cell r="Z391" t="str">
            <v>-</v>
          </cell>
          <cell r="AA391" t="str">
            <v>-</v>
          </cell>
          <cell r="AB391" t="str">
            <v>Juan Antonio Méndez</v>
          </cell>
          <cell r="AC391" t="str">
            <v>Febrero 16, 2002</v>
          </cell>
        </row>
        <row r="392">
          <cell r="A392" t="str">
            <v>LINEA L4</v>
          </cell>
          <cell r="B392" t="str">
            <v>LACA ACRILICA</v>
          </cell>
          <cell r="C392" t="str">
            <v>INTERIOR-EXTERIOR</v>
          </cell>
          <cell r="D392" t="str">
            <v>Acero, Hierro</v>
          </cell>
          <cell r="E392" t="str">
            <v>Lijado libre de grasa y oxido</v>
          </cell>
          <cell r="F392" t="str">
            <v>P2A32, P2A43</v>
          </cell>
          <cell r="G392" t="str">
            <v>ENTRE 8.5-9.5</v>
          </cell>
          <cell r="H392" t="str">
            <v>28-38% VARIA CON EL COLOR</v>
          </cell>
          <cell r="I392" t="str">
            <v>25-40% varia con el color</v>
          </cell>
          <cell r="J392" t="str">
            <v>35-50%varia con el color</v>
          </cell>
          <cell r="K392" t="str">
            <v>0-20% varia con el producto</v>
          </cell>
          <cell r="L392" t="str">
            <v>22-28% VARIA CON EL COLOR</v>
          </cell>
          <cell r="M392" t="str">
            <v>40seg Ford 4</v>
          </cell>
          <cell r="N392" t="str">
            <v>pistola</v>
          </cell>
          <cell r="O392" t="str">
            <v>18-20 SEG ZANH #3</v>
          </cell>
          <cell r="P392" t="str">
            <v>100-200%</v>
          </cell>
          <cell r="Q392" t="str">
            <v>R7K203</v>
          </cell>
          <cell r="R392" t="str">
            <v xml:space="preserve">1.0 -1.5 mils </v>
          </cell>
          <cell r="S392" t="str">
            <v>Seco tocar=10 - 15min; Seco completo= 40 - 50 min</v>
          </cell>
          <cell r="U392" t="str">
            <v>30 metros cuadrados por galon a 2 mils de pelicula seca</v>
          </cell>
          <cell r="V392" t="str">
            <v>95</v>
          </cell>
          <cell r="X392" t="str">
            <v>6 meses</v>
          </cell>
          <cell r="Y392" t="str">
            <v>VARIOS</v>
          </cell>
          <cell r="AB392" t="str">
            <v>Rigoberto Montalvo</v>
          </cell>
          <cell r="AC392" t="str">
            <v>Marzo 18, 2002</v>
          </cell>
        </row>
        <row r="393">
          <cell r="A393" t="str">
            <v>R7K203</v>
          </cell>
          <cell r="B393" t="str">
            <v>DUAL LACQUER THINNER</v>
          </cell>
          <cell r="C393" t="str">
            <v>-</v>
          </cell>
          <cell r="D393" t="str">
            <v>-</v>
          </cell>
          <cell r="E393" t="str">
            <v>-</v>
          </cell>
          <cell r="F393" t="str">
            <v>-</v>
          </cell>
          <cell r="G393" t="str">
            <v>7.09 Lb/Gl</v>
          </cell>
          <cell r="H393" t="str">
            <v>-</v>
          </cell>
          <cell r="I393" t="str">
            <v>-</v>
          </cell>
          <cell r="J393" t="str">
            <v>-</v>
          </cell>
          <cell r="L393" t="str">
            <v>-</v>
          </cell>
          <cell r="M393" t="str">
            <v>-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 t="str">
            <v>-</v>
          </cell>
          <cell r="V393" t="str">
            <v>-</v>
          </cell>
          <cell r="W393" t="str">
            <v>-</v>
          </cell>
          <cell r="X393" t="str">
            <v>6 meses correctamente tapado y almacenado a 25°C</v>
          </cell>
          <cell r="Y393" t="str">
            <v>VARIOS</v>
          </cell>
          <cell r="Z393" t="str">
            <v>-</v>
          </cell>
          <cell r="AA393" t="str">
            <v>Usese sólo en lugares bien ventilados, evite respirar sus vapores o el contacto con la piel.</v>
          </cell>
          <cell r="AB393" t="str">
            <v>Rigoberto Montalvo</v>
          </cell>
          <cell r="AC393" t="str">
            <v>Marzo 18, 2002</v>
          </cell>
        </row>
        <row r="394">
          <cell r="A394" t="str">
            <v>P2A32</v>
          </cell>
          <cell r="B394" t="str">
            <v xml:space="preserve"> COMBO LIGHT  PRIMER SURFACER</v>
          </cell>
          <cell r="C394" t="str">
            <v>EXTERIOR</v>
          </cell>
          <cell r="D394" t="str">
            <v>HIERRO - ACERO</v>
          </cell>
          <cell r="E394" t="str">
            <v>Lijado, Libre de Polvo, grasa y oxido</v>
          </cell>
          <cell r="F394" t="str">
            <v>-</v>
          </cell>
          <cell r="G394" t="str">
            <v>9.30 LBS/GALON</v>
          </cell>
          <cell r="H394" t="str">
            <v>3.19 %</v>
          </cell>
          <cell r="I394" t="str">
            <v>47.78 %</v>
          </cell>
          <cell r="J394" t="str">
            <v>30.18 %</v>
          </cell>
          <cell r="K394" t="str">
            <v>31.66</v>
          </cell>
          <cell r="L394" t="str">
            <v>30.42</v>
          </cell>
          <cell r="M394" t="str">
            <v>7000 - 13000 cps  BROOKFIELD</v>
          </cell>
          <cell r="N394" t="str">
            <v>PISTOLA</v>
          </cell>
          <cell r="O394" t="str">
            <v>18 - 20" FORD #4</v>
          </cell>
          <cell r="P394" t="str">
            <v>150-200%</v>
          </cell>
          <cell r="Q394" t="str">
            <v>R7K128</v>
          </cell>
          <cell r="R394" t="str">
            <v xml:space="preserve">1.0 - 2.0 mils </v>
          </cell>
          <cell r="S394" t="str">
            <v>5 - 10 Min a condiciones de 25°C y 50-60 % HR</v>
          </cell>
          <cell r="T394" t="str">
            <v>-</v>
          </cell>
          <cell r="U394" t="str">
            <v>45.32 m2/galon a 1 mils de pelicula seca</v>
          </cell>
          <cell r="V394" t="str">
            <v>-</v>
          </cell>
          <cell r="W394" t="str">
            <v>-</v>
          </cell>
          <cell r="X394" t="str">
            <v>6 meses</v>
          </cell>
          <cell r="Y394" t="str">
            <v>-</v>
          </cell>
          <cell r="Z394" t="str">
            <v>-</v>
          </cell>
          <cell r="AA394" t="str">
            <v>--</v>
          </cell>
          <cell r="AB394" t="str">
            <v>Juan Antonio Méndez</v>
          </cell>
          <cell r="AC394" t="str">
            <v>Marzo 19, 2002</v>
          </cell>
        </row>
        <row r="395">
          <cell r="A395" t="str">
            <v>B5W401, B5W402, B5W403</v>
          </cell>
          <cell r="B395" t="str">
            <v>STYLE PERFECT INTERIOR LATEX MATE</v>
          </cell>
          <cell r="C395" t="str">
            <v>INTERIOR</v>
          </cell>
          <cell r="D395" t="str">
            <v>CEMENTO-LADRILLO-CONCRETO</v>
          </cell>
          <cell r="E395" t="str">
            <v>CURADA, LIJADA, SECA Y LIBRE DE TODA CONTAMINACION</v>
          </cell>
          <cell r="F395" t="str">
            <v>-</v>
          </cell>
          <cell r="G395" t="str">
            <v>10.8-11.2 LBS/GL</v>
          </cell>
          <cell r="H395" t="str">
            <v>-</v>
          </cell>
          <cell r="I395" t="str">
            <v>44%-48%</v>
          </cell>
          <cell r="J395" t="str">
            <v>-</v>
          </cell>
          <cell r="K395" t="str">
            <v>47.5%-48.5%</v>
          </cell>
          <cell r="L395" t="str">
            <v>30.5-31.5</v>
          </cell>
          <cell r="M395" t="str">
            <v>95-100 KU</v>
          </cell>
          <cell r="N395" t="str">
            <v>BROCHA-RODILLO</v>
          </cell>
          <cell r="O395" t="str">
            <v>90-95 KU</v>
          </cell>
          <cell r="P395" t="str">
            <v>10%</v>
          </cell>
          <cell r="Q395" t="str">
            <v>AGUA LIMPIA</v>
          </cell>
          <cell r="R395" t="str">
            <v>1.5 MILLS</v>
          </cell>
          <cell r="S395" t="str">
            <v>AL AIRE, RECUBRIR DESPUES DE 4 HORAS</v>
          </cell>
          <cell r="T395" t="str">
            <v>-</v>
          </cell>
          <cell r="U395" t="str">
            <v>30-32 Mts Cuadrados/Gl, Dependiendo de la Superficie.</v>
          </cell>
          <cell r="V395" t="str">
            <v>MATE</v>
          </cell>
          <cell r="W395" t="str">
            <v>-</v>
          </cell>
          <cell r="X395" t="str">
            <v>3 AÑOS</v>
          </cell>
          <cell r="Y395" t="str">
            <v>VARIOS</v>
          </cell>
          <cell r="Z395" t="str">
            <v>-</v>
          </cell>
          <cell r="AA395" t="str">
            <v>-</v>
          </cell>
          <cell r="AB395" t="str">
            <v>Ana Irene Mendez Vides</v>
          </cell>
          <cell r="AC395" t="str">
            <v>ABRIL 18, 2002</v>
          </cell>
        </row>
        <row r="396">
          <cell r="A396" t="str">
            <v>B5W301, B5W302, B5Y304, B5R300, B5Y300, B5G300</v>
          </cell>
          <cell r="B396" t="str">
            <v>WHEATHER PERFECT LATEX EXTERIOR</v>
          </cell>
          <cell r="C396" t="str">
            <v>EXTERIOR</v>
          </cell>
          <cell r="D396" t="str">
            <v>CEMENTO-LADRILLO-CONCRETO</v>
          </cell>
          <cell r="E396" t="str">
            <v>CURADA, LIJADA, SECA Y LIBRE DE TODA CONTAMINACION</v>
          </cell>
          <cell r="F396" t="str">
            <v>-</v>
          </cell>
          <cell r="G396" t="str">
            <v>10.5-11.5 LBS/GL</v>
          </cell>
          <cell r="H396" t="str">
            <v>-</v>
          </cell>
          <cell r="I396" t="str">
            <v>46%-48%</v>
          </cell>
          <cell r="J396" t="str">
            <v>-</v>
          </cell>
          <cell r="K396" t="str">
            <v>48%-49%</v>
          </cell>
          <cell r="L396" t="str">
            <v>30.5-31.5</v>
          </cell>
          <cell r="M396" t="str">
            <v>95-100 KU</v>
          </cell>
          <cell r="N396" t="str">
            <v>BROCHA-RODILLO</v>
          </cell>
          <cell r="O396" t="str">
            <v>90-95 KU</v>
          </cell>
          <cell r="P396" t="str">
            <v>10%</v>
          </cell>
          <cell r="Q396" t="str">
            <v>AGUA LIMPIA</v>
          </cell>
          <cell r="R396" t="str">
            <v>1.5 MILLS</v>
          </cell>
          <cell r="S396" t="str">
            <v>AL AIRE, RECUBRIR DESPUES DE 4 HORAS</v>
          </cell>
          <cell r="T396" t="str">
            <v>-</v>
          </cell>
          <cell r="U396" t="str">
            <v>30-32 Mts Cuadrados/Gl, Dependiendo de la Superficie.</v>
          </cell>
          <cell r="V396" t="str">
            <v>MATE</v>
          </cell>
          <cell r="W396" t="str">
            <v>-</v>
          </cell>
          <cell r="X396" t="str">
            <v>3 AÑOS</v>
          </cell>
          <cell r="Y396" t="str">
            <v>VARIOS</v>
          </cell>
          <cell r="Z396" t="str">
            <v>-</v>
          </cell>
          <cell r="AA396" t="str">
            <v>-</v>
          </cell>
          <cell r="AB396" t="str">
            <v>Ana Irene Mendez Vides</v>
          </cell>
          <cell r="AC396" t="str">
            <v>ABRIL 18, 2002</v>
          </cell>
        </row>
        <row r="397">
          <cell r="A397" t="str">
            <v>LINEA A6</v>
          </cell>
          <cell r="B397" t="str">
            <v>A-100 LATEX EXTERIOR MATE</v>
          </cell>
          <cell r="C397" t="str">
            <v>EXTERIOR</v>
          </cell>
          <cell r="D397" t="str">
            <v>CEMENTO-LADRILLO-CONCRETO</v>
          </cell>
          <cell r="E397" t="str">
            <v>CURADA, LIJADA, SECA Y LIBRE DE TODA CONTAMINACION</v>
          </cell>
          <cell r="F397" t="str">
            <v>-</v>
          </cell>
          <cell r="G397" t="str">
            <v>10.28-11.28 LBS/GL</v>
          </cell>
          <cell r="H397" t="str">
            <v>-</v>
          </cell>
          <cell r="I397" t="str">
            <v>50%-52%</v>
          </cell>
          <cell r="J397" t="str">
            <v>-</v>
          </cell>
          <cell r="K397" t="str">
            <v>34.5%-35.5%</v>
          </cell>
          <cell r="L397" t="str">
            <v>35-37</v>
          </cell>
          <cell r="M397" t="str">
            <v>90-95 KU</v>
          </cell>
          <cell r="N397" t="str">
            <v>BROCHA-RODILLO</v>
          </cell>
          <cell r="O397" t="str">
            <v>90-93 KU</v>
          </cell>
          <cell r="P397" t="str">
            <v>MAXIMO 10%</v>
          </cell>
          <cell r="Q397" t="str">
            <v>AGUA LIMPIA</v>
          </cell>
          <cell r="R397" t="str">
            <v>1.5 MILLS</v>
          </cell>
          <cell r="S397" t="str">
            <v>AL AIRE, RECUBRIR DESPUES DE 4 HORAS</v>
          </cell>
          <cell r="T397" t="str">
            <v>-</v>
          </cell>
          <cell r="U397" t="str">
            <v>34-36 Mts Cuadrados/Gl, Dependiendo de la Superficie.</v>
          </cell>
          <cell r="V397" t="str">
            <v>MATE</v>
          </cell>
          <cell r="W397" t="str">
            <v>-</v>
          </cell>
          <cell r="X397" t="str">
            <v>3 AÑOS</v>
          </cell>
          <cell r="Y397" t="str">
            <v>VARIOS</v>
          </cell>
          <cell r="Z397" t="str">
            <v>-</v>
          </cell>
          <cell r="AA397" t="str">
            <v>-</v>
          </cell>
          <cell r="AB397" t="str">
            <v>Ana Irene Mendez Vides</v>
          </cell>
          <cell r="AC397" t="str">
            <v>ABRIL 18, 2002</v>
          </cell>
        </row>
        <row r="398">
          <cell r="A398" t="str">
            <v>B45WSA3</v>
          </cell>
          <cell r="B398" t="str">
            <v>SELLADOR BLANCO PARA CONCRETO AL EXTERIOR.</v>
          </cell>
          <cell r="C398" t="str">
            <v>EXTERIOR</v>
          </cell>
          <cell r="D398" t="str">
            <v>CONCRETO, CEMENTO, LADRILLO</v>
          </cell>
          <cell r="E398" t="str">
            <v>CURADA,SECA, LIBRE DE GRASA, POLVO O CUALQUIER OTRA SUSTANCIA</v>
          </cell>
          <cell r="F398" t="str">
            <v>Ninguno</v>
          </cell>
          <cell r="G398" t="str">
            <v>10.62 LBS/GALON</v>
          </cell>
          <cell r="H398" t="str">
            <v>6.87 %</v>
          </cell>
          <cell r="I398" t="str">
            <v>47.30 %</v>
          </cell>
          <cell r="J398" t="str">
            <v>-</v>
          </cell>
          <cell r="K398" t="str">
            <v>45.50%</v>
          </cell>
          <cell r="L398" t="str">
            <v>31.40%</v>
          </cell>
          <cell r="M398" t="str">
            <v>13-15 CPS</v>
          </cell>
          <cell r="N398" t="str">
            <v>BROCHA-RODILLO</v>
          </cell>
          <cell r="O398" t="str">
            <v>13-15 CPS</v>
          </cell>
          <cell r="P398" t="str">
            <v>MAXIMO 10 %</v>
          </cell>
          <cell r="Q398" t="str">
            <v>AGUA LIMPIA</v>
          </cell>
          <cell r="R398" t="str">
            <v>1.5 MILLS</v>
          </cell>
          <cell r="S398" t="str">
            <v>AL AIRE</v>
          </cell>
          <cell r="T398" t="str">
            <v>_</v>
          </cell>
          <cell r="U398" t="str">
            <v>28-30 Mts Cuadrados/Gl</v>
          </cell>
          <cell r="V398" t="str">
            <v>MATE</v>
          </cell>
          <cell r="W398" t="str">
            <v>_</v>
          </cell>
          <cell r="X398" t="str">
            <v>3 AÑOS</v>
          </cell>
          <cell r="Y398" t="str">
            <v>VARIOS</v>
          </cell>
          <cell r="Z398" t="str">
            <v>_</v>
          </cell>
          <cell r="AA398" t="str">
            <v>_</v>
          </cell>
          <cell r="AB398" t="str">
            <v>Ana Irene Mendez Vides</v>
          </cell>
          <cell r="AC398" t="str">
            <v>JUNIO 12,2002.</v>
          </cell>
        </row>
        <row r="399">
          <cell r="A399" t="str">
            <v>A44HSA2,A44HSA3,A44NSA1</v>
          </cell>
          <cell r="B399" t="str">
            <v xml:space="preserve">Tex Flex </v>
          </cell>
          <cell r="C399" t="str">
            <v>INTERIOR,EXTERIOR</v>
          </cell>
          <cell r="D399" t="str">
            <v>CONCRETO,CEMENTO,LADRILLO</v>
          </cell>
          <cell r="E399" t="str">
            <v>CURADA,SECA, LIBRE DE GRASA, POLVO O CUALQUIER OTRA SUSTANCIA</v>
          </cell>
          <cell r="F399" t="str">
            <v>B45ASA1</v>
          </cell>
          <cell r="G399" t="str">
            <v>12.47 LBS/GLN</v>
          </cell>
          <cell r="H399" t="str">
            <v>5.13 %</v>
          </cell>
          <cell r="I399" t="str">
            <v>70.71</v>
          </cell>
          <cell r="K399" t="str">
            <v>24.94 %</v>
          </cell>
          <cell r="L399" t="str">
            <v>53.23 %</v>
          </cell>
          <cell r="M399" t="str">
            <v>123-129 MILES CPS</v>
          </cell>
          <cell r="N399" t="str">
            <v>BROCHA-RODILLO</v>
          </cell>
          <cell r="O399" t="str">
            <v>123-129 MILES CPS</v>
          </cell>
          <cell r="P399" t="str">
            <v>NINGUNA</v>
          </cell>
          <cell r="Q399" t="str">
            <v>AGUA LIMPIA SI ES NECESARIO PARA LAVAR EL EQUIPO</v>
          </cell>
          <cell r="R399" t="str">
            <v>12 MILLS</v>
          </cell>
          <cell r="S399" t="str">
            <v>AL AIRE</v>
          </cell>
          <cell r="T399" t="str">
            <v>-</v>
          </cell>
          <cell r="U399" t="str">
            <v>6-7 Mts Cuadrados/Gl, Dependiendo de la Superficie.</v>
          </cell>
          <cell r="V399" t="str">
            <v>SATINADO</v>
          </cell>
          <cell r="W399" t="str">
            <v>-</v>
          </cell>
          <cell r="X399" t="str">
            <v>1-2 AÑOS SIN DESTAPARSE EL ENVASE</v>
          </cell>
          <cell r="Y399" t="str">
            <v>FREUND</v>
          </cell>
          <cell r="Z399" t="str">
            <v>-</v>
          </cell>
          <cell r="AA399" t="str">
            <v>-</v>
          </cell>
          <cell r="AB399" t="str">
            <v>Ana Irene Mendez Vides</v>
          </cell>
          <cell r="AC399" t="str">
            <v>JULIO 3, 2002</v>
          </cell>
        </row>
        <row r="400">
          <cell r="A400" t="str">
            <v>S21WSA3</v>
          </cell>
          <cell r="B400" t="str">
            <v>JOINT COMPOUND</v>
          </cell>
          <cell r="C400" t="str">
            <v>INTERIOR</v>
          </cell>
          <cell r="D400" t="str">
            <v>TABLAYESO</v>
          </cell>
          <cell r="E400" t="str">
            <v>SUPERFICIE NUEVA</v>
          </cell>
          <cell r="F400" t="str">
            <v>NINGUNO</v>
          </cell>
          <cell r="G400" t="str">
            <v>16.09</v>
          </cell>
          <cell r="H400" t="str">
            <v>-</v>
          </cell>
          <cell r="I400" t="str">
            <v>77.81</v>
          </cell>
          <cell r="J400" t="str">
            <v>7.7</v>
          </cell>
          <cell r="K400" t="str">
            <v>91.6</v>
          </cell>
          <cell r="L400" t="str">
            <v>58.83</v>
          </cell>
          <cell r="M400" t="str">
            <v>90-100 MIL CPS SPIN #7 A 10 REV BROOKFIELD</v>
          </cell>
          <cell r="N400" t="str">
            <v>ESPATULA</v>
          </cell>
          <cell r="O400" t="str">
            <v>A OPCION DEL APLICADOR</v>
          </cell>
          <cell r="P400" t="str">
            <v>LO NECESARIO QUEDA A OPCION DEL APLICADOR</v>
          </cell>
          <cell r="Q400" t="str">
            <v>AGUA</v>
          </cell>
          <cell r="R400" t="str">
            <v>10-15 MILS DEPENDE DEL APLICADOR</v>
          </cell>
          <cell r="S400" t="str">
            <v>AL AIRE</v>
          </cell>
          <cell r="T400" t="str">
            <v>-</v>
          </cell>
          <cell r="U400" t="str">
            <v>87.66MTS CUADRADOS POR GALON A 1MILS DE ESPESOR</v>
          </cell>
          <cell r="V400" t="str">
            <v>MATE</v>
          </cell>
          <cell r="W400" t="str">
            <v>-</v>
          </cell>
          <cell r="X400" t="str">
            <v>1AÑO SIN DESTAPARSE Y A 25°C</v>
          </cell>
          <cell r="Y400" t="str">
            <v>VARIOS</v>
          </cell>
          <cell r="Z400" t="str">
            <v>-</v>
          </cell>
          <cell r="AA400" t="str">
            <v>-</v>
          </cell>
          <cell r="AB400" t="str">
            <v>Rigoberto Montalvo</v>
          </cell>
          <cell r="AC400" t="str">
            <v>AGOSTO 20, 2002</v>
          </cell>
        </row>
        <row r="401">
          <cell r="A401" t="str">
            <v>SAA 5639</v>
          </cell>
          <cell r="B401" t="str">
            <v>EXTERIOR CLEAR PARA  MADERA</v>
          </cell>
          <cell r="C401" t="str">
            <v>INTERIOR - EXTERIOR</v>
          </cell>
          <cell r="D401" t="str">
            <v>MADERA DIRECTO</v>
          </cell>
          <cell r="E401" t="str">
            <v>LIJADO, LIBRE DE GRASA POLVO O CUALQUIER OTRA SUSTANCIA</v>
          </cell>
          <cell r="F401" t="str">
            <v>TAPAPORO, SI ES NECESARIO UTILIZAR SELLADOR PARA MEJORAR PROFUNDIDAD Y BRILLO</v>
          </cell>
          <cell r="G401" t="str">
            <v>7.23 LBS</v>
          </cell>
          <cell r="H401" t="str">
            <v>0.0 %</v>
          </cell>
          <cell r="I401" t="str">
            <v xml:space="preserve">33.68 % </v>
          </cell>
          <cell r="J401" t="str">
            <v>88.68 %</v>
          </cell>
          <cell r="K401" t="str">
            <v>0.0 %</v>
          </cell>
          <cell r="L401" t="str">
            <v>29.48 %</v>
          </cell>
          <cell r="M401" t="str">
            <v>10 - 16 SEG FORD # 4</v>
          </cell>
          <cell r="N401" t="str">
            <v>PISTOLA.</v>
          </cell>
          <cell r="O401" t="str">
            <v>10 - 16 SEG FORD # 4</v>
          </cell>
          <cell r="P401" t="str">
            <v>NINGUNO</v>
          </cell>
          <cell r="Q401" t="str">
            <v>NINGUNO</v>
          </cell>
          <cell r="R401" t="str">
            <v>---</v>
          </cell>
          <cell r="S401" t="str">
            <v>AL AIRE</v>
          </cell>
          <cell r="T401" t="str">
            <v>--</v>
          </cell>
          <cell r="U401" t="str">
            <v>43.92 Metros cuadrados por galon a un mils de pelicula seca</v>
          </cell>
          <cell r="V401" t="str">
            <v>MATE</v>
          </cell>
          <cell r="W401" t="str">
            <v>---</v>
          </cell>
          <cell r="X401" t="str">
            <v>1 AÑO</v>
          </cell>
          <cell r="Y401" t="str">
            <v>VARIOS</v>
          </cell>
          <cell r="Z401" t="str">
            <v>-</v>
          </cell>
          <cell r="AA401" t="str">
            <v>-</v>
          </cell>
          <cell r="AB401" t="str">
            <v>Juan Antonio Méndez</v>
          </cell>
          <cell r="AC401" t="str">
            <v>SEPTIEMBRE 11, 2002</v>
          </cell>
        </row>
        <row r="402">
          <cell r="A402" t="str">
            <v>E3A4801</v>
          </cell>
          <cell r="B402" t="str">
            <v>KEM PRIMER SURFACER GRAY</v>
          </cell>
          <cell r="C402" t="str">
            <v>EXTERIOR</v>
          </cell>
          <cell r="D402" t="str">
            <v>HIERRO, ACERO</v>
          </cell>
          <cell r="E402" t="str">
            <v>LIJADO, LIBRE DE POLVO GRASA. LIMPIEZA CON R7K156</v>
          </cell>
          <cell r="F402" t="str">
            <v>NINGUNO</v>
          </cell>
          <cell r="G402" t="str">
            <v>11.13 LBS/GALON</v>
          </cell>
          <cell r="H402" t="str">
            <v>8.90 %</v>
          </cell>
          <cell r="I402" t="str">
            <v>58.92 %</v>
          </cell>
          <cell r="J402" t="str">
            <v>--</v>
          </cell>
          <cell r="K402" t="str">
            <v>54.29 %</v>
          </cell>
          <cell r="L402" t="str">
            <v>36.69 %</v>
          </cell>
          <cell r="M402" t="str">
            <v>65 - 74 KU</v>
          </cell>
          <cell r="N402" t="str">
            <v>PISTOLA</v>
          </cell>
          <cell r="O402" t="str">
            <v>20 - 30 SEG ZANH #2</v>
          </cell>
          <cell r="P402" t="str">
            <v xml:space="preserve">20-25% </v>
          </cell>
          <cell r="Q402" t="str">
            <v>R4K183 o R2K1</v>
          </cell>
          <cell r="R402" t="str">
            <v xml:space="preserve">1.2 - 1.5 MILS </v>
          </cell>
          <cell r="S402" t="str">
            <v>AL AIRE</v>
          </cell>
          <cell r="T402" t="str">
            <v>--</v>
          </cell>
          <cell r="U402" t="str">
            <v>54.66 metros cuadrados a un mils de pelicula seca</v>
          </cell>
          <cell r="V402" t="str">
            <v>---</v>
          </cell>
          <cell r="W402" t="str">
            <v>--</v>
          </cell>
          <cell r="X402" t="str">
            <v>1 año</v>
          </cell>
          <cell r="Y402" t="str">
            <v>varios</v>
          </cell>
          <cell r="Z402" t="str">
            <v>---</v>
          </cell>
          <cell r="AA402" t="str">
            <v>nueva reformulación mejorado en adhesion, lijabilidad compatible con esmaltes sinteticos y lacas acrilicas</v>
          </cell>
          <cell r="AB402" t="str">
            <v>Juan Antonio Méndez</v>
          </cell>
          <cell r="AC402" t="str">
            <v>SEPTIEMBRE 30, 2002</v>
          </cell>
        </row>
        <row r="403">
          <cell r="A403" t="str">
            <v>SAA 5509</v>
          </cell>
          <cell r="B403" t="str">
            <v>ESMALTE HORNEABLE ROJO ELECTROSTATICO HECASA</v>
          </cell>
          <cell r="C403" t="str">
            <v>EXTERIOR-INTERIOR</v>
          </cell>
          <cell r="D403" t="str">
            <v>Acero, Hierro, Superficies adecuadamente tratadas no Galvanizadas.</v>
          </cell>
          <cell r="E403" t="str">
            <v>Lijado libre de grasa y oxido</v>
          </cell>
          <cell r="F403" t="str">
            <v>DE SER NECESARIO PUEDE UTILIZAR MONOBAKE WHITE E68WSA1</v>
          </cell>
          <cell r="G403" t="str">
            <v>9.48 lbs/ galon</v>
          </cell>
          <cell r="H403" t="str">
            <v>14.61%</v>
          </cell>
          <cell r="I403" t="str">
            <v>45.30 %</v>
          </cell>
          <cell r="J403" t="str">
            <v>59.01 %</v>
          </cell>
          <cell r="K403" t="str">
            <v>15.87 %</v>
          </cell>
          <cell r="L403" t="str">
            <v>33.94 %</v>
          </cell>
          <cell r="M403" t="str">
            <v>26 - 30 SEG ZANH #2</v>
          </cell>
          <cell r="N403" t="str">
            <v>PISTOLA</v>
          </cell>
          <cell r="O403" t="str">
            <v>IGUAL QUE VISCOSIDAD ORIGINAL</v>
          </cell>
          <cell r="P403" t="str">
            <v>NINGUNO</v>
          </cell>
          <cell r="Q403" t="str">
            <v>NINGUNO</v>
          </cell>
          <cell r="R403" t="str">
            <v xml:space="preserve">1.0 -1.5 mils </v>
          </cell>
          <cell r="S403" t="str">
            <v>--</v>
          </cell>
          <cell r="T403" t="str">
            <v>HORNEADO A 150°c POR 15 MINUTOS</v>
          </cell>
          <cell r="U403" t="str">
            <v>50.57 METROS CUADRADOS POR GALON</v>
          </cell>
          <cell r="V403" t="str">
            <v>+80</v>
          </cell>
          <cell r="W403" t="str">
            <v>F-H</v>
          </cell>
          <cell r="X403" t="str">
            <v>MAXIMO CUATRO MESES</v>
          </cell>
          <cell r="Y403" t="str">
            <v>HECASA</v>
          </cell>
          <cell r="Z403" t="str">
            <v xml:space="preserve">CARRETILLAS </v>
          </cell>
          <cell r="AA403" t="str">
            <v>PRODUCTO ELECTROSTATICO CON UNA RESISTENCIA ENTRE 3.5 - 4.5 Mega Ohmios</v>
          </cell>
          <cell r="AB403" t="str">
            <v>Ing. Juan Antonio Méndez</v>
          </cell>
          <cell r="AC403" t="str">
            <v>MARZO 13,2002</v>
          </cell>
        </row>
        <row r="404">
          <cell r="A404" t="str">
            <v>SAA 5270</v>
          </cell>
          <cell r="B404" t="str">
            <v>ZINC CHROMATE PRIMER AMARILLO OXIDO</v>
          </cell>
          <cell r="C404" t="str">
            <v>INTERIOR-EXTERIOR</v>
          </cell>
          <cell r="D404" t="str">
            <v>METAL</v>
          </cell>
          <cell r="E404" t="str">
            <v>LIBRE DE GRASA Y OXIDO</v>
          </cell>
          <cell r="F404" t="str">
            <v>-</v>
          </cell>
          <cell r="G404" t="str">
            <v>10.26 LBS/GL</v>
          </cell>
          <cell r="H404" t="str">
            <v>41.71%</v>
          </cell>
          <cell r="I404" t="str">
            <v>59.13%</v>
          </cell>
          <cell r="J404" t="str">
            <v>58.29%</v>
          </cell>
          <cell r="K404" t="str">
            <v>45.41%</v>
          </cell>
          <cell r="L404" t="str">
            <v>37.15%</v>
          </cell>
          <cell r="M404" t="str">
            <v>70-80 KU</v>
          </cell>
          <cell r="N404" t="str">
            <v>BROCHA-PISTOLA</v>
          </cell>
          <cell r="O404" t="str">
            <v>-</v>
          </cell>
          <cell r="P404" t="str">
            <v>20% R1K4</v>
          </cell>
          <cell r="Q404" t="str">
            <v>R1K4</v>
          </cell>
          <cell r="R404" t="str">
            <v>2.0 MILLS SECO</v>
          </cell>
          <cell r="S404" t="str">
            <v xml:space="preserve">AL TACTO: 1-2 HORAS; COMPLETO:3-5 HORAS; RETOCAR :18 HORAS. </v>
          </cell>
          <cell r="T404" t="str">
            <v>-</v>
          </cell>
          <cell r="U404" t="str">
            <v>60 Mts Cuadrados/Gl a 1 mills de espesor.</v>
          </cell>
          <cell r="V404" t="str">
            <v>MATE</v>
          </cell>
          <cell r="W404" t="str">
            <v>-</v>
          </cell>
          <cell r="X404" t="str">
            <v>1 AÑO</v>
          </cell>
          <cell r="Y404" t="str">
            <v>MONELCA</v>
          </cell>
          <cell r="Z404" t="str">
            <v>-</v>
          </cell>
          <cell r="AA404" t="str">
            <v>-</v>
          </cell>
          <cell r="AB404" t="str">
            <v>Soraya de Quijada</v>
          </cell>
          <cell r="AC404" t="str">
            <v>SEPTIEMBRE 16,2002</v>
          </cell>
        </row>
        <row r="405">
          <cell r="A405" t="str">
            <v>LINEA B66</v>
          </cell>
          <cell r="B405" t="str">
            <v>CORRO-SHER ANTICORROSIVO BASE AGUA</v>
          </cell>
          <cell r="C405" t="str">
            <v>INTERIOR-EXTERIOR</v>
          </cell>
          <cell r="D405" t="str">
            <v xml:space="preserve">HIERRO-LAMINA GALVANIZADA-ESTRUCTURAS DE METAL </v>
          </cell>
          <cell r="E405" t="str">
            <v>LIMPIA, SECA, LIBRE DE GRASAS, ACEITES, LUBRICANTES Y OXIDO</v>
          </cell>
          <cell r="F405" t="str">
            <v>APLICAR DIRECTAMENTE SOBRE EL METAL</v>
          </cell>
          <cell r="G405" t="str">
            <v>9.88-10.92 LBS/GL</v>
          </cell>
          <cell r="H405" t="str">
            <v>22%-32%</v>
          </cell>
          <cell r="I405" t="str">
            <v>46.6%-54.2%</v>
          </cell>
          <cell r="J405" t="str">
            <v>23.1%-25.5%</v>
          </cell>
          <cell r="K405" t="str">
            <v>25%-30%</v>
          </cell>
          <cell r="L405" t="str">
            <v>41%-45%</v>
          </cell>
          <cell r="M405" t="str">
            <v>90-100 KU</v>
          </cell>
          <cell r="N405" t="str">
            <v>BROCHA-RODILLO PISTOLA</v>
          </cell>
          <cell r="O405" t="str">
            <v>-</v>
          </cell>
          <cell r="P405" t="str">
            <v>10%</v>
          </cell>
          <cell r="Q405" t="str">
            <v>AGUA</v>
          </cell>
          <cell r="R405" t="str">
            <v>1.0-1.5 MILLS</v>
          </cell>
          <cell r="S405" t="str">
            <v>AL TACTO: 30 MINUTOS; COMPLETO: 12 HORAS</v>
          </cell>
          <cell r="T405" t="str">
            <v>-</v>
          </cell>
          <cell r="U405" t="str">
            <v>60-65 MTS CUADRADOS/GL A 1 MILLS</v>
          </cell>
          <cell r="V405" t="str">
            <v>MATE (0-5)</v>
          </cell>
          <cell r="W405" t="str">
            <v>-</v>
          </cell>
          <cell r="X405" t="str">
            <v>1 AÑO</v>
          </cell>
          <cell r="Y405" t="str">
            <v>VARIOS</v>
          </cell>
          <cell r="Z405" t="str">
            <v>-</v>
          </cell>
          <cell r="AA405" t="str">
            <v>-</v>
          </cell>
          <cell r="AB405" t="str">
            <v>Soraya de Quijada</v>
          </cell>
          <cell r="AC405" t="str">
            <v>ABRIL 30,2002</v>
          </cell>
        </row>
        <row r="406">
          <cell r="A406" t="str">
            <v>A54WCR2</v>
          </cell>
          <cell r="B406" t="str">
            <v>SELLADOR PARA CONCRETO</v>
          </cell>
          <cell r="C406" t="str">
            <v>INTERIOR-EXTERIOR</v>
          </cell>
          <cell r="D406" t="str">
            <v>CONCRETO</v>
          </cell>
          <cell r="E406" t="str">
            <v>LIMPIA Y SECA, LIBRE DE GRASAS Y ACEITES</v>
          </cell>
          <cell r="F406" t="str">
            <v>NINGUNO</v>
          </cell>
          <cell r="G406" t="str">
            <v>10.74 LBS/GL</v>
          </cell>
          <cell r="H406" t="str">
            <v>33%</v>
          </cell>
          <cell r="I406" t="str">
            <v>45.65 %</v>
          </cell>
          <cell r="J406" t="str">
            <v>28.9%</v>
          </cell>
          <cell r="K406" t="str">
            <v>48.66</v>
          </cell>
          <cell r="L406" t="str">
            <v>30.69</v>
          </cell>
          <cell r="M406" t="str">
            <v>110-115 KU</v>
          </cell>
          <cell r="N406" t="str">
            <v>BROCHA-RODILLO</v>
          </cell>
          <cell r="O406" t="str">
            <v>-</v>
          </cell>
          <cell r="P406" t="str">
            <v>10%</v>
          </cell>
          <cell r="Q406" t="str">
            <v>AGUA</v>
          </cell>
          <cell r="R406" t="str">
            <v>2.0 MILLS SECO</v>
          </cell>
          <cell r="S406" t="str">
            <v>SECO TOCAR: 10 MINUTOS, SECO COMPLETO; 30 MINUTOS; RECUBRIR: 2 HORAS</v>
          </cell>
          <cell r="T406" t="str">
            <v>-</v>
          </cell>
          <cell r="U406" t="str">
            <v>45 m2/galon a 1 mils de pelicula seca</v>
          </cell>
          <cell r="V406" t="str">
            <v>MATE</v>
          </cell>
          <cell r="W406" t="str">
            <v>-</v>
          </cell>
          <cell r="X406" t="str">
            <v>2 AÑOS</v>
          </cell>
          <cell r="Y406" t="str">
            <v>COSTA RICA</v>
          </cell>
          <cell r="Z406" t="str">
            <v>-</v>
          </cell>
          <cell r="AA406" t="str">
            <v>-</v>
          </cell>
          <cell r="AB406" t="str">
            <v>Soraya de Quijada</v>
          </cell>
          <cell r="AC406" t="str">
            <v>MAYO 9,2002</v>
          </cell>
        </row>
        <row r="407">
          <cell r="A407" t="str">
            <v>A99BCR2, A99GCR10, A99RCR4, A99WCR2</v>
          </cell>
          <cell r="B407" t="str">
            <v>COLONIAL PINTURA PARA TECHOS</v>
          </cell>
          <cell r="C407" t="str">
            <v>INTERIOR-EXTERIOR</v>
          </cell>
          <cell r="D407" t="str">
            <v>MADERA-HIERRO-CONCRETO</v>
          </cell>
          <cell r="E407" t="str">
            <v>LIMPIA, SECA, LIBRE DE GRASAS, ACEITES, LUBRICANTES Y OXIDO</v>
          </cell>
          <cell r="F407" t="str">
            <v>En superficies de metal, Anticorrosivo Excello Rustop</v>
          </cell>
          <cell r="G407" t="str">
            <v>7.96-9.03 LBS/GL</v>
          </cell>
          <cell r="H407" t="str">
            <v>5%-17%</v>
          </cell>
          <cell r="I407" t="str">
            <v>28%-40%</v>
          </cell>
          <cell r="J407" t="str">
            <v>21%-22%</v>
          </cell>
          <cell r="K407" t="str">
            <v>7%-10%</v>
          </cell>
          <cell r="L407" t="str">
            <v>22%-27%</v>
          </cell>
          <cell r="M407" t="str">
            <v>90-95 KU</v>
          </cell>
          <cell r="N407" t="str">
            <v xml:space="preserve">Brocha-Pistola-Rodillo </v>
          </cell>
          <cell r="O407" t="str">
            <v>-</v>
          </cell>
          <cell r="P407" t="str">
            <v>20%</v>
          </cell>
          <cell r="Q407" t="str">
            <v>R1K4 MINERAL SPIRITS</v>
          </cell>
          <cell r="R407" t="str">
            <v>1.0-1.5 MILLS</v>
          </cell>
          <cell r="S407" t="str">
            <v>SECO TOCAR: 1-2 HORAS, COMPLETO: 6 HORAS</v>
          </cell>
          <cell r="T407" t="str">
            <v>-</v>
          </cell>
          <cell r="U407" t="str">
            <v>35 MTS CUADRADOS/GLA UN MILLS DE PELICULA SECA</v>
          </cell>
          <cell r="V407" t="str">
            <v>70 MIN</v>
          </cell>
          <cell r="W407" t="str">
            <v>-</v>
          </cell>
          <cell r="X407" t="str">
            <v>2 AÑOS</v>
          </cell>
          <cell r="Y407" t="str">
            <v>Costa Rica</v>
          </cell>
          <cell r="Z407" t="str">
            <v>-</v>
          </cell>
          <cell r="AA407" t="str">
            <v>-</v>
          </cell>
          <cell r="AB407" t="str">
            <v>Soraya de Quijada</v>
          </cell>
          <cell r="AC407" t="str">
            <v>MAYO 9,2002</v>
          </cell>
        </row>
        <row r="408">
          <cell r="A408" t="str">
            <v>LINEA C62</v>
          </cell>
          <cell r="B408" t="str">
            <v>ANTICORROSIVO PARA ESTRUCTURAS BRILLANTE</v>
          </cell>
          <cell r="C408" t="str">
            <v>INTERIOR-EXTERIOR</v>
          </cell>
          <cell r="D408" t="str">
            <v>METAL</v>
          </cell>
          <cell r="E408" t="str">
            <v>LIBRE DE GRASA Y OXIDO</v>
          </cell>
          <cell r="F408" t="str">
            <v>-</v>
          </cell>
          <cell r="G408" t="str">
            <v>7-8-8.44 LBS/GL DEPENDIENDO DEL COLOR</v>
          </cell>
          <cell r="H408" t="str">
            <v>2.5%-9.5% DEPENDIENDO DEL COLOR</v>
          </cell>
          <cell r="I408" t="str">
            <v>23.4%-29.8% DEPENDIENDO DEL COLOR</v>
          </cell>
          <cell r="J408" t="str">
            <v>-</v>
          </cell>
          <cell r="K408" t="str">
            <v>6.9%-10.9% DEPENDIENDO DEL COLOR</v>
          </cell>
          <cell r="L408" t="str">
            <v>19.4-21.4 DEPENDIENDO DEL COLOR</v>
          </cell>
          <cell r="M408" t="str">
            <v>85-90 KU</v>
          </cell>
          <cell r="N408" t="str">
            <v>BROCHA-RODILLO-PISTOLA</v>
          </cell>
          <cell r="O408" t="str">
            <v>-</v>
          </cell>
          <cell r="P408" t="str">
            <v>10-15% MAXIMO</v>
          </cell>
          <cell r="Q408" t="str">
            <v>R1K4 MINERAL SPIRITS</v>
          </cell>
          <cell r="R408" t="str">
            <v>1.0-1.5 MILLS</v>
          </cell>
          <cell r="S408" t="str">
            <v>SECO TOCAR: 2 HORAS, SECO COMPLETO: 6 HORAS, RETOCAR: 24 HORAS</v>
          </cell>
          <cell r="T408" t="str">
            <v>-</v>
          </cell>
          <cell r="U408" t="str">
            <v>30 MTS CUADRADOS/GLA UN MILLS DE PELICULA SECA</v>
          </cell>
          <cell r="V408" t="str">
            <v>70-80</v>
          </cell>
          <cell r="W408" t="str">
            <v>-</v>
          </cell>
          <cell r="X408" t="str">
            <v>2 años sin Abrir.</v>
          </cell>
          <cell r="Y408" t="str">
            <v>VARIOS</v>
          </cell>
          <cell r="Z408" t="str">
            <v>-</v>
          </cell>
          <cell r="AA408" t="str">
            <v>-</v>
          </cell>
          <cell r="AB408" t="str">
            <v>Soraya de Quijada</v>
          </cell>
          <cell r="AC408" t="str">
            <v>JULIO 5,2002</v>
          </cell>
        </row>
        <row r="409">
          <cell r="A409" t="str">
            <v>LINEA F65</v>
          </cell>
          <cell r="B409" t="str">
            <v>ESMALTE KEM LUSTRAL</v>
          </cell>
          <cell r="C409" t="str">
            <v>INTERIOR-EXTERIOR</v>
          </cell>
          <cell r="D409" t="str">
            <v>METAL</v>
          </cell>
          <cell r="E409" t="str">
            <v>LIBRE DE GRASA Y OXIDO</v>
          </cell>
          <cell r="F409" t="str">
            <v>E41N1 KROMIK METAL PRIMER</v>
          </cell>
          <cell r="G409" t="str">
            <v>7.6-9.6 LBS/GL DEPENDIENDO DEL COLOR</v>
          </cell>
          <cell r="H409" t="str">
            <v>3%-30% DEPENDIENDO DEL COLOR</v>
          </cell>
          <cell r="I409" t="str">
            <v>39.7%-59.7% DEPENDIENDO DEL COLOR</v>
          </cell>
          <cell r="J409" t="str">
            <v>-</v>
          </cell>
          <cell r="K409" t="str">
            <v>3%-20% DEPENDIENDO DEL COLOR</v>
          </cell>
          <cell r="L409" t="str">
            <v>33-42 DEPENDIENDO DEL COLOR</v>
          </cell>
          <cell r="M409" t="str">
            <v>75-80 KU</v>
          </cell>
          <cell r="N409" t="str">
            <v>BROCHA-PISTOLA</v>
          </cell>
          <cell r="O409" t="str">
            <v>-</v>
          </cell>
          <cell r="P409" t="str">
            <v>MAXIMO 10%</v>
          </cell>
          <cell r="Q409" t="str">
            <v>R1K4 MINERAL SPIRITS</v>
          </cell>
          <cell r="R409" t="str">
            <v>1.0-1.5 MILLS</v>
          </cell>
          <cell r="S409" t="str">
            <v>SECO TOCAR: 2 HORAS, SECO COMPLETO: 6 HORAS, RETOCAR: 24 HORAS</v>
          </cell>
          <cell r="T409" t="str">
            <v>-</v>
          </cell>
          <cell r="U409" t="str">
            <v>30 MTS CUADRADOS/GLA UN MILLS DE PELICULA SECA</v>
          </cell>
          <cell r="V409" t="str">
            <v>MAYOR DE 90</v>
          </cell>
          <cell r="W409" t="str">
            <v>-</v>
          </cell>
          <cell r="X409" t="str">
            <v>2 años sin Abrir.</v>
          </cell>
          <cell r="Y409" t="str">
            <v>MONELCA</v>
          </cell>
          <cell r="Z409" t="str">
            <v>-</v>
          </cell>
          <cell r="AA409" t="str">
            <v>-</v>
          </cell>
          <cell r="AB409" t="str">
            <v>Soraya de Quijada</v>
          </cell>
          <cell r="AC409" t="str">
            <v>SEPTIEMBRE 3,2002</v>
          </cell>
        </row>
        <row r="410">
          <cell r="A410" t="str">
            <v>A86YSA14</v>
          </cell>
          <cell r="B410" t="str">
            <v>PINTURA DE TRAFICO ALQUIDICA TTP-85E AMARILLA</v>
          </cell>
          <cell r="C410" t="str">
            <v>EXTERIOR</v>
          </cell>
          <cell r="D410" t="str">
            <v>CONCRETO-ASFALTO</v>
          </cell>
          <cell r="E410" t="str">
            <v>SECA</v>
          </cell>
          <cell r="F410" t="str">
            <v>NINGUNO</v>
          </cell>
          <cell r="G410" t="str">
            <v>13.13 LBS/GL</v>
          </cell>
          <cell r="H410" t="str">
            <v>61.75 %</v>
          </cell>
          <cell r="I410" t="str">
            <v>76.31%</v>
          </cell>
          <cell r="J410" t="str">
            <v>19.8%</v>
          </cell>
          <cell r="K410" t="str">
            <v>61%</v>
          </cell>
          <cell r="L410" t="str">
            <v>55.93</v>
          </cell>
          <cell r="M410" t="str">
            <v>70-80 KU</v>
          </cell>
          <cell r="N410" t="str">
            <v>Brocha, Rodillo Industrial, Máquina Franjeadora, Etc.</v>
          </cell>
          <cell r="O410" t="str">
            <v>Para Usar con Máquina franjeadora, reduzca con 1/8 de galón.</v>
          </cell>
          <cell r="P410" t="str">
            <v>Listo para usarse con Brocha y Rodillo.</v>
          </cell>
          <cell r="Q410" t="str">
            <v>R2K4 Industrial Reducer.</v>
          </cell>
          <cell r="R410" t="str">
            <v>7 mills</v>
          </cell>
          <cell r="S410" t="str">
            <v xml:space="preserve">15-20 Min. No transitar antes de 30 Minutos.                                            </v>
          </cell>
          <cell r="T410" t="str">
            <v>-</v>
          </cell>
          <cell r="U410" t="str">
            <v>10-11 Mts cuadrados/Gl a 7 mills seco.</v>
          </cell>
          <cell r="V410" t="str">
            <v>Mate más o menos 1-2</v>
          </cell>
          <cell r="W410" t="str">
            <v>-</v>
          </cell>
          <cell r="X410" t="str">
            <v>12 meses</v>
          </cell>
          <cell r="Y410" t="str">
            <v>-</v>
          </cell>
          <cell r="Z410" t="str">
            <v>-</v>
          </cell>
          <cell r="AA410" t="str">
            <v xml:space="preserve">Finura Hegman: 3H-0 </v>
          </cell>
          <cell r="AB410" t="str">
            <v>Soraya de Quijada</v>
          </cell>
          <cell r="AC410" t="str">
            <v>SEPTIEMBRE 5,2002</v>
          </cell>
        </row>
        <row r="411">
          <cell r="A411" t="str">
            <v>A86WSA17</v>
          </cell>
          <cell r="B411" t="str">
            <v>PINTURA DE TRAFICO ALQUIDICA TTP-85E BLANCA</v>
          </cell>
          <cell r="C411" t="str">
            <v>EXTERIOR</v>
          </cell>
          <cell r="D411" t="str">
            <v>CONCRETO-ASFALTO</v>
          </cell>
          <cell r="E411" t="str">
            <v>SECA</v>
          </cell>
          <cell r="F411" t="str">
            <v>NINGUNO</v>
          </cell>
          <cell r="G411" t="str">
            <v>13.0 LBS/GL</v>
          </cell>
          <cell r="H411" t="str">
            <v>61.58%</v>
          </cell>
          <cell r="I411" t="str">
            <v>76.20%</v>
          </cell>
          <cell r="J411" t="str">
            <v>19.2%</v>
          </cell>
          <cell r="K411" t="str">
            <v>61.4%</v>
          </cell>
          <cell r="L411" t="str">
            <v>56.52</v>
          </cell>
          <cell r="M411" t="str">
            <v>70-80 KU</v>
          </cell>
          <cell r="N411" t="str">
            <v>Brocha, Rodillo Industrial, Máquina Franjeadora, Etc.</v>
          </cell>
          <cell r="O411" t="str">
            <v>Para Usar con Máquina franjeadora, reduzca con 1/8 de galón.</v>
          </cell>
          <cell r="P411" t="str">
            <v>Listo para usarse con Brocha y Rodillo.</v>
          </cell>
          <cell r="Q411" t="str">
            <v>R2K4 Industrial Reducer.</v>
          </cell>
          <cell r="R411" t="str">
            <v>7 mills</v>
          </cell>
          <cell r="S411" t="str">
            <v xml:space="preserve">15-20 Min. No transitar antes de 30 Minutos.                                            </v>
          </cell>
          <cell r="T411" t="str">
            <v>-</v>
          </cell>
          <cell r="U411" t="str">
            <v>10-11 Mts cuadrados/Gl a 7 mills seco.</v>
          </cell>
          <cell r="V411" t="str">
            <v>Mate más o menos 1-2</v>
          </cell>
          <cell r="W411" t="str">
            <v>-</v>
          </cell>
          <cell r="X411" t="str">
            <v>12 meses</v>
          </cell>
          <cell r="Y411" t="str">
            <v>-</v>
          </cell>
          <cell r="Z411" t="str">
            <v>-</v>
          </cell>
          <cell r="AA411" t="str">
            <v xml:space="preserve">Finura Hegman: 3H-0 </v>
          </cell>
          <cell r="AB411" t="str">
            <v>Soraya de Quijada</v>
          </cell>
          <cell r="AC411" t="str">
            <v>SEPTIEMBRE 5,2002</v>
          </cell>
        </row>
        <row r="412">
          <cell r="A412" t="str">
            <v>A86RSA5</v>
          </cell>
          <cell r="B412" t="str">
            <v>PINTURA DE TRAFICO ALQUIDICA TTP-85E ROJA</v>
          </cell>
          <cell r="C412" t="str">
            <v>EXTERIOR</v>
          </cell>
          <cell r="D412" t="str">
            <v>CONCRETO-ASFALTO</v>
          </cell>
          <cell r="E412" t="str">
            <v>SECA</v>
          </cell>
          <cell r="F412" t="str">
            <v>NINGUNO</v>
          </cell>
          <cell r="G412" t="str">
            <v>13.07 LBS/GL</v>
          </cell>
          <cell r="H412" t="str">
            <v>61.4%</v>
          </cell>
          <cell r="I412" t="str">
            <v>76.16%</v>
          </cell>
          <cell r="J412" t="str">
            <v>19.4%</v>
          </cell>
          <cell r="K412" t="str">
            <v>61.3%</v>
          </cell>
          <cell r="L412" t="str">
            <v>56.16</v>
          </cell>
          <cell r="M412" t="str">
            <v>70-80 KU</v>
          </cell>
          <cell r="N412" t="str">
            <v>Brocha, Rodillo Industrial, Máquina Franjeadora, Etc.</v>
          </cell>
          <cell r="O412" t="str">
            <v>Para Usar con Máquina franjeadora, reduzca con 1/8 de galón.</v>
          </cell>
          <cell r="P412" t="str">
            <v>Listo para usarse con Brocha y Rodillo.</v>
          </cell>
          <cell r="Q412" t="str">
            <v>R2K4 Industrial Reducer.</v>
          </cell>
          <cell r="R412" t="str">
            <v>7 mills</v>
          </cell>
          <cell r="S412" t="str">
            <v xml:space="preserve">15-20 Min. No transitar antes de 30 Minutos.                                             </v>
          </cell>
          <cell r="T412" t="str">
            <v>-</v>
          </cell>
          <cell r="U412" t="str">
            <v>10-11 Mts cuadrados/Gl a 7 mills seco.</v>
          </cell>
          <cell r="V412" t="str">
            <v>Mate más o menos 1-2</v>
          </cell>
          <cell r="W412" t="str">
            <v>-</v>
          </cell>
          <cell r="X412" t="str">
            <v>12 meses</v>
          </cell>
          <cell r="Y412" t="str">
            <v>-</v>
          </cell>
          <cell r="Z412" t="str">
            <v>-</v>
          </cell>
          <cell r="AA412" t="str">
            <v xml:space="preserve">Finura Hegman: 3H-0 </v>
          </cell>
          <cell r="AB412" t="str">
            <v>Soraya de Quijada</v>
          </cell>
          <cell r="AC412" t="str">
            <v>SEPTIEMBRE 5,2002</v>
          </cell>
        </row>
        <row r="413">
          <cell r="A413" t="str">
            <v>LINEA B54</v>
          </cell>
          <cell r="B413" t="str">
            <v>PINTURA INDUSTRIAL FAST DRY</v>
          </cell>
          <cell r="C413" t="str">
            <v>INTERIOR-EXTERIOR</v>
          </cell>
          <cell r="D413" t="str">
            <v>METAL</v>
          </cell>
          <cell r="E413" t="str">
            <v>LIBRE DE GRASA Y OXIDO</v>
          </cell>
          <cell r="F413" t="str">
            <v>-</v>
          </cell>
          <cell r="G413" t="str">
            <v>7.47-8.95 LBS/GL DEPENDIENDO DEL COLOR</v>
          </cell>
          <cell r="H413" t="str">
            <v>2%-22% DEPENDIENDO DEL COLOR</v>
          </cell>
          <cell r="I413" t="str">
            <v>39.7%-55.7% DEPENDIENDO DEL COLOR</v>
          </cell>
          <cell r="J413" t="str">
            <v>60%-94% DEPENDIENDO DEL COLOR</v>
          </cell>
          <cell r="K413" t="str">
            <v>3.25%-14.75% DEPENDIENDO DEL COLOR</v>
          </cell>
          <cell r="L413" t="str">
            <v>25-40 DEPENDIENDO DEL COLOR</v>
          </cell>
          <cell r="M413" t="str">
            <v>75-80 KU</v>
          </cell>
          <cell r="N413" t="str">
            <v>BROCHA-PISTOLA</v>
          </cell>
          <cell r="O413" t="str">
            <v>-</v>
          </cell>
          <cell r="P413" t="str">
            <v>PISTOLA 25% INDUSTRIAL REDUCER</v>
          </cell>
          <cell r="Q413" t="str">
            <v>R2K4 Industrial Reducer.</v>
          </cell>
          <cell r="R413" t="str">
            <v>1.0-1.5 MILLS</v>
          </cell>
          <cell r="S413" t="str">
            <v>SECO TOCAR: 15"-20". SECO COMPLETO: 2-4 HORAS</v>
          </cell>
          <cell r="T413" t="str">
            <v>-</v>
          </cell>
          <cell r="U413" t="str">
            <v>40 MTS CUADRADOS/GAL UN MILLS DE PELICULA SECA</v>
          </cell>
          <cell r="V413" t="str">
            <v>85 MIN</v>
          </cell>
          <cell r="W413" t="str">
            <v>-</v>
          </cell>
          <cell r="X413" t="str">
            <v>2 años sin Abrir.</v>
          </cell>
          <cell r="Y413" t="str">
            <v>CONSTRUCTORA ABB</v>
          </cell>
          <cell r="Z413" t="str">
            <v>-</v>
          </cell>
          <cell r="AA413" t="str">
            <v>-</v>
          </cell>
          <cell r="AB413" t="str">
            <v>Soraya de Quijada</v>
          </cell>
          <cell r="AC413" t="str">
            <v>2 DE JUNIO DEL 2003</v>
          </cell>
        </row>
        <row r="414">
          <cell r="A414" t="str">
            <v>F73 N SA59</v>
          </cell>
          <cell r="B414" t="str">
            <v>ESMALTE HORNEABLE CAFÉ CLARO ELECTROSTATICO</v>
          </cell>
          <cell r="C414" t="str">
            <v>INTERIOR-EXTERIOR</v>
          </cell>
          <cell r="D414" t="str">
            <v>ACERO</v>
          </cell>
          <cell r="E414" t="str">
            <v>Lijado #360,  libre de grasa y oxido</v>
          </cell>
          <cell r="F414" t="str">
            <v>DE SER NECESARIO PUEDE UTILIZAR MONOBAKE WHITE E68WSA1</v>
          </cell>
          <cell r="G414" t="str">
            <v>11.13 LBS/GALON</v>
          </cell>
          <cell r="H414" t="str">
            <v>27.09 %</v>
          </cell>
          <cell r="I414" t="str">
            <v>50.41 %</v>
          </cell>
          <cell r="J414" t="str">
            <v>48.24 %</v>
          </cell>
          <cell r="K414" t="str">
            <v>19.48 %</v>
          </cell>
          <cell r="L414" t="str">
            <v>32.75 %</v>
          </cell>
          <cell r="M414" t="str">
            <v>26 - 33 SEG ZANH #2</v>
          </cell>
          <cell r="N414" t="str">
            <v>PISTOLA ELECTROSTATICA</v>
          </cell>
          <cell r="O414" t="str">
            <v>IGUAL QUE ANTERIOR</v>
          </cell>
          <cell r="P414" t="str">
            <v>NINGUNO</v>
          </cell>
          <cell r="Q414" t="str">
            <v>--</v>
          </cell>
          <cell r="R414" t="str">
            <v>1.5 MILS DE PELICULA SECA</v>
          </cell>
          <cell r="S414" t="str">
            <v>HORNO CONVENCIONAL</v>
          </cell>
          <cell r="T414" t="str">
            <v>12- 15 MIN A 150°c</v>
          </cell>
          <cell r="U414" t="str">
            <v>48.75 METROS CUADRADOS A UN MILS DE PELICULA SECA</v>
          </cell>
          <cell r="V414" t="str">
            <v>18-25  60°</v>
          </cell>
          <cell r="W414" t="str">
            <v>H</v>
          </cell>
          <cell r="X414" t="str">
            <v>6 MESES</v>
          </cell>
          <cell r="Y414" t="str">
            <v>HECASA</v>
          </cell>
          <cell r="Z414" t="str">
            <v>-----</v>
          </cell>
          <cell r="AA414" t="str">
            <v>RESISTENCIA ELECTRICA = 3.5 - 4.5 MEGA OHMIOS</v>
          </cell>
          <cell r="AB414" t="str">
            <v>Ing. Juan Antonio Méndez</v>
          </cell>
          <cell r="AC414" t="str">
            <v>Noviembre, 7 2002</v>
          </cell>
        </row>
        <row r="415">
          <cell r="A415" t="str">
            <v>F73 N SA58</v>
          </cell>
          <cell r="B415" t="str">
            <v>ESMALTE HORNEABLE CAFÉ HECASA ELECTROSTATICO</v>
          </cell>
          <cell r="C415" t="str">
            <v>INTERIOR-EXTERIOR</v>
          </cell>
          <cell r="D415" t="str">
            <v>ACERO</v>
          </cell>
          <cell r="E415" t="str">
            <v>Lijado #360,  libre de grasa y oxido</v>
          </cell>
          <cell r="F415" t="str">
            <v>DE SER NECESARIO PUEDE UTILIZAR MONOBAKE WHITE E68WSA1</v>
          </cell>
          <cell r="G415" t="str">
            <v>8.49 LBS/GALON</v>
          </cell>
          <cell r="H415" t="str">
            <v>10.97%</v>
          </cell>
          <cell r="I415" t="str">
            <v>40 %</v>
          </cell>
          <cell r="J415" t="str">
            <v>45.05%</v>
          </cell>
          <cell r="K415" t="str">
            <v>9.34 %</v>
          </cell>
          <cell r="L415" t="str">
            <v>30.17 %</v>
          </cell>
          <cell r="M415" t="str">
            <v>26 - 33 SEG ZANH #2</v>
          </cell>
          <cell r="N415" t="str">
            <v>PISTOLA ELECTROSTATICA</v>
          </cell>
          <cell r="O415" t="str">
            <v>IGUAL QUE ANTERIOR</v>
          </cell>
          <cell r="P415" t="str">
            <v>NINGUNO</v>
          </cell>
          <cell r="Q415" t="str">
            <v>--</v>
          </cell>
          <cell r="R415" t="str">
            <v>1.5 MILS DE PELICULA SECA</v>
          </cell>
          <cell r="S415" t="str">
            <v>HORNO CONVENCIONAL</v>
          </cell>
          <cell r="T415" t="str">
            <v>12- 15 MIN A 150°c</v>
          </cell>
          <cell r="U415" t="str">
            <v>44.96 METROS CUADRADOS A UN MILS DE PELICULA SECA</v>
          </cell>
          <cell r="V415" t="str">
            <v>30-34    60°</v>
          </cell>
          <cell r="W415" t="str">
            <v>H</v>
          </cell>
          <cell r="X415" t="str">
            <v>6 MESES</v>
          </cell>
          <cell r="Y415" t="str">
            <v>HECASA</v>
          </cell>
          <cell r="Z415" t="str">
            <v>-----</v>
          </cell>
          <cell r="AA415" t="str">
            <v>RESISTENCIA ELECTRICA = 3.5 - 4.5 MEGA OHMIOS</v>
          </cell>
          <cell r="AB415" t="str">
            <v>Ing. Juan Antonio Méndez</v>
          </cell>
          <cell r="AC415" t="str">
            <v>Noviembre, 7 2002</v>
          </cell>
        </row>
        <row r="416">
          <cell r="A416" t="str">
            <v>F73 W SA28</v>
          </cell>
          <cell r="B416" t="str">
            <v>ESMALTE HORNEABLE BLANCO HUESO ELECTROSTATICO</v>
          </cell>
          <cell r="C416" t="str">
            <v>INTERIOR-EXTERIOR</v>
          </cell>
          <cell r="D416" t="str">
            <v>ACERO</v>
          </cell>
          <cell r="E416" t="str">
            <v>Lijado #360,  libre de grasa y oxido</v>
          </cell>
          <cell r="F416" t="str">
            <v>DE SER NECESARIO PUEDE UTILIZAR MONOBAKE WHITE E68WSA1</v>
          </cell>
          <cell r="G416" t="str">
            <v>9.27 LBS/GALON</v>
          </cell>
          <cell r="H416" t="str">
            <v>15.33 %</v>
          </cell>
          <cell r="I416" t="str">
            <v>44.21 %</v>
          </cell>
          <cell r="J416" t="str">
            <v>68.55 %</v>
          </cell>
          <cell r="K416" t="str">
            <v>13.84 %</v>
          </cell>
          <cell r="L416" t="str">
            <v>33.34 %</v>
          </cell>
          <cell r="M416" t="str">
            <v>26 - 33 SEG ZANH #2</v>
          </cell>
          <cell r="N416" t="str">
            <v>PISTOLA ELECTROSTATICA</v>
          </cell>
          <cell r="O416" t="str">
            <v>IGUAL QUE ANTERIOR</v>
          </cell>
          <cell r="P416" t="str">
            <v>NINGUNO</v>
          </cell>
          <cell r="Q416" t="str">
            <v>--</v>
          </cell>
          <cell r="R416" t="str">
            <v>1.5 MILS DE PELICULA SECA</v>
          </cell>
          <cell r="S416" t="str">
            <v>HORNO CONVENCIONAL</v>
          </cell>
          <cell r="T416" t="str">
            <v>12- 15 MIN A 150°c</v>
          </cell>
          <cell r="U416" t="str">
            <v>51.49 METROS CUADRADOS A UN MILS DE PELICULA SECA</v>
          </cell>
          <cell r="V416" t="str">
            <v>76 - 80  °60</v>
          </cell>
          <cell r="W416" t="str">
            <v>H</v>
          </cell>
          <cell r="X416" t="str">
            <v>6 MESES</v>
          </cell>
          <cell r="Y416" t="str">
            <v>HECASA</v>
          </cell>
          <cell r="Z416" t="str">
            <v>-----</v>
          </cell>
          <cell r="AA416" t="str">
            <v>RESISTENCIA ELECTRICA = 3.5 - 4.5 MEGA OHMIOS</v>
          </cell>
          <cell r="AB416" t="str">
            <v>Ing. Juan Antonio Méndez</v>
          </cell>
          <cell r="AC416" t="str">
            <v>Noviembre, 7 2002</v>
          </cell>
        </row>
        <row r="417">
          <cell r="A417" t="str">
            <v>F73 W SA29</v>
          </cell>
          <cell r="B417" t="str">
            <v>ESMALTE HORNEABLE BLANCO BRILLANTE ELECTROSTATICO</v>
          </cell>
          <cell r="C417" t="str">
            <v>INTERIOR-EXTERIOR</v>
          </cell>
          <cell r="D417" t="str">
            <v>ACERO</v>
          </cell>
          <cell r="E417" t="str">
            <v>Lijado #360,  libre de grasa y oxido</v>
          </cell>
          <cell r="F417" t="str">
            <v>DE SER NECESARIO PUEDE UTILIZAR MONOBAKE WHITE E68WSA1</v>
          </cell>
          <cell r="G417" t="str">
            <v>10.36 LBS/GALON</v>
          </cell>
          <cell r="H417" t="str">
            <v>24.78 %</v>
          </cell>
          <cell r="I417" t="str">
            <v>51.36 %</v>
          </cell>
          <cell r="J417" t="str">
            <v>50.36 %</v>
          </cell>
          <cell r="K417" t="str">
            <v>22.26 %</v>
          </cell>
          <cell r="L417" t="str">
            <v>36.67 %</v>
          </cell>
          <cell r="M417" t="str">
            <v>26 - 33 SEG ZANH #2</v>
          </cell>
          <cell r="N417" t="str">
            <v>PISTOLA ELECTROSTATICA</v>
          </cell>
          <cell r="O417" t="str">
            <v>IGUAL QUE ANTERIOR</v>
          </cell>
          <cell r="P417" t="str">
            <v>NINGUNO</v>
          </cell>
          <cell r="Q417" t="str">
            <v>--</v>
          </cell>
          <cell r="R417" t="str">
            <v>1.5 MILS DE PELICULA SECA</v>
          </cell>
          <cell r="S417" t="str">
            <v>HORNO CONVENCIONAL</v>
          </cell>
          <cell r="T417" t="str">
            <v>12- 15 MIN A 150°c</v>
          </cell>
          <cell r="U417" t="str">
            <v>54.69 METROS CUADRADOS A UN MILS DE PELICULA SECA</v>
          </cell>
          <cell r="V417" t="str">
            <v>+85     °60</v>
          </cell>
          <cell r="W417" t="str">
            <v>H</v>
          </cell>
          <cell r="X417" t="str">
            <v>6 MESES</v>
          </cell>
          <cell r="Y417" t="str">
            <v>HECASA</v>
          </cell>
          <cell r="Z417" t="str">
            <v>-----</v>
          </cell>
          <cell r="AA417" t="str">
            <v>RESISTENCIA ELECTRICA = 3.5 - 4.5 MEGA OHMIOS</v>
          </cell>
          <cell r="AB417" t="str">
            <v>Ing. Juan Antonio Méndez</v>
          </cell>
          <cell r="AC417" t="str">
            <v>Noviembre, 7 2002</v>
          </cell>
        </row>
        <row r="418">
          <cell r="A418" t="str">
            <v>F75 W SA6</v>
          </cell>
          <cell r="B418" t="str">
            <v>ESMALTE HORNEABLE INDUSTRIAL BLANCO PURO ELECTROSTATICO</v>
          </cell>
          <cell r="C418" t="str">
            <v>INTERIOR-EXTERIOR</v>
          </cell>
          <cell r="D418" t="str">
            <v>ACERO</v>
          </cell>
          <cell r="E418" t="str">
            <v>Lijado #360,  libre de grasa y oxido</v>
          </cell>
          <cell r="F418" t="str">
            <v>DE SER NECESARIO PUEDE UTILIZAR MONOBAKE WHITE E68WSA1</v>
          </cell>
          <cell r="G418" t="str">
            <v>10.31 LBS/GALON</v>
          </cell>
          <cell r="H418" t="str">
            <v>27.68%</v>
          </cell>
          <cell r="I418" t="str">
            <v>55.65 %</v>
          </cell>
          <cell r="J418" t="str">
            <v>49.91 %</v>
          </cell>
          <cell r="K418" t="str">
            <v>22.87 %</v>
          </cell>
          <cell r="L418" t="str">
            <v>39.31 %</v>
          </cell>
          <cell r="M418" t="str">
            <v>26 - 33 SEG ZANH #2</v>
          </cell>
          <cell r="N418" t="str">
            <v>PISTOLA ELECTROSTATICA</v>
          </cell>
          <cell r="O418" t="str">
            <v>IGUAL QUE ANTERIOR</v>
          </cell>
          <cell r="P418" t="str">
            <v>NINGUNO</v>
          </cell>
          <cell r="Q418" t="str">
            <v>--</v>
          </cell>
          <cell r="R418" t="str">
            <v>1.5 MILS DE PELICULA SECA</v>
          </cell>
          <cell r="S418" t="str">
            <v>HORNO CONVENCIONAL</v>
          </cell>
          <cell r="T418" t="str">
            <v>12- 15 MIN A 150°c</v>
          </cell>
          <cell r="U418" t="str">
            <v>58.57 METROS CUADRADOS A UN MILS DE PELICULA SECA</v>
          </cell>
          <cell r="V418" t="str">
            <v>+85     °60</v>
          </cell>
          <cell r="W418" t="str">
            <v>F</v>
          </cell>
          <cell r="X418" t="str">
            <v>6 MESES</v>
          </cell>
          <cell r="Y418" t="str">
            <v>HECASA</v>
          </cell>
          <cell r="Z418" t="str">
            <v>-----</v>
          </cell>
          <cell r="AA418" t="str">
            <v>RESISTENCIA ELECTRICA = 3.5 - 4.5 MEGA OHMIOS</v>
          </cell>
          <cell r="AB418" t="str">
            <v>Ing. Juan Antonio Méndez</v>
          </cell>
          <cell r="AC418" t="str">
            <v>Noviembre, 7 2002</v>
          </cell>
        </row>
        <row r="419">
          <cell r="A419" t="str">
            <v>F75 N SA8</v>
          </cell>
          <cell r="B419" t="str">
            <v>ESMALTE HORNEABLE INDUSTRIAL COPPERTONE LISO ELECTROSTATICO</v>
          </cell>
          <cell r="C419" t="str">
            <v>INTERIOR-EXTERIOR</v>
          </cell>
          <cell r="D419" t="str">
            <v>ACERO</v>
          </cell>
          <cell r="E419" t="str">
            <v>Lijado #360,  libre de grasa y oxido</v>
          </cell>
          <cell r="F419" t="str">
            <v>DE SER NECESARIO PUEDE UTILIZAR MONOBAKE WHITE E68WSA1</v>
          </cell>
          <cell r="G419" t="str">
            <v>9.39 LBS/GALON</v>
          </cell>
          <cell r="H419" t="str">
            <v>13.68 %</v>
          </cell>
          <cell r="I419" t="str">
            <v>46.82 %</v>
          </cell>
          <cell r="J419" t="str">
            <v>62.55 %</v>
          </cell>
          <cell r="K419" t="str">
            <v>10.44 %</v>
          </cell>
          <cell r="L419" t="str">
            <v>36.98 %</v>
          </cell>
          <cell r="M419" t="str">
            <v>26 - 33 SEG ZANH #2</v>
          </cell>
          <cell r="N419" t="str">
            <v>PISTOLA ELECTROSTATICA</v>
          </cell>
          <cell r="O419" t="str">
            <v>IGUAL QUE ANTERIOR</v>
          </cell>
          <cell r="P419" t="str">
            <v>NINGUNO</v>
          </cell>
          <cell r="Q419" t="str">
            <v>--</v>
          </cell>
          <cell r="R419" t="str">
            <v>1.5 MILS DE PELICULA SECA</v>
          </cell>
          <cell r="S419" t="str">
            <v>HORNO CONVENCIONAL</v>
          </cell>
          <cell r="T419" t="str">
            <v>12- 15 MIN A 150°c</v>
          </cell>
          <cell r="U419" t="str">
            <v>55.10 METROS CUADRADOS A UN MILS DE PELICULA SECA</v>
          </cell>
          <cell r="V419" t="str">
            <v>+85     °60</v>
          </cell>
          <cell r="W419" t="str">
            <v>F</v>
          </cell>
          <cell r="X419" t="str">
            <v>6 MESES</v>
          </cell>
          <cell r="Y419" t="str">
            <v>HECASA</v>
          </cell>
          <cell r="Z419" t="str">
            <v>-----</v>
          </cell>
          <cell r="AA419" t="str">
            <v>RESISTENCIA ELECTRICA = 3.5 - 4.5 MEGA OHMIOS</v>
          </cell>
          <cell r="AB419" t="str">
            <v>Ing. Juan Antonio Méndez</v>
          </cell>
          <cell r="AC419" t="str">
            <v>Noviembre, 7 2002</v>
          </cell>
        </row>
        <row r="420">
          <cell r="A420" t="str">
            <v>F75 N SA7</v>
          </cell>
          <cell r="B420" t="str">
            <v>ESMALTE HORNEABLE INDUSTRIAL CAFÉ OSCURO TEXTURIZADO ELECTROSTATICO</v>
          </cell>
          <cell r="C420" t="str">
            <v>INTERIOR-EXTERIOR</v>
          </cell>
          <cell r="D420" t="str">
            <v>ACERO</v>
          </cell>
          <cell r="E420" t="str">
            <v>Lijado #360,  libre de grasa y oxido</v>
          </cell>
          <cell r="F420" t="str">
            <v>DE SER NECESARIO PUEDE UTILIZAR MONOBAKE WHITE E68WSA1</v>
          </cell>
          <cell r="G420" t="str">
            <v>9.49 LBS/GALON</v>
          </cell>
          <cell r="H420" t="str">
            <v>10.74 %</v>
          </cell>
          <cell r="I420" t="str">
            <v>46.82 %</v>
          </cell>
          <cell r="J420" t="str">
            <v>64.38 %</v>
          </cell>
          <cell r="K420" t="str">
            <v>8.62 %</v>
          </cell>
          <cell r="L420" t="str">
            <v>36.36 %</v>
          </cell>
          <cell r="M420" t="str">
            <v>26 - 33 SEG ZANH #2</v>
          </cell>
          <cell r="N420" t="str">
            <v>PISTOLA ELECTROSTATICA</v>
          </cell>
          <cell r="O420" t="str">
            <v>IGUAL QUE ANTERIOR</v>
          </cell>
          <cell r="P420" t="str">
            <v>NINGUNO</v>
          </cell>
          <cell r="Q420" t="str">
            <v>--</v>
          </cell>
          <cell r="R420" t="str">
            <v>1.5 MILS DE PELICULA SECA</v>
          </cell>
          <cell r="S420" t="str">
            <v>HORNO CONVENCIONAL</v>
          </cell>
          <cell r="T420" t="str">
            <v>12- 15 MIN A 150°c</v>
          </cell>
          <cell r="U420" t="str">
            <v>54.18 METROS CUADRADOS A UN MILS DE PELICULA SECA</v>
          </cell>
          <cell r="V420" t="str">
            <v>70 - 80    °60</v>
          </cell>
          <cell r="W420" t="str">
            <v>F</v>
          </cell>
          <cell r="X420" t="str">
            <v>6 MESES</v>
          </cell>
          <cell r="Y420" t="str">
            <v>HECASA</v>
          </cell>
          <cell r="Z420" t="str">
            <v>----</v>
          </cell>
          <cell r="AA420" t="str">
            <v>RESISTENCIA ELECTRICA = 3.5 - 4.5 MEGA OHMIOS</v>
          </cell>
          <cell r="AB420" t="str">
            <v>Ing. Juan Antonio Méndez</v>
          </cell>
          <cell r="AC420" t="str">
            <v>Noviembre, 7 2002</v>
          </cell>
        </row>
        <row r="421">
          <cell r="A421" t="str">
            <v>F75 R SA3</v>
          </cell>
          <cell r="B421" t="str">
            <v>ESMALTE HORNEABLE INDUSTRIAL ROJO ELECTROSTATICO</v>
          </cell>
          <cell r="C421" t="str">
            <v>INTERIOR-EXTERIOR</v>
          </cell>
          <cell r="D421" t="str">
            <v>ACERO</v>
          </cell>
          <cell r="E421" t="str">
            <v>Lijado #360,  libre de grasa y oxido</v>
          </cell>
          <cell r="F421" t="str">
            <v>DE SER NECESARIO PUEDE UTILIZAR MONOBAKE WHITE E68WSA1</v>
          </cell>
          <cell r="G421" t="str">
            <v>9.28 LBS/GALON</v>
          </cell>
          <cell r="H421" t="str">
            <v>18.12 %</v>
          </cell>
          <cell r="I421" t="str">
            <v>50.10%</v>
          </cell>
          <cell r="J421" t="str">
            <v>67.25 %</v>
          </cell>
          <cell r="K421" t="str">
            <v>14.68 %</v>
          </cell>
          <cell r="L421" t="str">
            <v>36.57 %</v>
          </cell>
          <cell r="M421" t="str">
            <v>26 - 33 SEG ZANH #2</v>
          </cell>
          <cell r="N421" t="str">
            <v>PISTOLA ELECTROSTATICA</v>
          </cell>
          <cell r="O421" t="str">
            <v>IGUAL QUE ANTERIOR</v>
          </cell>
          <cell r="P421" t="str">
            <v>NINGUNO</v>
          </cell>
          <cell r="Q421" t="str">
            <v>--</v>
          </cell>
          <cell r="R421" t="str">
            <v>1.5 MILS DE PELICULA SECA</v>
          </cell>
          <cell r="S421" t="str">
            <v>HORNO CONVENCIONAL</v>
          </cell>
          <cell r="T421" t="str">
            <v>12- 15 MIN A 150°c</v>
          </cell>
          <cell r="U421" t="str">
            <v>54.48 METROS CUADRADOS A UN MILS DE PELICULA SECA</v>
          </cell>
          <cell r="V421" t="str">
            <v>70 - 80    °60</v>
          </cell>
          <cell r="W421" t="str">
            <v>F</v>
          </cell>
          <cell r="X421" t="str">
            <v>6 MESES</v>
          </cell>
          <cell r="Y421" t="str">
            <v>HECASA</v>
          </cell>
          <cell r="Z421" t="str">
            <v>----</v>
          </cell>
          <cell r="AA421" t="str">
            <v>RESISTENCIA ELECTRICA = 3.5 - 4.5 MEGA OHMIOS</v>
          </cell>
          <cell r="AB421" t="str">
            <v>Ing. Juan Antonio Méndez</v>
          </cell>
          <cell r="AC421" t="str">
            <v>Noviembre, 7 2002</v>
          </cell>
        </row>
        <row r="422">
          <cell r="A422" t="str">
            <v>B66YSA2</v>
          </cell>
          <cell r="B422" t="str">
            <v>DIRECT-TO-METAL PRIMER YELLOW OXIDE SW-PDV-300</v>
          </cell>
          <cell r="C422" t="str">
            <v>INTERIOR-EXTERIOR</v>
          </cell>
          <cell r="D422" t="str">
            <v>METAL</v>
          </cell>
          <cell r="E422" t="str">
            <v>LIBRE DE GRASA Y OXIDO</v>
          </cell>
          <cell r="F422" t="str">
            <v>-</v>
          </cell>
          <cell r="G422" t="str">
            <v>10.97 LBS/GL</v>
          </cell>
          <cell r="H422" t="str">
            <v>33.60%</v>
          </cell>
          <cell r="I422" t="str">
            <v>55.24%</v>
          </cell>
          <cell r="J422" t="str">
            <v>21.64%</v>
          </cell>
          <cell r="K422" t="str">
            <v>34.44%</v>
          </cell>
          <cell r="L422" t="str">
            <v>42.32</v>
          </cell>
          <cell r="M422" t="str">
            <v>90-100 KU</v>
          </cell>
          <cell r="N422" t="str">
            <v>BROCHA-PISTOLA</v>
          </cell>
          <cell r="O422" t="str">
            <v>-</v>
          </cell>
          <cell r="P422" t="str">
            <v>25% MAX</v>
          </cell>
          <cell r="Q422" t="str">
            <v>AGUA</v>
          </cell>
          <cell r="R422" t="str">
            <v>1.5 MILS DE PELICULA SECA</v>
          </cell>
          <cell r="S422" t="str">
            <v>AL AIRE</v>
          </cell>
          <cell r="T422" t="str">
            <v>-</v>
          </cell>
          <cell r="U422" t="str">
            <v>60 Mts Cuadrados/Gl a 1 mills de espesor.</v>
          </cell>
          <cell r="V422" t="str">
            <v>MATE</v>
          </cell>
          <cell r="W422" t="str">
            <v>-</v>
          </cell>
          <cell r="X422" t="str">
            <v>1 AÑO</v>
          </cell>
          <cell r="Y422" t="str">
            <v>CITGO</v>
          </cell>
          <cell r="Z422" t="str">
            <v>-</v>
          </cell>
          <cell r="AB422" t="str">
            <v>Soraya de Quijada</v>
          </cell>
          <cell r="AC422">
            <v>37593</v>
          </cell>
        </row>
        <row r="423">
          <cell r="A423" t="str">
            <v>F1LSA7</v>
          </cell>
          <cell r="B423" t="str">
            <v>KEM TRANSPORT METALLIC BLUE SW-PDV-100</v>
          </cell>
          <cell r="C423" t="str">
            <v>INTERIOR-EXTERIOR</v>
          </cell>
          <cell r="D423" t="str">
            <v>HIERRO- ACERO</v>
          </cell>
          <cell r="E423" t="str">
            <v>LIJADO #320, LIBRE DE GRASA Y OXIDO</v>
          </cell>
          <cell r="F423" t="str">
            <v>E3 A 4801, KEM PRIMER NEUTRAL GRAY</v>
          </cell>
          <cell r="G423" t="str">
            <v>7.52 LBS/GAL</v>
          </cell>
          <cell r="H423" t="str">
            <v>3.93%</v>
          </cell>
          <cell r="I423" t="str">
            <v>45.90 %</v>
          </cell>
          <cell r="J423" t="str">
            <v>89.80 %</v>
          </cell>
          <cell r="K423" t="str">
            <v>6.29 %</v>
          </cell>
          <cell r="L423" t="str">
            <v>38.63%</v>
          </cell>
          <cell r="M423" t="str">
            <v>70 - 80 KU</v>
          </cell>
          <cell r="N423" t="str">
            <v>PISTOLA</v>
          </cell>
          <cell r="O423" t="str">
            <v>18 - 22 SEG ZANH #2</v>
          </cell>
          <cell r="P423" t="str">
            <v xml:space="preserve">40 - 50% </v>
          </cell>
          <cell r="Q423" t="str">
            <v>R4K183 o R2K1</v>
          </cell>
          <cell r="R423" t="str">
            <v>1.5 MILS DE PELICULA SECA</v>
          </cell>
          <cell r="S423" t="str">
            <v>AL AIRE</v>
          </cell>
          <cell r="T423" t="str">
            <v>NINGUNO</v>
          </cell>
          <cell r="U423" t="str">
            <v>57.55 metros cuadrados por galón a un mils de pelicula seca</v>
          </cell>
          <cell r="V423" t="str">
            <v>70 - 80      (°60)</v>
          </cell>
          <cell r="W423" t="str">
            <v>-</v>
          </cell>
          <cell r="X423" t="str">
            <v>1 año</v>
          </cell>
          <cell r="Y423" t="str">
            <v>CITGO</v>
          </cell>
          <cell r="Z423" t="str">
            <v>SE DESCONOCE</v>
          </cell>
          <cell r="AA423" t="str">
            <v>-</v>
          </cell>
          <cell r="AB423" t="str">
            <v>Ing. Juan Antonio Méndez</v>
          </cell>
          <cell r="AC423">
            <v>37593</v>
          </cell>
        </row>
        <row r="424">
          <cell r="A424" t="str">
            <v>A48NSA11</v>
          </cell>
          <cell r="B424" t="str">
            <v>OIL STAIN CAFÉ ESPECIAL RADISSON</v>
          </cell>
          <cell r="C424" t="str">
            <v>INTERIOR</v>
          </cell>
          <cell r="D424" t="str">
            <v>MADERA</v>
          </cell>
          <cell r="E424" t="str">
            <v>LIJADA, LIBRE DE POLVO Y GRASA</v>
          </cell>
          <cell r="F424" t="str">
            <v>-</v>
          </cell>
          <cell r="G424" t="str">
            <v>7.59 LBS/GL</v>
          </cell>
          <cell r="H424" t="str">
            <v>4%</v>
          </cell>
          <cell r="I424" t="str">
            <v>34.35%</v>
          </cell>
          <cell r="J424" t="str">
            <v>30.58%</v>
          </cell>
          <cell r="K424" t="str">
            <v>5.96%</v>
          </cell>
          <cell r="L424" t="str">
            <v>25.0%</v>
          </cell>
          <cell r="M424" t="str">
            <v>9"-11"</v>
          </cell>
          <cell r="N424" t="str">
            <v>PISTOLA-MANUAL CON PAÑO LIMPIO</v>
          </cell>
          <cell r="O424" t="str">
            <v>LA MISMA</v>
          </cell>
          <cell r="P424" t="str">
            <v>NINGUNO</v>
          </cell>
          <cell r="Q424" t="str">
            <v>EN CASO DE SER NECESARIO R1K4 MINERAL SPIRITS</v>
          </cell>
          <cell r="R424" t="str">
            <v>-</v>
          </cell>
          <cell r="S424" t="str">
            <v>AL AIRE</v>
          </cell>
          <cell r="T424" t="str">
            <v>-</v>
          </cell>
          <cell r="U424" t="str">
            <v>37.25 METROS CUADRADOS/GL A UN MILS DE PELICULA SECA</v>
          </cell>
          <cell r="V424" t="str">
            <v>-</v>
          </cell>
          <cell r="W424" t="str">
            <v>-</v>
          </cell>
          <cell r="X424" t="str">
            <v>1 AÑO</v>
          </cell>
          <cell r="Y424" t="str">
            <v>HOTEL RADISSON</v>
          </cell>
          <cell r="Z424" t="str">
            <v>Muebles de Madera.</v>
          </cell>
          <cell r="AA424" t="str">
            <v>EL PRODUCTO PASO LAS PRUEBAS DE ESTABILIDAD, LO QUE GARANTIZA QUE ESTA MEZCLA ES ESTABLE EN UN TIEMPO  DE 1 AÑO SIN DESTAPARSE.</v>
          </cell>
          <cell r="AB424" t="str">
            <v>Soraya de Quijada</v>
          </cell>
          <cell r="AC424" t="str">
            <v>ENERO 28, 2003</v>
          </cell>
        </row>
        <row r="425">
          <cell r="A425" t="str">
            <v>A48NSA12</v>
          </cell>
          <cell r="B425" t="str">
            <v>OIL STAIN CAFÉ ROJIZO RADISSON</v>
          </cell>
          <cell r="C425" t="str">
            <v>INTERIOR</v>
          </cell>
          <cell r="D425" t="str">
            <v>MADERA</v>
          </cell>
          <cell r="E425" t="str">
            <v>LIJADA, LIBRE DE POLVO Y GRASA</v>
          </cell>
          <cell r="F425" t="str">
            <v>-</v>
          </cell>
          <cell r="G425" t="str">
            <v>7.82 lbs/gl</v>
          </cell>
          <cell r="H425" t="str">
            <v>13%</v>
          </cell>
          <cell r="I425" t="str">
            <v>28.23%</v>
          </cell>
          <cell r="J425" t="str">
            <v>15.43%</v>
          </cell>
          <cell r="K425" t="str">
            <v>18.10%</v>
          </cell>
          <cell r="L425" t="str">
            <v>16.18%</v>
          </cell>
          <cell r="M425" t="str">
            <v>9"-11"</v>
          </cell>
          <cell r="N425" t="str">
            <v>PISTOLA-MANUAL CON PAÑO LIMPIO</v>
          </cell>
          <cell r="O425" t="str">
            <v>LA MISMA</v>
          </cell>
          <cell r="P425" t="str">
            <v>NINGUNO</v>
          </cell>
          <cell r="Q425" t="str">
            <v>EN CASO DE SER NECESARIO R1K4 MINERAL SPIRITS</v>
          </cell>
          <cell r="R425" t="str">
            <v>-</v>
          </cell>
          <cell r="S425" t="str">
            <v>AL AIRE</v>
          </cell>
          <cell r="T425" t="str">
            <v>-</v>
          </cell>
          <cell r="U425" t="str">
            <v>24.11 METROS CUADRADOS/GL A UN MILS DE PELICULA SECA</v>
          </cell>
          <cell r="V425" t="str">
            <v>-</v>
          </cell>
          <cell r="W425" t="str">
            <v>-</v>
          </cell>
          <cell r="X425" t="str">
            <v>2 años sin Abrir.</v>
          </cell>
          <cell r="Y425" t="str">
            <v>HOTEL RADISSON</v>
          </cell>
          <cell r="Z425" t="str">
            <v>Muebles de Madera.</v>
          </cell>
          <cell r="AB425" t="str">
            <v>Soraya de Quijada</v>
          </cell>
          <cell r="AC425" t="str">
            <v>ENERO 28, 2003</v>
          </cell>
        </row>
        <row r="426">
          <cell r="A426" t="str">
            <v>V2V109</v>
          </cell>
          <cell r="B426" t="str">
            <v>WAX SOLUTION</v>
          </cell>
          <cell r="C426" t="str">
            <v>EXTERIOR</v>
          </cell>
          <cell r="D426" t="str">
            <v xml:space="preserve">METAL </v>
          </cell>
          <cell r="E426" t="str">
            <v>LIMPIA Y SECA</v>
          </cell>
          <cell r="F426" t="str">
            <v>NINGUNO</v>
          </cell>
          <cell r="G426" t="str">
            <v>7.53</v>
          </cell>
          <cell r="H426" t="str">
            <v>0.0</v>
          </cell>
          <cell r="I426" t="str">
            <v>18.8</v>
          </cell>
          <cell r="J426" t="str">
            <v>0.0</v>
          </cell>
          <cell r="K426" t="str">
            <v>0.0</v>
          </cell>
          <cell r="L426" t="str">
            <v>15.72</v>
          </cell>
          <cell r="M426" t="str">
            <v>43SEG FORD#4</v>
          </cell>
          <cell r="N426" t="str">
            <v>BROCHA</v>
          </cell>
          <cell r="O426" t="str">
            <v>LISTO A USAR</v>
          </cell>
          <cell r="P426" t="str">
            <v>NINGUNO</v>
          </cell>
          <cell r="Q426" t="str">
            <v>NINGUNO</v>
          </cell>
          <cell r="R426" t="str">
            <v>5-10MILS</v>
          </cell>
          <cell r="S426" t="str">
            <v>AL AIRE</v>
          </cell>
          <cell r="T426" t="str">
            <v>-</v>
          </cell>
          <cell r="U426" t="str">
            <v>28MTS CUADRADOS A 1 MILS</v>
          </cell>
          <cell r="V426" t="str">
            <v>MATE</v>
          </cell>
          <cell r="W426" t="str">
            <v>2B-B</v>
          </cell>
          <cell r="X426" t="str">
            <v>1AÑO SIN DESTAPARSE Y A 25°C</v>
          </cell>
          <cell r="Y426" t="str">
            <v>ASTALDI</v>
          </cell>
        </row>
        <row r="427">
          <cell r="A427" t="str">
            <v>SAA 5760</v>
          </cell>
          <cell r="B427" t="str">
            <v>TAPAPORO PARA MADERA DE SECADO RAIDO</v>
          </cell>
          <cell r="C427" t="str">
            <v>INTERIOR</v>
          </cell>
          <cell r="D427" t="str">
            <v xml:space="preserve">MADERA NUEVA </v>
          </cell>
          <cell r="E427" t="str">
            <v>MADERA NUEVA: LIJADO #150, LIBRE DE POLVILLO. MADERA VIEJA: LIJADO #150, LIBRE DE GRASA, ACEITE, LIMPIA Y SECA</v>
          </cell>
          <cell r="F427" t="str">
            <v>NINGUNO</v>
          </cell>
          <cell r="G427" t="str">
            <v>10.59 LBS/GALON</v>
          </cell>
          <cell r="H427" t="str">
            <v>0.0 %</v>
          </cell>
          <cell r="I427" t="str">
            <v>58.62%</v>
          </cell>
          <cell r="J427" t="str">
            <v>16.54%</v>
          </cell>
          <cell r="K427" t="str">
            <v>65.99 %</v>
          </cell>
          <cell r="L427" t="str">
            <v>36.32 %</v>
          </cell>
          <cell r="M427" t="str">
            <v>29,000 - 32,000 Cps</v>
          </cell>
          <cell r="N427" t="str">
            <v>BROCHA, ESPATULA</v>
          </cell>
          <cell r="P427" t="str">
            <v>REDUCIR 3 PARTES DE TAPAPORO CON 1 PARTE POR VOLUMEN DE SOLVENTE</v>
          </cell>
          <cell r="Q427" t="str">
            <v>OPEX LACQUER THINNER R7K128</v>
          </cell>
          <cell r="R427" t="str">
            <v>-</v>
          </cell>
          <cell r="S427" t="str">
            <v>AL AIRE</v>
          </cell>
          <cell r="T427" t="str">
            <v>-</v>
          </cell>
          <cell r="U427" t="str">
            <v>DEPENDE DEL RELLENO</v>
          </cell>
          <cell r="V427" t="str">
            <v>MATE</v>
          </cell>
          <cell r="W427" t="str">
            <v>-</v>
          </cell>
          <cell r="X427" t="str">
            <v>1 AÑO SIN DESTAPARSE MANTENIENDOSE A25°c Y 45-65 % H.R</v>
          </cell>
          <cell r="Y427" t="str">
            <v>DERIMASA</v>
          </cell>
          <cell r="Z427" t="str">
            <v>Muebles de Madera</v>
          </cell>
          <cell r="AA427" t="str">
            <v>-</v>
          </cell>
          <cell r="AB427" t="str">
            <v>Juan Antonio Méndez</v>
          </cell>
          <cell r="AC427" t="str">
            <v>Febrero 3, 2003</v>
          </cell>
        </row>
        <row r="428">
          <cell r="A428" t="str">
            <v>F63FSA1</v>
          </cell>
          <cell r="B428" t="str">
            <v>Barniz H.S Transparente Mate</v>
          </cell>
          <cell r="C428" t="str">
            <v>Interior</v>
          </cell>
          <cell r="D428" t="str">
            <v>Madera</v>
          </cell>
          <cell r="E428" t="str">
            <v>Lijado+Tapaporo+Tinte+Primer E65</v>
          </cell>
          <cell r="F428" t="str">
            <v>Poliuretano E65FSA1</v>
          </cell>
          <cell r="G428" t="str">
            <v>7.71 Lbs/Gl</v>
          </cell>
          <cell r="H428" t="str">
            <v>4.9</v>
          </cell>
          <cell r="I428" t="str">
            <v>26.37</v>
          </cell>
          <cell r="J428" t="str">
            <v>20.6</v>
          </cell>
          <cell r="K428" t="str">
            <v>13.98</v>
          </cell>
          <cell r="L428" t="str">
            <v>18.88</v>
          </cell>
          <cell r="M428" t="str">
            <v>18-20 seg copa zanh#2</v>
          </cell>
          <cell r="N428" t="str">
            <v>Pistola</v>
          </cell>
          <cell r="O428" t="str">
            <v>18"-20" Copa Ford #4</v>
          </cell>
          <cell r="P428" t="str">
            <v>Ninguno</v>
          </cell>
          <cell r="Q428" t="str">
            <v>NINGUNO</v>
          </cell>
          <cell r="R428" t="str">
            <v>1 mills</v>
          </cell>
          <cell r="S428" t="str">
            <v xml:space="preserve"> Catalizado 1/16 DE V6V690 por galón. Secado al aire</v>
          </cell>
          <cell r="T428" t="str">
            <v>Catalizar con  1/16 V6V690 por galón.</v>
          </cell>
          <cell r="U428" t="str">
            <v>28 mts Cuadrados/Gl a 1 mills de espesor</v>
          </cell>
          <cell r="V428" t="str">
            <v>5-7</v>
          </cell>
          <cell r="W428" t="str">
            <v>-</v>
          </cell>
          <cell r="X428" t="str">
            <v>1 año</v>
          </cell>
          <cell r="Y428" t="str">
            <v>varios</v>
          </cell>
          <cell r="Z428" t="str">
            <v>Muebles de Madera.</v>
          </cell>
          <cell r="AA428" t="str">
            <v>-</v>
          </cell>
          <cell r="AB428" t="str">
            <v>Rigoberto Montalvo</v>
          </cell>
          <cell r="AC428">
            <v>37679</v>
          </cell>
        </row>
        <row r="429">
          <cell r="A429" t="str">
            <v>F75NSA5</v>
          </cell>
          <cell r="B429" t="str">
            <v>Esmalte Horneable Alk. Indutrial Café</v>
          </cell>
          <cell r="C429" t="str">
            <v>Interior-Exterior</v>
          </cell>
          <cell r="D429" t="str">
            <v>acero</v>
          </cell>
          <cell r="E429" t="str">
            <v>Limpieza y Desengrase</v>
          </cell>
          <cell r="F429" t="str">
            <v>ninguno</v>
          </cell>
          <cell r="G429" t="str">
            <v>8.34 Lbs / galon</v>
          </cell>
          <cell r="H429" t="str">
            <v>6.23</v>
          </cell>
          <cell r="I429" t="str">
            <v>47.62</v>
          </cell>
          <cell r="J429" t="str">
            <v>85.44</v>
          </cell>
          <cell r="K429" t="str">
            <v>4.34</v>
          </cell>
          <cell r="L429" t="str">
            <v>37.81</v>
          </cell>
          <cell r="M429" t="str">
            <v>95-105 seg copa zanh #2</v>
          </cell>
          <cell r="N429" t="str">
            <v>Pistola</v>
          </cell>
          <cell r="O429" t="str">
            <v>18-22 seg copa zanh #2</v>
          </cell>
          <cell r="P429" t="str">
            <v>20-25%</v>
          </cell>
          <cell r="Q429" t="str">
            <v>R2K4 Industrial Reducer.</v>
          </cell>
          <cell r="R429" t="str">
            <v>1-1.5 mills</v>
          </cell>
          <cell r="S429" t="str">
            <v>Al horno</v>
          </cell>
          <cell r="T429" t="str">
            <v>15 Min. A 300°F</v>
          </cell>
          <cell r="U429" t="str">
            <v>56.34 m2/gal</v>
          </cell>
          <cell r="V429" t="str">
            <v>80-90</v>
          </cell>
          <cell r="W429" t="str">
            <v>F-H</v>
          </cell>
          <cell r="X429" t="str">
            <v>6-12 meses</v>
          </cell>
          <cell r="Y429" t="str">
            <v>varios</v>
          </cell>
          <cell r="AB429" t="str">
            <v>Nelson Acosta</v>
          </cell>
          <cell r="AC429" t="str">
            <v>marzo 20, 2003</v>
          </cell>
        </row>
        <row r="430">
          <cell r="A430" t="str">
            <v>62-90-253</v>
          </cell>
          <cell r="B430" t="str">
            <v>PERLA DE VIDRIO DROP ON</v>
          </cell>
          <cell r="C430" t="str">
            <v>EXTERIOR</v>
          </cell>
          <cell r="D430" t="str">
            <v>-</v>
          </cell>
          <cell r="E430" t="str">
            <v>-</v>
          </cell>
          <cell r="F430" t="str">
            <v>-</v>
          </cell>
          <cell r="G430" t="str">
            <v>-</v>
          </cell>
          <cell r="H430" t="str">
            <v>-</v>
          </cell>
          <cell r="I430" t="str">
            <v>100%</v>
          </cell>
          <cell r="J430" t="str">
            <v>-</v>
          </cell>
          <cell r="K430" t="str">
            <v>-</v>
          </cell>
          <cell r="L430" t="str">
            <v>100%</v>
          </cell>
          <cell r="M430" t="str">
            <v>SOLIDO</v>
          </cell>
          <cell r="N430" t="str">
            <v>DROP ON (ESPARCIDO SOBRE LA PELICULA DE PINTURA)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  <cell r="AA430" t="str">
            <v>LAS PARTICULAS SON ESFERICAS CONTENIENDO NO MAS DEL 30% DE IRREGULARIDAD Y PRESENTAN UN INDICE DE REFRACCION EN UN RANGO DE 1.5 A 1.6. SON QUIMICAMENTE ESTABLES</v>
          </cell>
          <cell r="AB430" t="str">
            <v>Soraya de Quijada</v>
          </cell>
          <cell r="AC430">
            <v>37656</v>
          </cell>
        </row>
        <row r="431">
          <cell r="A431" t="str">
            <v>D62BSA1</v>
          </cell>
          <cell r="B431" t="str">
            <v>PINTURA VINILICA PARA MARCAR SACOS</v>
          </cell>
          <cell r="C431" t="str">
            <v>INTERIOR-EXTERIOR</v>
          </cell>
          <cell r="D431" t="str">
            <v>SACOS DE PLASTICO Y DE MAGUEY</v>
          </cell>
          <cell r="E431" t="str">
            <v>LIMPIA Y LIBRE DE GRASA</v>
          </cell>
          <cell r="F431" t="str">
            <v>-</v>
          </cell>
          <cell r="G431" t="str">
            <v>9.79 LBS/GL</v>
          </cell>
          <cell r="H431" t="str">
            <v>19.8%</v>
          </cell>
          <cell r="I431" t="str">
            <v>37.41%</v>
          </cell>
          <cell r="J431" t="str">
            <v>17.6%</v>
          </cell>
          <cell r="K431" t="str">
            <v>33.87%</v>
          </cell>
          <cell r="L431" t="str">
            <v>27.13%</v>
          </cell>
          <cell r="M431" t="str">
            <v>25"-30" copa SW #4</v>
          </cell>
          <cell r="N431" t="str">
            <v>BROCHUELO O LA QUE EL CLIENTE ADAPTE AL PROCESO</v>
          </cell>
          <cell r="O431" t="str">
            <v>-</v>
          </cell>
          <cell r="P431" t="str">
            <v>LA QUE SEA NECESARIA</v>
          </cell>
          <cell r="Q431" t="str">
            <v>AGUA</v>
          </cell>
          <cell r="R431" t="str">
            <v>1-1.5 MILLS</v>
          </cell>
          <cell r="S431" t="str">
            <v>AL AIRE</v>
          </cell>
          <cell r="T431" t="str">
            <v>-</v>
          </cell>
          <cell r="U431" t="str">
            <v xml:space="preserve">40 MTS CUADRADOS/GL A 1 MILLS DE ESPESOR.  </v>
          </cell>
          <cell r="V431" t="str">
            <v>MATE</v>
          </cell>
          <cell r="W431" t="str">
            <v>-</v>
          </cell>
          <cell r="X431" t="str">
            <v>2 AÑOS</v>
          </cell>
          <cell r="Y431" t="str">
            <v>-</v>
          </cell>
          <cell r="Z431" t="str">
            <v>-</v>
          </cell>
          <cell r="AA431" t="str">
            <v>PRODUCTO LIBRE DE PLOMO Y MERCURIO.</v>
          </cell>
          <cell r="AB431" t="str">
            <v>Soraya de Quijada</v>
          </cell>
          <cell r="AC431">
            <v>37960</v>
          </cell>
        </row>
        <row r="432">
          <cell r="A432" t="str">
            <v>SAA 5920</v>
          </cell>
          <cell r="B432" t="str">
            <v>ANTICORROSIVO FAST DRY CHROMATO NARANJA</v>
          </cell>
          <cell r="C432" t="str">
            <v>INTERIOR-EXTERIOR</v>
          </cell>
          <cell r="D432" t="str">
            <v>ACERO</v>
          </cell>
          <cell r="E432" t="str">
            <v>LIMPIA Y LIBRE DE GRASA</v>
          </cell>
          <cell r="F432" t="str">
            <v>-</v>
          </cell>
          <cell r="G432" t="str">
            <v>11.47 LBS/GL</v>
          </cell>
          <cell r="H432" t="str">
            <v>39%</v>
          </cell>
          <cell r="I432" t="str">
            <v>63.2%</v>
          </cell>
          <cell r="J432" t="str">
            <v>24.43%</v>
          </cell>
          <cell r="K432" t="str">
            <v>30%</v>
          </cell>
          <cell r="L432" t="str">
            <v>42%</v>
          </cell>
          <cell r="M432" t="str">
            <v>80-85 KU</v>
          </cell>
          <cell r="N432" t="str">
            <v>PISTOLA</v>
          </cell>
          <cell r="O432" t="str">
            <v>-</v>
          </cell>
          <cell r="P432" t="str">
            <v>LA QUE SEA NECESARIA</v>
          </cell>
          <cell r="Q432" t="str">
            <v>INDUSTRIAL REDUCER R7K54</v>
          </cell>
          <cell r="R432" t="str">
            <v>1-1.5 MILLS</v>
          </cell>
          <cell r="S432" t="str">
            <v>AL AIRE. SECO TOCAR: 10 MIN;  MANEJAR 30 MIN; SECO COMPLETO 1 HORA</v>
          </cell>
          <cell r="T432" t="str">
            <v>-</v>
          </cell>
          <cell r="U432" t="str">
            <v xml:space="preserve">60 MTS CUADRADOS/GL A 1 MILLS DE ESPESOR.  </v>
          </cell>
          <cell r="V432" t="str">
            <v>25-30 UNIDADES</v>
          </cell>
          <cell r="W432" t="str">
            <v>-</v>
          </cell>
          <cell r="X432" t="str">
            <v>2 AÑOS</v>
          </cell>
          <cell r="Z432" t="str">
            <v>INDUSTRIA DE LA CONSTRUCCION</v>
          </cell>
          <cell r="AA432" t="str">
            <v>PRODUCTO PLOMADO</v>
          </cell>
          <cell r="AB432" t="str">
            <v>Soraya de Quijada</v>
          </cell>
          <cell r="AC432">
            <v>37760</v>
          </cell>
        </row>
        <row r="433">
          <cell r="A433" t="str">
            <v>SAA 5921</v>
          </cell>
          <cell r="B433" t="str">
            <v>ESMALTE FAST DRY BLANCO</v>
          </cell>
          <cell r="C433" t="str">
            <v>INTERIOR-EXTERIOR</v>
          </cell>
          <cell r="D433" t="str">
            <v>ACERO</v>
          </cell>
          <cell r="E433" t="str">
            <v>LIMPIA Y LIBRE DE GRASA</v>
          </cell>
          <cell r="F433" t="str">
            <v>-</v>
          </cell>
          <cell r="G433" t="str">
            <v>10.25 LBS /GL</v>
          </cell>
          <cell r="H433" t="str">
            <v>37.25%</v>
          </cell>
          <cell r="I433" t="str">
            <v>60%</v>
          </cell>
          <cell r="J433" t="str">
            <v>30%</v>
          </cell>
          <cell r="K433" t="str">
            <v>28%</v>
          </cell>
          <cell r="L433" t="str">
            <v>44%</v>
          </cell>
          <cell r="M433" t="str">
            <v>80-85 KU</v>
          </cell>
          <cell r="N433" t="str">
            <v>PISTOLA</v>
          </cell>
          <cell r="O433" t="str">
            <v>-</v>
          </cell>
          <cell r="P433" t="str">
            <v>LA QUE SEA NECESARIA</v>
          </cell>
          <cell r="Q433" t="str">
            <v>INDUSTRIAL REDUCER R7K54</v>
          </cell>
          <cell r="R433" t="str">
            <v>1-1.5 MILLS</v>
          </cell>
          <cell r="S433" t="str">
            <v>AL AIRE. SECO TOCAR: 10 MIN;  MANEJAR 30 MIN; SECO COMPLETO 1 HORA</v>
          </cell>
          <cell r="T433" t="str">
            <v>-</v>
          </cell>
          <cell r="U433" t="str">
            <v xml:space="preserve">65 MTS CUADRADOS/GL A 1 MILLS DE ESPESOR.  </v>
          </cell>
          <cell r="V433" t="str">
            <v>25-30 UNIDADES</v>
          </cell>
          <cell r="W433" t="str">
            <v>-</v>
          </cell>
          <cell r="X433" t="str">
            <v>2 AÑOS</v>
          </cell>
          <cell r="Y433" t="str">
            <v>ACEROS ARQUITECTONICOS-GUATEMALA</v>
          </cell>
          <cell r="Z433" t="str">
            <v>INDUSTRIA DE LA CONSTRUCCION</v>
          </cell>
          <cell r="AB433" t="str">
            <v>Soraya de Quijada</v>
          </cell>
          <cell r="AC433">
            <v>37760</v>
          </cell>
        </row>
        <row r="434">
          <cell r="A434" t="str">
            <v>SAA5922</v>
          </cell>
          <cell r="B434" t="str">
            <v>SOLVENTE PARA LACAS</v>
          </cell>
          <cell r="C434" t="str">
            <v>-</v>
          </cell>
          <cell r="D434" t="str">
            <v>-</v>
          </cell>
          <cell r="E434" t="str">
            <v>-</v>
          </cell>
          <cell r="F434" t="str">
            <v>-</v>
          </cell>
          <cell r="G434" t="str">
            <v>6.9 Lb/Gl</v>
          </cell>
          <cell r="H434" t="str">
            <v>-</v>
          </cell>
          <cell r="I434" t="str">
            <v>-</v>
          </cell>
          <cell r="J434" t="str">
            <v>-</v>
          </cell>
          <cell r="L434" t="str">
            <v>-</v>
          </cell>
          <cell r="M434" t="str">
            <v>-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 t="str">
            <v>-</v>
          </cell>
          <cell r="V434" t="str">
            <v>-</v>
          </cell>
          <cell r="W434" t="str">
            <v>-</v>
          </cell>
          <cell r="X434" t="str">
            <v>6 meses correctamente tapado y almacenado a 25°C</v>
          </cell>
          <cell r="Y434" t="str">
            <v>VARIOS</v>
          </cell>
          <cell r="Z434" t="str">
            <v>-</v>
          </cell>
          <cell r="AA434" t="str">
            <v>Usese sólo en lugares bien ventilados, evite respirar sus vapores o el contacto con la piel.</v>
          </cell>
          <cell r="AB434" t="str">
            <v>Rigoberto Montalvo</v>
          </cell>
          <cell r="AC434" t="str">
            <v>Mayo 15, 2003</v>
          </cell>
        </row>
        <row r="435">
          <cell r="A435" t="str">
            <v>SAA 5876</v>
          </cell>
          <cell r="B435" t="str">
            <v>WASHCOAT 1411</v>
          </cell>
          <cell r="C435" t="str">
            <v>INTERIOR</v>
          </cell>
          <cell r="D435" t="str">
            <v>MADERA</v>
          </cell>
          <cell r="E435" t="str">
            <v>NINGUNO</v>
          </cell>
          <cell r="F435" t="str">
            <v xml:space="preserve">APLICAR 1-2 MANOS SOBRE SISTEMA TAPAPORO + TINTES </v>
          </cell>
          <cell r="G435" t="str">
            <v>7.39 LBS/GALON</v>
          </cell>
          <cell r="H435" t="str">
            <v>0.0 %</v>
          </cell>
          <cell r="I435" t="str">
            <v>19.74 %</v>
          </cell>
          <cell r="J435" t="str">
            <v>82.07 %</v>
          </cell>
          <cell r="K435" t="str">
            <v>5.40%</v>
          </cell>
          <cell r="L435" t="str">
            <v>14.25 %</v>
          </cell>
          <cell r="M435" t="str">
            <v>14-17 SEG  ZAHN #2</v>
          </cell>
          <cell r="N435" t="str">
            <v>PISTOLA</v>
          </cell>
          <cell r="O435" t="str">
            <v>IGUAL QUE ORIGINAL</v>
          </cell>
          <cell r="P435" t="str">
            <v>NINGUNO. DE SER NECESARIO CON THINNER R7K128</v>
          </cell>
          <cell r="Q435" t="str">
            <v>THINNER R7K128</v>
          </cell>
          <cell r="R435" t="str">
            <v xml:space="preserve">0.8-1.2 MILS </v>
          </cell>
          <cell r="S435" t="str">
            <v>AL AIRE,  SECO TOCAR 4 MIN SECO PARA LIJAR 7 MIN A CONDICIONES DE 25 °C Y 50% HR.</v>
          </cell>
          <cell r="T435" t="str">
            <v>-</v>
          </cell>
          <cell r="U435" t="str">
            <v>42 METROS CUADRADOS / GALON  A 1 MILS DE PELICULA SECA</v>
          </cell>
          <cell r="V435" t="str">
            <v>50-60 UNIDADES</v>
          </cell>
          <cell r="W435" t="str">
            <v>-</v>
          </cell>
          <cell r="X435" t="str">
            <v>12 MESES  CORRECTAMENTE TAPADO Y ALMACENADO A 25°C</v>
          </cell>
          <cell r="Y435" t="str">
            <v>DERIMASA</v>
          </cell>
          <cell r="Z435" t="str">
            <v>GABINETES, ARMARIOS, ETC.</v>
          </cell>
          <cell r="AA435" t="str">
            <v>La muestra recibida presenta un tiempo de seco tocar de 9 minutos y seco completo de 15 min. El % de solidos es de 13.58, comparado con el SAA 5876, el nuestro tiene un 45% más de solidos.</v>
          </cell>
          <cell r="AB435" t="str">
            <v>Ing. Juan Antonio Méndez</v>
          </cell>
          <cell r="AC435" t="str">
            <v>Mayo 26, 2003</v>
          </cell>
        </row>
        <row r="436">
          <cell r="A436" t="str">
            <v>SAA 5877</v>
          </cell>
          <cell r="B436" t="str">
            <v>SELLADOR 1421</v>
          </cell>
          <cell r="C436" t="str">
            <v>INTERIOR</v>
          </cell>
          <cell r="D436" t="str">
            <v>MADERA</v>
          </cell>
          <cell r="E436" t="str">
            <v>LIMPIA Y LIBRE DE GRASA</v>
          </cell>
          <cell r="F436" t="str">
            <v>APLICAR 2-3 MANOS SOBRE SISTEMA TAPAPORO + TINTES + WASHCOAT 1411 (SAA 5876)+ GLAZE (OPCIONAL)</v>
          </cell>
          <cell r="G436" t="str">
            <v>7.69 LBS/GALON</v>
          </cell>
          <cell r="H436" t="str">
            <v>0.0 %</v>
          </cell>
          <cell r="I436" t="str">
            <v>30.04%</v>
          </cell>
          <cell r="J436" t="str">
            <v>79.52%</v>
          </cell>
          <cell r="K436" t="str">
            <v>14.93 %</v>
          </cell>
          <cell r="L436" t="str">
            <v>30.07</v>
          </cell>
          <cell r="M436" t="str">
            <v>22 SEG ZANH #2</v>
          </cell>
          <cell r="N436" t="str">
            <v>PISTOLA</v>
          </cell>
          <cell r="O436" t="str">
            <v>IGUAL QUE ORIGINAL</v>
          </cell>
          <cell r="P436" t="str">
            <v>NINGUNO. DE SER NECESARIO CON THINNER R7K128</v>
          </cell>
          <cell r="Q436" t="str">
            <v>THINNER R7K128</v>
          </cell>
          <cell r="R436" t="str">
            <v xml:space="preserve">1.0 - 1.5 MILS </v>
          </cell>
          <cell r="S436" t="str">
            <v>AL AIRE,  SECO TOCAR 5 MIN SECO PARA LIJAR 15 MIN A CONDICIONES DE 25 °C Y 50% HR.</v>
          </cell>
          <cell r="T436" t="str">
            <v>-</v>
          </cell>
          <cell r="U436" t="str">
            <v>63 METROS CUADRADOS / GALON  A 1 MILS DE PELICULA SECA</v>
          </cell>
          <cell r="V436" t="str">
            <v>50-60 UNIDADES</v>
          </cell>
          <cell r="W436" t="str">
            <v>-</v>
          </cell>
          <cell r="X436" t="str">
            <v>12 MESES  CORRECTAMENTE TAPADO Y ALMACENADO A 25°C</v>
          </cell>
          <cell r="Y436" t="str">
            <v>DERIMASA</v>
          </cell>
          <cell r="Z436" t="str">
            <v>GABINETES, ARMARIOS, ETC.</v>
          </cell>
          <cell r="AA436" t="str">
            <v>La muestra recibida presenta un tiempo de seco tocar de 8 minutos y seco completo de 22 min. El % de solidos es de 29.7%, comparado con el SAA 5877 que tiene 30% de solidos a condiciones de 25°C y 50% HR.</v>
          </cell>
          <cell r="AB436" t="str">
            <v>Ing. Juan Antonio Méndez</v>
          </cell>
          <cell r="AC436" t="str">
            <v>Mayo 26, 2003</v>
          </cell>
        </row>
        <row r="437">
          <cell r="A437" t="str">
            <v>SAA 5879</v>
          </cell>
          <cell r="B437" t="str">
            <v>LACA TRANSPARENTE #10</v>
          </cell>
          <cell r="C437" t="str">
            <v>INTERIOR</v>
          </cell>
          <cell r="D437" t="str">
            <v>MADERA, COMO ACABADO FINAL</v>
          </cell>
          <cell r="E437" t="str">
            <v>LIMPIA Y LIBRE DE GRASA</v>
          </cell>
          <cell r="F437" t="str">
            <v>2 Manos sobre sistema tapaporo+tinte+wascoat 1411 (SAA 5876)+glaze(opcional)+sellador 1421(SAA 5877)</v>
          </cell>
          <cell r="G437" t="str">
            <v>7.80 LBS / GALON</v>
          </cell>
          <cell r="H437" t="str">
            <v>0.0%</v>
          </cell>
          <cell r="I437" t="str">
            <v>26.00 %</v>
          </cell>
          <cell r="J437" t="str">
            <v>94.05 %</v>
          </cell>
          <cell r="K437" t="str">
            <v>3.80%</v>
          </cell>
          <cell r="L437" t="str">
            <v>20.27%</v>
          </cell>
          <cell r="M437" t="str">
            <v>20 - 22 SEG ZAHN #2</v>
          </cell>
          <cell r="N437" t="str">
            <v>PISTOLA</v>
          </cell>
          <cell r="O437" t="str">
            <v>IGUAL QUE ORIGINAL</v>
          </cell>
          <cell r="P437" t="str">
            <v>NINGUNO. DE SER NECESARIO CON THINNER R7K128</v>
          </cell>
          <cell r="Q437" t="str">
            <v>THINNER R7K128</v>
          </cell>
          <cell r="R437" t="str">
            <v xml:space="preserve">1.5 -2.0 MILS </v>
          </cell>
          <cell r="S437" t="str">
            <v>AL AIRE,  SECO TOCAR 5 MIN, SECO COMPLETO 12 MIN A CONDICIONES DE 25 °C Y 50% HR.</v>
          </cell>
          <cell r="T437" t="str">
            <v>-</v>
          </cell>
          <cell r="U437" t="str">
            <v>52 METROS CUADRADOS POR GALON</v>
          </cell>
          <cell r="V437" t="str">
            <v>45-55 UNIDADES 60°</v>
          </cell>
          <cell r="W437" t="str">
            <v>-</v>
          </cell>
          <cell r="X437" t="str">
            <v>12 MESES  CORRECTAMENTE TAPADO Y ALMACENADO A 25°C</v>
          </cell>
          <cell r="Y437" t="str">
            <v>DERIMASA</v>
          </cell>
          <cell r="Z437" t="str">
            <v>GABINETES, ARMARIOS, ETC.</v>
          </cell>
          <cell r="AA437" t="str">
            <v>La muestra recibida presenta un tiempo de seco tocar de 6 minutos y seco completo de 18 min. El % de solidos es de 25.84%, comparado con el SAA 5879 que tiene 26% de solidos a condiciones de 25°C y 50% HR.</v>
          </cell>
          <cell r="AB437" t="str">
            <v>Ing. Juan Antonio Méndez</v>
          </cell>
          <cell r="AC437" t="str">
            <v>Mayo 26, 2003</v>
          </cell>
        </row>
        <row r="438">
          <cell r="A438" t="str">
            <v>SAA 5831</v>
          </cell>
          <cell r="B438" t="str">
            <v>TINTE 1121-1746</v>
          </cell>
          <cell r="C438" t="str">
            <v>INTERIOR</v>
          </cell>
          <cell r="D438" t="str">
            <v>MADERA</v>
          </cell>
          <cell r="E438" t="str">
            <v>LIMPIA Y LIBRE DE GRASA</v>
          </cell>
          <cell r="F438" t="str">
            <v>TAPAPORO</v>
          </cell>
          <cell r="G438" t="str">
            <v>6.74 LBS / GAL</v>
          </cell>
          <cell r="H438" t="str">
            <v>1.90 %</v>
          </cell>
          <cell r="I438" t="str">
            <v>2.0 %</v>
          </cell>
          <cell r="J438" t="str">
            <v>0.0 %</v>
          </cell>
          <cell r="K438" t="str">
            <v>100 %</v>
          </cell>
          <cell r="L438" t="str">
            <v>1.11 %</v>
          </cell>
          <cell r="M438" t="str">
            <v>18 SEG ZAHN #2</v>
          </cell>
          <cell r="N438" t="str">
            <v xml:space="preserve"> UNA MANO CON PAÑO, CHUPON o PISTOLA</v>
          </cell>
          <cell r="O438" t="str">
            <v>IGUAL QUE ORIGINAL</v>
          </cell>
          <cell r="P438" t="str">
            <v>NINGUNO</v>
          </cell>
          <cell r="Q438" t="str">
            <v>-</v>
          </cell>
          <cell r="R438" t="str">
            <v>-</v>
          </cell>
          <cell r="S438" t="str">
            <v>AL AIRE,  SECO TOCAR 1 MIN, SECO COMPLETO 2-3 MIN A CONDICIONES DE 25 °C Y 50% HR.</v>
          </cell>
          <cell r="T438" t="str">
            <v>-</v>
          </cell>
          <cell r="U438" t="str">
            <v>-</v>
          </cell>
          <cell r="V438" t="str">
            <v>0 - 5 (°85)</v>
          </cell>
          <cell r="W438" t="str">
            <v>-</v>
          </cell>
          <cell r="X438" t="str">
            <v>12 MESES  CORRECTAMENTE TAPADO Y ALMACENADO A 25°C</v>
          </cell>
          <cell r="Y438" t="str">
            <v>DERIMASA</v>
          </cell>
          <cell r="Z438" t="str">
            <v>GABINETES, ARMARIOS, ETC.</v>
          </cell>
          <cell r="AA438" t="str">
            <v>La muestra recibida presenta un tiempo de seco tocar de 2 minutos y seco completo de 4 min. El % de solidos es de 2%, comparado con el SAA 5831 que tiene tambien 2% de solidos a condiciones de 25°C y 50% HR.</v>
          </cell>
          <cell r="AB438" t="str">
            <v>Ing. Juan Antonio Méndez</v>
          </cell>
          <cell r="AC438" t="str">
            <v>Mayo 26, 2003</v>
          </cell>
        </row>
        <row r="439">
          <cell r="A439" t="str">
            <v>SAA 5823</v>
          </cell>
          <cell r="B439" t="str">
            <v>GLAZE 26-2043</v>
          </cell>
          <cell r="C439" t="str">
            <v>INTERIOR</v>
          </cell>
          <cell r="D439" t="str">
            <v>MADERA</v>
          </cell>
          <cell r="E439" t="str">
            <v>LIJADO CON #320 LIMPIA Y LIBRE DE GRASA</v>
          </cell>
          <cell r="F439" t="str">
            <v>1mano sobre sistema tapaporo+tinte+washcoat 1411 (SAA 5823)</v>
          </cell>
          <cell r="G439" t="str">
            <v>9.87 LBS/GALON</v>
          </cell>
          <cell r="H439" t="str">
            <v>9.28 %</v>
          </cell>
          <cell r="I439" t="str">
            <v>64%</v>
          </cell>
          <cell r="J439" t="str">
            <v>8.07%</v>
          </cell>
          <cell r="K439" t="str">
            <v>40.87%</v>
          </cell>
          <cell r="L439" t="str">
            <v>40.27%</v>
          </cell>
          <cell r="M439" t="str">
            <v>20-22 SEG ZAHN #2</v>
          </cell>
          <cell r="N439" t="str">
            <v xml:space="preserve"> Una mano con paño, chupon o pistola, remover el exceso con paño seco en direccion contraria a la veta de la madera</v>
          </cell>
          <cell r="O439" t="str">
            <v>IGUAL QUE ORIGINAL</v>
          </cell>
          <cell r="P439" t="str">
            <v>NINGUNO</v>
          </cell>
          <cell r="Q439" t="str">
            <v>-</v>
          </cell>
          <cell r="R439" t="str">
            <v>-</v>
          </cell>
          <cell r="S439" t="str">
            <v>AL AIRE,  SECO TOCAR 10 MIN , SECO COMPLETO 23 MIN A CONDICIONES DE 25 °C Y 50% HR.</v>
          </cell>
          <cell r="T439" t="str">
            <v>-</v>
          </cell>
          <cell r="U439" t="str">
            <v>60 METROS CUADRADOS POR GALON</v>
          </cell>
          <cell r="V439" t="str">
            <v>0 - 5 (°85)</v>
          </cell>
          <cell r="W439" t="str">
            <v>-</v>
          </cell>
          <cell r="X439" t="str">
            <v>12 MESES  CORRECTAMENTE TAPADO Y ALMACENADO A 25°C</v>
          </cell>
          <cell r="Y439" t="str">
            <v>DERIMASA</v>
          </cell>
          <cell r="Z439" t="str">
            <v>GABINETES, ARMARIOS, ETC.</v>
          </cell>
          <cell r="AA439" t="str">
            <v>La muestra recibida presenta un tiempo de seco tocar de 14 minutos y seco completo de 28 min. El % de solidos es de 61.49%, comparado con el SAA 5823 que tiene 64% de solidos a condiciones de 25°C y 50% HR.</v>
          </cell>
          <cell r="AB439" t="str">
            <v>Ing. Juan Antonio Méndez</v>
          </cell>
          <cell r="AC439" t="str">
            <v>Mayo 26, 2003</v>
          </cell>
        </row>
        <row r="440">
          <cell r="A440" t="str">
            <v>SAA 5824</v>
          </cell>
          <cell r="B440" t="str">
            <v>ENAMEL LACQUER NEGRO 121</v>
          </cell>
          <cell r="C440" t="str">
            <v>INTERIOR</v>
          </cell>
          <cell r="D440" t="str">
            <v>MADERA</v>
          </cell>
          <cell r="E440" t="str">
            <v>LIJADO CON #320 LIMPIA Y LIBRE DE GRASA</v>
          </cell>
          <cell r="F440" t="str">
            <v>2 manos sobre tapaporo + basecoat negro (SAA 5866)</v>
          </cell>
          <cell r="G440" t="str">
            <v>7.62 lbs/galon</v>
          </cell>
          <cell r="H440" t="str">
            <v>3.88%</v>
          </cell>
          <cell r="I440" t="str">
            <v>24.07%</v>
          </cell>
          <cell r="J440" t="str">
            <v>68.49 %</v>
          </cell>
          <cell r="K440" t="str">
            <v>19.88 %</v>
          </cell>
          <cell r="L440" t="str">
            <v>16.94%</v>
          </cell>
          <cell r="M440" t="str">
            <v>22 SEG ZAHN #2</v>
          </cell>
          <cell r="N440" t="str">
            <v>PISTOLA</v>
          </cell>
          <cell r="O440" t="str">
            <v>IGUAL QUE ORIGINAL</v>
          </cell>
          <cell r="P440" t="str">
            <v>NINGUNO. DE SER NECESARIO CON THINNER R7K128</v>
          </cell>
          <cell r="Q440" t="str">
            <v>THINNER R7K128</v>
          </cell>
          <cell r="R440" t="str">
            <v>1.5-2.0 MILS</v>
          </cell>
          <cell r="S440" t="str">
            <v>AL AIRE,  SECO TOCAR 3-4 MIN, SECO COMPLETO 8 MIN A CONDICIONES DE 25 °C Y 50% HR.</v>
          </cell>
          <cell r="T440" t="str">
            <v>-</v>
          </cell>
          <cell r="U440" t="str">
            <v>24.19 METROS CUADRADOS POR GALON</v>
          </cell>
          <cell r="V440" t="str">
            <v>40-50 ° (60)</v>
          </cell>
          <cell r="W440" t="str">
            <v>-</v>
          </cell>
          <cell r="X440" t="str">
            <v>12 MESES  CORRECTAMENTE TAPADO Y ALMACENADO A 25°C</v>
          </cell>
          <cell r="Y440" t="str">
            <v>DERIMASA</v>
          </cell>
          <cell r="Z440" t="str">
            <v>GABINETES, ARMARIOS, ETC.</v>
          </cell>
          <cell r="AA440" t="str">
            <v>La muestra recibida presenta un tiempo de seco tocar de 5 minutos y seco completo de 10 min. El % de solidos es de 22.65%, comparado con el SAA 5824 que tiene 24% de solidos a condiciones de 25°C y 50% HR.</v>
          </cell>
          <cell r="AB440" t="str">
            <v>Ing. Juan Antonio Méndez</v>
          </cell>
          <cell r="AC440" t="str">
            <v>Mayo 26, 2003</v>
          </cell>
        </row>
        <row r="441">
          <cell r="A441" t="str">
            <v>SAA 5825</v>
          </cell>
          <cell r="B441" t="str">
            <v>ENAMEL LACQUER BLANCO W-10</v>
          </cell>
          <cell r="C441" t="str">
            <v>INTERIOR</v>
          </cell>
          <cell r="D441" t="str">
            <v>MADERA</v>
          </cell>
          <cell r="E441" t="str">
            <v>LIJADO CON #320 LIMPIA Y LIBRE DE GRASA</v>
          </cell>
          <cell r="F441" t="str">
            <v>2 manos sobre tapaporo + basecoat blanco (SAA 5838)</v>
          </cell>
          <cell r="G441" t="str">
            <v>8.15 LBS / GALON</v>
          </cell>
          <cell r="H441" t="str">
            <v>7.58 %</v>
          </cell>
          <cell r="I441" t="str">
            <v>27.64 %</v>
          </cell>
          <cell r="J441" t="str">
            <v>63.04 %</v>
          </cell>
          <cell r="K441" t="str">
            <v>12.53 %</v>
          </cell>
          <cell r="L441" t="str">
            <v>17.55 %</v>
          </cell>
          <cell r="M441" t="str">
            <v>22 SEG ZAHN #2</v>
          </cell>
          <cell r="N441" t="str">
            <v>PISTOLA</v>
          </cell>
          <cell r="O441" t="str">
            <v>IGUAL QUE ORIGINAL</v>
          </cell>
          <cell r="P441" t="str">
            <v>NINGUNO. DE SER NECESARIO CON THINNER R7K128</v>
          </cell>
          <cell r="Q441" t="str">
            <v>THINNER R7K128</v>
          </cell>
          <cell r="R441" t="str">
            <v>1.5-2.0 MILS</v>
          </cell>
          <cell r="S441" t="str">
            <v>AL AIRE,  SECO TOCAR 3-4 MIN, SECO COMPLETO 8 MIN A CONDICIONES DE 25 °C Y 50% HR.</v>
          </cell>
          <cell r="T441" t="str">
            <v>-</v>
          </cell>
          <cell r="U441" t="str">
            <v>26.14 METROS CUADRADOS POR GALON</v>
          </cell>
          <cell r="V441" t="str">
            <v>25-35 °(60)</v>
          </cell>
          <cell r="W441" t="str">
            <v>-</v>
          </cell>
          <cell r="X441" t="str">
            <v>12 MESES  CORRECTAMENTE TAPADO Y ALMACENADO A 25°C</v>
          </cell>
          <cell r="Y441" t="str">
            <v>DERIMASA</v>
          </cell>
          <cell r="Z441" t="str">
            <v>GABINETES, ARMARIOS, ETC.</v>
          </cell>
          <cell r="AA441" t="str">
            <v>La muestra recibida presenta un tiempo de seco tocar de 5 minutos y seco completo de 10 min. El % de solidos es de 13.25, comparado con el SAA 5825 que tiene 27.64% de solidos a condiciones de 25°C y 50% HR.</v>
          </cell>
          <cell r="AB441" t="str">
            <v>Ing. Juan Antonio Méndez</v>
          </cell>
          <cell r="AC441" t="str">
            <v>Mayo 26, 2003</v>
          </cell>
        </row>
        <row r="442">
          <cell r="A442" t="str">
            <v>SAA 5830</v>
          </cell>
          <cell r="B442" t="str">
            <v>ENAMEL LACQUER VERDE W-13</v>
          </cell>
          <cell r="C442" t="str">
            <v>INTERIOR</v>
          </cell>
          <cell r="D442" t="str">
            <v>MADERA</v>
          </cell>
          <cell r="E442" t="str">
            <v>LIJADO CON #320 LIMPIA Y LIBRE DE GRASA</v>
          </cell>
          <cell r="F442" t="str">
            <v>2 manos sobre tapaporo + basecoat blanco (SAA 5838)</v>
          </cell>
          <cell r="G442" t="str">
            <v>8.80 LBS / GALON</v>
          </cell>
          <cell r="H442" t="str">
            <v>17.57 %</v>
          </cell>
          <cell r="I442" t="str">
            <v>34.70 %</v>
          </cell>
          <cell r="J442" t="str">
            <v>38.65 %</v>
          </cell>
          <cell r="K442" t="str">
            <v>26.63 %</v>
          </cell>
          <cell r="L442" t="str">
            <v>19.34 %</v>
          </cell>
          <cell r="M442" t="str">
            <v>22 SEG ZAHN #2</v>
          </cell>
          <cell r="N442" t="str">
            <v>PISTOLA</v>
          </cell>
          <cell r="O442" t="str">
            <v>IGUAL QUE ORIGINAL</v>
          </cell>
          <cell r="P442" t="str">
            <v>NINGUNO. DE SER NECESARIO CON THINNER R7K128</v>
          </cell>
          <cell r="Q442" t="str">
            <v>THINNER R7K128</v>
          </cell>
          <cell r="R442" t="str">
            <v>1.5-2.0 MILS</v>
          </cell>
          <cell r="S442" t="str">
            <v>AL AIRE,  SECO TOCAR 3-4 MIN, SECO COMPLETO 8 MIN A CONDICIONES DE 25 °C Y 50% HR.</v>
          </cell>
          <cell r="T442" t="str">
            <v>-</v>
          </cell>
          <cell r="U442" t="str">
            <v>28.82 METROS CUADRADOS POR GALON</v>
          </cell>
          <cell r="V442" t="str">
            <v>35-40 °(60)</v>
          </cell>
          <cell r="W442" t="str">
            <v>-</v>
          </cell>
          <cell r="X442" t="str">
            <v>12 MESES  CORRECTAMENTE TAPADO Y ALMACENADO A 25°C</v>
          </cell>
          <cell r="Y442" t="str">
            <v>DERIMASA</v>
          </cell>
          <cell r="Z442" t="str">
            <v>GABINETES, ARMARIOS, ETC.</v>
          </cell>
          <cell r="AA442" t="str">
            <v>La muestra recibida presenta un tiempo de seco tocar de 5 minutos y seco completo de 10 min. El % de solidos es de 28.50, comparado con el SAA 5830 que tiene 34.70% de solidos a condiciones de 25°C y 50% HR.</v>
          </cell>
          <cell r="AB442" t="str">
            <v>Ing. Juan Antonio Méndez</v>
          </cell>
          <cell r="AC442" t="str">
            <v>Mayo 26, 2003</v>
          </cell>
        </row>
        <row r="443">
          <cell r="A443" t="str">
            <v>SAA 5832</v>
          </cell>
          <cell r="B443" t="str">
            <v>PADDING STAIN 1181</v>
          </cell>
          <cell r="C443" t="str">
            <v>INTERIOR</v>
          </cell>
          <cell r="D443" t="str">
            <v>MADERA</v>
          </cell>
          <cell r="E443" t="str">
            <v>LIMPIA Y LIBRE DE GRASA</v>
          </cell>
          <cell r="F443" t="str">
            <v>TAPAPORO</v>
          </cell>
          <cell r="G443" t="str">
            <v>6.82 LBS/GALON</v>
          </cell>
          <cell r="H443" t="str">
            <v>1.11 %</v>
          </cell>
          <cell r="I443" t="str">
            <v>1.11%</v>
          </cell>
          <cell r="J443" t="str">
            <v>0.0 %</v>
          </cell>
          <cell r="K443" t="str">
            <v>100 %</v>
          </cell>
          <cell r="L443" t="str">
            <v>0.66%</v>
          </cell>
          <cell r="M443" t="str">
            <v>18 SEG ZAHN #2</v>
          </cell>
          <cell r="N443" t="str">
            <v xml:space="preserve"> UNA MANO CON PAÑO, CHUPON o PISTOLA</v>
          </cell>
          <cell r="O443" t="str">
            <v>IGUAL QUE ORIGINAL</v>
          </cell>
          <cell r="P443" t="str">
            <v>NINGUNO</v>
          </cell>
          <cell r="Q443" t="str">
            <v>-</v>
          </cell>
          <cell r="R443" t="str">
            <v>-</v>
          </cell>
          <cell r="S443" t="str">
            <v>AL AIRE,  SECO TOCAR 1 MIN, SECO COMPLETO 2-3 MIN A CONDICIONES DE 25 °C Y 50% HR.</v>
          </cell>
          <cell r="T443" t="str">
            <v>-</v>
          </cell>
          <cell r="U443" t="str">
            <v>-</v>
          </cell>
          <cell r="V443" t="str">
            <v>0 - 5 (°85)</v>
          </cell>
          <cell r="W443" t="str">
            <v>-</v>
          </cell>
          <cell r="X443" t="str">
            <v>12 MESES  CORRECTAMENTE TAPADO Y ALMACENADO A 25°C</v>
          </cell>
          <cell r="Y443" t="str">
            <v>DERIMASA</v>
          </cell>
          <cell r="Z443" t="str">
            <v>GABINETES, ARMARIOS, ETC.</v>
          </cell>
          <cell r="AA443" t="str">
            <v>La muestra recibida presenta un tiempo de seco tocar de 2 minutos y seco completo de 4 min. El % de solidos es de 1%, comparado con el SAA 5832 que tiene tambien 1.11% de solidos a condiciones de 25°C y 50% HR.</v>
          </cell>
          <cell r="AB443" t="str">
            <v>Ing. Juan Antonio Méndez</v>
          </cell>
          <cell r="AC443" t="str">
            <v>Mayo 26, 2003</v>
          </cell>
        </row>
        <row r="444">
          <cell r="A444" t="str">
            <v>SAA 5838</v>
          </cell>
          <cell r="B444" t="str">
            <v>BASECOAT BLANCO  W-10136</v>
          </cell>
          <cell r="C444" t="str">
            <v>INTERIOR</v>
          </cell>
          <cell r="D444" t="str">
            <v>MADERA</v>
          </cell>
          <cell r="E444" t="str">
            <v>LIJADO CON #320 LIMPIA Y LIBRE DE GRASA</v>
          </cell>
          <cell r="F444" t="str">
            <v xml:space="preserve">1-2 manos sobre tapaporo </v>
          </cell>
          <cell r="G444" t="str">
            <v>8.95 LBS / GALON</v>
          </cell>
          <cell r="H444" t="str">
            <v>6.99 %</v>
          </cell>
          <cell r="I444" t="str">
            <v>36.53 %</v>
          </cell>
          <cell r="J444" t="str">
            <v>28.26 %</v>
          </cell>
          <cell r="K444" t="str">
            <v>44 .07%</v>
          </cell>
          <cell r="L444" t="str">
            <v>19.74%</v>
          </cell>
          <cell r="M444" t="str">
            <v>22 SEG ZAHN #2</v>
          </cell>
          <cell r="N444" t="str">
            <v>PISTOLA</v>
          </cell>
          <cell r="O444" t="str">
            <v>IGUAL QUE ORIGINAL</v>
          </cell>
          <cell r="P444" t="str">
            <v>NINGUNO. DE SER NECESARIO CON THINNER R7K128</v>
          </cell>
          <cell r="Q444" t="str">
            <v>THINNER R7K128</v>
          </cell>
          <cell r="R444" t="str">
            <v>1.0 MILS</v>
          </cell>
          <cell r="S444" t="str">
            <v>AL AIRE,  SECO TOCAR 3-4 MIN, SECO COMPLETO 8 MIN A CONDICIONES DE 25 °C Y 50% HR.</v>
          </cell>
          <cell r="T444" t="str">
            <v>-</v>
          </cell>
          <cell r="U444" t="str">
            <v>29.42 METROS CUADRADOS POR GALON</v>
          </cell>
          <cell r="V444" t="str">
            <v>0 - 5 (°85)</v>
          </cell>
          <cell r="W444" t="str">
            <v>-</v>
          </cell>
          <cell r="X444" t="str">
            <v>12 MESES  CORRECTAMENTE TAPADO Y ALMACENADO A 25°C</v>
          </cell>
          <cell r="Y444" t="str">
            <v>DERIMASA</v>
          </cell>
          <cell r="Z444" t="str">
            <v>GABINETES, ARMARIOS, ETC.</v>
          </cell>
          <cell r="AA444" t="str">
            <v>La muestra recibida presenta un tiempo de seco tocar de 5 minutos y seco completo de 10 min. El % de solidos es de 34.90, comparado con el SAA 5838 que tiene 36.53% de solidos a condiciones de 25°C y 50% HR.</v>
          </cell>
          <cell r="AB444" t="str">
            <v>Ing. Juan Antonio Méndez</v>
          </cell>
          <cell r="AC444" t="str">
            <v>Mayo 26, 2003</v>
          </cell>
        </row>
        <row r="445">
          <cell r="A445" t="str">
            <v>SAA 5866</v>
          </cell>
          <cell r="B445" t="str">
            <v>BASECOAT NEGRO B001</v>
          </cell>
          <cell r="C445" t="str">
            <v>INTERIOR</v>
          </cell>
          <cell r="D445" t="str">
            <v>MADERA</v>
          </cell>
          <cell r="E445" t="str">
            <v>LIJADO CON #320 LIMPIA Y LIBRE DE GRASA</v>
          </cell>
          <cell r="F445" t="str">
            <v xml:space="preserve">1-2 manos sobre tapaporo </v>
          </cell>
          <cell r="G445" t="str">
            <v>8.08 LBS / GALON</v>
          </cell>
          <cell r="H445" t="str">
            <v>4.0 %</v>
          </cell>
          <cell r="I445" t="str">
            <v>26.12 %</v>
          </cell>
          <cell r="J445" t="str">
            <v>44.10 %</v>
          </cell>
          <cell r="K445" t="str">
            <v>28.36 %</v>
          </cell>
          <cell r="L445" t="str">
            <v>15.36 %</v>
          </cell>
          <cell r="M445" t="str">
            <v>22 SEG ZAHN #2</v>
          </cell>
          <cell r="N445" t="str">
            <v>PISTOLA</v>
          </cell>
          <cell r="O445" t="str">
            <v>IGUAL QUE ORIGINAL</v>
          </cell>
          <cell r="P445" t="str">
            <v>NINGUNO. DE SER NECESARIO CON THINNER R7K128</v>
          </cell>
          <cell r="Q445" t="str">
            <v>THINNER R7K128</v>
          </cell>
          <cell r="R445" t="str">
            <v>1.0 MILS</v>
          </cell>
          <cell r="S445" t="str">
            <v>AL AIRE,  SECO TOCAR 3-4 MIN, SECO COMPLETO 8 MIN A CONDICIONES DE 25 °C Y 50% HR.</v>
          </cell>
          <cell r="T445" t="str">
            <v>-</v>
          </cell>
          <cell r="U445" t="str">
            <v>22.93 METROS CUADRADOS POR GALON</v>
          </cell>
          <cell r="V445" t="str">
            <v>0 - 5 (°85)</v>
          </cell>
          <cell r="W445" t="str">
            <v>-</v>
          </cell>
          <cell r="X445" t="str">
            <v>12 MESES  CORRECTAMENTE TAPADO Y ALMACENADO A 25°C</v>
          </cell>
          <cell r="Y445" t="str">
            <v>DERIMASA</v>
          </cell>
          <cell r="Z445" t="str">
            <v>GABINETES, ARMARIOS, ETC.</v>
          </cell>
          <cell r="AA445" t="str">
            <v>La muestra recibida presenta un tiempo de seco tocar de 5 minutos y seco completo de 10 min. El % de solidos es de 25.53, comparado con el SAA 5866 que tiene 26.12% de solidos a condiciones de 25°C y 50% HR.</v>
          </cell>
          <cell r="AB445" t="str">
            <v>Ing. Juan Antonio Méndez</v>
          </cell>
          <cell r="AC445" t="str">
            <v>Mayo 26, 2003</v>
          </cell>
        </row>
        <row r="446">
          <cell r="A446" t="str">
            <v>SAA 5867</v>
          </cell>
          <cell r="B446" t="str">
            <v>TINTE CAFÉ OSCURO</v>
          </cell>
          <cell r="C446" t="str">
            <v>INTERIOR</v>
          </cell>
          <cell r="D446" t="str">
            <v>MADERA</v>
          </cell>
          <cell r="E446" t="str">
            <v>LIMPIA Y LIBRE DE GRASA</v>
          </cell>
          <cell r="F446" t="str">
            <v>TAPAPORO</v>
          </cell>
          <cell r="G446" t="str">
            <v>6.71 LBS/GALON</v>
          </cell>
          <cell r="H446" t="str">
            <v>1.62%</v>
          </cell>
          <cell r="I446" t="str">
            <v>1.62 %</v>
          </cell>
          <cell r="J446" t="str">
            <v>0.0 %</v>
          </cell>
          <cell r="K446" t="str">
            <v>100 %</v>
          </cell>
          <cell r="L446" t="str">
            <v>0.92 %</v>
          </cell>
          <cell r="M446" t="str">
            <v>18 SEG ZAHN #2</v>
          </cell>
          <cell r="N446" t="str">
            <v xml:space="preserve"> UNA MANO CON PAÑO, CHUPON o PISTOLA</v>
          </cell>
          <cell r="O446" t="str">
            <v>IGUAL QUE ORIGINAL</v>
          </cell>
          <cell r="P446" t="str">
            <v>NINGUNO</v>
          </cell>
          <cell r="Q446" t="str">
            <v>-</v>
          </cell>
          <cell r="R446" t="str">
            <v>-</v>
          </cell>
          <cell r="S446" t="str">
            <v>AL AIRE,  SECO TOCAR 1 MIN, SECO COMPLETO 2-3 MIN A CONDICIONES DE 25 °C Y 50% HR.</v>
          </cell>
          <cell r="T446" t="str">
            <v>-</v>
          </cell>
          <cell r="U446" t="str">
            <v>-</v>
          </cell>
          <cell r="V446" t="str">
            <v>0-5 (°85)</v>
          </cell>
          <cell r="W446" t="str">
            <v>-</v>
          </cell>
          <cell r="X446" t="str">
            <v>12 MESES  CORRECTAMENTE TAPADO Y ALMACENADO A 25°C</v>
          </cell>
          <cell r="Y446" t="str">
            <v>DERIMASA</v>
          </cell>
          <cell r="Z446" t="str">
            <v>GABINETES, ARMARIOS, ETC.</v>
          </cell>
          <cell r="AA446" t="str">
            <v>La muestra recibida presenta un tiempo de seco tocar de 2 minutos y seco completo de 4 min. El % de solidos es de 1%, comparado con el SAA 5867 que tiene tambien 1.62% de solidos a condiciones de 25°C y 50% HR.</v>
          </cell>
          <cell r="AB446" t="str">
            <v>Ing. Juan Antonio Méndez</v>
          </cell>
          <cell r="AC446" t="str">
            <v>Mayo 26, 2003</v>
          </cell>
        </row>
        <row r="447">
          <cell r="A447" t="str">
            <v>SAA 5828</v>
          </cell>
          <cell r="B447" t="str">
            <v>TINTE CAFÉ CLARO 16DO2876</v>
          </cell>
          <cell r="C447" t="str">
            <v>INTERIOR</v>
          </cell>
          <cell r="D447" t="str">
            <v>MADERA</v>
          </cell>
          <cell r="E447" t="str">
            <v>LIMPIA Y LIBRE DE GRASA</v>
          </cell>
          <cell r="F447" t="str">
            <v>TAPAPORO</v>
          </cell>
          <cell r="G447" t="str">
            <v>6.69 LBS/GALON</v>
          </cell>
          <cell r="H447" t="str">
            <v>1.25 %</v>
          </cell>
          <cell r="I447" t="str">
            <v>1.25%</v>
          </cell>
          <cell r="J447" t="str">
            <v>0.0 %</v>
          </cell>
          <cell r="K447" t="str">
            <v>100 %</v>
          </cell>
          <cell r="L447" t="str">
            <v>0.71 %</v>
          </cell>
          <cell r="M447" t="str">
            <v>18 SEG ZAHN #2</v>
          </cell>
          <cell r="N447" t="str">
            <v xml:space="preserve"> UNA MANO CON PAÑO, CHUPON o PISTOLA</v>
          </cell>
          <cell r="O447" t="str">
            <v>IGUAL QUE ORIGINAL</v>
          </cell>
          <cell r="P447" t="str">
            <v>NINGUNO</v>
          </cell>
          <cell r="Q447" t="str">
            <v>-</v>
          </cell>
          <cell r="R447" t="str">
            <v>-</v>
          </cell>
          <cell r="S447" t="str">
            <v>AL AIRE,  SECO TOCAR 1 MIN, SECO COMPLETO 2-3 MIN A CONDICIONES DE 25 °C Y 50% HR.</v>
          </cell>
          <cell r="T447" t="str">
            <v>-</v>
          </cell>
          <cell r="U447" t="str">
            <v>-</v>
          </cell>
          <cell r="V447" t="str">
            <v>0 - 5 (°85)</v>
          </cell>
          <cell r="W447" t="str">
            <v>-</v>
          </cell>
          <cell r="X447" t="str">
            <v>12 MESES  CORRECTAMENTE TAPADO Y ALMACENADO A 25°C</v>
          </cell>
          <cell r="Y447" t="str">
            <v>DERIMASA</v>
          </cell>
          <cell r="Z447" t="str">
            <v>GABINETES, ARMARIOS, ETC.</v>
          </cell>
          <cell r="AA447" t="str">
            <v>La muestra recibida presenta un tiempo de seco tocar de 2 minutos y seco completo de 4 min. El % de solidos es de 1%, comparado con el SAA 5828 que tiene tambien 1.25% de solidos a condiciones de 25°C y 50% HR.</v>
          </cell>
          <cell r="AB447" t="str">
            <v>Ing. Juan Antonio Méndez</v>
          </cell>
          <cell r="AC447" t="str">
            <v>Mayo 26, 2003</v>
          </cell>
        </row>
        <row r="448">
          <cell r="A448" t="str">
            <v>SAA 5829</v>
          </cell>
          <cell r="B448" t="str">
            <v>ENAMEL LACQUER AZUL</v>
          </cell>
          <cell r="C448" t="str">
            <v>INTERIOR</v>
          </cell>
          <cell r="D448" t="str">
            <v>MADERA</v>
          </cell>
          <cell r="E448" t="str">
            <v>LIJADO CON #320 LIMPIA Y LIBRE DE GRASA</v>
          </cell>
          <cell r="F448" t="str">
            <v>2 manos sobre tapaporo + basecoat blanco (SAA 5838)</v>
          </cell>
          <cell r="G448" t="str">
            <v>8.06 LBS/GALON</v>
          </cell>
          <cell r="H448" t="str">
            <v>7.67 %</v>
          </cell>
          <cell r="I448" t="str">
            <v>57.50 %</v>
          </cell>
          <cell r="J448" t="str">
            <v>57.50 %</v>
          </cell>
          <cell r="K448" t="str">
            <v>12.05 %</v>
          </cell>
          <cell r="L448" t="str">
            <v>17.09 %</v>
          </cell>
          <cell r="M448" t="str">
            <v>22 SEG ZAHN #2</v>
          </cell>
          <cell r="N448" t="str">
            <v>PISTOLA</v>
          </cell>
          <cell r="O448" t="str">
            <v>IGUAL QUE ORIGINAL</v>
          </cell>
          <cell r="P448" t="str">
            <v>NINGUNO. DE SER NECESARIO CON THINNER R7K128</v>
          </cell>
          <cell r="Q448" t="str">
            <v>THINNER R7K128</v>
          </cell>
          <cell r="R448" t="str">
            <v>1.5-2.0 MILS</v>
          </cell>
          <cell r="S448" t="str">
            <v>AL AIRE,  SECO TOCAR 3-4 MIN, SECO COMPLETO 8 MIN A CONDICIONES DE 25 °C Y 50% HR.</v>
          </cell>
          <cell r="T448" t="str">
            <v>-</v>
          </cell>
          <cell r="U448" t="str">
            <v>25.46 METROS CUADRADOS POR GALON</v>
          </cell>
          <cell r="V448" t="str">
            <v>45-55 (°60)</v>
          </cell>
          <cell r="W448" t="str">
            <v>-</v>
          </cell>
          <cell r="X448" t="str">
            <v>12 MESES  CORRECTAMENTE TAPADO Y ALMACENADO A 25°C</v>
          </cell>
          <cell r="Y448" t="str">
            <v>DERIMASA</v>
          </cell>
          <cell r="Z448" t="str">
            <v>GABINETES, ARMARIOS, ETC.</v>
          </cell>
          <cell r="AA448" t="str">
            <v>La muestra recibida presenta un tiempo de seco tocar de 5 minutos y seco completo de 10 min. El % de solidos es de 26.0%, comparado con el SAA 5829 que tiene 26.90% de solidos a condiciones de 25°C y 50% HR.</v>
          </cell>
          <cell r="AB448" t="str">
            <v>Ing. Juan Antonio Méndez</v>
          </cell>
          <cell r="AC448" t="str">
            <v>Mayo 26, 2003</v>
          </cell>
        </row>
        <row r="449">
          <cell r="A449" t="str">
            <v>SAA 5827</v>
          </cell>
          <cell r="B449" t="str">
            <v>ENAMEL LACQUER ROJO</v>
          </cell>
          <cell r="C449" t="str">
            <v>INTERIOR</v>
          </cell>
          <cell r="D449" t="str">
            <v>MADERA</v>
          </cell>
          <cell r="E449" t="str">
            <v>LIJADO CON #320 LIMPIA Y LIBRE DE GRASA</v>
          </cell>
          <cell r="F449" t="str">
            <v>2 manos sobre tapaporo + basecoat blanco (SAA 5838)</v>
          </cell>
          <cell r="G449" t="str">
            <v>7.97 LBS / GALON</v>
          </cell>
          <cell r="H449" t="str">
            <v>5.91 %</v>
          </cell>
          <cell r="I449" t="str">
            <v>25.03 %</v>
          </cell>
          <cell r="J449" t="str">
            <v>63.92 %</v>
          </cell>
          <cell r="K449" t="str">
            <v>10.51%</v>
          </cell>
          <cell r="L449" t="str">
            <v>15.61 %</v>
          </cell>
          <cell r="M449" t="str">
            <v>22 SEG ZAHN #2</v>
          </cell>
          <cell r="N449" t="str">
            <v>PISTOLA</v>
          </cell>
          <cell r="O449" t="str">
            <v>IGUAL QUE ORIGINAL</v>
          </cell>
          <cell r="P449" t="str">
            <v>NINGUNO. DE SER NECESARIO CON THINNER R7K128</v>
          </cell>
          <cell r="Q449" t="str">
            <v>THINNER R7K128</v>
          </cell>
          <cell r="R449" t="str">
            <v>1.5-2.0 MILS</v>
          </cell>
          <cell r="S449" t="str">
            <v>AL AIRE,  SECO TOCAR 3-4 MIN, SECO COMPLETO 8 MIN A CONDICIONES DE 25 °C Y 50% HR.</v>
          </cell>
          <cell r="T449" t="str">
            <v>-</v>
          </cell>
          <cell r="U449" t="str">
            <v>23.25  METROS CUADRADOS POR GALON</v>
          </cell>
          <cell r="V449" t="str">
            <v>45-55 (°60)</v>
          </cell>
          <cell r="W449" t="str">
            <v>-</v>
          </cell>
          <cell r="X449" t="str">
            <v>12 MESES  CORRECTAMENTE TAPADO Y ALMACENADO A 25°C</v>
          </cell>
          <cell r="Y449" t="str">
            <v>DERIMASA</v>
          </cell>
          <cell r="Z449" t="str">
            <v>GABINETES, ARMARIOS, ETC.</v>
          </cell>
          <cell r="AA449" t="str">
            <v>La muestra recibida presenta un tiempo de seco tocar de 5 minutos y seco completo de 10 min. El % de solidos es de 24.0%, comparado con el SAA 5827 que tiene 25.03% de solidos a condiciones de 25°C y 50% HR.</v>
          </cell>
          <cell r="AB449" t="str">
            <v>Ing. Juan Antonio Méndez</v>
          </cell>
          <cell r="AC449" t="str">
            <v>Mayo 26, 2003</v>
          </cell>
        </row>
        <row r="450">
          <cell r="A450" t="str">
            <v>M91LSA1</v>
          </cell>
          <cell r="B450" t="str">
            <v>Laca para Escobas celeste</v>
          </cell>
          <cell r="C450" t="str">
            <v>Interior - Exterior</v>
          </cell>
          <cell r="D450" t="str">
            <v>Palos de Escoba</v>
          </cell>
          <cell r="E450" t="str">
            <v>De Acuerdo Al Cliente</v>
          </cell>
          <cell r="F450" t="str">
            <v>Ninguno</v>
          </cell>
          <cell r="G450" t="str">
            <v>8.37 lbs</v>
          </cell>
          <cell r="H450" t="str">
            <v>8.40 %</v>
          </cell>
          <cell r="I450" t="str">
            <v>39.44 %</v>
          </cell>
          <cell r="J450" t="str">
            <v>69.38%</v>
          </cell>
          <cell r="K450" t="str">
            <v>2.39 %</v>
          </cell>
          <cell r="L450" t="str">
            <v>24.57 %</v>
          </cell>
          <cell r="M450" t="str">
            <v>18,000 - 23,000 cps</v>
          </cell>
          <cell r="N450" t="str">
            <v>De Acuerdo Al Cliente</v>
          </cell>
          <cell r="O450" t="str">
            <v>-</v>
          </cell>
          <cell r="P450" t="str">
            <v>Ninguno</v>
          </cell>
          <cell r="Q450" t="str">
            <v>De ser necesario reducir con Thinner R7K128</v>
          </cell>
          <cell r="R450" t="str">
            <v>De acuerdo Al Cliente</v>
          </cell>
          <cell r="S450" t="str">
            <v>Al aire</v>
          </cell>
          <cell r="T450" t="str">
            <v>-</v>
          </cell>
          <cell r="U450" t="str">
            <v>37.14 metros cuadrados por galon a 1 mils de pelicula seca</v>
          </cell>
          <cell r="V450" t="str">
            <v>-</v>
          </cell>
          <cell r="W450" t="str">
            <v>-</v>
          </cell>
          <cell r="X450" t="str">
            <v>6-12 meses</v>
          </cell>
          <cell r="Y450" t="str">
            <v>MULTIPLATS</v>
          </cell>
          <cell r="Z450" t="str">
            <v>Escobas</v>
          </cell>
          <cell r="AA450" t="str">
            <v>-</v>
          </cell>
          <cell r="AB450" t="str">
            <v>Ing. Juan Antonio Méndez</v>
          </cell>
          <cell r="AC450" t="str">
            <v>Junio 2, 2003</v>
          </cell>
        </row>
        <row r="451">
          <cell r="A451" t="str">
            <v>M91RSA1</v>
          </cell>
          <cell r="B451" t="str">
            <v>Laca para escobas Rosado Intenso</v>
          </cell>
          <cell r="C451" t="str">
            <v>Interior - Exterior</v>
          </cell>
          <cell r="D451" t="str">
            <v>Palos de Escoba</v>
          </cell>
          <cell r="E451" t="str">
            <v>De Acuerdo Al Cliente</v>
          </cell>
          <cell r="F451" t="str">
            <v>Ninguno</v>
          </cell>
          <cell r="G451" t="str">
            <v>8.44 lbs</v>
          </cell>
          <cell r="H451" t="str">
            <v>9.01 %</v>
          </cell>
          <cell r="I451" t="str">
            <v>40.79 %</v>
          </cell>
          <cell r="J451" t="str">
            <v>65.56%</v>
          </cell>
          <cell r="K451" t="str">
            <v>3.21%</v>
          </cell>
          <cell r="L451" t="str">
            <v>25.99 %</v>
          </cell>
          <cell r="M451" t="str">
            <v>18,000-23,000 cps</v>
          </cell>
          <cell r="N451" t="str">
            <v>De Acuerdo Al Cliente</v>
          </cell>
          <cell r="O451" t="str">
            <v>-</v>
          </cell>
          <cell r="P451" t="str">
            <v>Ninguno</v>
          </cell>
          <cell r="Q451" t="str">
            <v>De ser necesario reducir con Thinner R7K128</v>
          </cell>
          <cell r="R451" t="str">
            <v>De acuerdo Al Cliente</v>
          </cell>
          <cell r="S451" t="str">
            <v>Al Aire</v>
          </cell>
          <cell r="T451" t="str">
            <v>-</v>
          </cell>
          <cell r="U451" t="str">
            <v>38.72 metros cuadrados por galon a 1 mils de pelicula seca</v>
          </cell>
          <cell r="V451" t="str">
            <v>-</v>
          </cell>
          <cell r="W451" t="str">
            <v>-</v>
          </cell>
          <cell r="X451" t="str">
            <v>6-12 meses</v>
          </cell>
          <cell r="Y451" t="str">
            <v>MULTIPLAST</v>
          </cell>
          <cell r="Z451" t="str">
            <v>Escobas</v>
          </cell>
          <cell r="AA451" t="str">
            <v>-</v>
          </cell>
          <cell r="AB451" t="str">
            <v>Ing. Juan Antonio Méndez</v>
          </cell>
          <cell r="AC451" t="str">
            <v>Junio 2, 2003</v>
          </cell>
        </row>
        <row r="452">
          <cell r="A452" t="str">
            <v>SAA 5935</v>
          </cell>
          <cell r="B452" t="str">
            <v>CORRO-SHER ANTICORROSIVO BASE AGUA ROJO TEJA</v>
          </cell>
          <cell r="C452" t="str">
            <v>INTERIOR-EXTERIOR</v>
          </cell>
          <cell r="D452" t="str">
            <v>METAL, LAMINA GLAVANIZADA</v>
          </cell>
          <cell r="E452" t="str">
            <v>LIMPIA, SECA Y LIBRE DE POLVO Y GRASA</v>
          </cell>
          <cell r="F452" t="str">
            <v>NINGUNO</v>
          </cell>
          <cell r="G452" t="str">
            <v>10.6 LBS/GL</v>
          </cell>
          <cell r="H452" t="str">
            <v>30.10%</v>
          </cell>
          <cell r="I452" t="str">
            <v>51%</v>
          </cell>
          <cell r="J452" t="str">
            <v>20.9%</v>
          </cell>
          <cell r="K452" t="str">
            <v>33.42%</v>
          </cell>
          <cell r="L452" t="str">
            <v>39%</v>
          </cell>
          <cell r="M452" t="str">
            <v>95-100 KU</v>
          </cell>
          <cell r="N452" t="str">
            <v>BROCHA</v>
          </cell>
          <cell r="O452" t="str">
            <v>-</v>
          </cell>
          <cell r="P452" t="str">
            <v>HASTA UN 20%</v>
          </cell>
          <cell r="Q452" t="str">
            <v>AGUA</v>
          </cell>
          <cell r="R452" t="str">
            <v>1 MILLS</v>
          </cell>
          <cell r="S452" t="str">
            <v>AL AIRE</v>
          </cell>
          <cell r="T452" t="str">
            <v>-</v>
          </cell>
          <cell r="U452" t="str">
            <v>58 MTS CUADRADOS/GL A UN MILLS DE PELICULA SECA</v>
          </cell>
          <cell r="V452" t="str">
            <v>LIGERAMENTE SATINADO</v>
          </cell>
          <cell r="W452" t="str">
            <v>-</v>
          </cell>
          <cell r="X452" t="str">
            <v>2 AÑOS</v>
          </cell>
          <cell r="Y452" t="str">
            <v>COSTA RICA</v>
          </cell>
          <cell r="Z452" t="str">
            <v>-</v>
          </cell>
          <cell r="AA452" t="str">
            <v>-</v>
          </cell>
          <cell r="AB452" t="str">
            <v>Soraya de Quijada</v>
          </cell>
          <cell r="AC452" t="str">
            <v>Junio 13, 2003</v>
          </cell>
        </row>
        <row r="453">
          <cell r="A453" t="str">
            <v>SAA 5940</v>
          </cell>
          <cell r="B453" t="str">
            <v>KEM CATI COAT ENAMEL GRIS NAVAL</v>
          </cell>
          <cell r="C453" t="str">
            <v>INTERIOR-EXTERIOR</v>
          </cell>
          <cell r="D453" t="str">
            <v>ACERO</v>
          </cell>
          <cell r="E453" t="str">
            <v>LIMPIA, SECA Y LIBRE DE POLVO Y GRASA</v>
          </cell>
          <cell r="F453" t="str">
            <v>B69G31 KEM CATI COAT PRIMER</v>
          </cell>
          <cell r="G453" t="str">
            <v>10.76 LBS/GL</v>
          </cell>
          <cell r="H453" t="str">
            <v>31.5%</v>
          </cell>
          <cell r="I453" t="str">
            <v>59.60%</v>
          </cell>
          <cell r="J453" t="str">
            <v>28.13%</v>
          </cell>
          <cell r="K453" t="str">
            <v>25.63%</v>
          </cell>
          <cell r="L453" t="str">
            <v>42.18%</v>
          </cell>
          <cell r="M453" t="str">
            <v>10-15 SEGUNDOS EN COPA SW 3</v>
          </cell>
          <cell r="N453" t="str">
            <v>BROCHA-PISTOLA</v>
          </cell>
          <cell r="O453" t="str">
            <v>-</v>
          </cell>
          <cell r="P453" t="str">
            <v>-</v>
          </cell>
          <cell r="Q453" t="str">
            <v>R7K54 INDUSTRIAL REDUCER</v>
          </cell>
          <cell r="R453" t="str">
            <v>-</v>
          </cell>
          <cell r="S453" t="str">
            <v>AL AIRE</v>
          </cell>
          <cell r="T453" t="str">
            <v>-</v>
          </cell>
          <cell r="U453" t="str">
            <v>60 MTS CUADRADOS/GL A UN MILLS DE PELICULA SECA</v>
          </cell>
          <cell r="V453" t="str">
            <v>BRILLANTE</v>
          </cell>
          <cell r="W453" t="str">
            <v>-</v>
          </cell>
          <cell r="X453" t="str">
            <v>1 AÑO</v>
          </cell>
          <cell r="Y453" t="str">
            <v>PANAMA</v>
          </cell>
          <cell r="Z453" t="str">
            <v>-</v>
          </cell>
          <cell r="AA453" t="str">
            <v>CATALIZAR 1:1 EN VOLUMEN CON KEM CATI COAT CATALYST V66V19 Y DEJAR REPOSAR LA MEZCLA POR 30 MINUTOS ANTES DE REDUCIR Y APLICAR. PRODUCTO LIBRE DE PLOMO</v>
          </cell>
          <cell r="AB453" t="str">
            <v>Soraya de Quijada</v>
          </cell>
          <cell r="AC453" t="str">
            <v>Junio 19, 2003</v>
          </cell>
        </row>
        <row r="454">
          <cell r="A454" t="str">
            <v>SAA 5947</v>
          </cell>
          <cell r="B454" t="str">
            <v>COLONIAL ANTICORROSIVO SEMIBRILLANTE VERDE INTENSO</v>
          </cell>
          <cell r="C454" t="str">
            <v>INTERIOR-EXTERIOR</v>
          </cell>
          <cell r="D454" t="str">
            <v>METAL</v>
          </cell>
          <cell r="E454" t="str">
            <v>LIMPIA, SECA Y LIBRE DE POLVO Y GRASA</v>
          </cell>
          <cell r="F454" t="str">
            <v>NINGUNO</v>
          </cell>
          <cell r="G454" t="str">
            <v>8.53 LBS/GL</v>
          </cell>
          <cell r="H454" t="str">
            <v>16%</v>
          </cell>
          <cell r="I454" t="str">
            <v>42.7%</v>
          </cell>
          <cell r="J454" t="str">
            <v>26.2%</v>
          </cell>
          <cell r="K454" t="str">
            <v>19.1%</v>
          </cell>
          <cell r="L454" t="str">
            <v>31.33%</v>
          </cell>
          <cell r="M454" t="str">
            <v>75-80 KU</v>
          </cell>
          <cell r="N454" t="str">
            <v>BROCHA-PISTOLA</v>
          </cell>
          <cell r="O454" t="str">
            <v>-</v>
          </cell>
          <cell r="P454" t="str">
            <v>HASTA UN 15%</v>
          </cell>
          <cell r="Q454" t="str">
            <v>R1K4</v>
          </cell>
          <cell r="R454" t="str">
            <v>1 MILLS</v>
          </cell>
          <cell r="S454" t="str">
            <v>AL AIRE</v>
          </cell>
          <cell r="T454" t="str">
            <v>-</v>
          </cell>
          <cell r="U454" t="str">
            <v>46 MTS CUADRADOS/GL A UN MILLS DE PELICULA SECA</v>
          </cell>
          <cell r="V454" t="str">
            <v>SEMIBRILLANTE 40-45 A 60 GRADOS</v>
          </cell>
          <cell r="W454" t="str">
            <v>-</v>
          </cell>
          <cell r="X454" t="str">
            <v>2 AÑOS</v>
          </cell>
          <cell r="Y454" t="str">
            <v>DIDEMA-GUATEMALA</v>
          </cell>
          <cell r="Z454" t="str">
            <v>-</v>
          </cell>
          <cell r="AA454" t="str">
            <v>COLOR DEL B4G85 VERDE INTENSO DE EXCELLO ACEITE</v>
          </cell>
          <cell r="AB454" t="str">
            <v>Soraya de Quijada</v>
          </cell>
          <cell r="AC454" t="str">
            <v>Julio 1, 2003</v>
          </cell>
        </row>
        <row r="455">
          <cell r="A455" t="str">
            <v>K54WSA2</v>
          </cell>
          <cell r="B455" t="str">
            <v>RECUBRIMIENTO BLANCO PARA GRAMA SINTETICA</v>
          </cell>
          <cell r="C455" t="str">
            <v>INTERIOR-EXTERIOR</v>
          </cell>
          <cell r="D455" t="str">
            <v>GRAMA SINTETICA</v>
          </cell>
          <cell r="E455" t="str">
            <v>LIMPIA, SECA Y LIBRE DE POLVO Y GRASA</v>
          </cell>
          <cell r="F455" t="str">
            <v>NINGUNO</v>
          </cell>
          <cell r="G455" t="str">
            <v>9.38 LBS/GL</v>
          </cell>
          <cell r="H455" t="str">
            <v>13.85%</v>
          </cell>
          <cell r="I455" t="str">
            <v>24.48%</v>
          </cell>
          <cell r="J455" t="str">
            <v>-</v>
          </cell>
          <cell r="K455" t="str">
            <v>26%</v>
          </cell>
          <cell r="L455" t="str">
            <v>14.74%</v>
          </cell>
          <cell r="M455" t="str">
            <v>80-85 KU</v>
          </cell>
          <cell r="N455" t="str">
            <v>BROCHA</v>
          </cell>
          <cell r="O455" t="str">
            <v>SEGÚN LAS NECESIDADES DEL CLIENTE PUEDE REDUCIRSE HASTA UN 50%</v>
          </cell>
          <cell r="P455" t="str">
            <v>HASTA UN 50%</v>
          </cell>
          <cell r="Q455" t="str">
            <v>AGUA</v>
          </cell>
          <cell r="R455" t="str">
            <v>-</v>
          </cell>
          <cell r="S455" t="str">
            <v>AL SOL UN MINIMO DE 48 HRS O HASTA QUE LA PINTURA EN EL FONDO DEL CESPED SE HAYA SECADO</v>
          </cell>
          <cell r="T455" t="str">
            <v>-</v>
          </cell>
          <cell r="U455" t="str">
            <v>DEPERDE DE LA FORMA DE APLICACIÓN Y EL % DE REDUCCION</v>
          </cell>
          <cell r="V455" t="str">
            <v>-</v>
          </cell>
          <cell r="W455" t="str">
            <v>-</v>
          </cell>
          <cell r="X455" t="str">
            <v>2 AÑOS</v>
          </cell>
          <cell r="Y455" t="str">
            <v>-</v>
          </cell>
          <cell r="Z455" t="str">
            <v>CANCHAS DE GRAMA SINTETICA</v>
          </cell>
          <cell r="AA455" t="str">
            <v>-</v>
          </cell>
          <cell r="AB455" t="str">
            <v>Soraya de Quijada</v>
          </cell>
          <cell r="AC455" t="str">
            <v>Julio 14, 2003</v>
          </cell>
        </row>
        <row r="456">
          <cell r="A456" t="str">
            <v>B60V70</v>
          </cell>
          <cell r="B456" t="str">
            <v>TILE CLAD II ACTIVATOR PART B PANAMA</v>
          </cell>
          <cell r="C456" t="str">
            <v>-</v>
          </cell>
          <cell r="D456" t="str">
            <v>-</v>
          </cell>
          <cell r="E456" t="str">
            <v>-</v>
          </cell>
          <cell r="F456" t="str">
            <v>NINGUNO</v>
          </cell>
          <cell r="G456" t="str">
            <v>8.43 LBS/GL</v>
          </cell>
          <cell r="H456" t="str">
            <v>0.0%</v>
          </cell>
          <cell r="I456" t="str">
            <v>51.52%</v>
          </cell>
          <cell r="J456" t="str">
            <v>51.52%</v>
          </cell>
          <cell r="K456" t="str">
            <v>0.0%</v>
          </cell>
          <cell r="L456" t="str">
            <v>45.27%</v>
          </cell>
          <cell r="M456" t="str">
            <v>F-H GARDNER TUBES</v>
          </cell>
          <cell r="N456" t="str">
            <v>BROCHA-PISTOLA</v>
          </cell>
          <cell r="O456" t="str">
            <v>-</v>
          </cell>
          <cell r="P456" t="str">
            <v>-</v>
          </cell>
          <cell r="Q456" t="str">
            <v>R2K4</v>
          </cell>
          <cell r="R456" t="str">
            <v>-</v>
          </cell>
          <cell r="S456" t="str">
            <v>-</v>
          </cell>
          <cell r="T456" t="str">
            <v>-</v>
          </cell>
          <cell r="U456" t="str">
            <v>-</v>
          </cell>
          <cell r="V456" t="str">
            <v>BRILLANTE</v>
          </cell>
          <cell r="W456" t="str">
            <v>-</v>
          </cell>
          <cell r="X456" t="str">
            <v>2 AÑOS</v>
          </cell>
          <cell r="Y456" t="str">
            <v>PANAMA</v>
          </cell>
          <cell r="Z456" t="str">
            <v>-</v>
          </cell>
          <cell r="AA456" t="str">
            <v>CATALIZAR 1:1 EN VOLUMEN CON TILE CLAD II ENAMEL PART A Y REPOSAR LA MEZCLA POR 30 MIN. ANTES DE REDUCIR Y APLICAR. PRODUCTO LIBRE DE PLOMO ESPECIAL PARA PRODUCTO ANTES FABRICADO EN  PANAMA</v>
          </cell>
          <cell r="AB456" t="str">
            <v>Soraya de Quijada</v>
          </cell>
          <cell r="AC456" t="str">
            <v>Julio 15, 2003</v>
          </cell>
        </row>
        <row r="457">
          <cell r="A457" t="str">
            <v>B97WD2257</v>
          </cell>
          <cell r="B457" t="str">
            <v>PINT.BLAN.P/TRAF.BASE AGUA Q.D. TM 2116</v>
          </cell>
          <cell r="C457" t="str">
            <v>Interior - Exterior</v>
          </cell>
          <cell r="D457" t="str">
            <v>ASFALTO - CONCRETO</v>
          </cell>
          <cell r="E457" t="str">
            <v>LIMPIA, SECA Y LIBRE DE EXUDACIONES DE ASFALTO</v>
          </cell>
          <cell r="F457" t="str">
            <v>NINGUNO.</v>
          </cell>
          <cell r="G457" t="str">
            <v>12 .43 LBS / GL.</v>
          </cell>
          <cell r="H457" t="str">
            <v>52 %.</v>
          </cell>
          <cell r="I457" t="str">
            <v>69. 68 %</v>
          </cell>
          <cell r="J457" t="str">
            <v>-</v>
          </cell>
          <cell r="K457" t="str">
            <v xml:space="preserve">51. 59 </v>
          </cell>
          <cell r="L457" t="str">
            <v>50 +/-2 %</v>
          </cell>
          <cell r="M457" t="str">
            <v>70 - 75 KU</v>
          </cell>
          <cell r="N457" t="str">
            <v>Brocha, Rodillo Industrial, Máquina Franjeadora, Etc.</v>
          </cell>
          <cell r="O457" t="str">
            <v>LISTA PARA USAR</v>
          </cell>
          <cell r="P457" t="str">
            <v>NINGUNO</v>
          </cell>
          <cell r="Q457" t="str">
            <v xml:space="preserve">AGUA LIMPIA SI ES NECESARIO  </v>
          </cell>
          <cell r="R457" t="str">
            <v>7mils</v>
          </cell>
          <cell r="S457" t="str">
            <v>30 MINUTOS. NO TRANSITAR ANTES DE 1HORA.</v>
          </cell>
          <cell r="T457" t="str">
            <v>-</v>
          </cell>
          <cell r="U457" t="str">
            <v>10 - 11 MTS CUADRADOSA 7 MILS SECO.</v>
          </cell>
          <cell r="V457" t="str">
            <v>1 - 2 MATE</v>
          </cell>
          <cell r="W457" t="str">
            <v>-</v>
          </cell>
          <cell r="X457" t="str">
            <v>12 MESES  CORRECTAMENTE TAPADO Y ALMACENADO A 25°C</v>
          </cell>
          <cell r="Y457" t="str">
            <v>VARIOS</v>
          </cell>
          <cell r="Z457" t="str">
            <v>-</v>
          </cell>
          <cell r="AA457" t="str">
            <v>SIN GRUMOS</v>
          </cell>
          <cell r="AB457" t="str">
            <v>Ana Irene Mendez Vides</v>
          </cell>
          <cell r="AC457" t="str">
            <v>21 / JULIO / 2003.</v>
          </cell>
        </row>
        <row r="458">
          <cell r="A458" t="str">
            <v>B97YD2262</v>
          </cell>
          <cell r="B458" t="str">
            <v>P1NT. AMAR.P/TRAF.BASE AGUA Q.D. TM2117</v>
          </cell>
          <cell r="C458" t="str">
            <v>Interior - Exterior</v>
          </cell>
          <cell r="D458" t="str">
            <v>ASFALTO - CONCRETO</v>
          </cell>
          <cell r="E458" t="str">
            <v xml:space="preserve">LIMPIA,SECA Y LIBRE </v>
          </cell>
          <cell r="F458" t="str">
            <v>NINGUNO</v>
          </cell>
          <cell r="G458" t="str">
            <v>12 .53 LBS / GL.</v>
          </cell>
          <cell r="H458" t="str">
            <v>52 %</v>
          </cell>
          <cell r="I458" t="str">
            <v>69. 54 %</v>
          </cell>
          <cell r="J458" t="str">
            <v>-</v>
          </cell>
          <cell r="K458" t="str">
            <v>50.12 %</v>
          </cell>
          <cell r="L458" t="str">
            <v>50 +/-2 %</v>
          </cell>
          <cell r="M458" t="str">
            <v>70 75 KU.</v>
          </cell>
          <cell r="N458" t="str">
            <v>BROCA,RODILLO INDUSTRIA,MAQUINA FRANJEADORA, ETC.</v>
          </cell>
          <cell r="O458" t="str">
            <v>LISTA PARA USAR</v>
          </cell>
          <cell r="P458" t="str">
            <v>NINGUNO</v>
          </cell>
          <cell r="Q458" t="str">
            <v>AGUA LIMPIA SI ES NECESARIO.</v>
          </cell>
          <cell r="R458" t="str">
            <v>7mils</v>
          </cell>
          <cell r="S458" t="str">
            <v>30 MINUTOS. NO TRANSITAR ANTES DE 1HORA.</v>
          </cell>
          <cell r="T458" t="str">
            <v>-</v>
          </cell>
          <cell r="U458" t="str">
            <v>10 - 11 MTS CUADRADOS A 7 MILS SECO.</v>
          </cell>
          <cell r="V458" t="str">
            <v>1 - 2 MATE</v>
          </cell>
          <cell r="W458" t="str">
            <v>-</v>
          </cell>
          <cell r="X458" t="str">
            <v>12 MESES  CORRECTAMENTE TAPADO Y ALMACENADO A 25°C</v>
          </cell>
          <cell r="Y458" t="str">
            <v>VARIOS</v>
          </cell>
          <cell r="Z458" t="str">
            <v>-</v>
          </cell>
          <cell r="AA458" t="str">
            <v>SIN GRUMOS.</v>
          </cell>
          <cell r="AB458" t="str">
            <v>Ana Irene Mendez Vides</v>
          </cell>
          <cell r="AC458" t="str">
            <v>21 / JULIO / 2003.</v>
          </cell>
        </row>
        <row r="459">
          <cell r="A459" t="str">
            <v>A86WSA14</v>
          </cell>
          <cell r="B459" t="str">
            <v>TRA. PAINT WHITE REFLECTORIZED TTP - 87D</v>
          </cell>
          <cell r="C459" t="str">
            <v>EXTERIOR</v>
          </cell>
          <cell r="D459" t="str">
            <v>ASFALTO - CONCRETO</v>
          </cell>
          <cell r="E459" t="str">
            <v>LIMPIA Y SECA</v>
          </cell>
          <cell r="F459" t="str">
            <v>NINGUNO</v>
          </cell>
          <cell r="G459" t="str">
            <v>12. 36 LBS / GL.</v>
          </cell>
          <cell r="H459" t="str">
            <v>-</v>
          </cell>
          <cell r="I459" t="str">
            <v>74. 72 %</v>
          </cell>
          <cell r="J459" t="str">
            <v>-</v>
          </cell>
          <cell r="K459" t="str">
            <v>35. 68 %</v>
          </cell>
          <cell r="L459" t="str">
            <v>53. 86 %</v>
          </cell>
          <cell r="M459" t="str">
            <v>70 - 80 KU</v>
          </cell>
          <cell r="N459" t="str">
            <v>Brocha, Rodillo Industrial, Máquina Franjeadora, Etc.</v>
          </cell>
          <cell r="O459" t="str">
            <v>CON MAQUINA FRANJEADORA, REDUZCA CON 1 / 8 DE GALON.</v>
          </cell>
          <cell r="P459" t="str">
            <v>Listo para usarse con Brocha y Rodillo.</v>
          </cell>
          <cell r="Q459" t="str">
            <v>R2K1, DILUYENTE INDUSTRIAL RAPIDO</v>
          </cell>
          <cell r="R459" t="str">
            <v>7MILS</v>
          </cell>
          <cell r="S459" t="str">
            <v>SECO TOCAR 40 MIN. NO TRANSITAR ANTES DE I H.30 MINUTOS</v>
          </cell>
          <cell r="T459" t="str">
            <v>-</v>
          </cell>
          <cell r="U459" t="str">
            <v>10 - 11 MTS CUADRADOS / GL.</v>
          </cell>
          <cell r="V459" t="str">
            <v>MATE</v>
          </cell>
          <cell r="W459" t="str">
            <v>-</v>
          </cell>
          <cell r="X459" t="str">
            <v>12 MESES CORRECTAMENTE TAPADO Y ALMACENADO A 25° C.</v>
          </cell>
          <cell r="Y459" t="str">
            <v>VARIOS</v>
          </cell>
          <cell r="Z459" t="str">
            <v>-</v>
          </cell>
          <cell r="AA459" t="str">
            <v xml:space="preserve">Finura Hegman: 3H-0 </v>
          </cell>
          <cell r="AB459" t="str">
            <v>Ana Irene Mendez Vides</v>
          </cell>
          <cell r="AC459" t="str">
            <v>21 / JULIO / 2003.</v>
          </cell>
        </row>
        <row r="460">
          <cell r="A460" t="str">
            <v>A86YSA16</v>
          </cell>
          <cell r="B460" t="str">
            <v>TRAF. PAINT YELLOW REFLECTORIZED TTP -87 D</v>
          </cell>
          <cell r="C460" t="str">
            <v>EXTERIOR</v>
          </cell>
          <cell r="D460" t="str">
            <v>ASFALTO - CONCRETO</v>
          </cell>
          <cell r="E460" t="str">
            <v>LIMPIA Y SECA</v>
          </cell>
          <cell r="F460" t="str">
            <v>NINGUNO</v>
          </cell>
          <cell r="G460" t="str">
            <v>12. 55 LBS / GL.</v>
          </cell>
          <cell r="H460" t="str">
            <v>-</v>
          </cell>
          <cell r="I460" t="str">
            <v>75. 25 %</v>
          </cell>
          <cell r="J460" t="str">
            <v>-</v>
          </cell>
          <cell r="K460" t="str">
            <v>36. 02 %</v>
          </cell>
          <cell r="L460" t="str">
            <v>54. 14 %</v>
          </cell>
          <cell r="M460" t="str">
            <v>70 - 80 KU</v>
          </cell>
          <cell r="N460" t="str">
            <v>Brocha, Rodillo Industrial, Máquina Franjeadora, Etc.</v>
          </cell>
          <cell r="O460" t="str">
            <v>CON MAQUINA FRANJEADORA, REDUZCA CON 1 / 8 DE GALON.</v>
          </cell>
          <cell r="P460" t="str">
            <v>Listo para usarse con Brocha y Rodillo.</v>
          </cell>
          <cell r="Q460" t="str">
            <v>R2K1, DILUYENTE INDUSTRIAL RAPIDO</v>
          </cell>
          <cell r="R460" t="str">
            <v>7MILS</v>
          </cell>
          <cell r="S460" t="str">
            <v>SECO TOCAR 40 MIN. NO TRANSITAR ANTES DE I H.30 MINUTOS</v>
          </cell>
          <cell r="T460" t="str">
            <v>-</v>
          </cell>
          <cell r="U460" t="str">
            <v>10 - 11 MTS CUADRADOS / GL.</v>
          </cell>
          <cell r="V460" t="str">
            <v>MATE</v>
          </cell>
          <cell r="W460" t="str">
            <v>-</v>
          </cell>
          <cell r="X460" t="str">
            <v>12 MESES CORRECTAMENTE TAPADO Y ALMACENADO A 25° C.</v>
          </cell>
          <cell r="Y460" t="str">
            <v>VARIOS</v>
          </cell>
          <cell r="Z460" t="str">
            <v>-</v>
          </cell>
          <cell r="AA460" t="str">
            <v xml:space="preserve">Finura Hegman: 3H-0 </v>
          </cell>
          <cell r="AB460" t="str">
            <v>Ana Irene Mendez Vides</v>
          </cell>
          <cell r="AC460" t="str">
            <v>21 / JULIO / 2003.</v>
          </cell>
        </row>
        <row r="461">
          <cell r="A461" t="str">
            <v>LINEA A8</v>
          </cell>
          <cell r="B461" t="str">
            <v>EXCELLO LATEX PINTURA SEMIBRILLANTE</v>
          </cell>
          <cell r="C461" t="str">
            <v>Interior-Exterior</v>
          </cell>
          <cell r="D461" t="str">
            <v>CONCRETO,LADRILLO</v>
          </cell>
          <cell r="E461" t="str">
            <v>LIMPIA,SECA, LIBRE DE POLVO,GRASA,HONGOS,PINTURA DESCASCARADA</v>
          </cell>
          <cell r="F461" t="str">
            <v>FAST DRY LATEX WALL PRIMER</v>
          </cell>
          <cell r="G461" t="str">
            <v>10 .00 +/- .5 LBS / GL</v>
          </cell>
          <cell r="H461" t="str">
            <v>-</v>
          </cell>
          <cell r="I461" t="str">
            <v>43 .29 %</v>
          </cell>
          <cell r="J461" t="str">
            <v>-</v>
          </cell>
          <cell r="K461" t="str">
            <v>24 .90 %</v>
          </cell>
          <cell r="L461" t="str">
            <v>29 .63 %</v>
          </cell>
          <cell r="M461" t="str">
            <v>90 - 95 KU</v>
          </cell>
          <cell r="N461" t="str">
            <v>BROCHA - RODILLO</v>
          </cell>
          <cell r="O461" t="str">
            <v>LISTA PARA USAR</v>
          </cell>
          <cell r="P461" t="str">
            <v>NINGUNO.</v>
          </cell>
          <cell r="Q461" t="str">
            <v>AGUA PARA LAVAR EQUIPO.</v>
          </cell>
          <cell r="R461" t="str">
            <v>1 MILS</v>
          </cell>
          <cell r="S461" t="str">
            <v>AL TACTO 1 HORA, RETOCAR : 2 - 4 HORAS</v>
          </cell>
          <cell r="T461" t="str">
            <v>-</v>
          </cell>
          <cell r="U461" t="str">
            <v>40 Mts CUADRADOS A 1 MILS DE ESPESOR</v>
          </cell>
          <cell r="V461" t="str">
            <v>25 - 30</v>
          </cell>
          <cell r="W461" t="str">
            <v>-</v>
          </cell>
          <cell r="X461" t="str">
            <v>36 MESES SIN DESTAPAR A 25 ° C</v>
          </cell>
          <cell r="Y461" t="str">
            <v>VARIOS</v>
          </cell>
          <cell r="Z461" t="str">
            <v>-</v>
          </cell>
          <cell r="AA461" t="str">
            <v>ESTE PRODUCTO NO CONTIENE PLOMO NI MERCURIO</v>
          </cell>
          <cell r="AB461" t="str">
            <v>ANA IRENE MENDEZ VIDES.</v>
          </cell>
          <cell r="AC461" t="str">
            <v>1° AGOSTO 2003</v>
          </cell>
        </row>
        <row r="462">
          <cell r="A462" t="str">
            <v>B50A1-A</v>
          </cell>
          <cell r="B462" t="str">
            <v>GALVANIZED IRON PRIMER PARTE A</v>
          </cell>
          <cell r="C462" t="str">
            <v>INTERIOR-EXTERIOR</v>
          </cell>
          <cell r="D462" t="str">
            <v>ACERO-LAMINA GALVANIZADA</v>
          </cell>
          <cell r="E462" t="str">
            <v>LIMPIA,SECA, LIBRE DE POLVO,GRASA,PINTURA DESCASCARADA</v>
          </cell>
          <cell r="F462" t="str">
            <v>-</v>
          </cell>
          <cell r="G462" t="str">
            <v>11.50 LBS/GL</v>
          </cell>
          <cell r="H462" t="str">
            <v>45.98%</v>
          </cell>
          <cell r="I462" t="str">
            <v>77.52%</v>
          </cell>
          <cell r="J462" t="str">
            <v>31.54%</v>
          </cell>
          <cell r="K462" t="str">
            <v>28.15%</v>
          </cell>
          <cell r="L462" t="str">
            <v>54.36%</v>
          </cell>
          <cell r="M462" t="str">
            <v>77-85 KU</v>
          </cell>
          <cell r="N462" t="str">
            <v>BROCHA</v>
          </cell>
          <cell r="O462" t="str">
            <v>-</v>
          </cell>
          <cell r="P462" t="str">
            <v xml:space="preserve">LA NECESARIA  </v>
          </cell>
          <cell r="Q462" t="str">
            <v>R1K4 MINERAL SPIRITS</v>
          </cell>
          <cell r="R462" t="str">
            <v>1 MILLS</v>
          </cell>
          <cell r="S462" t="str">
            <v>SECO TOCAR: 4-6 HORAS; SECO COMPLETO: 8-12 HORAS</v>
          </cell>
          <cell r="T462" t="str">
            <v>-</v>
          </cell>
          <cell r="U462" t="str">
            <v>60 Mts CUADRADOS A 1 MILS DE ESPESOR</v>
          </cell>
          <cell r="V462" t="str">
            <v>LIGERAMENTE SATINADO</v>
          </cell>
          <cell r="W462" t="str">
            <v>-</v>
          </cell>
          <cell r="X462" t="str">
            <v>24 MESES SIN DESTAPAR A 25 ° C</v>
          </cell>
          <cell r="Y462" t="str">
            <v>PANAMA</v>
          </cell>
          <cell r="Z462" t="str">
            <v>-</v>
          </cell>
          <cell r="AA462" t="str">
            <v>ESTE PRODUCTO CONSTA DE DOS PARTES, PARTE A Y PARTE B AMBAS PARTES DEBEN MEZCLARSE PARA OBTENER EL PRODUCTO FINAL Y APLICAR</v>
          </cell>
          <cell r="AB462" t="str">
            <v>Soraya de Quijada</v>
          </cell>
          <cell r="AC462" t="str">
            <v>20 AGOSTO 2003</v>
          </cell>
        </row>
        <row r="463">
          <cell r="A463" t="str">
            <v>B50A1-B</v>
          </cell>
          <cell r="B463" t="str">
            <v>GALVANIZED IRON PRIMER PARTE B</v>
          </cell>
          <cell r="C463" t="str">
            <v>-</v>
          </cell>
          <cell r="D463" t="str">
            <v>-</v>
          </cell>
          <cell r="E463" t="str">
            <v>-</v>
          </cell>
          <cell r="F463" t="str">
            <v>-</v>
          </cell>
          <cell r="G463" t="str">
            <v>58.8 LBS/GL</v>
          </cell>
          <cell r="H463" t="str">
            <v>100%</v>
          </cell>
          <cell r="I463" t="str">
            <v>100%</v>
          </cell>
          <cell r="J463" t="str">
            <v>-</v>
          </cell>
          <cell r="K463" t="str">
            <v>-</v>
          </cell>
          <cell r="L463" t="str">
            <v>-</v>
          </cell>
          <cell r="M463" t="str">
            <v>SOLIDO</v>
          </cell>
          <cell r="N463" t="str">
            <v>-</v>
          </cell>
          <cell r="O463" t="str">
            <v>-</v>
          </cell>
          <cell r="P463" t="str">
            <v>-</v>
          </cell>
          <cell r="Q463" t="str">
            <v>-</v>
          </cell>
          <cell r="R463" t="str">
            <v>-</v>
          </cell>
          <cell r="S463" t="str">
            <v>-</v>
          </cell>
          <cell r="T463" t="str">
            <v>-</v>
          </cell>
          <cell r="U463" t="str">
            <v>-</v>
          </cell>
          <cell r="V463" t="str">
            <v>-</v>
          </cell>
          <cell r="W463" t="str">
            <v>-</v>
          </cell>
          <cell r="X463" t="str">
            <v>-</v>
          </cell>
          <cell r="Y463" t="str">
            <v>PANAMA</v>
          </cell>
          <cell r="Z463" t="str">
            <v>-</v>
          </cell>
          <cell r="AA463" t="str">
            <v>POLVO DE ZINC.ESTE PRODUCTO CONSTA DE DOS PARTES, PARTE A Y PARTE B AMBAS PARTES DEBEN MEZCLARSE PARA OBTENER EL PRODUCTO FINAL Y APLICAR</v>
          </cell>
          <cell r="AB463" t="str">
            <v>Soraya de Quijada</v>
          </cell>
          <cell r="AC463" t="str">
            <v>20 AGOSTO 2003</v>
          </cell>
        </row>
        <row r="464">
          <cell r="A464" t="str">
            <v>S66NSA2</v>
          </cell>
          <cell r="B464" t="str">
            <v>GLAZE BRISTO WALNUT</v>
          </cell>
          <cell r="C464" t="str">
            <v>INTERIOR-EXTERIOR</v>
          </cell>
          <cell r="D464" t="str">
            <v>MADERA</v>
          </cell>
          <cell r="E464" t="str">
            <v>LIJADO Y LIBRE DE POLVO</v>
          </cell>
          <cell r="F464" t="str">
            <v>DE PREFERENCIA SE APLICA DESPUES DE LA MANO DELGADA DE SELLADOR (WASHCOAT)</v>
          </cell>
          <cell r="G464" t="str">
            <v>9.65 LBS</v>
          </cell>
          <cell r="H464" t="str">
            <v>5%</v>
          </cell>
          <cell r="I464" t="str">
            <v>60.0%</v>
          </cell>
          <cell r="J464" t="str">
            <v>34.56%</v>
          </cell>
          <cell r="K464" t="str">
            <v>40.92%</v>
          </cell>
          <cell r="L464" t="str">
            <v>40.0%</v>
          </cell>
          <cell r="M464" t="str">
            <v>85-90 KU</v>
          </cell>
          <cell r="N464" t="str">
            <v>BROCHA, WIPE, PISTOLA</v>
          </cell>
          <cell r="O464" t="str">
            <v>DE PREFERENCIA A 20-25 SEG ZANH 2</v>
          </cell>
          <cell r="P464" t="str">
            <v xml:space="preserve">HASTA 200% </v>
          </cell>
          <cell r="Q464" t="str">
            <v>R1K4, R1K3</v>
          </cell>
          <cell r="R464" t="str">
            <v>-</v>
          </cell>
          <cell r="S464" t="str">
            <v>30-45 MIN.</v>
          </cell>
          <cell r="T464" t="str">
            <v>-</v>
          </cell>
          <cell r="U464" t="str">
            <v>61.53 METROS CUADRADOS POR GALON A 1 MILS DE PELICULA SECA</v>
          </cell>
          <cell r="V464" t="str">
            <v>-</v>
          </cell>
          <cell r="W464" t="str">
            <v>-</v>
          </cell>
          <cell r="X464" t="str">
            <v>1 AÑO</v>
          </cell>
          <cell r="Y464" t="str">
            <v>DIDEMA HONDURAS</v>
          </cell>
          <cell r="Z464" t="str">
            <v>-</v>
          </cell>
          <cell r="AB464" t="str">
            <v>Juan Antonio Méndez</v>
          </cell>
          <cell r="AC464" t="str">
            <v>6 de noviembre del 2006</v>
          </cell>
        </row>
        <row r="465">
          <cell r="A465" t="str">
            <v>S66NSA3</v>
          </cell>
          <cell r="B465" t="str">
            <v>GLAZE CHERRY</v>
          </cell>
          <cell r="C465" t="str">
            <v>INTERIOR-EXTERIOR</v>
          </cell>
          <cell r="D465" t="str">
            <v>MADERA</v>
          </cell>
          <cell r="E465" t="str">
            <v>LIJADO Y LIBRE DE POLVO</v>
          </cell>
          <cell r="F465" t="str">
            <v>DE PREFERENCIA SE APLICA DESPUES DE LA MANO DELGADA DE SELLADOR (WASHCOAT)</v>
          </cell>
          <cell r="G465" t="str">
            <v>9.65 LBS</v>
          </cell>
          <cell r="H465" t="str">
            <v>8.22 %</v>
          </cell>
          <cell r="I465" t="str">
            <v>60.0%</v>
          </cell>
          <cell r="J465" t="str">
            <v>35.55%</v>
          </cell>
          <cell r="K465" t="str">
            <v>37%</v>
          </cell>
          <cell r="L465" t="str">
            <v>39.47%</v>
          </cell>
          <cell r="M465" t="str">
            <v>85-90 KU</v>
          </cell>
          <cell r="N465" t="str">
            <v>BROCHA, WIPE, PISTOLA</v>
          </cell>
          <cell r="O465" t="str">
            <v>DE PREFERENCIA A 25-20 SEG ZANH 2</v>
          </cell>
          <cell r="P465" t="str">
            <v xml:space="preserve">HASTA 200% </v>
          </cell>
          <cell r="Q465" t="str">
            <v>R1K4, R1K3</v>
          </cell>
          <cell r="R465" t="str">
            <v>-</v>
          </cell>
          <cell r="S465" t="str">
            <v>30-45 MIN.</v>
          </cell>
          <cell r="T465" t="str">
            <v>-</v>
          </cell>
          <cell r="U465" t="str">
            <v>58.84 METROS CUADRADOS POR GALON A 1 MILS DE PELICULA SECA</v>
          </cell>
          <cell r="V465" t="str">
            <v>-</v>
          </cell>
          <cell r="W465" t="str">
            <v>-</v>
          </cell>
          <cell r="X465" t="str">
            <v>1 AÑO</v>
          </cell>
          <cell r="Y465" t="str">
            <v>DIDEMA HONDURAS</v>
          </cell>
          <cell r="Z465" t="str">
            <v>-</v>
          </cell>
          <cell r="AB465" t="str">
            <v>Juan Antonio Méndez</v>
          </cell>
          <cell r="AC465" t="str">
            <v>6 de noviembre del 2006</v>
          </cell>
        </row>
        <row r="466">
          <cell r="A466" t="str">
            <v>S66NSA1</v>
          </cell>
          <cell r="B466" t="str">
            <v>GLAZE WARM CHESNUT</v>
          </cell>
          <cell r="C466" t="str">
            <v>INTERIOR-EXTERIOR</v>
          </cell>
          <cell r="D466" t="str">
            <v>MADERA</v>
          </cell>
          <cell r="E466" t="str">
            <v>LIJADO Y LIBRE DE POLVO</v>
          </cell>
          <cell r="F466" t="str">
            <v>DE PREFERENCIA SE APLICA DESPUES DE LA MANO DELGADA DE SELLADOR (WASHCOAT)</v>
          </cell>
          <cell r="G466" t="str">
            <v>8.98 LBS</v>
          </cell>
          <cell r="H466" t="str">
            <v>5.5 %</v>
          </cell>
          <cell r="I466" t="str">
            <v>54%</v>
          </cell>
          <cell r="J466" t="str">
            <v>32%</v>
          </cell>
          <cell r="K466" t="str">
            <v>30.60 %</v>
          </cell>
          <cell r="L466" t="str">
            <v>37 %</v>
          </cell>
          <cell r="M466" t="str">
            <v>85-90 KU</v>
          </cell>
          <cell r="N466" t="str">
            <v>BROCHA, WIPE, PISTOLA</v>
          </cell>
          <cell r="O466" t="str">
            <v>DE PREFERENCIA A 25-20 SEG ZANH 2</v>
          </cell>
          <cell r="P466" t="str">
            <v xml:space="preserve">HASTA 200% </v>
          </cell>
          <cell r="Q466" t="str">
            <v>R1K4, R1K3</v>
          </cell>
          <cell r="R466" t="str">
            <v>-</v>
          </cell>
          <cell r="S466" t="str">
            <v>30-45 MIN.</v>
          </cell>
          <cell r="T466" t="str">
            <v>-</v>
          </cell>
          <cell r="U466" t="str">
            <v>55.13 METROS CUADRADOS POR GALON A 1 MILS DE PELICULA SECA</v>
          </cell>
          <cell r="V466" t="str">
            <v>-</v>
          </cell>
          <cell r="W466" t="str">
            <v>-</v>
          </cell>
          <cell r="X466" t="str">
            <v>1 AÑO</v>
          </cell>
          <cell r="Y466" t="str">
            <v>DIDEMA HONDURAS</v>
          </cell>
          <cell r="Z466" t="str">
            <v>-</v>
          </cell>
          <cell r="AB466" t="str">
            <v>Juan Antonio Méndez</v>
          </cell>
          <cell r="AC466" t="str">
            <v>6 de noviembre del 2006</v>
          </cell>
        </row>
        <row r="467">
          <cell r="A467" t="str">
            <v>B67_2000 PARTE A.    B67V2002 PARTE B.</v>
          </cell>
          <cell r="B467" t="str">
            <v>ARMORSEAL 1000 HS EPOXY</v>
          </cell>
          <cell r="C467" t="str">
            <v>INTERIOR-EXTERIOR</v>
          </cell>
          <cell r="D467" t="str">
            <v>CONCRETO Y HIERRO</v>
          </cell>
          <cell r="E467" t="str">
            <v>CONCRETO: SSPC-SP13/NACE 6 (SEGUN ASTM D4258,D4259 Y D4260).   HIERRO: SSPC-SP6.</v>
          </cell>
          <cell r="F467" t="str">
            <v>NINGUNO</v>
          </cell>
          <cell r="G467" t="str">
            <v>12.51 MEZCLADO Y PUEDE VARIAR POR EL COLOR.</v>
          </cell>
          <cell r="H467" t="str">
            <v>---</v>
          </cell>
          <cell r="I467" t="str">
            <v>74% (MEZCLADO Y PUEDE VARIAR POR EL COLOR)</v>
          </cell>
          <cell r="J467" t="str">
            <v>---</v>
          </cell>
          <cell r="K467" t="str">
            <v>---</v>
          </cell>
          <cell r="L467" t="str">
            <v>65% (MEZCLADO Y PUEDE VARIAR POR EL COLOR)</v>
          </cell>
          <cell r="M467" t="str">
            <v>---</v>
          </cell>
          <cell r="N467" t="str">
            <v xml:space="preserve">AIRLESS, BROCHA, RODILLO, </v>
          </cell>
          <cell r="O467" t="str">
            <v>---</v>
          </cell>
          <cell r="P467" t="str">
            <v>10-15%</v>
          </cell>
          <cell r="Q467" t="str">
            <v>R7K54 INDUSTRIAL REDUCER</v>
          </cell>
          <cell r="R467" t="str">
            <v>6-10 MILS DE PELICULA SECA</v>
          </cell>
          <cell r="S467" t="str">
            <v>TRAFICO PEATONAL:24 HR.  TRAFICO PESADO: 72 HRS. PARA RESISTENCIA QUIMICA 7 DIAS.</v>
          </cell>
          <cell r="T467" t="str">
            <v>--</v>
          </cell>
          <cell r="U467" t="str">
            <v>9-16 MTS CUADRADOS POR GALON A 6-10 MILS SECOS.</v>
          </cell>
          <cell r="V467" t="str">
            <v>BRILLANTE</v>
          </cell>
          <cell r="W467" t="str">
            <v>HB</v>
          </cell>
          <cell r="X467" t="str">
            <v>1 ANO</v>
          </cell>
          <cell r="Y467" t="str">
            <v>VARIOS</v>
          </cell>
          <cell r="AA467" t="str">
            <v>ESPECIFICACIONES OBTENIDAS DE HOJA TECNICA ARMORSEAL 1000 HS.</v>
          </cell>
          <cell r="AB467" t="str">
            <v>Juan Antonio Méndez</v>
          </cell>
          <cell r="AC467" t="str">
            <v>12 DE AGOSTO DEL 2008</v>
          </cell>
        </row>
        <row r="468">
          <cell r="A468" t="str">
            <v>B50 W SA2</v>
          </cell>
          <cell r="B468" t="str">
            <v>PRIMER BLANCO PARA TORRES DE HIERRO GALVANIZADO</v>
          </cell>
          <cell r="C468" t="str">
            <v>EXTERIOR</v>
          </cell>
          <cell r="D468" t="str">
            <v>HIERRO GALVANIZADO</v>
          </cell>
          <cell r="E468" t="str">
            <v>La superficie debe estar limpia, seca y en buenas condiciones. La limpieza debera ser segun SSPC-SP1 de Preferencia con thinner R7K128 o R7K203.</v>
          </cell>
          <cell r="F468" t="str">
            <v>NINGUNO</v>
          </cell>
          <cell r="G468" t="str">
            <v>10.99 ± 0.2 LBS/GALON</v>
          </cell>
          <cell r="H468" t="str">
            <v>29.8% ± 0.2</v>
          </cell>
          <cell r="I468" t="str">
            <v>58% ± 1.0</v>
          </cell>
          <cell r="J468" t="str">
            <v>21.0 % ± 1.0</v>
          </cell>
          <cell r="K468" t="str">
            <v>27.7%</v>
          </cell>
          <cell r="L468" t="str">
            <v>44.2% ± 1.0</v>
          </cell>
          <cell r="M468" t="str">
            <v>110 - 115 KU</v>
          </cell>
          <cell r="N468" t="str">
            <v>BROCHA -PISTOLA</v>
          </cell>
          <cell r="O468" t="str">
            <v>LA NECESARIA</v>
          </cell>
          <cell r="P468" t="str">
            <v>20 % MAX.</v>
          </cell>
          <cell r="Q468" t="str">
            <v>AGUA LIMPIA</v>
          </cell>
          <cell r="R468" t="str">
            <v>1 MILS (25.4  MICRONES)</v>
          </cell>
          <cell r="S468" t="str">
            <v>TOCAR: 30 MIN; RETOCAR: 3 HRS.</v>
          </cell>
          <cell r="T468" t="str">
            <v>-</v>
          </cell>
          <cell r="U468" t="str">
            <v>50-60 Mts2/Galon a 1 mils de espesor de pelicula seca</v>
          </cell>
          <cell r="V468" t="str">
            <v>MATE</v>
          </cell>
          <cell r="W468" t="str">
            <v>-</v>
          </cell>
          <cell r="X468" t="str">
            <v>24 meses sin abrir a 25 grados centigrados.</v>
          </cell>
          <cell r="Y468" t="str">
            <v>VARIOS</v>
          </cell>
          <cell r="Z468" t="str">
            <v>MONTAJE Y ENSAMBLE DE TORRES DE TRANSMISION TELEFONICA</v>
          </cell>
          <cell r="AA468" t="str">
            <v>RECUBRIR CON ACABADO BRILLANTE B50WSA1</v>
          </cell>
          <cell r="AB468" t="str">
            <v>SORAYA DE QUIJADA</v>
          </cell>
          <cell r="AC468" t="str">
            <v>SEPTIEMBRE 1, 2008</v>
          </cell>
        </row>
        <row r="469">
          <cell r="A469" t="str">
            <v>B50 E SA2</v>
          </cell>
          <cell r="B469" t="str">
            <v>PRIMER NARANJA PARA TORRES DE HIERRO GALVANIZADO</v>
          </cell>
          <cell r="C469" t="str">
            <v>EXTERIOR</v>
          </cell>
          <cell r="D469" t="str">
            <v>HIERRO GALVANIZADO</v>
          </cell>
          <cell r="E469" t="str">
            <v>La superficie debe estar limpia, seca y en buenas condiciones. La limpieza debera ser segun SSPC-SP1 de Preferencia con thinner R7K128 o R7K203.</v>
          </cell>
          <cell r="F469" t="str">
            <v>NINGUNO</v>
          </cell>
          <cell r="G469" t="str">
            <v>9.66 ± 0.2 LBS/GALON</v>
          </cell>
          <cell r="H469" t="str">
            <v>13.8% ± 0.2</v>
          </cell>
          <cell r="I469" t="str">
            <v>49.5% ± 1.0</v>
          </cell>
          <cell r="J469" t="str">
            <v>24.0 % ± 1.0</v>
          </cell>
          <cell r="K469" t="str">
            <v>17.5%</v>
          </cell>
          <cell r="L469" t="str">
            <v>38.75% ± 1.0</v>
          </cell>
          <cell r="M469" t="str">
            <v>110 - 115 KU</v>
          </cell>
          <cell r="N469" t="str">
            <v>BROCHA -PISTOLA</v>
          </cell>
          <cell r="O469" t="str">
            <v>LA NECESARIA</v>
          </cell>
          <cell r="P469" t="str">
            <v>20 % MAX.</v>
          </cell>
          <cell r="Q469" t="str">
            <v>AGUA LIMPIA</v>
          </cell>
          <cell r="R469" t="str">
            <v>1 MILS (25.4  MICRONES)</v>
          </cell>
          <cell r="S469" t="str">
            <v>TOCAR: 30 MIN; RETOCAR: 3 HRS.</v>
          </cell>
          <cell r="T469" t="str">
            <v>-</v>
          </cell>
          <cell r="U469" t="str">
            <v>50-60 Mts2/Galon a 1 mils de espesor de pelicula seca</v>
          </cell>
          <cell r="V469" t="str">
            <v>MATE</v>
          </cell>
          <cell r="W469" t="str">
            <v>-</v>
          </cell>
          <cell r="X469" t="str">
            <v>24 meses sin abrir a 25 grados centigrados.</v>
          </cell>
          <cell r="Y469" t="str">
            <v>VARIOS</v>
          </cell>
          <cell r="Z469" t="str">
            <v>MONTAJE Y ENSAMBLE DE TORRES DE TRANSMISION TELEFONICA</v>
          </cell>
          <cell r="AA469" t="str">
            <v>RECUBRIR CON ACABADO BRILLANTE B50ESA1</v>
          </cell>
          <cell r="AB469" t="str">
            <v>SORAYA DE QUIJADA</v>
          </cell>
          <cell r="AC469" t="str">
            <v>SEPTIEMBRE 1, 2008</v>
          </cell>
        </row>
        <row r="470">
          <cell r="A470" t="str">
            <v>SAA 8012</v>
          </cell>
          <cell r="B470" t="str">
            <v>PRIMER BLANCO PARA TORRES DE HIERRO GALVANIZADO</v>
          </cell>
          <cell r="C470" t="str">
            <v>EXTERIOR</v>
          </cell>
          <cell r="D470" t="str">
            <v>HIERRO GALVANIZADO</v>
          </cell>
          <cell r="E470" t="str">
            <v>La superficie debe estar limpia, seca y en buenas condiciones. La limpieza debera ser segun SSPC-SP1 de Preferencia con thinner R7K128 o R7K203.</v>
          </cell>
          <cell r="F470" t="str">
            <v>NINGUNO</v>
          </cell>
          <cell r="G470" t="str">
            <v>10.99 ± 0.2 LBS/GALON</v>
          </cell>
          <cell r="H470" t="str">
            <v>29.8% ± 0.2</v>
          </cell>
          <cell r="I470" t="str">
            <v>58% ± 1.0</v>
          </cell>
          <cell r="J470" t="str">
            <v>21.0 % ± 1.0</v>
          </cell>
          <cell r="K470" t="str">
            <v>27.7%</v>
          </cell>
          <cell r="L470" t="str">
            <v>44.2% ± 1.0</v>
          </cell>
          <cell r="M470" t="str">
            <v>110 - 115 KU</v>
          </cell>
          <cell r="N470" t="str">
            <v>BROCHA -PISTOLA</v>
          </cell>
          <cell r="O470" t="str">
            <v>LA NECESARIA</v>
          </cell>
          <cell r="P470" t="str">
            <v>20 % MAX.</v>
          </cell>
          <cell r="Q470" t="str">
            <v>AGUA LIMPIA</v>
          </cell>
          <cell r="R470" t="str">
            <v>1 MILS (25.4  MICRONES)</v>
          </cell>
          <cell r="S470" t="str">
            <v>TOCAR: 30 MIN; RETOCAR: 3 HRS.</v>
          </cell>
          <cell r="T470" t="str">
            <v>-</v>
          </cell>
          <cell r="U470" t="str">
            <v>50-60 Mts2/Galon a 1 mils de espesor de pelicula seca</v>
          </cell>
          <cell r="V470" t="str">
            <v>MATE</v>
          </cell>
          <cell r="W470" t="str">
            <v>-</v>
          </cell>
          <cell r="X470" t="str">
            <v>24 meses sin abrir a 25 grados centigrados.</v>
          </cell>
          <cell r="Y470" t="str">
            <v>VARIOS</v>
          </cell>
          <cell r="Z470" t="str">
            <v>MONTAJE Y ENSAMBLE DE TORRES DE TRANSMISION TELEFONICA</v>
          </cell>
          <cell r="AA470" t="str">
            <v>RECUBRIR CON ACABADO BRILLANTE B50WSA1</v>
          </cell>
          <cell r="AB470" t="str">
            <v>SORAYA DE QUIJADA</v>
          </cell>
          <cell r="AC470" t="str">
            <v>SEPTIEMBRE 1, 2008</v>
          </cell>
        </row>
        <row r="471">
          <cell r="A471" t="str">
            <v>SAA 8013</v>
          </cell>
          <cell r="B471" t="str">
            <v>PRIMER NARANJA PARA TORRES DE HIERRO GALVANIZADO</v>
          </cell>
          <cell r="C471" t="str">
            <v>EXTERIOR</v>
          </cell>
          <cell r="D471" t="str">
            <v>HIERRO GALVANIZADO</v>
          </cell>
          <cell r="E471" t="str">
            <v>La superficie debe estar limpia, seca y en buenas condiciones. La limpieza debera ser segun SSPC-SP1 de Preferencia con thinner R7K128 o R7K203.</v>
          </cell>
          <cell r="F471" t="str">
            <v>NINGUNO</v>
          </cell>
          <cell r="G471" t="str">
            <v>9.66 ± 0.2 LBS/GALON</v>
          </cell>
          <cell r="H471" t="str">
            <v>13.8% ± 0.2</v>
          </cell>
          <cell r="I471" t="str">
            <v>49.5% ± 1.0</v>
          </cell>
          <cell r="J471" t="str">
            <v>24.0 % ± 1.0</v>
          </cell>
          <cell r="K471" t="str">
            <v>17.5%</v>
          </cell>
          <cell r="L471" t="str">
            <v>38.75% ± 1.0</v>
          </cell>
          <cell r="M471" t="str">
            <v>110 - 115 KU</v>
          </cell>
          <cell r="N471" t="str">
            <v>BROCHA -PISTOLA</v>
          </cell>
          <cell r="O471" t="str">
            <v>LA NECESARIA</v>
          </cell>
          <cell r="P471" t="str">
            <v>20 % MAX.</v>
          </cell>
          <cell r="Q471" t="str">
            <v>AGUA LIMPIA</v>
          </cell>
          <cell r="R471" t="str">
            <v>1 MILS (25.4  MICRONES)</v>
          </cell>
          <cell r="S471" t="str">
            <v>TOCAR: 30 MIN; RETOCAR: 3 HRS.</v>
          </cell>
          <cell r="T471" t="str">
            <v>-</v>
          </cell>
          <cell r="U471" t="str">
            <v>50-60 Mts2/Galon a 1 mils de espesor de pelicula seca</v>
          </cell>
          <cell r="V471" t="str">
            <v>MATE</v>
          </cell>
          <cell r="W471" t="str">
            <v>-</v>
          </cell>
          <cell r="X471" t="str">
            <v>24 meses sin abrir a 25 grados centigrados.</v>
          </cell>
          <cell r="Y471" t="str">
            <v>VARIOS</v>
          </cell>
          <cell r="Z471" t="str">
            <v>MONTAJE Y ENSAMBLE DE TORRES DE TRANSMISION TELEFONICA</v>
          </cell>
          <cell r="AA471" t="str">
            <v>RECUBRIR CON ACABADO BRILLANTE B50ESA1</v>
          </cell>
          <cell r="AB471" t="str">
            <v>SORAYA DE QUIJADA</v>
          </cell>
          <cell r="AC471" t="str">
            <v>SEPTIEMBRE 1, 2008</v>
          </cell>
        </row>
        <row r="472">
          <cell r="A472" t="str">
            <v>LINEA A33</v>
          </cell>
          <cell r="B472" t="str">
            <v>FLOOR ENAMEL</v>
          </cell>
          <cell r="C472" t="str">
            <v>INTERIOR-EXTERIOR</v>
          </cell>
          <cell r="D472" t="str">
            <v>CONCRETO, METAL Y MADERA</v>
          </cell>
          <cell r="E472" t="str">
            <v>LIMPIA, SECA, LIBRE DE POLVO, GRASA, PINTURA DESCASCARADA</v>
          </cell>
          <cell r="F472" t="str">
            <v>NINGUNO</v>
          </cell>
          <cell r="G472" t="str">
            <v>8.5 ± 0.5 LBS/GALON DEPENDIENDO EL COLOR</v>
          </cell>
          <cell r="H472" t="str">
            <v>20.2% ± 0.2 DEPENDIENDO EL COLOR</v>
          </cell>
          <cell r="I472" t="str">
            <v>47.5 - 52.5 ± 0.5 DEPENDIENDO EL COLOR</v>
          </cell>
          <cell r="J472" t="str">
            <v>-</v>
          </cell>
          <cell r="K472" t="str">
            <v>14.5 - 18.5% DEPENDIENDO EL COLOR</v>
          </cell>
          <cell r="L472" t="str">
            <v>35 - 38 ± 0.5 DEPENDIENDO EL COLOR</v>
          </cell>
          <cell r="M472" t="str">
            <v>70 - 76 KU</v>
          </cell>
          <cell r="N472" t="str">
            <v>BROCHA - RODILLO</v>
          </cell>
          <cell r="O472" t="str">
            <v>-</v>
          </cell>
          <cell r="P472" t="str">
            <v>10 % MAX</v>
          </cell>
          <cell r="Q472" t="str">
            <v>R1K4 Mineral Spirits</v>
          </cell>
          <cell r="R472" t="str">
            <v>1 - 1.5 MILS</v>
          </cell>
          <cell r="S472" t="str">
            <v>SECO TOCAR: 2 HORAS, REPINTAR: 12 HORAS, SECO COMPLETO: 24 HORAS</v>
          </cell>
          <cell r="T472" t="str">
            <v>-</v>
          </cell>
          <cell r="U472" t="str">
            <v>50 - 55 Mts Cuadrados/Gl, Dependiendo de la Superficie.</v>
          </cell>
          <cell r="V472" t="str">
            <v>SATINADO</v>
          </cell>
          <cell r="W472" t="str">
            <v>-</v>
          </cell>
          <cell r="X472" t="str">
            <v>24 MESES</v>
          </cell>
          <cell r="Y472" t="str">
            <v>VARIOS</v>
          </cell>
          <cell r="Z472" t="str">
            <v>PRODUCTO ESPECIAL PARA PANAMA</v>
          </cell>
          <cell r="AA472" t="str">
            <v>-</v>
          </cell>
          <cell r="AB472" t="str">
            <v>Hector Manuel Guerra</v>
          </cell>
          <cell r="AC472" t="str">
            <v>21/12/2010</v>
          </cell>
        </row>
        <row r="473">
          <cell r="A473" t="str">
            <v>LINEA A57</v>
          </cell>
          <cell r="B473" t="str">
            <v>PINTURA PARA TECHOS</v>
          </cell>
          <cell r="C473" t="str">
            <v>INTERIOR-EXTERIOR</v>
          </cell>
          <cell r="D473" t="str">
            <v>METAL, METAL GALVANIZADO, CONCRETO, ASBESTO</v>
          </cell>
          <cell r="E473" t="str">
            <v>La superficie debe estar limpia y seca, libre de grasa, suciedad u óxido</v>
          </cell>
          <cell r="F473" t="str">
            <v>NINGUNO</v>
          </cell>
          <cell r="G473" t="str">
            <v>10-12 LBS/GALON DEPENDIENDO EL COLOR</v>
          </cell>
          <cell r="H473" t="str">
            <v>3-10 % DEPENDIENDO EL COLOR</v>
          </cell>
          <cell r="I473" t="str">
            <v>48-78 % DEPENDIENDO EL COLOR</v>
          </cell>
          <cell r="J473" t="str">
            <v>-</v>
          </cell>
          <cell r="K473" t="str">
            <v>18-48 % DEPENDIENDO EL COLOR</v>
          </cell>
          <cell r="L473" t="str">
            <v>35-55 % DEPENDIENDO EL COLOR</v>
          </cell>
          <cell r="M473" t="str">
            <v>75-80 KU</v>
          </cell>
          <cell r="N473" t="str">
            <v>Brocha, Rodillo, Pistola de Aire</v>
          </cell>
          <cell r="O473" t="str">
            <v>-</v>
          </cell>
          <cell r="P473" t="str">
            <v>10-15 % MAX SEGUN METODO DE APLICACION</v>
          </cell>
          <cell r="Q473" t="str">
            <v>R1K4 Mineral Spirits</v>
          </cell>
          <cell r="R473" t="str">
            <v>1-2 MILS</v>
          </cell>
          <cell r="S473" t="str">
            <v>SECO TOCAR: 2 HORAS, REPINTAR: 4 HORAS, SECO COMPLETO: 12 HORAS</v>
          </cell>
          <cell r="T473" t="str">
            <v>-</v>
          </cell>
          <cell r="U473" t="str">
            <v>55-60 Mts2/Galon a 1 mils de espesor de pelicula seca</v>
          </cell>
          <cell r="V473" t="str">
            <v>MATE</v>
          </cell>
          <cell r="W473" t="str">
            <v>-</v>
          </cell>
          <cell r="X473" t="str">
            <v>24 MESES</v>
          </cell>
          <cell r="Y473" t="str">
            <v>VARIOS</v>
          </cell>
          <cell r="Z473" t="str">
            <v>-</v>
          </cell>
          <cell r="AA473" t="str">
            <v>-</v>
          </cell>
          <cell r="AB473" t="str">
            <v>Hector Manuel Guerra</v>
          </cell>
          <cell r="AC473" t="str">
            <v>22/12/10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DE ESPECIFICACIONES TECNIC"/>
      <sheetName val="INTRODUCCION DE DATOS"/>
      <sheetName val="LINEA A33"/>
      <sheetName val="B59S8"/>
      <sheetName val="A86YCR11"/>
      <sheetName val="A86WCR12"/>
      <sheetName val="A86WSA7"/>
      <sheetName val="ARMORSEAL 1000"/>
      <sheetName val="B50WSA2"/>
      <sheetName val="B50ESA2"/>
      <sheetName val="SAA 8012"/>
      <sheetName val="SAA 8013"/>
    </sheetNames>
    <sheetDataSet>
      <sheetData sheetId="0"/>
      <sheetData sheetId="1">
        <row r="1">
          <cell r="A1" t="str">
            <v>REX O SAA</v>
          </cell>
          <cell r="B1" t="str">
            <v>NOMBRE DEL PRODUCTO</v>
          </cell>
          <cell r="C1" t="str">
            <v>EXPOSICION</v>
          </cell>
          <cell r="D1" t="str">
            <v>SUPERFICIE A PINTAR</v>
          </cell>
          <cell r="E1" t="str">
            <v>PREPARACION DE LA SUPERFICIE</v>
          </cell>
          <cell r="F1" t="str">
            <v>PRIMER RECOMENDADO</v>
          </cell>
          <cell r="G1" t="str">
            <v>P/G CALCULADO</v>
          </cell>
          <cell r="H1" t="str">
            <v>% DE PIGMENTO</v>
          </cell>
          <cell r="I1" t="str">
            <v>% DE SOL. TOTALES</v>
          </cell>
          <cell r="J1" t="str">
            <v>% DE SOL. DE VEHICULO</v>
          </cell>
          <cell r="K1" t="str">
            <v>CONCENTRACION DE PIG. POR VOLUMEN</v>
          </cell>
          <cell r="L1" t="str">
            <v>VOLUMEN DE SOL. TOTALES</v>
          </cell>
          <cell r="M1" t="str">
            <v>RANGO DE VISCOSIDAD ORIGINAL</v>
          </cell>
          <cell r="N1" t="str">
            <v>METODO DE APLICACIÓN</v>
          </cell>
          <cell r="O1" t="str">
            <v>RANGO DE VISCOSIDAD DE APLICACIÓN</v>
          </cell>
          <cell r="P1" t="str">
            <v>PORCENTAJE DE REDUCCION</v>
          </cell>
          <cell r="Q1" t="str">
            <v>SOLVENTE RECOMENDADO</v>
          </cell>
          <cell r="R1" t="str">
            <v>ESPESOR MIN. DE PELICULA SECA</v>
          </cell>
          <cell r="S1" t="str">
            <v>SECAMIENTO</v>
          </cell>
          <cell r="T1" t="str">
            <v>TIEMPO Y TEMPERATURA DE HORNEO</v>
          </cell>
          <cell r="U1" t="str">
            <v>RENDIMIENTO CALCULADO CON ESPESOR MIN. DE PELICULA SECA</v>
          </cell>
          <cell r="V1" t="str">
            <v>BRILLO (60°)</v>
          </cell>
          <cell r="W1" t="str">
            <v>DUREZA LAPIZ</v>
          </cell>
          <cell r="X1" t="str">
            <v>TIEMPO DE VIDA ENVASADO</v>
          </cell>
          <cell r="Y1" t="str">
            <v>CLIENTE</v>
          </cell>
          <cell r="Z1" t="str">
            <v>PRODUCTO ELABORADO POR EL CLIENTE</v>
          </cell>
          <cell r="AA1" t="str">
            <v>OBSERVACIONES</v>
          </cell>
          <cell r="AB1" t="str">
            <v>ENTREGADO POR</v>
          </cell>
          <cell r="AC1" t="str">
            <v>FECHA DE FABRICACION</v>
          </cell>
        </row>
        <row r="2">
          <cell r="A2" t="str">
            <v>A5V23</v>
          </cell>
          <cell r="B2" t="str">
            <v>Silicone Water Repellent</v>
          </cell>
          <cell r="C2" t="str">
            <v>Interior-Exterior</v>
          </cell>
          <cell r="D2" t="str">
            <v>Pared de Concreto o Ladrillo</v>
          </cell>
          <cell r="E2" t="str">
            <v>Limpia de Polvo</v>
          </cell>
          <cell r="F2" t="str">
            <v>Ninguno</v>
          </cell>
          <cell r="G2" t="str">
            <v>6.65 Lbs/Gl</v>
          </cell>
          <cell r="H2" t="str">
            <v>-</v>
          </cell>
          <cell r="I2" t="str">
            <v>16.0%</v>
          </cell>
          <cell r="J2" t="str">
            <v>-</v>
          </cell>
          <cell r="K2" t="str">
            <v>-</v>
          </cell>
          <cell r="L2" t="str">
            <v>14.68%</v>
          </cell>
          <cell r="M2" t="str">
            <v>A (Gadrner Holt)</v>
          </cell>
          <cell r="N2" t="str">
            <v>Brocha-Pistola</v>
          </cell>
          <cell r="O2" t="str">
            <v>Como Viene</v>
          </cell>
          <cell r="P2" t="str">
            <v>Ninguno</v>
          </cell>
          <cell r="Q2" t="str">
            <v>Ninguno</v>
          </cell>
          <cell r="R2" t="str">
            <v>Penetra a la Superficie Pintada</v>
          </cell>
          <cell r="S2" t="str">
            <v>-</v>
          </cell>
          <cell r="T2" t="str">
            <v>-</v>
          </cell>
          <cell r="U2" t="str">
            <v>-</v>
          </cell>
          <cell r="V2" t="str">
            <v>-</v>
          </cell>
          <cell r="W2" t="str">
            <v>-</v>
          </cell>
          <cell r="X2" t="str">
            <v>1-2 Años</v>
          </cell>
          <cell r="Y2" t="str">
            <v>Warner Lambert-Guatemala</v>
          </cell>
          <cell r="Z2" t="str">
            <v>-</v>
          </cell>
          <cell r="AA2" t="str">
            <v>-</v>
          </cell>
          <cell r="AB2" t="str">
            <v>-</v>
          </cell>
          <cell r="AC2" t="str">
            <v>S/F</v>
          </cell>
        </row>
        <row r="3">
          <cell r="A3" t="str">
            <v>A86WSA10</v>
          </cell>
          <cell r="B3" t="str">
            <v>White Traffic Paint Zone Paint Type III</v>
          </cell>
          <cell r="C3" t="str">
            <v>Interior-Exterior</v>
          </cell>
          <cell r="D3" t="str">
            <v>Pavimento, Asfalto, Concreto</v>
          </cell>
          <cell r="E3" t="str">
            <v>Limpieza</v>
          </cell>
          <cell r="F3" t="str">
            <v>Ninguno</v>
          </cell>
          <cell r="G3" t="str">
            <v>13.18 Lbs/Gl</v>
          </cell>
          <cell r="H3" t="str">
            <v>55.2%</v>
          </cell>
          <cell r="I3" t="str">
            <v>77.46%</v>
          </cell>
          <cell r="J3" t="str">
            <v>22.3%</v>
          </cell>
          <cell r="K3" t="str">
            <v>52.19%</v>
          </cell>
          <cell r="L3" t="str">
            <v>51.85%</v>
          </cell>
          <cell r="M3" t="str">
            <v>70-80 KU (Stormer)</v>
          </cell>
          <cell r="N3" t="str">
            <v>Brocha-Pistola-Rodillo</v>
          </cell>
          <cell r="O3" t="str">
            <v>70-80 KU</v>
          </cell>
          <cell r="P3" t="str">
            <v>0-25%</v>
          </cell>
          <cell r="Q3" t="str">
            <v>VMP Naphtha</v>
          </cell>
          <cell r="R3" t="str">
            <v>10-15 mills</v>
          </cell>
          <cell r="S3" t="str">
            <v>10-15 min</v>
          </cell>
          <cell r="T3" t="str">
            <v>-</v>
          </cell>
          <cell r="U3" t="str">
            <v>-</v>
          </cell>
          <cell r="V3" t="str">
            <v>Mate</v>
          </cell>
          <cell r="W3" t="str">
            <v>-</v>
          </cell>
          <cell r="X3" t="str">
            <v>12 meses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S/F</v>
          </cell>
        </row>
        <row r="4">
          <cell r="A4" t="str">
            <v>A86WSA12</v>
          </cell>
          <cell r="B4" t="str">
            <v>Traffic Paint White TTP 115D Type III</v>
          </cell>
          <cell r="C4" t="str">
            <v>Exterior</v>
          </cell>
          <cell r="D4" t="str">
            <v>Pavimento, Asfalto, Concreto</v>
          </cell>
          <cell r="E4" t="str">
            <v>Limpieza</v>
          </cell>
          <cell r="F4" t="str">
            <v>Ninguno</v>
          </cell>
          <cell r="G4" t="str">
            <v>13.25 Lbs/Gl</v>
          </cell>
          <cell r="H4" t="str">
            <v>57.0%</v>
          </cell>
          <cell r="I4" t="str">
            <v>75.0%</v>
          </cell>
          <cell r="J4" t="str">
            <v>43.0%</v>
          </cell>
          <cell r="K4" t="str">
            <v>58.7%</v>
          </cell>
          <cell r="L4" t="str">
            <v>49.4%</v>
          </cell>
          <cell r="M4" t="str">
            <v>70-80 KU (Stormer)</v>
          </cell>
          <cell r="N4" t="str">
            <v>Maquina Demarcadora</v>
          </cell>
          <cell r="O4" t="str">
            <v>70-80 KU</v>
          </cell>
          <cell r="P4" t="str">
            <v>Ninguno</v>
          </cell>
          <cell r="Q4" t="str">
            <v>-</v>
          </cell>
          <cell r="R4" t="str">
            <v>10-15 mills</v>
          </cell>
          <cell r="S4" t="str">
            <v>10-15 min</v>
          </cell>
          <cell r="T4" t="str">
            <v>-</v>
          </cell>
          <cell r="U4" t="str">
            <v>-</v>
          </cell>
          <cell r="V4" t="str">
            <v>Mate</v>
          </cell>
          <cell r="W4" t="str">
            <v>-</v>
          </cell>
          <cell r="X4" t="str">
            <v>12 meses</v>
          </cell>
          <cell r="Y4" t="str">
            <v>Ministerio de Obras Publicas De El Salvador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S/F</v>
          </cell>
        </row>
        <row r="5">
          <cell r="A5" t="str">
            <v>A86YSA10</v>
          </cell>
          <cell r="B5" t="str">
            <v>Yellow Traffic Zone Paint III</v>
          </cell>
          <cell r="C5" t="str">
            <v>Interior-Exterior</v>
          </cell>
          <cell r="D5" t="str">
            <v>Pavimento, Asfalto, Concreto</v>
          </cell>
          <cell r="E5" t="str">
            <v>Limpieza</v>
          </cell>
          <cell r="F5" t="str">
            <v>Ninguno</v>
          </cell>
          <cell r="G5" t="str">
            <v>13.38 Lbs/gl</v>
          </cell>
          <cell r="H5" t="str">
            <v>55.9%</v>
          </cell>
          <cell r="I5" t="str">
            <v>77.36%</v>
          </cell>
          <cell r="J5" t="str">
            <v>21.5%</v>
          </cell>
          <cell r="K5" t="str">
            <v>51.65%</v>
          </cell>
          <cell r="L5" t="str">
            <v>55.08%</v>
          </cell>
          <cell r="M5" t="str">
            <v>70-80 KU (Stormer)</v>
          </cell>
          <cell r="N5" t="str">
            <v>Brocha-Pistola-Rodillo</v>
          </cell>
          <cell r="O5" t="str">
            <v>70-80 KU</v>
          </cell>
          <cell r="P5" t="str">
            <v>0-25%</v>
          </cell>
          <cell r="Q5" t="str">
            <v>VMP Naphtha</v>
          </cell>
          <cell r="R5" t="str">
            <v>10-15 mills</v>
          </cell>
          <cell r="S5" t="str">
            <v>10-15 min</v>
          </cell>
          <cell r="T5" t="str">
            <v>-</v>
          </cell>
          <cell r="U5" t="str">
            <v>-</v>
          </cell>
          <cell r="V5" t="str">
            <v>Mate</v>
          </cell>
          <cell r="W5" t="str">
            <v>-</v>
          </cell>
          <cell r="X5" t="str">
            <v>12 meses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S/F</v>
          </cell>
        </row>
        <row r="6">
          <cell r="A6" t="str">
            <v>A86YSA11</v>
          </cell>
          <cell r="B6" t="str">
            <v>Traffic Paint Yellow TTP115D Type III</v>
          </cell>
          <cell r="C6" t="str">
            <v>Exterior</v>
          </cell>
          <cell r="D6" t="str">
            <v>Pavimento, Asfalto, Concreto</v>
          </cell>
          <cell r="E6" t="str">
            <v>Limpieza</v>
          </cell>
          <cell r="F6" t="str">
            <v>Ninguno</v>
          </cell>
          <cell r="G6" t="str">
            <v>13.42 Lbs/Gl</v>
          </cell>
          <cell r="H6" t="str">
            <v>57.0%</v>
          </cell>
          <cell r="I6" t="str">
            <v>75.0%</v>
          </cell>
          <cell r="J6" t="str">
            <v>43.0%</v>
          </cell>
          <cell r="K6" t="str">
            <v>49.0%</v>
          </cell>
          <cell r="L6" t="str">
            <v>48.0%</v>
          </cell>
          <cell r="M6" t="str">
            <v>70-80 KU (Stormer)</v>
          </cell>
          <cell r="N6" t="str">
            <v>Maquina Demarcadora</v>
          </cell>
          <cell r="O6" t="str">
            <v>70-80 KU</v>
          </cell>
          <cell r="P6" t="str">
            <v>Ninguno</v>
          </cell>
          <cell r="Q6" t="str">
            <v>-</v>
          </cell>
          <cell r="R6" t="str">
            <v>10-15 mills</v>
          </cell>
          <cell r="S6" t="str">
            <v>10-15 min</v>
          </cell>
          <cell r="T6" t="str">
            <v>-</v>
          </cell>
          <cell r="U6" t="str">
            <v>-</v>
          </cell>
          <cell r="V6" t="str">
            <v>Mate</v>
          </cell>
          <cell r="W6" t="str">
            <v>-</v>
          </cell>
          <cell r="X6" t="str">
            <v>12 meses</v>
          </cell>
          <cell r="Y6" t="str">
            <v>Sherwin Williams de Costa Rica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S/F</v>
          </cell>
        </row>
        <row r="7">
          <cell r="A7" t="str">
            <v>A95GSA8</v>
          </cell>
          <cell r="B7" t="str">
            <v>Pintura Especial Para Laminas se Asbesto Verde</v>
          </cell>
          <cell r="C7" t="str">
            <v>Exterior</v>
          </cell>
          <cell r="D7" t="str">
            <v>Laminas de Asbesto Cemento</v>
          </cell>
          <cell r="E7" t="str">
            <v>Lijada, Libre de Polvo y Seca</v>
          </cell>
          <cell r="F7" t="str">
            <v>-</v>
          </cell>
          <cell r="G7" t="str">
            <v>10.72 Lbs/Gl</v>
          </cell>
          <cell r="H7" t="str">
            <v>30.9%</v>
          </cell>
          <cell r="I7" t="str">
            <v>48.8%</v>
          </cell>
          <cell r="J7" t="str">
            <v>17.9%</v>
          </cell>
          <cell r="K7" t="str">
            <v>13.6%</v>
          </cell>
          <cell r="L7" t="str">
            <v>35.0%</v>
          </cell>
          <cell r="M7" t="str">
            <v>20"-22" Copa SW #4</v>
          </cell>
          <cell r="N7" t="str">
            <v>Pistola Airless 30-35 Libras de Presión</v>
          </cell>
          <cell r="O7" t="str">
            <v>-</v>
          </cell>
          <cell r="P7" t="str">
            <v>25% con Agua</v>
          </cell>
          <cell r="Q7" t="str">
            <v>Agua Corriente</v>
          </cell>
          <cell r="R7" t="str">
            <v>5 mills</v>
          </cell>
          <cell r="S7" t="str">
            <v>Al Aire</v>
          </cell>
          <cell r="T7" t="str">
            <v>No recomendado</v>
          </cell>
          <cell r="U7" t="str">
            <v>45-55 Mts cuadrados por Galón</v>
          </cell>
          <cell r="V7" t="str">
            <v>Mate</v>
          </cell>
          <cell r="W7" t="str">
            <v>-</v>
          </cell>
          <cell r="X7" t="str">
            <v>1-2 Años</v>
          </cell>
          <cell r="Y7" t="str">
            <v>-</v>
          </cell>
          <cell r="Z7" t="str">
            <v>Laminas de Asbesto</v>
          </cell>
          <cell r="AA7" t="str">
            <v>-</v>
          </cell>
          <cell r="AB7" t="str">
            <v>-</v>
          </cell>
          <cell r="AC7" t="str">
            <v>S/F</v>
          </cell>
        </row>
        <row r="8">
          <cell r="A8" t="str">
            <v>A95RSA1</v>
          </cell>
          <cell r="B8" t="str">
            <v>Pintura Especial Para Laminas se Asbesto Rojo</v>
          </cell>
          <cell r="C8" t="str">
            <v>Exterior</v>
          </cell>
          <cell r="D8" t="str">
            <v>Laminas de Asbesto Cemento</v>
          </cell>
          <cell r="E8" t="str">
            <v>Lijada, Libre de Polvo y Seca</v>
          </cell>
          <cell r="F8" t="str">
            <v>-</v>
          </cell>
          <cell r="G8" t="str">
            <v>10.86 Lbs/Gl</v>
          </cell>
          <cell r="H8" t="str">
            <v>31.8%</v>
          </cell>
          <cell r="I8" t="str">
            <v>49.5%</v>
          </cell>
          <cell r="J8" t="str">
            <v>17.7%</v>
          </cell>
          <cell r="K8" t="str">
            <v>13.6%</v>
          </cell>
          <cell r="L8" t="str">
            <v>35.0 %</v>
          </cell>
          <cell r="M8" t="str">
            <v>20"-22" Copa SW #4</v>
          </cell>
          <cell r="N8" t="str">
            <v>Pistola Airless 30-35 Libras de Presión</v>
          </cell>
          <cell r="O8" t="str">
            <v>-</v>
          </cell>
          <cell r="P8" t="str">
            <v>25% con Agua</v>
          </cell>
          <cell r="Q8" t="str">
            <v>Agua Corriente</v>
          </cell>
          <cell r="R8" t="str">
            <v>5 mills</v>
          </cell>
          <cell r="S8" t="str">
            <v>Al Aire</v>
          </cell>
          <cell r="T8" t="str">
            <v>No recomendado</v>
          </cell>
          <cell r="U8" t="str">
            <v>45-55 Mts cuadrados por Galón</v>
          </cell>
          <cell r="V8" t="str">
            <v>Mate</v>
          </cell>
          <cell r="W8" t="str">
            <v>-</v>
          </cell>
          <cell r="X8" t="str">
            <v>1-2 Años</v>
          </cell>
          <cell r="Y8" t="str">
            <v>-</v>
          </cell>
          <cell r="Z8" t="str">
            <v>Laminas de Asbesto</v>
          </cell>
          <cell r="AA8" t="str">
            <v>-</v>
          </cell>
          <cell r="AB8" t="str">
            <v>-</v>
          </cell>
          <cell r="AC8" t="str">
            <v>S/F</v>
          </cell>
        </row>
        <row r="9">
          <cell r="A9" t="str">
            <v>A95RSA4</v>
          </cell>
          <cell r="B9" t="str">
            <v>Pintura Especial Rojo Para Techos de Fibrocemento</v>
          </cell>
          <cell r="C9" t="str">
            <v>Exterior</v>
          </cell>
          <cell r="D9" t="str">
            <v>Fibrocemento</v>
          </cell>
          <cell r="E9" t="str">
            <v>Lijada, Libre de Polvo y Seca</v>
          </cell>
          <cell r="F9" t="str">
            <v>-</v>
          </cell>
          <cell r="G9" t="str">
            <v>10.93 Lbs/Gl</v>
          </cell>
          <cell r="H9" t="str">
            <v>31.8%</v>
          </cell>
          <cell r="I9" t="str">
            <v>49.5%</v>
          </cell>
          <cell r="J9" t="str">
            <v>17.7%</v>
          </cell>
          <cell r="K9" t="str">
            <v>13.6%</v>
          </cell>
          <cell r="L9" t="str">
            <v>35.0 %</v>
          </cell>
          <cell r="M9" t="str">
            <v>79-85 KU</v>
          </cell>
          <cell r="N9" t="str">
            <v>Pistola Airless 30-35 Libras de Presión</v>
          </cell>
          <cell r="O9" t="str">
            <v>-</v>
          </cell>
          <cell r="P9" t="str">
            <v>25% con Agua</v>
          </cell>
          <cell r="Q9" t="str">
            <v>Agua Corriente</v>
          </cell>
          <cell r="R9" t="str">
            <v>5 mills</v>
          </cell>
          <cell r="S9" t="str">
            <v>Al Aire</v>
          </cell>
          <cell r="T9" t="str">
            <v>No recomendado</v>
          </cell>
          <cell r="U9" t="str">
            <v>45-55 Mts cuadrados por Galón</v>
          </cell>
          <cell r="V9" t="str">
            <v>Mate</v>
          </cell>
          <cell r="W9" t="str">
            <v>-</v>
          </cell>
          <cell r="X9" t="str">
            <v>1-2 Años</v>
          </cell>
          <cell r="Y9" t="str">
            <v>EUREKA</v>
          </cell>
          <cell r="Z9" t="str">
            <v>Techos de Fibrocemento</v>
          </cell>
          <cell r="AA9" t="str">
            <v>-</v>
          </cell>
          <cell r="AB9" t="str">
            <v>-</v>
          </cell>
          <cell r="AC9" t="str">
            <v>S/F</v>
          </cell>
        </row>
        <row r="10">
          <cell r="A10" t="str">
            <v>A95W91</v>
          </cell>
          <cell r="B10" t="str">
            <v>Kem Pared-Ex Blanco</v>
          </cell>
          <cell r="C10" t="str">
            <v>Exterior</v>
          </cell>
          <cell r="D10" t="str">
            <v>Cemento, Ladrillo, Asbesto, Etc</v>
          </cell>
          <cell r="E10" t="str">
            <v>Superficie Seca y Limpia</v>
          </cell>
          <cell r="F10" t="str">
            <v>Ninguno</v>
          </cell>
          <cell r="G10" t="str">
            <v>11.29 Lbs/Gl</v>
          </cell>
          <cell r="H10" t="str">
            <v>-</v>
          </cell>
          <cell r="I10" t="str">
            <v>51.0%</v>
          </cell>
          <cell r="J10" t="str">
            <v>-</v>
          </cell>
          <cell r="K10" t="str">
            <v>-</v>
          </cell>
          <cell r="L10" t="str">
            <v>35%</v>
          </cell>
          <cell r="M10" t="str">
            <v>20"-22" Copa SW #4</v>
          </cell>
          <cell r="N10" t="str">
            <v>Brocha-Rodillo</v>
          </cell>
          <cell r="O10" t="str">
            <v>El mismo</v>
          </cell>
          <cell r="P10" t="str">
            <v>Ninguno</v>
          </cell>
          <cell r="Q10" t="str">
            <v>-</v>
          </cell>
          <cell r="R10" t="str">
            <v>5 mills</v>
          </cell>
          <cell r="S10" t="str">
            <v>Al aire</v>
          </cell>
          <cell r="T10" t="str">
            <v>-</v>
          </cell>
          <cell r="U10" t="str">
            <v>50 Mts cuadrados/Gl</v>
          </cell>
          <cell r="V10" t="str">
            <v>Mate</v>
          </cell>
          <cell r="W10" t="str">
            <v>-</v>
          </cell>
          <cell r="X10" t="str">
            <v>1-2 Años</v>
          </cell>
          <cell r="Y10" t="str">
            <v>Warner Lambert-Guatemala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S/F</v>
          </cell>
        </row>
        <row r="11">
          <cell r="A11" t="str">
            <v>A99LSA2</v>
          </cell>
          <cell r="B11" t="str">
            <v>Anticorrosivo Azul Shell</v>
          </cell>
          <cell r="C11" t="str">
            <v>Exterior</v>
          </cell>
          <cell r="D11" t="str">
            <v>Hierro-Metal</v>
          </cell>
          <cell r="E11" t="str">
            <v>Limpieza y Libre de Corrosión</v>
          </cell>
          <cell r="F11" t="str">
            <v>Ninguno</v>
          </cell>
          <cell r="G11" t="str">
            <v>10.04 Lbs/Gl</v>
          </cell>
          <cell r="H11" t="str">
            <v>35.71%</v>
          </cell>
          <cell r="I11" t="str">
            <v>54.31%</v>
          </cell>
          <cell r="J11" t="str">
            <v>45.69%</v>
          </cell>
          <cell r="K11" t="str">
            <v>43.77%</v>
          </cell>
          <cell r="L11" t="str">
            <v>35.83%</v>
          </cell>
          <cell r="M11" t="str">
            <v>85-90 KU</v>
          </cell>
          <cell r="N11" t="str">
            <v>Brocha-Pistola</v>
          </cell>
          <cell r="O11" t="str">
            <v>Pistola: 18"-20" Copa Zanh #2</v>
          </cell>
          <cell r="P11" t="str">
            <v>Pistola : 25%</v>
          </cell>
          <cell r="Q11" t="str">
            <v>R1K3 VM&amp;P Nafta</v>
          </cell>
          <cell r="R11" t="str">
            <v>2 mills</v>
          </cell>
          <cell r="S11" t="str">
            <v>3-4 Horas</v>
          </cell>
          <cell r="T11" t="str">
            <v>-</v>
          </cell>
          <cell r="U11" t="str">
            <v>26.5 Mts Cuadrados/Gl</v>
          </cell>
          <cell r="V11" t="str">
            <v>Mate. 0-5 unidades</v>
          </cell>
          <cell r="W11" t="str">
            <v>-</v>
          </cell>
          <cell r="X11" t="str">
            <v>1 Año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Audrey de Morales</v>
          </cell>
          <cell r="AC11" t="str">
            <v>S/F</v>
          </cell>
        </row>
        <row r="12">
          <cell r="A12" t="str">
            <v>A99NSA11</v>
          </cell>
          <cell r="B12" t="str">
            <v>Colonial Anticorrosivo Rojo 2414</v>
          </cell>
          <cell r="C12" t="str">
            <v>Interior-Exterior</v>
          </cell>
          <cell r="D12" t="str">
            <v>Hierro-Acero</v>
          </cell>
          <cell r="E12" t="str">
            <v>Lijada, Limpia, Sin óxido y Seca</v>
          </cell>
          <cell r="F12" t="str">
            <v>-</v>
          </cell>
          <cell r="G12" t="str">
            <v>10.18 Lbs/Gl</v>
          </cell>
          <cell r="H12" t="str">
            <v>36.9%</v>
          </cell>
          <cell r="I12" t="str">
            <v>55.9%</v>
          </cell>
          <cell r="J12" t="str">
            <v>19.0%</v>
          </cell>
          <cell r="K12" t="str">
            <v>16.2%</v>
          </cell>
          <cell r="L12" t="str">
            <v>37.3%</v>
          </cell>
          <cell r="M12" t="str">
            <v>40-50 seg. Copa SW #3</v>
          </cell>
          <cell r="N12" t="str">
            <v>Brocha-Rodillo-Pistola</v>
          </cell>
          <cell r="O12" t="str">
            <v>-</v>
          </cell>
          <cell r="P12" t="str">
            <v>Ninguna ó 25% con R1K3</v>
          </cell>
          <cell r="Q12" t="str">
            <v>R1K3</v>
          </cell>
          <cell r="R12" t="str">
            <v>2 mills</v>
          </cell>
          <cell r="S12" t="str">
            <v>Al Aire</v>
          </cell>
          <cell r="U12" t="str">
            <v>40-45 Mts Cuadrados/Gl</v>
          </cell>
          <cell r="V12" t="str">
            <v>-</v>
          </cell>
          <cell r="W12" t="str">
            <v>-</v>
          </cell>
          <cell r="X12" t="str">
            <v>1 a 2 años</v>
          </cell>
          <cell r="Y12" t="str">
            <v>Marina Industrial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S/F</v>
          </cell>
        </row>
        <row r="13">
          <cell r="A13" t="str">
            <v>B24WSA1 (1)</v>
          </cell>
          <cell r="B13" t="str">
            <v>Sellador Rellenador Especial Para Fibrolit</v>
          </cell>
          <cell r="C13" t="str">
            <v>Interiores</v>
          </cell>
          <cell r="D13" t="str">
            <v>Fibrocemento</v>
          </cell>
          <cell r="E13" t="str">
            <v>Libre de Polvo y otras Sustancias</v>
          </cell>
          <cell r="F13" t="str">
            <v>Ninguno</v>
          </cell>
          <cell r="G13" t="str">
            <v>12.27 Lbs/Gl</v>
          </cell>
          <cell r="H13" t="str">
            <v>69.2%</v>
          </cell>
          <cell r="I13" t="str">
            <v>46%</v>
          </cell>
          <cell r="J13" t="str">
            <v>55%</v>
          </cell>
          <cell r="K13" t="str">
            <v>51%</v>
          </cell>
          <cell r="L13" t="str">
            <v>30%</v>
          </cell>
          <cell r="M13" t="str">
            <v>20,000-25,000 CPS</v>
          </cell>
          <cell r="N13" t="str">
            <v>Espátula-Wipe</v>
          </cell>
          <cell r="O13" t="str">
            <v>20,000-25,000 CPS</v>
          </cell>
          <cell r="P13" t="str">
            <v>Ninguno</v>
          </cell>
          <cell r="Q13" t="str">
            <v>Ninguno</v>
          </cell>
          <cell r="R13" t="str">
            <v>-</v>
          </cell>
          <cell r="S13" t="str">
            <v>Al Aire 20-30 Min.</v>
          </cell>
          <cell r="T13" t="str">
            <v>-</v>
          </cell>
          <cell r="U13" t="str">
            <v>9 Mts Cuadrados/Gl a 4 mills Seco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Constructora Orion</v>
          </cell>
          <cell r="Z13" t="str">
            <v>Fibrocemento</v>
          </cell>
          <cell r="AA13" t="str">
            <v>Este Producto debe ser Lijado.</v>
          </cell>
          <cell r="AB13" t="str">
            <v>Rene Ferrufino</v>
          </cell>
          <cell r="AC13" t="str">
            <v>S/F</v>
          </cell>
        </row>
        <row r="14">
          <cell r="A14" t="str">
            <v>B42W46</v>
          </cell>
          <cell r="B14" t="str">
            <v>Heavy Duty Block Filler</v>
          </cell>
          <cell r="C14" t="str">
            <v>Medio Ambiente con Moderadas Condiciones</v>
          </cell>
          <cell r="D14" t="str">
            <v>Bloques de Concreto</v>
          </cell>
          <cell r="E14" t="str">
            <v>Libre de Suciedad</v>
          </cell>
          <cell r="F14" t="str">
            <v>Ninguno</v>
          </cell>
          <cell r="G14" t="str">
            <v>14.6 Lbs/Gl</v>
          </cell>
          <cell r="H14" t="str">
            <v>69.05%</v>
          </cell>
          <cell r="I14" t="str">
            <v>76%-80%</v>
          </cell>
          <cell r="J14" t="str">
            <v>8.92%</v>
          </cell>
          <cell r="K14" t="str">
            <v>75.9%</v>
          </cell>
          <cell r="L14" t="str">
            <v>58%-62%</v>
          </cell>
          <cell r="M14" t="str">
            <v>100-120</v>
          </cell>
          <cell r="N14" t="str">
            <v>Brocha, Rodillo y Sistema Convencional de Spray</v>
          </cell>
          <cell r="O14" t="str">
            <v>100-120</v>
          </cell>
          <cell r="P14" t="str">
            <v>-</v>
          </cell>
          <cell r="Q14" t="str">
            <v>Agua</v>
          </cell>
          <cell r="R14" t="str">
            <v>10 mills</v>
          </cell>
          <cell r="S14" t="str">
            <v>77°F &amp; 50% H:R a 17 mills Wet: Seco Tocar: 1 Hora.</v>
          </cell>
          <cell r="T14" t="str">
            <v>-</v>
          </cell>
          <cell r="U14" t="str">
            <v>96 Pies Cuadrados/Gl</v>
          </cell>
          <cell r="V14" t="str">
            <v>-</v>
          </cell>
          <cell r="W14" t="str">
            <v>-</v>
          </cell>
          <cell r="X14" t="str">
            <v>36 meses cerrado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S/F</v>
          </cell>
        </row>
        <row r="15">
          <cell r="A15" t="str">
            <v>B45W3</v>
          </cell>
          <cell r="B15" t="str">
            <v>Fast Dry Latex Wall Primer</v>
          </cell>
          <cell r="C15" t="str">
            <v>Interior-Exterior</v>
          </cell>
          <cell r="D15" t="str">
            <v>Pared Yesada o Asbesto</v>
          </cell>
          <cell r="E15" t="str">
            <v>Limpiar con Agua y Jabón</v>
          </cell>
          <cell r="F15" t="str">
            <v>Ninguno</v>
          </cell>
          <cell r="G15" t="str">
            <v>10.53 Lbs/Gl</v>
          </cell>
          <cell r="H15" t="str">
            <v>28%</v>
          </cell>
          <cell r="I15" t="str">
            <v>43%</v>
          </cell>
          <cell r="J15" t="str">
            <v>55%</v>
          </cell>
          <cell r="K15" t="str">
            <v>42%</v>
          </cell>
          <cell r="L15" t="str">
            <v>27%</v>
          </cell>
          <cell r="M15" t="str">
            <v>3,100-2,700 cps</v>
          </cell>
          <cell r="N15" t="str">
            <v>Brocha-Rodillo</v>
          </cell>
          <cell r="O15" t="str">
            <v>1,400-1,800 cps</v>
          </cell>
          <cell r="P15" t="str">
            <v>Ninguno</v>
          </cell>
          <cell r="Q15" t="str">
            <v>Ninguno</v>
          </cell>
          <cell r="R15" t="str">
            <v>1.5 mills</v>
          </cell>
          <cell r="S15" t="str">
            <v>Al Aire</v>
          </cell>
          <cell r="T15" t="str">
            <v>Ninguno</v>
          </cell>
          <cell r="U15" t="str">
            <v>63 M2</v>
          </cell>
          <cell r="V15" t="str">
            <v>Mate</v>
          </cell>
          <cell r="W15" t="str">
            <v>-</v>
          </cell>
          <cell r="X15" t="str">
            <v>-</v>
          </cell>
          <cell r="Y15" t="str">
            <v>Sr. Richard Tisson (Betel Testigos de Jehova)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S/F</v>
          </cell>
        </row>
        <row r="16">
          <cell r="A16" t="str">
            <v>B53WW5</v>
          </cell>
          <cell r="B16" t="str">
            <v>Tank Enamel Chalking White</v>
          </cell>
          <cell r="C16" t="str">
            <v>Exterior</v>
          </cell>
          <cell r="D16" t="str">
            <v>Hierro</v>
          </cell>
          <cell r="E16" t="str">
            <v>Limpia (Libre de Suciedad y Oxido)</v>
          </cell>
          <cell r="F16" t="str">
            <v>E41N1</v>
          </cell>
          <cell r="G16" t="str">
            <v>9.48 Lbs/Gl</v>
          </cell>
          <cell r="H16" t="str">
            <v>27.57%</v>
          </cell>
          <cell r="I16" t="str">
            <v>64.05%</v>
          </cell>
          <cell r="J16" t="str">
            <v>36.47%</v>
          </cell>
          <cell r="K16" t="str">
            <v>18.90%</v>
          </cell>
          <cell r="L16" t="str">
            <v>46.74%</v>
          </cell>
          <cell r="M16" t="str">
            <v>75-85 KU (Stormer)</v>
          </cell>
          <cell r="N16" t="str">
            <v>Brocha, Rodillo y Pistola (Spray Convencional)</v>
          </cell>
          <cell r="O16" t="str">
            <v>75-85 KU</v>
          </cell>
          <cell r="P16" t="str">
            <v>Pistola hasta un 10%</v>
          </cell>
          <cell r="Q16" t="str">
            <v>R1K4</v>
          </cell>
          <cell r="R16" t="str">
            <v>5 mills</v>
          </cell>
          <cell r="S16" t="str">
            <v>Seco Tocar: 2-4 Horas; Seco Completo: 24 Horas</v>
          </cell>
          <cell r="T16" t="str">
            <v>-</v>
          </cell>
          <cell r="U16" t="str">
            <v>(5 mills DFT) 14 Mts Cuadrados</v>
          </cell>
          <cell r="V16" t="str">
            <v>75-95</v>
          </cell>
          <cell r="W16" t="str">
            <v>-</v>
          </cell>
          <cell r="X16" t="str">
            <v>36 meses cerrado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Andrés Mauricio Houdelot</v>
          </cell>
          <cell r="AC16" t="str">
            <v>S/F</v>
          </cell>
        </row>
        <row r="17">
          <cell r="A17" t="str">
            <v>B5W57</v>
          </cell>
          <cell r="B17" t="str">
            <v>Excello Latex Acrilico Blanco</v>
          </cell>
          <cell r="C17" t="str">
            <v>Interior-Exterior</v>
          </cell>
          <cell r="D17" t="str">
            <v>Concreto-Madera-Estuco</v>
          </cell>
          <cell r="E17" t="str">
            <v>Superficie Seca y Limpia</v>
          </cell>
          <cell r="F17" t="str">
            <v>A71WSA4 para pintar sobre madera</v>
          </cell>
          <cell r="G17" t="str">
            <v>11.34 Lbs/Gl</v>
          </cell>
          <cell r="H17" t="str">
            <v>-</v>
          </cell>
          <cell r="I17" t="str">
            <v>49.3%</v>
          </cell>
          <cell r="J17" t="str">
            <v>-</v>
          </cell>
          <cell r="K17" t="str">
            <v>-</v>
          </cell>
          <cell r="L17" t="str">
            <v>32.2%</v>
          </cell>
          <cell r="M17" t="str">
            <v>25"-30" Copa SW #4</v>
          </cell>
          <cell r="N17" t="str">
            <v>Brocha-Rodillo</v>
          </cell>
          <cell r="O17" t="str">
            <v>15"-20"</v>
          </cell>
          <cell r="P17" t="str">
            <v>25%</v>
          </cell>
          <cell r="Q17" t="str">
            <v>Agua</v>
          </cell>
          <cell r="R17" t="str">
            <v>5 mills</v>
          </cell>
          <cell r="S17" t="str">
            <v>Al aire</v>
          </cell>
          <cell r="T17" t="str">
            <v>-</v>
          </cell>
          <cell r="U17" t="str">
            <v>Hasta 60 Mts cuadrados/Gl</v>
          </cell>
          <cell r="V17" t="str">
            <v>Mate</v>
          </cell>
          <cell r="W17" t="str">
            <v>-</v>
          </cell>
          <cell r="X17" t="str">
            <v>1-2 Años</v>
          </cell>
          <cell r="Y17" t="str">
            <v>Warner Lambert-Guatemala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S/F</v>
          </cell>
        </row>
        <row r="18">
          <cell r="A18" t="str">
            <v>B60FSA2</v>
          </cell>
          <cell r="B18" t="str">
            <v>Catalizador Para Tile Clad II Brillante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8.77 Lbs/Gl</v>
          </cell>
          <cell r="H18" t="str">
            <v>-</v>
          </cell>
          <cell r="I18" t="str">
            <v>63.2%</v>
          </cell>
          <cell r="J18" t="str">
            <v>75%</v>
          </cell>
          <cell r="K18" t="str">
            <v>-</v>
          </cell>
          <cell r="L18" t="str">
            <v>56%</v>
          </cell>
          <cell r="M18" t="str">
            <v>77-85 KU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36 meses cerrado</v>
          </cell>
          <cell r="Y18" t="str">
            <v>Guatemala</v>
          </cell>
          <cell r="Z18" t="str">
            <v>-</v>
          </cell>
          <cell r="AA18" t="str">
            <v>Mezclar uno a uno en Volumen con Tile Clad II Brillante</v>
          </cell>
          <cell r="AB18" t="str">
            <v>-</v>
          </cell>
          <cell r="AC18" t="str">
            <v>S/F</v>
          </cell>
        </row>
        <row r="19">
          <cell r="A19" t="str">
            <v>B62BSA1</v>
          </cell>
          <cell r="B19" t="str">
            <v>Tile Clad II Negro Brillante</v>
          </cell>
          <cell r="C19" t="str">
            <v>Interior</v>
          </cell>
          <cell r="D19" t="str">
            <v>Fibrocemento (Fibrolite)</v>
          </cell>
          <cell r="E19" t="str">
            <v>Limpio</v>
          </cell>
          <cell r="F19" t="str">
            <v>Fast Dry Latex Wall Primer (B45WSA1)</v>
          </cell>
          <cell r="G19" t="str">
            <v>8.09 Lbs/Gl</v>
          </cell>
          <cell r="H19" t="str">
            <v>18%</v>
          </cell>
          <cell r="I19" t="str">
            <v>45.6%</v>
          </cell>
          <cell r="J19" t="str">
            <v>60%</v>
          </cell>
          <cell r="K19" t="str">
            <v>11.5%</v>
          </cell>
          <cell r="L19" t="str">
            <v>40.7%</v>
          </cell>
          <cell r="M19" t="str">
            <v>79-85 KU</v>
          </cell>
          <cell r="N19" t="str">
            <v>Pistola</v>
          </cell>
          <cell r="O19" t="str">
            <v>30-35 KU</v>
          </cell>
          <cell r="P19" t="str">
            <v>-</v>
          </cell>
          <cell r="Q19" t="str">
            <v>R2K4         Industrial reducer</v>
          </cell>
          <cell r="R19" t="str">
            <v>2 mills</v>
          </cell>
          <cell r="S19" t="str">
            <v>Seco Tocar: 1 Hora. Seco Completo: 4 Hrs. Repintar:6 Hrs</v>
          </cell>
          <cell r="T19" t="str">
            <v>-</v>
          </cell>
          <cell r="U19" t="str">
            <v>33 m2/Gl</v>
          </cell>
          <cell r="V19" t="str">
            <v>Full</v>
          </cell>
          <cell r="W19" t="str">
            <v>6H-7H</v>
          </cell>
          <cell r="X19" t="str">
            <v>36 meses cerrado</v>
          </cell>
          <cell r="Y19" t="str">
            <v>Industrias Eureka</v>
          </cell>
          <cell r="Z19" t="str">
            <v>Planchas de Fibrocemento</v>
          </cell>
          <cell r="AA19" t="str">
            <v>Una parte de B62BSA1 con una parte de catalizador B60FSA2 en volumen, dejar reposar 30 min.Debe esperarse de 12 a 15 días para alcanzar la dureza de 6H-7H.</v>
          </cell>
          <cell r="AB19" t="str">
            <v>-</v>
          </cell>
          <cell r="AC19" t="str">
            <v>S/F</v>
          </cell>
        </row>
        <row r="20">
          <cell r="A20" t="str">
            <v>B62LSA1</v>
          </cell>
          <cell r="B20" t="str">
            <v>Tile Clad II Trianon Brillante</v>
          </cell>
          <cell r="C20" t="str">
            <v>Interior</v>
          </cell>
          <cell r="D20" t="str">
            <v>Fibrocemento (Fibrolite)</v>
          </cell>
          <cell r="E20" t="str">
            <v>Limpio</v>
          </cell>
          <cell r="F20" t="str">
            <v>Fast Dry Latex Wall Primer (B45WSA1)</v>
          </cell>
          <cell r="G20" t="str">
            <v>9.08 Lbs/Gl</v>
          </cell>
          <cell r="H20" t="str">
            <v>42.1%</v>
          </cell>
          <cell r="I20" t="str">
            <v>56%</v>
          </cell>
          <cell r="J20" t="str">
            <v>60%</v>
          </cell>
          <cell r="K20" t="str">
            <v>19.7%</v>
          </cell>
          <cell r="L20" t="str">
            <v>50.3%</v>
          </cell>
          <cell r="M20" t="str">
            <v>79-85 KU</v>
          </cell>
          <cell r="N20" t="str">
            <v>Pistola</v>
          </cell>
          <cell r="O20" t="str">
            <v>30-35 KU</v>
          </cell>
          <cell r="P20" t="str">
            <v>-</v>
          </cell>
          <cell r="Q20" t="str">
            <v>R2K4         Industrial reducer</v>
          </cell>
          <cell r="R20" t="str">
            <v>2 mills</v>
          </cell>
          <cell r="S20" t="str">
            <v>Seco Tocar: 1 Hora. Seco Completo: 4 Hrs. Repintar:6 Hrs</v>
          </cell>
          <cell r="T20" t="str">
            <v>-</v>
          </cell>
          <cell r="U20" t="str">
            <v>33 m2/Gl</v>
          </cell>
          <cell r="V20" t="str">
            <v>Full</v>
          </cell>
          <cell r="W20" t="str">
            <v>6H-7H</v>
          </cell>
          <cell r="X20" t="str">
            <v>36 meses cerrado</v>
          </cell>
          <cell r="Y20" t="str">
            <v>Industrias Eureka</v>
          </cell>
          <cell r="Z20" t="str">
            <v>Planchas de Fibrocemento</v>
          </cell>
          <cell r="AA20" t="str">
            <v>Una parte de B62LSA1 con una parte de catalizador B60FSA2 en volumen, dejar reposar 30 min.Debe esperarse de 12 a 15 días para alcanzar la dureza de 6H-7H.</v>
          </cell>
          <cell r="AB20" t="str">
            <v>-</v>
          </cell>
          <cell r="AC20" t="str">
            <v>S/F</v>
          </cell>
        </row>
        <row r="21">
          <cell r="A21" t="str">
            <v>B62RSA1</v>
          </cell>
          <cell r="B21" t="str">
            <v>Tile Clad II Rojo Vino Brillante</v>
          </cell>
          <cell r="C21" t="str">
            <v>Interior</v>
          </cell>
          <cell r="D21" t="str">
            <v>Fibrocemento (Fibrolite)</v>
          </cell>
          <cell r="E21" t="str">
            <v>Limpia de Polvo</v>
          </cell>
          <cell r="F21" t="str">
            <v>Fast Dry Latex Wall Primer (B45WSA1)</v>
          </cell>
          <cell r="G21" t="str">
            <v>9.40 Lbs/Gl</v>
          </cell>
          <cell r="H21" t="str">
            <v>41.3%</v>
          </cell>
          <cell r="I21" t="str">
            <v>55.1%</v>
          </cell>
          <cell r="J21" t="str">
            <v>60%</v>
          </cell>
          <cell r="K21" t="str">
            <v>12.8%</v>
          </cell>
          <cell r="L21" t="str">
            <v>41.8%</v>
          </cell>
          <cell r="M21" t="str">
            <v>79-85 Ku</v>
          </cell>
          <cell r="N21" t="str">
            <v>Pistola</v>
          </cell>
          <cell r="O21" t="str">
            <v xml:space="preserve">30-35 KU  </v>
          </cell>
          <cell r="P21" t="str">
            <v>-</v>
          </cell>
          <cell r="Q21" t="str">
            <v>R2K4         Industrial reducer</v>
          </cell>
          <cell r="R21" t="str">
            <v>-</v>
          </cell>
          <cell r="S21" t="str">
            <v>Seco Tocar : 1 Hra. Seco Completo: 4 Hrs. Repintar: 6 Hrs.</v>
          </cell>
          <cell r="T21" t="str">
            <v>-</v>
          </cell>
          <cell r="U21" t="str">
            <v>33 Mts Cuadrados/Gl</v>
          </cell>
          <cell r="V21" t="str">
            <v>Full</v>
          </cell>
          <cell r="W21" t="str">
            <v>6H-7H</v>
          </cell>
          <cell r="X21" t="str">
            <v>36 meses cerrado</v>
          </cell>
          <cell r="Y21" t="str">
            <v>Industrias Eureka</v>
          </cell>
          <cell r="Z21" t="str">
            <v>Plancha de Fibrocemento</v>
          </cell>
          <cell r="AA21" t="str">
            <v>Una parte de B62WSA2 con una parte de catalizador B60FSA2 en volumen, dejar reposar 30 min.Debe esperarse de 12 a 15 días para alcanzar la dureza de 6H-7H. Vida útil de la mezcla: 8 Hrs</v>
          </cell>
          <cell r="AB21" t="str">
            <v>-</v>
          </cell>
          <cell r="AC21" t="str">
            <v>S/F</v>
          </cell>
        </row>
        <row r="22">
          <cell r="A22" t="str">
            <v>B62RSA3</v>
          </cell>
          <cell r="B22" t="str">
            <v>Tile Clad II Enamel Rojo Ladrillo Especial Semi-Mate</v>
          </cell>
          <cell r="C22" t="str">
            <v>Interior-Exterior</v>
          </cell>
          <cell r="D22" t="str">
            <v>Ladrillo para Pisos</v>
          </cell>
          <cell r="E22" t="str">
            <v>Libre de Suciedad</v>
          </cell>
          <cell r="F22" t="str">
            <v>Ninguno</v>
          </cell>
          <cell r="G22" t="str">
            <v>10.84 Lbs/Gl</v>
          </cell>
          <cell r="H22" t="str">
            <v>63.4%</v>
          </cell>
          <cell r="I22" t="str">
            <v>55.7%</v>
          </cell>
          <cell r="J22" t="str">
            <v>36.6%</v>
          </cell>
          <cell r="K22" t="str">
            <v>33.7%</v>
          </cell>
          <cell r="L22" t="str">
            <v>40.34%</v>
          </cell>
          <cell r="M22" t="str">
            <v>80-85 KU</v>
          </cell>
          <cell r="N22" t="str">
            <v>Brocha-Pistola</v>
          </cell>
          <cell r="O22" t="str">
            <v>Brocha (50-60 KU), Pistola (15-20" Ford #4)</v>
          </cell>
          <cell r="P22" t="str">
            <v>Brocha: 10% R7K54; Pistola: 25% R7K54</v>
          </cell>
          <cell r="Q22" t="str">
            <v>R7K54</v>
          </cell>
          <cell r="R22" t="str">
            <v>2.0-2.5 Mills Seco</v>
          </cell>
          <cell r="S22" t="str">
            <v>2-3 Horas</v>
          </cell>
          <cell r="T22" t="str">
            <v>-</v>
          </cell>
          <cell r="U22" t="str">
            <v>-</v>
          </cell>
          <cell r="V22" t="str">
            <v>Semi-Mate</v>
          </cell>
          <cell r="W22" t="str">
            <v>H-2H</v>
          </cell>
          <cell r="X22" t="str">
            <v>-</v>
          </cell>
          <cell r="Y22" t="str">
            <v>Don Ernesto Velasco</v>
          </cell>
          <cell r="Z22" t="str">
            <v>-</v>
          </cell>
          <cell r="AA22" t="str">
            <v>Mezcla 1:1 de B62RSA3 con el catalizador B60FSA1 en volumen, dejar reposar 20 min.La mezcla tiene una vida media de 8 horas. Debe esperarse de 12 a 15 días para alcanzar la dureza de 6H-7H.</v>
          </cell>
          <cell r="AB22" t="str">
            <v>Rene Ferrufino</v>
          </cell>
          <cell r="AC22" t="str">
            <v>S/F</v>
          </cell>
        </row>
        <row r="23">
          <cell r="A23" t="str">
            <v>B62W101</v>
          </cell>
          <cell r="B23" t="str">
            <v xml:space="preserve">Tile Clad II Enamel </v>
          </cell>
          <cell r="C23" t="str">
            <v>-</v>
          </cell>
          <cell r="D23" t="str">
            <v>Aluminio, Concreto, Madera y Acero</v>
          </cell>
          <cell r="E23" t="str">
            <v>SW-1, SW-3, SW-5, SW-15, SW-24</v>
          </cell>
          <cell r="F23" t="str">
            <v>B42W46</v>
          </cell>
          <cell r="G23" t="str">
            <v>10.0 Lbs/Gl</v>
          </cell>
          <cell r="H23" t="str">
            <v>45.10%</v>
          </cell>
          <cell r="I23" t="str">
            <v>64.98%</v>
          </cell>
          <cell r="J23" t="str">
            <v>19.87%</v>
          </cell>
          <cell r="K23" t="str">
            <v>39.2%</v>
          </cell>
          <cell r="L23" t="str">
            <v>45.48%</v>
          </cell>
          <cell r="M23" t="str">
            <v>70-85 KU</v>
          </cell>
          <cell r="N23" t="str">
            <v>Brocha, Rodillo, Pistola de Aire</v>
          </cell>
          <cell r="O23" t="str">
            <v>7</v>
          </cell>
          <cell r="P23" t="str">
            <v>-</v>
          </cell>
          <cell r="Q23" t="str">
            <v>R7K54</v>
          </cell>
          <cell r="R23" t="str">
            <v>4.0 mills</v>
          </cell>
          <cell r="S23" t="str">
            <v>Seco Tocar: 1 Hr, Tack Free: 4 Hrs</v>
          </cell>
          <cell r="T23" t="str">
            <v>-</v>
          </cell>
          <cell r="U23" t="str">
            <v>185 Pies Cuadrados/Gl</v>
          </cell>
          <cell r="V23" t="str">
            <v>80</v>
          </cell>
          <cell r="W23" t="str">
            <v>-</v>
          </cell>
          <cell r="X23" t="str">
            <v>36 meses cerrado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S/F</v>
          </cell>
        </row>
        <row r="24">
          <cell r="A24" t="str">
            <v>B62WSA2</v>
          </cell>
          <cell r="B24" t="str">
            <v>Tile Clad II Blanco Brillante</v>
          </cell>
          <cell r="C24" t="str">
            <v>Interior</v>
          </cell>
          <cell r="D24" t="str">
            <v>Fibrocemento (Fibrolite)</v>
          </cell>
          <cell r="E24" t="str">
            <v>Limpia de Polvo</v>
          </cell>
          <cell r="F24" t="str">
            <v>Fast Dry Latex Wall Primer (B45WSA1)</v>
          </cell>
          <cell r="G24" t="str">
            <v>10.51 Lbs/Gl</v>
          </cell>
          <cell r="H24" t="str">
            <v>55%</v>
          </cell>
          <cell r="I24" t="str">
            <v>61.7%</v>
          </cell>
          <cell r="J24" t="str">
            <v>60%</v>
          </cell>
          <cell r="K24" t="str">
            <v>23.9%</v>
          </cell>
          <cell r="L24" t="str">
            <v>44.5%</v>
          </cell>
          <cell r="M24" t="str">
            <v>79-80 KU</v>
          </cell>
          <cell r="N24" t="str">
            <v>Pistola</v>
          </cell>
          <cell r="O24" t="str">
            <v>30-35 KU</v>
          </cell>
          <cell r="P24" t="str">
            <v>20% en volumen con R2K4 para Aplicar con Pistola</v>
          </cell>
          <cell r="Q24" t="str">
            <v>R2K4         Industrial reducer</v>
          </cell>
          <cell r="R24" t="str">
            <v>2 mills</v>
          </cell>
          <cell r="S24" t="str">
            <v>Seco Tocar: 1 Hora. Seco Completo: 4 Hrs. Repintar:6 Hrs</v>
          </cell>
          <cell r="T24" t="str">
            <v>-</v>
          </cell>
          <cell r="U24" t="str">
            <v>33 m2/Gl</v>
          </cell>
          <cell r="V24" t="str">
            <v>Full</v>
          </cell>
          <cell r="W24" t="str">
            <v>6H-7H</v>
          </cell>
          <cell r="X24" t="str">
            <v>36 meses cerrado</v>
          </cell>
          <cell r="Y24" t="str">
            <v>Guatemala</v>
          </cell>
          <cell r="Z24" t="str">
            <v>-</v>
          </cell>
          <cell r="AA24" t="str">
            <v>Una parte de B62WSA2 con una parte de catalizador B60FSA2 en volumen, dejar reposar 30 min.Debe esperarse de 12 a 15 días para alcanzar la dureza de 6H-7H. Vida útil de la mezcla: 8 Hrs</v>
          </cell>
          <cell r="AB24" t="str">
            <v>-</v>
          </cell>
          <cell r="AC24" t="str">
            <v>S/F</v>
          </cell>
        </row>
        <row r="25">
          <cell r="A25" t="str">
            <v>B62WSA2/B60CSA1</v>
          </cell>
          <cell r="B25" t="str">
            <v>Tile Clad II Blanco Brillante</v>
          </cell>
          <cell r="C25" t="str">
            <v>Interior</v>
          </cell>
          <cell r="D25" t="str">
            <v>Concreto-Fibrocemento-Madera-Metal</v>
          </cell>
          <cell r="E25" t="str">
            <v>Limpia de Polvo, Grasa, Suciedad</v>
          </cell>
          <cell r="F25" t="str">
            <v>B24WSA1 Sellador Especial Para Fibrolit</v>
          </cell>
          <cell r="G25" t="str">
            <v>10.51 Lbs/Gl</v>
          </cell>
          <cell r="H25" t="str">
            <v>55%</v>
          </cell>
          <cell r="I25" t="str">
            <v>61.7%</v>
          </cell>
          <cell r="J25" t="str">
            <v>45%</v>
          </cell>
          <cell r="K25" t="str">
            <v>23.9%</v>
          </cell>
          <cell r="L25" t="str">
            <v>44.5%</v>
          </cell>
          <cell r="M25" t="str">
            <v>75-83 KU</v>
          </cell>
          <cell r="N25" t="str">
            <v>Pistola-Brocha (Para acabado de Azulejo Debe Ser Aplicado con Pistola)</v>
          </cell>
          <cell r="O25" t="str">
            <v>Brocha: 70-75 KU      Pistola: 15"-20" Copa Ford #4.</v>
          </cell>
          <cell r="P25" t="str">
            <v>-</v>
          </cell>
          <cell r="Q25" t="str">
            <v>R2K4         Industrial reducer</v>
          </cell>
          <cell r="R25" t="str">
            <v>De 2 a 4 mills Seco</v>
          </cell>
          <cell r="S25" t="str">
            <v>Seco Tocar: 1 Hra, Seco Completo 4-6 Hrs, Repintar: 12 Horas</v>
          </cell>
          <cell r="T25" t="str">
            <v>-</v>
          </cell>
          <cell r="U25" t="str">
            <v>25 Mts Cuadrados/Gl (4 mills), 50 Mts Cuadrados (2 mills)</v>
          </cell>
          <cell r="V25" t="str">
            <v>35 +/- 10 unidades</v>
          </cell>
          <cell r="W25" t="str">
            <v>2H</v>
          </cell>
          <cell r="X25" t="str">
            <v>-</v>
          </cell>
          <cell r="Y25" t="str">
            <v>Hospitalia S.A</v>
          </cell>
          <cell r="Z25" t="str">
            <v>-</v>
          </cell>
          <cell r="AA25" t="str">
            <v>Una parte de B62WSA2 con una parte de catalizador B60CSA1 en volumen, dejar reposar 30 min.Debe esperarse de 12 a 15 días para alcanzar la dureza de 6H-7H.</v>
          </cell>
          <cell r="AB25" t="str">
            <v>Ing. René F. Ferrufino</v>
          </cell>
          <cell r="AC25" t="str">
            <v>S/F</v>
          </cell>
        </row>
        <row r="26">
          <cell r="A26" t="str">
            <v>B69A47</v>
          </cell>
          <cell r="B26" t="str">
            <v>Zinc Clad 7 Primer</v>
          </cell>
          <cell r="C26" t="str">
            <v>Interior-Exterior Expocision a Aire Salino, Humedad, Quimicos</v>
          </cell>
          <cell r="D26" t="str">
            <v>Hierro-Acero</v>
          </cell>
          <cell r="E26" t="str">
            <v>Limpieza con Solvente</v>
          </cell>
          <cell r="F26" t="str">
            <v>Ninguno</v>
          </cell>
          <cell r="G26" t="str">
            <v>7.92 Lbs/Gl Parte A    7.45 Lbs/Gl Parte B</v>
          </cell>
          <cell r="H26" t="str">
            <v>43%</v>
          </cell>
          <cell r="I26" t="str">
            <v>84.39%</v>
          </cell>
          <cell r="J26" t="str">
            <v>75%</v>
          </cell>
          <cell r="K26" t="str">
            <v>62.16%</v>
          </cell>
          <cell r="L26" t="str">
            <v>49.55%</v>
          </cell>
          <cell r="M26" t="str">
            <v>12"-16" Ford #4, Parte A  16"-20" Ford #4, Parte B</v>
          </cell>
          <cell r="N26" t="str">
            <v>Pistola de Aire</v>
          </cell>
          <cell r="O26" t="str">
            <v>18"-22" Ford #4 Mezcla</v>
          </cell>
          <cell r="P26" t="str">
            <v>12% R6K22</v>
          </cell>
          <cell r="Q26" t="str">
            <v>R6K22</v>
          </cell>
          <cell r="R26" t="str">
            <v>2 mills</v>
          </cell>
          <cell r="S26" t="str">
            <v>Tocar: 30 Min Para Recubrimiento Final 24 Horas</v>
          </cell>
          <cell r="T26" t="str">
            <v>-</v>
          </cell>
          <cell r="U26" t="str">
            <v>-</v>
          </cell>
          <cell r="V26" t="str">
            <v>Mate</v>
          </cell>
          <cell r="W26" t="str">
            <v>-</v>
          </cell>
          <cell r="X26" t="str">
            <v>-</v>
          </cell>
          <cell r="Y26" t="str">
            <v>Beneficio El Tazumal (Chalchuapa)/(IMSA) Industrias Metalicas, S.A.</v>
          </cell>
          <cell r="Z26" t="str">
            <v>-</v>
          </cell>
          <cell r="AA26" t="str">
            <v>Producto de 3 Componentes.Mezclar 1 Parte de A con 1/2 Parte de B.Despues agregar 1 Parte de C en vol.Esperar 30 min antes de aplicar. La mezcla catalizada debe ser usada en un periodo de 8 horas.</v>
          </cell>
          <cell r="AB26" t="str">
            <v>-</v>
          </cell>
          <cell r="AC26" t="str">
            <v>S/F</v>
          </cell>
        </row>
        <row r="27">
          <cell r="A27" t="str">
            <v>B79WSA1</v>
          </cell>
          <cell r="B27" t="str">
            <v>Colonial Latex Blanco Colonial</v>
          </cell>
          <cell r="C27" t="str">
            <v>Interior-Exterior</v>
          </cell>
          <cell r="D27" t="str">
            <v>Concreto-Madera-Estuco</v>
          </cell>
          <cell r="E27" t="str">
            <v>Superficie Seca y Limpia</v>
          </cell>
          <cell r="F27" t="str">
            <v>A71WSA4 para pintar sobre madera</v>
          </cell>
          <cell r="G27" t="str">
            <v>11.30 Lbs/Gl</v>
          </cell>
          <cell r="H27" t="str">
            <v>-</v>
          </cell>
          <cell r="I27" t="str">
            <v>47.9%</v>
          </cell>
          <cell r="J27" t="str">
            <v>-</v>
          </cell>
          <cell r="K27" t="str">
            <v>-</v>
          </cell>
          <cell r="L27" t="str">
            <v>30.7%</v>
          </cell>
          <cell r="M27" t="str">
            <v>25"-30" Copa SW #4</v>
          </cell>
          <cell r="N27" t="str">
            <v>Brocha-Rodillo</v>
          </cell>
          <cell r="O27" t="str">
            <v>El mismo</v>
          </cell>
          <cell r="P27" t="str">
            <v>Ninguno</v>
          </cell>
          <cell r="Q27" t="str">
            <v>-</v>
          </cell>
          <cell r="R27" t="str">
            <v>5 mills</v>
          </cell>
          <cell r="S27" t="str">
            <v>Al aire</v>
          </cell>
          <cell r="T27" t="str">
            <v>-</v>
          </cell>
          <cell r="U27" t="str">
            <v>Aproximadamente 30 Mts cuadrados/Gl</v>
          </cell>
          <cell r="V27" t="str">
            <v>Mate</v>
          </cell>
          <cell r="W27" t="str">
            <v>-</v>
          </cell>
          <cell r="X27" t="str">
            <v>1 año</v>
          </cell>
          <cell r="Y27" t="str">
            <v>Warner Lambert-Guatemala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S/F</v>
          </cell>
        </row>
        <row r="28">
          <cell r="A28" t="str">
            <v>E61ESA6</v>
          </cell>
          <cell r="B28" t="str">
            <v>Anticorrosivo Naranja</v>
          </cell>
          <cell r="C28" t="str">
            <v>Interior-Exterior</v>
          </cell>
          <cell r="D28" t="str">
            <v>Superficies De Hierro</v>
          </cell>
          <cell r="E28" t="str">
            <v>Limpieza con Cepillo de Alambre</v>
          </cell>
          <cell r="F28" t="str">
            <v>Ninguno</v>
          </cell>
          <cell r="G28" t="str">
            <v>11.85 Lbs/Gl</v>
          </cell>
          <cell r="H28" t="str">
            <v>-</v>
          </cell>
          <cell r="I28" t="str">
            <v>74%</v>
          </cell>
          <cell r="J28" t="str">
            <v>-</v>
          </cell>
          <cell r="K28" t="str">
            <v>-</v>
          </cell>
          <cell r="L28" t="str">
            <v>49.9%</v>
          </cell>
          <cell r="M28" t="str">
            <v>100-110 KU</v>
          </cell>
          <cell r="N28" t="str">
            <v xml:space="preserve">Brocha-Pistola </v>
          </cell>
          <cell r="O28" t="str">
            <v>70-75 KU Brocha</v>
          </cell>
          <cell r="P28" t="str">
            <v>25% con R1K4 para Aplicar con Pistola</v>
          </cell>
          <cell r="Q28" t="str">
            <v>R1K4   Mineral Spirits</v>
          </cell>
          <cell r="R28" t="str">
            <v>1.0-1.5 mills</v>
          </cell>
          <cell r="S28" t="str">
            <v>-</v>
          </cell>
          <cell r="T28" t="str">
            <v>-</v>
          </cell>
          <cell r="U28" t="str">
            <v>750 Pies Cuadrados/Gl</v>
          </cell>
          <cell r="V28" t="str">
            <v>0-10</v>
          </cell>
          <cell r="W28" t="str">
            <v>-</v>
          </cell>
          <cell r="X28" t="str">
            <v>12 meses</v>
          </cell>
          <cell r="Y28" t="str">
            <v>Aceros Arquitectónicos</v>
          </cell>
          <cell r="Z28" t="str">
            <v>Estructuras Metálicas</v>
          </cell>
          <cell r="AA28" t="str">
            <v>-</v>
          </cell>
          <cell r="AB28" t="str">
            <v>-</v>
          </cell>
          <cell r="AC28" t="str">
            <v>S/F</v>
          </cell>
        </row>
        <row r="29">
          <cell r="A29" t="str">
            <v>E61ESA6 Tarj. No.2</v>
          </cell>
          <cell r="B29" t="str">
            <v>Anticorrosivo Naranja</v>
          </cell>
          <cell r="C29" t="str">
            <v>Interior-Exterior</v>
          </cell>
          <cell r="D29" t="str">
            <v>Superficies De Hierro</v>
          </cell>
          <cell r="E29" t="str">
            <v>Limpieza con Cepillo de Alambre</v>
          </cell>
          <cell r="F29" t="str">
            <v>Ninguno</v>
          </cell>
          <cell r="G29" t="str">
            <v>11.85 Lbs/Gl</v>
          </cell>
          <cell r="H29" t="str">
            <v>-</v>
          </cell>
          <cell r="I29" t="str">
            <v>74%</v>
          </cell>
          <cell r="J29" t="str">
            <v>-</v>
          </cell>
          <cell r="K29" t="str">
            <v>-</v>
          </cell>
          <cell r="L29" t="str">
            <v>49.9%</v>
          </cell>
          <cell r="M29" t="str">
            <v>100-110 KU</v>
          </cell>
          <cell r="N29" t="str">
            <v xml:space="preserve">Brocha-Pistola </v>
          </cell>
          <cell r="O29" t="str">
            <v>20"-25" Copa Ford #4 para Aplicar con Pistola</v>
          </cell>
          <cell r="P29" t="str">
            <v>25% con R1K4 para Aplicar con Pistola</v>
          </cell>
          <cell r="Q29" t="str">
            <v>R1K4   Mineral Spirits</v>
          </cell>
          <cell r="R29" t="str">
            <v>1.0-1.5 mills</v>
          </cell>
          <cell r="S29" t="str">
            <v>-</v>
          </cell>
          <cell r="T29" t="str">
            <v>-</v>
          </cell>
          <cell r="U29" t="str">
            <v>800 Pies Cuadrados/Gl</v>
          </cell>
          <cell r="V29" t="str">
            <v>0-10</v>
          </cell>
          <cell r="W29" t="str">
            <v>-</v>
          </cell>
          <cell r="X29" t="str">
            <v>12 meses</v>
          </cell>
          <cell r="Y29" t="str">
            <v>Aceros Arquitectónicos</v>
          </cell>
          <cell r="Z29" t="str">
            <v>Estructuras Metálicas</v>
          </cell>
          <cell r="AA29" t="str">
            <v>-</v>
          </cell>
          <cell r="AB29" t="str">
            <v>-</v>
          </cell>
          <cell r="AC29" t="str">
            <v>S/F</v>
          </cell>
        </row>
        <row r="30">
          <cell r="A30" t="str">
            <v>E61ESA6 Tarj. No.3</v>
          </cell>
          <cell r="B30" t="str">
            <v>Anticorrosivo Naranja</v>
          </cell>
          <cell r="C30" t="str">
            <v>Interior-Exterior</v>
          </cell>
          <cell r="D30" t="str">
            <v>Superficies De Hierro</v>
          </cell>
          <cell r="E30" t="str">
            <v>Limpieza con Cepillo de Alambre</v>
          </cell>
          <cell r="F30" t="str">
            <v>Ninguno</v>
          </cell>
          <cell r="G30" t="str">
            <v>11.33 Lbs/Gl</v>
          </cell>
          <cell r="H30" t="str">
            <v>-</v>
          </cell>
          <cell r="I30" t="str">
            <v>60.9%</v>
          </cell>
          <cell r="J30" t="str">
            <v>-</v>
          </cell>
          <cell r="K30" t="str">
            <v>-</v>
          </cell>
          <cell r="L30" t="str">
            <v>36.0%</v>
          </cell>
          <cell r="M30" t="str">
            <v>100-110 KU</v>
          </cell>
          <cell r="N30" t="str">
            <v xml:space="preserve">Brocha-Pistola </v>
          </cell>
          <cell r="O30" t="str">
            <v>20"-25" Copa Ford #4 para Aplicar con Pistola</v>
          </cell>
          <cell r="P30" t="str">
            <v>25% con R1K4 para Aplicar con Pistola</v>
          </cell>
          <cell r="Q30" t="str">
            <v>R1K4   Mineral Spirits</v>
          </cell>
          <cell r="R30" t="str">
            <v>1.0-1.5 mills</v>
          </cell>
          <cell r="S30" t="str">
            <v>-</v>
          </cell>
          <cell r="T30" t="str">
            <v>-</v>
          </cell>
          <cell r="U30" t="str">
            <v>800 Pies Cuadrados/Gl</v>
          </cell>
          <cell r="V30" t="str">
            <v>0-10</v>
          </cell>
          <cell r="W30" t="str">
            <v>-</v>
          </cell>
          <cell r="X30" t="str">
            <v>12 meses</v>
          </cell>
          <cell r="Y30" t="str">
            <v>Aceros Arquitectónicos</v>
          </cell>
          <cell r="Z30" t="str">
            <v>Estructuras Metálicas</v>
          </cell>
          <cell r="AA30" t="str">
            <v>-</v>
          </cell>
          <cell r="AB30" t="str">
            <v>-</v>
          </cell>
          <cell r="AC30" t="str">
            <v>S/F</v>
          </cell>
        </row>
        <row r="31">
          <cell r="A31" t="str">
            <v>E61ESA8</v>
          </cell>
          <cell r="B31" t="str">
            <v>Anticorrosivo Naranja Tipic</v>
          </cell>
          <cell r="C31" t="str">
            <v>Interior-Exterior</v>
          </cell>
          <cell r="D31" t="str">
            <v>Hierro</v>
          </cell>
          <cell r="E31" t="str">
            <v>Limpieza con Cepillo de Alambre</v>
          </cell>
          <cell r="F31" t="str">
            <v>-</v>
          </cell>
          <cell r="G31" t="str">
            <v>12.53 Lbs/Gl</v>
          </cell>
          <cell r="H31" t="str">
            <v>-</v>
          </cell>
          <cell r="I31" t="str">
            <v>73.34%</v>
          </cell>
          <cell r="J31" t="str">
            <v>-</v>
          </cell>
          <cell r="K31" t="str">
            <v>-</v>
          </cell>
          <cell r="L31" t="str">
            <v>47.08%</v>
          </cell>
          <cell r="M31" t="str">
            <v>20"-25" Copa SW #3</v>
          </cell>
          <cell r="N31" t="str">
            <v>Brocha-Pistola</v>
          </cell>
          <cell r="O31" t="str">
            <v>20"-25" Copa SW #3</v>
          </cell>
          <cell r="P31" t="str">
            <v>20% R1K3 para Pistola</v>
          </cell>
          <cell r="Q31" t="str">
            <v>R1K3</v>
          </cell>
          <cell r="R31" t="str">
            <v>1.0-1.5 mills</v>
          </cell>
          <cell r="S31" t="str">
            <v>-</v>
          </cell>
          <cell r="T31" t="str">
            <v>-</v>
          </cell>
          <cell r="U31" t="str">
            <v>700 Pies Cuadrados/Gl</v>
          </cell>
          <cell r="V31" t="str">
            <v>0-10</v>
          </cell>
          <cell r="W31" t="str">
            <v>-</v>
          </cell>
          <cell r="X31" t="str">
            <v>12 meses</v>
          </cell>
          <cell r="Y31" t="str">
            <v>Tipic, S.A. Guatemala</v>
          </cell>
          <cell r="Z31" t="str">
            <v>Estructuras Metálicas</v>
          </cell>
          <cell r="AA31" t="str">
            <v>-</v>
          </cell>
          <cell r="AB31" t="str">
            <v>-</v>
          </cell>
          <cell r="AC31" t="str">
            <v>S/F</v>
          </cell>
        </row>
        <row r="32">
          <cell r="A32" t="str">
            <v>E68WSA4</v>
          </cell>
          <cell r="B32" t="str">
            <v>Acrilic Monobake White Primer</v>
          </cell>
          <cell r="C32" t="str">
            <v>Interior-Exterior Limitada</v>
          </cell>
          <cell r="D32" t="str">
            <v>Hierro</v>
          </cell>
          <cell r="E32" t="str">
            <v>Limpieza Quimica y Fosfatizacion</v>
          </cell>
          <cell r="F32" t="str">
            <v>-</v>
          </cell>
          <cell r="G32" t="str">
            <v>9.76 Lbs/Gl</v>
          </cell>
          <cell r="H32" t="str">
            <v>30.5%</v>
          </cell>
          <cell r="I32" t="str">
            <v>56.26%</v>
          </cell>
          <cell r="J32" t="str">
            <v>54.26%</v>
          </cell>
          <cell r="K32" t="str">
            <v>31.51%</v>
          </cell>
          <cell r="L32" t="str">
            <v>36.62%</v>
          </cell>
          <cell r="M32" t="str">
            <v>180"-200" Copa Zanh #2</v>
          </cell>
          <cell r="N32" t="str">
            <v>Pistola</v>
          </cell>
          <cell r="O32" t="str">
            <v>28"-32" Copa Zanh #2</v>
          </cell>
          <cell r="P32" t="str">
            <v>40-50%</v>
          </cell>
          <cell r="Q32" t="str">
            <v>R2K4         Industrial reducer</v>
          </cell>
          <cell r="R32" t="str">
            <v>0.3 mills</v>
          </cell>
          <cell r="S32" t="str">
            <v>Al Horno</v>
          </cell>
          <cell r="T32" t="str">
            <v>15' a 370°F</v>
          </cell>
          <cell r="U32" t="str">
            <v>-</v>
          </cell>
          <cell r="V32" t="str">
            <v>90-95 con Esmalte G78</v>
          </cell>
          <cell r="W32" t="str">
            <v>2H con Esmalte G78</v>
          </cell>
          <cell r="X32" t="str">
            <v>6 meses</v>
          </cell>
          <cell r="Y32" t="str">
            <v>PRADO S.A</v>
          </cell>
          <cell r="Z32" t="str">
            <v>Refrigeradoras,Lavadoras,Cocinas</v>
          </cell>
          <cell r="AA32" t="str">
            <v>-</v>
          </cell>
          <cell r="AB32" t="str">
            <v>-</v>
          </cell>
          <cell r="AC32" t="str">
            <v>S/F</v>
          </cell>
        </row>
        <row r="33">
          <cell r="A33" t="str">
            <v>F65W1</v>
          </cell>
          <cell r="B33" t="str">
            <v>Kem Lustral White</v>
          </cell>
          <cell r="C33" t="str">
            <v>Interior-Exterior</v>
          </cell>
          <cell r="D33" t="str">
            <v>-</v>
          </cell>
          <cell r="E33" t="str">
            <v>Limpieza con Cepillo de Alambre</v>
          </cell>
          <cell r="F33" t="str">
            <v>E41N1 Kromik Metal Primer</v>
          </cell>
          <cell r="G33" t="str">
            <v>9.60 Lbs/Gl</v>
          </cell>
          <cell r="H33" t="str">
            <v>-</v>
          </cell>
          <cell r="I33" t="str">
            <v>59%</v>
          </cell>
          <cell r="J33" t="str">
            <v>-</v>
          </cell>
          <cell r="K33" t="str">
            <v>-</v>
          </cell>
          <cell r="L33" t="str">
            <v>41%</v>
          </cell>
          <cell r="M33" t="str">
            <v>30-36" Copa SW #3</v>
          </cell>
          <cell r="N33" t="str">
            <v>Brocha-Rodillo-Pistola</v>
          </cell>
          <cell r="O33" t="str">
            <v>Con Pistola     18"-20" Copa Ford #4</v>
          </cell>
          <cell r="P33" t="str">
            <v>Con Pistola 25% con R1K3</v>
          </cell>
          <cell r="Q33" t="str">
            <v>R1K3</v>
          </cell>
          <cell r="R33" t="str">
            <v>1-1 1/2 mills</v>
          </cell>
          <cell r="S33" t="str">
            <v>Al Aire</v>
          </cell>
          <cell r="T33" t="str">
            <v>-</v>
          </cell>
          <cell r="U33" t="str">
            <v>600 Pies Cuadrados/Gl</v>
          </cell>
          <cell r="V33" t="str">
            <v>+85</v>
          </cell>
          <cell r="W33" t="str">
            <v>-</v>
          </cell>
          <cell r="X33" t="str">
            <v>1 año</v>
          </cell>
          <cell r="Y33" t="str">
            <v>Warner Lambert-Guatemala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S/F</v>
          </cell>
        </row>
        <row r="34">
          <cell r="A34" t="str">
            <v>F68RSA9 T-2</v>
          </cell>
          <cell r="B34" t="str">
            <v>Esmalte para espejos Rojo Especial</v>
          </cell>
          <cell r="C34" t="str">
            <v xml:space="preserve">Interior  </v>
          </cell>
          <cell r="D34" t="str">
            <v>Vidrio</v>
          </cell>
          <cell r="E34" t="str">
            <v>Limpio</v>
          </cell>
          <cell r="F34" t="str">
            <v>Ninguno</v>
          </cell>
          <cell r="G34" t="str">
            <v>10.65 Lbs/Gl</v>
          </cell>
          <cell r="H34" t="str">
            <v>38.1%</v>
          </cell>
          <cell r="I34" t="str">
            <v>63.44%</v>
          </cell>
          <cell r="J34" t="str">
            <v>40.90%</v>
          </cell>
          <cell r="K34" t="str">
            <v>35.10%</v>
          </cell>
          <cell r="L34" t="str">
            <v>45.07%</v>
          </cell>
          <cell r="M34" t="str">
            <v>30-35"        SW #3</v>
          </cell>
          <cell r="N34" t="str">
            <v>Pistola</v>
          </cell>
          <cell r="O34" t="str">
            <v>18-20"             Copa Ford #4</v>
          </cell>
          <cell r="P34" t="str">
            <v>20%</v>
          </cell>
          <cell r="Q34" t="str">
            <v>Kem Flo Glo Reducer R4K183</v>
          </cell>
          <cell r="R34" t="str">
            <v>1.0 mills</v>
          </cell>
          <cell r="S34" t="str">
            <v xml:space="preserve">Al Aire               </v>
          </cell>
          <cell r="T34" t="str">
            <v>-</v>
          </cell>
          <cell r="U34" t="str">
            <v>1,015.52 pies cuadrados/Gl</v>
          </cell>
          <cell r="V34" t="str">
            <v>5-6</v>
          </cell>
          <cell r="W34" t="str">
            <v>-</v>
          </cell>
          <cell r="X34" t="str">
            <v>6 meses</v>
          </cell>
          <cell r="Y34" t="str">
            <v>FREUND            ESTACION DE PINTURAS</v>
          </cell>
          <cell r="Z34" t="str">
            <v>Espejos</v>
          </cell>
          <cell r="AA34" t="str">
            <v>-</v>
          </cell>
          <cell r="AB34" t="str">
            <v>-</v>
          </cell>
          <cell r="AC34" t="str">
            <v>S/F</v>
          </cell>
        </row>
        <row r="35">
          <cell r="A35" t="str">
            <v>F73ESA1</v>
          </cell>
          <cell r="B35" t="str">
            <v>Esmalte Horneable Naranja</v>
          </cell>
          <cell r="C35" t="str">
            <v>Interior-Exterior Limitada</v>
          </cell>
          <cell r="D35" t="str">
            <v>Hierro</v>
          </cell>
          <cell r="E35" t="str">
            <v>Limpieza Adecuada con R2K4 y Dual Etch (W4K263)</v>
          </cell>
          <cell r="F35" t="str">
            <v>Ninguno</v>
          </cell>
          <cell r="G35" t="str">
            <v>9.40 Lbs/Gl</v>
          </cell>
          <cell r="H35" t="str">
            <v>18.16%</v>
          </cell>
          <cell r="I35" t="str">
            <v>55.52%</v>
          </cell>
          <cell r="J35" t="str">
            <v>45.44%</v>
          </cell>
          <cell r="K35" t="str">
            <v>9.44%</v>
          </cell>
          <cell r="L35" t="str">
            <v>42.13%</v>
          </cell>
          <cell r="M35" t="str">
            <v>80"-90" Copa Zanh #2</v>
          </cell>
          <cell r="N35" t="str">
            <v>Pistola Convencional o Elestrostática</v>
          </cell>
          <cell r="O35" t="str">
            <v>20"-25" Copa Zanh #2</v>
          </cell>
          <cell r="P35" t="str">
            <v>20-25%</v>
          </cell>
          <cell r="Q35" t="str">
            <v>R2K4         Industrial reducer</v>
          </cell>
          <cell r="R35" t="str">
            <v>1.0-1.2 mills</v>
          </cell>
          <cell r="S35" t="str">
            <v>5-10 min</v>
          </cell>
          <cell r="T35" t="str">
            <v>15' a 300 °F</v>
          </cell>
          <cell r="U35" t="str">
            <v>893 Pies Cuadrados por Galón</v>
          </cell>
          <cell r="V35" t="str">
            <v>80-82</v>
          </cell>
          <cell r="W35" t="str">
            <v>F-H</v>
          </cell>
          <cell r="X35" t="str">
            <v>12 meses</v>
          </cell>
          <cell r="Y35" t="str">
            <v>IMSA S.A</v>
          </cell>
          <cell r="Z35" t="str">
            <v>Estantería</v>
          </cell>
          <cell r="AA35" t="str">
            <v>-</v>
          </cell>
          <cell r="AB35" t="str">
            <v>-</v>
          </cell>
          <cell r="AC35" t="str">
            <v>S/F</v>
          </cell>
        </row>
        <row r="36">
          <cell r="A36" t="str">
            <v>F73GSA25</v>
          </cell>
          <cell r="B36" t="str">
            <v>Esmalte Horneable Verde Intenso</v>
          </cell>
          <cell r="C36" t="str">
            <v>Interior-Exterior Limitada</v>
          </cell>
          <cell r="D36" t="str">
            <v>Hierro</v>
          </cell>
          <cell r="E36" t="str">
            <v>Limpieza con Industrial Reducer R2K4 y Dual Etch</v>
          </cell>
          <cell r="F36" t="str">
            <v>Ninguno</v>
          </cell>
          <cell r="G36" t="str">
            <v>9.15 Lbs/Gl</v>
          </cell>
          <cell r="H36" t="str">
            <v>16.05%</v>
          </cell>
          <cell r="I36" t="str">
            <v>62.61%</v>
          </cell>
          <cell r="J36" t="str">
            <v>49.58%</v>
          </cell>
          <cell r="K36" t="str">
            <v>9.74%</v>
          </cell>
          <cell r="L36" t="str">
            <v>44.44%</v>
          </cell>
          <cell r="M36" t="str">
            <v>100"-110" Copa Zanh #2</v>
          </cell>
          <cell r="N36" t="str">
            <v>Pistola Convencional</v>
          </cell>
          <cell r="O36" t="str">
            <v>20"-25" Copa Zanh #2</v>
          </cell>
          <cell r="P36" t="str">
            <v>20-25%</v>
          </cell>
          <cell r="Q36" t="str">
            <v>R2K4         Industrial reducer</v>
          </cell>
          <cell r="R36" t="str">
            <v>1.0-1.2 mills</v>
          </cell>
          <cell r="S36" t="str">
            <v>Al Horno</v>
          </cell>
          <cell r="T36" t="str">
            <v>15' a 300°F</v>
          </cell>
          <cell r="U36" t="str">
            <v>1001.76 Pies cuadrados por Galón</v>
          </cell>
          <cell r="V36" t="str">
            <v>+90</v>
          </cell>
          <cell r="W36" t="str">
            <v>H</v>
          </cell>
          <cell r="X36" t="str">
            <v>12 meses</v>
          </cell>
          <cell r="Y36" t="str">
            <v>Van Leer</v>
          </cell>
          <cell r="Z36" t="str">
            <v>Barriles de Hierro</v>
          </cell>
          <cell r="AA36" t="str">
            <v>-</v>
          </cell>
          <cell r="AB36" t="str">
            <v>-</v>
          </cell>
          <cell r="AC36" t="str">
            <v>S/F</v>
          </cell>
        </row>
        <row r="37">
          <cell r="A37" t="str">
            <v>F73HSA6</v>
          </cell>
          <cell r="B37" t="str">
            <v>Esmalte Horneable Beige Tyler 53</v>
          </cell>
          <cell r="C37" t="str">
            <v>Interior-Exterior Limitada</v>
          </cell>
          <cell r="D37" t="str">
            <v>Hierro</v>
          </cell>
          <cell r="E37" t="str">
            <v>Limpieza Adecuada con R2K4 y Dual Etch (W4K263)</v>
          </cell>
          <cell r="F37" t="str">
            <v>Ninguno</v>
          </cell>
          <cell r="G37" t="str">
            <v>8.79 Lbs/Gl</v>
          </cell>
          <cell r="H37" t="str">
            <v>13.57%</v>
          </cell>
          <cell r="I37" t="str">
            <v>55%</v>
          </cell>
          <cell r="J37" t="str">
            <v>47.53%</v>
          </cell>
          <cell r="K37" t="str">
            <v>7.49%</v>
          </cell>
          <cell r="L37" t="str">
            <v>42%</v>
          </cell>
          <cell r="M37" t="str">
            <v>80"-90" Copa Zanh #2</v>
          </cell>
          <cell r="N37" t="str">
            <v>Pistola Convencional o Elestrostática</v>
          </cell>
          <cell r="O37" t="str">
            <v>20"-25" Copa Zanh #2</v>
          </cell>
          <cell r="P37" t="str">
            <v>20-25%</v>
          </cell>
          <cell r="Q37" t="str">
            <v>R2K4         Industrial reducer</v>
          </cell>
          <cell r="R37" t="str">
            <v>1.0-1.2 mills</v>
          </cell>
          <cell r="S37" t="str">
            <v>5-10 min</v>
          </cell>
          <cell r="T37" t="str">
            <v>15' a 300 °F</v>
          </cell>
          <cell r="U37" t="str">
            <v>783 Pies Cuadrados por Galón</v>
          </cell>
          <cell r="V37" t="str">
            <v>85</v>
          </cell>
          <cell r="W37" t="str">
            <v>F-H</v>
          </cell>
          <cell r="X37" t="str">
            <v>12 meses</v>
          </cell>
          <cell r="Y37" t="str">
            <v>IMSA S.A</v>
          </cell>
          <cell r="Z37" t="str">
            <v>Estantería</v>
          </cell>
          <cell r="AA37" t="str">
            <v>-</v>
          </cell>
          <cell r="AB37" t="str">
            <v>-</v>
          </cell>
          <cell r="AC37" t="str">
            <v>S/F</v>
          </cell>
        </row>
        <row r="38">
          <cell r="A38" t="str">
            <v>F73LSA28</v>
          </cell>
          <cell r="B38" t="str">
            <v>Esmalte Horneable Azul Intenso</v>
          </cell>
          <cell r="C38" t="str">
            <v>Interior-Exterior Limitada</v>
          </cell>
          <cell r="D38" t="str">
            <v>Hierro</v>
          </cell>
          <cell r="E38" t="str">
            <v>Limpieza con Industrial Reducer R2K4 y Dual Etch</v>
          </cell>
          <cell r="F38" t="str">
            <v>Ninguno</v>
          </cell>
          <cell r="G38" t="str">
            <v>8.56 Lbs/Gl</v>
          </cell>
          <cell r="H38" t="str">
            <v>9.52%</v>
          </cell>
          <cell r="I38" t="str">
            <v>59.39%</v>
          </cell>
          <cell r="J38" t="str">
            <v>49.26%</v>
          </cell>
          <cell r="K38" t="str">
            <v>12.67%</v>
          </cell>
          <cell r="L38" t="str">
            <v>43.64%</v>
          </cell>
          <cell r="M38" t="str">
            <v>100"-110" Copa Zanh #2</v>
          </cell>
          <cell r="N38" t="str">
            <v>Pistola Convencional</v>
          </cell>
          <cell r="O38" t="str">
            <v>20"-25" Copa Zanh #2</v>
          </cell>
          <cell r="P38" t="str">
            <v>20-25%</v>
          </cell>
          <cell r="Q38" t="str">
            <v>R2K4         Industrial reducer</v>
          </cell>
          <cell r="R38" t="str">
            <v>1.0-1.2 mills</v>
          </cell>
          <cell r="S38" t="str">
            <v>Al Horno</v>
          </cell>
          <cell r="T38" t="str">
            <v>15' a 300°F</v>
          </cell>
          <cell r="U38" t="str">
            <v>950.24 Pies cuadrados por Galón</v>
          </cell>
          <cell r="V38" t="str">
            <v>+90</v>
          </cell>
          <cell r="W38" t="str">
            <v>H</v>
          </cell>
          <cell r="X38" t="str">
            <v>12 meses</v>
          </cell>
          <cell r="Y38" t="str">
            <v>Van Leer</v>
          </cell>
          <cell r="Z38" t="str">
            <v>Barriles de Hierro</v>
          </cell>
          <cell r="AA38" t="str">
            <v>-</v>
          </cell>
          <cell r="AB38" t="str">
            <v>-</v>
          </cell>
          <cell r="AC38" t="str">
            <v>S/F</v>
          </cell>
        </row>
        <row r="39">
          <cell r="A39" t="str">
            <v>F73RSA15</v>
          </cell>
          <cell r="B39" t="str">
            <v>Esmalte Horneable Rojo Texaco</v>
          </cell>
          <cell r="C39" t="str">
            <v>Interior-Exterior</v>
          </cell>
          <cell r="D39" t="str">
            <v>Hierro</v>
          </cell>
          <cell r="E39" t="str">
            <v>Limpieza con Solvente Industrial</v>
          </cell>
          <cell r="F39" t="str">
            <v>Ninguno</v>
          </cell>
          <cell r="G39" t="str">
            <v>8.91 Lbs/Gl</v>
          </cell>
          <cell r="H39" t="str">
            <v>12.69%</v>
          </cell>
          <cell r="I39" t="str">
            <v>57.41%</v>
          </cell>
          <cell r="J39" t="str">
            <v>51.21%</v>
          </cell>
          <cell r="K39" t="str">
            <v>7.10%</v>
          </cell>
          <cell r="L39" t="str">
            <v>45.1%</v>
          </cell>
          <cell r="M39" t="str">
            <v>100"-110" Copa Zanh #2</v>
          </cell>
          <cell r="N39" t="str">
            <v>Pistola</v>
          </cell>
          <cell r="O39" t="str">
            <v>20-25 seg. Copa Zanh #2</v>
          </cell>
          <cell r="P39" t="str">
            <v>20-25%</v>
          </cell>
          <cell r="Q39" t="str">
            <v>R2K4         Industrial reducer</v>
          </cell>
          <cell r="R39" t="str">
            <v>0.6-0.9 mills</v>
          </cell>
          <cell r="S39" t="str">
            <v>Al Horno</v>
          </cell>
          <cell r="T39" t="str">
            <v>10' a 350°F</v>
          </cell>
          <cell r="U39" t="str">
            <v>925 Pies Cuadrados/Gl</v>
          </cell>
          <cell r="V39" t="str">
            <v>+75</v>
          </cell>
          <cell r="W39" t="str">
            <v>HB-F</v>
          </cell>
          <cell r="X39" t="str">
            <v>12 meses</v>
          </cell>
          <cell r="Y39" t="str">
            <v>Van Leer</v>
          </cell>
          <cell r="Z39" t="str">
            <v>Barriles de Hierro</v>
          </cell>
          <cell r="AA39" t="str">
            <v>-</v>
          </cell>
          <cell r="AB39" t="str">
            <v>Luis Nolasco</v>
          </cell>
          <cell r="AC39" t="str">
            <v>S/F</v>
          </cell>
        </row>
        <row r="40">
          <cell r="A40" t="str">
            <v>F73SSA12</v>
          </cell>
          <cell r="B40" t="str">
            <v>Esmalte Horneable Aluminio Brillante</v>
          </cell>
          <cell r="C40" t="str">
            <v>Interior-Exterior Limitada</v>
          </cell>
          <cell r="D40" t="str">
            <v>Zamak</v>
          </cell>
          <cell r="E40" t="str">
            <v>Limpieza Adecuada con R2K4 y Dual Etch (W4K263)</v>
          </cell>
          <cell r="F40" t="str">
            <v>Wash Primer Green (P60G2)</v>
          </cell>
          <cell r="G40" t="str">
            <v>8.15 Lbs/Gl</v>
          </cell>
          <cell r="H40" t="str">
            <v>-</v>
          </cell>
          <cell r="I40" t="str">
            <v>43.8%</v>
          </cell>
          <cell r="J40" t="str">
            <v>48.3%</v>
          </cell>
          <cell r="K40" t="str">
            <v>-</v>
          </cell>
          <cell r="L40" t="str">
            <v>40.57%</v>
          </cell>
          <cell r="M40" t="str">
            <v>80"-90" Copa Zanh #2</v>
          </cell>
          <cell r="N40" t="str">
            <v>Pistola Convencional o Elestrostática</v>
          </cell>
          <cell r="O40" t="str">
            <v>20"-25" Copa Zanh #2</v>
          </cell>
          <cell r="P40" t="str">
            <v>20-25%</v>
          </cell>
          <cell r="Q40" t="str">
            <v>R2K4         Industrial reducer</v>
          </cell>
          <cell r="R40" t="str">
            <v>1.0-1.5 mills</v>
          </cell>
          <cell r="S40" t="str">
            <v>5-10 min</v>
          </cell>
          <cell r="T40" t="str">
            <v>20' a 300 °F</v>
          </cell>
          <cell r="U40" t="str">
            <v>727 Pies Cuadrados por Galón</v>
          </cell>
          <cell r="V40" t="str">
            <v>90</v>
          </cell>
          <cell r="W40" t="str">
            <v>F-H</v>
          </cell>
          <cell r="X40" t="str">
            <v>12 meses</v>
          </cell>
          <cell r="Y40" t="str">
            <v>IMSA S.A</v>
          </cell>
          <cell r="Z40" t="str">
            <v>Operadores de Ventanas</v>
          </cell>
          <cell r="AA40" t="str">
            <v>-</v>
          </cell>
          <cell r="AB40" t="str">
            <v>-</v>
          </cell>
          <cell r="AC40" t="str">
            <v>S/F</v>
          </cell>
        </row>
        <row r="41">
          <cell r="A41" t="str">
            <v>F73SSA4</v>
          </cell>
          <cell r="B41" t="str">
            <v>Reverse Dimenso Baking Baking Enamel Silver Gray</v>
          </cell>
          <cell r="C41" t="str">
            <v>Interior-Exterior Limitada</v>
          </cell>
          <cell r="D41" t="str">
            <v>Hierro y Zamak</v>
          </cell>
          <cell r="E41" t="str">
            <v>Hierro:Limpieza Adecuada con R2K4 y Dual Etch (W4K263). Zamak Limpieza con R2K4, detergente y Fosfatización)</v>
          </cell>
          <cell r="F41" t="str">
            <v>Ninguno sobre hierro, P60G2 Wash Primer sobre Zamak</v>
          </cell>
          <cell r="G41" t="str">
            <v>8.05 Lbs/Gl</v>
          </cell>
          <cell r="H41" t="str">
            <v>-</v>
          </cell>
          <cell r="I41" t="str">
            <v>46.7%</v>
          </cell>
          <cell r="J41" t="str">
            <v>46.7%</v>
          </cell>
          <cell r="K41" t="str">
            <v>-</v>
          </cell>
          <cell r="L41" t="str">
            <v>38.7%</v>
          </cell>
          <cell r="M41" t="str">
            <v>60"-70" Copa Zanh #2</v>
          </cell>
          <cell r="N41" t="str">
            <v>Pistola Convencional o Elestrostática</v>
          </cell>
          <cell r="O41" t="str">
            <v>60"-70" Copa Zanh #2</v>
          </cell>
          <cell r="P41" t="str">
            <v xml:space="preserve">Lo necesario  </v>
          </cell>
          <cell r="Q41" t="str">
            <v>R2K4         Industrial reducer</v>
          </cell>
          <cell r="R41" t="str">
            <v>1.0-1.5 mills</v>
          </cell>
          <cell r="S41" t="str">
            <v>5-10 minutos</v>
          </cell>
          <cell r="T41" t="str">
            <v>15' a 300°F</v>
          </cell>
          <cell r="U41" t="str">
            <v>388 Pies cuadrados por Galón</v>
          </cell>
          <cell r="V41" t="str">
            <v>80-85</v>
          </cell>
          <cell r="W41" t="str">
            <v>F-H</v>
          </cell>
          <cell r="X41" t="str">
            <v>12 meses</v>
          </cell>
          <cell r="Y41" t="str">
            <v>IMSA S.A</v>
          </cell>
          <cell r="Z41" t="str">
            <v>Estantería y Chapas</v>
          </cell>
          <cell r="AA41" t="str">
            <v>-</v>
          </cell>
          <cell r="AB41" t="str">
            <v>-</v>
          </cell>
          <cell r="AC41" t="str">
            <v>S/F</v>
          </cell>
        </row>
        <row r="42">
          <cell r="A42" t="str">
            <v>F73W2</v>
          </cell>
          <cell r="B42" t="str">
            <v>Kem Fast Baking Enamel White</v>
          </cell>
          <cell r="C42" t="str">
            <v>Interior-Exterior Limitada</v>
          </cell>
          <cell r="D42" t="str">
            <v>Hierro</v>
          </cell>
          <cell r="E42" t="str">
            <v>Limpieza Adecuada con R2K4 y Dual Etch (W4K263)</v>
          </cell>
          <cell r="F42" t="str">
            <v>Ninguno</v>
          </cell>
          <cell r="G42" t="str">
            <v>10.0 Lbs/GL</v>
          </cell>
          <cell r="H42" t="str">
            <v>25.70%</v>
          </cell>
          <cell r="I42" t="str">
            <v>63.27%</v>
          </cell>
          <cell r="J42" t="str">
            <v>50.57%</v>
          </cell>
          <cell r="K42" t="str">
            <v>15.81%</v>
          </cell>
          <cell r="L42" t="str">
            <v>47.13%</v>
          </cell>
          <cell r="M42" t="str">
            <v>80"-90" Copa Zanh #2</v>
          </cell>
          <cell r="N42" t="str">
            <v>Pistola Convencional o Elestrostática</v>
          </cell>
          <cell r="O42" t="str">
            <v>20"-25" Copa Zanh #2</v>
          </cell>
          <cell r="P42" t="str">
            <v>20-25%</v>
          </cell>
          <cell r="Q42" t="str">
            <v>R2K4         Industrial reducer</v>
          </cell>
          <cell r="R42" t="str">
            <v>1.0-1.2 mills</v>
          </cell>
          <cell r="S42" t="str">
            <v>Horno</v>
          </cell>
          <cell r="T42" t="str">
            <v>15' a 300 °F</v>
          </cell>
          <cell r="U42" t="str">
            <v>46.67 metros Cuadrados por Galón a 1.5 mils de espesor</v>
          </cell>
          <cell r="V42" t="str">
            <v>85</v>
          </cell>
          <cell r="W42" t="str">
            <v>F-H</v>
          </cell>
          <cell r="X42" t="str">
            <v>12 meses</v>
          </cell>
          <cell r="Y42" t="str">
            <v>-</v>
          </cell>
          <cell r="Z42" t="str">
            <v>-</v>
          </cell>
          <cell r="AA42" t="str">
            <v>VOC= 3.67 lbs/gal</v>
          </cell>
          <cell r="AB42" t="str">
            <v>-</v>
          </cell>
          <cell r="AC42" t="str">
            <v>S/F</v>
          </cell>
        </row>
        <row r="43">
          <cell r="A43" t="str">
            <v>F73WSA18 (1)</v>
          </cell>
          <cell r="B43" t="str">
            <v>Esmalte Horneable ExtraBlanco</v>
          </cell>
          <cell r="C43" t="str">
            <v>Interior-Exterior</v>
          </cell>
          <cell r="D43" t="str">
            <v>Hierro</v>
          </cell>
          <cell r="E43" t="str">
            <v>Limpieza con R2K4 (Solvente Industrial)</v>
          </cell>
          <cell r="F43" t="str">
            <v>Ninguno</v>
          </cell>
          <cell r="G43" t="str">
            <v>10.72 Lbs/Gl</v>
          </cell>
          <cell r="H43" t="str">
            <v>46% Respecto a los sólidos Totales</v>
          </cell>
          <cell r="I43" t="str">
            <v>66%</v>
          </cell>
          <cell r="J43" t="str">
            <v>54%</v>
          </cell>
          <cell r="K43" t="str">
            <v>14%</v>
          </cell>
          <cell r="L43" t="str">
            <v>50.44%</v>
          </cell>
          <cell r="M43" t="str">
            <v>100"-110" Copa Zanh #2</v>
          </cell>
          <cell r="N43" t="str">
            <v>Pistola</v>
          </cell>
          <cell r="O43" t="str">
            <v>20"-25" Copa Zanh #2</v>
          </cell>
          <cell r="P43" t="str">
            <v>20-25%</v>
          </cell>
          <cell r="Q43" t="str">
            <v>R2K4         Industrial reducer</v>
          </cell>
          <cell r="R43" t="str">
            <v>0.6-0.9 mills</v>
          </cell>
          <cell r="S43" t="str">
            <v>Al Horno</v>
          </cell>
          <cell r="T43" t="str">
            <v>15' a 300°F</v>
          </cell>
          <cell r="U43" t="str">
            <v>85 a 126 m2/Gl (0.6-0.9 Mills seco)</v>
          </cell>
          <cell r="V43" t="str">
            <v>+90</v>
          </cell>
          <cell r="W43" t="str">
            <v>H</v>
          </cell>
          <cell r="X43" t="str">
            <v>12 meses</v>
          </cell>
          <cell r="Y43" t="str">
            <v>IMSA S.A</v>
          </cell>
          <cell r="Z43" t="str">
            <v>Muebles de Metal</v>
          </cell>
          <cell r="AA43" t="str">
            <v>-</v>
          </cell>
          <cell r="AB43" t="str">
            <v>Ing. René Ferrufino</v>
          </cell>
          <cell r="AC43" t="str">
            <v>S/F</v>
          </cell>
        </row>
        <row r="44">
          <cell r="A44" t="str">
            <v>F73WSA6</v>
          </cell>
          <cell r="B44" t="str">
            <v>Esmalte Horneable Blanco Especial</v>
          </cell>
          <cell r="C44" t="str">
            <v>Interior-Exterior Limitada</v>
          </cell>
          <cell r="D44" t="str">
            <v>Hierro y Aluminio</v>
          </cell>
          <cell r="E44" t="str">
            <v>Limpieza Adecuada con R2K4 y Dual Etch (W4K263)</v>
          </cell>
          <cell r="F44" t="str">
            <v>Ninguno</v>
          </cell>
          <cell r="G44" t="str">
            <v>10.11 Lbs/Gl</v>
          </cell>
          <cell r="H44" t="str">
            <v>25.47%</v>
          </cell>
          <cell r="I44" t="str">
            <v>41.17%</v>
          </cell>
          <cell r="J44" t="str">
            <v>30.69%</v>
          </cell>
          <cell r="K44" t="str">
            <v>17.95%</v>
          </cell>
          <cell r="L44" t="str">
            <v>42.44%</v>
          </cell>
          <cell r="M44" t="str">
            <v>100"-110" Copa Zanh #2</v>
          </cell>
          <cell r="N44" t="str">
            <v>Pistola Convencional o Elestrostática</v>
          </cell>
          <cell r="O44" t="str">
            <v>20"-25" Copa Zanh #2</v>
          </cell>
          <cell r="P44" t="str">
            <v>20-25%</v>
          </cell>
          <cell r="Q44" t="str">
            <v>R2K4         Industrial reducer</v>
          </cell>
          <cell r="R44" t="str">
            <v>1.0-1.2 mills</v>
          </cell>
          <cell r="S44" t="str">
            <v>5-10 min</v>
          </cell>
          <cell r="T44" t="str">
            <v>15' a 300 °F</v>
          </cell>
          <cell r="U44" t="str">
            <v>783 Pies Cuadrados por Galón</v>
          </cell>
          <cell r="V44" t="str">
            <v>90</v>
          </cell>
          <cell r="W44" t="str">
            <v>F-H</v>
          </cell>
          <cell r="X44" t="str">
            <v>12 meses</v>
          </cell>
          <cell r="Y44" t="str">
            <v>IMSA S.A</v>
          </cell>
          <cell r="Z44" t="str">
            <v>Lamparas y Muebles</v>
          </cell>
          <cell r="AA44" t="str">
            <v>-</v>
          </cell>
          <cell r="AB44" t="str">
            <v>-</v>
          </cell>
          <cell r="AC44" t="str">
            <v>S/F</v>
          </cell>
        </row>
        <row r="45">
          <cell r="A45" t="str">
            <v>G70ASA2</v>
          </cell>
          <cell r="B45" t="str">
            <v>Pintura Para Recubrimiento Interior Fenólico</v>
          </cell>
          <cell r="C45" t="str">
            <v>Interior</v>
          </cell>
          <cell r="D45" t="str">
            <v>Acero</v>
          </cell>
          <cell r="E45" t="str">
            <v>Lijada y Limpia con Solvente</v>
          </cell>
          <cell r="F45" t="str">
            <v>Ninguno</v>
          </cell>
          <cell r="G45" t="str">
            <v>8.55 Lbs/Gl</v>
          </cell>
          <cell r="H45" t="str">
            <v>44.57%</v>
          </cell>
          <cell r="I45" t="str">
            <v>56.20%</v>
          </cell>
          <cell r="J45" t="str">
            <v>51.90%</v>
          </cell>
          <cell r="K45" t="str">
            <v>6.47%</v>
          </cell>
          <cell r="L45" t="str">
            <v>46.07%</v>
          </cell>
          <cell r="M45" t="str">
            <v>80"-90" Copa Zanh #2</v>
          </cell>
          <cell r="N45" t="str">
            <v>Pistola</v>
          </cell>
          <cell r="O45" t="str">
            <v>18"-20" Copa Ford #4</v>
          </cell>
          <cell r="P45" t="str">
            <v>20-25%</v>
          </cell>
          <cell r="Q45" t="str">
            <v>R7KSA7</v>
          </cell>
          <cell r="R45" t="str">
            <v>1.0-1.5 mills</v>
          </cell>
          <cell r="S45" t="str">
            <v>-</v>
          </cell>
          <cell r="T45" t="str">
            <v>10" a 425°F</v>
          </cell>
          <cell r="U45" t="str">
            <v>-</v>
          </cell>
          <cell r="V45" t="str">
            <v>35-40</v>
          </cell>
          <cell r="W45" t="str">
            <v>H-2H</v>
          </cell>
          <cell r="X45" t="str">
            <v>12 meses</v>
          </cell>
          <cell r="Y45" t="str">
            <v>Van Leer</v>
          </cell>
          <cell r="Z45" t="str">
            <v>Barriles-Envases, Etc</v>
          </cell>
          <cell r="AA45" t="str">
            <v>-</v>
          </cell>
          <cell r="AB45" t="str">
            <v>-</v>
          </cell>
          <cell r="AC45" t="str">
            <v>S/F</v>
          </cell>
        </row>
        <row r="46">
          <cell r="A46" t="str">
            <v>G70ASA2 (1)</v>
          </cell>
          <cell r="B46" t="str">
            <v>Recubrimiento Interior Fenolico Epoxico</v>
          </cell>
          <cell r="C46" t="str">
            <v>Interior</v>
          </cell>
          <cell r="D46" t="str">
            <v>Hierro</v>
          </cell>
          <cell r="E46" t="str">
            <v>Limpieza con Xileno</v>
          </cell>
          <cell r="F46" t="str">
            <v>Ninguno</v>
          </cell>
          <cell r="G46" t="str">
            <v>8.53 Lbs/Gl</v>
          </cell>
          <cell r="H46" t="str">
            <v>9.20%</v>
          </cell>
          <cell r="I46" t="str">
            <v>56.11%</v>
          </cell>
          <cell r="J46" t="str">
            <v>45.20%</v>
          </cell>
          <cell r="K46" t="str">
            <v>6.78%</v>
          </cell>
          <cell r="L46" t="str">
            <v>44.11%</v>
          </cell>
          <cell r="M46" t="str">
            <v>40"-45" Copa Zanh #2</v>
          </cell>
          <cell r="N46" t="str">
            <v>Pistola de Aire</v>
          </cell>
          <cell r="O46" t="str">
            <v>20"-25" Copa Zanh #2</v>
          </cell>
          <cell r="P46" t="str">
            <v>10-15%</v>
          </cell>
          <cell r="Q46" t="str">
            <v>MIBK</v>
          </cell>
          <cell r="R46" t="str">
            <v>0.7-0.8 mills</v>
          </cell>
          <cell r="S46" t="str">
            <v>Al Horno</v>
          </cell>
          <cell r="T46" t="str">
            <v>8-10' a 425°F</v>
          </cell>
          <cell r="U46" t="str">
            <v>-</v>
          </cell>
          <cell r="V46" t="str">
            <v>50-55</v>
          </cell>
          <cell r="W46" t="str">
            <v>4H</v>
          </cell>
          <cell r="X46" t="str">
            <v>6 meses</v>
          </cell>
          <cell r="Y46" t="str">
            <v>Van Leer de El Salvador</v>
          </cell>
          <cell r="Z46" t="str">
            <v>Envases Metálicos</v>
          </cell>
          <cell r="AA46" t="str">
            <v>-</v>
          </cell>
          <cell r="AB46" t="str">
            <v>-</v>
          </cell>
          <cell r="AC46" t="str">
            <v>S/F</v>
          </cell>
        </row>
        <row r="47">
          <cell r="A47" t="str">
            <v>G70NSA1</v>
          </cell>
          <cell r="B47" t="str">
            <v>Recubrimiento Interior Para Herbicida Beige</v>
          </cell>
          <cell r="C47" t="str">
            <v>Interior</v>
          </cell>
          <cell r="D47" t="str">
            <v>Lamina de Hierro</v>
          </cell>
          <cell r="E47" t="str">
            <v>Limpieza Adecuada</v>
          </cell>
          <cell r="F47" t="str">
            <v>Ninguno</v>
          </cell>
          <cell r="G47" t="str">
            <v>8.91 Lbs/Gl</v>
          </cell>
          <cell r="H47" t="str">
            <v>11.57%</v>
          </cell>
          <cell r="I47" t="str">
            <v>48.24%</v>
          </cell>
          <cell r="J47" t="str">
            <v>47.79%</v>
          </cell>
          <cell r="K47" t="str">
            <v>6.34%</v>
          </cell>
          <cell r="L47" t="str">
            <v>48.10%</v>
          </cell>
          <cell r="M47" t="str">
            <v>60"-70" Copa Zanh #2</v>
          </cell>
          <cell r="N47" t="str">
            <v>Pistola</v>
          </cell>
          <cell r="O47" t="str">
            <v>18"-20" Copa Ford #4</v>
          </cell>
          <cell r="P47" t="str">
            <v>25% con R7KSA7</v>
          </cell>
          <cell r="Q47" t="str">
            <v>R7KSA7</v>
          </cell>
          <cell r="R47" t="str">
            <v>0.8-0.9 mills</v>
          </cell>
          <cell r="S47" t="str">
            <v>-</v>
          </cell>
          <cell r="T47" t="str">
            <v>10' a 425°F</v>
          </cell>
          <cell r="U47" t="str">
            <v>772 Pies cuadrados por Galon</v>
          </cell>
          <cell r="V47" t="str">
            <v>15</v>
          </cell>
          <cell r="W47" t="str">
            <v>4H</v>
          </cell>
          <cell r="X47" t="str">
            <v>6-12 meses</v>
          </cell>
          <cell r="Y47" t="str">
            <v>Van Leer</v>
          </cell>
          <cell r="Z47" t="str">
            <v>Barriles</v>
          </cell>
          <cell r="AA47" t="str">
            <v>-</v>
          </cell>
          <cell r="AB47" t="str">
            <v>-</v>
          </cell>
          <cell r="AC47" t="str">
            <v>S/F</v>
          </cell>
        </row>
        <row r="48">
          <cell r="A48" t="str">
            <v>G70NSA2</v>
          </cell>
          <cell r="B48" t="str">
            <v>Recubrimiento Interior Para Herbicida Beige</v>
          </cell>
          <cell r="C48" t="str">
            <v>Interior</v>
          </cell>
          <cell r="D48" t="str">
            <v>Lamina de Hierro</v>
          </cell>
          <cell r="E48" t="str">
            <v>Bien Limpia</v>
          </cell>
          <cell r="F48" t="str">
            <v>Ninguno</v>
          </cell>
          <cell r="G48" t="str">
            <v>9.14 Lbs/Gl</v>
          </cell>
          <cell r="H48" t="str">
            <v>11.93%</v>
          </cell>
          <cell r="I48" t="str">
            <v>60.44%</v>
          </cell>
          <cell r="J48" t="str">
            <v>55.08%</v>
          </cell>
          <cell r="K48" t="str">
            <v>6.52%</v>
          </cell>
          <cell r="L48" t="str">
            <v>49.38%</v>
          </cell>
          <cell r="M48" t="str">
            <v>60"-70" Copa Zanh #2</v>
          </cell>
          <cell r="N48" t="str">
            <v>Pistola</v>
          </cell>
          <cell r="O48" t="str">
            <v>18"-20" Copa Ford #4</v>
          </cell>
          <cell r="P48" t="str">
            <v>20-25%</v>
          </cell>
          <cell r="Q48" t="str">
            <v>MEK</v>
          </cell>
          <cell r="R48" t="str">
            <v>1.2-1.4 mills</v>
          </cell>
          <cell r="S48" t="str">
            <v>Al Horno</v>
          </cell>
          <cell r="T48" t="str">
            <v>1ra Mano 10' a 107 °C-135°C. 2da Mano 10' a 218 °C-246°C</v>
          </cell>
          <cell r="U48" t="str">
            <v>967.04 Pies cuadrados a 1 mill de espesor</v>
          </cell>
          <cell r="V48" t="str">
            <v>7</v>
          </cell>
          <cell r="W48" t="str">
            <v>3H</v>
          </cell>
          <cell r="X48" t="str">
            <v>6 meses</v>
          </cell>
          <cell r="Y48" t="str">
            <v>Van Leer</v>
          </cell>
          <cell r="Z48" t="str">
            <v xml:space="preserve">Barriles  </v>
          </cell>
          <cell r="AA48" t="str">
            <v>-</v>
          </cell>
          <cell r="AB48" t="str">
            <v>-</v>
          </cell>
          <cell r="AC48" t="str">
            <v>S/F</v>
          </cell>
        </row>
        <row r="49">
          <cell r="A49" t="str">
            <v>G70SSA1</v>
          </cell>
          <cell r="B49" t="str">
            <v>Aluminum Roller Coating Sizing</v>
          </cell>
          <cell r="C49" t="str">
            <v>-</v>
          </cell>
          <cell r="D49" t="str">
            <v>Lamina de Hojalata</v>
          </cell>
          <cell r="E49" t="str">
            <v>Limpia, Seca, Libre de Grasa y Aceite</v>
          </cell>
          <cell r="F49" t="str">
            <v>Ninguno</v>
          </cell>
          <cell r="G49" t="str">
            <v>8.23 Lbs/Gl</v>
          </cell>
          <cell r="H49" t="str">
            <v>16.58%</v>
          </cell>
          <cell r="I49" t="str">
            <v>27.50%</v>
          </cell>
          <cell r="J49" t="str">
            <v>10.92%</v>
          </cell>
          <cell r="K49" t="str">
            <v>43.40%</v>
          </cell>
          <cell r="L49" t="str">
            <v>15.01%</v>
          </cell>
          <cell r="M49" t="str">
            <v>70-80 Seg. Copa Ford #4</v>
          </cell>
          <cell r="N49" t="str">
            <v>Rodillo</v>
          </cell>
          <cell r="O49" t="str">
            <v>70-80 Seg. Copa Ford #4</v>
          </cell>
          <cell r="P49" t="str">
            <v>Ninguno</v>
          </cell>
          <cell r="Q49" t="str">
            <v>-</v>
          </cell>
          <cell r="R49" t="str">
            <v>0.5 mills</v>
          </cell>
          <cell r="S49" t="str">
            <v>-</v>
          </cell>
          <cell r="T49" t="str">
            <v>15' a 300°F</v>
          </cell>
          <cell r="U49" t="str">
            <v>440 Mts Cuadrados/Gl a 1 mills de espesor</v>
          </cell>
          <cell r="V49" t="str">
            <v>20</v>
          </cell>
          <cell r="W49" t="str">
            <v>-</v>
          </cell>
          <cell r="X49" t="str">
            <v>6-12 meses</v>
          </cell>
          <cell r="Y49" t="str">
            <v>Nicaragua</v>
          </cell>
          <cell r="Z49" t="str">
            <v>-</v>
          </cell>
          <cell r="AA49" t="str">
            <v>-</v>
          </cell>
          <cell r="AB49" t="str">
            <v>Luis Nolasco</v>
          </cell>
          <cell r="AC49" t="str">
            <v>S/F</v>
          </cell>
        </row>
        <row r="50">
          <cell r="A50" t="str">
            <v>G70SSA1 (1)</v>
          </cell>
          <cell r="B50" t="str">
            <v>Size Aluminium Varnish</v>
          </cell>
          <cell r="C50" t="str">
            <v>-</v>
          </cell>
          <cell r="D50" t="str">
            <v>Lamina de Hojalata</v>
          </cell>
          <cell r="E50" t="str">
            <v>Limpia, Seca, Libre de Grasa y Aceite</v>
          </cell>
          <cell r="F50" t="str">
            <v>Ninguno</v>
          </cell>
          <cell r="G50" t="str">
            <v>8.23 Lbs/Gl</v>
          </cell>
          <cell r="H50" t="str">
            <v>16.58%</v>
          </cell>
          <cell r="I50" t="str">
            <v>27.50%</v>
          </cell>
          <cell r="J50" t="str">
            <v>10.92%</v>
          </cell>
          <cell r="K50" t="str">
            <v>43.40%</v>
          </cell>
          <cell r="L50" t="str">
            <v>15.01%</v>
          </cell>
          <cell r="M50" t="str">
            <v>70-80 Seg. Copa Ford #4</v>
          </cell>
          <cell r="N50" t="str">
            <v>Rodillo</v>
          </cell>
          <cell r="O50" t="str">
            <v>70-80 Seg. Copa Ford #4</v>
          </cell>
          <cell r="P50" t="str">
            <v>Ninguno</v>
          </cell>
          <cell r="Q50" t="str">
            <v>-</v>
          </cell>
          <cell r="R50" t="str">
            <v>0.5 mills</v>
          </cell>
          <cell r="S50" t="str">
            <v>-</v>
          </cell>
          <cell r="T50" t="str">
            <v>15' a 300°F</v>
          </cell>
          <cell r="U50" t="str">
            <v>440 Mts Cuadrados/Gl a 1 mills de espesor</v>
          </cell>
          <cell r="V50" t="str">
            <v>20</v>
          </cell>
          <cell r="W50" t="str">
            <v>-</v>
          </cell>
          <cell r="X50" t="str">
            <v>6-12 meses</v>
          </cell>
          <cell r="Y50" t="str">
            <v>Nicaragua</v>
          </cell>
          <cell r="Z50" t="str">
            <v>-</v>
          </cell>
          <cell r="AA50" t="str">
            <v>-</v>
          </cell>
          <cell r="AB50" t="str">
            <v>Luis Nolasco</v>
          </cell>
          <cell r="AC50" t="str">
            <v>S/F</v>
          </cell>
        </row>
        <row r="51">
          <cell r="A51" t="str">
            <v>G70TSA1</v>
          </cell>
          <cell r="B51" t="str">
            <v>Sizing Universal Barniz</v>
          </cell>
          <cell r="C51" t="str">
            <v>-</v>
          </cell>
          <cell r="D51" t="str">
            <v>Lamina de Hojalata</v>
          </cell>
          <cell r="E51" t="str">
            <v>Limpia, Seca, Libre de Grasa y Aceite</v>
          </cell>
          <cell r="F51" t="str">
            <v>Ninguno</v>
          </cell>
          <cell r="G51" t="str">
            <v>7.22 Lbs/Gl</v>
          </cell>
          <cell r="H51" t="str">
            <v>-</v>
          </cell>
          <cell r="I51" t="str">
            <v>12.56%</v>
          </cell>
          <cell r="J51" t="str">
            <v>12.56%</v>
          </cell>
          <cell r="K51" t="str">
            <v>-</v>
          </cell>
          <cell r="L51" t="str">
            <v>9.62%</v>
          </cell>
          <cell r="M51" t="str">
            <v>25"-30" Copa Zanh #2</v>
          </cell>
          <cell r="N51" t="str">
            <v>Especial</v>
          </cell>
          <cell r="O51" t="str">
            <v>Listo para Usar</v>
          </cell>
          <cell r="P51" t="str">
            <v>-</v>
          </cell>
          <cell r="Q51" t="str">
            <v>-</v>
          </cell>
          <cell r="R51" t="str">
            <v>0.5 mills</v>
          </cell>
          <cell r="S51" t="str">
            <v>Al horno</v>
          </cell>
          <cell r="T51" t="str">
            <v>15' a 300°F</v>
          </cell>
          <cell r="U51" t="str">
            <v>201 Mts Cuadrados/Gl a 1 mills de espesor</v>
          </cell>
          <cell r="V51" t="str">
            <v>20</v>
          </cell>
          <cell r="W51" t="str">
            <v>-</v>
          </cell>
          <cell r="X51" t="str">
            <v>6-12 meses</v>
          </cell>
          <cell r="Y51" t="str">
            <v>Nicaragua</v>
          </cell>
          <cell r="Z51" t="str">
            <v>-</v>
          </cell>
          <cell r="AA51" t="str">
            <v>-</v>
          </cell>
          <cell r="AB51" t="str">
            <v>Luis Nolasco</v>
          </cell>
          <cell r="AC51" t="str">
            <v>S/F</v>
          </cell>
        </row>
        <row r="52">
          <cell r="A52" t="str">
            <v>G70WSA10</v>
          </cell>
          <cell r="B52" t="str">
            <v>Esmalte Litográfico Blanco Cinco Molinos</v>
          </cell>
          <cell r="C52" t="str">
            <v>Interior</v>
          </cell>
          <cell r="D52" t="str">
            <v>Hojalata</v>
          </cell>
          <cell r="E52" t="str">
            <v>Limpieza con Solvente</v>
          </cell>
          <cell r="F52" t="str">
            <v>Ninguno</v>
          </cell>
          <cell r="G52" t="str">
            <v>10.15 Lbs/Gl</v>
          </cell>
          <cell r="H52" t="str">
            <v>38.32%</v>
          </cell>
          <cell r="I52" t="str">
            <v>61.76%</v>
          </cell>
          <cell r="J52" t="str">
            <v>38.75%</v>
          </cell>
          <cell r="K52" t="str">
            <v>27.78%</v>
          </cell>
          <cell r="L52" t="str">
            <v>41.07%</v>
          </cell>
          <cell r="M52" t="str">
            <v>70"-80" Copa Ford #4</v>
          </cell>
          <cell r="N52" t="str">
            <v>Rodillo</v>
          </cell>
          <cell r="O52" t="str">
            <v>70"-80" Copa Ford #4</v>
          </cell>
          <cell r="P52" t="str">
            <v>Ninguno</v>
          </cell>
          <cell r="Q52" t="str">
            <v>-</v>
          </cell>
          <cell r="R52" t="str">
            <v>1.0 mills</v>
          </cell>
          <cell r="S52" t="str">
            <v>-</v>
          </cell>
          <cell r="T52" t="str">
            <v>15' a 360°F</v>
          </cell>
          <cell r="U52" t="str">
            <v>-</v>
          </cell>
          <cell r="V52" t="str">
            <v>80 Minimo</v>
          </cell>
          <cell r="W52" t="str">
            <v>HB</v>
          </cell>
          <cell r="X52" t="str">
            <v>12 meses</v>
          </cell>
          <cell r="Y52" t="str">
            <v>CORLASA</v>
          </cell>
          <cell r="Z52" t="str">
            <v>Litografía</v>
          </cell>
          <cell r="AA52" t="str">
            <v>-</v>
          </cell>
          <cell r="AB52" t="str">
            <v>-</v>
          </cell>
          <cell r="AC52" t="str">
            <v>S/F</v>
          </cell>
        </row>
        <row r="53">
          <cell r="A53" t="str">
            <v>G70WSA6-P</v>
          </cell>
          <cell r="B53" t="str">
            <v>Roller Coating White</v>
          </cell>
          <cell r="C53" t="str">
            <v>Interior</v>
          </cell>
          <cell r="D53" t="str">
            <v>Hojalata</v>
          </cell>
          <cell r="E53" t="str">
            <v>Limpieza con Solvente</v>
          </cell>
          <cell r="F53" t="str">
            <v>Ninguno</v>
          </cell>
          <cell r="G53" t="str">
            <v>10.72 Lbs/Gl</v>
          </cell>
          <cell r="H53" t="str">
            <v>34.50%</v>
          </cell>
          <cell r="I53" t="str">
            <v>60.47%</v>
          </cell>
          <cell r="J53" t="str">
            <v>39.60%</v>
          </cell>
          <cell r="K53" t="str">
            <v>20.03%</v>
          </cell>
          <cell r="L53" t="str">
            <v>53.32%</v>
          </cell>
          <cell r="M53" t="str">
            <v>60"-80" Copa Ford #4</v>
          </cell>
          <cell r="N53" t="str">
            <v>Rodillo</v>
          </cell>
          <cell r="O53" t="str">
            <v>60"-80" Copa Ford #4</v>
          </cell>
          <cell r="P53" t="str">
            <v>Ninguno</v>
          </cell>
          <cell r="Q53" t="str">
            <v>-</v>
          </cell>
          <cell r="R53" t="str">
            <v>1.0 mills</v>
          </cell>
          <cell r="S53" t="str">
            <v>-</v>
          </cell>
          <cell r="T53" t="str">
            <v>18' a 300°F</v>
          </cell>
          <cell r="U53" t="str">
            <v>-</v>
          </cell>
          <cell r="V53" t="str">
            <v>80 Minimo</v>
          </cell>
          <cell r="W53" t="str">
            <v>HB</v>
          </cell>
          <cell r="X53" t="str">
            <v>12 meses</v>
          </cell>
          <cell r="Y53" t="str">
            <v>CORLASA</v>
          </cell>
          <cell r="Z53" t="str">
            <v>Litografía</v>
          </cell>
          <cell r="AA53" t="str">
            <v>-</v>
          </cell>
          <cell r="AB53" t="str">
            <v>-</v>
          </cell>
          <cell r="AC53" t="str">
            <v>S/F</v>
          </cell>
        </row>
        <row r="54">
          <cell r="A54" t="str">
            <v>G70WSA9</v>
          </cell>
          <cell r="B54" t="str">
            <v>Roller Coating Special White</v>
          </cell>
          <cell r="C54" t="str">
            <v>Interior</v>
          </cell>
          <cell r="D54" t="str">
            <v>Hojalata</v>
          </cell>
          <cell r="E54" t="str">
            <v>Limpia con Solvente</v>
          </cell>
          <cell r="F54" t="str">
            <v>Ninguno</v>
          </cell>
          <cell r="G54" t="str">
            <v>10.68 Lbs/Gl</v>
          </cell>
          <cell r="H54" t="str">
            <v>35%</v>
          </cell>
          <cell r="I54" t="str">
            <v>61.46%</v>
          </cell>
          <cell r="J54" t="str">
            <v>40.37%</v>
          </cell>
          <cell r="K54" t="str">
            <v>27.55%</v>
          </cell>
          <cell r="L54" t="str">
            <v>40.95%</v>
          </cell>
          <cell r="M54" t="str">
            <v>70"-80" Copa Ford #4</v>
          </cell>
          <cell r="N54" t="str">
            <v>Rodillo</v>
          </cell>
          <cell r="O54" t="str">
            <v>70"-80" Copa Ford #4</v>
          </cell>
          <cell r="P54" t="str">
            <v>Ninguno</v>
          </cell>
          <cell r="Q54" t="str">
            <v>-</v>
          </cell>
          <cell r="R54" t="str">
            <v>1 mills</v>
          </cell>
          <cell r="S54" t="str">
            <v>-</v>
          </cell>
          <cell r="T54" t="str">
            <v>15' a 360°F</v>
          </cell>
          <cell r="U54" t="str">
            <v>983.36 Pies Cuadrados/Gl</v>
          </cell>
          <cell r="V54" t="str">
            <v>+80</v>
          </cell>
          <cell r="W54" t="str">
            <v>-</v>
          </cell>
          <cell r="X54" t="str">
            <v>12 meses</v>
          </cell>
          <cell r="Y54" t="str">
            <v>Central de Empaques, Didema Guatemala</v>
          </cell>
          <cell r="Z54" t="str">
            <v>Corcholatas y Hojalatas</v>
          </cell>
          <cell r="AA54" t="str">
            <v>-</v>
          </cell>
          <cell r="AB54" t="str">
            <v>-</v>
          </cell>
          <cell r="AC54" t="str">
            <v>S/F</v>
          </cell>
        </row>
        <row r="55">
          <cell r="A55" t="str">
            <v>G72WSA1</v>
          </cell>
          <cell r="B55" t="str">
            <v>Collapsible Tube Enamel White</v>
          </cell>
          <cell r="C55" t="str">
            <v>Interior</v>
          </cell>
          <cell r="D55" t="str">
            <v>Tubos de Estaño y Plomo</v>
          </cell>
          <cell r="E55" t="str">
            <v>Limpieza</v>
          </cell>
          <cell r="F55" t="str">
            <v>Ninguno</v>
          </cell>
          <cell r="G55" t="str">
            <v>10.65 Lbs/Gl</v>
          </cell>
          <cell r="H55" t="str">
            <v>30%</v>
          </cell>
          <cell r="I55" t="str">
            <v>53.80%</v>
          </cell>
          <cell r="J55" t="str">
            <v>33.80%</v>
          </cell>
          <cell r="K55" t="str">
            <v>27.70%</v>
          </cell>
          <cell r="L55" t="str">
            <v>33.89%</v>
          </cell>
          <cell r="M55" t="str">
            <v>130-135 KU</v>
          </cell>
          <cell r="N55" t="str">
            <v>Especial</v>
          </cell>
          <cell r="O55" t="str">
            <v>130-135 KU</v>
          </cell>
          <cell r="P55" t="str">
            <v>Ninguno</v>
          </cell>
          <cell r="Q55" t="str">
            <v>Ninguno</v>
          </cell>
          <cell r="R55" t="str">
            <v>-</v>
          </cell>
          <cell r="S55" t="str">
            <v>-</v>
          </cell>
          <cell r="T55" t="str">
            <v>6 Min a 300°F</v>
          </cell>
          <cell r="U55" t="str">
            <v>-</v>
          </cell>
          <cell r="V55" t="str">
            <v>80 Minimo</v>
          </cell>
          <cell r="W55" t="str">
            <v>F</v>
          </cell>
          <cell r="X55" t="str">
            <v>12 meses</v>
          </cell>
          <cell r="Y55" t="str">
            <v>Colgate Palmolive</v>
          </cell>
          <cell r="Z55" t="str">
            <v>Pasta Dental</v>
          </cell>
          <cell r="AA55" t="str">
            <v>-</v>
          </cell>
          <cell r="AB55" t="str">
            <v>-</v>
          </cell>
          <cell r="AC55" t="str">
            <v>S/F</v>
          </cell>
        </row>
        <row r="56">
          <cell r="A56" t="str">
            <v>G78ASA4</v>
          </cell>
          <cell r="B56" t="str">
            <v>Esmalte Horneable Acrilico Gris Claro Martillado</v>
          </cell>
          <cell r="C56" t="str">
            <v>Interior-Exterior Limitada</v>
          </cell>
          <cell r="D56" t="str">
            <v>Hierro</v>
          </cell>
          <cell r="E56" t="str">
            <v>Limpieza Quimica y Fosfatizacion</v>
          </cell>
          <cell r="F56" t="str">
            <v>Acrilic Monobake White Primer (E68WSA4)</v>
          </cell>
          <cell r="G56" t="str">
            <v>9.77 Lbs/Gl</v>
          </cell>
          <cell r="H56" t="str">
            <v>26.6%</v>
          </cell>
          <cell r="I56" t="str">
            <v>57.65%</v>
          </cell>
          <cell r="J56" t="str">
            <v>42.30%</v>
          </cell>
          <cell r="K56" t="str">
            <v>20.75%</v>
          </cell>
          <cell r="L56" t="str">
            <v>38.13%</v>
          </cell>
          <cell r="M56" t="str">
            <v>180"-200" Copa Zanh #2</v>
          </cell>
          <cell r="N56" t="str">
            <v>Pistola</v>
          </cell>
          <cell r="O56" t="str">
            <v>28"-32" Zanh #2</v>
          </cell>
          <cell r="P56" t="str">
            <v>40-50%</v>
          </cell>
          <cell r="Q56" t="str">
            <v>R2K4         Industrial reducer</v>
          </cell>
          <cell r="R56" t="str">
            <v>1.3-1.5 mills con E68WSA4</v>
          </cell>
          <cell r="S56" t="str">
            <v>Al Horno</v>
          </cell>
          <cell r="T56" t="str">
            <v>15' a 370°F</v>
          </cell>
          <cell r="U56" t="str">
            <v>-</v>
          </cell>
          <cell r="V56" t="str">
            <v>90-95</v>
          </cell>
          <cell r="W56" t="str">
            <v>2H</v>
          </cell>
          <cell r="X56" t="str">
            <v>6 meses</v>
          </cell>
          <cell r="Y56" t="str">
            <v>PRADO S.A</v>
          </cell>
          <cell r="Z56" t="str">
            <v>Refrigeradoras,Lavadoras,Cocinas</v>
          </cell>
          <cell r="AA56" t="str">
            <v>-</v>
          </cell>
          <cell r="AB56" t="str">
            <v>-</v>
          </cell>
          <cell r="AC56" t="str">
            <v>S/F</v>
          </cell>
        </row>
        <row r="57">
          <cell r="A57" t="str">
            <v>G78ASA5</v>
          </cell>
          <cell r="B57" t="str">
            <v>Esmalte HorneableAcrílico Gris Oscuro Martillado</v>
          </cell>
          <cell r="C57" t="str">
            <v>Interior-Exterior Limitada</v>
          </cell>
          <cell r="D57" t="str">
            <v>Hierro</v>
          </cell>
          <cell r="E57" t="str">
            <v>Limpieza Quimica y Fosfatizacion</v>
          </cell>
          <cell r="F57" t="str">
            <v>Acrilic Monobake White Primer (E68WSA4)</v>
          </cell>
          <cell r="G57" t="str">
            <v>8.94 Lbs/Gl</v>
          </cell>
          <cell r="H57" t="str">
            <v>17.0%</v>
          </cell>
          <cell r="I57" t="str">
            <v>49.77%</v>
          </cell>
          <cell r="J57" t="str">
            <v>39.48%</v>
          </cell>
          <cell r="K57" t="str">
            <v>13.55%</v>
          </cell>
          <cell r="L57" t="str">
            <v>35.13%</v>
          </cell>
          <cell r="M57" t="str">
            <v>180"-200" Copa Zanh #2</v>
          </cell>
          <cell r="N57" t="str">
            <v>Pistola</v>
          </cell>
          <cell r="O57" t="str">
            <v>28"-32" Zanh #2</v>
          </cell>
          <cell r="P57" t="str">
            <v>40-50%</v>
          </cell>
          <cell r="Q57" t="str">
            <v>R2K4         Industrial reducer</v>
          </cell>
          <cell r="R57" t="str">
            <v>1.3-1.5 mills con E68WSA4</v>
          </cell>
          <cell r="S57" t="str">
            <v>Al Horno</v>
          </cell>
          <cell r="T57" t="str">
            <v>15' a 370°F</v>
          </cell>
          <cell r="U57" t="str">
            <v>-</v>
          </cell>
          <cell r="V57" t="str">
            <v>90-95</v>
          </cell>
          <cell r="W57" t="str">
            <v>2H</v>
          </cell>
          <cell r="X57" t="str">
            <v>6 meses</v>
          </cell>
          <cell r="Y57" t="str">
            <v>PRADO S.A</v>
          </cell>
          <cell r="Z57" t="str">
            <v>Refrigeradoras,Lavadoras,Cocinas</v>
          </cell>
          <cell r="AA57" t="str">
            <v>-</v>
          </cell>
          <cell r="AB57" t="str">
            <v>-</v>
          </cell>
          <cell r="AC57" t="str">
            <v>S/F</v>
          </cell>
        </row>
        <row r="58">
          <cell r="A58" t="str">
            <v>G78GSA11</v>
          </cell>
          <cell r="B58" t="str">
            <v>Esmalte Horneable Acrilico Verde Especial</v>
          </cell>
          <cell r="C58" t="str">
            <v>Interior-Exterior Limitada</v>
          </cell>
          <cell r="D58" t="str">
            <v>Lamina Electrogalvanizada</v>
          </cell>
          <cell r="E58" t="str">
            <v>Limpieza Adecuada con R2K4.</v>
          </cell>
          <cell r="F58" t="str">
            <v>Wash Primer Green (P60G2)</v>
          </cell>
          <cell r="G58" t="str">
            <v>8.65 Lbs/Gl</v>
          </cell>
          <cell r="H58" t="str">
            <v>13.37%</v>
          </cell>
          <cell r="I58" t="str">
            <v>45.50%</v>
          </cell>
          <cell r="J58" t="str">
            <v>40.46%</v>
          </cell>
          <cell r="K58" t="str">
            <v>11.22%</v>
          </cell>
          <cell r="L58" t="str">
            <v>32.61%</v>
          </cell>
          <cell r="M58" t="str">
            <v>100"-110" Copa Zanh #2</v>
          </cell>
          <cell r="N58" t="str">
            <v>Pistola Convencional o Elestrostática</v>
          </cell>
          <cell r="O58" t="str">
            <v>20"-25" Copa Zanh #2</v>
          </cell>
          <cell r="P58" t="str">
            <v>20-25%</v>
          </cell>
          <cell r="Q58" t="str">
            <v>Acrilic Baking Enamel Reducer (R7KSA9)</v>
          </cell>
          <cell r="R58" t="str">
            <v>1.0-1.2 mills</v>
          </cell>
          <cell r="S58" t="str">
            <v>5-10 min</v>
          </cell>
          <cell r="T58" t="str">
            <v>30' a 350°F ó 15' a 400°F</v>
          </cell>
          <cell r="U58" t="str">
            <v>1,357 Pies Cuadrados Por Galón</v>
          </cell>
          <cell r="V58" t="str">
            <v>90-95</v>
          </cell>
          <cell r="W58" t="str">
            <v>2H</v>
          </cell>
          <cell r="X58" t="str">
            <v>12 meses</v>
          </cell>
          <cell r="Y58" t="str">
            <v>INDECA S.A</v>
          </cell>
          <cell r="Z58" t="str">
            <v>Refrigeradoras.</v>
          </cell>
          <cell r="AA58" t="str">
            <v>-</v>
          </cell>
          <cell r="AB58" t="str">
            <v>-</v>
          </cell>
          <cell r="AC58" t="str">
            <v>S/F</v>
          </cell>
        </row>
        <row r="59">
          <cell r="A59" t="str">
            <v>G78GSA14</v>
          </cell>
          <cell r="B59" t="str">
            <v>Acrilic Baking Enamel Fresh Avocado Martillado</v>
          </cell>
          <cell r="C59" t="str">
            <v>Interior-Exterior Limitada</v>
          </cell>
          <cell r="D59" t="str">
            <v>Hierro</v>
          </cell>
          <cell r="E59" t="str">
            <v>Limpieza Quimica y Fosfatizacion</v>
          </cell>
          <cell r="F59" t="str">
            <v>Acrilic Monobake White Primer (E68WSA4)</v>
          </cell>
          <cell r="G59" t="str">
            <v>9.77 Lbs/Gl</v>
          </cell>
          <cell r="H59" t="str">
            <v>18.1%</v>
          </cell>
          <cell r="I59" t="str">
            <v>51.83%</v>
          </cell>
          <cell r="J59" t="str">
            <v>40.80%</v>
          </cell>
          <cell r="K59" t="str">
            <v>14.64%</v>
          </cell>
          <cell r="L59" t="str">
            <v>35.68%</v>
          </cell>
          <cell r="M59" t="str">
            <v>180"-200" Copa Zanh #2</v>
          </cell>
          <cell r="N59" t="str">
            <v>Pistola</v>
          </cell>
          <cell r="O59" t="str">
            <v>70"-80"</v>
          </cell>
          <cell r="P59" t="str">
            <v>30-40</v>
          </cell>
          <cell r="Q59" t="str">
            <v>R2K4         Industrial reducer</v>
          </cell>
          <cell r="R59" t="str">
            <v>1.3-1.5 mills con E68WSA4</v>
          </cell>
          <cell r="S59" t="str">
            <v>Al Horno</v>
          </cell>
          <cell r="T59" t="str">
            <v>15' a 370°F</v>
          </cell>
          <cell r="U59" t="str">
            <v>-</v>
          </cell>
          <cell r="V59" t="str">
            <v>90-95</v>
          </cell>
          <cell r="W59" t="str">
            <v>2H</v>
          </cell>
          <cell r="X59" t="str">
            <v>6 meses</v>
          </cell>
          <cell r="Y59" t="str">
            <v>PRADO S.A</v>
          </cell>
          <cell r="Z59" t="str">
            <v>Refrigeradoras,Lavadoras,Cocinas</v>
          </cell>
          <cell r="AA59" t="str">
            <v>-</v>
          </cell>
          <cell r="AB59" t="str">
            <v>-</v>
          </cell>
          <cell r="AC59" t="str">
            <v>S/F</v>
          </cell>
        </row>
        <row r="60">
          <cell r="A60" t="str">
            <v>G78HSA4</v>
          </cell>
          <cell r="B60" t="str">
            <v>Esmalte Horneable Acrilico Beige Oscuro Martillado</v>
          </cell>
          <cell r="C60" t="str">
            <v>Interior-Exterior Limitada</v>
          </cell>
          <cell r="D60" t="str">
            <v>Hierro</v>
          </cell>
          <cell r="E60" t="str">
            <v>Limpieza Quimica y Fosfatizacion</v>
          </cell>
          <cell r="F60" t="str">
            <v>Acrilic Monobake White Primer (E68WSA4)</v>
          </cell>
          <cell r="G60" t="str">
            <v>9.77 Lbs/Gl</v>
          </cell>
          <cell r="H60" t="str">
            <v>26.6%</v>
          </cell>
          <cell r="I60" t="str">
            <v>57.65%</v>
          </cell>
          <cell r="J60" t="str">
            <v>42.30%</v>
          </cell>
          <cell r="K60" t="str">
            <v>20.75%</v>
          </cell>
          <cell r="L60" t="str">
            <v>38.13%</v>
          </cell>
          <cell r="M60" t="str">
            <v>180"-200" Copa Zanh #2</v>
          </cell>
          <cell r="N60" t="str">
            <v>Pistola</v>
          </cell>
          <cell r="O60" t="str">
            <v>28"-32" Zanh #2</v>
          </cell>
          <cell r="P60" t="str">
            <v>40-50%</v>
          </cell>
          <cell r="Q60" t="str">
            <v>R2K4         Industrial reducer</v>
          </cell>
          <cell r="R60" t="str">
            <v>1.3-1.5 mills con E68WSA4</v>
          </cell>
          <cell r="S60" t="str">
            <v>Al Horno</v>
          </cell>
          <cell r="T60" t="str">
            <v>15' a 370°F</v>
          </cell>
          <cell r="U60" t="str">
            <v>-</v>
          </cell>
          <cell r="V60" t="str">
            <v>90-95</v>
          </cell>
          <cell r="W60" t="str">
            <v>2H</v>
          </cell>
          <cell r="X60" t="str">
            <v>6 meses</v>
          </cell>
          <cell r="Y60" t="str">
            <v>PRADO S.A</v>
          </cell>
          <cell r="Z60" t="str">
            <v>Refrigeradoras,Lavadoras,Cocinas</v>
          </cell>
          <cell r="AA60" t="str">
            <v>-</v>
          </cell>
          <cell r="AB60" t="str">
            <v>-</v>
          </cell>
          <cell r="AC60" t="str">
            <v>S/F</v>
          </cell>
        </row>
        <row r="61">
          <cell r="A61" t="str">
            <v>G78NSA18</v>
          </cell>
          <cell r="B61" t="str">
            <v>Acrylic Baking Enamel Oropel</v>
          </cell>
          <cell r="C61" t="str">
            <v>Interior-Exterior</v>
          </cell>
          <cell r="D61" t="str">
            <v>Marcos de Aluminio para Ventanas</v>
          </cell>
          <cell r="E61" t="str">
            <v>-</v>
          </cell>
          <cell r="F61" t="str">
            <v>E41A4</v>
          </cell>
          <cell r="G61" t="str">
            <v>7.96 Lbs/Gl</v>
          </cell>
          <cell r="H61" t="str">
            <v>-</v>
          </cell>
          <cell r="I61" t="str">
            <v>44.13%</v>
          </cell>
          <cell r="J61" t="str">
            <v>-</v>
          </cell>
          <cell r="K61" t="str">
            <v>-</v>
          </cell>
          <cell r="L61" t="str">
            <v>33.50%</v>
          </cell>
          <cell r="M61" t="str">
            <v>80"-90" Copa Zanh #2</v>
          </cell>
          <cell r="N61" t="str">
            <v>Pistola</v>
          </cell>
          <cell r="O61" t="str">
            <v>35"-40" Copa Zanh #2</v>
          </cell>
          <cell r="P61" t="str">
            <v>25%</v>
          </cell>
          <cell r="Q61" t="str">
            <v>Acrilic Baking Enamel Reducer (R7KSA9)</v>
          </cell>
          <cell r="R61" t="str">
            <v>1.5-2 mills</v>
          </cell>
          <cell r="S61" t="str">
            <v>-</v>
          </cell>
          <cell r="T61" t="str">
            <v>15' a 400°F</v>
          </cell>
          <cell r="U61" t="str">
            <v>2,800 Pies Cuadrados/Gl</v>
          </cell>
          <cell r="V61" t="str">
            <v>+80</v>
          </cell>
          <cell r="W61" t="str">
            <v>3H</v>
          </cell>
          <cell r="X61" t="str">
            <v>12 meses</v>
          </cell>
          <cell r="Y61" t="str">
            <v>CEFESA Industrial</v>
          </cell>
          <cell r="Z61" t="str">
            <v>Estructuras de Aluminio para Ventanas</v>
          </cell>
          <cell r="AA61" t="str">
            <v>-</v>
          </cell>
          <cell r="AB61" t="str">
            <v>-</v>
          </cell>
          <cell r="AC61" t="str">
            <v>S/F</v>
          </cell>
        </row>
        <row r="62">
          <cell r="A62" t="str">
            <v>G78NSA24</v>
          </cell>
          <cell r="B62" t="str">
            <v>Esmalte Horneable Acrilico Café Especial</v>
          </cell>
          <cell r="C62" t="str">
            <v>Interior-Exterior Limitada</v>
          </cell>
          <cell r="D62" t="str">
            <v>Lamina Electrogalvanizada</v>
          </cell>
          <cell r="E62" t="str">
            <v>Limpieza Adecuada Con Industrial Reducer R2K4</v>
          </cell>
          <cell r="F62" t="str">
            <v>Wash Primer Green (P60G2)</v>
          </cell>
          <cell r="G62" t="str">
            <v>8.65 Lbs/Gl</v>
          </cell>
          <cell r="H62" t="str">
            <v>12.30%</v>
          </cell>
          <cell r="I62" t="str">
            <v>45.02%</v>
          </cell>
          <cell r="J62" t="str">
            <v>39.54%</v>
          </cell>
          <cell r="K62" t="str">
            <v>10.0%</v>
          </cell>
          <cell r="L62" t="str">
            <v>31.34%</v>
          </cell>
          <cell r="M62" t="str">
            <v>100"-110" Copa Zanh #2</v>
          </cell>
          <cell r="N62" t="str">
            <v>Pistola Convencional o Elestrostática</v>
          </cell>
          <cell r="O62" t="str">
            <v>20"-25" Copa Zanh #2</v>
          </cell>
          <cell r="P62" t="str">
            <v>20-25%</v>
          </cell>
          <cell r="Q62" t="str">
            <v>Acrilic Baking Enamel Reducer (R7KSA9)</v>
          </cell>
          <cell r="R62" t="str">
            <v>1.0-1.2 mills</v>
          </cell>
          <cell r="S62" t="str">
            <v>5-10 minutos</v>
          </cell>
          <cell r="T62" t="str">
            <v>30' a 350°F ó 15' a 400 °F</v>
          </cell>
          <cell r="U62" t="str">
            <v>1197 Pies Cuadrados por Galón.</v>
          </cell>
          <cell r="V62" t="str">
            <v>90-95</v>
          </cell>
          <cell r="W62" t="str">
            <v>2H</v>
          </cell>
          <cell r="X62" t="str">
            <v>12 meses</v>
          </cell>
          <cell r="Y62" t="str">
            <v>INDECA S.A</v>
          </cell>
          <cell r="Z62" t="str">
            <v>Refrigeradoras</v>
          </cell>
          <cell r="AA62" t="str">
            <v>-</v>
          </cell>
          <cell r="AB62" t="str">
            <v>-</v>
          </cell>
          <cell r="AC62" t="str">
            <v>S/F</v>
          </cell>
        </row>
        <row r="63">
          <cell r="A63" t="str">
            <v>G78NSA28</v>
          </cell>
          <cell r="B63" t="str">
            <v>Acrylic Enamel Cofee Martillado</v>
          </cell>
          <cell r="C63" t="str">
            <v>Interior-Exterior Limitada</v>
          </cell>
          <cell r="D63" t="str">
            <v>Hierro</v>
          </cell>
          <cell r="E63" t="str">
            <v>Limpieza Quimica y Fosfatizacion</v>
          </cell>
          <cell r="F63" t="str">
            <v>Acrilic Monobake White Primer (E68WSA4)</v>
          </cell>
          <cell r="G63" t="str">
            <v>8.40 Lbs/Gl</v>
          </cell>
          <cell r="H63" t="str">
            <v>8.9%</v>
          </cell>
          <cell r="I63" t="str">
            <v>45.15%</v>
          </cell>
          <cell r="J63" t="str">
            <v>24.5%</v>
          </cell>
          <cell r="K63" t="str">
            <v>5.35%</v>
          </cell>
          <cell r="L63" t="str">
            <v>38.32%</v>
          </cell>
          <cell r="M63" t="str">
            <v>180"-200" Copa Zanh #2</v>
          </cell>
          <cell r="N63" t="str">
            <v>Pistola</v>
          </cell>
          <cell r="O63" t="str">
            <v>28"-32" Zanh #2</v>
          </cell>
          <cell r="P63" t="str">
            <v>30-40%</v>
          </cell>
          <cell r="Q63" t="str">
            <v>R2K4         Industrial reducer</v>
          </cell>
          <cell r="R63" t="str">
            <v>1.3-1.5 mills con E68WSA4</v>
          </cell>
          <cell r="S63" t="str">
            <v>Al Horno</v>
          </cell>
          <cell r="T63" t="str">
            <v>15' a 370°F</v>
          </cell>
          <cell r="U63" t="str">
            <v>-</v>
          </cell>
          <cell r="V63" t="str">
            <v>90-95</v>
          </cell>
          <cell r="W63" t="str">
            <v>2H</v>
          </cell>
          <cell r="X63" t="str">
            <v>6 meses</v>
          </cell>
          <cell r="Y63" t="str">
            <v>PRADO S.A</v>
          </cell>
          <cell r="Z63" t="str">
            <v>Refrigeradoras,Lavadoras,Cocinas</v>
          </cell>
          <cell r="AA63" t="str">
            <v>-</v>
          </cell>
          <cell r="AB63" t="str">
            <v>-</v>
          </cell>
          <cell r="AC63" t="str">
            <v>S/F</v>
          </cell>
        </row>
        <row r="64">
          <cell r="A64" t="str">
            <v>G78NSA29</v>
          </cell>
          <cell r="B64" t="str">
            <v>Esmalte Horneable Acrilico Café de Mueble Martillado</v>
          </cell>
          <cell r="C64" t="str">
            <v>Interior-Exterior Limitada</v>
          </cell>
          <cell r="D64" t="str">
            <v>Hierro</v>
          </cell>
          <cell r="E64" t="str">
            <v>Limpieza Quimica y Fosfatizacion</v>
          </cell>
          <cell r="F64" t="str">
            <v>Acrilic Monobake White Primer (E68WSA4)</v>
          </cell>
          <cell r="G64" t="str">
            <v>9.31 Lbs/Gl</v>
          </cell>
          <cell r="H64" t="str">
            <v>21.32%</v>
          </cell>
          <cell r="I64" t="str">
            <v>52.36%</v>
          </cell>
          <cell r="J64" t="str">
            <v>39.96%</v>
          </cell>
          <cell r="K64" t="str">
            <v>16.60%</v>
          </cell>
          <cell r="L64" t="str">
            <v>36.45%</v>
          </cell>
          <cell r="M64" t="str">
            <v>180"-200" Copa Zanh #2</v>
          </cell>
          <cell r="N64" t="str">
            <v>Pistola</v>
          </cell>
          <cell r="O64" t="str">
            <v>180"-200" Copa Zanh #2</v>
          </cell>
          <cell r="P64" t="str">
            <v>40-50%</v>
          </cell>
          <cell r="Q64" t="str">
            <v>R2K4         Industrial reducer</v>
          </cell>
          <cell r="R64" t="str">
            <v>1.3-1.5 mills con E68WSA4</v>
          </cell>
          <cell r="S64" t="str">
            <v>Al Horno</v>
          </cell>
          <cell r="T64" t="str">
            <v>15' a 370°F</v>
          </cell>
          <cell r="U64" t="str">
            <v>-</v>
          </cell>
          <cell r="V64" t="str">
            <v>90-95</v>
          </cell>
          <cell r="W64" t="str">
            <v>2H</v>
          </cell>
          <cell r="X64" t="str">
            <v>6 meses</v>
          </cell>
          <cell r="Y64" t="str">
            <v>PRADO S.A</v>
          </cell>
          <cell r="Z64" t="str">
            <v>Refrigeradoras,Lavadoras,Cocinas</v>
          </cell>
          <cell r="AA64" t="str">
            <v>-</v>
          </cell>
          <cell r="AB64" t="str">
            <v>-</v>
          </cell>
          <cell r="AC64" t="str">
            <v>S/F</v>
          </cell>
        </row>
        <row r="65">
          <cell r="A65" t="str">
            <v>G78WSA10</v>
          </cell>
          <cell r="B65" t="str">
            <v>Esmalte Horneable Acrilico Blanco Almendra Martillado</v>
          </cell>
          <cell r="C65" t="str">
            <v>Interior-Exterior Limitada</v>
          </cell>
          <cell r="D65" t="str">
            <v>Hierro</v>
          </cell>
          <cell r="E65" t="str">
            <v>Limpieza Quimica y Fosfatizacion</v>
          </cell>
          <cell r="F65" t="str">
            <v>Acrilic Monobake White Primer (E68WSA4)</v>
          </cell>
          <cell r="G65" t="str">
            <v>9.77 Lbs/Gl</v>
          </cell>
          <cell r="H65" t="str">
            <v>26.6%</v>
          </cell>
          <cell r="I65" t="str">
            <v>57.65%</v>
          </cell>
          <cell r="J65" t="str">
            <v>42.30%</v>
          </cell>
          <cell r="K65" t="str">
            <v>20.75%</v>
          </cell>
          <cell r="L65" t="str">
            <v>38.13%</v>
          </cell>
          <cell r="M65" t="str">
            <v>180"-200" Copa Zanh #2</v>
          </cell>
          <cell r="N65" t="str">
            <v>Pistola</v>
          </cell>
          <cell r="O65" t="str">
            <v>28"-32" Zanh #2</v>
          </cell>
          <cell r="P65" t="str">
            <v>40-50%</v>
          </cell>
          <cell r="Q65" t="str">
            <v>R2K4         Industrial reducer</v>
          </cell>
          <cell r="R65" t="str">
            <v>1.3-1.5 mills con E68WSA4</v>
          </cell>
          <cell r="S65" t="str">
            <v>Al Horno</v>
          </cell>
          <cell r="T65" t="str">
            <v>15' a 370°F</v>
          </cell>
          <cell r="U65" t="str">
            <v>-</v>
          </cell>
          <cell r="V65" t="str">
            <v>90-95</v>
          </cell>
          <cell r="W65" t="str">
            <v>2H</v>
          </cell>
          <cell r="X65" t="str">
            <v>6 meses</v>
          </cell>
          <cell r="Y65" t="str">
            <v>PRADO S.A</v>
          </cell>
          <cell r="Z65" t="str">
            <v>Refrigeradoras,Lavadoras,Cocinas</v>
          </cell>
          <cell r="AA65" t="str">
            <v>-</v>
          </cell>
          <cell r="AB65" t="str">
            <v>-</v>
          </cell>
          <cell r="AC65" t="str">
            <v>S/F</v>
          </cell>
        </row>
        <row r="66">
          <cell r="A66" t="str">
            <v>G78WSA11 (1)</v>
          </cell>
          <cell r="B66" t="str">
            <v>Esmalte Horneable Acrilico Blanco  Almendra</v>
          </cell>
          <cell r="C66" t="str">
            <v>Interior-Exterior Limitada</v>
          </cell>
          <cell r="D66" t="str">
            <v>Hierro</v>
          </cell>
          <cell r="E66" t="str">
            <v>Limpieza Quimica y Fosfatizacion</v>
          </cell>
          <cell r="F66" t="str">
            <v>Acrilic Monobake White Primer (E68WSA4)</v>
          </cell>
          <cell r="G66" t="str">
            <v>9.77 Lbs/Gl</v>
          </cell>
          <cell r="H66" t="str">
            <v>26.6%</v>
          </cell>
          <cell r="I66" t="str">
            <v>57.65%</v>
          </cell>
          <cell r="J66" t="str">
            <v>42.30%</v>
          </cell>
          <cell r="K66" t="str">
            <v>20.75%</v>
          </cell>
          <cell r="L66" t="str">
            <v>38.13%</v>
          </cell>
          <cell r="M66" t="str">
            <v>180"-200" Copa Zanh #2</v>
          </cell>
          <cell r="N66" t="str">
            <v>Pistola</v>
          </cell>
          <cell r="O66" t="str">
            <v>28"-32" Copa Zanh #2</v>
          </cell>
          <cell r="P66" t="str">
            <v>40-50%</v>
          </cell>
          <cell r="Q66" t="str">
            <v>R2K4         Industrial reducer</v>
          </cell>
          <cell r="R66" t="str">
            <v>1.3-1.5 mills con E68WSA4</v>
          </cell>
          <cell r="S66" t="str">
            <v>Al Horno</v>
          </cell>
          <cell r="T66" t="str">
            <v>15' a 370°F</v>
          </cell>
          <cell r="U66" t="str">
            <v>-</v>
          </cell>
          <cell r="V66" t="str">
            <v>90-95</v>
          </cell>
          <cell r="W66" t="str">
            <v>2H</v>
          </cell>
          <cell r="X66" t="str">
            <v>6 meses</v>
          </cell>
          <cell r="Y66" t="str">
            <v>PRADO S.A</v>
          </cell>
          <cell r="Z66" t="str">
            <v>Refrigeradoras,Lavadoras,Cocinas</v>
          </cell>
          <cell r="AA66" t="str">
            <v>-</v>
          </cell>
          <cell r="AB66" t="str">
            <v>-</v>
          </cell>
          <cell r="AC66" t="str">
            <v>S/F</v>
          </cell>
        </row>
        <row r="67">
          <cell r="A67" t="str">
            <v>G78WSA6</v>
          </cell>
          <cell r="B67" t="str">
            <v xml:space="preserve">Esmalte Horneable Acrilico Blanco  </v>
          </cell>
          <cell r="C67" t="str">
            <v>Interior-Exterior Limitada</v>
          </cell>
          <cell r="D67" t="str">
            <v>Hierro</v>
          </cell>
          <cell r="E67" t="str">
            <v>Limpieza Quimica y Fosfatizacion</v>
          </cell>
          <cell r="F67" t="str">
            <v>Acrilic Monobake White Primer (E68WSA4)</v>
          </cell>
          <cell r="G67" t="str">
            <v>9.77 Lbs/Gl</v>
          </cell>
          <cell r="H67" t="str">
            <v>26.6%</v>
          </cell>
          <cell r="I67" t="str">
            <v>57.65%</v>
          </cell>
          <cell r="J67" t="str">
            <v>42.30%</v>
          </cell>
          <cell r="K67" t="str">
            <v>20.75%</v>
          </cell>
          <cell r="L67" t="str">
            <v>38.13%</v>
          </cell>
          <cell r="M67" t="str">
            <v>180"-200" Copa Zanh #2</v>
          </cell>
          <cell r="N67" t="str">
            <v>Pistola</v>
          </cell>
          <cell r="O67" t="str">
            <v>28"-32" Copa Zanh #2</v>
          </cell>
          <cell r="P67" t="str">
            <v>40-50%</v>
          </cell>
          <cell r="Q67" t="str">
            <v>R2K4         Industrial reducer</v>
          </cell>
          <cell r="R67" t="str">
            <v>1.3-1.5 mills con E68WSA4</v>
          </cell>
          <cell r="S67" t="str">
            <v>Al Horno</v>
          </cell>
          <cell r="T67" t="str">
            <v>15' a 370°F</v>
          </cell>
          <cell r="U67" t="str">
            <v xml:space="preserve">37.87 metros cuadrados por galon a una 1.5 MILS de pulgada </v>
          </cell>
          <cell r="V67" t="str">
            <v>90-95</v>
          </cell>
          <cell r="W67" t="str">
            <v>2H</v>
          </cell>
          <cell r="X67" t="str">
            <v>6 meses</v>
          </cell>
          <cell r="Y67" t="str">
            <v>PRADO S.A</v>
          </cell>
          <cell r="Z67" t="str">
            <v>Refrigeradoras,Lavadoras,Cocinas</v>
          </cell>
          <cell r="AA67" t="str">
            <v>VOC=4.14 LBS/GALON</v>
          </cell>
          <cell r="AB67" t="str">
            <v>-</v>
          </cell>
          <cell r="AC67" t="str">
            <v>S/F</v>
          </cell>
        </row>
        <row r="68">
          <cell r="A68" t="str">
            <v>G78WSA8</v>
          </cell>
          <cell r="B68" t="str">
            <v>Esmalte Horneable Acrilico Blanco Especial</v>
          </cell>
          <cell r="C68" t="str">
            <v>Interior-Exterior Limitada</v>
          </cell>
          <cell r="D68" t="str">
            <v>Lamina Electrogalvanizada</v>
          </cell>
          <cell r="E68" t="str">
            <v>Limpieza Adecuada Con Industrial Reducer R2K4</v>
          </cell>
          <cell r="F68" t="str">
            <v>Wash Primer Green (P60G2)</v>
          </cell>
          <cell r="G68" t="str">
            <v>9.82 Lbs/Gl</v>
          </cell>
          <cell r="H68" t="str">
            <v>26.49%</v>
          </cell>
          <cell r="I68" t="str">
            <v>55.02%</v>
          </cell>
          <cell r="J68" t="str">
            <v>40.44%</v>
          </cell>
          <cell r="K68" t="str">
            <v>21.10%</v>
          </cell>
          <cell r="L68" t="str">
            <v>35.6%</v>
          </cell>
          <cell r="M68" t="str">
            <v>100"-110" Copa Zanh #2</v>
          </cell>
          <cell r="N68" t="str">
            <v>Pistola Convencional o Elestrostática</v>
          </cell>
          <cell r="O68" t="str">
            <v>20"-25" Copa Zanh #2</v>
          </cell>
          <cell r="P68" t="str">
            <v>20-25%</v>
          </cell>
          <cell r="Q68" t="str">
            <v>Acrilic Baking Enamel Reducer (R7KSA9)</v>
          </cell>
          <cell r="R68" t="str">
            <v>1.0-1.2 mills</v>
          </cell>
          <cell r="S68" t="str">
            <v>5-10 min</v>
          </cell>
          <cell r="T68" t="str">
            <v>30' a 350°F ó 15' a 400°F</v>
          </cell>
          <cell r="U68" t="str">
            <v>814 Pies Cuadrados/Gl</v>
          </cell>
          <cell r="V68" t="str">
            <v>90-95</v>
          </cell>
          <cell r="W68" t="str">
            <v>2H</v>
          </cell>
          <cell r="X68" t="str">
            <v>12 meses</v>
          </cell>
          <cell r="Y68" t="str">
            <v>INDECA S.A</v>
          </cell>
          <cell r="Z68" t="str">
            <v>Refrigeradoras.</v>
          </cell>
          <cell r="AA68" t="str">
            <v>-</v>
          </cell>
          <cell r="AB68" t="str">
            <v>-</v>
          </cell>
          <cell r="AC68" t="str">
            <v>S/F</v>
          </cell>
        </row>
        <row r="69">
          <cell r="A69" t="str">
            <v>G78YSA10</v>
          </cell>
          <cell r="B69" t="str">
            <v>Acrylic Baking Enamel Harvest Wheat Martillado</v>
          </cell>
          <cell r="C69" t="str">
            <v>Interior-Exterior Limitada</v>
          </cell>
          <cell r="D69" t="str">
            <v>Hierro</v>
          </cell>
          <cell r="E69" t="str">
            <v>Limpieza Quimica y Fosfatizacion</v>
          </cell>
          <cell r="F69" t="str">
            <v>Acrilic Monobake White Primer (E68WSA4)</v>
          </cell>
          <cell r="G69" t="str">
            <v>8.18 Lbs/Gl</v>
          </cell>
          <cell r="H69" t="str">
            <v>19.7%</v>
          </cell>
          <cell r="I69" t="str">
            <v>52.82%</v>
          </cell>
          <cell r="J69" t="str">
            <v>41.3%</v>
          </cell>
          <cell r="K69" t="str">
            <v>15.15%</v>
          </cell>
          <cell r="L69" t="str">
            <v>35.77%</v>
          </cell>
          <cell r="M69" t="str">
            <v>180"-200" Copa Zanh #2</v>
          </cell>
          <cell r="N69" t="str">
            <v>Pistola</v>
          </cell>
          <cell r="O69" t="str">
            <v>28"-32" Zanh #2</v>
          </cell>
          <cell r="P69" t="str">
            <v>30-40%</v>
          </cell>
          <cell r="Q69" t="str">
            <v>R2K4         Industrial reducer</v>
          </cell>
          <cell r="R69" t="str">
            <v>1.3-1.5 mills con E68WSA4</v>
          </cell>
          <cell r="S69" t="str">
            <v>Al Horno</v>
          </cell>
          <cell r="T69" t="str">
            <v>15' a 370°F</v>
          </cell>
          <cell r="U69" t="str">
            <v>-</v>
          </cell>
          <cell r="V69" t="str">
            <v>90-95</v>
          </cell>
          <cell r="W69" t="str">
            <v>2H</v>
          </cell>
          <cell r="X69" t="str">
            <v>6 meses</v>
          </cell>
          <cell r="Y69" t="str">
            <v>PRADO S.A</v>
          </cell>
          <cell r="Z69" t="str">
            <v>Refrigeradoras,Lavadoras,Cocinas</v>
          </cell>
          <cell r="AA69" t="str">
            <v>-</v>
          </cell>
          <cell r="AB69" t="str">
            <v>-</v>
          </cell>
          <cell r="AC69" t="str">
            <v>S/F</v>
          </cell>
        </row>
        <row r="70">
          <cell r="A70" t="str">
            <v>G78YSA8</v>
          </cell>
          <cell r="B70" t="str">
            <v>Esmalte Horneable Acrilico Amarillo Especial</v>
          </cell>
          <cell r="C70" t="str">
            <v>Interior-Exterior Limitada</v>
          </cell>
          <cell r="D70" t="str">
            <v>Lamina Electrogalvanizada</v>
          </cell>
          <cell r="E70" t="str">
            <v>Limpieza Adecuada Con Industrial Reducer R2K4</v>
          </cell>
          <cell r="F70" t="str">
            <v>Wash Primer Green (P60G2)</v>
          </cell>
          <cell r="G70" t="str">
            <v>8.89 Lbs/Gl</v>
          </cell>
          <cell r="H70" t="str">
            <v>15.88%</v>
          </cell>
          <cell r="I70" t="str">
            <v>45.47%</v>
          </cell>
          <cell r="J70" t="str">
            <v>38.25%</v>
          </cell>
          <cell r="K70" t="str">
            <v>12.86%</v>
          </cell>
          <cell r="L70" t="str">
            <v>30.25%</v>
          </cell>
          <cell r="M70" t="str">
            <v>100"-110" Copa Zanh #2</v>
          </cell>
          <cell r="N70" t="str">
            <v>Pistola Convencional o Elestrostática</v>
          </cell>
          <cell r="O70" t="str">
            <v>20"-25" Copa Zanh #2</v>
          </cell>
          <cell r="P70" t="str">
            <v>20-25%</v>
          </cell>
          <cell r="Q70" t="str">
            <v>Acrilic Baking Enamel Reducer (R7KSA9)</v>
          </cell>
          <cell r="R70" t="str">
            <v>1.0-1.2 mills</v>
          </cell>
          <cell r="S70" t="str">
            <v>5-10 minutos</v>
          </cell>
          <cell r="T70" t="str">
            <v>30' a 350°F ó 15' a 400 °F</v>
          </cell>
          <cell r="U70" t="str">
            <v>1197 Pies Cuadrados por Galón.</v>
          </cell>
          <cell r="V70" t="str">
            <v>90-95</v>
          </cell>
          <cell r="W70" t="str">
            <v>2H</v>
          </cell>
          <cell r="X70" t="str">
            <v>12 meses</v>
          </cell>
          <cell r="Y70" t="str">
            <v>INDECA S.A</v>
          </cell>
          <cell r="Z70" t="str">
            <v>Refrigeradoras</v>
          </cell>
          <cell r="AA70" t="str">
            <v>-</v>
          </cell>
          <cell r="AB70" t="str">
            <v>-</v>
          </cell>
          <cell r="AC70" t="str">
            <v>S/F</v>
          </cell>
        </row>
        <row r="71">
          <cell r="A71" t="str">
            <v>H87TSA1 (1)</v>
          </cell>
          <cell r="B71" t="str">
            <v>Laca Transparente Para Cuero</v>
          </cell>
          <cell r="C71" t="str">
            <v>Interior-Exterior</v>
          </cell>
          <cell r="D71" t="str">
            <v>Cuero</v>
          </cell>
          <cell r="E71" t="str">
            <v>Limpieza Adecuada</v>
          </cell>
          <cell r="F71" t="str">
            <v>Ninguno</v>
          </cell>
          <cell r="G71" t="str">
            <v>7.78 Lbs/Gl</v>
          </cell>
          <cell r="H71" t="str">
            <v>-</v>
          </cell>
          <cell r="I71" t="str">
            <v>12.4%</v>
          </cell>
          <cell r="J71" t="str">
            <v>12.4%</v>
          </cell>
          <cell r="K71" t="str">
            <v>-</v>
          </cell>
          <cell r="L71" t="str">
            <v>9.55%</v>
          </cell>
          <cell r="M71" t="str">
            <v>20-30 seg Copa SW #%</v>
          </cell>
          <cell r="N71" t="str">
            <v>Pistola de Aire</v>
          </cell>
          <cell r="O71" t="str">
            <v>18-22 seg en Zanh #2</v>
          </cell>
          <cell r="P71" t="str">
            <v>100-150%</v>
          </cell>
          <cell r="Q71" t="str">
            <v>R7KSA7 Thinner Esp. No.1 ó R7K128 Opex Lacquer Thinner</v>
          </cell>
          <cell r="R71" t="str">
            <v>0.5-1.0 mills/Pulgada</v>
          </cell>
          <cell r="S71" t="str">
            <v>Al Aire 10 minutos Seco completo. Al Horno 1 1/2 minutos</v>
          </cell>
          <cell r="T71" t="str">
            <v>1-14 1/2 minutos a 70-80°C</v>
          </cell>
          <cell r="U71" t="str">
            <v>250-300 Pies Cuadrados por Galón</v>
          </cell>
          <cell r="V71" t="str">
            <v>Brillante      (80-82)</v>
          </cell>
          <cell r="W71" t="str">
            <v>B</v>
          </cell>
          <cell r="X71" t="str">
            <v>12 Meses</v>
          </cell>
          <cell r="Y71" t="str">
            <v>DIREYA, S.A</v>
          </cell>
          <cell r="Z71" t="str">
            <v>Cueros</v>
          </cell>
          <cell r="AA71" t="str">
            <v>-</v>
          </cell>
          <cell r="AB71" t="str">
            <v>-</v>
          </cell>
          <cell r="AC71" t="str">
            <v>S/F</v>
          </cell>
        </row>
        <row r="72">
          <cell r="A72" t="str">
            <v>H87TSA2 (1)</v>
          </cell>
          <cell r="B72" t="str">
            <v>Laca Transparente Especial Para Cuero</v>
          </cell>
          <cell r="C72" t="str">
            <v>-</v>
          </cell>
          <cell r="D72" t="str">
            <v>Cuero</v>
          </cell>
          <cell r="E72" t="str">
            <v>Limpio con Solvente</v>
          </cell>
          <cell r="F72" t="str">
            <v>Ninguno</v>
          </cell>
          <cell r="G72" t="str">
            <v>7.81 Lbs/Gl</v>
          </cell>
          <cell r="H72" t="str">
            <v>-</v>
          </cell>
          <cell r="I72" t="str">
            <v>34.50%</v>
          </cell>
          <cell r="J72" t="str">
            <v>34.50%</v>
          </cell>
          <cell r="K72" t="str">
            <v>-</v>
          </cell>
          <cell r="L72" t="str">
            <v>26.90%</v>
          </cell>
          <cell r="M72" t="str">
            <v>20"-25" SW#5</v>
          </cell>
          <cell r="N72" t="str">
            <v>Pistola</v>
          </cell>
          <cell r="O72" t="str">
            <v>18"-20" Copa Ford #4</v>
          </cell>
          <cell r="P72" t="str">
            <v>100-150% R7K128</v>
          </cell>
          <cell r="Q72" t="str">
            <v>R7K128</v>
          </cell>
          <cell r="R72" t="str">
            <v>-</v>
          </cell>
          <cell r="S72" t="str">
            <v>20 minutos</v>
          </cell>
          <cell r="T72" t="str">
            <v>-</v>
          </cell>
          <cell r="U72" t="str">
            <v>-</v>
          </cell>
          <cell r="V72" t="str">
            <v>+80</v>
          </cell>
          <cell r="W72" t="str">
            <v>-</v>
          </cell>
          <cell r="X72" t="str">
            <v>6 meses</v>
          </cell>
          <cell r="Y72" t="str">
            <v>Calzado Infantil, S:A de C:V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S/F</v>
          </cell>
        </row>
        <row r="73">
          <cell r="A73" t="str">
            <v>K7W97</v>
          </cell>
          <cell r="B73" t="str">
            <v>Super Kem Tone Blanco Puro</v>
          </cell>
          <cell r="C73" t="str">
            <v>Interior</v>
          </cell>
          <cell r="D73" t="str">
            <v>Concreto-Madera-Estuco</v>
          </cell>
          <cell r="E73" t="str">
            <v>Superficie Seca y Limpia</v>
          </cell>
          <cell r="F73" t="str">
            <v>A71WSA4 para pintar sobre madera</v>
          </cell>
          <cell r="G73" t="str">
            <v>11.22 Lbs/Gl</v>
          </cell>
          <cell r="H73" t="str">
            <v>-</v>
          </cell>
          <cell r="I73" t="str">
            <v>53.8%</v>
          </cell>
          <cell r="J73" t="str">
            <v>-</v>
          </cell>
          <cell r="K73" t="str">
            <v>-</v>
          </cell>
          <cell r="L73" t="str">
            <v>38.7%</v>
          </cell>
          <cell r="M73" t="str">
            <v>20"-22" Copa SW #4</v>
          </cell>
          <cell r="N73" t="str">
            <v>Brocha-Rodillo</v>
          </cell>
          <cell r="O73" t="str">
            <v>El de la Pintura</v>
          </cell>
          <cell r="P73" t="str">
            <v>Ninguno</v>
          </cell>
          <cell r="Q73" t="str">
            <v>-</v>
          </cell>
          <cell r="R73" t="str">
            <v>5 mills</v>
          </cell>
          <cell r="S73" t="str">
            <v>Al aire</v>
          </cell>
          <cell r="T73" t="str">
            <v>-</v>
          </cell>
          <cell r="U73" t="str">
            <v>50 Mts cuadrados/Gl</v>
          </cell>
          <cell r="V73" t="str">
            <v>2-4 (85°)</v>
          </cell>
          <cell r="W73" t="str">
            <v>-</v>
          </cell>
          <cell r="X73" t="str">
            <v>1-2 Años</v>
          </cell>
          <cell r="Y73" t="str">
            <v>Warner Lambert-Guatemala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S/F</v>
          </cell>
        </row>
        <row r="74">
          <cell r="A74" t="str">
            <v>L60ASA10</v>
          </cell>
          <cell r="B74" t="str">
            <v>Laca Industrial Gris Especial</v>
          </cell>
          <cell r="C74" t="str">
            <v>Interior</v>
          </cell>
          <cell r="D74" t="str">
            <v>Hierro</v>
          </cell>
          <cell r="E74" t="str">
            <v xml:space="preserve">Limpio  </v>
          </cell>
          <cell r="F74" t="str">
            <v>Ninguno</v>
          </cell>
          <cell r="G74" t="str">
            <v>8.15 Lbs/Gl</v>
          </cell>
          <cell r="H74" t="str">
            <v>5.24%</v>
          </cell>
          <cell r="I74" t="str">
            <v>39.57%</v>
          </cell>
          <cell r="J74" t="str">
            <v>36.23%</v>
          </cell>
          <cell r="K74" t="str">
            <v>4.61%</v>
          </cell>
          <cell r="L74" t="str">
            <v>29.92%</v>
          </cell>
          <cell r="M74" t="str">
            <v>20"-25" Copa SW #5</v>
          </cell>
          <cell r="N74" t="str">
            <v>Inmersión</v>
          </cell>
          <cell r="O74" t="str">
            <v>18"-20" Copa Ford #4</v>
          </cell>
          <cell r="P74" t="str">
            <v>50% con R7K128</v>
          </cell>
          <cell r="Q74" t="str">
            <v>R7K128</v>
          </cell>
          <cell r="R74" t="str">
            <v>1 mills</v>
          </cell>
          <cell r="S74" t="str">
            <v>Al aire</v>
          </cell>
          <cell r="T74" t="str">
            <v>-</v>
          </cell>
          <cell r="U74" t="str">
            <v>633 Pies Cuadrados/Gl</v>
          </cell>
          <cell r="V74" t="str">
            <v>80</v>
          </cell>
          <cell r="W74" t="str">
            <v>2B</v>
          </cell>
          <cell r="X74" t="str">
            <v>6-12 meses</v>
          </cell>
          <cell r="Y74" t="str">
            <v>BOIRA</v>
          </cell>
          <cell r="Z74" t="str">
            <v>-</v>
          </cell>
          <cell r="AA74" t="str">
            <v>-</v>
          </cell>
          <cell r="AB74" t="str">
            <v>Luis Nolasco</v>
          </cell>
          <cell r="AC74" t="str">
            <v>S/F</v>
          </cell>
        </row>
        <row r="75">
          <cell r="A75" t="str">
            <v>M72WSA1</v>
          </cell>
          <cell r="B75" t="str">
            <v>Recubrimiento Blanco Para Cartón</v>
          </cell>
          <cell r="C75" t="str">
            <v>Interior</v>
          </cell>
          <cell r="D75" t="str">
            <v>Carton</v>
          </cell>
          <cell r="E75" t="str">
            <v>Ninguna</v>
          </cell>
          <cell r="F75" t="str">
            <v>-</v>
          </cell>
          <cell r="G75" t="str">
            <v>11.78 Lbs/Gl</v>
          </cell>
          <cell r="H75" t="str">
            <v>41.22%</v>
          </cell>
          <cell r="I75" t="str">
            <v>57.06%</v>
          </cell>
          <cell r="J75" t="str">
            <v>15.84%</v>
          </cell>
          <cell r="K75" t="str">
            <v>50.0%</v>
          </cell>
          <cell r="L75" t="str">
            <v>41.46%</v>
          </cell>
          <cell r="M75" t="str">
            <v>30-35 seg Copa Zanh #2</v>
          </cell>
          <cell r="N75" t="str">
            <v>Cuchilla de Hule</v>
          </cell>
          <cell r="O75" t="str">
            <v>20-25 seg. Copa Zanh #2</v>
          </cell>
          <cell r="P75" t="str">
            <v>2-3% con Agua</v>
          </cell>
          <cell r="Q75" t="str">
            <v>Agua</v>
          </cell>
          <cell r="R75" t="str">
            <v>-</v>
          </cell>
          <cell r="S75" t="str">
            <v>Con Rodillo Caliente 150°C</v>
          </cell>
          <cell r="T75" t="str">
            <v>1 Minuto a 150°C</v>
          </cell>
          <cell r="U75" t="str">
            <v>-</v>
          </cell>
          <cell r="V75" t="str">
            <v>Mate</v>
          </cell>
          <cell r="W75" t="str">
            <v>-</v>
          </cell>
          <cell r="X75" t="str">
            <v>4-6 Meses</v>
          </cell>
          <cell r="Y75" t="str">
            <v>Cajas y Bolsas S.A</v>
          </cell>
          <cell r="Z75" t="str">
            <v>Cajas de Cartón</v>
          </cell>
          <cell r="AA75" t="str">
            <v>-</v>
          </cell>
          <cell r="AB75" t="str">
            <v>-</v>
          </cell>
          <cell r="AC75" t="str">
            <v>S/F</v>
          </cell>
        </row>
        <row r="76">
          <cell r="A76" t="str">
            <v>R7KSA13 (1)</v>
          </cell>
          <cell r="B76" t="str">
            <v>Thinner Especial</v>
          </cell>
          <cell r="C76" t="str">
            <v>-</v>
          </cell>
          <cell r="D76" t="str">
            <v>Polietileno y Poliestireno</v>
          </cell>
          <cell r="E76" t="str">
            <v>-</v>
          </cell>
          <cell r="F76" t="str">
            <v>-</v>
          </cell>
          <cell r="G76" t="str">
            <v>6.68 Lbs/Gl</v>
          </cell>
          <cell r="H76" t="str">
            <v>-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Adornos Navideños y otros.</v>
          </cell>
          <cell r="AA76" t="str">
            <v>-</v>
          </cell>
          <cell r="AB76" t="str">
            <v>-</v>
          </cell>
          <cell r="AC76" t="str">
            <v>S/F</v>
          </cell>
        </row>
        <row r="77">
          <cell r="A77" t="str">
            <v>SAA 1713</v>
          </cell>
          <cell r="B77" t="str">
            <v>Esmalte Horneable Acrilico Negro Satinado</v>
          </cell>
          <cell r="C77" t="str">
            <v>Interior-Exterior Limitada</v>
          </cell>
          <cell r="D77" t="str">
            <v>Artículos de Aluminio</v>
          </cell>
          <cell r="E77" t="str">
            <v>Limpieza con Solvente</v>
          </cell>
          <cell r="F77" t="str">
            <v>Gripclad Primer</v>
          </cell>
          <cell r="G77" t="str">
            <v>8.80 Lbs/Gl</v>
          </cell>
          <cell r="H77" t="str">
            <v>-</v>
          </cell>
          <cell r="I77" t="str">
            <v>51.40%</v>
          </cell>
          <cell r="J77" t="str">
            <v>-</v>
          </cell>
          <cell r="K77" t="str">
            <v>-</v>
          </cell>
          <cell r="L77" t="str">
            <v>37.44%</v>
          </cell>
          <cell r="M77" t="str">
            <v>100"-110" Copa Zanh #2</v>
          </cell>
          <cell r="N77" t="str">
            <v>Pistola</v>
          </cell>
          <cell r="O77" t="str">
            <v>25"-30" Copa Zanh #2</v>
          </cell>
          <cell r="P77" t="str">
            <v>20%</v>
          </cell>
          <cell r="Q77" t="str">
            <v>Acrilic Baking Enamel Reducer (R7KSA9)</v>
          </cell>
          <cell r="R77" t="str">
            <v>1.0-1.5 mills</v>
          </cell>
          <cell r="S77" t="str">
            <v>-</v>
          </cell>
          <cell r="T77" t="str">
            <v>15' a 400°F</v>
          </cell>
          <cell r="U77" t="str">
            <v>600 Pies Cuadrados/Gl</v>
          </cell>
          <cell r="V77" t="str">
            <v>10-12</v>
          </cell>
          <cell r="W77" t="str">
            <v>3H</v>
          </cell>
          <cell r="X77" t="str">
            <v>12 meses</v>
          </cell>
          <cell r="Y77" t="str">
            <v>Productos Atmosféricos (Nicaragua)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S/F</v>
          </cell>
        </row>
        <row r="78">
          <cell r="A78" t="str">
            <v>SAA 1723</v>
          </cell>
          <cell r="B78" t="str">
            <v>Kem Fast Dry Oxide Black</v>
          </cell>
          <cell r="C78" t="str">
            <v>Interior-Exterior</v>
          </cell>
          <cell r="D78" t="str">
            <v>Hierro Negro</v>
          </cell>
          <cell r="E78" t="str">
            <v>Cepillo de Alambre y Productos Químicos</v>
          </cell>
          <cell r="F78" t="str">
            <v>-</v>
          </cell>
          <cell r="G78" t="str">
            <v>9.54 Lbs/Gl</v>
          </cell>
          <cell r="H78" t="str">
            <v>-</v>
          </cell>
          <cell r="I78" t="str">
            <v>52.31%</v>
          </cell>
          <cell r="J78" t="str">
            <v>-</v>
          </cell>
          <cell r="K78" t="str">
            <v>-</v>
          </cell>
          <cell r="L78" t="str">
            <v>31.61%</v>
          </cell>
          <cell r="M78" t="str">
            <v>25"-30" Copa Ford #4</v>
          </cell>
          <cell r="N78" t="str">
            <v>Pistola</v>
          </cell>
          <cell r="O78" t="str">
            <v>20"-22" Copa Ford #4</v>
          </cell>
          <cell r="P78" t="str">
            <v>12.5% R2K4</v>
          </cell>
          <cell r="Q78" t="str">
            <v>R2K4         Industrial reducer</v>
          </cell>
          <cell r="R78" t="str">
            <v>1.0-1.5 mills</v>
          </cell>
          <cell r="S78" t="str">
            <v>Al Tacto: 20 Min.        Completo: 1 Hr.</v>
          </cell>
          <cell r="T78" t="str">
            <v>-</v>
          </cell>
          <cell r="U78" t="str">
            <v>480 Pies Cuadrados/Gl</v>
          </cell>
          <cell r="V78" t="str">
            <v>0-5</v>
          </cell>
          <cell r="W78" t="str">
            <v>-</v>
          </cell>
          <cell r="X78" t="str">
            <v>12 meses</v>
          </cell>
          <cell r="Y78" t="str">
            <v>Ferro Arte Nicaragua</v>
          </cell>
          <cell r="Z78" t="str">
            <v>Verjas de Hierro Negro</v>
          </cell>
          <cell r="AA78" t="str">
            <v>-</v>
          </cell>
          <cell r="AB78" t="str">
            <v>-</v>
          </cell>
          <cell r="AC78" t="str">
            <v>S/F</v>
          </cell>
        </row>
        <row r="79">
          <cell r="A79" t="str">
            <v>SAA 1868</v>
          </cell>
          <cell r="B79" t="str">
            <v>Wet Ink Varnish (Silver V)</v>
          </cell>
          <cell r="C79" t="str">
            <v>-</v>
          </cell>
          <cell r="D79" t="str">
            <v>Hojalata</v>
          </cell>
          <cell r="E79" t="str">
            <v>Normal</v>
          </cell>
          <cell r="F79" t="str">
            <v>Ninguno</v>
          </cell>
          <cell r="G79" t="str">
            <v>7.46 Lbs/Gl</v>
          </cell>
          <cell r="H79" t="str">
            <v>-</v>
          </cell>
          <cell r="I79" t="str">
            <v>40.0%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35-40" Copa Ford #4</v>
          </cell>
          <cell r="N79" t="str">
            <v>Roller Coating</v>
          </cell>
          <cell r="O79" t="str">
            <v>Igual</v>
          </cell>
          <cell r="P79" t="str">
            <v>Ninguno</v>
          </cell>
          <cell r="Q79" t="str">
            <v>03-23-100 R2K7</v>
          </cell>
          <cell r="R79" t="str">
            <v>13 mm</v>
          </cell>
          <cell r="S79" t="str">
            <v>Al Horno</v>
          </cell>
          <cell r="T79" t="str">
            <v>12-15' a 160-165°C</v>
          </cell>
          <cell r="U79" t="str">
            <v>-</v>
          </cell>
          <cell r="V79" t="str">
            <v>90</v>
          </cell>
          <cell r="W79" t="str">
            <v>HB</v>
          </cell>
          <cell r="X79" t="str">
            <v>6 meses</v>
          </cell>
          <cell r="Y79" t="str">
            <v>CORLASA</v>
          </cell>
          <cell r="Z79" t="str">
            <v>Lamina Litografiada</v>
          </cell>
          <cell r="AA79" t="str">
            <v>-</v>
          </cell>
          <cell r="AB79" t="str">
            <v>-</v>
          </cell>
          <cell r="AC79" t="str">
            <v>S/F</v>
          </cell>
        </row>
        <row r="80">
          <cell r="A80" t="str">
            <v>SAA 2031</v>
          </cell>
          <cell r="B80" t="str">
            <v>Esmalte Horneable Rojo Especial</v>
          </cell>
          <cell r="C80" t="str">
            <v>Exterior</v>
          </cell>
          <cell r="D80" t="str">
            <v>Acero</v>
          </cell>
          <cell r="E80" t="str">
            <v>Limpia sin óxido</v>
          </cell>
          <cell r="F80" t="str">
            <v>E68WSA1</v>
          </cell>
          <cell r="G80" t="str">
            <v>8.37 Lbs/Gl</v>
          </cell>
          <cell r="H80" t="str">
            <v>6.38%</v>
          </cell>
          <cell r="I80" t="str">
            <v>50.75%</v>
          </cell>
          <cell r="J80" t="str">
            <v>44.37%</v>
          </cell>
          <cell r="K80" t="str">
            <v>4.94%</v>
          </cell>
          <cell r="L80" t="str">
            <v>42.07%</v>
          </cell>
          <cell r="M80" t="str">
            <v>80"-90" Copa Zanh #2</v>
          </cell>
          <cell r="N80" t="str">
            <v>Pistola</v>
          </cell>
          <cell r="O80" t="str">
            <v>25"-30" Copa Zanh #2</v>
          </cell>
          <cell r="P80" t="str">
            <v>20% R2K4</v>
          </cell>
          <cell r="Q80" t="str">
            <v>R2K4         Industrial reducer</v>
          </cell>
          <cell r="R80" t="str">
            <v xml:space="preserve">0.5-1.0 mills </v>
          </cell>
          <cell r="S80" t="str">
            <v>Al Horno</v>
          </cell>
          <cell r="T80" t="str">
            <v>15' a 300°F</v>
          </cell>
          <cell r="U80" t="str">
            <v>-</v>
          </cell>
          <cell r="V80" t="str">
            <v>+95</v>
          </cell>
          <cell r="W80" t="str">
            <v>H 24 Hrs después</v>
          </cell>
          <cell r="X80" t="str">
            <v>-</v>
          </cell>
          <cell r="Y80" t="str">
            <v>Productos Eléctricos, S.A</v>
          </cell>
          <cell r="Z80" t="str">
            <v>Triciclos</v>
          </cell>
          <cell r="AA80" t="str">
            <v>-</v>
          </cell>
          <cell r="AB80" t="str">
            <v>-</v>
          </cell>
          <cell r="AC80" t="str">
            <v>S/F</v>
          </cell>
        </row>
        <row r="81">
          <cell r="A81" t="str">
            <v>SAA 2032</v>
          </cell>
          <cell r="B81" t="str">
            <v>Acrylid Acrylic Enamel Alpine White</v>
          </cell>
          <cell r="C81" t="str">
            <v>Exterior</v>
          </cell>
          <cell r="D81" t="str">
            <v>Acero</v>
          </cell>
          <cell r="E81" t="str">
            <v>Fosfatizado</v>
          </cell>
          <cell r="F81" t="str">
            <v>E68ASA1   E68RSA1</v>
          </cell>
          <cell r="G81" t="str">
            <v>9.37 Lbs/Gl</v>
          </cell>
          <cell r="H81" t="str">
            <v>21.16%</v>
          </cell>
          <cell r="I81" t="str">
            <v>57.93%</v>
          </cell>
          <cell r="J81" t="str">
            <v>36.76%</v>
          </cell>
          <cell r="K81" t="str">
            <v>13.09%</v>
          </cell>
          <cell r="L81" t="str">
            <v>44.76%</v>
          </cell>
          <cell r="M81" t="str">
            <v>70"-80" Copa Ford #4</v>
          </cell>
          <cell r="N81" t="str">
            <v>Pistola</v>
          </cell>
          <cell r="O81" t="str">
            <v>18"-20" Copa Ford #4</v>
          </cell>
          <cell r="P81" t="str">
            <v>50%</v>
          </cell>
          <cell r="Q81" t="str">
            <v>R7K212</v>
          </cell>
          <cell r="R81" t="str">
            <v>1.5-2.0 mills</v>
          </cell>
          <cell r="S81" t="str">
            <v>Al Horno</v>
          </cell>
          <cell r="T81" t="str">
            <v>15' a 350°F</v>
          </cell>
          <cell r="U81" t="str">
            <v>282.5 Pies Cuadrados por Galón</v>
          </cell>
          <cell r="V81" t="str">
            <v>+80</v>
          </cell>
          <cell r="W81" t="str">
            <v>2B Después de 24 Hrs</v>
          </cell>
          <cell r="X81" t="str">
            <v>un Año</v>
          </cell>
          <cell r="Y81" t="str">
            <v>COOPESA (COSTA RICA)</v>
          </cell>
          <cell r="Z81" t="str">
            <v>Automóviles</v>
          </cell>
          <cell r="AA81" t="str">
            <v>-</v>
          </cell>
          <cell r="AB81" t="str">
            <v>-</v>
          </cell>
          <cell r="AC81" t="str">
            <v>S/F</v>
          </cell>
        </row>
        <row r="82">
          <cell r="A82" t="str">
            <v>SAA 2041</v>
          </cell>
          <cell r="B82" t="str">
            <v>Roller Coating White</v>
          </cell>
          <cell r="C82" t="str">
            <v>Interior</v>
          </cell>
          <cell r="D82" t="str">
            <v>Hojalata</v>
          </cell>
          <cell r="E82" t="str">
            <v>Limpieza con Solvente</v>
          </cell>
          <cell r="F82" t="str">
            <v>Ninguno</v>
          </cell>
          <cell r="G82" t="str">
            <v>9.39 Lbs/Gl</v>
          </cell>
          <cell r="H82" t="str">
            <v>21.2%</v>
          </cell>
          <cell r="I82" t="str">
            <v>37.8%</v>
          </cell>
          <cell r="J82" t="str">
            <v>78.8%</v>
          </cell>
          <cell r="K82" t="str">
            <v>30.7%</v>
          </cell>
          <cell r="L82" t="str">
            <v>19.7%</v>
          </cell>
          <cell r="M82" t="str">
            <v>70"-80" Copa Ford #4</v>
          </cell>
          <cell r="N82" t="str">
            <v>Rodillo</v>
          </cell>
          <cell r="O82" t="str">
            <v>70"-80" Copa Ford #4</v>
          </cell>
          <cell r="P82" t="str">
            <v>Ninguno</v>
          </cell>
          <cell r="Q82" t="str">
            <v>-</v>
          </cell>
          <cell r="R82" t="str">
            <v>1.0 mills</v>
          </cell>
          <cell r="S82" t="str">
            <v>Horneo</v>
          </cell>
          <cell r="T82" t="str">
            <v>15' a 360°F</v>
          </cell>
          <cell r="U82" t="str">
            <v>44.62 Mts Cuadrados/Gl</v>
          </cell>
          <cell r="V82" t="str">
            <v>85 Minimo</v>
          </cell>
          <cell r="W82" t="str">
            <v>HB</v>
          </cell>
          <cell r="X82" t="str">
            <v>12 meses</v>
          </cell>
          <cell r="Y82" t="str">
            <v>UNICAN</v>
          </cell>
          <cell r="Z82" t="str">
            <v>Litografía</v>
          </cell>
          <cell r="AA82" t="str">
            <v>-</v>
          </cell>
          <cell r="AB82" t="str">
            <v>-</v>
          </cell>
          <cell r="AC82" t="str">
            <v>S/F</v>
          </cell>
        </row>
        <row r="83">
          <cell r="A83" t="str">
            <v>SAA 2086</v>
          </cell>
          <cell r="B83" t="str">
            <v>Collapsible Tube Enamel White</v>
          </cell>
          <cell r="C83" t="str">
            <v>Interior</v>
          </cell>
          <cell r="D83" t="str">
            <v>Tubos de Estaño y Plomo</v>
          </cell>
          <cell r="E83" t="str">
            <v>Limpieza</v>
          </cell>
          <cell r="F83" t="str">
            <v>Ninguno</v>
          </cell>
          <cell r="G83" t="str">
            <v>10.71 Lbs/Gl</v>
          </cell>
          <cell r="H83" t="str">
            <v>29.55%</v>
          </cell>
          <cell r="I83" t="str">
            <v>53.56%</v>
          </cell>
          <cell r="J83" t="str">
            <v>34.08%</v>
          </cell>
          <cell r="K83" t="str">
            <v>27.64%</v>
          </cell>
          <cell r="L83" t="str">
            <v>33.94%</v>
          </cell>
          <cell r="M83" t="str">
            <v>130-135 KU</v>
          </cell>
          <cell r="N83" t="str">
            <v>Especial</v>
          </cell>
          <cell r="O83" t="str">
            <v>130-135 KU</v>
          </cell>
          <cell r="P83" t="str">
            <v>Ninguno</v>
          </cell>
          <cell r="Q83" t="str">
            <v>Ninguno</v>
          </cell>
          <cell r="R83" t="str">
            <v>-</v>
          </cell>
          <cell r="S83" t="str">
            <v>-</v>
          </cell>
          <cell r="T83" t="str">
            <v>3-1/2 Minutos a 230°F</v>
          </cell>
          <cell r="U83" t="str">
            <v>-</v>
          </cell>
          <cell r="V83" t="str">
            <v>80 Minimo</v>
          </cell>
          <cell r="W83" t="str">
            <v>F</v>
          </cell>
          <cell r="X83" t="str">
            <v>12 meses</v>
          </cell>
          <cell r="Y83" t="str">
            <v>Colgate Palmolive</v>
          </cell>
          <cell r="Z83" t="str">
            <v>Pasta Dental</v>
          </cell>
          <cell r="AA83" t="str">
            <v>-</v>
          </cell>
          <cell r="AB83" t="str">
            <v>-</v>
          </cell>
          <cell r="AC83" t="str">
            <v>S/F</v>
          </cell>
        </row>
        <row r="84">
          <cell r="A84" t="str">
            <v>SAA 3154</v>
          </cell>
          <cell r="B84" t="str">
            <v>Chemical And Moisture Resisting Primer</v>
          </cell>
          <cell r="C84" t="str">
            <v>-</v>
          </cell>
          <cell r="D84" t="str">
            <v>Concreto, Hierro, Aluminio, Galvanizado</v>
          </cell>
          <cell r="E84" t="str">
            <v>Limpia, Seca y Libre de Grasa o Aceite</v>
          </cell>
          <cell r="F84" t="str">
            <v>Ninguno</v>
          </cell>
          <cell r="G84" t="str">
            <v>12.58 Lbs/Gl</v>
          </cell>
          <cell r="H84" t="str">
            <v>41.17%</v>
          </cell>
          <cell r="I84" t="str">
            <v>66.61%</v>
          </cell>
          <cell r="J84" t="str">
            <v>23.85%</v>
          </cell>
          <cell r="K84" t="str">
            <v>42.76%</v>
          </cell>
          <cell r="L84" t="str">
            <v>38.79%</v>
          </cell>
          <cell r="M84" t="str">
            <v>30-35 seg Copa SW #3</v>
          </cell>
          <cell r="N84" t="str">
            <v>Brocha o Pistola de Aire</v>
          </cell>
          <cell r="O84" t="str">
            <v>-</v>
          </cell>
          <cell r="P84" t="str">
            <v>Brocha: Ninguno, Pistola de Aire 25%</v>
          </cell>
          <cell r="Q84" t="str">
            <v>R2K4         Industrial reducer</v>
          </cell>
          <cell r="R84" t="str">
            <v>1.0 mills</v>
          </cell>
          <cell r="S84" t="str">
            <v>Seco Tocar 30 Min. Seco Completo 1-2 Hrs</v>
          </cell>
          <cell r="T84" t="str">
            <v>-</v>
          </cell>
          <cell r="U84" t="str">
            <v>45 Mts Cuadrados/Gl</v>
          </cell>
          <cell r="V84" t="str">
            <v>Satinado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S/F</v>
          </cell>
        </row>
        <row r="85">
          <cell r="A85" t="str">
            <v>SAA 3160</v>
          </cell>
          <cell r="B85" t="str">
            <v>Laca Industrial Champagne</v>
          </cell>
          <cell r="C85" t="str">
            <v>-</v>
          </cell>
          <cell r="D85" t="str">
            <v>Madera</v>
          </cell>
          <cell r="E85" t="str">
            <v>Seca, Debidamente Lijada y Libre de Polvo.</v>
          </cell>
          <cell r="F85" t="str">
            <v>Opex Industrial Primer Surfacer</v>
          </cell>
          <cell r="G85" t="str">
            <v>9.40 Lbs/Gl</v>
          </cell>
          <cell r="H85" t="str">
            <v>22.60%</v>
          </cell>
          <cell r="I85" t="str">
            <v>44.10%</v>
          </cell>
          <cell r="J85" t="str">
            <v>21.50%</v>
          </cell>
          <cell r="K85" t="str">
            <v>25.80%</v>
          </cell>
          <cell r="L85" t="str">
            <v>26.30%</v>
          </cell>
          <cell r="M85" t="str">
            <v>30-40 Seg. Copa SW #5</v>
          </cell>
          <cell r="N85" t="str">
            <v>Pistola</v>
          </cell>
          <cell r="O85" t="str">
            <v>-</v>
          </cell>
          <cell r="P85" t="str">
            <v>100-150</v>
          </cell>
          <cell r="Q85" t="str">
            <v>R7K128 Opex Lacquer Thinner 128</v>
          </cell>
          <cell r="R85" t="str">
            <v>1.0 mills</v>
          </cell>
          <cell r="S85" t="str">
            <v>Seco Tocar: 10 Min; Seco Completo: 20 Min.</v>
          </cell>
          <cell r="T85" t="str">
            <v>-</v>
          </cell>
          <cell r="U85" t="str">
            <v>421 Pies Cuadrados/Gl</v>
          </cell>
          <cell r="V85" t="str">
            <v>Mate</v>
          </cell>
          <cell r="W85" t="str">
            <v>-</v>
          </cell>
          <cell r="X85" t="str">
            <v>-</v>
          </cell>
          <cell r="Y85" t="str">
            <v>MADERAMA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S/F</v>
          </cell>
        </row>
        <row r="86">
          <cell r="A86" t="str">
            <v>SAA 3161</v>
          </cell>
          <cell r="B86" t="str">
            <v>Esmalte Horneable Alkydico Rojo</v>
          </cell>
          <cell r="C86" t="str">
            <v>-</v>
          </cell>
          <cell r="D86" t="str">
            <v>Hierro</v>
          </cell>
          <cell r="E86" t="str">
            <v>Limpieza Química</v>
          </cell>
          <cell r="F86" t="str">
            <v>Ninguno</v>
          </cell>
          <cell r="G86" t="str">
            <v>8.56 Lbs/Gl</v>
          </cell>
          <cell r="H86" t="str">
            <v>-</v>
          </cell>
          <cell r="I86" t="str">
            <v>55.10%</v>
          </cell>
          <cell r="J86" t="str">
            <v>55.10%</v>
          </cell>
          <cell r="K86" t="str">
            <v>-</v>
          </cell>
          <cell r="L86" t="str">
            <v>47.90%</v>
          </cell>
          <cell r="M86" t="str">
            <v>40-50 Seg Copa Ford #4</v>
          </cell>
          <cell r="N86" t="str">
            <v>Pistolas Electrostáticas</v>
          </cell>
          <cell r="O86" t="str">
            <v>-</v>
          </cell>
          <cell r="P86" t="str">
            <v>20-25%</v>
          </cell>
          <cell r="Q86" t="str">
            <v>R2K4         Industrial reducer</v>
          </cell>
          <cell r="R86" t="str">
            <v>1.2 mills</v>
          </cell>
          <cell r="S86" t="str">
            <v>-</v>
          </cell>
          <cell r="T86" t="str">
            <v>15 Min. A 350°F</v>
          </cell>
          <cell r="U86" t="str">
            <v>640 Pies Cuadrados/Gl</v>
          </cell>
          <cell r="V86" t="str">
            <v>+90</v>
          </cell>
          <cell r="W86" t="str">
            <v>H</v>
          </cell>
          <cell r="X86" t="str">
            <v>-</v>
          </cell>
          <cell r="Y86" t="str">
            <v>VECESA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S/F</v>
          </cell>
        </row>
        <row r="87">
          <cell r="A87" t="str">
            <v>SAA 3171</v>
          </cell>
          <cell r="B87" t="str">
            <v>Sherwood 850 F.D Kemvar Gloss</v>
          </cell>
          <cell r="C87" t="str">
            <v>-</v>
          </cell>
          <cell r="D87" t="str">
            <v>Madera</v>
          </cell>
          <cell r="E87" t="str">
            <v>Lijada y libre de Polvo</v>
          </cell>
          <cell r="F87" t="str">
            <v>Sellador Vinílico T67F2</v>
          </cell>
          <cell r="G87" t="str">
            <v>7.99 Lbs/Gl</v>
          </cell>
          <cell r="H87" t="str">
            <v>-</v>
          </cell>
          <cell r="I87" t="str">
            <v>43.80%</v>
          </cell>
          <cell r="J87" t="str">
            <v>43.80%</v>
          </cell>
          <cell r="K87" t="str">
            <v>-</v>
          </cell>
          <cell r="L87" t="str">
            <v>35.80%</v>
          </cell>
          <cell r="M87" t="str">
            <v>25-30 Seg. Copa Ford #4</v>
          </cell>
          <cell r="N87" t="str">
            <v>Pistola de Aire</v>
          </cell>
          <cell r="O87" t="str">
            <v>-</v>
          </cell>
          <cell r="P87" t="str">
            <v>4% Más V66V21</v>
          </cell>
          <cell r="Q87" t="str">
            <v>R2K4         Industrial reducer</v>
          </cell>
          <cell r="R87" t="str">
            <v>1.0 mills</v>
          </cell>
          <cell r="S87" t="str">
            <v>Seco Tocar: 30 Min. Seco Completo: 90 Min.</v>
          </cell>
          <cell r="T87" t="str">
            <v>-</v>
          </cell>
          <cell r="U87" t="str">
            <v>574 Pies Cuadrados/Gl</v>
          </cell>
          <cell r="V87" t="str">
            <v>+90</v>
          </cell>
          <cell r="W87" t="str">
            <v>-</v>
          </cell>
          <cell r="X87" t="str">
            <v>-</v>
          </cell>
          <cell r="Y87" t="str">
            <v>Jimenez Castillo Arquitectos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S/F</v>
          </cell>
        </row>
        <row r="88">
          <cell r="A88" t="str">
            <v>SAA 3175</v>
          </cell>
          <cell r="B88" t="str">
            <v>Esmalte Litográfico Troquelable</v>
          </cell>
          <cell r="C88" t="str">
            <v>Interperie</v>
          </cell>
          <cell r="D88" t="str">
            <v>Hojalata ETP</v>
          </cell>
          <cell r="E88" t="str">
            <v>Limpia de Grasa</v>
          </cell>
          <cell r="F88" t="str">
            <v>Ninguno</v>
          </cell>
          <cell r="G88" t="str">
            <v>10.78 Lbs/Gl</v>
          </cell>
          <cell r="H88" t="str">
            <v>55.20%</v>
          </cell>
          <cell r="I88" t="str">
            <v>61.90%</v>
          </cell>
          <cell r="J88" t="str">
            <v>6.70%</v>
          </cell>
          <cell r="K88" t="str">
            <v>25.80%</v>
          </cell>
          <cell r="L88" t="str">
            <v>40.50%</v>
          </cell>
          <cell r="M88" t="str">
            <v>-</v>
          </cell>
          <cell r="N88" t="str">
            <v>Rodilllo</v>
          </cell>
          <cell r="O88" t="str">
            <v>178"-188" Copa Ford #4</v>
          </cell>
          <cell r="P88" t="str">
            <v>-</v>
          </cell>
          <cell r="Q88" t="str">
            <v>-</v>
          </cell>
          <cell r="R88" t="str">
            <v>1.0 mills</v>
          </cell>
          <cell r="S88" t="str">
            <v>-</v>
          </cell>
          <cell r="T88" t="str">
            <v>10 Min a 356°F</v>
          </cell>
          <cell r="U88" t="str">
            <v>649.22 Pies Cuadrados/Gl</v>
          </cell>
          <cell r="V88" t="str">
            <v>-</v>
          </cell>
          <cell r="W88" t="str">
            <v>-</v>
          </cell>
          <cell r="X88" t="str">
            <v>6 meses</v>
          </cell>
          <cell r="Y88" t="str">
            <v>Tapa Metal Guatemala</v>
          </cell>
          <cell r="Z88" t="str">
            <v>Tapones con Rosca</v>
          </cell>
          <cell r="AA88" t="str">
            <v>-</v>
          </cell>
          <cell r="AB88" t="str">
            <v>-</v>
          </cell>
          <cell r="AC88" t="str">
            <v>S/F</v>
          </cell>
        </row>
        <row r="89">
          <cell r="A89" t="str">
            <v>SAA 3181</v>
          </cell>
          <cell r="B89" t="str">
            <v>Esmalte Litográfico Troquelable</v>
          </cell>
          <cell r="C89" t="str">
            <v>Interperie</v>
          </cell>
          <cell r="D89" t="str">
            <v>Hojalata ETP</v>
          </cell>
          <cell r="E89" t="str">
            <v>Limpia de Grasa</v>
          </cell>
          <cell r="F89" t="str">
            <v>Ninguno</v>
          </cell>
          <cell r="G89" t="str">
            <v>11.15 Lbs/Gl</v>
          </cell>
          <cell r="H89" t="str">
            <v>33.60%</v>
          </cell>
          <cell r="I89" t="str">
            <v>60.86%</v>
          </cell>
          <cell r="J89" t="str">
            <v>27.26%</v>
          </cell>
          <cell r="K89" t="str">
            <v>23.65%</v>
          </cell>
          <cell r="L89" t="str">
            <v>46.30%</v>
          </cell>
          <cell r="M89" t="str">
            <v>-</v>
          </cell>
          <cell r="N89" t="str">
            <v>Rodilllo</v>
          </cell>
          <cell r="O89" t="str">
            <v>168 Seg. Copa Ford #4</v>
          </cell>
          <cell r="P89" t="str">
            <v>-</v>
          </cell>
          <cell r="Q89" t="str">
            <v>-</v>
          </cell>
          <cell r="R89" t="str">
            <v>1.0 mills</v>
          </cell>
          <cell r="S89" t="str">
            <v>-</v>
          </cell>
          <cell r="T89" t="str">
            <v>10 Min a 180°C</v>
          </cell>
          <cell r="U89" t="str">
            <v>759.32 Pies Cuadrados/Gl</v>
          </cell>
          <cell r="V89" t="str">
            <v>-</v>
          </cell>
          <cell r="W89" t="str">
            <v>-</v>
          </cell>
          <cell r="X89" t="str">
            <v>6 meses</v>
          </cell>
          <cell r="Y89" t="str">
            <v>Tapa Metal Guatemala</v>
          </cell>
          <cell r="Z89" t="str">
            <v>Tapones con Rosca</v>
          </cell>
          <cell r="AA89" t="str">
            <v>-</v>
          </cell>
          <cell r="AB89" t="str">
            <v>-</v>
          </cell>
          <cell r="AC89" t="str">
            <v>S/F</v>
          </cell>
        </row>
        <row r="90">
          <cell r="A90" t="str">
            <v>SAA 3198</v>
          </cell>
          <cell r="B90" t="str">
            <v>Oil Stain Nogal</v>
          </cell>
          <cell r="C90" t="str">
            <v>Interior</v>
          </cell>
          <cell r="D90" t="str">
            <v>Madera</v>
          </cell>
          <cell r="E90" t="str">
            <v>Lijado</v>
          </cell>
          <cell r="F90" t="str">
            <v>Ninguno</v>
          </cell>
          <cell r="G90" t="str">
            <v>7.61 Lbs/Gl</v>
          </cell>
          <cell r="H90" t="str">
            <v>12.5%</v>
          </cell>
          <cell r="I90" t="str">
            <v>29.47%</v>
          </cell>
          <cell r="J90" t="str">
            <v>18.48%</v>
          </cell>
          <cell r="K90" t="str">
            <v>16.76%</v>
          </cell>
          <cell r="L90" t="str">
            <v>29.47%</v>
          </cell>
          <cell r="M90" t="str">
            <v>10-12 seg Copa Ford #4</v>
          </cell>
          <cell r="N90" t="str">
            <v>Pistola</v>
          </cell>
          <cell r="O90" t="str">
            <v>10-12 seg Copa Ford #4</v>
          </cell>
          <cell r="P90" t="str">
            <v>Ninguno</v>
          </cell>
          <cell r="Q90" t="str">
            <v>Ninguno</v>
          </cell>
          <cell r="R90" t="str">
            <v>-</v>
          </cell>
          <cell r="S90" t="str">
            <v>4 Horas</v>
          </cell>
          <cell r="T90" t="str">
            <v>-</v>
          </cell>
          <cell r="U90" t="str">
            <v>-</v>
          </cell>
          <cell r="V90" t="str">
            <v>Mate</v>
          </cell>
          <cell r="W90" t="str">
            <v>-</v>
          </cell>
          <cell r="X90" t="str">
            <v>12 meses</v>
          </cell>
          <cell r="Y90" t="str">
            <v>Olympia Empac-Guatemala</v>
          </cell>
          <cell r="Z90" t="str">
            <v>Muebles de Madera.</v>
          </cell>
          <cell r="AA90" t="str">
            <v>-</v>
          </cell>
          <cell r="AB90" t="str">
            <v>-</v>
          </cell>
          <cell r="AC90" t="str">
            <v>S/F</v>
          </cell>
        </row>
        <row r="91">
          <cell r="A91" t="str">
            <v>SAA 3199</v>
          </cell>
          <cell r="B91" t="str">
            <v>Sellador Lijable Listo Para Usar</v>
          </cell>
          <cell r="C91" t="str">
            <v>Interior</v>
          </cell>
          <cell r="D91" t="str">
            <v>Madera</v>
          </cell>
          <cell r="E91" t="str">
            <v>Lijado</v>
          </cell>
          <cell r="F91" t="str">
            <v>Oil Stain</v>
          </cell>
          <cell r="G91" t="str">
            <v>7.43 Lbs/Gl</v>
          </cell>
          <cell r="H91" t="str">
            <v>11.90%</v>
          </cell>
          <cell r="I91" t="str">
            <v>25.60%</v>
          </cell>
          <cell r="J91" t="str">
            <v>23.55%</v>
          </cell>
          <cell r="K91" t="str">
            <v>11.20%</v>
          </cell>
          <cell r="L91" t="str">
            <v>18.39%</v>
          </cell>
          <cell r="M91" t="str">
            <v>18-20 seg. Copa Ford #4</v>
          </cell>
          <cell r="N91" t="str">
            <v>Pistola</v>
          </cell>
          <cell r="O91" t="str">
            <v>18-20 seg. Copa Ford #4</v>
          </cell>
          <cell r="P91" t="str">
            <v>Ninguno</v>
          </cell>
          <cell r="Q91" t="str">
            <v>Ninguno</v>
          </cell>
          <cell r="R91" t="str">
            <v>-</v>
          </cell>
          <cell r="S91" t="str">
            <v>20-25 min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12 meses</v>
          </cell>
          <cell r="Y91" t="str">
            <v>Olympia Empac-Guatemala</v>
          </cell>
          <cell r="Z91" t="str">
            <v>Muebles de Madera.</v>
          </cell>
          <cell r="AA91" t="str">
            <v>-</v>
          </cell>
          <cell r="AB91" t="str">
            <v>-</v>
          </cell>
          <cell r="AC91" t="str">
            <v>S/F</v>
          </cell>
        </row>
        <row r="92">
          <cell r="A92" t="str">
            <v>SAA 3200</v>
          </cell>
          <cell r="B92" t="str">
            <v>Laca Transparente Semimate Lista Para Usar</v>
          </cell>
          <cell r="C92" t="str">
            <v>Interior</v>
          </cell>
          <cell r="D92" t="str">
            <v>Madera</v>
          </cell>
          <cell r="E92" t="str">
            <v>Lijado</v>
          </cell>
          <cell r="F92" t="str">
            <v>Oil Stain+Sellador Lijable</v>
          </cell>
          <cell r="G92" t="str">
            <v>7.41 Lbs/Gl</v>
          </cell>
          <cell r="H92" t="str">
            <v>0.005%</v>
          </cell>
          <cell r="I92" t="str">
            <v>20.63%</v>
          </cell>
          <cell r="J92" t="str">
            <v>20.20%</v>
          </cell>
          <cell r="K92" t="str">
            <v>1.66%</v>
          </cell>
          <cell r="L92" t="str">
            <v>13.29%</v>
          </cell>
          <cell r="M92" t="str">
            <v>18-20 seg. Copa Ford #4</v>
          </cell>
          <cell r="N92" t="str">
            <v>Pistola</v>
          </cell>
          <cell r="O92" t="str">
            <v>18-20 seg. Copa Ford #4</v>
          </cell>
          <cell r="P92" t="str">
            <v>Ninguno</v>
          </cell>
          <cell r="Q92" t="str">
            <v>Ninguno</v>
          </cell>
          <cell r="R92" t="str">
            <v>-</v>
          </cell>
          <cell r="S92" t="str">
            <v>20-25 min</v>
          </cell>
          <cell r="T92" t="str">
            <v>-</v>
          </cell>
          <cell r="U92" t="str">
            <v>-</v>
          </cell>
          <cell r="V92" t="str">
            <v>75</v>
          </cell>
          <cell r="W92" t="str">
            <v>-</v>
          </cell>
          <cell r="X92" t="str">
            <v>12 meses</v>
          </cell>
          <cell r="Y92" t="str">
            <v>Olympia Empac-Guatemala</v>
          </cell>
          <cell r="Z92" t="str">
            <v>Muebles de Madera.</v>
          </cell>
          <cell r="AA92" t="str">
            <v>-</v>
          </cell>
          <cell r="AB92" t="str">
            <v>-</v>
          </cell>
          <cell r="AC92" t="str">
            <v>S/F</v>
          </cell>
        </row>
        <row r="93">
          <cell r="A93" t="str">
            <v>SAA 3201</v>
          </cell>
          <cell r="B93" t="str">
            <v>White Wood Surfacer</v>
          </cell>
          <cell r="C93" t="str">
            <v>Interior</v>
          </cell>
          <cell r="D93" t="str">
            <v>Madera</v>
          </cell>
          <cell r="E93" t="str">
            <v>Lijado</v>
          </cell>
          <cell r="F93" t="str">
            <v>Ninguno</v>
          </cell>
          <cell r="G93" t="str">
            <v>8.10 Lbs/Gl</v>
          </cell>
          <cell r="H93" t="str">
            <v>13.50%</v>
          </cell>
          <cell r="I93" t="str">
            <v>31.50%</v>
          </cell>
          <cell r="J93" t="str">
            <v>20.81%</v>
          </cell>
          <cell r="K93" t="str">
            <v>23.74%</v>
          </cell>
          <cell r="L93" t="str">
            <v>18.03%</v>
          </cell>
          <cell r="M93" t="str">
            <v>18-20 seg. Copa Ford #4</v>
          </cell>
          <cell r="N93" t="str">
            <v>Pistola</v>
          </cell>
          <cell r="O93" t="str">
            <v>18-20 seg. Copa Ford #4</v>
          </cell>
          <cell r="P93" t="str">
            <v>Ninguno</v>
          </cell>
          <cell r="Q93" t="str">
            <v>Ninguno</v>
          </cell>
          <cell r="R93" t="str">
            <v>-</v>
          </cell>
          <cell r="S93" t="str">
            <v>20-25 min</v>
          </cell>
          <cell r="T93" t="str">
            <v>-</v>
          </cell>
          <cell r="U93" t="str">
            <v>-</v>
          </cell>
          <cell r="V93" t="str">
            <v>Mate</v>
          </cell>
          <cell r="W93" t="str">
            <v>-</v>
          </cell>
          <cell r="X93" t="str">
            <v>12 meses</v>
          </cell>
          <cell r="Y93" t="str">
            <v>Olympia Empac-Guatemala</v>
          </cell>
          <cell r="Z93" t="str">
            <v>Muebles de Madera.</v>
          </cell>
          <cell r="AA93" t="str">
            <v>-</v>
          </cell>
          <cell r="AB93" t="str">
            <v>-</v>
          </cell>
          <cell r="AC93" t="str">
            <v>S/F</v>
          </cell>
        </row>
        <row r="94">
          <cell r="A94" t="str">
            <v>SAA 3202</v>
          </cell>
          <cell r="B94" t="str">
            <v>Laca Industrial Blanca</v>
          </cell>
          <cell r="C94" t="str">
            <v>Interior</v>
          </cell>
          <cell r="D94" t="str">
            <v>Madera</v>
          </cell>
          <cell r="E94" t="str">
            <v>Lijado</v>
          </cell>
          <cell r="F94" t="str">
            <v>White Wood Surfacer</v>
          </cell>
          <cell r="G94" t="str">
            <v>8.29 Lbs/GL</v>
          </cell>
          <cell r="H94" t="str">
            <v>13.17%</v>
          </cell>
          <cell r="I94" t="str">
            <v>32.81%</v>
          </cell>
          <cell r="J94" t="str">
            <v>22.62%</v>
          </cell>
          <cell r="K94" t="str">
            <v>17.37%</v>
          </cell>
          <cell r="L94" t="str">
            <v>18.54%</v>
          </cell>
          <cell r="M94" t="str">
            <v>18-20 seg. Copa Ford #4</v>
          </cell>
          <cell r="N94" t="str">
            <v>Pistola</v>
          </cell>
          <cell r="O94" t="str">
            <v>18-20 seg. Copa Ford #4</v>
          </cell>
          <cell r="P94" t="str">
            <v>Ninguno</v>
          </cell>
          <cell r="Q94" t="str">
            <v>Ninguno</v>
          </cell>
          <cell r="R94" t="str">
            <v>-</v>
          </cell>
          <cell r="S94" t="str">
            <v>25-30 min</v>
          </cell>
          <cell r="T94" t="str">
            <v>-</v>
          </cell>
          <cell r="U94" t="str">
            <v>-</v>
          </cell>
          <cell r="V94" t="str">
            <v>85</v>
          </cell>
          <cell r="W94" t="str">
            <v>-</v>
          </cell>
          <cell r="X94" t="str">
            <v>12 meses</v>
          </cell>
          <cell r="Y94" t="str">
            <v>Olympia Empac-Guatemala</v>
          </cell>
          <cell r="Z94" t="str">
            <v>Muebles de Madera.</v>
          </cell>
          <cell r="AA94" t="str">
            <v>-</v>
          </cell>
          <cell r="AB94" t="str">
            <v>-</v>
          </cell>
          <cell r="AC94" t="str">
            <v>S/F</v>
          </cell>
        </row>
        <row r="95">
          <cell r="A95" t="str">
            <v>SAA 3203</v>
          </cell>
          <cell r="B95" t="str">
            <v>Laca Industrial Beige</v>
          </cell>
          <cell r="C95" t="str">
            <v>Interior</v>
          </cell>
          <cell r="D95" t="str">
            <v>Madera</v>
          </cell>
          <cell r="E95" t="str">
            <v>Lijado</v>
          </cell>
          <cell r="F95" t="str">
            <v>White Wood Surfacer</v>
          </cell>
          <cell r="G95" t="str">
            <v>8.29 Lbs/GL</v>
          </cell>
          <cell r="H95" t="str">
            <v>13.17%</v>
          </cell>
          <cell r="I95" t="str">
            <v>32.81%</v>
          </cell>
          <cell r="J95" t="str">
            <v>22.62%</v>
          </cell>
          <cell r="K95" t="str">
            <v>17.37%</v>
          </cell>
          <cell r="L95" t="str">
            <v>18.54%</v>
          </cell>
          <cell r="M95" t="str">
            <v>18-20 seg. Copa Ford #4</v>
          </cell>
          <cell r="N95" t="str">
            <v>Pistola</v>
          </cell>
          <cell r="O95" t="str">
            <v>18-20 seg. Copa Ford #4</v>
          </cell>
          <cell r="P95" t="str">
            <v>Ninguno</v>
          </cell>
          <cell r="Q95" t="str">
            <v>Ninguno</v>
          </cell>
          <cell r="R95" t="str">
            <v>-</v>
          </cell>
          <cell r="S95" t="str">
            <v>25-30 min</v>
          </cell>
          <cell r="T95" t="str">
            <v>-</v>
          </cell>
          <cell r="U95" t="str">
            <v>-</v>
          </cell>
          <cell r="V95" t="str">
            <v>85</v>
          </cell>
          <cell r="W95" t="str">
            <v>-</v>
          </cell>
          <cell r="X95" t="str">
            <v>12 meses</v>
          </cell>
          <cell r="Y95" t="str">
            <v>Olympia Empac-Guatemala</v>
          </cell>
          <cell r="Z95" t="str">
            <v>Muebles de Madera.</v>
          </cell>
          <cell r="AA95" t="str">
            <v>-</v>
          </cell>
          <cell r="AB95" t="str">
            <v>-</v>
          </cell>
          <cell r="AC95" t="str">
            <v>S/F</v>
          </cell>
        </row>
        <row r="96">
          <cell r="A96" t="str">
            <v>SAA 3209</v>
          </cell>
          <cell r="B96" t="str">
            <v>Pintura Para Recubrimiento Interior Crema Claro</v>
          </cell>
          <cell r="C96" t="str">
            <v>Interior</v>
          </cell>
          <cell r="D96" t="str">
            <v>Hojalata-Lamina Cromada</v>
          </cell>
          <cell r="E96" t="str">
            <v>Limpieza Adecuada</v>
          </cell>
          <cell r="F96" t="str">
            <v>Ninguno</v>
          </cell>
          <cell r="G96" t="str">
            <v>9.01 Lbs/Gl</v>
          </cell>
          <cell r="H96" t="str">
            <v>14.71%</v>
          </cell>
          <cell r="I96" t="str">
            <v>48.73%</v>
          </cell>
          <cell r="J96" t="str">
            <v>40.45%</v>
          </cell>
          <cell r="K96" t="str">
            <v>11.14%</v>
          </cell>
          <cell r="L96" t="str">
            <v>49.17%</v>
          </cell>
          <cell r="M96" t="str">
            <v>20"-25" Copa Ford #4</v>
          </cell>
          <cell r="N96" t="str">
            <v>Pistola</v>
          </cell>
          <cell r="O96" t="str">
            <v>20"-25" Copa Ford #4</v>
          </cell>
          <cell r="P96" t="str">
            <v>Lo necesario con R2K4</v>
          </cell>
          <cell r="Q96" t="str">
            <v>R2K4         Industrial reducer</v>
          </cell>
          <cell r="R96" t="str">
            <v>1.0-1.2 mills</v>
          </cell>
          <cell r="S96" t="str">
            <v>Al horno</v>
          </cell>
          <cell r="T96" t="str">
            <v>10' a 400°F</v>
          </cell>
          <cell r="U96" t="str">
            <v>-</v>
          </cell>
          <cell r="V96" t="str">
            <v>80-85</v>
          </cell>
          <cell r="W96" t="str">
            <v>F</v>
          </cell>
          <cell r="X96" t="str">
            <v>6 meses</v>
          </cell>
          <cell r="Y96" t="str">
            <v>Colgate Palmolive</v>
          </cell>
          <cell r="Z96" t="str">
            <v>Desodorante en Spray</v>
          </cell>
          <cell r="AA96" t="str">
            <v>-</v>
          </cell>
          <cell r="AB96" t="str">
            <v>-</v>
          </cell>
          <cell r="AC96" t="str">
            <v>S/F</v>
          </cell>
        </row>
        <row r="97">
          <cell r="A97" t="str">
            <v>SAA 3246</v>
          </cell>
          <cell r="B97" t="str">
            <v>Collapsible Tube Enamel Black</v>
          </cell>
          <cell r="C97" t="str">
            <v>Horneo 3 Minutos</v>
          </cell>
          <cell r="D97" t="str">
            <v xml:space="preserve">Aluminio </v>
          </cell>
          <cell r="E97" t="str">
            <v>Limpieza con Solvente Sherwin Clean</v>
          </cell>
          <cell r="F97" t="str">
            <v>Ninguno</v>
          </cell>
          <cell r="G97" t="str">
            <v>8.27 Lbs/Gl</v>
          </cell>
          <cell r="H97" t="str">
            <v>1.18%</v>
          </cell>
          <cell r="I97" t="str">
            <v>34.6%</v>
          </cell>
          <cell r="J97" t="str">
            <v>20%</v>
          </cell>
          <cell r="K97" t="str">
            <v>2.43%</v>
          </cell>
          <cell r="L97" t="str">
            <v>27.6%</v>
          </cell>
          <cell r="M97" t="str">
            <v>4000-5000 Cps</v>
          </cell>
          <cell r="N97" t="str">
            <v>Rodillo</v>
          </cell>
          <cell r="O97" t="str">
            <v>4000-5000 Cps</v>
          </cell>
          <cell r="P97" t="str">
            <v>Ninguno</v>
          </cell>
          <cell r="Q97" t="str">
            <v>Ninguno</v>
          </cell>
          <cell r="R97" t="str">
            <v>1 mills</v>
          </cell>
          <cell r="S97" t="str">
            <v>Horneo</v>
          </cell>
          <cell r="T97" t="str">
            <v>3 Minutos a 300°F</v>
          </cell>
          <cell r="U97" t="str">
            <v>51.4 Mts Cuadrados/Gl</v>
          </cell>
          <cell r="V97" t="str">
            <v>+70</v>
          </cell>
          <cell r="W97" t="str">
            <v>H</v>
          </cell>
          <cell r="X97" t="str">
            <v>-</v>
          </cell>
          <cell r="Y97" t="str">
            <v>Colgate Palmolive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S/F</v>
          </cell>
        </row>
        <row r="98">
          <cell r="A98" t="str">
            <v>SAA 3247</v>
          </cell>
          <cell r="B98" t="str">
            <v>Danish Walnut Gloss Glaze</v>
          </cell>
          <cell r="C98" t="str">
            <v>Interior</v>
          </cell>
          <cell r="D98" t="str">
            <v>Madera</v>
          </cell>
          <cell r="E98" t="str">
            <v>Limpia</v>
          </cell>
          <cell r="F98" t="str">
            <v>Ninguno</v>
          </cell>
          <cell r="G98" t="str">
            <v>7.30 Lbs/Gl</v>
          </cell>
          <cell r="H98" t="str">
            <v>0.41%</v>
          </cell>
          <cell r="I98" t="str">
            <v>13.05%</v>
          </cell>
          <cell r="J98" t="str">
            <v>12.89%</v>
          </cell>
          <cell r="K98" t="str">
            <v>0.45%</v>
          </cell>
          <cell r="L98" t="str">
            <v>8.64%</v>
          </cell>
          <cell r="M98" t="str">
            <v>14"-16" Copa Ford #4</v>
          </cell>
          <cell r="N98" t="str">
            <v>Pistola</v>
          </cell>
          <cell r="O98" t="str">
            <v>14"-16" Copa Ford #4</v>
          </cell>
          <cell r="P98" t="str">
            <v>Listo Para Usar</v>
          </cell>
          <cell r="Q98" t="str">
            <v>R7KB28 Si es Necesario</v>
          </cell>
          <cell r="R98" t="str">
            <v>0.5-2.0 mills</v>
          </cell>
          <cell r="S98" t="str">
            <v>Al Aire 30 min.</v>
          </cell>
          <cell r="T98" t="str">
            <v>-</v>
          </cell>
          <cell r="U98" t="str">
            <v>208.8 pies cuadrados por galón</v>
          </cell>
          <cell r="V98" t="str">
            <v>+80</v>
          </cell>
          <cell r="W98" t="str">
            <v>-</v>
          </cell>
          <cell r="X98" t="str">
            <v>12 meses</v>
          </cell>
          <cell r="Y98" t="str">
            <v>Muebles Molina Hnos</v>
          </cell>
          <cell r="Z98" t="str">
            <v>Muebles de Madera.</v>
          </cell>
          <cell r="AA98" t="str">
            <v>-</v>
          </cell>
          <cell r="AB98" t="str">
            <v>-</v>
          </cell>
          <cell r="AC98" t="str">
            <v>S/F</v>
          </cell>
        </row>
        <row r="99">
          <cell r="A99" t="str">
            <v>SAA 3248</v>
          </cell>
          <cell r="B99" t="str">
            <v>African Mahogany Gloss Glaze</v>
          </cell>
          <cell r="C99" t="str">
            <v>Interior</v>
          </cell>
          <cell r="D99" t="str">
            <v>Madera</v>
          </cell>
          <cell r="E99" t="str">
            <v>Limpia</v>
          </cell>
          <cell r="F99" t="str">
            <v>Ninguno</v>
          </cell>
          <cell r="G99" t="str">
            <v>7.30 Lbs/Gl</v>
          </cell>
          <cell r="H99" t="str">
            <v>0.13%</v>
          </cell>
          <cell r="I99" t="str">
            <v>13.0%</v>
          </cell>
          <cell r="J99" t="str">
            <v>12.84%</v>
          </cell>
          <cell r="K99" t="str">
            <v>0.44%</v>
          </cell>
          <cell r="L99" t="str">
            <v>8.64%</v>
          </cell>
          <cell r="M99" t="str">
            <v>14"-16" Copa Ford #4</v>
          </cell>
          <cell r="N99" t="str">
            <v>Pistola</v>
          </cell>
          <cell r="O99" t="str">
            <v>14"-16" Copa Ford #4</v>
          </cell>
          <cell r="P99" t="str">
            <v>Listo Para Usar</v>
          </cell>
          <cell r="Q99" t="str">
            <v>R7KB28 Si es Necesario</v>
          </cell>
          <cell r="R99" t="str">
            <v>0.5-2.0 mills</v>
          </cell>
          <cell r="S99" t="str">
            <v>Al Aire 30 min.</v>
          </cell>
          <cell r="T99" t="str">
            <v>-</v>
          </cell>
          <cell r="U99" t="str">
            <v>208 pies cuadrados por galón</v>
          </cell>
          <cell r="V99" t="str">
            <v>+80</v>
          </cell>
          <cell r="W99" t="str">
            <v>-</v>
          </cell>
          <cell r="X99" t="str">
            <v>12 meses</v>
          </cell>
          <cell r="Y99" t="str">
            <v>Muebles Molina Hnos</v>
          </cell>
          <cell r="Z99" t="str">
            <v>Muebles de Madera.</v>
          </cell>
          <cell r="AA99" t="str">
            <v>-</v>
          </cell>
          <cell r="AB99" t="str">
            <v>-</v>
          </cell>
          <cell r="AC99" t="str">
            <v>S/F</v>
          </cell>
        </row>
        <row r="100">
          <cell r="A100" t="str">
            <v>SAA 3249</v>
          </cell>
          <cell r="B100" t="str">
            <v>English Oak Gloss Glaze</v>
          </cell>
          <cell r="C100" t="str">
            <v>Interior</v>
          </cell>
          <cell r="D100" t="str">
            <v>Madera</v>
          </cell>
          <cell r="E100" t="str">
            <v>Limpia</v>
          </cell>
          <cell r="F100" t="str">
            <v>Ninguno</v>
          </cell>
          <cell r="G100" t="str">
            <v>7.30 Lbs/Gl</v>
          </cell>
          <cell r="H100" t="str">
            <v>0.21%</v>
          </cell>
          <cell r="I100" t="str">
            <v>13.05%</v>
          </cell>
          <cell r="J100" t="str">
            <v>12.87%</v>
          </cell>
          <cell r="K100" t="str">
            <v>0.45%</v>
          </cell>
          <cell r="L100" t="str">
            <v>8.64%</v>
          </cell>
          <cell r="M100" t="str">
            <v>14"-16" Copa Ford #4</v>
          </cell>
          <cell r="N100" t="str">
            <v>Pistola</v>
          </cell>
          <cell r="O100" t="str">
            <v>14"-16" Copa Ford #4</v>
          </cell>
          <cell r="P100" t="str">
            <v>Listo Para Usar</v>
          </cell>
          <cell r="Q100" t="str">
            <v>R7KB28 Si es Necesario</v>
          </cell>
          <cell r="R100" t="str">
            <v>0.5-2.0 mills</v>
          </cell>
          <cell r="S100" t="str">
            <v>Al Aire 30 min.</v>
          </cell>
          <cell r="T100" t="str">
            <v>-</v>
          </cell>
          <cell r="U100" t="str">
            <v>208.8 pies cuadrados por galón</v>
          </cell>
          <cell r="V100" t="str">
            <v>+80</v>
          </cell>
          <cell r="W100" t="str">
            <v>-</v>
          </cell>
          <cell r="X100" t="str">
            <v>12 meses</v>
          </cell>
          <cell r="Y100" t="str">
            <v>Muebles Molina Hnos</v>
          </cell>
          <cell r="Z100" t="str">
            <v>Muebles de Madera.</v>
          </cell>
          <cell r="AA100" t="str">
            <v>-</v>
          </cell>
          <cell r="AB100" t="str">
            <v>-</v>
          </cell>
          <cell r="AC100" t="str">
            <v>S/F</v>
          </cell>
        </row>
        <row r="101">
          <cell r="A101" t="str">
            <v>SAA 3250</v>
          </cell>
          <cell r="B101" t="str">
            <v>Danish Walnut Flat Glaze</v>
          </cell>
          <cell r="C101" t="str">
            <v>Interior</v>
          </cell>
          <cell r="D101" t="str">
            <v>Madera</v>
          </cell>
          <cell r="E101" t="str">
            <v>Limpia</v>
          </cell>
          <cell r="F101" t="str">
            <v>Ninguno</v>
          </cell>
          <cell r="G101" t="str">
            <v>7.22 Lbs/Gl</v>
          </cell>
          <cell r="H101" t="str">
            <v>0.60%</v>
          </cell>
          <cell r="I101" t="str">
            <v>11.62%</v>
          </cell>
          <cell r="J101" t="str">
            <v>11.09%</v>
          </cell>
          <cell r="K101" t="str">
            <v>2.59%</v>
          </cell>
          <cell r="L101" t="str">
            <v>7.92%</v>
          </cell>
          <cell r="M101" t="str">
            <v>14"-16" Copa Ford #4</v>
          </cell>
          <cell r="N101" t="str">
            <v>Pistola</v>
          </cell>
          <cell r="O101" t="str">
            <v>14"-16" Copa Ford #4</v>
          </cell>
          <cell r="P101" t="str">
            <v>Listo Para Usar</v>
          </cell>
          <cell r="Q101" t="str">
            <v>R7KB28 Si es Necesario</v>
          </cell>
          <cell r="R101" t="str">
            <v>0.5-2.0 mills</v>
          </cell>
          <cell r="S101" t="str">
            <v>Al Aire 30 min.</v>
          </cell>
          <cell r="T101" t="str">
            <v>-</v>
          </cell>
          <cell r="U101" t="str">
            <v>185.92 pies cuadrados por galón</v>
          </cell>
          <cell r="V101" t="str">
            <v>+80</v>
          </cell>
          <cell r="W101" t="str">
            <v>-</v>
          </cell>
          <cell r="X101" t="str">
            <v>12 meses</v>
          </cell>
          <cell r="Y101" t="str">
            <v>Muebles Molina Hnos</v>
          </cell>
          <cell r="Z101" t="str">
            <v>Muebles de Madera.</v>
          </cell>
          <cell r="AA101" t="str">
            <v>-</v>
          </cell>
          <cell r="AB101" t="str">
            <v>-</v>
          </cell>
          <cell r="AC101" t="str">
            <v>S/F</v>
          </cell>
        </row>
        <row r="102">
          <cell r="A102" t="str">
            <v>SAA 3251</v>
          </cell>
          <cell r="B102" t="str">
            <v>African Mahogany Flat Glaze</v>
          </cell>
          <cell r="C102" t="str">
            <v>Interior</v>
          </cell>
          <cell r="D102" t="str">
            <v>Madera</v>
          </cell>
          <cell r="E102" t="str">
            <v>Limpia</v>
          </cell>
          <cell r="F102" t="str">
            <v>Ninguno</v>
          </cell>
          <cell r="G102" t="str">
            <v>7.22 Lbs/Gl</v>
          </cell>
          <cell r="H102" t="str">
            <v>0.61%</v>
          </cell>
          <cell r="I102" t="str">
            <v>11.58%</v>
          </cell>
          <cell r="J102" t="str">
            <v>11.04%</v>
          </cell>
          <cell r="K102" t="str">
            <v>3.01%</v>
          </cell>
          <cell r="L102" t="str">
            <v>7.91%</v>
          </cell>
          <cell r="M102" t="str">
            <v>14"-16" Copa Ford #4</v>
          </cell>
          <cell r="N102" t="str">
            <v>Pistola</v>
          </cell>
          <cell r="O102" t="str">
            <v>14"-16" Copa Ford #4</v>
          </cell>
          <cell r="P102" t="str">
            <v>Listo Para Usar</v>
          </cell>
          <cell r="Q102" t="str">
            <v>R7KB28 Si es Necesario</v>
          </cell>
          <cell r="R102" t="str">
            <v>0.5-2.0 mills</v>
          </cell>
          <cell r="S102" t="str">
            <v>Al Aire 30 min.</v>
          </cell>
          <cell r="T102" t="str">
            <v>-</v>
          </cell>
          <cell r="U102" t="str">
            <v>185.28 pies cuadrados por galón</v>
          </cell>
          <cell r="V102" t="str">
            <v>+80</v>
          </cell>
          <cell r="W102" t="str">
            <v>-</v>
          </cell>
          <cell r="X102" t="str">
            <v>12 meses</v>
          </cell>
          <cell r="Y102" t="str">
            <v>Muebles Molina Hnos</v>
          </cell>
          <cell r="Z102" t="str">
            <v>Muebles de Madera.</v>
          </cell>
          <cell r="AA102" t="str">
            <v>-</v>
          </cell>
          <cell r="AB102" t="str">
            <v>-</v>
          </cell>
          <cell r="AC102" t="str">
            <v>S/F</v>
          </cell>
        </row>
        <row r="103">
          <cell r="A103" t="str">
            <v>SAA 3252</v>
          </cell>
          <cell r="B103" t="str">
            <v>English Oak Flat Glaze</v>
          </cell>
          <cell r="C103" t="str">
            <v>Interior</v>
          </cell>
          <cell r="D103" t="str">
            <v>Madera</v>
          </cell>
          <cell r="E103" t="str">
            <v>Limpia</v>
          </cell>
          <cell r="F103" t="str">
            <v>Ninguno</v>
          </cell>
          <cell r="G103" t="str">
            <v>7.22 Lbs/Gl</v>
          </cell>
          <cell r="H103" t="str">
            <v>0.60%</v>
          </cell>
          <cell r="I103" t="str">
            <v>11.63%</v>
          </cell>
          <cell r="J103" t="str">
            <v>11.09%</v>
          </cell>
          <cell r="K103" t="str">
            <v>2.52%</v>
          </cell>
          <cell r="L103" t="str">
            <v>8.11%</v>
          </cell>
          <cell r="M103" t="str">
            <v>14"-16" Copa Ford #4</v>
          </cell>
          <cell r="N103" t="str">
            <v>Pistola</v>
          </cell>
          <cell r="O103" t="str">
            <v>14"-16" Copa Ford #4</v>
          </cell>
          <cell r="P103" t="str">
            <v>Listo Para Usar</v>
          </cell>
          <cell r="Q103" t="str">
            <v>R7KB28 Si es Necesario</v>
          </cell>
          <cell r="R103" t="str">
            <v>0.5-2.0 mills</v>
          </cell>
          <cell r="S103" t="str">
            <v>Al Aire 30 min.</v>
          </cell>
          <cell r="T103" t="str">
            <v>-</v>
          </cell>
          <cell r="U103" t="str">
            <v>186.08 pies cuadrados por galón</v>
          </cell>
          <cell r="V103" t="str">
            <v>+60</v>
          </cell>
          <cell r="W103" t="str">
            <v>-</v>
          </cell>
          <cell r="X103" t="str">
            <v>12 meses</v>
          </cell>
          <cell r="Y103" t="str">
            <v>Muebles Molina Hnos</v>
          </cell>
          <cell r="Z103" t="str">
            <v>Muebles de Madera.</v>
          </cell>
          <cell r="AA103" t="str">
            <v>-</v>
          </cell>
          <cell r="AB103" t="str">
            <v>-</v>
          </cell>
          <cell r="AC103" t="str">
            <v>S/F</v>
          </cell>
        </row>
        <row r="104">
          <cell r="A104" t="str">
            <v>SAA 3299</v>
          </cell>
          <cell r="B104" t="str">
            <v>Sherwood Super Kem Var "C" Gloss (Catalizado)</v>
          </cell>
          <cell r="C104" t="str">
            <v>Interior</v>
          </cell>
          <cell r="D104" t="str">
            <v>Madera</v>
          </cell>
          <cell r="E104" t="str">
            <v>Lijada, Libre de Polvo</v>
          </cell>
          <cell r="F104" t="str">
            <v>Sellador T60F50</v>
          </cell>
          <cell r="G104" t="str">
            <v>8.02 Lbs/Gl</v>
          </cell>
          <cell r="H104" t="str">
            <v>-</v>
          </cell>
          <cell r="I104" t="str">
            <v>45%</v>
          </cell>
          <cell r="J104" t="str">
            <v>52%</v>
          </cell>
          <cell r="K104" t="str">
            <v>-</v>
          </cell>
          <cell r="L104" t="str">
            <v>37.67%</v>
          </cell>
          <cell r="M104" t="str">
            <v>18"-22" Copa Ford #4</v>
          </cell>
          <cell r="N104" t="str">
            <v>Pistola de Aire</v>
          </cell>
          <cell r="O104" t="str">
            <v>18"-22" Copa Ford #4</v>
          </cell>
          <cell r="P104" t="str">
            <v>5% de V66V21 (Catalizador)</v>
          </cell>
          <cell r="Q104" t="str">
            <v>Ninguno</v>
          </cell>
          <cell r="R104" t="str">
            <v>1 mills</v>
          </cell>
          <cell r="S104" t="str">
            <v>Seco Tocar: 15 Min. Seco Completo 30 Min.</v>
          </cell>
          <cell r="T104" t="str">
            <v>-</v>
          </cell>
          <cell r="U104" t="str">
            <v>215 Pies Cuadrados/Gl</v>
          </cell>
          <cell r="V104" t="str">
            <v>+90</v>
          </cell>
          <cell r="W104" t="str">
            <v>4H (1 Mano), Mayor de 6H ( 2 Manos)</v>
          </cell>
          <cell r="X104" t="str">
            <v>-</v>
          </cell>
          <cell r="Y104" t="str">
            <v>INDECO-Guatemala</v>
          </cell>
          <cell r="Z104" t="str">
            <v>Muebles de Madera.</v>
          </cell>
          <cell r="AA104" t="str">
            <v>Este Producto Puede Permanecer Catalizado 7 Horas Antes de Gelarse Por la Catalización.</v>
          </cell>
          <cell r="AB104" t="str">
            <v>-</v>
          </cell>
          <cell r="AC104" t="str">
            <v>S/F</v>
          </cell>
        </row>
        <row r="105">
          <cell r="A105" t="str">
            <v>SAA 3300</v>
          </cell>
          <cell r="B105" t="str">
            <v>Tapaporo Nogal Oscuro Listo Para Usar</v>
          </cell>
          <cell r="C105" t="str">
            <v>Interior-Exterior</v>
          </cell>
          <cell r="D105" t="str">
            <v>Madera</v>
          </cell>
          <cell r="E105" t="str">
            <v>Lijada, Libre de Polvo</v>
          </cell>
          <cell r="F105" t="str">
            <v>Ninguno</v>
          </cell>
          <cell r="G105" t="str">
            <v>10.42 Lbs/Gl</v>
          </cell>
          <cell r="H105" t="str">
            <v>-</v>
          </cell>
          <cell r="I105" t="str">
            <v>50.8%</v>
          </cell>
          <cell r="J105" t="str">
            <v>45%</v>
          </cell>
          <cell r="K105" t="str">
            <v>-</v>
          </cell>
          <cell r="L105" t="str">
            <v>28.18%</v>
          </cell>
          <cell r="M105" t="str">
            <v>18"-22" Copa Ford #4</v>
          </cell>
          <cell r="N105" t="str">
            <v>Brocha-Whipe</v>
          </cell>
          <cell r="O105" t="str">
            <v>18"-22" Copa Ford #4</v>
          </cell>
          <cell r="P105" t="str">
            <v>Ninguno</v>
          </cell>
          <cell r="Q105" t="str">
            <v>Ninguno</v>
          </cell>
          <cell r="R105" t="str">
            <v>-</v>
          </cell>
          <cell r="S105" t="str">
            <v>5-10 MInutos</v>
          </cell>
          <cell r="T105" t="str">
            <v>-</v>
          </cell>
          <cell r="U105" t="str">
            <v>100 Mts Cuadrados/Gl</v>
          </cell>
          <cell r="V105" t="str">
            <v>Mate</v>
          </cell>
          <cell r="W105" t="str">
            <v>-</v>
          </cell>
          <cell r="X105" t="str">
            <v>-</v>
          </cell>
          <cell r="Y105" t="str">
            <v>INDECO-Guatemala</v>
          </cell>
          <cell r="Z105" t="str">
            <v>Muebles de Madera.</v>
          </cell>
          <cell r="AA105" t="str">
            <v>-</v>
          </cell>
          <cell r="AB105" t="str">
            <v>-</v>
          </cell>
          <cell r="AC105" t="str">
            <v>S/F</v>
          </cell>
        </row>
        <row r="106">
          <cell r="A106" t="str">
            <v>SAA 3302</v>
          </cell>
          <cell r="B106" t="str">
            <v>Barniz Sanitario Fenólico</v>
          </cell>
          <cell r="C106" t="str">
            <v>Interior-Exterior</v>
          </cell>
          <cell r="D106" t="str">
            <v>Hojalata</v>
          </cell>
          <cell r="E106" t="str">
            <v>Lipiar con Solvente</v>
          </cell>
          <cell r="F106" t="str">
            <v>Ninguno</v>
          </cell>
          <cell r="G106" t="str">
            <v>7.65 Lbs/Gl</v>
          </cell>
          <cell r="H106" t="str">
            <v>-</v>
          </cell>
          <cell r="I106" t="str">
            <v>27.7%</v>
          </cell>
          <cell r="J106" t="str">
            <v>54%</v>
          </cell>
          <cell r="K106" t="str">
            <v>-</v>
          </cell>
          <cell r="L106" t="str">
            <v>20.39%</v>
          </cell>
          <cell r="M106" t="str">
            <v>14"-17" Copa Ford #4</v>
          </cell>
          <cell r="N106" t="str">
            <v>Pistola de Aire</v>
          </cell>
          <cell r="O106" t="str">
            <v>14"-17" Copa Ford #4</v>
          </cell>
          <cell r="P106" t="str">
            <v>Ninguno</v>
          </cell>
          <cell r="Q106" t="str">
            <v>Ninguno</v>
          </cell>
          <cell r="R106" t="str">
            <v>1.0 mills</v>
          </cell>
          <cell r="S106" t="str">
            <v>Horneo</v>
          </cell>
          <cell r="T106" t="str">
            <v>20' a 375°F (190 °C)</v>
          </cell>
          <cell r="U106" t="str">
            <v>-</v>
          </cell>
          <cell r="V106" t="str">
            <v>Full</v>
          </cell>
          <cell r="W106" t="str">
            <v>5H-6H</v>
          </cell>
          <cell r="X106" t="str">
            <v>-</v>
          </cell>
          <cell r="Y106" t="str">
            <v>CORLASA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S/F</v>
          </cell>
        </row>
        <row r="107">
          <cell r="A107" t="str">
            <v>SAA 3305</v>
          </cell>
          <cell r="B107" t="str">
            <v>Tile Clad Enamel Blanco Hueso</v>
          </cell>
          <cell r="C107" t="str">
            <v>Interior</v>
          </cell>
          <cell r="D107" t="str">
            <v>Hierro-Acero-Aluminio</v>
          </cell>
          <cell r="E107" t="str">
            <v>Limpieza con Solvente</v>
          </cell>
          <cell r="F107" t="str">
            <v>Zinc Clad 7 (B69A47)</v>
          </cell>
          <cell r="G107" t="str">
            <v>11.03-11.15 Lbs/Gl</v>
          </cell>
          <cell r="H107" t="str">
            <v>43%</v>
          </cell>
          <cell r="I107" t="str">
            <v>63.7%</v>
          </cell>
          <cell r="J107" t="str">
            <v>60%</v>
          </cell>
          <cell r="K107" t="str">
            <v>37%</v>
          </cell>
          <cell r="L107" t="str">
            <v>43.7%</v>
          </cell>
          <cell r="M107" t="str">
            <v>75-80 KU</v>
          </cell>
          <cell r="N107" t="str">
            <v>Pistola de Aire-Brocha</v>
          </cell>
          <cell r="O107" t="str">
            <v>30-35 KU (Mezclado con Eggshell Hardener)</v>
          </cell>
          <cell r="P107" t="str">
            <v>20% con R2K4</v>
          </cell>
          <cell r="Q107" t="str">
            <v>R2K4         Industrial reducer</v>
          </cell>
          <cell r="R107" t="str">
            <v>1 mills</v>
          </cell>
          <cell r="S107" t="str">
            <v>Tocar: 1 Hra. Completo: 4 Hrs. Segunda Mano: 6 Hrs a Temperatura Ambiente</v>
          </cell>
          <cell r="T107" t="str">
            <v>-</v>
          </cell>
          <cell r="U107" t="str">
            <v>740 Pies cuadrados por Galon</v>
          </cell>
          <cell r="V107" t="str">
            <v>+35</v>
          </cell>
          <cell r="W107" t="str">
            <v>6H-7H</v>
          </cell>
          <cell r="X107" t="str">
            <v>36 meses cerrado</v>
          </cell>
          <cell r="Y107" t="str">
            <v>Beneficio El Tazumal (Chalchuapa)/(IMSA) Industrias Metalicas, S.A.</v>
          </cell>
          <cell r="Z107" t="str">
            <v>-</v>
          </cell>
          <cell r="AA107" t="str">
            <v>Mezclar una parte de Tile Clad con una parte de Eggshell Hardener, en volumen. Dejar reposar una hora antes de Aplicar. Tiempo de vida de la mezcla 8 horas.</v>
          </cell>
          <cell r="AB107" t="str">
            <v>-</v>
          </cell>
          <cell r="AC107" t="str">
            <v>S/F</v>
          </cell>
        </row>
        <row r="108">
          <cell r="A108" t="str">
            <v>SAA 3306</v>
          </cell>
          <cell r="B108" t="str">
            <v>Eggshell Hardener (Catalizador De Tile Clad Enamel)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10.42-10.67 Lbs/Gl</v>
          </cell>
          <cell r="H108" t="str">
            <v>32%</v>
          </cell>
          <cell r="I108" t="str">
            <v>69.57%</v>
          </cell>
          <cell r="J108" t="str">
            <v>60%</v>
          </cell>
          <cell r="K108" t="str">
            <v>26.6%</v>
          </cell>
          <cell r="L108" t="str">
            <v>55.9%</v>
          </cell>
          <cell r="M108" t="str">
            <v>75-80 KU</v>
          </cell>
          <cell r="N108" t="str">
            <v>Mezclar uno a uno en volumen con Tile Clad Enamel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Beneficio El Tazumal (Chalchuapa)/(IMSA) Industrias Metalicas, S.A.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S/F</v>
          </cell>
        </row>
        <row r="109">
          <cell r="A109" t="str">
            <v>SAA 3309</v>
          </cell>
          <cell r="B109" t="str">
            <v>Barniz Final Para Hojalata</v>
          </cell>
          <cell r="C109" t="str">
            <v>Interior-Exterior</v>
          </cell>
          <cell r="D109" t="str">
            <v>Hojalata</v>
          </cell>
          <cell r="E109" t="str">
            <v xml:space="preserve">Limpia </v>
          </cell>
          <cell r="F109" t="str">
            <v>Ninguno</v>
          </cell>
          <cell r="G109" t="str">
            <v>7.98 Lbs/Gl</v>
          </cell>
          <cell r="H109" t="str">
            <v>-</v>
          </cell>
          <cell r="I109" t="str">
            <v>42.50%</v>
          </cell>
          <cell r="J109" t="str">
            <v>42.50%</v>
          </cell>
          <cell r="K109" t="str">
            <v>-</v>
          </cell>
          <cell r="L109" t="str">
            <v>33.60%</v>
          </cell>
          <cell r="M109" t="str">
            <v>60"-65" copa Ford #4</v>
          </cell>
          <cell r="N109" t="str">
            <v>Rodillo</v>
          </cell>
          <cell r="O109" t="str">
            <v>60"-65" Copa Ford #4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12 Min a 160°C</v>
          </cell>
          <cell r="U109" t="str">
            <v>680 Pies cuadrados por Galón</v>
          </cell>
          <cell r="V109" t="str">
            <v>+90</v>
          </cell>
          <cell r="W109" t="str">
            <v>HB</v>
          </cell>
          <cell r="X109" t="str">
            <v>12 meses</v>
          </cell>
          <cell r="Y109" t="str">
            <v>Central de Empaques, Didema Guatemala</v>
          </cell>
          <cell r="Z109" t="str">
            <v>Corcholatas y Hojalatas</v>
          </cell>
          <cell r="AA109" t="str">
            <v>-</v>
          </cell>
          <cell r="AB109" t="str">
            <v>-</v>
          </cell>
          <cell r="AC109" t="str">
            <v>S/F</v>
          </cell>
        </row>
        <row r="110">
          <cell r="A110" t="str">
            <v>SAA 3310</v>
          </cell>
          <cell r="B110" t="str">
            <v>Barniz De Sobre Impresión</v>
          </cell>
          <cell r="C110" t="str">
            <v>Interior-Exterior</v>
          </cell>
          <cell r="D110" t="str">
            <v>Hojalata</v>
          </cell>
          <cell r="E110" t="str">
            <v xml:space="preserve">Limpia </v>
          </cell>
          <cell r="F110" t="str">
            <v>Ninguno</v>
          </cell>
          <cell r="G110" t="str">
            <v>7.98 Lbs/Gl</v>
          </cell>
          <cell r="H110" t="str">
            <v>-</v>
          </cell>
          <cell r="I110" t="str">
            <v>42.50%</v>
          </cell>
          <cell r="J110" t="str">
            <v>42.50%</v>
          </cell>
          <cell r="K110" t="str">
            <v>-</v>
          </cell>
          <cell r="L110" t="str">
            <v>33.60%</v>
          </cell>
          <cell r="M110" t="str">
            <v>60"-65" copa Ford #4</v>
          </cell>
          <cell r="N110" t="str">
            <v>Rodillo</v>
          </cell>
          <cell r="O110" t="str">
            <v>60"-65" Copa Ford #4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12 Min a 160°C</v>
          </cell>
          <cell r="U110" t="str">
            <v>680 Pies cuadrados por Galón</v>
          </cell>
          <cell r="V110" t="str">
            <v>+90</v>
          </cell>
          <cell r="W110" t="str">
            <v>HB</v>
          </cell>
          <cell r="X110" t="str">
            <v>12 meses</v>
          </cell>
          <cell r="Y110" t="str">
            <v>Central de Empaques, Didema Guatemala</v>
          </cell>
          <cell r="Z110" t="str">
            <v>Corcholatas y Hojalatas</v>
          </cell>
          <cell r="AA110" t="str">
            <v>-</v>
          </cell>
          <cell r="AB110" t="str">
            <v>-</v>
          </cell>
          <cell r="AC110" t="str">
            <v>S/F</v>
          </cell>
        </row>
        <row r="111">
          <cell r="A111" t="str">
            <v>SAA 3330</v>
          </cell>
          <cell r="B111" t="str">
            <v>Sellador Extra Concentrado</v>
          </cell>
          <cell r="C111" t="str">
            <v>Interior</v>
          </cell>
          <cell r="D111" t="str">
            <v>Madera</v>
          </cell>
          <cell r="E111" t="str">
            <v>Lijada y Limpia de Polvo</v>
          </cell>
          <cell r="F111" t="str">
            <v>D70T1</v>
          </cell>
          <cell r="G111" t="str">
            <v>8.02 Lbs/Gl</v>
          </cell>
          <cell r="H111" t="str">
            <v>-</v>
          </cell>
          <cell r="I111" t="str">
            <v>42.24%</v>
          </cell>
          <cell r="J111" t="str">
            <v>-</v>
          </cell>
          <cell r="K111" t="str">
            <v>-</v>
          </cell>
          <cell r="L111" t="str">
            <v>24.38%</v>
          </cell>
          <cell r="M111" t="str">
            <v>105,000-115,000 cps</v>
          </cell>
          <cell r="N111" t="str">
            <v>Pistola de Aire</v>
          </cell>
          <cell r="O111" t="str">
            <v>25"-30" Copa Zanh #2</v>
          </cell>
          <cell r="P111" t="str">
            <v>400%</v>
          </cell>
          <cell r="Q111" t="str">
            <v>R7K128</v>
          </cell>
          <cell r="R111" t="str">
            <v>-</v>
          </cell>
          <cell r="S111" t="str">
            <v>Tocar: 5 Min Completo: 20 Min</v>
          </cell>
          <cell r="T111" t="str">
            <v>-</v>
          </cell>
          <cell r="U111" t="str">
            <v>-</v>
          </cell>
          <cell r="V111" t="str">
            <v>Mate</v>
          </cell>
          <cell r="W111" t="str">
            <v>-</v>
          </cell>
          <cell r="X111" t="str">
            <v>-</v>
          </cell>
          <cell r="Y111" t="str">
            <v xml:space="preserve">DIDEMA  </v>
          </cell>
          <cell r="Z111" t="str">
            <v>Muebles de Madera.</v>
          </cell>
          <cell r="AA111" t="str">
            <v>-</v>
          </cell>
          <cell r="AB111" t="str">
            <v>-</v>
          </cell>
          <cell r="AC111" t="str">
            <v>S/F</v>
          </cell>
        </row>
        <row r="112">
          <cell r="A112" t="str">
            <v>SAA 3335</v>
          </cell>
          <cell r="B112" t="str">
            <v>Laca Transparente Brillante Especial</v>
          </cell>
          <cell r="C112" t="str">
            <v>Interiores</v>
          </cell>
          <cell r="D112" t="str">
            <v>Hierro (Picos, Azadones, Palas)</v>
          </cell>
          <cell r="E112" t="str">
            <v>Limpiar con solvente R7K128</v>
          </cell>
          <cell r="F112" t="str">
            <v>Ninguno</v>
          </cell>
          <cell r="G112" t="str">
            <v>7.44 Lbs/Gl</v>
          </cell>
          <cell r="H112" t="str">
            <v>-</v>
          </cell>
          <cell r="I112" t="str">
            <v>21.5%</v>
          </cell>
          <cell r="J112" t="str">
            <v>-</v>
          </cell>
          <cell r="K112" t="str">
            <v>-</v>
          </cell>
          <cell r="L112" t="str">
            <v>15.65%</v>
          </cell>
          <cell r="M112" t="str">
            <v>28-32" Copa Ford #4</v>
          </cell>
          <cell r="N112" t="str">
            <v>Inmersion</v>
          </cell>
          <cell r="O112" t="str">
            <v>28-32" Copa Ford #4</v>
          </cell>
          <cell r="P112" t="str">
            <v>Ninguno</v>
          </cell>
          <cell r="Q112" t="str">
            <v>Ninguno</v>
          </cell>
          <cell r="R112" t="str">
            <v>1 mills</v>
          </cell>
          <cell r="S112" t="str">
            <v>Tacto: 5-10 min Manejable: 15 min</v>
          </cell>
          <cell r="T112" t="str">
            <v>-</v>
          </cell>
          <cell r="U112" t="str">
            <v>-</v>
          </cell>
          <cell r="V112" t="str">
            <v>75-85</v>
          </cell>
          <cell r="W112" t="str">
            <v>-</v>
          </cell>
          <cell r="X112" t="str">
            <v>-</v>
          </cell>
          <cell r="Y112" t="str">
            <v>Vidri</v>
          </cell>
          <cell r="Z112" t="str">
            <v>Picos, Azadones, Palas</v>
          </cell>
          <cell r="AA112" t="str">
            <v>-</v>
          </cell>
          <cell r="AB112" t="str">
            <v>-</v>
          </cell>
          <cell r="AC112" t="str">
            <v>S/F</v>
          </cell>
        </row>
        <row r="113">
          <cell r="A113" t="str">
            <v>SAA 3672</v>
          </cell>
          <cell r="B113" t="str">
            <v>Anticorrosivo Blanco</v>
          </cell>
          <cell r="C113" t="str">
            <v>Interior-Exterior (Recubierta)</v>
          </cell>
          <cell r="D113" t="str">
            <v>Metal (Hierro)</v>
          </cell>
          <cell r="E113" t="str">
            <v>Limpia y Libre de Corrosión</v>
          </cell>
          <cell r="F113" t="str">
            <v>Ninguno</v>
          </cell>
          <cell r="G113" t="str">
            <v>11.17 Lbs/Gl</v>
          </cell>
          <cell r="H113" t="str">
            <v>78% (Respecto a Sólidos)</v>
          </cell>
          <cell r="I113" t="str">
            <v>65.33%</v>
          </cell>
          <cell r="J113" t="str">
            <v>22%</v>
          </cell>
          <cell r="K113" t="str">
            <v>56.6%</v>
          </cell>
          <cell r="L113" t="str">
            <v>41.5%</v>
          </cell>
          <cell r="M113" t="str">
            <v>78-85 KU</v>
          </cell>
          <cell r="N113" t="str">
            <v>Brocha-Pistola</v>
          </cell>
          <cell r="O113" t="str">
            <v>Brocha: 70-80 KU</v>
          </cell>
          <cell r="P113" t="str">
            <v>5-10%</v>
          </cell>
          <cell r="Q113" t="str">
            <v>R1K4</v>
          </cell>
          <cell r="R113" t="str">
            <v>2 mils</v>
          </cell>
          <cell r="S113" t="str">
            <v>Al Aire 5-7 Horas</v>
          </cell>
          <cell r="T113" t="str">
            <v>-</v>
          </cell>
          <cell r="U113" t="str">
            <v>-</v>
          </cell>
          <cell r="V113" t="str">
            <v>Semi-Mate</v>
          </cell>
          <cell r="W113" t="str">
            <v>-</v>
          </cell>
          <cell r="X113" t="str">
            <v>-</v>
          </cell>
          <cell r="Y113" t="str">
            <v xml:space="preserve">DIDEMA, S.A  </v>
          </cell>
          <cell r="Z113" t="str">
            <v>-</v>
          </cell>
          <cell r="AA113" t="str">
            <v>-</v>
          </cell>
          <cell r="AB113" t="str">
            <v>Rene Ferrufino</v>
          </cell>
          <cell r="AC113" t="str">
            <v>S/F</v>
          </cell>
        </row>
        <row r="114">
          <cell r="A114" t="str">
            <v>SAA 3769</v>
          </cell>
          <cell r="B114" t="str">
            <v>Permaclad 2500 White</v>
          </cell>
          <cell r="C114" t="str">
            <v>Interior</v>
          </cell>
          <cell r="D114" t="str">
            <v>Hierro</v>
          </cell>
          <cell r="E114" t="str">
            <v>Limpio con Solvente</v>
          </cell>
          <cell r="F114" t="str">
            <v>Ninguno</v>
          </cell>
          <cell r="G114" t="str">
            <v>12.02 Lbs/Gl</v>
          </cell>
          <cell r="H114" t="str">
            <v>41.28%</v>
          </cell>
          <cell r="I114" t="str">
            <v>79.75%</v>
          </cell>
          <cell r="J114" t="str">
            <v>65.51%</v>
          </cell>
          <cell r="K114" t="str">
            <v>22.80%</v>
          </cell>
          <cell r="L114" t="str">
            <v>65.69%</v>
          </cell>
          <cell r="M114" t="str">
            <v>30"-40" Copa Zanh #2</v>
          </cell>
          <cell r="N114" t="str">
            <v>Pistola</v>
          </cell>
          <cell r="O114" t="str">
            <v>18"-20" Copa Ford #4</v>
          </cell>
          <cell r="P114" t="str">
            <v>20%</v>
          </cell>
          <cell r="Q114" t="str">
            <v>R2K4         Industrial reducer</v>
          </cell>
          <cell r="R114" t="str">
            <v>1.0-1.2 mills</v>
          </cell>
          <cell r="S114" t="str">
            <v>Al Horno</v>
          </cell>
          <cell r="T114" t="str">
            <v>11' a 325°F</v>
          </cell>
          <cell r="U114" t="str">
            <v>1276 Pies Cuadrados/Gl a 1 mills seco</v>
          </cell>
          <cell r="V114" t="str">
            <v>85-90</v>
          </cell>
          <cell r="W114" t="str">
            <v>H-2H</v>
          </cell>
          <cell r="X114" t="str">
            <v>-</v>
          </cell>
          <cell r="Y114" t="str">
            <v>IMSA</v>
          </cell>
          <cell r="Z114" t="str">
            <v>Muebles Metálicos</v>
          </cell>
          <cell r="AA114" t="str">
            <v>-</v>
          </cell>
          <cell r="AB114" t="str">
            <v>Luis Nolasco</v>
          </cell>
          <cell r="AC114" t="str">
            <v>S/F</v>
          </cell>
        </row>
        <row r="115">
          <cell r="A115" t="str">
            <v>SAA 3791</v>
          </cell>
          <cell r="B115" t="str">
            <v>Esmalte Horneable Acrilico Blanco TAPPAN</v>
          </cell>
          <cell r="C115" t="str">
            <v>Interior-Exterior Limitada</v>
          </cell>
          <cell r="D115" t="str">
            <v>Hierro</v>
          </cell>
          <cell r="E115" t="str">
            <v>Lavado, Desengrase y Fosfatizado</v>
          </cell>
          <cell r="F115" t="str">
            <v>E68WSA4 Acrylic Monobake White Primer</v>
          </cell>
          <cell r="G115" t="str">
            <v>10.06 Lbs/Gl</v>
          </cell>
          <cell r="H115" t="str">
            <v>29.75%</v>
          </cell>
          <cell r="I115" t="str">
            <v>54.86%</v>
          </cell>
          <cell r="J115" t="str">
            <v>38.54%</v>
          </cell>
          <cell r="K115" t="str">
            <v>25.5%</v>
          </cell>
          <cell r="L115" t="str">
            <v>35.5%</v>
          </cell>
          <cell r="M115" t="str">
            <v>100"-110" Copa Zanh #2</v>
          </cell>
          <cell r="N115" t="str">
            <v>Pistola</v>
          </cell>
          <cell r="O115" t="str">
            <v>25"-30" Copa Zanh #2</v>
          </cell>
          <cell r="P115" t="str">
            <v>20-25%</v>
          </cell>
          <cell r="Q115" t="str">
            <v>R2K4         Industrial reducer</v>
          </cell>
          <cell r="R115" t="str">
            <v>1.0-1.2 mills</v>
          </cell>
          <cell r="S115" t="str">
            <v>Al Horno</v>
          </cell>
          <cell r="T115" t="str">
            <v>15' a 350-400°F</v>
          </cell>
          <cell r="U115" t="str">
            <v>878 Pies Cuadrados/Gl</v>
          </cell>
          <cell r="V115" t="str">
            <v>+85</v>
          </cell>
          <cell r="W115" t="str">
            <v>2H-3H</v>
          </cell>
          <cell r="X115" t="str">
            <v>6-12 meses</v>
          </cell>
          <cell r="Y115" t="str">
            <v>TAPPAN-GUATEMALA</v>
          </cell>
          <cell r="Z115" t="str">
            <v>Cocinas</v>
          </cell>
          <cell r="AA115" t="str">
            <v>-</v>
          </cell>
          <cell r="AB115" t="str">
            <v>Luis Nolasco</v>
          </cell>
          <cell r="AC115" t="str">
            <v>S/F</v>
          </cell>
        </row>
        <row r="116">
          <cell r="A116" t="str">
            <v>SAA 3792</v>
          </cell>
          <cell r="B116" t="str">
            <v>Esmalte Horneable Troquelable Blanco</v>
          </cell>
          <cell r="C116" t="str">
            <v>Exterior de Tapacoronas</v>
          </cell>
          <cell r="D116" t="str">
            <v>Hojalata</v>
          </cell>
          <cell r="E116" t="str">
            <v>Limpia</v>
          </cell>
          <cell r="F116" t="str">
            <v>Ninguno</v>
          </cell>
          <cell r="G116" t="str">
            <v>9.54 Lbs/Gl</v>
          </cell>
          <cell r="H116" t="str">
            <v>20.83%</v>
          </cell>
          <cell r="I116" t="str">
            <v>40.63%</v>
          </cell>
          <cell r="J116" t="str">
            <v>23.76%</v>
          </cell>
          <cell r="K116" t="str">
            <v>57.69%</v>
          </cell>
          <cell r="L116" t="str">
            <v>24.67%</v>
          </cell>
          <cell r="M116" t="str">
            <v>90-100 KU</v>
          </cell>
          <cell r="N116" t="str">
            <v>Ninguno</v>
          </cell>
          <cell r="O116" t="str">
            <v>90-100 KU</v>
          </cell>
          <cell r="P116" t="str">
            <v>Ninguno</v>
          </cell>
          <cell r="Q116" t="str">
            <v>-</v>
          </cell>
          <cell r="R116" t="str">
            <v>1 mills</v>
          </cell>
          <cell r="S116" t="str">
            <v>Al Horno</v>
          </cell>
          <cell r="T116" t="str">
            <v>12' a 180°C</v>
          </cell>
          <cell r="U116" t="str">
            <v>650.08 Pies Cuadrados/Gl a 1 mills de espesor</v>
          </cell>
          <cell r="V116" t="str">
            <v>+80</v>
          </cell>
          <cell r="W116" t="str">
            <v>-</v>
          </cell>
          <cell r="X116" t="str">
            <v>6-12 meses</v>
          </cell>
          <cell r="Y116" t="str">
            <v>Nicaragua</v>
          </cell>
          <cell r="Z116" t="str">
            <v>-</v>
          </cell>
          <cell r="AA116" t="str">
            <v>-</v>
          </cell>
          <cell r="AB116" t="str">
            <v>Luis Nolasco</v>
          </cell>
          <cell r="AC116" t="str">
            <v>S/F</v>
          </cell>
        </row>
        <row r="117">
          <cell r="A117" t="str">
            <v>SAA 3810</v>
          </cell>
          <cell r="B117" t="str">
            <v>Esmalte de Polyuretano Aluminio</v>
          </cell>
          <cell r="C117" t="str">
            <v>Interior-Exterior</v>
          </cell>
          <cell r="D117" t="str">
            <v>Hierro-Acero</v>
          </cell>
          <cell r="E117" t="str">
            <v>Libre de Grasa y Polvo</v>
          </cell>
          <cell r="F117" t="str">
            <v>P2A32</v>
          </cell>
          <cell r="G117" t="str">
            <v>8.61 Lbs/Gl</v>
          </cell>
          <cell r="H117" t="str">
            <v>23%</v>
          </cell>
          <cell r="I117" t="str">
            <v>34.86%</v>
          </cell>
          <cell r="J117" t="str">
            <v>77%</v>
          </cell>
          <cell r="K117" t="str">
            <v>13%</v>
          </cell>
          <cell r="L117" t="str">
            <v>26.5%</v>
          </cell>
          <cell r="M117" t="str">
            <v>12-14 Seg. Copa Ford #4</v>
          </cell>
          <cell r="N117" t="str">
            <v>Pistola</v>
          </cell>
          <cell r="O117" t="str">
            <v>12-14 Seg. Copa Ford #4</v>
          </cell>
          <cell r="P117" t="str">
            <v>Ninguno</v>
          </cell>
          <cell r="Q117" t="str">
            <v>Ninguno</v>
          </cell>
          <cell r="R117" t="str">
            <v>1 mills de Pulgada Seca</v>
          </cell>
          <cell r="S117" t="str">
            <v>Al Aire una hora y media.</v>
          </cell>
          <cell r="T117" t="str">
            <v>-</v>
          </cell>
          <cell r="U117" t="str">
            <v>95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Ing. José Guillermo Castillo</v>
          </cell>
          <cell r="Z117" t="str">
            <v>Tuberías</v>
          </cell>
          <cell r="AA117" t="str">
            <v>Mezclar 4 partes en Vol. Del SAA 3810 con una parte de Catalizador V6V283, Mexclar bien y aplicar con Pistola.</v>
          </cell>
          <cell r="AB117" t="str">
            <v>Rene Ferrufino</v>
          </cell>
          <cell r="AC117" t="str">
            <v>S/F</v>
          </cell>
        </row>
        <row r="118">
          <cell r="A118" t="str">
            <v>SAA 3811</v>
          </cell>
          <cell r="B118" t="str">
            <v>Esmalte Horneable Acrilico Negro Brillante</v>
          </cell>
          <cell r="C118" t="str">
            <v>Interior-Exterior Limitada</v>
          </cell>
          <cell r="D118" t="str">
            <v>Hierro</v>
          </cell>
          <cell r="E118" t="str">
            <v>Lavado, Desengrase y Fosfatizado</v>
          </cell>
          <cell r="F118" t="str">
            <v>E68WSA4 Acrylic Monobake White Primer</v>
          </cell>
          <cell r="G118" t="str">
            <v>7.90 Lbs/Gl</v>
          </cell>
          <cell r="H118" t="str">
            <v>2.78%</v>
          </cell>
          <cell r="I118" t="str">
            <v>40.67%</v>
          </cell>
          <cell r="J118" t="str">
            <v>38.38%</v>
          </cell>
          <cell r="K118" t="str">
            <v>4.08%</v>
          </cell>
          <cell r="L118" t="str">
            <v>37.03%</v>
          </cell>
          <cell r="M118" t="str">
            <v>100"-110" Copa Zanh #2</v>
          </cell>
          <cell r="N118" t="str">
            <v>Pistola</v>
          </cell>
          <cell r="O118" t="str">
            <v>25"-30" Copa Zanh #2</v>
          </cell>
          <cell r="P118" t="str">
            <v>20-25%</v>
          </cell>
          <cell r="Q118" t="str">
            <v>R2K4         Industrial reducer</v>
          </cell>
          <cell r="R118" t="str">
            <v>1.0-1.2 mills</v>
          </cell>
          <cell r="S118" t="str">
            <v>Al Horno</v>
          </cell>
          <cell r="T118" t="str">
            <v>15' a 350-400°F</v>
          </cell>
          <cell r="U118" t="str">
            <v>650.72 Pies Cuadrados/Gl a 1 mills de espesor</v>
          </cell>
          <cell r="V118" t="str">
            <v>+85</v>
          </cell>
          <cell r="W118" t="str">
            <v>2H-3H</v>
          </cell>
          <cell r="X118" t="str">
            <v>6-12 meses</v>
          </cell>
          <cell r="Y118" t="str">
            <v>TAPPAN-GUATEMALA</v>
          </cell>
          <cell r="Z118" t="str">
            <v>Cocinas</v>
          </cell>
          <cell r="AA118" t="str">
            <v>-</v>
          </cell>
          <cell r="AB118" t="str">
            <v>Luis Nolasco</v>
          </cell>
          <cell r="AC118" t="str">
            <v>S/F</v>
          </cell>
        </row>
        <row r="119">
          <cell r="A119" t="str">
            <v>SAA 3812</v>
          </cell>
          <cell r="B119" t="str">
            <v>Esmalte Horneble Acrílico Amarillo Suave</v>
          </cell>
          <cell r="C119" t="str">
            <v>Interior-Exterior Limitada</v>
          </cell>
          <cell r="D119" t="str">
            <v>Hierro</v>
          </cell>
          <cell r="E119" t="str">
            <v>Lavado, Desengrase y Fosfatizado</v>
          </cell>
          <cell r="F119" t="str">
            <v>E68WSA4 Acrylic Monobake White Primer</v>
          </cell>
          <cell r="G119" t="str">
            <v>9.48 Lbs/Gl</v>
          </cell>
          <cell r="H119" t="str">
            <v>23.77%</v>
          </cell>
          <cell r="I119" t="str">
            <v>52.91%</v>
          </cell>
          <cell r="J119" t="str">
            <v>38.22%</v>
          </cell>
          <cell r="K119" t="str">
            <v>17.82%</v>
          </cell>
          <cell r="L119" t="str">
            <v>38.27%</v>
          </cell>
          <cell r="M119" t="str">
            <v>100"-110" Copa Zanh #2</v>
          </cell>
          <cell r="N119" t="str">
            <v>Pistola</v>
          </cell>
          <cell r="O119" t="str">
            <v>25"-30" Copa Zanh #2</v>
          </cell>
          <cell r="P119" t="str">
            <v>20-25%</v>
          </cell>
          <cell r="Q119" t="str">
            <v>R2K4         Industrial reducer</v>
          </cell>
          <cell r="R119" t="str">
            <v>1.0-1.2 mills</v>
          </cell>
          <cell r="S119" t="str">
            <v>Al Horno</v>
          </cell>
          <cell r="T119" t="str">
            <v>15' a 350-400°F</v>
          </cell>
          <cell r="U119" t="str">
            <v>846.56 Pies Cuadrados/Gl a 1 mills de espesor</v>
          </cell>
          <cell r="V119" t="str">
            <v>+85</v>
          </cell>
          <cell r="W119" t="str">
            <v>2H-3H</v>
          </cell>
          <cell r="X119" t="str">
            <v>6-12 meses</v>
          </cell>
          <cell r="Y119" t="str">
            <v>TAPPAN-GUATEMALA</v>
          </cell>
          <cell r="Z119" t="str">
            <v>Cocinas</v>
          </cell>
          <cell r="AA119" t="str">
            <v>-</v>
          </cell>
          <cell r="AB119" t="str">
            <v>Luis Nolasco</v>
          </cell>
          <cell r="AC119" t="str">
            <v>S/F</v>
          </cell>
        </row>
        <row r="120">
          <cell r="A120" t="str">
            <v>SAA 3815</v>
          </cell>
          <cell r="B120" t="str">
            <v>Laca Industrial Negro Especial</v>
          </cell>
          <cell r="C120" t="str">
            <v>Interior-Exterior</v>
          </cell>
          <cell r="D120" t="str">
            <v>Hierro</v>
          </cell>
          <cell r="E120" t="str">
            <v>Limpia con Krill Clean</v>
          </cell>
          <cell r="F120" t="str">
            <v>Ninguno</v>
          </cell>
          <cell r="G120" t="str">
            <v>7.57 Lbs/Gl</v>
          </cell>
          <cell r="H120" t="str">
            <v>5.2%</v>
          </cell>
          <cell r="I120" t="str">
            <v>20%</v>
          </cell>
          <cell r="J120" t="str">
            <v>94.8%</v>
          </cell>
          <cell r="K120" t="str">
            <v>4%</v>
          </cell>
          <cell r="L120" t="str">
            <v>13.4%</v>
          </cell>
          <cell r="M120" t="str">
            <v>20"-30" Copa SW #5</v>
          </cell>
          <cell r="N120" t="str">
            <v>Inmersión</v>
          </cell>
          <cell r="O120" t="str">
            <v>18"-25" Copa Zanh #2</v>
          </cell>
          <cell r="P120" t="str">
            <v>50% con R7K128</v>
          </cell>
          <cell r="Q120" t="str">
            <v>R7K128</v>
          </cell>
          <cell r="R120" t="str">
            <v>1 mills seco</v>
          </cell>
          <cell r="S120" t="str">
            <v>Aire (5-10 Min)</v>
          </cell>
          <cell r="T120" t="str">
            <v>-</v>
          </cell>
          <cell r="U120" t="str">
            <v>30 Mts Cuadrados/Gl</v>
          </cell>
          <cell r="V120" t="str">
            <v>75-85</v>
          </cell>
          <cell r="W120" t="str">
            <v>-</v>
          </cell>
          <cell r="X120" t="str">
            <v>-</v>
          </cell>
          <cell r="Y120" t="str">
            <v>HECASA</v>
          </cell>
          <cell r="Z120" t="str">
            <v>Muebles de Metal</v>
          </cell>
          <cell r="AA120" t="str">
            <v>-</v>
          </cell>
          <cell r="AB120" t="str">
            <v>Rene Ferrufino</v>
          </cell>
          <cell r="AC120" t="str">
            <v>S/F</v>
          </cell>
        </row>
        <row r="121">
          <cell r="A121" t="str">
            <v>SAA 3816</v>
          </cell>
          <cell r="B121" t="str">
            <v>Esmalte Horneble Acrílico Marfil Suave</v>
          </cell>
          <cell r="C121" t="str">
            <v>Interior-Exterior Limitada</v>
          </cell>
          <cell r="D121" t="str">
            <v>Hierro</v>
          </cell>
          <cell r="E121" t="str">
            <v>Lavado, Desengrase y Fosfatizado</v>
          </cell>
          <cell r="F121" t="str">
            <v>E68WSA4 Acrylic Monobake White Primer</v>
          </cell>
          <cell r="G121" t="str">
            <v>10.06 Lbs/Gl</v>
          </cell>
          <cell r="H121" t="str">
            <v>29.75%</v>
          </cell>
          <cell r="I121" t="str">
            <v>54.86%</v>
          </cell>
          <cell r="J121" t="str">
            <v>38.54%</v>
          </cell>
          <cell r="K121" t="str">
            <v>25.5%</v>
          </cell>
          <cell r="L121" t="str">
            <v>36.5%</v>
          </cell>
          <cell r="M121" t="str">
            <v>100"-110" Copa Zanh #2</v>
          </cell>
          <cell r="N121" t="str">
            <v>Pistola</v>
          </cell>
          <cell r="O121" t="str">
            <v>25"-30" Copa Zanh #2</v>
          </cell>
          <cell r="P121" t="str">
            <v>20-25%</v>
          </cell>
          <cell r="Q121" t="str">
            <v>R2K4         Industrial reducer</v>
          </cell>
          <cell r="R121" t="str">
            <v>1.0-1.2 mills</v>
          </cell>
          <cell r="S121" t="str">
            <v>Al Horno</v>
          </cell>
          <cell r="T121" t="str">
            <v>15' a 350-400°F</v>
          </cell>
          <cell r="U121" t="str">
            <v>878 Pies Cuadrados/Gl a 1 mills de espesor</v>
          </cell>
          <cell r="V121" t="str">
            <v>+85</v>
          </cell>
          <cell r="W121" t="str">
            <v>2H-3H</v>
          </cell>
          <cell r="X121" t="str">
            <v>6-12 meses</v>
          </cell>
          <cell r="Y121" t="str">
            <v>TAPPAN-GUATEMALA</v>
          </cell>
          <cell r="Z121" t="str">
            <v>Cocinas</v>
          </cell>
          <cell r="AA121" t="str">
            <v>-</v>
          </cell>
          <cell r="AB121" t="str">
            <v>Luis Nolasco</v>
          </cell>
          <cell r="AC121" t="str">
            <v>S/F</v>
          </cell>
        </row>
        <row r="122">
          <cell r="A122" t="str">
            <v>SAA 3821</v>
          </cell>
          <cell r="B122" t="str">
            <v>Esmalte Horneble Acrílico Blanco Almendra</v>
          </cell>
          <cell r="C122" t="str">
            <v>Interior-Exterior Limitada</v>
          </cell>
          <cell r="D122" t="str">
            <v>Hierro</v>
          </cell>
          <cell r="E122" t="str">
            <v>Lavado, Desengrase y Fosfatizado</v>
          </cell>
          <cell r="F122" t="str">
            <v>E68WSA4 Acrylic Monobake White Primer</v>
          </cell>
          <cell r="G122" t="str">
            <v>10.06 Lbs/Gl</v>
          </cell>
          <cell r="H122" t="str">
            <v>29.75%</v>
          </cell>
          <cell r="I122" t="str">
            <v>54.86%</v>
          </cell>
          <cell r="J122" t="str">
            <v>38.54%</v>
          </cell>
          <cell r="K122" t="str">
            <v>25.5%</v>
          </cell>
          <cell r="L122" t="str">
            <v>36.5%</v>
          </cell>
          <cell r="M122" t="str">
            <v>100"-110" Copa Zanh #2</v>
          </cell>
          <cell r="N122" t="str">
            <v>Pistola</v>
          </cell>
          <cell r="O122" t="str">
            <v>25"-30" Copa Zanh #2</v>
          </cell>
          <cell r="P122" t="str">
            <v>20-25%</v>
          </cell>
          <cell r="Q122" t="str">
            <v>R2K4         Industrial reducer</v>
          </cell>
          <cell r="R122" t="str">
            <v>1.0-1.2 mills</v>
          </cell>
          <cell r="S122" t="str">
            <v>Al Horno</v>
          </cell>
          <cell r="T122" t="str">
            <v>15' a 350-400°F</v>
          </cell>
          <cell r="U122" t="str">
            <v>878 Pies Cuadrados/Gl a 1 mills de espesor</v>
          </cell>
          <cell r="V122" t="str">
            <v>+85</v>
          </cell>
          <cell r="W122" t="str">
            <v>2H-3H</v>
          </cell>
          <cell r="X122" t="str">
            <v>6-12 meses</v>
          </cell>
          <cell r="Y122" t="str">
            <v>TAPPAN-GUATEMALA</v>
          </cell>
          <cell r="Z122" t="str">
            <v>Cocinas</v>
          </cell>
          <cell r="AA122" t="str">
            <v>-</v>
          </cell>
          <cell r="AB122" t="str">
            <v>Luis Nolasco</v>
          </cell>
          <cell r="AC122" t="str">
            <v>S/F</v>
          </cell>
        </row>
        <row r="123">
          <cell r="A123" t="str">
            <v>SAA 3828</v>
          </cell>
          <cell r="B123" t="str">
            <v>Esmalte Horneable Acrílico Blanco Enfriador</v>
          </cell>
          <cell r="C123" t="str">
            <v>Interior-Exterior Limitada</v>
          </cell>
          <cell r="D123" t="str">
            <v>Hierro</v>
          </cell>
          <cell r="E123" t="str">
            <v>Lavado, Desengrase y Fosfatizado</v>
          </cell>
          <cell r="F123" t="str">
            <v>E68WSA4 Acrylic Monobake White Primer</v>
          </cell>
          <cell r="G123" t="str">
            <v>10.06 Lbs/Gl</v>
          </cell>
          <cell r="H123" t="str">
            <v>29.75%</v>
          </cell>
          <cell r="I123" t="str">
            <v>54.86%</v>
          </cell>
          <cell r="J123" t="str">
            <v>38.54%</v>
          </cell>
          <cell r="K123" t="str">
            <v>25.5%</v>
          </cell>
          <cell r="L123" t="str">
            <v>36.5%</v>
          </cell>
          <cell r="M123" t="str">
            <v>100"-110" Copa Zanh #2</v>
          </cell>
          <cell r="N123" t="str">
            <v>Pistola</v>
          </cell>
          <cell r="O123" t="str">
            <v>25"-30" Copa Zanh #2</v>
          </cell>
          <cell r="P123" t="str">
            <v>20-25%</v>
          </cell>
          <cell r="Q123" t="str">
            <v>R2K4         Industrial reducer</v>
          </cell>
          <cell r="R123" t="str">
            <v>1.0-1.2 mills</v>
          </cell>
          <cell r="S123" t="str">
            <v>Al Horno</v>
          </cell>
          <cell r="T123" t="str">
            <v>15' a 350-400°F</v>
          </cell>
          <cell r="U123" t="str">
            <v>878 Pies Cuadrados/Gl a 1 mills de espesor</v>
          </cell>
          <cell r="V123" t="str">
            <v>+85</v>
          </cell>
          <cell r="W123" t="str">
            <v>2H-3H</v>
          </cell>
          <cell r="X123" t="str">
            <v>6-12 meses</v>
          </cell>
          <cell r="Y123" t="str">
            <v>TAPPAN-GUATEMALA</v>
          </cell>
          <cell r="Z123" t="str">
            <v>Cocinas</v>
          </cell>
          <cell r="AA123" t="str">
            <v>-</v>
          </cell>
          <cell r="AB123" t="str">
            <v>Luis Nolasco</v>
          </cell>
          <cell r="AC123" t="str">
            <v>S/F</v>
          </cell>
        </row>
        <row r="124">
          <cell r="A124" t="str">
            <v>SAA 3829</v>
          </cell>
          <cell r="B124" t="str">
            <v>Esmalte Horneable Acrílico Blanco Cocina</v>
          </cell>
          <cell r="C124" t="str">
            <v>Interior-Exterior Limitada</v>
          </cell>
          <cell r="D124" t="str">
            <v>Hierro</v>
          </cell>
          <cell r="E124" t="str">
            <v>Lavado, Desengrase y Fosfatizado</v>
          </cell>
          <cell r="F124" t="str">
            <v>E68WSA4 Acrylic Monobake White Primer</v>
          </cell>
          <cell r="G124" t="str">
            <v>10.06 Lbs/Gl</v>
          </cell>
          <cell r="H124" t="str">
            <v>29.75%</v>
          </cell>
          <cell r="I124" t="str">
            <v>54.86%</v>
          </cell>
          <cell r="J124" t="str">
            <v>38.54%</v>
          </cell>
          <cell r="K124" t="str">
            <v>25.5%</v>
          </cell>
          <cell r="L124" t="str">
            <v>36.5%</v>
          </cell>
          <cell r="M124" t="str">
            <v>100"-110" Copa Zanh #2</v>
          </cell>
          <cell r="N124" t="str">
            <v>Pistola</v>
          </cell>
          <cell r="O124" t="str">
            <v>25"-30" Copa Zanh #2</v>
          </cell>
          <cell r="P124" t="str">
            <v>20-25%</v>
          </cell>
          <cell r="Q124" t="str">
            <v>R2K4         Industrial reducer</v>
          </cell>
          <cell r="R124" t="str">
            <v>1.0-1.2 mills</v>
          </cell>
          <cell r="S124" t="str">
            <v>Al Horno</v>
          </cell>
          <cell r="T124" t="str">
            <v>15' a 350-400°F</v>
          </cell>
          <cell r="U124" t="str">
            <v>878 Pies Cuadrados/Gl a 1 mills de espesor</v>
          </cell>
          <cell r="V124" t="str">
            <v>+85</v>
          </cell>
          <cell r="W124" t="str">
            <v>2H-3H</v>
          </cell>
          <cell r="X124" t="str">
            <v>6-12 meses</v>
          </cell>
          <cell r="Y124" t="str">
            <v>TAPPAN-GUATEMALA</v>
          </cell>
          <cell r="Z124" t="str">
            <v>Cocinas</v>
          </cell>
          <cell r="AA124" t="str">
            <v>-</v>
          </cell>
          <cell r="AB124" t="str">
            <v>Luis Nolasco</v>
          </cell>
          <cell r="AC124" t="str">
            <v>S/F</v>
          </cell>
        </row>
        <row r="125">
          <cell r="A125" t="str">
            <v>SAA 3835</v>
          </cell>
          <cell r="B125" t="str">
            <v>Esmalte Horneable Acrílico Marfil Oscuro Mate Liso</v>
          </cell>
          <cell r="C125" t="str">
            <v>Interior-Exterior Limitada</v>
          </cell>
          <cell r="D125" t="str">
            <v>Lamina Electrogalvanizada</v>
          </cell>
          <cell r="E125" t="str">
            <v>Lavado y Desengrase</v>
          </cell>
          <cell r="F125" t="str">
            <v>E68WSA4 Acrylic Monobake White Primer</v>
          </cell>
          <cell r="G125" t="str">
            <v>9.20 Lbs/Gl</v>
          </cell>
          <cell r="H125" t="str">
            <v>22.89%</v>
          </cell>
          <cell r="I125" t="str">
            <v>49.89%</v>
          </cell>
          <cell r="J125" t="str">
            <v>35.12%</v>
          </cell>
          <cell r="K125" t="str">
            <v>22.55%</v>
          </cell>
          <cell r="L125" t="str">
            <v>36.59%</v>
          </cell>
          <cell r="M125" t="str">
            <v>100"-110" Copa Zanh #2</v>
          </cell>
          <cell r="N125" t="str">
            <v>Pistola</v>
          </cell>
          <cell r="O125" t="str">
            <v>25"-30" Copa Zanh #2</v>
          </cell>
          <cell r="P125" t="str">
            <v>20-25%</v>
          </cell>
          <cell r="Q125" t="str">
            <v>R2K4         Industrial reducer</v>
          </cell>
          <cell r="R125" t="str">
            <v>1.0-1.2 mills</v>
          </cell>
          <cell r="S125" t="str">
            <v>Al Horno</v>
          </cell>
          <cell r="T125" t="str">
            <v>15' a 300°F</v>
          </cell>
          <cell r="U125" t="str">
            <v>800 Pies Cuadrados/Gl a 1 mills de espesor</v>
          </cell>
          <cell r="V125" t="str">
            <v>2-4</v>
          </cell>
          <cell r="W125" t="str">
            <v>2H-3H</v>
          </cell>
          <cell r="X125" t="str">
            <v>6-12 meses</v>
          </cell>
          <cell r="Y125" t="str">
            <v>Panavisión-Honduras</v>
          </cell>
          <cell r="Z125" t="str">
            <v>Mobiliario de Oficina</v>
          </cell>
          <cell r="AA125" t="str">
            <v>-</v>
          </cell>
          <cell r="AB125" t="str">
            <v>Luis Nolasco</v>
          </cell>
          <cell r="AC125" t="str">
            <v>S/F</v>
          </cell>
        </row>
        <row r="126">
          <cell r="A126" t="str">
            <v>SAA 3836</v>
          </cell>
          <cell r="B126" t="str">
            <v>Esmalte Horneable Acrílico Marfil Oscuro Mate Martillado</v>
          </cell>
          <cell r="C126" t="str">
            <v>Interior-Exterior Limitada</v>
          </cell>
          <cell r="D126" t="str">
            <v>Lamina Electrogalvanizada</v>
          </cell>
          <cell r="E126" t="str">
            <v>Lavado y Desengrase</v>
          </cell>
          <cell r="F126" t="str">
            <v>E68WSA4 Acrylic Monobake White Primer</v>
          </cell>
          <cell r="G126" t="str">
            <v>9.20 Lbs/Gl</v>
          </cell>
          <cell r="H126" t="str">
            <v>22.89%</v>
          </cell>
          <cell r="I126" t="str">
            <v>49.89%</v>
          </cell>
          <cell r="J126" t="str">
            <v>35.12%</v>
          </cell>
          <cell r="K126" t="str">
            <v>22.55%</v>
          </cell>
          <cell r="L126" t="str">
            <v>36.59%</v>
          </cell>
          <cell r="M126" t="str">
            <v>100"-110" Copa Zanh #2</v>
          </cell>
          <cell r="N126" t="str">
            <v>Pistola</v>
          </cell>
          <cell r="O126" t="str">
            <v>Listo para Usar</v>
          </cell>
          <cell r="P126" t="str">
            <v>-</v>
          </cell>
          <cell r="Q126" t="str">
            <v>R2K4         Industrial reducer, Si es Necesario</v>
          </cell>
          <cell r="R126" t="str">
            <v>1.0-1.2 mills</v>
          </cell>
          <cell r="S126" t="str">
            <v>Al Horno</v>
          </cell>
          <cell r="T126" t="str">
            <v>15' a 300°F</v>
          </cell>
          <cell r="U126" t="str">
            <v>800 Pies Cuadrados/Gl a 1 mills de espesor</v>
          </cell>
          <cell r="V126" t="str">
            <v>2-4</v>
          </cell>
          <cell r="W126" t="str">
            <v>2H-3H</v>
          </cell>
          <cell r="X126" t="str">
            <v>6-12 meses</v>
          </cell>
          <cell r="Y126" t="str">
            <v>Panavisión-Honduras</v>
          </cell>
          <cell r="Z126" t="str">
            <v>Mobiliario de Oficina</v>
          </cell>
          <cell r="AA126" t="str">
            <v>-</v>
          </cell>
          <cell r="AB126" t="str">
            <v>Luis Nolasco</v>
          </cell>
          <cell r="AC126" t="str">
            <v>S/F</v>
          </cell>
        </row>
        <row r="127">
          <cell r="A127" t="str">
            <v>SAA 3851</v>
          </cell>
          <cell r="B127" t="str">
            <v>Esmalte Horneable acrílico Café TAPPAN</v>
          </cell>
          <cell r="C127" t="str">
            <v>Interior-Exterior Limitada</v>
          </cell>
          <cell r="D127" t="str">
            <v>Hierro</v>
          </cell>
          <cell r="E127" t="str">
            <v>Lavado, Desengrase y Fosfatizado</v>
          </cell>
          <cell r="F127" t="str">
            <v>E68WSA4 Acrylic Monobake White Primer</v>
          </cell>
          <cell r="G127" t="str">
            <v>8.24 Lbs/Gl</v>
          </cell>
          <cell r="H127" t="str">
            <v>7.98%</v>
          </cell>
          <cell r="I127" t="str">
            <v>41.63%</v>
          </cell>
          <cell r="J127" t="str">
            <v>36.57%</v>
          </cell>
          <cell r="K127" t="str">
            <v>6.76%</v>
          </cell>
          <cell r="L127" t="str">
            <v>33.73%</v>
          </cell>
          <cell r="M127" t="str">
            <v>100"-110" Copa Zanh #2</v>
          </cell>
          <cell r="N127" t="str">
            <v>Pistola</v>
          </cell>
          <cell r="O127" t="str">
            <v>25"-30" Copa Zanh #2</v>
          </cell>
          <cell r="P127" t="str">
            <v>20-25%</v>
          </cell>
          <cell r="Q127" t="str">
            <v>R2K4         Industrial reducer</v>
          </cell>
          <cell r="R127" t="str">
            <v>1.0-1.2 mills</v>
          </cell>
          <cell r="S127" t="str">
            <v>Al Horno</v>
          </cell>
          <cell r="T127" t="str">
            <v>15' a 350-400°F</v>
          </cell>
          <cell r="U127" t="str">
            <v>666 Pies Cuadrados/Gl a 1 mills de espesor</v>
          </cell>
          <cell r="V127" t="str">
            <v>+85</v>
          </cell>
          <cell r="W127" t="str">
            <v>2H-3H</v>
          </cell>
          <cell r="X127" t="str">
            <v>6-12 meses</v>
          </cell>
          <cell r="Y127" t="str">
            <v>TAPPAN-GUATEMALA</v>
          </cell>
          <cell r="Z127" t="str">
            <v>Cocinas</v>
          </cell>
          <cell r="AA127" t="str">
            <v>-</v>
          </cell>
          <cell r="AB127" t="str">
            <v>Luis Nolasco</v>
          </cell>
          <cell r="AC127" t="str">
            <v>S/F</v>
          </cell>
        </row>
        <row r="128">
          <cell r="A128" t="str">
            <v>SAA 3852</v>
          </cell>
          <cell r="B128" t="str">
            <v>Esmalte Horneable acrílico Amarillo TAPPAN</v>
          </cell>
          <cell r="C128" t="str">
            <v>Interior-Exterior Limitada</v>
          </cell>
          <cell r="D128" t="str">
            <v>Hierro</v>
          </cell>
          <cell r="E128" t="str">
            <v>Lavado, Desengrase y Fosfatizado</v>
          </cell>
          <cell r="F128" t="str">
            <v>E68WSA4 Acrylic Monobake White Primer</v>
          </cell>
          <cell r="G128" t="str">
            <v>9.13 Lbs/Gl</v>
          </cell>
          <cell r="H128" t="str">
            <v>19.8%</v>
          </cell>
          <cell r="I128" t="str">
            <v>50.05%</v>
          </cell>
          <cell r="J128" t="str">
            <v>37.72%</v>
          </cell>
          <cell r="K128" t="str">
            <v>14.84%</v>
          </cell>
          <cell r="L128" t="str">
            <v>36.93%</v>
          </cell>
          <cell r="M128" t="str">
            <v>100"-110" Copa Zanh #2</v>
          </cell>
          <cell r="N128" t="str">
            <v>Pistola</v>
          </cell>
          <cell r="O128" t="str">
            <v>25"-30" Copa Zanh #2</v>
          </cell>
          <cell r="P128" t="str">
            <v>20-25%</v>
          </cell>
          <cell r="Q128" t="str">
            <v>R2K4         Industrial reducer</v>
          </cell>
          <cell r="R128" t="str">
            <v>1.0-1.2 mills</v>
          </cell>
          <cell r="S128" t="str">
            <v>Al Horno</v>
          </cell>
          <cell r="T128" t="str">
            <v>15' a 350-400°F</v>
          </cell>
          <cell r="U128" t="str">
            <v>800.8 Pies Cuadrados/Gl a 1 mills de espesor</v>
          </cell>
          <cell r="V128" t="str">
            <v>+85</v>
          </cell>
          <cell r="W128" t="str">
            <v>2H-3H</v>
          </cell>
          <cell r="X128" t="str">
            <v>6-12 meses</v>
          </cell>
          <cell r="Y128" t="str">
            <v>TAPPAN-GUATEMALA</v>
          </cell>
          <cell r="Z128" t="str">
            <v>Cocinas</v>
          </cell>
          <cell r="AA128" t="str">
            <v>-</v>
          </cell>
          <cell r="AB128" t="str">
            <v>Luis Nolasco</v>
          </cell>
          <cell r="AC128" t="str">
            <v>S/F</v>
          </cell>
        </row>
        <row r="129">
          <cell r="A129" t="str">
            <v>SAA 3863</v>
          </cell>
          <cell r="B129" t="str">
            <v>Esmalte Horneable Alquidico Café Oscuro Satinado</v>
          </cell>
          <cell r="C129" t="str">
            <v>Interior-Exterior</v>
          </cell>
          <cell r="D129" t="str">
            <v>Hierro</v>
          </cell>
          <cell r="E129" t="str">
            <v>Limpieza con R2K4, Desengrase, Fosfatizado</v>
          </cell>
          <cell r="F129" t="str">
            <v>Ninguno</v>
          </cell>
          <cell r="G129" t="str">
            <v>8.85 Lbs/Gl</v>
          </cell>
          <cell r="H129" t="str">
            <v>33.6%</v>
          </cell>
          <cell r="I129" t="str">
            <v>55.9%</v>
          </cell>
          <cell r="J129" t="str">
            <v>22.2%</v>
          </cell>
          <cell r="K129" t="str">
            <v>25.2%</v>
          </cell>
          <cell r="L129" t="str">
            <v>38.2%</v>
          </cell>
          <cell r="M129" t="str">
            <v>100"-110" Copa Zanh #2</v>
          </cell>
          <cell r="N129" t="str">
            <v>Pistola</v>
          </cell>
          <cell r="O129" t="str">
            <v>20-25 seg. Copa Zanh #2</v>
          </cell>
          <cell r="P129" t="str">
            <v>20-25%</v>
          </cell>
          <cell r="Q129" t="str">
            <v>R2K4         Industrial reducer</v>
          </cell>
          <cell r="R129" t="str">
            <v>1.0-1.2 mills</v>
          </cell>
          <cell r="S129" t="str">
            <v>Al horno</v>
          </cell>
          <cell r="T129" t="str">
            <v>15' a 300°F</v>
          </cell>
          <cell r="U129" t="str">
            <v xml:space="preserve">620 Pies Cuadrados/Gl </v>
          </cell>
          <cell r="V129" t="str">
            <v>40-50 unidades</v>
          </cell>
          <cell r="W129" t="str">
            <v>HB</v>
          </cell>
          <cell r="X129" t="str">
            <v>6-12 meses</v>
          </cell>
          <cell r="Y129" t="str">
            <v>HECASA</v>
          </cell>
          <cell r="Z129" t="str">
            <v>Muebles y Puertas Metálicas</v>
          </cell>
          <cell r="AA129" t="str">
            <v>-</v>
          </cell>
          <cell r="AB129" t="str">
            <v>Rene Ferrufino</v>
          </cell>
          <cell r="AC129" t="str">
            <v>S/F</v>
          </cell>
        </row>
        <row r="130">
          <cell r="A130" t="str">
            <v>SAA 3864</v>
          </cell>
          <cell r="B130" t="str">
            <v>Esmalte Horneable Alquidico Gris Oscuro</v>
          </cell>
          <cell r="C130" t="str">
            <v>Interior-Exterior</v>
          </cell>
          <cell r="D130" t="str">
            <v>Hierro</v>
          </cell>
          <cell r="E130" t="str">
            <v>Limpieza con Solvente</v>
          </cell>
          <cell r="F130" t="str">
            <v>Ninguno</v>
          </cell>
          <cell r="G130" t="str">
            <v>8.25 Lbs/Gl</v>
          </cell>
          <cell r="H130" t="str">
            <v>5.42%</v>
          </cell>
          <cell r="I130" t="str">
            <v>45.42%</v>
          </cell>
          <cell r="J130" t="str">
            <v>42.29%</v>
          </cell>
          <cell r="K130" t="str">
            <v>4.69%</v>
          </cell>
          <cell r="L130" t="str">
            <v>35.17%</v>
          </cell>
          <cell r="M130" t="str">
            <v>100"-110" Copa Zanh #2</v>
          </cell>
          <cell r="N130" t="str">
            <v>Pistola</v>
          </cell>
          <cell r="O130" t="str">
            <v>20-25 seg. Copa Zanh #2</v>
          </cell>
          <cell r="P130" t="str">
            <v>20-25%</v>
          </cell>
          <cell r="Q130" t="str">
            <v>R2K4         Industrial reducer</v>
          </cell>
          <cell r="R130" t="str">
            <v>1.0-1.2 mills</v>
          </cell>
          <cell r="S130" t="str">
            <v>Al horno</v>
          </cell>
          <cell r="T130" t="str">
            <v>15' a 300°F</v>
          </cell>
          <cell r="U130" t="str">
            <v>728.32  Pies Cuadrados/Gl a un mills de espesor</v>
          </cell>
          <cell r="V130" t="str">
            <v>+85</v>
          </cell>
          <cell r="W130" t="str">
            <v>H</v>
          </cell>
          <cell r="X130" t="str">
            <v>6-12 meses</v>
          </cell>
          <cell r="Y130" t="str">
            <v>Van Leer-Nicaragua</v>
          </cell>
          <cell r="Z130" t="str">
            <v>Barriles de Hierro</v>
          </cell>
          <cell r="AA130" t="str">
            <v>-</v>
          </cell>
          <cell r="AB130" t="str">
            <v>Luis Nolasco</v>
          </cell>
          <cell r="AC130" t="str">
            <v>S/F</v>
          </cell>
        </row>
        <row r="131">
          <cell r="A131" t="str">
            <v>SAA 3865</v>
          </cell>
          <cell r="B131" t="str">
            <v>Esmalte Horneable Negro Brillante</v>
          </cell>
          <cell r="C131" t="str">
            <v>Interior-Exterior</v>
          </cell>
          <cell r="D131" t="str">
            <v>Hierro</v>
          </cell>
          <cell r="E131" t="str">
            <v>Limpieza con Solvente</v>
          </cell>
          <cell r="F131" t="str">
            <v>Ninguno</v>
          </cell>
          <cell r="G131" t="str">
            <v>8.11 Lbs/Gl</v>
          </cell>
          <cell r="H131" t="str">
            <v>2.45%</v>
          </cell>
          <cell r="I131" t="str">
            <v>42.15%</v>
          </cell>
          <cell r="J131" t="str">
            <v>40.69%</v>
          </cell>
          <cell r="K131" t="str">
            <v>3.96%</v>
          </cell>
          <cell r="L131" t="str">
            <v>38.61%</v>
          </cell>
          <cell r="M131" t="str">
            <v>100"-110" Copa Zanh #2</v>
          </cell>
          <cell r="N131" t="str">
            <v>Pistola</v>
          </cell>
          <cell r="O131" t="str">
            <v>20-25 seg. Copa Zanh #2</v>
          </cell>
          <cell r="P131" t="str">
            <v>20-25%</v>
          </cell>
          <cell r="Q131" t="str">
            <v>R2K4         Industrial reducer</v>
          </cell>
          <cell r="R131" t="str">
            <v>1.0-1.2 mills</v>
          </cell>
          <cell r="S131" t="str">
            <v>Al horno</v>
          </cell>
          <cell r="T131" t="str">
            <v>15' a 300°F</v>
          </cell>
          <cell r="U131" t="str">
            <v>674.4 Pies Cuadrados/Gl a un mills de espesor</v>
          </cell>
          <cell r="V131" t="str">
            <v>+85</v>
          </cell>
          <cell r="W131" t="str">
            <v>H</v>
          </cell>
          <cell r="X131" t="str">
            <v>6-12 meses</v>
          </cell>
          <cell r="Y131" t="str">
            <v>Van Leer-Nicaragua</v>
          </cell>
          <cell r="Z131" t="str">
            <v>Barriles de Hierro</v>
          </cell>
          <cell r="AA131" t="str">
            <v>-</v>
          </cell>
          <cell r="AB131" t="str">
            <v>Luis Nolasco</v>
          </cell>
          <cell r="AC131" t="str">
            <v>S/F</v>
          </cell>
        </row>
        <row r="132">
          <cell r="A132" t="str">
            <v>SAA 3866</v>
          </cell>
          <cell r="B132" t="str">
            <v>Esmalte Horneable Alquidico Naranja Suave</v>
          </cell>
          <cell r="C132" t="str">
            <v>Interior-Exterior</v>
          </cell>
          <cell r="D132" t="str">
            <v>Hierro</v>
          </cell>
          <cell r="E132" t="str">
            <v>Limpieza con Solvente</v>
          </cell>
          <cell r="F132" t="str">
            <v>Ninguno</v>
          </cell>
          <cell r="G132" t="str">
            <v>9.05 Lbs/Gl</v>
          </cell>
          <cell r="H132" t="str">
            <v>14.95%</v>
          </cell>
          <cell r="I132" t="str">
            <v>51.53%</v>
          </cell>
          <cell r="J132" t="str">
            <v>42.89%</v>
          </cell>
          <cell r="K132" t="str">
            <v>8.79%</v>
          </cell>
          <cell r="L132" t="str">
            <v>36.89%</v>
          </cell>
          <cell r="M132" t="str">
            <v>100"-110" Copa Zanh #2</v>
          </cell>
          <cell r="N132" t="str">
            <v>Pistola</v>
          </cell>
          <cell r="O132" t="str">
            <v>20-25 seg. Copa Zanh #2</v>
          </cell>
          <cell r="P132" t="str">
            <v>20-25%</v>
          </cell>
          <cell r="Q132" t="str">
            <v>R2K4         Industrial reducer</v>
          </cell>
          <cell r="R132" t="str">
            <v>1.0-1.2 mills</v>
          </cell>
          <cell r="S132" t="str">
            <v>Al horno</v>
          </cell>
          <cell r="T132" t="str">
            <v>15' a 300°F</v>
          </cell>
          <cell r="U132" t="str">
            <v>824.48 Pies Cuadrados/Gl a un mills de espesor</v>
          </cell>
          <cell r="V132" t="str">
            <v>+85</v>
          </cell>
          <cell r="W132" t="str">
            <v>H</v>
          </cell>
          <cell r="X132" t="str">
            <v>6-12 meses</v>
          </cell>
          <cell r="Y132" t="str">
            <v>Van Leer-Nicaragua</v>
          </cell>
          <cell r="Z132" t="str">
            <v>Barriles de Hierro</v>
          </cell>
          <cell r="AA132" t="str">
            <v>-</v>
          </cell>
          <cell r="AB132" t="str">
            <v>Luis Nolasco</v>
          </cell>
          <cell r="AC132" t="str">
            <v>S/F</v>
          </cell>
        </row>
        <row r="133">
          <cell r="A133" t="str">
            <v>SAA 3873</v>
          </cell>
          <cell r="B133" t="str">
            <v>Esmalte Horneable Alquidico Beige Standard Steel</v>
          </cell>
          <cell r="C133" t="str">
            <v>Interior-Exterior</v>
          </cell>
          <cell r="D133" t="str">
            <v>Hierro</v>
          </cell>
          <cell r="E133" t="str">
            <v>Limpieza con R2K4, Desengrase, Fosfatizado</v>
          </cell>
          <cell r="F133" t="str">
            <v>Ninguno</v>
          </cell>
          <cell r="G133" t="str">
            <v>9.44 Lbs/Gl</v>
          </cell>
          <cell r="H133" t="str">
            <v>33.6%</v>
          </cell>
          <cell r="I133" t="str">
            <v>57.95%</v>
          </cell>
          <cell r="J133" t="str">
            <v>22.3%</v>
          </cell>
          <cell r="K133" t="str">
            <v>42.8%</v>
          </cell>
          <cell r="L133" t="str">
            <v>10.81%</v>
          </cell>
          <cell r="M133" t="str">
            <v>100"-110" Copa Zanh #2</v>
          </cell>
          <cell r="N133" t="str">
            <v>Pistola</v>
          </cell>
          <cell r="O133" t="str">
            <v>20-25 seg. Copa Zanh #2</v>
          </cell>
          <cell r="P133" t="str">
            <v>20-25%</v>
          </cell>
          <cell r="Q133" t="str">
            <v>R2K4         Industrial reducer</v>
          </cell>
          <cell r="R133" t="str">
            <v>1.0-1.2 mills</v>
          </cell>
          <cell r="S133" t="str">
            <v>Al horno</v>
          </cell>
          <cell r="T133" t="str">
            <v>15' a 300°F</v>
          </cell>
          <cell r="U133" t="str">
            <v xml:space="preserve">690 Pies Cuadrados/Gl </v>
          </cell>
          <cell r="V133" t="str">
            <v>+90</v>
          </cell>
          <cell r="W133" t="str">
            <v>HB</v>
          </cell>
          <cell r="X133" t="str">
            <v>6-12 meses</v>
          </cell>
          <cell r="Y133" t="str">
            <v>STANDARD STEEL (Nicaragua)</v>
          </cell>
          <cell r="Z133" t="str">
            <v>Muebles Metálicos</v>
          </cell>
          <cell r="AA133" t="str">
            <v>-</v>
          </cell>
          <cell r="AB133" t="str">
            <v>Rene Ferrufino</v>
          </cell>
          <cell r="AC133" t="str">
            <v>S/F</v>
          </cell>
        </row>
        <row r="134">
          <cell r="A134" t="str">
            <v>SAA 3874</v>
          </cell>
          <cell r="B134" t="str">
            <v>Esmalte Horneable Alquidico Rojo Shell</v>
          </cell>
          <cell r="C134" t="str">
            <v>Interior-Exterior</v>
          </cell>
          <cell r="D134" t="str">
            <v>Hierro</v>
          </cell>
          <cell r="E134" t="str">
            <v>Limpieza con Solvente</v>
          </cell>
          <cell r="F134" t="str">
            <v>Ninguno</v>
          </cell>
          <cell r="G134" t="str">
            <v>8.08 Lbs/Gl</v>
          </cell>
          <cell r="H134" t="str">
            <v>4.43%</v>
          </cell>
          <cell r="I134" t="str">
            <v>45.31%</v>
          </cell>
          <cell r="J134" t="str">
            <v>42.78%</v>
          </cell>
          <cell r="K134" t="str">
            <v>7.71%</v>
          </cell>
          <cell r="L134" t="str">
            <v>36.32%</v>
          </cell>
          <cell r="M134" t="str">
            <v>100"-110" Copa Zanh #2</v>
          </cell>
          <cell r="N134" t="str">
            <v>Pistola</v>
          </cell>
          <cell r="O134" t="str">
            <v>20-25 seg. Copa Zanh #2</v>
          </cell>
          <cell r="P134" t="str">
            <v>20-25%</v>
          </cell>
          <cell r="Q134" t="str">
            <v>R2K4         Industrial reducer</v>
          </cell>
          <cell r="R134" t="str">
            <v>1.0-1.2 mills</v>
          </cell>
          <cell r="S134" t="str">
            <v>Al horno</v>
          </cell>
          <cell r="T134" t="str">
            <v>15' a 300°F</v>
          </cell>
          <cell r="U134" t="str">
            <v>724.96 Pies Cuadrados/Gl a un mills de espesor</v>
          </cell>
          <cell r="V134" t="str">
            <v>+85</v>
          </cell>
          <cell r="W134" t="str">
            <v>H</v>
          </cell>
          <cell r="X134" t="str">
            <v>6-12 meses</v>
          </cell>
          <cell r="Y134" t="str">
            <v>Van Leer-Nicaragua</v>
          </cell>
          <cell r="Z134" t="str">
            <v>Barriles de Hierro</v>
          </cell>
          <cell r="AA134" t="str">
            <v>-</v>
          </cell>
          <cell r="AB134" t="str">
            <v>Luis Nolasco</v>
          </cell>
          <cell r="AC134" t="str">
            <v>S/F</v>
          </cell>
        </row>
        <row r="135">
          <cell r="A135" t="str">
            <v>SAA 3875</v>
          </cell>
          <cell r="B135" t="str">
            <v>Esmalte Horneable Alquidico Amarillo Shell</v>
          </cell>
          <cell r="C135" t="str">
            <v>Interior-Exterior</v>
          </cell>
          <cell r="D135" t="str">
            <v>Hierro</v>
          </cell>
          <cell r="E135" t="str">
            <v>Limpieza con Solvente</v>
          </cell>
          <cell r="F135" t="str">
            <v>Ninguno</v>
          </cell>
          <cell r="G135" t="str">
            <v>9.70 Lbs/Gl</v>
          </cell>
          <cell r="H135" t="str">
            <v>22.27%</v>
          </cell>
          <cell r="I135" t="str">
            <v>56.05%</v>
          </cell>
          <cell r="J135" t="str">
            <v>43.46%</v>
          </cell>
          <cell r="K135" t="str">
            <v>13.14%</v>
          </cell>
          <cell r="L135" t="str">
            <v>38.59%</v>
          </cell>
          <cell r="M135" t="str">
            <v>100"-110" Copa Zanh #2</v>
          </cell>
          <cell r="N135" t="str">
            <v>Pistola</v>
          </cell>
          <cell r="O135" t="str">
            <v>20-25 seg. Copa Zanh #2</v>
          </cell>
          <cell r="P135" t="str">
            <v>20-25%</v>
          </cell>
          <cell r="Q135" t="str">
            <v>R2K4         Industrial reducer</v>
          </cell>
          <cell r="R135" t="str">
            <v>1.0-1.2 mills</v>
          </cell>
          <cell r="S135" t="str">
            <v>Al horno</v>
          </cell>
          <cell r="T135" t="str">
            <v>15' a 300°F</v>
          </cell>
          <cell r="U135" t="str">
            <v>896.8 Pies Cuadrados/Gl a un mills de espesor</v>
          </cell>
          <cell r="V135" t="str">
            <v>+85</v>
          </cell>
          <cell r="W135" t="str">
            <v>H</v>
          </cell>
          <cell r="X135" t="str">
            <v>6-12 meses</v>
          </cell>
          <cell r="Y135" t="str">
            <v>Van Leer-Nicaragua</v>
          </cell>
          <cell r="Z135" t="str">
            <v>Barriles de Hierro</v>
          </cell>
          <cell r="AA135" t="str">
            <v>-</v>
          </cell>
          <cell r="AB135" t="str">
            <v>Luis Nolasco</v>
          </cell>
          <cell r="AC135" t="str">
            <v>S/F</v>
          </cell>
        </row>
        <row r="136">
          <cell r="A136" t="str">
            <v>SAA 3876</v>
          </cell>
          <cell r="B136" t="str">
            <v>Esmalte Horneable Café Claro</v>
          </cell>
          <cell r="C136" t="str">
            <v>Interior-Exterior</v>
          </cell>
          <cell r="D136" t="str">
            <v>Hierro</v>
          </cell>
          <cell r="E136" t="str">
            <v>Limpieza con Solvente</v>
          </cell>
          <cell r="F136" t="str">
            <v>Ninguno</v>
          </cell>
          <cell r="G136" t="str">
            <v>9.91 Lbs/Gl</v>
          </cell>
          <cell r="H136" t="str">
            <v>51.12%</v>
          </cell>
          <cell r="I136" t="str">
            <v>58%</v>
          </cell>
          <cell r="J136" t="str">
            <v>6.88%</v>
          </cell>
          <cell r="K136" t="str">
            <v>29.41%</v>
          </cell>
          <cell r="L136" t="str">
            <v>41%</v>
          </cell>
          <cell r="M136" t="str">
            <v>100"-110" Copa Zanh #2</v>
          </cell>
          <cell r="N136" t="str">
            <v>Pistola</v>
          </cell>
          <cell r="O136" t="str">
            <v>20-25 seg. Copa Zanh #2</v>
          </cell>
          <cell r="P136" t="str">
            <v>20-25%</v>
          </cell>
          <cell r="Q136" t="str">
            <v>R2K4         Industrial reducer</v>
          </cell>
          <cell r="R136" t="str">
            <v>1.0-1.2 mills</v>
          </cell>
          <cell r="S136" t="str">
            <v>Al horno</v>
          </cell>
          <cell r="T136" t="str">
            <v>15' a 300°F</v>
          </cell>
          <cell r="U136" t="str">
            <v>656 Pies Cuadrados/Gl a un mills de espesor</v>
          </cell>
          <cell r="V136" t="str">
            <v>18-25</v>
          </cell>
          <cell r="W136" t="str">
            <v>H</v>
          </cell>
          <cell r="X136" t="str">
            <v>6-12 meses</v>
          </cell>
          <cell r="Y136" t="str">
            <v>HECASA</v>
          </cell>
          <cell r="Z136" t="str">
            <v>Muebles Metálicos</v>
          </cell>
          <cell r="AA136" t="str">
            <v>-</v>
          </cell>
          <cell r="AB136" t="str">
            <v>Beatriz Sandoval</v>
          </cell>
          <cell r="AC136" t="str">
            <v>S/F</v>
          </cell>
        </row>
        <row r="137">
          <cell r="A137" t="str">
            <v>SAA 3879</v>
          </cell>
          <cell r="B137" t="str">
            <v>Rubbing Compound Extra Fino</v>
          </cell>
          <cell r="C137" t="str">
            <v>-</v>
          </cell>
          <cell r="D137" t="str">
            <v>Acabados Finales Finos (Transparentes, Lacas, Esmaltes)*</v>
          </cell>
          <cell r="E137" t="str">
            <v>Limpia de Suciedad (agua)</v>
          </cell>
          <cell r="F137" t="str">
            <v>-</v>
          </cell>
          <cell r="G137" t="str">
            <v>11.01 Lbs/Gl</v>
          </cell>
          <cell r="H137" t="str">
            <v>88.3%</v>
          </cell>
          <cell r="I137" t="str">
            <v>52.6%</v>
          </cell>
          <cell r="J137" t="str">
            <v>11.7%</v>
          </cell>
          <cell r="K137" t="str">
            <v>73.9%</v>
          </cell>
          <cell r="L137" t="str">
            <v>31.4%</v>
          </cell>
          <cell r="M137" t="str">
            <v>65/70 KU</v>
          </cell>
          <cell r="N137" t="str">
            <v>Untado con Wipe, Franela o con la Mano.</v>
          </cell>
          <cell r="O137" t="str">
            <v>65-70 KU</v>
          </cell>
          <cell r="P137" t="str">
            <v>Ninguno</v>
          </cell>
          <cell r="Q137" t="str">
            <v>Agua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1 Año</v>
          </cell>
          <cell r="Y137" t="str">
            <v>Talleres Automotrices</v>
          </cell>
          <cell r="Z137" t="str">
            <v>Pintado y Pasteado de Vehículos Automotrices.</v>
          </cell>
          <cell r="AA137" t="str">
            <v>*En donde se requiera poca abrasión, para no dañar acabados sumamente finos.</v>
          </cell>
          <cell r="AB137" t="str">
            <v>Rene Ferrufino</v>
          </cell>
          <cell r="AC137" t="str">
            <v>S/F</v>
          </cell>
        </row>
        <row r="138">
          <cell r="A138" t="str">
            <v>T60F50</v>
          </cell>
          <cell r="B138" t="str">
            <v>Sherwood Sanding Sealer No. 46</v>
          </cell>
          <cell r="C138" t="str">
            <v>Interior</v>
          </cell>
          <cell r="D138" t="str">
            <v>Madra</v>
          </cell>
          <cell r="E138" t="str">
            <v>Lijar Madera</v>
          </cell>
          <cell r="F138" t="str">
            <v>Tapaporo Nogal Oscuro Listo Para Usar</v>
          </cell>
          <cell r="G138" t="str">
            <v>7.8 Lbs/Gl</v>
          </cell>
          <cell r="H138" t="str">
            <v>-</v>
          </cell>
          <cell r="I138" t="str">
            <v>39%</v>
          </cell>
          <cell r="J138" t="str">
            <v>-</v>
          </cell>
          <cell r="K138" t="str">
            <v>-</v>
          </cell>
          <cell r="L138" t="str">
            <v>29%</v>
          </cell>
          <cell r="M138" t="str">
            <v>135-140 KU</v>
          </cell>
          <cell r="N138" t="str">
            <v>Pistola de aire</v>
          </cell>
          <cell r="O138" t="str">
            <v>25-30 Seg. Copa Zanh #2</v>
          </cell>
          <cell r="P138" t="str">
            <v>200% con Thinner R7K128</v>
          </cell>
          <cell r="Q138" t="str">
            <v>R7K128</v>
          </cell>
          <cell r="R138" t="str">
            <v>0.8 mills</v>
          </cell>
          <cell r="S138" t="str">
            <v>Tocar: 5-10 Min, Total: 15 Min. Recubrir: 30 Min.</v>
          </cell>
          <cell r="T138" t="str">
            <v>-</v>
          </cell>
          <cell r="U138" t="str">
            <v>45 Mts Cuadrados/Gl</v>
          </cell>
          <cell r="V138" t="str">
            <v>5-10</v>
          </cell>
          <cell r="W138" t="str">
            <v>-</v>
          </cell>
          <cell r="X138" t="str">
            <v>-</v>
          </cell>
          <cell r="Y138" t="str">
            <v>Olympia Empac-Guatemala</v>
          </cell>
          <cell r="Z138" t="str">
            <v>Muebles de Madera.</v>
          </cell>
          <cell r="AA138" t="str">
            <v>-</v>
          </cell>
          <cell r="AB138" t="str">
            <v>-</v>
          </cell>
          <cell r="AC138" t="str">
            <v>S/F</v>
          </cell>
        </row>
        <row r="139">
          <cell r="A139" t="str">
            <v>T70CSA16 (1)</v>
          </cell>
          <cell r="B139" t="str">
            <v>Laca Industrial Transparente Brillante</v>
          </cell>
          <cell r="C139" t="str">
            <v>Interior</v>
          </cell>
          <cell r="D139" t="str">
            <v>Polietileno y Poliestireno</v>
          </cell>
          <cell r="E139" t="str">
            <v>Limpieza Adecuada</v>
          </cell>
          <cell r="F139" t="str">
            <v>-</v>
          </cell>
          <cell r="G139" t="str">
            <v>8.0 Lbs/Gl</v>
          </cell>
          <cell r="H139" t="str">
            <v>-</v>
          </cell>
          <cell r="I139" t="str">
            <v>40%</v>
          </cell>
          <cell r="J139" t="str">
            <v>40%</v>
          </cell>
          <cell r="K139" t="str">
            <v>-</v>
          </cell>
          <cell r="L139" t="str">
            <v>32%</v>
          </cell>
          <cell r="M139" t="str">
            <v>J-L (Gardner-Holdt)</v>
          </cell>
          <cell r="N139" t="str">
            <v>Spray (Pistola)</v>
          </cell>
          <cell r="O139" t="str">
            <v>25"-28" Copa Zanh #2</v>
          </cell>
          <cell r="P139" t="str">
            <v>100-125%</v>
          </cell>
          <cell r="Q139" t="str">
            <v>R6KA10 Thinner Especial INDISA</v>
          </cell>
          <cell r="R139" t="str">
            <v>0.5-0.7 mills</v>
          </cell>
          <cell r="S139" t="str">
            <v>Al Aire 5-10 min</v>
          </cell>
          <cell r="T139" t="str">
            <v>-</v>
          </cell>
          <cell r="V139" t="str">
            <v>80</v>
          </cell>
          <cell r="W139" t="str">
            <v>2B-B</v>
          </cell>
          <cell r="X139" t="str">
            <v>1-1 1/2 Años</v>
          </cell>
          <cell r="Y139" t="str">
            <v>INDISA</v>
          </cell>
          <cell r="Z139" t="str">
            <v>Adornos Navideños y otros.</v>
          </cell>
          <cell r="AA139" t="str">
            <v>-</v>
          </cell>
          <cell r="AB139" t="str">
            <v>-</v>
          </cell>
          <cell r="AC139" t="str">
            <v>S/F</v>
          </cell>
        </row>
        <row r="140">
          <cell r="A140" t="str">
            <v>T70CSA18</v>
          </cell>
          <cell r="B140" t="str">
            <v>Laca Especial Transparente Final</v>
          </cell>
          <cell r="C140" t="str">
            <v>Interior</v>
          </cell>
          <cell r="D140" t="str">
            <v>Polietileno y Poliestireno</v>
          </cell>
          <cell r="E140" t="str">
            <v>Limpieza Adecuada</v>
          </cell>
          <cell r="F140" t="str">
            <v>T70CSA16</v>
          </cell>
          <cell r="G140" t="str">
            <v>7.59 Lbs/Gl</v>
          </cell>
          <cell r="H140" t="str">
            <v>-</v>
          </cell>
          <cell r="I140" t="str">
            <v>20.84%</v>
          </cell>
          <cell r="J140" t="str">
            <v>20.84%</v>
          </cell>
          <cell r="K140" t="str">
            <v>-</v>
          </cell>
          <cell r="L140" t="str">
            <v>13.51%</v>
          </cell>
          <cell r="M140" t="str">
            <v>10"-15" SW#5</v>
          </cell>
          <cell r="N140" t="str">
            <v>Spray (Pistola)</v>
          </cell>
          <cell r="O140" t="str">
            <v>25"-28" Copa Zanh #2</v>
          </cell>
          <cell r="P140" t="str">
            <v>100-125%</v>
          </cell>
          <cell r="Q140" t="str">
            <v>R7KSA13 Thinner Especial</v>
          </cell>
          <cell r="R140" t="str">
            <v>0.5-0.7 mills</v>
          </cell>
          <cell r="S140" t="str">
            <v>Al aire 5-10 min</v>
          </cell>
          <cell r="T140" t="str">
            <v>-</v>
          </cell>
          <cell r="U140" t="str">
            <v>-</v>
          </cell>
          <cell r="V140" t="str">
            <v>85-90 unidades</v>
          </cell>
          <cell r="W140" t="str">
            <v>2B-B</v>
          </cell>
          <cell r="X140" t="str">
            <v>1-1 1/2 Años</v>
          </cell>
          <cell r="Y140" t="str">
            <v>INDISA</v>
          </cell>
          <cell r="Z140" t="str">
            <v>Adornos Navideños y otros.</v>
          </cell>
          <cell r="AA140" t="str">
            <v>-</v>
          </cell>
          <cell r="AB140" t="str">
            <v>-</v>
          </cell>
          <cell r="AC140" t="str">
            <v>S/F</v>
          </cell>
        </row>
        <row r="141">
          <cell r="A141" t="str">
            <v>V71VSA1 T-1</v>
          </cell>
          <cell r="B141" t="str">
            <v>Barniz Interior Sanitario  Dorado</v>
          </cell>
          <cell r="C141" t="str">
            <v>Interior</v>
          </cell>
          <cell r="D141" t="str">
            <v>Hojalata</v>
          </cell>
          <cell r="E141" t="str">
            <v>Limpia con Solvente</v>
          </cell>
          <cell r="F141" t="str">
            <v>Ninguno</v>
          </cell>
          <cell r="G141" t="str">
            <v>8.15 Lbs/Gl</v>
          </cell>
          <cell r="H141" t="str">
            <v>-</v>
          </cell>
          <cell r="I141" t="str">
            <v>31.68%</v>
          </cell>
          <cell r="J141" t="str">
            <v>31.68%</v>
          </cell>
          <cell r="K141" t="str">
            <v>-</v>
          </cell>
          <cell r="L141" t="str">
            <v>27.65%</v>
          </cell>
          <cell r="M141" t="str">
            <v>160"-170" Copa SW #3</v>
          </cell>
          <cell r="N141" t="str">
            <v>Rodillo</v>
          </cell>
          <cell r="O141" t="str">
            <v>160"-170" Copa SW #3</v>
          </cell>
          <cell r="P141" t="str">
            <v>-</v>
          </cell>
          <cell r="Q141" t="str">
            <v>-</v>
          </cell>
          <cell r="R141" t="str">
            <v>1 mills</v>
          </cell>
          <cell r="S141" t="str">
            <v>Al Horno</v>
          </cell>
          <cell r="T141" t="str">
            <v>12' a 190°C</v>
          </cell>
          <cell r="U141" t="str">
            <v>547 Mts Cuadrados/Gl a 1 mills de espesor.</v>
          </cell>
          <cell r="V141" t="str">
            <v>+90</v>
          </cell>
          <cell r="W141" t="str">
            <v>-</v>
          </cell>
          <cell r="X141" t="str">
            <v>6-12 meses</v>
          </cell>
          <cell r="Y141" t="str">
            <v>Nicaragua</v>
          </cell>
          <cell r="Z141" t="str">
            <v>-</v>
          </cell>
          <cell r="AA141" t="str">
            <v>-</v>
          </cell>
          <cell r="AB141" t="str">
            <v>Luis Nolasco</v>
          </cell>
          <cell r="AC141" t="str">
            <v>S/F</v>
          </cell>
        </row>
        <row r="142">
          <cell r="A142" t="str">
            <v>V76VSA11 T-2</v>
          </cell>
          <cell r="B142" t="str">
            <v>Wet Ink Varnish Special</v>
          </cell>
          <cell r="C142" t="str">
            <v>Interior-Exterior</v>
          </cell>
          <cell r="D142" t="str">
            <v>Hojalata</v>
          </cell>
          <cell r="E142" t="str">
            <v>Limpia</v>
          </cell>
          <cell r="F142" t="str">
            <v>Ninguno</v>
          </cell>
          <cell r="G142" t="str">
            <v>7.69 Lbs/Gl</v>
          </cell>
          <cell r="H142" t="str">
            <v>-</v>
          </cell>
          <cell r="I142" t="str">
            <v>50.11%</v>
          </cell>
          <cell r="J142" t="str">
            <v>50.11%</v>
          </cell>
          <cell r="K142" t="str">
            <v>-</v>
          </cell>
          <cell r="L142" t="str">
            <v>42.72%</v>
          </cell>
          <cell r="M142" t="str">
            <v>50"-60" Copa Ford #4</v>
          </cell>
          <cell r="N142" t="str">
            <v>Rodillo</v>
          </cell>
          <cell r="O142" t="str">
            <v>50"-60" Copa Ford #4</v>
          </cell>
          <cell r="P142" t="str">
            <v>03-32-10 Si es Necesario</v>
          </cell>
          <cell r="Q142" t="str">
            <v>03-32-10</v>
          </cell>
          <cell r="R142" t="str">
            <v>-</v>
          </cell>
          <cell r="S142" t="str">
            <v>-</v>
          </cell>
          <cell r="T142" t="str">
            <v>12' a 160°C</v>
          </cell>
          <cell r="U142" t="str">
            <v>-</v>
          </cell>
          <cell r="V142" t="str">
            <v>+90</v>
          </cell>
          <cell r="W142" t="str">
            <v>B</v>
          </cell>
          <cell r="X142" t="str">
            <v>12 meses</v>
          </cell>
          <cell r="Y142" t="str">
            <v>CORLASA</v>
          </cell>
          <cell r="Z142" t="str">
            <v>Tapas Coronas, Afiches, Etc.</v>
          </cell>
          <cell r="AA142" t="str">
            <v>-</v>
          </cell>
          <cell r="AB142" t="str">
            <v>-</v>
          </cell>
          <cell r="AC142" t="str">
            <v>S/F</v>
          </cell>
        </row>
        <row r="143">
          <cell r="A143" t="str">
            <v>V76VSA13 T-2</v>
          </cell>
          <cell r="B143" t="str">
            <v>Barniz para Interiores Fenólico de Alta Resistencia Química</v>
          </cell>
          <cell r="C143" t="str">
            <v>Interior</v>
          </cell>
          <cell r="D143" t="str">
            <v>Hojalata</v>
          </cell>
          <cell r="E143" t="str">
            <v>Limpia</v>
          </cell>
          <cell r="F143" t="str">
            <v>Ninguno</v>
          </cell>
          <cell r="G143" t="str">
            <v>8.0 Lbs/Gl</v>
          </cell>
          <cell r="H143" t="str">
            <v>-</v>
          </cell>
          <cell r="I143" t="str">
            <v>38.91%</v>
          </cell>
          <cell r="J143" t="str">
            <v>38.91%</v>
          </cell>
          <cell r="K143" t="str">
            <v>-</v>
          </cell>
          <cell r="L143" t="str">
            <v>25.34%</v>
          </cell>
          <cell r="M143" t="str">
            <v>55"-65" Copa Ford #4</v>
          </cell>
          <cell r="N143" t="str">
            <v>Rodillo</v>
          </cell>
          <cell r="O143" t="str">
            <v>55"-65" Copa Ford #4</v>
          </cell>
          <cell r="P143" t="str">
            <v>Ninguno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20' a 375°F</v>
          </cell>
          <cell r="U143" t="str">
            <v>622.56 Pies Cuadrados/Gl</v>
          </cell>
          <cell r="V143" t="str">
            <v>80</v>
          </cell>
          <cell r="W143" t="str">
            <v>-</v>
          </cell>
          <cell r="X143" t="str">
            <v>12 meses</v>
          </cell>
          <cell r="Y143" t="str">
            <v>Van Leer</v>
          </cell>
          <cell r="Z143" t="str">
            <v>Envases Metálicos</v>
          </cell>
          <cell r="AA143" t="str">
            <v>-</v>
          </cell>
          <cell r="AB143" t="str">
            <v>-</v>
          </cell>
          <cell r="AC143" t="str">
            <v>S/F</v>
          </cell>
        </row>
        <row r="144">
          <cell r="A144" t="str">
            <v>V76VSA16 (1)</v>
          </cell>
          <cell r="B144" t="str">
            <v>Barniz Horneable Especial Para Tapacoronas</v>
          </cell>
          <cell r="C144" t="str">
            <v>Exterior</v>
          </cell>
          <cell r="D144" t="str">
            <v>Hojalata</v>
          </cell>
          <cell r="E144" t="str">
            <v>Limpia</v>
          </cell>
          <cell r="F144" t="str">
            <v>Ninguno</v>
          </cell>
          <cell r="G144" t="str">
            <v>8.03 Lbs/Gl</v>
          </cell>
          <cell r="H144" t="str">
            <v>-</v>
          </cell>
          <cell r="I144" t="str">
            <v>48.58%</v>
          </cell>
          <cell r="J144" t="str">
            <v>48.58%</v>
          </cell>
          <cell r="K144" t="str">
            <v>-</v>
          </cell>
          <cell r="L144" t="str">
            <v>40.40%</v>
          </cell>
          <cell r="M144" t="str">
            <v>50"-55" Copa SW #3</v>
          </cell>
          <cell r="N144" t="str">
            <v>Rodillo</v>
          </cell>
          <cell r="O144" t="str">
            <v>50"-55" Copa SW #3</v>
          </cell>
          <cell r="P144" t="str">
            <v>-</v>
          </cell>
          <cell r="Q144" t="str">
            <v>-</v>
          </cell>
          <cell r="R144" t="str">
            <v>1 mills</v>
          </cell>
          <cell r="S144" t="str">
            <v>Al Horno</v>
          </cell>
          <cell r="T144" t="str">
            <v>12' a 190°C</v>
          </cell>
          <cell r="U144" t="str">
            <v>777 Mts Cuadrados/Gl a 1 mills de espesor.</v>
          </cell>
          <cell r="V144" t="str">
            <v>+90</v>
          </cell>
          <cell r="W144" t="str">
            <v>H</v>
          </cell>
          <cell r="X144" t="str">
            <v>6-12 meses</v>
          </cell>
          <cell r="Y144" t="str">
            <v>Nicaragua</v>
          </cell>
          <cell r="Z144" t="str">
            <v>-</v>
          </cell>
          <cell r="AA144" t="str">
            <v>-</v>
          </cell>
          <cell r="AB144" t="str">
            <v>Luis Nolasco</v>
          </cell>
          <cell r="AC144" t="str">
            <v>S/F</v>
          </cell>
        </row>
        <row r="145">
          <cell r="A145" t="str">
            <v>V76VSA9 T-11</v>
          </cell>
          <cell r="B145" t="str">
            <v xml:space="preserve">Wet Ink Varnish </v>
          </cell>
          <cell r="C145" t="str">
            <v>Interior-Exterior</v>
          </cell>
          <cell r="D145" t="str">
            <v>Hojalata</v>
          </cell>
          <cell r="E145" t="str">
            <v>Limpia</v>
          </cell>
          <cell r="F145" t="str">
            <v>Ninguno</v>
          </cell>
          <cell r="G145" t="str">
            <v>8.09 Lbs/Gl</v>
          </cell>
          <cell r="H145" t="str">
            <v>-</v>
          </cell>
          <cell r="I145" t="str">
            <v>49.09%</v>
          </cell>
          <cell r="J145" t="str">
            <v>49.09%</v>
          </cell>
          <cell r="K145" t="str">
            <v>-</v>
          </cell>
          <cell r="L145" t="str">
            <v>41.69%</v>
          </cell>
          <cell r="M145" t="str">
            <v>50"-60" Copa Ford #4</v>
          </cell>
          <cell r="N145" t="str">
            <v>Rodillo</v>
          </cell>
          <cell r="O145" t="str">
            <v>50"-60" Copa Ford #4</v>
          </cell>
          <cell r="P145" t="str">
            <v>03-32-10 Si es Necesario</v>
          </cell>
          <cell r="Q145" t="str">
            <v>03-32-10</v>
          </cell>
          <cell r="R145" t="str">
            <v>-</v>
          </cell>
          <cell r="S145" t="str">
            <v>-</v>
          </cell>
          <cell r="T145" t="str">
            <v>12' a 160°C</v>
          </cell>
          <cell r="U145" t="str">
            <v>-</v>
          </cell>
          <cell r="V145" t="str">
            <v>+90</v>
          </cell>
          <cell r="W145" t="str">
            <v>B</v>
          </cell>
          <cell r="X145" t="str">
            <v>12 meses</v>
          </cell>
          <cell r="Y145" t="str">
            <v>CORLASA</v>
          </cell>
          <cell r="Z145" t="str">
            <v>Tapas Coronas, Afiches, Etc.</v>
          </cell>
          <cell r="AA145" t="str">
            <v>-</v>
          </cell>
          <cell r="AB145" t="str">
            <v>-</v>
          </cell>
          <cell r="AC145" t="str">
            <v>S/F</v>
          </cell>
        </row>
        <row r="146">
          <cell r="A146" t="str">
            <v>V83CSA2</v>
          </cell>
          <cell r="B146" t="str">
            <v>Barniz Artesanal</v>
          </cell>
          <cell r="C146" t="str">
            <v>Interior</v>
          </cell>
          <cell r="D146" t="str">
            <v>Madera</v>
          </cell>
          <cell r="E146" t="str">
            <v>Limpia, sin Polvo</v>
          </cell>
          <cell r="F146" t="str">
            <v>-</v>
          </cell>
          <cell r="G146" t="str">
            <v>7.87 Lbs/Gl</v>
          </cell>
          <cell r="H146" t="str">
            <v>-</v>
          </cell>
          <cell r="I146" t="str">
            <v>40.1%</v>
          </cell>
          <cell r="J146" t="str">
            <v>40.1%</v>
          </cell>
          <cell r="K146" t="str">
            <v>-</v>
          </cell>
          <cell r="L146" t="str">
            <v>35.2%</v>
          </cell>
          <cell r="M146" t="str">
            <v>J-L (Gardner-Holdt)</v>
          </cell>
          <cell r="N146" t="str">
            <v>Brocha,Pistola de Aire</v>
          </cell>
          <cell r="O146" t="str">
            <v>-</v>
          </cell>
          <cell r="P146" t="str">
            <v>Brocha: Lo necesario con R2K4; Pistola de Aire: 20% con R2K4</v>
          </cell>
          <cell r="Q146" t="str">
            <v>R2K4         Industrial reducer</v>
          </cell>
          <cell r="R146" t="str">
            <v>-</v>
          </cell>
          <cell r="S146" t="str">
            <v>Al Aire</v>
          </cell>
          <cell r="T146" t="str">
            <v>-</v>
          </cell>
          <cell r="U146" t="str">
            <v>-</v>
          </cell>
          <cell r="V146" t="str">
            <v>80</v>
          </cell>
          <cell r="W146" t="str">
            <v>-</v>
          </cell>
          <cell r="X146" t="str">
            <v>10-12 meses</v>
          </cell>
          <cell r="Y146" t="str">
            <v>La semilla de Dios</v>
          </cell>
          <cell r="Z146" t="str">
            <v>Cuadros y Figuras Artesanales</v>
          </cell>
          <cell r="AA146" t="str">
            <v>Recubrir 3 Horas después de aplicar la Primera mano. Empaquetar después de 48 Horas de Aplicado.</v>
          </cell>
          <cell r="AB146" t="str">
            <v>-</v>
          </cell>
          <cell r="AC146" t="str">
            <v>S/F</v>
          </cell>
        </row>
        <row r="147">
          <cell r="A147" t="str">
            <v>X79ASA1</v>
          </cell>
          <cell r="B147" t="str">
            <v>Plastisol Crown Lining</v>
          </cell>
          <cell r="C147" t="str">
            <v>Interior</v>
          </cell>
          <cell r="D147" t="str">
            <v>Tapa Corona</v>
          </cell>
          <cell r="E147" t="str">
            <v>Limpieza</v>
          </cell>
          <cell r="F147" t="str">
            <v>Ninguno</v>
          </cell>
          <cell r="G147" t="str">
            <v>10.17 Lbs/Gl</v>
          </cell>
          <cell r="H147" t="str">
            <v>Ninguno</v>
          </cell>
          <cell r="I147" t="str">
            <v>100%</v>
          </cell>
          <cell r="J147" t="str">
            <v>100%</v>
          </cell>
          <cell r="K147" t="str">
            <v>-</v>
          </cell>
          <cell r="L147" t="str">
            <v>100%</v>
          </cell>
          <cell r="M147" t="str">
            <v>130-140 KU</v>
          </cell>
          <cell r="N147" t="str">
            <v>Especial</v>
          </cell>
          <cell r="O147" t="str">
            <v>130-140 KU</v>
          </cell>
          <cell r="P147" t="str">
            <v>Ninguno</v>
          </cell>
          <cell r="Q147" t="str">
            <v>Ninguno</v>
          </cell>
          <cell r="R147" t="str">
            <v>-</v>
          </cell>
          <cell r="S147" t="str">
            <v>-</v>
          </cell>
          <cell r="T147" t="str">
            <v>70 Seg. a 210°C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12 meses</v>
          </cell>
          <cell r="Y147" t="str">
            <v>MAVICA Guatemala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S/F</v>
          </cell>
        </row>
        <row r="148">
          <cell r="A148" t="str">
            <v>SAA 1737</v>
          </cell>
          <cell r="B148" t="str">
            <v>Anticorrosivo Verde Esmeralda</v>
          </cell>
          <cell r="C148" t="str">
            <v>Interior-Exterior</v>
          </cell>
          <cell r="D148" t="str">
            <v>Estantes Metálicos</v>
          </cell>
          <cell r="E148" t="str">
            <v>Limpieza con Cepillo de Alambre</v>
          </cell>
          <cell r="F148" t="str">
            <v>-</v>
          </cell>
          <cell r="G148" t="str">
            <v>10.40 Lbs/Gl</v>
          </cell>
          <cell r="H148" t="str">
            <v>-</v>
          </cell>
          <cell r="I148" t="str">
            <v>68.39%</v>
          </cell>
          <cell r="J148" t="str">
            <v>-</v>
          </cell>
          <cell r="K148" t="str">
            <v>-</v>
          </cell>
          <cell r="L148" t="str">
            <v>50.41%</v>
          </cell>
          <cell r="M148" t="str">
            <v>30"-40"</v>
          </cell>
          <cell r="N148" t="str">
            <v>Brocha</v>
          </cell>
          <cell r="O148" t="str">
            <v>Directa</v>
          </cell>
          <cell r="P148" t="str">
            <v>15% con R1K4 si es Necesario</v>
          </cell>
          <cell r="Q148" t="str">
            <v>R1K4   Mineral Spirits</v>
          </cell>
          <cell r="R148" t="str">
            <v>2 mills</v>
          </cell>
          <cell r="S148" t="str">
            <v>-</v>
          </cell>
          <cell r="T148" t="str">
            <v>-</v>
          </cell>
          <cell r="U148" t="str">
            <v>725 Pies Cuadrados/Gl</v>
          </cell>
          <cell r="V148" t="str">
            <v>-</v>
          </cell>
          <cell r="W148" t="str">
            <v>-</v>
          </cell>
          <cell r="X148" t="str">
            <v>12 meses</v>
          </cell>
          <cell r="Y148" t="str">
            <v>Gobierno de El Salvador</v>
          </cell>
          <cell r="Z148" t="str">
            <v>Estantes Metálicos</v>
          </cell>
          <cell r="AA148" t="str">
            <v>-</v>
          </cell>
          <cell r="AB148" t="str">
            <v>-</v>
          </cell>
          <cell r="AC148">
            <v>27796</v>
          </cell>
        </row>
        <row r="149">
          <cell r="A149" t="str">
            <v>SAA 1735</v>
          </cell>
          <cell r="B149" t="str">
            <v>Laca Industrial Aluminio</v>
          </cell>
          <cell r="C149" t="str">
            <v>Interior</v>
          </cell>
          <cell r="D149" t="str">
            <v>Muebles Metálicos</v>
          </cell>
          <cell r="E149" t="str">
            <v>Lijado y Limpieza con Solvente</v>
          </cell>
          <cell r="F149" t="str">
            <v>P61W1</v>
          </cell>
          <cell r="G149" t="str">
            <v>7.90 Lbs/Gl</v>
          </cell>
          <cell r="H149" t="str">
            <v>-</v>
          </cell>
          <cell r="I149" t="str">
            <v>30.37%</v>
          </cell>
          <cell r="J149" t="str">
            <v>-</v>
          </cell>
          <cell r="K149" t="str">
            <v>-</v>
          </cell>
          <cell r="L149" t="str">
            <v>22.26%</v>
          </cell>
          <cell r="M149" t="str">
            <v>35"-40" Copa SW #5</v>
          </cell>
          <cell r="N149" t="str">
            <v>Pistola</v>
          </cell>
          <cell r="O149" t="str">
            <v>20"-22" Copa Ford #4</v>
          </cell>
          <cell r="P149" t="str">
            <v>100-150%</v>
          </cell>
          <cell r="Q149" t="str">
            <v>R7K128</v>
          </cell>
          <cell r="R149" t="str">
            <v>1.0 mills</v>
          </cell>
          <cell r="S149" t="str">
            <v>-</v>
          </cell>
          <cell r="T149" t="str">
            <v>-</v>
          </cell>
          <cell r="U149" t="str">
            <v>30 Pies Cuadrados/Gl</v>
          </cell>
          <cell r="V149" t="str">
            <v>+85</v>
          </cell>
          <cell r="W149" t="str">
            <v>-</v>
          </cell>
          <cell r="X149" t="str">
            <v>12 meses</v>
          </cell>
          <cell r="Y149" t="str">
            <v>Muebles Ganz</v>
          </cell>
          <cell r="Z149" t="str">
            <v>Muebles Metálicos</v>
          </cell>
          <cell r="AA149" t="str">
            <v>-</v>
          </cell>
          <cell r="AB149" t="str">
            <v>-</v>
          </cell>
          <cell r="AC149">
            <v>27800</v>
          </cell>
        </row>
        <row r="150">
          <cell r="A150" t="str">
            <v>SAA 1736</v>
          </cell>
          <cell r="B150" t="str">
            <v>Esmalte Horneable Alquídico Aluminio</v>
          </cell>
          <cell r="C150" t="str">
            <v>Interior</v>
          </cell>
          <cell r="D150" t="str">
            <v>Operadores de Ventanas de Zamak</v>
          </cell>
          <cell r="E150" t="str">
            <v>Limpieza con Solvente</v>
          </cell>
          <cell r="F150" t="str">
            <v>-</v>
          </cell>
          <cell r="G150" t="str">
            <v>8.27 Lbs/Gl</v>
          </cell>
          <cell r="H150" t="str">
            <v>-</v>
          </cell>
          <cell r="I150" t="str">
            <v>50.78%</v>
          </cell>
          <cell r="J150" t="str">
            <v>-</v>
          </cell>
          <cell r="K150" t="str">
            <v>-</v>
          </cell>
          <cell r="L150" t="str">
            <v>40.45%</v>
          </cell>
          <cell r="M150" t="str">
            <v>80"-90" Copa Zanh #2</v>
          </cell>
          <cell r="N150" t="str">
            <v>Pistola</v>
          </cell>
          <cell r="O150" t="str">
            <v>25"-30" Copa Zanh #2</v>
          </cell>
          <cell r="P150" t="str">
            <v>20% R2K4</v>
          </cell>
          <cell r="Q150" t="str">
            <v>R2K4         Industrial reducer</v>
          </cell>
          <cell r="R150" t="str">
            <v>1.0-1.5 mills</v>
          </cell>
          <cell r="S150" t="str">
            <v>Al Horno</v>
          </cell>
          <cell r="T150" t="str">
            <v>15' a 300°F</v>
          </cell>
          <cell r="U150" t="str">
            <v>600 Pies Cuadrados/Gl</v>
          </cell>
          <cell r="V150" t="str">
            <v>+85</v>
          </cell>
          <cell r="W150" t="str">
            <v>H</v>
          </cell>
          <cell r="X150" t="str">
            <v>12 meses</v>
          </cell>
          <cell r="Y150" t="str">
            <v>Industrias Metálicas S.A</v>
          </cell>
          <cell r="Z150" t="str">
            <v>Artículos Metálicos</v>
          </cell>
          <cell r="AA150" t="str">
            <v>-</v>
          </cell>
          <cell r="AB150" t="str">
            <v>-</v>
          </cell>
          <cell r="AC150">
            <v>27800</v>
          </cell>
        </row>
        <row r="151">
          <cell r="A151" t="str">
            <v>B69W16</v>
          </cell>
          <cell r="B151" t="str">
            <v>C&amp;M Resisting Enamel White</v>
          </cell>
          <cell r="C151" t="str">
            <v>Interior-Exterior</v>
          </cell>
          <cell r="D151" t="str">
            <v>Tanques de Concreto</v>
          </cell>
          <cell r="E151" t="str">
            <v>Lavado con Agua y Detergente</v>
          </cell>
          <cell r="F151" t="str">
            <v>-</v>
          </cell>
          <cell r="G151" t="str">
            <v>10.83 Lbs/Gl</v>
          </cell>
          <cell r="H151" t="str">
            <v>-</v>
          </cell>
          <cell r="I151" t="str">
            <v>60.01%</v>
          </cell>
          <cell r="J151" t="str">
            <v>-</v>
          </cell>
          <cell r="K151" t="str">
            <v>-</v>
          </cell>
          <cell r="L151" t="str">
            <v>36.41%</v>
          </cell>
          <cell r="M151" t="str">
            <v>40"-50" Copa SW #3</v>
          </cell>
          <cell r="N151" t="str">
            <v>Brocha-Pistola</v>
          </cell>
          <cell r="O151" t="str">
            <v>20"-25" Copa Ford #4</v>
          </cell>
          <cell r="P151" t="str">
            <v>50%</v>
          </cell>
          <cell r="Q151" t="str">
            <v>R2K4         Industrial reducer</v>
          </cell>
          <cell r="R151" t="str">
            <v>2-4 mills</v>
          </cell>
          <cell r="S151" t="str">
            <v>-</v>
          </cell>
          <cell r="T151" t="str">
            <v>-</v>
          </cell>
          <cell r="U151" t="str">
            <v>550 Pies Cuadrados/Gl</v>
          </cell>
          <cell r="V151" t="str">
            <v>20-30</v>
          </cell>
          <cell r="W151" t="str">
            <v>-</v>
          </cell>
          <cell r="X151" t="str">
            <v>12 meses</v>
          </cell>
          <cell r="Y151" t="str">
            <v>Ingenio del Jiboa</v>
          </cell>
          <cell r="Z151" t="str">
            <v>Tanques de Concreto para Acidos</v>
          </cell>
          <cell r="AA151" t="str">
            <v>-</v>
          </cell>
          <cell r="AB151" t="str">
            <v>-</v>
          </cell>
          <cell r="AC151">
            <v>27801</v>
          </cell>
        </row>
        <row r="152">
          <cell r="A152" t="str">
            <v>SAA 1734</v>
          </cell>
          <cell r="B152" t="str">
            <v>Esmalte Horneable Gris IESSA</v>
          </cell>
          <cell r="C152" t="str">
            <v>Interior-Exterior Limitada</v>
          </cell>
          <cell r="D152" t="str">
            <v>Lamina de Hierro</v>
          </cell>
          <cell r="E152" t="str">
            <v>Limpieza Química</v>
          </cell>
          <cell r="F152" t="str">
            <v>-</v>
          </cell>
          <cell r="G152" t="str">
            <v>9.03 Lbs/Gl</v>
          </cell>
          <cell r="H152" t="str">
            <v>-</v>
          </cell>
          <cell r="I152" t="str">
            <v>52.49%</v>
          </cell>
          <cell r="J152" t="str">
            <v>-</v>
          </cell>
          <cell r="K152" t="str">
            <v>-</v>
          </cell>
          <cell r="L152" t="str">
            <v>38.45%</v>
          </cell>
          <cell r="M152" t="str">
            <v>80"-90" Copa Zanh #2</v>
          </cell>
          <cell r="N152" t="str">
            <v>Pistola</v>
          </cell>
          <cell r="O152" t="str">
            <v>25"-30" Copa Zanh #2</v>
          </cell>
          <cell r="P152" t="str">
            <v>20%</v>
          </cell>
          <cell r="Q152" t="str">
            <v>R2K4         Industrial reducer</v>
          </cell>
          <cell r="R152" t="str">
            <v>1.0-1.5 mills</v>
          </cell>
          <cell r="S152" t="str">
            <v>-</v>
          </cell>
          <cell r="T152" t="str">
            <v>15' a 300°F</v>
          </cell>
          <cell r="U152" t="str">
            <v>600 Pies Cuadrados/Gl</v>
          </cell>
          <cell r="V152" t="str">
            <v>+80</v>
          </cell>
          <cell r="W152" t="str">
            <v>H</v>
          </cell>
          <cell r="X152" t="str">
            <v>12 meses</v>
          </cell>
          <cell r="Y152" t="str">
            <v>IESSA</v>
          </cell>
          <cell r="Z152" t="str">
            <v>Cajas Térmicas</v>
          </cell>
          <cell r="AA152" t="str">
            <v>-</v>
          </cell>
          <cell r="AB152" t="str">
            <v>-</v>
          </cell>
          <cell r="AC152">
            <v>27809</v>
          </cell>
        </row>
        <row r="153">
          <cell r="A153" t="str">
            <v>SAA 1745</v>
          </cell>
          <cell r="B153" t="str">
            <v>Esmalte Horneable Acrilico Light Bronze</v>
          </cell>
          <cell r="C153" t="str">
            <v>Interior-Exterior Limitada</v>
          </cell>
          <cell r="D153" t="str">
            <v>Lamina de Aluminio</v>
          </cell>
          <cell r="E153" t="str">
            <v>Limpieza con Solvente</v>
          </cell>
          <cell r="F153" t="str">
            <v>Gripclad Primer</v>
          </cell>
          <cell r="G153" t="str">
            <v>8.4Lbs/Gl</v>
          </cell>
          <cell r="H153" t="str">
            <v>-</v>
          </cell>
          <cell r="I153" t="str">
            <v>43.48%</v>
          </cell>
          <cell r="J153" t="str">
            <v>-</v>
          </cell>
          <cell r="K153" t="str">
            <v>-</v>
          </cell>
          <cell r="L153" t="str">
            <v>50.93%</v>
          </cell>
          <cell r="M153" t="str">
            <v>80"-90" Copa Zanh #2</v>
          </cell>
          <cell r="N153" t="str">
            <v>Pistola</v>
          </cell>
          <cell r="O153" t="str">
            <v>25"-30" Copa Zanh #2</v>
          </cell>
          <cell r="P153" t="str">
            <v>20%</v>
          </cell>
          <cell r="Q153" t="str">
            <v>Acrilic Baking Enamel Reducer (R7KSA9)</v>
          </cell>
          <cell r="R153" t="str">
            <v>1.0-1.5 mills</v>
          </cell>
          <cell r="S153" t="str">
            <v>-</v>
          </cell>
          <cell r="T153" t="str">
            <v>15' a 400°F</v>
          </cell>
          <cell r="U153" t="str">
            <v>490 Pies Cuadrados/Gl</v>
          </cell>
          <cell r="V153" t="str">
            <v>40-50</v>
          </cell>
          <cell r="W153" t="str">
            <v>3H</v>
          </cell>
          <cell r="X153" t="str">
            <v>12 meses</v>
          </cell>
          <cell r="Y153" t="str">
            <v>ALUMEX (Nicaragua)</v>
          </cell>
          <cell r="Z153" t="str">
            <v>Ventanas de Aluminio</v>
          </cell>
          <cell r="AA153" t="str">
            <v>-</v>
          </cell>
          <cell r="AB153" t="str">
            <v>-</v>
          </cell>
          <cell r="AC153">
            <v>27816</v>
          </cell>
        </row>
        <row r="154">
          <cell r="A154" t="str">
            <v>SAA 1746</v>
          </cell>
          <cell r="B154" t="str">
            <v>Esmalte Horneable Acrilico Dark Bronze</v>
          </cell>
          <cell r="C154" t="str">
            <v>Interior-Exterior Limitada</v>
          </cell>
          <cell r="D154" t="str">
            <v>Lamina de Aluminio</v>
          </cell>
          <cell r="E154" t="str">
            <v>Limpieza con Solvente</v>
          </cell>
          <cell r="F154" t="str">
            <v>Gripclad Primer</v>
          </cell>
          <cell r="G154" t="str">
            <v>8.75 Lbs/Gl</v>
          </cell>
          <cell r="H154" t="str">
            <v>-</v>
          </cell>
          <cell r="I154" t="str">
            <v>48.23%</v>
          </cell>
          <cell r="J154" t="str">
            <v>-</v>
          </cell>
          <cell r="K154" t="str">
            <v>-</v>
          </cell>
          <cell r="L154" t="str">
            <v>33.83%</v>
          </cell>
          <cell r="M154" t="str">
            <v>80"-90" Copa Zanh #2</v>
          </cell>
          <cell r="N154" t="str">
            <v>Pistola</v>
          </cell>
          <cell r="O154" t="str">
            <v>25"-30" Copa Zanh #2</v>
          </cell>
          <cell r="P154" t="str">
            <v>20%</v>
          </cell>
          <cell r="Q154" t="str">
            <v>Acrilic Baking Enamel Reducer (R7KSA9)</v>
          </cell>
          <cell r="R154" t="str">
            <v>1.0-1.5 mills</v>
          </cell>
          <cell r="S154" t="str">
            <v>-</v>
          </cell>
          <cell r="T154" t="str">
            <v>15' a 400°F</v>
          </cell>
          <cell r="U154" t="str">
            <v>540 Pies Cuadrados/Gl</v>
          </cell>
          <cell r="V154" t="str">
            <v>5-8</v>
          </cell>
          <cell r="W154" t="str">
            <v>3H</v>
          </cell>
          <cell r="X154" t="str">
            <v>12 meses</v>
          </cell>
          <cell r="Y154" t="str">
            <v>ALUMEX (Nicaragua)</v>
          </cell>
          <cell r="Z154" t="str">
            <v>Ventanas de Aluminio</v>
          </cell>
          <cell r="AA154" t="str">
            <v>-</v>
          </cell>
          <cell r="AB154" t="str">
            <v>-</v>
          </cell>
          <cell r="AC154">
            <v>27816</v>
          </cell>
        </row>
        <row r="155">
          <cell r="A155" t="str">
            <v>SAA 1765</v>
          </cell>
          <cell r="B155" t="str">
            <v>Esmalte Horneable Naranja</v>
          </cell>
          <cell r="C155" t="str">
            <v>Interior</v>
          </cell>
          <cell r="D155" t="str">
            <v>Muebles de Hierro</v>
          </cell>
          <cell r="E155" t="str">
            <v xml:space="preserve">Limpieza Quimica  </v>
          </cell>
          <cell r="F155" t="str">
            <v>-</v>
          </cell>
          <cell r="G155" t="str">
            <v>9.27 Lbs/Gl</v>
          </cell>
          <cell r="H155" t="str">
            <v>-</v>
          </cell>
          <cell r="I155" t="str">
            <v>56.37%</v>
          </cell>
          <cell r="J155" t="str">
            <v>-</v>
          </cell>
          <cell r="K155" t="str">
            <v>-</v>
          </cell>
          <cell r="L155" t="str">
            <v>41.64%</v>
          </cell>
          <cell r="M155" t="str">
            <v>100-110 KU</v>
          </cell>
          <cell r="N155" t="str">
            <v>Pistola Airless</v>
          </cell>
          <cell r="O155" t="str">
            <v>40-50 KU</v>
          </cell>
          <cell r="P155" t="str">
            <v>25%</v>
          </cell>
          <cell r="Q155" t="str">
            <v>R2K4         Industrial reducer</v>
          </cell>
          <cell r="R155" t="str">
            <v>1.5-2 mills</v>
          </cell>
          <cell r="S155" t="str">
            <v>-</v>
          </cell>
          <cell r="T155" t="str">
            <v>15' a 300°F</v>
          </cell>
          <cell r="U155" t="str">
            <v>900 Pies Cuadrados/Gl</v>
          </cell>
          <cell r="V155" t="str">
            <v>+85</v>
          </cell>
          <cell r="W155" t="str">
            <v>2H mínimo</v>
          </cell>
          <cell r="X155" t="str">
            <v>12 meses</v>
          </cell>
          <cell r="Y155" t="str">
            <v>DM. NACIONAL</v>
          </cell>
          <cell r="Z155" t="str">
            <v>Muebles de Metal</v>
          </cell>
          <cell r="AA155" t="str">
            <v>-</v>
          </cell>
          <cell r="AB155" t="str">
            <v>-</v>
          </cell>
          <cell r="AC155">
            <v>27856</v>
          </cell>
        </row>
        <row r="156">
          <cell r="A156" t="str">
            <v>V76VSA2</v>
          </cell>
          <cell r="B156" t="str">
            <v>Acrylic Wet Ink Varnish</v>
          </cell>
          <cell r="C156" t="str">
            <v>Interior-Exterior</v>
          </cell>
          <cell r="D156" t="str">
            <v>Hojalata</v>
          </cell>
          <cell r="E156" t="str">
            <v>-</v>
          </cell>
          <cell r="F156" t="str">
            <v>-</v>
          </cell>
          <cell r="G156" t="str">
            <v>7.83 Lbs/Gl</v>
          </cell>
          <cell r="H156" t="str">
            <v>-</v>
          </cell>
          <cell r="I156" t="str">
            <v>42.3%</v>
          </cell>
          <cell r="J156" t="str">
            <v>-</v>
          </cell>
          <cell r="K156" t="str">
            <v>-</v>
          </cell>
          <cell r="L156" t="str">
            <v>32.3%</v>
          </cell>
          <cell r="M156" t="str">
            <v>48"-56" Copa Ford #4</v>
          </cell>
          <cell r="N156" t="str">
            <v>Rodillo</v>
          </cell>
          <cell r="O156" t="str">
            <v>48"-56" Copa Ford #4</v>
          </cell>
          <cell r="P156" t="str">
            <v>Ninguno</v>
          </cell>
          <cell r="Q156" t="str">
            <v>Solvesso 150 si es Necesario</v>
          </cell>
          <cell r="R156" t="str">
            <v>Humedo: 8 Pfung Gauge</v>
          </cell>
          <cell r="S156" t="str">
            <v>-</v>
          </cell>
          <cell r="T156" t="str">
            <v>13' a 160°C</v>
          </cell>
          <cell r="U156" t="str">
            <v>-</v>
          </cell>
          <cell r="V156" t="str">
            <v>+90</v>
          </cell>
          <cell r="W156" t="str">
            <v>HB Mínimo</v>
          </cell>
          <cell r="X156" t="str">
            <v>12 meses</v>
          </cell>
          <cell r="Y156" t="str">
            <v>CORLASA</v>
          </cell>
          <cell r="Z156" t="str">
            <v>Tapas Coronas, Afiches, Etc.</v>
          </cell>
          <cell r="AA156" t="str">
            <v>-</v>
          </cell>
          <cell r="AB156" t="str">
            <v>-</v>
          </cell>
          <cell r="AC156">
            <v>27858</v>
          </cell>
        </row>
        <row r="157">
          <cell r="A157" t="str">
            <v>F73B5 (1)</v>
          </cell>
          <cell r="B157" t="str">
            <v>Extra Flat Baking Enamel Black</v>
          </cell>
          <cell r="C157" t="str">
            <v>Interior</v>
          </cell>
          <cell r="D157" t="str">
            <v>Metal</v>
          </cell>
          <cell r="E157" t="str">
            <v>-</v>
          </cell>
          <cell r="F157" t="str">
            <v>E68WSA1</v>
          </cell>
          <cell r="G157" t="str">
            <v>9.43 Lbs/Gl</v>
          </cell>
          <cell r="H157" t="str">
            <v>-</v>
          </cell>
          <cell r="I157" t="str">
            <v>50.55%</v>
          </cell>
          <cell r="J157" t="str">
            <v>-</v>
          </cell>
          <cell r="K157" t="str">
            <v>-</v>
          </cell>
          <cell r="L157" t="str">
            <v>33.54%</v>
          </cell>
          <cell r="M157" t="str">
            <v>100"-110" Copa Zanh #2</v>
          </cell>
          <cell r="N157" t="str">
            <v>Pistola</v>
          </cell>
          <cell r="O157" t="str">
            <v>40"-50" Copa Zahn #"</v>
          </cell>
          <cell r="P157" t="str">
            <v>20-25%</v>
          </cell>
          <cell r="Q157" t="str">
            <v>R2K4         Industrial reducer</v>
          </cell>
          <cell r="R157" t="str">
            <v>1.5-2 mills</v>
          </cell>
          <cell r="S157" t="str">
            <v>-</v>
          </cell>
          <cell r="T157" t="str">
            <v>15' a 300°F</v>
          </cell>
          <cell r="U157" t="str">
            <v>950 Pies Cuadrados/Gl</v>
          </cell>
          <cell r="V157" t="str">
            <v>7-9 (Mate)</v>
          </cell>
          <cell r="W157" t="str">
            <v>H</v>
          </cell>
          <cell r="X157" t="str">
            <v>12 meses</v>
          </cell>
          <cell r="Y157" t="str">
            <v>-</v>
          </cell>
          <cell r="Z157" t="str">
            <v>-</v>
          </cell>
          <cell r="AA157" t="str">
            <v>-</v>
          </cell>
          <cell r="AB157" t="str">
            <v>-</v>
          </cell>
          <cell r="AC157">
            <v>27871</v>
          </cell>
        </row>
        <row r="158">
          <cell r="A158" t="str">
            <v>SAA 1663</v>
          </cell>
          <cell r="B158" t="str">
            <v>Kem Fast Dry Oxide Black</v>
          </cell>
          <cell r="C158" t="str">
            <v>Exterior</v>
          </cell>
          <cell r="D158" t="str">
            <v>Camas para Camiones</v>
          </cell>
          <cell r="E158" t="str">
            <v>Limpieza con Solvente</v>
          </cell>
          <cell r="F158" t="str">
            <v>-</v>
          </cell>
          <cell r="G158" t="str">
            <v>9.45 Lbs/Gl</v>
          </cell>
          <cell r="H158" t="str">
            <v>-</v>
          </cell>
          <cell r="I158" t="str">
            <v>55.21%</v>
          </cell>
          <cell r="J158" t="str">
            <v>-</v>
          </cell>
          <cell r="K158" t="str">
            <v>-</v>
          </cell>
          <cell r="L158" t="str">
            <v>38.78%</v>
          </cell>
          <cell r="M158" t="str">
            <v>25"-35"</v>
          </cell>
          <cell r="N158" t="str">
            <v>Pistola</v>
          </cell>
          <cell r="O158" t="str">
            <v>Directa</v>
          </cell>
          <cell r="P158" t="str">
            <v>10%</v>
          </cell>
          <cell r="Q158" t="str">
            <v>R2K4         Industrial reducer</v>
          </cell>
          <cell r="R158" t="str">
            <v>1.5 mills</v>
          </cell>
          <cell r="S158" t="str">
            <v>-</v>
          </cell>
          <cell r="T158" t="str">
            <v>-</v>
          </cell>
          <cell r="U158" t="str">
            <v>950 Pies Cuadrados/Gl</v>
          </cell>
          <cell r="V158" t="str">
            <v>0-5 (Mate)</v>
          </cell>
          <cell r="W158" t="str">
            <v>-</v>
          </cell>
          <cell r="X158" t="str">
            <v>12 meses</v>
          </cell>
          <cell r="Y158" t="str">
            <v>IMSA S.A</v>
          </cell>
          <cell r="Z158" t="str">
            <v>Productos Metálicos</v>
          </cell>
          <cell r="AA158" t="str">
            <v>-</v>
          </cell>
          <cell r="AB158" t="str">
            <v>-</v>
          </cell>
          <cell r="AC158">
            <v>27883</v>
          </cell>
        </row>
        <row r="159">
          <cell r="A159" t="str">
            <v>B59S8</v>
          </cell>
          <cell r="B159" t="str">
            <v>Silver Brite (R) Hi-Heat Silicone Alkyd Aluminum Paint</v>
          </cell>
          <cell r="C159" t="str">
            <v>Interior-Exterior</v>
          </cell>
          <cell r="D159" t="str">
            <v>Hierro-Acero</v>
          </cell>
          <cell r="E159" t="str">
            <v>Sand Blasting</v>
          </cell>
          <cell r="F159" t="str">
            <v>Ninguno</v>
          </cell>
          <cell r="G159" t="str">
            <v>9.0 Lbs/Gl</v>
          </cell>
          <cell r="H159" t="str">
            <v>-</v>
          </cell>
          <cell r="I159" t="str">
            <v>40.6%</v>
          </cell>
          <cell r="J159" t="str">
            <v>-</v>
          </cell>
          <cell r="K159" t="str">
            <v>-</v>
          </cell>
          <cell r="L159" t="str">
            <v>25.2%</v>
          </cell>
          <cell r="M159" t="str">
            <v>54-67 KU</v>
          </cell>
          <cell r="N159" t="str">
            <v>Pistola</v>
          </cell>
          <cell r="O159" t="str">
            <v>54-67 KU</v>
          </cell>
          <cell r="P159" t="str">
            <v>Ninguno</v>
          </cell>
          <cell r="Q159" t="str">
            <v>Ninguno</v>
          </cell>
          <cell r="R159" t="str">
            <v>1.0 mills</v>
          </cell>
          <cell r="S159" t="str">
            <v>-</v>
          </cell>
          <cell r="T159" t="str">
            <v>400°F</v>
          </cell>
          <cell r="U159" t="str">
            <v>400 Pies Cuadrados/Gl</v>
          </cell>
          <cell r="V159" t="str">
            <v>-</v>
          </cell>
          <cell r="W159" t="str">
            <v>-</v>
          </cell>
          <cell r="X159" t="str">
            <v>12 meses</v>
          </cell>
          <cell r="Y159" t="str">
            <v>SWCA</v>
          </cell>
          <cell r="Z159" t="str">
            <v>-</v>
          </cell>
          <cell r="AA159" t="str">
            <v>-</v>
          </cell>
          <cell r="AB159" t="str">
            <v>-</v>
          </cell>
          <cell r="AC159">
            <v>27886</v>
          </cell>
        </row>
        <row r="160">
          <cell r="A160" t="str">
            <v>SAA 1800</v>
          </cell>
          <cell r="B160" t="str">
            <v>Esmalte Horneable Alquidico Rojo Metálico</v>
          </cell>
          <cell r="C160" t="str">
            <v>Interior-Exterior Limitada</v>
          </cell>
          <cell r="D160" t="str">
            <v>Hierro</v>
          </cell>
          <cell r="E160" t="str">
            <v>Limpieza Química</v>
          </cell>
          <cell r="F160" t="str">
            <v>E68WSA1</v>
          </cell>
          <cell r="G160" t="str">
            <v>7.85 Lbs/Gl</v>
          </cell>
          <cell r="H160" t="str">
            <v>-</v>
          </cell>
          <cell r="I160" t="str">
            <v>46.37%</v>
          </cell>
          <cell r="J160" t="str">
            <v>-</v>
          </cell>
          <cell r="K160" t="str">
            <v>-</v>
          </cell>
          <cell r="L160" t="str">
            <v>37.20%</v>
          </cell>
          <cell r="M160" t="str">
            <v>80"-90" Copa Zanh #2</v>
          </cell>
          <cell r="N160" t="str">
            <v>Pistola</v>
          </cell>
          <cell r="O160" t="str">
            <v>20"-25" Copa Zanh #2</v>
          </cell>
          <cell r="P160" t="str">
            <v>20%</v>
          </cell>
          <cell r="Q160" t="str">
            <v>R2K4         Industrial reducer</v>
          </cell>
          <cell r="R160" t="str">
            <v>1.0-1.5 mills</v>
          </cell>
          <cell r="S160" t="str">
            <v>Al Horno</v>
          </cell>
          <cell r="T160" t="str">
            <v>15' a 300°F</v>
          </cell>
          <cell r="U160" t="str">
            <v>600 Pies Cuadrados/Gl</v>
          </cell>
          <cell r="V160" t="str">
            <v>90</v>
          </cell>
          <cell r="W160" t="str">
            <v>F-H</v>
          </cell>
          <cell r="X160" t="str">
            <v>12 meses</v>
          </cell>
          <cell r="Y160" t="str">
            <v>PROESA</v>
          </cell>
          <cell r="Z160" t="str">
            <v>Triciclos y Bicicletas de Hierro</v>
          </cell>
          <cell r="AA160" t="str">
            <v>-</v>
          </cell>
          <cell r="AB160" t="str">
            <v>-</v>
          </cell>
          <cell r="AC160">
            <v>27901</v>
          </cell>
        </row>
        <row r="161">
          <cell r="A161" t="str">
            <v xml:space="preserve">SAA 1801 </v>
          </cell>
          <cell r="B161" t="str">
            <v>Esmalte Horneable Alquidico Verde Metálico</v>
          </cell>
          <cell r="C161" t="str">
            <v>Interior-Exterior Limitada</v>
          </cell>
          <cell r="D161" t="str">
            <v>Hierro</v>
          </cell>
          <cell r="E161" t="str">
            <v>Limpieza Química</v>
          </cell>
          <cell r="F161" t="str">
            <v>E68WSA1</v>
          </cell>
          <cell r="G161" t="str">
            <v>7.81 Lbs/Gl</v>
          </cell>
          <cell r="H161" t="str">
            <v>-</v>
          </cell>
          <cell r="I161" t="str">
            <v>46.09%</v>
          </cell>
          <cell r="J161" t="str">
            <v>-</v>
          </cell>
          <cell r="K161" t="str">
            <v>-</v>
          </cell>
          <cell r="L161" t="str">
            <v>36.74%</v>
          </cell>
          <cell r="M161" t="str">
            <v>80"-90" Copa Zanh #2</v>
          </cell>
          <cell r="N161" t="str">
            <v>Pistola</v>
          </cell>
          <cell r="O161" t="str">
            <v>20"-25" Copa Zanh #2</v>
          </cell>
          <cell r="P161" t="str">
            <v>20%</v>
          </cell>
          <cell r="Q161" t="str">
            <v>R2K4         Industrial reducer</v>
          </cell>
          <cell r="R161" t="str">
            <v>1.0-1.5 mills</v>
          </cell>
          <cell r="S161" t="str">
            <v>Al Horno</v>
          </cell>
          <cell r="T161" t="str">
            <v>15' a 300°F</v>
          </cell>
          <cell r="U161" t="str">
            <v>580 Pies Cuadrados/Gl</v>
          </cell>
          <cell r="V161" t="str">
            <v>90</v>
          </cell>
          <cell r="W161" t="str">
            <v>F-H</v>
          </cell>
          <cell r="X161" t="str">
            <v>12 meses</v>
          </cell>
          <cell r="Y161" t="str">
            <v>PROESA</v>
          </cell>
          <cell r="Z161" t="str">
            <v>Triciclos y Bicicletas de Hierro</v>
          </cell>
          <cell r="AA161" t="str">
            <v>-</v>
          </cell>
          <cell r="AB161" t="str">
            <v>-</v>
          </cell>
          <cell r="AC161">
            <v>27901</v>
          </cell>
        </row>
        <row r="162">
          <cell r="A162" t="str">
            <v>SAA 1802</v>
          </cell>
          <cell r="B162" t="str">
            <v>Esmalte Horneable Alquidico Azul Metálico</v>
          </cell>
          <cell r="C162" t="str">
            <v>Interior-Exterior Limitada</v>
          </cell>
          <cell r="D162" t="str">
            <v>Hierro</v>
          </cell>
          <cell r="E162" t="str">
            <v>Limpieza Química</v>
          </cell>
          <cell r="F162" t="str">
            <v>E68WSA1</v>
          </cell>
          <cell r="G162" t="str">
            <v>7.83 Lbs/Gl</v>
          </cell>
          <cell r="H162" t="str">
            <v>-</v>
          </cell>
          <cell r="I162" t="str">
            <v>45.95%</v>
          </cell>
          <cell r="J162" t="str">
            <v>-</v>
          </cell>
          <cell r="K162" t="str">
            <v>-</v>
          </cell>
          <cell r="L162" t="str">
            <v>37.55%</v>
          </cell>
          <cell r="M162" t="str">
            <v>80"-90" Copa Zanh #2</v>
          </cell>
          <cell r="N162" t="str">
            <v>Pistola</v>
          </cell>
          <cell r="O162" t="str">
            <v>20"-25" Copa Zanh #2</v>
          </cell>
          <cell r="P162" t="str">
            <v>20%</v>
          </cell>
          <cell r="Q162" t="str">
            <v>R2K4         Industrial reducer</v>
          </cell>
          <cell r="R162" t="str">
            <v>1.0-1.5 mills</v>
          </cell>
          <cell r="S162" t="str">
            <v>Al Horno</v>
          </cell>
          <cell r="T162" t="str">
            <v>15' a 300°F</v>
          </cell>
          <cell r="U162" t="str">
            <v>690 Pies Cuadrados/Gl</v>
          </cell>
          <cell r="V162" t="str">
            <v>90</v>
          </cell>
          <cell r="W162" t="str">
            <v>F-H</v>
          </cell>
          <cell r="X162" t="str">
            <v>12 meses</v>
          </cell>
          <cell r="Y162" t="str">
            <v>PROESA</v>
          </cell>
          <cell r="Z162" t="str">
            <v>Triciclos y Bicicletas de Hierro</v>
          </cell>
          <cell r="AA162" t="str">
            <v>-</v>
          </cell>
          <cell r="AB162" t="str">
            <v>-</v>
          </cell>
          <cell r="AC162">
            <v>27901</v>
          </cell>
        </row>
        <row r="163">
          <cell r="A163" t="str">
            <v>SAA 1809</v>
          </cell>
          <cell r="B163" t="str">
            <v>Primer (Wash) Pretreatment Blue</v>
          </cell>
          <cell r="C163" t="str">
            <v>-</v>
          </cell>
          <cell r="D163" t="str">
            <v>Lamina Electrogalvanizada, Aluminio</v>
          </cell>
          <cell r="E163" t="str">
            <v>Limpieza con Solvente</v>
          </cell>
          <cell r="F163" t="str">
            <v>-</v>
          </cell>
          <cell r="G163" t="str">
            <v>8.0 Lbs/Gl</v>
          </cell>
          <cell r="H163" t="str">
            <v>-</v>
          </cell>
          <cell r="I163" t="str">
            <v>25.12 %</v>
          </cell>
          <cell r="J163" t="str">
            <v>-</v>
          </cell>
          <cell r="K163" t="str">
            <v>-</v>
          </cell>
          <cell r="L163" t="str">
            <v>12.19%</v>
          </cell>
          <cell r="M163" t="str">
            <v>65-80 KU</v>
          </cell>
          <cell r="N163" t="str">
            <v>Pistola</v>
          </cell>
          <cell r="O163" t="str">
            <v>20"-22" Copa Ford #4</v>
          </cell>
          <cell r="P163" t="str">
            <v>4:1 con SAA 1810</v>
          </cell>
          <cell r="Q163" t="str">
            <v>-</v>
          </cell>
          <cell r="R163" t="str">
            <v>2-4 mills</v>
          </cell>
          <cell r="S163" t="str">
            <v>-</v>
          </cell>
          <cell r="T163" t="str">
            <v>-</v>
          </cell>
          <cell r="U163" t="str">
            <v>60-70 Mts Cuadrados/Gl</v>
          </cell>
          <cell r="V163" t="str">
            <v>Semi-Mate</v>
          </cell>
          <cell r="W163" t="str">
            <v>-</v>
          </cell>
          <cell r="X163" t="str">
            <v>12 meses</v>
          </cell>
          <cell r="Y163" t="str">
            <v>Shewin Williams de Panama</v>
          </cell>
          <cell r="Z163" t="str">
            <v>-</v>
          </cell>
          <cell r="AA163" t="str">
            <v>4 Partes de Primer (SAA 1809) con 1 Parte de Activador (SAA 1810).</v>
          </cell>
          <cell r="AB163" t="str">
            <v>-</v>
          </cell>
          <cell r="AC163">
            <v>27915</v>
          </cell>
        </row>
        <row r="164">
          <cell r="A164" t="str">
            <v xml:space="preserve">SAA 1810 </v>
          </cell>
          <cell r="B164" t="str">
            <v>Activador Primer (Wash) Pretreatment Blue</v>
          </cell>
          <cell r="C164" t="str">
            <v>-</v>
          </cell>
          <cell r="D164" t="str">
            <v>Lamina Electrogalvanizada, Aluminio</v>
          </cell>
          <cell r="E164" t="str">
            <v>Limpieza con Solvente</v>
          </cell>
          <cell r="F164" t="str">
            <v>-</v>
          </cell>
          <cell r="G164" t="str">
            <v>7.76 Lbs/Gl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Pistola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3-4 mills</v>
          </cell>
          <cell r="S164" t="str">
            <v>-</v>
          </cell>
          <cell r="T164" t="str">
            <v>-</v>
          </cell>
          <cell r="U164" t="str">
            <v>60-70 Mts Cuadrados/Gl</v>
          </cell>
          <cell r="V164" t="str">
            <v>Semi-Mate</v>
          </cell>
          <cell r="W164" t="str">
            <v>-</v>
          </cell>
          <cell r="X164" t="str">
            <v>12 meses</v>
          </cell>
          <cell r="Y164" t="str">
            <v>Shewin Williams de Panama</v>
          </cell>
          <cell r="Z164" t="str">
            <v>-</v>
          </cell>
          <cell r="AA164" t="str">
            <v>4 Partes de Primer (SAA 1809) con 1 Parte de Activador (SAA 1810).</v>
          </cell>
          <cell r="AB164" t="str">
            <v>-</v>
          </cell>
          <cell r="AC164">
            <v>27915</v>
          </cell>
        </row>
        <row r="165">
          <cell r="A165" t="str">
            <v>A86ESA1</v>
          </cell>
          <cell r="B165" t="str">
            <v>Traffic Zone Paint Orange</v>
          </cell>
          <cell r="C165" t="str">
            <v>Exterior</v>
          </cell>
          <cell r="D165" t="str">
            <v>Asfalto, Concreto</v>
          </cell>
          <cell r="E165" t="str">
            <v>Limpieza</v>
          </cell>
          <cell r="F165" t="str">
            <v>Ninguno</v>
          </cell>
          <cell r="G165" t="str">
            <v>12.83 Lbs/Gl</v>
          </cell>
          <cell r="H165" t="str">
            <v>-</v>
          </cell>
          <cell r="I165" t="str">
            <v>79.19%</v>
          </cell>
          <cell r="J165" t="str">
            <v>-</v>
          </cell>
          <cell r="K165" t="str">
            <v>-</v>
          </cell>
          <cell r="L165" t="str">
            <v>50.84%</v>
          </cell>
          <cell r="M165" t="str">
            <v>68-80 KU</v>
          </cell>
          <cell r="N165" t="str">
            <v>Brocha-Maquina Demarcadora</v>
          </cell>
          <cell r="O165" t="str">
            <v>60-80 KU</v>
          </cell>
          <cell r="P165" t="str">
            <v>-</v>
          </cell>
          <cell r="Q165" t="str">
            <v>R1K3 si es necesario</v>
          </cell>
          <cell r="R165" t="str">
            <v>5 mills</v>
          </cell>
          <cell r="S165" t="str">
            <v>-</v>
          </cell>
          <cell r="T165" t="str">
            <v>-</v>
          </cell>
          <cell r="U165" t="str">
            <v>35-40 Mts Cuadrados/Gl</v>
          </cell>
          <cell r="V165" t="str">
            <v>Mate</v>
          </cell>
          <cell r="W165" t="str">
            <v>-</v>
          </cell>
          <cell r="X165" t="str">
            <v>12 meses</v>
          </cell>
          <cell r="Y165" t="str">
            <v>Tesorería Gral de la Nación. Guatemala</v>
          </cell>
          <cell r="Z165" t="str">
            <v>-</v>
          </cell>
          <cell r="AA165" t="str">
            <v>-</v>
          </cell>
          <cell r="AB165" t="str">
            <v>-</v>
          </cell>
          <cell r="AC165">
            <v>27921</v>
          </cell>
        </row>
        <row r="166">
          <cell r="A166" t="str">
            <v>L60HSA4</v>
          </cell>
          <cell r="B166" t="str">
            <v>Laca Industrial Marfil 18552</v>
          </cell>
          <cell r="C166" t="str">
            <v>Interior</v>
          </cell>
          <cell r="D166" t="str">
            <v>Madera</v>
          </cell>
          <cell r="E166" t="str">
            <v>Lijado Completo</v>
          </cell>
          <cell r="F166" t="str">
            <v>P61A1</v>
          </cell>
          <cell r="G166" t="str">
            <v>8.25 Lbs/Gl</v>
          </cell>
          <cell r="H166" t="str">
            <v>-</v>
          </cell>
          <cell r="I166" t="str">
            <v>35.75%</v>
          </cell>
          <cell r="J166" t="str">
            <v>-</v>
          </cell>
          <cell r="K166" t="str">
            <v>-</v>
          </cell>
          <cell r="L166" t="str">
            <v>23.32%</v>
          </cell>
          <cell r="M166" t="str">
            <v>30"-40" Copa SW #5</v>
          </cell>
          <cell r="N166" t="str">
            <v>Pistola</v>
          </cell>
          <cell r="O166" t="str">
            <v>22"-25" Copa Ford #4</v>
          </cell>
          <cell r="P166" t="str">
            <v>100-150% R7K128</v>
          </cell>
          <cell r="Q166" t="str">
            <v>Opex Thinner R7K128</v>
          </cell>
          <cell r="R166" t="str">
            <v>2.0 mills</v>
          </cell>
          <cell r="S166" t="str">
            <v>-</v>
          </cell>
          <cell r="T166" t="str">
            <v>-</v>
          </cell>
          <cell r="U166" t="str">
            <v>200 Pies Cuadrados/Gl</v>
          </cell>
          <cell r="V166" t="str">
            <v>+85</v>
          </cell>
          <cell r="W166" t="str">
            <v>-</v>
          </cell>
          <cell r="X166" t="str">
            <v>12 meses</v>
          </cell>
          <cell r="Y166" t="str">
            <v>SIMCO</v>
          </cell>
          <cell r="Z166" t="str">
            <v>Muebles de Madera.</v>
          </cell>
          <cell r="AA166" t="str">
            <v>-</v>
          </cell>
          <cell r="AB166" t="str">
            <v>-</v>
          </cell>
          <cell r="AC166">
            <v>27922</v>
          </cell>
        </row>
        <row r="167">
          <cell r="A167" t="str">
            <v>L60WSA7</v>
          </cell>
          <cell r="B167" t="str">
            <v>Laca Industrial Blanco Ostra</v>
          </cell>
          <cell r="C167" t="str">
            <v>Interior</v>
          </cell>
          <cell r="D167" t="str">
            <v>Madera</v>
          </cell>
          <cell r="E167" t="str">
            <v>Lijado Completo</v>
          </cell>
          <cell r="F167" t="str">
            <v>P61A1</v>
          </cell>
          <cell r="G167" t="str">
            <v>8.25 Lbs/Gl</v>
          </cell>
          <cell r="H167" t="str">
            <v>-</v>
          </cell>
          <cell r="I167" t="str">
            <v>35.75%</v>
          </cell>
          <cell r="J167" t="str">
            <v>-</v>
          </cell>
          <cell r="K167" t="str">
            <v>-</v>
          </cell>
          <cell r="L167" t="str">
            <v>23.32%</v>
          </cell>
          <cell r="M167" t="str">
            <v>30"-40" Copa SW #5</v>
          </cell>
          <cell r="N167" t="str">
            <v>Pistola</v>
          </cell>
          <cell r="O167" t="str">
            <v>22"-25" Copa Ford #4</v>
          </cell>
          <cell r="P167" t="str">
            <v>100-150% R7K128</v>
          </cell>
          <cell r="Q167" t="str">
            <v>Opex Thinner R7K128</v>
          </cell>
          <cell r="R167" t="str">
            <v>2.0 mills</v>
          </cell>
          <cell r="S167" t="str">
            <v>-</v>
          </cell>
          <cell r="T167" t="str">
            <v>-</v>
          </cell>
          <cell r="U167" t="str">
            <v>200 Pies Cuadrados/Gl</v>
          </cell>
          <cell r="V167" t="str">
            <v>+85</v>
          </cell>
          <cell r="W167" t="str">
            <v>-</v>
          </cell>
          <cell r="X167" t="str">
            <v>12 meses</v>
          </cell>
          <cell r="Y167" t="str">
            <v>SIMCO</v>
          </cell>
          <cell r="Z167" t="str">
            <v>Muebles de Madera.</v>
          </cell>
          <cell r="AA167" t="str">
            <v>-</v>
          </cell>
          <cell r="AB167" t="str">
            <v>-</v>
          </cell>
          <cell r="AC167">
            <v>27922</v>
          </cell>
        </row>
        <row r="168">
          <cell r="A168" t="str">
            <v>SAA 1822</v>
          </cell>
          <cell r="B168" t="str">
            <v>Esmalte Especial Amarillo Ray-O-Vac</v>
          </cell>
          <cell r="C168" t="str">
            <v>Interior-Exterior</v>
          </cell>
          <cell r="D168" t="str">
            <v>Lamina de Hojalata</v>
          </cell>
          <cell r="E168" t="str">
            <v>Limpieza con Solvente</v>
          </cell>
          <cell r="F168" t="str">
            <v>P60G2</v>
          </cell>
          <cell r="G168" t="str">
            <v>9.97 Lbs/Gl</v>
          </cell>
          <cell r="H168" t="str">
            <v>-</v>
          </cell>
          <cell r="I168" t="str">
            <v>61.03%</v>
          </cell>
          <cell r="J168" t="str">
            <v>-</v>
          </cell>
          <cell r="K168" t="str">
            <v>-</v>
          </cell>
          <cell r="L168" t="str">
            <v>46.78%</v>
          </cell>
          <cell r="M168" t="str">
            <v>15"-20" Copa SW #3</v>
          </cell>
          <cell r="N168" t="str">
            <v>Pistola</v>
          </cell>
          <cell r="O168" t="str">
            <v>20"-22" Copa Ford #4</v>
          </cell>
          <cell r="P168" t="str">
            <v>10-15% VMP Nafta</v>
          </cell>
          <cell r="Q168" t="str">
            <v>R1K3 VMP Nafta</v>
          </cell>
          <cell r="R168" t="str">
            <v>1.0-1.5 mills</v>
          </cell>
          <cell r="S168" t="str">
            <v>-</v>
          </cell>
          <cell r="T168" t="str">
            <v>-</v>
          </cell>
          <cell r="U168" t="str">
            <v>725 Pies Cuadrados/Gl</v>
          </cell>
          <cell r="V168" t="str">
            <v>+85</v>
          </cell>
          <cell r="W168" t="str">
            <v>-</v>
          </cell>
          <cell r="X168" t="str">
            <v>12 meses</v>
          </cell>
          <cell r="Y168" t="str">
            <v>IGSAL</v>
          </cell>
          <cell r="Z168" t="str">
            <v>Rotulos de Hojalata</v>
          </cell>
          <cell r="AA168" t="str">
            <v>-</v>
          </cell>
          <cell r="AB168" t="str">
            <v>-</v>
          </cell>
          <cell r="AC168">
            <v>27937</v>
          </cell>
        </row>
        <row r="169">
          <cell r="A169" t="str">
            <v>B69NSA3</v>
          </cell>
          <cell r="B169" t="str">
            <v>Kem Cati Coat Light Brown</v>
          </cell>
          <cell r="C169" t="str">
            <v>Interior</v>
          </cell>
          <cell r="D169" t="str">
            <v xml:space="preserve">Concreto </v>
          </cell>
          <cell r="E169" t="str">
            <v>Limpieza</v>
          </cell>
          <cell r="F169" t="str">
            <v>B69G31</v>
          </cell>
          <cell r="G169" t="str">
            <v>9.80 Lbs/Gl</v>
          </cell>
          <cell r="H169" t="str">
            <v>-</v>
          </cell>
          <cell r="I169" t="str">
            <v>64.74%</v>
          </cell>
          <cell r="J169" t="str">
            <v>-</v>
          </cell>
          <cell r="K169" t="str">
            <v>-</v>
          </cell>
          <cell r="L169" t="str">
            <v>51.47%</v>
          </cell>
          <cell r="M169" t="str">
            <v>10"-15" Copa SW #3</v>
          </cell>
          <cell r="N169" t="str">
            <v>Brocha-Pistola</v>
          </cell>
          <cell r="O169" t="str">
            <v>Brocha-Ninguno, Pistola 20-22" Ford #4</v>
          </cell>
          <cell r="P169" t="str">
            <v>50cc lote/50 cc V66V19</v>
          </cell>
          <cell r="Q169" t="str">
            <v>20% R7K203</v>
          </cell>
          <cell r="R169" t="str">
            <v>1.5 mills</v>
          </cell>
          <cell r="S169" t="str">
            <v>-</v>
          </cell>
          <cell r="T169" t="str">
            <v>-</v>
          </cell>
          <cell r="U169" t="str">
            <v>525 Pies Cuadrados/Gl</v>
          </cell>
          <cell r="V169" t="str">
            <v>85</v>
          </cell>
          <cell r="W169" t="str">
            <v>-</v>
          </cell>
          <cell r="X169" t="str">
            <v>12 meses</v>
          </cell>
          <cell r="Y169" t="str">
            <v>DIDEMA-GUATEMALA</v>
          </cell>
          <cell r="Z169" t="str">
            <v>-</v>
          </cell>
          <cell r="AA169" t="str">
            <v>Para Aplicar Mezclar 50 cc de V66V19 con 50 cc de Lote, Aplicar después de 30 minutos.</v>
          </cell>
          <cell r="AB169" t="str">
            <v>-</v>
          </cell>
          <cell r="AC169">
            <v>27955</v>
          </cell>
        </row>
        <row r="170">
          <cell r="A170" t="str">
            <v>A86W11</v>
          </cell>
          <cell r="B170" t="str">
            <v>Sher Guide Reflector Traffic Paint White</v>
          </cell>
          <cell r="C170" t="str">
            <v>-</v>
          </cell>
          <cell r="D170" t="str">
            <v>Carreteras de Asfalto o Concreto</v>
          </cell>
          <cell r="E170" t="str">
            <v>-</v>
          </cell>
          <cell r="F170" t="str">
            <v>-</v>
          </cell>
          <cell r="G170" t="str">
            <v>13.44 Lbs/Gl</v>
          </cell>
          <cell r="H170" t="str">
            <v>67%</v>
          </cell>
          <cell r="I170" t="str">
            <v>79.25%</v>
          </cell>
          <cell r="J170" t="str">
            <v>37%</v>
          </cell>
          <cell r="K170" t="str">
            <v>-</v>
          </cell>
          <cell r="L170" t="str">
            <v>56.49%</v>
          </cell>
          <cell r="M170" t="str">
            <v>75-85 KU</v>
          </cell>
          <cell r="N170" t="str">
            <v>Con Brocha o máquina</v>
          </cell>
          <cell r="O170" t="str">
            <v>Con Brocha como Viene</v>
          </cell>
          <cell r="P170" t="str">
            <v>De Acuerdo con Tipo de Maquina Aplicadora</v>
          </cell>
          <cell r="Q170" t="str">
            <v>Mezcla 1:1 lSA3/03-17-10</v>
          </cell>
          <cell r="R170" t="str">
            <v>15-20 mills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Mate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>
            <v>28107</v>
          </cell>
        </row>
        <row r="171">
          <cell r="A171" t="str">
            <v>A86WSA7</v>
          </cell>
          <cell r="B171" t="str">
            <v>Sher-Guide Traffic Paint White</v>
          </cell>
          <cell r="C171" t="str">
            <v>-</v>
          </cell>
          <cell r="D171" t="str">
            <v>Carreteras de Asfalto o Concreto</v>
          </cell>
          <cell r="E171" t="str">
            <v>-</v>
          </cell>
          <cell r="F171" t="str">
            <v>-</v>
          </cell>
          <cell r="G171" t="str">
            <v>11.50 Lbs/Gl</v>
          </cell>
          <cell r="H171" t="str">
            <v>52.90%</v>
          </cell>
          <cell r="I171" t="str">
            <v>71.12%</v>
          </cell>
          <cell r="J171" t="str">
            <v>38.0%</v>
          </cell>
          <cell r="K171" t="str">
            <v>-</v>
          </cell>
          <cell r="L171" t="str">
            <v>52.90%</v>
          </cell>
          <cell r="M171" t="str">
            <v>90-95 KU</v>
          </cell>
          <cell r="N171" t="str">
            <v>Con Brocha o máquina</v>
          </cell>
          <cell r="O171" t="str">
            <v>Con Brocha como Viene</v>
          </cell>
          <cell r="P171" t="str">
            <v>De Acuerdo con Tipo de Maquina Aplicadora</v>
          </cell>
          <cell r="Q171" t="str">
            <v>Mezcla 1:1 lSA3/03-17-10</v>
          </cell>
          <cell r="R171" t="str">
            <v>15-20 mills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Mate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>
            <v>28107</v>
          </cell>
        </row>
        <row r="172">
          <cell r="A172" t="str">
            <v>A86Y12</v>
          </cell>
          <cell r="B172" t="str">
            <v>Sher-Guide Reflectorized Yellow Traffic Paint</v>
          </cell>
          <cell r="C172" t="str">
            <v>-</v>
          </cell>
          <cell r="D172" t="str">
            <v>Carreteras de Asfalto o Concreto</v>
          </cell>
          <cell r="E172" t="str">
            <v>-</v>
          </cell>
          <cell r="F172" t="str">
            <v>-</v>
          </cell>
          <cell r="G172" t="str">
            <v>11.30 Lbs/Gl</v>
          </cell>
          <cell r="H172" t="str">
            <v>58%</v>
          </cell>
          <cell r="I172" t="str">
            <v>72%</v>
          </cell>
          <cell r="J172" t="str">
            <v>33.0%</v>
          </cell>
          <cell r="K172" t="str">
            <v>-</v>
          </cell>
          <cell r="L172" t="str">
            <v>51.3%</v>
          </cell>
          <cell r="M172" t="str">
            <v>75-85 KU</v>
          </cell>
          <cell r="N172" t="str">
            <v>Con Brocha o máquina</v>
          </cell>
          <cell r="O172" t="str">
            <v>Con Brocha como Viene</v>
          </cell>
          <cell r="P172" t="str">
            <v>De Acuerdo con Tipo de Maquina Aplicadora</v>
          </cell>
          <cell r="Q172" t="str">
            <v>Mezcla 1:1 lSA3/03-17-10</v>
          </cell>
          <cell r="R172" t="str">
            <v>15-20 mills</v>
          </cell>
          <cell r="S172" t="str">
            <v>-</v>
          </cell>
          <cell r="T172" t="str">
            <v>-</v>
          </cell>
          <cell r="U172" t="str">
            <v>100 metros lineales con 1 galón faja de 4" ancho</v>
          </cell>
          <cell r="V172" t="str">
            <v>Mate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>
            <v>28107</v>
          </cell>
        </row>
        <row r="173">
          <cell r="A173" t="str">
            <v>A86YSA8</v>
          </cell>
          <cell r="B173" t="str">
            <v>Sher-Guide Traffic Paint Yellow</v>
          </cell>
          <cell r="C173" t="str">
            <v>-</v>
          </cell>
          <cell r="D173" t="str">
            <v>Carreteras de Asfalto o Concreto</v>
          </cell>
          <cell r="E173" t="str">
            <v>-</v>
          </cell>
          <cell r="F173" t="str">
            <v>-</v>
          </cell>
          <cell r="G173" t="str">
            <v>11.10 Lbs/Gl</v>
          </cell>
          <cell r="H173" t="str">
            <v>51%</v>
          </cell>
          <cell r="I173" t="str">
            <v>68%</v>
          </cell>
          <cell r="J173" t="str">
            <v>41%</v>
          </cell>
          <cell r="K173" t="str">
            <v>-</v>
          </cell>
          <cell r="L173" t="str">
            <v>50.3%</v>
          </cell>
          <cell r="M173" t="str">
            <v>90-95 KU</v>
          </cell>
          <cell r="N173" t="str">
            <v>Con Brocha o máquina</v>
          </cell>
          <cell r="O173" t="str">
            <v>Con Brocha como Viene</v>
          </cell>
          <cell r="P173" t="str">
            <v>De Acuerdo con Tipo de Maquina Aplicadora</v>
          </cell>
          <cell r="Q173" t="str">
            <v>R1K3 si es necesario</v>
          </cell>
          <cell r="R173" t="str">
            <v>15-20 mills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Mate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>
            <v>28107</v>
          </cell>
        </row>
        <row r="174">
          <cell r="A174" t="str">
            <v>V76SSA1</v>
          </cell>
          <cell r="B174" t="str">
            <v>Sizing Aluminum</v>
          </cell>
          <cell r="C174" t="str">
            <v>-</v>
          </cell>
          <cell r="D174" t="str">
            <v>Lamina</v>
          </cell>
          <cell r="E174" t="str">
            <v>Limpia</v>
          </cell>
          <cell r="F174" t="str">
            <v>-</v>
          </cell>
          <cell r="G174" t="str">
            <v>7.90 Lbs/Gl</v>
          </cell>
          <cell r="H174" t="str">
            <v>21%</v>
          </cell>
          <cell r="I174" t="str">
            <v>12.2%</v>
          </cell>
          <cell r="J174" t="str">
            <v>25%</v>
          </cell>
          <cell r="K174" t="str">
            <v>-</v>
          </cell>
          <cell r="L174" t="str">
            <v>17.8%</v>
          </cell>
          <cell r="M174" t="str">
            <v>50"-60"</v>
          </cell>
          <cell r="N174" t="str">
            <v>Pistola</v>
          </cell>
          <cell r="O174" t="str">
            <v>50"-60"</v>
          </cell>
          <cell r="P174" t="str">
            <v>25% Si Es Necesario</v>
          </cell>
          <cell r="Q174" t="str">
            <v>R2K4         Industrial reducer</v>
          </cell>
          <cell r="R174" t="str">
            <v>-</v>
          </cell>
          <cell r="S174" t="str">
            <v>-</v>
          </cell>
          <cell r="T174" t="str">
            <v>15' a 300°F</v>
          </cell>
          <cell r="U174" t="str">
            <v>-</v>
          </cell>
          <cell r="V174" t="str">
            <v>Full</v>
          </cell>
          <cell r="W174" t="str">
            <v>-</v>
          </cell>
          <cell r="X174" t="str">
            <v>-</v>
          </cell>
          <cell r="Y174" t="str">
            <v>CORLASA</v>
          </cell>
          <cell r="Z174" t="str">
            <v xml:space="preserve">Lamina  </v>
          </cell>
          <cell r="AA174" t="str">
            <v>-</v>
          </cell>
          <cell r="AB174" t="str">
            <v>-</v>
          </cell>
          <cell r="AC174">
            <v>28808</v>
          </cell>
        </row>
        <row r="175">
          <cell r="A175" t="str">
            <v>V76VSA9</v>
          </cell>
          <cell r="B175" t="str">
            <v xml:space="preserve">Wet Ink Varnish </v>
          </cell>
          <cell r="C175" t="str">
            <v>-</v>
          </cell>
          <cell r="D175" t="str">
            <v>Hojalata</v>
          </cell>
          <cell r="E175" t="str">
            <v>Limpia</v>
          </cell>
          <cell r="F175" t="str">
            <v>-</v>
          </cell>
          <cell r="G175" t="str">
            <v>7.63 Lbs/Gl</v>
          </cell>
          <cell r="H175" t="str">
            <v>44.97%</v>
          </cell>
          <cell r="I175" t="str">
            <v>-</v>
          </cell>
          <cell r="J175" t="str">
            <v>70.9%</v>
          </cell>
          <cell r="K175" t="str">
            <v>-</v>
          </cell>
          <cell r="L175" t="str">
            <v>70.24%</v>
          </cell>
          <cell r="M175" t="str">
            <v>36"-42"</v>
          </cell>
          <cell r="N175" t="str">
            <v>Roller Coating</v>
          </cell>
          <cell r="O175" t="str">
            <v>36"-42"</v>
          </cell>
          <cell r="P175" t="str">
            <v>03-32-10 Si es Necesario</v>
          </cell>
          <cell r="Q175" t="str">
            <v>03-32-10</v>
          </cell>
          <cell r="R175" t="str">
            <v>-</v>
          </cell>
          <cell r="S175" t="str">
            <v>-</v>
          </cell>
          <cell r="T175" t="str">
            <v>160°C 12 Minutos</v>
          </cell>
          <cell r="U175" t="str">
            <v>-</v>
          </cell>
          <cell r="V175" t="str">
            <v>90</v>
          </cell>
          <cell r="W175" t="str">
            <v>F-H</v>
          </cell>
          <cell r="X175" t="str">
            <v>6 meses</v>
          </cell>
          <cell r="Y175" t="str">
            <v>CORLASA</v>
          </cell>
          <cell r="Z175" t="str">
            <v>-</v>
          </cell>
          <cell r="AA175" t="str">
            <v>-</v>
          </cell>
          <cell r="AB175" t="str">
            <v>-</v>
          </cell>
          <cell r="AC175">
            <v>28808</v>
          </cell>
        </row>
        <row r="176">
          <cell r="A176" t="str">
            <v>SAA 2049</v>
          </cell>
          <cell r="B176" t="str">
            <v>Collapsible Tube Enamel White</v>
          </cell>
          <cell r="C176" t="str">
            <v>Interior</v>
          </cell>
          <cell r="D176" t="str">
            <v>Tubos de Estaño y Plomo</v>
          </cell>
          <cell r="E176" t="str">
            <v>Limpieza</v>
          </cell>
          <cell r="F176" t="str">
            <v>Ninguno</v>
          </cell>
          <cell r="G176" t="str">
            <v>10.65 Lbs/Gl</v>
          </cell>
          <cell r="H176" t="str">
            <v>30%</v>
          </cell>
          <cell r="I176" t="str">
            <v>53.80%</v>
          </cell>
          <cell r="J176" t="str">
            <v>33.80%</v>
          </cell>
          <cell r="K176" t="str">
            <v>27.70%</v>
          </cell>
          <cell r="L176" t="str">
            <v>33.89%</v>
          </cell>
          <cell r="M176" t="str">
            <v>130-135 KU</v>
          </cell>
          <cell r="N176" t="str">
            <v>Especial</v>
          </cell>
          <cell r="O176" t="str">
            <v>130-135 KU</v>
          </cell>
          <cell r="P176" t="str">
            <v>Ninguno</v>
          </cell>
          <cell r="Q176" t="str">
            <v>Ninguno</v>
          </cell>
          <cell r="R176" t="str">
            <v>-</v>
          </cell>
          <cell r="S176" t="str">
            <v>-</v>
          </cell>
          <cell r="T176" t="str">
            <v>6 Min a 300°F</v>
          </cell>
          <cell r="U176" t="str">
            <v>-</v>
          </cell>
          <cell r="V176" t="str">
            <v>80 Minimo</v>
          </cell>
          <cell r="W176" t="str">
            <v>F</v>
          </cell>
          <cell r="X176" t="str">
            <v>12 meses</v>
          </cell>
          <cell r="Y176" t="str">
            <v>Colgate Palmolive</v>
          </cell>
          <cell r="Z176" t="str">
            <v>Pasta Dental</v>
          </cell>
          <cell r="AA176" t="str">
            <v>-</v>
          </cell>
          <cell r="AB176" t="str">
            <v>-</v>
          </cell>
          <cell r="AC176">
            <v>29430</v>
          </cell>
        </row>
        <row r="177">
          <cell r="A177" t="str">
            <v>SAA 3155</v>
          </cell>
          <cell r="B177" t="str">
            <v>Recubrimiento Blanco Para Cartón</v>
          </cell>
          <cell r="C177" t="str">
            <v>Interior</v>
          </cell>
          <cell r="D177" t="str">
            <v>Carton</v>
          </cell>
          <cell r="E177" t="str">
            <v>Ninguna</v>
          </cell>
          <cell r="F177" t="str">
            <v>-</v>
          </cell>
          <cell r="G177" t="str">
            <v>11.25 Lbs/Gl</v>
          </cell>
          <cell r="H177" t="str">
            <v>33.37%</v>
          </cell>
          <cell r="I177" t="str">
            <v>49.84%</v>
          </cell>
          <cell r="J177" t="str">
            <v>16.47</v>
          </cell>
          <cell r="K177" t="str">
            <v>40.90%</v>
          </cell>
          <cell r="L177" t="str">
            <v>33.92%</v>
          </cell>
          <cell r="M177" t="str">
            <v>25-30 seg Copa Zanh #2</v>
          </cell>
          <cell r="N177" t="str">
            <v>Cuchilla de Hule</v>
          </cell>
          <cell r="O177" t="str">
            <v>20-25 seg. Copa Zanh #2</v>
          </cell>
          <cell r="P177" t="str">
            <v>2-3% con Agua</v>
          </cell>
          <cell r="Q177" t="str">
            <v>Agua</v>
          </cell>
          <cell r="R177" t="str">
            <v>-</v>
          </cell>
          <cell r="S177" t="str">
            <v>Con Rodillo Caliente 150°C</v>
          </cell>
          <cell r="T177" t="str">
            <v>1 Minuto a 150°C</v>
          </cell>
          <cell r="U177" t="str">
            <v>-</v>
          </cell>
          <cell r="V177" t="str">
            <v>Mate</v>
          </cell>
          <cell r="W177" t="str">
            <v>-</v>
          </cell>
          <cell r="X177" t="str">
            <v>4-6 Meses</v>
          </cell>
          <cell r="Y177" t="str">
            <v>-</v>
          </cell>
          <cell r="Z177" t="str">
            <v>Cajas de Cartón</v>
          </cell>
          <cell r="AA177" t="str">
            <v>-</v>
          </cell>
          <cell r="AB177" t="str">
            <v>-</v>
          </cell>
          <cell r="AC177">
            <v>31404</v>
          </cell>
        </row>
        <row r="178">
          <cell r="A178" t="str">
            <v>SAA 3386</v>
          </cell>
          <cell r="B178" t="str">
            <v>Pintura de Trafico Blanca TTP-115E Tipo III</v>
          </cell>
          <cell r="C178" t="str">
            <v>Interior-Exterior</v>
          </cell>
          <cell r="D178" t="str">
            <v>Asfalto y Concreto</v>
          </cell>
          <cell r="E178" t="str">
            <v>Limpia, Seca y Libre de Exudación de Asfalto</v>
          </cell>
          <cell r="F178" t="str">
            <v>Ninguno</v>
          </cell>
          <cell r="G178" t="str">
            <v>19.47 Lbs/Gl</v>
          </cell>
          <cell r="H178" t="str">
            <v>57%</v>
          </cell>
          <cell r="I178" t="str">
            <v>75%</v>
          </cell>
          <cell r="J178" t="str">
            <v>43%</v>
          </cell>
          <cell r="K178" t="str">
            <v>58.7%</v>
          </cell>
          <cell r="L178" t="str">
            <v>49.4%</v>
          </cell>
          <cell r="M178" t="str">
            <v>70-80 KU (Stormer)</v>
          </cell>
          <cell r="N178" t="str">
            <v>Brocha, Rodillo Industrial, Máquina Franjeadora, Etc.</v>
          </cell>
          <cell r="O178" t="str">
            <v>Lista para Usarse con Brocha y Rodillo</v>
          </cell>
          <cell r="P178" t="str">
            <v>Para usar con Máquina Franjeadora, Reduzca con 1/8 de Galón</v>
          </cell>
          <cell r="Q178" t="str">
            <v>R2K4         Industrial reducer</v>
          </cell>
          <cell r="R178" t="str">
            <v>4-5 mills/Pulg.</v>
          </cell>
          <cell r="S178" t="str">
            <v>5-10 Minutos. No transitar antes de 20 Minutos</v>
          </cell>
          <cell r="T178" t="str">
            <v>-</v>
          </cell>
          <cell r="U178" t="str">
            <v>45-50 Mts Cuadrados/Gl</v>
          </cell>
          <cell r="V178" t="str">
            <v>Mate 1-2</v>
          </cell>
          <cell r="W178" t="str">
            <v>2B</v>
          </cell>
          <cell r="X178" t="str">
            <v>12 meses</v>
          </cell>
          <cell r="Y178" t="str">
            <v>EDISAL</v>
          </cell>
          <cell r="Z178" t="str">
            <v>-</v>
          </cell>
          <cell r="AA178" t="str">
            <v>-</v>
          </cell>
          <cell r="AB178" t="str">
            <v>José A. Romero Valle.</v>
          </cell>
          <cell r="AC178">
            <v>32660</v>
          </cell>
        </row>
        <row r="179">
          <cell r="A179" t="str">
            <v>SAA 3387</v>
          </cell>
          <cell r="B179" t="str">
            <v>Pintura de Trafico Amarilla TTP-115E Tipo III</v>
          </cell>
          <cell r="C179" t="str">
            <v>Interior-Exterior</v>
          </cell>
          <cell r="D179" t="str">
            <v>Asfalto y Concreto</v>
          </cell>
          <cell r="E179" t="str">
            <v>Limpia, Seca y Libre de Exudación de Asfalto</v>
          </cell>
          <cell r="F179" t="str">
            <v>Ninguno</v>
          </cell>
          <cell r="G179" t="str">
            <v>19.53 Lbs/Gl</v>
          </cell>
          <cell r="H179" t="str">
            <v>57%</v>
          </cell>
          <cell r="I179" t="str">
            <v>75%</v>
          </cell>
          <cell r="J179" t="str">
            <v>43%</v>
          </cell>
          <cell r="K179" t="str">
            <v>49%</v>
          </cell>
          <cell r="L179" t="str">
            <v>48%</v>
          </cell>
          <cell r="M179" t="str">
            <v>70-80 KU (Stormer)</v>
          </cell>
          <cell r="N179" t="str">
            <v>Brocha, Rodillo Industrial, Máquina Franjeadora, Etc.</v>
          </cell>
          <cell r="O179" t="str">
            <v>Lista para Usarse con Brocha y Rodillo</v>
          </cell>
          <cell r="P179" t="str">
            <v>Para usar con Máquina Franjeadora, Reduzca con 1/8 de Galón</v>
          </cell>
          <cell r="Q179" t="str">
            <v>R2K4         Industrial reducer</v>
          </cell>
          <cell r="R179" t="str">
            <v>4-5 mills/Pulg.</v>
          </cell>
          <cell r="S179" t="str">
            <v>5-10 Minutos. No transitar antes de 20 Minutos</v>
          </cell>
          <cell r="T179" t="str">
            <v>-</v>
          </cell>
          <cell r="U179" t="str">
            <v>45-50 Mts Cuadrados/Gl</v>
          </cell>
          <cell r="V179" t="str">
            <v>Mate 1-2</v>
          </cell>
          <cell r="W179" t="str">
            <v>2B</v>
          </cell>
          <cell r="X179" t="str">
            <v>12 meses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José A. Romero Valle.</v>
          </cell>
          <cell r="AC179">
            <v>32660</v>
          </cell>
        </row>
        <row r="180">
          <cell r="A180" t="str">
            <v>SAA 3388</v>
          </cell>
          <cell r="B180" t="str">
            <v>Pintura de Tráfico Blanca TTP-1952 B</v>
          </cell>
          <cell r="C180" t="str">
            <v>Interior-Exterior</v>
          </cell>
          <cell r="D180" t="str">
            <v>Asfalto y Concreto</v>
          </cell>
          <cell r="E180" t="str">
            <v>Limpia, Seca y Libre de Exudación de Asfalto</v>
          </cell>
          <cell r="F180" t="str">
            <v>Ninguno</v>
          </cell>
          <cell r="G180" t="str">
            <v>12.41 Lbs/Gl</v>
          </cell>
          <cell r="H180" t="str">
            <v>50%</v>
          </cell>
          <cell r="I180" t="str">
            <v>66.5%</v>
          </cell>
          <cell r="J180" t="str">
            <v>33%</v>
          </cell>
          <cell r="K180" t="str">
            <v>-</v>
          </cell>
          <cell r="L180" t="str">
            <v>51%</v>
          </cell>
          <cell r="M180" t="str">
            <v>75-85 KU (Stormer)</v>
          </cell>
          <cell r="N180" t="str">
            <v>Brocha, Rodillo Industrial, Máquina Franjeadora, Etc.</v>
          </cell>
          <cell r="O180" t="str">
            <v>Lista para Usarse con Brocha y Rodillo</v>
          </cell>
          <cell r="P180" t="str">
            <v>Para usar con Máquina Franjeadora, Reduzca con 1/8 y 1/4de Galón</v>
          </cell>
          <cell r="Q180" t="str">
            <v>Agua</v>
          </cell>
          <cell r="R180" t="str">
            <v>4-5 mills/Pulg.</v>
          </cell>
          <cell r="S180" t="str">
            <v>30 Minutos. No transitar antes de 1 Hora.</v>
          </cell>
          <cell r="T180" t="str">
            <v>-</v>
          </cell>
          <cell r="U180" t="str">
            <v>45-50 Mts Cuadrados/Gl</v>
          </cell>
          <cell r="V180" t="str">
            <v>Mate 1-2</v>
          </cell>
          <cell r="W180" t="str">
            <v>5B-4B</v>
          </cell>
          <cell r="X180" t="str">
            <v>12 meses</v>
          </cell>
          <cell r="Y180" t="str">
            <v>EDISAL</v>
          </cell>
          <cell r="Z180" t="str">
            <v>-</v>
          </cell>
          <cell r="AA180" t="str">
            <v>-</v>
          </cell>
          <cell r="AB180" t="str">
            <v>José A. Romero Valle.</v>
          </cell>
          <cell r="AC180">
            <v>32660</v>
          </cell>
        </row>
        <row r="181">
          <cell r="A181" t="str">
            <v>SAA 3389</v>
          </cell>
          <cell r="B181" t="str">
            <v>Pintura de Tráfico Amarilla TTP-1952 B</v>
          </cell>
          <cell r="C181" t="str">
            <v>Interior-Exterior</v>
          </cell>
          <cell r="D181" t="str">
            <v>Asfalto y Concreto</v>
          </cell>
          <cell r="E181" t="str">
            <v>Limpia, Seca y Libre de Exudación de Asfalto</v>
          </cell>
          <cell r="F181" t="str">
            <v>Ninguno</v>
          </cell>
          <cell r="G181" t="str">
            <v>12.88 Lbs/Gl</v>
          </cell>
          <cell r="H181" t="str">
            <v>47%</v>
          </cell>
          <cell r="I181" t="str">
            <v>63%</v>
          </cell>
          <cell r="J181" t="str">
            <v>32.9%</v>
          </cell>
          <cell r="K181" t="str">
            <v>-</v>
          </cell>
          <cell r="L181" t="str">
            <v>50%</v>
          </cell>
          <cell r="M181" t="str">
            <v>75-85 KU (Stormer)</v>
          </cell>
          <cell r="N181" t="str">
            <v>Brocha, Rodillo Industrial, Máquina Franjeadora, Etc.</v>
          </cell>
          <cell r="O181" t="str">
            <v>Lista para Usarse con Brocha y Rodillo</v>
          </cell>
          <cell r="P181" t="str">
            <v>Para usar con Máquina Franjeadora, Reduzca con 1/8 y 1/4de Galón</v>
          </cell>
          <cell r="Q181" t="str">
            <v>Agua</v>
          </cell>
          <cell r="R181" t="str">
            <v>4-5 mills/Pulg.</v>
          </cell>
          <cell r="S181" t="str">
            <v>30 Minutos. No transitar antes de 1 Hora.</v>
          </cell>
          <cell r="T181" t="str">
            <v>-</v>
          </cell>
          <cell r="U181" t="str">
            <v>45-50 Mts Cuadrados/Gl</v>
          </cell>
          <cell r="V181" t="str">
            <v>Mate 1-2</v>
          </cell>
          <cell r="W181" t="str">
            <v>5B-4B</v>
          </cell>
          <cell r="X181" t="str">
            <v>12 meses</v>
          </cell>
          <cell r="Y181" t="str">
            <v>EDISAL</v>
          </cell>
          <cell r="Z181" t="str">
            <v>-</v>
          </cell>
          <cell r="AA181" t="str">
            <v>-</v>
          </cell>
          <cell r="AB181" t="str">
            <v>José A. Romero Valle.</v>
          </cell>
          <cell r="AC181">
            <v>32660</v>
          </cell>
        </row>
        <row r="182">
          <cell r="A182" t="str">
            <v>SAA 3390</v>
          </cell>
          <cell r="B182" t="str">
            <v>Pintura de Tráfico Blanco TTP-85E</v>
          </cell>
          <cell r="C182" t="str">
            <v>Interior-Exterior</v>
          </cell>
          <cell r="D182" t="str">
            <v>Asfalto y Concreto</v>
          </cell>
          <cell r="E182" t="str">
            <v>Limpia, Seca y Libre de Exudación de Asfalto</v>
          </cell>
          <cell r="F182" t="str">
            <v>Ninguno</v>
          </cell>
          <cell r="G182" t="str">
            <v>11.42 Lbs/Gl</v>
          </cell>
          <cell r="H182" t="str">
            <v>53%</v>
          </cell>
          <cell r="I182" t="str">
            <v>71.3%</v>
          </cell>
          <cell r="J182" t="str">
            <v>40%</v>
          </cell>
          <cell r="K182" t="str">
            <v>-</v>
          </cell>
          <cell r="L182" t="str">
            <v>52.52%</v>
          </cell>
          <cell r="M182" t="str">
            <v>70-80 KU (Stormer)</v>
          </cell>
          <cell r="N182" t="str">
            <v>Brocha, Rodillo Industrial, Máquina Franjeadora, Etc.</v>
          </cell>
          <cell r="O182" t="str">
            <v>Lista para Usarse con Brocha y Rodillo</v>
          </cell>
          <cell r="P182" t="str">
            <v>Para usar con Máquina Franjeadora, Reduzca con 1/8 y 1/4de Galón</v>
          </cell>
          <cell r="Q182" t="str">
            <v>R1K3 VM&amp;P Nafta</v>
          </cell>
          <cell r="R182" t="str">
            <v>4-5 mills/Pulg.</v>
          </cell>
          <cell r="S182" t="str">
            <v>15-20 Minutos. No transitar Antes de 30 Minutos</v>
          </cell>
          <cell r="T182" t="str">
            <v>-</v>
          </cell>
          <cell r="U182" t="str">
            <v>40-45 Mts Cuadrados/Gl/Mano</v>
          </cell>
          <cell r="V182" t="str">
            <v>Mate 1-2</v>
          </cell>
          <cell r="W182" t="str">
            <v>2B</v>
          </cell>
          <cell r="X182" t="str">
            <v>12 meses a 77°F y 50-55% de Humedad Relativa</v>
          </cell>
          <cell r="Y182" t="str">
            <v>EDISAL</v>
          </cell>
          <cell r="Z182" t="str">
            <v>-</v>
          </cell>
          <cell r="AA182" t="str">
            <v>-</v>
          </cell>
          <cell r="AB182" t="str">
            <v>José A. Romero Valle.</v>
          </cell>
          <cell r="AC182">
            <v>32660</v>
          </cell>
        </row>
        <row r="183">
          <cell r="A183" t="str">
            <v>SAA 3391</v>
          </cell>
          <cell r="B183" t="str">
            <v>Pintura de Tráfico Amarilla TTP-85E</v>
          </cell>
          <cell r="C183" t="str">
            <v>Interior-Exterior</v>
          </cell>
          <cell r="D183" t="str">
            <v>Asfalto y Concreto</v>
          </cell>
          <cell r="E183" t="str">
            <v>Limpia, Seca y Libre de Exudación de Asfalto</v>
          </cell>
          <cell r="F183" t="str">
            <v>Ninguno</v>
          </cell>
          <cell r="G183" t="str">
            <v>11.69 Lbs/Gl</v>
          </cell>
          <cell r="H183" t="str">
            <v>53.7%</v>
          </cell>
          <cell r="I183" t="str">
            <v>72%</v>
          </cell>
          <cell r="J183" t="str">
            <v>40%</v>
          </cell>
          <cell r="K183" t="str">
            <v>-</v>
          </cell>
          <cell r="L183" t="str">
            <v>52.6%</v>
          </cell>
          <cell r="M183" t="str">
            <v>70-80 KU (Stormer)</v>
          </cell>
          <cell r="N183" t="str">
            <v>Brocha, Rodillo Industrial, Máquina Franjeadora, Etc.</v>
          </cell>
          <cell r="O183" t="str">
            <v>Lista para Usarse con Brocha y Rodillo</v>
          </cell>
          <cell r="P183" t="str">
            <v>Para usar con Máquina Franjeadora, Reduzca con 1/8 y 1/4de Galón</v>
          </cell>
          <cell r="Q183" t="str">
            <v>R1K3 VM&amp;P Nafta</v>
          </cell>
          <cell r="R183" t="str">
            <v>4-5 mills/Pulg.</v>
          </cell>
          <cell r="S183" t="str">
            <v>15-20 Minutos. No transitar Antes de 30 Minutos</v>
          </cell>
          <cell r="T183" t="str">
            <v>-</v>
          </cell>
          <cell r="U183" t="str">
            <v>40-45 Mts Cuadrados/Gl/Mano</v>
          </cell>
          <cell r="V183" t="str">
            <v>Mate 1-2</v>
          </cell>
          <cell r="W183" t="str">
            <v>2B</v>
          </cell>
          <cell r="X183" t="str">
            <v>12 meses a 77°F y 50-55% de Humedad Relativa</v>
          </cell>
          <cell r="Y183" t="str">
            <v>EDISAL</v>
          </cell>
          <cell r="Z183" t="str">
            <v>-</v>
          </cell>
          <cell r="AA183" t="str">
            <v>-</v>
          </cell>
          <cell r="AB183" t="str">
            <v>José A. Romero Valle.</v>
          </cell>
          <cell r="AC183">
            <v>32660</v>
          </cell>
        </row>
        <row r="184">
          <cell r="A184" t="str">
            <v>SAA 3507</v>
          </cell>
          <cell r="B184" t="str">
            <v>Collapsible Tube Enamel White</v>
          </cell>
          <cell r="C184" t="str">
            <v>Interior</v>
          </cell>
          <cell r="D184" t="str">
            <v>Tubos de Estaño y Aluminio</v>
          </cell>
          <cell r="E184" t="str">
            <v>Limpieza</v>
          </cell>
          <cell r="F184" t="str">
            <v>Ninguno</v>
          </cell>
          <cell r="G184" t="str">
            <v>11.34 Lbs/Gl</v>
          </cell>
          <cell r="H184" t="str">
            <v>14.83%</v>
          </cell>
          <cell r="I184" t="str">
            <v>61.34%</v>
          </cell>
          <cell r="J184" t="str">
            <v>54.61%</v>
          </cell>
          <cell r="K184" t="str">
            <v>30.29%</v>
          </cell>
          <cell r="L184" t="str">
            <v>40.15%</v>
          </cell>
          <cell r="M184" t="str">
            <v>6000-7000 Cps</v>
          </cell>
          <cell r="N184" t="str">
            <v>Especial</v>
          </cell>
          <cell r="O184" t="str">
            <v>6000-7000 Cps</v>
          </cell>
          <cell r="P184" t="str">
            <v>Ninguno</v>
          </cell>
          <cell r="Q184" t="str">
            <v>Ninguno</v>
          </cell>
          <cell r="R184" t="str">
            <v>1.0-1.2 mills</v>
          </cell>
          <cell r="S184" t="str">
            <v>Al Horno</v>
          </cell>
          <cell r="T184" t="str">
            <v>3.5 Min a 300°F</v>
          </cell>
          <cell r="U184" t="str">
            <v>931.44 Pies Cuadrados/Gl</v>
          </cell>
          <cell r="V184" t="str">
            <v>80 Minimo</v>
          </cell>
          <cell r="W184" t="str">
            <v>F</v>
          </cell>
          <cell r="X184" t="str">
            <v>12 meses</v>
          </cell>
          <cell r="Y184" t="str">
            <v>ENVASA Costa Rica.</v>
          </cell>
          <cell r="Z184" t="str">
            <v>-</v>
          </cell>
          <cell r="AA184" t="str">
            <v>-</v>
          </cell>
          <cell r="AB184" t="str">
            <v>-</v>
          </cell>
          <cell r="AC184">
            <v>33032</v>
          </cell>
        </row>
        <row r="185">
          <cell r="A185" t="str">
            <v>SAA 3543</v>
          </cell>
          <cell r="B185" t="str">
            <v>Acrylic Metal Lacquer</v>
          </cell>
          <cell r="C185" t="str">
            <v>Interior</v>
          </cell>
          <cell r="D185" t="str">
            <v>Hierro-Acero</v>
          </cell>
          <cell r="E185" t="str">
            <v>Limpiar con solvente</v>
          </cell>
          <cell r="F185" t="str">
            <v>Ninguno</v>
          </cell>
          <cell r="G185" t="str">
            <v>7.47 Lbs/Gl</v>
          </cell>
          <cell r="H185" t="str">
            <v>-</v>
          </cell>
          <cell r="I185" t="str">
            <v>20.5%</v>
          </cell>
          <cell r="J185" t="str">
            <v>60%</v>
          </cell>
          <cell r="K185" t="str">
            <v>-</v>
          </cell>
          <cell r="L185" t="str">
            <v>13.3%</v>
          </cell>
          <cell r="M185" t="str">
            <v>35"-40" Copa SW #3</v>
          </cell>
          <cell r="N185" t="str">
            <v>Inmersión</v>
          </cell>
          <cell r="O185" t="str">
            <v>25"-40" Copa SW #3</v>
          </cell>
          <cell r="P185" t="str">
            <v>Ninguno</v>
          </cell>
          <cell r="Q185" t="str">
            <v>Por inmersión Ninguno. Pistola 25% con R7K203</v>
          </cell>
          <cell r="R185" t="str">
            <v>-</v>
          </cell>
          <cell r="S185" t="str">
            <v>5 Minutos</v>
          </cell>
          <cell r="T185" t="str">
            <v>-</v>
          </cell>
          <cell r="U185" t="str">
            <v>-</v>
          </cell>
          <cell r="V185" t="str">
            <v>90-93</v>
          </cell>
          <cell r="W185" t="str">
            <v>-</v>
          </cell>
          <cell r="Y185" t="str">
            <v>VIDRI S.A</v>
          </cell>
          <cell r="Z185" t="str">
            <v>Azadones, Picos y Palas</v>
          </cell>
          <cell r="AA185" t="str">
            <v>-</v>
          </cell>
          <cell r="AB185" t="str">
            <v>-</v>
          </cell>
          <cell r="AC185">
            <v>33105</v>
          </cell>
        </row>
        <row r="186">
          <cell r="A186" t="str">
            <v>SAA 3544</v>
          </cell>
          <cell r="B186" t="str">
            <v>Sherwood Walnut Stain Concentrate</v>
          </cell>
          <cell r="C186" t="str">
            <v>Interior</v>
          </cell>
          <cell r="D186" t="str">
            <v>Madera</v>
          </cell>
          <cell r="E186" t="str">
            <v>Madera Lijada</v>
          </cell>
          <cell r="F186" t="str">
            <v>Ninguno</v>
          </cell>
          <cell r="G186" t="str">
            <v>10.17 Lbs/Gl</v>
          </cell>
          <cell r="H186" t="str">
            <v>78.7%</v>
          </cell>
          <cell r="I186" t="str">
            <v>51.44%</v>
          </cell>
          <cell r="J186" t="str">
            <v>52%</v>
          </cell>
          <cell r="K186" t="str">
            <v>50.6%</v>
          </cell>
          <cell r="L186" t="str">
            <v>24.25%</v>
          </cell>
          <cell r="M186" t="str">
            <v>13"-16" Copa Ford #4</v>
          </cell>
          <cell r="N186" t="str">
            <v>Brocha o Wipe</v>
          </cell>
          <cell r="O186" t="str">
            <v>13"-16" Copa Ford #4</v>
          </cell>
          <cell r="P186" t="str">
            <v>Ninguno</v>
          </cell>
          <cell r="Q186" t="str">
            <v>Ninguno</v>
          </cell>
          <cell r="R186" t="str">
            <v>-</v>
          </cell>
          <cell r="S186" t="str">
            <v>1 Hora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MAYMO (Guatemala)</v>
          </cell>
          <cell r="Z186" t="str">
            <v>Muebles de Madera.</v>
          </cell>
          <cell r="AA186" t="str">
            <v>-</v>
          </cell>
          <cell r="AB186" t="str">
            <v>-</v>
          </cell>
          <cell r="AC186">
            <v>33109</v>
          </cell>
        </row>
        <row r="187">
          <cell r="A187" t="str">
            <v>G78</v>
          </cell>
          <cell r="B187" t="str">
            <v>Linea Permaclad 1700</v>
          </cell>
          <cell r="C187" t="str">
            <v>Interior-Exterior</v>
          </cell>
          <cell r="D187" t="str">
            <v>Lamina Galvanizada</v>
          </cell>
          <cell r="E187" t="str">
            <v>Limpia con Solvente</v>
          </cell>
          <cell r="F187" t="str">
            <v>Super Clad Primer P66YC1</v>
          </cell>
          <cell r="G187" t="str">
            <v>9.40 Lbs/Gl</v>
          </cell>
          <cell r="H187" t="str">
            <v>19.35%</v>
          </cell>
          <cell r="I187" t="str">
            <v>51.96%</v>
          </cell>
          <cell r="J187" t="str">
            <v>55%</v>
          </cell>
          <cell r="K187" t="str">
            <v>9.95%</v>
          </cell>
          <cell r="L187" t="str">
            <v>38.3%</v>
          </cell>
          <cell r="M187" t="str">
            <v>30"-35" Copa SW #3</v>
          </cell>
          <cell r="N187" t="str">
            <v>Pistola</v>
          </cell>
          <cell r="O187" t="str">
            <v>15"-18" Copa Ford #4</v>
          </cell>
          <cell r="P187" t="str">
            <v>15-20% con R2K4</v>
          </cell>
          <cell r="Q187" t="str">
            <v>R2K4         Industrial reducer</v>
          </cell>
          <cell r="R187" t="str">
            <v>0.8 mills</v>
          </cell>
          <cell r="S187" t="str">
            <v>Horno</v>
          </cell>
          <cell r="T187" t="str">
            <v>un minuto a 450°F</v>
          </cell>
          <cell r="U187" t="str">
            <v>79 Mts Cuadrados/Gl a 0.8 mills</v>
          </cell>
          <cell r="V187" t="str">
            <v>85-90</v>
          </cell>
          <cell r="W187" t="str">
            <v>H-2H</v>
          </cell>
          <cell r="X187" t="str">
            <v>-</v>
          </cell>
          <cell r="Y187" t="str">
            <v>PROFESAL</v>
          </cell>
          <cell r="Z187" t="str">
            <v>Laminas Galvanizadas Esmaltadas</v>
          </cell>
          <cell r="AA187" t="str">
            <v>-</v>
          </cell>
          <cell r="AB187" t="str">
            <v>-</v>
          </cell>
          <cell r="AC187">
            <v>33119</v>
          </cell>
        </row>
        <row r="188">
          <cell r="A188" t="str">
            <v>P66YC1 (1)</v>
          </cell>
          <cell r="B188" t="str">
            <v>Superclad Primer</v>
          </cell>
          <cell r="C188" t="str">
            <v>Primer (Interior-Exterior)</v>
          </cell>
          <cell r="D188" t="str">
            <v>Lamina Galvanizada</v>
          </cell>
          <cell r="E188" t="str">
            <v>Limpia con Solvente</v>
          </cell>
          <cell r="F188" t="str">
            <v>Ninguno</v>
          </cell>
          <cell r="G188" t="str">
            <v>9.4 Lbs/Gl</v>
          </cell>
          <cell r="H188" t="str">
            <v>42.8%</v>
          </cell>
          <cell r="I188" t="str">
            <v>42.6%</v>
          </cell>
          <cell r="J188" t="str">
            <v>24.45%</v>
          </cell>
          <cell r="K188" t="str">
            <v>19.2%</v>
          </cell>
          <cell r="L188" t="str">
            <v>27.0%</v>
          </cell>
          <cell r="M188" t="str">
            <v>25"-35" Copa SW #3</v>
          </cell>
          <cell r="N188" t="str">
            <v>Pistola</v>
          </cell>
          <cell r="O188" t="str">
            <v>13"-17" Copa Ford #4</v>
          </cell>
          <cell r="P188" t="str">
            <v>100% con R7KSA15</v>
          </cell>
          <cell r="Q188" t="str">
            <v>Thinner Metasa R7KSA15</v>
          </cell>
          <cell r="R188" t="str">
            <v>0.13-0.17 mills</v>
          </cell>
          <cell r="S188" t="str">
            <v>Horno</v>
          </cell>
          <cell r="T188" t="str">
            <v>1 minuto a 450°F</v>
          </cell>
          <cell r="U188" t="str">
            <v>268.3 Mts Cuadrados/Gl a 0.13 mills</v>
          </cell>
          <cell r="V188" t="str">
            <v>-</v>
          </cell>
          <cell r="W188" t="str">
            <v>-</v>
          </cell>
          <cell r="X188" t="str">
            <v>-</v>
          </cell>
          <cell r="Y188" t="str">
            <v>PROFESAL</v>
          </cell>
          <cell r="Z188" t="str">
            <v>Laminas Galvanizadas Esmaltadas</v>
          </cell>
          <cell r="AA188" t="str">
            <v>-</v>
          </cell>
          <cell r="AB188" t="str">
            <v>-</v>
          </cell>
          <cell r="AC188">
            <v>33119</v>
          </cell>
        </row>
        <row r="189">
          <cell r="A189" t="str">
            <v>R7KSA13</v>
          </cell>
          <cell r="B189" t="str">
            <v>Thinner Especial</v>
          </cell>
          <cell r="C189" t="str">
            <v>Interior</v>
          </cell>
          <cell r="D189" t="str">
            <v>-</v>
          </cell>
          <cell r="E189" t="str">
            <v>-</v>
          </cell>
          <cell r="F189" t="str">
            <v>-</v>
          </cell>
          <cell r="G189" t="str">
            <v>6.68 Lbs/Gl</v>
          </cell>
          <cell r="H189" t="str">
            <v>-</v>
          </cell>
          <cell r="I189" t="str">
            <v>-</v>
          </cell>
          <cell r="J189" t="str">
            <v>-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INDISA</v>
          </cell>
          <cell r="Z189" t="str">
            <v>Adornos Navideños y otros.</v>
          </cell>
          <cell r="AA189" t="str">
            <v>-</v>
          </cell>
          <cell r="AB189" t="str">
            <v>-</v>
          </cell>
          <cell r="AC189">
            <v>33129</v>
          </cell>
        </row>
        <row r="190">
          <cell r="A190" t="str">
            <v>R7KSA8</v>
          </cell>
          <cell r="B190" t="str">
            <v>Thinner Base Especial</v>
          </cell>
          <cell r="C190" t="str">
            <v>Interior</v>
          </cell>
          <cell r="D190" t="str">
            <v>-</v>
          </cell>
          <cell r="E190" t="str">
            <v>-</v>
          </cell>
          <cell r="F190" t="str">
            <v>-</v>
          </cell>
          <cell r="G190" t="str">
            <v>6.52 Lbs/Gl</v>
          </cell>
          <cell r="H190" t="str">
            <v>-</v>
          </cell>
          <cell r="I190" t="str">
            <v>-</v>
          </cell>
          <cell r="J190" t="str">
            <v>-</v>
          </cell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INDISA</v>
          </cell>
          <cell r="Z190" t="str">
            <v>Adornos Navideños y otros.</v>
          </cell>
          <cell r="AA190" t="str">
            <v>-</v>
          </cell>
          <cell r="AB190" t="str">
            <v>-</v>
          </cell>
          <cell r="AC190">
            <v>33129</v>
          </cell>
        </row>
        <row r="191">
          <cell r="A191" t="str">
            <v>T70CSA16</v>
          </cell>
          <cell r="B191" t="str">
            <v>Laca Transparente Brillante No.1</v>
          </cell>
          <cell r="C191" t="str">
            <v>Interior</v>
          </cell>
          <cell r="D191" t="str">
            <v>Polietileno y Poliestireno</v>
          </cell>
          <cell r="E191" t="str">
            <v>Limpieza Adecuada</v>
          </cell>
          <cell r="F191" t="str">
            <v>NINGUNO</v>
          </cell>
          <cell r="G191" t="str">
            <v>8.0 Lbs/Gl</v>
          </cell>
          <cell r="H191" t="str">
            <v>0.0%</v>
          </cell>
          <cell r="I191" t="str">
            <v>40%</v>
          </cell>
          <cell r="J191" t="str">
            <v>40%</v>
          </cell>
          <cell r="K191" t="str">
            <v>0.0 %</v>
          </cell>
          <cell r="L191" t="str">
            <v>33.85 %</v>
          </cell>
          <cell r="M191" t="str">
            <v>J-L (Gardner-Holdt)</v>
          </cell>
          <cell r="N191" t="str">
            <v>Especial</v>
          </cell>
          <cell r="O191" t="str">
            <v>18" - 22" COPA Zanh#2</v>
          </cell>
          <cell r="P191" t="str">
            <v>Ninguno</v>
          </cell>
          <cell r="Q191" t="str">
            <v>ninguno</v>
          </cell>
          <cell r="R191" t="str">
            <v>1.0 mills</v>
          </cell>
          <cell r="S191" t="str">
            <v>-</v>
          </cell>
          <cell r="T191" t="str">
            <v>-</v>
          </cell>
          <cell r="U191" t="str">
            <v>540 Pies Cuadrados/Gl a 1 mils de espesor seco</v>
          </cell>
          <cell r="V191" t="str">
            <v>80</v>
          </cell>
          <cell r="W191" t="str">
            <v>2B-B</v>
          </cell>
          <cell r="X191" t="str">
            <v>1 1/2 Años</v>
          </cell>
          <cell r="Y191" t="str">
            <v>INDISA</v>
          </cell>
          <cell r="Z191" t="str">
            <v>Adornos Navideños y otros.</v>
          </cell>
          <cell r="AA191" t="str">
            <v>-</v>
          </cell>
          <cell r="AB191" t="str">
            <v>Corina de Turcios</v>
          </cell>
          <cell r="AC191">
            <v>33129</v>
          </cell>
        </row>
        <row r="192">
          <cell r="A192" t="str">
            <v>T70CSA20</v>
          </cell>
          <cell r="B192" t="str">
            <v>Laca Especial Transparente Brillante</v>
          </cell>
          <cell r="C192" t="str">
            <v>Interior</v>
          </cell>
          <cell r="D192" t="str">
            <v>Polietileno y Poliestireno</v>
          </cell>
          <cell r="E192" t="str">
            <v>Limpieza Adecuada</v>
          </cell>
          <cell r="F192" t="str">
            <v>ninguno</v>
          </cell>
          <cell r="G192" t="str">
            <v>7.98 Lbs/Gl</v>
          </cell>
          <cell r="H192" t="str">
            <v>0.0 %</v>
          </cell>
          <cell r="I192" t="str">
            <v>30.70%</v>
          </cell>
          <cell r="J192" t="str">
            <v>30.70%</v>
          </cell>
          <cell r="K192" t="str">
            <v>0.0 %</v>
          </cell>
          <cell r="L192" t="str">
            <v>21%</v>
          </cell>
          <cell r="M192" t="str">
            <v>10-15 seg. Copa SW #5</v>
          </cell>
          <cell r="N192" t="str">
            <v>Pistola</v>
          </cell>
          <cell r="O192" t="str">
            <v>10-15 seg. Copa SW #5</v>
          </cell>
          <cell r="P192" t="str">
            <v>100</v>
          </cell>
          <cell r="Q192" t="str">
            <v>R7K128</v>
          </cell>
          <cell r="R192" t="str">
            <v>0.5-0.7 mills</v>
          </cell>
          <cell r="S192" t="str">
            <v>Al Aire. Seco Tocar: 5 Minutos. Seco Completo: 20 Minutos</v>
          </cell>
          <cell r="T192" t="str">
            <v>-</v>
          </cell>
          <cell r="U192" t="str">
            <v>480 Pies Cuadrados/Gl</v>
          </cell>
          <cell r="V192" t="str">
            <v>+80</v>
          </cell>
          <cell r="W192" t="str">
            <v>2B-B</v>
          </cell>
          <cell r="X192" t="str">
            <v>1 1/2 Años</v>
          </cell>
          <cell r="Y192" t="str">
            <v>INDISA</v>
          </cell>
          <cell r="Z192" t="str">
            <v>Adornos Navideños y otros.</v>
          </cell>
          <cell r="AA192" t="str">
            <v>-</v>
          </cell>
          <cell r="AC192" t="str">
            <v>Noviembre 27, 2002</v>
          </cell>
        </row>
        <row r="193">
          <cell r="A193" t="str">
            <v>A17VSA2</v>
          </cell>
          <cell r="B193" t="str">
            <v>Preservante-Repelente Para Fibrolite</v>
          </cell>
          <cell r="C193" t="str">
            <v>Interior-Exterior</v>
          </cell>
          <cell r="D193" t="str">
            <v>Fibrocemento</v>
          </cell>
          <cell r="E193" t="str">
            <v>Seca, Limpia y sin Polvo</v>
          </cell>
          <cell r="F193" t="str">
            <v>-</v>
          </cell>
          <cell r="G193" t="str">
            <v>6.76 Lbs/Gl</v>
          </cell>
          <cell r="H193" t="str">
            <v>-</v>
          </cell>
          <cell r="I193" t="str">
            <v>-</v>
          </cell>
          <cell r="J193" t="str">
            <v>-</v>
          </cell>
          <cell r="K193" t="str">
            <v>7%</v>
          </cell>
          <cell r="L193" t="str">
            <v>11%</v>
          </cell>
          <cell r="M193" t="str">
            <v>-</v>
          </cell>
          <cell r="N193" t="str">
            <v>Brocha-Inmersión</v>
          </cell>
          <cell r="O193" t="str">
            <v>A (Gardner-Hold)</v>
          </cell>
          <cell r="P193" t="str">
            <v>Ninguno</v>
          </cell>
          <cell r="Q193" t="str">
            <v>-</v>
          </cell>
          <cell r="R193" t="str">
            <v>-</v>
          </cell>
          <cell r="S193" t="str">
            <v>Al Aire</v>
          </cell>
          <cell r="T193" t="str">
            <v>-</v>
          </cell>
          <cell r="U193" t="str">
            <v>11-12 Mts cuadrados/ galón/mano dependiendo de la porosidad de la superficie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EUREKA</v>
          </cell>
          <cell r="Z193" t="str">
            <v>Techos de Fibrocemento</v>
          </cell>
          <cell r="AA193" t="str">
            <v>-</v>
          </cell>
          <cell r="AB193" t="str">
            <v>-</v>
          </cell>
          <cell r="AC193">
            <v>33157</v>
          </cell>
        </row>
        <row r="194">
          <cell r="A194" t="str">
            <v>A44WSA3</v>
          </cell>
          <cell r="B194" t="str">
            <v>Texture Paint For Ceiling</v>
          </cell>
          <cell r="C194" t="str">
            <v>Interior</v>
          </cell>
          <cell r="D194" t="str">
            <v>Fibrocemento</v>
          </cell>
          <cell r="E194" t="str">
            <v>Limpia de Polvo, y Seca</v>
          </cell>
          <cell r="F194" t="str">
            <v>-</v>
          </cell>
          <cell r="G194" t="str">
            <v>14.5 Lbs/Gl</v>
          </cell>
          <cell r="H194" t="str">
            <v>-</v>
          </cell>
          <cell r="I194" t="str">
            <v>72%</v>
          </cell>
          <cell r="J194" t="str">
            <v>49.6%</v>
          </cell>
          <cell r="K194" t="str">
            <v>-</v>
          </cell>
          <cell r="L194" t="str">
            <v>-</v>
          </cell>
          <cell r="M194" t="str">
            <v>96,000 CPS</v>
          </cell>
          <cell r="N194" t="str">
            <v>Rodillo-Brocha</v>
          </cell>
          <cell r="O194" t="str">
            <v>96,000 CPS</v>
          </cell>
          <cell r="P194" t="str">
            <v>-</v>
          </cell>
          <cell r="Q194" t="str">
            <v>Agua</v>
          </cell>
          <cell r="R194" t="str">
            <v>-</v>
          </cell>
          <cell r="S194" t="str">
            <v>Al aire</v>
          </cell>
          <cell r="T194" t="str">
            <v>-</v>
          </cell>
          <cell r="U194" t="str">
            <v>6.5-7.5 Mts Cuadrados/Gl dependiendo del estilo</v>
          </cell>
          <cell r="V194" t="str">
            <v>Mate</v>
          </cell>
          <cell r="W194" t="str">
            <v>-</v>
          </cell>
          <cell r="X194" t="str">
            <v>1-2 Años</v>
          </cell>
          <cell r="Y194" t="str">
            <v>EUREKA</v>
          </cell>
          <cell r="Z194" t="str">
            <v>Techos de Fibrocemento</v>
          </cell>
          <cell r="AA194" t="str">
            <v>-</v>
          </cell>
          <cell r="AB194" t="str">
            <v>-</v>
          </cell>
          <cell r="AC194">
            <v>33157</v>
          </cell>
        </row>
        <row r="195">
          <cell r="A195" t="str">
            <v>A44WSA4</v>
          </cell>
          <cell r="B195" t="str">
            <v>Texture Paint For Walls</v>
          </cell>
          <cell r="C195" t="str">
            <v>Interior</v>
          </cell>
          <cell r="D195" t="str">
            <v>Fibrocemento</v>
          </cell>
          <cell r="E195" t="str">
            <v>Limpia de Polvo, y Seca</v>
          </cell>
          <cell r="F195" t="str">
            <v>-</v>
          </cell>
          <cell r="G195" t="str">
            <v>14.5 Lbs/Gl</v>
          </cell>
          <cell r="H195" t="str">
            <v>-</v>
          </cell>
          <cell r="I195" t="str">
            <v>72%</v>
          </cell>
          <cell r="J195" t="str">
            <v>49.6%</v>
          </cell>
          <cell r="K195" t="str">
            <v>-</v>
          </cell>
          <cell r="L195" t="str">
            <v>-</v>
          </cell>
          <cell r="M195" t="str">
            <v>-</v>
          </cell>
          <cell r="N195" t="str">
            <v>Rodillo, Espátula, Brocha</v>
          </cell>
          <cell r="O195" t="str">
            <v>96,000-100,000 CPS</v>
          </cell>
          <cell r="P195" t="str">
            <v>-</v>
          </cell>
          <cell r="Q195" t="str">
            <v>Agua</v>
          </cell>
          <cell r="R195" t="str">
            <v>-</v>
          </cell>
          <cell r="S195" t="str">
            <v>Al aire</v>
          </cell>
          <cell r="T195" t="str">
            <v>-</v>
          </cell>
          <cell r="U195" t="str">
            <v>6.5-7.5 Mts Cuadrados/Gl dependiendo del estilo</v>
          </cell>
          <cell r="V195" t="str">
            <v>Mate</v>
          </cell>
          <cell r="W195" t="str">
            <v>-</v>
          </cell>
          <cell r="X195" t="str">
            <v>1-2 Años</v>
          </cell>
          <cell r="Y195" t="str">
            <v>EUREKA</v>
          </cell>
          <cell r="Z195" t="str">
            <v>Techos de Fibrocemento</v>
          </cell>
          <cell r="AA195" t="str">
            <v>-</v>
          </cell>
          <cell r="AB195" t="str">
            <v>-</v>
          </cell>
          <cell r="AC195">
            <v>33157</v>
          </cell>
        </row>
        <row r="196">
          <cell r="A196" t="str">
            <v>A95GSA14</v>
          </cell>
          <cell r="B196" t="str">
            <v>Pintura Especial Verde Para Techos de Fibrocemento</v>
          </cell>
          <cell r="C196" t="str">
            <v>Exterior</v>
          </cell>
          <cell r="D196" t="str">
            <v>Fibrocemento</v>
          </cell>
          <cell r="E196" t="str">
            <v>Lijada, Libre de Polvo y Seca</v>
          </cell>
          <cell r="F196" t="str">
            <v>-</v>
          </cell>
          <cell r="G196" t="str">
            <v>10.80 Lbs/Gl</v>
          </cell>
          <cell r="H196" t="str">
            <v>30.9%</v>
          </cell>
          <cell r="I196" t="str">
            <v>48.8%</v>
          </cell>
          <cell r="J196" t="str">
            <v>17.9%</v>
          </cell>
          <cell r="K196" t="str">
            <v>13.6%</v>
          </cell>
          <cell r="L196" t="str">
            <v>35.0%</v>
          </cell>
          <cell r="M196" t="str">
            <v>79-85 KU</v>
          </cell>
          <cell r="N196" t="str">
            <v>Pistola Airless 30-35 Libras de Presión</v>
          </cell>
          <cell r="O196" t="str">
            <v>-</v>
          </cell>
          <cell r="P196" t="str">
            <v>25% con Agua</v>
          </cell>
          <cell r="Q196" t="str">
            <v>Agua Corriente</v>
          </cell>
          <cell r="R196" t="str">
            <v>5 mills</v>
          </cell>
          <cell r="S196" t="str">
            <v>Al Aire</v>
          </cell>
          <cell r="T196" t="str">
            <v>No recomendado</v>
          </cell>
          <cell r="U196" t="str">
            <v>45-55 Mts cuadrados por Galón</v>
          </cell>
          <cell r="V196" t="str">
            <v>Mate</v>
          </cell>
          <cell r="W196" t="str">
            <v>-</v>
          </cell>
          <cell r="X196" t="str">
            <v>1-2 Años</v>
          </cell>
          <cell r="Y196" t="str">
            <v>EUREKA</v>
          </cell>
          <cell r="Z196" t="str">
            <v>Techos de Fibrocemento</v>
          </cell>
          <cell r="AA196" t="str">
            <v>-</v>
          </cell>
          <cell r="AB196" t="str">
            <v>-</v>
          </cell>
          <cell r="AC196">
            <v>33157</v>
          </cell>
        </row>
        <row r="197">
          <cell r="A197" t="str">
            <v>SAA 3567-B</v>
          </cell>
          <cell r="B197" t="str">
            <v>Sherwood White Oak Oil Stain</v>
          </cell>
          <cell r="C197" t="str">
            <v>Interiores</v>
          </cell>
          <cell r="D197" t="str">
            <v>Fibrocemento(Fibrolit)</v>
          </cell>
          <cell r="E197" t="str">
            <v>Sellada y Limpia</v>
          </cell>
          <cell r="F197" t="str">
            <v>Kem Patching Paste</v>
          </cell>
          <cell r="G197" t="str">
            <v>7.22 Lbs/Gl</v>
          </cell>
          <cell r="H197" t="str">
            <v>38%</v>
          </cell>
          <cell r="I197" t="str">
            <v>22%</v>
          </cell>
          <cell r="J197" t="str">
            <v>50%</v>
          </cell>
          <cell r="K197" t="str">
            <v>21%</v>
          </cell>
          <cell r="L197" t="str">
            <v>13%</v>
          </cell>
          <cell r="M197" t="str">
            <v>9"-12" Copa Ford #4</v>
          </cell>
          <cell r="N197" t="str">
            <v>Arrastre con Wipe</v>
          </cell>
          <cell r="O197" t="str">
            <v>9"-12" Copa Ford #4</v>
          </cell>
          <cell r="P197" t="str">
            <v>Ninguno</v>
          </cell>
          <cell r="Q197" t="str">
            <v>Ninguno</v>
          </cell>
          <cell r="R197" t="str">
            <v>-</v>
          </cell>
          <cell r="S197" t="str">
            <v>Al aire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EUREKA</v>
          </cell>
          <cell r="Z197" t="str">
            <v>Fibrocemento</v>
          </cell>
          <cell r="AA197" t="str">
            <v>-</v>
          </cell>
          <cell r="AB197" t="str">
            <v>-</v>
          </cell>
          <cell r="AC197">
            <v>33168</v>
          </cell>
        </row>
        <row r="198">
          <cell r="A198" t="str">
            <v>SAA 3568</v>
          </cell>
          <cell r="B198" t="str">
            <v>Laca Transparente Brillante Lista para Usar</v>
          </cell>
          <cell r="C198" t="str">
            <v>Interiores</v>
          </cell>
          <cell r="D198" t="str">
            <v>Fibrocemento(Fibrolit)</v>
          </cell>
          <cell r="E198" t="str">
            <v>Sellada y Limpia</v>
          </cell>
          <cell r="F198" t="str">
            <v>-</v>
          </cell>
          <cell r="G198" t="str">
            <v>7.43 Lbs/Gl</v>
          </cell>
          <cell r="H198" t="str">
            <v>-</v>
          </cell>
          <cell r="I198" t="str">
            <v>21%</v>
          </cell>
          <cell r="J198" t="str">
            <v>-</v>
          </cell>
          <cell r="K198" t="str">
            <v>-</v>
          </cell>
          <cell r="L198" t="str">
            <v>14.5%</v>
          </cell>
          <cell r="M198" t="str">
            <v>15"-19" Copa Ford #4</v>
          </cell>
          <cell r="N198" t="str">
            <v>Pistola</v>
          </cell>
          <cell r="O198" t="str">
            <v>15"-19" Copa Ford #4</v>
          </cell>
          <cell r="P198" t="str">
            <v>Ninguno</v>
          </cell>
          <cell r="Q198" t="str">
            <v>R7K203 si es necesario</v>
          </cell>
          <cell r="R198" t="str">
            <v>-</v>
          </cell>
          <cell r="S198" t="str">
            <v>Al Aire</v>
          </cell>
          <cell r="T198" t="str">
            <v>-</v>
          </cell>
          <cell r="U198" t="str">
            <v>-</v>
          </cell>
          <cell r="V198" t="str">
            <v>85-90</v>
          </cell>
          <cell r="W198" t="str">
            <v>-</v>
          </cell>
          <cell r="X198" t="str">
            <v>-</v>
          </cell>
          <cell r="Y198" t="str">
            <v>EUREKA</v>
          </cell>
          <cell r="Z198" t="str">
            <v>Fibrocemento</v>
          </cell>
          <cell r="AA198" t="str">
            <v>-</v>
          </cell>
          <cell r="AB198" t="str">
            <v>-</v>
          </cell>
          <cell r="AC198">
            <v>33168</v>
          </cell>
        </row>
        <row r="199">
          <cell r="A199" t="str">
            <v>B24WSA1</v>
          </cell>
          <cell r="B199" t="str">
            <v>Sellador Rellenador Especial Para Fibrolit</v>
          </cell>
          <cell r="C199" t="str">
            <v>Interiores</v>
          </cell>
          <cell r="D199" t="str">
            <v>Fibrocemento</v>
          </cell>
          <cell r="E199" t="str">
            <v>Libre de Polvo y otras Sustancias</v>
          </cell>
          <cell r="F199" t="str">
            <v>Ninguno</v>
          </cell>
          <cell r="G199" t="str">
            <v>12.27 Lbs/Gl</v>
          </cell>
          <cell r="H199" t="str">
            <v>69.2%</v>
          </cell>
          <cell r="I199" t="str">
            <v>46%</v>
          </cell>
          <cell r="J199" t="str">
            <v>55%</v>
          </cell>
          <cell r="K199" t="str">
            <v>51%</v>
          </cell>
          <cell r="L199" t="str">
            <v>30%</v>
          </cell>
          <cell r="M199" t="str">
            <v>13,000-15,000 CPS</v>
          </cell>
          <cell r="N199" t="str">
            <v>Espátula-Wipe</v>
          </cell>
          <cell r="O199" t="str">
            <v>13,000-15,000 CPS</v>
          </cell>
          <cell r="P199" t="str">
            <v>Ninguno</v>
          </cell>
          <cell r="Q199" t="str">
            <v>Ninguno</v>
          </cell>
          <cell r="R199" t="str">
            <v>-</v>
          </cell>
          <cell r="S199" t="str">
            <v>Al Aire</v>
          </cell>
          <cell r="T199" t="str">
            <v>-</v>
          </cell>
          <cell r="U199" t="str">
            <v>-</v>
          </cell>
          <cell r="V199" t="str">
            <v>-</v>
          </cell>
          <cell r="W199" t="str">
            <v>-</v>
          </cell>
          <cell r="X199" t="str">
            <v>-</v>
          </cell>
          <cell r="Y199" t="str">
            <v>EUREKA</v>
          </cell>
          <cell r="Z199" t="str">
            <v>Fibrocemento</v>
          </cell>
          <cell r="AA199" t="str">
            <v>-</v>
          </cell>
          <cell r="AB199" t="str">
            <v>-</v>
          </cell>
          <cell r="AC199">
            <v>33170</v>
          </cell>
        </row>
        <row r="200">
          <cell r="A200" t="str">
            <v>B45WSA1 (2)</v>
          </cell>
          <cell r="B200" t="str">
            <v>Fast Dry Latex Wall Primer (Primario)</v>
          </cell>
          <cell r="C200" t="str">
            <v>Interior</v>
          </cell>
          <cell r="D200" t="str">
            <v>Dryboard.</v>
          </cell>
          <cell r="E200" t="str">
            <v>Libre de Polvo y otras Sustancias</v>
          </cell>
          <cell r="F200" t="str">
            <v>Ninguno</v>
          </cell>
          <cell r="G200" t="str">
            <v>11.17 Lbs/Gl</v>
          </cell>
          <cell r="H200" t="str">
            <v>34.4%</v>
          </cell>
          <cell r="I200" t="str">
            <v>48.1%</v>
          </cell>
          <cell r="J200" t="str">
            <v>55%</v>
          </cell>
          <cell r="K200" t="str">
            <v>48.3%</v>
          </cell>
          <cell r="L200" t="str">
            <v>30.4%</v>
          </cell>
          <cell r="M200" t="str">
            <v>10,000-11,000 CPS</v>
          </cell>
          <cell r="N200" t="str">
            <v>Brocha-Pistola-Rodillo</v>
          </cell>
          <cell r="O200" t="str">
            <v>1,400-1,800 CPS con Brocha. 60-100 CPS con Pistola</v>
          </cell>
          <cell r="P200" t="str">
            <v>Brocha o Rodillo: 10% en Vol. Con agua. Pistola: 80% en Vol. Con Agua.</v>
          </cell>
          <cell r="Q200" t="str">
            <v>Agua</v>
          </cell>
          <cell r="R200" t="str">
            <v>2 mills</v>
          </cell>
          <cell r="S200" t="str">
            <v>Al Aire. Seco Tocar: 15 Minutos. Seco Completo: 45 Minutos</v>
          </cell>
          <cell r="T200" t="str">
            <v>Ninguno</v>
          </cell>
          <cell r="U200" t="str">
            <v>35 Mts Cuadrados/Gl</v>
          </cell>
          <cell r="V200" t="str">
            <v>Mate</v>
          </cell>
          <cell r="W200" t="str">
            <v>-</v>
          </cell>
          <cell r="X200" t="str">
            <v>2 años</v>
          </cell>
          <cell r="Y200" t="str">
            <v>Embajada Americana/Sepinta</v>
          </cell>
          <cell r="Z200" t="str">
            <v>Dryboard, Durapanel, Madera, Concreto.</v>
          </cell>
          <cell r="AA200" t="str">
            <v>-</v>
          </cell>
          <cell r="AB200" t="str">
            <v>-</v>
          </cell>
          <cell r="AC200">
            <v>33246</v>
          </cell>
        </row>
        <row r="201">
          <cell r="A201" t="str">
            <v>B49WSA1</v>
          </cell>
          <cell r="B201" t="str">
            <v>Promar 200 Alkyd Undercoater</v>
          </cell>
          <cell r="C201" t="str">
            <v>Interiores</v>
          </cell>
          <cell r="D201" t="str">
            <v>Dryboard, Concreto, Madera</v>
          </cell>
          <cell r="E201" t="str">
            <v>Limpia de Polvo</v>
          </cell>
          <cell r="F201" t="str">
            <v>Ninguno</v>
          </cell>
          <cell r="G201" t="str">
            <v>11.81 Lbs/Gl</v>
          </cell>
          <cell r="H201" t="str">
            <v>75.5%</v>
          </cell>
          <cell r="I201" t="str">
            <v>71.14%</v>
          </cell>
          <cell r="J201" t="str">
            <v>41%</v>
          </cell>
          <cell r="K201" t="str">
            <v>53.7%</v>
          </cell>
          <cell r="L201" t="str">
            <v>48.71%</v>
          </cell>
          <cell r="M201" t="str">
            <v>88-98 KU</v>
          </cell>
          <cell r="N201" t="str">
            <v>Brocha-Rodillo-Pistola</v>
          </cell>
          <cell r="O201" t="str">
            <v>Brocha (88-98 KU), Pistola (13-18" Ford #4)</v>
          </cell>
          <cell r="P201" t="str">
            <v>Brocha y Rodillo (Ninguna), Pistola (25% con R1K4)</v>
          </cell>
          <cell r="Q201" t="str">
            <v>R1K4</v>
          </cell>
          <cell r="R201" t="str">
            <v>2 mills seco</v>
          </cell>
          <cell r="S201" t="str">
            <v>Seco Tocar: 1-2 Horas, Seco Completo: 16-24 Horas.</v>
          </cell>
          <cell r="T201" t="str">
            <v>-</v>
          </cell>
          <cell r="U201" t="str">
            <v>29 Mts Cuadrados/Gl a 2 mills seco</v>
          </cell>
          <cell r="V201" t="str">
            <v>Mate</v>
          </cell>
          <cell r="W201" t="str">
            <v>-</v>
          </cell>
          <cell r="X201" t="str">
            <v>-</v>
          </cell>
          <cell r="Y201" t="str">
            <v>Embajada Americana/Sepinta</v>
          </cell>
          <cell r="Z201" t="str">
            <v>-</v>
          </cell>
          <cell r="AA201" t="str">
            <v>-</v>
          </cell>
          <cell r="AB201" t="str">
            <v>-</v>
          </cell>
          <cell r="AC201">
            <v>33246</v>
          </cell>
        </row>
        <row r="202">
          <cell r="A202" t="str">
            <v>V6V241</v>
          </cell>
          <cell r="B202" t="str">
            <v>Polasol</v>
          </cell>
          <cell r="C202" t="str">
            <v>Catalizador para Kem Lustral</v>
          </cell>
          <cell r="D202" t="str">
            <v>-</v>
          </cell>
          <cell r="E202" t="str">
            <v>-</v>
          </cell>
          <cell r="F202" t="str">
            <v>-</v>
          </cell>
          <cell r="G202" t="str">
            <v>8.91 Lbs/Gl</v>
          </cell>
          <cell r="H202" t="str">
            <v>-</v>
          </cell>
          <cell r="I202" t="str">
            <v>75%</v>
          </cell>
          <cell r="J202" t="str">
            <v>-</v>
          </cell>
          <cell r="K202" t="str">
            <v>-</v>
          </cell>
          <cell r="L202" t="str">
            <v>70.7%</v>
          </cell>
          <cell r="M202" t="str">
            <v>60-65 KU</v>
          </cell>
          <cell r="N202" t="str">
            <v>-</v>
          </cell>
          <cell r="O202" t="str">
            <v>-</v>
          </cell>
          <cell r="P202" t="str">
            <v>Se agrega 6% a Kem Lustral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Incrementa Dureza a Kem Lustral</v>
          </cell>
          <cell r="X202" t="str">
            <v>-</v>
          </cell>
          <cell r="Y202" t="str">
            <v>Sepinta, S.A</v>
          </cell>
          <cell r="Z202" t="str">
            <v>-</v>
          </cell>
          <cell r="AA202" t="str">
            <v>El Polysocianato Actúa sobre las Cadenas Alkydicas del Kem Lustral, Incrementando su Dureza, Resistencia y Adhesión.</v>
          </cell>
          <cell r="AB202" t="str">
            <v>-</v>
          </cell>
          <cell r="AC202">
            <v>33246</v>
          </cell>
        </row>
        <row r="203">
          <cell r="A203" t="str">
            <v>B60FSA1</v>
          </cell>
          <cell r="B203" t="str">
            <v>Eggshell Hardener (Catalizador De Tile Clad II Satinado)</v>
          </cell>
          <cell r="C203" t="str">
            <v>-</v>
          </cell>
          <cell r="D203" t="str">
            <v>-</v>
          </cell>
          <cell r="E203" t="str">
            <v>-</v>
          </cell>
          <cell r="G203" t="str">
            <v>10.42-10.67 Lbs/Gl</v>
          </cell>
          <cell r="H203" t="str">
            <v>32%</v>
          </cell>
          <cell r="I203" t="str">
            <v>69.57%</v>
          </cell>
          <cell r="J203" t="str">
            <v>60%</v>
          </cell>
          <cell r="K203" t="str">
            <v>26.6%</v>
          </cell>
          <cell r="L203" t="str">
            <v>55.9%</v>
          </cell>
          <cell r="M203" t="str">
            <v>68-75 KU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Freund, S.A</v>
          </cell>
          <cell r="Z203" t="str">
            <v>-</v>
          </cell>
          <cell r="AA203" t="str">
            <v>-</v>
          </cell>
          <cell r="AB203" t="str">
            <v>-</v>
          </cell>
          <cell r="AC203">
            <v>33249</v>
          </cell>
        </row>
        <row r="204">
          <cell r="A204" t="str">
            <v>B62BSA1/B60FSA1</v>
          </cell>
          <cell r="B204" t="str">
            <v>Tile Clad II Negro Satinado</v>
          </cell>
          <cell r="C204" t="str">
            <v>Interior-Exterior</v>
          </cell>
          <cell r="D204" t="str">
            <v>Concreto-Fibrocemento-Madera-Metal</v>
          </cell>
          <cell r="E204" t="str">
            <v>Limpia de Polvo, Grasa, Suciedad</v>
          </cell>
          <cell r="F204" t="str">
            <v>B24WSA1 ó B45WSA1(concreto, fibrocemento, madera) B69A47 (metal)</v>
          </cell>
          <cell r="G204" t="str">
            <v>8.09 Lbs/Gl</v>
          </cell>
          <cell r="H204" t="str">
            <v>18%</v>
          </cell>
          <cell r="I204" t="str">
            <v>45.6%</v>
          </cell>
          <cell r="J204" t="str">
            <v>60%</v>
          </cell>
          <cell r="K204" t="str">
            <v>11.5%</v>
          </cell>
          <cell r="L204" t="str">
            <v>40.7%</v>
          </cell>
          <cell r="M204" t="str">
            <v>75-83 ku</v>
          </cell>
          <cell r="N204" t="str">
            <v>Brocha-Pistola</v>
          </cell>
          <cell r="O204" t="str">
            <v>Brocha</v>
          </cell>
          <cell r="P204" t="str">
            <v>-</v>
          </cell>
          <cell r="Q204" t="str">
            <v>R2K4         Industrial reducer</v>
          </cell>
          <cell r="R204" t="str">
            <v>2-4 mills seco</v>
          </cell>
          <cell r="S204" t="str">
            <v>Seco Tocar: 1 Hra, Seco Completo 4-6 Hrs, Repintar: 12 Horas</v>
          </cell>
          <cell r="T204" t="str">
            <v>-</v>
          </cell>
          <cell r="U204" t="str">
            <v>25 Mts Cuadrados/Gl (4 mills), 50 Mts Cuadrados (2 mills)</v>
          </cell>
          <cell r="V204" t="str">
            <v>35 +/- 10 unidades</v>
          </cell>
          <cell r="W204" t="str">
            <v>2H</v>
          </cell>
          <cell r="X204" t="str">
            <v>-</v>
          </cell>
          <cell r="Y204" t="str">
            <v>Freund, S.A</v>
          </cell>
          <cell r="Z204" t="str">
            <v>-</v>
          </cell>
          <cell r="AA204" t="str">
            <v>-</v>
          </cell>
          <cell r="AB204" t="str">
            <v>-</v>
          </cell>
          <cell r="AC204">
            <v>33249</v>
          </cell>
        </row>
        <row r="205">
          <cell r="A205" t="str">
            <v>B42W1</v>
          </cell>
          <cell r="B205" t="str">
            <v>BLOC-TEX</v>
          </cell>
          <cell r="C205" t="str">
            <v>Interior-Exterior</v>
          </cell>
          <cell r="D205" t="str">
            <v>Bloques de Concreto</v>
          </cell>
          <cell r="E205" t="str">
            <v>Limpia con Agua y Jabón</v>
          </cell>
          <cell r="F205" t="str">
            <v>Ninguno</v>
          </cell>
          <cell r="G205" t="str">
            <v>14.47 Lbs/Gl</v>
          </cell>
          <cell r="H205" t="str">
            <v>80%</v>
          </cell>
          <cell r="I205" t="str">
            <v>74.7%</v>
          </cell>
          <cell r="J205" t="str">
            <v>50%</v>
          </cell>
          <cell r="K205" t="str">
            <v>75%</v>
          </cell>
          <cell r="L205" t="str">
            <v>57.7%</v>
          </cell>
          <cell r="M205" t="str">
            <v>Pasta</v>
          </cell>
          <cell r="N205" t="str">
            <v>Brocha-Rodillo</v>
          </cell>
          <cell r="O205" t="str">
            <v>110-120 KU</v>
          </cell>
          <cell r="P205" t="str">
            <v>25-50% con Excello Latex</v>
          </cell>
          <cell r="Q205" t="str">
            <v>Agua</v>
          </cell>
          <cell r="R205" t="str">
            <v>5-7 mills Seco</v>
          </cell>
          <cell r="S205" t="str">
            <v>20 minutos</v>
          </cell>
          <cell r="T205" t="str">
            <v>-</v>
          </cell>
          <cell r="U205" t="str">
            <v>15-20 Mts Cuadrados/Gl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Sepinta, S.A</v>
          </cell>
          <cell r="Z205" t="str">
            <v>-</v>
          </cell>
          <cell r="AA205" t="str">
            <v>-</v>
          </cell>
          <cell r="AB205" t="str">
            <v>-</v>
          </cell>
          <cell r="AC205">
            <v>33261</v>
          </cell>
        </row>
        <row r="206">
          <cell r="A206" t="str">
            <v>B45ASA1</v>
          </cell>
          <cell r="B206" t="str">
            <v>Sellador Para Concreto Gris</v>
          </cell>
          <cell r="C206" t="str">
            <v>Interior-Exterior</v>
          </cell>
          <cell r="D206" t="str">
            <v>Concreto</v>
          </cell>
          <cell r="E206" t="str">
            <v>Libre de Polvo y otras Sustancias</v>
          </cell>
          <cell r="F206" t="str">
            <v>Ninguno</v>
          </cell>
          <cell r="G206" t="str">
            <v>10.66 Lbs/Gl</v>
          </cell>
          <cell r="H206" t="str">
            <v>-</v>
          </cell>
          <cell r="I206" t="str">
            <v>47.3%</v>
          </cell>
          <cell r="J206" t="str">
            <v>50%</v>
          </cell>
          <cell r="K206" t="str">
            <v>45.5%</v>
          </cell>
          <cell r="L206" t="str">
            <v>31.4%</v>
          </cell>
          <cell r="M206" t="str">
            <v>13,000-15,000 CPS</v>
          </cell>
          <cell r="N206" t="str">
            <v>Brocha-Rodillo</v>
          </cell>
          <cell r="O206" t="str">
            <v>2,000-2,500 CPS</v>
          </cell>
          <cell r="P206" t="str">
            <v>10-15% de Agua</v>
          </cell>
          <cell r="Q206" t="str">
            <v>Agua</v>
          </cell>
          <cell r="R206" t="str">
            <v>2 mills</v>
          </cell>
          <cell r="S206" t="str">
            <v>Al aire (20 Min)</v>
          </cell>
          <cell r="T206" t="str">
            <v>-</v>
          </cell>
          <cell r="U206" t="str">
            <v>30 Mts Cuadrados/Gl</v>
          </cell>
          <cell r="V206" t="str">
            <v>-</v>
          </cell>
          <cell r="W206" t="str">
            <v>-</v>
          </cell>
          <cell r="X206" t="str">
            <v>-</v>
          </cell>
          <cell r="Y206" t="str">
            <v>Constructora Orion</v>
          </cell>
          <cell r="Z206" t="str">
            <v>Estructuras de Concreto</v>
          </cell>
          <cell r="AA206" t="str">
            <v>-</v>
          </cell>
          <cell r="AB206" t="str">
            <v>-</v>
          </cell>
          <cell r="AC206">
            <v>33280</v>
          </cell>
        </row>
        <row r="207">
          <cell r="A207" t="str">
            <v xml:space="preserve">V76VSA13 </v>
          </cell>
          <cell r="B207" t="str">
            <v>Barniz para Interiores Fenólico de Alta Resistencia Química</v>
          </cell>
          <cell r="C207" t="str">
            <v>Interiores</v>
          </cell>
          <cell r="D207" t="str">
            <v>Hojalata</v>
          </cell>
          <cell r="E207" t="str">
            <v>Limpia de Grasa  o suciedad</v>
          </cell>
          <cell r="F207" t="str">
            <v>Ninguno</v>
          </cell>
          <cell r="G207" t="str">
            <v>8.0 Lbs/Gl</v>
          </cell>
          <cell r="H207" t="str">
            <v>-</v>
          </cell>
          <cell r="I207" t="str">
            <v>38.91%</v>
          </cell>
          <cell r="J207" t="str">
            <v>54%</v>
          </cell>
          <cell r="K207" t="str">
            <v>-</v>
          </cell>
          <cell r="L207" t="str">
            <v>25.34%</v>
          </cell>
          <cell r="M207" t="str">
            <v>55"-65" Copa Ford #4</v>
          </cell>
          <cell r="N207" t="str">
            <v>Rodillo</v>
          </cell>
          <cell r="O207" t="str">
            <v>55"-65" Copa Ford #4</v>
          </cell>
          <cell r="P207" t="str">
            <v>Ninguno</v>
          </cell>
          <cell r="Q207" t="str">
            <v>Ninguno</v>
          </cell>
          <cell r="R207" t="str">
            <v>0.56 mills</v>
          </cell>
          <cell r="S207" t="str">
            <v>Horneo</v>
          </cell>
          <cell r="T207" t="str">
            <v>20" A 375°F</v>
          </cell>
          <cell r="U207" t="str">
            <v>-</v>
          </cell>
          <cell r="V207" t="str">
            <v>+80</v>
          </cell>
          <cell r="W207" t="str">
            <v>7H</v>
          </cell>
          <cell r="X207" t="str">
            <v>-</v>
          </cell>
          <cell r="Y207" t="str">
            <v>Pinsal</v>
          </cell>
          <cell r="Z207" t="str">
            <v>Pinturas</v>
          </cell>
          <cell r="AA207" t="str">
            <v>-</v>
          </cell>
          <cell r="AB207" t="str">
            <v>-</v>
          </cell>
          <cell r="AC207">
            <v>33288</v>
          </cell>
        </row>
        <row r="208">
          <cell r="A208" t="str">
            <v>B23WSA1 (1)</v>
          </cell>
          <cell r="B208" t="str">
            <v>Sellador Blanco Para Fibrolite</v>
          </cell>
          <cell r="C208" t="str">
            <v>Exterior e Interior</v>
          </cell>
          <cell r="D208" t="str">
            <v>Fibrolit</v>
          </cell>
          <cell r="E208" t="str">
            <v>-</v>
          </cell>
          <cell r="F208" t="str">
            <v>Ninguno</v>
          </cell>
          <cell r="G208" t="str">
            <v>13.55 Lbs/Gl</v>
          </cell>
          <cell r="H208" t="str">
            <v>68.27%</v>
          </cell>
          <cell r="I208" t="str">
            <v>75.28%</v>
          </cell>
          <cell r="J208" t="str">
            <v>5.54%</v>
          </cell>
          <cell r="K208" t="str">
            <v>76.25%</v>
          </cell>
          <cell r="L208" t="str">
            <v>48.06%</v>
          </cell>
          <cell r="M208" t="str">
            <v>100 KU</v>
          </cell>
          <cell r="N208" t="str">
            <v xml:space="preserve">Brocha </v>
          </cell>
          <cell r="O208" t="str">
            <v>100 KU</v>
          </cell>
          <cell r="P208" t="str">
            <v>Ninguno</v>
          </cell>
          <cell r="Q208" t="str">
            <v>Ninguno</v>
          </cell>
          <cell r="R208" t="str">
            <v>3-4 Mills</v>
          </cell>
          <cell r="S208" t="str">
            <v>Al Aire</v>
          </cell>
          <cell r="T208" t="str">
            <v>-</v>
          </cell>
          <cell r="U208" t="str">
            <v>12 Mts Cuadrados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Al recubrir con Pinturas de Aceite y/o Epóxicas dar una mano de Látex Antes (Colonial o Excello)</v>
          </cell>
          <cell r="AB208" t="str">
            <v>-</v>
          </cell>
          <cell r="AC208">
            <v>33291</v>
          </cell>
        </row>
        <row r="209">
          <cell r="A209" t="str">
            <v>F63W56 (1)</v>
          </cell>
          <cell r="B209" t="str">
            <v>Polane HS White</v>
          </cell>
          <cell r="C209" t="str">
            <v>Exterior e Interior</v>
          </cell>
          <cell r="D209" t="str">
            <v>Lexan</v>
          </cell>
          <cell r="E209" t="str">
            <v>Limpia de Polvo, Grasa, Suciedad</v>
          </cell>
          <cell r="F209" t="str">
            <v>Ninguno</v>
          </cell>
          <cell r="G209" t="str">
            <v>12 Lbs/Gl</v>
          </cell>
          <cell r="H209" t="str">
            <v>45.65%</v>
          </cell>
          <cell r="I209" t="str">
            <v>77.96%</v>
          </cell>
          <cell r="J209" t="str">
            <v>45.40%</v>
          </cell>
          <cell r="K209" t="str">
            <v>27.1%</v>
          </cell>
          <cell r="L209" t="str">
            <v>62.30%</v>
          </cell>
          <cell r="M209" t="str">
            <v>60-65 KU</v>
          </cell>
          <cell r="N209" t="str">
            <v>Pistola</v>
          </cell>
          <cell r="O209" t="str">
            <v>15"-20" Copa Ford #4</v>
          </cell>
          <cell r="P209" t="str">
            <v>**</v>
          </cell>
          <cell r="Q209" t="str">
            <v>Thinner R7K94 (Secado más Rápido) ó R7K84 (Secado más Lento)</v>
          </cell>
          <cell r="R209" t="str">
            <v>1.5 mills Seca</v>
          </cell>
          <cell r="S209" t="str">
            <v>Seco Tocar: 20 Minutos; Seco Completo: 30 Minutos; Manejable: 8 Hrs</v>
          </cell>
          <cell r="T209" t="str">
            <v>Ninguno</v>
          </cell>
          <cell r="U209" t="str">
            <v>75 Mts Cuadrados/Gl</v>
          </cell>
          <cell r="V209" t="str">
            <v>90</v>
          </cell>
          <cell r="W209" t="str">
            <v>3H</v>
          </cell>
          <cell r="X209" t="str">
            <v>-</v>
          </cell>
          <cell r="Y209" t="str">
            <v>SAGRISSA</v>
          </cell>
          <cell r="Z209" t="str">
            <v>Carteles, Rotulos en Lexan.</v>
          </cell>
          <cell r="AA209" t="str">
            <v>Uso Exterior: 2 partes en Vol. De F63W56 con 1 parte de V66V29 y 1 parte de R7K94. Uso Interior:2 partes en Vol. De F63W56 con 1 parte de V66V27 y 1 parte de R7K94</v>
          </cell>
          <cell r="AB209" t="str">
            <v>-</v>
          </cell>
          <cell r="AC209">
            <v>33295</v>
          </cell>
        </row>
        <row r="210">
          <cell r="A210" t="str">
            <v>B23WSA1</v>
          </cell>
          <cell r="B210" t="str">
            <v>Sellador Blanco Para Fibrolite</v>
          </cell>
          <cell r="C210" t="str">
            <v>Exterior e Interior</v>
          </cell>
          <cell r="D210" t="str">
            <v>Fibrolit</v>
          </cell>
          <cell r="E210" t="str">
            <v>-</v>
          </cell>
          <cell r="F210" t="str">
            <v>Ninguno</v>
          </cell>
          <cell r="G210" t="str">
            <v>13.55 Lbs/Gl</v>
          </cell>
          <cell r="H210" t="str">
            <v>68.27%</v>
          </cell>
          <cell r="I210" t="str">
            <v>75.28%</v>
          </cell>
          <cell r="J210" t="str">
            <v>5.54%</v>
          </cell>
          <cell r="K210" t="str">
            <v>76.25%</v>
          </cell>
          <cell r="L210" t="str">
            <v>48.06%</v>
          </cell>
          <cell r="M210" t="str">
            <v>100 KU</v>
          </cell>
          <cell r="N210" t="str">
            <v>Brocha</v>
          </cell>
          <cell r="O210" t="str">
            <v>100 KU</v>
          </cell>
          <cell r="P210" t="str">
            <v>Ninguno</v>
          </cell>
          <cell r="Q210" t="str">
            <v>Ninguno</v>
          </cell>
          <cell r="R210" t="str">
            <v>3-4 mills</v>
          </cell>
          <cell r="S210" t="str">
            <v>Al Aire</v>
          </cell>
          <cell r="T210" t="str">
            <v>-</v>
          </cell>
          <cell r="U210" t="str">
            <v>12 Mts Cuadrados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Sepinta, S.A</v>
          </cell>
          <cell r="Z210" t="str">
            <v>-</v>
          </cell>
          <cell r="AA210" t="str">
            <v>Al recubrir con Pinturas de Aceite y/o Epóxicas dar una mano de Látex Antes (Colonial o Excello)</v>
          </cell>
          <cell r="AB210" t="str">
            <v>-</v>
          </cell>
          <cell r="AC210">
            <v>33298</v>
          </cell>
        </row>
        <row r="211">
          <cell r="A211" t="str">
            <v>B45WSA1 (1)</v>
          </cell>
          <cell r="B211" t="str">
            <v>Fast Dry Latex Wall Primer (Primario)</v>
          </cell>
          <cell r="C211" t="str">
            <v>Interior-Exterior</v>
          </cell>
          <cell r="D211" t="str">
            <v>Fibrocemento</v>
          </cell>
          <cell r="E211" t="str">
            <v>Libre de Polvo y otras Sustancias</v>
          </cell>
          <cell r="F211" t="str">
            <v>Ninguno</v>
          </cell>
          <cell r="G211" t="str">
            <v>11.17 Lbs/Gl</v>
          </cell>
          <cell r="H211" t="str">
            <v>34.4%</v>
          </cell>
          <cell r="I211" t="str">
            <v>48.1%</v>
          </cell>
          <cell r="J211" t="str">
            <v>55%</v>
          </cell>
          <cell r="K211" t="str">
            <v>48.3%</v>
          </cell>
          <cell r="L211" t="str">
            <v>30.4%</v>
          </cell>
          <cell r="M211" t="str">
            <v>13,000-15,000 CPS</v>
          </cell>
          <cell r="N211" t="str">
            <v>Brocha-Pistola</v>
          </cell>
          <cell r="O211" t="str">
            <v>1,400-1,800 CPS con Brocha. 60-100 CPS con Pistola</v>
          </cell>
          <cell r="P211" t="str">
            <v>Brocha: 10% en Vol. Con agua. Pistola: 80% en Vol. Con Agua.</v>
          </cell>
          <cell r="Q211" t="str">
            <v>Agua</v>
          </cell>
          <cell r="R211" t="str">
            <v>2 mills</v>
          </cell>
          <cell r="S211" t="str">
            <v>Al Aire. Seco Tocar: 15 Minutos. Seco Completo: 45 Minutos</v>
          </cell>
          <cell r="T211" t="str">
            <v>Ninguno</v>
          </cell>
          <cell r="U211" t="str">
            <v>35 Mts Cuadrados/Gl</v>
          </cell>
          <cell r="V211" t="str">
            <v>Mate</v>
          </cell>
          <cell r="W211" t="str">
            <v>-</v>
          </cell>
          <cell r="X211" t="str">
            <v>2 años</v>
          </cell>
          <cell r="Y211" t="str">
            <v>EUREKA</v>
          </cell>
          <cell r="Z211" t="str">
            <v>Laminas de Fibrocemento</v>
          </cell>
          <cell r="AA211" t="str">
            <v>-</v>
          </cell>
          <cell r="AB211" t="str">
            <v>-</v>
          </cell>
          <cell r="AC211">
            <v>33298</v>
          </cell>
        </row>
        <row r="212">
          <cell r="A212" t="str">
            <v>G78WSA11</v>
          </cell>
          <cell r="B212" t="str">
            <v xml:space="preserve">Esmalte Horneable acrilico Blanco Almendra  </v>
          </cell>
          <cell r="C212" t="str">
            <v>Interior-Exterior Limitada</v>
          </cell>
          <cell r="D212" t="str">
            <v>Hierro</v>
          </cell>
          <cell r="E212" t="str">
            <v>Limpieza Química y Fosfatización</v>
          </cell>
          <cell r="F212" t="str">
            <v>E68WSA4 Acrylic Monobake White Primer</v>
          </cell>
          <cell r="G212" t="str">
            <v>10.06 Lbs/Gl</v>
          </cell>
          <cell r="H212" t="str">
            <v>29.75%</v>
          </cell>
          <cell r="I212" t="str">
            <v>54.86%</v>
          </cell>
          <cell r="J212" t="str">
            <v>37.74%</v>
          </cell>
          <cell r="K212" t="str">
            <v>25.53%</v>
          </cell>
          <cell r="L212" t="str">
            <v>34.98%</v>
          </cell>
          <cell r="M212" t="str">
            <v>100"-110" Copa Zanh #2</v>
          </cell>
          <cell r="N212" t="str">
            <v>Pistola</v>
          </cell>
          <cell r="O212" t="str">
            <v>18"-20" Copa Ford #4</v>
          </cell>
          <cell r="P212" t="str">
            <v>20-25%</v>
          </cell>
          <cell r="Q212" t="str">
            <v>R2K4         Industrial reducer</v>
          </cell>
          <cell r="R212" t="str">
            <v>1.3-1.4 Con E68WSA4</v>
          </cell>
          <cell r="S212" t="str">
            <v>Al Horno</v>
          </cell>
          <cell r="T212" t="str">
            <v>15' a 400°F</v>
          </cell>
          <cell r="U212" t="str">
            <v>877.76 Pies Cuadrados/Gl</v>
          </cell>
          <cell r="V212" t="str">
            <v>+85</v>
          </cell>
          <cell r="W212" t="str">
            <v>2H</v>
          </cell>
          <cell r="X212" t="str">
            <v>6 meses</v>
          </cell>
          <cell r="Y212" t="str">
            <v>Atlas Electric-Costa Rica</v>
          </cell>
          <cell r="Z212" t="str">
            <v>Refrigeradoras, Cocinas, Lavadoras</v>
          </cell>
          <cell r="AA212" t="str">
            <v>-</v>
          </cell>
          <cell r="AB212" t="str">
            <v>Luis Nolasco</v>
          </cell>
          <cell r="AC212">
            <v>33424</v>
          </cell>
        </row>
        <row r="213">
          <cell r="A213" t="str">
            <v>G78WSA7</v>
          </cell>
          <cell r="B213" t="str">
            <v>Esmalte Horneable Acrílico Blanco.</v>
          </cell>
          <cell r="C213" t="str">
            <v>Interior-Exterior Limitada</v>
          </cell>
          <cell r="D213" t="str">
            <v>Hierro</v>
          </cell>
          <cell r="E213" t="str">
            <v>Limpieza Química y Fosfatización</v>
          </cell>
          <cell r="F213" t="str">
            <v>E68WSA4 Acrylic Monobake White Primer</v>
          </cell>
          <cell r="G213" t="str">
            <v>10.06 Lbs/Gl</v>
          </cell>
          <cell r="H213" t="str">
            <v>29.75%</v>
          </cell>
          <cell r="I213" t="str">
            <v>54.86%</v>
          </cell>
          <cell r="J213" t="str">
            <v>37.74%</v>
          </cell>
          <cell r="K213" t="str">
            <v>25.5%</v>
          </cell>
          <cell r="L213" t="str">
            <v>34.98%</v>
          </cell>
          <cell r="M213" t="str">
            <v>100"-110" Copa Zanh #2</v>
          </cell>
          <cell r="N213" t="str">
            <v>Pistola</v>
          </cell>
          <cell r="O213" t="str">
            <v>18"-20" Copa Ford #4</v>
          </cell>
          <cell r="P213" t="str">
            <v>20-25%</v>
          </cell>
          <cell r="Q213" t="str">
            <v>R2K4         Industrial reducer</v>
          </cell>
          <cell r="R213" t="str">
            <v>1.3-1.4 mills</v>
          </cell>
          <cell r="S213" t="str">
            <v>Al Horno</v>
          </cell>
          <cell r="T213" t="str">
            <v>15' a 400°F</v>
          </cell>
          <cell r="U213" t="str">
            <v>877.76 Pies Cuadrados/Gl a 1 mills de espesor</v>
          </cell>
          <cell r="V213" t="str">
            <v>+85</v>
          </cell>
          <cell r="W213" t="str">
            <v>2H</v>
          </cell>
          <cell r="X213" t="str">
            <v>6 meses</v>
          </cell>
          <cell r="Y213" t="str">
            <v>Atlas Electric-Costa Rica</v>
          </cell>
          <cell r="Z213" t="str">
            <v>Refrigeradoras, Cocinas, Lavadoras</v>
          </cell>
          <cell r="AA213" t="str">
            <v>-</v>
          </cell>
          <cell r="AB213" t="str">
            <v>Luis Nolasco</v>
          </cell>
          <cell r="AC213">
            <v>33424</v>
          </cell>
        </row>
        <row r="214">
          <cell r="A214" t="str">
            <v>SAA 3644</v>
          </cell>
          <cell r="B214" t="str">
            <v>Recubrimiento Para Cartón Corrugado #7</v>
          </cell>
          <cell r="C214" t="str">
            <v>Interior</v>
          </cell>
          <cell r="D214" t="str">
            <v>Cartón Corrugado</v>
          </cell>
          <cell r="E214" t="str">
            <v>Ninguna</v>
          </cell>
          <cell r="F214" t="str">
            <v>Ninguno</v>
          </cell>
          <cell r="G214" t="str">
            <v>13.4 Lbs/Gl</v>
          </cell>
          <cell r="H214" t="str">
            <v>57.27%</v>
          </cell>
          <cell r="I214" t="str">
            <v>63.14%</v>
          </cell>
          <cell r="J214" t="str">
            <v>6.45%</v>
          </cell>
          <cell r="K214" t="str">
            <v>80.7%</v>
          </cell>
          <cell r="L214" t="str">
            <v>40.37%</v>
          </cell>
          <cell r="M214" t="str">
            <v>85 KU</v>
          </cell>
          <cell r="N214" t="str">
            <v>Cuchilla de Hule</v>
          </cell>
          <cell r="O214" t="str">
            <v>80-85 KU</v>
          </cell>
          <cell r="P214" t="str">
            <v>Ninguno</v>
          </cell>
          <cell r="Q214" t="str">
            <v>Agua (Si es Necesario)</v>
          </cell>
          <cell r="R214" t="str">
            <v>1 mills</v>
          </cell>
          <cell r="S214" t="str">
            <v xml:space="preserve">15-20 Minutos.  </v>
          </cell>
          <cell r="T214" t="str">
            <v>-</v>
          </cell>
          <cell r="U214" t="str">
            <v>98.3 Mts Cuadrados</v>
          </cell>
          <cell r="V214" t="str">
            <v>Mate</v>
          </cell>
          <cell r="W214" t="str">
            <v>-</v>
          </cell>
          <cell r="X214" t="str">
            <v>6 meses</v>
          </cell>
          <cell r="Y214" t="str">
            <v>DIDEMA, S.A (Attn: Sr. Jorge Ramirez)</v>
          </cell>
          <cell r="Z214" t="str">
            <v>Cartón Corrugado</v>
          </cell>
          <cell r="AA214" t="str">
            <v>-</v>
          </cell>
          <cell r="AB214" t="str">
            <v>Audrey de Morales</v>
          </cell>
          <cell r="AC214">
            <v>33442</v>
          </cell>
        </row>
        <row r="215">
          <cell r="A215" t="str">
            <v>SAA 3652</v>
          </cell>
          <cell r="B215" t="str">
            <v>Esmalte Litográfico Blanco Troquelable</v>
          </cell>
          <cell r="C215" t="str">
            <v>Interior-Exterior Limitada</v>
          </cell>
          <cell r="D215" t="str">
            <v>Laminas de Hojalata</v>
          </cell>
          <cell r="E215" t="str">
            <v>Desengrase y Limpieza</v>
          </cell>
          <cell r="F215" t="str">
            <v>Ninguno</v>
          </cell>
          <cell r="G215" t="str">
            <v>9.59 Lbs/Gl</v>
          </cell>
          <cell r="H215" t="str">
            <v>24.55%</v>
          </cell>
          <cell r="I215" t="str">
            <v>54.85%</v>
          </cell>
          <cell r="J215" t="str">
            <v>40.4%</v>
          </cell>
          <cell r="K215" t="str">
            <v>18.44%</v>
          </cell>
          <cell r="L215" t="str">
            <v>37.37%</v>
          </cell>
          <cell r="M215" t="str">
            <v>80-85 KU</v>
          </cell>
          <cell r="N215" t="str">
            <v>Rodillo Litográfico</v>
          </cell>
          <cell r="O215" t="str">
            <v>80-85 KU</v>
          </cell>
          <cell r="P215" t="str">
            <v>Ninguno</v>
          </cell>
          <cell r="Q215" t="str">
            <v>Si fuese necesario, use Solvesso 150</v>
          </cell>
          <cell r="R215" t="str">
            <v>1.0 mills/Pulg.</v>
          </cell>
          <cell r="S215" t="str">
            <v>Al Horno</v>
          </cell>
          <cell r="T215" t="str">
            <v>12-15 Min a 170-180°C</v>
          </cell>
          <cell r="U215" t="str">
            <v>878 Pies Cuadrados/Gl</v>
          </cell>
          <cell r="V215" t="str">
            <v>80-85</v>
          </cell>
          <cell r="W215" t="str">
            <v>B-HB</v>
          </cell>
          <cell r="X215" t="str">
            <v>6-12 meses</v>
          </cell>
          <cell r="Y215" t="str">
            <v>TAPA METAL Y CORLASA</v>
          </cell>
          <cell r="Z215" t="str">
            <v>Tapacoronas, Tapaderas diversas.</v>
          </cell>
          <cell r="AA215" t="str">
            <v>-</v>
          </cell>
          <cell r="AB215" t="str">
            <v>Roberto Alam</v>
          </cell>
          <cell r="AC215">
            <v>33512</v>
          </cell>
        </row>
        <row r="216">
          <cell r="A216" t="str">
            <v>A86WCR12 (1)</v>
          </cell>
          <cell r="B216" t="str">
            <v>Pintura de Trafico Blanca TTP-115E Tipo III</v>
          </cell>
          <cell r="C216" t="str">
            <v>Interior-Exterior</v>
          </cell>
          <cell r="D216" t="str">
            <v>Asfalto y Concreto</v>
          </cell>
          <cell r="E216" t="str">
            <v>Limpia, Seca y Libre de Exudación de Asfalto</v>
          </cell>
          <cell r="F216" t="str">
            <v>Ninguno</v>
          </cell>
          <cell r="G216" t="str">
            <v>13.18 Lbs/Gl</v>
          </cell>
          <cell r="H216" t="str">
            <v>57%</v>
          </cell>
          <cell r="I216" t="str">
            <v>75%</v>
          </cell>
          <cell r="J216" t="str">
            <v>41%</v>
          </cell>
          <cell r="K216" t="str">
            <v>-</v>
          </cell>
          <cell r="L216" t="str">
            <v>-</v>
          </cell>
          <cell r="M216" t="str">
            <v>75-80 KU</v>
          </cell>
          <cell r="N216" t="str">
            <v>Brocha, Rodillo Industrial, Máquina Franjeadora, Etc.</v>
          </cell>
          <cell r="O216" t="str">
            <v>Lista para Usarse con Brocha y Rodillo</v>
          </cell>
          <cell r="P216" t="str">
            <v>Con Maquina Franjeadora, Reduzca con 1/8 de Galón</v>
          </cell>
          <cell r="Q216" t="str">
            <v>R2K4         Industrial reducer</v>
          </cell>
          <cell r="R216" t="str">
            <v>4-5 mills/Pulg.</v>
          </cell>
          <cell r="S216" t="str">
            <v>5-15 Minutos, No transitar antes de 20 minutos</v>
          </cell>
          <cell r="T216" t="str">
            <v>-</v>
          </cell>
          <cell r="U216" t="str">
            <v>45-50 Mts Cuadrados/Gl</v>
          </cell>
          <cell r="V216" t="str">
            <v>Mate</v>
          </cell>
          <cell r="W216" t="str">
            <v>2B</v>
          </cell>
          <cell r="X216" t="str">
            <v>12 meses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Ana Irene Mendez Vides</v>
          </cell>
          <cell r="AC216">
            <v>33526</v>
          </cell>
        </row>
        <row r="217">
          <cell r="A217" t="str">
            <v>D61A23</v>
          </cell>
          <cell r="B217" t="str">
            <v>Polane Spray Fil</v>
          </cell>
          <cell r="C217" t="str">
            <v>Interior</v>
          </cell>
          <cell r="D217" t="str">
            <v>Fibrex, Tablex, Durapanel, Plastico</v>
          </cell>
          <cell r="E217" t="str">
            <v>Limpia de Polvo, Grasa, Suciedad</v>
          </cell>
          <cell r="F217" t="str">
            <v>-</v>
          </cell>
          <cell r="G217" t="str">
            <v>13.9 Lbs/Gl</v>
          </cell>
          <cell r="H217" t="str">
            <v>61.01%</v>
          </cell>
          <cell r="I217" t="str">
            <v>70.42%</v>
          </cell>
          <cell r="J217" t="str">
            <v>9.41%</v>
          </cell>
          <cell r="K217" t="str">
            <v>68.8%</v>
          </cell>
          <cell r="L217" t="str">
            <v>43.83%</v>
          </cell>
          <cell r="M217" t="str">
            <v>45-55 Seg. Copa Ford #4</v>
          </cell>
          <cell r="N217" t="str">
            <v>Pistola</v>
          </cell>
          <cell r="O217" t="str">
            <v>15-22 Seg. Copa Ford #4</v>
          </cell>
          <cell r="P217" t="str">
            <v>20-25% con R7K84</v>
          </cell>
          <cell r="Q217" t="str">
            <v>R7K84</v>
          </cell>
          <cell r="R217" t="str">
            <v>1.5-2.5 Mills</v>
          </cell>
          <cell r="S217" t="str">
            <v>Al Tacto: 15 Min; Completo: 1 Hora; Lijar: 4 Horas.</v>
          </cell>
          <cell r="T217" t="str">
            <v>-</v>
          </cell>
          <cell r="U217" t="str">
            <v>57.62 Mts Cuadrados/Gl</v>
          </cell>
          <cell r="V217" t="str">
            <v>Mate</v>
          </cell>
          <cell r="W217" t="str">
            <v>-</v>
          </cell>
          <cell r="X217" t="str">
            <v>-</v>
          </cell>
          <cell r="Y217" t="str">
            <v>INCESA STANDARD</v>
          </cell>
          <cell r="Z217" t="str">
            <v>Tapaderas de Inodoros</v>
          </cell>
          <cell r="AA217" t="str">
            <v>Este producto deberá ser catalizado. 13 partes en volumen de D61A23 con 1 parte de catalizador V66V27 ó V66V29. Reducir la mezcla con 25% con R7K84</v>
          </cell>
          <cell r="AB217" t="str">
            <v>Rene Ferrufino</v>
          </cell>
          <cell r="AC217">
            <v>33585</v>
          </cell>
        </row>
        <row r="218">
          <cell r="A218" t="str">
            <v>E65A4</v>
          </cell>
          <cell r="B218" t="str">
            <v>Polane Primer Sealer</v>
          </cell>
          <cell r="C218" t="str">
            <v>Interior</v>
          </cell>
          <cell r="D218" t="str">
            <v>Fibrex, Tablex, Durapanel, Plastico</v>
          </cell>
          <cell r="E218" t="str">
            <v>Libre de Polvo. Lijada</v>
          </cell>
          <cell r="F218" t="str">
            <v>Polane Spray Fil (D61A23)</v>
          </cell>
          <cell r="G218" t="str">
            <v>9.42 Lbs/Gl</v>
          </cell>
          <cell r="H218" t="str">
            <v>28.24%</v>
          </cell>
          <cell r="I218" t="str">
            <v>43.68%</v>
          </cell>
          <cell r="J218" t="str">
            <v>15.14%</v>
          </cell>
          <cell r="K218" t="str">
            <v>43.1%</v>
          </cell>
          <cell r="L218" t="str">
            <v>26.05%</v>
          </cell>
          <cell r="M218" t="str">
            <v>30-50 Seg. Copa Ford #4</v>
          </cell>
          <cell r="N218" t="str">
            <v>Pistola</v>
          </cell>
          <cell r="O218" t="str">
            <v>15-22 Seg. Copa Ford #4</v>
          </cell>
          <cell r="P218" t="str">
            <v>15-20% con R7K84</v>
          </cell>
          <cell r="Q218" t="str">
            <v>R7K84</v>
          </cell>
          <cell r="R218" t="str">
            <v>1.0-1.25 Mills</v>
          </cell>
          <cell r="S218" t="str">
            <v>Tacto: 5-15 Min; Completo: 1 Hora; Lijable: 2 Horas.</v>
          </cell>
          <cell r="T218" t="str">
            <v>-</v>
          </cell>
          <cell r="U218" t="str">
            <v>35-40 Mts Cuadrados/Gl</v>
          </cell>
          <cell r="V218" t="str">
            <v>Mate</v>
          </cell>
          <cell r="W218" t="str">
            <v>-</v>
          </cell>
          <cell r="X218" t="str">
            <v>-</v>
          </cell>
          <cell r="Y218" t="str">
            <v>INCESA STANDARD</v>
          </cell>
          <cell r="Z218" t="str">
            <v>Tapaderas de Inodoros</v>
          </cell>
          <cell r="AA218" t="str">
            <v>Este producto deberá ser catalizado. 13 partes en volumen de E65A4 con 1 parte de catalizador V66V27 ó V66V29. Reducir la mezcla con 20% con R7K84</v>
          </cell>
          <cell r="AB218" t="str">
            <v>Rene Ferrufino</v>
          </cell>
          <cell r="AC218">
            <v>33585</v>
          </cell>
        </row>
        <row r="219">
          <cell r="A219" t="str">
            <v>F63W56</v>
          </cell>
          <cell r="B219" t="str">
            <v>Polane HS Enamel White</v>
          </cell>
          <cell r="C219" t="str">
            <v>Interior-Exterior</v>
          </cell>
          <cell r="D219" t="str">
            <v>Fibrex, Tablex, Durapanel, Plastico</v>
          </cell>
          <cell r="E219" t="str">
            <v>Libre de Polvo.</v>
          </cell>
          <cell r="F219" t="str">
            <v>Sistema D61A23/E65A4</v>
          </cell>
          <cell r="G219" t="str">
            <v>12.0 Lbs/Gl</v>
          </cell>
          <cell r="H219" t="str">
            <v>45.65%</v>
          </cell>
          <cell r="I219" t="str">
            <v>77.96%</v>
          </cell>
          <cell r="J219" t="str">
            <v>32.31%</v>
          </cell>
          <cell r="K219" t="str">
            <v>27.1%</v>
          </cell>
          <cell r="L219" t="str">
            <v>62.30%</v>
          </cell>
          <cell r="M219" t="str">
            <v>30-40 Seg. Copa SW #3</v>
          </cell>
          <cell r="N219" t="str">
            <v>Pistola</v>
          </cell>
          <cell r="O219" t="str">
            <v>15-22 Seg. Copa Ford #4</v>
          </cell>
          <cell r="P219" t="str">
            <v>25-35% con R7K84</v>
          </cell>
          <cell r="Q219" t="str">
            <v>R7K84</v>
          </cell>
          <cell r="R219" t="str">
            <v>1.25-1.5 Mills</v>
          </cell>
          <cell r="S219" t="str">
            <v>Al Tacto: 20 Min; Completo: 30 Min; Manejable: 8 Hrs.</v>
          </cell>
          <cell r="T219" t="str">
            <v>-</v>
          </cell>
          <cell r="U219" t="str">
            <v>80-90 Mts Cuadrados/Gl</v>
          </cell>
          <cell r="V219" t="str">
            <v>95-97</v>
          </cell>
          <cell r="W219" t="str">
            <v>-</v>
          </cell>
          <cell r="X219" t="str">
            <v>-</v>
          </cell>
          <cell r="Y219" t="str">
            <v>INCESA STANDARD</v>
          </cell>
          <cell r="Z219" t="str">
            <v>Tapaderas de Inodoros</v>
          </cell>
          <cell r="AA219" t="str">
            <v>Este Producto deberá ser catalizado: 2 partes en Vol. De F63W56 con 1 parte de catalizador V66V27 ó V66V29. Reducir la mezcla con 25-35% de R7K84.</v>
          </cell>
          <cell r="AB219" t="str">
            <v>Rene Ferrufino</v>
          </cell>
          <cell r="AC219">
            <v>33585</v>
          </cell>
        </row>
        <row r="220">
          <cell r="A220" t="str">
            <v>SAA 3742</v>
          </cell>
          <cell r="B220" t="str">
            <v xml:space="preserve">Barniz Interior Sanitario </v>
          </cell>
          <cell r="C220" t="str">
            <v>-</v>
          </cell>
          <cell r="D220" t="str">
            <v>Hojalata</v>
          </cell>
          <cell r="E220" t="str">
            <v>Limpiar con Solvente</v>
          </cell>
          <cell r="F220" t="str">
            <v>Ninguno</v>
          </cell>
          <cell r="G220" t="str">
            <v>8.77 Lbs/Gl</v>
          </cell>
          <cell r="H220" t="str">
            <v>-</v>
          </cell>
          <cell r="I220" t="str">
            <v>40%</v>
          </cell>
          <cell r="J220" t="str">
            <v>40%</v>
          </cell>
          <cell r="K220" t="str">
            <v>-</v>
          </cell>
          <cell r="L220" t="str">
            <v>36%</v>
          </cell>
          <cell r="M220" t="str">
            <v>120-130 KU</v>
          </cell>
          <cell r="N220" t="str">
            <v>Especial</v>
          </cell>
          <cell r="O220" t="str">
            <v>120-130KU</v>
          </cell>
          <cell r="P220" t="str">
            <v>-</v>
          </cell>
          <cell r="Q220" t="str">
            <v>-</v>
          </cell>
          <cell r="R220" t="str">
            <v>1.0 mills</v>
          </cell>
          <cell r="S220" t="str">
            <v>Al Horno</v>
          </cell>
          <cell r="T220" t="str">
            <v>12' a 190°</v>
          </cell>
          <cell r="U220" t="str">
            <v>640 Pies Cuadrados/Gl</v>
          </cell>
          <cell r="V220" t="str">
            <v>+100</v>
          </cell>
          <cell r="W220" t="str">
            <v>HB</v>
          </cell>
          <cell r="X220" t="str">
            <v>-</v>
          </cell>
          <cell r="Y220" t="str">
            <v>CORLASA</v>
          </cell>
          <cell r="Z220" t="str">
            <v>Corcholatas y Hojalatas</v>
          </cell>
          <cell r="AA220" t="str">
            <v>-</v>
          </cell>
          <cell r="AB220" t="str">
            <v>Luis Nolasco</v>
          </cell>
          <cell r="AC220">
            <v>33788</v>
          </cell>
        </row>
        <row r="221">
          <cell r="A221" t="str">
            <v>V76VSA12</v>
          </cell>
          <cell r="B221" t="str">
            <v>Barniz Para Tapacorona</v>
          </cell>
          <cell r="C221" t="str">
            <v>Exterior de Tapacoronas</v>
          </cell>
          <cell r="D221" t="str">
            <v>Hojalata</v>
          </cell>
          <cell r="E221" t="str">
            <v>Limpia</v>
          </cell>
          <cell r="F221" t="str">
            <v>Ninguno</v>
          </cell>
          <cell r="G221" t="str">
            <v>7.98 Lbs/Gl</v>
          </cell>
          <cell r="H221" t="str">
            <v>-</v>
          </cell>
          <cell r="I221" t="str">
            <v>42.5%</v>
          </cell>
          <cell r="J221" t="str">
            <v>42.5%</v>
          </cell>
          <cell r="K221" t="str">
            <v>-</v>
          </cell>
          <cell r="L221" t="str">
            <v>33.60%</v>
          </cell>
          <cell r="M221" t="str">
            <v>60 Seg. Copa Ford #4</v>
          </cell>
          <cell r="N221" t="str">
            <v>Rodillo</v>
          </cell>
          <cell r="O221" t="str">
            <v>60 Seg. Copa Ford #4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12 Min a 160°C</v>
          </cell>
          <cell r="U221" t="str">
            <v>-</v>
          </cell>
          <cell r="V221" t="str">
            <v>+90</v>
          </cell>
          <cell r="W221" t="str">
            <v>-</v>
          </cell>
          <cell r="X221" t="str">
            <v>12 meses</v>
          </cell>
          <cell r="Y221" t="str">
            <v>CORLASA</v>
          </cell>
          <cell r="Z221" t="str">
            <v>Tapas Coronas, Afiches, Etc.</v>
          </cell>
          <cell r="AA221" t="str">
            <v>-</v>
          </cell>
          <cell r="AB221" t="str">
            <v>Luis Nolasco</v>
          </cell>
          <cell r="AC221">
            <v>33788</v>
          </cell>
        </row>
        <row r="222">
          <cell r="A222" t="str">
            <v>SAA 3859</v>
          </cell>
          <cell r="B222" t="str">
            <v>Esmalte Horneable acrilico Blanco Almendra  MADECA</v>
          </cell>
          <cell r="C222" t="str">
            <v>Interior-Exterior Limitada</v>
          </cell>
          <cell r="D222" t="str">
            <v>Hierro</v>
          </cell>
          <cell r="E222" t="str">
            <v>Lavado, Desengrase y Fosfatizado</v>
          </cell>
          <cell r="F222" t="str">
            <v>E68WSA4 Acrylic Monobake White Primer</v>
          </cell>
          <cell r="G222" t="str">
            <v>10.06 Lbs/Gl</v>
          </cell>
          <cell r="H222" t="str">
            <v>53.08%</v>
          </cell>
          <cell r="I222" t="str">
            <v>54.86%</v>
          </cell>
          <cell r="J222" t="str">
            <v>46.92%</v>
          </cell>
          <cell r="K222" t="str">
            <v>25.5%</v>
          </cell>
          <cell r="L222" t="str">
            <v>35.02%</v>
          </cell>
          <cell r="M222" t="str">
            <v>100"-110" Copa Zanh #2</v>
          </cell>
          <cell r="N222" t="str">
            <v>Pistola</v>
          </cell>
          <cell r="O222" t="str">
            <v>25"-30" Copa Zanh #2</v>
          </cell>
          <cell r="P222" t="str">
            <v>20-25%</v>
          </cell>
          <cell r="Q222" t="str">
            <v>R2K4         Industrial reducer</v>
          </cell>
          <cell r="R222" t="str">
            <v>1.0-1.2 mills</v>
          </cell>
          <cell r="S222" t="str">
            <v>Al Horno</v>
          </cell>
          <cell r="T222" t="str">
            <v>15' a 350-400°F</v>
          </cell>
          <cell r="U222" t="str">
            <v>650-700 Pies Cuadrados/Gl a 1 mills de espesor</v>
          </cell>
          <cell r="V222" t="str">
            <v>+85</v>
          </cell>
          <cell r="W222" t="str">
            <v>2H-3H</v>
          </cell>
          <cell r="X222" t="str">
            <v>6-12 meses</v>
          </cell>
          <cell r="Y222" t="str">
            <v>MADECA</v>
          </cell>
          <cell r="Z222" t="str">
            <v>-</v>
          </cell>
          <cell r="AA222" t="str">
            <v>-</v>
          </cell>
          <cell r="AB222" t="str">
            <v>Rene Ferrufino</v>
          </cell>
          <cell r="AC222">
            <v>33856</v>
          </cell>
        </row>
        <row r="223">
          <cell r="A223" t="str">
            <v>SAA 3860</v>
          </cell>
          <cell r="B223" t="str">
            <v>Roller Coating Special White</v>
          </cell>
          <cell r="C223" t="str">
            <v>Exterior del Recipiente</v>
          </cell>
          <cell r="D223" t="str">
            <v>Hojalata</v>
          </cell>
          <cell r="E223" t="str">
            <v>Limpieza con Solvente</v>
          </cell>
          <cell r="F223" t="str">
            <v>Ninguno</v>
          </cell>
          <cell r="G223" t="str">
            <v>10.68 Lbs/Gl</v>
          </cell>
          <cell r="H223" t="str">
            <v>35%</v>
          </cell>
          <cell r="I223" t="str">
            <v>61.46%</v>
          </cell>
          <cell r="J223" t="str">
            <v>40.95%</v>
          </cell>
          <cell r="K223" t="str">
            <v>27.55%</v>
          </cell>
          <cell r="L223" t="str">
            <v>40.95%</v>
          </cell>
          <cell r="M223" t="str">
            <v>70"-80" Copa Ford #4</v>
          </cell>
          <cell r="N223" t="str">
            <v>Rodillo</v>
          </cell>
          <cell r="O223" t="str">
            <v>70"-80" Copa Ford #4</v>
          </cell>
          <cell r="P223" t="str">
            <v>Ninguno</v>
          </cell>
          <cell r="Q223" t="str">
            <v>-</v>
          </cell>
          <cell r="R223" t="str">
            <v>1.0 mills</v>
          </cell>
          <cell r="S223" t="str">
            <v>-</v>
          </cell>
          <cell r="T223" t="str">
            <v>15' a 360°F</v>
          </cell>
          <cell r="U223" t="str">
            <v>983.36 Pies Cuadrados/Gl a 1 mills de espesor</v>
          </cell>
          <cell r="V223" t="str">
            <v>+80</v>
          </cell>
          <cell r="W223" t="str">
            <v>-</v>
          </cell>
          <cell r="X223" t="str">
            <v>12 meses</v>
          </cell>
          <cell r="Y223" t="str">
            <v>TAPAMETAL-GUATEMALA</v>
          </cell>
          <cell r="Z223" t="str">
            <v>-</v>
          </cell>
          <cell r="AA223" t="str">
            <v>-</v>
          </cell>
          <cell r="AB223" t="str">
            <v>Luis Nolasco</v>
          </cell>
          <cell r="AC223">
            <v>33857</v>
          </cell>
        </row>
        <row r="224">
          <cell r="A224" t="str">
            <v>V76VSA16</v>
          </cell>
          <cell r="B224" t="str">
            <v>Barniz Horneable Exterior Para Tapacoronas</v>
          </cell>
          <cell r="C224" t="str">
            <v>Exterior</v>
          </cell>
          <cell r="D224" t="str">
            <v>Hojalata</v>
          </cell>
          <cell r="E224" t="str">
            <v>Limpia</v>
          </cell>
          <cell r="F224" t="str">
            <v>Ninguno</v>
          </cell>
          <cell r="G224" t="str">
            <v>8.03 Lbs/Gl</v>
          </cell>
          <cell r="H224" t="str">
            <v>-</v>
          </cell>
          <cell r="I224" t="str">
            <v>48.58%</v>
          </cell>
          <cell r="J224" t="str">
            <v>48.58%</v>
          </cell>
          <cell r="K224" t="str">
            <v>-</v>
          </cell>
          <cell r="L224" t="str">
            <v>40.40%</v>
          </cell>
          <cell r="M224" t="str">
            <v>50"-55" Copa SW #3</v>
          </cell>
          <cell r="N224" t="str">
            <v>Rodillo</v>
          </cell>
          <cell r="O224" t="str">
            <v>50"-55" Copa SW #3</v>
          </cell>
          <cell r="P224" t="str">
            <v>-</v>
          </cell>
          <cell r="Q224" t="str">
            <v>-</v>
          </cell>
          <cell r="R224" t="str">
            <v>1 mills</v>
          </cell>
          <cell r="S224" t="str">
            <v>Al Horno</v>
          </cell>
          <cell r="T224" t="str">
            <v>12' a 190°C</v>
          </cell>
          <cell r="U224" t="str">
            <v>777 Mts Cuadrados/Gl a 1 mills de espesor.</v>
          </cell>
          <cell r="V224" t="str">
            <v>+90</v>
          </cell>
          <cell r="W224" t="str">
            <v>H</v>
          </cell>
          <cell r="X224" t="str">
            <v>6-12 meses</v>
          </cell>
          <cell r="Y224" t="str">
            <v>TAPAMETAL-GUATEMALA</v>
          </cell>
          <cell r="Z224" t="str">
            <v>Baterias-Afiches de Hojalata</v>
          </cell>
          <cell r="AA224" t="str">
            <v>-</v>
          </cell>
          <cell r="AB224" t="str">
            <v>Luis Nolasco</v>
          </cell>
          <cell r="AC224">
            <v>33897</v>
          </cell>
        </row>
        <row r="225">
          <cell r="A225" t="str">
            <v>SAA 3877</v>
          </cell>
          <cell r="B225" t="str">
            <v>Esmalte Horneable Alquidico Blanco.</v>
          </cell>
          <cell r="C225" t="str">
            <v>Interior-Exterior</v>
          </cell>
          <cell r="D225" t="str">
            <v>Lamina de Hierro</v>
          </cell>
          <cell r="E225" t="str">
            <v>Limpiar con Solvente</v>
          </cell>
          <cell r="F225" t="str">
            <v>Ninguno</v>
          </cell>
          <cell r="G225" t="str">
            <v>10.04 Lbs/Gl</v>
          </cell>
          <cell r="H225" t="str">
            <v>25-64%</v>
          </cell>
          <cell r="I225" t="str">
            <v>58.03%</v>
          </cell>
          <cell r="J225" t="str">
            <v>43.56%</v>
          </cell>
          <cell r="K225" t="str">
            <v>18.39%</v>
          </cell>
          <cell r="L225" t="str">
            <v>41.87%</v>
          </cell>
          <cell r="M225" t="str">
            <v>100"-110" Copa Zanh #2</v>
          </cell>
          <cell r="N225" t="str">
            <v>Pistola</v>
          </cell>
          <cell r="O225" t="str">
            <v>20-25 seg. Copa Zanh #2</v>
          </cell>
          <cell r="P225" t="str">
            <v>20-25%</v>
          </cell>
          <cell r="Q225" t="str">
            <v>R2K4         Industrial reducer</v>
          </cell>
          <cell r="R225" t="str">
            <v>1.0-1.2 mills</v>
          </cell>
          <cell r="S225" t="str">
            <v>Al horno</v>
          </cell>
          <cell r="T225" t="str">
            <v>15' a 300°F</v>
          </cell>
          <cell r="U225" t="str">
            <v>628.48 Pies Cuadrados/Gl a un mills de espesor</v>
          </cell>
          <cell r="V225" t="str">
            <v>+85</v>
          </cell>
          <cell r="W225" t="str">
            <v>H</v>
          </cell>
          <cell r="X225" t="str">
            <v>6-12 meses</v>
          </cell>
          <cell r="Y225" t="str">
            <v>Silvania-Costa Rica</v>
          </cell>
          <cell r="Z225" t="str">
            <v>Lamparas</v>
          </cell>
          <cell r="AA225" t="str">
            <v>-</v>
          </cell>
          <cell r="AB225" t="str">
            <v>Luis Nolasco</v>
          </cell>
          <cell r="AC225">
            <v>33903</v>
          </cell>
        </row>
        <row r="226">
          <cell r="A226" t="str">
            <v>H87TSA1 (2)</v>
          </cell>
          <cell r="B226" t="str">
            <v>Laca Transparente Para Cuero</v>
          </cell>
          <cell r="C226" t="str">
            <v>Interior-Exterior</v>
          </cell>
          <cell r="D226" t="str">
            <v>Cuero</v>
          </cell>
          <cell r="E226" t="str">
            <v>Limpiar con R2K4</v>
          </cell>
          <cell r="F226" t="str">
            <v>Laca de Color</v>
          </cell>
          <cell r="G226" t="str">
            <v>7.84 Lbs/Gl</v>
          </cell>
          <cell r="H226" t="str">
            <v>-</v>
          </cell>
          <cell r="I226" t="str">
            <v>23.47%</v>
          </cell>
          <cell r="J226" t="str">
            <v>23.47%</v>
          </cell>
          <cell r="K226" t="str">
            <v>-</v>
          </cell>
          <cell r="L226" t="str">
            <v>16.68%</v>
          </cell>
          <cell r="M226" t="str">
            <v>85-95 KU (Unidades Kress)</v>
          </cell>
          <cell r="N226" t="str">
            <v>Pistola Convencional</v>
          </cell>
          <cell r="O226" t="str">
            <v>18-20 Seg. Copa Zanh #2</v>
          </cell>
          <cell r="P226" t="str">
            <v>100-150%</v>
          </cell>
          <cell r="Q226" t="str">
            <v>R7K128</v>
          </cell>
          <cell r="R226" t="str">
            <v>1.5 mills Seca</v>
          </cell>
          <cell r="S226" t="str">
            <v>Seco Tocar: 45 Min.; Seco Completo: 1 1/2 Horas.</v>
          </cell>
          <cell r="T226" t="str">
            <v>-</v>
          </cell>
          <cell r="U226" t="str">
            <v>272 Pies Cuadrados/Gl</v>
          </cell>
          <cell r="V226" t="str">
            <v>+85</v>
          </cell>
          <cell r="W226" t="str">
            <v>-</v>
          </cell>
          <cell r="X226" t="str">
            <v>1 año</v>
          </cell>
          <cell r="Y226" t="str">
            <v>ADOC (TENERIA)</v>
          </cell>
          <cell r="Z226" t="str">
            <v>Artículos de Cuero</v>
          </cell>
          <cell r="AA226" t="str">
            <v>-</v>
          </cell>
          <cell r="AB226" t="str">
            <v>Rene Ferrufino</v>
          </cell>
          <cell r="AC226">
            <v>33904</v>
          </cell>
        </row>
        <row r="227">
          <cell r="A227" t="str">
            <v>H87TSA2</v>
          </cell>
          <cell r="B227" t="str">
            <v>Laca Especial Para Cuero Transparente (Secado Rápido)</v>
          </cell>
          <cell r="C227" t="str">
            <v>Interior-Exterior</v>
          </cell>
          <cell r="D227" t="str">
            <v>Cuero</v>
          </cell>
          <cell r="E227" t="str">
            <v>Limpiar con R2K4</v>
          </cell>
          <cell r="F227" t="str">
            <v>Laca de Color</v>
          </cell>
          <cell r="G227" t="str">
            <v>7.81 Lbs/Gl</v>
          </cell>
          <cell r="H227" t="str">
            <v>-</v>
          </cell>
          <cell r="I227" t="str">
            <v>34.50%</v>
          </cell>
          <cell r="J227" t="str">
            <v>34.50%</v>
          </cell>
          <cell r="K227" t="str">
            <v>-</v>
          </cell>
          <cell r="L227" t="str">
            <v>26.90%</v>
          </cell>
          <cell r="M227" t="str">
            <v>85-95 KU (Unidades Kress)</v>
          </cell>
          <cell r="N227" t="str">
            <v>Pistola Convencional</v>
          </cell>
          <cell r="O227" t="str">
            <v>18-20 Seg. Copa Zanh #2</v>
          </cell>
          <cell r="P227" t="str">
            <v>100-150%</v>
          </cell>
          <cell r="Q227" t="str">
            <v>R7K128</v>
          </cell>
          <cell r="R227" t="str">
            <v>1.5 mills Seca</v>
          </cell>
          <cell r="S227" t="str">
            <v>Seco Tocar: 5 Min.; Seco Completo: 20 min.</v>
          </cell>
          <cell r="T227" t="str">
            <v>-</v>
          </cell>
          <cell r="U227" t="str">
            <v>450 Pies Cuadrados/Gl</v>
          </cell>
          <cell r="V227" t="str">
            <v>+85</v>
          </cell>
          <cell r="W227" t="str">
            <v>-</v>
          </cell>
          <cell r="X227" t="str">
            <v>1 año</v>
          </cell>
          <cell r="Y227" t="str">
            <v>ADOC (TENERIA)</v>
          </cell>
          <cell r="Z227" t="str">
            <v>Artículos de Cuero</v>
          </cell>
          <cell r="AA227" t="str">
            <v>-</v>
          </cell>
          <cell r="AB227" t="str">
            <v>Rene Ferrufino</v>
          </cell>
          <cell r="AC227">
            <v>33904</v>
          </cell>
        </row>
        <row r="228">
          <cell r="A228" t="str">
            <v>SAA 3862</v>
          </cell>
          <cell r="B228" t="str">
            <v xml:space="preserve">Esmalte Horneable Alquidico Amarillo  </v>
          </cell>
          <cell r="C228" t="str">
            <v>Interior-Exterior</v>
          </cell>
          <cell r="D228" t="str">
            <v>Hierro</v>
          </cell>
          <cell r="E228" t="str">
            <v>Limpieza con Solvente</v>
          </cell>
          <cell r="F228" t="str">
            <v>Ninguno</v>
          </cell>
          <cell r="G228" t="str">
            <v>10.18 Lbs/Gl</v>
          </cell>
          <cell r="H228" t="str">
            <v>25.48%</v>
          </cell>
          <cell r="I228" t="str">
            <v>58.44%</v>
          </cell>
          <cell r="J228" t="str">
            <v>32.96%</v>
          </cell>
          <cell r="K228" t="str">
            <v>15.53%</v>
          </cell>
          <cell r="L228" t="str">
            <v>38.62%</v>
          </cell>
          <cell r="M228" t="str">
            <v>100"-110" Copa Zanh #2</v>
          </cell>
          <cell r="N228" t="str">
            <v>Pistola</v>
          </cell>
          <cell r="O228" t="str">
            <v>20-25 seg. Copa Zanh #2</v>
          </cell>
          <cell r="P228" t="str">
            <v>20-25%</v>
          </cell>
          <cell r="Q228" t="str">
            <v>R2K4         Industrial reducer</v>
          </cell>
          <cell r="R228" t="str">
            <v>1.0-1.2 mills</v>
          </cell>
          <cell r="S228" t="str">
            <v>Al horno</v>
          </cell>
          <cell r="T228" t="str">
            <v>15' a 300°F</v>
          </cell>
          <cell r="U228" t="str">
            <v xml:space="preserve">617.92 Pies Cuadrados/Gl </v>
          </cell>
          <cell r="V228" t="str">
            <v>+85</v>
          </cell>
          <cell r="W228" t="str">
            <v>H</v>
          </cell>
          <cell r="X228" t="str">
            <v>6-12 meses</v>
          </cell>
          <cell r="Y228" t="str">
            <v>Van Leer-Nicaragua</v>
          </cell>
          <cell r="Z228" t="str">
            <v>Barriles de Hierro</v>
          </cell>
          <cell r="AA228" t="str">
            <v>-</v>
          </cell>
          <cell r="AB228" t="str">
            <v>Beatriz Sandoval</v>
          </cell>
          <cell r="AC228">
            <v>33905</v>
          </cell>
        </row>
        <row r="229">
          <cell r="A229" t="str">
            <v>SAA 3884</v>
          </cell>
          <cell r="B229" t="str">
            <v>Esmalte Horneable Alquídico Azul Metálico Martillado</v>
          </cell>
          <cell r="C229" t="str">
            <v>Interior-Exterior</v>
          </cell>
          <cell r="D229" t="str">
            <v>Lamina de Hierro</v>
          </cell>
          <cell r="E229" t="str">
            <v>Lavado y Desengrase</v>
          </cell>
          <cell r="F229" t="str">
            <v>Ninguno</v>
          </cell>
          <cell r="G229" t="str">
            <v>8.12 Lbs/Gl</v>
          </cell>
          <cell r="H229" t="str">
            <v>3.2%</v>
          </cell>
          <cell r="I229" t="str">
            <v>44.5%</v>
          </cell>
          <cell r="J229" t="str">
            <v>42.67%</v>
          </cell>
          <cell r="K229" t="str">
            <v>1.95%</v>
          </cell>
          <cell r="L229" t="str">
            <v>35.41%</v>
          </cell>
          <cell r="M229" t="str">
            <v>70-80 En Copa Zanh #2</v>
          </cell>
          <cell r="N229" t="str">
            <v>Pistola</v>
          </cell>
          <cell r="O229" t="str">
            <v>Listo para Usar</v>
          </cell>
          <cell r="P229" t="str">
            <v>Ninguno</v>
          </cell>
          <cell r="Q229" t="str">
            <v>R2K4 Industrial Reducer si Fuera Necesario</v>
          </cell>
          <cell r="R229" t="str">
            <v>1.5-2.0 mills</v>
          </cell>
          <cell r="S229" t="str">
            <v>Al Horno</v>
          </cell>
          <cell r="T229" t="str">
            <v>15' a 300°F</v>
          </cell>
          <cell r="U229" t="str">
            <v>712 Pies cuadrados/Gl</v>
          </cell>
          <cell r="V229" t="str">
            <v>30-40</v>
          </cell>
          <cell r="W229" t="str">
            <v>H</v>
          </cell>
          <cell r="X229" t="str">
            <v>6-12 meses</v>
          </cell>
          <cell r="Y229" t="str">
            <v>Corporación Industrial Americana-Honduras</v>
          </cell>
          <cell r="Z229" t="str">
            <v>Piezas Metálicas</v>
          </cell>
          <cell r="AA229" t="str">
            <v>-</v>
          </cell>
          <cell r="AB229" t="str">
            <v>Luis Nolasco</v>
          </cell>
          <cell r="AC229">
            <v>33920</v>
          </cell>
        </row>
        <row r="230">
          <cell r="A230" t="str">
            <v>P66YC1</v>
          </cell>
          <cell r="B230" t="str">
            <v>Superclad Primer</v>
          </cell>
          <cell r="C230" t="str">
            <v>Primer</v>
          </cell>
          <cell r="D230" t="str">
            <v>Lamina Galvanizada</v>
          </cell>
          <cell r="E230" t="str">
            <v>Limpia con Solvente R7K156</v>
          </cell>
          <cell r="F230" t="str">
            <v>Ninguno</v>
          </cell>
          <cell r="G230" t="str">
            <v>9.34 Lbs/Gl</v>
          </cell>
          <cell r="H230" t="str">
            <v>18.16%</v>
          </cell>
          <cell r="I230" t="str">
            <v>42.62%</v>
          </cell>
          <cell r="J230" t="str">
            <v>81.84%</v>
          </cell>
          <cell r="K230" t="str">
            <v>19.2%</v>
          </cell>
          <cell r="L230" t="str">
            <v>27.09%</v>
          </cell>
          <cell r="M230" t="str">
            <v>25-35 Copa Zanh #4</v>
          </cell>
          <cell r="N230" t="str">
            <v>Atomización con Pistola Convencional (Rociado)</v>
          </cell>
          <cell r="O230" t="str">
            <v>18"-22" Copa Zanh #2</v>
          </cell>
          <cell r="P230" t="str">
            <v>100%</v>
          </cell>
          <cell r="Q230" t="str">
            <v>R7KSA15</v>
          </cell>
          <cell r="R230" t="str">
            <v>0.1-0.2 mills</v>
          </cell>
          <cell r="S230" t="str">
            <v>Horno</v>
          </cell>
          <cell r="T230" t="str">
            <v>1 Minuto a 450°F</v>
          </cell>
          <cell r="U230" t="str">
            <v>270 Mts Cuadrados/Gl a 0.15 mills Seco</v>
          </cell>
          <cell r="V230" t="str">
            <v>Mate</v>
          </cell>
          <cell r="W230" t="str">
            <v>-</v>
          </cell>
          <cell r="X230" t="str">
            <v>6 meses</v>
          </cell>
          <cell r="Y230" t="str">
            <v>METALCO (Costa Rica)</v>
          </cell>
          <cell r="Z230" t="str">
            <v>Laminas Esmaltadas</v>
          </cell>
          <cell r="AA230" t="str">
            <v>-</v>
          </cell>
          <cell r="AB230" t="str">
            <v>Rene Ferrufino</v>
          </cell>
          <cell r="AC230">
            <v>33928</v>
          </cell>
        </row>
        <row r="231">
          <cell r="A231" t="str">
            <v>SAA 3889</v>
          </cell>
          <cell r="B231" t="str">
            <v>Permaclad 1700 Marfil Metálico</v>
          </cell>
          <cell r="C231" t="str">
            <v>Interior-Exterior</v>
          </cell>
          <cell r="D231" t="str">
            <v>Lamina Galvanizada</v>
          </cell>
          <cell r="E231" t="str">
            <v>Limpia con Solvente Sher Will Clean R7K156</v>
          </cell>
          <cell r="F231" t="str">
            <v>Superclad Primer (P66YC1)</v>
          </cell>
          <cell r="G231" t="str">
            <v>9.66 Lbs/Gl</v>
          </cell>
          <cell r="H231" t="str">
            <v>20.12%</v>
          </cell>
          <cell r="I231" t="str">
            <v>51.96%</v>
          </cell>
          <cell r="J231" t="str">
            <v>79.88%</v>
          </cell>
          <cell r="K231" t="str">
            <v>9.95%</v>
          </cell>
          <cell r="L231" t="str">
            <v>38.3%</v>
          </cell>
          <cell r="M231" t="str">
            <v>65-70 KU</v>
          </cell>
          <cell r="N231" t="str">
            <v>Atomización con Pistola Convencional (Rociado)</v>
          </cell>
          <cell r="O231" t="str">
            <v>18"-22" Copa Zanh #2</v>
          </cell>
          <cell r="P231" t="str">
            <v>20-25%</v>
          </cell>
          <cell r="Q231" t="str">
            <v>R2K4         Industrial reducer</v>
          </cell>
          <cell r="R231" t="str">
            <v>1.2-1.3 mills</v>
          </cell>
          <cell r="S231" t="str">
            <v>Al Horno</v>
          </cell>
          <cell r="T231" t="str">
            <v>1 Minuto a 450°F</v>
          </cell>
          <cell r="U231" t="str">
            <v>510 Pies Cuadrados/Gl</v>
          </cell>
          <cell r="V231" t="str">
            <v>90-92 unidades</v>
          </cell>
          <cell r="W231" t="str">
            <v>H-2H</v>
          </cell>
          <cell r="X231" t="str">
            <v>6 meses</v>
          </cell>
          <cell r="Y231" t="str">
            <v>METALCO (Costa Rica)</v>
          </cell>
          <cell r="Z231" t="str">
            <v>Laminas Esmaltadas</v>
          </cell>
          <cell r="AA231" t="str">
            <v>-</v>
          </cell>
          <cell r="AB231" t="str">
            <v>Rene Ferrufino</v>
          </cell>
          <cell r="AC231">
            <v>33928</v>
          </cell>
        </row>
        <row r="232">
          <cell r="A232" t="str">
            <v>SAA 3880</v>
          </cell>
          <cell r="B232" t="str">
            <v>Sellador Ultra Concentrado</v>
          </cell>
          <cell r="C232" t="str">
            <v>Interior</v>
          </cell>
          <cell r="D232" t="str">
            <v>Madera</v>
          </cell>
          <cell r="E232" t="str">
            <v>Lijada</v>
          </cell>
          <cell r="F232" t="str">
            <v>D70T1 Sherwood Fast Drying Semi Paste Wood Filler</v>
          </cell>
          <cell r="G232" t="str">
            <v>7.77 Lbs/Gl</v>
          </cell>
          <cell r="H232" t="str">
            <v>-</v>
          </cell>
          <cell r="I232" t="str">
            <v>29.5%</v>
          </cell>
          <cell r="J232" t="str">
            <v>29.5%</v>
          </cell>
          <cell r="K232" t="str">
            <v>-</v>
          </cell>
          <cell r="L232" t="str">
            <v>22.5%</v>
          </cell>
          <cell r="M232" t="str">
            <v>280,000-290,000 CPS</v>
          </cell>
          <cell r="N232" t="str">
            <v>Pistola</v>
          </cell>
          <cell r="O232" t="str">
            <v>20-25 seg. Copa Zanh #2</v>
          </cell>
          <cell r="P232" t="str">
            <v>650-700%</v>
          </cell>
          <cell r="Q232" t="str">
            <v>R7K128</v>
          </cell>
          <cell r="R232" t="str">
            <v>0.8 mills Seco</v>
          </cell>
          <cell r="S232" t="str">
            <v>Al Tacto 5-10 Min; Para Manipular: 15 Min.</v>
          </cell>
          <cell r="T232" t="str">
            <v>-</v>
          </cell>
          <cell r="U232" t="str">
            <v>44 Mts Cuadrados/Gl a 1 mills</v>
          </cell>
          <cell r="V232" t="str">
            <v>Mate</v>
          </cell>
          <cell r="W232" t="str">
            <v>-</v>
          </cell>
          <cell r="X232" t="str">
            <v>1 Año</v>
          </cell>
          <cell r="Y232" t="str">
            <v>Talleres de Muebles de Madera.</v>
          </cell>
          <cell r="Z232" t="str">
            <v>Muebles de Madera.</v>
          </cell>
          <cell r="AA232" t="str">
            <v>-</v>
          </cell>
          <cell r="AB232" t="str">
            <v>Rene Ferrufino</v>
          </cell>
          <cell r="AC232">
            <v>33933</v>
          </cell>
        </row>
        <row r="233">
          <cell r="A233" t="str">
            <v>SAA 3892</v>
          </cell>
          <cell r="B233" t="str">
            <v>Esmalte Horneable Alquidico Amarillo Especial</v>
          </cell>
          <cell r="C233" t="str">
            <v>Interior-Exterior</v>
          </cell>
          <cell r="D233" t="str">
            <v>Hierro</v>
          </cell>
          <cell r="E233" t="str">
            <v>Limpieza con Solvente</v>
          </cell>
          <cell r="F233" t="str">
            <v>Ninguno</v>
          </cell>
          <cell r="G233" t="str">
            <v>9.25 Lbs/Gl</v>
          </cell>
          <cell r="H233" t="str">
            <v>37.32%</v>
          </cell>
          <cell r="I233" t="str">
            <v>56.73%</v>
          </cell>
          <cell r="J233" t="str">
            <v>19.41%</v>
          </cell>
          <cell r="K233" t="str">
            <v>11.95%</v>
          </cell>
          <cell r="L233" t="str">
            <v>38.47%</v>
          </cell>
          <cell r="M233" t="str">
            <v>100"-110" Copa Zanh #2</v>
          </cell>
          <cell r="N233" t="str">
            <v>Pistola</v>
          </cell>
          <cell r="O233" t="str">
            <v>20-25 seg. Copa Zanh #2</v>
          </cell>
          <cell r="P233" t="str">
            <v>20-25%</v>
          </cell>
          <cell r="Q233" t="str">
            <v>R2K4         Industrial reducer</v>
          </cell>
          <cell r="R233" t="str">
            <v>1.0-1.2 mills</v>
          </cell>
          <cell r="S233" t="str">
            <v>Al horno</v>
          </cell>
          <cell r="T233" t="str">
            <v>15' a 300°F</v>
          </cell>
          <cell r="U233" t="str">
            <v xml:space="preserve">618.48 Pies Cuadrados/Gl a un mills de espesor </v>
          </cell>
          <cell r="V233" t="str">
            <v>+85</v>
          </cell>
          <cell r="W233" t="str">
            <v>2H</v>
          </cell>
          <cell r="X233" t="str">
            <v>6-12 meses</v>
          </cell>
          <cell r="Y233" t="str">
            <v>SW Honduras</v>
          </cell>
          <cell r="Z233" t="str">
            <v>Muebles de Hierro</v>
          </cell>
          <cell r="AA233" t="str">
            <v>-</v>
          </cell>
          <cell r="AB233" t="str">
            <v>Beatriz Sandoval</v>
          </cell>
          <cell r="AC233">
            <v>33933</v>
          </cell>
        </row>
        <row r="234">
          <cell r="A234" t="str">
            <v>SAA 3894</v>
          </cell>
          <cell r="B234" t="str">
            <v>Esmalte Horneable Alquídico Azul intenso Martillado</v>
          </cell>
          <cell r="C234" t="str">
            <v>Interior-Exterior</v>
          </cell>
          <cell r="D234" t="str">
            <v>Lamina de Hierro</v>
          </cell>
          <cell r="E234" t="str">
            <v xml:space="preserve">Lavado con Solvente R7K156 </v>
          </cell>
          <cell r="F234" t="str">
            <v>Ninguno</v>
          </cell>
          <cell r="G234" t="str">
            <v>8.57 Lbs/Gl</v>
          </cell>
          <cell r="H234" t="str">
            <v>19.4%</v>
          </cell>
          <cell r="I234" t="str">
            <v>47.2%</v>
          </cell>
          <cell r="J234" t="str">
            <v>27.8%</v>
          </cell>
          <cell r="K234" t="str">
            <v>9.4%</v>
          </cell>
          <cell r="L234" t="str">
            <v>36.18%</v>
          </cell>
          <cell r="M234" t="str">
            <v>100"-110" Copa Zanh #2</v>
          </cell>
          <cell r="N234" t="str">
            <v>Pistola</v>
          </cell>
          <cell r="O234" t="str">
            <v>20-25 seg. Copa Zanh #2</v>
          </cell>
          <cell r="P234" t="str">
            <v>20-25%</v>
          </cell>
          <cell r="Q234" t="str">
            <v>R2K4 Industrial Reducer si Fuera Necesario</v>
          </cell>
          <cell r="R234" t="str">
            <v>1.2 mills</v>
          </cell>
          <cell r="S234" t="str">
            <v>Al Horno</v>
          </cell>
          <cell r="T234" t="str">
            <v>15' a 300°F</v>
          </cell>
          <cell r="U234" t="str">
            <v>53.8 Mts Cuadrados/Gl</v>
          </cell>
          <cell r="V234" t="str">
            <v>80</v>
          </cell>
          <cell r="W234" t="str">
            <v>H</v>
          </cell>
          <cell r="X234" t="str">
            <v>6 meses</v>
          </cell>
          <cell r="Y234" t="str">
            <v>SW Honduras</v>
          </cell>
          <cell r="Z234" t="str">
            <v>Muebles de Hierro</v>
          </cell>
          <cell r="AA234" t="str">
            <v>-</v>
          </cell>
          <cell r="AB234" t="str">
            <v>Rene Ferrufino</v>
          </cell>
          <cell r="AC234">
            <v>33940</v>
          </cell>
        </row>
        <row r="235">
          <cell r="A235" t="str">
            <v>SAA 3895</v>
          </cell>
          <cell r="B235" t="str">
            <v>Esmalte Horneable acrílico Verde Tappan</v>
          </cell>
          <cell r="C235" t="str">
            <v>Interior-Exterior Limitada</v>
          </cell>
          <cell r="D235" t="str">
            <v>Hierro</v>
          </cell>
          <cell r="E235" t="str">
            <v>Lavado, Desengrase y Fosfatizado</v>
          </cell>
          <cell r="F235" t="str">
            <v>E68WSA4 Acrylic Monobake White Primer</v>
          </cell>
          <cell r="G235" t="str">
            <v>8.58 Lbs/Gl</v>
          </cell>
          <cell r="H235" t="str">
            <v>12.70%</v>
          </cell>
          <cell r="I235" t="str">
            <v>44.94%</v>
          </cell>
          <cell r="J235" t="str">
            <v>36.94%</v>
          </cell>
          <cell r="K235" t="str">
            <v>9.65%</v>
          </cell>
          <cell r="L235" t="str">
            <v>34.81%</v>
          </cell>
          <cell r="M235" t="str">
            <v>100"-110" Copa Zanh #2</v>
          </cell>
          <cell r="N235" t="str">
            <v>Pistola</v>
          </cell>
          <cell r="O235" t="str">
            <v>25"-30" Copa Zanh #2</v>
          </cell>
          <cell r="P235" t="str">
            <v>20-25%</v>
          </cell>
          <cell r="Q235" t="str">
            <v>R2K4         Industrial reducer</v>
          </cell>
          <cell r="R235" t="str">
            <v>1.0-1.2 mills</v>
          </cell>
          <cell r="S235" t="str">
            <v>Al Horno</v>
          </cell>
          <cell r="T235" t="str">
            <v>15' a 350-400°F</v>
          </cell>
          <cell r="U235" t="str">
            <v>719.04 Pies Cuadrados/Gl a 1 mills de espesor</v>
          </cell>
          <cell r="V235" t="str">
            <v>+85</v>
          </cell>
          <cell r="W235" t="str">
            <v>2H-3H</v>
          </cell>
          <cell r="X235" t="str">
            <v>6-12 meses</v>
          </cell>
          <cell r="Y235" t="str">
            <v>TAPPAN-GUATEMALA</v>
          </cell>
          <cell r="Z235" t="str">
            <v>Cocinas</v>
          </cell>
          <cell r="AA235" t="str">
            <v>-</v>
          </cell>
          <cell r="AB235" t="str">
            <v>Luis Nolasco</v>
          </cell>
          <cell r="AC235">
            <v>33942</v>
          </cell>
        </row>
        <row r="236">
          <cell r="A236" t="str">
            <v>SAA 3896</v>
          </cell>
          <cell r="B236" t="str">
            <v>Esmalte Horneable Alquidico Rojo Esso</v>
          </cell>
          <cell r="C236" t="str">
            <v>Interior-Exterior</v>
          </cell>
          <cell r="D236" t="str">
            <v>Barrilles</v>
          </cell>
          <cell r="E236" t="str">
            <v>Limpieza con Solvente</v>
          </cell>
          <cell r="F236" t="str">
            <v>Ninguno</v>
          </cell>
          <cell r="G236" t="str">
            <v>8.47 Lbs/Gl</v>
          </cell>
          <cell r="H236" t="str">
            <v>15.54%</v>
          </cell>
          <cell r="I236" t="str">
            <v>46.06%</v>
          </cell>
          <cell r="J236" t="str">
            <v>30.82%</v>
          </cell>
          <cell r="K236" t="str">
            <v>4.91%</v>
          </cell>
          <cell r="L236" t="str">
            <v>34.76%</v>
          </cell>
          <cell r="M236" t="str">
            <v>100"-110" Copa Zanh #2</v>
          </cell>
          <cell r="N236" t="str">
            <v>Pistola</v>
          </cell>
          <cell r="O236" t="str">
            <v>20-25 seg. Copa Zanh #2</v>
          </cell>
          <cell r="P236" t="str">
            <v>25-30%</v>
          </cell>
          <cell r="Q236" t="str">
            <v>R2K4         Industrial reducer</v>
          </cell>
          <cell r="R236" t="str">
            <v>0.8-0.9 mills</v>
          </cell>
          <cell r="S236" t="str">
            <v>Al horno</v>
          </cell>
          <cell r="T236" t="str">
            <v>15' a 300°F</v>
          </cell>
          <cell r="U236" t="str">
            <v xml:space="preserve">556.16 Pies Cuadrados/Gl </v>
          </cell>
          <cell r="V236" t="str">
            <v>+85</v>
          </cell>
          <cell r="W236" t="str">
            <v>2H</v>
          </cell>
          <cell r="X236" t="str">
            <v>6 meses</v>
          </cell>
          <cell r="Y236" t="str">
            <v>Van Leer-Guatemala</v>
          </cell>
          <cell r="Z236" t="str">
            <v>Barriles de Hierro</v>
          </cell>
          <cell r="AA236" t="str">
            <v>-</v>
          </cell>
          <cell r="AB236" t="str">
            <v>Beatriz Sandoval</v>
          </cell>
          <cell r="AC236">
            <v>33945</v>
          </cell>
        </row>
        <row r="237">
          <cell r="A237" t="str">
            <v>SAA 3897</v>
          </cell>
          <cell r="B237" t="str">
            <v>Esmalte Horneable Alquidico Beige Siemens</v>
          </cell>
          <cell r="C237" t="str">
            <v>Interior-Exterior</v>
          </cell>
          <cell r="D237" t="str">
            <v>Lámina de Hierro</v>
          </cell>
          <cell r="E237" t="str">
            <v xml:space="preserve">Lavado con Solvente R7K156 </v>
          </cell>
          <cell r="F237" t="str">
            <v>E68WSA1 (Monobake Primer)</v>
          </cell>
          <cell r="G237" t="str">
            <v>8.98 Lbs/Gl</v>
          </cell>
          <cell r="H237" t="str">
            <v>25.4%</v>
          </cell>
          <cell r="I237" t="str">
            <v>49.2%</v>
          </cell>
          <cell r="J237" t="str">
            <v>23.2%</v>
          </cell>
          <cell r="K237" t="str">
            <v>9.5%</v>
          </cell>
          <cell r="L237" t="str">
            <v>36.9%</v>
          </cell>
          <cell r="M237" t="str">
            <v>80"-90" Copa zanh #2</v>
          </cell>
          <cell r="N237" t="str">
            <v>Pistola Convencional</v>
          </cell>
          <cell r="O237" t="str">
            <v>20"-25" Copa Zanh #2</v>
          </cell>
          <cell r="P237" t="str">
            <v>20-25%</v>
          </cell>
          <cell r="Q237" t="str">
            <v>R2K4         Industrial reducer</v>
          </cell>
          <cell r="R237" t="str">
            <v>1.2 mills seco</v>
          </cell>
          <cell r="S237" t="str">
            <v>Al horno</v>
          </cell>
          <cell r="T237" t="str">
            <v>15' a 300°F</v>
          </cell>
          <cell r="U237" t="str">
            <v>495 Pies Cuadrados/Gl. 45.72 Mts Cuadrados/Gl</v>
          </cell>
          <cell r="V237" t="str">
            <v>89 unidades</v>
          </cell>
          <cell r="W237" t="str">
            <v>H</v>
          </cell>
          <cell r="X237" t="str">
            <v>6 meses</v>
          </cell>
          <cell r="Y237" t="str">
            <v>Siemens-Nicaragua</v>
          </cell>
          <cell r="Z237" t="str">
            <v>Hardware</v>
          </cell>
          <cell r="AA237" t="str">
            <v>-</v>
          </cell>
          <cell r="AB237" t="str">
            <v>Rene Ferrufino</v>
          </cell>
          <cell r="AC237">
            <v>33947</v>
          </cell>
        </row>
        <row r="238">
          <cell r="A238" t="str">
            <v>SAA 3898</v>
          </cell>
          <cell r="B238" t="str">
            <v>Esmalte Horneable Alquidico Café Claro.</v>
          </cell>
          <cell r="C238" t="str">
            <v>Interior-Exterior</v>
          </cell>
          <cell r="D238" t="str">
            <v>Hierro</v>
          </cell>
          <cell r="E238" t="str">
            <v>Limpieza con Solvente</v>
          </cell>
          <cell r="F238" t="str">
            <v>Ninguno</v>
          </cell>
          <cell r="G238" t="str">
            <v>10.16 Lbs/Gl</v>
          </cell>
          <cell r="H238" t="str">
            <v>52.76%</v>
          </cell>
          <cell r="I238" t="str">
            <v>59.52%</v>
          </cell>
          <cell r="J238" t="str">
            <v>6.76%</v>
          </cell>
          <cell r="K238" t="str">
            <v>28.11%</v>
          </cell>
          <cell r="L238" t="str">
            <v>40.74%</v>
          </cell>
          <cell r="M238" t="str">
            <v>100"-110" Copa Zanh #2</v>
          </cell>
          <cell r="N238" t="str">
            <v>Pistola</v>
          </cell>
          <cell r="O238" t="str">
            <v>20-25 seg. Copa Zanh #2</v>
          </cell>
          <cell r="P238" t="str">
            <v>20-25%</v>
          </cell>
          <cell r="Q238" t="str">
            <v>R2K4 Industrial Reducer si Fuera Necesario</v>
          </cell>
          <cell r="R238" t="str">
            <v>1.0-1.2 mills</v>
          </cell>
          <cell r="S238" t="str">
            <v>Al Horno</v>
          </cell>
          <cell r="T238" t="str">
            <v>15' a 300°F</v>
          </cell>
          <cell r="U238" t="str">
            <v>651.84 Pies Cuadrados/Gl a 1 mills de espesor</v>
          </cell>
          <cell r="V238" t="str">
            <v>18-25</v>
          </cell>
          <cell r="W238" t="str">
            <v>H</v>
          </cell>
          <cell r="X238" t="str">
            <v>6-12 meses</v>
          </cell>
          <cell r="Y238" t="str">
            <v>HECASA</v>
          </cell>
          <cell r="Z238" t="str">
            <v>Muebles Metálicos</v>
          </cell>
          <cell r="AA238" t="str">
            <v>-</v>
          </cell>
          <cell r="AB238" t="str">
            <v>Beatriz Sandoval</v>
          </cell>
          <cell r="AC238">
            <v>33955</v>
          </cell>
        </row>
        <row r="239">
          <cell r="A239" t="str">
            <v>SAA 3900</v>
          </cell>
          <cell r="B239" t="str">
            <v>Esamalte Horneable Alquídico Rojo Shell</v>
          </cell>
          <cell r="C239" t="str">
            <v>Interior-Exterior</v>
          </cell>
          <cell r="D239" t="str">
            <v>Lámina de Hierro</v>
          </cell>
          <cell r="E239" t="str">
            <v>Lavado y Desengrase</v>
          </cell>
          <cell r="F239" t="str">
            <v>Ninguno</v>
          </cell>
          <cell r="G239" t="str">
            <v>8.64 Lbs/Gl</v>
          </cell>
          <cell r="H239" t="str">
            <v>10.46%</v>
          </cell>
          <cell r="I239" t="str">
            <v>48.61%</v>
          </cell>
          <cell r="J239" t="str">
            <v>42.61%</v>
          </cell>
          <cell r="K239" t="str">
            <v>5.76%</v>
          </cell>
          <cell r="L239" t="str">
            <v>35.57%</v>
          </cell>
          <cell r="M239" t="str">
            <v>100"-110" Copa Zanh #2</v>
          </cell>
          <cell r="N239" t="str">
            <v>Pistola</v>
          </cell>
          <cell r="O239" t="str">
            <v>25"-30" Copa Zanh #2</v>
          </cell>
          <cell r="P239" t="str">
            <v>20-25%</v>
          </cell>
          <cell r="Q239" t="str">
            <v>R2K4         Industrial reducer</v>
          </cell>
          <cell r="R239" t="str">
            <v>1.0-1.2 mills</v>
          </cell>
          <cell r="S239" t="str">
            <v>Al Horno</v>
          </cell>
          <cell r="T239" t="str">
            <v>15' a 300°F</v>
          </cell>
          <cell r="U239" t="str">
            <v>777.76 Pies Cuadrados/Gl a 1 mills de espesor</v>
          </cell>
          <cell r="V239" t="str">
            <v>+85</v>
          </cell>
          <cell r="W239" t="str">
            <v>H</v>
          </cell>
          <cell r="X239" t="str">
            <v>6-12 meses</v>
          </cell>
          <cell r="Y239" t="str">
            <v>Van Leer-Guatemala</v>
          </cell>
          <cell r="Z239" t="str">
            <v>Barriles de Hierro</v>
          </cell>
          <cell r="AA239" t="str">
            <v>-</v>
          </cell>
          <cell r="AB239" t="str">
            <v>Luis Nolasco</v>
          </cell>
          <cell r="AC239">
            <v>33955</v>
          </cell>
        </row>
        <row r="240">
          <cell r="A240" t="str">
            <v>SAA 3903</v>
          </cell>
          <cell r="B240" t="str">
            <v>Esmalte Horneable Alquidico Rojo Coca Cola Martillado</v>
          </cell>
          <cell r="C240" t="str">
            <v>Interior-Exterior</v>
          </cell>
          <cell r="D240" t="str">
            <v>Lámina de Hierro</v>
          </cell>
          <cell r="E240" t="str">
            <v xml:space="preserve">Lavado con Solvente R7K156 </v>
          </cell>
          <cell r="F240" t="str">
            <v>Ninguno</v>
          </cell>
          <cell r="G240" t="str">
            <v>8.47 Lbs/Gl</v>
          </cell>
          <cell r="H240" t="str">
            <v>12%</v>
          </cell>
          <cell r="I240" t="str">
            <v>50.3%</v>
          </cell>
          <cell r="J240" t="str">
            <v>38.3%</v>
          </cell>
          <cell r="K240" t="str">
            <v>3%</v>
          </cell>
          <cell r="L240" t="str">
            <v>35.6%</v>
          </cell>
          <cell r="M240" t="str">
            <v>100"-110" Copa Zanh #2</v>
          </cell>
          <cell r="N240" t="str">
            <v>Pistola Comercial</v>
          </cell>
          <cell r="O240" t="str">
            <v>18"-22" Copa Zanh #2</v>
          </cell>
          <cell r="P240" t="str">
            <v>20-25%</v>
          </cell>
          <cell r="Q240" t="str">
            <v>R2K4 Industrial Reducer</v>
          </cell>
          <cell r="R240" t="str">
            <v>1.3 mills seco</v>
          </cell>
          <cell r="S240" t="str">
            <v>Al Horno</v>
          </cell>
          <cell r="T240" t="str">
            <v>15' a 300°F</v>
          </cell>
          <cell r="U240" t="str">
            <v>41 Mts Cuadrados/Gl</v>
          </cell>
          <cell r="V240" t="str">
            <v>80</v>
          </cell>
          <cell r="W240" t="str">
            <v>H</v>
          </cell>
          <cell r="X240" t="str">
            <v>6 meses</v>
          </cell>
          <cell r="Y240" t="str">
            <v>Comercial Leon Quant (Tegucigalpa-Honduras)</v>
          </cell>
          <cell r="Z240" t="str">
            <v>Muebles Metálicos</v>
          </cell>
          <cell r="AA240" t="str">
            <v>-</v>
          </cell>
          <cell r="AB240" t="str">
            <v>Rene Ferrufino</v>
          </cell>
          <cell r="AC240">
            <v>33983</v>
          </cell>
        </row>
        <row r="241">
          <cell r="A241" t="str">
            <v>SAA 3904</v>
          </cell>
          <cell r="B241" t="str">
            <v>Esmalte Horneable Alkydico Amarillo Henkel Martillado</v>
          </cell>
          <cell r="C241" t="str">
            <v>Interior-Exterior</v>
          </cell>
          <cell r="D241" t="str">
            <v>Lámina de Hierro</v>
          </cell>
          <cell r="E241" t="str">
            <v xml:space="preserve">Lavado con Solvente R7K156 </v>
          </cell>
          <cell r="F241" t="str">
            <v>Ninguno</v>
          </cell>
          <cell r="G241" t="str">
            <v>9.49 Lbs/Gl</v>
          </cell>
          <cell r="H241" t="str">
            <v>19.4%</v>
          </cell>
          <cell r="I241" t="str">
            <v>54.3%</v>
          </cell>
          <cell r="J241" t="str">
            <v>34.9%</v>
          </cell>
          <cell r="K241" t="str">
            <v>12%</v>
          </cell>
          <cell r="L241" t="str">
            <v>38.0%</v>
          </cell>
          <cell r="M241" t="str">
            <v>100"-110" Copa Zanh #2</v>
          </cell>
          <cell r="N241" t="str">
            <v>Pistola Comercial</v>
          </cell>
          <cell r="O241" t="str">
            <v>18"-22" Copa Zanh #2</v>
          </cell>
          <cell r="P241" t="str">
            <v>20-25%</v>
          </cell>
          <cell r="Q241" t="str">
            <v>R2K4 Industrial Reducer</v>
          </cell>
          <cell r="R241" t="str">
            <v>1.3 mills seco</v>
          </cell>
          <cell r="S241" t="str">
            <v>Al Horno</v>
          </cell>
          <cell r="T241" t="str">
            <v>15' a 300°F</v>
          </cell>
          <cell r="U241" t="str">
            <v>43 Mts Cuadrados/Gl</v>
          </cell>
          <cell r="V241" t="str">
            <v>80</v>
          </cell>
          <cell r="W241" t="str">
            <v>H</v>
          </cell>
          <cell r="X241" t="str">
            <v>6 meses</v>
          </cell>
          <cell r="Y241" t="str">
            <v>Comercial Leon Quant (Tegucigalpa-Honduras)</v>
          </cell>
          <cell r="Z241" t="str">
            <v>Muebles Metálicos</v>
          </cell>
          <cell r="AA241" t="str">
            <v>-</v>
          </cell>
          <cell r="AB241" t="str">
            <v>Rene Ferrufino</v>
          </cell>
          <cell r="AC241">
            <v>33987</v>
          </cell>
        </row>
        <row r="242">
          <cell r="A242" t="str">
            <v>SAA 3911</v>
          </cell>
          <cell r="B242" t="str">
            <v>Esmalte Horneable Alquidico Blanco.</v>
          </cell>
          <cell r="C242" t="str">
            <v>Interior-Exterior</v>
          </cell>
          <cell r="D242" t="str">
            <v>Lámina de Hierro</v>
          </cell>
          <cell r="E242" t="str">
            <v>Limpiar con solvente</v>
          </cell>
          <cell r="F242" t="str">
            <v>Ninguno</v>
          </cell>
          <cell r="G242" t="str">
            <v>10.19 Lbs/Gl</v>
          </cell>
          <cell r="H242" t="str">
            <v>43%</v>
          </cell>
          <cell r="I242" t="str">
            <v>58.12%</v>
          </cell>
          <cell r="J242" t="str">
            <v>15.12%</v>
          </cell>
          <cell r="K242" t="str">
            <v>18.45%</v>
          </cell>
          <cell r="L242" t="str">
            <v>41.94%</v>
          </cell>
          <cell r="M242" t="str">
            <v>200"-210" Copa Zanh #2</v>
          </cell>
          <cell r="N242" t="str">
            <v>Pistola Convencional</v>
          </cell>
          <cell r="O242" t="str">
            <v>18"-22" Copa Zanh #2</v>
          </cell>
          <cell r="P242" t="str">
            <v>50-55%</v>
          </cell>
          <cell r="Q242" t="str">
            <v>R2K4 Industrial Reducer</v>
          </cell>
          <cell r="R242" t="str">
            <v>1.2-1.4 mills</v>
          </cell>
          <cell r="S242" t="str">
            <v>Al Horno</v>
          </cell>
          <cell r="T242" t="str">
            <v>15' a 300°F</v>
          </cell>
          <cell r="U242" t="str">
            <v>52 Mts Cuadrados/Gl</v>
          </cell>
          <cell r="V242" t="str">
            <v>+90</v>
          </cell>
          <cell r="W242" t="str">
            <v>H</v>
          </cell>
          <cell r="X242" t="str">
            <v>6-12 meses</v>
          </cell>
          <cell r="Y242" t="str">
            <v>Sylvania-Costa Rica</v>
          </cell>
          <cell r="Z242" t="str">
            <v>Lamparas</v>
          </cell>
          <cell r="AA242" t="str">
            <v>-</v>
          </cell>
          <cell r="AB242" t="str">
            <v>Rene Ferrufino</v>
          </cell>
          <cell r="AC242">
            <v>34002</v>
          </cell>
        </row>
        <row r="243">
          <cell r="A243" t="str">
            <v>SAA 3912</v>
          </cell>
          <cell r="B243" t="str">
            <v>Esmalte Horneable Acrílico Negro Brillante</v>
          </cell>
          <cell r="C243" t="str">
            <v>Interior-Exterior</v>
          </cell>
          <cell r="D243" t="str">
            <v>Hierro</v>
          </cell>
          <cell r="E243" t="str">
            <v>Lavado, Desengrase y Fosfatizado</v>
          </cell>
          <cell r="F243" t="str">
            <v>E68WSA4 Acrylic Monobake White Primer</v>
          </cell>
          <cell r="G243" t="str">
            <v>7.90 Lbs/Gl</v>
          </cell>
          <cell r="H243" t="str">
            <v>2.78%</v>
          </cell>
          <cell r="I243" t="str">
            <v>40.67%</v>
          </cell>
          <cell r="J243" t="str">
            <v>38.38%</v>
          </cell>
          <cell r="K243" t="str">
            <v>4.08%</v>
          </cell>
          <cell r="L243" t="str">
            <v>37.03%</v>
          </cell>
          <cell r="M243" t="str">
            <v>100"-110" Copa Zanh #2</v>
          </cell>
          <cell r="N243" t="str">
            <v>Pistola</v>
          </cell>
          <cell r="O243" t="str">
            <v>25"-30" Copa Zanh #2</v>
          </cell>
          <cell r="P243" t="str">
            <v>20-25%</v>
          </cell>
          <cell r="Q243" t="str">
            <v>R2K4         Industrial reducer</v>
          </cell>
          <cell r="R243" t="str">
            <v>1.0-1.2 mills</v>
          </cell>
          <cell r="S243" t="str">
            <v>Al Horno</v>
          </cell>
          <cell r="T243" t="str">
            <v>15' a 350-400°F</v>
          </cell>
          <cell r="U243" t="str">
            <v>650.72 Pies Cuadrados/Gl a 1 mills de espesor</v>
          </cell>
          <cell r="V243" t="str">
            <v>+85</v>
          </cell>
          <cell r="W243" t="str">
            <v>2H-3H</v>
          </cell>
          <cell r="X243" t="str">
            <v>6-12 meses</v>
          </cell>
          <cell r="Y243" t="str">
            <v>Industrias Metálicas S.A</v>
          </cell>
          <cell r="Z243" t="str">
            <v>Muebles Metálicos</v>
          </cell>
          <cell r="AA243" t="str">
            <v>-</v>
          </cell>
          <cell r="AB243" t="str">
            <v>Luis Nolasco</v>
          </cell>
          <cell r="AC243">
            <v>34003</v>
          </cell>
        </row>
        <row r="244">
          <cell r="A244" t="str">
            <v>F73B5 (2)</v>
          </cell>
          <cell r="B244" t="str">
            <v>Esmalte Horneable  Negro Brillante</v>
          </cell>
          <cell r="C244" t="str">
            <v>Interior-Exterior</v>
          </cell>
          <cell r="D244" t="str">
            <v>Hierro</v>
          </cell>
          <cell r="E244" t="str">
            <v>Limpieza con Solvente</v>
          </cell>
          <cell r="F244" t="str">
            <v>Ninguno</v>
          </cell>
          <cell r="G244" t="str">
            <v>8.11 Lbs/Gl</v>
          </cell>
          <cell r="H244" t="str">
            <v>2.45%</v>
          </cell>
          <cell r="I244" t="str">
            <v>42.15%</v>
          </cell>
          <cell r="J244" t="str">
            <v>40.69%</v>
          </cell>
          <cell r="K244" t="str">
            <v>3.96%</v>
          </cell>
          <cell r="L244" t="str">
            <v>38.61%</v>
          </cell>
          <cell r="M244" t="str">
            <v>100"-110" Copa Zanh #2</v>
          </cell>
          <cell r="N244" t="str">
            <v>Pistola</v>
          </cell>
          <cell r="O244" t="str">
            <v>20-25 seg. Copa Zanh #2</v>
          </cell>
          <cell r="P244" t="str">
            <v>20-25%</v>
          </cell>
          <cell r="Q244" t="str">
            <v>R2K4         Industrial reducer</v>
          </cell>
          <cell r="R244" t="str">
            <v>1.0-1.2 mills</v>
          </cell>
          <cell r="S244" t="str">
            <v>Al Horno</v>
          </cell>
          <cell r="T244" t="str">
            <v>15' a 300°F</v>
          </cell>
          <cell r="U244" t="str">
            <v>674.4 Pies Cuadrados/Gl a 1 mills de espesor</v>
          </cell>
          <cell r="V244" t="str">
            <v>+85</v>
          </cell>
          <cell r="W244" t="str">
            <v>H</v>
          </cell>
          <cell r="X244" t="str">
            <v>6-12 meses</v>
          </cell>
          <cell r="Y244" t="str">
            <v>VECESA</v>
          </cell>
          <cell r="Z244" t="str">
            <v>Bicicletas</v>
          </cell>
          <cell r="AA244" t="str">
            <v>-</v>
          </cell>
          <cell r="AB244" t="str">
            <v>Luis Nolasco</v>
          </cell>
          <cell r="AC244">
            <v>34005</v>
          </cell>
        </row>
        <row r="245">
          <cell r="A245" t="str">
            <v>F73WSA18</v>
          </cell>
          <cell r="B245" t="str">
            <v>Esmalte Horneable Extra Blanco</v>
          </cell>
          <cell r="C245" t="str">
            <v>Interior-Exterior</v>
          </cell>
          <cell r="D245" t="str">
            <v>Hierro</v>
          </cell>
          <cell r="E245" t="str">
            <v>Limpieza con Solvente</v>
          </cell>
          <cell r="F245" t="str">
            <v>Ninguno</v>
          </cell>
          <cell r="G245" t="str">
            <v>10.72 Lbs/Gl</v>
          </cell>
          <cell r="H245" t="str">
            <v>30.44%</v>
          </cell>
          <cell r="I245" t="str">
            <v>65.61%</v>
          </cell>
          <cell r="J245" t="str">
            <v>50.56%</v>
          </cell>
          <cell r="K245" t="str">
            <v>20.89%</v>
          </cell>
          <cell r="L245" t="str">
            <v>47.61%</v>
          </cell>
          <cell r="M245" t="str">
            <v>95-105 Copa Zanh #2</v>
          </cell>
          <cell r="N245" t="str">
            <v>Pistola</v>
          </cell>
          <cell r="O245" t="str">
            <v>20-25 seg. Copa Zanh #2</v>
          </cell>
          <cell r="P245" t="str">
            <v>20-25%</v>
          </cell>
          <cell r="Q245" t="str">
            <v>R2K4         Industrial reducer</v>
          </cell>
          <cell r="R245" t="str">
            <v>1.0-1.2 mills</v>
          </cell>
          <cell r="S245" t="str">
            <v>Al Horno</v>
          </cell>
          <cell r="T245" t="str">
            <v>15' a 300°F</v>
          </cell>
          <cell r="U245" t="str">
            <v>1049.6 Pies Cuadrados/Gl a 1 mills de espesor</v>
          </cell>
          <cell r="V245" t="str">
            <v>+90</v>
          </cell>
          <cell r="W245" t="str">
            <v>H</v>
          </cell>
          <cell r="X245" t="str">
            <v>6-12 meses</v>
          </cell>
          <cell r="Y245" t="str">
            <v>VECESA</v>
          </cell>
          <cell r="Z245" t="str">
            <v>Bicicletas</v>
          </cell>
          <cell r="AA245" t="str">
            <v>-</v>
          </cell>
          <cell r="AB245" t="str">
            <v>Luis Nolasco</v>
          </cell>
          <cell r="AC245">
            <v>34005</v>
          </cell>
        </row>
        <row r="246">
          <cell r="A246" t="str">
            <v>SAA 3913</v>
          </cell>
          <cell r="B246" t="str">
            <v>Esmalte Horneable Alquídico Aluminio Grueso</v>
          </cell>
          <cell r="C246" t="str">
            <v>Interior-Exterior</v>
          </cell>
          <cell r="D246" t="str">
            <v>Hierro</v>
          </cell>
          <cell r="E246" t="str">
            <v>Limpieza con Solvente</v>
          </cell>
          <cell r="F246" t="str">
            <v>Ninguno</v>
          </cell>
          <cell r="G246" t="str">
            <v>7.98 Lbs/Gl</v>
          </cell>
          <cell r="H246" t="str">
            <v>0.04%</v>
          </cell>
          <cell r="I246" t="str">
            <v>42.52%</v>
          </cell>
          <cell r="J246" t="str">
            <v>41.46%</v>
          </cell>
          <cell r="K246" t="str">
            <v>1.88%</v>
          </cell>
          <cell r="L246" t="str">
            <v>33.58%</v>
          </cell>
          <cell r="M246" t="str">
            <v>60"-70" Copa Zanh #2</v>
          </cell>
          <cell r="N246" t="str">
            <v>Pistola</v>
          </cell>
          <cell r="O246" t="str">
            <v>20"-25" Copa Zanh #2</v>
          </cell>
          <cell r="P246" t="str">
            <v>20-25%</v>
          </cell>
          <cell r="Q246" t="str">
            <v>R2K4         Industrial reducer</v>
          </cell>
          <cell r="R246" t="str">
            <v>1.0-1.2 mills</v>
          </cell>
          <cell r="S246" t="str">
            <v>Al Horno</v>
          </cell>
          <cell r="T246" t="str">
            <v>15' a 300°F</v>
          </cell>
          <cell r="U246" t="str">
            <v>682.32 Pies Cuadrados/Gl a 1 mills de espesor</v>
          </cell>
          <cell r="V246" t="str">
            <v>+80</v>
          </cell>
          <cell r="W246" t="str">
            <v>H</v>
          </cell>
          <cell r="X246" t="str">
            <v>6-12 meses</v>
          </cell>
          <cell r="Y246" t="str">
            <v>VECESA</v>
          </cell>
          <cell r="Z246" t="str">
            <v>Bicicletas</v>
          </cell>
          <cell r="AA246" t="str">
            <v>-</v>
          </cell>
          <cell r="AB246" t="str">
            <v>Luis Nolasco</v>
          </cell>
          <cell r="AC246">
            <v>34005</v>
          </cell>
        </row>
        <row r="247">
          <cell r="A247" t="str">
            <v>SAA 3917</v>
          </cell>
          <cell r="B247" t="str">
            <v>Esmalte Horneable Alquídico Verde Oscuro</v>
          </cell>
          <cell r="C247" t="str">
            <v>Interior-Exterior</v>
          </cell>
          <cell r="D247" t="str">
            <v>Hierro</v>
          </cell>
          <cell r="E247" t="str">
            <v>Limpieza con Solvente</v>
          </cell>
          <cell r="F247" t="str">
            <v>Ninguno</v>
          </cell>
          <cell r="G247" t="str">
            <v>8.35 Lbs/Gl</v>
          </cell>
          <cell r="H247" t="str">
            <v>15%</v>
          </cell>
          <cell r="I247" t="str">
            <v>45.6%</v>
          </cell>
          <cell r="J247" t="str">
            <v>85%</v>
          </cell>
          <cell r="K247" t="str">
            <v>6.4%</v>
          </cell>
          <cell r="L247" t="str">
            <v>35.02%</v>
          </cell>
          <cell r="M247" t="str">
            <v>100"-110" Copa Zanh #2</v>
          </cell>
          <cell r="N247" t="str">
            <v>Pistola Convencional</v>
          </cell>
          <cell r="O247" t="str">
            <v>18"-22" Copa Zanh #2</v>
          </cell>
          <cell r="P247" t="str">
            <v>20-25%</v>
          </cell>
          <cell r="Q247" t="str">
            <v>R2K4         Industrial reducer</v>
          </cell>
          <cell r="R247" t="str">
            <v>1.2-1.5 mills</v>
          </cell>
          <cell r="S247" t="str">
            <v>Al Horno</v>
          </cell>
          <cell r="T247" t="str">
            <v>15' a 300°F</v>
          </cell>
          <cell r="U247" t="str">
            <v>470 Pies Cuadrados/Gl a 1.2 mills seco de espesor</v>
          </cell>
          <cell r="V247" t="str">
            <v>+90</v>
          </cell>
          <cell r="W247" t="str">
            <v>H</v>
          </cell>
          <cell r="X247" t="str">
            <v>6-12 meses</v>
          </cell>
          <cell r="Y247" t="str">
            <v>IMSA</v>
          </cell>
          <cell r="Z247" t="str">
            <v>Muebles Metálicos</v>
          </cell>
          <cell r="AA247" t="str">
            <v>-</v>
          </cell>
          <cell r="AB247" t="str">
            <v>Rene Ferrufino</v>
          </cell>
          <cell r="AC247">
            <v>34010</v>
          </cell>
        </row>
        <row r="248">
          <cell r="A248" t="str">
            <v>SAA 3918</v>
          </cell>
          <cell r="B248" t="str">
            <v>Esmalte Horneable Alquídico Azul Metálico Grueso</v>
          </cell>
          <cell r="C248" t="str">
            <v>Interior-Exterior</v>
          </cell>
          <cell r="D248" t="str">
            <v>Hierro</v>
          </cell>
          <cell r="E248" t="str">
            <v>Limpieza con Solvente</v>
          </cell>
          <cell r="F248" t="str">
            <v>Ninguno</v>
          </cell>
          <cell r="G248" t="str">
            <v>8.03 Lbs/Gl</v>
          </cell>
          <cell r="H248" t="str">
            <v>2.35%</v>
          </cell>
          <cell r="I248" t="str">
            <v>43.51%</v>
          </cell>
          <cell r="J248" t="str">
            <v>42.15%</v>
          </cell>
          <cell r="K248" t="str">
            <v>3.48%</v>
          </cell>
          <cell r="L248" t="str">
            <v>33.86%</v>
          </cell>
          <cell r="M248" t="str">
            <v>100"-110" Copa Zanh #2</v>
          </cell>
          <cell r="N248" t="str">
            <v>Pistola</v>
          </cell>
          <cell r="O248" t="str">
            <v>20-25 seg. Copa Zanh #2</v>
          </cell>
          <cell r="P248" t="str">
            <v>20-25%</v>
          </cell>
          <cell r="Q248" t="str">
            <v>R2K4         Industrial reducer</v>
          </cell>
          <cell r="R248" t="str">
            <v>1.0-1.2 mills</v>
          </cell>
          <cell r="S248" t="str">
            <v>Al Horno</v>
          </cell>
          <cell r="T248" t="str">
            <v>15' a 300°F</v>
          </cell>
          <cell r="U248" t="str">
            <v>696.16 Pies Cuadrados/Gl a 1 mills de espesor</v>
          </cell>
          <cell r="V248" t="str">
            <v>+80</v>
          </cell>
          <cell r="W248" t="str">
            <v>H</v>
          </cell>
          <cell r="X248" t="str">
            <v>6-12 meses</v>
          </cell>
          <cell r="Y248" t="str">
            <v>VECESA</v>
          </cell>
          <cell r="Z248" t="str">
            <v>Bicicletas</v>
          </cell>
          <cell r="AA248" t="str">
            <v>-</v>
          </cell>
          <cell r="AB248" t="str">
            <v>Luis Nolasco</v>
          </cell>
          <cell r="AC248">
            <v>34011</v>
          </cell>
        </row>
        <row r="249">
          <cell r="A249" t="str">
            <v>SAA 3921</v>
          </cell>
          <cell r="B249" t="str">
            <v>Esmalte Horneable Acrilico Amarillo Alfa</v>
          </cell>
          <cell r="C249" t="str">
            <v>Interior-Exterior</v>
          </cell>
          <cell r="D249" t="str">
            <v>Hierro</v>
          </cell>
          <cell r="E249" t="str">
            <v>Enjuague, Desengrase, Desoxidación y Fostatización</v>
          </cell>
          <cell r="F249" t="str">
            <v>E68WSA4 Acrylic Monobake White Primer</v>
          </cell>
          <cell r="G249" t="str">
            <v>9.05 Lbs/Gl</v>
          </cell>
          <cell r="H249" t="str">
            <v>18.44%</v>
          </cell>
          <cell r="I249" t="str">
            <v>48.99%</v>
          </cell>
          <cell r="J249" t="str">
            <v>37.45%</v>
          </cell>
          <cell r="K249" t="str">
            <v>27.25%</v>
          </cell>
          <cell r="L249" t="str">
            <v>36.37%</v>
          </cell>
          <cell r="M249" t="str">
            <v>100"-110" Copa Zanh #2</v>
          </cell>
          <cell r="N249" t="str">
            <v>Pistola</v>
          </cell>
          <cell r="O249" t="str">
            <v>25"-30" Copa Zanh #2</v>
          </cell>
          <cell r="P249" t="str">
            <v>20-25%</v>
          </cell>
          <cell r="Q249" t="str">
            <v>R2K4         Industrial reducer</v>
          </cell>
          <cell r="R249" t="str">
            <v>1.0-1.2 mills</v>
          </cell>
          <cell r="S249" t="str">
            <v>Al Horno</v>
          </cell>
          <cell r="T249" t="str">
            <v>15' a 300°F</v>
          </cell>
          <cell r="U249" t="str">
            <v>783.84 Pies Cuadrados/Gl a 1 mills de espesor</v>
          </cell>
          <cell r="V249" t="str">
            <v>+85</v>
          </cell>
          <cell r="W249" t="str">
            <v>2H-3H</v>
          </cell>
          <cell r="X249" t="str">
            <v>6-12 meses</v>
          </cell>
          <cell r="Y249" t="str">
            <v>Industras ALFA S.A</v>
          </cell>
          <cell r="Z249" t="str">
            <v>Refrigeradoras.</v>
          </cell>
          <cell r="AA249" t="str">
            <v>-</v>
          </cell>
          <cell r="AB249" t="str">
            <v>Luis Nolasco</v>
          </cell>
          <cell r="AC249">
            <v>34078</v>
          </cell>
        </row>
        <row r="250">
          <cell r="A250" t="str">
            <v>SAA 3922</v>
          </cell>
          <cell r="B250" t="str">
            <v>Esmalte Horneable Acrilico Verde Alfa</v>
          </cell>
          <cell r="C250" t="str">
            <v>Interior-Exterior</v>
          </cell>
          <cell r="D250" t="str">
            <v>Hierro</v>
          </cell>
          <cell r="E250" t="str">
            <v>Enjuague, Desengrase, Desoxidación y Fostatización</v>
          </cell>
          <cell r="F250" t="str">
            <v>E68WSA4 Acrylic Monobake White Primer</v>
          </cell>
          <cell r="G250" t="str">
            <v>8.50 Lbs/Gl</v>
          </cell>
          <cell r="H250" t="str">
            <v>11.41%</v>
          </cell>
          <cell r="I250" t="str">
            <v>43.98%</v>
          </cell>
          <cell r="J250" t="str">
            <v>36.76%</v>
          </cell>
          <cell r="K250" t="str">
            <v>8.73%</v>
          </cell>
          <cell r="L250" t="str">
            <v>34.48%</v>
          </cell>
          <cell r="M250" t="str">
            <v>100"-110" Copa Zanh #2</v>
          </cell>
          <cell r="N250" t="str">
            <v>Pistola</v>
          </cell>
          <cell r="O250" t="str">
            <v>25"-30" Copa Zanh #2</v>
          </cell>
          <cell r="P250" t="str">
            <v>20-25%</v>
          </cell>
          <cell r="Q250" t="str">
            <v>R2K4         Industrial reducer</v>
          </cell>
          <cell r="R250" t="str">
            <v>1.0-1.2 mills</v>
          </cell>
          <cell r="S250" t="str">
            <v>Al Horno</v>
          </cell>
          <cell r="T250" t="str">
            <v>15' a 300°F</v>
          </cell>
          <cell r="U250" t="str">
            <v>863.68 Pies Cuadrados/Gl a 1 mills de espesor</v>
          </cell>
          <cell r="V250" t="str">
            <v>+85</v>
          </cell>
          <cell r="W250" t="str">
            <v>2H-3H</v>
          </cell>
          <cell r="X250" t="str">
            <v>6-12 meses</v>
          </cell>
          <cell r="Y250" t="str">
            <v>Industras ALFA S.A</v>
          </cell>
          <cell r="Z250" t="str">
            <v>Refrigeradoras.</v>
          </cell>
          <cell r="AA250" t="str">
            <v>-</v>
          </cell>
          <cell r="AB250" t="str">
            <v>Luis Nolasco</v>
          </cell>
          <cell r="AC250">
            <v>34078</v>
          </cell>
        </row>
        <row r="251">
          <cell r="A251" t="str">
            <v>G70NSA5</v>
          </cell>
          <cell r="B251" t="str">
            <v>Wet Ink Varnish Gold</v>
          </cell>
          <cell r="C251" t="str">
            <v>Interior</v>
          </cell>
          <cell r="D251" t="str">
            <v>Hojalata</v>
          </cell>
          <cell r="E251" t="str">
            <v>Limpio con R2K4 Industrial Reducer</v>
          </cell>
          <cell r="F251" t="str">
            <v>Ninguno</v>
          </cell>
          <cell r="G251" t="str">
            <v>7.23 Lbs/Gl</v>
          </cell>
          <cell r="H251" t="str">
            <v>0.04%</v>
          </cell>
          <cell r="I251" t="str">
            <v>12.92%</v>
          </cell>
          <cell r="J251" t="str">
            <v>12.59%</v>
          </cell>
          <cell r="K251" t="str">
            <v>2.30%</v>
          </cell>
          <cell r="L251" t="str">
            <v>10.01%</v>
          </cell>
          <cell r="M251" t="str">
            <v>50"-55" Copa Zanh #2</v>
          </cell>
          <cell r="N251" t="str">
            <v>Especial</v>
          </cell>
          <cell r="O251" t="str">
            <v>50"-55" Copa Zanh #2</v>
          </cell>
          <cell r="P251" t="str">
            <v>-</v>
          </cell>
          <cell r="Q251" t="str">
            <v>-</v>
          </cell>
          <cell r="R251" t="str">
            <v>1.0 mills</v>
          </cell>
          <cell r="S251" t="str">
            <v>Al Horno</v>
          </cell>
          <cell r="T251" t="str">
            <v>15' a 300°F</v>
          </cell>
          <cell r="U251" t="str">
            <v>207.2 Pies Cuadrados/Gl a 1 mills de espesor</v>
          </cell>
          <cell r="V251" t="str">
            <v>+80</v>
          </cell>
          <cell r="W251" t="str">
            <v>F-H</v>
          </cell>
          <cell r="X251" t="str">
            <v>6 meses</v>
          </cell>
          <cell r="Y251" t="str">
            <v>CORLASA</v>
          </cell>
          <cell r="Z251" t="str">
            <v>Envases de Hojalata</v>
          </cell>
          <cell r="AA251" t="str">
            <v>-</v>
          </cell>
          <cell r="AB251" t="str">
            <v>Luis Nolasco</v>
          </cell>
          <cell r="AC251">
            <v>34080</v>
          </cell>
        </row>
        <row r="252">
          <cell r="A252" t="str">
            <v>F73SSA3</v>
          </cell>
          <cell r="B252" t="str">
            <v>Esmalte Horneable Aluminio Martillado</v>
          </cell>
          <cell r="C252" t="str">
            <v>Interior-Exterior</v>
          </cell>
          <cell r="D252" t="str">
            <v>Hierro</v>
          </cell>
          <cell r="E252" t="str">
            <v>Limpio con R2K4 Industrial Reducer</v>
          </cell>
          <cell r="F252" t="str">
            <v>Ninguno</v>
          </cell>
          <cell r="G252" t="str">
            <v>8.10 Lbs/Gl</v>
          </cell>
          <cell r="H252" t="str">
            <v>3.98%</v>
          </cell>
          <cell r="I252" t="str">
            <v>47.30%</v>
          </cell>
          <cell r="J252" t="str">
            <v>43.22%</v>
          </cell>
          <cell r="K252" t="str">
            <v>1.93%</v>
          </cell>
          <cell r="L252" t="str">
            <v>38.31%</v>
          </cell>
          <cell r="M252" t="str">
            <v>60-70 Seg. Copa Zanh #2</v>
          </cell>
          <cell r="N252" t="str">
            <v>Pistola Convencional</v>
          </cell>
          <cell r="O252" t="str">
            <v>100"-110" Copa Zanh #2</v>
          </cell>
          <cell r="P252" t="str">
            <v>20-25%</v>
          </cell>
          <cell r="Q252" t="str">
            <v>R2K4         Industrial reducer</v>
          </cell>
          <cell r="R252" t="str">
            <v>1.0-1.25 mills</v>
          </cell>
          <cell r="S252" t="str">
            <v>Al Horno</v>
          </cell>
          <cell r="T252" t="str">
            <v>15' a 300°F</v>
          </cell>
          <cell r="U252" t="str">
            <v>612.96 Pies Cuadrados/Gl a 1 mills de espesor</v>
          </cell>
          <cell r="V252" t="str">
            <v>80-85</v>
          </cell>
          <cell r="W252" t="str">
            <v>H</v>
          </cell>
          <cell r="X252" t="str">
            <v>6 meses</v>
          </cell>
          <cell r="Y252" t="str">
            <v>SW San Pedro</v>
          </cell>
          <cell r="Z252" t="str">
            <v>Muebles Metálicos</v>
          </cell>
          <cell r="AA252" t="str">
            <v>-</v>
          </cell>
          <cell r="AB252" t="str">
            <v>Anabella de Mayorga</v>
          </cell>
          <cell r="AC252">
            <v>34100</v>
          </cell>
        </row>
        <row r="253">
          <cell r="A253" t="str">
            <v>K67ESA1</v>
          </cell>
          <cell r="B253" t="str">
            <v>Spray Enamel Aerosol Blaze Fluorescent</v>
          </cell>
          <cell r="C253" t="str">
            <v>Interior-Exterior</v>
          </cell>
          <cell r="D253" t="str">
            <v>Madera o Metal</v>
          </cell>
          <cell r="E253" t="str">
            <v>Limpia, Seca, Libre de Suciedad</v>
          </cell>
          <cell r="F253" t="str">
            <v>Aplicar una Primera Mano de F67WSA2</v>
          </cell>
          <cell r="G253" t="str">
            <v>8.17 Lbs/Gl</v>
          </cell>
          <cell r="H253" t="str">
            <v>63.98%</v>
          </cell>
          <cell r="I253" t="str">
            <v>43.62%</v>
          </cell>
          <cell r="J253" t="str">
            <v>36.02%</v>
          </cell>
          <cell r="K253" t="str">
            <v>54.42%</v>
          </cell>
          <cell r="L253" t="str">
            <v>30.56%</v>
          </cell>
          <cell r="M253" t="str">
            <v>12-15 Seg. Copa Ford #4</v>
          </cell>
          <cell r="N253" t="str">
            <v>Aerosol</v>
          </cell>
          <cell r="O253" t="str">
            <v>12-15 Seg. Copa Ford #4</v>
          </cell>
          <cell r="P253" t="str">
            <v>Ninguno</v>
          </cell>
          <cell r="Q253" t="str">
            <v>-</v>
          </cell>
          <cell r="R253" t="str">
            <v>1 mills</v>
          </cell>
          <cell r="S253" t="str">
            <v>-</v>
          </cell>
          <cell r="T253" t="str">
            <v>-</v>
          </cell>
          <cell r="U253" t="str">
            <v>490 Pies Cuadrados/Gl a 1 mills de espesor</v>
          </cell>
          <cell r="V253" t="str">
            <v>Mate</v>
          </cell>
          <cell r="W253" t="str">
            <v>-</v>
          </cell>
          <cell r="X253" t="str">
            <v>6-12 meses</v>
          </cell>
          <cell r="Y253" t="str">
            <v>SW</v>
          </cell>
          <cell r="Z253" t="str">
            <v>-</v>
          </cell>
          <cell r="AA253" t="str">
            <v>-</v>
          </cell>
          <cell r="AB253" t="str">
            <v>Anabella de Mayorga</v>
          </cell>
          <cell r="AC253">
            <v>34164</v>
          </cell>
        </row>
        <row r="254">
          <cell r="A254" t="str">
            <v>K67GSA1</v>
          </cell>
          <cell r="B254" t="str">
            <v>Spray Enamel Aerosol Stellar Green Fluorescent</v>
          </cell>
          <cell r="C254" t="str">
            <v>Interior-Exterior</v>
          </cell>
          <cell r="D254" t="str">
            <v>Madera o Metal</v>
          </cell>
          <cell r="E254" t="str">
            <v>Limpia, Seca, Libre de Suciedad</v>
          </cell>
          <cell r="F254" t="str">
            <v>Aplicar una Primera Mano de F67WSA2</v>
          </cell>
          <cell r="G254" t="str">
            <v>8.63 Lbs/Gl</v>
          </cell>
          <cell r="H254" t="str">
            <v>63.9%</v>
          </cell>
          <cell r="I254" t="str">
            <v>41.4%</v>
          </cell>
          <cell r="J254" t="str">
            <v>36%</v>
          </cell>
          <cell r="K254" t="str">
            <v>54.9%</v>
          </cell>
          <cell r="L254" t="str">
            <v>30.3%</v>
          </cell>
          <cell r="M254" t="str">
            <v>12-15 Seg. Copa Ford #4</v>
          </cell>
          <cell r="N254" t="str">
            <v>Aerosol</v>
          </cell>
          <cell r="O254" t="str">
            <v>12-15 Seg. Copa Ford #4</v>
          </cell>
          <cell r="P254" t="str">
            <v>Ninguno</v>
          </cell>
          <cell r="Q254" t="str">
            <v>-</v>
          </cell>
          <cell r="R254" t="str">
            <v>1 mills</v>
          </cell>
          <cell r="S254" t="str">
            <v>Al Aire-15 Minutos</v>
          </cell>
          <cell r="T254" t="str">
            <v>-</v>
          </cell>
          <cell r="U254" t="str">
            <v>45 Mts Cuadrados/Gl</v>
          </cell>
          <cell r="V254" t="str">
            <v>Mate</v>
          </cell>
          <cell r="W254" t="str">
            <v>-</v>
          </cell>
          <cell r="X254" t="str">
            <v>6-12 meses</v>
          </cell>
          <cell r="Y254" t="str">
            <v>SW</v>
          </cell>
          <cell r="Z254" t="str">
            <v>-</v>
          </cell>
          <cell r="AA254" t="str">
            <v>-</v>
          </cell>
          <cell r="AB254" t="str">
            <v>Rene Ferrufino</v>
          </cell>
          <cell r="AC254">
            <v>34164</v>
          </cell>
        </row>
        <row r="255">
          <cell r="A255" t="str">
            <v>K67RSA1</v>
          </cell>
          <cell r="B255" t="str">
            <v>Spray Enamel Aerosol Laser Red Fluorescent</v>
          </cell>
          <cell r="C255" t="str">
            <v>Interior-Exterior</v>
          </cell>
          <cell r="D255" t="str">
            <v>Madera o Metal</v>
          </cell>
          <cell r="E255" t="str">
            <v>Limpia, Seca, Libre de Suciedad</v>
          </cell>
          <cell r="F255" t="str">
            <v>Aplicar una Primera Mano de F67WSA2</v>
          </cell>
          <cell r="G255" t="str">
            <v>8.17 Lbs/Gl</v>
          </cell>
          <cell r="H255" t="str">
            <v>63.98%</v>
          </cell>
          <cell r="I255" t="str">
            <v>43.62%</v>
          </cell>
          <cell r="J255" t="str">
            <v>36.02%</v>
          </cell>
          <cell r="K255" t="str">
            <v>54.42%</v>
          </cell>
          <cell r="L255" t="str">
            <v>30.56%</v>
          </cell>
          <cell r="M255" t="str">
            <v>12-15 Seg. Copa Ford #4</v>
          </cell>
          <cell r="N255" t="str">
            <v>Aerosol</v>
          </cell>
          <cell r="O255" t="str">
            <v>12-15 Seg. Copa Ford #4</v>
          </cell>
          <cell r="P255" t="str">
            <v>Ninguno</v>
          </cell>
          <cell r="Q255" t="str">
            <v>-</v>
          </cell>
          <cell r="R255" t="str">
            <v>1 mills</v>
          </cell>
          <cell r="S255" t="str">
            <v>-</v>
          </cell>
          <cell r="T255" t="str">
            <v>-</v>
          </cell>
          <cell r="U255" t="str">
            <v>490 Pies Cuadrados/Gl a 1 mills de espesor</v>
          </cell>
          <cell r="V255" t="str">
            <v>Mate</v>
          </cell>
          <cell r="W255" t="str">
            <v>-</v>
          </cell>
          <cell r="X255" t="str">
            <v>6-12 meses</v>
          </cell>
          <cell r="Y255" t="str">
            <v>SW</v>
          </cell>
          <cell r="Z255" t="str">
            <v>-</v>
          </cell>
          <cell r="AA255" t="str">
            <v>-</v>
          </cell>
          <cell r="AB255" t="str">
            <v>Anabella de Mayorga</v>
          </cell>
          <cell r="AC255">
            <v>34164</v>
          </cell>
        </row>
        <row r="256">
          <cell r="A256" t="str">
            <v>K67YSA1</v>
          </cell>
          <cell r="B256" t="str">
            <v>Spray Enamel Aerosol Lunar Yellow Fluorescent</v>
          </cell>
          <cell r="C256" t="str">
            <v>Interior-Exterior</v>
          </cell>
          <cell r="D256" t="str">
            <v>Madera o Metal</v>
          </cell>
          <cell r="E256" t="str">
            <v>Limpia de Polvo</v>
          </cell>
          <cell r="F256" t="str">
            <v>Aplicar una Primera Mano de F67WSA2</v>
          </cell>
          <cell r="G256" t="str">
            <v>8.35 Lbs/Gl</v>
          </cell>
          <cell r="H256" t="str">
            <v>63.9%</v>
          </cell>
          <cell r="I256" t="str">
            <v>42.7%</v>
          </cell>
          <cell r="J256" t="str">
            <v>36%</v>
          </cell>
          <cell r="K256" t="str">
            <v>52.21%</v>
          </cell>
          <cell r="L256" t="str">
            <v>31.8%</v>
          </cell>
          <cell r="M256" t="str">
            <v>12-15 Seg. Copa Ford #4</v>
          </cell>
          <cell r="N256" t="str">
            <v>Aerosol</v>
          </cell>
          <cell r="O256" t="str">
            <v>12-15 Seg. Copa Ford #4</v>
          </cell>
          <cell r="P256" t="str">
            <v>Ninguno</v>
          </cell>
          <cell r="Q256" t="str">
            <v>-</v>
          </cell>
          <cell r="R256" t="str">
            <v>1 mills</v>
          </cell>
          <cell r="S256" t="str">
            <v>Al Aire-15 Minutos</v>
          </cell>
          <cell r="T256" t="str">
            <v>-</v>
          </cell>
          <cell r="U256" t="str">
            <v>45 Mts Cuadrados/Gl</v>
          </cell>
          <cell r="V256" t="str">
            <v>Mate</v>
          </cell>
          <cell r="W256" t="str">
            <v>-</v>
          </cell>
          <cell r="X256" t="str">
            <v>6-12 meses</v>
          </cell>
          <cell r="Y256" t="str">
            <v>SW</v>
          </cell>
          <cell r="Z256" t="str">
            <v>-</v>
          </cell>
          <cell r="AA256" t="str">
            <v>-</v>
          </cell>
          <cell r="AB256" t="str">
            <v>Rene Ferrufino</v>
          </cell>
          <cell r="AC256">
            <v>34164</v>
          </cell>
        </row>
        <row r="257">
          <cell r="A257" t="str">
            <v>SAA 3940</v>
          </cell>
          <cell r="B257" t="str">
            <v>Oil Stain Café Oscuro</v>
          </cell>
          <cell r="C257" t="str">
            <v>Interior</v>
          </cell>
          <cell r="D257" t="str">
            <v>Madera</v>
          </cell>
          <cell r="E257" t="str">
            <v>Lijada</v>
          </cell>
          <cell r="F257" t="str">
            <v>Ninguno</v>
          </cell>
          <cell r="G257" t="str">
            <v>7.26 Lbs/Gl</v>
          </cell>
          <cell r="H257" t="str">
            <v>-</v>
          </cell>
          <cell r="I257" t="str">
            <v>24.20%</v>
          </cell>
          <cell r="J257" t="str">
            <v>24.20%</v>
          </cell>
          <cell r="K257" t="str">
            <v>-</v>
          </cell>
          <cell r="L257" t="str">
            <v>20.26</v>
          </cell>
          <cell r="M257" t="str">
            <v>14"-16" Copa Zanh #2</v>
          </cell>
          <cell r="N257" t="str">
            <v>Brocha</v>
          </cell>
          <cell r="O257" t="str">
            <v>14"-16" Copa Zanh #2</v>
          </cell>
          <cell r="P257" t="str">
            <v>Ninguno</v>
          </cell>
          <cell r="Q257" t="str">
            <v>Ninguno</v>
          </cell>
          <cell r="R257" t="str">
            <v>-</v>
          </cell>
          <cell r="S257" t="str">
            <v>30 Minutos</v>
          </cell>
          <cell r="T257" t="str">
            <v>-</v>
          </cell>
          <cell r="U257" t="str">
            <v>387.2 Pies Cuadrados/Gl</v>
          </cell>
          <cell r="V257" t="str">
            <v>-</v>
          </cell>
          <cell r="W257" t="str">
            <v>-</v>
          </cell>
          <cell r="X257" t="str">
            <v>6-12 meses</v>
          </cell>
          <cell r="Y257" t="str">
            <v>Industrias Olins</v>
          </cell>
          <cell r="Z257" t="str">
            <v>Muebles de Madera.</v>
          </cell>
          <cell r="AA257" t="str">
            <v>-</v>
          </cell>
          <cell r="AB257" t="str">
            <v>Luis Nolasco</v>
          </cell>
          <cell r="AC257">
            <v>34178</v>
          </cell>
        </row>
        <row r="258">
          <cell r="A258" t="str">
            <v>SAA 3941</v>
          </cell>
          <cell r="B258" t="str">
            <v>Esmalte Horneable Acrilico Blanco Alfa</v>
          </cell>
          <cell r="C258" t="str">
            <v>Interior-Exterior Limitada</v>
          </cell>
          <cell r="D258" t="str">
            <v>Hierro</v>
          </cell>
          <cell r="E258" t="str">
            <v>Lavado, Desengrase y Fosfatizado</v>
          </cell>
          <cell r="F258" t="str">
            <v>E68WSA4 Acrylic Monobake White Primer</v>
          </cell>
          <cell r="G258" t="str">
            <v>10.06 Lbs/Gl</v>
          </cell>
          <cell r="H258" t="str">
            <v>29.75%</v>
          </cell>
          <cell r="I258" t="str">
            <v>54.86%</v>
          </cell>
          <cell r="J258" t="str">
            <v>38.54%</v>
          </cell>
          <cell r="K258" t="str">
            <v>25.50%</v>
          </cell>
          <cell r="L258" t="str">
            <v>35.50%</v>
          </cell>
          <cell r="M258" t="str">
            <v>100"-110" Copa Zanh #2</v>
          </cell>
          <cell r="N258" t="str">
            <v>Pistola</v>
          </cell>
          <cell r="O258" t="str">
            <v>25"-30" Copa Zanh #2</v>
          </cell>
          <cell r="P258" t="str">
            <v>20-25%</v>
          </cell>
          <cell r="Q258" t="str">
            <v>R2K4         Industrial reducer</v>
          </cell>
          <cell r="R258" t="str">
            <v>1.0-1.2 mills</v>
          </cell>
          <cell r="S258" t="str">
            <v>Al Horno</v>
          </cell>
          <cell r="T258" t="str">
            <v>15' a 350-400°F</v>
          </cell>
          <cell r="U258" t="str">
            <v>878 Pies Cuadrados/Gl a 1 mills de espesor</v>
          </cell>
          <cell r="V258" t="str">
            <v>+85</v>
          </cell>
          <cell r="W258" t="str">
            <v>2H-3H</v>
          </cell>
          <cell r="X258" t="str">
            <v>6-12 meses</v>
          </cell>
          <cell r="Y258" t="str">
            <v>Industrias ALFA S.A</v>
          </cell>
          <cell r="Z258" t="str">
            <v>Refrigeradoras</v>
          </cell>
          <cell r="AA258" t="str">
            <v>-</v>
          </cell>
          <cell r="AB258" t="str">
            <v>Luis Nolasco</v>
          </cell>
          <cell r="AC258">
            <v>34204</v>
          </cell>
        </row>
        <row r="259">
          <cell r="A259" t="str">
            <v>SAA 3942</v>
          </cell>
          <cell r="B259" t="str">
            <v>Esmalte Horneable Acrilico Almendra Alfa</v>
          </cell>
          <cell r="C259" t="str">
            <v>Interior-Exterior Limitada</v>
          </cell>
          <cell r="D259" t="str">
            <v>Hierro</v>
          </cell>
          <cell r="E259" t="str">
            <v>Lavado, Desengrase y Fosfatizado</v>
          </cell>
          <cell r="F259" t="str">
            <v>E68WSA4 Acrylic Monobake White Primer</v>
          </cell>
          <cell r="G259" t="str">
            <v>10.06 Lbs/Gl</v>
          </cell>
          <cell r="H259" t="str">
            <v>29.75%</v>
          </cell>
          <cell r="I259" t="str">
            <v>54.86%</v>
          </cell>
          <cell r="J259" t="str">
            <v>38.54%</v>
          </cell>
          <cell r="K259" t="str">
            <v>25.50%</v>
          </cell>
          <cell r="L259" t="str">
            <v>35.50%</v>
          </cell>
          <cell r="M259" t="str">
            <v>100"-110" Copa Zanh #2</v>
          </cell>
          <cell r="N259" t="str">
            <v>Pistola</v>
          </cell>
          <cell r="O259" t="str">
            <v>25"-30" Copa Zanh #2</v>
          </cell>
          <cell r="P259" t="str">
            <v>20-25%</v>
          </cell>
          <cell r="Q259" t="str">
            <v>R2K4         Industrial reducer</v>
          </cell>
          <cell r="R259" t="str">
            <v>1.0-1.2 mills</v>
          </cell>
          <cell r="S259" t="str">
            <v>Al Horno</v>
          </cell>
          <cell r="T259" t="str">
            <v>15' a 350-400°F</v>
          </cell>
          <cell r="U259" t="str">
            <v>878 Pies Cuadrados/Gl a 1 mills de espesor</v>
          </cell>
          <cell r="V259" t="str">
            <v>+85</v>
          </cell>
          <cell r="W259" t="str">
            <v>2H-3H</v>
          </cell>
          <cell r="X259" t="str">
            <v>6-12 meses</v>
          </cell>
          <cell r="Y259" t="str">
            <v>Industrias ALFA S.A</v>
          </cell>
          <cell r="Z259" t="str">
            <v>Refrigeradoras</v>
          </cell>
          <cell r="AA259" t="str">
            <v>-</v>
          </cell>
          <cell r="AB259" t="str">
            <v>Luis Nolasco</v>
          </cell>
          <cell r="AC259">
            <v>34204</v>
          </cell>
        </row>
        <row r="260">
          <cell r="A260" t="str">
            <v>G78RSA3</v>
          </cell>
          <cell r="B260" t="str">
            <v>Esmalte Horneable Acrilico Rojo TAPPAN</v>
          </cell>
          <cell r="C260" t="str">
            <v>Interior-Exterior Limitada</v>
          </cell>
          <cell r="D260" t="str">
            <v>Hierro</v>
          </cell>
          <cell r="E260" t="str">
            <v>Lavado y Eliminación de Corrosión</v>
          </cell>
          <cell r="F260" t="str">
            <v>E68WSA4 Acrylic Monobake White Primer</v>
          </cell>
          <cell r="G260" t="str">
            <v>8.46 Lbs/Gl</v>
          </cell>
          <cell r="H260" t="str">
            <v>10.35%</v>
          </cell>
          <cell r="I260" t="str">
            <v>43.09%</v>
          </cell>
          <cell r="J260" t="str">
            <v>36.52%</v>
          </cell>
          <cell r="K260" t="str">
            <v>6.84%</v>
          </cell>
          <cell r="L260" t="str">
            <v>33.78%</v>
          </cell>
          <cell r="M260" t="str">
            <v>100"-110" Copa Zanh #2</v>
          </cell>
          <cell r="N260" t="str">
            <v>Pistola</v>
          </cell>
          <cell r="O260" t="str">
            <v>25"-30" Copa Zanh #2</v>
          </cell>
          <cell r="P260" t="str">
            <v>20-25%</v>
          </cell>
          <cell r="Q260" t="str">
            <v>R2K4         Industrial reducer</v>
          </cell>
          <cell r="R260" t="str">
            <v>1.0-1.2 mills</v>
          </cell>
          <cell r="S260" t="str">
            <v>Al Horno</v>
          </cell>
          <cell r="T260" t="str">
            <v>15' a 350-400°F</v>
          </cell>
          <cell r="U260" t="str">
            <v>689.44 Pies Cuadrados/Gl a 1 mills de espesor</v>
          </cell>
          <cell r="V260" t="str">
            <v>+85</v>
          </cell>
          <cell r="W260" t="str">
            <v>2H-3H</v>
          </cell>
          <cell r="X260" t="str">
            <v>6-12 meses</v>
          </cell>
          <cell r="Y260" t="str">
            <v>TAPPAN-GUATEMALA</v>
          </cell>
          <cell r="Z260" t="str">
            <v>Artículos de Cocina</v>
          </cell>
          <cell r="AA260" t="str">
            <v>-</v>
          </cell>
          <cell r="AB260" t="str">
            <v>Luis Nolasco</v>
          </cell>
          <cell r="AC260">
            <v>34215</v>
          </cell>
        </row>
        <row r="261">
          <cell r="A261" t="str">
            <v>B97WD2049</v>
          </cell>
          <cell r="B261" t="str">
            <v>Pintura de Tráfico Blanca TTP-1952-B</v>
          </cell>
          <cell r="C261" t="str">
            <v>Interior-Exterior</v>
          </cell>
          <cell r="D261" t="str">
            <v>Asfalto y Concreto</v>
          </cell>
          <cell r="E261" t="str">
            <v>Limpia, Seca y Libre de Exudación de Asfalto</v>
          </cell>
          <cell r="F261" t="str">
            <v>Ninguno</v>
          </cell>
          <cell r="G261" t="str">
            <v>12.41 Lbs/Gl</v>
          </cell>
          <cell r="H261" t="str">
            <v>50%</v>
          </cell>
          <cell r="I261" t="str">
            <v>66.5%</v>
          </cell>
          <cell r="J261" t="str">
            <v>33%</v>
          </cell>
          <cell r="K261" t="str">
            <v>-</v>
          </cell>
          <cell r="L261" t="str">
            <v>51%</v>
          </cell>
          <cell r="M261" t="str">
            <v>75-85 KU (Stormer)</v>
          </cell>
          <cell r="N261" t="str">
            <v>Brocha, Rodillo Industrial, Máquina Franjeadora, Etc.</v>
          </cell>
          <cell r="O261" t="str">
            <v>Lista Para Usar.</v>
          </cell>
          <cell r="P261" t="str">
            <v>Ninguno</v>
          </cell>
          <cell r="Q261" t="str">
            <v>Agua, si es necesario.</v>
          </cell>
          <cell r="R261" t="str">
            <v>4-5 mills/Pulg.</v>
          </cell>
          <cell r="S261" t="str">
            <v>30 Minutos. No Transitar antes de 1 Hora</v>
          </cell>
          <cell r="T261" t="str">
            <v>-</v>
          </cell>
          <cell r="U261" t="str">
            <v>45-50 Mts Cuadrados/Gl</v>
          </cell>
          <cell r="V261" t="str">
            <v>1-2 (Mate)</v>
          </cell>
          <cell r="W261" t="str">
            <v>5B-4B</v>
          </cell>
          <cell r="X261" t="str">
            <v>12 meses</v>
          </cell>
          <cell r="Y261" t="str">
            <v>Mercantil Internacional, S.A de C.V</v>
          </cell>
          <cell r="Z261" t="str">
            <v>Placas de Vehículos.</v>
          </cell>
          <cell r="AA261" t="str">
            <v>-</v>
          </cell>
          <cell r="AB261" t="str">
            <v>Rene Ferrufino</v>
          </cell>
          <cell r="AC261">
            <v>34225</v>
          </cell>
        </row>
        <row r="262">
          <cell r="A262" t="str">
            <v>SAA 3947</v>
          </cell>
          <cell r="B262" t="str">
            <v>Esmalte Horneable Blanco IMSA</v>
          </cell>
          <cell r="C262" t="str">
            <v>Interior-Exterior</v>
          </cell>
          <cell r="D262" t="str">
            <v>Hierro</v>
          </cell>
          <cell r="E262" t="str">
            <v>Limpio con R2K4 Industrial Reducer</v>
          </cell>
          <cell r="F262" t="str">
            <v>Ninguno</v>
          </cell>
          <cell r="G262" t="str">
            <v>9.46 Lbs/Gl</v>
          </cell>
          <cell r="H262" t="str">
            <v>43.30%</v>
          </cell>
          <cell r="I262" t="str">
            <v>58.50%</v>
          </cell>
          <cell r="J262" t="str">
            <v>56.70%</v>
          </cell>
          <cell r="K262" t="str">
            <v>17.95%</v>
          </cell>
          <cell r="L262" t="str">
            <v>41.22%</v>
          </cell>
          <cell r="M262" t="str">
            <v>100"-110" Copa Zanh #2</v>
          </cell>
          <cell r="N262" t="str">
            <v>Pistola Convencional</v>
          </cell>
          <cell r="O262" t="str">
            <v>20-25 seg. Copa Zanh #2</v>
          </cell>
          <cell r="P262" t="str">
            <v>20-25%</v>
          </cell>
          <cell r="Q262" t="str">
            <v>R2K4         Industrial reducer</v>
          </cell>
          <cell r="R262" t="str">
            <v>1.0-1.25 mills</v>
          </cell>
          <cell r="S262" t="str">
            <v>Al Horno</v>
          </cell>
          <cell r="T262" t="str">
            <v>15' a 300°F</v>
          </cell>
          <cell r="U262" t="str">
            <v>655 Pies Cuadrados/Gl a 1 mills de espesor</v>
          </cell>
          <cell r="V262" t="str">
            <v>+85</v>
          </cell>
          <cell r="W262" t="str">
            <v>H</v>
          </cell>
          <cell r="X262" t="str">
            <v>6-12 meses</v>
          </cell>
          <cell r="Y262" t="str">
            <v>Industrias Metálicas S.A</v>
          </cell>
          <cell r="Z262" t="str">
            <v>Muebles Metálicos</v>
          </cell>
          <cell r="AA262" t="str">
            <v>-</v>
          </cell>
          <cell r="AB262" t="str">
            <v>Anabella de Mayorga</v>
          </cell>
          <cell r="AC262">
            <v>34235</v>
          </cell>
        </row>
        <row r="263">
          <cell r="A263" t="str">
            <v>SAA 3948</v>
          </cell>
          <cell r="B263" t="str">
            <v>Esmalte Horneable Acrílico Beige</v>
          </cell>
          <cell r="C263" t="str">
            <v>Interior-Exterior Limitada</v>
          </cell>
          <cell r="D263" t="str">
            <v>Hierro</v>
          </cell>
          <cell r="E263" t="str">
            <v>Lavado, Desengrase y Fosfatizado</v>
          </cell>
          <cell r="F263" t="str">
            <v>E68WSA4 Acrylic Monobake White Primer</v>
          </cell>
          <cell r="G263" t="str">
            <v>10.06 Lbs/Gl</v>
          </cell>
          <cell r="H263" t="str">
            <v>29.75%</v>
          </cell>
          <cell r="I263" t="str">
            <v>54.86%</v>
          </cell>
          <cell r="J263" t="str">
            <v>38.54%</v>
          </cell>
          <cell r="K263" t="str">
            <v>25.50%</v>
          </cell>
          <cell r="L263" t="str">
            <v>35.50%</v>
          </cell>
          <cell r="M263" t="str">
            <v>100"-110" Copa Zanh #2</v>
          </cell>
          <cell r="N263" t="str">
            <v>Pistola</v>
          </cell>
          <cell r="O263" t="str">
            <v>25"-30" Copa Zanh #2</v>
          </cell>
          <cell r="P263" t="str">
            <v>20-25%</v>
          </cell>
          <cell r="Q263" t="str">
            <v>R2K4         Industrial reducer</v>
          </cell>
          <cell r="R263" t="str">
            <v>1.0-1.2 mills</v>
          </cell>
          <cell r="S263" t="str">
            <v>Al Horno</v>
          </cell>
          <cell r="T263" t="str">
            <v>15' a 350-400°F</v>
          </cell>
          <cell r="U263" t="str">
            <v>878 Pies Cuadrados/Gl a 1 mills de espesor</v>
          </cell>
          <cell r="V263" t="str">
            <v>+85</v>
          </cell>
          <cell r="W263" t="str">
            <v>2H-3H</v>
          </cell>
          <cell r="X263" t="str">
            <v>6-12 meses</v>
          </cell>
          <cell r="Y263" t="str">
            <v>TAPPAN-GUATEMALA</v>
          </cell>
          <cell r="Z263" t="str">
            <v>Cocinas</v>
          </cell>
          <cell r="AA263" t="str">
            <v>-</v>
          </cell>
          <cell r="AB263" t="str">
            <v>Luis Nolasco</v>
          </cell>
          <cell r="AC263">
            <v>34236</v>
          </cell>
        </row>
        <row r="264">
          <cell r="A264" t="str">
            <v>SAA 3952</v>
          </cell>
          <cell r="B264" t="str">
            <v>Esmalte Horneable Acrílico Blanco TAPPAN</v>
          </cell>
          <cell r="C264" t="str">
            <v>Interior-Exterior Limitada</v>
          </cell>
          <cell r="D264" t="str">
            <v>Hierro</v>
          </cell>
          <cell r="E264" t="str">
            <v>Lavado, Desengrase y Fosfatizado</v>
          </cell>
          <cell r="F264" t="str">
            <v>E68WSA4 Acrylic Monobake White Primer</v>
          </cell>
          <cell r="G264" t="str">
            <v>10.06 Lbs/Gl</v>
          </cell>
          <cell r="H264" t="str">
            <v>29.75%</v>
          </cell>
          <cell r="I264" t="str">
            <v>54.86%</v>
          </cell>
          <cell r="J264" t="str">
            <v>38.54%</v>
          </cell>
          <cell r="K264" t="str">
            <v>25.50%</v>
          </cell>
          <cell r="L264" t="str">
            <v>35.50%</v>
          </cell>
          <cell r="M264" t="str">
            <v>100"-110" Copa Zanh #2</v>
          </cell>
          <cell r="N264" t="str">
            <v>Pistola</v>
          </cell>
          <cell r="O264" t="str">
            <v>25"-30" Copa Zanh #2</v>
          </cell>
          <cell r="P264" t="str">
            <v>20-25%</v>
          </cell>
          <cell r="Q264" t="str">
            <v>R2K4         Industrial reducer</v>
          </cell>
          <cell r="R264" t="str">
            <v>1.0-1.2 mills</v>
          </cell>
          <cell r="S264" t="str">
            <v>Al Horno</v>
          </cell>
          <cell r="T264" t="str">
            <v>15' a 350-400°F</v>
          </cell>
          <cell r="U264" t="str">
            <v>878 Pies Cuadrados/Gl a 1 mills de espesor</v>
          </cell>
          <cell r="V264" t="str">
            <v>+85</v>
          </cell>
          <cell r="W264" t="str">
            <v>2H-3H</v>
          </cell>
          <cell r="X264" t="str">
            <v>6-12 meses</v>
          </cell>
          <cell r="Y264" t="str">
            <v>TAPPAN-GUATEMALA</v>
          </cell>
          <cell r="Z264" t="str">
            <v>Cocinas</v>
          </cell>
          <cell r="AA264" t="str">
            <v>-</v>
          </cell>
          <cell r="AB264" t="str">
            <v>Luis Nolasco</v>
          </cell>
          <cell r="AC264">
            <v>34249</v>
          </cell>
        </row>
        <row r="265">
          <cell r="A265" t="str">
            <v>SAA 3960</v>
          </cell>
          <cell r="B265" t="str">
            <v>Laca Industrial Naranja Boira</v>
          </cell>
          <cell r="C265" t="str">
            <v>Interior</v>
          </cell>
          <cell r="D265" t="str">
            <v>Hierro</v>
          </cell>
          <cell r="E265" t="str">
            <v>Limpia con Solvente Kreel Clean</v>
          </cell>
          <cell r="F265" t="str">
            <v>Ninguno</v>
          </cell>
          <cell r="G265" t="str">
            <v>7.41 Lbs/Gl</v>
          </cell>
          <cell r="H265" t="str">
            <v>5.21%</v>
          </cell>
          <cell r="I265" t="str">
            <v>38.6%</v>
          </cell>
          <cell r="J265" t="str">
            <v>33.39%</v>
          </cell>
          <cell r="K265" t="str">
            <v>4.60%</v>
          </cell>
          <cell r="L265" t="str">
            <v>28.85%</v>
          </cell>
          <cell r="M265" t="str">
            <v>30"-40" SW #5</v>
          </cell>
          <cell r="N265" t="str">
            <v>Inmersión</v>
          </cell>
          <cell r="O265" t="str">
            <v>18"-20" Copa Ford #4</v>
          </cell>
          <cell r="P265" t="str">
            <v>100-150%</v>
          </cell>
          <cell r="Q265" t="str">
            <v>R7K128</v>
          </cell>
          <cell r="R265" t="str">
            <v>1 mills</v>
          </cell>
          <cell r="S265" t="str">
            <v>Al Aire</v>
          </cell>
          <cell r="T265" t="str">
            <v>-</v>
          </cell>
          <cell r="U265" t="str">
            <v>461 Pies Cuadrados/Gl</v>
          </cell>
          <cell r="V265" t="str">
            <v>+80</v>
          </cell>
          <cell r="W265" t="str">
            <v>2B</v>
          </cell>
          <cell r="X265" t="str">
            <v>6-12 meses</v>
          </cell>
          <cell r="Y265" t="str">
            <v>BOIRA</v>
          </cell>
          <cell r="Z265" t="str">
            <v>Sierras Metálicas</v>
          </cell>
          <cell r="AA265" t="str">
            <v>-</v>
          </cell>
          <cell r="AB265" t="str">
            <v>Rene Ferrufino</v>
          </cell>
          <cell r="AC265">
            <v>34257</v>
          </cell>
        </row>
        <row r="266">
          <cell r="A266" t="str">
            <v>SAA 3963</v>
          </cell>
          <cell r="B266" t="str">
            <v>Esmalte Horneable Alquidico Blanco IMSA</v>
          </cell>
          <cell r="C266" t="str">
            <v>Interior-Exterior</v>
          </cell>
          <cell r="D266" t="str">
            <v>Hierro</v>
          </cell>
          <cell r="E266" t="str">
            <v>Limpio con R2K4 Industrial Reducer</v>
          </cell>
          <cell r="F266" t="str">
            <v>Ninguno</v>
          </cell>
          <cell r="G266" t="str">
            <v>10.39 Lbs/Gl</v>
          </cell>
          <cell r="H266" t="str">
            <v>28.57%</v>
          </cell>
          <cell r="I266" t="str">
            <v>64.88%</v>
          </cell>
          <cell r="J266" t="str">
            <v>50.83%</v>
          </cell>
          <cell r="K266" t="str">
            <v>18.89%</v>
          </cell>
          <cell r="L266" t="str">
            <v>47.43%</v>
          </cell>
          <cell r="M266" t="str">
            <v>100"-110" Copa Zanh #2</v>
          </cell>
          <cell r="N266" t="str">
            <v>Pistola</v>
          </cell>
          <cell r="O266" t="str">
            <v>25"-30" Copa Zanh #2</v>
          </cell>
          <cell r="P266" t="str">
            <v>20-25%</v>
          </cell>
          <cell r="Q266" t="str">
            <v>R2K4         Industrial reducer</v>
          </cell>
          <cell r="R266" t="str">
            <v>1.0-1.2 mills</v>
          </cell>
          <cell r="S266" t="str">
            <v>Al Horno</v>
          </cell>
          <cell r="T266" t="str">
            <v>15' a 300°F</v>
          </cell>
          <cell r="U266" t="str">
            <v>1,038.08 Pies Cuadrados/Gl a 1 mills de espesor</v>
          </cell>
          <cell r="V266" t="str">
            <v>+85</v>
          </cell>
          <cell r="W266" t="str">
            <v>H</v>
          </cell>
          <cell r="X266" t="str">
            <v>6-12 meses</v>
          </cell>
          <cell r="Y266" t="str">
            <v>Industrias Metálicas S.A</v>
          </cell>
          <cell r="Z266" t="str">
            <v>Muebles Metálicos</v>
          </cell>
          <cell r="AA266" t="str">
            <v>-</v>
          </cell>
          <cell r="AB266" t="str">
            <v>Luis Nolasco</v>
          </cell>
          <cell r="AC266">
            <v>34260</v>
          </cell>
        </row>
        <row r="267">
          <cell r="A267" t="str">
            <v>SAA 3965</v>
          </cell>
          <cell r="B267" t="str">
            <v>Esmalte Horneable Alquidico Café Metálico IMSA</v>
          </cell>
          <cell r="C267" t="str">
            <v>Interior-Exterior</v>
          </cell>
          <cell r="D267" t="str">
            <v>Hierro</v>
          </cell>
          <cell r="E267" t="str">
            <v>Limpio con R2K4 Industrial Reducer</v>
          </cell>
          <cell r="F267" t="str">
            <v>Ninguno</v>
          </cell>
          <cell r="G267" t="str">
            <v>8.48 Lbs/Gl</v>
          </cell>
          <cell r="H267" t="str">
            <v>9.74%</v>
          </cell>
          <cell r="I267" t="str">
            <v>48.31%</v>
          </cell>
          <cell r="J267" t="str">
            <v>42.73%</v>
          </cell>
          <cell r="K267" t="str">
            <v>10.75%</v>
          </cell>
          <cell r="L267" t="str">
            <v>37.22%</v>
          </cell>
          <cell r="M267" t="str">
            <v>100"-110" Copa Zanh #2</v>
          </cell>
          <cell r="N267" t="str">
            <v>Pistola</v>
          </cell>
          <cell r="O267" t="str">
            <v>25"-30" Copa Zanh #2</v>
          </cell>
          <cell r="P267" t="str">
            <v>20-25%</v>
          </cell>
          <cell r="Q267" t="str">
            <v>R2K4         Industrial reducer</v>
          </cell>
          <cell r="R267" t="str">
            <v>1.0-1.2 mills</v>
          </cell>
          <cell r="S267" t="str">
            <v>Al Horno</v>
          </cell>
          <cell r="T267" t="str">
            <v>15' a 300°F</v>
          </cell>
          <cell r="U267" t="str">
            <v>772.96 Pies Cuadrados/Gl a 1 mills de espesor</v>
          </cell>
          <cell r="V267" t="str">
            <v>14-16</v>
          </cell>
          <cell r="W267" t="str">
            <v>H</v>
          </cell>
          <cell r="X267" t="str">
            <v>6-12 meses</v>
          </cell>
          <cell r="Y267" t="str">
            <v>Industrias Metálicas S.A</v>
          </cell>
          <cell r="Z267" t="str">
            <v>Muebles Metálicos</v>
          </cell>
          <cell r="AA267" t="str">
            <v>-</v>
          </cell>
          <cell r="AB267" t="str">
            <v>Luis Nolasco</v>
          </cell>
          <cell r="AC267">
            <v>34270</v>
          </cell>
        </row>
        <row r="268">
          <cell r="A268" t="str">
            <v>SAA 3966</v>
          </cell>
          <cell r="B268" t="str">
            <v>Esmalte Horneable Alquidico Azul Metálico Martillado</v>
          </cell>
          <cell r="C268" t="str">
            <v>Interior-Exterior</v>
          </cell>
          <cell r="D268" t="str">
            <v>Hierro</v>
          </cell>
          <cell r="E268" t="str">
            <v>Limpio con R2K4 Industrial Reducer</v>
          </cell>
          <cell r="F268" t="str">
            <v>Ninguno</v>
          </cell>
          <cell r="G268" t="str">
            <v>8.06 Lbs/Gl</v>
          </cell>
          <cell r="H268" t="str">
            <v>2.86%</v>
          </cell>
          <cell r="I268" t="str">
            <v>43.36%</v>
          </cell>
          <cell r="J268" t="str">
            <v>41.69%</v>
          </cell>
          <cell r="K268" t="str">
            <v>3.93%</v>
          </cell>
          <cell r="L268" t="str">
            <v>34.60%</v>
          </cell>
          <cell r="M268" t="str">
            <v>60"-70" Copa Zanh #2</v>
          </cell>
          <cell r="N268" t="str">
            <v>Pistola</v>
          </cell>
          <cell r="O268" t="str">
            <v>60"-70" Copa Zanh #2</v>
          </cell>
          <cell r="P268" t="str">
            <v>Listo Para Usar</v>
          </cell>
          <cell r="Q268" t="str">
            <v>Lo necesario con R2K4         Industrial reducer</v>
          </cell>
          <cell r="R268" t="str">
            <v>1.2-1.4 mills</v>
          </cell>
          <cell r="S268" t="str">
            <v>Al Horno</v>
          </cell>
          <cell r="T268" t="str">
            <v>15' a 300°F</v>
          </cell>
          <cell r="U268" t="str">
            <v>693.76 Pies Cuadrados/Gl a 1 mills de espesor</v>
          </cell>
          <cell r="V268" t="str">
            <v>80-85</v>
          </cell>
          <cell r="W268" t="str">
            <v>H</v>
          </cell>
          <cell r="X268" t="str">
            <v>6-12 meses</v>
          </cell>
          <cell r="Y268" t="str">
            <v>Leon Quam</v>
          </cell>
          <cell r="Z268" t="str">
            <v>Cocinas Metálicas</v>
          </cell>
          <cell r="AA268" t="str">
            <v>-</v>
          </cell>
          <cell r="AB268" t="str">
            <v>Luis Nolasco</v>
          </cell>
          <cell r="AC268">
            <v>34277</v>
          </cell>
        </row>
        <row r="269">
          <cell r="A269" t="str">
            <v>SAA 3967</v>
          </cell>
          <cell r="B269" t="str">
            <v>Laca Azul Especial Para Cuero</v>
          </cell>
          <cell r="C269" t="str">
            <v>Interior</v>
          </cell>
          <cell r="D269" t="str">
            <v>Cuero-Plastico</v>
          </cell>
          <cell r="E269" t="str">
            <v>Limpio con Solvente</v>
          </cell>
          <cell r="F269" t="str">
            <v>Ninguno</v>
          </cell>
          <cell r="G269" t="str">
            <v>7.60 Lbs/Gl</v>
          </cell>
          <cell r="H269" t="str">
            <v>-</v>
          </cell>
          <cell r="I269" t="str">
            <v>30.21%</v>
          </cell>
          <cell r="J269" t="str">
            <v>-</v>
          </cell>
          <cell r="K269" t="str">
            <v>-</v>
          </cell>
          <cell r="L269" t="str">
            <v>23.30%</v>
          </cell>
          <cell r="M269" t="str">
            <v>25"-30" Copa SW #5</v>
          </cell>
          <cell r="N269" t="str">
            <v>Pistola</v>
          </cell>
          <cell r="O269" t="str">
            <v>18"-20" Copa Zanh #2</v>
          </cell>
          <cell r="P269" t="str">
            <v>100-150%</v>
          </cell>
          <cell r="Q269" t="str">
            <v>R7K128</v>
          </cell>
          <cell r="R269" t="str">
            <v>1.0-1.2 mills</v>
          </cell>
          <cell r="S269" t="str">
            <v>Al Aire</v>
          </cell>
          <cell r="T269" t="str">
            <v>-</v>
          </cell>
          <cell r="U269" t="str">
            <v>483.36 Pies Cuadrados/Gl a 1 mills de espesor</v>
          </cell>
          <cell r="V269" t="str">
            <v>+85</v>
          </cell>
          <cell r="W269" t="str">
            <v xml:space="preserve">B </v>
          </cell>
          <cell r="X269" t="str">
            <v>6-12 meses</v>
          </cell>
          <cell r="Y269" t="str">
            <v>L.F RIVERA-HONDURAS</v>
          </cell>
          <cell r="Z269" t="str">
            <v>Objetos de Cuero y Plastico</v>
          </cell>
          <cell r="AA269" t="str">
            <v>-</v>
          </cell>
          <cell r="AB269" t="str">
            <v>Luis Nolasco</v>
          </cell>
          <cell r="AC269">
            <v>34311</v>
          </cell>
        </row>
        <row r="270">
          <cell r="A270" t="str">
            <v>SAA 3974</v>
          </cell>
          <cell r="B270" t="str">
            <v>Esmalte Horneable Alquidico Café HECASA</v>
          </cell>
          <cell r="C270" t="str">
            <v>Interior-Exterior</v>
          </cell>
          <cell r="D270" t="str">
            <v>Hierro</v>
          </cell>
          <cell r="E270" t="str">
            <v>Lavado y Desengrase Químico por Inmersión</v>
          </cell>
          <cell r="F270" t="str">
            <v>E68WSA1 (Monobake Primer)</v>
          </cell>
          <cell r="G270" t="str">
            <v>8.36 Lbs/Gl</v>
          </cell>
          <cell r="H270" t="str">
            <v>7.37%</v>
          </cell>
          <cell r="I270" t="str">
            <v>47.08%</v>
          </cell>
          <cell r="J270" t="str">
            <v>42.87%</v>
          </cell>
          <cell r="K270" t="str">
            <v>2.45%</v>
          </cell>
          <cell r="L270" t="str">
            <v>35.97%</v>
          </cell>
          <cell r="M270" t="str">
            <v>100"-110" Copa Zanh #2</v>
          </cell>
          <cell r="N270" t="str">
            <v>Pistola</v>
          </cell>
          <cell r="O270" t="str">
            <v>20"-25" Copa Zanh #2</v>
          </cell>
          <cell r="P270" t="str">
            <v>20-25%</v>
          </cell>
          <cell r="Q270" t="str">
            <v>R2K4         Industrial reducer</v>
          </cell>
          <cell r="R270" t="str">
            <v>1.0-1.2 mills</v>
          </cell>
          <cell r="S270" t="str">
            <v>Al Horno</v>
          </cell>
          <cell r="T270" t="str">
            <v>15' a 300°F</v>
          </cell>
          <cell r="U270" t="str">
            <v>753.28 Pies Cuadrados/Gl a 1 mills de espesor</v>
          </cell>
          <cell r="V270" t="str">
            <v>35-40</v>
          </cell>
          <cell r="W270" t="str">
            <v>H</v>
          </cell>
          <cell r="X270" t="str">
            <v>6-12 meses</v>
          </cell>
          <cell r="Y270" t="str">
            <v>HECASA</v>
          </cell>
          <cell r="Z270" t="str">
            <v>Puertas Metálicas</v>
          </cell>
          <cell r="AA270" t="str">
            <v>-</v>
          </cell>
          <cell r="AB270" t="str">
            <v>Luis Nolasco</v>
          </cell>
          <cell r="AC270">
            <v>34386</v>
          </cell>
        </row>
        <row r="271">
          <cell r="A271" t="str">
            <v>SAA 3975</v>
          </cell>
          <cell r="B271" t="str">
            <v>Esmalte horneable Alquídico Café ALFA</v>
          </cell>
          <cell r="C271" t="str">
            <v>Interior-Exterior</v>
          </cell>
          <cell r="D271" t="str">
            <v>Hierro</v>
          </cell>
          <cell r="E271" t="str">
            <v>Limpio con R2K4 Industrial Reducer</v>
          </cell>
          <cell r="F271" t="str">
            <v>E68WSA1 (Monobake Primer)</v>
          </cell>
          <cell r="G271" t="str">
            <v>8.25 Lbs/Gl</v>
          </cell>
          <cell r="H271" t="str">
            <v>5.54%</v>
          </cell>
          <cell r="I271" t="str">
            <v>45.39%</v>
          </cell>
          <cell r="J271" t="str">
            <v>42.19%</v>
          </cell>
          <cell r="K271" t="str">
            <v>4.04%</v>
          </cell>
          <cell r="L271" t="str">
            <v>34.93%</v>
          </cell>
          <cell r="M271" t="str">
            <v>100"-110" Copa Zanh #2</v>
          </cell>
          <cell r="N271" t="str">
            <v>Pistola</v>
          </cell>
          <cell r="O271" t="str">
            <v>20"-25" Copa Zanh #2</v>
          </cell>
          <cell r="P271" t="str">
            <v>20-25%</v>
          </cell>
          <cell r="Q271" t="str">
            <v>R2K4         Industrial reducer</v>
          </cell>
          <cell r="R271" t="str">
            <v>1.0-1.2 mills</v>
          </cell>
          <cell r="S271" t="str">
            <v>Al Horno</v>
          </cell>
          <cell r="T271" t="str">
            <v>15' a 300°F</v>
          </cell>
          <cell r="U271" t="str">
            <v>726.74 Pies Cuadrados/Gl a 1 mills de espesor</v>
          </cell>
          <cell r="V271" t="str">
            <v>+85</v>
          </cell>
          <cell r="W271" t="str">
            <v>H</v>
          </cell>
          <cell r="X271" t="str">
            <v>6-12 meses</v>
          </cell>
          <cell r="Y271" t="str">
            <v>Industrias ALFA S.A</v>
          </cell>
          <cell r="Z271" t="str">
            <v>Cocinas</v>
          </cell>
          <cell r="AA271" t="str">
            <v>-</v>
          </cell>
          <cell r="AB271" t="str">
            <v>Luis Nolasco</v>
          </cell>
          <cell r="AC271">
            <v>34387</v>
          </cell>
        </row>
        <row r="272">
          <cell r="A272" t="str">
            <v>SAA 3977</v>
          </cell>
          <cell r="B272" t="str">
            <v>Esmalte Horneable Alquídico Café Oscuro Martillado</v>
          </cell>
          <cell r="C272" t="str">
            <v>Interior-Exterior</v>
          </cell>
          <cell r="D272" t="str">
            <v>Hierro</v>
          </cell>
          <cell r="E272" t="str">
            <v>Limpio con R2K4 Industrial Reducer</v>
          </cell>
          <cell r="F272" t="str">
            <v>Ninguno</v>
          </cell>
          <cell r="G272" t="str">
            <v>8.14 Lbs/Gl</v>
          </cell>
          <cell r="H272" t="str">
            <v>1.54%</v>
          </cell>
          <cell r="I272" t="str">
            <v>46.88%</v>
          </cell>
          <cell r="J272" t="str">
            <v>46.08%</v>
          </cell>
          <cell r="K272" t="str">
            <v>2.09%</v>
          </cell>
          <cell r="L272" t="str">
            <v>38.30%</v>
          </cell>
          <cell r="M272" t="str">
            <v>100"-110" Copa Zanh #2</v>
          </cell>
          <cell r="N272" t="str">
            <v>Pistola</v>
          </cell>
          <cell r="O272" t="str">
            <v>70"-80" Copa Zanh #2</v>
          </cell>
          <cell r="P272" t="str">
            <v>Lo necesario</v>
          </cell>
          <cell r="Q272" t="str">
            <v>R2K4         Industrial reducer</v>
          </cell>
          <cell r="R272" t="str">
            <v>1.0-1.2 mills</v>
          </cell>
          <cell r="S272" t="str">
            <v>Al Horno</v>
          </cell>
          <cell r="T272" t="str">
            <v>15' a 300°F</v>
          </cell>
          <cell r="U272" t="str">
            <v>750.08 Pies Cuadrados/Gl a 1 mills de espesor</v>
          </cell>
          <cell r="V272" t="str">
            <v>STD</v>
          </cell>
          <cell r="W272" t="str">
            <v>H</v>
          </cell>
          <cell r="X272" t="str">
            <v>6-12 meses</v>
          </cell>
          <cell r="Y272" t="str">
            <v>Industrias ALFA S.A</v>
          </cell>
          <cell r="Z272" t="str">
            <v>Cocinas</v>
          </cell>
          <cell r="AA272" t="str">
            <v>-</v>
          </cell>
          <cell r="AB272" t="str">
            <v>Luis Nolasco</v>
          </cell>
          <cell r="AC272">
            <v>34393</v>
          </cell>
        </row>
        <row r="273">
          <cell r="A273" t="str">
            <v>SAA 3978</v>
          </cell>
          <cell r="B273" t="str">
            <v>Esmalte Horneable Alquídico Negro Martillado</v>
          </cell>
          <cell r="C273" t="str">
            <v>Interior-Exterior</v>
          </cell>
          <cell r="D273" t="str">
            <v>Hierro</v>
          </cell>
          <cell r="E273" t="str">
            <v>Limpio con R2K4 Industrial Reducer</v>
          </cell>
          <cell r="F273" t="str">
            <v>Ninguno</v>
          </cell>
          <cell r="G273" t="str">
            <v>8.13 Lbs/Gl</v>
          </cell>
          <cell r="H273" t="str">
            <v>1.22%</v>
          </cell>
          <cell r="I273" t="str">
            <v>46.62%</v>
          </cell>
          <cell r="J273" t="str">
            <v>45.96%</v>
          </cell>
          <cell r="K273" t="str">
            <v>1.58%</v>
          </cell>
          <cell r="L273" t="str">
            <v>43.76%</v>
          </cell>
          <cell r="M273" t="str">
            <v>100"-110" Copa Zanh #2</v>
          </cell>
          <cell r="N273" t="str">
            <v>Pistola</v>
          </cell>
          <cell r="O273" t="str">
            <v>70"-80" Copa Zanh #2</v>
          </cell>
          <cell r="P273" t="str">
            <v>Lo necesario</v>
          </cell>
          <cell r="Q273" t="str">
            <v>R2K4         Industrial reducer</v>
          </cell>
          <cell r="R273" t="str">
            <v>1.0-1.2 mills</v>
          </cell>
          <cell r="S273" t="str">
            <v>Al Horno</v>
          </cell>
          <cell r="T273" t="str">
            <v>15' a 300°F</v>
          </cell>
          <cell r="U273" t="str">
            <v>745.92 Pies Cuadrados/Gl a 1 mills de espesor</v>
          </cell>
          <cell r="V273" t="str">
            <v>STD</v>
          </cell>
          <cell r="W273" t="str">
            <v>H</v>
          </cell>
          <cell r="X273" t="str">
            <v>6-12 meses</v>
          </cell>
          <cell r="Y273" t="str">
            <v>Industrias ALFA S.A</v>
          </cell>
          <cell r="Z273" t="str">
            <v>Cocinas</v>
          </cell>
          <cell r="AA273" t="str">
            <v>-</v>
          </cell>
          <cell r="AB273" t="str">
            <v>Luis Nolasco</v>
          </cell>
          <cell r="AC273">
            <v>34393</v>
          </cell>
        </row>
        <row r="274">
          <cell r="A274" t="str">
            <v>SAA 3979</v>
          </cell>
          <cell r="B274" t="str">
            <v>Esmalte horneable Alquídico Café Metálico IMSA</v>
          </cell>
          <cell r="C274" t="str">
            <v>Interior-Exterior</v>
          </cell>
          <cell r="D274" t="str">
            <v>Hierro</v>
          </cell>
          <cell r="E274" t="str">
            <v>Limpio con R2K4 Industrial Reducer</v>
          </cell>
          <cell r="F274" t="str">
            <v>Ninguno</v>
          </cell>
          <cell r="G274" t="str">
            <v>8.35 Lbs/Gl</v>
          </cell>
          <cell r="H274" t="str">
            <v>9.29%</v>
          </cell>
          <cell r="I274" t="str">
            <v>46.82%</v>
          </cell>
          <cell r="J274" t="str">
            <v>42.15%</v>
          </cell>
          <cell r="K274" t="str">
            <v>9.33%</v>
          </cell>
          <cell r="L274" t="str">
            <v>36.24%</v>
          </cell>
          <cell r="M274" t="str">
            <v>100"-110" Copa Zanh #2</v>
          </cell>
          <cell r="N274" t="str">
            <v>Pistola</v>
          </cell>
          <cell r="O274" t="str">
            <v>20"-25" Copa Zanh #2</v>
          </cell>
          <cell r="P274" t="str">
            <v>20-25%</v>
          </cell>
          <cell r="Q274" t="str">
            <v>R2K4         Industrial reducer</v>
          </cell>
          <cell r="R274" t="str">
            <v>1.0-1.2 mills</v>
          </cell>
          <cell r="S274" t="str">
            <v>Al Horno</v>
          </cell>
          <cell r="T274" t="str">
            <v>15' a 300°F</v>
          </cell>
          <cell r="U274" t="str">
            <v>749.12 Pies Cuadrados/Gl a 1 mills de espesor</v>
          </cell>
          <cell r="V274" t="str">
            <v>20-25</v>
          </cell>
          <cell r="W274" t="str">
            <v>H</v>
          </cell>
          <cell r="X274" t="str">
            <v>6-12 meses</v>
          </cell>
          <cell r="Y274" t="str">
            <v>Industrias Metálicas S.A</v>
          </cell>
          <cell r="Z274" t="str">
            <v>Muebles Metálicos</v>
          </cell>
          <cell r="AA274" t="str">
            <v>-</v>
          </cell>
          <cell r="AB274" t="str">
            <v>Luis Nolasco</v>
          </cell>
          <cell r="AC274">
            <v>34401</v>
          </cell>
        </row>
        <row r="275">
          <cell r="A275" t="str">
            <v>SAA 3987</v>
          </cell>
          <cell r="B275" t="str">
            <v>Esmalte Horneable Alquídico Amarillo Oro Semi-Brillante</v>
          </cell>
          <cell r="C275" t="str">
            <v>Interior-Exterior</v>
          </cell>
          <cell r="D275" t="str">
            <v>Zamak</v>
          </cell>
          <cell r="E275" t="str">
            <v>Desengrase y Fosfatizado</v>
          </cell>
          <cell r="F275" t="str">
            <v>P60G2 Wash Primer Green</v>
          </cell>
          <cell r="G275" t="str">
            <v>8.37 Lbs/Gl</v>
          </cell>
          <cell r="H275" t="str">
            <v>13.80%</v>
          </cell>
          <cell r="I275" t="str">
            <v>46.67%</v>
          </cell>
          <cell r="J275" t="str">
            <v>42.50%</v>
          </cell>
          <cell r="K275" t="str">
            <v>6.62%</v>
          </cell>
          <cell r="L275" t="str">
            <v>35.06%</v>
          </cell>
          <cell r="M275" t="str">
            <v>100"-110" Copa Zanh #2</v>
          </cell>
          <cell r="N275" t="str">
            <v>Pistola</v>
          </cell>
          <cell r="O275" t="str">
            <v>20"-25" Copa Zanh #2</v>
          </cell>
          <cell r="P275" t="str">
            <v>20-25%</v>
          </cell>
          <cell r="Q275" t="str">
            <v>R2K4         Industrial reducer</v>
          </cell>
          <cell r="R275" t="str">
            <v>1.0-1.2 mills</v>
          </cell>
          <cell r="S275" t="str">
            <v>Al Horno</v>
          </cell>
          <cell r="T275" t="str">
            <v>15' a 300°F</v>
          </cell>
          <cell r="U275" t="str">
            <v>746.72 Pies Cuadrados/Gl a 1 mills de espesor</v>
          </cell>
          <cell r="V275" t="str">
            <v>50</v>
          </cell>
          <cell r="W275" t="str">
            <v>H</v>
          </cell>
          <cell r="X275" t="str">
            <v>6-12 meses</v>
          </cell>
          <cell r="Y275" t="str">
            <v>Industrias Metálicas S.A</v>
          </cell>
          <cell r="Z275" t="str">
            <v>Operadores</v>
          </cell>
          <cell r="AA275" t="str">
            <v>-</v>
          </cell>
          <cell r="AB275" t="str">
            <v>Luis Nolasco</v>
          </cell>
          <cell r="AC275">
            <v>34445</v>
          </cell>
        </row>
        <row r="276">
          <cell r="A276" t="str">
            <v>SAA 3988</v>
          </cell>
          <cell r="B276" t="str">
            <v>Esmalte Horneable Alquídico Amarillo Oro Brillante</v>
          </cell>
          <cell r="C276" t="str">
            <v>Interior-Exterior</v>
          </cell>
          <cell r="D276" t="str">
            <v>Zamak</v>
          </cell>
          <cell r="E276" t="str">
            <v>Desengrase y Fosfatizado</v>
          </cell>
          <cell r="F276" t="str">
            <v>P60G2 Wash Primer Green</v>
          </cell>
          <cell r="G276" t="str">
            <v>8.30 Lbs/Gl</v>
          </cell>
          <cell r="H276" t="str">
            <v>6.11%</v>
          </cell>
          <cell r="I276" t="str">
            <v>45.86%</v>
          </cell>
          <cell r="J276" t="str">
            <v>42.34%</v>
          </cell>
          <cell r="K276" t="str">
            <v>5.13%</v>
          </cell>
          <cell r="L276" t="str">
            <v>34.15%</v>
          </cell>
          <cell r="M276" t="str">
            <v>100"-110" Copa Zanh #2</v>
          </cell>
          <cell r="N276" t="str">
            <v>Pistola</v>
          </cell>
          <cell r="O276" t="str">
            <v>20"-25" Copa Zanh #2</v>
          </cell>
          <cell r="P276" t="str">
            <v>20-25%</v>
          </cell>
          <cell r="Q276" t="str">
            <v>R2K4         Industrial reducer</v>
          </cell>
          <cell r="R276" t="str">
            <v>1.0-1.2 mills</v>
          </cell>
          <cell r="S276" t="str">
            <v>Al Horno</v>
          </cell>
          <cell r="T276" t="str">
            <v>15' a 300°F</v>
          </cell>
          <cell r="U276" t="str">
            <v>733.76 Pies Cuadrados/Gl a 1 mills de espesor</v>
          </cell>
          <cell r="V276" t="str">
            <v>+80</v>
          </cell>
          <cell r="W276" t="str">
            <v>H</v>
          </cell>
          <cell r="X276" t="str">
            <v>6-12 meses</v>
          </cell>
          <cell r="Y276" t="str">
            <v>Industrias Metálicas S.A</v>
          </cell>
          <cell r="Z276" t="str">
            <v>Operadores</v>
          </cell>
          <cell r="AA276" t="str">
            <v>-</v>
          </cell>
          <cell r="AB276" t="str">
            <v>Luis Nolasco</v>
          </cell>
          <cell r="AC276">
            <v>34445</v>
          </cell>
        </row>
        <row r="277">
          <cell r="A277" t="str">
            <v>SAA 3992</v>
          </cell>
          <cell r="B277" t="str">
            <v>Esmalte Horneable Alquídico Verde IMSA</v>
          </cell>
          <cell r="C277" t="str">
            <v>Interior-Exterior</v>
          </cell>
          <cell r="D277" t="str">
            <v>Zamak</v>
          </cell>
          <cell r="E277" t="str">
            <v>Desengrase y Fosfatizado</v>
          </cell>
          <cell r="F277" t="str">
            <v>P60G2 Wash Primer Green</v>
          </cell>
          <cell r="G277" t="str">
            <v>8.40 Lbs/Gl</v>
          </cell>
          <cell r="H277" t="str">
            <v>8.05%</v>
          </cell>
          <cell r="I277" t="str">
            <v>47.33%</v>
          </cell>
          <cell r="J277" t="str">
            <v>42.72%</v>
          </cell>
          <cell r="K277" t="str">
            <v>7.20%</v>
          </cell>
          <cell r="L277" t="str">
            <v>36.12%</v>
          </cell>
          <cell r="M277" t="str">
            <v>100"-110" Copa Zanh #2</v>
          </cell>
          <cell r="N277" t="str">
            <v>Pistola</v>
          </cell>
          <cell r="O277" t="str">
            <v>20"-25" Copa Zanh #2</v>
          </cell>
          <cell r="P277" t="str">
            <v>20-25%</v>
          </cell>
          <cell r="Q277" t="str">
            <v>R2K4         Industrial reducer</v>
          </cell>
          <cell r="R277" t="str">
            <v>1.0-1.2 mills</v>
          </cell>
          <cell r="S277" t="str">
            <v>Al Horno</v>
          </cell>
          <cell r="T277" t="str">
            <v>15' a 300°F</v>
          </cell>
          <cell r="U277" t="str">
            <v>757.28 Pies Cuadrados/Gl a 1 mills de espesor</v>
          </cell>
          <cell r="V277" t="str">
            <v>+80</v>
          </cell>
          <cell r="W277" t="str">
            <v>H</v>
          </cell>
          <cell r="X277" t="str">
            <v>6-12 meses</v>
          </cell>
          <cell r="Y277" t="str">
            <v>Industrias Metálicas S.A</v>
          </cell>
          <cell r="Z277" t="str">
            <v>Operadores</v>
          </cell>
          <cell r="AA277" t="str">
            <v>-</v>
          </cell>
          <cell r="AB277" t="str">
            <v>Luis Nolasco</v>
          </cell>
          <cell r="AC277">
            <v>34456</v>
          </cell>
        </row>
        <row r="278">
          <cell r="A278" t="str">
            <v>SAA 3999</v>
          </cell>
          <cell r="B278" t="str">
            <v>Esmalte horneable Alquídico Café Suave</v>
          </cell>
          <cell r="C278" t="str">
            <v>Interior-Exterior</v>
          </cell>
          <cell r="D278" t="str">
            <v>Hierro</v>
          </cell>
          <cell r="E278" t="str">
            <v>Limpio con Solvente</v>
          </cell>
          <cell r="F278" t="str">
            <v>Ninguno</v>
          </cell>
          <cell r="G278" t="str">
            <v>8.59 Lbs/Gl</v>
          </cell>
          <cell r="H278" t="str">
            <v>10.01%</v>
          </cell>
          <cell r="I278" t="str">
            <v>48.27%</v>
          </cell>
          <cell r="J278" t="str">
            <v>42.51%</v>
          </cell>
          <cell r="K278" t="str">
            <v>7.40%</v>
          </cell>
          <cell r="L278" t="str">
            <v>36.20%</v>
          </cell>
          <cell r="M278" t="str">
            <v>100"-110" Copa Zanh #2</v>
          </cell>
          <cell r="N278" t="str">
            <v>Pistola</v>
          </cell>
          <cell r="O278" t="str">
            <v>25"-30" Copa Zanh #2</v>
          </cell>
          <cell r="P278" t="str">
            <v>20-25%</v>
          </cell>
          <cell r="Q278" t="str">
            <v>R2K4         Industrial reducer</v>
          </cell>
          <cell r="R278" t="str">
            <v>1.0-1.2 mills</v>
          </cell>
          <cell r="S278" t="str">
            <v>Al Horno</v>
          </cell>
          <cell r="T278" t="str">
            <v>15' a 300°F</v>
          </cell>
          <cell r="U278" t="str">
            <v>772.32 Pies Cuadrados/Gl a 1 mills de espesor</v>
          </cell>
          <cell r="V278" t="str">
            <v>+80</v>
          </cell>
          <cell r="W278" t="str">
            <v>H</v>
          </cell>
          <cell r="X278" t="str">
            <v>6-12 meses</v>
          </cell>
          <cell r="Y278" t="str">
            <v>SW Costa Rica</v>
          </cell>
          <cell r="Z278" t="str">
            <v>-</v>
          </cell>
          <cell r="AA278" t="str">
            <v>-</v>
          </cell>
          <cell r="AB278" t="str">
            <v>Luis Nolasco</v>
          </cell>
          <cell r="AC278">
            <v>34477</v>
          </cell>
        </row>
        <row r="279">
          <cell r="A279" t="str">
            <v>SAA 4000</v>
          </cell>
          <cell r="B279" t="str">
            <v>Esmalte Horneable Alquídico Negro Satinado</v>
          </cell>
          <cell r="C279" t="str">
            <v>Interior-Exterior</v>
          </cell>
          <cell r="D279" t="str">
            <v>Hierro</v>
          </cell>
          <cell r="E279" t="str">
            <v>Limpio con Solvente</v>
          </cell>
          <cell r="F279" t="str">
            <v>Ninguno</v>
          </cell>
          <cell r="G279" t="str">
            <v>8.82 Lbs/Gl</v>
          </cell>
          <cell r="H279" t="str">
            <v>17.79%</v>
          </cell>
          <cell r="I279" t="str">
            <v>50.91%</v>
          </cell>
          <cell r="J279" t="str">
            <v>39.95%</v>
          </cell>
          <cell r="K279" t="str">
            <v>17.96%</v>
          </cell>
          <cell r="L279" t="str">
            <v>43.12%</v>
          </cell>
          <cell r="M279" t="str">
            <v>100"-110" Copa Zanh #2</v>
          </cell>
          <cell r="N279" t="str">
            <v>Pistola</v>
          </cell>
          <cell r="O279" t="str">
            <v>25"-30" Copa Zanh #2</v>
          </cell>
          <cell r="P279" t="str">
            <v>20-25%</v>
          </cell>
          <cell r="Q279" t="str">
            <v>R2K4         Industrial reducer</v>
          </cell>
          <cell r="R279" t="str">
            <v>1.0-1.2 mills</v>
          </cell>
          <cell r="S279" t="str">
            <v>Al Horno</v>
          </cell>
          <cell r="T279" t="str">
            <v>15' a 300°F</v>
          </cell>
          <cell r="U279" t="str">
            <v>814.56 Pies Cuadrados/Gl a 1 mills de espesor</v>
          </cell>
          <cell r="V279" t="str">
            <v>20-22</v>
          </cell>
          <cell r="W279" t="str">
            <v>H</v>
          </cell>
          <cell r="X279" t="str">
            <v>6-12 meses</v>
          </cell>
          <cell r="Y279" t="str">
            <v>SW Costa Rica</v>
          </cell>
          <cell r="Z279" t="str">
            <v>-</v>
          </cell>
          <cell r="AA279" t="str">
            <v>-</v>
          </cell>
          <cell r="AB279" t="str">
            <v>Luis Nolasco</v>
          </cell>
          <cell r="AC279">
            <v>34477</v>
          </cell>
        </row>
        <row r="280">
          <cell r="A280" t="str">
            <v>SAA 4005</v>
          </cell>
          <cell r="B280" t="str">
            <v xml:space="preserve">Esmalte horneable Alquídico Café Oscuro  </v>
          </cell>
          <cell r="C280" t="str">
            <v>Interior-Exterior</v>
          </cell>
          <cell r="D280" t="str">
            <v>Hierro</v>
          </cell>
          <cell r="E280" t="str">
            <v>Limpio con Solvente</v>
          </cell>
          <cell r="F280" t="str">
            <v>Ninguno</v>
          </cell>
          <cell r="G280" t="str">
            <v>8.29 Lbs/Gl</v>
          </cell>
          <cell r="H280" t="str">
            <v>6.12%</v>
          </cell>
          <cell r="I280" t="str">
            <v>45.77%</v>
          </cell>
          <cell r="J280" t="str">
            <v>42.24%</v>
          </cell>
          <cell r="K280" t="str">
            <v>4.53%</v>
          </cell>
          <cell r="L280" t="str">
            <v>35.11%</v>
          </cell>
          <cell r="M280" t="str">
            <v>100"-110" Copa Zanh #2</v>
          </cell>
          <cell r="N280" t="str">
            <v>Pistola</v>
          </cell>
          <cell r="O280" t="str">
            <v>25"-30" Copa Zanh #2</v>
          </cell>
          <cell r="P280" t="str">
            <v>20-25%</v>
          </cell>
          <cell r="Q280" t="str">
            <v>R2K4         Industrial reducer</v>
          </cell>
          <cell r="R280" t="str">
            <v>1.0-1.2 mills</v>
          </cell>
          <cell r="S280" t="str">
            <v>Al Horno</v>
          </cell>
          <cell r="T280" t="str">
            <v>15' a 300°F</v>
          </cell>
          <cell r="U280" t="str">
            <v>732.32 Pies Cuadrados/Gl a 1 mills de espesor</v>
          </cell>
          <cell r="V280" t="str">
            <v>+80</v>
          </cell>
          <cell r="W280" t="str">
            <v>H</v>
          </cell>
          <cell r="X280" t="str">
            <v>6-12 meses</v>
          </cell>
          <cell r="Y280" t="str">
            <v>SW Costa Rica</v>
          </cell>
          <cell r="Z280" t="str">
            <v>-</v>
          </cell>
          <cell r="AA280" t="str">
            <v>-</v>
          </cell>
          <cell r="AB280" t="str">
            <v>Luis Nolasco</v>
          </cell>
          <cell r="AC280">
            <v>34487</v>
          </cell>
        </row>
        <row r="281">
          <cell r="A281" t="str">
            <v>SAA 4006</v>
          </cell>
          <cell r="B281" t="str">
            <v>Esmalte Horneable Alquídico Naranja</v>
          </cell>
          <cell r="C281" t="str">
            <v>Interior-Exterior</v>
          </cell>
          <cell r="D281" t="str">
            <v>Hierro</v>
          </cell>
          <cell r="E281" t="str">
            <v>Limpio con Solvente</v>
          </cell>
          <cell r="F281" t="str">
            <v>Ninguno</v>
          </cell>
          <cell r="G281" t="str">
            <v>8.47 Lbs/Gl</v>
          </cell>
          <cell r="H281" t="str">
            <v>8.45%</v>
          </cell>
          <cell r="I281" t="str">
            <v>47.27%</v>
          </cell>
          <cell r="J281" t="str">
            <v>42.41%</v>
          </cell>
          <cell r="K281" t="str">
            <v>5.55%</v>
          </cell>
          <cell r="L281" t="str">
            <v>35.49%</v>
          </cell>
          <cell r="M281" t="str">
            <v>100"-110" Copa Zanh #2</v>
          </cell>
          <cell r="N281" t="str">
            <v>Pistola</v>
          </cell>
          <cell r="O281" t="str">
            <v>25"-30" Copa Zanh #2</v>
          </cell>
          <cell r="P281" t="str">
            <v>20-25%</v>
          </cell>
          <cell r="Q281" t="str">
            <v>R2K4         Industrial reducer</v>
          </cell>
          <cell r="R281" t="str">
            <v>1.0-1.2 mills</v>
          </cell>
          <cell r="S281" t="str">
            <v>Al Horno</v>
          </cell>
          <cell r="T281" t="str">
            <v>15' a 300°F</v>
          </cell>
          <cell r="U281" t="str">
            <v>756.32 Pies Cuadrados/Gl a 1 mills de espesor</v>
          </cell>
          <cell r="V281" t="str">
            <v>+80</v>
          </cell>
          <cell r="W281" t="str">
            <v>H</v>
          </cell>
          <cell r="X281" t="str">
            <v>6-12 meses</v>
          </cell>
          <cell r="Y281" t="str">
            <v>SW Costa Rica</v>
          </cell>
          <cell r="Z281" t="str">
            <v>-</v>
          </cell>
          <cell r="AA281" t="str">
            <v>-</v>
          </cell>
          <cell r="AB281" t="str">
            <v>Luis Nolasco</v>
          </cell>
          <cell r="AC281">
            <v>34487</v>
          </cell>
        </row>
        <row r="282">
          <cell r="A282" t="str">
            <v>SAA 4007</v>
          </cell>
          <cell r="B282" t="str">
            <v>Esmalte Horneable Alquídico Verde Metálico</v>
          </cell>
          <cell r="C282" t="str">
            <v>Interior-Exterior</v>
          </cell>
          <cell r="D282" t="str">
            <v>Hierro</v>
          </cell>
          <cell r="E282" t="str">
            <v>Limpio con Solvente</v>
          </cell>
          <cell r="F282" t="str">
            <v>Ninguno</v>
          </cell>
          <cell r="G282" t="str">
            <v>7.98 Lbs/Gl</v>
          </cell>
          <cell r="H282" t="str">
            <v>2.49%</v>
          </cell>
          <cell r="I282" t="str">
            <v>43.92%</v>
          </cell>
          <cell r="J282" t="str">
            <v>42.48%</v>
          </cell>
          <cell r="K282" t="str">
            <v>1.95%</v>
          </cell>
          <cell r="L282" t="str">
            <v>33.86%</v>
          </cell>
          <cell r="M282" t="str">
            <v>100"-110" Copa Zanh #2</v>
          </cell>
          <cell r="N282" t="str">
            <v>Pistola</v>
          </cell>
          <cell r="O282" t="str">
            <v>25"-30" Copa Zanh #2</v>
          </cell>
          <cell r="P282" t="str">
            <v>20-25%</v>
          </cell>
          <cell r="Q282" t="str">
            <v>R2K4         Industrial reducer</v>
          </cell>
          <cell r="R282" t="str">
            <v>1.0-1.2 mills</v>
          </cell>
          <cell r="S282" t="str">
            <v>Al Horno</v>
          </cell>
          <cell r="T282" t="str">
            <v>15' a 300°F</v>
          </cell>
          <cell r="U282" t="str">
            <v>702.72 Pies Cuadrados/Gl a 1 mills de espesor</v>
          </cell>
          <cell r="V282" t="str">
            <v>+80</v>
          </cell>
          <cell r="W282" t="str">
            <v>H</v>
          </cell>
          <cell r="X282" t="str">
            <v>6-12 meses</v>
          </cell>
          <cell r="Y282" t="str">
            <v>SW Costa Rica</v>
          </cell>
          <cell r="Z282" t="str">
            <v>-</v>
          </cell>
          <cell r="AA282" t="str">
            <v>-</v>
          </cell>
          <cell r="AB282" t="str">
            <v>Luis Nolasco</v>
          </cell>
          <cell r="AC282">
            <v>34487</v>
          </cell>
        </row>
        <row r="283">
          <cell r="A283" t="str">
            <v>SAA 4008</v>
          </cell>
          <cell r="B283" t="str">
            <v>Esmalte Horneable Alquídico Gris Oscuro</v>
          </cell>
          <cell r="C283" t="str">
            <v>Interior-Exterior</v>
          </cell>
          <cell r="D283" t="str">
            <v>Hierro</v>
          </cell>
          <cell r="E283" t="str">
            <v>Limpio con Solvente</v>
          </cell>
          <cell r="F283" t="str">
            <v>Ninguno</v>
          </cell>
          <cell r="G283" t="str">
            <v>8.43 Lbs/Gl</v>
          </cell>
          <cell r="H283" t="str">
            <v>8.25%</v>
          </cell>
          <cell r="I283" t="str">
            <v>47.26%</v>
          </cell>
          <cell r="J283" t="str">
            <v>42.58%</v>
          </cell>
          <cell r="K283" t="str">
            <v>6.45%</v>
          </cell>
          <cell r="L283" t="str">
            <v>35.83%</v>
          </cell>
          <cell r="M283" t="str">
            <v>100"-110" Copa Zanh #2</v>
          </cell>
          <cell r="N283" t="str">
            <v>Pistola</v>
          </cell>
          <cell r="O283" t="str">
            <v>25"-30" Copa Zanh #2</v>
          </cell>
          <cell r="P283" t="str">
            <v>20-25%</v>
          </cell>
          <cell r="Q283" t="str">
            <v>R2K4         Industrial reducer</v>
          </cell>
          <cell r="R283" t="str">
            <v>1.0-1.2 mills</v>
          </cell>
          <cell r="S283" t="str">
            <v>Al Horno</v>
          </cell>
          <cell r="T283" t="str">
            <v>15' a 300°F</v>
          </cell>
          <cell r="U283" t="str">
            <v>761.92 Pies Cuadrados/Gl a 1 mills de espesor</v>
          </cell>
          <cell r="V283" t="str">
            <v>+80</v>
          </cell>
          <cell r="W283" t="str">
            <v>H</v>
          </cell>
          <cell r="X283" t="str">
            <v>6-12 meses</v>
          </cell>
          <cell r="Y283" t="str">
            <v>SW Costa Rica</v>
          </cell>
          <cell r="Z283" t="str">
            <v>-</v>
          </cell>
          <cell r="AA283" t="str">
            <v>-</v>
          </cell>
          <cell r="AB283" t="str">
            <v>Luis Nolasco</v>
          </cell>
          <cell r="AC283">
            <v>34487</v>
          </cell>
        </row>
        <row r="284">
          <cell r="A284" t="str">
            <v>SAA 4009</v>
          </cell>
          <cell r="B284" t="str">
            <v xml:space="preserve">Esmalte Horneable Alquídico Azul Intenso  </v>
          </cell>
          <cell r="C284" t="str">
            <v>Interior-Exterior</v>
          </cell>
          <cell r="D284" t="str">
            <v>Hierro</v>
          </cell>
          <cell r="E284" t="str">
            <v>Limpio con Solvente</v>
          </cell>
          <cell r="F284" t="str">
            <v>Ninguno</v>
          </cell>
          <cell r="G284" t="str">
            <v>8.44 Lbs/Gl</v>
          </cell>
          <cell r="H284" t="str">
            <v>9.07%</v>
          </cell>
          <cell r="I284" t="str">
            <v>48.03%</v>
          </cell>
          <cell r="J284" t="str">
            <v>42.84%</v>
          </cell>
          <cell r="K284" t="str">
            <v>9.18%</v>
          </cell>
          <cell r="L284" t="str">
            <v>36.91%</v>
          </cell>
          <cell r="M284" t="str">
            <v>100"-110" Copa Zanh #2</v>
          </cell>
          <cell r="N284" t="str">
            <v>Pistola</v>
          </cell>
          <cell r="O284" t="str">
            <v>25"-30" Copa Zanh #2</v>
          </cell>
          <cell r="P284" t="str">
            <v>20-25%</v>
          </cell>
          <cell r="Q284" t="str">
            <v>R2K4         Industrial reducer</v>
          </cell>
          <cell r="R284" t="str">
            <v>1.0-1.2 mills</v>
          </cell>
          <cell r="S284" t="str">
            <v>Al Horno</v>
          </cell>
          <cell r="T284" t="str">
            <v>15' a 300°F</v>
          </cell>
          <cell r="U284" t="str">
            <v>768.48 Pies Cuadrados/Gl a 1 mills de espesor</v>
          </cell>
          <cell r="V284" t="str">
            <v>+80</v>
          </cell>
          <cell r="W284" t="str">
            <v>H</v>
          </cell>
          <cell r="X284" t="str">
            <v>6-12 meses</v>
          </cell>
          <cell r="Y284" t="str">
            <v>SW Costa Rica</v>
          </cell>
          <cell r="Z284" t="str">
            <v>-</v>
          </cell>
          <cell r="AA284" t="str">
            <v>-</v>
          </cell>
          <cell r="AB284" t="str">
            <v>Luis Nolasco</v>
          </cell>
          <cell r="AC284">
            <v>34498</v>
          </cell>
        </row>
        <row r="285">
          <cell r="A285" t="str">
            <v>F73BSA14</v>
          </cell>
          <cell r="B285" t="str">
            <v>Esmalte Horneable Negro Semibrillante</v>
          </cell>
          <cell r="C285" t="str">
            <v>Interior-Exterior</v>
          </cell>
          <cell r="D285" t="str">
            <v>Hierro</v>
          </cell>
          <cell r="E285" t="str">
            <v>Limpieza con R2K4, Desengrase, Fosfatizado</v>
          </cell>
          <cell r="F285" t="str">
            <v>Ninguno</v>
          </cell>
          <cell r="G285" t="str">
            <v>8.73 Lbs/Gl</v>
          </cell>
          <cell r="H285" t="str">
            <v>16.27%</v>
          </cell>
          <cell r="I285" t="str">
            <v>49.50%</v>
          </cell>
          <cell r="J285" t="str">
            <v>34.94%</v>
          </cell>
          <cell r="K285" t="str">
            <v>18.97%</v>
          </cell>
          <cell r="L285" t="str">
            <v>36.43%</v>
          </cell>
          <cell r="M285" t="str">
            <v>100"-110" Copa Zanh #2</v>
          </cell>
          <cell r="N285" t="str">
            <v>Pistola</v>
          </cell>
          <cell r="O285" t="str">
            <v>20"-25" Copa Zanh #2</v>
          </cell>
          <cell r="P285" t="str">
            <v>20-25%</v>
          </cell>
          <cell r="Q285" t="str">
            <v>R2K4         Industrial reducer</v>
          </cell>
          <cell r="R285" t="str">
            <v>1.2-1.5 mills</v>
          </cell>
          <cell r="S285" t="str">
            <v>Al Horno</v>
          </cell>
          <cell r="T285" t="str">
            <v>15' a 300°F</v>
          </cell>
          <cell r="U285" t="str">
            <v>792 Pies Cuadrados/Gl a 1 mills de espesor</v>
          </cell>
          <cell r="V285" t="str">
            <v>40-45</v>
          </cell>
          <cell r="W285" t="str">
            <v>H</v>
          </cell>
          <cell r="X285" t="str">
            <v>6-12 meses</v>
          </cell>
          <cell r="Y285" t="str">
            <v>IMSA</v>
          </cell>
          <cell r="Z285" t="str">
            <v>Muebles Metálicos</v>
          </cell>
          <cell r="AA285" t="str">
            <v>-</v>
          </cell>
          <cell r="AB285" t="str">
            <v>Luis Nolasco</v>
          </cell>
          <cell r="AC285">
            <v>34773</v>
          </cell>
        </row>
        <row r="286">
          <cell r="A286" t="str">
            <v>SAA 4596</v>
          </cell>
          <cell r="B286" t="str">
            <v>Esmalte Horneable Alquidico Económico Beige</v>
          </cell>
          <cell r="C286" t="str">
            <v>Interior-Exterior</v>
          </cell>
          <cell r="D286" t="str">
            <v>Hierro</v>
          </cell>
          <cell r="E286" t="str">
            <v>Limpieza y Desengrase</v>
          </cell>
          <cell r="F286" t="str">
            <v>Ninguno</v>
          </cell>
          <cell r="G286" t="str">
            <v>8.12 Lbs/Gl</v>
          </cell>
          <cell r="H286" t="str">
            <v>10.95%</v>
          </cell>
          <cell r="I286" t="str">
            <v>47.43%</v>
          </cell>
          <cell r="J286" t="str">
            <v>41.52%</v>
          </cell>
          <cell r="K286" t="str">
            <v>7.52%</v>
          </cell>
          <cell r="L286" t="str">
            <v>35.36%</v>
          </cell>
          <cell r="M286" t="str">
            <v>50"-60" Copa Zanh #2</v>
          </cell>
          <cell r="N286" t="str">
            <v>Pistola</v>
          </cell>
          <cell r="O286" t="str">
            <v>16"-18" Copa Zanh #2</v>
          </cell>
          <cell r="P286" t="str">
            <v>10-15%</v>
          </cell>
          <cell r="Q286" t="str">
            <v>R2K4         Industrial reducer</v>
          </cell>
          <cell r="R286" t="str">
            <v>1 mills</v>
          </cell>
          <cell r="S286" t="str">
            <v>Al Horno</v>
          </cell>
          <cell r="T286" t="str">
            <v>15' a 300°F</v>
          </cell>
          <cell r="U286" t="str">
            <v>758.88 Pies Cuadrados/Gl a 1 mills de espesor</v>
          </cell>
          <cell r="V286" t="str">
            <v>+85</v>
          </cell>
          <cell r="W286" t="str">
            <v>H</v>
          </cell>
          <cell r="X286" t="str">
            <v>6-12 meses</v>
          </cell>
          <cell r="Y286" t="str">
            <v>SW Costa Rica</v>
          </cell>
          <cell r="Z286" t="str">
            <v>-</v>
          </cell>
          <cell r="AA286" t="str">
            <v>-</v>
          </cell>
          <cell r="AB286" t="str">
            <v>Luis Nolasco</v>
          </cell>
          <cell r="AC286">
            <v>35828</v>
          </cell>
        </row>
        <row r="287">
          <cell r="A287" t="str">
            <v>SAA 4597</v>
          </cell>
          <cell r="B287" t="str">
            <v>Esmalte Horneable Alquidico Económico Gris Oscuro</v>
          </cell>
          <cell r="C287" t="str">
            <v>Interior-Exterior</v>
          </cell>
          <cell r="D287" t="str">
            <v>Hierro</v>
          </cell>
          <cell r="E287" t="str">
            <v>Limpieza y Desengrase</v>
          </cell>
          <cell r="F287" t="str">
            <v>Ninguno</v>
          </cell>
          <cell r="G287" t="str">
            <v>8.0 Lbs/Gl</v>
          </cell>
          <cell r="H287" t="str">
            <v>9.32%</v>
          </cell>
          <cell r="I287" t="str">
            <v>46.87%</v>
          </cell>
          <cell r="J287" t="str">
            <v>41.42%</v>
          </cell>
          <cell r="K287" t="str">
            <v>6.68%</v>
          </cell>
          <cell r="L287" t="str">
            <v>35.04%</v>
          </cell>
          <cell r="M287" t="str">
            <v>50"-60" Copa Zanh #2</v>
          </cell>
          <cell r="N287" t="str">
            <v>Pistola</v>
          </cell>
          <cell r="O287" t="str">
            <v>16"-18" Copa Zanh #2</v>
          </cell>
          <cell r="P287" t="str">
            <v>10-15%</v>
          </cell>
          <cell r="Q287" t="str">
            <v>R2K4         Industrial reducer</v>
          </cell>
          <cell r="R287" t="str">
            <v>1 mills</v>
          </cell>
          <cell r="S287" t="str">
            <v>Al Horno</v>
          </cell>
          <cell r="T287" t="str">
            <v>15' a 300°F</v>
          </cell>
          <cell r="U287" t="str">
            <v>749.92 Pies Cuadrados/Gl a 1 mills de espesor</v>
          </cell>
          <cell r="V287" t="str">
            <v>+85</v>
          </cell>
          <cell r="W287" t="str">
            <v>H</v>
          </cell>
          <cell r="X287" t="str">
            <v>6-12 meses</v>
          </cell>
          <cell r="Y287" t="str">
            <v>SW Costa Rica</v>
          </cell>
          <cell r="Z287" t="str">
            <v>-</v>
          </cell>
          <cell r="AA287" t="str">
            <v>-</v>
          </cell>
          <cell r="AB287" t="str">
            <v>Luis Nolasco</v>
          </cell>
          <cell r="AC287">
            <v>35828</v>
          </cell>
        </row>
        <row r="288">
          <cell r="A288" t="str">
            <v>SAA 4599</v>
          </cell>
          <cell r="B288" t="str">
            <v>Oil Stain Café Oscuro</v>
          </cell>
          <cell r="C288" t="str">
            <v>Interior</v>
          </cell>
          <cell r="D288" t="str">
            <v>Madera</v>
          </cell>
          <cell r="E288" t="str">
            <v>Lijada</v>
          </cell>
          <cell r="F288" t="str">
            <v>Ninguno</v>
          </cell>
          <cell r="G288" t="str">
            <v>7.27 Lbs/Gl</v>
          </cell>
          <cell r="H288" t="str">
            <v>6.99%</v>
          </cell>
          <cell r="I288" t="str">
            <v>24.48%</v>
          </cell>
          <cell r="J288" t="str">
            <v>18.81%</v>
          </cell>
          <cell r="K288" t="str">
            <v>10%</v>
          </cell>
          <cell r="L288" t="str">
            <v>16.20%</v>
          </cell>
          <cell r="M288" t="str">
            <v>9"-11" Copa Ford #4</v>
          </cell>
          <cell r="N288" t="str">
            <v>Brocha-Chupón</v>
          </cell>
          <cell r="O288" t="str">
            <v>9"-11" Copa Ford #4</v>
          </cell>
          <cell r="P288" t="str">
            <v>-</v>
          </cell>
          <cell r="Q288" t="str">
            <v>-</v>
          </cell>
          <cell r="R288" t="str">
            <v>-</v>
          </cell>
          <cell r="S288" t="str">
            <v>Al Aire</v>
          </cell>
          <cell r="T288" t="str">
            <v>-</v>
          </cell>
          <cell r="U288" t="str">
            <v>391.68 Pies Cuadrados/Gl a 1 mills de espesor</v>
          </cell>
          <cell r="V288" t="str">
            <v>-</v>
          </cell>
          <cell r="W288" t="str">
            <v>-</v>
          </cell>
          <cell r="X288" t="str">
            <v>6-12 meses</v>
          </cell>
          <cell r="Y288" t="str">
            <v>MADECORT(El Salvador)    SW Nicaragua.</v>
          </cell>
          <cell r="Z288" t="str">
            <v>Muebles de Madera.</v>
          </cell>
          <cell r="AA288" t="str">
            <v>-</v>
          </cell>
          <cell r="AB288" t="str">
            <v>Luis Nolasco</v>
          </cell>
          <cell r="AC288">
            <v>35830</v>
          </cell>
        </row>
        <row r="289">
          <cell r="A289" t="str">
            <v>SAA 4600</v>
          </cell>
          <cell r="B289" t="str">
            <v>Oil Stain Café Oscuro</v>
          </cell>
          <cell r="C289" t="str">
            <v>Interior</v>
          </cell>
          <cell r="D289" t="str">
            <v>Madera</v>
          </cell>
          <cell r="E289" t="str">
            <v>Lijada</v>
          </cell>
          <cell r="F289" t="str">
            <v>Ninguno</v>
          </cell>
          <cell r="G289" t="str">
            <v>7.33 Lbs/Gl</v>
          </cell>
          <cell r="H289" t="str">
            <v>8.29%</v>
          </cell>
          <cell r="I289" t="str">
            <v>25.64%</v>
          </cell>
          <cell r="J289" t="str">
            <v>18.98%</v>
          </cell>
          <cell r="K289" t="str">
            <v>12.90%</v>
          </cell>
          <cell r="L289" t="str">
            <v>16.74%</v>
          </cell>
          <cell r="M289" t="str">
            <v>9"-11" Copa Ford #4</v>
          </cell>
          <cell r="N289" t="str">
            <v>Brocha-Chupón</v>
          </cell>
          <cell r="O289" t="str">
            <v>9"-11" Copa Ford #4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Al Aire</v>
          </cell>
          <cell r="T289" t="str">
            <v>-</v>
          </cell>
          <cell r="U289" t="str">
            <v>410.24 Pies Cuadrados/Gl a 1 mills de espesor</v>
          </cell>
          <cell r="V289" t="str">
            <v>-</v>
          </cell>
          <cell r="W289" t="str">
            <v>-</v>
          </cell>
          <cell r="X289" t="str">
            <v>6-12 meses</v>
          </cell>
          <cell r="Y289" t="str">
            <v>MADECORT</v>
          </cell>
          <cell r="Z289" t="str">
            <v>Muebles de Madera.</v>
          </cell>
          <cell r="AA289" t="str">
            <v>-</v>
          </cell>
          <cell r="AB289" t="str">
            <v>Luis Nolasco</v>
          </cell>
          <cell r="AC289">
            <v>35830</v>
          </cell>
        </row>
        <row r="290">
          <cell r="A290" t="str">
            <v>SAA 4601</v>
          </cell>
          <cell r="B290" t="str">
            <v>Primer Poliuretano Blanco Para Madera</v>
          </cell>
          <cell r="C290" t="str">
            <v>Interior</v>
          </cell>
          <cell r="D290" t="str">
            <v>Madera</v>
          </cell>
          <cell r="E290" t="str">
            <v>Lijada, Limpia y Seca</v>
          </cell>
          <cell r="F290" t="str">
            <v>-</v>
          </cell>
          <cell r="G290" t="str">
            <v>8.40 Lbs/Gl</v>
          </cell>
          <cell r="H290" t="str">
            <v>14.81%</v>
          </cell>
          <cell r="I290" t="str">
            <v>34.32%</v>
          </cell>
          <cell r="J290" t="str">
            <v>22.90%</v>
          </cell>
          <cell r="K290" t="str">
            <v>22.54%</v>
          </cell>
          <cell r="L290" t="str">
            <v>27.51%</v>
          </cell>
          <cell r="M290" t="str">
            <v>50"-55" Copa Ford #4</v>
          </cell>
          <cell r="N290" t="str">
            <v>Pistola</v>
          </cell>
          <cell r="O290" t="str">
            <v>18"-20" Copa Ford #4</v>
          </cell>
          <cell r="P290" t="str">
            <v>25%</v>
          </cell>
          <cell r="Q290" t="str">
            <v>R7K1499 Reductor Universal Medio #3</v>
          </cell>
          <cell r="R290" t="str">
            <v>1 mills</v>
          </cell>
          <cell r="S290" t="str">
            <v>Al Aire (Catalizar con 1/16 por Galón con V6V690)</v>
          </cell>
          <cell r="T290" t="str">
            <v>-</v>
          </cell>
          <cell r="U290" t="str">
            <v>549.12 Pies Cuadrados/Gl a 1 mills de espesor</v>
          </cell>
          <cell r="V290" t="str">
            <v>-</v>
          </cell>
          <cell r="W290" t="str">
            <v>-</v>
          </cell>
          <cell r="X290" t="str">
            <v>3 Años</v>
          </cell>
          <cell r="Y290" t="str">
            <v>Varios</v>
          </cell>
          <cell r="Z290" t="str">
            <v>Muebles de Madera.</v>
          </cell>
          <cell r="AA290" t="str">
            <v>-</v>
          </cell>
          <cell r="AB290" t="str">
            <v>Luis Nolasco</v>
          </cell>
          <cell r="AC290">
            <v>35849</v>
          </cell>
        </row>
        <row r="291">
          <cell r="A291" t="str">
            <v>SAA 4602</v>
          </cell>
          <cell r="B291" t="str">
            <v>Poliuretano Blanco Para Madera</v>
          </cell>
          <cell r="C291" t="str">
            <v>Interior</v>
          </cell>
          <cell r="D291" t="str">
            <v>Madera</v>
          </cell>
          <cell r="E291" t="str">
            <v>Lijada, Limpia y Seca</v>
          </cell>
          <cell r="F291" t="str">
            <v>SAA 4601</v>
          </cell>
          <cell r="G291" t="str">
            <v>8.25 Lbs/Gl</v>
          </cell>
          <cell r="H291" t="str">
            <v>9.90%</v>
          </cell>
          <cell r="I291" t="str">
            <v>29.79%</v>
          </cell>
          <cell r="J291" t="str">
            <v>22.07%</v>
          </cell>
          <cell r="K291" t="str">
            <v>10.55%</v>
          </cell>
          <cell r="L291" t="str">
            <v>23.89%</v>
          </cell>
          <cell r="M291" t="str">
            <v>22"-26" Copa Ford #4</v>
          </cell>
          <cell r="N291" t="str">
            <v>Pistola</v>
          </cell>
          <cell r="O291" t="str">
            <v>18"-20" Copa Ford #4</v>
          </cell>
          <cell r="P291" t="str">
            <v>10%</v>
          </cell>
          <cell r="Q291" t="str">
            <v>R7K1499 Reductor Universal Medio #3</v>
          </cell>
          <cell r="R291" t="str">
            <v>1 mills</v>
          </cell>
          <cell r="S291" t="str">
            <v>Al Aire (Catalizar con 1/16 por Galón con V6V690)</v>
          </cell>
          <cell r="T291" t="str">
            <v>-</v>
          </cell>
          <cell r="U291" t="str">
            <v>476.64 Pies Cuadrados/Gl a 1 mills de espesor</v>
          </cell>
          <cell r="V291" t="str">
            <v>+80</v>
          </cell>
          <cell r="W291" t="str">
            <v>-</v>
          </cell>
          <cell r="X291" t="str">
            <v>3 Años</v>
          </cell>
          <cell r="Y291" t="str">
            <v>Varios</v>
          </cell>
          <cell r="Z291" t="str">
            <v>Muebles de Madera.</v>
          </cell>
          <cell r="AA291" t="str">
            <v>-</v>
          </cell>
          <cell r="AB291" t="str">
            <v>Luis Nolasco</v>
          </cell>
          <cell r="AC291">
            <v>35849</v>
          </cell>
        </row>
        <row r="292">
          <cell r="A292" t="str">
            <v>E60FSA1 (1)</v>
          </cell>
          <cell r="B292" t="str">
            <v>Sellador Poliuretano Para Madera</v>
          </cell>
          <cell r="C292" t="str">
            <v>Interior</v>
          </cell>
          <cell r="D292" t="str">
            <v>Madera</v>
          </cell>
          <cell r="E292" t="str">
            <v>Lijado + Tapaporo + Tintes</v>
          </cell>
          <cell r="F292" t="str">
            <v>Mismo</v>
          </cell>
          <cell r="G292" t="str">
            <v>7.73 Lbs/Gl</v>
          </cell>
          <cell r="H292" t="str">
            <v>3.23%</v>
          </cell>
          <cell r="I292" t="str">
            <v>24.4% (Catalizado 27.20%)</v>
          </cell>
          <cell r="J292" t="str">
            <v>21.17%</v>
          </cell>
          <cell r="K292" t="str">
            <v>12.85%</v>
          </cell>
          <cell r="L292" t="str">
            <v>17.88% (Catalizado 20.46)</v>
          </cell>
          <cell r="M292" t="str">
            <v>18"-20" Copa Ford #4</v>
          </cell>
          <cell r="N292" t="str">
            <v>Pistola</v>
          </cell>
          <cell r="O292" t="str">
            <v>18"-20" Copa Ford #4</v>
          </cell>
          <cell r="P292" t="str">
            <v>Ninguno</v>
          </cell>
          <cell r="Q292" t="str">
            <v>Ninguno</v>
          </cell>
          <cell r="R292" t="str">
            <v>2 mills</v>
          </cell>
          <cell r="S292" t="str">
            <v>45 Minutos</v>
          </cell>
          <cell r="T292" t="str">
            <v>Catalizado con 1/16 de V6V690</v>
          </cell>
          <cell r="U292" t="str">
            <v>13.37 Mts Cuadrados/Gl a 2 mills de Espesor</v>
          </cell>
          <cell r="V292" t="str">
            <v>20 Unidades</v>
          </cell>
          <cell r="W292" t="str">
            <v>HB</v>
          </cell>
          <cell r="X292" t="str">
            <v>3 Años</v>
          </cell>
          <cell r="Y292" t="str">
            <v>-</v>
          </cell>
          <cell r="Z292" t="str">
            <v>-</v>
          </cell>
          <cell r="AA292" t="str">
            <v>-</v>
          </cell>
          <cell r="AB292" t="str">
            <v>Anabella de Mayorga</v>
          </cell>
          <cell r="AC292">
            <v>35858</v>
          </cell>
        </row>
        <row r="293">
          <cell r="A293" t="str">
            <v>F74C51 (1)</v>
          </cell>
          <cell r="B293" t="str">
            <v>Barniz Poliuretano Brillante Para Madera</v>
          </cell>
          <cell r="C293" t="str">
            <v>Interior</v>
          </cell>
          <cell r="D293" t="str">
            <v>Madera</v>
          </cell>
          <cell r="E293" t="str">
            <v>Lijado + Tapaporo + Tintes + Sellador</v>
          </cell>
          <cell r="F293" t="str">
            <v>Sellador Poliuretano E60FSA1</v>
          </cell>
          <cell r="G293" t="str">
            <v>7.88 Lbs/Gl</v>
          </cell>
          <cell r="H293" t="str">
            <v>-</v>
          </cell>
          <cell r="I293" t="str">
            <v>21.94% (Catalizado 24.92%)</v>
          </cell>
          <cell r="J293" t="str">
            <v>21.94%</v>
          </cell>
          <cell r="K293" t="str">
            <v>-</v>
          </cell>
          <cell r="L293" t="str">
            <v>15.77% (Catalizado 18.38%)</v>
          </cell>
          <cell r="M293" t="str">
            <v>18"-20" Copa Ford #4</v>
          </cell>
          <cell r="N293" t="str">
            <v>Pistola</v>
          </cell>
          <cell r="O293" t="str">
            <v>18"-20" Copa Ford #4</v>
          </cell>
          <cell r="P293" t="str">
            <v>Ninguno</v>
          </cell>
          <cell r="Q293" t="str">
            <v>Ninguno</v>
          </cell>
          <cell r="R293" t="str">
            <v>2 mills</v>
          </cell>
          <cell r="S293" t="str">
            <v>30 Minutos Al Aire</v>
          </cell>
          <cell r="T293" t="str">
            <v>Catalizado con 1/16 de V6V690</v>
          </cell>
          <cell r="U293" t="str">
            <v>11.72 Mts Cuadrados/Gl a 2 mills de Espesor</v>
          </cell>
          <cell r="V293" t="str">
            <v>80 Unidades</v>
          </cell>
          <cell r="W293" t="str">
            <v>HB</v>
          </cell>
          <cell r="X293" t="str">
            <v>3 Años</v>
          </cell>
          <cell r="Y293" t="str">
            <v>-</v>
          </cell>
          <cell r="Z293" t="str">
            <v>-</v>
          </cell>
          <cell r="AA293" t="str">
            <v>-</v>
          </cell>
          <cell r="AB293" t="str">
            <v>Anabella de Mayorga</v>
          </cell>
          <cell r="AC293">
            <v>35858</v>
          </cell>
        </row>
        <row r="294">
          <cell r="A294" t="str">
            <v>F74FSA1 (1)</v>
          </cell>
          <cell r="B294" t="str">
            <v>Barniz Poliuretano Mate Para Madera</v>
          </cell>
          <cell r="C294" t="str">
            <v>Interior</v>
          </cell>
          <cell r="D294" t="str">
            <v>Madera</v>
          </cell>
          <cell r="E294" t="str">
            <v>Lijado + Tapaporo + Tintes + Sellador</v>
          </cell>
          <cell r="F294" t="str">
            <v>Sellador Poliuretano E60FSA1</v>
          </cell>
          <cell r="G294" t="str">
            <v>7.88 Lbs/Gl</v>
          </cell>
          <cell r="H294" t="str">
            <v>5.82%</v>
          </cell>
          <cell r="I294" t="str">
            <v>25.99% (Catalizado 28.63%)</v>
          </cell>
          <cell r="J294" t="str">
            <v>20.17%</v>
          </cell>
          <cell r="K294" t="str">
            <v>14.63%</v>
          </cell>
          <cell r="L294" t="str">
            <v>18.05% (Catalizado 20.53%)</v>
          </cell>
          <cell r="M294" t="str">
            <v>18"-20" Copa Ford #4</v>
          </cell>
          <cell r="N294" t="str">
            <v>Pistola</v>
          </cell>
          <cell r="O294" t="str">
            <v>18"-20" Copa Ford #4</v>
          </cell>
          <cell r="P294" t="str">
            <v>Ninguno</v>
          </cell>
          <cell r="Q294" t="str">
            <v>Ninguno</v>
          </cell>
          <cell r="R294" t="str">
            <v>2 mills</v>
          </cell>
          <cell r="S294" t="str">
            <v>30 Minutos Al Aire</v>
          </cell>
          <cell r="T294" t="str">
            <v>Catalizado con 1/16 de V6V690</v>
          </cell>
          <cell r="U294" t="str">
            <v>13.42 Mts Cuadrados/Gl a 2 mills de Espesor</v>
          </cell>
          <cell r="V294" t="str">
            <v>5-7 Unidades</v>
          </cell>
          <cell r="W294" t="str">
            <v>HB</v>
          </cell>
          <cell r="X294" t="str">
            <v>3 Años</v>
          </cell>
          <cell r="Y294" t="str">
            <v>-</v>
          </cell>
          <cell r="Z294" t="str">
            <v>-</v>
          </cell>
          <cell r="AA294" t="str">
            <v>-</v>
          </cell>
          <cell r="AB294" t="str">
            <v>Anabella de Mayorga</v>
          </cell>
          <cell r="AC294">
            <v>35858</v>
          </cell>
        </row>
        <row r="295">
          <cell r="A295" t="str">
            <v>F63FSA2</v>
          </cell>
          <cell r="B295" t="str">
            <v>Barniz Poliuretano Satinado</v>
          </cell>
          <cell r="C295" t="str">
            <v>Interior</v>
          </cell>
          <cell r="D295" t="str">
            <v>Madera</v>
          </cell>
          <cell r="E295" t="str">
            <v>Lijado+Tapaporo+Tinte+Primer E65</v>
          </cell>
          <cell r="F295" t="str">
            <v>Poliuretano E65FSA1</v>
          </cell>
          <cell r="G295" t="str">
            <v>7.89Lbs/Gl</v>
          </cell>
          <cell r="H295" t="str">
            <v>1.29%</v>
          </cell>
          <cell r="I295" t="str">
            <v>23.44%</v>
          </cell>
          <cell r="J295" t="str">
            <v>22.44%</v>
          </cell>
          <cell r="K295" t="str">
            <v>3.27%</v>
          </cell>
          <cell r="L295" t="str">
            <v>16.82%</v>
          </cell>
          <cell r="M295" t="str">
            <v>18"-20" Copa Ford #4</v>
          </cell>
          <cell r="N295" t="str">
            <v>Pistola</v>
          </cell>
          <cell r="O295" t="str">
            <v>18"-20" Copa Ford #4</v>
          </cell>
          <cell r="P295" t="str">
            <v>Ninguno</v>
          </cell>
          <cell r="Q295" t="str">
            <v>NINGUNO</v>
          </cell>
          <cell r="R295" t="str">
            <v>1 mills</v>
          </cell>
          <cell r="S295" t="str">
            <v>Al Aire</v>
          </cell>
          <cell r="T295" t="str">
            <v>-</v>
          </cell>
          <cell r="U295" t="str">
            <v>375.04 Pies Cuadrados/Gl a 1 mills de espesor</v>
          </cell>
          <cell r="V295" t="str">
            <v>38-42</v>
          </cell>
          <cell r="W295" t="str">
            <v>-</v>
          </cell>
          <cell r="X295" t="str">
            <v>3 Años</v>
          </cell>
          <cell r="Y295" t="str">
            <v>Muebles Capri</v>
          </cell>
          <cell r="Z295" t="str">
            <v>Muebles de Madera.</v>
          </cell>
          <cell r="AA295" t="str">
            <v>-</v>
          </cell>
          <cell r="AB295" t="str">
            <v>Luis Nolasco</v>
          </cell>
          <cell r="AC295" t="str">
            <v xml:space="preserve">´MARZO 5 DE 1998 </v>
          </cell>
        </row>
        <row r="296">
          <cell r="A296" t="str">
            <v>SAA 4612</v>
          </cell>
          <cell r="B296" t="str">
            <v>Sher Wood 500 Café Especial</v>
          </cell>
          <cell r="C296" t="str">
            <v>Interior</v>
          </cell>
          <cell r="D296" t="str">
            <v>Madera</v>
          </cell>
          <cell r="E296" t="str">
            <v>Lijada, Limpia y Seca</v>
          </cell>
          <cell r="F296" t="str">
            <v>Ninguno</v>
          </cell>
          <cell r="G296" t="str">
            <v>6.72 Lbs/Gl</v>
          </cell>
          <cell r="H296" t="str">
            <v>2.38%</v>
          </cell>
          <cell r="I296" t="str">
            <v>2.38%</v>
          </cell>
          <cell r="J296" t="str">
            <v>-</v>
          </cell>
          <cell r="K296" t="str">
            <v>1.34%</v>
          </cell>
          <cell r="L296" t="str">
            <v>1.34%</v>
          </cell>
          <cell r="M296" t="str">
            <v>-</v>
          </cell>
          <cell r="N296" t="str">
            <v>Pistola-Inmersión-Brocha-Chupón</v>
          </cell>
          <cell r="O296" t="str">
            <v>-</v>
          </cell>
          <cell r="P296" t="str">
            <v>200-1000%</v>
          </cell>
          <cell r="Q296" t="str">
            <v>R6K1 Thinner Para Tintes Al Alcohol</v>
          </cell>
          <cell r="R296" t="str">
            <v>-</v>
          </cell>
          <cell r="S296" t="str">
            <v>Al Aire</v>
          </cell>
          <cell r="T296" t="str">
            <v>-</v>
          </cell>
          <cell r="U296" t="str">
            <v>-</v>
          </cell>
          <cell r="V296" t="str">
            <v>Mate</v>
          </cell>
          <cell r="W296" t="str">
            <v>-</v>
          </cell>
          <cell r="X296" t="str">
            <v>2 años</v>
          </cell>
          <cell r="Y296" t="str">
            <v>Muebles Capri</v>
          </cell>
          <cell r="Z296" t="str">
            <v>Muebles de Madera.</v>
          </cell>
          <cell r="AA296" t="str">
            <v>-</v>
          </cell>
          <cell r="AB296" t="str">
            <v>Luis Nolasco</v>
          </cell>
          <cell r="AC296">
            <v>35859</v>
          </cell>
        </row>
        <row r="297">
          <cell r="A297" t="str">
            <v>LINEA A5 AQUALATEX</v>
          </cell>
          <cell r="B297" t="str">
            <v>Aqualatex</v>
          </cell>
          <cell r="C297" t="str">
            <v>Interior-Exterior</v>
          </cell>
          <cell r="D297" t="str">
            <v>Fibrolite, Concreto, Lámina.</v>
          </cell>
          <cell r="E297" t="str">
            <v>Limpia y Seca</v>
          </cell>
          <cell r="F297" t="str">
            <v>-</v>
          </cell>
          <cell r="G297" t="str">
            <v>10.48-10.52 Lbs/Gl</v>
          </cell>
          <cell r="H297" t="str">
            <v>29.8-30.2%</v>
          </cell>
          <cell r="I297" t="str">
            <v>55.5-55.9%</v>
          </cell>
          <cell r="J297" t="str">
            <v>47.5-47.9%</v>
          </cell>
          <cell r="K297" t="str">
            <v>25.1-25.5%</v>
          </cell>
          <cell r="L297" t="str">
            <v>47.6-50.0%</v>
          </cell>
          <cell r="M297" t="str">
            <v>92-96 KU</v>
          </cell>
          <cell r="N297" t="str">
            <v>Brocha</v>
          </cell>
          <cell r="O297" t="str">
            <v>85-90 KU</v>
          </cell>
          <cell r="P297" t="str">
            <v>10%</v>
          </cell>
          <cell r="Q297" t="str">
            <v>Agua Limpia</v>
          </cell>
          <cell r="R297" t="str">
            <v>5 mills</v>
          </cell>
          <cell r="S297" t="str">
            <v>Al Aire</v>
          </cell>
          <cell r="T297" t="str">
            <v>-</v>
          </cell>
          <cell r="U297" t="str">
            <v>13-14 Mts Cuadrados/Gl dependiendo de la porosidad de la superficie.</v>
          </cell>
          <cell r="V297" t="str">
            <v>Satinado</v>
          </cell>
          <cell r="W297" t="str">
            <v>-</v>
          </cell>
          <cell r="X297" t="str">
            <v>1-2 Años</v>
          </cell>
          <cell r="Y297" t="str">
            <v>-</v>
          </cell>
          <cell r="Z297" t="str">
            <v>-</v>
          </cell>
          <cell r="AA297" t="str">
            <v>-</v>
          </cell>
          <cell r="AB297" t="str">
            <v>Ana Irene Mendez Vides</v>
          </cell>
          <cell r="AC297" t="str">
            <v>23/5/03</v>
          </cell>
        </row>
        <row r="298">
          <cell r="A298" t="str">
            <v>Linea A21</v>
          </cell>
          <cell r="B298" t="str">
            <v>Color Accent (Bases L, W, V, M, P, R)</v>
          </cell>
          <cell r="C298" t="str">
            <v>Interior</v>
          </cell>
          <cell r="D298" t="str">
            <v>Cemento, Ladrillo, Concreto.</v>
          </cell>
          <cell r="E298" t="str">
            <v>Curada, Limpia, Seca y Libre de toda contaminación</v>
          </cell>
          <cell r="F298" t="str">
            <v>-</v>
          </cell>
          <cell r="G298" t="str">
            <v>10.37-10.41 Lbs/Gl</v>
          </cell>
          <cell r="H298" t="str">
            <v>25%</v>
          </cell>
          <cell r="I298" t="str">
            <v>42.9-43.1%</v>
          </cell>
          <cell r="J298" t="str">
            <v>75%</v>
          </cell>
          <cell r="K298" t="str">
            <v>24.27-25.1%</v>
          </cell>
          <cell r="L298" t="str">
            <v>55.9-56.1%</v>
          </cell>
          <cell r="M298" t="str">
            <v>95-105 Ku</v>
          </cell>
          <cell r="N298" t="str">
            <v>Brocha-Rodillo</v>
          </cell>
          <cell r="O298" t="str">
            <v>95-105 KU</v>
          </cell>
          <cell r="P298" t="str">
            <v>Ninguno</v>
          </cell>
          <cell r="Q298" t="str">
            <v>Agua Limpia para Lavar Equipo Utilizado.</v>
          </cell>
          <cell r="R298" t="str">
            <v>2.5 mills</v>
          </cell>
          <cell r="S298" t="str">
            <v>Al Aire. Recubrir después de 4 Horas.</v>
          </cell>
          <cell r="T298" t="str">
            <v>-</v>
          </cell>
          <cell r="U298" t="str">
            <v>29-33 Mts Cuadrados/Gl, Dependiendo de la Superficie.</v>
          </cell>
          <cell r="V298" t="str">
            <v xml:space="preserve">Mate.  </v>
          </cell>
          <cell r="W298" t="str">
            <v>-</v>
          </cell>
          <cell r="X298" t="str">
            <v>3 Años</v>
          </cell>
          <cell r="Y298" t="str">
            <v>-</v>
          </cell>
          <cell r="Z298" t="str">
            <v>-</v>
          </cell>
          <cell r="AA298" t="str">
            <v>La Base R en Látex para Interiores se Tiene en Mate y Satinada.</v>
          </cell>
          <cell r="AB298" t="str">
            <v>Ana Irene Mendez Vides</v>
          </cell>
          <cell r="AC298">
            <v>35958</v>
          </cell>
        </row>
        <row r="299">
          <cell r="A299" t="str">
            <v>Linea A36</v>
          </cell>
          <cell r="B299" t="str">
            <v>Decorator Colors (Bases L, W, V, M, P, R)</v>
          </cell>
          <cell r="C299" t="str">
            <v>Interior</v>
          </cell>
          <cell r="D299" t="str">
            <v>Concreto, Ladrillo, Hierro, Madera</v>
          </cell>
          <cell r="E299" t="str">
            <v>Completamente Libre de Grasa o Cualquier Contaminación</v>
          </cell>
          <cell r="F299" t="str">
            <v>Kromik Metal Primer, Sellador 44, Excello Látex*</v>
          </cell>
          <cell r="G299" t="str">
            <v>8.67 Lbs/Gl más o menos 0.3</v>
          </cell>
          <cell r="H299" t="str">
            <v>26%</v>
          </cell>
          <cell r="I299" t="str">
            <v>51% más o menos 1</v>
          </cell>
          <cell r="J299" t="str">
            <v>74%</v>
          </cell>
          <cell r="K299" t="str">
            <v>22% más ó menos 2</v>
          </cell>
          <cell r="L299" t="str">
            <v>34% más o menos 2</v>
          </cell>
          <cell r="M299" t="str">
            <v>72-77 KU</v>
          </cell>
          <cell r="N299" t="str">
            <v>Brocha, Rodillo, Pistola</v>
          </cell>
          <cell r="O299" t="str">
            <v>-</v>
          </cell>
          <cell r="P299" t="str">
            <v>Con Brocha y Rodillo hasta 10%, Pistola 25%</v>
          </cell>
          <cell r="Q299" t="str">
            <v>Solvente Mineral</v>
          </cell>
          <cell r="R299" t="str">
            <v>2 mills</v>
          </cell>
          <cell r="S299" t="str">
            <v>Seco Tocar: 1-2 Horas, Completo: 3-4 Horas</v>
          </cell>
          <cell r="T299" t="str">
            <v>-</v>
          </cell>
          <cell r="U299" t="str">
            <v>38 más o menos 2 Mts cuadrados/Gl dependiendo de la Superficie.</v>
          </cell>
          <cell r="V299" t="str">
            <v>Semibrillante</v>
          </cell>
          <cell r="W299" t="str">
            <v>-</v>
          </cell>
          <cell r="X299" t="str">
            <v>3 años</v>
          </cell>
          <cell r="Y299" t="str">
            <v>-</v>
          </cell>
          <cell r="Z299" t="str">
            <v>-</v>
          </cell>
          <cell r="AA299" t="str">
            <v>* El Primer Depende del sustrato que se va a Pintar</v>
          </cell>
          <cell r="AB299" t="str">
            <v>Ana Irene Mendez Vides</v>
          </cell>
          <cell r="AC299">
            <v>35958</v>
          </cell>
        </row>
        <row r="300">
          <cell r="A300" t="str">
            <v>Linea B5 COLORES TROPICALES</v>
          </cell>
          <cell r="B300" t="str">
            <v>Colores Tropicales Intensos</v>
          </cell>
          <cell r="C300" t="str">
            <v>Interior-Exterior</v>
          </cell>
          <cell r="D300" t="str">
            <v>Cemento, Ladrillo, Concreto.</v>
          </cell>
          <cell r="E300" t="str">
            <v>Curada, Limpia, Seca y Libre de toda contaminación</v>
          </cell>
          <cell r="F300" t="str">
            <v>-</v>
          </cell>
          <cell r="G300" t="str">
            <v>10.86 Lbs/Gl más o menos 0.2</v>
          </cell>
          <cell r="H300" t="str">
            <v>35%</v>
          </cell>
          <cell r="I300" t="str">
            <v>46%  más o menos 2</v>
          </cell>
          <cell r="J300" t="str">
            <v>65%</v>
          </cell>
          <cell r="K300" t="str">
            <v>54.45% más o menos 2</v>
          </cell>
          <cell r="L300" t="str">
            <v>31.76% más o menos 2</v>
          </cell>
          <cell r="M300" t="str">
            <v>90-93 KU</v>
          </cell>
          <cell r="N300" t="str">
            <v>Brocha-Rodillo</v>
          </cell>
          <cell r="O300" t="str">
            <v>90-93 KU</v>
          </cell>
          <cell r="P300" t="str">
            <v>Ninguno</v>
          </cell>
          <cell r="Q300" t="str">
            <v>Agua Limpia para Lavar Equipo Utilizado.</v>
          </cell>
          <cell r="R300" t="str">
            <v>1.5 mills Seca</v>
          </cell>
          <cell r="S300" t="str">
            <v>Al Aire. Recubrir después de 4 Horas.</v>
          </cell>
          <cell r="T300" t="str">
            <v>-</v>
          </cell>
          <cell r="U300" t="str">
            <v>30-32 Mts Cuadrados/Gl, Dependiendo de la Superficie.</v>
          </cell>
          <cell r="V300" t="str">
            <v xml:space="preserve">Mate.  </v>
          </cell>
          <cell r="W300" t="str">
            <v>-</v>
          </cell>
          <cell r="X300" t="str">
            <v>3 Años</v>
          </cell>
          <cell r="Y300" t="str">
            <v>-</v>
          </cell>
          <cell r="Z300" t="str">
            <v>-</v>
          </cell>
          <cell r="AA300" t="str">
            <v>Colores Disponibles: Azul Mariposa, Mandarina, Mora salvaje, Fucsia silvestre, Rosa Maya, Rojo Sandía, Verde Helecho, café Zapote, Amarillo Sol.</v>
          </cell>
          <cell r="AB300" t="str">
            <v>Ana Irene Mendez Vides</v>
          </cell>
          <cell r="AC300">
            <v>35958</v>
          </cell>
        </row>
        <row r="301">
          <cell r="A301" t="str">
            <v>E60FSA1 (2)</v>
          </cell>
          <cell r="B301" t="str">
            <v>Sellador Poliuretano Para Madera</v>
          </cell>
          <cell r="C301" t="str">
            <v>Interior</v>
          </cell>
          <cell r="D301" t="str">
            <v>Madera</v>
          </cell>
          <cell r="E301" t="str">
            <v>Lijado + Tapaporo + Tintes</v>
          </cell>
          <cell r="F301" t="str">
            <v>-</v>
          </cell>
          <cell r="G301" t="str">
            <v>7.72 Lbs/Gl</v>
          </cell>
          <cell r="H301" t="str">
            <v>1.29%</v>
          </cell>
          <cell r="I301" t="str">
            <v>23.90%</v>
          </cell>
          <cell r="J301" t="str">
            <v>22.60%</v>
          </cell>
          <cell r="K301" t="str">
            <v>3.72%</v>
          </cell>
          <cell r="L301" t="str">
            <v>17.75%</v>
          </cell>
          <cell r="M301" t="str">
            <v>18"-20" Copa Ford #4</v>
          </cell>
          <cell r="N301" t="str">
            <v>Pistola</v>
          </cell>
          <cell r="O301" t="str">
            <v>18"-20" Copa Ford #4</v>
          </cell>
          <cell r="P301" t="str">
            <v>Ninguno</v>
          </cell>
          <cell r="Q301" t="str">
            <v>Solo si es necesario R7K7590 Reductor Universal.</v>
          </cell>
          <cell r="R301" t="str">
            <v>1 mills</v>
          </cell>
          <cell r="S301" t="str">
            <v>Al aire</v>
          </cell>
          <cell r="T301" t="str">
            <v>Catalizado con  V6V690</v>
          </cell>
          <cell r="U301" t="str">
            <v>284.53 Pies Cuadrados/Gl a 1 mills de Película Seca</v>
          </cell>
          <cell r="V301" t="str">
            <v>Satinado</v>
          </cell>
          <cell r="W301" t="str">
            <v>-</v>
          </cell>
          <cell r="X301" t="str">
            <v>1 año</v>
          </cell>
          <cell r="Y301" t="str">
            <v>-</v>
          </cell>
          <cell r="Z301" t="str">
            <v>-</v>
          </cell>
          <cell r="AA301" t="str">
            <v>-</v>
          </cell>
          <cell r="AB301" t="str">
            <v>Oscar Enrique Ascencio.</v>
          </cell>
          <cell r="AC301">
            <v>36003</v>
          </cell>
        </row>
        <row r="302">
          <cell r="A302" t="str">
            <v>F74C51 (2)</v>
          </cell>
          <cell r="B302" t="str">
            <v>Barniz Poliuretano Brillante</v>
          </cell>
          <cell r="C302" t="str">
            <v>Interior</v>
          </cell>
          <cell r="D302" t="str">
            <v>Madera</v>
          </cell>
          <cell r="E302" t="str">
            <v>Lijado + Tapaporo + Tintes + Primer (E60FSA1)</v>
          </cell>
          <cell r="F302" t="str">
            <v>Sellador Poliuretano</v>
          </cell>
          <cell r="G302" t="str">
            <v>7.66 Lbs/Gl</v>
          </cell>
          <cell r="H302" t="str">
            <v>-</v>
          </cell>
          <cell r="I302" t="str">
            <v xml:space="preserve">21.94% </v>
          </cell>
          <cell r="J302" t="str">
            <v>21.94%</v>
          </cell>
          <cell r="K302" t="str">
            <v>-</v>
          </cell>
          <cell r="L302" t="str">
            <v>16.04%</v>
          </cell>
          <cell r="M302" t="str">
            <v>18"-20" Copa Ford #4</v>
          </cell>
          <cell r="N302" t="str">
            <v>Pistola</v>
          </cell>
          <cell r="O302" t="str">
            <v>18"-20" Copa Ford #4</v>
          </cell>
          <cell r="P302" t="str">
            <v>Ninguno</v>
          </cell>
          <cell r="Q302" t="str">
            <v>Solo si es necesario R7K7590 Reductor Universal.</v>
          </cell>
          <cell r="R302" t="str">
            <v>1 mills</v>
          </cell>
          <cell r="S302" t="str">
            <v>Al aire</v>
          </cell>
          <cell r="T302" t="str">
            <v>Catalizado con 1/16 de V6V690</v>
          </cell>
          <cell r="U302" t="str">
            <v>25.12 Pies Cuadrados/Gl a 1 mills de película seca.</v>
          </cell>
          <cell r="V302" t="str">
            <v>+80</v>
          </cell>
          <cell r="W302" t="str">
            <v>-</v>
          </cell>
          <cell r="X302" t="str">
            <v>1 Año</v>
          </cell>
          <cell r="Y302" t="str">
            <v>-</v>
          </cell>
          <cell r="Z302" t="str">
            <v>-</v>
          </cell>
          <cell r="AA302" t="str">
            <v>-</v>
          </cell>
          <cell r="AB302" t="str">
            <v>Oscar Enrique Ascencio.</v>
          </cell>
          <cell r="AC302">
            <v>36003</v>
          </cell>
        </row>
        <row r="303">
          <cell r="A303" t="str">
            <v>F74FSA1 (2)</v>
          </cell>
          <cell r="B303" t="str">
            <v>Barniz Poliuretano Mate Industrial</v>
          </cell>
          <cell r="C303" t="str">
            <v>Interior</v>
          </cell>
          <cell r="D303" t="str">
            <v>Madera</v>
          </cell>
          <cell r="E303" t="str">
            <v>Lijado+Tapaporo+Tinte+Primer (E60FSA1)</v>
          </cell>
          <cell r="F303" t="str">
            <v>E60FSA1</v>
          </cell>
          <cell r="G303" t="str">
            <v>7.85 Lbs/Gl</v>
          </cell>
          <cell r="H303" t="str">
            <v>5.22%</v>
          </cell>
          <cell r="I303" t="str">
            <v>25.96%</v>
          </cell>
          <cell r="J303" t="str">
            <v>20.73%</v>
          </cell>
          <cell r="K303" t="str">
            <v>14.63%</v>
          </cell>
          <cell r="L303" t="str">
            <v>18.04%</v>
          </cell>
          <cell r="M303" t="str">
            <v>18"-20" Copa Ford #4</v>
          </cell>
          <cell r="N303" t="str">
            <v>Pistola</v>
          </cell>
          <cell r="O303" t="str">
            <v>18"-20" Copa Ford #4</v>
          </cell>
          <cell r="P303" t="str">
            <v>Ninguno</v>
          </cell>
          <cell r="Q303" t="str">
            <v>R7K7590  si es Necesario</v>
          </cell>
          <cell r="R303" t="str">
            <v>1 mills</v>
          </cell>
          <cell r="S303" t="str">
            <v>Al Aire</v>
          </cell>
          <cell r="T303" t="str">
            <v>Catalizado con 1/16 de V6V690</v>
          </cell>
          <cell r="U303" t="str">
            <v>289.18 Pies Cuadrados/Gl a 1 mills de película seca.</v>
          </cell>
          <cell r="V303" t="str">
            <v>5-7</v>
          </cell>
          <cell r="W303" t="str">
            <v>-</v>
          </cell>
          <cell r="X303" t="str">
            <v>1 Año</v>
          </cell>
          <cell r="Y303" t="str">
            <v>-</v>
          </cell>
          <cell r="Z303" t="str">
            <v>-</v>
          </cell>
          <cell r="AA303" t="str">
            <v>-</v>
          </cell>
          <cell r="AB303" t="str">
            <v>Oscar Enrique Ascencio.</v>
          </cell>
          <cell r="AC303">
            <v>36003</v>
          </cell>
        </row>
        <row r="304">
          <cell r="A304" t="str">
            <v>F74FSA2 (1)</v>
          </cell>
          <cell r="B304" t="str">
            <v>Barniz Poliuretano Satinado Industrial</v>
          </cell>
          <cell r="C304" t="str">
            <v>Interior</v>
          </cell>
          <cell r="D304" t="str">
            <v>Madera</v>
          </cell>
          <cell r="E304" t="str">
            <v>Lijado+Tapaporo+Tinte+Primer (E60FSA1)</v>
          </cell>
          <cell r="F304" t="str">
            <v>E60FSA1</v>
          </cell>
          <cell r="G304" t="str">
            <v>7.69 Lbs/Gl</v>
          </cell>
          <cell r="H304" t="str">
            <v>1.82% p/p</v>
          </cell>
          <cell r="I304" t="str">
            <v>22.45%</v>
          </cell>
          <cell r="J304" t="str">
            <v>20.63%</v>
          </cell>
          <cell r="K304" t="str">
            <v>0.50%</v>
          </cell>
          <cell r="L304" t="str">
            <v>16.28%</v>
          </cell>
          <cell r="M304" t="str">
            <v>18"-20" Copa Ford #4</v>
          </cell>
          <cell r="N304" t="str">
            <v>Pistola</v>
          </cell>
          <cell r="O304" t="str">
            <v>18"-20" Copa Ford #4</v>
          </cell>
          <cell r="P304" t="str">
            <v>Ninguno</v>
          </cell>
          <cell r="Q304" t="str">
            <v>Solo si es necesario R7K7590 Reductor Universal.</v>
          </cell>
          <cell r="R304" t="str">
            <v>1 mills</v>
          </cell>
          <cell r="S304" t="str">
            <v>Al aire</v>
          </cell>
          <cell r="T304" t="str">
            <v>Catalizado con  V6V690</v>
          </cell>
          <cell r="U304" t="str">
            <v>260.97 Pies Cuadrados/Gl a 1 mills de película seca.</v>
          </cell>
          <cell r="V304" t="str">
            <v>27-32</v>
          </cell>
          <cell r="W304" t="str">
            <v>-</v>
          </cell>
          <cell r="X304" t="str">
            <v>1 Año</v>
          </cell>
          <cell r="Y304" t="str">
            <v>-</v>
          </cell>
          <cell r="Z304" t="str">
            <v>-</v>
          </cell>
          <cell r="AA304" t="str">
            <v>-</v>
          </cell>
          <cell r="AB304" t="str">
            <v>Oscar Enrique Ascencio.</v>
          </cell>
          <cell r="AC304">
            <v>36003</v>
          </cell>
        </row>
        <row r="305">
          <cell r="A305" t="str">
            <v>P2YCR1</v>
          </cell>
          <cell r="B305" t="str">
            <v>Primario Combo Amarillo Ocre</v>
          </cell>
          <cell r="C305" t="str">
            <v>-</v>
          </cell>
          <cell r="D305" t="str">
            <v>Acero, Hierro, Superficies adecuadamente tratadas no Galvanizadas.</v>
          </cell>
          <cell r="E305" t="str">
            <v>Lijado+Lavado con Agua y Jabón+Solvente Limpiador R7K158.</v>
          </cell>
          <cell r="F305" t="str">
            <v>-</v>
          </cell>
          <cell r="G305" t="str">
            <v>9.68 Lbs/Gl</v>
          </cell>
          <cell r="H305" t="str">
            <v>27.38%</v>
          </cell>
          <cell r="I305" t="str">
            <v>46.60%</v>
          </cell>
          <cell r="J305" t="str">
            <v>19.30%</v>
          </cell>
          <cell r="K305" t="str">
            <v>36.68%</v>
          </cell>
          <cell r="L305" t="str">
            <v>20.15%</v>
          </cell>
          <cell r="M305" t="str">
            <v>7,000-3,000 CPS Copa Brokfield</v>
          </cell>
          <cell r="N305" t="str">
            <v>Pistola</v>
          </cell>
          <cell r="O305" t="str">
            <v>16"-18" Copa Zanh #2</v>
          </cell>
          <cell r="P305" t="str">
            <v>200% con R7K128</v>
          </cell>
          <cell r="Q305" t="str">
            <v>R7K128</v>
          </cell>
          <cell r="R305" t="str">
            <v>2 mills después de Lijado.</v>
          </cell>
          <cell r="S305" t="str">
            <v>Al Aire (Ambiente)</v>
          </cell>
          <cell r="T305" t="str">
            <v>-</v>
          </cell>
          <cell r="U305" t="str">
            <v>161.50 Pies Cuadrados/Gl a 2 mills de Película Seca sin lijar.</v>
          </cell>
          <cell r="V305" t="str">
            <v>-</v>
          </cell>
          <cell r="W305" t="str">
            <v>-</v>
          </cell>
          <cell r="X305" t="str">
            <v>3 Años sin Abrir.</v>
          </cell>
          <cell r="Y305" t="str">
            <v>-</v>
          </cell>
          <cell r="Z305" t="str">
            <v>-</v>
          </cell>
          <cell r="AA305" t="str">
            <v>-</v>
          </cell>
          <cell r="AB305" t="str">
            <v>Oscar Enrique Ascencio.</v>
          </cell>
          <cell r="AC305">
            <v>36003</v>
          </cell>
        </row>
        <row r="306">
          <cell r="A306" t="str">
            <v>B51ASA1</v>
          </cell>
          <cell r="B306" t="str">
            <v>Primera Mano Para Paredes.</v>
          </cell>
          <cell r="C306" t="str">
            <v>Interior-Exterior</v>
          </cell>
          <cell r="D306" t="str">
            <v>Ladrillos Saltex, Concreto</v>
          </cell>
          <cell r="E306" t="str">
            <v>Libre de Polvo, Grasa o Cuarquier Sustancia Contaminate</v>
          </cell>
          <cell r="F306" t="str">
            <v>Ninguno</v>
          </cell>
          <cell r="G306" t="str">
            <v>11 Lbs/Gl</v>
          </cell>
          <cell r="H306" t="str">
            <v>-</v>
          </cell>
          <cell r="I306" t="str">
            <v>48.61%</v>
          </cell>
          <cell r="J306" t="str">
            <v>-</v>
          </cell>
          <cell r="K306" t="str">
            <v>-</v>
          </cell>
          <cell r="L306" t="str">
            <v>32.87%</v>
          </cell>
          <cell r="M306" t="str">
            <v>105-110 KU</v>
          </cell>
          <cell r="N306" t="str">
            <v>Brocha</v>
          </cell>
          <cell r="O306" t="str">
            <v>95-100 KU</v>
          </cell>
          <cell r="P306" t="str">
            <v>10%</v>
          </cell>
          <cell r="Q306" t="str">
            <v>Agua Limpia</v>
          </cell>
          <cell r="R306" t="str">
            <v>4 mills</v>
          </cell>
          <cell r="S306" t="str">
            <v>Al Aire</v>
          </cell>
          <cell r="T306" t="str">
            <v>-</v>
          </cell>
          <cell r="U306" t="str">
            <v>12.5 Metros Cuadrados/Gl a 4 mills seco</v>
          </cell>
          <cell r="V306" t="str">
            <v>Mate</v>
          </cell>
          <cell r="W306" t="str">
            <v>-</v>
          </cell>
          <cell r="X306" t="str">
            <v>2 años</v>
          </cell>
          <cell r="Y306" t="str">
            <v>Varios</v>
          </cell>
          <cell r="Z306" t="str">
            <v>-</v>
          </cell>
          <cell r="AA306" t="str">
            <v>-</v>
          </cell>
          <cell r="AB306" t="str">
            <v>Ana Irene Mendez Vides</v>
          </cell>
          <cell r="AC306">
            <v>36024</v>
          </cell>
        </row>
        <row r="307">
          <cell r="A307" t="str">
            <v>M91GSA1</v>
          </cell>
          <cell r="B307" t="str">
            <v>Laca Para Escobas Verde.</v>
          </cell>
          <cell r="C307" t="str">
            <v>Interior-Exterior</v>
          </cell>
          <cell r="D307" t="str">
            <v>Madera-Palos de escoba.</v>
          </cell>
          <cell r="E307" t="str">
            <v>De acuerdo al cliente</v>
          </cell>
          <cell r="F307" t="str">
            <v>Ninguno</v>
          </cell>
          <cell r="G307" t="str">
            <v>8.36 Lbs</v>
          </cell>
          <cell r="H307" t="str">
            <v>8.05%</v>
          </cell>
          <cell r="I307" t="str">
            <v>37.54%</v>
          </cell>
          <cell r="J307" t="str">
            <v>22.11%</v>
          </cell>
          <cell r="K307" t="str">
            <v>9.72%</v>
          </cell>
          <cell r="L307" t="str">
            <v>24.49%</v>
          </cell>
          <cell r="M307" t="str">
            <v>18,000 - 23,000 cps</v>
          </cell>
          <cell r="N307" t="str">
            <v>De acuerdo al cliente</v>
          </cell>
          <cell r="O307" t="str">
            <v>-</v>
          </cell>
          <cell r="P307" t="str">
            <v>Ninguno</v>
          </cell>
          <cell r="Q307" t="str">
            <v>de ser necesario con thinner R7K128</v>
          </cell>
          <cell r="R307" t="str">
            <v>de acuerdo al cliente</v>
          </cell>
          <cell r="S307" t="str">
            <v>Al Aire</v>
          </cell>
          <cell r="T307" t="str">
            <v>-</v>
          </cell>
          <cell r="U307" t="str">
            <v>36.49 Mts Cuadrados/galon a 1 mills de película seca.</v>
          </cell>
          <cell r="V307" t="str">
            <v>-</v>
          </cell>
          <cell r="W307" t="str">
            <v>-</v>
          </cell>
          <cell r="X307" t="str">
            <v>6-12 meses</v>
          </cell>
          <cell r="Y307" t="str">
            <v>MULTIPLAST</v>
          </cell>
          <cell r="Z307" t="str">
            <v>Escobas</v>
          </cell>
          <cell r="AA307" t="str">
            <v>-</v>
          </cell>
          <cell r="AB307" t="str">
            <v>Ing. Juan Antonio Méndez</v>
          </cell>
          <cell r="AC307" t="str">
            <v>Junio, 2 del 2003</v>
          </cell>
        </row>
        <row r="308">
          <cell r="A308" t="str">
            <v>Y81WSA1</v>
          </cell>
          <cell r="B308" t="str">
            <v>Colorámica Látex Blanco</v>
          </cell>
          <cell r="C308" t="str">
            <v>Interior-Exterior</v>
          </cell>
          <cell r="D308" t="str">
            <v>Concreto, Ladrillo, Madera</v>
          </cell>
          <cell r="E308" t="str">
            <v>Libre de Polvo, Grasa o Cuarquier Sustancia Contaminate</v>
          </cell>
          <cell r="F308" t="str">
            <v>Ninguno</v>
          </cell>
          <cell r="G308" t="str">
            <v>11.42 Lbs/gl</v>
          </cell>
          <cell r="H308" t="str">
            <v>-</v>
          </cell>
          <cell r="I308" t="str">
            <v>45.45%</v>
          </cell>
          <cell r="J308" t="str">
            <v>-</v>
          </cell>
          <cell r="K308" t="str">
            <v>-</v>
          </cell>
          <cell r="L308" t="str">
            <v>26.03%</v>
          </cell>
          <cell r="M308" t="str">
            <v>102-105 KU</v>
          </cell>
          <cell r="N308" t="str">
            <v>Brocha-Rodillo</v>
          </cell>
          <cell r="O308" t="str">
            <v>95-98 KU</v>
          </cell>
          <cell r="P308" t="str">
            <v>Máximo 5% si fuera Necesario</v>
          </cell>
          <cell r="Q308" t="str">
            <v>Agua Limpia</v>
          </cell>
          <cell r="R308" t="str">
            <v>2 mills</v>
          </cell>
          <cell r="S308" t="str">
            <v>Al Aire</v>
          </cell>
          <cell r="T308" t="str">
            <v>-</v>
          </cell>
          <cell r="U308" t="str">
            <v>20 Mts Cuadrados/Gl, dependiendo de la Superficie</v>
          </cell>
          <cell r="V308" t="str">
            <v>-</v>
          </cell>
          <cell r="W308" t="str">
            <v>-</v>
          </cell>
          <cell r="X308" t="str">
            <v>2 años</v>
          </cell>
          <cell r="Y308" t="str">
            <v>DIDEMA-GUATEMALA (5°P.P)</v>
          </cell>
          <cell r="Z308" t="str">
            <v>-</v>
          </cell>
          <cell r="AA308" t="str">
            <v>-</v>
          </cell>
          <cell r="AB308" t="str">
            <v>Ana Irene Mendez Vides</v>
          </cell>
          <cell r="AC308">
            <v>37901</v>
          </cell>
        </row>
        <row r="309">
          <cell r="A309" t="str">
            <v>R7KDSA1</v>
          </cell>
          <cell r="B309" t="str">
            <v>Solvente Para Limpieza Industrial</v>
          </cell>
          <cell r="C309" t="str">
            <v>-</v>
          </cell>
          <cell r="D309" t="str">
            <v>-</v>
          </cell>
          <cell r="E309" t="str">
            <v>-</v>
          </cell>
          <cell r="F309" t="str">
            <v>-</v>
          </cell>
          <cell r="G309" t="str">
            <v>6.9 Lbs/Gl</v>
          </cell>
          <cell r="H309" t="str">
            <v>-</v>
          </cell>
          <cell r="I309" t="str">
            <v>-</v>
          </cell>
          <cell r="J309" t="str">
            <v>-</v>
          </cell>
          <cell r="K309" t="str">
            <v>-</v>
          </cell>
          <cell r="L309" t="str">
            <v>-</v>
          </cell>
          <cell r="M309" t="str">
            <v>-</v>
          </cell>
          <cell r="N309" t="str">
            <v>-</v>
          </cell>
          <cell r="O309" t="str">
            <v>-</v>
          </cell>
          <cell r="P309" t="str">
            <v>-</v>
          </cell>
          <cell r="Q309" t="str">
            <v>-</v>
          </cell>
          <cell r="R309" t="str">
            <v>-</v>
          </cell>
          <cell r="S309" t="str">
            <v>-</v>
          </cell>
          <cell r="T309" t="str">
            <v>-</v>
          </cell>
          <cell r="U309" t="str">
            <v>-</v>
          </cell>
          <cell r="V309" t="str">
            <v>-</v>
          </cell>
          <cell r="W309" t="str">
            <v>-</v>
          </cell>
          <cell r="X309" t="str">
            <v>-</v>
          </cell>
          <cell r="Y309" t="str">
            <v>Industria General</v>
          </cell>
          <cell r="Z309" t="str">
            <v>-</v>
          </cell>
          <cell r="AA309" t="str">
            <v>Kauri Butanol = Infinito.  Gravedad Específica = 0.84</v>
          </cell>
          <cell r="AB309" t="str">
            <v>Rigoberto Montalvo</v>
          </cell>
          <cell r="AC309">
            <v>36144</v>
          </cell>
        </row>
        <row r="310">
          <cell r="A310" t="str">
            <v>T1CSA4</v>
          </cell>
          <cell r="B310" t="str">
            <v>Recubrimiento Acrílico Para Metales</v>
          </cell>
          <cell r="C310" t="str">
            <v>Interior-Exterior</v>
          </cell>
          <cell r="D310" t="str">
            <v>Metal</v>
          </cell>
          <cell r="E310" t="str">
            <v>Lavado con agua y detergente, solvente de limpieza, si existe corrosión aplicar W4K288.</v>
          </cell>
          <cell r="F310" t="str">
            <v>Ninguno</v>
          </cell>
          <cell r="G310" t="str">
            <v>7.07 Lbs/Gl</v>
          </cell>
          <cell r="H310" t="str">
            <v>-</v>
          </cell>
          <cell r="I310" t="str">
            <v>21.20%</v>
          </cell>
          <cell r="J310" t="str">
            <v>100%</v>
          </cell>
          <cell r="K310" t="str">
            <v>-</v>
          </cell>
          <cell r="L310" t="str">
            <v>19%</v>
          </cell>
          <cell r="M310" t="str">
            <v>24"-28" Copa Ford #4.</v>
          </cell>
          <cell r="N310" t="str">
            <v>Pistola</v>
          </cell>
          <cell r="O310" t="str">
            <v>20" Copa Zanh #2</v>
          </cell>
          <cell r="P310" t="str">
            <v>La Necesaria para su aplicación.</v>
          </cell>
          <cell r="Q310" t="str">
            <v>R7K203</v>
          </cell>
          <cell r="R310" t="str">
            <v>1.2-1.5 Mills</v>
          </cell>
          <cell r="S310" t="str">
            <v>Al aire, 1 Hora Seco completo.</v>
          </cell>
          <cell r="T310" t="str">
            <v>-</v>
          </cell>
          <cell r="U310" t="str">
            <v>23.59 Mts Cuadrados/Gl a 1.2 mills de película seca.</v>
          </cell>
          <cell r="V310" t="str">
            <v>70 Mínimo.</v>
          </cell>
          <cell r="W310" t="str">
            <v>-</v>
          </cell>
          <cell r="X310" t="str">
            <v>2 años sin Abrir.</v>
          </cell>
          <cell r="Y310" t="str">
            <v>-</v>
          </cell>
          <cell r="Z310" t="str">
            <v>-</v>
          </cell>
          <cell r="AA310" t="str">
            <v>-</v>
          </cell>
          <cell r="AB310" t="str">
            <v>Oscar Enrique Ascencio.</v>
          </cell>
          <cell r="AC310">
            <v>36201</v>
          </cell>
        </row>
        <row r="311">
          <cell r="A311" t="str">
            <v>T60FCR1</v>
          </cell>
          <cell r="B311" t="str">
            <v>Sellador Ultra Concentrado</v>
          </cell>
          <cell r="C311" t="str">
            <v>Interior</v>
          </cell>
          <cell r="D311" t="str">
            <v>Madera</v>
          </cell>
          <cell r="E311" t="str">
            <v>Lijado</v>
          </cell>
          <cell r="F311" t="str">
            <v>D70T1 Tapaporo Natural</v>
          </cell>
          <cell r="G311" t="str">
            <v>7.75 Lbs/Gl</v>
          </cell>
          <cell r="H311" t="str">
            <v>-</v>
          </cell>
          <cell r="I311" t="str">
            <v>19.40%</v>
          </cell>
          <cell r="J311" t="str">
            <v>19.52%</v>
          </cell>
          <cell r="K311" t="str">
            <v>-</v>
          </cell>
          <cell r="L311" t="str">
            <v>11.90</v>
          </cell>
          <cell r="M311" t="str">
            <v>230,000-240,000 CPS ( Brookfield Spin #7 a 10 RPM)</v>
          </cell>
          <cell r="N311" t="str">
            <v>Pistola</v>
          </cell>
          <cell r="O311" t="str">
            <v>18"-22" Copa Ford #4</v>
          </cell>
          <cell r="P311" t="str">
            <v>800-850%</v>
          </cell>
          <cell r="Q311" t="str">
            <v>R7K128</v>
          </cell>
          <cell r="R311" t="str">
            <v>-</v>
          </cell>
          <cell r="S311" t="str">
            <v>Al Aire</v>
          </cell>
          <cell r="T311" t="str">
            <v>-</v>
          </cell>
          <cell r="U311" t="str">
            <v>30. Mts Cuadrados/Gl a 1 mills de película Seca.</v>
          </cell>
          <cell r="V311" t="str">
            <v>+40</v>
          </cell>
          <cell r="W311" t="str">
            <v>-</v>
          </cell>
          <cell r="X311" t="str">
            <v>2 años sin Abrir.</v>
          </cell>
          <cell r="Y311" t="str">
            <v>-</v>
          </cell>
          <cell r="Z311" t="str">
            <v>-</v>
          </cell>
          <cell r="AA311" t="str">
            <v>-</v>
          </cell>
          <cell r="AB311" t="str">
            <v>Rigoberto Montalvo</v>
          </cell>
          <cell r="AC311">
            <v>37427</v>
          </cell>
        </row>
        <row r="312">
          <cell r="A312" t="str">
            <v>SAA 4785 (1)</v>
          </cell>
          <cell r="B312" t="str">
            <v>Kem Lustral Verde Químico</v>
          </cell>
          <cell r="C312" t="str">
            <v>Interior-Exterior</v>
          </cell>
          <cell r="D312" t="str">
            <v>Madera, Metal, Cartón, Ladrillo, Cemento.</v>
          </cell>
          <cell r="E312" t="str">
            <v>Limpia y Seca. Libre de Aceite, Grasa u óxido.</v>
          </cell>
          <cell r="F312" t="str">
            <v>Anticorrosivo. Depende de la Superficie.</v>
          </cell>
          <cell r="G312" t="str">
            <v>8.27 Lbs/Gl</v>
          </cell>
          <cell r="H312" t="str">
            <v>11.97% p/p</v>
          </cell>
          <cell r="I312" t="str">
            <v>49.64% p/p</v>
          </cell>
          <cell r="J312" t="str">
            <v>-</v>
          </cell>
          <cell r="K312" t="str">
            <v>7.78% v/v</v>
          </cell>
          <cell r="L312" t="str">
            <v>38.79% v/v</v>
          </cell>
          <cell r="M312" t="str">
            <v>80-85 KU</v>
          </cell>
          <cell r="N312" t="str">
            <v>Brocha, Rodillo, Pistola o Inmersión.</v>
          </cell>
          <cell r="O312" t="str">
            <v>70-80 KU</v>
          </cell>
          <cell r="P312" t="str">
            <v>20-25%</v>
          </cell>
          <cell r="Q312" t="str">
            <v>R1K3 VMP Naphta.</v>
          </cell>
          <cell r="R312" t="str">
            <v>1.5-2 mills</v>
          </cell>
          <cell r="S312" t="str">
            <v>Al Aire</v>
          </cell>
          <cell r="T312" t="str">
            <v>-</v>
          </cell>
          <cell r="U312" t="str">
            <v>38 Mts Cuadrados/Gl a 1.5 mills de Espesor.</v>
          </cell>
          <cell r="V312" t="str">
            <v xml:space="preserve">90 </v>
          </cell>
          <cell r="W312" t="str">
            <v>-</v>
          </cell>
          <cell r="X312" t="str">
            <v>3 Años</v>
          </cell>
          <cell r="Y312" t="str">
            <v>DIDEMA-GUATEMALA</v>
          </cell>
          <cell r="Z312" t="str">
            <v>-</v>
          </cell>
          <cell r="AA312" t="str">
            <v>-</v>
          </cell>
          <cell r="AB312" t="str">
            <v>Mario Galán.</v>
          </cell>
          <cell r="AC312">
            <v>36236</v>
          </cell>
        </row>
        <row r="313">
          <cell r="A313" t="str">
            <v>A58RSA2</v>
          </cell>
          <cell r="B313" t="str">
            <v>Pasta Para Bloques</v>
          </cell>
          <cell r="C313" t="str">
            <v>Interior-Exterior</v>
          </cell>
          <cell r="D313" t="str">
            <v>Bloques</v>
          </cell>
          <cell r="E313" t="str">
            <v>-</v>
          </cell>
          <cell r="F313" t="str">
            <v>Ninguno</v>
          </cell>
          <cell r="G313" t="str">
            <v>19.79 Lbs/Gl</v>
          </cell>
          <cell r="H313" t="str">
            <v>71 más o menos 2</v>
          </cell>
          <cell r="I313" t="str">
            <v>75.54%</v>
          </cell>
          <cell r="J313" t="str">
            <v>-</v>
          </cell>
          <cell r="K313" t="str">
            <v>-</v>
          </cell>
          <cell r="L313" t="str">
            <v>38.90%</v>
          </cell>
          <cell r="M313" t="str">
            <v>110-115 KU</v>
          </cell>
          <cell r="N313" t="str">
            <v>Es una Mezcla hecha de Cemento, Grava, arena, Pasta Para Obtener Bloques de color.</v>
          </cell>
          <cell r="O313" t="str">
            <v>110-115 KU</v>
          </cell>
          <cell r="P313" t="str">
            <v>Ninguno</v>
          </cell>
          <cell r="Q313" t="str">
            <v>Agua Para Lavar Equipo</v>
          </cell>
          <cell r="R313" t="str">
            <v>-</v>
          </cell>
          <cell r="S313" t="str">
            <v>-</v>
          </cell>
          <cell r="T313" t="str">
            <v>-</v>
          </cell>
          <cell r="U313" t="str">
            <v>-</v>
          </cell>
          <cell r="V313" t="str">
            <v>Satinado</v>
          </cell>
          <cell r="W313" t="str">
            <v>-</v>
          </cell>
          <cell r="X313" t="str">
            <v>2 Años</v>
          </cell>
          <cell r="Y313" t="str">
            <v>BLOCTEKA-GUATEMALA</v>
          </cell>
          <cell r="Z313" t="str">
            <v>Bloques de Color.</v>
          </cell>
          <cell r="AA313" t="str">
            <v>-</v>
          </cell>
          <cell r="AB313" t="str">
            <v>Ana Irene Mendez Vides</v>
          </cell>
          <cell r="AC313">
            <v>36248</v>
          </cell>
        </row>
        <row r="314">
          <cell r="A314" t="str">
            <v>A58RSA3</v>
          </cell>
          <cell r="B314" t="str">
            <v>Pasta Para Bloques</v>
          </cell>
          <cell r="C314" t="str">
            <v>Interior-Exterior</v>
          </cell>
          <cell r="D314" t="str">
            <v>Bloques</v>
          </cell>
          <cell r="E314" t="str">
            <v>-</v>
          </cell>
          <cell r="F314" t="str">
            <v>Ninguno</v>
          </cell>
          <cell r="G314" t="str">
            <v>19.79 Lbs/Gl</v>
          </cell>
          <cell r="H314" t="str">
            <v>71 más o menos 2</v>
          </cell>
          <cell r="I314" t="str">
            <v>75.54%</v>
          </cell>
          <cell r="J314" t="str">
            <v>-</v>
          </cell>
          <cell r="K314" t="str">
            <v>-</v>
          </cell>
          <cell r="L314" t="str">
            <v>38.90%</v>
          </cell>
          <cell r="M314" t="str">
            <v>110-115 KU</v>
          </cell>
          <cell r="N314" t="str">
            <v>Es una Mezcla hecha de Cemento, Grava, arena, Pasta Para Obtener Bloques de color.</v>
          </cell>
          <cell r="O314" t="str">
            <v>110-115 KU</v>
          </cell>
          <cell r="P314" t="str">
            <v>Ninguno</v>
          </cell>
          <cell r="Q314" t="str">
            <v>Agua Para Lavar Equipo</v>
          </cell>
          <cell r="R314" t="str">
            <v>-</v>
          </cell>
          <cell r="S314" t="str">
            <v>-</v>
          </cell>
          <cell r="T314" t="str">
            <v>-</v>
          </cell>
          <cell r="U314" t="str">
            <v>-</v>
          </cell>
          <cell r="V314" t="str">
            <v>Satinado</v>
          </cell>
          <cell r="W314" t="str">
            <v>-</v>
          </cell>
          <cell r="X314" t="str">
            <v>2 Años</v>
          </cell>
          <cell r="Y314" t="str">
            <v>BLOCTEKA-GUATEMALA</v>
          </cell>
          <cell r="Z314" t="str">
            <v>Bloques de Color.</v>
          </cell>
          <cell r="AA314" t="str">
            <v>-</v>
          </cell>
          <cell r="AB314" t="str">
            <v>Ana Irene Mendez Vides</v>
          </cell>
          <cell r="AC314">
            <v>36248</v>
          </cell>
        </row>
        <row r="315">
          <cell r="A315" t="str">
            <v>B11ASA1</v>
          </cell>
          <cell r="B315" t="str">
            <v>Primera Mano Para Metales.</v>
          </cell>
          <cell r="C315" t="str">
            <v>Interior-Exterior</v>
          </cell>
          <cell r="D315" t="str">
            <v>Metal</v>
          </cell>
          <cell r="E315" t="str">
            <v>Libre de Polvo, Grasa u óxido.</v>
          </cell>
          <cell r="F315" t="str">
            <v>Ninguno</v>
          </cell>
          <cell r="G315" t="str">
            <v>9.24 Lbs/Gl</v>
          </cell>
          <cell r="H315" t="str">
            <v>-</v>
          </cell>
          <cell r="I315" t="str">
            <v>51.40%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70-90 KU</v>
          </cell>
          <cell r="N315" t="str">
            <v xml:space="preserve">Brocha-Pistola </v>
          </cell>
          <cell r="O315" t="str">
            <v>60-65 KU al Aplicar con Pistola</v>
          </cell>
          <cell r="P315" t="str">
            <v>10%-15%</v>
          </cell>
          <cell r="Q315" t="str">
            <v>R1K4</v>
          </cell>
          <cell r="R315" t="str">
            <v>1.5 mills Seca</v>
          </cell>
          <cell r="S315" t="str">
            <v>Al aire</v>
          </cell>
          <cell r="T315" t="str">
            <v>-</v>
          </cell>
          <cell r="U315" t="str">
            <v>30-33 Mts Cuadrados/Gl a 3 mills húmedo.</v>
          </cell>
          <cell r="V315" t="str">
            <v>Mate</v>
          </cell>
          <cell r="W315" t="str">
            <v>-</v>
          </cell>
          <cell r="X315" t="str">
            <v>2 Años</v>
          </cell>
          <cell r="Y315" t="str">
            <v>-</v>
          </cell>
          <cell r="Z315" t="str">
            <v>-</v>
          </cell>
          <cell r="AA315" t="str">
            <v>-</v>
          </cell>
          <cell r="AB315" t="str">
            <v>Soraya de Quijada</v>
          </cell>
          <cell r="AC315">
            <v>36391</v>
          </cell>
        </row>
        <row r="316">
          <cell r="A316" t="str">
            <v>A17V1</v>
          </cell>
          <cell r="B316" t="str">
            <v>Kem Wood Preservative #1</v>
          </cell>
          <cell r="C316" t="str">
            <v>Interior-Exterior</v>
          </cell>
          <cell r="D316" t="str">
            <v>Madera Sin Pintar</v>
          </cell>
          <cell r="E316" t="str">
            <v>Limpia, seca y libre de Cualquier Contaminación.</v>
          </cell>
          <cell r="F316" t="str">
            <v>-</v>
          </cell>
          <cell r="G316" t="str">
            <v>6.80 Lbs/Gl</v>
          </cell>
          <cell r="H316" t="str">
            <v>-</v>
          </cell>
          <cell r="I316" t="str">
            <v>16.23%</v>
          </cell>
          <cell r="J316" t="str">
            <v>-</v>
          </cell>
          <cell r="K316" t="str">
            <v>-</v>
          </cell>
          <cell r="L316" t="str">
            <v>10.0%</v>
          </cell>
          <cell r="M316" t="str">
            <v>-</v>
          </cell>
          <cell r="N316" t="str">
            <v>Brocha, Pistola o Inmersión.</v>
          </cell>
          <cell r="O316" t="str">
            <v>-</v>
          </cell>
          <cell r="P316" t="str">
            <v>Ninguno</v>
          </cell>
          <cell r="Q316" t="str">
            <v>-</v>
          </cell>
          <cell r="R316" t="str">
            <v>-</v>
          </cell>
          <cell r="S316" t="str">
            <v>Seco Tocar: 2 Horas; Retocar: 48 Horas</v>
          </cell>
          <cell r="T316" t="str">
            <v>-</v>
          </cell>
          <cell r="U316" t="str">
            <v>Brocha:Aplicar 2 manos gruesas de preservante.Inmersión:sumergir por 5 min. Por c/pulg. De grosor.</v>
          </cell>
          <cell r="V316" t="str">
            <v>-</v>
          </cell>
          <cell r="W316" t="str">
            <v>-</v>
          </cell>
          <cell r="X316" t="str">
            <v>2 años</v>
          </cell>
          <cell r="Y316" t="str">
            <v>SW de CA</v>
          </cell>
          <cell r="Z316" t="str">
            <v>-</v>
          </cell>
          <cell r="AA316" t="str">
            <v>El equipo puede lavarse con R1K4. Usar lentes, mascarilla y guantes. Es un producto irritante. Ingrediente activo: 3-yodo-2-propynyl butyl carbamate.</v>
          </cell>
          <cell r="AB316" t="str">
            <v>Ana Irene Mendez Vides</v>
          </cell>
          <cell r="AC316">
            <v>36441</v>
          </cell>
        </row>
        <row r="317">
          <cell r="A317" t="str">
            <v>F68BSA5</v>
          </cell>
          <cell r="B317" t="str">
            <v>Super Fast Dry Negro.</v>
          </cell>
          <cell r="C317" t="str">
            <v>Interior-Exterior</v>
          </cell>
          <cell r="D317" t="str">
            <v>Metal</v>
          </cell>
          <cell r="E317" t="str">
            <v>Según tipo de superficie, consultar al distribuidor.</v>
          </cell>
          <cell r="F317" t="str">
            <v>Para Máxima Protección Aplicar E61R9</v>
          </cell>
          <cell r="G317" t="str">
            <v>8.04 Lbs/Gl</v>
          </cell>
          <cell r="H317" t="str">
            <v>2.42% p/p</v>
          </cell>
          <cell r="I317" t="str">
            <v>44.21% p/p</v>
          </cell>
          <cell r="J317" t="str">
            <v>41.79% p/p</v>
          </cell>
          <cell r="K317" t="str">
            <v>3.87% v/v</v>
          </cell>
          <cell r="L317" t="str">
            <v>35.60% v/v</v>
          </cell>
          <cell r="M317" t="str">
            <v>75-80 KU</v>
          </cell>
          <cell r="N317" t="str">
            <v>Pistola</v>
          </cell>
          <cell r="O317" t="str">
            <v>20-25 seg. Copa Zanh #2</v>
          </cell>
          <cell r="P317" t="str">
            <v>25-28%</v>
          </cell>
          <cell r="Q317" t="str">
            <v>Industrial Reducer  R2K4</v>
          </cell>
          <cell r="R317" t="str">
            <v>1.2 mills</v>
          </cell>
          <cell r="S317" t="str">
            <v>Al Aire</v>
          </cell>
          <cell r="T317" t="str">
            <v>-</v>
          </cell>
          <cell r="U317" t="str">
            <v>44 Mts Cuadrados/Gl a 1.2 mills de Película Seca</v>
          </cell>
          <cell r="V317" t="str">
            <v>+80</v>
          </cell>
          <cell r="W317" t="str">
            <v>-</v>
          </cell>
          <cell r="X317" t="str">
            <v>2 años sin Abrir.</v>
          </cell>
          <cell r="Y317" t="str">
            <v>DIDEMA-NICARAGUA</v>
          </cell>
          <cell r="Z317" t="str">
            <v>-</v>
          </cell>
          <cell r="AA317" t="str">
            <v>-</v>
          </cell>
          <cell r="AB317" t="str">
            <v>Oscar Enrique Ascencio.</v>
          </cell>
          <cell r="AC317">
            <v>36441</v>
          </cell>
        </row>
        <row r="318">
          <cell r="A318" t="str">
            <v>F68GSA6</v>
          </cell>
          <cell r="B318" t="str">
            <v>Super Fast Dry Verde John Deere</v>
          </cell>
          <cell r="C318" t="str">
            <v>Interior-Exterior</v>
          </cell>
          <cell r="D318" t="str">
            <v>Metal</v>
          </cell>
          <cell r="E318" t="str">
            <v>Según tipo de superficie, consultar al distribuidor.</v>
          </cell>
          <cell r="F318" t="str">
            <v>Para Máxima Protección Aplicar E61R9</v>
          </cell>
          <cell r="G318" t="str">
            <v>8.42 Lbs/Gl</v>
          </cell>
          <cell r="H318" t="str">
            <v>8.58% p/p</v>
          </cell>
          <cell r="I318" t="str">
            <v>44.46% p/p</v>
          </cell>
          <cell r="J318" t="str">
            <v>35.88% p/p</v>
          </cell>
          <cell r="K318" t="str">
            <v>6.36% v/v</v>
          </cell>
          <cell r="L318" t="str">
            <v>37.77% v/v</v>
          </cell>
          <cell r="M318" t="str">
            <v>75-80 KU</v>
          </cell>
          <cell r="N318" t="str">
            <v>Pistola</v>
          </cell>
          <cell r="O318" t="str">
            <v>20-25 seg. Copa Zanh #2</v>
          </cell>
          <cell r="P318" t="str">
            <v>25-28%</v>
          </cell>
          <cell r="Q318" t="str">
            <v>Industrial Reducer  R2K4</v>
          </cell>
          <cell r="R318" t="str">
            <v>1.2 mills</v>
          </cell>
          <cell r="S318" t="str">
            <v>Al Aire</v>
          </cell>
          <cell r="T318" t="str">
            <v>-</v>
          </cell>
          <cell r="U318" t="str">
            <v>40.69 Mts Cuadrados/Gl a 1.2 mills de Película Seca</v>
          </cell>
          <cell r="V318" t="str">
            <v>+80</v>
          </cell>
          <cell r="W318" t="str">
            <v>-</v>
          </cell>
          <cell r="X318" t="str">
            <v>2 años sin Abrir.</v>
          </cell>
          <cell r="Y318" t="str">
            <v>DIDEMA-NICARAGUA</v>
          </cell>
          <cell r="Z318" t="str">
            <v>-</v>
          </cell>
          <cell r="AA318" t="str">
            <v>-</v>
          </cell>
          <cell r="AB318" t="str">
            <v>Oscar Enrique Ascencio.</v>
          </cell>
          <cell r="AC318">
            <v>36441</v>
          </cell>
        </row>
        <row r="319">
          <cell r="A319" t="str">
            <v>F68RSA10</v>
          </cell>
          <cell r="B319" t="str">
            <v>Super fast Dry Rojo Internacional</v>
          </cell>
          <cell r="C319" t="str">
            <v>Interior-Exterior</v>
          </cell>
          <cell r="D319" t="str">
            <v>Metal</v>
          </cell>
          <cell r="E319" t="str">
            <v>Según tipo de superficie, consultar al distribuidor.</v>
          </cell>
          <cell r="F319" t="str">
            <v>Para Máxima Protección Aplicar E61R9</v>
          </cell>
          <cell r="G319" t="str">
            <v>8.09 Lbs/Gl</v>
          </cell>
          <cell r="H319" t="str">
            <v>5.39% p/p</v>
          </cell>
          <cell r="I319" t="str">
            <v>42.66% p/p</v>
          </cell>
          <cell r="J319" t="str">
            <v>31.27% p/p</v>
          </cell>
          <cell r="K319" t="str">
            <v>8.0% v/v</v>
          </cell>
          <cell r="L319" t="str">
            <v>33.36% v/v</v>
          </cell>
          <cell r="M319" t="str">
            <v>75-80 KU</v>
          </cell>
          <cell r="N319" t="str">
            <v>Pistola</v>
          </cell>
          <cell r="O319" t="str">
            <v>20-25 seg. Copa Zanh #2</v>
          </cell>
          <cell r="P319" t="str">
            <v>25-28%</v>
          </cell>
          <cell r="Q319" t="str">
            <v>Industrial Reducer  R2K4</v>
          </cell>
          <cell r="R319" t="str">
            <v>1.2 mills</v>
          </cell>
          <cell r="S319" t="str">
            <v>Al Aire</v>
          </cell>
          <cell r="T319" t="str">
            <v>-</v>
          </cell>
          <cell r="U319" t="str">
            <v>41.42 Mts Cuadrados/Gl a 1.2 mills de Película Seca</v>
          </cell>
          <cell r="V319" t="str">
            <v>+80</v>
          </cell>
          <cell r="W319" t="str">
            <v>-</v>
          </cell>
          <cell r="X319" t="str">
            <v>2 años sin Abrir.</v>
          </cell>
          <cell r="Y319" t="str">
            <v>DIDEMA-NICARAGUA</v>
          </cell>
          <cell r="Z319" t="str">
            <v>-</v>
          </cell>
          <cell r="AA319" t="str">
            <v>-</v>
          </cell>
          <cell r="AB319" t="str">
            <v>Oscar Enrique Ascencio.</v>
          </cell>
          <cell r="AC319">
            <v>36441</v>
          </cell>
        </row>
        <row r="321">
          <cell r="A321" t="str">
            <v xml:space="preserve">B45WSA1  </v>
          </cell>
          <cell r="B321" t="str">
            <v>Sellador Blanco Rápido Secamiento/Tablayeso (Gypsum)*</v>
          </cell>
          <cell r="C321" t="str">
            <v>Interior</v>
          </cell>
          <cell r="D321" t="str">
            <v>Concreto, Cemento, Drywall y Fibrocemento</v>
          </cell>
          <cell r="E321" t="str">
            <v>Limpia, seca y libre de Cualquier Contaminación.</v>
          </cell>
          <cell r="F321" t="str">
            <v>Ninguno</v>
          </cell>
          <cell r="G321" t="str">
            <v>11.15 Lbs/Gl</v>
          </cell>
          <cell r="H321" t="str">
            <v>34%</v>
          </cell>
          <cell r="I321" t="str">
            <v>48.10%</v>
          </cell>
          <cell r="J321" t="str">
            <v>62%</v>
          </cell>
          <cell r="K321" t="str">
            <v>48.30%</v>
          </cell>
          <cell r="L321" t="str">
            <v>30.40%</v>
          </cell>
          <cell r="M321" t="str">
            <v>13-15*1000 CPS</v>
          </cell>
          <cell r="N321" t="str">
            <v>Brocha, Rodillo, Pistola.</v>
          </cell>
          <cell r="O321" t="str">
            <v>13-15*1000 CPS</v>
          </cell>
          <cell r="P321" t="str">
            <v>Brocha o Rodillo: Ninguna; Pistola 15-25% con Agua Limpia.</v>
          </cell>
          <cell r="Q321" t="str">
            <v>Ninguno</v>
          </cell>
          <cell r="R321" t="str">
            <v>1.5 mills Seca</v>
          </cell>
          <cell r="S321" t="str">
            <v>Al aire</v>
          </cell>
          <cell r="T321" t="str">
            <v>-</v>
          </cell>
          <cell r="U321" t="str">
            <v>28-30 Mts Cuadrados/Gl</v>
          </cell>
          <cell r="V321" t="str">
            <v>Mate</v>
          </cell>
          <cell r="W321" t="str">
            <v>-</v>
          </cell>
          <cell r="X321" t="str">
            <v>2 años sin Abrir.</v>
          </cell>
          <cell r="Y321" t="str">
            <v>DIDEMA-COSTA RICA</v>
          </cell>
          <cell r="Z321" t="str">
            <v>-</v>
          </cell>
          <cell r="AA321" t="str">
            <v>*Originalmente el nombre de este producto fue: FAST DRY LATEX WALL PRIMER.</v>
          </cell>
          <cell r="AB321" t="str">
            <v>Ana Irene Mendez Vides</v>
          </cell>
          <cell r="AC321">
            <v>36447</v>
          </cell>
        </row>
        <row r="322">
          <cell r="A322" t="str">
            <v>A86WCR12</v>
          </cell>
          <cell r="B322" t="str">
            <v>PINT. AMARILLO P/TRAFICO SHER GUIDE CAUCHO CLORADO FS TTP-115F</v>
          </cell>
          <cell r="C322" t="str">
            <v>Interior-Exterior</v>
          </cell>
          <cell r="D322" t="str">
            <v>Asfalto y Concreto</v>
          </cell>
          <cell r="E322" t="str">
            <v>Limpia, Seca y Libre de Exudación de Asfalto</v>
          </cell>
          <cell r="F322" t="str">
            <v>Ninguno</v>
          </cell>
          <cell r="G322" t="str">
            <v>13.5 Lbs/Gl                      ASTM D-1475</v>
          </cell>
          <cell r="H322" t="str">
            <v>51%</v>
          </cell>
          <cell r="I322" t="str">
            <v>80.0%                            ASTM D-2697</v>
          </cell>
          <cell r="J322" t="str">
            <v>49.0 %</v>
          </cell>
          <cell r="K322" t="str">
            <v>57.0%</v>
          </cell>
          <cell r="L322" t="str">
            <v>63.0 %</v>
          </cell>
          <cell r="M322" t="str">
            <v>75-80 KU                                    ASTM D-562</v>
          </cell>
          <cell r="N322" t="str">
            <v>Brocha, Rodillo Industrial, Máquina Franjeadora, Etc.</v>
          </cell>
          <cell r="O322" t="str">
            <v>Para Usar con Máquina franjeadora, reduzca con 1/8 de galón.</v>
          </cell>
          <cell r="P322" t="str">
            <v>Listo para usarse con Brocha y Rodillo.</v>
          </cell>
          <cell r="Q322" t="str">
            <v>R2K4 Industrial Reducer.</v>
          </cell>
          <cell r="R322" t="str">
            <v>7 mills</v>
          </cell>
          <cell r="S322" t="str">
            <v>15-20 Min.                         ASTM D-711</v>
          </cell>
          <cell r="T322" t="str">
            <v>-</v>
          </cell>
          <cell r="U322" t="str">
            <v>10-11 Mts cuadrados/Gl a 7 mills seco.</v>
          </cell>
          <cell r="V322" t="str">
            <v>Mate más o menos 1-2</v>
          </cell>
          <cell r="W322" t="str">
            <v>-</v>
          </cell>
          <cell r="X322" t="str">
            <v>36 meses</v>
          </cell>
          <cell r="Y322" t="str">
            <v>-</v>
          </cell>
          <cell r="Z322" t="str">
            <v>-</v>
          </cell>
          <cell r="AA322" t="str">
            <v>Abrasión: 38 Litros mínimo  (D968). Finura Hegman: 3H-0   (D-1210). Flexibilidad:  (D-522). Adherencia:   (D-3359).</v>
          </cell>
          <cell r="AB322" t="str">
            <v>Ana Irene Mendez Vides</v>
          </cell>
          <cell r="AC322">
            <v>39416</v>
          </cell>
        </row>
        <row r="323">
          <cell r="A323" t="str">
            <v>A86YCR11</v>
          </cell>
          <cell r="B323" t="str">
            <v>PINT. AMARILLO P/TRAFICO SHER GUIDE CAUCHO CLORADO FS TTP-115F</v>
          </cell>
          <cell r="C323" t="str">
            <v>Interior-Exterior</v>
          </cell>
          <cell r="D323" t="str">
            <v>Asfalto y Concreto</v>
          </cell>
          <cell r="E323" t="str">
            <v>Limpia, Seca y Libre de Exudación de Asfalto</v>
          </cell>
          <cell r="F323" t="str">
            <v>Ninguno</v>
          </cell>
          <cell r="G323" t="str">
            <v>14.25 Lbs/Gl                                   ASTM D-1475</v>
          </cell>
          <cell r="H323" t="str">
            <v>65.0 %</v>
          </cell>
          <cell r="I323" t="str">
            <v>80.0%                             ASTM D-2697</v>
          </cell>
          <cell r="J323" t="str">
            <v>49.0%</v>
          </cell>
          <cell r="K323" t="str">
            <v>57.70%</v>
          </cell>
          <cell r="L323" t="str">
            <v>62.0%</v>
          </cell>
          <cell r="M323" t="str">
            <v>75-80 KU                                           ASTM D-562</v>
          </cell>
          <cell r="N323" t="str">
            <v>Brocha, Rodillo Industrial, Máquina Franjeadora, Etc.</v>
          </cell>
          <cell r="O323" t="str">
            <v>Para Usar con Máquina franjeadora, reduzca con 1/8 de galón.</v>
          </cell>
          <cell r="P323" t="str">
            <v>Listo para usarse con Brocha y Rodillo.</v>
          </cell>
          <cell r="Q323" t="str">
            <v>R2K4 Industrial Reducer.</v>
          </cell>
          <cell r="R323" t="str">
            <v>7 mills</v>
          </cell>
          <cell r="S323" t="str">
            <v>15-20 Min.                         ASTM D-711</v>
          </cell>
          <cell r="T323" t="str">
            <v>-</v>
          </cell>
          <cell r="U323" t="str">
            <v>10-11 Mts cuadrados/Gl a 7 mills seco.</v>
          </cell>
          <cell r="V323" t="str">
            <v>Mate más o menos 1-2</v>
          </cell>
          <cell r="W323" t="str">
            <v>-</v>
          </cell>
          <cell r="X323" t="str">
            <v>36 meses</v>
          </cell>
          <cell r="Y323" t="str">
            <v>SEVISAL</v>
          </cell>
          <cell r="Z323" t="str">
            <v>-</v>
          </cell>
          <cell r="AA323" t="str">
            <v>Abrasión: 38 Litros mínimo  (D968). Finura Hegman: 3H-0   (D-1210). Flexibilidad:  (D-522). Adherencia:   (D-3359).</v>
          </cell>
          <cell r="AB323" t="str">
            <v>Ana Irene Mendez Vides</v>
          </cell>
          <cell r="AC323">
            <v>39416</v>
          </cell>
        </row>
        <row r="324">
          <cell r="A324" t="str">
            <v>F73B5</v>
          </cell>
          <cell r="B324" t="str">
            <v>Esmalte Horneable Negro Brillante</v>
          </cell>
          <cell r="C324" t="str">
            <v>Interior-Exterior</v>
          </cell>
          <cell r="D324" t="str">
            <v xml:space="preserve">Acero </v>
          </cell>
          <cell r="E324" t="str">
            <v>Limpieza y Desengrase</v>
          </cell>
          <cell r="F324" t="str">
            <v>Ninguno</v>
          </cell>
          <cell r="G324" t="str">
            <v>8.29 Lbs/Gl</v>
          </cell>
          <cell r="H324" t="str">
            <v>2.39%</v>
          </cell>
          <cell r="I324" t="str">
            <v>42.28%</v>
          </cell>
          <cell r="J324" t="str">
            <v>93.77%</v>
          </cell>
          <cell r="K324" t="str">
            <v>3.62%</v>
          </cell>
          <cell r="L324" t="str">
            <v>37.82%</v>
          </cell>
          <cell r="M324" t="str">
            <v>100"-110" Copa Zanh #2</v>
          </cell>
          <cell r="N324" t="str">
            <v>Pistola</v>
          </cell>
          <cell r="O324" t="str">
            <v>18"-22" Copa Zanh #2</v>
          </cell>
          <cell r="P324" t="str">
            <v>20-25%</v>
          </cell>
          <cell r="Q324" t="str">
            <v>R2K4 Industrial Reducer.</v>
          </cell>
          <cell r="R324" t="str">
            <v>1-1.5 mills</v>
          </cell>
          <cell r="S324" t="str">
            <v>Al horno</v>
          </cell>
          <cell r="T324" t="str">
            <v>15 Min a 300°F</v>
          </cell>
          <cell r="U324" t="str">
            <v>56 Mts Cuadrados/Gl a 1 mills de espesor.</v>
          </cell>
          <cell r="V324" t="str">
            <v>+85</v>
          </cell>
          <cell r="W324" t="str">
            <v>H</v>
          </cell>
          <cell r="X324" t="str">
            <v>6-12 meses</v>
          </cell>
          <cell r="Y324" t="str">
            <v>Van Leer Guatemala</v>
          </cell>
          <cell r="Z324" t="str">
            <v>Tambores Metálicos.</v>
          </cell>
          <cell r="AA324" t="str">
            <v>-</v>
          </cell>
          <cell r="AB324" t="str">
            <v>Corina de Turcios</v>
          </cell>
          <cell r="AC324">
            <v>36493</v>
          </cell>
        </row>
        <row r="325">
          <cell r="A325" t="str">
            <v>SAA 4902</v>
          </cell>
          <cell r="B325" t="str">
            <v>Esmalte Horneable Azul RAL 5010</v>
          </cell>
          <cell r="C325" t="str">
            <v>Interior-Exterior</v>
          </cell>
          <cell r="D325" t="str">
            <v xml:space="preserve">Acero </v>
          </cell>
          <cell r="E325" t="str">
            <v>Limpieza y Desengrase</v>
          </cell>
          <cell r="F325" t="str">
            <v>Ninguno</v>
          </cell>
          <cell r="G325" t="str">
            <v>8.3 Lbs/Gl</v>
          </cell>
          <cell r="H325" t="str">
            <v>6%</v>
          </cell>
          <cell r="I325" t="str">
            <v>44.86%</v>
          </cell>
          <cell r="J325" t="str">
            <v>86.30%</v>
          </cell>
          <cell r="K325" t="str">
            <v>6.30%</v>
          </cell>
          <cell r="L325" t="str">
            <v>36.20%</v>
          </cell>
          <cell r="M325" t="str">
            <v>100"-110" Copa Zanh #2</v>
          </cell>
          <cell r="N325" t="str">
            <v>Pistola</v>
          </cell>
          <cell r="O325" t="str">
            <v>18"-22" Copa Zanh #2</v>
          </cell>
          <cell r="P325" t="str">
            <v>20-25%</v>
          </cell>
          <cell r="Q325" t="str">
            <v>R2K4 Industrial Reducer.</v>
          </cell>
          <cell r="R325" t="str">
            <v>1-1.5 mills</v>
          </cell>
          <cell r="S325" t="str">
            <v>Al horno</v>
          </cell>
          <cell r="T325" t="str">
            <v>15 Min a 300°F</v>
          </cell>
          <cell r="U325" t="str">
            <v>53 Mts Cuadrados/Gl a 1 mills de espesor.</v>
          </cell>
          <cell r="V325" t="str">
            <v>+80</v>
          </cell>
          <cell r="W325" t="str">
            <v>H</v>
          </cell>
          <cell r="X325" t="str">
            <v>6-12 meses</v>
          </cell>
          <cell r="Y325" t="str">
            <v>Van Leer Guatemala</v>
          </cell>
          <cell r="Z325" t="str">
            <v>Tambores Metálicos.</v>
          </cell>
          <cell r="AA325" t="str">
            <v>-</v>
          </cell>
          <cell r="AB325" t="str">
            <v>Corina de Turcios</v>
          </cell>
          <cell r="AC325">
            <v>36493</v>
          </cell>
        </row>
        <row r="326">
          <cell r="A326" t="str">
            <v>SAA 4903</v>
          </cell>
          <cell r="B326" t="str">
            <v>Esmalte Horneable Verde RAL 6010</v>
          </cell>
          <cell r="C326" t="str">
            <v>Interior-Exterior</v>
          </cell>
          <cell r="D326" t="str">
            <v xml:space="preserve">Acero </v>
          </cell>
          <cell r="E326" t="str">
            <v>Limpieza y Desengrase</v>
          </cell>
          <cell r="F326" t="str">
            <v>Ninguno</v>
          </cell>
          <cell r="G326" t="str">
            <v>8.77 Lbs/Gl</v>
          </cell>
          <cell r="H326" t="str">
            <v>7.53%</v>
          </cell>
          <cell r="I326" t="str">
            <v>45.40%</v>
          </cell>
          <cell r="J326" t="str">
            <v>83.0%</v>
          </cell>
          <cell r="K326" t="str">
            <v>6.30%</v>
          </cell>
          <cell r="L326" t="str">
            <v>35.74%</v>
          </cell>
          <cell r="M326" t="str">
            <v>100"-110" Copa Zanh #2</v>
          </cell>
          <cell r="N326" t="str">
            <v>Pistola</v>
          </cell>
          <cell r="O326" t="str">
            <v>18"-22" Copa Zanh #2</v>
          </cell>
          <cell r="P326" t="str">
            <v>20-25%</v>
          </cell>
          <cell r="Q326" t="str">
            <v>R2K4 Industrial Reducer.</v>
          </cell>
          <cell r="R326" t="str">
            <v>1-1.5 mills</v>
          </cell>
          <cell r="S326" t="str">
            <v>Al horno</v>
          </cell>
          <cell r="T326" t="str">
            <v>15 Min a 300°F</v>
          </cell>
          <cell r="U326" t="str">
            <v>53.25 Mts Cuadrados/Gl a 1 mills de espesor.</v>
          </cell>
          <cell r="V326" t="str">
            <v>+80</v>
          </cell>
          <cell r="W326" t="str">
            <v>H</v>
          </cell>
          <cell r="X326" t="str">
            <v>6-12 meses</v>
          </cell>
          <cell r="Y326" t="str">
            <v>Van Leer Guatemala</v>
          </cell>
          <cell r="Z326" t="str">
            <v>Tambores Metálicos.</v>
          </cell>
          <cell r="AA326" t="str">
            <v>-</v>
          </cell>
          <cell r="AB326" t="str">
            <v>Rigoberto Montalvo</v>
          </cell>
          <cell r="AC326">
            <v>36493</v>
          </cell>
        </row>
        <row r="327">
          <cell r="A327" t="str">
            <v>SAA 4904</v>
          </cell>
          <cell r="B327" t="str">
            <v>Esmalte Horneable Gris RAL 7035</v>
          </cell>
          <cell r="C327" t="str">
            <v>Interior-Exterior</v>
          </cell>
          <cell r="D327" t="str">
            <v xml:space="preserve">Acero </v>
          </cell>
          <cell r="E327" t="str">
            <v>Limpieza y Desengrase</v>
          </cell>
          <cell r="F327" t="str">
            <v>Ninguno</v>
          </cell>
          <cell r="G327" t="str">
            <v>9.37 Lbs/Gl</v>
          </cell>
          <cell r="H327" t="str">
            <v>16%</v>
          </cell>
          <cell r="I327" t="str">
            <v>51.80%</v>
          </cell>
          <cell r="J327" t="str">
            <v>68.8%</v>
          </cell>
          <cell r="K327" t="str">
            <v>11.60%</v>
          </cell>
          <cell r="L327" t="str">
            <v>38.71%</v>
          </cell>
          <cell r="M327" t="str">
            <v>100"-110" Copa Zanh #2</v>
          </cell>
          <cell r="N327" t="str">
            <v>Pistola</v>
          </cell>
          <cell r="O327" t="str">
            <v>18"-22" Copa Zanh #2</v>
          </cell>
          <cell r="P327" t="str">
            <v>20-25%</v>
          </cell>
          <cell r="Q327" t="str">
            <v>R2K4 Industrial Reducer.</v>
          </cell>
          <cell r="R327" t="str">
            <v>1-1.5 mills</v>
          </cell>
          <cell r="S327" t="str">
            <v>Al horno</v>
          </cell>
          <cell r="T327" t="str">
            <v>15 Min a 300°F</v>
          </cell>
          <cell r="U327" t="str">
            <v>57.7 Mts Cuadrados/Gl a 1 mills de espesor.</v>
          </cell>
          <cell r="V327" t="str">
            <v>+80</v>
          </cell>
          <cell r="W327" t="str">
            <v>H</v>
          </cell>
          <cell r="X327" t="str">
            <v>6-12 meses</v>
          </cell>
          <cell r="Y327" t="str">
            <v>Van Leer Guatemala</v>
          </cell>
          <cell r="Z327" t="str">
            <v>Tambores Metálicos.</v>
          </cell>
          <cell r="AA327" t="str">
            <v>-</v>
          </cell>
          <cell r="AB327" t="str">
            <v>Rigoberto Montalvo</v>
          </cell>
          <cell r="AC327">
            <v>36493</v>
          </cell>
        </row>
        <row r="328">
          <cell r="A328" t="str">
            <v>SAA 4910</v>
          </cell>
          <cell r="B328" t="str">
            <v>Esmalte Horneable Rojo Texaco</v>
          </cell>
          <cell r="C328" t="str">
            <v>Interior-Exterior</v>
          </cell>
          <cell r="D328" t="str">
            <v xml:space="preserve">Acero </v>
          </cell>
          <cell r="E328" t="str">
            <v>Limpieza y Desengrase</v>
          </cell>
          <cell r="F328" t="str">
            <v>Ninguno</v>
          </cell>
          <cell r="G328" t="str">
            <v>8.84 Lbs/Gl</v>
          </cell>
          <cell r="H328" t="str">
            <v>12.25%</v>
          </cell>
          <cell r="I328" t="str">
            <v>50.26%</v>
          </cell>
          <cell r="J328" t="str">
            <v>70.52%</v>
          </cell>
          <cell r="K328" t="str">
            <v>3.20%</v>
          </cell>
          <cell r="L328" t="str">
            <v>38.25%</v>
          </cell>
          <cell r="M328" t="str">
            <v>100"-110" Copa Zanh #2</v>
          </cell>
          <cell r="N328" t="str">
            <v>Pistola</v>
          </cell>
          <cell r="O328" t="str">
            <v>18"-22" Copa Zanh #2</v>
          </cell>
          <cell r="P328" t="str">
            <v>20-25%</v>
          </cell>
          <cell r="Q328" t="str">
            <v>R2K4 Industrial Reducer.</v>
          </cell>
          <cell r="R328" t="str">
            <v>1-1.5 mills</v>
          </cell>
          <cell r="S328" t="str">
            <v>Al horno</v>
          </cell>
          <cell r="T328" t="str">
            <v>15 Min a 300°F</v>
          </cell>
          <cell r="U328" t="str">
            <v>57 Mts Cuadrados/Gl a 1 mills de espesor.</v>
          </cell>
          <cell r="V328" t="str">
            <v>+70</v>
          </cell>
          <cell r="W328" t="str">
            <v>H</v>
          </cell>
          <cell r="X328" t="str">
            <v>6-12 meses</v>
          </cell>
          <cell r="Y328" t="str">
            <v>Van Leer Guatemala</v>
          </cell>
          <cell r="Z328" t="str">
            <v>Tambores Metálicos.</v>
          </cell>
          <cell r="AA328" t="str">
            <v>-</v>
          </cell>
          <cell r="AB328" t="str">
            <v>Corina de Turcios</v>
          </cell>
          <cell r="AC328">
            <v>36502</v>
          </cell>
        </row>
        <row r="329">
          <cell r="A329" t="str">
            <v>F75WSA1 (1)</v>
          </cell>
          <cell r="B329" t="str">
            <v>Esmalte Horneable Industrial Blanco</v>
          </cell>
          <cell r="C329" t="str">
            <v>Interior-Exterior</v>
          </cell>
          <cell r="D329" t="str">
            <v xml:space="preserve">Acero </v>
          </cell>
          <cell r="E329" t="str">
            <v>Limpieza y Desengrase</v>
          </cell>
          <cell r="F329" t="str">
            <v>Ninguno</v>
          </cell>
          <cell r="G329" t="str">
            <v>9.86 Lbs/Gl</v>
          </cell>
          <cell r="H329" t="str">
            <v>30.54%</v>
          </cell>
          <cell r="I329" t="str">
            <v>59.38%</v>
          </cell>
          <cell r="J329" t="str">
            <v>47.28%</v>
          </cell>
          <cell r="K329" t="str">
            <v>30.54%</v>
          </cell>
          <cell r="L329" t="str">
            <v>40.44%</v>
          </cell>
          <cell r="M329" t="str">
            <v>95"-105" copa Zanh #2</v>
          </cell>
          <cell r="N329" t="str">
            <v>Pistola</v>
          </cell>
          <cell r="O329" t="str">
            <v>18"-22" Copa Zanh #2</v>
          </cell>
          <cell r="P329" t="str">
            <v>10-15%</v>
          </cell>
          <cell r="Q329" t="str">
            <v>R2K4 Industrial Reducer.</v>
          </cell>
          <cell r="R329" t="str">
            <v>1-1.5 mills</v>
          </cell>
          <cell r="S329" t="str">
            <v>Al horno</v>
          </cell>
          <cell r="T329" t="str">
            <v>15 Min a 300°F</v>
          </cell>
          <cell r="U329" t="str">
            <v>60 Mts Cuadrados/Gl a 1 mills de espesor.</v>
          </cell>
          <cell r="V329" t="str">
            <v>+80</v>
          </cell>
          <cell r="W329" t="str">
            <v>HB</v>
          </cell>
          <cell r="X329" t="str">
            <v>6-12 meses</v>
          </cell>
          <cell r="Y329" t="str">
            <v>Varios</v>
          </cell>
          <cell r="Z329" t="str">
            <v>-</v>
          </cell>
          <cell r="AA329" t="str">
            <v>-</v>
          </cell>
          <cell r="AB329" t="str">
            <v>Corina de Turcios</v>
          </cell>
          <cell r="AC329">
            <v>36595</v>
          </cell>
        </row>
        <row r="330">
          <cell r="A330" t="str">
            <v>B61BSA1</v>
          </cell>
          <cell r="B330" t="str">
            <v>Ebonol</v>
          </cell>
          <cell r="C330" t="str">
            <v>Interior</v>
          </cell>
          <cell r="D330" t="str">
            <v>Madera</v>
          </cell>
          <cell r="E330" t="str">
            <v>Lijada</v>
          </cell>
          <cell r="F330" t="str">
            <v>Ninguno</v>
          </cell>
          <cell r="G330" t="str">
            <v>7.68 Lbs/Gl</v>
          </cell>
          <cell r="H330" t="str">
            <v>0%</v>
          </cell>
          <cell r="I330" t="str">
            <v>45.20%</v>
          </cell>
          <cell r="J330" t="str">
            <v>91.72%</v>
          </cell>
          <cell r="K330" t="str">
            <v>0%</v>
          </cell>
          <cell r="L330" t="str">
            <v>36.63%</v>
          </cell>
          <cell r="M330" t="str">
            <v>40"-60" Copa SW #3</v>
          </cell>
          <cell r="N330" t="str">
            <v>Brocha o Rodillo</v>
          </cell>
          <cell r="O330" t="str">
            <v>-</v>
          </cell>
          <cell r="P330" t="str">
            <v>Lo Necesario 25%</v>
          </cell>
          <cell r="Q330" t="str">
            <v>R1K4 Mineral Spirits</v>
          </cell>
          <cell r="R330" t="str">
            <v>-</v>
          </cell>
          <cell r="S330" t="str">
            <v>Al Aire</v>
          </cell>
          <cell r="T330" t="str">
            <v>-</v>
          </cell>
          <cell r="U330" t="str">
            <v>54 Mts Cuadrados/Gl a 1 mills de espesor.</v>
          </cell>
          <cell r="V330" t="str">
            <v>-</v>
          </cell>
          <cell r="W330" t="str">
            <v>-</v>
          </cell>
          <cell r="X330" t="str">
            <v>6-12 Meses (a 25 °C y Libre de Fuga)</v>
          </cell>
          <cell r="Y330" t="str">
            <v>Varios</v>
          </cell>
          <cell r="Z330" t="str">
            <v>-</v>
          </cell>
          <cell r="AA330" t="str">
            <v>Producto Elaborado en Base a Resinas asfalticas. Libre de Plomo y Mercurio.</v>
          </cell>
          <cell r="AB330" t="str">
            <v>Corina de Turcios</v>
          </cell>
          <cell r="AC330">
            <v>36602</v>
          </cell>
        </row>
        <row r="331">
          <cell r="A331" t="str">
            <v>A86WCR12</v>
          </cell>
          <cell r="B331" t="str">
            <v>Pintura de Tráfico Blanca TTP-115F                        ASTM</v>
          </cell>
          <cell r="C331" t="str">
            <v>Interior-Exterior</v>
          </cell>
          <cell r="D331" t="str">
            <v>Asfalto y Concreto</v>
          </cell>
          <cell r="E331" t="str">
            <v>Limpia, Seca y Libre de Exudación de Asfalto</v>
          </cell>
          <cell r="F331" t="str">
            <v>Ninguno</v>
          </cell>
          <cell r="G331" t="str">
            <v>12.48 Lbs/Gl                                    D-1475</v>
          </cell>
          <cell r="H331" t="str">
            <v>57%</v>
          </cell>
          <cell r="I331" t="str">
            <v>75.0%                             D-2697</v>
          </cell>
          <cell r="J331" t="str">
            <v>41%</v>
          </cell>
          <cell r="K331" t="str">
            <v>57.0%</v>
          </cell>
          <cell r="L331" t="str">
            <v>53.40%</v>
          </cell>
          <cell r="M331" t="str">
            <v>75-80 KU                                           D-562</v>
          </cell>
          <cell r="N331" t="str">
            <v>Brocha, Rodillo Industrial, Máquina Franjeadora, Etc.</v>
          </cell>
          <cell r="O331" t="str">
            <v>Para Usar con Máquina franjeadora, reduzca con 1/8 de galón.</v>
          </cell>
          <cell r="P331" t="str">
            <v>Listo para usarse con Brocha y Rodillo.</v>
          </cell>
          <cell r="Q331" t="str">
            <v>R2K4 Industrial Reducer.</v>
          </cell>
          <cell r="R331" t="str">
            <v>7 mills</v>
          </cell>
          <cell r="S331" t="str">
            <v>15-20 Min. No transitar antes de 30 Minutos.                                             D-1640</v>
          </cell>
          <cell r="T331" t="str">
            <v>-</v>
          </cell>
          <cell r="U331" t="str">
            <v>10-11 Mts cuadrados/Gl a 7 mills seco.</v>
          </cell>
          <cell r="V331" t="str">
            <v>Mate más o menos 1-2</v>
          </cell>
          <cell r="W331" t="str">
            <v>-</v>
          </cell>
          <cell r="X331" t="str">
            <v>36 meses</v>
          </cell>
          <cell r="Y331" t="str">
            <v>-</v>
          </cell>
          <cell r="Z331" t="str">
            <v>-</v>
          </cell>
          <cell r="AA331" t="str">
            <v xml:space="preserve">Abrasión: 38 Litros mínimo  (D968). Finura Hegman: 3H-0   (D-1210). Flexibilidad:  (D-522). Adherencia:   (D-3359). </v>
          </cell>
          <cell r="AB331" t="str">
            <v>Ana Irene Mendez Vides</v>
          </cell>
          <cell r="AC331" t="str">
            <v>Julio 23, 2002</v>
          </cell>
        </row>
        <row r="332">
          <cell r="A332" t="str">
            <v>A86YCR11</v>
          </cell>
          <cell r="B332" t="str">
            <v>Pintura de Tráfico Amarilla TTP-115F                        ASTM</v>
          </cell>
          <cell r="C332" t="str">
            <v>Interior-Exterior</v>
          </cell>
          <cell r="D332" t="str">
            <v>Asfalto y Concreto</v>
          </cell>
          <cell r="E332" t="str">
            <v>Limpia, Seca y Libre de Exudación de Asfalto</v>
          </cell>
          <cell r="F332" t="str">
            <v>Ninguno</v>
          </cell>
          <cell r="G332" t="str">
            <v>12.68 Lbs/Gl                                    D-1475</v>
          </cell>
          <cell r="H332" t="str">
            <v>57.70%</v>
          </cell>
          <cell r="I332" t="str">
            <v>75.0%                             D-2697</v>
          </cell>
          <cell r="J332" t="str">
            <v>41.50%</v>
          </cell>
          <cell r="K332" t="str">
            <v>57.70%</v>
          </cell>
          <cell r="L332" t="str">
            <v>49.90%</v>
          </cell>
          <cell r="M332" t="str">
            <v>75-80 KU                                           D-562 *</v>
          </cell>
          <cell r="N332" t="str">
            <v>Brocha, Rodillo Industrial, Máquina Franjeadora, Etc.</v>
          </cell>
          <cell r="O332" t="str">
            <v>Para Usar con Máquina franjeadora, reduzca con 1/8 de galón.</v>
          </cell>
          <cell r="P332" t="str">
            <v>Listo para usarse con Brocha y Rodillo.</v>
          </cell>
          <cell r="Q332" t="str">
            <v>R2K4 Industrial Reducer.</v>
          </cell>
          <cell r="R332" t="str">
            <v>7 mills</v>
          </cell>
          <cell r="S332" t="str">
            <v>15-20 Min. No transitar antes de 30 Minutos.                                             D-1640</v>
          </cell>
          <cell r="T332" t="str">
            <v>-</v>
          </cell>
          <cell r="U332" t="str">
            <v>10-11 Mts cuadrados/Gl a 7 mills seco.</v>
          </cell>
          <cell r="V332" t="str">
            <v>Mate más o menos 1-2</v>
          </cell>
          <cell r="W332" t="str">
            <v>-</v>
          </cell>
          <cell r="X332" t="str">
            <v>36 meses</v>
          </cell>
          <cell r="Y332" t="str">
            <v>-</v>
          </cell>
          <cell r="Z332" t="str">
            <v>-</v>
          </cell>
          <cell r="AA332" t="str">
            <v>Abrasión: 38 Litros mínimo  (D968). Finura Hegman: 3H-0   (D-1210). Flexibilidad:  (D-522). Adherencia:   (D-3359). * La viscosidad del ASTM D562 es 75-80 KU, pero a solicitud del MOP se fabricará a 120 KU.</v>
          </cell>
          <cell r="AB332" t="str">
            <v>Ana Irene Mendez Vides</v>
          </cell>
          <cell r="AC332" t="str">
            <v>Enero 21, 2002</v>
          </cell>
        </row>
        <row r="333">
          <cell r="A333" t="str">
            <v>B54RSA3</v>
          </cell>
          <cell r="B333" t="str">
            <v>Pintura Industrial Rojo Electrostático HECASA.</v>
          </cell>
          <cell r="C333" t="str">
            <v>Interior-Exterior</v>
          </cell>
          <cell r="D333" t="str">
            <v xml:space="preserve">Acero </v>
          </cell>
          <cell r="E333" t="str">
            <v>Limpieza y Desengrase</v>
          </cell>
          <cell r="F333" t="str">
            <v>Ninguno</v>
          </cell>
          <cell r="G333" t="str">
            <v>8.04 Lbs/Gl</v>
          </cell>
          <cell r="H333" t="str">
            <v>9.27%</v>
          </cell>
          <cell r="I333" t="str">
            <v>29.9%</v>
          </cell>
          <cell r="J333" t="str">
            <v>63.56%</v>
          </cell>
          <cell r="K333" t="str">
            <v>10.02%</v>
          </cell>
          <cell r="L333" t="str">
            <v>19.97%</v>
          </cell>
          <cell r="M333" t="str">
            <v>18"-22" Copa Zanh #2</v>
          </cell>
          <cell r="N333" t="str">
            <v>Pistola</v>
          </cell>
          <cell r="O333" t="str">
            <v>18"-22" Copa Zanh #2</v>
          </cell>
          <cell r="P333" t="str">
            <v>Ninguno</v>
          </cell>
          <cell r="Q333" t="str">
            <v>Ninguno</v>
          </cell>
          <cell r="R333" t="str">
            <v>-</v>
          </cell>
          <cell r="S333" t="str">
            <v>Al Aire</v>
          </cell>
          <cell r="T333" t="str">
            <v>-</v>
          </cell>
          <cell r="U333" t="str">
            <v>29 Mts Cuadrados/Gl a 1 mills de Espesor</v>
          </cell>
          <cell r="V333" t="str">
            <v>STD</v>
          </cell>
          <cell r="W333" t="str">
            <v>-</v>
          </cell>
          <cell r="X333" t="str">
            <v>-</v>
          </cell>
          <cell r="Y333" t="str">
            <v>HECASA</v>
          </cell>
          <cell r="Z333" t="str">
            <v>-</v>
          </cell>
          <cell r="AA333" t="str">
            <v>Rango de Resistividad: 0.5-0.7 Megaohmios.</v>
          </cell>
          <cell r="AB333" t="str">
            <v>Corina de Turcios</v>
          </cell>
          <cell r="AC333">
            <v>36619</v>
          </cell>
        </row>
        <row r="334">
          <cell r="A334" t="str">
            <v>SAA 4981</v>
          </cell>
          <cell r="B334" t="str">
            <v>Colonial Latex Chep Blue W.B</v>
          </cell>
          <cell r="C334" t="str">
            <v>Interior-Exterior</v>
          </cell>
          <cell r="D334" t="str">
            <v>Cemento, Ladrillo, Madera</v>
          </cell>
          <cell r="E334" t="str">
            <v>Curada, Limpia, Seca y Libre de toda contaminación</v>
          </cell>
          <cell r="F334" t="str">
            <v>-</v>
          </cell>
          <cell r="G334" t="str">
            <v>11.55 Lbs/Gl más o menos 0.2</v>
          </cell>
          <cell r="H334" t="str">
            <v>-</v>
          </cell>
          <cell r="I334" t="str">
            <v>48.70% más o menos 0.2</v>
          </cell>
          <cell r="J334" t="str">
            <v>-</v>
          </cell>
          <cell r="K334" t="str">
            <v>63.50%</v>
          </cell>
          <cell r="L334" t="str">
            <v>30.90% más o menos 0.2</v>
          </cell>
          <cell r="M334" t="str">
            <v>79-85 KU</v>
          </cell>
          <cell r="N334" t="str">
            <v>Brocha-Rodillo-Pistola</v>
          </cell>
          <cell r="O334" t="str">
            <v>79-85 KU</v>
          </cell>
          <cell r="P334" t="str">
            <v>Máximo 10%</v>
          </cell>
          <cell r="Q334" t="str">
            <v>Agua Limpia</v>
          </cell>
          <cell r="R334" t="str">
            <v>1.5 mills Seca</v>
          </cell>
          <cell r="S334" t="str">
            <v>Al Aire, Recubrir después de 4 horas.</v>
          </cell>
          <cell r="T334" t="str">
            <v>-</v>
          </cell>
          <cell r="U334" t="str">
            <v>30 Mts Cuadrados/Gl más o menos1</v>
          </cell>
          <cell r="V334" t="str">
            <v>-</v>
          </cell>
          <cell r="W334" t="str">
            <v>-</v>
          </cell>
          <cell r="X334" t="str">
            <v>2 años</v>
          </cell>
          <cell r="Y334" t="str">
            <v>DIDEMA-GUATEMALA</v>
          </cell>
          <cell r="Z334" t="str">
            <v>-</v>
          </cell>
          <cell r="AA334" t="str">
            <v>-</v>
          </cell>
          <cell r="AB334" t="str">
            <v>Ana Irene Mendez Vides</v>
          </cell>
          <cell r="AC334">
            <v>36619</v>
          </cell>
        </row>
        <row r="335">
          <cell r="A335" t="str">
            <v>F75ASA1</v>
          </cell>
          <cell r="B335" t="str">
            <v>Esmalte Horneable Industrial Gris General</v>
          </cell>
          <cell r="C335" t="str">
            <v>Interior-Exterior</v>
          </cell>
          <cell r="D335" t="str">
            <v xml:space="preserve">Hierro-Acero </v>
          </cell>
          <cell r="E335" t="str">
            <v>Limpieza y Desengrase</v>
          </cell>
          <cell r="F335" t="str">
            <v>Ninguno</v>
          </cell>
          <cell r="G335" t="str">
            <v>8.63 Lbs/Gl</v>
          </cell>
          <cell r="H335" t="str">
            <v>17.21%</v>
          </cell>
          <cell r="I335" t="str">
            <v>54.80%</v>
          </cell>
          <cell r="J335" t="str">
            <v>67%</v>
          </cell>
          <cell r="K335" t="str">
            <v>11.02%</v>
          </cell>
          <cell r="L335" t="str">
            <v>41.48%</v>
          </cell>
          <cell r="M335" t="str">
            <v>100"-110" Copa Zanh #2</v>
          </cell>
          <cell r="N335" t="str">
            <v>Pistola</v>
          </cell>
          <cell r="O335" t="str">
            <v>18"-22" Copa Zanh #2</v>
          </cell>
          <cell r="P335" t="str">
            <v>20-25%</v>
          </cell>
          <cell r="Q335" t="str">
            <v>R2K4 Industrial Reducer.</v>
          </cell>
          <cell r="R335" t="str">
            <v>1-1.5 mills</v>
          </cell>
          <cell r="S335" t="str">
            <v>Al horno</v>
          </cell>
          <cell r="T335" t="str">
            <v>15 Min a 300°F (150 °C)</v>
          </cell>
          <cell r="U335" t="str">
            <v>61 Mts Cuadrados/Gl a 1 mills de espesor.</v>
          </cell>
          <cell r="V335" t="str">
            <v>80-90</v>
          </cell>
          <cell r="W335" t="str">
            <v>F-H</v>
          </cell>
          <cell r="X335" t="str">
            <v>6-12 meses</v>
          </cell>
          <cell r="Y335" t="str">
            <v>-</v>
          </cell>
          <cell r="Z335" t="str">
            <v>-</v>
          </cell>
          <cell r="AA335" t="str">
            <v>-</v>
          </cell>
          <cell r="AB335" t="str">
            <v>Corina de Turcios</v>
          </cell>
          <cell r="AC335">
            <v>36644</v>
          </cell>
        </row>
        <row r="336">
          <cell r="A336" t="str">
            <v>F75HSA1</v>
          </cell>
          <cell r="B336" t="str">
            <v>Esmalte Horneable Industrial Beige Tiler</v>
          </cell>
          <cell r="C336" t="str">
            <v>Interior-Exterior</v>
          </cell>
          <cell r="D336" t="str">
            <v>Hierro</v>
          </cell>
          <cell r="E336" t="str">
            <v>Limpieza y Desengrase</v>
          </cell>
          <cell r="F336" t="str">
            <v>Ninguno</v>
          </cell>
          <cell r="G336" t="str">
            <v>8.64 Lbs/Gl</v>
          </cell>
          <cell r="H336" t="str">
            <v>17.42%</v>
          </cell>
          <cell r="I336" t="str">
            <v>54.80%</v>
          </cell>
          <cell r="J336" t="str">
            <v>67%</v>
          </cell>
          <cell r="K336" t="str">
            <v>11.08%</v>
          </cell>
          <cell r="L336" t="str">
            <v>41.43%</v>
          </cell>
          <cell r="M336" t="str">
            <v>100"-110" Copa Zanh #2</v>
          </cell>
          <cell r="N336" t="str">
            <v>Pistola</v>
          </cell>
          <cell r="O336" t="str">
            <v>18"-22" Copa Zanh #2</v>
          </cell>
          <cell r="P336" t="str">
            <v>20-25%</v>
          </cell>
          <cell r="Q336" t="str">
            <v>R2K4 Industrial Reducer.</v>
          </cell>
          <cell r="R336" t="str">
            <v>1-1.5 mills</v>
          </cell>
          <cell r="S336" t="str">
            <v>Al horno</v>
          </cell>
          <cell r="T336" t="str">
            <v>15 Min a 300°F (150 °C)</v>
          </cell>
          <cell r="U336" t="str">
            <v>61 Mts Cuadrados/Gl a 1 mills de espesor.</v>
          </cell>
          <cell r="V336" t="str">
            <v>80-90</v>
          </cell>
          <cell r="W336" t="str">
            <v>F-H</v>
          </cell>
          <cell r="X336" t="str">
            <v>6-12 meses</v>
          </cell>
          <cell r="Y336" t="str">
            <v>-</v>
          </cell>
          <cell r="Z336" t="str">
            <v>-</v>
          </cell>
          <cell r="AA336" t="str">
            <v>-</v>
          </cell>
          <cell r="AB336" t="str">
            <v>Corina de Turcios</v>
          </cell>
          <cell r="AC336">
            <v>36644</v>
          </cell>
        </row>
        <row r="337">
          <cell r="A337" t="str">
            <v>F75NSA1</v>
          </cell>
          <cell r="B337" t="str">
            <v>Esmalte Horneable Industrial Café Liso</v>
          </cell>
          <cell r="C337" t="str">
            <v>Interior-Exterior</v>
          </cell>
          <cell r="D337" t="str">
            <v>Hierro</v>
          </cell>
          <cell r="E337" t="str">
            <v>Limpieza y Desengrase</v>
          </cell>
          <cell r="F337" t="str">
            <v>Ninguno</v>
          </cell>
          <cell r="G337" t="str">
            <v>8.15 Lbs/Gl</v>
          </cell>
          <cell r="H337" t="str">
            <v>10.73%</v>
          </cell>
          <cell r="I337" t="str">
            <v>50.41%</v>
          </cell>
          <cell r="J337" t="str">
            <v>77.3%</v>
          </cell>
          <cell r="K337" t="str">
            <v>6.71%</v>
          </cell>
          <cell r="L337" t="str">
            <v>39.49%</v>
          </cell>
          <cell r="M337" t="str">
            <v>100"-110" Copa Zanh #2</v>
          </cell>
          <cell r="N337" t="str">
            <v>Pistola</v>
          </cell>
          <cell r="O337" t="str">
            <v>18"-22" Copa Zanh #2</v>
          </cell>
          <cell r="P337" t="str">
            <v>20-25%</v>
          </cell>
          <cell r="Q337" t="str">
            <v>R2K4 Industrial Reducer.</v>
          </cell>
          <cell r="R337" t="str">
            <v>1-1.5 mills</v>
          </cell>
          <cell r="S337" t="str">
            <v>Al horno</v>
          </cell>
          <cell r="T337" t="str">
            <v>15 Min a 300°F (150 °C)</v>
          </cell>
          <cell r="U337" t="str">
            <v>58.25 Mts Cuadrados/Gl a 1 mills de espesor.</v>
          </cell>
          <cell r="V337" t="str">
            <v>80-90</v>
          </cell>
          <cell r="W337" t="str">
            <v>F-H</v>
          </cell>
          <cell r="X337" t="str">
            <v>6-12 meses</v>
          </cell>
          <cell r="Y337" t="str">
            <v>-</v>
          </cell>
          <cell r="Z337" t="str">
            <v>-</v>
          </cell>
          <cell r="AA337" t="str">
            <v>-</v>
          </cell>
          <cell r="AB337" t="str">
            <v>Corina de Turcios</v>
          </cell>
          <cell r="AC337">
            <v>36644</v>
          </cell>
        </row>
        <row r="338">
          <cell r="A338" t="str">
            <v>F75NSA2</v>
          </cell>
          <cell r="B338" t="str">
            <v>Esmalte Horneable Industrial Café Chocolate</v>
          </cell>
          <cell r="C338" t="str">
            <v>Interior-Exterior</v>
          </cell>
          <cell r="D338" t="str">
            <v xml:space="preserve">Acero </v>
          </cell>
          <cell r="E338" t="str">
            <v>Limpieza y Desengrase</v>
          </cell>
          <cell r="F338" t="str">
            <v>Ninguno</v>
          </cell>
          <cell r="G338" t="str">
            <v>7.83 Lbs/Gl</v>
          </cell>
          <cell r="H338" t="str">
            <v>6.07%</v>
          </cell>
          <cell r="I338" t="str">
            <v>47.32%</v>
          </cell>
          <cell r="J338" t="str">
            <v>86.38%</v>
          </cell>
          <cell r="K338" t="str">
            <v>3.76%</v>
          </cell>
          <cell r="L338" t="str">
            <v>32.28%</v>
          </cell>
          <cell r="M338" t="str">
            <v>100"-110" Copa Zanh #2</v>
          </cell>
          <cell r="N338" t="str">
            <v>Pistola</v>
          </cell>
          <cell r="O338" t="str">
            <v>18"-22" Copa Zanh #2</v>
          </cell>
          <cell r="P338" t="str">
            <v>20-25%</v>
          </cell>
          <cell r="Q338" t="str">
            <v>R2K4 Industrial Reducer.</v>
          </cell>
          <cell r="R338" t="str">
            <v>1-1.5 mills</v>
          </cell>
          <cell r="S338" t="str">
            <v>Al horno</v>
          </cell>
          <cell r="T338" t="str">
            <v>15 Min a 300°F (150 °C)</v>
          </cell>
          <cell r="U338" t="str">
            <v>57 Mts Cuadrados/Gl a 1 mills de espesor.</v>
          </cell>
          <cell r="V338" t="str">
            <v>80-90</v>
          </cell>
          <cell r="W338" t="str">
            <v>F-H</v>
          </cell>
          <cell r="X338" t="str">
            <v>6-12 meses</v>
          </cell>
          <cell r="Y338" t="str">
            <v>-</v>
          </cell>
          <cell r="Z338" t="str">
            <v>-</v>
          </cell>
          <cell r="AA338" t="str">
            <v>-</v>
          </cell>
          <cell r="AB338" t="str">
            <v>Corina de Turcios</v>
          </cell>
          <cell r="AC338">
            <v>36644</v>
          </cell>
        </row>
        <row r="339">
          <cell r="A339" t="str">
            <v>F75WSA1</v>
          </cell>
          <cell r="B339" t="str">
            <v>Esmalte Horneable Industrial Blanco</v>
          </cell>
          <cell r="C339" t="str">
            <v>Interior-Exterior</v>
          </cell>
          <cell r="D339" t="str">
            <v>Hierro</v>
          </cell>
          <cell r="E339" t="str">
            <v>Limpieza y Desengrase</v>
          </cell>
          <cell r="F339" t="str">
            <v>Ninguno</v>
          </cell>
          <cell r="G339" t="str">
            <v>9.85 Lbs/Gl</v>
          </cell>
          <cell r="H339" t="str">
            <v>30.54%</v>
          </cell>
          <cell r="I339" t="str">
            <v>63.50%</v>
          </cell>
          <cell r="J339" t="str">
            <v>50.69%</v>
          </cell>
          <cell r="K339" t="str">
            <v>19.90%</v>
          </cell>
          <cell r="L339" t="str">
            <v>46.17%</v>
          </cell>
          <cell r="M339" t="str">
            <v>100"-110" Copa Zanh #2</v>
          </cell>
          <cell r="N339" t="str">
            <v>Pistola</v>
          </cell>
          <cell r="O339" t="str">
            <v>18"-22" Copa Zanh #2</v>
          </cell>
          <cell r="P339" t="str">
            <v>20-25%</v>
          </cell>
          <cell r="Q339" t="str">
            <v>R2K4 Industrial Reducer.</v>
          </cell>
          <cell r="R339" t="str">
            <v>1-1.5 mills</v>
          </cell>
          <cell r="S339" t="str">
            <v>Al horno</v>
          </cell>
          <cell r="T339" t="str">
            <v>15 Min a 300°F (150 °C)</v>
          </cell>
          <cell r="U339" t="str">
            <v>68 Mts Cuadrados/Gl a 1 mills de espesor.</v>
          </cell>
          <cell r="V339" t="str">
            <v>80-90</v>
          </cell>
          <cell r="W339" t="str">
            <v>F-H</v>
          </cell>
          <cell r="X339" t="str">
            <v>6-12 meses</v>
          </cell>
          <cell r="Y339" t="str">
            <v>-</v>
          </cell>
          <cell r="Z339" t="str">
            <v>-</v>
          </cell>
          <cell r="AA339" t="str">
            <v>-</v>
          </cell>
          <cell r="AB339" t="str">
            <v>Corina de Turcios</v>
          </cell>
          <cell r="AC339">
            <v>36644</v>
          </cell>
        </row>
        <row r="340">
          <cell r="A340" t="str">
            <v>SAA 4896</v>
          </cell>
          <cell r="B340" t="str">
            <v>Pintura de Látex Acrílico Blanca</v>
          </cell>
          <cell r="C340" t="str">
            <v>Interior-Exterior</v>
          </cell>
          <cell r="D340" t="str">
            <v>Lámina Galvanizada</v>
          </cell>
          <cell r="E340" t="str">
            <v>Libre de Polvo, Grasa o Cuarquier Sustancia Contaminate</v>
          </cell>
          <cell r="F340" t="str">
            <v>Ninguno</v>
          </cell>
          <cell r="G340" t="str">
            <v>10.83 Lbs/Gl</v>
          </cell>
          <cell r="H340" t="str">
            <v>35.49%</v>
          </cell>
          <cell r="I340" t="str">
            <v>46.71%</v>
          </cell>
          <cell r="J340" t="str">
            <v>53.29%</v>
          </cell>
          <cell r="K340" t="str">
            <v>41.71%</v>
          </cell>
          <cell r="L340" t="str">
            <v>31.75%</v>
          </cell>
          <cell r="M340" t="str">
            <v>90-95 KU</v>
          </cell>
          <cell r="N340" t="str">
            <v>Brocha</v>
          </cell>
          <cell r="O340" t="str">
            <v>90-95KU</v>
          </cell>
          <cell r="P340" t="str">
            <v>Ninguno</v>
          </cell>
          <cell r="Q340" t="str">
            <v>Agua Para Lavar Equipo</v>
          </cell>
          <cell r="R340" t="str">
            <v xml:space="preserve">1.5 mills  </v>
          </cell>
          <cell r="S340" t="str">
            <v>Al aire</v>
          </cell>
          <cell r="T340" t="str">
            <v>-</v>
          </cell>
          <cell r="U340" t="str">
            <v>25-30 Mts cuadrados/Gl</v>
          </cell>
          <cell r="V340" t="str">
            <v>Satinado</v>
          </cell>
          <cell r="W340" t="str">
            <v>-</v>
          </cell>
          <cell r="X340" t="str">
            <v>1-2 Años</v>
          </cell>
          <cell r="Y340" t="str">
            <v>PREXCON</v>
          </cell>
          <cell r="Z340" t="str">
            <v>Antenas</v>
          </cell>
          <cell r="AA340" t="str">
            <v>-</v>
          </cell>
          <cell r="AB340" t="str">
            <v>Ana Irene Mendez Vides</v>
          </cell>
          <cell r="AC340">
            <v>36690</v>
          </cell>
        </row>
        <row r="341">
          <cell r="A341" t="str">
            <v>SAA 4897</v>
          </cell>
          <cell r="B341" t="str">
            <v>Pintura de Látex Acrílico Naranja</v>
          </cell>
          <cell r="C341" t="str">
            <v>Interior-Exterior</v>
          </cell>
          <cell r="D341" t="str">
            <v>Lámina Galvanizada</v>
          </cell>
          <cell r="E341" t="str">
            <v>Libre de Polvo, Grasa o Cuarquier Sustancia Contaminate</v>
          </cell>
          <cell r="F341" t="str">
            <v>Ninguno</v>
          </cell>
          <cell r="G341" t="str">
            <v>9.32 Lbs/Gl</v>
          </cell>
          <cell r="H341" t="str">
            <v>35.91%</v>
          </cell>
          <cell r="I341" t="str">
            <v>35.91%</v>
          </cell>
          <cell r="J341" t="str">
            <v>64.05%</v>
          </cell>
          <cell r="K341" t="str">
            <v>36.76%</v>
          </cell>
          <cell r="L341" t="str">
            <v>29.21%</v>
          </cell>
          <cell r="M341" t="str">
            <v>90-95 KU</v>
          </cell>
          <cell r="N341" t="str">
            <v>Brocha</v>
          </cell>
          <cell r="O341" t="str">
            <v>90-95KU</v>
          </cell>
          <cell r="P341" t="str">
            <v>Ninguno</v>
          </cell>
          <cell r="Q341" t="str">
            <v>Agua Para Lavar Equipo</v>
          </cell>
          <cell r="R341" t="str">
            <v xml:space="preserve">1.5 mills  </v>
          </cell>
          <cell r="S341" t="str">
            <v>Al aire</v>
          </cell>
          <cell r="T341" t="str">
            <v>-</v>
          </cell>
          <cell r="U341" t="str">
            <v>25-30 Mts cuadrados/Gl</v>
          </cell>
          <cell r="V341" t="str">
            <v>Satinado</v>
          </cell>
          <cell r="W341" t="str">
            <v>-</v>
          </cell>
          <cell r="X341" t="str">
            <v>1-2 Años</v>
          </cell>
          <cell r="Y341" t="str">
            <v>PREXCON</v>
          </cell>
          <cell r="Z341" t="str">
            <v>Antenas</v>
          </cell>
          <cell r="AA341" t="str">
            <v>-</v>
          </cell>
          <cell r="AB341" t="str">
            <v>Ana Irene Mendez Vides</v>
          </cell>
          <cell r="AC341">
            <v>36690</v>
          </cell>
        </row>
        <row r="342">
          <cell r="A342" t="str">
            <v>D1T13</v>
          </cell>
          <cell r="B342" t="str">
            <v>White Fat Cut Rubbing Compound</v>
          </cell>
          <cell r="C342" t="str">
            <v>-</v>
          </cell>
          <cell r="D342" t="str">
            <v>Metal cubierto con Laca</v>
          </cell>
          <cell r="E342" t="str">
            <v xml:space="preserve">Limpieza de la Superficie </v>
          </cell>
          <cell r="F342" t="str">
            <v>Ninguno</v>
          </cell>
          <cell r="G342" t="str">
            <v>10.49 Lbs/Gl</v>
          </cell>
          <cell r="H342" t="str">
            <v>-</v>
          </cell>
          <cell r="I342" t="str">
            <v>47.54%</v>
          </cell>
          <cell r="J342" t="str">
            <v>-</v>
          </cell>
          <cell r="K342" t="str">
            <v>-</v>
          </cell>
          <cell r="L342" t="str">
            <v>27.14%</v>
          </cell>
          <cell r="M342" t="str">
            <v>Pasta</v>
          </cell>
          <cell r="N342" t="str">
            <v>Trapo</v>
          </cell>
          <cell r="O342" t="str">
            <v>Pasta</v>
          </cell>
          <cell r="P342" t="str">
            <v>No se reduce</v>
          </cell>
          <cell r="Q342" t="str">
            <v>Ninguno</v>
          </cell>
          <cell r="R342" t="str">
            <v>-</v>
          </cell>
          <cell r="S342" t="str">
            <v>-</v>
          </cell>
          <cell r="T342" t="str">
            <v>-</v>
          </cell>
          <cell r="U342" t="str">
            <v>-</v>
          </cell>
          <cell r="V342" t="str">
            <v>-</v>
          </cell>
          <cell r="W342" t="str">
            <v>Pasta Blanda</v>
          </cell>
          <cell r="X342" t="str">
            <v>2 Años</v>
          </cell>
          <cell r="Y342" t="str">
            <v>Clientes Varios</v>
          </cell>
          <cell r="Z342" t="str">
            <v>-</v>
          </cell>
          <cell r="AA342" t="str">
            <v>-</v>
          </cell>
          <cell r="AB342" t="str">
            <v>Rigoberto Montalvo</v>
          </cell>
          <cell r="AC342">
            <v>36698</v>
          </cell>
        </row>
        <row r="343">
          <cell r="A343" t="str">
            <v>H87TSA1</v>
          </cell>
          <cell r="B343" t="str">
            <v>Laca Transparente Para Cuero</v>
          </cell>
          <cell r="C343" t="str">
            <v>-</v>
          </cell>
          <cell r="D343" t="str">
            <v>Cuero</v>
          </cell>
          <cell r="E343" t="str">
            <v>Limpio con Solvente</v>
          </cell>
          <cell r="F343" t="str">
            <v>Ninguno</v>
          </cell>
          <cell r="G343" t="str">
            <v>7.84 Lbs/Gl</v>
          </cell>
          <cell r="H343" t="str">
            <v>-</v>
          </cell>
          <cell r="I343" t="str">
            <v>23.47%</v>
          </cell>
          <cell r="J343" t="str">
            <v>23.47%</v>
          </cell>
          <cell r="K343" t="str">
            <v>-</v>
          </cell>
          <cell r="L343" t="str">
            <v>16.68%</v>
          </cell>
          <cell r="M343" t="str">
            <v>20"-30" Copa SW #5</v>
          </cell>
          <cell r="N343" t="str">
            <v>Pistola</v>
          </cell>
          <cell r="O343" t="str">
            <v>18-20 Seg. Copa Zanh #2</v>
          </cell>
          <cell r="P343" t="str">
            <v>100-150%</v>
          </cell>
          <cell r="Q343" t="str">
            <v>R7KSA7</v>
          </cell>
          <cell r="R343" t="str">
            <v>-</v>
          </cell>
          <cell r="S343" t="str">
            <v xml:space="preserve"> 1 1/2 Horas.</v>
          </cell>
          <cell r="T343" t="str">
            <v>-</v>
          </cell>
          <cell r="U343" t="str">
            <v>-</v>
          </cell>
          <cell r="V343" t="str">
            <v>+80</v>
          </cell>
          <cell r="W343" t="str">
            <v>-</v>
          </cell>
          <cell r="X343" t="str">
            <v>6 meses</v>
          </cell>
          <cell r="Y343" t="str">
            <v>DIDEMA-GUATEMALA</v>
          </cell>
          <cell r="Z343" t="str">
            <v>-</v>
          </cell>
          <cell r="AA343" t="str">
            <v>-</v>
          </cell>
          <cell r="AB343" t="str">
            <v>Corina de Turcios</v>
          </cell>
          <cell r="AC343">
            <v>36746</v>
          </cell>
        </row>
        <row r="344">
          <cell r="A344" t="str">
            <v>E60FSA1</v>
          </cell>
          <cell r="B344" t="str">
            <v>Sellador Poliuretano Para Madera</v>
          </cell>
          <cell r="C344" t="str">
            <v>Interior</v>
          </cell>
          <cell r="D344" t="str">
            <v>Madera</v>
          </cell>
          <cell r="E344" t="str">
            <v>Lijado + Tapaporo + Tintes</v>
          </cell>
          <cell r="F344" t="str">
            <v>Mismo</v>
          </cell>
          <cell r="G344" t="str">
            <v>7.73 Lbs/Gl</v>
          </cell>
          <cell r="H344" t="str">
            <v>3.23%</v>
          </cell>
          <cell r="I344" t="str">
            <v>24.4% (Catalizado 27.20%)</v>
          </cell>
          <cell r="J344" t="str">
            <v>21.17%</v>
          </cell>
          <cell r="K344" t="str">
            <v>12.85%</v>
          </cell>
          <cell r="L344" t="str">
            <v>17.98% (Catalizado 20.46%)</v>
          </cell>
          <cell r="M344" t="str">
            <v>18"-20" Copa Ford #4</v>
          </cell>
          <cell r="N344" t="str">
            <v>Pistola convencional</v>
          </cell>
          <cell r="O344" t="str">
            <v>18"-20" Copa Ford #4</v>
          </cell>
          <cell r="P344" t="str">
            <v>Ninguno</v>
          </cell>
          <cell r="Q344" t="str">
            <v>Ninguno</v>
          </cell>
          <cell r="R344" t="str">
            <v>2 mills</v>
          </cell>
          <cell r="S344" t="str">
            <v>45 Minutos</v>
          </cell>
          <cell r="T344" t="str">
            <v>Catalizado con 1/16 de  V6V690</v>
          </cell>
          <cell r="U344" t="str">
            <v>13.37 Mts Cuadrados/Gl a 2 mills de Película Seca</v>
          </cell>
          <cell r="V344" t="str">
            <v>20 Unidades</v>
          </cell>
          <cell r="W344" t="str">
            <v>HB</v>
          </cell>
          <cell r="X344" t="str">
            <v>3 años</v>
          </cell>
          <cell r="Y344" t="str">
            <v>-</v>
          </cell>
          <cell r="Z344" t="str">
            <v>-</v>
          </cell>
          <cell r="AA344" t="str">
            <v>-</v>
          </cell>
          <cell r="AB344" t="str">
            <v>Corina de Turcios</v>
          </cell>
          <cell r="AC344">
            <v>36756</v>
          </cell>
        </row>
        <row r="345">
          <cell r="A345" t="str">
            <v>F74C51</v>
          </cell>
          <cell r="B345" t="str">
            <v>Barniz Poliuretano Brillante Para Madera</v>
          </cell>
          <cell r="C345" t="str">
            <v>Interior</v>
          </cell>
          <cell r="D345" t="str">
            <v>Madera</v>
          </cell>
          <cell r="E345" t="str">
            <v>Lijado + Tapaporo + Tintes + Sellador</v>
          </cell>
          <cell r="F345" t="str">
            <v>Sellador Poliuretano E60FSA1</v>
          </cell>
          <cell r="G345" t="str">
            <v>7.88 Lbs/Gl</v>
          </cell>
          <cell r="H345" t="str">
            <v>-</v>
          </cell>
          <cell r="I345" t="str">
            <v>24.94% (Catalizado 27.92%)</v>
          </cell>
          <cell r="J345" t="str">
            <v>21.94%</v>
          </cell>
          <cell r="K345" t="str">
            <v>-</v>
          </cell>
          <cell r="L345" t="str">
            <v>15.77% (Catalizado 18.38%)</v>
          </cell>
          <cell r="M345" t="str">
            <v>18"-20" Copa Ford #4</v>
          </cell>
          <cell r="N345" t="str">
            <v>Pistola Convencional</v>
          </cell>
          <cell r="O345" t="str">
            <v>18"-20" Copa Ford #4</v>
          </cell>
          <cell r="P345" t="str">
            <v>Ninguno</v>
          </cell>
          <cell r="Q345" t="str">
            <v>Ninguno</v>
          </cell>
          <cell r="R345" t="str">
            <v>2 mills</v>
          </cell>
          <cell r="S345" t="str">
            <v>30 Minutos Al Aire</v>
          </cell>
          <cell r="T345" t="str">
            <v>Catalizado con 1/16 de V6V690</v>
          </cell>
          <cell r="U345" t="str">
            <v>11.72 Mts Cuadrados/Gl a 2 mills de Espesor</v>
          </cell>
          <cell r="V345" t="str">
            <v>80 Unidades</v>
          </cell>
          <cell r="W345" t="str">
            <v>HB</v>
          </cell>
          <cell r="X345" t="str">
            <v>3 Años</v>
          </cell>
          <cell r="Y345" t="str">
            <v>-</v>
          </cell>
          <cell r="Z345" t="str">
            <v>-</v>
          </cell>
          <cell r="AA345" t="str">
            <v>-</v>
          </cell>
          <cell r="AB345" t="str">
            <v>Corina de Turcios</v>
          </cell>
          <cell r="AC345">
            <v>36756</v>
          </cell>
        </row>
        <row r="346">
          <cell r="A346" t="str">
            <v>F74FSA1</v>
          </cell>
          <cell r="B346" t="str">
            <v>Barniz Poliuretano Mate Para Madera</v>
          </cell>
          <cell r="C346" t="str">
            <v>Interior</v>
          </cell>
          <cell r="D346" t="str">
            <v>Madera</v>
          </cell>
          <cell r="E346" t="str">
            <v>Lijado+Tapaporo+Tinte+Sellador (E60FSA1)</v>
          </cell>
          <cell r="F346" t="str">
            <v>E60FSA1</v>
          </cell>
          <cell r="G346" t="str">
            <v>7.88 Lbs/Gl</v>
          </cell>
          <cell r="H346" t="str">
            <v>5.82%</v>
          </cell>
          <cell r="I346" t="str">
            <v>25.99% (Catalizado 28.63%)</v>
          </cell>
          <cell r="J346" t="str">
            <v>20.17%</v>
          </cell>
          <cell r="K346" t="str">
            <v>14.63%</v>
          </cell>
          <cell r="L346" t="str">
            <v>18.05% (Catalizado 20.53%)</v>
          </cell>
          <cell r="M346" t="str">
            <v>18"-20" Copa Ford #4</v>
          </cell>
          <cell r="N346" t="str">
            <v>Pistola Convencional</v>
          </cell>
          <cell r="O346" t="str">
            <v>18"-20" Copa Ford #4</v>
          </cell>
          <cell r="P346" t="str">
            <v>Ninguno</v>
          </cell>
          <cell r="Q346" t="str">
            <v>Ninguno</v>
          </cell>
          <cell r="R346" t="str">
            <v>2 mills</v>
          </cell>
          <cell r="S346" t="str">
            <v>1/2 hora al aire</v>
          </cell>
          <cell r="T346" t="str">
            <v>Catalizado con 1/16 de V6V690</v>
          </cell>
          <cell r="U346" t="str">
            <v>13.42 Mts Cuadrados/Gl a 2 mills de película seca.</v>
          </cell>
          <cell r="V346" t="str">
            <v>5-7</v>
          </cell>
          <cell r="W346" t="str">
            <v>HB</v>
          </cell>
          <cell r="X346" t="str">
            <v>3 años</v>
          </cell>
          <cell r="Y346" t="str">
            <v>-</v>
          </cell>
          <cell r="Z346" t="str">
            <v>-</v>
          </cell>
          <cell r="AA346" t="str">
            <v>-</v>
          </cell>
          <cell r="AB346" t="str">
            <v>Corina de Turcios</v>
          </cell>
          <cell r="AC346">
            <v>36756</v>
          </cell>
        </row>
        <row r="347">
          <cell r="A347" t="str">
            <v>F74FSA2</v>
          </cell>
          <cell r="B347" t="str">
            <v>Barniz Poliuretano Satinado Industrial</v>
          </cell>
          <cell r="C347" t="str">
            <v>Interior</v>
          </cell>
          <cell r="D347" t="str">
            <v>Madera</v>
          </cell>
          <cell r="E347" t="str">
            <v>Lijado+Tapaporo+Tinte+Sellador (E60FSA1)</v>
          </cell>
          <cell r="F347" t="str">
            <v>E60FSA1</v>
          </cell>
          <cell r="G347" t="str">
            <v>7.69 Lbs/Gl</v>
          </cell>
          <cell r="H347" t="str">
            <v>1.82% p/p</v>
          </cell>
          <cell r="I347" t="str">
            <v>22.45%</v>
          </cell>
          <cell r="J347" t="str">
            <v>20.63%</v>
          </cell>
          <cell r="K347" t="str">
            <v>0.50%</v>
          </cell>
          <cell r="L347" t="str">
            <v>16.28%</v>
          </cell>
          <cell r="M347" t="str">
            <v>18"-20" Copa Ford #4</v>
          </cell>
          <cell r="N347" t="str">
            <v>Pistola Convencional</v>
          </cell>
          <cell r="O347" t="str">
            <v>18"-20" Copa Ford #4</v>
          </cell>
          <cell r="P347" t="str">
            <v>Ninguno</v>
          </cell>
          <cell r="Q347" t="str">
            <v>Solo si es necesario R7K7590 Reductor Universal.</v>
          </cell>
          <cell r="R347" t="str">
            <v>1 mills</v>
          </cell>
          <cell r="S347" t="str">
            <v>Al aire</v>
          </cell>
          <cell r="T347" t="str">
            <v>Catalizado con  V6V690</v>
          </cell>
          <cell r="U347" t="str">
            <v>260.97 Pies Cuadrados/Gl a 1 mills de película seca.</v>
          </cell>
          <cell r="V347" t="str">
            <v>27-32</v>
          </cell>
          <cell r="W347" t="str">
            <v>-</v>
          </cell>
          <cell r="X347" t="str">
            <v>1 Año</v>
          </cell>
          <cell r="Y347" t="str">
            <v>-</v>
          </cell>
          <cell r="Z347" t="str">
            <v>-</v>
          </cell>
          <cell r="AA347" t="str">
            <v>-</v>
          </cell>
          <cell r="AB347" t="str">
            <v>Corina de Turcios</v>
          </cell>
          <cell r="AC347">
            <v>36756</v>
          </cell>
        </row>
        <row r="348">
          <cell r="A348" t="str">
            <v>L60BSA10</v>
          </cell>
          <cell r="B348" t="str">
            <v>Laca Industrial Negro Mate</v>
          </cell>
          <cell r="C348" t="str">
            <v>Interior</v>
          </cell>
          <cell r="D348" t="str">
            <v>Hierro</v>
          </cell>
          <cell r="E348" t="str">
            <v>Limpieza y Desengrase</v>
          </cell>
          <cell r="F348" t="str">
            <v>Ninguno</v>
          </cell>
          <cell r="G348" t="str">
            <v>7.84 Lbs/Gl</v>
          </cell>
          <cell r="H348" t="str">
            <v>1.2%</v>
          </cell>
          <cell r="I348" t="str">
            <v>28.0%</v>
          </cell>
          <cell r="J348" t="str">
            <v>79.50%</v>
          </cell>
          <cell r="K348" t="str">
            <v>3-5%</v>
          </cell>
          <cell r="L348" t="str">
            <v>19.80%</v>
          </cell>
          <cell r="M348" t="str">
            <v>15"-20" Copa SW #5</v>
          </cell>
          <cell r="N348" t="str">
            <v>Inmersión</v>
          </cell>
          <cell r="O348" t="str">
            <v>18"-22" Copa Zanh #2</v>
          </cell>
          <cell r="P348" t="str">
            <v>100%</v>
          </cell>
          <cell r="Q348" t="str">
            <v>R7K128</v>
          </cell>
          <cell r="R348" t="str">
            <v>1 mills</v>
          </cell>
          <cell r="S348" t="str">
            <v>Al Aire</v>
          </cell>
          <cell r="T348" t="str">
            <v>-</v>
          </cell>
          <cell r="U348" t="str">
            <v>28.7 Mts Cuadrados/Gl a 1 mills de espesor</v>
          </cell>
          <cell r="V348" t="str">
            <v>3-4</v>
          </cell>
          <cell r="W348" t="str">
            <v>-</v>
          </cell>
          <cell r="X348" t="str">
            <v>6-12 meses</v>
          </cell>
          <cell r="Y348" t="str">
            <v>-</v>
          </cell>
          <cell r="Z348" t="str">
            <v>-</v>
          </cell>
          <cell r="AA348" t="str">
            <v>-</v>
          </cell>
          <cell r="AB348" t="str">
            <v>Corina de Turcios</v>
          </cell>
          <cell r="AC348">
            <v>36756</v>
          </cell>
        </row>
        <row r="349">
          <cell r="A349" t="str">
            <v>L60ESA2</v>
          </cell>
          <cell r="B349" t="str">
            <v>Laca Industrial Naranja Boira</v>
          </cell>
          <cell r="C349" t="str">
            <v>Interior</v>
          </cell>
          <cell r="D349" t="str">
            <v>Hierro</v>
          </cell>
          <cell r="E349" t="str">
            <v>Limpieza y Desengrase</v>
          </cell>
          <cell r="F349" t="str">
            <v>Ninguno</v>
          </cell>
          <cell r="G349" t="str">
            <v>8.22 Lbs/Gl</v>
          </cell>
          <cell r="H349" t="str">
            <v>11.69%</v>
          </cell>
          <cell r="I349" t="str">
            <v>35.0%</v>
          </cell>
          <cell r="J349" t="str">
            <v>52.62%</v>
          </cell>
          <cell r="K349" t="str">
            <v>9.21%</v>
          </cell>
          <cell r="L349" t="str">
            <v>23.44%</v>
          </cell>
          <cell r="M349" t="str">
            <v>30"-40" Copa SW #5</v>
          </cell>
          <cell r="N349" t="str">
            <v>Inmersión</v>
          </cell>
          <cell r="O349" t="str">
            <v>18"-22" Copa Zanh #2</v>
          </cell>
          <cell r="P349" t="str">
            <v>100-150%</v>
          </cell>
          <cell r="Q349" t="str">
            <v>R7K128</v>
          </cell>
          <cell r="R349" t="str">
            <v>1 mills</v>
          </cell>
          <cell r="S349" t="str">
            <v>Al Aire</v>
          </cell>
          <cell r="T349" t="str">
            <v>-</v>
          </cell>
          <cell r="U349" t="str">
            <v>35 Mts Cuadrados/Gl a 1 mills de espesor</v>
          </cell>
          <cell r="V349" t="str">
            <v>+80</v>
          </cell>
          <cell r="W349" t="str">
            <v>-</v>
          </cell>
          <cell r="X349" t="str">
            <v>6-12 meses</v>
          </cell>
          <cell r="Y349" t="str">
            <v>-</v>
          </cell>
          <cell r="Z349" t="str">
            <v>-</v>
          </cell>
          <cell r="AA349" t="str">
            <v>-</v>
          </cell>
          <cell r="AB349" t="str">
            <v>Corina de Turcios</v>
          </cell>
          <cell r="AC349">
            <v>36769</v>
          </cell>
        </row>
        <row r="350">
          <cell r="A350" t="str">
            <v>SAA 5064</v>
          </cell>
          <cell r="B350" t="str">
            <v>Laca Acrílica Azul Para Bolitas Navideñas</v>
          </cell>
          <cell r="C350" t="str">
            <v>Interior</v>
          </cell>
          <cell r="D350" t="str">
            <v>Polietileno y Poliestireno</v>
          </cell>
          <cell r="E350" t="str">
            <v>Limpieza Adecuada</v>
          </cell>
          <cell r="F350" t="str">
            <v>T70CSA16</v>
          </cell>
          <cell r="G350" t="str">
            <v>7.6 Lbs/Gl</v>
          </cell>
          <cell r="H350" t="str">
            <v>0.40%</v>
          </cell>
          <cell r="I350" t="str">
            <v>20.0%</v>
          </cell>
          <cell r="J350" t="str">
            <v>94.0%</v>
          </cell>
          <cell r="K350" t="str">
            <v>1.90%</v>
          </cell>
          <cell r="L350" t="str">
            <v>13.20%</v>
          </cell>
          <cell r="M350" t="str">
            <v>18"-22" Copa Zanh #2</v>
          </cell>
          <cell r="N350" t="str">
            <v>Inmersión</v>
          </cell>
          <cell r="O350" t="str">
            <v>18"-22" Copa Zanh #2</v>
          </cell>
          <cell r="P350" t="str">
            <v>Ninguno</v>
          </cell>
          <cell r="Q350" t="str">
            <v>-</v>
          </cell>
          <cell r="R350" t="str">
            <v>0.5-0.7 mills</v>
          </cell>
          <cell r="S350" t="str">
            <v>Al Aire 5-10 Minutos</v>
          </cell>
          <cell r="T350" t="str">
            <v>-</v>
          </cell>
          <cell r="U350" t="str">
            <v>19 Mts Cuadrados/Gl a 1 mills de espesor</v>
          </cell>
          <cell r="V350" t="str">
            <v>+85</v>
          </cell>
          <cell r="W350" t="str">
            <v>2B-B</v>
          </cell>
          <cell r="X350" t="str">
            <v>1 1/2 Años</v>
          </cell>
          <cell r="Y350" t="str">
            <v>DIDEMA-GUATEMALA</v>
          </cell>
          <cell r="Z350" t="str">
            <v>Adornos Navideños</v>
          </cell>
          <cell r="AA350" t="str">
            <v>-</v>
          </cell>
          <cell r="AB350" t="str">
            <v>Corina de Turcios</v>
          </cell>
          <cell r="AC350">
            <v>36776</v>
          </cell>
        </row>
        <row r="351">
          <cell r="A351" t="str">
            <v>SAA 5062</v>
          </cell>
          <cell r="B351" t="str">
            <v>Laca Acrílica Roja Para Bolitas Navideñas</v>
          </cell>
          <cell r="C351" t="str">
            <v>Interior</v>
          </cell>
          <cell r="D351" t="str">
            <v>Polietileno y Poliestireno</v>
          </cell>
          <cell r="E351" t="str">
            <v>Limpieza Adecuada</v>
          </cell>
          <cell r="F351" t="str">
            <v>T70CSA16</v>
          </cell>
          <cell r="G351" t="str">
            <v>7.6 Lbs/Gl</v>
          </cell>
          <cell r="H351" t="str">
            <v>0.20%</v>
          </cell>
          <cell r="I351" t="str">
            <v>20.0%</v>
          </cell>
          <cell r="J351" t="str">
            <v>95.0%</v>
          </cell>
          <cell r="K351" t="str">
            <v>1.30%</v>
          </cell>
          <cell r="L351" t="str">
            <v>13.0%</v>
          </cell>
          <cell r="M351" t="str">
            <v>18"-22" Copa Zanh #2</v>
          </cell>
          <cell r="N351" t="str">
            <v>Inmersión</v>
          </cell>
          <cell r="O351" t="str">
            <v>18"-22" Copa Zanh #2</v>
          </cell>
          <cell r="P351" t="str">
            <v>Ninguno</v>
          </cell>
          <cell r="Q351" t="str">
            <v>-</v>
          </cell>
          <cell r="R351" t="str">
            <v>0.5-0.7 mills</v>
          </cell>
          <cell r="S351" t="str">
            <v>Al Aire 5-10 Minutos</v>
          </cell>
          <cell r="T351" t="str">
            <v>-</v>
          </cell>
          <cell r="U351" t="str">
            <v>19 Mts Cuadrados/Gl a 1 mills de espesor</v>
          </cell>
          <cell r="V351" t="str">
            <v>+85</v>
          </cell>
          <cell r="W351" t="str">
            <v>2B-B</v>
          </cell>
          <cell r="X351" t="str">
            <v>1 1/2 Años</v>
          </cell>
          <cell r="Y351" t="str">
            <v>DIDEMA-GUATEMALA</v>
          </cell>
          <cell r="Z351" t="str">
            <v>Adornos Navideños</v>
          </cell>
          <cell r="AA351" t="str">
            <v>-</v>
          </cell>
          <cell r="AB351" t="str">
            <v>Corina de Turcios</v>
          </cell>
          <cell r="AC351">
            <v>36776</v>
          </cell>
        </row>
        <row r="352">
          <cell r="A352" t="str">
            <v>SAA 5063</v>
          </cell>
          <cell r="B352" t="str">
            <v>Laca Acrílica Amarilla Para Bolitas Navideñas</v>
          </cell>
          <cell r="C352" t="str">
            <v>Interior</v>
          </cell>
          <cell r="D352" t="str">
            <v>Polietileno y Poliestireno</v>
          </cell>
          <cell r="E352" t="str">
            <v>Limpieza Adecuada</v>
          </cell>
          <cell r="F352" t="str">
            <v>T70CSA16</v>
          </cell>
          <cell r="G352" t="str">
            <v>7.58 Lbs/Gl</v>
          </cell>
          <cell r="H352" t="str">
            <v>0.13%</v>
          </cell>
          <cell r="I352" t="str">
            <v>20.0%</v>
          </cell>
          <cell r="J352" t="str">
            <v>96.0%</v>
          </cell>
          <cell r="K352" t="str">
            <v>0.68%</v>
          </cell>
          <cell r="L352" t="str">
            <v>13.0%</v>
          </cell>
          <cell r="M352" t="str">
            <v>18"-22" Copa Zanh #2</v>
          </cell>
          <cell r="N352" t="str">
            <v>Inmersión</v>
          </cell>
          <cell r="O352" t="str">
            <v>18"-22" Copa Zanh #2</v>
          </cell>
          <cell r="P352" t="str">
            <v>Ninguno</v>
          </cell>
          <cell r="Q352" t="str">
            <v>-</v>
          </cell>
          <cell r="R352" t="str">
            <v>0.5-0.7 mills</v>
          </cell>
          <cell r="S352" t="str">
            <v>Al Aire 5-10 Minutos</v>
          </cell>
          <cell r="T352" t="str">
            <v>-</v>
          </cell>
          <cell r="U352" t="str">
            <v>19 Mts Cuadrados/Gl a 1 mills de espesor</v>
          </cell>
          <cell r="V352" t="str">
            <v>+85</v>
          </cell>
          <cell r="W352" t="str">
            <v>2B-B</v>
          </cell>
          <cell r="X352" t="str">
            <v>1 1/2 Años</v>
          </cell>
          <cell r="Y352" t="str">
            <v>DIDEMA-GUATEMALA</v>
          </cell>
          <cell r="Z352" t="str">
            <v>Adornos Navideños</v>
          </cell>
          <cell r="AA352" t="str">
            <v>-</v>
          </cell>
          <cell r="AB352" t="str">
            <v>Corina de Turcios</v>
          </cell>
          <cell r="AC352">
            <v>36776</v>
          </cell>
        </row>
        <row r="353">
          <cell r="A353" t="str">
            <v>T70CSA16</v>
          </cell>
          <cell r="B353" t="str">
            <v>Laca Industrial Transparente Brillante</v>
          </cell>
          <cell r="C353" t="str">
            <v>Interior</v>
          </cell>
          <cell r="D353" t="str">
            <v>Polietileno y Poliestireno</v>
          </cell>
          <cell r="E353" t="str">
            <v>Limpieza Adecuada</v>
          </cell>
          <cell r="F353" t="str">
            <v>Ninguno</v>
          </cell>
          <cell r="G353" t="str">
            <v>8.0 Lbs/Gl</v>
          </cell>
          <cell r="H353" t="str">
            <v>-</v>
          </cell>
          <cell r="I353" t="str">
            <v>40%</v>
          </cell>
          <cell r="J353" t="str">
            <v>40%</v>
          </cell>
          <cell r="K353" t="str">
            <v>-</v>
          </cell>
          <cell r="L353" t="str">
            <v>32%</v>
          </cell>
          <cell r="M353" t="str">
            <v>J-I (Gardner-Holdt)</v>
          </cell>
          <cell r="N353" t="str">
            <v>Inmersión</v>
          </cell>
          <cell r="O353" t="str">
            <v>18"-22" Copa Zanh #2</v>
          </cell>
          <cell r="P353" t="str">
            <v>100-125%</v>
          </cell>
          <cell r="Q353" t="str">
            <v>R7KSA7</v>
          </cell>
          <cell r="R353" t="str">
            <v>0.5-0.7 mills</v>
          </cell>
          <cell r="S353" t="str">
            <v>Al Aire 10 Minutos</v>
          </cell>
          <cell r="T353" t="str">
            <v>-</v>
          </cell>
          <cell r="U353" t="str">
            <v>48 Mts Cuadrados/Gl a 1 mills de espesor</v>
          </cell>
          <cell r="V353" t="str">
            <v>+80</v>
          </cell>
          <cell r="W353" t="str">
            <v>2B-B</v>
          </cell>
          <cell r="X353" t="str">
            <v>1 1/2 Años</v>
          </cell>
          <cell r="Y353" t="str">
            <v>DIDEMA-GUATEMALA</v>
          </cell>
          <cell r="Z353" t="str">
            <v>Adornos Navideños</v>
          </cell>
          <cell r="AA353" t="str">
            <v>-</v>
          </cell>
          <cell r="AB353" t="str">
            <v>Corina de Turcios</v>
          </cell>
          <cell r="AC353">
            <v>36776</v>
          </cell>
        </row>
        <row r="354">
          <cell r="A354" t="str">
            <v xml:space="preserve">SAA 4785 </v>
          </cell>
          <cell r="B354" t="str">
            <v>Kem Lustral Verde Químico</v>
          </cell>
          <cell r="C354" t="str">
            <v>Interior-Exterior</v>
          </cell>
          <cell r="D354" t="str">
            <v>Madera, Metal, Concreto.</v>
          </cell>
          <cell r="E354" t="str">
            <v>Limpia y Seca, Libre de grasa, Aceite u Óxido.</v>
          </cell>
          <cell r="F354" t="str">
            <v>Anticorrosivo Kromik Netal Primer para Superficies de Hierro o Acero.</v>
          </cell>
          <cell r="G354" t="str">
            <v>8.59 Lbs/Gl</v>
          </cell>
          <cell r="H354" t="str">
            <v>13.0%</v>
          </cell>
          <cell r="I354" t="str">
            <v>49.55%</v>
          </cell>
          <cell r="J354" t="str">
            <v>76.0%</v>
          </cell>
          <cell r="K354" t="str">
            <v>6.86%</v>
          </cell>
          <cell r="L354" t="str">
            <v>38.85%</v>
          </cell>
          <cell r="M354" t="str">
            <v>75-80 KU</v>
          </cell>
          <cell r="N354" t="str">
            <v xml:space="preserve">Brocha-Pistola </v>
          </cell>
          <cell r="O354" t="str">
            <v>-</v>
          </cell>
          <cell r="P354" t="str">
            <v>25.0%</v>
          </cell>
          <cell r="Q354" t="str">
            <v>VMP Naptha R1K3</v>
          </cell>
          <cell r="R354" t="str">
            <v>1 mills</v>
          </cell>
          <cell r="S354" t="str">
            <v>Completo: 4-6 Horas.</v>
          </cell>
          <cell r="T354" t="str">
            <v>-</v>
          </cell>
          <cell r="U354" t="str">
            <v>50 Mts Cuadrados/Gl a 1 mills de espesor</v>
          </cell>
          <cell r="V354" t="str">
            <v>90</v>
          </cell>
          <cell r="W354" t="str">
            <v>-</v>
          </cell>
          <cell r="X354" t="str">
            <v>3 Años</v>
          </cell>
          <cell r="Y354" t="str">
            <v>DIDEMA-GUATEMALA</v>
          </cell>
          <cell r="Z354" t="str">
            <v>-</v>
          </cell>
          <cell r="AA354" t="str">
            <v>-</v>
          </cell>
          <cell r="AB354" t="str">
            <v>Soraya de Quijada</v>
          </cell>
          <cell r="AC354">
            <v>36790</v>
          </cell>
        </row>
        <row r="355">
          <cell r="A355" t="str">
            <v>SAA 4950</v>
          </cell>
          <cell r="B355" t="str">
            <v>Kem Lustral Enamel Azul Fordson</v>
          </cell>
          <cell r="C355" t="str">
            <v>Interior-Exterior</v>
          </cell>
          <cell r="D355" t="str">
            <v>Madera, Metal, Concreto.</v>
          </cell>
          <cell r="E355" t="str">
            <v>Limpia y Seca, Libre de grasa, Aceite u Óxido.</v>
          </cell>
          <cell r="F355" t="str">
            <v>Anticorrosivo Kromik Netal Primer para Superficies de Hierro o Acero.</v>
          </cell>
          <cell r="G355" t="str">
            <v>8.23 Lbs/Gl</v>
          </cell>
          <cell r="H355" t="str">
            <v>10.0%</v>
          </cell>
          <cell r="I355" t="str">
            <v>47.0%</v>
          </cell>
          <cell r="J355" t="str">
            <v>82.0%</v>
          </cell>
          <cell r="K355" t="str">
            <v>7.40%</v>
          </cell>
          <cell r="L355" t="str">
            <v>38.19%</v>
          </cell>
          <cell r="M355" t="str">
            <v>75-80 KU</v>
          </cell>
          <cell r="N355" t="str">
            <v xml:space="preserve">Brocha-Pistola </v>
          </cell>
          <cell r="O355" t="str">
            <v>-</v>
          </cell>
          <cell r="P355" t="str">
            <v>25.0%</v>
          </cell>
          <cell r="Q355" t="str">
            <v>VMP Naptha R1K3</v>
          </cell>
          <cell r="R355" t="str">
            <v>1 mills</v>
          </cell>
          <cell r="S355" t="str">
            <v>Completo: 4-6 Horas.</v>
          </cell>
          <cell r="T355" t="str">
            <v>-</v>
          </cell>
          <cell r="U355" t="str">
            <v>50 Mts Cuadrados/Gl a 1 mills de espesor</v>
          </cell>
          <cell r="V355" t="str">
            <v>90</v>
          </cell>
          <cell r="W355" t="str">
            <v>-</v>
          </cell>
          <cell r="X355" t="str">
            <v>3 Años</v>
          </cell>
          <cell r="Y355" t="str">
            <v>DIDEMA-GUATEMALA</v>
          </cell>
          <cell r="Z355" t="str">
            <v>-</v>
          </cell>
          <cell r="AA355" t="str">
            <v>-</v>
          </cell>
          <cell r="AB355" t="str">
            <v>Soraya de Quijada</v>
          </cell>
          <cell r="AC355">
            <v>36790</v>
          </cell>
        </row>
        <row r="356">
          <cell r="A356" t="str">
            <v>SAA 4951</v>
          </cell>
          <cell r="B356" t="str">
            <v>Super Fast Dry Verde Químico.</v>
          </cell>
          <cell r="C356" t="str">
            <v>Interior-Exterior</v>
          </cell>
          <cell r="D356" t="str">
            <v>Madera, Metal</v>
          </cell>
          <cell r="E356" t="str">
            <v>Limpia y Seca, Libre de grasa, Aceite u Óxido.</v>
          </cell>
          <cell r="F356" t="str">
            <v>Para Hierro o Acero Kem Fast Dry Primer E61R9</v>
          </cell>
          <cell r="G356" t="str">
            <v>8.68 Lbs/Gl</v>
          </cell>
          <cell r="H356" t="str">
            <v>7.0%</v>
          </cell>
          <cell r="I356" t="str">
            <v>44.13%</v>
          </cell>
          <cell r="J356" t="str">
            <v>84.0%</v>
          </cell>
          <cell r="K356" t="str">
            <v>5.20%</v>
          </cell>
          <cell r="L356" t="str">
            <v>34.57%</v>
          </cell>
          <cell r="M356" t="str">
            <v>30"-35" Copa SW #3</v>
          </cell>
          <cell r="N356" t="str">
            <v>Spray o Inmersión.</v>
          </cell>
          <cell r="O356" t="str">
            <v>-</v>
          </cell>
          <cell r="P356" t="str">
            <v>25-30%</v>
          </cell>
          <cell r="Q356" t="str">
            <v>R2K4 Industrial Reducer.</v>
          </cell>
          <cell r="R356" t="str">
            <v>1.0-1.25 mills</v>
          </cell>
          <cell r="S356" t="str">
            <v>Seco Completo: 1 Hora</v>
          </cell>
          <cell r="T356" t="str">
            <v>-</v>
          </cell>
          <cell r="U356" t="str">
            <v>50 Mts Cuadrados/Gl a 1 mills de espesor</v>
          </cell>
          <cell r="V356" t="str">
            <v>+70</v>
          </cell>
          <cell r="W356" t="str">
            <v>-</v>
          </cell>
          <cell r="X356" t="str">
            <v>2 Años</v>
          </cell>
          <cell r="Y356" t="str">
            <v>DIDEMA-GUATEMALA</v>
          </cell>
          <cell r="Z356" t="str">
            <v>-</v>
          </cell>
          <cell r="AA356" t="str">
            <v>-</v>
          </cell>
          <cell r="AB356" t="str">
            <v>Soraya de Quijada</v>
          </cell>
          <cell r="AC356">
            <v>36790</v>
          </cell>
        </row>
        <row r="357">
          <cell r="A357" t="str">
            <v>A44HSA3</v>
          </cell>
          <cell r="B357" t="str">
            <v>Tex Flex Blanco Hueso</v>
          </cell>
          <cell r="C357" t="str">
            <v>Interior-Exterior</v>
          </cell>
          <cell r="D357" t="str">
            <v>Concreto</v>
          </cell>
          <cell r="E357" t="str">
            <v>Limpia, Seca y Libre de Toda Sustancia Extraña.</v>
          </cell>
          <cell r="F357" t="str">
            <v>B45ASA1</v>
          </cell>
          <cell r="G357" t="str">
            <v>12.47 Lbs/Gl</v>
          </cell>
          <cell r="H357" t="str">
            <v>25.74%</v>
          </cell>
          <cell r="I357" t="str">
            <v>70.71%</v>
          </cell>
          <cell r="J357" t="str">
            <v>-</v>
          </cell>
          <cell r="K357" t="str">
            <v>24.94%</v>
          </cell>
          <cell r="L357" t="str">
            <v>53.23%</v>
          </cell>
          <cell r="M357" t="str">
            <v>123 129 MILES EN CPS</v>
          </cell>
          <cell r="N357" t="str">
            <v>Brocha-Rodillo Texturizado.</v>
          </cell>
          <cell r="O357" t="str">
            <v>123-129 CPS</v>
          </cell>
          <cell r="P357" t="str">
            <v>Ninguno</v>
          </cell>
          <cell r="Q357" t="str">
            <v>-</v>
          </cell>
          <cell r="R357" t="str">
            <v>12 mills</v>
          </cell>
          <cell r="S357" t="str">
            <v>Al Aire</v>
          </cell>
          <cell r="T357" t="str">
            <v>-</v>
          </cell>
          <cell r="U357" t="str">
            <v>6-7 Mts Cuadrados/Gl, dependiendo de la porosidad de la superficie.</v>
          </cell>
          <cell r="V357" t="str">
            <v>Satinado</v>
          </cell>
          <cell r="W357" t="str">
            <v>-</v>
          </cell>
          <cell r="X357" t="str">
            <v>1-2 Años, sin destaparse el envase.</v>
          </cell>
          <cell r="Y357" t="str">
            <v>FRUND</v>
          </cell>
          <cell r="Z357" t="str">
            <v>-</v>
          </cell>
          <cell r="AA357" t="str">
            <v>-</v>
          </cell>
          <cell r="AB357" t="str">
            <v>Ana Irene Mendez Vides</v>
          </cell>
          <cell r="AC357" t="str">
            <v>JULIO 3, 2002</v>
          </cell>
        </row>
        <row r="358">
          <cell r="A358" t="str">
            <v>SAA 5107</v>
          </cell>
          <cell r="B358" t="str">
            <v>Anticorrosivo Al Agua Rojo RECOPE</v>
          </cell>
          <cell r="C358" t="str">
            <v>-</v>
          </cell>
          <cell r="D358" t="str">
            <v>Fibrolite, Concreto, Lámina.</v>
          </cell>
          <cell r="E358" t="str">
            <v>Limpia y Seca</v>
          </cell>
          <cell r="F358" t="str">
            <v>-</v>
          </cell>
          <cell r="G358" t="str">
            <v>10.27 Lbs/Gl más o menos 0.2</v>
          </cell>
          <cell r="H358" t="str">
            <v>29.5% más o menos 0.2</v>
          </cell>
          <cell r="I358" t="str">
            <v>54.49% más o menos 0.2</v>
          </cell>
          <cell r="J358" t="str">
            <v>-</v>
          </cell>
          <cell r="K358" t="str">
            <v>25% más o menos 0.2</v>
          </cell>
          <cell r="L358" t="str">
            <v>48.29% más o menos 0.2</v>
          </cell>
          <cell r="M358" t="str">
            <v>92-96 KU</v>
          </cell>
          <cell r="N358" t="str">
            <v>Brocha</v>
          </cell>
          <cell r="O358" t="str">
            <v>85-90 KU</v>
          </cell>
          <cell r="P358" t="str">
            <v>10% Máximo</v>
          </cell>
          <cell r="Q358" t="str">
            <v>Agua Limpia</v>
          </cell>
          <cell r="R358" t="str">
            <v>5 mills</v>
          </cell>
          <cell r="S358" t="str">
            <v>Al aire</v>
          </cell>
          <cell r="T358" t="str">
            <v>-</v>
          </cell>
          <cell r="U358" t="str">
            <v>14-15 Mts Cuadrados/Gl, dependiendo de la porosidad de la superficie.</v>
          </cell>
          <cell r="V358" t="str">
            <v>Satinado</v>
          </cell>
          <cell r="W358" t="str">
            <v>-</v>
          </cell>
          <cell r="X358" t="str">
            <v>1-2 Años, sin destaparse el envase.</v>
          </cell>
          <cell r="Y358" t="str">
            <v>RECOPE</v>
          </cell>
          <cell r="Z358" t="str">
            <v>-</v>
          </cell>
          <cell r="AA358" t="str">
            <v>-</v>
          </cell>
          <cell r="AB358" t="str">
            <v>Ana Irene Mendez Vides</v>
          </cell>
          <cell r="AC358">
            <v>36795</v>
          </cell>
        </row>
        <row r="359">
          <cell r="A359" t="str">
            <v>SAA 5108</v>
          </cell>
          <cell r="B359" t="str">
            <v>Esmalte Al Agua Aluminio RECOPE</v>
          </cell>
          <cell r="D359" t="str">
            <v>Fibrolite, Concreto, Lámina.</v>
          </cell>
          <cell r="E359" t="str">
            <v>Limpia y Seca</v>
          </cell>
          <cell r="F359" t="str">
            <v>-</v>
          </cell>
          <cell r="G359" t="str">
            <v>9.18 Lbs/Gl más o menos 0.2</v>
          </cell>
          <cell r="H359" t="str">
            <v>-</v>
          </cell>
          <cell r="I359" t="str">
            <v>53.13%</v>
          </cell>
          <cell r="J359" t="str">
            <v>-</v>
          </cell>
          <cell r="K359" t="str">
            <v>14.78%</v>
          </cell>
          <cell r="L359" t="str">
            <v>46.35% más o menos 0.2</v>
          </cell>
          <cell r="M359" t="str">
            <v>135-140 KU</v>
          </cell>
          <cell r="N359" t="str">
            <v>Brocha</v>
          </cell>
          <cell r="O359" t="str">
            <v>135-140 KU</v>
          </cell>
          <cell r="P359" t="str">
            <v>Hasta 5% si fuese necesario, según método de aplicación.</v>
          </cell>
          <cell r="Q359" t="str">
            <v>Agua Limpia</v>
          </cell>
          <cell r="R359" t="str">
            <v>5 mills</v>
          </cell>
          <cell r="S359" t="str">
            <v>Al aire</v>
          </cell>
          <cell r="T359" t="str">
            <v>-</v>
          </cell>
          <cell r="U359" t="str">
            <v>13-14 Mts Cuadrados/Gl, dependiendo de la porosidad de la superficie.</v>
          </cell>
          <cell r="V359" t="str">
            <v>-</v>
          </cell>
          <cell r="W359" t="str">
            <v>-</v>
          </cell>
          <cell r="X359" t="str">
            <v>6 meses sin destapar el envase.</v>
          </cell>
          <cell r="Y359" t="str">
            <v>RECOPE</v>
          </cell>
          <cell r="Z359" t="str">
            <v>-</v>
          </cell>
          <cell r="AA359" t="str">
            <v>-</v>
          </cell>
          <cell r="AB359" t="str">
            <v>Ana Irene Mendez Vides</v>
          </cell>
          <cell r="AC359">
            <v>36830</v>
          </cell>
        </row>
        <row r="360">
          <cell r="A360" t="str">
            <v>B53A4004</v>
          </cell>
          <cell r="B360" t="str">
            <v>Industrial Enamel Ultra Deep Base R</v>
          </cell>
          <cell r="C360" t="str">
            <v>Interior-Exterior</v>
          </cell>
          <cell r="D360" t="str">
            <v>Hierro, Madera, Concreto</v>
          </cell>
          <cell r="E360" t="str">
            <v>Totalmente secas, Libres de Polvo y Grasa</v>
          </cell>
          <cell r="F360" t="str">
            <v>Metal:Kromik Metal Primer,Colonial Anticorrosivo. Madera:Excello Wood Sealer.Concreto:Sellador p/Concreto.</v>
          </cell>
          <cell r="G360" t="str">
            <v>6.86 Lbs/Gl</v>
          </cell>
          <cell r="H360" t="str">
            <v>1.48%</v>
          </cell>
          <cell r="I360" t="str">
            <v>34.91%</v>
          </cell>
          <cell r="J360" t="str">
            <v>33.43%</v>
          </cell>
          <cell r="K360" t="str">
            <v>10.98%</v>
          </cell>
          <cell r="L360" t="str">
            <v>33.70%</v>
          </cell>
          <cell r="M360" t="str">
            <v>72-77 KU</v>
          </cell>
          <cell r="N360" t="str">
            <v>Brocha, Rodillo, Pistola de Aire</v>
          </cell>
          <cell r="O360" t="str">
            <v>Listo Para Usar.</v>
          </cell>
          <cell r="P360" t="str">
            <v xml:space="preserve">Con pistola   10-12% con R1K4 </v>
          </cell>
          <cell r="Q360" t="str">
            <v>R1K4   Mineral Spirits</v>
          </cell>
          <cell r="R360" t="str">
            <v>1 mills</v>
          </cell>
          <cell r="S360" t="str">
            <v>Seco Completo de 4 a 5 Horas (25°C)</v>
          </cell>
          <cell r="T360" t="str">
            <v>-</v>
          </cell>
          <cell r="U360" t="str">
            <v>45-55 Mts Cuadrados/Gl/Mano a 1 mill de pelicula seca. Depende del color.</v>
          </cell>
          <cell r="V360" t="str">
            <v xml:space="preserve">88-92 unidades </v>
          </cell>
          <cell r="W360" t="str">
            <v>-</v>
          </cell>
          <cell r="X360" t="str">
            <v>2 años</v>
          </cell>
          <cell r="Y360" t="str">
            <v>-</v>
          </cell>
          <cell r="Z360" t="str">
            <v>-</v>
          </cell>
          <cell r="AA360" t="str">
            <v>-</v>
          </cell>
          <cell r="AB360" t="str">
            <v>Soraya de Quijada</v>
          </cell>
          <cell r="AC360">
            <v>36901</v>
          </cell>
        </row>
        <row r="361">
          <cell r="A361" t="str">
            <v>B53W4001</v>
          </cell>
          <cell r="B361" t="str">
            <v>Industrial Enamel Pure White Base X</v>
          </cell>
          <cell r="C361" t="str">
            <v>Interior-Exterior</v>
          </cell>
          <cell r="D361" t="str">
            <v>Hierro, Madera, Concreto</v>
          </cell>
          <cell r="E361" t="str">
            <v>Totalmente secas, Libres de Polvo y Grasa</v>
          </cell>
          <cell r="F361" t="str">
            <v>Metal:Kromik Metal Primer,Colonial Anticorrosivo. Madera:Excello Wood Sealer.Concreto:Sellador p/Concreto.</v>
          </cell>
          <cell r="G361" t="str">
            <v>8.91 Lbs/Gl</v>
          </cell>
          <cell r="H361" t="str">
            <v>19.72%</v>
          </cell>
          <cell r="I361" t="str">
            <v>55.35%</v>
          </cell>
          <cell r="J361" t="str">
            <v>35.63%</v>
          </cell>
          <cell r="K361" t="str">
            <v>16.91%</v>
          </cell>
          <cell r="L361" t="str">
            <v>39.08%</v>
          </cell>
          <cell r="M361" t="str">
            <v>80-87 KU</v>
          </cell>
          <cell r="N361" t="str">
            <v>Brocha, Rodillo, Pistola de Aire</v>
          </cell>
          <cell r="O361" t="str">
            <v>70-75 KU</v>
          </cell>
          <cell r="P361" t="str">
            <v xml:space="preserve">Con pistola   12-15% con R1K4 </v>
          </cell>
          <cell r="Q361" t="str">
            <v>R1K4   Mineral Spirits</v>
          </cell>
          <cell r="R361" t="str">
            <v>1 mills</v>
          </cell>
          <cell r="S361" t="str">
            <v>Seco Completo de 4 a 5 Horas (25°C)</v>
          </cell>
          <cell r="T361" t="str">
            <v>-</v>
          </cell>
          <cell r="U361" t="str">
            <v>45-55 Mts Cuadrados/Gl/Mano a 1 mill de pelicula seca. Depende del color.</v>
          </cell>
          <cell r="V361" t="str">
            <v xml:space="preserve">88-92 unidades </v>
          </cell>
          <cell r="W361" t="str">
            <v>-</v>
          </cell>
          <cell r="X361" t="str">
            <v>2 años</v>
          </cell>
          <cell r="Y361" t="str">
            <v>-</v>
          </cell>
          <cell r="Z361" t="str">
            <v>-</v>
          </cell>
          <cell r="AA361" t="str">
            <v>-</v>
          </cell>
          <cell r="AB361" t="str">
            <v>Soraya de Quijada</v>
          </cell>
          <cell r="AC361">
            <v>36901</v>
          </cell>
        </row>
        <row r="362">
          <cell r="A362" t="str">
            <v>B53W4002</v>
          </cell>
          <cell r="B362" t="str">
            <v>Industrial Enamel Midtone Base Y</v>
          </cell>
          <cell r="C362" t="str">
            <v>Interior-Exterior</v>
          </cell>
          <cell r="D362" t="str">
            <v>Hierro, Madera, Concreto</v>
          </cell>
          <cell r="E362" t="str">
            <v>Totalmente secas, Libres de Polvo y Grasa</v>
          </cell>
          <cell r="F362" t="str">
            <v>Metal:Kromik Metal Primer,Colonial Anticorrosivo. Madera:Excello Wood Sealer.Concreto:Sellador p/Concreto.</v>
          </cell>
          <cell r="G362" t="str">
            <v>8.03 Lbs/Gl</v>
          </cell>
          <cell r="H362" t="str">
            <v>15.45%</v>
          </cell>
          <cell r="I362" t="str">
            <v>51.36%</v>
          </cell>
          <cell r="J362" t="str">
            <v>35.95%</v>
          </cell>
          <cell r="K362" t="str">
            <v>12-58%</v>
          </cell>
          <cell r="L362" t="str">
            <v>38-24%</v>
          </cell>
          <cell r="M362" t="str">
            <v>80-87 KU</v>
          </cell>
          <cell r="N362" t="str">
            <v>Brocha, Rodillo, Pistola de Aire</v>
          </cell>
          <cell r="O362" t="str">
            <v>70-75 KU</v>
          </cell>
          <cell r="P362" t="str">
            <v xml:space="preserve">Con pistola   12-15% con R1K4 </v>
          </cell>
          <cell r="Q362" t="str">
            <v>R1K4   Mineral Spirits</v>
          </cell>
          <cell r="R362" t="str">
            <v>1 mills</v>
          </cell>
          <cell r="S362" t="str">
            <v>Seco Completo de 4 a 5 Horas (25°C)</v>
          </cell>
          <cell r="T362" t="str">
            <v>-</v>
          </cell>
          <cell r="U362" t="str">
            <v>45-55 Mts Cuadrados/Gl/Mano a 1 mill de pelicula seca. Depende del color.</v>
          </cell>
          <cell r="V362" t="str">
            <v xml:space="preserve">88-92 unidades </v>
          </cell>
          <cell r="W362" t="str">
            <v>-</v>
          </cell>
          <cell r="X362" t="str">
            <v>2 años</v>
          </cell>
          <cell r="Y362" t="str">
            <v>-</v>
          </cell>
          <cell r="Z362" t="str">
            <v>-</v>
          </cell>
          <cell r="AA362" t="str">
            <v>-</v>
          </cell>
          <cell r="AB362" t="str">
            <v>Soraya de Quijada</v>
          </cell>
          <cell r="AC362">
            <v>36901</v>
          </cell>
        </row>
        <row r="363">
          <cell r="A363" t="str">
            <v>B53W4003</v>
          </cell>
          <cell r="B363" t="str">
            <v>Industrial Enamel Deeptone Base Z</v>
          </cell>
          <cell r="C363" t="str">
            <v>Interior-Exterior</v>
          </cell>
          <cell r="D363" t="str">
            <v>Hierro, Madera, Concreto</v>
          </cell>
          <cell r="E363" t="str">
            <v>Totalmente secas, Libres de Polvo y Grasa</v>
          </cell>
          <cell r="F363" t="str">
            <v>Metal:Kromik Metal Primer,Colonial Anticorrosivo. Madera:Excello Wood Sealer.Concreto:Sellador p/Concreto.</v>
          </cell>
          <cell r="G363" t="str">
            <v>7.51 Lbs/Gl</v>
          </cell>
          <cell r="H363" t="str">
            <v>11.24%</v>
          </cell>
          <cell r="I363" t="str">
            <v>48.04%</v>
          </cell>
          <cell r="J363" t="str">
            <v>36.80%</v>
          </cell>
          <cell r="K363" t="str">
            <v>7.40%</v>
          </cell>
          <cell r="L363" t="str">
            <v>34.09%</v>
          </cell>
          <cell r="M363" t="str">
            <v>80-87 KU</v>
          </cell>
          <cell r="N363" t="str">
            <v>Brocha, Rodillo, Pistola de Aire</v>
          </cell>
          <cell r="O363" t="str">
            <v>70-75 KU</v>
          </cell>
          <cell r="P363" t="str">
            <v xml:space="preserve">Con pistola   12-15% con R1K4 </v>
          </cell>
          <cell r="Q363" t="str">
            <v>R1K4   Mineral Spirits</v>
          </cell>
          <cell r="R363" t="str">
            <v>1 mills</v>
          </cell>
          <cell r="S363" t="str">
            <v>Seco Completo de 4 a 5 Horas (25°C)</v>
          </cell>
          <cell r="T363" t="str">
            <v>-</v>
          </cell>
          <cell r="U363" t="str">
            <v>45-55 Mts Cuadrados/Gl/Mano a 1 mill de pelicula seca. Depende del color.</v>
          </cell>
          <cell r="V363" t="str">
            <v xml:space="preserve">88-92 unidades </v>
          </cell>
          <cell r="W363" t="str">
            <v>-</v>
          </cell>
          <cell r="X363" t="str">
            <v>2 años</v>
          </cell>
          <cell r="Y363" t="str">
            <v>-</v>
          </cell>
          <cell r="Z363" t="str">
            <v>-</v>
          </cell>
          <cell r="AA363" t="str">
            <v>-</v>
          </cell>
          <cell r="AB363" t="str">
            <v>Soraya de Quijada</v>
          </cell>
          <cell r="AC363">
            <v>36901</v>
          </cell>
        </row>
        <row r="364">
          <cell r="A364" t="str">
            <v>B79LSA13</v>
          </cell>
          <cell r="B364" t="str">
            <v>Colonial Latex Chep Blue Pantone 300U</v>
          </cell>
          <cell r="C364" t="str">
            <v>Interior-Exterior</v>
          </cell>
          <cell r="D364" t="str">
            <v>Cemento, Ladrillo, Madera</v>
          </cell>
          <cell r="E364" t="str">
            <v>Curada, Limpia, Seca y Libre de toda contaminación</v>
          </cell>
          <cell r="F364" t="str">
            <v>-</v>
          </cell>
          <cell r="G364" t="str">
            <v>11.41 Lbs/Gl más o menos 0.2</v>
          </cell>
          <cell r="H364" t="str">
            <v>-</v>
          </cell>
          <cell r="I364" t="str">
            <v>47.75% más o menos 0.02</v>
          </cell>
          <cell r="J364" t="str">
            <v>-</v>
          </cell>
          <cell r="K364" t="str">
            <v>65.40%</v>
          </cell>
          <cell r="L364" t="str">
            <v>30.83% más o menos 0.2</v>
          </cell>
          <cell r="M364" t="str">
            <v>79-85 KU</v>
          </cell>
          <cell r="N364" t="str">
            <v>Brocha-Rodillo-Pistola</v>
          </cell>
          <cell r="O364" t="str">
            <v>79-85 KU</v>
          </cell>
          <cell r="P364" t="str">
            <v>Máximo 10%</v>
          </cell>
          <cell r="Q364" t="str">
            <v>Agua Limpia</v>
          </cell>
          <cell r="R364" t="str">
            <v>1.5 mills</v>
          </cell>
          <cell r="S364" t="str">
            <v>Al Aire, Recubrir después de 4 horas.</v>
          </cell>
          <cell r="T364" t="str">
            <v>-</v>
          </cell>
          <cell r="U364" t="str">
            <v>30 Mts Cuadrados/Gl más o menos 1</v>
          </cell>
          <cell r="V364" t="str">
            <v>-</v>
          </cell>
          <cell r="W364" t="str">
            <v>-</v>
          </cell>
          <cell r="X364" t="str">
            <v>2 años</v>
          </cell>
          <cell r="Y364" t="str">
            <v>DIDEMA-GUATEMALA</v>
          </cell>
          <cell r="Z364" t="str">
            <v>-</v>
          </cell>
          <cell r="AA364" t="str">
            <v>-</v>
          </cell>
          <cell r="AB364" t="str">
            <v>Ana Irene Mendez Vides</v>
          </cell>
          <cell r="AC364">
            <v>36907</v>
          </cell>
        </row>
        <row r="365">
          <cell r="A365" t="str">
            <v>SAA 5146</v>
          </cell>
          <cell r="B365" t="str">
            <v>Esmalte Horneable Industrial Verde Imacasa</v>
          </cell>
          <cell r="C365" t="str">
            <v>Interior-Exterior</v>
          </cell>
          <cell r="D365" t="str">
            <v>Acero</v>
          </cell>
          <cell r="E365" t="str">
            <v>Limpieza y desengrase</v>
          </cell>
          <cell r="F365" t="str">
            <v>Ninguno</v>
          </cell>
          <cell r="G365" t="str">
            <v>8.0 Lbs/Gl</v>
          </cell>
          <cell r="H365" t="str">
            <v>6.5%</v>
          </cell>
          <cell r="I365" t="str">
            <v>4.7%</v>
          </cell>
          <cell r="J365" t="str">
            <v>87%</v>
          </cell>
          <cell r="K365" t="str">
            <v>5.56%</v>
          </cell>
          <cell r="L365" t="str">
            <v>38.14%</v>
          </cell>
          <cell r="M365" t="str">
            <v>95-105" Copa Zahn #2</v>
          </cell>
          <cell r="N365" t="str">
            <v>Pistola</v>
          </cell>
          <cell r="O365" t="str">
            <v>18-22" Copa Zahn #2</v>
          </cell>
          <cell r="P365" t="str">
            <v>20-25%</v>
          </cell>
          <cell r="Q365" t="str">
            <v>R2K4         Industrial reducer</v>
          </cell>
          <cell r="R365" t="str">
            <v>1.0-1.5 mills</v>
          </cell>
          <cell r="S365" t="str">
            <v>Al Horno</v>
          </cell>
          <cell r="T365" t="str">
            <v>15 Min. A 300°F</v>
          </cell>
          <cell r="U365" t="str">
            <v>56 Mts Cuadrados/Gl</v>
          </cell>
          <cell r="V365" t="str">
            <v>+80 unidades</v>
          </cell>
          <cell r="W365" t="str">
            <v>F</v>
          </cell>
          <cell r="X365" t="str">
            <v>6-12 años</v>
          </cell>
          <cell r="Y365" t="str">
            <v>IMACASA</v>
          </cell>
          <cell r="Z365" t="str">
            <v>Herramientas Varias</v>
          </cell>
          <cell r="AA365" t="str">
            <v>-</v>
          </cell>
          <cell r="AB365" t="str">
            <v>Corina de Turcios</v>
          </cell>
          <cell r="AC365">
            <v>36924</v>
          </cell>
        </row>
        <row r="366">
          <cell r="A366" t="str">
            <v>F68RSA9</v>
          </cell>
          <cell r="B366" t="str">
            <v>Esmalte para espejos Rojo Especial</v>
          </cell>
          <cell r="C366" t="str">
            <v xml:space="preserve">Interior  </v>
          </cell>
          <cell r="D366" t="str">
            <v>Vidrio</v>
          </cell>
          <cell r="E366" t="str">
            <v>Limpieza Adecuada</v>
          </cell>
          <cell r="F366" t="str">
            <v>Ninguno</v>
          </cell>
          <cell r="G366" t="str">
            <v>10.65 Lbs/Gl</v>
          </cell>
          <cell r="H366" t="str">
            <v>38.1%</v>
          </cell>
          <cell r="I366" t="str">
            <v>61.64%</v>
          </cell>
          <cell r="J366" t="str">
            <v>37.5%</v>
          </cell>
          <cell r="K366" t="str">
            <v>35.6%</v>
          </cell>
          <cell r="L366" t="str">
            <v>44.1%</v>
          </cell>
          <cell r="M366" t="str">
            <v>30-35"        SW #3</v>
          </cell>
          <cell r="N366" t="str">
            <v>Pistola</v>
          </cell>
          <cell r="O366" t="str">
            <v>18-20"             Copa Ford #4</v>
          </cell>
          <cell r="P366" t="str">
            <v>20%</v>
          </cell>
          <cell r="Q366" t="str">
            <v>R2K4         Industrial reducer</v>
          </cell>
          <cell r="R366" t="str">
            <v>1.0 mills</v>
          </cell>
          <cell r="S366" t="str">
            <v>Al aire             5-10 Min</v>
          </cell>
          <cell r="T366" t="str">
            <v>-</v>
          </cell>
          <cell r="U366" t="str">
            <v>65 m2/Gl a un mills de espes.</v>
          </cell>
          <cell r="V366" t="str">
            <v>5-6</v>
          </cell>
          <cell r="W366" t="str">
            <v>-</v>
          </cell>
          <cell r="X366" t="str">
            <v>6 meses</v>
          </cell>
          <cell r="Y366" t="str">
            <v>DIDEMA-GUATEMALA</v>
          </cell>
          <cell r="Z366" t="str">
            <v>Espejos</v>
          </cell>
          <cell r="AA366" t="str">
            <v>-</v>
          </cell>
          <cell r="AB366" t="str">
            <v>Corina de Turcios</v>
          </cell>
          <cell r="AC366">
            <v>36942</v>
          </cell>
        </row>
        <row r="367">
          <cell r="A367" t="str">
            <v>M91GSA2</v>
          </cell>
          <cell r="B367" t="str">
            <v>Laca para escobas verde claro</v>
          </cell>
          <cell r="C367" t="str">
            <v>Interior - Exterior</v>
          </cell>
          <cell r="D367" t="str">
            <v>Palos de Escoba</v>
          </cell>
          <cell r="E367" t="str">
            <v>De Acuerdo Al Cliente</v>
          </cell>
          <cell r="F367" t="str">
            <v>Ninguno</v>
          </cell>
          <cell r="G367" t="str">
            <v>8.21 Lbs</v>
          </cell>
          <cell r="H367" t="str">
            <v>7.93%</v>
          </cell>
          <cell r="I367" t="str">
            <v>37.54%</v>
          </cell>
          <cell r="J367" t="str">
            <v>66.24%</v>
          </cell>
          <cell r="K367" t="str">
            <v>9.83%</v>
          </cell>
          <cell r="L367" t="str">
            <v>24.51%</v>
          </cell>
          <cell r="M367" t="str">
            <v>18,000-23,000 cps</v>
          </cell>
          <cell r="N367" t="str">
            <v>De Acuerdo Al Cliente</v>
          </cell>
          <cell r="O367" t="str">
            <v>-</v>
          </cell>
          <cell r="P367" t="str">
            <v>Ninguno</v>
          </cell>
          <cell r="Q367" t="str">
            <v>De ser necesario reducir con Thinner R7K128</v>
          </cell>
          <cell r="R367" t="str">
            <v>De acuerdo Al Cliente</v>
          </cell>
          <cell r="S367" t="str">
            <v>Al Aire</v>
          </cell>
          <cell r="T367" t="str">
            <v>-</v>
          </cell>
          <cell r="U367" t="str">
            <v>36.51 metros cuadrados por galon a 1 mils de pelicula seca</v>
          </cell>
          <cell r="V367" t="str">
            <v>-</v>
          </cell>
          <cell r="W367" t="str">
            <v>-</v>
          </cell>
          <cell r="X367" t="str">
            <v>6-12 meses</v>
          </cell>
          <cell r="Y367" t="str">
            <v>MULTIPLAST</v>
          </cell>
          <cell r="Z367" t="str">
            <v>Escobas</v>
          </cell>
          <cell r="AA367" t="str">
            <v>-</v>
          </cell>
          <cell r="AB367" t="str">
            <v>Ing. Juan Antonio Méndez</v>
          </cell>
          <cell r="AC367" t="str">
            <v>Junio 2, 2003</v>
          </cell>
        </row>
        <row r="368">
          <cell r="A368" t="str">
            <v>M91LSA2</v>
          </cell>
          <cell r="B368" t="str">
            <v>Laca para Escobas Azul Intenso</v>
          </cell>
          <cell r="C368" t="str">
            <v>Interior - Exterior</v>
          </cell>
          <cell r="D368" t="str">
            <v>Palos de Escoba</v>
          </cell>
          <cell r="E368" t="str">
            <v>De Acuerdo Al Cliente</v>
          </cell>
          <cell r="F368" t="str">
            <v>Ninguno</v>
          </cell>
          <cell r="G368" t="str">
            <v>8.28 Lbs</v>
          </cell>
          <cell r="H368" t="str">
            <v>6.72 %</v>
          </cell>
          <cell r="I368" t="str">
            <v>38.86%</v>
          </cell>
          <cell r="J368" t="str">
            <v>69.38%</v>
          </cell>
          <cell r="K368" t="str">
            <v>9.03%</v>
          </cell>
          <cell r="L368" t="str">
            <v>24.92%</v>
          </cell>
          <cell r="M368" t="str">
            <v>18,000 - 23,000 cps</v>
          </cell>
          <cell r="N368" t="str">
            <v>De Acuerdo Al Cliente</v>
          </cell>
          <cell r="O368" t="str">
            <v>-</v>
          </cell>
          <cell r="P368" t="str">
            <v>Ninguno</v>
          </cell>
          <cell r="Q368" t="str">
            <v>De ser necesario reducir con Thinner R7K128</v>
          </cell>
          <cell r="R368" t="str">
            <v>De acuerdo Al Cliente</v>
          </cell>
          <cell r="S368" t="str">
            <v>Al aire</v>
          </cell>
          <cell r="T368" t="str">
            <v>-</v>
          </cell>
          <cell r="U368" t="str">
            <v>37.85 metros cuadrados por galon a 1 mils de pelicula seca</v>
          </cell>
          <cell r="V368" t="str">
            <v>-</v>
          </cell>
          <cell r="W368" t="str">
            <v>-</v>
          </cell>
          <cell r="X368" t="str">
            <v>6-12 meses</v>
          </cell>
          <cell r="Y368" t="str">
            <v>MULTIPLATS</v>
          </cell>
          <cell r="Z368" t="str">
            <v>Escobas</v>
          </cell>
          <cell r="AA368" t="str">
            <v>-</v>
          </cell>
          <cell r="AB368" t="str">
            <v>Ing. Juan Antonio Méndez</v>
          </cell>
          <cell r="AC368" t="str">
            <v>Junio 2, 2003</v>
          </cell>
        </row>
        <row r="369">
          <cell r="A369" t="str">
            <v>L1ASA1</v>
          </cell>
          <cell r="B369" t="str">
            <v>Opex Lacquer Gris Proaces</v>
          </cell>
          <cell r="C369" t="str">
            <v>Interior-Exterior</v>
          </cell>
          <cell r="D369" t="str">
            <v xml:space="preserve">Hierro-Acero </v>
          </cell>
          <cell r="E369" t="str">
            <v>Lijado, Libre de Polvo y oxido</v>
          </cell>
          <cell r="F369" t="str">
            <v>E2G980, P2A32</v>
          </cell>
          <cell r="G369" t="str">
            <v>8.45</v>
          </cell>
          <cell r="H369" t="str">
            <v>7.47 %</v>
          </cell>
          <cell r="I369" t="str">
            <v>37.92%</v>
          </cell>
          <cell r="J369" t="str">
            <v>70.50%</v>
          </cell>
          <cell r="K369" t="str">
            <v>7.26%</v>
          </cell>
          <cell r="L369" t="str">
            <v>26.86%</v>
          </cell>
          <cell r="M369" t="str">
            <v>60 - 75 "       SW #5</v>
          </cell>
          <cell r="N369" t="str">
            <v>Pistola</v>
          </cell>
          <cell r="O369" t="str">
            <v>18-22" Copa Zahn #2</v>
          </cell>
          <cell r="P369" t="str">
            <v xml:space="preserve">100-150% </v>
          </cell>
          <cell r="Q369" t="str">
            <v>R7K128</v>
          </cell>
          <cell r="R369" t="str">
            <v>1.5 mils</v>
          </cell>
          <cell r="S369" t="str">
            <v>seco tocar 10 min, seco completo 20 min</v>
          </cell>
          <cell r="T369" t="str">
            <v>-</v>
          </cell>
          <cell r="U369" t="str">
            <v>40 m2 / galon a 1 mils de pelicula seca</v>
          </cell>
          <cell r="V369" t="str">
            <v>+85 unidades</v>
          </cell>
          <cell r="W369" t="str">
            <v>-</v>
          </cell>
          <cell r="X369" t="str">
            <v>12 meses</v>
          </cell>
          <cell r="Y369" t="str">
            <v>PROACES</v>
          </cell>
          <cell r="Z369" t="str">
            <v>-</v>
          </cell>
          <cell r="AA369" t="str">
            <v>Aprobado por el cliente 30-Julio-01</v>
          </cell>
          <cell r="AB369" t="str">
            <v>Juan Antonio Méndez</v>
          </cell>
          <cell r="AC369" t="str">
            <v>Agosto 7, 2001</v>
          </cell>
        </row>
        <row r="370">
          <cell r="A370" t="str">
            <v>L1HSA1</v>
          </cell>
          <cell r="B370" t="str">
            <v>Opex Lacquer beige Proaces</v>
          </cell>
          <cell r="C370" t="str">
            <v>Interior-Exterior</v>
          </cell>
          <cell r="D370" t="str">
            <v xml:space="preserve">Hierro-Acero </v>
          </cell>
          <cell r="E370" t="str">
            <v>Lijado, Libre de Polvo y oxido</v>
          </cell>
          <cell r="F370" t="str">
            <v>E2G980, P2A32</v>
          </cell>
          <cell r="G370" t="str">
            <v>8.29</v>
          </cell>
          <cell r="H370" t="str">
            <v>5.55 %</v>
          </cell>
          <cell r="I370" t="str">
            <v>36.62 %</v>
          </cell>
          <cell r="J370" t="str">
            <v>74.48 %</v>
          </cell>
          <cell r="K370" t="str">
            <v>5.16 %</v>
          </cell>
          <cell r="L370" t="str">
            <v>26.27 %</v>
          </cell>
          <cell r="M370" t="str">
            <v>60 - 75 "       SW #5</v>
          </cell>
          <cell r="N370" t="str">
            <v>Pistola</v>
          </cell>
          <cell r="O370" t="str">
            <v>18-22" Copa Zahn #2</v>
          </cell>
          <cell r="P370" t="str">
            <v xml:space="preserve">100-150% </v>
          </cell>
          <cell r="Q370" t="str">
            <v>R7K128</v>
          </cell>
          <cell r="R370" t="str">
            <v>1.5 mils</v>
          </cell>
          <cell r="S370" t="str">
            <v>seco tocar 10 min, seco completo 20 min</v>
          </cell>
          <cell r="T370" t="str">
            <v>-</v>
          </cell>
          <cell r="U370" t="str">
            <v>39 m2 / galon a 1 mils de pelicula seca</v>
          </cell>
          <cell r="V370" t="str">
            <v>+85 unidades</v>
          </cell>
          <cell r="W370" t="str">
            <v>-</v>
          </cell>
          <cell r="X370" t="str">
            <v>12 meses</v>
          </cell>
          <cell r="Y370" t="str">
            <v>PROACES</v>
          </cell>
          <cell r="Z370" t="str">
            <v>-</v>
          </cell>
          <cell r="AA370" t="str">
            <v>Aprobado por el cliente 30-Julio-01</v>
          </cell>
          <cell r="AB370" t="str">
            <v>Juan Antonio Méndez</v>
          </cell>
          <cell r="AC370" t="str">
            <v>Agosto 7, 2001</v>
          </cell>
        </row>
        <row r="371">
          <cell r="A371" t="str">
            <v>P2A34</v>
          </cell>
          <cell r="B371" t="str">
            <v>PRIMER AUTOMOTRIZ GRIS ROSMO</v>
          </cell>
          <cell r="C371" t="str">
            <v>EXTERIOR</v>
          </cell>
          <cell r="D371" t="str">
            <v>HIERRO - ACERO</v>
          </cell>
          <cell r="E371" t="str">
            <v>Lijado, Libre de Polvo, grasa y oxido</v>
          </cell>
          <cell r="F371" t="str">
            <v>-</v>
          </cell>
          <cell r="G371" t="str">
            <v>9.13</v>
          </cell>
          <cell r="H371" t="str">
            <v>3.34</v>
          </cell>
          <cell r="I371" t="str">
            <v>46.21</v>
          </cell>
          <cell r="J371" t="str">
            <v>30.18</v>
          </cell>
          <cell r="K371" t="str">
            <v>30.66</v>
          </cell>
          <cell r="L371" t="str">
            <v>29.5</v>
          </cell>
          <cell r="M371" t="str">
            <v>7000 - 13000   BROOKFIELD</v>
          </cell>
          <cell r="N371" t="str">
            <v>PISTOLA</v>
          </cell>
          <cell r="O371" t="str">
            <v>18 - 20" FORD #4</v>
          </cell>
          <cell r="P371" t="str">
            <v>150-200%</v>
          </cell>
          <cell r="Q371" t="str">
            <v>R7K128</v>
          </cell>
          <cell r="R371" t="str">
            <v>-</v>
          </cell>
          <cell r="S371" t="str">
            <v>5 - 10 Min a condiciones de 25°C y 50-60 % HR</v>
          </cell>
          <cell r="T371" t="str">
            <v>-</v>
          </cell>
          <cell r="U371" t="str">
            <v>45 m2/galon a 1 mils de pelicula seca</v>
          </cell>
          <cell r="V371" t="str">
            <v>-</v>
          </cell>
          <cell r="W371" t="str">
            <v>-</v>
          </cell>
          <cell r="X371" t="str">
            <v>12 meses</v>
          </cell>
          <cell r="Y371" t="str">
            <v>ROSMO</v>
          </cell>
          <cell r="Z371" t="str">
            <v>-</v>
          </cell>
          <cell r="AA371" t="str">
            <v>Aprobado por el cliente 14-Noviembre-2000</v>
          </cell>
          <cell r="AB371" t="str">
            <v>Juan Antonio Méndez</v>
          </cell>
          <cell r="AC371" t="str">
            <v>Agosto 7, 2001</v>
          </cell>
        </row>
        <row r="372">
          <cell r="A372" t="str">
            <v>SAA 4158</v>
          </cell>
          <cell r="B372" t="str">
            <v>LACA TRANSPARENTE SEMIMATE LISTA PARA USAR</v>
          </cell>
          <cell r="C372" t="str">
            <v>INTERIOR</v>
          </cell>
          <cell r="D372" t="str">
            <v>MADERA</v>
          </cell>
          <cell r="E372" t="str">
            <v>D70T1</v>
          </cell>
          <cell r="F372" t="str">
            <v>SELLADOR LIJABLE LISTO PARA USAR</v>
          </cell>
          <cell r="G372" t="str">
            <v>7.6</v>
          </cell>
          <cell r="H372" t="str">
            <v>.64</v>
          </cell>
          <cell r="I372" t="str">
            <v>18.9</v>
          </cell>
          <cell r="J372" t="str">
            <v>18.3</v>
          </cell>
          <cell r="K372" t="str">
            <v>2.09</v>
          </cell>
          <cell r="L372" t="str">
            <v>12.87</v>
          </cell>
          <cell r="M372" t="str">
            <v>20-25SEG FORD#4</v>
          </cell>
          <cell r="N372" t="str">
            <v>PISTOLA</v>
          </cell>
          <cell r="O372" t="str">
            <v>20-25SEG FORD#4</v>
          </cell>
          <cell r="S372" t="str">
            <v>AL AIRE</v>
          </cell>
          <cell r="U372" t="str">
            <v>330 PIE CUADRADO POR GALON A 1MILS</v>
          </cell>
          <cell r="V372" t="str">
            <v>37-42 UNIDADES</v>
          </cell>
          <cell r="X372" t="str">
            <v>12 MESES</v>
          </cell>
          <cell r="Y372" t="str">
            <v>DERIMASA</v>
          </cell>
          <cell r="Z372" t="str">
            <v>Muebles de Madera.</v>
          </cell>
          <cell r="AB372" t="str">
            <v>Rigoberto Montalvo</v>
          </cell>
          <cell r="AC372" t="str">
            <v>SEPTIEMBRE 14, 1995</v>
          </cell>
        </row>
        <row r="373">
          <cell r="A373" t="str">
            <v>P65TSA1</v>
          </cell>
          <cell r="B373" t="str">
            <v>PRIMER PARA MADERA DE SECADO RAPIDO</v>
          </cell>
          <cell r="C373" t="str">
            <v>INTERIOR</v>
          </cell>
          <cell r="D373" t="str">
            <v>MADERA</v>
          </cell>
          <cell r="E373" t="str">
            <v>LIJADO, LIBRE DE POLVO</v>
          </cell>
          <cell r="F373" t="str">
            <v>-</v>
          </cell>
          <cell r="G373" t="str">
            <v>9.48 lbs/ galon</v>
          </cell>
          <cell r="H373" t="str">
            <v>-</v>
          </cell>
          <cell r="I373" t="str">
            <v>45.11%</v>
          </cell>
          <cell r="J373" t="str">
            <v>32.11%</v>
          </cell>
          <cell r="K373" t="str">
            <v>51.37%</v>
          </cell>
          <cell r="L373" t="str">
            <v>26.32 %</v>
          </cell>
          <cell r="M373" t="str">
            <v>115 - 125 KU</v>
          </cell>
          <cell r="N373" t="str">
            <v>PISTOLA</v>
          </cell>
          <cell r="O373" t="str">
            <v>18 - 20" FORD #4</v>
          </cell>
          <cell r="P373" t="str">
            <v>100-150%</v>
          </cell>
          <cell r="Q373" t="str">
            <v>R7K128</v>
          </cell>
          <cell r="R373" t="str">
            <v>1.0 - 1.2 MILS</v>
          </cell>
          <cell r="S373" t="str">
            <v>seco tocar 10 min, seco completo 20 min</v>
          </cell>
          <cell r="T373" t="str">
            <v>-</v>
          </cell>
          <cell r="U373" t="str">
            <v>39.21 m2 / galon</v>
          </cell>
          <cell r="V373" t="str">
            <v>10 - 15 unidades</v>
          </cell>
          <cell r="W373" t="str">
            <v>-</v>
          </cell>
          <cell r="X373" t="str">
            <v>12 Meses</v>
          </cell>
          <cell r="Y373" t="str">
            <v>Didema Guatemala</v>
          </cell>
          <cell r="Z373" t="str">
            <v>-</v>
          </cell>
          <cell r="AA373" t="str">
            <v>Solicitado por Eddy López, SAA 5193</v>
          </cell>
          <cell r="AB373" t="str">
            <v>Juan Antonio Méndez</v>
          </cell>
          <cell r="AC373" t="str">
            <v xml:space="preserve"> Diciembre 27, 2000</v>
          </cell>
        </row>
        <row r="374">
          <cell r="A374" t="str">
            <v>SAA 5306</v>
          </cell>
          <cell r="B374" t="str">
            <v>OPEX LACQUER MAYMO</v>
          </cell>
          <cell r="C374" t="str">
            <v>Interior - Exterior</v>
          </cell>
          <cell r="D374" t="str">
            <v>HIERRO</v>
          </cell>
          <cell r="E374" t="str">
            <v>LIJADO, LIBRE DE POLVO GRASA Y OXIDO</v>
          </cell>
          <cell r="F374" t="str">
            <v>P2A32</v>
          </cell>
          <cell r="G374" t="str">
            <v>8.19 LBS/GALON</v>
          </cell>
          <cell r="H374" t="str">
            <v>3.68%</v>
          </cell>
          <cell r="I374" t="str">
            <v>35.47%</v>
          </cell>
          <cell r="J374" t="str">
            <v>78.07%</v>
          </cell>
          <cell r="K374" t="str">
            <v>3.42%</v>
          </cell>
          <cell r="L374" t="str">
            <v>24.55%</v>
          </cell>
          <cell r="M374" t="str">
            <v>60-75"         SW #5</v>
          </cell>
          <cell r="N374" t="str">
            <v>PISTOLA</v>
          </cell>
          <cell r="O374" t="str">
            <v>18-22" ZANH #2</v>
          </cell>
          <cell r="P374" t="str">
            <v>100-150%</v>
          </cell>
          <cell r="Q374" t="str">
            <v>R7K128</v>
          </cell>
          <cell r="R374" t="str">
            <v>1.5 MILS</v>
          </cell>
          <cell r="S374" t="str">
            <v>seco tocar 10 min, seco completo 20 min</v>
          </cell>
          <cell r="T374" t="str">
            <v>-</v>
          </cell>
          <cell r="U374" t="str">
            <v>36.58 m2/galon a 1 mils de espesor</v>
          </cell>
          <cell r="V374" t="str">
            <v>+85 unidades</v>
          </cell>
          <cell r="W374" t="str">
            <v>-</v>
          </cell>
          <cell r="X374" t="str">
            <v>12 meses</v>
          </cell>
          <cell r="Y374" t="str">
            <v>DIDEMA GUATEMALA</v>
          </cell>
          <cell r="Z374" t="str">
            <v>-</v>
          </cell>
          <cell r="AA374" t="str">
            <v>Solicitado por Arturo Toledo</v>
          </cell>
          <cell r="AB374" t="str">
            <v>Juan Antonio Méndez</v>
          </cell>
          <cell r="AC374" t="str">
            <v>SEPTIEMBRE 5, 2001</v>
          </cell>
        </row>
        <row r="375">
          <cell r="A375" t="str">
            <v>L60RSA11</v>
          </cell>
          <cell r="B375" t="str">
            <v>LACA INDUSTRIAL ROJO RASTRILLO</v>
          </cell>
          <cell r="C375" t="str">
            <v>EXTERIOR-INTERIOR</v>
          </cell>
          <cell r="D375" t="str">
            <v>ACERO - MADERA</v>
          </cell>
          <cell r="E375" t="str">
            <v>Limpieza y Desengrase</v>
          </cell>
          <cell r="F375" t="str">
            <v>P65W1, P2A32</v>
          </cell>
          <cell r="G375" t="str">
            <v>8.34 Lbs / galon</v>
          </cell>
          <cell r="H375" t="str">
            <v>7.8 %</v>
          </cell>
          <cell r="I375" t="str">
            <v>32.30%</v>
          </cell>
          <cell r="J375" t="str">
            <v>77.5%</v>
          </cell>
          <cell r="K375" t="str">
            <v>3.81</v>
          </cell>
          <cell r="L375" t="str">
            <v>25.0%</v>
          </cell>
          <cell r="M375" t="str">
            <v>50-60 seg   SW#5</v>
          </cell>
          <cell r="N375" t="str">
            <v>pistola</v>
          </cell>
          <cell r="O375" t="str">
            <v>18-20 seg     Ford #4</v>
          </cell>
          <cell r="P375" t="str">
            <v>100-150%</v>
          </cell>
          <cell r="Q375" t="str">
            <v>OPEX THINNER R7K128</v>
          </cell>
          <cell r="R375" t="str">
            <v>2.0</v>
          </cell>
          <cell r="S375" t="str">
            <v>Al Aire</v>
          </cell>
          <cell r="T375" t="str">
            <v>-</v>
          </cell>
          <cell r="U375" t="str">
            <v>38.25 Mts Cuadrados/Gl a 1 mills de espesor</v>
          </cell>
          <cell r="V375" t="str">
            <v>65 - 70 UNIDADES</v>
          </cell>
          <cell r="W375" t="str">
            <v>-</v>
          </cell>
          <cell r="X375" t="str">
            <v>6-12 meses</v>
          </cell>
          <cell r="Y375" t="str">
            <v>IMACASA</v>
          </cell>
          <cell r="Z375" t="str">
            <v>-</v>
          </cell>
          <cell r="AA375" t="str">
            <v>-</v>
          </cell>
          <cell r="AB375" t="str">
            <v>Juan Antonio Méndez</v>
          </cell>
          <cell r="AC375" t="str">
            <v xml:space="preserve"> Junio 1°, 2000</v>
          </cell>
        </row>
        <row r="376">
          <cell r="A376" t="str">
            <v>L60LSA20</v>
          </cell>
          <cell r="B376" t="str">
            <v>LACA INDUSTRIAL AZUL INTENSO MATE</v>
          </cell>
          <cell r="C376" t="str">
            <v>Interior</v>
          </cell>
          <cell r="D376" t="str">
            <v>hierro</v>
          </cell>
          <cell r="E376" t="str">
            <v>Limpieza y Desengrase</v>
          </cell>
          <cell r="G376" t="str">
            <v>7.82 Lbs / galon</v>
          </cell>
          <cell r="H376" t="str">
            <v>8.69%</v>
          </cell>
          <cell r="I376" t="str">
            <v>36.64%</v>
          </cell>
          <cell r="J376" t="str">
            <v>79.50%</v>
          </cell>
          <cell r="K376" t="str">
            <v>14.94%</v>
          </cell>
          <cell r="L376" t="str">
            <v>27.91%</v>
          </cell>
          <cell r="M376" t="str">
            <v>20"-25" Copa SW #5</v>
          </cell>
          <cell r="N376" t="str">
            <v>INMERSION</v>
          </cell>
          <cell r="O376" t="str">
            <v>22"-25" Copa Ford #4</v>
          </cell>
          <cell r="P376" t="str">
            <v>100%</v>
          </cell>
          <cell r="Q376" t="str">
            <v>OPEX THINNER R7K128</v>
          </cell>
          <cell r="R376" t="str">
            <v>-</v>
          </cell>
          <cell r="S376" t="str">
            <v>Al Aire</v>
          </cell>
          <cell r="T376" t="str">
            <v>-</v>
          </cell>
          <cell r="U376" t="str">
            <v>42.85 Mts Cuadrados/Gl a 1 mills de espesor</v>
          </cell>
          <cell r="V376" t="str">
            <v>7-9 UNIDADES</v>
          </cell>
          <cell r="W376" t="str">
            <v>-</v>
          </cell>
          <cell r="X376" t="str">
            <v>6-12 meses</v>
          </cell>
          <cell r="Y376" t="str">
            <v>IMACASA</v>
          </cell>
          <cell r="Z376" t="str">
            <v>-</v>
          </cell>
          <cell r="AA376" t="str">
            <v>-</v>
          </cell>
          <cell r="AB376" t="str">
            <v>Juan Antonio Méndez</v>
          </cell>
          <cell r="AC376" t="str">
            <v xml:space="preserve"> Junio 1°, 2000</v>
          </cell>
        </row>
        <row r="377">
          <cell r="A377" t="str">
            <v>T70CSA25</v>
          </cell>
          <cell r="B377" t="str">
            <v>LACA TRANSPARENTE BRILLANTE P/HERRAMIENTAS</v>
          </cell>
          <cell r="C377" t="str">
            <v>EXTERIOR-INTERIOR</v>
          </cell>
          <cell r="D377" t="str">
            <v>ACERO-HIERRRO</v>
          </cell>
          <cell r="E377" t="str">
            <v>Limpieza y Desengrase</v>
          </cell>
          <cell r="F377" t="str">
            <v>NINGUNO</v>
          </cell>
          <cell r="G377" t="str">
            <v>7.46 lbs / galon</v>
          </cell>
          <cell r="H377" t="str">
            <v>0.0%</v>
          </cell>
          <cell r="I377" t="str">
            <v>25%</v>
          </cell>
          <cell r="J377" t="str">
            <v>69%</v>
          </cell>
          <cell r="K377" t="str">
            <v>0.0 %</v>
          </cell>
          <cell r="L377" t="str">
            <v>13.61</v>
          </cell>
          <cell r="M377" t="str">
            <v>40 - 45 seg  SW 35</v>
          </cell>
          <cell r="N377" t="str">
            <v>INMERSION</v>
          </cell>
          <cell r="O377" t="str">
            <v>IGUAL QUE VISCOSIDAD ORIGINAL</v>
          </cell>
          <cell r="P377" t="str">
            <v>NINGUNA</v>
          </cell>
          <cell r="Q377" t="str">
            <v>-</v>
          </cell>
          <cell r="R377" t="str">
            <v>1.5 - 2.0 MILS</v>
          </cell>
          <cell r="S377" t="str">
            <v>Al Aire</v>
          </cell>
          <cell r="T377" t="str">
            <v>SECO TOCAR 10 MIN, SECO COMPLETO 20 MIN  a 25°C y 65% H.R</v>
          </cell>
          <cell r="U377" t="str">
            <v>20.27 Mts Cuadrados/Gl a 1 mills de espesor</v>
          </cell>
          <cell r="V377" t="str">
            <v>+80 unidades</v>
          </cell>
          <cell r="W377" t="str">
            <v>-</v>
          </cell>
          <cell r="X377" t="str">
            <v>6-12 meses</v>
          </cell>
          <cell r="Y377" t="str">
            <v>IMACASA</v>
          </cell>
          <cell r="Z377" t="str">
            <v>-</v>
          </cell>
          <cell r="AA377" t="str">
            <v>-</v>
          </cell>
          <cell r="AB377" t="str">
            <v>Juan Antonio Méndez</v>
          </cell>
          <cell r="AC377" t="str">
            <v xml:space="preserve"> Junio 1°, 2000</v>
          </cell>
        </row>
        <row r="378">
          <cell r="A378" t="str">
            <v>T1CSA3</v>
          </cell>
          <cell r="B378" t="str">
            <v>Recubrimiento Acrílico Para Metales</v>
          </cell>
          <cell r="C378" t="str">
            <v>Interior-Exterior</v>
          </cell>
          <cell r="D378" t="str">
            <v>Metal</v>
          </cell>
          <cell r="E378" t="str">
            <v>Lavado con agua y detergente, solvente de limpieza, si existe corrosión aplicar W4K288.</v>
          </cell>
          <cell r="F378" t="str">
            <v>Ninguno</v>
          </cell>
          <cell r="G378" t="str">
            <v>7.07 Lbs/Gl</v>
          </cell>
          <cell r="H378" t="str">
            <v>-</v>
          </cell>
          <cell r="I378" t="str">
            <v>21.20%</v>
          </cell>
          <cell r="J378" t="str">
            <v>100%</v>
          </cell>
          <cell r="K378" t="str">
            <v>-</v>
          </cell>
          <cell r="L378" t="str">
            <v>19%</v>
          </cell>
          <cell r="M378" t="str">
            <v>24"-28" Copa Ford #4.</v>
          </cell>
          <cell r="N378" t="str">
            <v>Pistola</v>
          </cell>
          <cell r="O378" t="str">
            <v>20" Copa Zanh #2</v>
          </cell>
          <cell r="P378" t="str">
            <v>La Necesaria para su aplicación.</v>
          </cell>
          <cell r="Q378" t="str">
            <v>R7K203</v>
          </cell>
          <cell r="R378" t="str">
            <v>1.2-1.5 Mills</v>
          </cell>
          <cell r="S378" t="str">
            <v>Al aire, 1 Hora Seco completo.</v>
          </cell>
          <cell r="T378" t="str">
            <v>-</v>
          </cell>
          <cell r="U378" t="str">
            <v>23.59 Mts Cuadrados/Gl a 1.2 mills de película seca.</v>
          </cell>
          <cell r="V378" t="str">
            <v>70 Mínimo.</v>
          </cell>
          <cell r="W378" t="str">
            <v>-</v>
          </cell>
          <cell r="X378" t="str">
            <v>2 años sin Abrir.</v>
          </cell>
          <cell r="Y378" t="str">
            <v>-</v>
          </cell>
          <cell r="Z378" t="str">
            <v>-</v>
          </cell>
          <cell r="AA378" t="str">
            <v>-</v>
          </cell>
          <cell r="AB378" t="str">
            <v>Oscar Enrique Ascencio.</v>
          </cell>
          <cell r="AC378">
            <v>36201</v>
          </cell>
        </row>
        <row r="379">
          <cell r="A379" t="str">
            <v>B44V20</v>
          </cell>
          <cell r="B379" t="str">
            <v>BARNIZ MOISTURE CURING</v>
          </cell>
          <cell r="C379" t="str">
            <v>INTERIOR</v>
          </cell>
          <cell r="D379" t="str">
            <v>MADERA</v>
          </cell>
          <cell r="E379" t="str">
            <v>LIJADO, LIBRE DE POLVO</v>
          </cell>
          <cell r="F379" t="str">
            <v>NINGUNO</v>
          </cell>
          <cell r="G379" t="str">
            <v>8.19 LBS/GALON</v>
          </cell>
          <cell r="H379" t="str">
            <v>0.0 %</v>
          </cell>
          <cell r="I379" t="str">
            <v>35.5%</v>
          </cell>
          <cell r="J379" t="str">
            <v>100 %</v>
          </cell>
          <cell r="K379" t="str">
            <v>0.0 %</v>
          </cell>
          <cell r="L379" t="str">
            <v>29.0 %</v>
          </cell>
          <cell r="M379" t="str">
            <v>30 - 35 SEG ZANH #2</v>
          </cell>
          <cell r="N379" t="str">
            <v>BROCHA</v>
          </cell>
          <cell r="O379" t="str">
            <v>30 - 35 SEG ZANH #2</v>
          </cell>
          <cell r="P379" t="str">
            <v>De ser necesario con R2K4</v>
          </cell>
          <cell r="Q379" t="str">
            <v>R2K4</v>
          </cell>
          <cell r="R379" t="str">
            <v>--</v>
          </cell>
          <cell r="S379" t="str">
            <v xml:space="preserve"> 6 -8 HORAS, DEPENDIENDO DE LA HUEMDAD RELATIVA AMBIENTAL</v>
          </cell>
          <cell r="T379" t="str">
            <v>--</v>
          </cell>
          <cell r="U379" t="str">
            <v>43.21 Mts cuadrados / galon a 1.0 mils de pelicula seca</v>
          </cell>
          <cell r="V379" t="str">
            <v>--</v>
          </cell>
          <cell r="W379" t="str">
            <v>F - H</v>
          </cell>
          <cell r="X379" t="str">
            <v>6 meses</v>
          </cell>
          <cell r="Y379" t="str">
            <v>Costa Rica</v>
          </cell>
          <cell r="Z379" t="str">
            <v>--</v>
          </cell>
          <cell r="AA379" t="str">
            <v>--</v>
          </cell>
          <cell r="AB379" t="str">
            <v>Juan Antonio Méndez</v>
          </cell>
          <cell r="AC379" t="str">
            <v>Junio 7, 2001</v>
          </cell>
        </row>
        <row r="380">
          <cell r="A380" t="str">
            <v>SAA 5439</v>
          </cell>
          <cell r="B380" t="str">
            <v>LACA INDUSTRIAL BLANCO PURO ESPECIAL</v>
          </cell>
          <cell r="C380" t="str">
            <v>INTERIOR-EXTERIOR</v>
          </cell>
          <cell r="D380" t="str">
            <v xml:space="preserve">Hierro-Acero </v>
          </cell>
          <cell r="E380" t="str">
            <v>Lijado libre de grasa y oxido</v>
          </cell>
          <cell r="F380" t="str">
            <v xml:space="preserve">Para Hierro o Acero Combo Primer: P2A32. Para Aluminio: WASH PRIMER P60G2 + Combo P2A32 </v>
          </cell>
          <cell r="G380" t="str">
            <v>9.60 Lbs/galón</v>
          </cell>
          <cell r="H380" t="str">
            <v>15%</v>
          </cell>
          <cell r="I380" t="str">
            <v>38.57%</v>
          </cell>
          <cell r="J380" t="str">
            <v>58.6%</v>
          </cell>
          <cell r="K380" t="str">
            <v>18.77 %</v>
          </cell>
          <cell r="L380" t="str">
            <v>25.38%</v>
          </cell>
          <cell r="M380" t="str">
            <v>25 - 30 seg  SW #5</v>
          </cell>
          <cell r="N380" t="str">
            <v>Pistola</v>
          </cell>
          <cell r="O380" t="str">
            <v>-</v>
          </cell>
          <cell r="P380" t="str">
            <v xml:space="preserve">100 - 150% </v>
          </cell>
          <cell r="Q380" t="str">
            <v>R7K128</v>
          </cell>
          <cell r="R380" t="str">
            <v xml:space="preserve">1.0 - 2.0 mils </v>
          </cell>
          <cell r="S380" t="str">
            <v>Seco Tocar. 10 min ; Seco Completo: 20 min</v>
          </cell>
          <cell r="T380" t="str">
            <v>-</v>
          </cell>
          <cell r="U380" t="str">
            <v>37.81 mts cuadrados a un mils de espesor</v>
          </cell>
          <cell r="V380" t="str">
            <v>+80 unidades</v>
          </cell>
          <cell r="W380" t="str">
            <v>-</v>
          </cell>
          <cell r="X380" t="str">
            <v>6 - 12 meses</v>
          </cell>
          <cell r="Y380" t="str">
            <v>Didema Tegucigalpa</v>
          </cell>
          <cell r="Z380" t="str">
            <v>-</v>
          </cell>
          <cell r="AA380" t="str">
            <v>-</v>
          </cell>
          <cell r="AB380" t="str">
            <v>Ing. Juan Antonio Méndez</v>
          </cell>
          <cell r="AC380" t="str">
            <v>Enero 8, 2002</v>
          </cell>
        </row>
        <row r="381">
          <cell r="A381" t="str">
            <v>LINEA B5</v>
          </cell>
          <cell r="B381" t="str">
            <v>EXCELLO LATEX Pintura para Interiores y Exteriores</v>
          </cell>
          <cell r="C381" t="str">
            <v>INTERIOR-EXTERIOR</v>
          </cell>
          <cell r="D381" t="str">
            <v>CONCRETO, LADRILLO</v>
          </cell>
          <cell r="E381" t="str">
            <v>Limpia, Seca, Libre de polvo, grasa, hongos o pintura descascarada.</v>
          </cell>
          <cell r="F381" t="str">
            <v>Sellador para concreto. Linea B45</v>
          </cell>
          <cell r="G381" t="str">
            <v>11.25 Lbs/Gl</v>
          </cell>
          <cell r="H381" t="str">
            <v>-</v>
          </cell>
          <cell r="I381" t="str">
            <v>49%</v>
          </cell>
          <cell r="J381" t="str">
            <v>-</v>
          </cell>
          <cell r="K381" t="str">
            <v>-</v>
          </cell>
          <cell r="L381" t="str">
            <v>32%</v>
          </cell>
          <cell r="M381" t="str">
            <v>90-95 KU</v>
          </cell>
          <cell r="N381" t="str">
            <v>Brocha-Rodillo</v>
          </cell>
          <cell r="O381" t="str">
            <v>-</v>
          </cell>
          <cell r="P381" t="str">
            <v>Hasta un 25%</v>
          </cell>
          <cell r="Q381" t="str">
            <v>Agua</v>
          </cell>
          <cell r="R381" t="str">
            <v>1 mills</v>
          </cell>
          <cell r="S381" t="str">
            <v>Al tacto 1 hora. Retocar: 2-4 horas.</v>
          </cell>
          <cell r="T381" t="str">
            <v>-</v>
          </cell>
          <cell r="U381" t="str">
            <v>40 Mts Cuadrados/Gl a 1 mills de espesor. (13 mts cuadrados/Lt.</v>
          </cell>
          <cell r="V381" t="str">
            <v>Mate 6%</v>
          </cell>
          <cell r="W381" t="str">
            <v>-</v>
          </cell>
          <cell r="X381" t="str">
            <v>36 meses</v>
          </cell>
          <cell r="Y381" t="str">
            <v>-</v>
          </cell>
          <cell r="Z381" t="str">
            <v>-</v>
          </cell>
          <cell r="AA381" t="str">
            <v>Ph:   8.0-8.5                      ESTE PRODUCTO NO CONTIENE PLOMO NI MERCURIO</v>
          </cell>
          <cell r="AB381" t="str">
            <v>Ana Irene Mendez Vides</v>
          </cell>
          <cell r="AC381" t="str">
            <v>Enero 21, 2002</v>
          </cell>
        </row>
        <row r="382">
          <cell r="A382" t="str">
            <v>LINEA B4</v>
          </cell>
          <cell r="B382" t="str">
            <v>EXCELLO ACEITE Pintura para Interiores y Exteriores</v>
          </cell>
          <cell r="C382" t="str">
            <v>INTERIOR-EXTERIOR</v>
          </cell>
          <cell r="D382" t="str">
            <v>Metal, Madera, Concreto</v>
          </cell>
          <cell r="E382" t="str">
            <v>Limpia, Seca, Libre de polvo, grasa,  o pintura descascarada</v>
          </cell>
          <cell r="F382" t="str">
            <v>En superficies de metal, Anticorrosivo Excello Rustop</v>
          </cell>
          <cell r="G382" t="str">
            <v>9.4 Lbs/Gl</v>
          </cell>
          <cell r="H382" t="str">
            <v>-</v>
          </cell>
          <cell r="I382" t="str">
            <v>58.8%</v>
          </cell>
          <cell r="J382" t="str">
            <v>-</v>
          </cell>
          <cell r="K382" t="str">
            <v>-</v>
          </cell>
          <cell r="L382" t="str">
            <v>42%</v>
          </cell>
          <cell r="M382" t="str">
            <v>80-85 KU</v>
          </cell>
          <cell r="N382" t="str">
            <v xml:space="preserve">Brocha-Pistola </v>
          </cell>
          <cell r="O382" t="str">
            <v>-</v>
          </cell>
          <cell r="P382" t="str">
            <v>Hasta un 25%</v>
          </cell>
          <cell r="Q382" t="str">
            <v>Mineral Spirits R1K4</v>
          </cell>
          <cell r="R382" t="str">
            <v>1 mills</v>
          </cell>
          <cell r="S382" t="str">
            <v>Al tacto 1 hora. Retocar: 12 horas.</v>
          </cell>
          <cell r="T382" t="str">
            <v>-</v>
          </cell>
          <cell r="U382" t="str">
            <v>64 Mts Cuadrados/Gl a 1 mills de espesor. (17 mts cuadrados/Lt.</v>
          </cell>
          <cell r="V382" t="str">
            <v>85% minimo (Acabado Brillante)</v>
          </cell>
          <cell r="W382" t="str">
            <v>-</v>
          </cell>
          <cell r="X382" t="str">
            <v>36 Meses</v>
          </cell>
          <cell r="Y382" t="str">
            <v>-</v>
          </cell>
          <cell r="Z382" t="str">
            <v>-</v>
          </cell>
          <cell r="AA382" t="str">
            <v>ESTE PRODUCTO NO CONTIENE PLOMO NI MERCURIO</v>
          </cell>
          <cell r="AB382" t="str">
            <v>Soraya de Quijada</v>
          </cell>
          <cell r="AC382" t="str">
            <v>Enero 21, 2002</v>
          </cell>
        </row>
        <row r="383">
          <cell r="A383" t="str">
            <v>E41N1</v>
          </cell>
          <cell r="B383" t="str">
            <v>KROMIK METAL PRIMER</v>
          </cell>
          <cell r="C383" t="str">
            <v>INTERIOR-EXTERIOR</v>
          </cell>
          <cell r="D383" t="str">
            <v xml:space="preserve">Hierro-Acero </v>
          </cell>
          <cell r="E383" t="str">
            <v>Libre de aceite, grasa, óxido suelto, pintura descascarada</v>
          </cell>
          <cell r="F383" t="str">
            <v>Ninguno</v>
          </cell>
          <cell r="G383" t="str">
            <v>13.65 Lbs/Gl</v>
          </cell>
          <cell r="H383" t="str">
            <v>37.88%</v>
          </cell>
          <cell r="I383" t="str">
            <v>78%</v>
          </cell>
          <cell r="J383" t="str">
            <v>42.43%</v>
          </cell>
          <cell r="K383" t="str">
            <v>43%</v>
          </cell>
          <cell r="L383" t="str">
            <v>56%</v>
          </cell>
          <cell r="M383" t="str">
            <v>25"-30" copa SW #3</v>
          </cell>
          <cell r="N383" t="str">
            <v xml:space="preserve">Brocha-Pistola-Rodillo </v>
          </cell>
          <cell r="O383" t="str">
            <v>-</v>
          </cell>
          <cell r="P383" t="str">
            <v>12.5%</v>
          </cell>
          <cell r="Q383" t="str">
            <v xml:space="preserve"> VMP NAFTHA R1K3</v>
          </cell>
          <cell r="R383" t="str">
            <v>3.0 mills Recomendado</v>
          </cell>
          <cell r="S383" t="str">
            <v>Tocar: 1-2 horas.  Retocar: 18-24 horas</v>
          </cell>
          <cell r="T383" t="str">
            <v>-</v>
          </cell>
          <cell r="U383" t="str">
            <v>55 Mts cuadrados/Gl a 1.5 mills seco</v>
          </cell>
          <cell r="V383" t="str">
            <v>mate</v>
          </cell>
          <cell r="W383" t="str">
            <v>HB</v>
          </cell>
          <cell r="X383" t="str">
            <v>36 meses</v>
          </cell>
          <cell r="Y383" t="str">
            <v>-</v>
          </cell>
          <cell r="Z383" t="str">
            <v>-</v>
          </cell>
          <cell r="AA383" t="str">
            <v xml:space="preserve">Punto de inflamación: 37°C, Resistencia al calor: Hasta 200°F(93°C), Flexibilidad:180°, 1/2" Pasa ASTM 1737, Resistencia a la Abrasión: 220 mg ASTM 1713, Resistencia Al Impacto: 35 in/Lb ASTM G14. </v>
          </cell>
          <cell r="AB383" t="str">
            <v>Ana Irene Mendez Vides</v>
          </cell>
          <cell r="AC383" t="str">
            <v>Enero 21, 2002</v>
          </cell>
        </row>
        <row r="384">
          <cell r="A384" t="str">
            <v>LINEA A5</v>
          </cell>
          <cell r="B384" t="str">
            <v>PINTURA PARA PISCINAS</v>
          </cell>
          <cell r="C384" t="str">
            <v>INTERIOR-EXTERIOR</v>
          </cell>
          <cell r="D384" t="str">
            <v xml:space="preserve">CEMENTO-CONCRETO </v>
          </cell>
          <cell r="E384" t="str">
            <v>Completamente Seca, libre de grasa y aceite.</v>
          </cell>
          <cell r="F384" t="str">
            <v>Ninguno</v>
          </cell>
          <cell r="G384" t="str">
            <v>10.5 Lbs/Gl</v>
          </cell>
          <cell r="H384" t="str">
            <v>-</v>
          </cell>
          <cell r="I384" t="str">
            <v>45-50%</v>
          </cell>
          <cell r="J384" t="str">
            <v>-</v>
          </cell>
          <cell r="K384" t="str">
            <v>-</v>
          </cell>
          <cell r="L384" t="str">
            <v>28-30%</v>
          </cell>
          <cell r="M384" t="str">
            <v>70-75 KU</v>
          </cell>
          <cell r="N384" t="str">
            <v>Brocha-Rodillo-Pistola</v>
          </cell>
          <cell r="O384" t="str">
            <v>-</v>
          </cell>
          <cell r="P384" t="str">
            <v>Brocha-Rodillo: Ninguna. Pistola 25% Industrial Reducer</v>
          </cell>
          <cell r="Q384" t="str">
            <v>R2K4 Industrial Reducer.</v>
          </cell>
          <cell r="R384" t="str">
            <v>-</v>
          </cell>
          <cell r="S384" t="str">
            <v>Al Tacto: 1 Hora. Repintar de 8-12 horas</v>
          </cell>
          <cell r="T384" t="str">
            <v>-</v>
          </cell>
          <cell r="U384" t="str">
            <v>40 Mts cuadrados/Gl a una mano</v>
          </cell>
          <cell r="V384" t="str">
            <v>Satinado</v>
          </cell>
          <cell r="W384" t="str">
            <v>-</v>
          </cell>
          <cell r="X384" t="str">
            <v>36 meses</v>
          </cell>
          <cell r="Y384" t="str">
            <v>-</v>
          </cell>
          <cell r="Z384" t="str">
            <v>-</v>
          </cell>
          <cell r="AA384" t="str">
            <v>Para un buen trabajo es muy importante una correcta preparación de la superficie.llenar la piscina hasta después de 7 días como mínimo.</v>
          </cell>
          <cell r="AB384" t="str">
            <v>Ana Irene Mendez Vides</v>
          </cell>
          <cell r="AC384" t="str">
            <v>Enero 21, 2002</v>
          </cell>
        </row>
        <row r="385">
          <cell r="A385" t="str">
            <v>LINEA A68</v>
          </cell>
          <cell r="B385" t="str">
            <v>GALVITE</v>
          </cell>
          <cell r="C385" t="str">
            <v>INTERIOR-EXTERIOR</v>
          </cell>
          <cell r="D385" t="str">
            <v>Hierro galvanizado, Zinc, Asbesto o hierro</v>
          </cell>
          <cell r="E385" t="str">
            <v>Limpia, seca, libre de grasas, aceites o lubricantes y óxido</v>
          </cell>
          <cell r="F385" t="str">
            <v>Ninguno</v>
          </cell>
          <cell r="G385" t="str">
            <v>-</v>
          </cell>
          <cell r="H385" t="str">
            <v>-</v>
          </cell>
          <cell r="I385" t="str">
            <v>78%</v>
          </cell>
          <cell r="J385" t="str">
            <v>-</v>
          </cell>
          <cell r="K385" t="str">
            <v>-</v>
          </cell>
          <cell r="L385" t="str">
            <v>65%</v>
          </cell>
          <cell r="M385" t="str">
            <v>-</v>
          </cell>
          <cell r="N385" t="str">
            <v>Brocha-Rodillo</v>
          </cell>
          <cell r="O385" t="str">
            <v>-</v>
          </cell>
          <cell r="P385" t="str">
            <v>25%</v>
          </cell>
          <cell r="Q385" t="str">
            <v>R1K4 Mineral Spirits</v>
          </cell>
          <cell r="R385" t="str">
            <v>1 mills</v>
          </cell>
          <cell r="S385" t="str">
            <v>Al tacto: 4-5 hioras. Retocar:24 horas</v>
          </cell>
          <cell r="T385" t="str">
            <v>-</v>
          </cell>
          <cell r="U385" t="str">
            <v>62 Mts cuadrados/Gl a 1 mills</v>
          </cell>
          <cell r="V385" t="str">
            <v>Semi-Mate</v>
          </cell>
          <cell r="W385" t="str">
            <v>-</v>
          </cell>
          <cell r="X385" t="str">
            <v>36 meses</v>
          </cell>
          <cell r="Y385" t="str">
            <v>-</v>
          </cell>
          <cell r="Z385" t="str">
            <v>-</v>
          </cell>
          <cell r="AA385" t="str">
            <v>-</v>
          </cell>
          <cell r="AB385" t="str">
            <v>Ana Irene Mendez Vides</v>
          </cell>
          <cell r="AC385" t="str">
            <v>Enero 21, 2002</v>
          </cell>
        </row>
        <row r="386">
          <cell r="A386" t="str">
            <v>R21KSA1</v>
          </cell>
          <cell r="B386" t="str">
            <v>Removedor de Pintura.</v>
          </cell>
          <cell r="C386" t="str">
            <v>-</v>
          </cell>
          <cell r="D386" t="str">
            <v>-</v>
          </cell>
          <cell r="E386" t="str">
            <v>-</v>
          </cell>
          <cell r="F386" t="str">
            <v>Ninguno</v>
          </cell>
          <cell r="G386" t="str">
            <v>9.7 Lbs/gl</v>
          </cell>
          <cell r="H386" t="str">
            <v>-</v>
          </cell>
          <cell r="I386" t="str">
            <v>4.5%</v>
          </cell>
          <cell r="J386" t="str">
            <v>-</v>
          </cell>
          <cell r="K386" t="str">
            <v>-</v>
          </cell>
          <cell r="L386" t="str">
            <v>4.2%</v>
          </cell>
          <cell r="M386" t="str">
            <v>75-80 KU</v>
          </cell>
          <cell r="N386" t="str">
            <v>Brocha</v>
          </cell>
          <cell r="O386" t="str">
            <v>-</v>
          </cell>
          <cell r="P386" t="str">
            <v>-</v>
          </cell>
          <cell r="Q386" t="str">
            <v>Agua</v>
          </cell>
          <cell r="R386" t="str">
            <v>-</v>
          </cell>
          <cell r="S386" t="str">
            <v>-</v>
          </cell>
          <cell r="T386" t="str">
            <v>-</v>
          </cell>
          <cell r="U386" t="str">
            <v>-</v>
          </cell>
          <cell r="V386" t="str">
            <v>-</v>
          </cell>
          <cell r="W386" t="str">
            <v>-</v>
          </cell>
          <cell r="X386" t="str">
            <v>-</v>
          </cell>
          <cell r="Y386" t="str">
            <v>-</v>
          </cell>
          <cell r="Z386" t="str">
            <v>-</v>
          </cell>
          <cell r="AA386" t="str">
            <v>Cumple especificaciones militares R 25134 A</v>
          </cell>
          <cell r="AB386" t="str">
            <v>Ana Irene Mendez Vides</v>
          </cell>
          <cell r="AC386" t="str">
            <v>Enero 21, 2002</v>
          </cell>
        </row>
        <row r="387">
          <cell r="A387" t="str">
            <v>W4K263</v>
          </cell>
          <cell r="B387" t="str">
            <v>Dual Etch</v>
          </cell>
          <cell r="C387" t="str">
            <v>-</v>
          </cell>
          <cell r="D387" t="str">
            <v>-</v>
          </cell>
          <cell r="E387" t="str">
            <v>-</v>
          </cell>
          <cell r="F387" t="str">
            <v>-</v>
          </cell>
          <cell r="G387" t="str">
            <v>9.7 Lbs/gl</v>
          </cell>
          <cell r="H387" t="str">
            <v>-</v>
          </cell>
          <cell r="I387" t="str">
            <v>32</v>
          </cell>
          <cell r="J387" t="str">
            <v>-</v>
          </cell>
          <cell r="K387" t="str">
            <v>-</v>
          </cell>
          <cell r="L387" t="str">
            <v>20</v>
          </cell>
          <cell r="M387" t="str">
            <v>-</v>
          </cell>
          <cell r="N387" t="str">
            <v>-</v>
          </cell>
          <cell r="O387" t="str">
            <v>-</v>
          </cell>
          <cell r="P387" t="str">
            <v>200-300%</v>
          </cell>
          <cell r="Q387" t="str">
            <v>Agua</v>
          </cell>
          <cell r="R387" t="str">
            <v>-</v>
          </cell>
          <cell r="S387" t="str">
            <v>-</v>
          </cell>
          <cell r="T387" t="str">
            <v>-</v>
          </cell>
          <cell r="U387" t="str">
            <v>-</v>
          </cell>
          <cell r="V387" t="str">
            <v>-</v>
          </cell>
          <cell r="W387" t="str">
            <v>-</v>
          </cell>
          <cell r="X387" t="str">
            <v>6 meses corectamente tapado y almacenado a 25°C</v>
          </cell>
          <cell r="Y387" t="str">
            <v>-</v>
          </cell>
          <cell r="Z387" t="str">
            <v>-</v>
          </cell>
          <cell r="AA387" t="str">
            <v>Punto de Inflamación104°C. Ingrediente Activo: Acido Fosfórico.</v>
          </cell>
          <cell r="AB387" t="str">
            <v>Ana Irene Mendez Vides</v>
          </cell>
          <cell r="AC387" t="str">
            <v>Enero 21, 2002</v>
          </cell>
        </row>
        <row r="388">
          <cell r="A388" t="str">
            <v>R1K4</v>
          </cell>
          <cell r="B388" t="str">
            <v>SOLVENTE MINERAL</v>
          </cell>
          <cell r="C388" t="str">
            <v>-</v>
          </cell>
          <cell r="D388" t="str">
            <v>-</v>
          </cell>
          <cell r="E388" t="str">
            <v>-</v>
          </cell>
          <cell r="F388" t="str">
            <v>-</v>
          </cell>
          <cell r="G388" t="str">
            <v>6.4 Lb/Gl</v>
          </cell>
          <cell r="H388" t="str">
            <v>-</v>
          </cell>
          <cell r="I388" t="str">
            <v>-</v>
          </cell>
          <cell r="J388" t="str">
            <v>-</v>
          </cell>
          <cell r="K388" t="str">
            <v>-</v>
          </cell>
          <cell r="L388" t="str">
            <v>-</v>
          </cell>
          <cell r="M388" t="str">
            <v>-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 t="str">
            <v>-</v>
          </cell>
          <cell r="V388" t="str">
            <v>-</v>
          </cell>
          <cell r="W388" t="str">
            <v>-</v>
          </cell>
          <cell r="X388" t="str">
            <v>6 meses corectamente tapado y almacenado a 25°C</v>
          </cell>
          <cell r="Y388" t="str">
            <v>-</v>
          </cell>
          <cell r="Z388" t="str">
            <v>-</v>
          </cell>
          <cell r="AA388" t="str">
            <v>Adelgazador para pinturas de aceite, esmaltes y barnices aplicados con brocha, elaborado a base de hifrocarburos alifáticos</v>
          </cell>
          <cell r="AB388" t="str">
            <v>Ana Irene Mendez Vides</v>
          </cell>
          <cell r="AC388" t="str">
            <v>Enero 21, 2002</v>
          </cell>
        </row>
        <row r="389">
          <cell r="A389" t="str">
            <v>R7K128</v>
          </cell>
          <cell r="B389" t="str">
            <v>THINNER 128</v>
          </cell>
          <cell r="C389" t="str">
            <v>-</v>
          </cell>
          <cell r="D389" t="str">
            <v>-</v>
          </cell>
          <cell r="E389" t="str">
            <v>-</v>
          </cell>
          <cell r="F389" t="str">
            <v>-</v>
          </cell>
          <cell r="G389" t="str">
            <v>7.0 Lb/Gl</v>
          </cell>
          <cell r="H389" t="str">
            <v>-</v>
          </cell>
          <cell r="I389" t="str">
            <v>-</v>
          </cell>
          <cell r="J389" t="str">
            <v>-</v>
          </cell>
          <cell r="K389" t="str">
            <v>-</v>
          </cell>
          <cell r="L389" t="str">
            <v>-</v>
          </cell>
          <cell r="M389" t="str">
            <v>-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 t="str">
            <v>-</v>
          </cell>
          <cell r="V389" t="str">
            <v>-</v>
          </cell>
          <cell r="W389" t="str">
            <v>-</v>
          </cell>
          <cell r="X389" t="str">
            <v>6 meses corectamente tapado y almacenado a 25°C</v>
          </cell>
          <cell r="Y389" t="str">
            <v>-</v>
          </cell>
          <cell r="Z389" t="str">
            <v>-</v>
          </cell>
          <cell r="AA389" t="str">
            <v>Punto de inflación -4°C. Usese sólo en lugares bien ventilados, evite respirar sus vapores o el contacto con la piel.</v>
          </cell>
          <cell r="AB389" t="str">
            <v>Ana Irene Mendez Vides</v>
          </cell>
          <cell r="AC389" t="str">
            <v>Enero 21, 2002</v>
          </cell>
        </row>
        <row r="390">
          <cell r="A390" t="str">
            <v>R2K4</v>
          </cell>
          <cell r="B390" t="str">
            <v>INDUSTRIAL REDUCER</v>
          </cell>
          <cell r="C390" t="str">
            <v>-</v>
          </cell>
          <cell r="D390" t="str">
            <v>-</v>
          </cell>
          <cell r="E390" t="str">
            <v>-</v>
          </cell>
          <cell r="F390" t="str">
            <v>-</v>
          </cell>
          <cell r="G390" t="str">
            <v>7.2 Lb/Gl</v>
          </cell>
          <cell r="H390" t="str">
            <v>-</v>
          </cell>
          <cell r="I390" t="str">
            <v>-</v>
          </cell>
          <cell r="J390" t="str">
            <v>-</v>
          </cell>
          <cell r="K390" t="str">
            <v>-</v>
          </cell>
          <cell r="L390" t="str">
            <v>-</v>
          </cell>
          <cell r="M390" t="str">
            <v>-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 t="str">
            <v>-</v>
          </cell>
          <cell r="V390" t="str">
            <v>-</v>
          </cell>
          <cell r="W390" t="str">
            <v>-</v>
          </cell>
          <cell r="X390" t="str">
            <v>6 meses corectamente tapado y almacenado a 25°C</v>
          </cell>
          <cell r="Y390" t="str">
            <v>-</v>
          </cell>
          <cell r="Z390" t="str">
            <v>-</v>
          </cell>
          <cell r="AA390" t="str">
            <v>Punto de inflamación: 27°C. Diluyente a base de hidrocarburos aromáticos, no se recomienda para reducir lacas, esmaltes epoxicos ni pinturas a base de latex. Usar en lugares bien ventilados.</v>
          </cell>
          <cell r="AB390" t="str">
            <v>Ana Irene Mendez Vides</v>
          </cell>
          <cell r="AC390" t="str">
            <v>Enero 21, 2002</v>
          </cell>
        </row>
        <row r="391">
          <cell r="A391" t="str">
            <v>SAA 5486</v>
          </cell>
          <cell r="B391" t="str">
            <v>LACA INDUSTRIAL BLANCO PURO SATINADO</v>
          </cell>
          <cell r="C391" t="str">
            <v>INTERIOR</v>
          </cell>
          <cell r="D391" t="str">
            <v>MADERA, ACERO , HIERRO</v>
          </cell>
          <cell r="E391" t="str">
            <v>Lijado libre de grasa y oxido</v>
          </cell>
          <cell r="F391" t="str">
            <v>MADERA: P65W1;                                      ACERO, HIERRO: P2A32</v>
          </cell>
          <cell r="G391" t="str">
            <v>8.66 LBS</v>
          </cell>
          <cell r="H391" t="str">
            <v>11.12%</v>
          </cell>
          <cell r="I391" t="str">
            <v>38.20%</v>
          </cell>
          <cell r="J391" t="str">
            <v>49.88%</v>
          </cell>
          <cell r="K391" t="str">
            <v>15.96%</v>
          </cell>
          <cell r="L391" t="str">
            <v>25.68%</v>
          </cell>
          <cell r="M391" t="str">
            <v>60-75 seg FORD #4</v>
          </cell>
          <cell r="N391" t="str">
            <v>PISTOLA</v>
          </cell>
          <cell r="O391" t="str">
            <v>18-20 SEG ZANH #2</v>
          </cell>
          <cell r="P391" t="str">
            <v>100-200%</v>
          </cell>
          <cell r="Q391" t="str">
            <v>R7K128</v>
          </cell>
          <cell r="R391" t="str">
            <v xml:space="preserve">1.0 -1.5 mils </v>
          </cell>
          <cell r="S391" t="str">
            <v>Seco tocar=10 min; Seco completo= 20 min</v>
          </cell>
          <cell r="T391" t="str">
            <v>-</v>
          </cell>
          <cell r="U391" t="str">
            <v>38.26 metros cuadrados por galon a 1.2 mils de pelicula seca</v>
          </cell>
          <cell r="V391" t="str">
            <v>20-40</v>
          </cell>
          <cell r="W391" t="str">
            <v>-</v>
          </cell>
          <cell r="X391" t="str">
            <v>6 meses</v>
          </cell>
          <cell r="Y391" t="str">
            <v>DIDEMA GUATEMALA</v>
          </cell>
          <cell r="Z391" t="str">
            <v>-</v>
          </cell>
          <cell r="AA391" t="str">
            <v>-</v>
          </cell>
          <cell r="AB391" t="str">
            <v>Juan Antonio Méndez</v>
          </cell>
          <cell r="AC391" t="str">
            <v>Febrero 16, 2002</v>
          </cell>
        </row>
        <row r="392">
          <cell r="A392" t="str">
            <v>LINEA L4</v>
          </cell>
          <cell r="B392" t="str">
            <v>LACA ACRILICA</v>
          </cell>
          <cell r="C392" t="str">
            <v>INTERIOR-EXTERIOR</v>
          </cell>
          <cell r="D392" t="str">
            <v>Acero, Hierro</v>
          </cell>
          <cell r="E392" t="str">
            <v>Lijado libre de grasa y oxido</v>
          </cell>
          <cell r="F392" t="str">
            <v>P2A32, P2A43</v>
          </cell>
          <cell r="G392" t="str">
            <v>ENTRE 8.5-9.5</v>
          </cell>
          <cell r="H392" t="str">
            <v>28-38% VARIA CON EL COLOR</v>
          </cell>
          <cell r="I392" t="str">
            <v>25-40% varia con el color</v>
          </cell>
          <cell r="J392" t="str">
            <v>35-50%varia con el color</v>
          </cell>
          <cell r="K392" t="str">
            <v>0-20% varia con el producto</v>
          </cell>
          <cell r="L392" t="str">
            <v>22-28% VARIA CON EL COLOR</v>
          </cell>
          <cell r="M392" t="str">
            <v>40seg Ford 4</v>
          </cell>
          <cell r="N392" t="str">
            <v>pistola</v>
          </cell>
          <cell r="O392" t="str">
            <v>18-20 SEG ZANH #3</v>
          </cell>
          <cell r="P392" t="str">
            <v>100-200%</v>
          </cell>
          <cell r="Q392" t="str">
            <v>R7K203</v>
          </cell>
          <cell r="R392" t="str">
            <v xml:space="preserve">1.0 -1.5 mils </v>
          </cell>
          <cell r="S392" t="str">
            <v>Seco tocar=10 - 15min; Seco completo= 40 - 50 min</v>
          </cell>
          <cell r="U392" t="str">
            <v>30 metros cuadrados por galon a 2 mils de pelicula seca</v>
          </cell>
          <cell r="V392" t="str">
            <v>95</v>
          </cell>
          <cell r="X392" t="str">
            <v>6 meses</v>
          </cell>
          <cell r="Y392" t="str">
            <v>VARIOS</v>
          </cell>
          <cell r="AB392" t="str">
            <v>Rigoberto Montalvo</v>
          </cell>
          <cell r="AC392" t="str">
            <v>Marzo 18, 2002</v>
          </cell>
        </row>
        <row r="393">
          <cell r="A393" t="str">
            <v>R7K203</v>
          </cell>
          <cell r="B393" t="str">
            <v>DUAL LACQUER THINNER</v>
          </cell>
          <cell r="C393" t="str">
            <v>-</v>
          </cell>
          <cell r="D393" t="str">
            <v>-</v>
          </cell>
          <cell r="E393" t="str">
            <v>-</v>
          </cell>
          <cell r="F393" t="str">
            <v>-</v>
          </cell>
          <cell r="G393" t="str">
            <v>7.09 Lb/Gl</v>
          </cell>
          <cell r="H393" t="str">
            <v>-</v>
          </cell>
          <cell r="I393" t="str">
            <v>-</v>
          </cell>
          <cell r="J393" t="str">
            <v>-</v>
          </cell>
          <cell r="L393" t="str">
            <v>-</v>
          </cell>
          <cell r="M393" t="str">
            <v>-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 t="str">
            <v>-</v>
          </cell>
          <cell r="V393" t="str">
            <v>-</v>
          </cell>
          <cell r="W393" t="str">
            <v>-</v>
          </cell>
          <cell r="X393" t="str">
            <v>6 meses correctamente tapado y almacenado a 25°C</v>
          </cell>
          <cell r="Y393" t="str">
            <v>VARIOS</v>
          </cell>
          <cell r="Z393" t="str">
            <v>-</v>
          </cell>
          <cell r="AA393" t="str">
            <v>Usese sólo en lugares bien ventilados, evite respirar sus vapores o el contacto con la piel.</v>
          </cell>
          <cell r="AB393" t="str">
            <v>Rigoberto Montalvo</v>
          </cell>
          <cell r="AC393" t="str">
            <v>Marzo 18, 2002</v>
          </cell>
        </row>
        <row r="394">
          <cell r="A394" t="str">
            <v>P2A32</v>
          </cell>
          <cell r="B394" t="str">
            <v xml:space="preserve"> COMBO LIGHT  PRIMER SURFACER</v>
          </cell>
          <cell r="C394" t="str">
            <v>EXTERIOR</v>
          </cell>
          <cell r="D394" t="str">
            <v>HIERRO - ACERO</v>
          </cell>
          <cell r="E394" t="str">
            <v>Lijado, Libre de Polvo, grasa y oxido</v>
          </cell>
          <cell r="F394" t="str">
            <v>-</v>
          </cell>
          <cell r="G394" t="str">
            <v>9.30 LBS/GALON</v>
          </cell>
          <cell r="H394" t="str">
            <v>3.19 %</v>
          </cell>
          <cell r="I394" t="str">
            <v>47.78 %</v>
          </cell>
          <cell r="J394" t="str">
            <v>30.18 %</v>
          </cell>
          <cell r="K394" t="str">
            <v>31.66</v>
          </cell>
          <cell r="L394" t="str">
            <v>30.42</v>
          </cell>
          <cell r="M394" t="str">
            <v>7000 - 13000 cps  BROOKFIELD</v>
          </cell>
          <cell r="N394" t="str">
            <v>PISTOLA</v>
          </cell>
          <cell r="O394" t="str">
            <v>18 - 20" FORD #4</v>
          </cell>
          <cell r="P394" t="str">
            <v>150-200%</v>
          </cell>
          <cell r="Q394" t="str">
            <v>R7K128</v>
          </cell>
          <cell r="R394" t="str">
            <v xml:space="preserve">1.0 - 2.0 mils </v>
          </cell>
          <cell r="S394" t="str">
            <v>5 - 10 Min a condiciones de 25°C y 50-60 % HR</v>
          </cell>
          <cell r="T394" t="str">
            <v>-</v>
          </cell>
          <cell r="U394" t="str">
            <v>45.32 m2/galon a 1 mils de pelicula seca</v>
          </cell>
          <cell r="V394" t="str">
            <v>-</v>
          </cell>
          <cell r="W394" t="str">
            <v>-</v>
          </cell>
          <cell r="X394" t="str">
            <v>6 meses</v>
          </cell>
          <cell r="Y394" t="str">
            <v>-</v>
          </cell>
          <cell r="Z394" t="str">
            <v>-</v>
          </cell>
          <cell r="AA394" t="str">
            <v>--</v>
          </cell>
          <cell r="AB394" t="str">
            <v>Juan Antonio Méndez</v>
          </cell>
          <cell r="AC394" t="str">
            <v>Marzo 19, 2002</v>
          </cell>
        </row>
        <row r="395">
          <cell r="A395" t="str">
            <v>B5W401, B5W402, B5W403</v>
          </cell>
          <cell r="B395" t="str">
            <v>STYLE PERFECT INTERIOR LATEX MATE</v>
          </cell>
          <cell r="C395" t="str">
            <v>INTERIOR</v>
          </cell>
          <cell r="D395" t="str">
            <v>CEMENTO-LADRILLO-CONCRETO</v>
          </cell>
          <cell r="E395" t="str">
            <v>CURADA, LIJADA, SECA Y LIBRE DE TODA CONTAMINACION</v>
          </cell>
          <cell r="F395" t="str">
            <v>-</v>
          </cell>
          <cell r="G395" t="str">
            <v>10.8-11.2 LBS/GL</v>
          </cell>
          <cell r="H395" t="str">
            <v>-</v>
          </cell>
          <cell r="I395" t="str">
            <v>44%-48%</v>
          </cell>
          <cell r="J395" t="str">
            <v>-</v>
          </cell>
          <cell r="K395" t="str">
            <v>47.5%-48.5%</v>
          </cell>
          <cell r="L395" t="str">
            <v>30.5-31.5</v>
          </cell>
          <cell r="M395" t="str">
            <v>95-100 KU</v>
          </cell>
          <cell r="N395" t="str">
            <v>BROCHA-RODILLO</v>
          </cell>
          <cell r="O395" t="str">
            <v>90-95 KU</v>
          </cell>
          <cell r="P395" t="str">
            <v>10%</v>
          </cell>
          <cell r="Q395" t="str">
            <v>AGUA LIMPIA</v>
          </cell>
          <cell r="R395" t="str">
            <v>1.5 MILLS</v>
          </cell>
          <cell r="S395" t="str">
            <v>AL AIRE, RECUBRIR DESPUES DE 4 HORAS</v>
          </cell>
          <cell r="T395" t="str">
            <v>-</v>
          </cell>
          <cell r="U395" t="str">
            <v>30-32 Mts Cuadrados/Gl, Dependiendo de la Superficie.</v>
          </cell>
          <cell r="V395" t="str">
            <v>MATE</v>
          </cell>
          <cell r="W395" t="str">
            <v>-</v>
          </cell>
          <cell r="X395" t="str">
            <v>3 AÑOS</v>
          </cell>
          <cell r="Y395" t="str">
            <v>VARIOS</v>
          </cell>
          <cell r="Z395" t="str">
            <v>-</v>
          </cell>
          <cell r="AA395" t="str">
            <v>-</v>
          </cell>
          <cell r="AB395" t="str">
            <v>Ana Irene Mendez Vides</v>
          </cell>
          <cell r="AC395" t="str">
            <v>ABRIL 18, 2002</v>
          </cell>
        </row>
        <row r="396">
          <cell r="A396" t="str">
            <v>B5W301, B5W302, B5Y304, B5R300, B5Y300, B5G300</v>
          </cell>
          <cell r="B396" t="str">
            <v>WHEATHER PERFECT LATEX EXTERIOR</v>
          </cell>
          <cell r="C396" t="str">
            <v>EXTERIOR</v>
          </cell>
          <cell r="D396" t="str">
            <v>CEMENTO-LADRILLO-CONCRETO</v>
          </cell>
          <cell r="E396" t="str">
            <v>CURADA, LIJADA, SECA Y LIBRE DE TODA CONTAMINACION</v>
          </cell>
          <cell r="F396" t="str">
            <v>-</v>
          </cell>
          <cell r="G396" t="str">
            <v>10.5-11.5 LBS/GL</v>
          </cell>
          <cell r="H396" t="str">
            <v>-</v>
          </cell>
          <cell r="I396" t="str">
            <v>46%-48%</v>
          </cell>
          <cell r="J396" t="str">
            <v>-</v>
          </cell>
          <cell r="K396" t="str">
            <v>48%-49%</v>
          </cell>
          <cell r="L396" t="str">
            <v>30.5-31.5</v>
          </cell>
          <cell r="M396" t="str">
            <v>95-100 KU</v>
          </cell>
          <cell r="N396" t="str">
            <v>BROCHA-RODILLO</v>
          </cell>
          <cell r="O396" t="str">
            <v>90-95 KU</v>
          </cell>
          <cell r="P396" t="str">
            <v>10%</v>
          </cell>
          <cell r="Q396" t="str">
            <v>AGUA LIMPIA</v>
          </cell>
          <cell r="R396" t="str">
            <v>1.5 MILLS</v>
          </cell>
          <cell r="S396" t="str">
            <v>AL AIRE, RECUBRIR DESPUES DE 4 HORAS</v>
          </cell>
          <cell r="T396" t="str">
            <v>-</v>
          </cell>
          <cell r="U396" t="str">
            <v>30-32 Mts Cuadrados/Gl, Dependiendo de la Superficie.</v>
          </cell>
          <cell r="V396" t="str">
            <v>MATE</v>
          </cell>
          <cell r="W396" t="str">
            <v>-</v>
          </cell>
          <cell r="X396" t="str">
            <v>3 AÑOS</v>
          </cell>
          <cell r="Y396" t="str">
            <v>VARIOS</v>
          </cell>
          <cell r="Z396" t="str">
            <v>-</v>
          </cell>
          <cell r="AA396" t="str">
            <v>-</v>
          </cell>
          <cell r="AB396" t="str">
            <v>Ana Irene Mendez Vides</v>
          </cell>
          <cell r="AC396" t="str">
            <v>ABRIL 18, 2002</v>
          </cell>
        </row>
        <row r="397">
          <cell r="A397" t="str">
            <v>LINEA A6</v>
          </cell>
          <cell r="B397" t="str">
            <v>A-100 LATEX EXTERIOR MATE</v>
          </cell>
          <cell r="C397" t="str">
            <v>EXTERIOR</v>
          </cell>
          <cell r="D397" t="str">
            <v>CEMENTO-LADRILLO-CONCRETO</v>
          </cell>
          <cell r="E397" t="str">
            <v>CURADA, LIJADA, SECA Y LIBRE DE TODA CONTAMINACION</v>
          </cell>
          <cell r="F397" t="str">
            <v>-</v>
          </cell>
          <cell r="G397" t="str">
            <v>10.28-11.28 LBS/GL</v>
          </cell>
          <cell r="H397" t="str">
            <v>-</v>
          </cell>
          <cell r="I397" t="str">
            <v>50%-52%</v>
          </cell>
          <cell r="J397" t="str">
            <v>-</v>
          </cell>
          <cell r="K397" t="str">
            <v>34.5%-35.5%</v>
          </cell>
          <cell r="L397" t="str">
            <v>35-37</v>
          </cell>
          <cell r="M397" t="str">
            <v>90-95 KU</v>
          </cell>
          <cell r="N397" t="str">
            <v>BROCHA-RODILLO</v>
          </cell>
          <cell r="O397" t="str">
            <v>90-93 KU</v>
          </cell>
          <cell r="P397" t="str">
            <v>MAXIMO 10%</v>
          </cell>
          <cell r="Q397" t="str">
            <v>AGUA LIMPIA</v>
          </cell>
          <cell r="R397" t="str">
            <v>1.5 MILLS</v>
          </cell>
          <cell r="S397" t="str">
            <v>AL AIRE, RECUBRIR DESPUES DE 4 HORAS</v>
          </cell>
          <cell r="T397" t="str">
            <v>-</v>
          </cell>
          <cell r="U397" t="str">
            <v>34-36 Mts Cuadrados/Gl, Dependiendo de la Superficie.</v>
          </cell>
          <cell r="V397" t="str">
            <v>MATE</v>
          </cell>
          <cell r="W397" t="str">
            <v>-</v>
          </cell>
          <cell r="X397" t="str">
            <v>3 AÑOS</v>
          </cell>
          <cell r="Y397" t="str">
            <v>VARIOS</v>
          </cell>
          <cell r="Z397" t="str">
            <v>-</v>
          </cell>
          <cell r="AA397" t="str">
            <v>-</v>
          </cell>
          <cell r="AB397" t="str">
            <v>Ana Irene Mendez Vides</v>
          </cell>
          <cell r="AC397" t="str">
            <v>ABRIL 18, 2002</v>
          </cell>
        </row>
        <row r="398">
          <cell r="A398" t="str">
            <v>B45WSA3</v>
          </cell>
          <cell r="B398" t="str">
            <v>SELLADOR BLANCO PARA CONCRETO AL EXTERIOR.</v>
          </cell>
          <cell r="C398" t="str">
            <v>EXTERIOR</v>
          </cell>
          <cell r="D398" t="str">
            <v>CONCRETO, CEMENTO, LADRILLO</v>
          </cell>
          <cell r="E398" t="str">
            <v>CURADA,SECA, LIBRE DE GRASA, POLVO O CUALQUIER OTRA SUSTANCIA</v>
          </cell>
          <cell r="F398" t="str">
            <v>Ninguno</v>
          </cell>
          <cell r="G398" t="str">
            <v>10.62 LBS/GALON</v>
          </cell>
          <cell r="H398" t="str">
            <v>6.87 %</v>
          </cell>
          <cell r="I398" t="str">
            <v>47.30 %</v>
          </cell>
          <cell r="J398" t="str">
            <v>-</v>
          </cell>
          <cell r="K398" t="str">
            <v>45.50%</v>
          </cell>
          <cell r="L398" t="str">
            <v>31.40%</v>
          </cell>
          <cell r="M398" t="str">
            <v>13-15 CPS</v>
          </cell>
          <cell r="N398" t="str">
            <v>BROCHA-RODILLO</v>
          </cell>
          <cell r="O398" t="str">
            <v>13-15 CPS</v>
          </cell>
          <cell r="P398" t="str">
            <v>MAXIMO 10 %</v>
          </cell>
          <cell r="Q398" t="str">
            <v>AGUA LIMPIA</v>
          </cell>
          <cell r="R398" t="str">
            <v>1.5 MILLS</v>
          </cell>
          <cell r="S398" t="str">
            <v>AL AIRE</v>
          </cell>
          <cell r="T398" t="str">
            <v>_</v>
          </cell>
          <cell r="U398" t="str">
            <v>28-30 Mts Cuadrados/Gl</v>
          </cell>
          <cell r="V398" t="str">
            <v>MATE</v>
          </cell>
          <cell r="W398" t="str">
            <v>_</v>
          </cell>
          <cell r="X398" t="str">
            <v>3 AÑOS</v>
          </cell>
          <cell r="Y398" t="str">
            <v>VARIOS</v>
          </cell>
          <cell r="Z398" t="str">
            <v>_</v>
          </cell>
          <cell r="AA398" t="str">
            <v>_</v>
          </cell>
          <cell r="AB398" t="str">
            <v>Ana Irene Mendez Vides</v>
          </cell>
          <cell r="AC398" t="str">
            <v>JUNIO 12,2002.</v>
          </cell>
        </row>
        <row r="399">
          <cell r="A399" t="str">
            <v>A44HSA2,A44HSA3,A44NSA1</v>
          </cell>
          <cell r="B399" t="str">
            <v xml:space="preserve">Tex Flex </v>
          </cell>
          <cell r="C399" t="str">
            <v>INTERIOR,EXTERIOR</v>
          </cell>
          <cell r="D399" t="str">
            <v>CONCRETO,CEMENTO,LADRILLO</v>
          </cell>
          <cell r="E399" t="str">
            <v>CURADA,SECA, LIBRE DE GRASA, POLVO O CUALQUIER OTRA SUSTANCIA</v>
          </cell>
          <cell r="F399" t="str">
            <v>B45ASA1</v>
          </cell>
          <cell r="G399" t="str">
            <v>12.47 LBS/GLN</v>
          </cell>
          <cell r="H399" t="str">
            <v>5.13 %</v>
          </cell>
          <cell r="I399" t="str">
            <v>70.71</v>
          </cell>
          <cell r="K399" t="str">
            <v>24.94 %</v>
          </cell>
          <cell r="L399" t="str">
            <v>53.23 %</v>
          </cell>
          <cell r="M399" t="str">
            <v>123-129 MILES CPS</v>
          </cell>
          <cell r="N399" t="str">
            <v>BROCHA-RODILLO</v>
          </cell>
          <cell r="O399" t="str">
            <v>123-129 MILES CPS</v>
          </cell>
          <cell r="P399" t="str">
            <v>NINGUNA</v>
          </cell>
          <cell r="Q399" t="str">
            <v>AGUA LIMPIA SI ES NECESARIO PARA LAVAR EL EQUIPO</v>
          </cell>
          <cell r="R399" t="str">
            <v>12 MILLS</v>
          </cell>
          <cell r="S399" t="str">
            <v>AL AIRE</v>
          </cell>
          <cell r="T399" t="str">
            <v>-</v>
          </cell>
          <cell r="U399" t="str">
            <v>6-7 Mts Cuadrados/Gl, Dependiendo de la Superficie.</v>
          </cell>
          <cell r="V399" t="str">
            <v>SATINADO</v>
          </cell>
          <cell r="W399" t="str">
            <v>-</v>
          </cell>
          <cell r="X399" t="str">
            <v>1-2 AÑOS SIN DESTAPARSE EL ENVASE</v>
          </cell>
          <cell r="Y399" t="str">
            <v>FREUND</v>
          </cell>
          <cell r="Z399" t="str">
            <v>-</v>
          </cell>
          <cell r="AA399" t="str">
            <v>-</v>
          </cell>
          <cell r="AB399" t="str">
            <v>Ana Irene Mendez Vides</v>
          </cell>
          <cell r="AC399" t="str">
            <v>JULIO 3, 2002</v>
          </cell>
        </row>
        <row r="400">
          <cell r="A400" t="str">
            <v>S21WSA3</v>
          </cell>
          <cell r="B400" t="str">
            <v>JOINT COMPOUND</v>
          </cell>
          <cell r="C400" t="str">
            <v>INTERIOR</v>
          </cell>
          <cell r="D400" t="str">
            <v>TABLAYESO</v>
          </cell>
          <cell r="E400" t="str">
            <v>SUPERFICIE NUEVA</v>
          </cell>
          <cell r="F400" t="str">
            <v>NINGUNO</v>
          </cell>
          <cell r="G400" t="str">
            <v>16.09</v>
          </cell>
          <cell r="H400" t="str">
            <v>-</v>
          </cell>
          <cell r="I400" t="str">
            <v>77.81</v>
          </cell>
          <cell r="J400" t="str">
            <v>7.7</v>
          </cell>
          <cell r="K400" t="str">
            <v>91.6</v>
          </cell>
          <cell r="L400" t="str">
            <v>58.83</v>
          </cell>
          <cell r="M400" t="str">
            <v>90-100 MIL CPS SPIN #7 A 10 REV BROOKFIELD</v>
          </cell>
          <cell r="N400" t="str">
            <v>ESPATULA</v>
          </cell>
          <cell r="O400" t="str">
            <v>A OPCION DEL APLICADOR</v>
          </cell>
          <cell r="P400" t="str">
            <v>LO NECESARIO QUEDA A OPCION DEL APLICADOR</v>
          </cell>
          <cell r="Q400" t="str">
            <v>AGUA</v>
          </cell>
          <cell r="R400" t="str">
            <v>10-15 MILS DEPENDE DEL APLICADOR</v>
          </cell>
          <cell r="S400" t="str">
            <v>AL AIRE</v>
          </cell>
          <cell r="T400" t="str">
            <v>-</v>
          </cell>
          <cell r="U400" t="str">
            <v>87.66MTS CUADRADOS POR GALON A 1MILS DE ESPESOR</v>
          </cell>
          <cell r="V400" t="str">
            <v>MATE</v>
          </cell>
          <cell r="W400" t="str">
            <v>-</v>
          </cell>
          <cell r="X400" t="str">
            <v>1AÑO SIN DESTAPARSE Y A 25°C</v>
          </cell>
          <cell r="Y400" t="str">
            <v>VARIOS</v>
          </cell>
          <cell r="Z400" t="str">
            <v>-</v>
          </cell>
          <cell r="AA400" t="str">
            <v>-</v>
          </cell>
          <cell r="AB400" t="str">
            <v>Rigoberto Montalvo</v>
          </cell>
          <cell r="AC400" t="str">
            <v>AGOSTO 20, 2002</v>
          </cell>
        </row>
        <row r="401">
          <cell r="A401" t="str">
            <v>SAA 5639</v>
          </cell>
          <cell r="B401" t="str">
            <v>EXTERIOR CLEAR PARA  MADERA</v>
          </cell>
          <cell r="C401" t="str">
            <v>INTERIOR - EXTERIOR</v>
          </cell>
          <cell r="D401" t="str">
            <v>MADERA DIRECTO</v>
          </cell>
          <cell r="E401" t="str">
            <v>LIJADO, LIBRE DE GRASA POLVO O CUALQUIER OTRA SUSTANCIA</v>
          </cell>
          <cell r="F401" t="str">
            <v>TAPAPORO, SI ES NECESARIO UTILIZAR SELLADOR PARA MEJORAR PROFUNDIDAD Y BRILLO</v>
          </cell>
          <cell r="G401" t="str">
            <v>7.23 LBS</v>
          </cell>
          <cell r="H401" t="str">
            <v>0.0 %</v>
          </cell>
          <cell r="I401" t="str">
            <v xml:space="preserve">33.68 % </v>
          </cell>
          <cell r="J401" t="str">
            <v>88.68 %</v>
          </cell>
          <cell r="K401" t="str">
            <v>0.0 %</v>
          </cell>
          <cell r="L401" t="str">
            <v>29.48 %</v>
          </cell>
          <cell r="M401" t="str">
            <v>10 - 16 SEG FORD # 4</v>
          </cell>
          <cell r="N401" t="str">
            <v>PISTOLA.</v>
          </cell>
          <cell r="O401" t="str">
            <v>10 - 16 SEG FORD # 4</v>
          </cell>
          <cell r="P401" t="str">
            <v>NINGUNO</v>
          </cell>
          <cell r="Q401" t="str">
            <v>NINGUNO</v>
          </cell>
          <cell r="R401" t="str">
            <v>---</v>
          </cell>
          <cell r="S401" t="str">
            <v>AL AIRE</v>
          </cell>
          <cell r="T401" t="str">
            <v>--</v>
          </cell>
          <cell r="U401" t="str">
            <v>43.92 Metros cuadrados por galon a un mils de pelicula seca</v>
          </cell>
          <cell r="V401" t="str">
            <v>MATE</v>
          </cell>
          <cell r="W401" t="str">
            <v>---</v>
          </cell>
          <cell r="X401" t="str">
            <v>1 AÑO</v>
          </cell>
          <cell r="Y401" t="str">
            <v>VARIOS</v>
          </cell>
          <cell r="Z401" t="str">
            <v>-</v>
          </cell>
          <cell r="AA401" t="str">
            <v>-</v>
          </cell>
          <cell r="AB401" t="str">
            <v>Juan Antonio Méndez</v>
          </cell>
          <cell r="AC401" t="str">
            <v>SEPTIEMBRE 11, 2002</v>
          </cell>
        </row>
        <row r="402">
          <cell r="A402" t="str">
            <v>E3A4801</v>
          </cell>
          <cell r="B402" t="str">
            <v>KEM PRIMER SURFACER GRAY</v>
          </cell>
          <cell r="C402" t="str">
            <v>EXTERIOR</v>
          </cell>
          <cell r="D402" t="str">
            <v>HIERRO, ACERO</v>
          </cell>
          <cell r="E402" t="str">
            <v>LIJADO, LIBRE DE POLVO GRASA. LIMPIEZA CON R7K156</v>
          </cell>
          <cell r="F402" t="str">
            <v>NINGUNO</v>
          </cell>
          <cell r="G402" t="str">
            <v>11.13 LBS/GALON</v>
          </cell>
          <cell r="H402" t="str">
            <v>8.90 %</v>
          </cell>
          <cell r="I402" t="str">
            <v>58.92 %</v>
          </cell>
          <cell r="J402" t="str">
            <v>--</v>
          </cell>
          <cell r="K402" t="str">
            <v>54.29 %</v>
          </cell>
          <cell r="L402" t="str">
            <v>36.69 %</v>
          </cell>
          <cell r="M402" t="str">
            <v>65 - 74 KU</v>
          </cell>
          <cell r="N402" t="str">
            <v>PISTOLA</v>
          </cell>
          <cell r="O402" t="str">
            <v>20 - 30 SEG ZANH #2</v>
          </cell>
          <cell r="P402" t="str">
            <v xml:space="preserve">20-25% </v>
          </cell>
          <cell r="Q402" t="str">
            <v>R4K183 o R2K1</v>
          </cell>
          <cell r="R402" t="str">
            <v xml:space="preserve">1.2 - 1.5 MILS </v>
          </cell>
          <cell r="S402" t="str">
            <v>AL AIRE</v>
          </cell>
          <cell r="T402" t="str">
            <v>--</v>
          </cell>
          <cell r="U402" t="str">
            <v>54.66 metros cuadrados a un mils de pelicula seca</v>
          </cell>
          <cell r="V402" t="str">
            <v>---</v>
          </cell>
          <cell r="W402" t="str">
            <v>--</v>
          </cell>
          <cell r="X402" t="str">
            <v>1 año</v>
          </cell>
          <cell r="Y402" t="str">
            <v>varios</v>
          </cell>
          <cell r="Z402" t="str">
            <v>---</v>
          </cell>
          <cell r="AA402" t="str">
            <v>nueva reformulación mejorado en adhesion, lijabilidad compatible con esmaltes sinteticos y lacas acrilicas</v>
          </cell>
          <cell r="AB402" t="str">
            <v>Juan Antonio Méndez</v>
          </cell>
          <cell r="AC402" t="str">
            <v>SEPTIEMBRE 30, 2002</v>
          </cell>
        </row>
        <row r="403">
          <cell r="A403" t="str">
            <v>SAA 5509</v>
          </cell>
          <cell r="B403" t="str">
            <v>ESMALTE HORNEABLE ROJO ELECTROSTATICO HECASA</v>
          </cell>
          <cell r="C403" t="str">
            <v>EXTERIOR-INTERIOR</v>
          </cell>
          <cell r="D403" t="str">
            <v>Acero, Hierro, Superficies adecuadamente tratadas no Galvanizadas.</v>
          </cell>
          <cell r="E403" t="str">
            <v>Lijado libre de grasa y oxido</v>
          </cell>
          <cell r="F403" t="str">
            <v>DE SER NECESARIO PUEDE UTILIZAR MONOBAKE WHITE E68WSA1</v>
          </cell>
          <cell r="G403" t="str">
            <v>9.48 lbs/ galon</v>
          </cell>
          <cell r="H403" t="str">
            <v>14.61%</v>
          </cell>
          <cell r="I403" t="str">
            <v>45.30 %</v>
          </cell>
          <cell r="J403" t="str">
            <v>59.01 %</v>
          </cell>
          <cell r="K403" t="str">
            <v>15.87 %</v>
          </cell>
          <cell r="L403" t="str">
            <v>33.94 %</v>
          </cell>
          <cell r="M403" t="str">
            <v>26 - 30 SEG ZANH #2</v>
          </cell>
          <cell r="N403" t="str">
            <v>PISTOLA</v>
          </cell>
          <cell r="O403" t="str">
            <v>IGUAL QUE VISCOSIDAD ORIGINAL</v>
          </cell>
          <cell r="P403" t="str">
            <v>NINGUNO</v>
          </cell>
          <cell r="Q403" t="str">
            <v>NINGUNO</v>
          </cell>
          <cell r="R403" t="str">
            <v xml:space="preserve">1.0 -1.5 mils </v>
          </cell>
          <cell r="S403" t="str">
            <v>--</v>
          </cell>
          <cell r="T403" t="str">
            <v>HORNEADO A 150°c POR 15 MINUTOS</v>
          </cell>
          <cell r="U403" t="str">
            <v>50.57 METROS CUADRADOS POR GALON</v>
          </cell>
          <cell r="V403" t="str">
            <v>+80</v>
          </cell>
          <cell r="W403" t="str">
            <v>F-H</v>
          </cell>
          <cell r="X403" t="str">
            <v>MAXIMO CUATRO MESES</v>
          </cell>
          <cell r="Y403" t="str">
            <v>HECASA</v>
          </cell>
          <cell r="Z403" t="str">
            <v xml:space="preserve">CARRETILLAS </v>
          </cell>
          <cell r="AA403" t="str">
            <v>PRODUCTO ELECTROSTATICO CON UNA RESISTENCIA ENTRE 3.5 - 4.5 Mega Ohmios</v>
          </cell>
          <cell r="AB403" t="str">
            <v>Ing. Juan Antonio Méndez</v>
          </cell>
          <cell r="AC403" t="str">
            <v>MARZO 13,2002</v>
          </cell>
        </row>
        <row r="404">
          <cell r="A404" t="str">
            <v>SAA 5270</v>
          </cell>
          <cell r="B404" t="str">
            <v>ZINC CHROMATE PRIMER AMARILLO OXIDO</v>
          </cell>
          <cell r="C404" t="str">
            <v>INTERIOR-EXTERIOR</v>
          </cell>
          <cell r="D404" t="str">
            <v>METAL</v>
          </cell>
          <cell r="E404" t="str">
            <v>LIBRE DE GRASA Y OXIDO</v>
          </cell>
          <cell r="F404" t="str">
            <v>-</v>
          </cell>
          <cell r="G404" t="str">
            <v>10.26 LBS/GL</v>
          </cell>
          <cell r="H404" t="str">
            <v>41.71%</v>
          </cell>
          <cell r="I404" t="str">
            <v>59.13%</v>
          </cell>
          <cell r="J404" t="str">
            <v>58.29%</v>
          </cell>
          <cell r="K404" t="str">
            <v>45.41%</v>
          </cell>
          <cell r="L404" t="str">
            <v>37.15%</v>
          </cell>
          <cell r="M404" t="str">
            <v>70-80 KU</v>
          </cell>
          <cell r="N404" t="str">
            <v>BROCHA-PISTOLA</v>
          </cell>
          <cell r="O404" t="str">
            <v>-</v>
          </cell>
          <cell r="P404" t="str">
            <v>20% R1K4</v>
          </cell>
          <cell r="Q404" t="str">
            <v>R1K4</v>
          </cell>
          <cell r="R404" t="str">
            <v>2.0 MILLS SECO</v>
          </cell>
          <cell r="S404" t="str">
            <v xml:space="preserve">AL TACTO: 1-2 HORAS; COMPLETO:3-5 HORAS; RETOCAR :18 HORAS. </v>
          </cell>
          <cell r="T404" t="str">
            <v>-</v>
          </cell>
          <cell r="U404" t="str">
            <v>60 Mts Cuadrados/Gl a 1 mills de espesor.</v>
          </cell>
          <cell r="V404" t="str">
            <v>MATE</v>
          </cell>
          <cell r="W404" t="str">
            <v>-</v>
          </cell>
          <cell r="X404" t="str">
            <v>1 AÑO</v>
          </cell>
          <cell r="Y404" t="str">
            <v>MONELCA</v>
          </cell>
          <cell r="Z404" t="str">
            <v>-</v>
          </cell>
          <cell r="AA404" t="str">
            <v>-</v>
          </cell>
          <cell r="AB404" t="str">
            <v>Soraya de Quijada</v>
          </cell>
          <cell r="AC404" t="str">
            <v>SEPTIEMBRE 16,2002</v>
          </cell>
        </row>
        <row r="405">
          <cell r="A405" t="str">
            <v>LINEA B66</v>
          </cell>
          <cell r="B405" t="str">
            <v>CORRO-SHER ANTICORROSIVO BASE AGUA</v>
          </cell>
          <cell r="C405" t="str">
            <v>INTERIOR-EXTERIOR</v>
          </cell>
          <cell r="D405" t="str">
            <v xml:space="preserve">HIERRO-LAMINA GALVANIZADA-ESTRUCTURAS DE METAL </v>
          </cell>
          <cell r="E405" t="str">
            <v>LIMPIA, SECA, LIBRE DE GRASAS, ACEITES, LUBRICANTES Y OXIDO</v>
          </cell>
          <cell r="F405" t="str">
            <v>APLICAR DIRECTAMENTE SOBRE EL METAL</v>
          </cell>
          <cell r="G405" t="str">
            <v>9.88-10.92 LBS/GL</v>
          </cell>
          <cell r="H405" t="str">
            <v>22%-32%</v>
          </cell>
          <cell r="I405" t="str">
            <v>46.6%-54.2%</v>
          </cell>
          <cell r="J405" t="str">
            <v>23.1%-25.5%</v>
          </cell>
          <cell r="K405" t="str">
            <v>25%-30%</v>
          </cell>
          <cell r="L405" t="str">
            <v>41%-45%</v>
          </cell>
          <cell r="M405" t="str">
            <v>90-100 KU</v>
          </cell>
          <cell r="N405" t="str">
            <v>BROCHA-RODILLO PISTOLA</v>
          </cell>
          <cell r="O405" t="str">
            <v>-</v>
          </cell>
          <cell r="P405" t="str">
            <v>10%</v>
          </cell>
          <cell r="Q405" t="str">
            <v>AGUA</v>
          </cell>
          <cell r="R405" t="str">
            <v>1.0-1.5 MILLS</v>
          </cell>
          <cell r="S405" t="str">
            <v>AL TACTO: 30 MINUTOS; COMPLETO: 12 HORAS</v>
          </cell>
          <cell r="T405" t="str">
            <v>-</v>
          </cell>
          <cell r="U405" t="str">
            <v>60-65 MTS CUADRADOS/GL A 1 MILLS</v>
          </cell>
          <cell r="V405" t="str">
            <v>MATE (0-5)</v>
          </cell>
          <cell r="W405" t="str">
            <v>-</v>
          </cell>
          <cell r="X405" t="str">
            <v>1 AÑO</v>
          </cell>
          <cell r="Y405" t="str">
            <v>VARIOS</v>
          </cell>
          <cell r="Z405" t="str">
            <v>-</v>
          </cell>
          <cell r="AA405" t="str">
            <v>-</v>
          </cell>
          <cell r="AB405" t="str">
            <v>Soraya de Quijada</v>
          </cell>
          <cell r="AC405" t="str">
            <v>ABRIL 30,2002</v>
          </cell>
        </row>
        <row r="406">
          <cell r="A406" t="str">
            <v>A54WCR2</v>
          </cell>
          <cell r="B406" t="str">
            <v>SELLADOR PARA CONCRETO</v>
          </cell>
          <cell r="C406" t="str">
            <v>INTERIOR-EXTERIOR</v>
          </cell>
          <cell r="D406" t="str">
            <v>CONCRETO</v>
          </cell>
          <cell r="E406" t="str">
            <v>LIMPIA Y SECA, LIBRE DE GRASAS Y ACEITES</v>
          </cell>
          <cell r="F406" t="str">
            <v>NINGUNO</v>
          </cell>
          <cell r="G406" t="str">
            <v>10.74 LBS/GL</v>
          </cell>
          <cell r="H406" t="str">
            <v>33%</v>
          </cell>
          <cell r="I406" t="str">
            <v>45.65 %</v>
          </cell>
          <cell r="J406" t="str">
            <v>28.9%</v>
          </cell>
          <cell r="K406" t="str">
            <v>48.66</v>
          </cell>
          <cell r="L406" t="str">
            <v>30.69</v>
          </cell>
          <cell r="M406" t="str">
            <v>110-115 KU</v>
          </cell>
          <cell r="N406" t="str">
            <v>BROCHA-RODILLO</v>
          </cell>
          <cell r="O406" t="str">
            <v>-</v>
          </cell>
          <cell r="P406" t="str">
            <v>10%</v>
          </cell>
          <cell r="Q406" t="str">
            <v>AGUA</v>
          </cell>
          <cell r="R406" t="str">
            <v>2.0 MILLS SECO</v>
          </cell>
          <cell r="S406" t="str">
            <v>SECO TOCAR: 10 MINUTOS, SECO COMPLETO; 30 MINUTOS; RECUBRIR: 2 HORAS</v>
          </cell>
          <cell r="T406" t="str">
            <v>-</v>
          </cell>
          <cell r="U406" t="str">
            <v>45 m2/galon a 1 mils de pelicula seca</v>
          </cell>
          <cell r="V406" t="str">
            <v>MATE</v>
          </cell>
          <cell r="W406" t="str">
            <v>-</v>
          </cell>
          <cell r="X406" t="str">
            <v>2 AÑOS</v>
          </cell>
          <cell r="Y406" t="str">
            <v>COSTA RICA</v>
          </cell>
          <cell r="Z406" t="str">
            <v>-</v>
          </cell>
          <cell r="AA406" t="str">
            <v>-</v>
          </cell>
          <cell r="AB406" t="str">
            <v>Soraya de Quijada</v>
          </cell>
          <cell r="AC406" t="str">
            <v>MAYO 9,2002</v>
          </cell>
        </row>
        <row r="407">
          <cell r="A407" t="str">
            <v>A99BCR2, A99GCR10, A99RCR4, A99WCR2</v>
          </cell>
          <cell r="B407" t="str">
            <v>COLONIAL PINTURA PARA TECHOS</v>
          </cell>
          <cell r="C407" t="str">
            <v>INTERIOR-EXTERIOR</v>
          </cell>
          <cell r="D407" t="str">
            <v>MADERA-HIERRO-CONCRETO</v>
          </cell>
          <cell r="E407" t="str">
            <v>LIMPIA, SECA, LIBRE DE GRASAS, ACEITES, LUBRICANTES Y OXIDO</v>
          </cell>
          <cell r="F407" t="str">
            <v>En superficies de metal, Anticorrosivo Excello Rustop</v>
          </cell>
          <cell r="G407" t="str">
            <v>7.96-9.03 LBS/GL</v>
          </cell>
          <cell r="H407" t="str">
            <v>5%-17%</v>
          </cell>
          <cell r="I407" t="str">
            <v>28%-40%</v>
          </cell>
          <cell r="J407" t="str">
            <v>21%-22%</v>
          </cell>
          <cell r="K407" t="str">
            <v>7%-10%</v>
          </cell>
          <cell r="L407" t="str">
            <v>22%-27%</v>
          </cell>
          <cell r="M407" t="str">
            <v>90-95 KU</v>
          </cell>
          <cell r="N407" t="str">
            <v xml:space="preserve">Brocha-Pistola-Rodillo </v>
          </cell>
          <cell r="O407" t="str">
            <v>-</v>
          </cell>
          <cell r="P407" t="str">
            <v>20%</v>
          </cell>
          <cell r="Q407" t="str">
            <v>R1K4 MINERAL SPIRITS</v>
          </cell>
          <cell r="R407" t="str">
            <v>1.0-1.5 MILLS</v>
          </cell>
          <cell r="S407" t="str">
            <v>SECO TOCAR: 1-2 HORAS, COMPLETO: 6 HORAS</v>
          </cell>
          <cell r="T407" t="str">
            <v>-</v>
          </cell>
          <cell r="U407" t="str">
            <v>35 MTS CUADRADOS/GLA UN MILLS DE PELICULA SECA</v>
          </cell>
          <cell r="V407" t="str">
            <v>70 MIN</v>
          </cell>
          <cell r="W407" t="str">
            <v>-</v>
          </cell>
          <cell r="X407" t="str">
            <v>2 AÑOS</v>
          </cell>
          <cell r="Y407" t="str">
            <v>Costa Rica</v>
          </cell>
          <cell r="Z407" t="str">
            <v>-</v>
          </cell>
          <cell r="AA407" t="str">
            <v>-</v>
          </cell>
          <cell r="AB407" t="str">
            <v>Soraya de Quijada</v>
          </cell>
          <cell r="AC407" t="str">
            <v>MAYO 9,2002</v>
          </cell>
        </row>
        <row r="408">
          <cell r="A408" t="str">
            <v>LINEA C62</v>
          </cell>
          <cell r="B408" t="str">
            <v>ANTICORROSIVO PARA ESTRUCTURAS BRILLANTE</v>
          </cell>
          <cell r="C408" t="str">
            <v>INTERIOR-EXTERIOR</v>
          </cell>
          <cell r="D408" t="str">
            <v>METAL</v>
          </cell>
          <cell r="E408" t="str">
            <v>LIBRE DE GRASA Y OXIDO</v>
          </cell>
          <cell r="F408" t="str">
            <v>-</v>
          </cell>
          <cell r="G408" t="str">
            <v>7-8-8.44 LBS/GL DEPENDIENDO DEL COLOR</v>
          </cell>
          <cell r="H408" t="str">
            <v>2.5%-9.5% DEPENDIENDO DEL COLOR</v>
          </cell>
          <cell r="I408" t="str">
            <v>23.4%-29.8% DEPENDIENDO DEL COLOR</v>
          </cell>
          <cell r="J408" t="str">
            <v>-</v>
          </cell>
          <cell r="K408" t="str">
            <v>6.9%-10.9% DEPENDIENDO DEL COLOR</v>
          </cell>
          <cell r="L408" t="str">
            <v>19.4-21.4 DEPENDIENDO DEL COLOR</v>
          </cell>
          <cell r="M408" t="str">
            <v>85-90 KU</v>
          </cell>
          <cell r="N408" t="str">
            <v>BROCHA-RODILLO-PISTOLA</v>
          </cell>
          <cell r="O408" t="str">
            <v>-</v>
          </cell>
          <cell r="P408" t="str">
            <v>10-15% MAXIMO</v>
          </cell>
          <cell r="Q408" t="str">
            <v>R1K4 MINERAL SPIRITS</v>
          </cell>
          <cell r="R408" t="str">
            <v>1.0-1.5 MILLS</v>
          </cell>
          <cell r="S408" t="str">
            <v>SECO TOCAR: 2 HORAS, SECO COMPLETO: 6 HORAS, RETOCAR: 24 HORAS</v>
          </cell>
          <cell r="T408" t="str">
            <v>-</v>
          </cell>
          <cell r="U408" t="str">
            <v>30 MTS CUADRADOS/GLA UN MILLS DE PELICULA SECA</v>
          </cell>
          <cell r="V408" t="str">
            <v>70-80</v>
          </cell>
          <cell r="W408" t="str">
            <v>-</v>
          </cell>
          <cell r="X408" t="str">
            <v>2 años sin Abrir.</v>
          </cell>
          <cell r="Y408" t="str">
            <v>VARIOS</v>
          </cell>
          <cell r="Z408" t="str">
            <v>-</v>
          </cell>
          <cell r="AA408" t="str">
            <v>-</v>
          </cell>
          <cell r="AB408" t="str">
            <v>Soraya de Quijada</v>
          </cell>
          <cell r="AC408" t="str">
            <v>JULIO 5,2002</v>
          </cell>
        </row>
        <row r="409">
          <cell r="A409" t="str">
            <v>LINEA F65</v>
          </cell>
          <cell r="B409" t="str">
            <v>ESMALTE KEM LUSTRAL</v>
          </cell>
          <cell r="C409" t="str">
            <v>INTERIOR-EXTERIOR</v>
          </cell>
          <cell r="D409" t="str">
            <v>METAL</v>
          </cell>
          <cell r="E409" t="str">
            <v>LIBRE DE GRASA Y OXIDO</v>
          </cell>
          <cell r="F409" t="str">
            <v>E41N1 KROMIK METAL PRIMER</v>
          </cell>
          <cell r="G409" t="str">
            <v>7.6-9.6 LBS/GL DEPENDIENDO DEL COLOR</v>
          </cell>
          <cell r="H409" t="str">
            <v>3%-30% DEPENDIENDO DEL COLOR</v>
          </cell>
          <cell r="I409" t="str">
            <v>39.7%-59.7% DEPENDIENDO DEL COLOR</v>
          </cell>
          <cell r="J409" t="str">
            <v>-</v>
          </cell>
          <cell r="K409" t="str">
            <v>3%-20% DEPENDIENDO DEL COLOR</v>
          </cell>
          <cell r="L409" t="str">
            <v>33-42 DEPENDIENDO DEL COLOR</v>
          </cell>
          <cell r="M409" t="str">
            <v>75-80 KU</v>
          </cell>
          <cell r="N409" t="str">
            <v>BROCHA-PISTOLA</v>
          </cell>
          <cell r="O409" t="str">
            <v>-</v>
          </cell>
          <cell r="P409" t="str">
            <v>MAXIMO 10%</v>
          </cell>
          <cell r="Q409" t="str">
            <v>R1K4 MINERAL SPIRITS</v>
          </cell>
          <cell r="R409" t="str">
            <v>1.0-1.5 MILLS</v>
          </cell>
          <cell r="S409" t="str">
            <v>SECO TOCAR: 2 HORAS, SECO COMPLETO: 6 HORAS, RETOCAR: 24 HORAS</v>
          </cell>
          <cell r="T409" t="str">
            <v>-</v>
          </cell>
          <cell r="U409" t="str">
            <v>30 MTS CUADRADOS/GLA UN MILLS DE PELICULA SECA</v>
          </cell>
          <cell r="V409" t="str">
            <v>MAYOR DE 90</v>
          </cell>
          <cell r="W409" t="str">
            <v>-</v>
          </cell>
          <cell r="X409" t="str">
            <v>2 años sin Abrir.</v>
          </cell>
          <cell r="Y409" t="str">
            <v>MONELCA</v>
          </cell>
          <cell r="Z409" t="str">
            <v>-</v>
          </cell>
          <cell r="AA409" t="str">
            <v>-</v>
          </cell>
          <cell r="AB409" t="str">
            <v>Soraya de Quijada</v>
          </cell>
          <cell r="AC409" t="str">
            <v>SEPTIEMBRE 3,2002</v>
          </cell>
        </row>
        <row r="410">
          <cell r="A410" t="str">
            <v>A86YSA14</v>
          </cell>
          <cell r="B410" t="str">
            <v>PINTURA DE TRAFICO ALQUIDICA TTP-85E AMARILLA</v>
          </cell>
          <cell r="C410" t="str">
            <v>EXTERIOR</v>
          </cell>
          <cell r="D410" t="str">
            <v>CONCRETO-ASFALTO</v>
          </cell>
          <cell r="E410" t="str">
            <v>SECA</v>
          </cell>
          <cell r="F410" t="str">
            <v>NINGUNO</v>
          </cell>
          <cell r="G410" t="str">
            <v>13.13 LBS/GL</v>
          </cell>
          <cell r="H410" t="str">
            <v>61.75 %</v>
          </cell>
          <cell r="I410" t="str">
            <v>76.31%</v>
          </cell>
          <cell r="J410" t="str">
            <v>19.8%</v>
          </cell>
          <cell r="K410" t="str">
            <v>61%</v>
          </cell>
          <cell r="L410" t="str">
            <v>55.93</v>
          </cell>
          <cell r="M410" t="str">
            <v>70-80 KU</v>
          </cell>
          <cell r="N410" t="str">
            <v>Brocha, Rodillo Industrial, Máquina Franjeadora, Etc.</v>
          </cell>
          <cell r="O410" t="str">
            <v>Para Usar con Máquina franjeadora, reduzca con 1/8 de galón.</v>
          </cell>
          <cell r="P410" t="str">
            <v>Listo para usarse con Brocha y Rodillo.</v>
          </cell>
          <cell r="Q410" t="str">
            <v>R2K4 Industrial Reducer.</v>
          </cell>
          <cell r="R410" t="str">
            <v>7 mills</v>
          </cell>
          <cell r="S410" t="str">
            <v xml:space="preserve">15-20 Min. No transitar antes de 30 Minutos.                                            </v>
          </cell>
          <cell r="T410" t="str">
            <v>-</v>
          </cell>
          <cell r="U410" t="str">
            <v>10-11 Mts cuadrados/Gl a 7 mills seco.</v>
          </cell>
          <cell r="V410" t="str">
            <v>Mate más o menos 1-2</v>
          </cell>
          <cell r="W410" t="str">
            <v>-</v>
          </cell>
          <cell r="X410" t="str">
            <v>12 meses</v>
          </cell>
          <cell r="Y410" t="str">
            <v>-</v>
          </cell>
          <cell r="Z410" t="str">
            <v>-</v>
          </cell>
          <cell r="AA410" t="str">
            <v xml:space="preserve">Finura Hegman: 3H-0 </v>
          </cell>
          <cell r="AB410" t="str">
            <v>Soraya de Quijada</v>
          </cell>
          <cell r="AC410" t="str">
            <v>SEPTIEMBRE 5,2002</v>
          </cell>
        </row>
        <row r="411">
          <cell r="A411" t="str">
            <v>A86WSA17</v>
          </cell>
          <cell r="B411" t="str">
            <v>PINTURA DE TRAFICO ALQUIDICA TTP-85E BLANCA</v>
          </cell>
          <cell r="C411" t="str">
            <v>EXTERIOR</v>
          </cell>
          <cell r="D411" t="str">
            <v>CONCRETO-ASFALTO</v>
          </cell>
          <cell r="E411" t="str">
            <v>SECA</v>
          </cell>
          <cell r="F411" t="str">
            <v>NINGUNO</v>
          </cell>
          <cell r="G411" t="str">
            <v>13.0 LBS/GL</v>
          </cell>
          <cell r="H411" t="str">
            <v>61.58%</v>
          </cell>
          <cell r="I411" t="str">
            <v>76.20%</v>
          </cell>
          <cell r="J411" t="str">
            <v>19.2%</v>
          </cell>
          <cell r="K411" t="str">
            <v>61.4%</v>
          </cell>
          <cell r="L411" t="str">
            <v>56.52</v>
          </cell>
          <cell r="M411" t="str">
            <v>70-80 KU</v>
          </cell>
          <cell r="N411" t="str">
            <v>Brocha, Rodillo Industrial, Máquina Franjeadora, Etc.</v>
          </cell>
          <cell r="O411" t="str">
            <v>Para Usar con Máquina franjeadora, reduzca con 1/8 de galón.</v>
          </cell>
          <cell r="P411" t="str">
            <v>Listo para usarse con Brocha y Rodillo.</v>
          </cell>
          <cell r="Q411" t="str">
            <v>R2K4 Industrial Reducer.</v>
          </cell>
          <cell r="R411" t="str">
            <v>7 mills</v>
          </cell>
          <cell r="S411" t="str">
            <v xml:space="preserve">15-20 Min. No transitar antes de 30 Minutos.                                            </v>
          </cell>
          <cell r="T411" t="str">
            <v>-</v>
          </cell>
          <cell r="U411" t="str">
            <v>10-11 Mts cuadrados/Gl a 7 mills seco.</v>
          </cell>
          <cell r="V411" t="str">
            <v>Mate más o menos 1-2</v>
          </cell>
          <cell r="W411" t="str">
            <v>-</v>
          </cell>
          <cell r="X411" t="str">
            <v>12 meses</v>
          </cell>
          <cell r="Y411" t="str">
            <v>-</v>
          </cell>
          <cell r="Z411" t="str">
            <v>-</v>
          </cell>
          <cell r="AA411" t="str">
            <v xml:space="preserve">Finura Hegman: 3H-0 </v>
          </cell>
          <cell r="AB411" t="str">
            <v>Soraya de Quijada</v>
          </cell>
          <cell r="AC411" t="str">
            <v>SEPTIEMBRE 5,2002</v>
          </cell>
        </row>
        <row r="412">
          <cell r="A412" t="str">
            <v>A86RSA5</v>
          </cell>
          <cell r="B412" t="str">
            <v>PINTURA DE TRAFICO ALQUIDICA TTP-85E ROJA</v>
          </cell>
          <cell r="C412" t="str">
            <v>EXTERIOR</v>
          </cell>
          <cell r="D412" t="str">
            <v>CONCRETO-ASFALTO</v>
          </cell>
          <cell r="E412" t="str">
            <v>SECA</v>
          </cell>
          <cell r="F412" t="str">
            <v>NINGUNO</v>
          </cell>
          <cell r="G412" t="str">
            <v>13.07 LBS/GL</v>
          </cell>
          <cell r="H412" t="str">
            <v>61.4%</v>
          </cell>
          <cell r="I412" t="str">
            <v>76.16%</v>
          </cell>
          <cell r="J412" t="str">
            <v>19.4%</v>
          </cell>
          <cell r="K412" t="str">
            <v>61.3%</v>
          </cell>
          <cell r="L412" t="str">
            <v>56.16</v>
          </cell>
          <cell r="M412" t="str">
            <v>70-80 KU</v>
          </cell>
          <cell r="N412" t="str">
            <v>Brocha, Rodillo Industrial, Máquina Franjeadora, Etc.</v>
          </cell>
          <cell r="O412" t="str">
            <v>Para Usar con Máquina franjeadora, reduzca con 1/8 de galón.</v>
          </cell>
          <cell r="P412" t="str">
            <v>Listo para usarse con Brocha y Rodillo.</v>
          </cell>
          <cell r="Q412" t="str">
            <v>R2K4 Industrial Reducer.</v>
          </cell>
          <cell r="R412" t="str">
            <v>7 mills</v>
          </cell>
          <cell r="S412" t="str">
            <v xml:space="preserve">15-20 Min. No transitar antes de 30 Minutos.                                             </v>
          </cell>
          <cell r="T412" t="str">
            <v>-</v>
          </cell>
          <cell r="U412" t="str">
            <v>10-11 Mts cuadrados/Gl a 7 mills seco.</v>
          </cell>
          <cell r="V412" t="str">
            <v>Mate más o menos 1-2</v>
          </cell>
          <cell r="W412" t="str">
            <v>-</v>
          </cell>
          <cell r="X412" t="str">
            <v>12 meses</v>
          </cell>
          <cell r="Y412" t="str">
            <v>-</v>
          </cell>
          <cell r="Z412" t="str">
            <v>-</v>
          </cell>
          <cell r="AA412" t="str">
            <v xml:space="preserve">Finura Hegman: 3H-0 </v>
          </cell>
          <cell r="AB412" t="str">
            <v>Soraya de Quijada</v>
          </cell>
          <cell r="AC412" t="str">
            <v>SEPTIEMBRE 5,2002</v>
          </cell>
        </row>
        <row r="413">
          <cell r="A413" t="str">
            <v>LINEA B54</v>
          </cell>
          <cell r="B413" t="str">
            <v>PINTURA INDUSTRIAL FAST DRY</v>
          </cell>
          <cell r="C413" t="str">
            <v>INTERIOR-EXTERIOR</v>
          </cell>
          <cell r="D413" t="str">
            <v>METAL</v>
          </cell>
          <cell r="E413" t="str">
            <v>LIBRE DE GRASA Y OXIDO</v>
          </cell>
          <cell r="F413" t="str">
            <v>-</v>
          </cell>
          <cell r="G413" t="str">
            <v>7.47-8.95 LBS/GL DEPENDIENDO DEL COLOR</v>
          </cell>
          <cell r="H413" t="str">
            <v>2%-22% DEPENDIENDO DEL COLOR</v>
          </cell>
          <cell r="I413" t="str">
            <v>39.7%-55.7% DEPENDIENDO DEL COLOR</v>
          </cell>
          <cell r="J413" t="str">
            <v>60%-94% DEPENDIENDO DEL COLOR</v>
          </cell>
          <cell r="K413" t="str">
            <v>3.25%-14.75% DEPENDIENDO DEL COLOR</v>
          </cell>
          <cell r="L413" t="str">
            <v>25-40 DEPENDIENDO DEL COLOR</v>
          </cell>
          <cell r="M413" t="str">
            <v>75-80 KU</v>
          </cell>
          <cell r="N413" t="str">
            <v>BROCHA-PISTOLA</v>
          </cell>
          <cell r="O413" t="str">
            <v>-</v>
          </cell>
          <cell r="P413" t="str">
            <v>PISTOLA 25% INDUSTRIAL REDUCER</v>
          </cell>
          <cell r="Q413" t="str">
            <v>R2K4 Industrial Reducer.</v>
          </cell>
          <cell r="R413" t="str">
            <v>1.0-1.5 MILLS</v>
          </cell>
          <cell r="S413" t="str">
            <v>SECO TOCAR: 15"-20". SECO COMPLETO: 2-4 HORAS</v>
          </cell>
          <cell r="T413" t="str">
            <v>-</v>
          </cell>
          <cell r="U413" t="str">
            <v>40 MTS CUADRADOS/GAL UN MILLS DE PELICULA SECA</v>
          </cell>
          <cell r="V413" t="str">
            <v>85 MIN</v>
          </cell>
          <cell r="W413" t="str">
            <v>-</v>
          </cell>
          <cell r="X413" t="str">
            <v>2 años sin Abrir.</v>
          </cell>
          <cell r="Y413" t="str">
            <v>CONSTRUCTORA ABB</v>
          </cell>
          <cell r="Z413" t="str">
            <v>-</v>
          </cell>
          <cell r="AA413" t="str">
            <v>-</v>
          </cell>
          <cell r="AB413" t="str">
            <v>Soraya de Quijada</v>
          </cell>
          <cell r="AC413" t="str">
            <v>2 DE JUNIO DEL 2003</v>
          </cell>
        </row>
        <row r="414">
          <cell r="A414" t="str">
            <v>F73 N SA59</v>
          </cell>
          <cell r="B414" t="str">
            <v>ESMALTE HORNEABLE CAFÉ CLARO ELECTROSTATICO</v>
          </cell>
          <cell r="C414" t="str">
            <v>INTERIOR-EXTERIOR</v>
          </cell>
          <cell r="D414" t="str">
            <v>ACERO</v>
          </cell>
          <cell r="E414" t="str">
            <v>Lijado #360,  libre de grasa y oxido</v>
          </cell>
          <cell r="F414" t="str">
            <v>DE SER NECESARIO PUEDE UTILIZAR MONOBAKE WHITE E68WSA1</v>
          </cell>
          <cell r="G414" t="str">
            <v>11.13 LBS/GALON</v>
          </cell>
          <cell r="H414" t="str">
            <v>27.09 %</v>
          </cell>
          <cell r="I414" t="str">
            <v>50.41 %</v>
          </cell>
          <cell r="J414" t="str">
            <v>48.24 %</v>
          </cell>
          <cell r="K414" t="str">
            <v>19.48 %</v>
          </cell>
          <cell r="L414" t="str">
            <v>32.75 %</v>
          </cell>
          <cell r="M414" t="str">
            <v>26 - 33 SEG ZANH #2</v>
          </cell>
          <cell r="N414" t="str">
            <v>PISTOLA ELECTROSTATICA</v>
          </cell>
          <cell r="O414" t="str">
            <v>IGUAL QUE ANTERIOR</v>
          </cell>
          <cell r="P414" t="str">
            <v>NINGUNO</v>
          </cell>
          <cell r="Q414" t="str">
            <v>--</v>
          </cell>
          <cell r="R414" t="str">
            <v>1.5 MILS DE PELICULA SECA</v>
          </cell>
          <cell r="S414" t="str">
            <v>HORNO CONVENCIONAL</v>
          </cell>
          <cell r="T414" t="str">
            <v>12- 15 MIN A 150°c</v>
          </cell>
          <cell r="U414" t="str">
            <v>48.75 METROS CUADRADOS A UN MILS DE PELICULA SECA</v>
          </cell>
          <cell r="V414" t="str">
            <v>18-25  60°</v>
          </cell>
          <cell r="W414" t="str">
            <v>H</v>
          </cell>
          <cell r="X414" t="str">
            <v>6 MESES</v>
          </cell>
          <cell r="Y414" t="str">
            <v>HECASA</v>
          </cell>
          <cell r="Z414" t="str">
            <v>-----</v>
          </cell>
          <cell r="AA414" t="str">
            <v>RESISTENCIA ELECTRICA = 3.5 - 4.5 MEGA OHMIOS</v>
          </cell>
          <cell r="AB414" t="str">
            <v>Ing. Juan Antonio Méndez</v>
          </cell>
          <cell r="AC414" t="str">
            <v>Noviembre, 7 2002</v>
          </cell>
        </row>
        <row r="415">
          <cell r="A415" t="str">
            <v>F73 N SA58</v>
          </cell>
          <cell r="B415" t="str">
            <v>ESMALTE HORNEABLE CAFÉ HECASA ELECTROSTATICO</v>
          </cell>
          <cell r="C415" t="str">
            <v>INTERIOR-EXTERIOR</v>
          </cell>
          <cell r="D415" t="str">
            <v>ACERO</v>
          </cell>
          <cell r="E415" t="str">
            <v>Lijado #360,  libre de grasa y oxido</v>
          </cell>
          <cell r="F415" t="str">
            <v>DE SER NECESARIO PUEDE UTILIZAR MONOBAKE WHITE E68WSA1</v>
          </cell>
          <cell r="G415" t="str">
            <v>8.49 LBS/GALON</v>
          </cell>
          <cell r="H415" t="str">
            <v>10.97%</v>
          </cell>
          <cell r="I415" t="str">
            <v>40 %</v>
          </cell>
          <cell r="J415" t="str">
            <v>45.05%</v>
          </cell>
          <cell r="K415" t="str">
            <v>9.34 %</v>
          </cell>
          <cell r="L415" t="str">
            <v>30.17 %</v>
          </cell>
          <cell r="M415" t="str">
            <v>26 - 33 SEG ZANH #2</v>
          </cell>
          <cell r="N415" t="str">
            <v>PISTOLA ELECTROSTATICA</v>
          </cell>
          <cell r="O415" t="str">
            <v>IGUAL QUE ANTERIOR</v>
          </cell>
          <cell r="P415" t="str">
            <v>NINGUNO</v>
          </cell>
          <cell r="Q415" t="str">
            <v>--</v>
          </cell>
          <cell r="R415" t="str">
            <v>1.5 MILS DE PELICULA SECA</v>
          </cell>
          <cell r="S415" t="str">
            <v>HORNO CONVENCIONAL</v>
          </cell>
          <cell r="T415" t="str">
            <v>12- 15 MIN A 150°c</v>
          </cell>
          <cell r="U415" t="str">
            <v>44.96 METROS CUADRADOS A UN MILS DE PELICULA SECA</v>
          </cell>
          <cell r="V415" t="str">
            <v>30-34    60°</v>
          </cell>
          <cell r="W415" t="str">
            <v>H</v>
          </cell>
          <cell r="X415" t="str">
            <v>6 MESES</v>
          </cell>
          <cell r="Y415" t="str">
            <v>HECASA</v>
          </cell>
          <cell r="Z415" t="str">
            <v>-----</v>
          </cell>
          <cell r="AA415" t="str">
            <v>RESISTENCIA ELECTRICA = 3.5 - 4.5 MEGA OHMIOS</v>
          </cell>
          <cell r="AB415" t="str">
            <v>Ing. Juan Antonio Méndez</v>
          </cell>
          <cell r="AC415" t="str">
            <v>Noviembre, 7 2002</v>
          </cell>
        </row>
        <row r="416">
          <cell r="A416" t="str">
            <v>F73 W SA28</v>
          </cell>
          <cell r="B416" t="str">
            <v>ESMALTE HORNEABLE BLANCO HUESO ELECTROSTATICO</v>
          </cell>
          <cell r="C416" t="str">
            <v>INTERIOR-EXTERIOR</v>
          </cell>
          <cell r="D416" t="str">
            <v>ACERO</v>
          </cell>
          <cell r="E416" t="str">
            <v>Lijado #360,  libre de grasa y oxido</v>
          </cell>
          <cell r="F416" t="str">
            <v>DE SER NECESARIO PUEDE UTILIZAR MONOBAKE WHITE E68WSA1</v>
          </cell>
          <cell r="G416" t="str">
            <v>9.27 LBS/GALON</v>
          </cell>
          <cell r="H416" t="str">
            <v>15.33 %</v>
          </cell>
          <cell r="I416" t="str">
            <v>44.21 %</v>
          </cell>
          <cell r="J416" t="str">
            <v>68.55 %</v>
          </cell>
          <cell r="K416" t="str">
            <v>13.84 %</v>
          </cell>
          <cell r="L416" t="str">
            <v>33.34 %</v>
          </cell>
          <cell r="M416" t="str">
            <v>26 - 33 SEG ZANH #2</v>
          </cell>
          <cell r="N416" t="str">
            <v>PISTOLA ELECTROSTATICA</v>
          </cell>
          <cell r="O416" t="str">
            <v>IGUAL QUE ANTERIOR</v>
          </cell>
          <cell r="P416" t="str">
            <v>NINGUNO</v>
          </cell>
          <cell r="Q416" t="str">
            <v>--</v>
          </cell>
          <cell r="R416" t="str">
            <v>1.5 MILS DE PELICULA SECA</v>
          </cell>
          <cell r="S416" t="str">
            <v>HORNO CONVENCIONAL</v>
          </cell>
          <cell r="T416" t="str">
            <v>12- 15 MIN A 150°c</v>
          </cell>
          <cell r="U416" t="str">
            <v>51.49 METROS CUADRADOS A UN MILS DE PELICULA SECA</v>
          </cell>
          <cell r="V416" t="str">
            <v>76 - 80  °60</v>
          </cell>
          <cell r="W416" t="str">
            <v>H</v>
          </cell>
          <cell r="X416" t="str">
            <v>6 MESES</v>
          </cell>
          <cell r="Y416" t="str">
            <v>HECASA</v>
          </cell>
          <cell r="Z416" t="str">
            <v>-----</v>
          </cell>
          <cell r="AA416" t="str">
            <v>RESISTENCIA ELECTRICA = 3.5 - 4.5 MEGA OHMIOS</v>
          </cell>
          <cell r="AB416" t="str">
            <v>Ing. Juan Antonio Méndez</v>
          </cell>
          <cell r="AC416" t="str">
            <v>Noviembre, 7 2002</v>
          </cell>
        </row>
        <row r="417">
          <cell r="A417" t="str">
            <v>F73 W SA29</v>
          </cell>
          <cell r="B417" t="str">
            <v>ESMALTE HORNEABLE BLANCO BRILLANTE ELECTROSTATICO</v>
          </cell>
          <cell r="C417" t="str">
            <v>INTERIOR-EXTERIOR</v>
          </cell>
          <cell r="D417" t="str">
            <v>ACERO</v>
          </cell>
          <cell r="E417" t="str">
            <v>Lijado #360,  libre de grasa y oxido</v>
          </cell>
          <cell r="F417" t="str">
            <v>DE SER NECESARIO PUEDE UTILIZAR MONOBAKE WHITE E68WSA1</v>
          </cell>
          <cell r="G417" t="str">
            <v>10.36 LBS/GALON</v>
          </cell>
          <cell r="H417" t="str">
            <v>24.78 %</v>
          </cell>
          <cell r="I417" t="str">
            <v>51.36 %</v>
          </cell>
          <cell r="J417" t="str">
            <v>50.36 %</v>
          </cell>
          <cell r="K417" t="str">
            <v>22.26 %</v>
          </cell>
          <cell r="L417" t="str">
            <v>36.67 %</v>
          </cell>
          <cell r="M417" t="str">
            <v>26 - 33 SEG ZANH #2</v>
          </cell>
          <cell r="N417" t="str">
            <v>PISTOLA ELECTROSTATICA</v>
          </cell>
          <cell r="O417" t="str">
            <v>IGUAL QUE ANTERIOR</v>
          </cell>
          <cell r="P417" t="str">
            <v>NINGUNO</v>
          </cell>
          <cell r="Q417" t="str">
            <v>--</v>
          </cell>
          <cell r="R417" t="str">
            <v>1.5 MILS DE PELICULA SECA</v>
          </cell>
          <cell r="S417" t="str">
            <v>HORNO CONVENCIONAL</v>
          </cell>
          <cell r="T417" t="str">
            <v>12- 15 MIN A 150°c</v>
          </cell>
          <cell r="U417" t="str">
            <v>54.69 METROS CUADRADOS A UN MILS DE PELICULA SECA</v>
          </cell>
          <cell r="V417" t="str">
            <v>+85     °60</v>
          </cell>
          <cell r="W417" t="str">
            <v>H</v>
          </cell>
          <cell r="X417" t="str">
            <v>6 MESES</v>
          </cell>
          <cell r="Y417" t="str">
            <v>HECASA</v>
          </cell>
          <cell r="Z417" t="str">
            <v>-----</v>
          </cell>
          <cell r="AA417" t="str">
            <v>RESISTENCIA ELECTRICA = 3.5 - 4.5 MEGA OHMIOS</v>
          </cell>
          <cell r="AB417" t="str">
            <v>Ing. Juan Antonio Méndez</v>
          </cell>
          <cell r="AC417" t="str">
            <v>Noviembre, 7 2002</v>
          </cell>
        </row>
        <row r="418">
          <cell r="A418" t="str">
            <v>F75 W SA6</v>
          </cell>
          <cell r="B418" t="str">
            <v>ESMALTE HORNEABLE INDUSTRIAL BLANCO PURO ELECTROSTATICO</v>
          </cell>
          <cell r="C418" t="str">
            <v>INTERIOR-EXTERIOR</v>
          </cell>
          <cell r="D418" t="str">
            <v>ACERO</v>
          </cell>
          <cell r="E418" t="str">
            <v>Lijado #360,  libre de grasa y oxido</v>
          </cell>
          <cell r="F418" t="str">
            <v>DE SER NECESARIO PUEDE UTILIZAR MONOBAKE WHITE E68WSA1</v>
          </cell>
          <cell r="G418" t="str">
            <v>10.31 LBS/GALON</v>
          </cell>
          <cell r="H418" t="str">
            <v>27.68%</v>
          </cell>
          <cell r="I418" t="str">
            <v>55.65 %</v>
          </cell>
          <cell r="J418" t="str">
            <v>49.91 %</v>
          </cell>
          <cell r="K418" t="str">
            <v>22.87 %</v>
          </cell>
          <cell r="L418" t="str">
            <v>39.31 %</v>
          </cell>
          <cell r="M418" t="str">
            <v>26 - 33 SEG ZANH #2</v>
          </cell>
          <cell r="N418" t="str">
            <v>PISTOLA ELECTROSTATICA</v>
          </cell>
          <cell r="O418" t="str">
            <v>IGUAL QUE ANTERIOR</v>
          </cell>
          <cell r="P418" t="str">
            <v>NINGUNO</v>
          </cell>
          <cell r="Q418" t="str">
            <v>--</v>
          </cell>
          <cell r="R418" t="str">
            <v>1.5 MILS DE PELICULA SECA</v>
          </cell>
          <cell r="S418" t="str">
            <v>HORNO CONVENCIONAL</v>
          </cell>
          <cell r="T418" t="str">
            <v>12- 15 MIN A 150°c</v>
          </cell>
          <cell r="U418" t="str">
            <v>58.57 METROS CUADRADOS A UN MILS DE PELICULA SECA</v>
          </cell>
          <cell r="V418" t="str">
            <v>+85     °60</v>
          </cell>
          <cell r="W418" t="str">
            <v>F</v>
          </cell>
          <cell r="X418" t="str">
            <v>6 MESES</v>
          </cell>
          <cell r="Y418" t="str">
            <v>HECASA</v>
          </cell>
          <cell r="Z418" t="str">
            <v>-----</v>
          </cell>
          <cell r="AA418" t="str">
            <v>RESISTENCIA ELECTRICA = 3.5 - 4.5 MEGA OHMIOS</v>
          </cell>
          <cell r="AB418" t="str">
            <v>Ing. Juan Antonio Méndez</v>
          </cell>
          <cell r="AC418" t="str">
            <v>Noviembre, 7 2002</v>
          </cell>
        </row>
        <row r="419">
          <cell r="A419" t="str">
            <v>F75 N SA8</v>
          </cell>
          <cell r="B419" t="str">
            <v>ESMALTE HORNEABLE INDUSTRIAL COPPERTONE LISO ELECTROSTATICO</v>
          </cell>
          <cell r="C419" t="str">
            <v>INTERIOR-EXTERIOR</v>
          </cell>
          <cell r="D419" t="str">
            <v>ACERO</v>
          </cell>
          <cell r="E419" t="str">
            <v>Lijado #360,  libre de grasa y oxido</v>
          </cell>
          <cell r="F419" t="str">
            <v>DE SER NECESARIO PUEDE UTILIZAR MONOBAKE WHITE E68WSA1</v>
          </cell>
          <cell r="G419" t="str">
            <v>9.39 LBS/GALON</v>
          </cell>
          <cell r="H419" t="str">
            <v>13.68 %</v>
          </cell>
          <cell r="I419" t="str">
            <v>46.82 %</v>
          </cell>
          <cell r="J419" t="str">
            <v>62.55 %</v>
          </cell>
          <cell r="K419" t="str">
            <v>10.44 %</v>
          </cell>
          <cell r="L419" t="str">
            <v>36.98 %</v>
          </cell>
          <cell r="M419" t="str">
            <v>26 - 33 SEG ZANH #2</v>
          </cell>
          <cell r="N419" t="str">
            <v>PISTOLA ELECTROSTATICA</v>
          </cell>
          <cell r="O419" t="str">
            <v>IGUAL QUE ANTERIOR</v>
          </cell>
          <cell r="P419" t="str">
            <v>NINGUNO</v>
          </cell>
          <cell r="Q419" t="str">
            <v>--</v>
          </cell>
          <cell r="R419" t="str">
            <v>1.5 MILS DE PELICULA SECA</v>
          </cell>
          <cell r="S419" t="str">
            <v>HORNO CONVENCIONAL</v>
          </cell>
          <cell r="T419" t="str">
            <v>12- 15 MIN A 150°c</v>
          </cell>
          <cell r="U419" t="str">
            <v>55.10 METROS CUADRADOS A UN MILS DE PELICULA SECA</v>
          </cell>
          <cell r="V419" t="str">
            <v>+85     °60</v>
          </cell>
          <cell r="W419" t="str">
            <v>F</v>
          </cell>
          <cell r="X419" t="str">
            <v>6 MESES</v>
          </cell>
          <cell r="Y419" t="str">
            <v>HECASA</v>
          </cell>
          <cell r="Z419" t="str">
            <v>-----</v>
          </cell>
          <cell r="AA419" t="str">
            <v>RESISTENCIA ELECTRICA = 3.5 - 4.5 MEGA OHMIOS</v>
          </cell>
          <cell r="AB419" t="str">
            <v>Ing. Juan Antonio Méndez</v>
          </cell>
          <cell r="AC419" t="str">
            <v>Noviembre, 7 2002</v>
          </cell>
        </row>
        <row r="420">
          <cell r="A420" t="str">
            <v>F75 N SA7</v>
          </cell>
          <cell r="B420" t="str">
            <v>ESMALTE HORNEABLE INDUSTRIAL CAFÉ OSCURO TEXTURIZADO ELECTROSTATICO</v>
          </cell>
          <cell r="C420" t="str">
            <v>INTERIOR-EXTERIOR</v>
          </cell>
          <cell r="D420" t="str">
            <v>ACERO</v>
          </cell>
          <cell r="E420" t="str">
            <v>Lijado #360,  libre de grasa y oxido</v>
          </cell>
          <cell r="F420" t="str">
            <v>DE SER NECESARIO PUEDE UTILIZAR MONOBAKE WHITE E68WSA1</v>
          </cell>
          <cell r="G420" t="str">
            <v>9.49 LBS/GALON</v>
          </cell>
          <cell r="H420" t="str">
            <v>10.74 %</v>
          </cell>
          <cell r="I420" t="str">
            <v>46.82 %</v>
          </cell>
          <cell r="J420" t="str">
            <v>64.38 %</v>
          </cell>
          <cell r="K420" t="str">
            <v>8.62 %</v>
          </cell>
          <cell r="L420" t="str">
            <v>36.36 %</v>
          </cell>
          <cell r="M420" t="str">
            <v>26 - 33 SEG ZANH #2</v>
          </cell>
          <cell r="N420" t="str">
            <v>PISTOLA ELECTROSTATICA</v>
          </cell>
          <cell r="O420" t="str">
            <v>IGUAL QUE ANTERIOR</v>
          </cell>
          <cell r="P420" t="str">
            <v>NINGUNO</v>
          </cell>
          <cell r="Q420" t="str">
            <v>--</v>
          </cell>
          <cell r="R420" t="str">
            <v>1.5 MILS DE PELICULA SECA</v>
          </cell>
          <cell r="S420" t="str">
            <v>HORNO CONVENCIONAL</v>
          </cell>
          <cell r="T420" t="str">
            <v>12- 15 MIN A 150°c</v>
          </cell>
          <cell r="U420" t="str">
            <v>54.18 METROS CUADRADOS A UN MILS DE PELICULA SECA</v>
          </cell>
          <cell r="V420" t="str">
            <v>70 - 80    °60</v>
          </cell>
          <cell r="W420" t="str">
            <v>F</v>
          </cell>
          <cell r="X420" t="str">
            <v>6 MESES</v>
          </cell>
          <cell r="Y420" t="str">
            <v>HECASA</v>
          </cell>
          <cell r="Z420" t="str">
            <v>----</v>
          </cell>
          <cell r="AA420" t="str">
            <v>RESISTENCIA ELECTRICA = 3.5 - 4.5 MEGA OHMIOS</v>
          </cell>
          <cell r="AB420" t="str">
            <v>Ing. Juan Antonio Méndez</v>
          </cell>
          <cell r="AC420" t="str">
            <v>Noviembre, 7 2002</v>
          </cell>
        </row>
        <row r="421">
          <cell r="A421" t="str">
            <v>F75 R SA3</v>
          </cell>
          <cell r="B421" t="str">
            <v>ESMALTE HORNEABLE INDUSTRIAL ROJO ELECTROSTATICO</v>
          </cell>
          <cell r="C421" t="str">
            <v>INTERIOR-EXTERIOR</v>
          </cell>
          <cell r="D421" t="str">
            <v>ACERO</v>
          </cell>
          <cell r="E421" t="str">
            <v>Lijado #360,  libre de grasa y oxido</v>
          </cell>
          <cell r="F421" t="str">
            <v>DE SER NECESARIO PUEDE UTILIZAR MONOBAKE WHITE E68WSA1</v>
          </cell>
          <cell r="G421" t="str">
            <v>9.28 LBS/GALON</v>
          </cell>
          <cell r="H421" t="str">
            <v>18.12 %</v>
          </cell>
          <cell r="I421" t="str">
            <v>50.10%</v>
          </cell>
          <cell r="J421" t="str">
            <v>67.25 %</v>
          </cell>
          <cell r="K421" t="str">
            <v>14.68 %</v>
          </cell>
          <cell r="L421" t="str">
            <v>36.57 %</v>
          </cell>
          <cell r="M421" t="str">
            <v>26 - 33 SEG ZANH #2</v>
          </cell>
          <cell r="N421" t="str">
            <v>PISTOLA ELECTROSTATICA</v>
          </cell>
          <cell r="O421" t="str">
            <v>IGUAL QUE ANTERIOR</v>
          </cell>
          <cell r="P421" t="str">
            <v>NINGUNO</v>
          </cell>
          <cell r="Q421" t="str">
            <v>--</v>
          </cell>
          <cell r="R421" t="str">
            <v>1.5 MILS DE PELICULA SECA</v>
          </cell>
          <cell r="S421" t="str">
            <v>HORNO CONVENCIONAL</v>
          </cell>
          <cell r="T421" t="str">
            <v>12- 15 MIN A 150°c</v>
          </cell>
          <cell r="U421" t="str">
            <v>54.48 METROS CUADRADOS A UN MILS DE PELICULA SECA</v>
          </cell>
          <cell r="V421" t="str">
            <v>70 - 80    °60</v>
          </cell>
          <cell r="W421" t="str">
            <v>F</v>
          </cell>
          <cell r="X421" t="str">
            <v>6 MESES</v>
          </cell>
          <cell r="Y421" t="str">
            <v>HECASA</v>
          </cell>
          <cell r="Z421" t="str">
            <v>----</v>
          </cell>
          <cell r="AA421" t="str">
            <v>RESISTENCIA ELECTRICA = 3.5 - 4.5 MEGA OHMIOS</v>
          </cell>
          <cell r="AB421" t="str">
            <v>Ing. Juan Antonio Méndez</v>
          </cell>
          <cell r="AC421" t="str">
            <v>Noviembre, 7 2002</v>
          </cell>
        </row>
        <row r="422">
          <cell r="A422" t="str">
            <v>B66YSA2</v>
          </cell>
          <cell r="B422" t="str">
            <v>DIRECT-TO-METAL PRIMER YELLOW OXIDE SW-PDV-300</v>
          </cell>
          <cell r="C422" t="str">
            <v>INTERIOR-EXTERIOR</v>
          </cell>
          <cell r="D422" t="str">
            <v>METAL</v>
          </cell>
          <cell r="E422" t="str">
            <v>LIBRE DE GRASA Y OXIDO</v>
          </cell>
          <cell r="F422" t="str">
            <v>-</v>
          </cell>
          <cell r="G422" t="str">
            <v>10.97 LBS/GL</v>
          </cell>
          <cell r="H422" t="str">
            <v>33.60%</v>
          </cell>
          <cell r="I422" t="str">
            <v>55.24%</v>
          </cell>
          <cell r="J422" t="str">
            <v>21.64%</v>
          </cell>
          <cell r="K422" t="str">
            <v>34.44%</v>
          </cell>
          <cell r="L422" t="str">
            <v>42.32</v>
          </cell>
          <cell r="M422" t="str">
            <v>90-100 KU</v>
          </cell>
          <cell r="N422" t="str">
            <v>BROCHA-PISTOLA</v>
          </cell>
          <cell r="O422" t="str">
            <v>-</v>
          </cell>
          <cell r="P422" t="str">
            <v>25% MAX</v>
          </cell>
          <cell r="Q422" t="str">
            <v>AGUA</v>
          </cell>
          <cell r="R422" t="str">
            <v>1.5 MILS DE PELICULA SECA</v>
          </cell>
          <cell r="S422" t="str">
            <v>AL AIRE</v>
          </cell>
          <cell r="T422" t="str">
            <v>-</v>
          </cell>
          <cell r="U422" t="str">
            <v>60 Mts Cuadrados/Gl a 1 mills de espesor.</v>
          </cell>
          <cell r="V422" t="str">
            <v>MATE</v>
          </cell>
          <cell r="W422" t="str">
            <v>-</v>
          </cell>
          <cell r="X422" t="str">
            <v>1 AÑO</v>
          </cell>
          <cell r="Y422" t="str">
            <v>CITGO</v>
          </cell>
          <cell r="Z422" t="str">
            <v>-</v>
          </cell>
          <cell r="AB422" t="str">
            <v>Soraya de Quijada</v>
          </cell>
          <cell r="AC422">
            <v>37593</v>
          </cell>
        </row>
        <row r="423">
          <cell r="A423" t="str">
            <v>F1LSA7</v>
          </cell>
          <cell r="B423" t="str">
            <v>KEM TRANSPORT METALLIC BLUE SW-PDV-100</v>
          </cell>
          <cell r="C423" t="str">
            <v>INTERIOR-EXTERIOR</v>
          </cell>
          <cell r="D423" t="str">
            <v>HIERRO- ACERO</v>
          </cell>
          <cell r="E423" t="str">
            <v>LIJADO #320, LIBRE DE GRASA Y OXIDO</v>
          </cell>
          <cell r="F423" t="str">
            <v>E3 A 4801, KEM PRIMER NEUTRAL GRAY</v>
          </cell>
          <cell r="G423" t="str">
            <v>7.52 LBS/GAL</v>
          </cell>
          <cell r="H423" t="str">
            <v>3.93%</v>
          </cell>
          <cell r="I423" t="str">
            <v>45.90 %</v>
          </cell>
          <cell r="J423" t="str">
            <v>89.80 %</v>
          </cell>
          <cell r="K423" t="str">
            <v>6.29 %</v>
          </cell>
          <cell r="L423" t="str">
            <v>38.63%</v>
          </cell>
          <cell r="M423" t="str">
            <v>70 - 80 KU</v>
          </cell>
          <cell r="N423" t="str">
            <v>PISTOLA</v>
          </cell>
          <cell r="O423" t="str">
            <v>18 - 22 SEG ZANH #2</v>
          </cell>
          <cell r="P423" t="str">
            <v xml:space="preserve">40 - 50% </v>
          </cell>
          <cell r="Q423" t="str">
            <v>R4K183 o R2K1</v>
          </cell>
          <cell r="R423" t="str">
            <v>1.5 MILS DE PELICULA SECA</v>
          </cell>
          <cell r="S423" t="str">
            <v>AL AIRE</v>
          </cell>
          <cell r="T423" t="str">
            <v>NINGUNO</v>
          </cell>
          <cell r="U423" t="str">
            <v>57.55 metros cuadrados por galón a un mils de pelicula seca</v>
          </cell>
          <cell r="V423" t="str">
            <v>70 - 80      (°60)</v>
          </cell>
          <cell r="W423" t="str">
            <v>-</v>
          </cell>
          <cell r="X423" t="str">
            <v>1 año</v>
          </cell>
          <cell r="Y423" t="str">
            <v>CITGO</v>
          </cell>
          <cell r="Z423" t="str">
            <v>SE DESCONOCE</v>
          </cell>
          <cell r="AA423" t="str">
            <v>-</v>
          </cell>
          <cell r="AB423" t="str">
            <v>Ing. Juan Antonio Méndez</v>
          </cell>
          <cell r="AC423">
            <v>37593</v>
          </cell>
        </row>
        <row r="424">
          <cell r="A424" t="str">
            <v>A48NSA11</v>
          </cell>
          <cell r="B424" t="str">
            <v>OIL STAIN CAFÉ ESPECIAL RADISSON</v>
          </cell>
          <cell r="C424" t="str">
            <v>INTERIOR</v>
          </cell>
          <cell r="D424" t="str">
            <v>MADERA</v>
          </cell>
          <cell r="E424" t="str">
            <v>LIJADA, LIBRE DE POLVO Y GRASA</v>
          </cell>
          <cell r="F424" t="str">
            <v>-</v>
          </cell>
          <cell r="G424" t="str">
            <v>7.59 LBS/GL</v>
          </cell>
          <cell r="H424" t="str">
            <v>4%</v>
          </cell>
          <cell r="I424" t="str">
            <v>34.35%</v>
          </cell>
          <cell r="J424" t="str">
            <v>30.58%</v>
          </cell>
          <cell r="K424" t="str">
            <v>5.96%</v>
          </cell>
          <cell r="L424" t="str">
            <v>25.0%</v>
          </cell>
          <cell r="M424" t="str">
            <v>9"-11"</v>
          </cell>
          <cell r="N424" t="str">
            <v>PISTOLA-MANUAL CON PAÑO LIMPIO</v>
          </cell>
          <cell r="O424" t="str">
            <v>LA MISMA</v>
          </cell>
          <cell r="P424" t="str">
            <v>NINGUNO</v>
          </cell>
          <cell r="Q424" t="str">
            <v>EN CASO DE SER NECESARIO R1K4 MINERAL SPIRITS</v>
          </cell>
          <cell r="R424" t="str">
            <v>-</v>
          </cell>
          <cell r="S424" t="str">
            <v>AL AIRE</v>
          </cell>
          <cell r="T424" t="str">
            <v>-</v>
          </cell>
          <cell r="U424" t="str">
            <v>37.25 METROS CUADRADOS/GL A UN MILS DE PELICULA SECA</v>
          </cell>
          <cell r="V424" t="str">
            <v>-</v>
          </cell>
          <cell r="W424" t="str">
            <v>-</v>
          </cell>
          <cell r="X424" t="str">
            <v>1 AÑO</v>
          </cell>
          <cell r="Y424" t="str">
            <v>HOTEL RADISSON</v>
          </cell>
          <cell r="Z424" t="str">
            <v>Muebles de Madera.</v>
          </cell>
          <cell r="AA424" t="str">
            <v>EL PRODUCTO PASO LAS PRUEBAS DE ESTABILIDAD, LO QUE GARANTIZA QUE ESTA MEZCLA ES ESTABLE EN UN TIEMPO  DE 1 AÑO SIN DESTAPARSE.</v>
          </cell>
          <cell r="AB424" t="str">
            <v>Soraya de Quijada</v>
          </cell>
          <cell r="AC424" t="str">
            <v>ENERO 28, 2003</v>
          </cell>
        </row>
        <row r="425">
          <cell r="A425" t="str">
            <v>A48NSA12</v>
          </cell>
          <cell r="B425" t="str">
            <v>OIL STAIN CAFÉ ROJIZO RADISSON</v>
          </cell>
          <cell r="C425" t="str">
            <v>INTERIOR</v>
          </cell>
          <cell r="D425" t="str">
            <v>MADERA</v>
          </cell>
          <cell r="E425" t="str">
            <v>LIJADA, LIBRE DE POLVO Y GRASA</v>
          </cell>
          <cell r="F425" t="str">
            <v>-</v>
          </cell>
          <cell r="G425" t="str">
            <v>7.82 lbs/gl</v>
          </cell>
          <cell r="H425" t="str">
            <v>13%</v>
          </cell>
          <cell r="I425" t="str">
            <v>28.23%</v>
          </cell>
          <cell r="J425" t="str">
            <v>15.43%</v>
          </cell>
          <cell r="K425" t="str">
            <v>18.10%</v>
          </cell>
          <cell r="L425" t="str">
            <v>16.18%</v>
          </cell>
          <cell r="M425" t="str">
            <v>9"-11"</v>
          </cell>
          <cell r="N425" t="str">
            <v>PISTOLA-MANUAL CON PAÑO LIMPIO</v>
          </cell>
          <cell r="O425" t="str">
            <v>LA MISMA</v>
          </cell>
          <cell r="P425" t="str">
            <v>NINGUNO</v>
          </cell>
          <cell r="Q425" t="str">
            <v>EN CASO DE SER NECESARIO R1K4 MINERAL SPIRITS</v>
          </cell>
          <cell r="R425" t="str">
            <v>-</v>
          </cell>
          <cell r="S425" t="str">
            <v>AL AIRE</v>
          </cell>
          <cell r="T425" t="str">
            <v>-</v>
          </cell>
          <cell r="U425" t="str">
            <v>24.11 METROS CUADRADOS/GL A UN MILS DE PELICULA SECA</v>
          </cell>
          <cell r="V425" t="str">
            <v>-</v>
          </cell>
          <cell r="W425" t="str">
            <v>-</v>
          </cell>
          <cell r="X425" t="str">
            <v>2 años sin Abrir.</v>
          </cell>
          <cell r="Y425" t="str">
            <v>HOTEL RADISSON</v>
          </cell>
          <cell r="Z425" t="str">
            <v>Muebles de Madera.</v>
          </cell>
          <cell r="AB425" t="str">
            <v>Soraya de Quijada</v>
          </cell>
          <cell r="AC425" t="str">
            <v>ENERO 28, 2003</v>
          </cell>
        </row>
        <row r="426">
          <cell r="A426" t="str">
            <v>V2V109</v>
          </cell>
          <cell r="B426" t="str">
            <v>WAX SOLUTION</v>
          </cell>
          <cell r="C426" t="str">
            <v>EXTERIOR</v>
          </cell>
          <cell r="D426" t="str">
            <v xml:space="preserve">METAL </v>
          </cell>
          <cell r="E426" t="str">
            <v>LIMPIA Y SECA</v>
          </cell>
          <cell r="F426" t="str">
            <v>NINGUNO</v>
          </cell>
          <cell r="G426" t="str">
            <v>7.53</v>
          </cell>
          <cell r="H426" t="str">
            <v>0.0</v>
          </cell>
          <cell r="I426" t="str">
            <v>18.8</v>
          </cell>
          <cell r="J426" t="str">
            <v>0.0</v>
          </cell>
          <cell r="K426" t="str">
            <v>0.0</v>
          </cell>
          <cell r="L426" t="str">
            <v>15.72</v>
          </cell>
          <cell r="M426" t="str">
            <v>43SEG FORD#4</v>
          </cell>
          <cell r="N426" t="str">
            <v>BROCHA</v>
          </cell>
          <cell r="O426" t="str">
            <v>LISTO A USAR</v>
          </cell>
          <cell r="P426" t="str">
            <v>NINGUNO</v>
          </cell>
          <cell r="Q426" t="str">
            <v>NINGUNO</v>
          </cell>
          <cell r="R426" t="str">
            <v>5-10MILS</v>
          </cell>
          <cell r="S426" t="str">
            <v>AL AIRE</v>
          </cell>
          <cell r="T426" t="str">
            <v>-</v>
          </cell>
          <cell r="U426" t="str">
            <v>28MTS CUADRADOS A 1 MILS</v>
          </cell>
          <cell r="V426" t="str">
            <v>MATE</v>
          </cell>
          <cell r="W426" t="str">
            <v>2B-B</v>
          </cell>
          <cell r="X426" t="str">
            <v>1AÑO SIN DESTAPARSE Y A 25°C</v>
          </cell>
          <cell r="Y426" t="str">
            <v>ASTALDI</v>
          </cell>
        </row>
        <row r="427">
          <cell r="A427" t="str">
            <v>SAA 5760</v>
          </cell>
          <cell r="B427" t="str">
            <v>TAPAPORO PARA MADERA DE SECADO RAIDO</v>
          </cell>
          <cell r="C427" t="str">
            <v>INTERIOR</v>
          </cell>
          <cell r="D427" t="str">
            <v xml:space="preserve">MADERA NUEVA </v>
          </cell>
          <cell r="E427" t="str">
            <v>MADERA NUEVA: LIJADO #150, LIBRE DE POLVILLO. MADERA VIEJA: LIJADO #150, LIBRE DE GRASA, ACEITE, LIMPIA Y SECA</v>
          </cell>
          <cell r="F427" t="str">
            <v>NINGUNO</v>
          </cell>
          <cell r="G427" t="str">
            <v>10.59 LBS/GALON</v>
          </cell>
          <cell r="H427" t="str">
            <v>0.0 %</v>
          </cell>
          <cell r="I427" t="str">
            <v>58.62%</v>
          </cell>
          <cell r="J427" t="str">
            <v>16.54%</v>
          </cell>
          <cell r="K427" t="str">
            <v>65.99 %</v>
          </cell>
          <cell r="L427" t="str">
            <v>36.32 %</v>
          </cell>
          <cell r="M427" t="str">
            <v>29,000 - 32,000 Cps</v>
          </cell>
          <cell r="N427" t="str">
            <v>BROCHA, ESPATULA</v>
          </cell>
          <cell r="P427" t="str">
            <v>REDUCIR 3 PARTES DE TAPAPORO CON 1 PARTE POR VOLUMEN DE SOLVENTE</v>
          </cell>
          <cell r="Q427" t="str">
            <v>OPEX LACQUER THINNER R7K128</v>
          </cell>
          <cell r="R427" t="str">
            <v>-</v>
          </cell>
          <cell r="S427" t="str">
            <v>AL AIRE</v>
          </cell>
          <cell r="T427" t="str">
            <v>-</v>
          </cell>
          <cell r="U427" t="str">
            <v>DEPENDE DEL RELLENO</v>
          </cell>
          <cell r="V427" t="str">
            <v>MATE</v>
          </cell>
          <cell r="W427" t="str">
            <v>-</v>
          </cell>
          <cell r="X427" t="str">
            <v>1 AÑO SIN DESTAPARSE MANTENIENDOSE A25°c Y 45-65 % H.R</v>
          </cell>
          <cell r="Y427" t="str">
            <v>DERIMASA</v>
          </cell>
          <cell r="Z427" t="str">
            <v>Muebles de Madera</v>
          </cell>
          <cell r="AA427" t="str">
            <v>-</v>
          </cell>
          <cell r="AB427" t="str">
            <v>Juan Antonio Méndez</v>
          </cell>
          <cell r="AC427" t="str">
            <v>Febrero 3, 2003</v>
          </cell>
        </row>
        <row r="428">
          <cell r="A428" t="str">
            <v>F63FSA1</v>
          </cell>
          <cell r="B428" t="str">
            <v>Barniz H.S Transparente Mate</v>
          </cell>
          <cell r="C428" t="str">
            <v>Interior</v>
          </cell>
          <cell r="D428" t="str">
            <v>Madera</v>
          </cell>
          <cell r="E428" t="str">
            <v>Lijado+Tapaporo+Tinte+Primer E65</v>
          </cell>
          <cell r="F428" t="str">
            <v>Poliuretano E65FSA1</v>
          </cell>
          <cell r="G428" t="str">
            <v>7.71 Lbs/Gl</v>
          </cell>
          <cell r="H428" t="str">
            <v>4.9</v>
          </cell>
          <cell r="I428" t="str">
            <v>26.37</v>
          </cell>
          <cell r="J428" t="str">
            <v>20.6</v>
          </cell>
          <cell r="K428" t="str">
            <v>13.98</v>
          </cell>
          <cell r="L428" t="str">
            <v>18.88</v>
          </cell>
          <cell r="M428" t="str">
            <v>18-20 seg copa zanh#2</v>
          </cell>
          <cell r="N428" t="str">
            <v>Pistola</v>
          </cell>
          <cell r="O428" t="str">
            <v>18"-20" Copa Ford #4</v>
          </cell>
          <cell r="P428" t="str">
            <v>Ninguno</v>
          </cell>
          <cell r="Q428" t="str">
            <v>NINGUNO</v>
          </cell>
          <cell r="R428" t="str">
            <v>1 mills</v>
          </cell>
          <cell r="S428" t="str">
            <v xml:space="preserve"> Catalizado 1/16 DE V6V690 por galón. Secado al aire</v>
          </cell>
          <cell r="T428" t="str">
            <v>Catalizar con  1/16 V6V690 por galón.</v>
          </cell>
          <cell r="U428" t="str">
            <v>28 mts Cuadrados/Gl a 1 mills de espesor</v>
          </cell>
          <cell r="V428" t="str">
            <v>5-7</v>
          </cell>
          <cell r="W428" t="str">
            <v>-</v>
          </cell>
          <cell r="X428" t="str">
            <v>1 año</v>
          </cell>
          <cell r="Y428" t="str">
            <v>varios</v>
          </cell>
          <cell r="Z428" t="str">
            <v>Muebles de Madera.</v>
          </cell>
          <cell r="AA428" t="str">
            <v>-</v>
          </cell>
          <cell r="AB428" t="str">
            <v>Rigoberto Montalvo</v>
          </cell>
          <cell r="AC428">
            <v>37679</v>
          </cell>
        </row>
        <row r="429">
          <cell r="A429" t="str">
            <v>F75NSA5</v>
          </cell>
          <cell r="B429" t="str">
            <v>Esmalte Horneable Alk. Indutrial Café</v>
          </cell>
          <cell r="C429" t="str">
            <v>Interior-Exterior</v>
          </cell>
          <cell r="D429" t="str">
            <v>acero</v>
          </cell>
          <cell r="E429" t="str">
            <v>Limpieza y Desengrase</v>
          </cell>
          <cell r="F429" t="str">
            <v>ninguno</v>
          </cell>
          <cell r="G429" t="str">
            <v>8.34 Lbs / galon</v>
          </cell>
          <cell r="H429" t="str">
            <v>6.23</v>
          </cell>
          <cell r="I429" t="str">
            <v>47.62</v>
          </cell>
          <cell r="J429" t="str">
            <v>85.44</v>
          </cell>
          <cell r="K429" t="str">
            <v>4.34</v>
          </cell>
          <cell r="L429" t="str">
            <v>37.81</v>
          </cell>
          <cell r="M429" t="str">
            <v>95-105 seg copa zanh #2</v>
          </cell>
          <cell r="N429" t="str">
            <v>Pistola</v>
          </cell>
          <cell r="O429" t="str">
            <v>18-22 seg copa zanh #2</v>
          </cell>
          <cell r="P429" t="str">
            <v>20-25%</v>
          </cell>
          <cell r="Q429" t="str">
            <v>R2K4 Industrial Reducer.</v>
          </cell>
          <cell r="R429" t="str">
            <v>1-1.5 mills</v>
          </cell>
          <cell r="S429" t="str">
            <v>Al horno</v>
          </cell>
          <cell r="T429" t="str">
            <v>15 Min. A 300°F</v>
          </cell>
          <cell r="U429" t="str">
            <v>56.34 m2/gal</v>
          </cell>
          <cell r="V429" t="str">
            <v>80-90</v>
          </cell>
          <cell r="W429" t="str">
            <v>F-H</v>
          </cell>
          <cell r="X429" t="str">
            <v>6-12 meses</v>
          </cell>
          <cell r="Y429" t="str">
            <v>varios</v>
          </cell>
          <cell r="AB429" t="str">
            <v>Nelson Acosta</v>
          </cell>
          <cell r="AC429" t="str">
            <v>marzo 20, 2003</v>
          </cell>
        </row>
        <row r="430">
          <cell r="A430" t="str">
            <v>62-90-253</v>
          </cell>
          <cell r="B430" t="str">
            <v>PERLA DE VIDRIO DROP ON</v>
          </cell>
          <cell r="C430" t="str">
            <v>EXTERIOR</v>
          </cell>
          <cell r="D430" t="str">
            <v>-</v>
          </cell>
          <cell r="E430" t="str">
            <v>-</v>
          </cell>
          <cell r="F430" t="str">
            <v>-</v>
          </cell>
          <cell r="G430" t="str">
            <v>-</v>
          </cell>
          <cell r="H430" t="str">
            <v>-</v>
          </cell>
          <cell r="I430" t="str">
            <v>100%</v>
          </cell>
          <cell r="J430" t="str">
            <v>-</v>
          </cell>
          <cell r="K430" t="str">
            <v>-</v>
          </cell>
          <cell r="L430" t="str">
            <v>100%</v>
          </cell>
          <cell r="M430" t="str">
            <v>SOLIDO</v>
          </cell>
          <cell r="N430" t="str">
            <v>DROP ON (ESPARCIDO SOBRE LA PELICULA DE PINTURA)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  <cell r="AA430" t="str">
            <v>LAS PARTICULAS SON ESFERICAS CONTENIENDO NO MAS DEL 30% DE IRREGULARIDAD Y PRESENTAN UN INDICE DE REFRACCION EN UN RANGO DE 1.5 A 1.6. SON QUIMICAMENTE ESTABLES</v>
          </cell>
          <cell r="AB430" t="str">
            <v>Soraya de Quijada</v>
          </cell>
          <cell r="AC430">
            <v>37656</v>
          </cell>
        </row>
        <row r="431">
          <cell r="A431" t="str">
            <v>D62BSA1</v>
          </cell>
          <cell r="B431" t="str">
            <v>PINTURA VINILICA PARA MARCAR SACOS</v>
          </cell>
          <cell r="C431" t="str">
            <v>INTERIOR-EXTERIOR</v>
          </cell>
          <cell r="D431" t="str">
            <v>SACOS DE PLASTICO Y DE MAGUEY</v>
          </cell>
          <cell r="E431" t="str">
            <v>LIMPIA Y LIBRE DE GRASA</v>
          </cell>
          <cell r="F431" t="str">
            <v>-</v>
          </cell>
          <cell r="G431" t="str">
            <v>9.79 LBS/GL</v>
          </cell>
          <cell r="H431" t="str">
            <v>19.8%</v>
          </cell>
          <cell r="I431" t="str">
            <v>37.41%</v>
          </cell>
          <cell r="J431" t="str">
            <v>17.6%</v>
          </cell>
          <cell r="K431" t="str">
            <v>33.87%</v>
          </cell>
          <cell r="L431" t="str">
            <v>27.13%</v>
          </cell>
          <cell r="M431" t="str">
            <v>25"-30" copa SW #4</v>
          </cell>
          <cell r="N431" t="str">
            <v>BROCHUELO O LA QUE EL CLIENTE ADAPTE AL PROCESO</v>
          </cell>
          <cell r="O431" t="str">
            <v>-</v>
          </cell>
          <cell r="P431" t="str">
            <v>LA QUE SEA NECESARIA</v>
          </cell>
          <cell r="Q431" t="str">
            <v>AGUA</v>
          </cell>
          <cell r="R431" t="str">
            <v>1-1.5 MILLS</v>
          </cell>
          <cell r="S431" t="str">
            <v>AL AIRE</v>
          </cell>
          <cell r="T431" t="str">
            <v>-</v>
          </cell>
          <cell r="U431" t="str">
            <v xml:space="preserve">40 MTS CUADRADOS/GL A 1 MILLS DE ESPESOR.  </v>
          </cell>
          <cell r="V431" t="str">
            <v>MATE</v>
          </cell>
          <cell r="W431" t="str">
            <v>-</v>
          </cell>
          <cell r="X431" t="str">
            <v>2 AÑOS</v>
          </cell>
          <cell r="Y431" t="str">
            <v>-</v>
          </cell>
          <cell r="Z431" t="str">
            <v>-</v>
          </cell>
          <cell r="AA431" t="str">
            <v>PRODUCTO LIBRE DE PLOMO Y MERCURIO.</v>
          </cell>
          <cell r="AB431" t="str">
            <v>Soraya de Quijada</v>
          </cell>
          <cell r="AC431">
            <v>37960</v>
          </cell>
        </row>
        <row r="432">
          <cell r="A432" t="str">
            <v>SAA 5920</v>
          </cell>
          <cell r="B432" t="str">
            <v>ANTICORROSIVO FAST DRY CHROMATO NARANJA</v>
          </cell>
          <cell r="C432" t="str">
            <v>INTERIOR-EXTERIOR</v>
          </cell>
          <cell r="D432" t="str">
            <v>ACERO</v>
          </cell>
          <cell r="E432" t="str">
            <v>LIMPIA Y LIBRE DE GRASA</v>
          </cell>
          <cell r="F432" t="str">
            <v>-</v>
          </cell>
          <cell r="G432" t="str">
            <v>11.47 LBS/GL</v>
          </cell>
          <cell r="H432" t="str">
            <v>39%</v>
          </cell>
          <cell r="I432" t="str">
            <v>63.2%</v>
          </cell>
          <cell r="J432" t="str">
            <v>24.43%</v>
          </cell>
          <cell r="K432" t="str">
            <v>30%</v>
          </cell>
          <cell r="L432" t="str">
            <v>42%</v>
          </cell>
          <cell r="M432" t="str">
            <v>80-85 KU</v>
          </cell>
          <cell r="N432" t="str">
            <v>PISTOLA</v>
          </cell>
          <cell r="O432" t="str">
            <v>-</v>
          </cell>
          <cell r="P432" t="str">
            <v>LA QUE SEA NECESARIA</v>
          </cell>
          <cell r="Q432" t="str">
            <v>INDUSTRIAL REDUCER R7K54</v>
          </cell>
          <cell r="R432" t="str">
            <v>1-1.5 MILLS</v>
          </cell>
          <cell r="S432" t="str">
            <v>AL AIRE. SECO TOCAR: 10 MIN;  MANEJAR 30 MIN; SECO COMPLETO 1 HORA</v>
          </cell>
          <cell r="T432" t="str">
            <v>-</v>
          </cell>
          <cell r="U432" t="str">
            <v xml:space="preserve">60 MTS CUADRADOS/GL A 1 MILLS DE ESPESOR.  </v>
          </cell>
          <cell r="V432" t="str">
            <v>25-30 UNIDADES</v>
          </cell>
          <cell r="W432" t="str">
            <v>-</v>
          </cell>
          <cell r="X432" t="str">
            <v>2 AÑOS</v>
          </cell>
          <cell r="Z432" t="str">
            <v>INDUSTRIA DE LA CONSTRUCCION</v>
          </cell>
          <cell r="AA432" t="str">
            <v>PRODUCTO PLOMADO</v>
          </cell>
          <cell r="AB432" t="str">
            <v>Soraya de Quijada</v>
          </cell>
          <cell r="AC432">
            <v>37760</v>
          </cell>
        </row>
        <row r="433">
          <cell r="A433" t="str">
            <v>SAA 5921</v>
          </cell>
          <cell r="B433" t="str">
            <v>ESMALTE FAST DRY BLANCO</v>
          </cell>
          <cell r="C433" t="str">
            <v>INTERIOR-EXTERIOR</v>
          </cell>
          <cell r="D433" t="str">
            <v>ACERO</v>
          </cell>
          <cell r="E433" t="str">
            <v>LIMPIA Y LIBRE DE GRASA</v>
          </cell>
          <cell r="F433" t="str">
            <v>-</v>
          </cell>
          <cell r="G433" t="str">
            <v>10.25 LBS /GL</v>
          </cell>
          <cell r="H433" t="str">
            <v>37.25%</v>
          </cell>
          <cell r="I433" t="str">
            <v>60%</v>
          </cell>
          <cell r="J433" t="str">
            <v>30%</v>
          </cell>
          <cell r="K433" t="str">
            <v>28%</v>
          </cell>
          <cell r="L433" t="str">
            <v>44%</v>
          </cell>
          <cell r="M433" t="str">
            <v>80-85 KU</v>
          </cell>
          <cell r="N433" t="str">
            <v>PISTOLA</v>
          </cell>
          <cell r="O433" t="str">
            <v>-</v>
          </cell>
          <cell r="P433" t="str">
            <v>LA QUE SEA NECESARIA</v>
          </cell>
          <cell r="Q433" t="str">
            <v>INDUSTRIAL REDUCER R7K54</v>
          </cell>
          <cell r="R433" t="str">
            <v>1-1.5 MILLS</v>
          </cell>
          <cell r="S433" t="str">
            <v>AL AIRE. SECO TOCAR: 10 MIN;  MANEJAR 30 MIN; SECO COMPLETO 1 HORA</v>
          </cell>
          <cell r="T433" t="str">
            <v>-</v>
          </cell>
          <cell r="U433" t="str">
            <v xml:space="preserve">65 MTS CUADRADOS/GL A 1 MILLS DE ESPESOR.  </v>
          </cell>
          <cell r="V433" t="str">
            <v>25-30 UNIDADES</v>
          </cell>
          <cell r="W433" t="str">
            <v>-</v>
          </cell>
          <cell r="X433" t="str">
            <v>2 AÑOS</v>
          </cell>
          <cell r="Y433" t="str">
            <v>ACEROS ARQUITECTONICOS-GUATEMALA</v>
          </cell>
          <cell r="Z433" t="str">
            <v>INDUSTRIA DE LA CONSTRUCCION</v>
          </cell>
          <cell r="AB433" t="str">
            <v>Soraya de Quijada</v>
          </cell>
          <cell r="AC433">
            <v>37760</v>
          </cell>
        </row>
        <row r="434">
          <cell r="A434" t="str">
            <v>SAA5922</v>
          </cell>
          <cell r="B434" t="str">
            <v>SOLVENTE PARA LACAS</v>
          </cell>
          <cell r="C434" t="str">
            <v>-</v>
          </cell>
          <cell r="D434" t="str">
            <v>-</v>
          </cell>
          <cell r="E434" t="str">
            <v>-</v>
          </cell>
          <cell r="F434" t="str">
            <v>-</v>
          </cell>
          <cell r="G434" t="str">
            <v>6.9 Lb/Gl</v>
          </cell>
          <cell r="H434" t="str">
            <v>-</v>
          </cell>
          <cell r="I434" t="str">
            <v>-</v>
          </cell>
          <cell r="J434" t="str">
            <v>-</v>
          </cell>
          <cell r="L434" t="str">
            <v>-</v>
          </cell>
          <cell r="M434" t="str">
            <v>-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 t="str">
            <v>-</v>
          </cell>
          <cell r="V434" t="str">
            <v>-</v>
          </cell>
          <cell r="W434" t="str">
            <v>-</v>
          </cell>
          <cell r="X434" t="str">
            <v>6 meses correctamente tapado y almacenado a 25°C</v>
          </cell>
          <cell r="Y434" t="str">
            <v>VARIOS</v>
          </cell>
          <cell r="Z434" t="str">
            <v>-</v>
          </cell>
          <cell r="AA434" t="str">
            <v>Usese sólo en lugares bien ventilados, evite respirar sus vapores o el contacto con la piel.</v>
          </cell>
          <cell r="AB434" t="str">
            <v>Rigoberto Montalvo</v>
          </cell>
          <cell r="AC434" t="str">
            <v>Mayo 15, 2003</v>
          </cell>
        </row>
        <row r="435">
          <cell r="A435" t="str">
            <v>SAA 5876</v>
          </cell>
          <cell r="B435" t="str">
            <v>WASHCOAT 1411</v>
          </cell>
          <cell r="C435" t="str">
            <v>INTERIOR</v>
          </cell>
          <cell r="D435" t="str">
            <v>MADERA</v>
          </cell>
          <cell r="E435" t="str">
            <v>NINGUNO</v>
          </cell>
          <cell r="F435" t="str">
            <v xml:space="preserve">APLICAR 1-2 MANOS SOBRE SISTEMA TAPAPORO + TINTES </v>
          </cell>
          <cell r="G435" t="str">
            <v>7.39 LBS/GALON</v>
          </cell>
          <cell r="H435" t="str">
            <v>0.0 %</v>
          </cell>
          <cell r="I435" t="str">
            <v>19.74 %</v>
          </cell>
          <cell r="J435" t="str">
            <v>82.07 %</v>
          </cell>
          <cell r="K435" t="str">
            <v>5.40%</v>
          </cell>
          <cell r="L435" t="str">
            <v>14.25 %</v>
          </cell>
          <cell r="M435" t="str">
            <v>14-17 SEG  ZAHN #2</v>
          </cell>
          <cell r="N435" t="str">
            <v>PISTOLA</v>
          </cell>
          <cell r="O435" t="str">
            <v>IGUAL QUE ORIGINAL</v>
          </cell>
          <cell r="P435" t="str">
            <v>NINGUNO. DE SER NECESARIO CON THINNER R7K128</v>
          </cell>
          <cell r="Q435" t="str">
            <v>THINNER R7K128</v>
          </cell>
          <cell r="R435" t="str">
            <v xml:space="preserve">0.8-1.2 MILS </v>
          </cell>
          <cell r="S435" t="str">
            <v>AL AIRE,  SECO TOCAR 4 MIN SECO PARA LIJAR 7 MIN A CONDICIONES DE 25 °C Y 50% HR.</v>
          </cell>
          <cell r="T435" t="str">
            <v>-</v>
          </cell>
          <cell r="U435" t="str">
            <v>42 METROS CUADRADOS / GALON  A 1 MILS DE PELICULA SECA</v>
          </cell>
          <cell r="V435" t="str">
            <v>50-60 UNIDADES</v>
          </cell>
          <cell r="W435" t="str">
            <v>-</v>
          </cell>
          <cell r="X435" t="str">
            <v>12 MESES  CORRECTAMENTE TAPADO Y ALMACENADO A 25°C</v>
          </cell>
          <cell r="Y435" t="str">
            <v>DERIMASA</v>
          </cell>
          <cell r="Z435" t="str">
            <v>GABINETES, ARMARIOS, ETC.</v>
          </cell>
          <cell r="AA435" t="str">
            <v>La muestra recibida presenta un tiempo de seco tocar de 9 minutos y seco completo de 15 min. El % de solidos es de 13.58, comparado con el SAA 5876, el nuestro tiene un 45% más de solidos.</v>
          </cell>
          <cell r="AB435" t="str">
            <v>Ing. Juan Antonio Méndez</v>
          </cell>
          <cell r="AC435" t="str">
            <v>Mayo 26, 2003</v>
          </cell>
        </row>
        <row r="436">
          <cell r="A436" t="str">
            <v>SAA 5877</v>
          </cell>
          <cell r="B436" t="str">
            <v>SELLADOR 1421</v>
          </cell>
          <cell r="C436" t="str">
            <v>INTERIOR</v>
          </cell>
          <cell r="D436" t="str">
            <v>MADERA</v>
          </cell>
          <cell r="E436" t="str">
            <v>LIMPIA Y LIBRE DE GRASA</v>
          </cell>
          <cell r="F436" t="str">
            <v>APLICAR 2-3 MANOS SOBRE SISTEMA TAPAPORO + TINTES + WASHCOAT 1411 (SAA 5876)+ GLAZE (OPCIONAL)</v>
          </cell>
          <cell r="G436" t="str">
            <v>7.69 LBS/GALON</v>
          </cell>
          <cell r="H436" t="str">
            <v>0.0 %</v>
          </cell>
          <cell r="I436" t="str">
            <v>30.04%</v>
          </cell>
          <cell r="J436" t="str">
            <v>79.52%</v>
          </cell>
          <cell r="K436" t="str">
            <v>14.93 %</v>
          </cell>
          <cell r="L436" t="str">
            <v>30.07</v>
          </cell>
          <cell r="M436" t="str">
            <v>22 SEG ZANH #2</v>
          </cell>
          <cell r="N436" t="str">
            <v>PISTOLA</v>
          </cell>
          <cell r="O436" t="str">
            <v>IGUAL QUE ORIGINAL</v>
          </cell>
          <cell r="P436" t="str">
            <v>NINGUNO. DE SER NECESARIO CON THINNER R7K128</v>
          </cell>
          <cell r="Q436" t="str">
            <v>THINNER R7K128</v>
          </cell>
          <cell r="R436" t="str">
            <v xml:space="preserve">1.0 - 1.5 MILS </v>
          </cell>
          <cell r="S436" t="str">
            <v>AL AIRE,  SECO TOCAR 5 MIN SECO PARA LIJAR 15 MIN A CONDICIONES DE 25 °C Y 50% HR.</v>
          </cell>
          <cell r="T436" t="str">
            <v>-</v>
          </cell>
          <cell r="U436" t="str">
            <v>63 METROS CUADRADOS / GALON  A 1 MILS DE PELICULA SECA</v>
          </cell>
          <cell r="V436" t="str">
            <v>50-60 UNIDADES</v>
          </cell>
          <cell r="W436" t="str">
            <v>-</v>
          </cell>
          <cell r="X436" t="str">
            <v>12 MESES  CORRECTAMENTE TAPADO Y ALMACENADO A 25°C</v>
          </cell>
          <cell r="Y436" t="str">
            <v>DERIMASA</v>
          </cell>
          <cell r="Z436" t="str">
            <v>GABINETES, ARMARIOS, ETC.</v>
          </cell>
          <cell r="AA436" t="str">
            <v>La muestra recibida presenta un tiempo de seco tocar de 8 minutos y seco completo de 22 min. El % de solidos es de 29.7%, comparado con el SAA 5877 que tiene 30% de solidos a condiciones de 25°C y 50% HR.</v>
          </cell>
          <cell r="AB436" t="str">
            <v>Ing. Juan Antonio Méndez</v>
          </cell>
          <cell r="AC436" t="str">
            <v>Mayo 26, 2003</v>
          </cell>
        </row>
        <row r="437">
          <cell r="A437" t="str">
            <v>SAA 5879</v>
          </cell>
          <cell r="B437" t="str">
            <v>LACA TRANSPARENTE #10</v>
          </cell>
          <cell r="C437" t="str">
            <v>INTERIOR</v>
          </cell>
          <cell r="D437" t="str">
            <v>MADERA, COMO ACABADO FINAL</v>
          </cell>
          <cell r="E437" t="str">
            <v>LIMPIA Y LIBRE DE GRASA</v>
          </cell>
          <cell r="F437" t="str">
            <v>2 Manos sobre sistema tapaporo+tinte+wascoat 1411 (SAA 5876)+glaze(opcional)+sellador 1421(SAA 5877)</v>
          </cell>
          <cell r="G437" t="str">
            <v>7.80 LBS / GALON</v>
          </cell>
          <cell r="H437" t="str">
            <v>0.0%</v>
          </cell>
          <cell r="I437" t="str">
            <v>26.00 %</v>
          </cell>
          <cell r="J437" t="str">
            <v>94.05 %</v>
          </cell>
          <cell r="K437" t="str">
            <v>3.80%</v>
          </cell>
          <cell r="L437" t="str">
            <v>20.27%</v>
          </cell>
          <cell r="M437" t="str">
            <v>20 - 22 SEG ZAHN #2</v>
          </cell>
          <cell r="N437" t="str">
            <v>PISTOLA</v>
          </cell>
          <cell r="O437" t="str">
            <v>IGUAL QUE ORIGINAL</v>
          </cell>
          <cell r="P437" t="str">
            <v>NINGUNO. DE SER NECESARIO CON THINNER R7K128</v>
          </cell>
          <cell r="Q437" t="str">
            <v>THINNER R7K128</v>
          </cell>
          <cell r="R437" t="str">
            <v xml:space="preserve">1.5 -2.0 MILS </v>
          </cell>
          <cell r="S437" t="str">
            <v>AL AIRE,  SECO TOCAR 5 MIN, SECO COMPLETO 12 MIN A CONDICIONES DE 25 °C Y 50% HR.</v>
          </cell>
          <cell r="T437" t="str">
            <v>-</v>
          </cell>
          <cell r="U437" t="str">
            <v>52 METROS CUADRADOS POR GALON</v>
          </cell>
          <cell r="V437" t="str">
            <v>45-55 UNIDADES 60°</v>
          </cell>
          <cell r="W437" t="str">
            <v>-</v>
          </cell>
          <cell r="X437" t="str">
            <v>12 MESES  CORRECTAMENTE TAPADO Y ALMACENADO A 25°C</v>
          </cell>
          <cell r="Y437" t="str">
            <v>DERIMASA</v>
          </cell>
          <cell r="Z437" t="str">
            <v>GABINETES, ARMARIOS, ETC.</v>
          </cell>
          <cell r="AA437" t="str">
            <v>La muestra recibida presenta un tiempo de seco tocar de 6 minutos y seco completo de 18 min. El % de solidos es de 25.84%, comparado con el SAA 5879 que tiene 26% de solidos a condiciones de 25°C y 50% HR.</v>
          </cell>
          <cell r="AB437" t="str">
            <v>Ing. Juan Antonio Méndez</v>
          </cell>
          <cell r="AC437" t="str">
            <v>Mayo 26, 2003</v>
          </cell>
        </row>
        <row r="438">
          <cell r="A438" t="str">
            <v>SAA 5831</v>
          </cell>
          <cell r="B438" t="str">
            <v>TINTE 1121-1746</v>
          </cell>
          <cell r="C438" t="str">
            <v>INTERIOR</v>
          </cell>
          <cell r="D438" t="str">
            <v>MADERA</v>
          </cell>
          <cell r="E438" t="str">
            <v>LIMPIA Y LIBRE DE GRASA</v>
          </cell>
          <cell r="F438" t="str">
            <v>TAPAPORO</v>
          </cell>
          <cell r="G438" t="str">
            <v>6.74 LBS / GAL</v>
          </cell>
          <cell r="H438" t="str">
            <v>1.90 %</v>
          </cell>
          <cell r="I438" t="str">
            <v>2.0 %</v>
          </cell>
          <cell r="J438" t="str">
            <v>0.0 %</v>
          </cell>
          <cell r="K438" t="str">
            <v>100 %</v>
          </cell>
          <cell r="L438" t="str">
            <v>1.11 %</v>
          </cell>
          <cell r="M438" t="str">
            <v>18 SEG ZAHN #2</v>
          </cell>
          <cell r="N438" t="str">
            <v xml:space="preserve"> UNA MANO CON PAÑO, CHUPON o PISTOLA</v>
          </cell>
          <cell r="O438" t="str">
            <v>IGUAL QUE ORIGINAL</v>
          </cell>
          <cell r="P438" t="str">
            <v>NINGUNO</v>
          </cell>
          <cell r="Q438" t="str">
            <v>-</v>
          </cell>
          <cell r="R438" t="str">
            <v>-</v>
          </cell>
          <cell r="S438" t="str">
            <v>AL AIRE,  SECO TOCAR 1 MIN, SECO COMPLETO 2-3 MIN A CONDICIONES DE 25 °C Y 50% HR.</v>
          </cell>
          <cell r="T438" t="str">
            <v>-</v>
          </cell>
          <cell r="U438" t="str">
            <v>-</v>
          </cell>
          <cell r="V438" t="str">
            <v>0 - 5 (°85)</v>
          </cell>
          <cell r="W438" t="str">
            <v>-</v>
          </cell>
          <cell r="X438" t="str">
            <v>12 MESES  CORRECTAMENTE TAPADO Y ALMACENADO A 25°C</v>
          </cell>
          <cell r="Y438" t="str">
            <v>DERIMASA</v>
          </cell>
          <cell r="Z438" t="str">
            <v>GABINETES, ARMARIOS, ETC.</v>
          </cell>
          <cell r="AA438" t="str">
            <v>La muestra recibida presenta un tiempo de seco tocar de 2 minutos y seco completo de 4 min. El % de solidos es de 2%, comparado con el SAA 5831 que tiene tambien 2% de solidos a condiciones de 25°C y 50% HR.</v>
          </cell>
          <cell r="AB438" t="str">
            <v>Ing. Juan Antonio Méndez</v>
          </cell>
          <cell r="AC438" t="str">
            <v>Mayo 26, 2003</v>
          </cell>
        </row>
        <row r="439">
          <cell r="A439" t="str">
            <v>SAA 5823</v>
          </cell>
          <cell r="B439" t="str">
            <v>GLAZE 26-2043</v>
          </cell>
          <cell r="C439" t="str">
            <v>INTERIOR</v>
          </cell>
          <cell r="D439" t="str">
            <v>MADERA</v>
          </cell>
          <cell r="E439" t="str">
            <v>LIJADO CON #320 LIMPIA Y LIBRE DE GRASA</v>
          </cell>
          <cell r="F439" t="str">
            <v>1mano sobre sistema tapaporo+tinte+washcoat 1411 (SAA 5823)</v>
          </cell>
          <cell r="G439" t="str">
            <v>9.87 LBS/GALON</v>
          </cell>
          <cell r="H439" t="str">
            <v>9.28 %</v>
          </cell>
          <cell r="I439" t="str">
            <v>64%</v>
          </cell>
          <cell r="J439" t="str">
            <v>8.07%</v>
          </cell>
          <cell r="K439" t="str">
            <v>40.87%</v>
          </cell>
          <cell r="L439" t="str">
            <v>40.27%</v>
          </cell>
          <cell r="M439" t="str">
            <v>20-22 SEG ZAHN #2</v>
          </cell>
          <cell r="N439" t="str">
            <v xml:space="preserve"> Una mano con paño, chupon o pistola, remover el exceso con paño seco en direccion contraria a la veta de la madera</v>
          </cell>
          <cell r="O439" t="str">
            <v>IGUAL QUE ORIGINAL</v>
          </cell>
          <cell r="P439" t="str">
            <v>NINGUNO</v>
          </cell>
          <cell r="Q439" t="str">
            <v>-</v>
          </cell>
          <cell r="R439" t="str">
            <v>-</v>
          </cell>
          <cell r="S439" t="str">
            <v>AL AIRE,  SECO TOCAR 10 MIN , SECO COMPLETO 23 MIN A CONDICIONES DE 25 °C Y 50% HR.</v>
          </cell>
          <cell r="T439" t="str">
            <v>-</v>
          </cell>
          <cell r="U439" t="str">
            <v>60 METROS CUADRADOS POR GALON</v>
          </cell>
          <cell r="V439" t="str">
            <v>0 - 5 (°85)</v>
          </cell>
          <cell r="W439" t="str">
            <v>-</v>
          </cell>
          <cell r="X439" t="str">
            <v>12 MESES  CORRECTAMENTE TAPADO Y ALMACENADO A 25°C</v>
          </cell>
          <cell r="Y439" t="str">
            <v>DERIMASA</v>
          </cell>
          <cell r="Z439" t="str">
            <v>GABINETES, ARMARIOS, ETC.</v>
          </cell>
          <cell r="AA439" t="str">
            <v>La muestra recibida presenta un tiempo de seco tocar de 14 minutos y seco completo de 28 min. El % de solidos es de 61.49%, comparado con el SAA 5823 que tiene 64% de solidos a condiciones de 25°C y 50% HR.</v>
          </cell>
          <cell r="AB439" t="str">
            <v>Ing. Juan Antonio Méndez</v>
          </cell>
          <cell r="AC439" t="str">
            <v>Mayo 26, 2003</v>
          </cell>
        </row>
        <row r="440">
          <cell r="A440" t="str">
            <v>SAA 5824</v>
          </cell>
          <cell r="B440" t="str">
            <v>ENAMEL LACQUER NEGRO 121</v>
          </cell>
          <cell r="C440" t="str">
            <v>INTERIOR</v>
          </cell>
          <cell r="D440" t="str">
            <v>MADERA</v>
          </cell>
          <cell r="E440" t="str">
            <v>LIJADO CON #320 LIMPIA Y LIBRE DE GRASA</v>
          </cell>
          <cell r="F440" t="str">
            <v>2 manos sobre tapaporo + basecoat negro (SAA 5866)</v>
          </cell>
          <cell r="G440" t="str">
            <v>7.62 lbs/galon</v>
          </cell>
          <cell r="H440" t="str">
            <v>3.88%</v>
          </cell>
          <cell r="I440" t="str">
            <v>24.07%</v>
          </cell>
          <cell r="J440" t="str">
            <v>68.49 %</v>
          </cell>
          <cell r="K440" t="str">
            <v>19.88 %</v>
          </cell>
          <cell r="L440" t="str">
            <v>16.94%</v>
          </cell>
          <cell r="M440" t="str">
            <v>22 SEG ZAHN #2</v>
          </cell>
          <cell r="N440" t="str">
            <v>PISTOLA</v>
          </cell>
          <cell r="O440" t="str">
            <v>IGUAL QUE ORIGINAL</v>
          </cell>
          <cell r="P440" t="str">
            <v>NINGUNO. DE SER NECESARIO CON THINNER R7K128</v>
          </cell>
          <cell r="Q440" t="str">
            <v>THINNER R7K128</v>
          </cell>
          <cell r="R440" t="str">
            <v>1.5-2.0 MILS</v>
          </cell>
          <cell r="S440" t="str">
            <v>AL AIRE,  SECO TOCAR 3-4 MIN, SECO COMPLETO 8 MIN A CONDICIONES DE 25 °C Y 50% HR.</v>
          </cell>
          <cell r="T440" t="str">
            <v>-</v>
          </cell>
          <cell r="U440" t="str">
            <v>24.19 METROS CUADRADOS POR GALON</v>
          </cell>
          <cell r="V440" t="str">
            <v>40-50 ° (60)</v>
          </cell>
          <cell r="W440" t="str">
            <v>-</v>
          </cell>
          <cell r="X440" t="str">
            <v>12 MESES  CORRECTAMENTE TAPADO Y ALMACENADO A 25°C</v>
          </cell>
          <cell r="Y440" t="str">
            <v>DERIMASA</v>
          </cell>
          <cell r="Z440" t="str">
            <v>GABINETES, ARMARIOS, ETC.</v>
          </cell>
          <cell r="AA440" t="str">
            <v>La muestra recibida presenta un tiempo de seco tocar de 5 minutos y seco completo de 10 min. El % de solidos es de 22.65%, comparado con el SAA 5824 que tiene 24% de solidos a condiciones de 25°C y 50% HR.</v>
          </cell>
          <cell r="AB440" t="str">
            <v>Ing. Juan Antonio Méndez</v>
          </cell>
          <cell r="AC440" t="str">
            <v>Mayo 26, 2003</v>
          </cell>
        </row>
        <row r="441">
          <cell r="A441" t="str">
            <v>SAA 5825</v>
          </cell>
          <cell r="B441" t="str">
            <v>ENAMEL LACQUER BLANCO W-10</v>
          </cell>
          <cell r="C441" t="str">
            <v>INTERIOR</v>
          </cell>
          <cell r="D441" t="str">
            <v>MADERA</v>
          </cell>
          <cell r="E441" t="str">
            <v>LIJADO CON #320 LIMPIA Y LIBRE DE GRASA</v>
          </cell>
          <cell r="F441" t="str">
            <v>2 manos sobre tapaporo + basecoat blanco (SAA 5838)</v>
          </cell>
          <cell r="G441" t="str">
            <v>8.15 LBS / GALON</v>
          </cell>
          <cell r="H441" t="str">
            <v>7.58 %</v>
          </cell>
          <cell r="I441" t="str">
            <v>27.64 %</v>
          </cell>
          <cell r="J441" t="str">
            <v>63.04 %</v>
          </cell>
          <cell r="K441" t="str">
            <v>12.53 %</v>
          </cell>
          <cell r="L441" t="str">
            <v>17.55 %</v>
          </cell>
          <cell r="M441" t="str">
            <v>22 SEG ZAHN #2</v>
          </cell>
          <cell r="N441" t="str">
            <v>PISTOLA</v>
          </cell>
          <cell r="O441" t="str">
            <v>IGUAL QUE ORIGINAL</v>
          </cell>
          <cell r="P441" t="str">
            <v>NINGUNO. DE SER NECESARIO CON THINNER R7K128</v>
          </cell>
          <cell r="Q441" t="str">
            <v>THINNER R7K128</v>
          </cell>
          <cell r="R441" t="str">
            <v>1.5-2.0 MILS</v>
          </cell>
          <cell r="S441" t="str">
            <v>AL AIRE,  SECO TOCAR 3-4 MIN, SECO COMPLETO 8 MIN A CONDICIONES DE 25 °C Y 50% HR.</v>
          </cell>
          <cell r="T441" t="str">
            <v>-</v>
          </cell>
          <cell r="U441" t="str">
            <v>26.14 METROS CUADRADOS POR GALON</v>
          </cell>
          <cell r="V441" t="str">
            <v>25-35 °(60)</v>
          </cell>
          <cell r="W441" t="str">
            <v>-</v>
          </cell>
          <cell r="X441" t="str">
            <v>12 MESES  CORRECTAMENTE TAPADO Y ALMACENADO A 25°C</v>
          </cell>
          <cell r="Y441" t="str">
            <v>DERIMASA</v>
          </cell>
          <cell r="Z441" t="str">
            <v>GABINETES, ARMARIOS, ETC.</v>
          </cell>
          <cell r="AA441" t="str">
            <v>La muestra recibida presenta un tiempo de seco tocar de 5 minutos y seco completo de 10 min. El % de solidos es de 13.25, comparado con el SAA 5825 que tiene 27.64% de solidos a condiciones de 25°C y 50% HR.</v>
          </cell>
          <cell r="AB441" t="str">
            <v>Ing. Juan Antonio Méndez</v>
          </cell>
          <cell r="AC441" t="str">
            <v>Mayo 26, 2003</v>
          </cell>
        </row>
        <row r="442">
          <cell r="A442" t="str">
            <v>SAA 5830</v>
          </cell>
          <cell r="B442" t="str">
            <v>ENAMEL LACQUER VERDE W-13</v>
          </cell>
          <cell r="C442" t="str">
            <v>INTERIOR</v>
          </cell>
          <cell r="D442" t="str">
            <v>MADERA</v>
          </cell>
          <cell r="E442" t="str">
            <v>LIJADO CON #320 LIMPIA Y LIBRE DE GRASA</v>
          </cell>
          <cell r="F442" t="str">
            <v>2 manos sobre tapaporo + basecoat blanco (SAA 5838)</v>
          </cell>
          <cell r="G442" t="str">
            <v>8.80 LBS / GALON</v>
          </cell>
          <cell r="H442" t="str">
            <v>17.57 %</v>
          </cell>
          <cell r="I442" t="str">
            <v>34.70 %</v>
          </cell>
          <cell r="J442" t="str">
            <v>38.65 %</v>
          </cell>
          <cell r="K442" t="str">
            <v>26.63 %</v>
          </cell>
          <cell r="L442" t="str">
            <v>19.34 %</v>
          </cell>
          <cell r="M442" t="str">
            <v>22 SEG ZAHN #2</v>
          </cell>
          <cell r="N442" t="str">
            <v>PISTOLA</v>
          </cell>
          <cell r="O442" t="str">
            <v>IGUAL QUE ORIGINAL</v>
          </cell>
          <cell r="P442" t="str">
            <v>NINGUNO. DE SER NECESARIO CON THINNER R7K128</v>
          </cell>
          <cell r="Q442" t="str">
            <v>THINNER R7K128</v>
          </cell>
          <cell r="R442" t="str">
            <v>1.5-2.0 MILS</v>
          </cell>
          <cell r="S442" t="str">
            <v>AL AIRE,  SECO TOCAR 3-4 MIN, SECO COMPLETO 8 MIN A CONDICIONES DE 25 °C Y 50% HR.</v>
          </cell>
          <cell r="T442" t="str">
            <v>-</v>
          </cell>
          <cell r="U442" t="str">
            <v>28.82 METROS CUADRADOS POR GALON</v>
          </cell>
          <cell r="V442" t="str">
            <v>35-40 °(60)</v>
          </cell>
          <cell r="W442" t="str">
            <v>-</v>
          </cell>
          <cell r="X442" t="str">
            <v>12 MESES  CORRECTAMENTE TAPADO Y ALMACENADO A 25°C</v>
          </cell>
          <cell r="Y442" t="str">
            <v>DERIMASA</v>
          </cell>
          <cell r="Z442" t="str">
            <v>GABINETES, ARMARIOS, ETC.</v>
          </cell>
          <cell r="AA442" t="str">
            <v>La muestra recibida presenta un tiempo de seco tocar de 5 minutos y seco completo de 10 min. El % de solidos es de 28.50, comparado con el SAA 5830 que tiene 34.70% de solidos a condiciones de 25°C y 50% HR.</v>
          </cell>
          <cell r="AB442" t="str">
            <v>Ing. Juan Antonio Méndez</v>
          </cell>
          <cell r="AC442" t="str">
            <v>Mayo 26, 2003</v>
          </cell>
        </row>
        <row r="443">
          <cell r="A443" t="str">
            <v>SAA 5832</v>
          </cell>
          <cell r="B443" t="str">
            <v>PADDING STAIN 1181</v>
          </cell>
          <cell r="C443" t="str">
            <v>INTERIOR</v>
          </cell>
          <cell r="D443" t="str">
            <v>MADERA</v>
          </cell>
          <cell r="E443" t="str">
            <v>LIMPIA Y LIBRE DE GRASA</v>
          </cell>
          <cell r="F443" t="str">
            <v>TAPAPORO</v>
          </cell>
          <cell r="G443" t="str">
            <v>6.82 LBS/GALON</v>
          </cell>
          <cell r="H443" t="str">
            <v>1.11 %</v>
          </cell>
          <cell r="I443" t="str">
            <v>1.11%</v>
          </cell>
          <cell r="J443" t="str">
            <v>0.0 %</v>
          </cell>
          <cell r="K443" t="str">
            <v>100 %</v>
          </cell>
          <cell r="L443" t="str">
            <v>0.66%</v>
          </cell>
          <cell r="M443" t="str">
            <v>18 SEG ZAHN #2</v>
          </cell>
          <cell r="N443" t="str">
            <v xml:space="preserve"> UNA MANO CON PAÑO, CHUPON o PISTOLA</v>
          </cell>
          <cell r="O443" t="str">
            <v>IGUAL QUE ORIGINAL</v>
          </cell>
          <cell r="P443" t="str">
            <v>NINGUNO</v>
          </cell>
          <cell r="Q443" t="str">
            <v>-</v>
          </cell>
          <cell r="R443" t="str">
            <v>-</v>
          </cell>
          <cell r="S443" t="str">
            <v>AL AIRE,  SECO TOCAR 1 MIN, SECO COMPLETO 2-3 MIN A CONDICIONES DE 25 °C Y 50% HR.</v>
          </cell>
          <cell r="T443" t="str">
            <v>-</v>
          </cell>
          <cell r="U443" t="str">
            <v>-</v>
          </cell>
          <cell r="V443" t="str">
            <v>0 - 5 (°85)</v>
          </cell>
          <cell r="W443" t="str">
            <v>-</v>
          </cell>
          <cell r="X443" t="str">
            <v>12 MESES  CORRECTAMENTE TAPADO Y ALMACENADO A 25°C</v>
          </cell>
          <cell r="Y443" t="str">
            <v>DERIMASA</v>
          </cell>
          <cell r="Z443" t="str">
            <v>GABINETES, ARMARIOS, ETC.</v>
          </cell>
          <cell r="AA443" t="str">
            <v>La muestra recibida presenta un tiempo de seco tocar de 2 minutos y seco completo de 4 min. El % de solidos es de 1%, comparado con el SAA 5832 que tiene tambien 1.11% de solidos a condiciones de 25°C y 50% HR.</v>
          </cell>
          <cell r="AB443" t="str">
            <v>Ing. Juan Antonio Méndez</v>
          </cell>
          <cell r="AC443" t="str">
            <v>Mayo 26, 2003</v>
          </cell>
        </row>
        <row r="444">
          <cell r="A444" t="str">
            <v>SAA 5838</v>
          </cell>
          <cell r="B444" t="str">
            <v>BASECOAT BLANCO  W-10136</v>
          </cell>
          <cell r="C444" t="str">
            <v>INTERIOR</v>
          </cell>
          <cell r="D444" t="str">
            <v>MADERA</v>
          </cell>
          <cell r="E444" t="str">
            <v>LIJADO CON #320 LIMPIA Y LIBRE DE GRASA</v>
          </cell>
          <cell r="F444" t="str">
            <v xml:space="preserve">1-2 manos sobre tapaporo </v>
          </cell>
          <cell r="G444" t="str">
            <v>8.95 LBS / GALON</v>
          </cell>
          <cell r="H444" t="str">
            <v>6.99 %</v>
          </cell>
          <cell r="I444" t="str">
            <v>36.53 %</v>
          </cell>
          <cell r="J444" t="str">
            <v>28.26 %</v>
          </cell>
          <cell r="K444" t="str">
            <v>44 .07%</v>
          </cell>
          <cell r="L444" t="str">
            <v>19.74%</v>
          </cell>
          <cell r="M444" t="str">
            <v>22 SEG ZAHN #2</v>
          </cell>
          <cell r="N444" t="str">
            <v>PISTOLA</v>
          </cell>
          <cell r="O444" t="str">
            <v>IGUAL QUE ORIGINAL</v>
          </cell>
          <cell r="P444" t="str">
            <v>NINGUNO. DE SER NECESARIO CON THINNER R7K128</v>
          </cell>
          <cell r="Q444" t="str">
            <v>THINNER R7K128</v>
          </cell>
          <cell r="R444" t="str">
            <v>1.0 MILS</v>
          </cell>
          <cell r="S444" t="str">
            <v>AL AIRE,  SECO TOCAR 3-4 MIN, SECO COMPLETO 8 MIN A CONDICIONES DE 25 °C Y 50% HR.</v>
          </cell>
          <cell r="T444" t="str">
            <v>-</v>
          </cell>
          <cell r="U444" t="str">
            <v>29.42 METROS CUADRADOS POR GALON</v>
          </cell>
          <cell r="V444" t="str">
            <v>0 - 5 (°85)</v>
          </cell>
          <cell r="W444" t="str">
            <v>-</v>
          </cell>
          <cell r="X444" t="str">
            <v>12 MESES  CORRECTAMENTE TAPADO Y ALMACENADO A 25°C</v>
          </cell>
          <cell r="Y444" t="str">
            <v>DERIMASA</v>
          </cell>
          <cell r="Z444" t="str">
            <v>GABINETES, ARMARIOS, ETC.</v>
          </cell>
          <cell r="AA444" t="str">
            <v>La muestra recibida presenta un tiempo de seco tocar de 5 minutos y seco completo de 10 min. El % de solidos es de 34.90, comparado con el SAA 5838 que tiene 36.53% de solidos a condiciones de 25°C y 50% HR.</v>
          </cell>
          <cell r="AB444" t="str">
            <v>Ing. Juan Antonio Méndez</v>
          </cell>
          <cell r="AC444" t="str">
            <v>Mayo 26, 2003</v>
          </cell>
        </row>
        <row r="445">
          <cell r="A445" t="str">
            <v>SAA 5866</v>
          </cell>
          <cell r="B445" t="str">
            <v>BASECOAT NEGRO B001</v>
          </cell>
          <cell r="C445" t="str">
            <v>INTERIOR</v>
          </cell>
          <cell r="D445" t="str">
            <v>MADERA</v>
          </cell>
          <cell r="E445" t="str">
            <v>LIJADO CON #320 LIMPIA Y LIBRE DE GRASA</v>
          </cell>
          <cell r="F445" t="str">
            <v xml:space="preserve">1-2 manos sobre tapaporo </v>
          </cell>
          <cell r="G445" t="str">
            <v>8.08 LBS / GALON</v>
          </cell>
          <cell r="H445" t="str">
            <v>4.0 %</v>
          </cell>
          <cell r="I445" t="str">
            <v>26.12 %</v>
          </cell>
          <cell r="J445" t="str">
            <v>44.10 %</v>
          </cell>
          <cell r="K445" t="str">
            <v>28.36 %</v>
          </cell>
          <cell r="L445" t="str">
            <v>15.36 %</v>
          </cell>
          <cell r="M445" t="str">
            <v>22 SEG ZAHN #2</v>
          </cell>
          <cell r="N445" t="str">
            <v>PISTOLA</v>
          </cell>
          <cell r="O445" t="str">
            <v>IGUAL QUE ORIGINAL</v>
          </cell>
          <cell r="P445" t="str">
            <v>NINGUNO. DE SER NECESARIO CON THINNER R7K128</v>
          </cell>
          <cell r="Q445" t="str">
            <v>THINNER R7K128</v>
          </cell>
          <cell r="R445" t="str">
            <v>1.0 MILS</v>
          </cell>
          <cell r="S445" t="str">
            <v>AL AIRE,  SECO TOCAR 3-4 MIN, SECO COMPLETO 8 MIN A CONDICIONES DE 25 °C Y 50% HR.</v>
          </cell>
          <cell r="T445" t="str">
            <v>-</v>
          </cell>
          <cell r="U445" t="str">
            <v>22.93 METROS CUADRADOS POR GALON</v>
          </cell>
          <cell r="V445" t="str">
            <v>0 - 5 (°85)</v>
          </cell>
          <cell r="W445" t="str">
            <v>-</v>
          </cell>
          <cell r="X445" t="str">
            <v>12 MESES  CORRECTAMENTE TAPADO Y ALMACENADO A 25°C</v>
          </cell>
          <cell r="Y445" t="str">
            <v>DERIMASA</v>
          </cell>
          <cell r="Z445" t="str">
            <v>GABINETES, ARMARIOS, ETC.</v>
          </cell>
          <cell r="AA445" t="str">
            <v>La muestra recibida presenta un tiempo de seco tocar de 5 minutos y seco completo de 10 min. El % de solidos es de 25.53, comparado con el SAA 5866 que tiene 26.12% de solidos a condiciones de 25°C y 50% HR.</v>
          </cell>
          <cell r="AB445" t="str">
            <v>Ing. Juan Antonio Méndez</v>
          </cell>
          <cell r="AC445" t="str">
            <v>Mayo 26, 2003</v>
          </cell>
        </row>
        <row r="446">
          <cell r="A446" t="str">
            <v>SAA 5867</v>
          </cell>
          <cell r="B446" t="str">
            <v>TINTE CAFÉ OSCURO</v>
          </cell>
          <cell r="C446" t="str">
            <v>INTERIOR</v>
          </cell>
          <cell r="D446" t="str">
            <v>MADERA</v>
          </cell>
          <cell r="E446" t="str">
            <v>LIMPIA Y LIBRE DE GRASA</v>
          </cell>
          <cell r="F446" t="str">
            <v>TAPAPORO</v>
          </cell>
          <cell r="G446" t="str">
            <v>6.71 LBS/GALON</v>
          </cell>
          <cell r="H446" t="str">
            <v>1.62%</v>
          </cell>
          <cell r="I446" t="str">
            <v>1.62 %</v>
          </cell>
          <cell r="J446" t="str">
            <v>0.0 %</v>
          </cell>
          <cell r="K446" t="str">
            <v>100 %</v>
          </cell>
          <cell r="L446" t="str">
            <v>0.92 %</v>
          </cell>
          <cell r="M446" t="str">
            <v>18 SEG ZAHN #2</v>
          </cell>
          <cell r="N446" t="str">
            <v xml:space="preserve"> UNA MANO CON PAÑO, CHUPON o PISTOLA</v>
          </cell>
          <cell r="O446" t="str">
            <v>IGUAL QUE ORIGINAL</v>
          </cell>
          <cell r="P446" t="str">
            <v>NINGUNO</v>
          </cell>
          <cell r="Q446" t="str">
            <v>-</v>
          </cell>
          <cell r="R446" t="str">
            <v>-</v>
          </cell>
          <cell r="S446" t="str">
            <v>AL AIRE,  SECO TOCAR 1 MIN, SECO COMPLETO 2-3 MIN A CONDICIONES DE 25 °C Y 50% HR.</v>
          </cell>
          <cell r="T446" t="str">
            <v>-</v>
          </cell>
          <cell r="U446" t="str">
            <v>-</v>
          </cell>
          <cell r="V446" t="str">
            <v>0-5 (°85)</v>
          </cell>
          <cell r="W446" t="str">
            <v>-</v>
          </cell>
          <cell r="X446" t="str">
            <v>12 MESES  CORRECTAMENTE TAPADO Y ALMACENADO A 25°C</v>
          </cell>
          <cell r="Y446" t="str">
            <v>DERIMASA</v>
          </cell>
          <cell r="Z446" t="str">
            <v>GABINETES, ARMARIOS, ETC.</v>
          </cell>
          <cell r="AA446" t="str">
            <v>La muestra recibida presenta un tiempo de seco tocar de 2 minutos y seco completo de 4 min. El % de solidos es de 1%, comparado con el SAA 5867 que tiene tambien 1.62% de solidos a condiciones de 25°C y 50% HR.</v>
          </cell>
          <cell r="AB446" t="str">
            <v>Ing. Juan Antonio Méndez</v>
          </cell>
          <cell r="AC446" t="str">
            <v>Mayo 26, 2003</v>
          </cell>
        </row>
        <row r="447">
          <cell r="A447" t="str">
            <v>SAA 5828</v>
          </cell>
          <cell r="B447" t="str">
            <v>TINTE CAFÉ CLARO 16DO2876</v>
          </cell>
          <cell r="C447" t="str">
            <v>INTERIOR</v>
          </cell>
          <cell r="D447" t="str">
            <v>MADERA</v>
          </cell>
          <cell r="E447" t="str">
            <v>LIMPIA Y LIBRE DE GRASA</v>
          </cell>
          <cell r="F447" t="str">
            <v>TAPAPORO</v>
          </cell>
          <cell r="G447" t="str">
            <v>6.69 LBS/GALON</v>
          </cell>
          <cell r="H447" t="str">
            <v>1.25 %</v>
          </cell>
          <cell r="I447" t="str">
            <v>1.25%</v>
          </cell>
          <cell r="J447" t="str">
            <v>0.0 %</v>
          </cell>
          <cell r="K447" t="str">
            <v>100 %</v>
          </cell>
          <cell r="L447" t="str">
            <v>0.71 %</v>
          </cell>
          <cell r="M447" t="str">
            <v>18 SEG ZAHN #2</v>
          </cell>
          <cell r="N447" t="str">
            <v xml:space="preserve"> UNA MANO CON PAÑO, CHUPON o PISTOLA</v>
          </cell>
          <cell r="O447" t="str">
            <v>IGUAL QUE ORIGINAL</v>
          </cell>
          <cell r="P447" t="str">
            <v>NINGUNO</v>
          </cell>
          <cell r="Q447" t="str">
            <v>-</v>
          </cell>
          <cell r="R447" t="str">
            <v>-</v>
          </cell>
          <cell r="S447" t="str">
            <v>AL AIRE,  SECO TOCAR 1 MIN, SECO COMPLETO 2-3 MIN A CONDICIONES DE 25 °C Y 50% HR.</v>
          </cell>
          <cell r="T447" t="str">
            <v>-</v>
          </cell>
          <cell r="U447" t="str">
            <v>-</v>
          </cell>
          <cell r="V447" t="str">
            <v>0 - 5 (°85)</v>
          </cell>
          <cell r="W447" t="str">
            <v>-</v>
          </cell>
          <cell r="X447" t="str">
            <v>12 MESES  CORRECTAMENTE TAPADO Y ALMACENADO A 25°C</v>
          </cell>
          <cell r="Y447" t="str">
            <v>DERIMASA</v>
          </cell>
          <cell r="Z447" t="str">
            <v>GABINETES, ARMARIOS, ETC.</v>
          </cell>
          <cell r="AA447" t="str">
            <v>La muestra recibida presenta un tiempo de seco tocar de 2 minutos y seco completo de 4 min. El % de solidos es de 1%, comparado con el SAA 5828 que tiene tambien 1.25% de solidos a condiciones de 25°C y 50% HR.</v>
          </cell>
          <cell r="AB447" t="str">
            <v>Ing. Juan Antonio Méndez</v>
          </cell>
          <cell r="AC447" t="str">
            <v>Mayo 26, 2003</v>
          </cell>
        </row>
        <row r="448">
          <cell r="A448" t="str">
            <v>SAA 5829</v>
          </cell>
          <cell r="B448" t="str">
            <v>ENAMEL LACQUER AZUL</v>
          </cell>
          <cell r="C448" t="str">
            <v>INTERIOR</v>
          </cell>
          <cell r="D448" t="str">
            <v>MADERA</v>
          </cell>
          <cell r="E448" t="str">
            <v>LIJADO CON #320 LIMPIA Y LIBRE DE GRASA</v>
          </cell>
          <cell r="F448" t="str">
            <v>2 manos sobre tapaporo + basecoat blanco (SAA 5838)</v>
          </cell>
          <cell r="G448" t="str">
            <v>8.06 LBS/GALON</v>
          </cell>
          <cell r="H448" t="str">
            <v>7.67 %</v>
          </cell>
          <cell r="I448" t="str">
            <v>57.50 %</v>
          </cell>
          <cell r="J448" t="str">
            <v>57.50 %</v>
          </cell>
          <cell r="K448" t="str">
            <v>12.05 %</v>
          </cell>
          <cell r="L448" t="str">
            <v>17.09 %</v>
          </cell>
          <cell r="M448" t="str">
            <v>22 SEG ZAHN #2</v>
          </cell>
          <cell r="N448" t="str">
            <v>PISTOLA</v>
          </cell>
          <cell r="O448" t="str">
            <v>IGUAL QUE ORIGINAL</v>
          </cell>
          <cell r="P448" t="str">
            <v>NINGUNO. DE SER NECESARIO CON THINNER R7K128</v>
          </cell>
          <cell r="Q448" t="str">
            <v>THINNER R7K128</v>
          </cell>
          <cell r="R448" t="str">
            <v>1.5-2.0 MILS</v>
          </cell>
          <cell r="S448" t="str">
            <v>AL AIRE,  SECO TOCAR 3-4 MIN, SECO COMPLETO 8 MIN A CONDICIONES DE 25 °C Y 50% HR.</v>
          </cell>
          <cell r="T448" t="str">
            <v>-</v>
          </cell>
          <cell r="U448" t="str">
            <v>25.46 METROS CUADRADOS POR GALON</v>
          </cell>
          <cell r="V448" t="str">
            <v>45-55 (°60)</v>
          </cell>
          <cell r="W448" t="str">
            <v>-</v>
          </cell>
          <cell r="X448" t="str">
            <v>12 MESES  CORRECTAMENTE TAPADO Y ALMACENADO A 25°C</v>
          </cell>
          <cell r="Y448" t="str">
            <v>DERIMASA</v>
          </cell>
          <cell r="Z448" t="str">
            <v>GABINETES, ARMARIOS, ETC.</v>
          </cell>
          <cell r="AA448" t="str">
            <v>La muestra recibida presenta un tiempo de seco tocar de 5 minutos y seco completo de 10 min. El % de solidos es de 26.0%, comparado con el SAA 5829 que tiene 26.90% de solidos a condiciones de 25°C y 50% HR.</v>
          </cell>
          <cell r="AB448" t="str">
            <v>Ing. Juan Antonio Méndez</v>
          </cell>
          <cell r="AC448" t="str">
            <v>Mayo 26, 2003</v>
          </cell>
        </row>
        <row r="449">
          <cell r="A449" t="str">
            <v>SAA 5827</v>
          </cell>
          <cell r="B449" t="str">
            <v>ENAMEL LACQUER ROJO</v>
          </cell>
          <cell r="C449" t="str">
            <v>INTERIOR</v>
          </cell>
          <cell r="D449" t="str">
            <v>MADERA</v>
          </cell>
          <cell r="E449" t="str">
            <v>LIJADO CON #320 LIMPIA Y LIBRE DE GRASA</v>
          </cell>
          <cell r="F449" t="str">
            <v>2 manos sobre tapaporo + basecoat blanco (SAA 5838)</v>
          </cell>
          <cell r="G449" t="str">
            <v>7.97 LBS / GALON</v>
          </cell>
          <cell r="H449" t="str">
            <v>5.91 %</v>
          </cell>
          <cell r="I449" t="str">
            <v>25.03 %</v>
          </cell>
          <cell r="J449" t="str">
            <v>63.92 %</v>
          </cell>
          <cell r="K449" t="str">
            <v>10.51%</v>
          </cell>
          <cell r="L449" t="str">
            <v>15.61 %</v>
          </cell>
          <cell r="M449" t="str">
            <v>22 SEG ZAHN #2</v>
          </cell>
          <cell r="N449" t="str">
            <v>PISTOLA</v>
          </cell>
          <cell r="O449" t="str">
            <v>IGUAL QUE ORIGINAL</v>
          </cell>
          <cell r="P449" t="str">
            <v>NINGUNO. DE SER NECESARIO CON THINNER R7K128</v>
          </cell>
          <cell r="Q449" t="str">
            <v>THINNER R7K128</v>
          </cell>
          <cell r="R449" t="str">
            <v>1.5-2.0 MILS</v>
          </cell>
          <cell r="S449" t="str">
            <v>AL AIRE,  SECO TOCAR 3-4 MIN, SECO COMPLETO 8 MIN A CONDICIONES DE 25 °C Y 50% HR.</v>
          </cell>
          <cell r="T449" t="str">
            <v>-</v>
          </cell>
          <cell r="U449" t="str">
            <v>23.25  METROS CUADRADOS POR GALON</v>
          </cell>
          <cell r="V449" t="str">
            <v>45-55 (°60)</v>
          </cell>
          <cell r="W449" t="str">
            <v>-</v>
          </cell>
          <cell r="X449" t="str">
            <v>12 MESES  CORRECTAMENTE TAPADO Y ALMACENADO A 25°C</v>
          </cell>
          <cell r="Y449" t="str">
            <v>DERIMASA</v>
          </cell>
          <cell r="Z449" t="str">
            <v>GABINETES, ARMARIOS, ETC.</v>
          </cell>
          <cell r="AA449" t="str">
            <v>La muestra recibida presenta un tiempo de seco tocar de 5 minutos y seco completo de 10 min. El % de solidos es de 24.0%, comparado con el SAA 5827 que tiene 25.03% de solidos a condiciones de 25°C y 50% HR.</v>
          </cell>
          <cell r="AB449" t="str">
            <v>Ing. Juan Antonio Méndez</v>
          </cell>
          <cell r="AC449" t="str">
            <v>Mayo 26, 2003</v>
          </cell>
        </row>
        <row r="450">
          <cell r="A450" t="str">
            <v>M91LSA1</v>
          </cell>
          <cell r="B450" t="str">
            <v>Laca para Escobas celeste</v>
          </cell>
          <cell r="C450" t="str">
            <v>Interior - Exterior</v>
          </cell>
          <cell r="D450" t="str">
            <v>Palos de Escoba</v>
          </cell>
          <cell r="E450" t="str">
            <v>De Acuerdo Al Cliente</v>
          </cell>
          <cell r="F450" t="str">
            <v>Ninguno</v>
          </cell>
          <cell r="G450" t="str">
            <v>8.37 lbs</v>
          </cell>
          <cell r="H450" t="str">
            <v>8.40 %</v>
          </cell>
          <cell r="I450" t="str">
            <v>39.44 %</v>
          </cell>
          <cell r="J450" t="str">
            <v>69.38%</v>
          </cell>
          <cell r="K450" t="str">
            <v>2.39 %</v>
          </cell>
          <cell r="L450" t="str">
            <v>24.57 %</v>
          </cell>
          <cell r="M450" t="str">
            <v>18,000 - 23,000 cps</v>
          </cell>
          <cell r="N450" t="str">
            <v>De Acuerdo Al Cliente</v>
          </cell>
          <cell r="O450" t="str">
            <v>-</v>
          </cell>
          <cell r="P450" t="str">
            <v>Ninguno</v>
          </cell>
          <cell r="Q450" t="str">
            <v>De ser necesario reducir con Thinner R7K128</v>
          </cell>
          <cell r="R450" t="str">
            <v>De acuerdo Al Cliente</v>
          </cell>
          <cell r="S450" t="str">
            <v>Al aire</v>
          </cell>
          <cell r="T450" t="str">
            <v>-</v>
          </cell>
          <cell r="U450" t="str">
            <v>37.14 metros cuadrados por galon a 1 mils de pelicula seca</v>
          </cell>
          <cell r="V450" t="str">
            <v>-</v>
          </cell>
          <cell r="W450" t="str">
            <v>-</v>
          </cell>
          <cell r="X450" t="str">
            <v>6-12 meses</v>
          </cell>
          <cell r="Y450" t="str">
            <v>MULTIPLATS</v>
          </cell>
          <cell r="Z450" t="str">
            <v>Escobas</v>
          </cell>
          <cell r="AA450" t="str">
            <v>-</v>
          </cell>
          <cell r="AB450" t="str">
            <v>Ing. Juan Antonio Méndez</v>
          </cell>
          <cell r="AC450" t="str">
            <v>Junio 2, 2003</v>
          </cell>
        </row>
        <row r="451">
          <cell r="A451" t="str">
            <v>M91RSA1</v>
          </cell>
          <cell r="B451" t="str">
            <v>Laca para escobas Rosado Intenso</v>
          </cell>
          <cell r="C451" t="str">
            <v>Interior - Exterior</v>
          </cell>
          <cell r="D451" t="str">
            <v>Palos de Escoba</v>
          </cell>
          <cell r="E451" t="str">
            <v>De Acuerdo Al Cliente</v>
          </cell>
          <cell r="F451" t="str">
            <v>Ninguno</v>
          </cell>
          <cell r="G451" t="str">
            <v>8.44 lbs</v>
          </cell>
          <cell r="H451" t="str">
            <v>9.01 %</v>
          </cell>
          <cell r="I451" t="str">
            <v>40.79 %</v>
          </cell>
          <cell r="J451" t="str">
            <v>65.56%</v>
          </cell>
          <cell r="K451" t="str">
            <v>3.21%</v>
          </cell>
          <cell r="L451" t="str">
            <v>25.99 %</v>
          </cell>
          <cell r="M451" t="str">
            <v>18,000-23,000 cps</v>
          </cell>
          <cell r="N451" t="str">
            <v>De Acuerdo Al Cliente</v>
          </cell>
          <cell r="O451" t="str">
            <v>-</v>
          </cell>
          <cell r="P451" t="str">
            <v>Ninguno</v>
          </cell>
          <cell r="Q451" t="str">
            <v>De ser necesario reducir con Thinner R7K128</v>
          </cell>
          <cell r="R451" t="str">
            <v>De acuerdo Al Cliente</v>
          </cell>
          <cell r="S451" t="str">
            <v>Al Aire</v>
          </cell>
          <cell r="T451" t="str">
            <v>-</v>
          </cell>
          <cell r="U451" t="str">
            <v>38.72 metros cuadrados por galon a 1 mils de pelicula seca</v>
          </cell>
          <cell r="V451" t="str">
            <v>-</v>
          </cell>
          <cell r="W451" t="str">
            <v>-</v>
          </cell>
          <cell r="X451" t="str">
            <v>6-12 meses</v>
          </cell>
          <cell r="Y451" t="str">
            <v>MULTIPLAST</v>
          </cell>
          <cell r="Z451" t="str">
            <v>Escobas</v>
          </cell>
          <cell r="AA451" t="str">
            <v>-</v>
          </cell>
          <cell r="AB451" t="str">
            <v>Ing. Juan Antonio Méndez</v>
          </cell>
          <cell r="AC451" t="str">
            <v>Junio 2, 2003</v>
          </cell>
        </row>
        <row r="452">
          <cell r="A452" t="str">
            <v>SAA 5935</v>
          </cell>
          <cell r="B452" t="str">
            <v>CORRO-SHER ANTICORROSIVO BASE AGUA ROJO TEJA</v>
          </cell>
          <cell r="C452" t="str">
            <v>INTERIOR-EXTERIOR</v>
          </cell>
          <cell r="D452" t="str">
            <v>METAL, LAMINA GLAVANIZADA</v>
          </cell>
          <cell r="E452" t="str">
            <v>LIMPIA, SECA Y LIBRE DE POLVO Y GRASA</v>
          </cell>
          <cell r="F452" t="str">
            <v>NINGUNO</v>
          </cell>
          <cell r="G452" t="str">
            <v>10.6 LBS/GL</v>
          </cell>
          <cell r="H452" t="str">
            <v>30.10%</v>
          </cell>
          <cell r="I452" t="str">
            <v>51%</v>
          </cell>
          <cell r="J452" t="str">
            <v>20.9%</v>
          </cell>
          <cell r="K452" t="str">
            <v>33.42%</v>
          </cell>
          <cell r="L452" t="str">
            <v>39%</v>
          </cell>
          <cell r="M452" t="str">
            <v>95-100 KU</v>
          </cell>
          <cell r="N452" t="str">
            <v>BROCHA</v>
          </cell>
          <cell r="O452" t="str">
            <v>-</v>
          </cell>
          <cell r="P452" t="str">
            <v>HASTA UN 20%</v>
          </cell>
          <cell r="Q452" t="str">
            <v>AGUA</v>
          </cell>
          <cell r="R452" t="str">
            <v>1 MILLS</v>
          </cell>
          <cell r="S452" t="str">
            <v>AL AIRE</v>
          </cell>
          <cell r="T452" t="str">
            <v>-</v>
          </cell>
          <cell r="U452" t="str">
            <v>58 MTS CUADRADOS/GL A UN MILLS DE PELICULA SECA</v>
          </cell>
          <cell r="V452" t="str">
            <v>LIGERAMENTE SATINADO</v>
          </cell>
          <cell r="W452" t="str">
            <v>-</v>
          </cell>
          <cell r="X452" t="str">
            <v>2 AÑOS</v>
          </cell>
          <cell r="Y452" t="str">
            <v>COSTA RICA</v>
          </cell>
          <cell r="Z452" t="str">
            <v>-</v>
          </cell>
          <cell r="AA452" t="str">
            <v>-</v>
          </cell>
          <cell r="AB452" t="str">
            <v>Soraya de Quijada</v>
          </cell>
          <cell r="AC452" t="str">
            <v>Junio 13, 2003</v>
          </cell>
        </row>
        <row r="453">
          <cell r="A453" t="str">
            <v>SAA 5940</v>
          </cell>
          <cell r="B453" t="str">
            <v>KEM CATI COAT ENAMEL GRIS NAVAL</v>
          </cell>
          <cell r="C453" t="str">
            <v>INTERIOR-EXTERIOR</v>
          </cell>
          <cell r="D453" t="str">
            <v>ACERO</v>
          </cell>
          <cell r="E453" t="str">
            <v>LIMPIA, SECA Y LIBRE DE POLVO Y GRASA</v>
          </cell>
          <cell r="F453" t="str">
            <v>B69G31 KEM CATI COAT PRIMER</v>
          </cell>
          <cell r="G453" t="str">
            <v>10.76 LBS/GL</v>
          </cell>
          <cell r="H453" t="str">
            <v>31.5%</v>
          </cell>
          <cell r="I453" t="str">
            <v>59.60%</v>
          </cell>
          <cell r="J453" t="str">
            <v>28.13%</v>
          </cell>
          <cell r="K453" t="str">
            <v>25.63%</v>
          </cell>
          <cell r="L453" t="str">
            <v>42.18%</v>
          </cell>
          <cell r="M453" t="str">
            <v>10-15 SEGUNDOS EN COPA SW 3</v>
          </cell>
          <cell r="N453" t="str">
            <v>BROCHA-PISTOLA</v>
          </cell>
          <cell r="O453" t="str">
            <v>-</v>
          </cell>
          <cell r="P453" t="str">
            <v>-</v>
          </cell>
          <cell r="Q453" t="str">
            <v>R7K54 INDUSTRIAL REDUCER</v>
          </cell>
          <cell r="R453" t="str">
            <v>-</v>
          </cell>
          <cell r="S453" t="str">
            <v>AL AIRE</v>
          </cell>
          <cell r="T453" t="str">
            <v>-</v>
          </cell>
          <cell r="U453" t="str">
            <v>60 MTS CUADRADOS/GL A UN MILLS DE PELICULA SECA</v>
          </cell>
          <cell r="V453" t="str">
            <v>BRILLANTE</v>
          </cell>
          <cell r="W453" t="str">
            <v>-</v>
          </cell>
          <cell r="X453" t="str">
            <v>1 AÑO</v>
          </cell>
          <cell r="Y453" t="str">
            <v>PANAMA</v>
          </cell>
          <cell r="Z453" t="str">
            <v>-</v>
          </cell>
          <cell r="AA453" t="str">
            <v>CATALIZAR 1:1 EN VOLUMEN CON KEM CATI COAT CATALYST V66V19 Y DEJAR REPOSAR LA MEZCLA POR 30 MINUTOS ANTES DE REDUCIR Y APLICAR. PRODUCTO LIBRE DE PLOMO</v>
          </cell>
          <cell r="AB453" t="str">
            <v>Soraya de Quijada</v>
          </cell>
          <cell r="AC453" t="str">
            <v>Junio 19, 2003</v>
          </cell>
        </row>
        <row r="454">
          <cell r="A454" t="str">
            <v>SAA 5947</v>
          </cell>
          <cell r="B454" t="str">
            <v>COLONIAL ANTICORROSIVO SEMIBRILLANTE VERDE INTENSO</v>
          </cell>
          <cell r="C454" t="str">
            <v>INTERIOR-EXTERIOR</v>
          </cell>
          <cell r="D454" t="str">
            <v>METAL</v>
          </cell>
          <cell r="E454" t="str">
            <v>LIMPIA, SECA Y LIBRE DE POLVO Y GRASA</v>
          </cell>
          <cell r="F454" t="str">
            <v>NINGUNO</v>
          </cell>
          <cell r="G454" t="str">
            <v>8.53 LBS/GL</v>
          </cell>
          <cell r="H454" t="str">
            <v>16%</v>
          </cell>
          <cell r="I454" t="str">
            <v>42.7%</v>
          </cell>
          <cell r="J454" t="str">
            <v>26.2%</v>
          </cell>
          <cell r="K454" t="str">
            <v>19.1%</v>
          </cell>
          <cell r="L454" t="str">
            <v>31.33%</v>
          </cell>
          <cell r="M454" t="str">
            <v>75-80 KU</v>
          </cell>
          <cell r="N454" t="str">
            <v>BROCHA-PISTOLA</v>
          </cell>
          <cell r="O454" t="str">
            <v>-</v>
          </cell>
          <cell r="P454" t="str">
            <v>HASTA UN 15%</v>
          </cell>
          <cell r="Q454" t="str">
            <v>R1K4</v>
          </cell>
          <cell r="R454" t="str">
            <v>1 MILLS</v>
          </cell>
          <cell r="S454" t="str">
            <v>AL AIRE</v>
          </cell>
          <cell r="T454" t="str">
            <v>-</v>
          </cell>
          <cell r="U454" t="str">
            <v>46 MTS CUADRADOS/GL A UN MILLS DE PELICULA SECA</v>
          </cell>
          <cell r="V454" t="str">
            <v>SEMIBRILLANTE 40-45 A 60 GRADOS</v>
          </cell>
          <cell r="W454" t="str">
            <v>-</v>
          </cell>
          <cell r="X454" t="str">
            <v>2 AÑOS</v>
          </cell>
          <cell r="Y454" t="str">
            <v>DIDEMA-GUATEMALA</v>
          </cell>
          <cell r="Z454" t="str">
            <v>-</v>
          </cell>
          <cell r="AA454" t="str">
            <v>COLOR DEL B4G85 VERDE INTENSO DE EXCELLO ACEITE</v>
          </cell>
          <cell r="AB454" t="str">
            <v>Soraya de Quijada</v>
          </cell>
          <cell r="AC454" t="str">
            <v>Julio 1, 2003</v>
          </cell>
        </row>
        <row r="455">
          <cell r="A455" t="str">
            <v>K54WSA2</v>
          </cell>
          <cell r="B455" t="str">
            <v>RECUBRIMIENTO BLANCO PARA GRAMA SINTETICA</v>
          </cell>
          <cell r="C455" t="str">
            <v>INTERIOR-EXTERIOR</v>
          </cell>
          <cell r="D455" t="str">
            <v>GRAMA SINTETICA</v>
          </cell>
          <cell r="E455" t="str">
            <v>LIMPIA, SECA Y LIBRE DE POLVO Y GRASA</v>
          </cell>
          <cell r="F455" t="str">
            <v>NINGUNO</v>
          </cell>
          <cell r="G455" t="str">
            <v>9.38 LBS/GL</v>
          </cell>
          <cell r="H455" t="str">
            <v>13.85%</v>
          </cell>
          <cell r="I455" t="str">
            <v>24.48%</v>
          </cell>
          <cell r="J455" t="str">
            <v>-</v>
          </cell>
          <cell r="K455" t="str">
            <v>26%</v>
          </cell>
          <cell r="L455" t="str">
            <v>14.74%</v>
          </cell>
          <cell r="M455" t="str">
            <v>80-85 KU</v>
          </cell>
          <cell r="N455" t="str">
            <v>BROCHA</v>
          </cell>
          <cell r="O455" t="str">
            <v>SEGÚN LAS NECESIDADES DEL CLIENTE PUEDE REDUCIRSE HASTA UN 50%</v>
          </cell>
          <cell r="P455" t="str">
            <v>HASTA UN 50%</v>
          </cell>
          <cell r="Q455" t="str">
            <v>AGUA</v>
          </cell>
          <cell r="R455" t="str">
            <v>-</v>
          </cell>
          <cell r="S455" t="str">
            <v>AL SOL UN MINIMO DE 48 HRS O HASTA QUE LA PINTURA EN EL FONDO DEL CESPED SE HAYA SECADO</v>
          </cell>
          <cell r="T455" t="str">
            <v>-</v>
          </cell>
          <cell r="U455" t="str">
            <v>DEPERDE DE LA FORMA DE APLICACIÓN Y EL % DE REDUCCION</v>
          </cell>
          <cell r="V455" t="str">
            <v>-</v>
          </cell>
          <cell r="W455" t="str">
            <v>-</v>
          </cell>
          <cell r="X455" t="str">
            <v>2 AÑOS</v>
          </cell>
          <cell r="Y455" t="str">
            <v>-</v>
          </cell>
          <cell r="Z455" t="str">
            <v>CANCHAS DE GRAMA SINTETICA</v>
          </cell>
          <cell r="AA455" t="str">
            <v>-</v>
          </cell>
          <cell r="AB455" t="str">
            <v>Soraya de Quijada</v>
          </cell>
          <cell r="AC455" t="str">
            <v>Julio 14, 2003</v>
          </cell>
        </row>
        <row r="456">
          <cell r="A456" t="str">
            <v>B60V70</v>
          </cell>
          <cell r="B456" t="str">
            <v>TILE CLAD II ACTIVATOR PART B PANAMA</v>
          </cell>
          <cell r="C456" t="str">
            <v>-</v>
          </cell>
          <cell r="D456" t="str">
            <v>-</v>
          </cell>
          <cell r="E456" t="str">
            <v>-</v>
          </cell>
          <cell r="F456" t="str">
            <v>NINGUNO</v>
          </cell>
          <cell r="G456" t="str">
            <v>8.43 LBS/GL</v>
          </cell>
          <cell r="H456" t="str">
            <v>0.0%</v>
          </cell>
          <cell r="I456" t="str">
            <v>51.52%</v>
          </cell>
          <cell r="J456" t="str">
            <v>51.52%</v>
          </cell>
          <cell r="K456" t="str">
            <v>0.0%</v>
          </cell>
          <cell r="L456" t="str">
            <v>45.27%</v>
          </cell>
          <cell r="M456" t="str">
            <v>F-H GARDNER TUBES</v>
          </cell>
          <cell r="N456" t="str">
            <v>BROCHA-PISTOLA</v>
          </cell>
          <cell r="O456" t="str">
            <v>-</v>
          </cell>
          <cell r="P456" t="str">
            <v>-</v>
          </cell>
          <cell r="Q456" t="str">
            <v>R2K4</v>
          </cell>
          <cell r="R456" t="str">
            <v>-</v>
          </cell>
          <cell r="S456" t="str">
            <v>-</v>
          </cell>
          <cell r="T456" t="str">
            <v>-</v>
          </cell>
          <cell r="U456" t="str">
            <v>-</v>
          </cell>
          <cell r="V456" t="str">
            <v>BRILLANTE</v>
          </cell>
          <cell r="W456" t="str">
            <v>-</v>
          </cell>
          <cell r="X456" t="str">
            <v>2 AÑOS</v>
          </cell>
          <cell r="Y456" t="str">
            <v>PANAMA</v>
          </cell>
          <cell r="Z456" t="str">
            <v>-</v>
          </cell>
          <cell r="AA456" t="str">
            <v>CATALIZAR 1:1 EN VOLUMEN CON TILE CLAD II ENAMEL PART A Y REPOSAR LA MEZCLA POR 30 MIN. ANTES DE REDUCIR Y APLICAR. PRODUCTO LIBRE DE PLOMO ESPECIAL PARA PRODUCTO ANTES FABRICADO EN  PANAMA</v>
          </cell>
          <cell r="AB456" t="str">
            <v>Soraya de Quijada</v>
          </cell>
          <cell r="AC456" t="str">
            <v>Julio 15, 2003</v>
          </cell>
        </row>
        <row r="457">
          <cell r="A457" t="str">
            <v>B97WD2257</v>
          </cell>
          <cell r="B457" t="str">
            <v>PINT.BLAN.P/TRAF.BASE AGUA Q.D. TM 2116</v>
          </cell>
          <cell r="C457" t="str">
            <v>Interior - Exterior</v>
          </cell>
          <cell r="D457" t="str">
            <v>ASFALTO - CONCRETO</v>
          </cell>
          <cell r="E457" t="str">
            <v>LIMPIA, SECA Y LIBRE DE EXUDACIONES DE ASFALTO</v>
          </cell>
          <cell r="F457" t="str">
            <v>NINGUNO.</v>
          </cell>
          <cell r="G457" t="str">
            <v>12 .43 LBS / GL.</v>
          </cell>
          <cell r="H457" t="str">
            <v>52 %.</v>
          </cell>
          <cell r="I457" t="str">
            <v>69. 68 %</v>
          </cell>
          <cell r="J457" t="str">
            <v>-</v>
          </cell>
          <cell r="K457" t="str">
            <v xml:space="preserve">51. 59 </v>
          </cell>
          <cell r="L457" t="str">
            <v>50 +/-2 %</v>
          </cell>
          <cell r="M457" t="str">
            <v>70 - 75 KU</v>
          </cell>
          <cell r="N457" t="str">
            <v>Brocha, Rodillo Industrial, Máquina Franjeadora, Etc.</v>
          </cell>
          <cell r="O457" t="str">
            <v>LISTA PARA USAR</v>
          </cell>
          <cell r="P457" t="str">
            <v>NINGUNO</v>
          </cell>
          <cell r="Q457" t="str">
            <v xml:space="preserve">AGUA LIMPIA SI ES NECESARIO  </v>
          </cell>
          <cell r="R457" t="str">
            <v>7mils</v>
          </cell>
          <cell r="S457" t="str">
            <v>30 MINUTOS. NO TRANSITAR ANTES DE 1HORA.</v>
          </cell>
          <cell r="T457" t="str">
            <v>-</v>
          </cell>
          <cell r="U457" t="str">
            <v>10 - 11 MTS CUADRADOSA 7 MILS SECO.</v>
          </cell>
          <cell r="V457" t="str">
            <v>1 - 2 MATE</v>
          </cell>
          <cell r="W457" t="str">
            <v>-</v>
          </cell>
          <cell r="X457" t="str">
            <v>12 MESES  CORRECTAMENTE TAPADO Y ALMACENADO A 25°C</v>
          </cell>
          <cell r="Y457" t="str">
            <v>VARIOS</v>
          </cell>
          <cell r="Z457" t="str">
            <v>-</v>
          </cell>
          <cell r="AA457" t="str">
            <v>SIN GRUMOS</v>
          </cell>
          <cell r="AB457" t="str">
            <v>Ana Irene Mendez Vides</v>
          </cell>
          <cell r="AC457" t="str">
            <v>21 / JULIO / 2003.</v>
          </cell>
        </row>
        <row r="458">
          <cell r="A458" t="str">
            <v>B97YD2262</v>
          </cell>
          <cell r="B458" t="str">
            <v>P1NT. AMAR.P/TRAF.BASE AGUA Q.D. TM2117</v>
          </cell>
          <cell r="C458" t="str">
            <v>Interior - Exterior</v>
          </cell>
          <cell r="D458" t="str">
            <v>ASFALTO - CONCRETO</v>
          </cell>
          <cell r="E458" t="str">
            <v xml:space="preserve">LIMPIA,SECA Y LIBRE </v>
          </cell>
          <cell r="F458" t="str">
            <v>NINGUNO</v>
          </cell>
          <cell r="G458" t="str">
            <v>12 .53 LBS / GL.</v>
          </cell>
          <cell r="H458" t="str">
            <v>52 %</v>
          </cell>
          <cell r="I458" t="str">
            <v>69. 54 %</v>
          </cell>
          <cell r="J458" t="str">
            <v>-</v>
          </cell>
          <cell r="K458" t="str">
            <v>50.12 %</v>
          </cell>
          <cell r="L458" t="str">
            <v>50 +/-2 %</v>
          </cell>
          <cell r="M458" t="str">
            <v>70 75 KU.</v>
          </cell>
          <cell r="N458" t="str">
            <v>BROCA,RODILLO INDUSTRIA,MAQUINA FRANJEADORA, ETC.</v>
          </cell>
          <cell r="O458" t="str">
            <v>LISTA PARA USAR</v>
          </cell>
          <cell r="P458" t="str">
            <v>NINGUNO</v>
          </cell>
          <cell r="Q458" t="str">
            <v>AGUA LIMPIA SI ES NECESARIO.</v>
          </cell>
          <cell r="R458" t="str">
            <v>7mils</v>
          </cell>
          <cell r="S458" t="str">
            <v>30 MINUTOS. NO TRANSITAR ANTES DE 1HORA.</v>
          </cell>
          <cell r="T458" t="str">
            <v>-</v>
          </cell>
          <cell r="U458" t="str">
            <v>10 - 11 MTS CUADRADOS A 7 MILS SECO.</v>
          </cell>
          <cell r="V458" t="str">
            <v>1 - 2 MATE</v>
          </cell>
          <cell r="W458" t="str">
            <v>-</v>
          </cell>
          <cell r="X458" t="str">
            <v>12 MESES  CORRECTAMENTE TAPADO Y ALMACENADO A 25°C</v>
          </cell>
          <cell r="Y458" t="str">
            <v>VARIOS</v>
          </cell>
          <cell r="Z458" t="str">
            <v>-</v>
          </cell>
          <cell r="AA458" t="str">
            <v>SIN GRUMOS.</v>
          </cell>
          <cell r="AB458" t="str">
            <v>Ana Irene Mendez Vides</v>
          </cell>
          <cell r="AC458" t="str">
            <v>21 / JULIO / 2003.</v>
          </cell>
        </row>
        <row r="459">
          <cell r="A459" t="str">
            <v>A86WSA14</v>
          </cell>
          <cell r="B459" t="str">
            <v>TRA. PAINT WHITE REFLECTORIZED TTP - 87D</v>
          </cell>
          <cell r="C459" t="str">
            <v>EXTERIOR</v>
          </cell>
          <cell r="D459" t="str">
            <v>ASFALTO - CONCRETO</v>
          </cell>
          <cell r="E459" t="str">
            <v>LIMPIA Y SECA</v>
          </cell>
          <cell r="F459" t="str">
            <v>NINGUNO</v>
          </cell>
          <cell r="G459" t="str">
            <v>12. 36 LBS / GL.</v>
          </cell>
          <cell r="H459" t="str">
            <v>-</v>
          </cell>
          <cell r="I459" t="str">
            <v>74. 72 %</v>
          </cell>
          <cell r="J459" t="str">
            <v>-</v>
          </cell>
          <cell r="K459" t="str">
            <v>35. 68 %</v>
          </cell>
          <cell r="L459" t="str">
            <v>53. 86 %</v>
          </cell>
          <cell r="M459" t="str">
            <v>70 - 80 KU</v>
          </cell>
          <cell r="N459" t="str">
            <v>Brocha, Rodillo Industrial, Máquina Franjeadora, Etc.</v>
          </cell>
          <cell r="O459" t="str">
            <v>CON MAQUINA FRANJEADORA, REDUZCA CON 1 / 8 DE GALON.</v>
          </cell>
          <cell r="P459" t="str">
            <v>Listo para usarse con Brocha y Rodillo.</v>
          </cell>
          <cell r="Q459" t="str">
            <v>R2K1, DILUYENTE INDUSTRIAL RAPIDO</v>
          </cell>
          <cell r="R459" t="str">
            <v>7MILS</v>
          </cell>
          <cell r="S459" t="str">
            <v>SECO TOCAR 40 MIN. NO TRANSITAR ANTES DE I H.30 MINUTOS</v>
          </cell>
          <cell r="T459" t="str">
            <v>-</v>
          </cell>
          <cell r="U459" t="str">
            <v>10 - 11 MTS CUADRADOS / GL.</v>
          </cell>
          <cell r="V459" t="str">
            <v>MATE</v>
          </cell>
          <cell r="W459" t="str">
            <v>-</v>
          </cell>
          <cell r="X459" t="str">
            <v>12 MESES CORRECTAMENTE TAPADO Y ALMACENADO A 25° C.</v>
          </cell>
          <cell r="Y459" t="str">
            <v>VARIOS</v>
          </cell>
          <cell r="Z459" t="str">
            <v>-</v>
          </cell>
          <cell r="AA459" t="str">
            <v xml:space="preserve">Finura Hegman: 3H-0 </v>
          </cell>
          <cell r="AB459" t="str">
            <v>Ana Irene Mendez Vides</v>
          </cell>
          <cell r="AC459" t="str">
            <v>21 / JULIO / 2003.</v>
          </cell>
        </row>
        <row r="460">
          <cell r="A460" t="str">
            <v>A86YSA16</v>
          </cell>
          <cell r="B460" t="str">
            <v>TRAF. PAINT YELLOW REFLECTORIZED TTP -87 D</v>
          </cell>
          <cell r="C460" t="str">
            <v>EXTERIOR</v>
          </cell>
          <cell r="D460" t="str">
            <v>ASFALTO - CONCRETO</v>
          </cell>
          <cell r="E460" t="str">
            <v>LIMPIA Y SECA</v>
          </cell>
          <cell r="F460" t="str">
            <v>NINGUNO</v>
          </cell>
          <cell r="G460" t="str">
            <v>12. 55 LBS / GL.</v>
          </cell>
          <cell r="H460" t="str">
            <v>-</v>
          </cell>
          <cell r="I460" t="str">
            <v>75. 25 %</v>
          </cell>
          <cell r="J460" t="str">
            <v>-</v>
          </cell>
          <cell r="K460" t="str">
            <v>36. 02 %</v>
          </cell>
          <cell r="L460" t="str">
            <v>54. 14 %</v>
          </cell>
          <cell r="M460" t="str">
            <v>70 - 80 KU</v>
          </cell>
          <cell r="N460" t="str">
            <v>Brocha, Rodillo Industrial, Máquina Franjeadora, Etc.</v>
          </cell>
          <cell r="O460" t="str">
            <v>CON MAQUINA FRANJEADORA, REDUZCA CON 1 / 8 DE GALON.</v>
          </cell>
          <cell r="P460" t="str">
            <v>Listo para usarse con Brocha y Rodillo.</v>
          </cell>
          <cell r="Q460" t="str">
            <v>R2K1, DILUYENTE INDUSTRIAL RAPIDO</v>
          </cell>
          <cell r="R460" t="str">
            <v>7MILS</v>
          </cell>
          <cell r="S460" t="str">
            <v>SECO TOCAR 40 MIN. NO TRANSITAR ANTES DE I H.30 MINUTOS</v>
          </cell>
          <cell r="T460" t="str">
            <v>-</v>
          </cell>
          <cell r="U460" t="str">
            <v>10 - 11 MTS CUADRADOS / GL.</v>
          </cell>
          <cell r="V460" t="str">
            <v>MATE</v>
          </cell>
          <cell r="W460" t="str">
            <v>-</v>
          </cell>
          <cell r="X460" t="str">
            <v>12 MESES CORRECTAMENTE TAPADO Y ALMACENADO A 25° C.</v>
          </cell>
          <cell r="Y460" t="str">
            <v>VARIOS</v>
          </cell>
          <cell r="Z460" t="str">
            <v>-</v>
          </cell>
          <cell r="AA460" t="str">
            <v xml:space="preserve">Finura Hegman: 3H-0 </v>
          </cell>
          <cell r="AB460" t="str">
            <v>Ana Irene Mendez Vides</v>
          </cell>
          <cell r="AC460" t="str">
            <v>21 / JULIO / 2003.</v>
          </cell>
        </row>
        <row r="461">
          <cell r="A461" t="str">
            <v>LINEA A8</v>
          </cell>
          <cell r="B461" t="str">
            <v>EXCELLO LATEX PINTURA SEMIBRILLANTE</v>
          </cell>
          <cell r="C461" t="str">
            <v>Interior-Exterior</v>
          </cell>
          <cell r="D461" t="str">
            <v>CONCRETO,LADRILLO</v>
          </cell>
          <cell r="E461" t="str">
            <v>LIMPIA,SECA, LIBRE DE POLVO,GRASA,HONGOS,PINTURA DESCASCARADA</v>
          </cell>
          <cell r="F461" t="str">
            <v>FAST DRY LATEX WALL PRIMER</v>
          </cell>
          <cell r="G461" t="str">
            <v>10 .00 +/- .5 LBS / GL</v>
          </cell>
          <cell r="H461" t="str">
            <v>-</v>
          </cell>
          <cell r="I461" t="str">
            <v>43 .29 %</v>
          </cell>
          <cell r="J461" t="str">
            <v>-</v>
          </cell>
          <cell r="K461" t="str">
            <v>24 .90 %</v>
          </cell>
          <cell r="L461" t="str">
            <v>29 .63 %</v>
          </cell>
          <cell r="M461" t="str">
            <v>90 - 95 KU</v>
          </cell>
          <cell r="N461" t="str">
            <v>BROCHA - RODILLO</v>
          </cell>
          <cell r="O461" t="str">
            <v>LISTA PARA USAR</v>
          </cell>
          <cell r="P461" t="str">
            <v>NINGUNO.</v>
          </cell>
          <cell r="Q461" t="str">
            <v>AGUA PARA LAVAR EQUIPO.</v>
          </cell>
          <cell r="R461" t="str">
            <v>1 MILS</v>
          </cell>
          <cell r="S461" t="str">
            <v>AL TACTO 1 HORA, RETOCAR : 2 - 4 HORAS</v>
          </cell>
          <cell r="T461" t="str">
            <v>-</v>
          </cell>
          <cell r="U461" t="str">
            <v>40 Mts CUADRADOS A 1 MILS DE ESPESOR</v>
          </cell>
          <cell r="V461" t="str">
            <v>25 - 30</v>
          </cell>
          <cell r="W461" t="str">
            <v>-</v>
          </cell>
          <cell r="X461" t="str">
            <v>36 MESES SIN DESTAPAR A 25 ° C</v>
          </cell>
          <cell r="Y461" t="str">
            <v>VARIOS</v>
          </cell>
          <cell r="Z461" t="str">
            <v>-</v>
          </cell>
          <cell r="AA461" t="str">
            <v>ESTE PRODUCTO NO CONTIENE PLOMO NI MERCURIO</v>
          </cell>
          <cell r="AB461" t="str">
            <v>ANA IRENE MENDEZ VIDES.</v>
          </cell>
          <cell r="AC461" t="str">
            <v>1° AGOSTO 2003</v>
          </cell>
        </row>
        <row r="462">
          <cell r="A462" t="str">
            <v>B50A1-A</v>
          </cell>
          <cell r="B462" t="str">
            <v>GALVANIZED IRON PRIMER PARTE A</v>
          </cell>
          <cell r="C462" t="str">
            <v>INTERIOR-EXTERIOR</v>
          </cell>
          <cell r="D462" t="str">
            <v>ACERO-LAMINA GALVANIZADA</v>
          </cell>
          <cell r="E462" t="str">
            <v>LIMPIA,SECA, LIBRE DE POLVO,GRASA,PINTURA DESCASCARADA</v>
          </cell>
          <cell r="F462" t="str">
            <v>-</v>
          </cell>
          <cell r="G462" t="str">
            <v>11.50 LBS/GL</v>
          </cell>
          <cell r="H462" t="str">
            <v>45.98%</v>
          </cell>
          <cell r="I462" t="str">
            <v>77.52%</v>
          </cell>
          <cell r="J462" t="str">
            <v>31.54%</v>
          </cell>
          <cell r="K462" t="str">
            <v>28.15%</v>
          </cell>
          <cell r="L462" t="str">
            <v>54.36%</v>
          </cell>
          <cell r="M462" t="str">
            <v>77-85 KU</v>
          </cell>
          <cell r="N462" t="str">
            <v>BROCHA</v>
          </cell>
          <cell r="O462" t="str">
            <v>-</v>
          </cell>
          <cell r="P462" t="str">
            <v xml:space="preserve">LA NECESARIA  </v>
          </cell>
          <cell r="Q462" t="str">
            <v>R1K4 MINERAL SPIRITS</v>
          </cell>
          <cell r="R462" t="str">
            <v>1 MILLS</v>
          </cell>
          <cell r="S462" t="str">
            <v>SECO TOCAR: 4-6 HORAS; SECO COMPLETO: 8-12 HORAS</v>
          </cell>
          <cell r="T462" t="str">
            <v>-</v>
          </cell>
          <cell r="U462" t="str">
            <v>60 Mts CUADRADOS A 1 MILS DE ESPESOR</v>
          </cell>
          <cell r="V462" t="str">
            <v>LIGERAMENTE SATINADO</v>
          </cell>
          <cell r="W462" t="str">
            <v>-</v>
          </cell>
          <cell r="X462" t="str">
            <v>24 MESES SIN DESTAPAR A 25 ° C</v>
          </cell>
          <cell r="Y462" t="str">
            <v>PANAMA</v>
          </cell>
          <cell r="Z462" t="str">
            <v>-</v>
          </cell>
          <cell r="AA462" t="str">
            <v>ESTE PRODUCTO CONSTA DE DOS PARTES, PARTE A Y PARTE B AMBAS PARTES DEBEN MEZCLARSE PARA OBTENER EL PRODUCTO FINAL Y APLICAR</v>
          </cell>
          <cell r="AB462" t="str">
            <v>Soraya de Quijada</v>
          </cell>
          <cell r="AC462" t="str">
            <v>20 AGOSTO 2003</v>
          </cell>
        </row>
        <row r="463">
          <cell r="A463" t="str">
            <v>B50A1-B</v>
          </cell>
          <cell r="B463" t="str">
            <v>GALVANIZED IRON PRIMER PARTE B</v>
          </cell>
          <cell r="C463" t="str">
            <v>-</v>
          </cell>
          <cell r="D463" t="str">
            <v>-</v>
          </cell>
          <cell r="E463" t="str">
            <v>-</v>
          </cell>
          <cell r="F463" t="str">
            <v>-</v>
          </cell>
          <cell r="G463" t="str">
            <v>58.8 LBS/GL</v>
          </cell>
          <cell r="H463" t="str">
            <v>100%</v>
          </cell>
          <cell r="I463" t="str">
            <v>100%</v>
          </cell>
          <cell r="J463" t="str">
            <v>-</v>
          </cell>
          <cell r="K463" t="str">
            <v>-</v>
          </cell>
          <cell r="L463" t="str">
            <v>-</v>
          </cell>
          <cell r="M463" t="str">
            <v>SOLIDO</v>
          </cell>
          <cell r="N463" t="str">
            <v>-</v>
          </cell>
          <cell r="O463" t="str">
            <v>-</v>
          </cell>
          <cell r="P463" t="str">
            <v>-</v>
          </cell>
          <cell r="Q463" t="str">
            <v>-</v>
          </cell>
          <cell r="R463" t="str">
            <v>-</v>
          </cell>
          <cell r="S463" t="str">
            <v>-</v>
          </cell>
          <cell r="T463" t="str">
            <v>-</v>
          </cell>
          <cell r="U463" t="str">
            <v>-</v>
          </cell>
          <cell r="V463" t="str">
            <v>-</v>
          </cell>
          <cell r="W463" t="str">
            <v>-</v>
          </cell>
          <cell r="X463" t="str">
            <v>-</v>
          </cell>
          <cell r="Y463" t="str">
            <v>PANAMA</v>
          </cell>
          <cell r="Z463" t="str">
            <v>-</v>
          </cell>
          <cell r="AA463" t="str">
            <v>POLVO DE ZINC.ESTE PRODUCTO CONSTA DE DOS PARTES, PARTE A Y PARTE B AMBAS PARTES DEBEN MEZCLARSE PARA OBTENER EL PRODUCTO FINAL Y APLICAR</v>
          </cell>
          <cell r="AB463" t="str">
            <v>Soraya de Quijada</v>
          </cell>
          <cell r="AC463" t="str">
            <v>20 AGOSTO 2003</v>
          </cell>
        </row>
        <row r="464">
          <cell r="A464" t="str">
            <v>S66NSA2</v>
          </cell>
          <cell r="B464" t="str">
            <v>GLAZE BRISTO WALNUT</v>
          </cell>
          <cell r="C464" t="str">
            <v>INTERIOR-EXTERIOR</v>
          </cell>
          <cell r="D464" t="str">
            <v>MADERA</v>
          </cell>
          <cell r="E464" t="str">
            <v>LIJADO Y LIBRE DE POLVO</v>
          </cell>
          <cell r="F464" t="str">
            <v>DE PREFERENCIA SE APLICA DESPUES DE LA MANO DELGADA DE SELLADOR (WASHCOAT)</v>
          </cell>
          <cell r="G464" t="str">
            <v>9.65 LBS</v>
          </cell>
          <cell r="H464" t="str">
            <v>5%</v>
          </cell>
          <cell r="I464" t="str">
            <v>60.0%</v>
          </cell>
          <cell r="J464" t="str">
            <v>34.56%</v>
          </cell>
          <cell r="K464" t="str">
            <v>40.92%</v>
          </cell>
          <cell r="L464" t="str">
            <v>40.0%</v>
          </cell>
          <cell r="M464" t="str">
            <v>85-90 KU</v>
          </cell>
          <cell r="N464" t="str">
            <v>BROCHA, WIPE, PISTOLA</v>
          </cell>
          <cell r="O464" t="str">
            <v>DE PREFERENCIA A 20-25 SEG ZANH 2</v>
          </cell>
          <cell r="P464" t="str">
            <v xml:space="preserve">HASTA 200% </v>
          </cell>
          <cell r="Q464" t="str">
            <v>R1K4, R1K3</v>
          </cell>
          <cell r="R464" t="str">
            <v>-</v>
          </cell>
          <cell r="S464" t="str">
            <v>30-45 MIN.</v>
          </cell>
          <cell r="T464" t="str">
            <v>-</v>
          </cell>
          <cell r="U464" t="str">
            <v>61.53 METROS CUADRADOS POR GALON A 1 MILS DE PELICULA SECA</v>
          </cell>
          <cell r="V464" t="str">
            <v>-</v>
          </cell>
          <cell r="W464" t="str">
            <v>-</v>
          </cell>
          <cell r="X464" t="str">
            <v>1 AÑO</v>
          </cell>
          <cell r="Y464" t="str">
            <v>DIDEMA HONDURAS</v>
          </cell>
          <cell r="Z464" t="str">
            <v>-</v>
          </cell>
          <cell r="AB464" t="str">
            <v>Juan Antonio Méndez</v>
          </cell>
          <cell r="AC464" t="str">
            <v>6 de noviembre del 2006</v>
          </cell>
        </row>
        <row r="465">
          <cell r="A465" t="str">
            <v>S66NSA3</v>
          </cell>
          <cell r="B465" t="str">
            <v>GLAZE CHERRY</v>
          </cell>
          <cell r="C465" t="str">
            <v>INTERIOR-EXTERIOR</v>
          </cell>
          <cell r="D465" t="str">
            <v>MADERA</v>
          </cell>
          <cell r="E465" t="str">
            <v>LIJADO Y LIBRE DE POLVO</v>
          </cell>
          <cell r="F465" t="str">
            <v>DE PREFERENCIA SE APLICA DESPUES DE LA MANO DELGADA DE SELLADOR (WASHCOAT)</v>
          </cell>
          <cell r="G465" t="str">
            <v>9.65 LBS</v>
          </cell>
          <cell r="H465" t="str">
            <v>8.22 %</v>
          </cell>
          <cell r="I465" t="str">
            <v>60.0%</v>
          </cell>
          <cell r="J465" t="str">
            <v>35.55%</v>
          </cell>
          <cell r="K465" t="str">
            <v>37%</v>
          </cell>
          <cell r="L465" t="str">
            <v>39.47%</v>
          </cell>
          <cell r="M465" t="str">
            <v>85-90 KU</v>
          </cell>
          <cell r="N465" t="str">
            <v>BROCHA, WIPE, PISTOLA</v>
          </cell>
          <cell r="O465" t="str">
            <v>DE PREFERENCIA A 25-20 SEG ZANH 2</v>
          </cell>
          <cell r="P465" t="str">
            <v xml:space="preserve">HASTA 200% </v>
          </cell>
          <cell r="Q465" t="str">
            <v>R1K4, R1K3</v>
          </cell>
          <cell r="R465" t="str">
            <v>-</v>
          </cell>
          <cell r="S465" t="str">
            <v>30-45 MIN.</v>
          </cell>
          <cell r="T465" t="str">
            <v>-</v>
          </cell>
          <cell r="U465" t="str">
            <v>58.84 METROS CUADRADOS POR GALON A 1 MILS DE PELICULA SECA</v>
          </cell>
          <cell r="V465" t="str">
            <v>-</v>
          </cell>
          <cell r="W465" t="str">
            <v>-</v>
          </cell>
          <cell r="X465" t="str">
            <v>1 AÑO</v>
          </cell>
          <cell r="Y465" t="str">
            <v>DIDEMA HONDURAS</v>
          </cell>
          <cell r="Z465" t="str">
            <v>-</v>
          </cell>
          <cell r="AB465" t="str">
            <v>Juan Antonio Méndez</v>
          </cell>
          <cell r="AC465" t="str">
            <v>6 de noviembre del 2006</v>
          </cell>
        </row>
        <row r="466">
          <cell r="A466" t="str">
            <v>S66NSA1</v>
          </cell>
          <cell r="B466" t="str">
            <v>GLAZE WARM CHESNUT</v>
          </cell>
          <cell r="C466" t="str">
            <v>INTERIOR-EXTERIOR</v>
          </cell>
          <cell r="D466" t="str">
            <v>MADERA</v>
          </cell>
          <cell r="E466" t="str">
            <v>LIJADO Y LIBRE DE POLVO</v>
          </cell>
          <cell r="F466" t="str">
            <v>DE PREFERENCIA SE APLICA DESPUES DE LA MANO DELGADA DE SELLADOR (WASHCOAT)</v>
          </cell>
          <cell r="G466" t="str">
            <v>8.98 LBS</v>
          </cell>
          <cell r="H466" t="str">
            <v>5.5 %</v>
          </cell>
          <cell r="I466" t="str">
            <v>54%</v>
          </cell>
          <cell r="J466" t="str">
            <v>32%</v>
          </cell>
          <cell r="K466" t="str">
            <v>30.60 %</v>
          </cell>
          <cell r="L466" t="str">
            <v>37 %</v>
          </cell>
          <cell r="M466" t="str">
            <v>85-90 KU</v>
          </cell>
          <cell r="N466" t="str">
            <v>BROCHA, WIPE, PISTOLA</v>
          </cell>
          <cell r="O466" t="str">
            <v>DE PREFERENCIA A 25-20 SEG ZANH 2</v>
          </cell>
          <cell r="P466" t="str">
            <v xml:space="preserve">HASTA 200% </v>
          </cell>
          <cell r="Q466" t="str">
            <v>R1K4, R1K3</v>
          </cell>
          <cell r="R466" t="str">
            <v>-</v>
          </cell>
          <cell r="S466" t="str">
            <v>30-45 MIN.</v>
          </cell>
          <cell r="T466" t="str">
            <v>-</v>
          </cell>
          <cell r="U466" t="str">
            <v>55.13 METROS CUADRADOS POR GALON A 1 MILS DE PELICULA SECA</v>
          </cell>
          <cell r="V466" t="str">
            <v>-</v>
          </cell>
          <cell r="W466" t="str">
            <v>-</v>
          </cell>
          <cell r="X466" t="str">
            <v>1 AÑO</v>
          </cell>
          <cell r="Y466" t="str">
            <v>DIDEMA HONDURAS</v>
          </cell>
          <cell r="Z466" t="str">
            <v>-</v>
          </cell>
          <cell r="AB466" t="str">
            <v>Juan Antonio Méndez</v>
          </cell>
          <cell r="AC466" t="str">
            <v>6 de noviembre del 2006</v>
          </cell>
        </row>
        <row r="467">
          <cell r="A467" t="str">
            <v>B67_2000 PARTE A.    B67V2002 PARTE B.</v>
          </cell>
          <cell r="B467" t="str">
            <v>ARMORSEAL 1000 HS EPOXY</v>
          </cell>
          <cell r="C467" t="str">
            <v>INTERIOR-EXTERIOR</v>
          </cell>
          <cell r="D467" t="str">
            <v>CONCRETO Y HIERRO</v>
          </cell>
          <cell r="E467" t="str">
            <v>CONCRETO: SSPC-SP13/NACE 6 (SEGUN ASTM D4258,D4259 Y D4260).   HIERRO: SSPC-SP6.</v>
          </cell>
          <cell r="F467" t="str">
            <v>NINGUNO</v>
          </cell>
          <cell r="G467" t="str">
            <v>12.51 MEZCLADO Y PUEDE VARIAR POR EL COLOR.</v>
          </cell>
          <cell r="H467" t="str">
            <v>---</v>
          </cell>
          <cell r="I467" t="str">
            <v>74% (MEZCLADO Y PUEDE VARIAR POR EL COLOR)</v>
          </cell>
          <cell r="J467" t="str">
            <v>---</v>
          </cell>
          <cell r="K467" t="str">
            <v>---</v>
          </cell>
          <cell r="L467" t="str">
            <v>65% (MEZCLADO Y PUEDE VARIAR POR EL COLOR)</v>
          </cell>
          <cell r="M467" t="str">
            <v>---</v>
          </cell>
          <cell r="N467" t="str">
            <v xml:space="preserve">AIRLESS, BROCHA, RODILLO, </v>
          </cell>
          <cell r="O467" t="str">
            <v>---</v>
          </cell>
          <cell r="P467" t="str">
            <v>10-15%</v>
          </cell>
          <cell r="Q467" t="str">
            <v>R7K54 INDUSTRIAL REDUCER</v>
          </cell>
          <cell r="R467" t="str">
            <v>6-10 MILS DE PELICULA SECA</v>
          </cell>
          <cell r="S467" t="str">
            <v>TRAFICO PEATONAL:24 HR.  TRAFICO PESADO: 72 HRS. PARA RESISTENCIA QUIMICA 7 DIAS.</v>
          </cell>
          <cell r="T467" t="str">
            <v>--</v>
          </cell>
          <cell r="U467" t="str">
            <v>9-16 MTS CUADRADOS POR GALON A 6-10 MILS SECOS.</v>
          </cell>
          <cell r="V467" t="str">
            <v>BRILLANTE</v>
          </cell>
          <cell r="W467" t="str">
            <v>HB</v>
          </cell>
          <cell r="X467" t="str">
            <v>1 ANO</v>
          </cell>
          <cell r="Y467" t="str">
            <v>VARIOS</v>
          </cell>
          <cell r="AA467" t="str">
            <v>ESPECIFICACIONES OBTENIDAS DE HOJA TECNICA ARMORSEAL 1000 HS.</v>
          </cell>
          <cell r="AB467" t="str">
            <v>Juan Antonio Méndez</v>
          </cell>
          <cell r="AC467" t="str">
            <v>12 DE AGOSTO DEL 2008</v>
          </cell>
        </row>
        <row r="468">
          <cell r="A468" t="str">
            <v>B50 W SA2</v>
          </cell>
          <cell r="B468" t="str">
            <v>PRIMER BLANCO PARA TORRES DE HIERRO GALVANIZADO</v>
          </cell>
          <cell r="C468" t="str">
            <v>EXTERIOR</v>
          </cell>
          <cell r="D468" t="str">
            <v>HIERRO GALVANIZADO</v>
          </cell>
          <cell r="E468" t="str">
            <v>La superficie debe estar limpia, seca y en buenas condiciones. La limpieza debera ser segun SSPC-SP1 de Preferencia con thinner R7K128 o R7K203.</v>
          </cell>
          <cell r="F468" t="str">
            <v>NINGUNO</v>
          </cell>
          <cell r="G468" t="str">
            <v>10.99 ± 0.2 LBS/GALON</v>
          </cell>
          <cell r="H468" t="str">
            <v>29.8% ± 0.2</v>
          </cell>
          <cell r="I468" t="str">
            <v>58% ± 1.0</v>
          </cell>
          <cell r="J468" t="str">
            <v>21.0 % ± 1.0</v>
          </cell>
          <cell r="K468" t="str">
            <v>27.7%</v>
          </cell>
          <cell r="L468" t="str">
            <v>44.2% ± 1.0</v>
          </cell>
          <cell r="M468" t="str">
            <v>110 - 115 KU</v>
          </cell>
          <cell r="N468" t="str">
            <v>BROCHA -PISTOLA</v>
          </cell>
          <cell r="O468" t="str">
            <v>LA NECESARIA</v>
          </cell>
          <cell r="P468" t="str">
            <v>20 % MAX.</v>
          </cell>
          <cell r="Q468" t="str">
            <v>AGUA LIMPIA</v>
          </cell>
          <cell r="R468" t="str">
            <v>1 MILS (25.4  MICRONES)</v>
          </cell>
          <cell r="S468" t="str">
            <v>TOCAR: 30 MIN; RETOCAR: 3 HRS.</v>
          </cell>
          <cell r="T468" t="str">
            <v>-</v>
          </cell>
          <cell r="U468" t="str">
            <v>50-60 Mts2/Galon a 1 mils de espesor de pelicula seca</v>
          </cell>
          <cell r="V468" t="str">
            <v>MATE</v>
          </cell>
          <cell r="W468" t="str">
            <v>-</v>
          </cell>
          <cell r="X468" t="str">
            <v>24 meses sin abrir a 25 grados centigrados.</v>
          </cell>
          <cell r="Y468" t="str">
            <v>VARIOS</v>
          </cell>
          <cell r="Z468" t="str">
            <v>MONTAJE Y ENSAMBLE DE TORRES DE TRANSMISION TELEFONICA</v>
          </cell>
          <cell r="AA468" t="str">
            <v>RECUBRIR CON ACABADO BRILLANTE B50WSA1</v>
          </cell>
          <cell r="AB468" t="str">
            <v>SORAYA DE QUIJADA</v>
          </cell>
          <cell r="AC468" t="str">
            <v>SEPTIEMBRE 1, 2008</v>
          </cell>
        </row>
        <row r="469">
          <cell r="A469" t="str">
            <v>B50 E SA2</v>
          </cell>
          <cell r="B469" t="str">
            <v>PRIMER NARANJA PARA TORRES DE HIERRO GALVANIZADO</v>
          </cell>
          <cell r="C469" t="str">
            <v>EXTERIOR</v>
          </cell>
          <cell r="D469" t="str">
            <v>HIERRO GALVANIZADO</v>
          </cell>
          <cell r="E469" t="str">
            <v>La superficie debe estar limpia, seca y en buenas condiciones. La limpieza debera ser segun SSPC-SP1 de Preferencia con thinner R7K128 o R7K203.</v>
          </cell>
          <cell r="F469" t="str">
            <v>NINGUNO</v>
          </cell>
          <cell r="G469" t="str">
            <v>9.66 ± 0.2 LBS/GALON</v>
          </cell>
          <cell r="H469" t="str">
            <v>13.8% ± 0.2</v>
          </cell>
          <cell r="I469" t="str">
            <v>49.5% ± 1.0</v>
          </cell>
          <cell r="J469" t="str">
            <v>24.0 % ± 1.0</v>
          </cell>
          <cell r="K469" t="str">
            <v>17.5%</v>
          </cell>
          <cell r="L469" t="str">
            <v>38.75% ± 1.0</v>
          </cell>
          <cell r="M469" t="str">
            <v>110 - 115 KU</v>
          </cell>
          <cell r="N469" t="str">
            <v>BROCHA -PISTOLA</v>
          </cell>
          <cell r="O469" t="str">
            <v>LA NECESARIA</v>
          </cell>
          <cell r="P469" t="str">
            <v>20 % MAX.</v>
          </cell>
          <cell r="Q469" t="str">
            <v>AGUA LIMPIA</v>
          </cell>
          <cell r="R469" t="str">
            <v>1 MILS (25.4  MICRONES)</v>
          </cell>
          <cell r="S469" t="str">
            <v>TOCAR: 30 MIN; RETOCAR: 3 HRS.</v>
          </cell>
          <cell r="T469" t="str">
            <v>-</v>
          </cell>
          <cell r="U469" t="str">
            <v>50-60 Mts2/Galon a 1 mils de espesor de pelicula seca</v>
          </cell>
          <cell r="V469" t="str">
            <v>MATE</v>
          </cell>
          <cell r="W469" t="str">
            <v>-</v>
          </cell>
          <cell r="X469" t="str">
            <v>24 meses sin abrir a 25 grados centigrados.</v>
          </cell>
          <cell r="Y469" t="str">
            <v>VARIOS</v>
          </cell>
          <cell r="Z469" t="str">
            <v>MONTAJE Y ENSAMBLE DE TORRES DE TRANSMISION TELEFONICA</v>
          </cell>
          <cell r="AA469" t="str">
            <v>RECUBRIR CON ACABADO BRILLANTE B50ESA1</v>
          </cell>
          <cell r="AB469" t="str">
            <v>SORAYA DE QUIJADA</v>
          </cell>
          <cell r="AC469" t="str">
            <v>SEPTIEMBRE 1, 2008</v>
          </cell>
        </row>
        <row r="470">
          <cell r="A470" t="str">
            <v>SAA 8012</v>
          </cell>
          <cell r="B470" t="str">
            <v>PRIMER BLANCO PARA TORRES DE HIERRO GALVANIZADO</v>
          </cell>
          <cell r="C470" t="str">
            <v>EXTERIOR</v>
          </cell>
          <cell r="D470" t="str">
            <v>HIERRO GALVANIZADO</v>
          </cell>
          <cell r="E470" t="str">
            <v>La superficie debe estar limpia, seca y en buenas condiciones. La limpieza debera ser segun SSPC-SP1 de Preferencia con thinner R7K128 o R7K203.</v>
          </cell>
          <cell r="F470" t="str">
            <v>NINGUNO</v>
          </cell>
          <cell r="G470" t="str">
            <v>10.99 ± 0.2 LBS/GALON</v>
          </cell>
          <cell r="H470" t="str">
            <v>29.8% ± 0.2</v>
          </cell>
          <cell r="I470" t="str">
            <v>58% ± 1.0</v>
          </cell>
          <cell r="J470" t="str">
            <v>21.0 % ± 1.0</v>
          </cell>
          <cell r="K470" t="str">
            <v>27.7%</v>
          </cell>
          <cell r="L470" t="str">
            <v>44.2% ± 1.0</v>
          </cell>
          <cell r="M470" t="str">
            <v>110 - 115 KU</v>
          </cell>
          <cell r="N470" t="str">
            <v>BROCHA -PISTOLA</v>
          </cell>
          <cell r="O470" t="str">
            <v>LA NECESARIA</v>
          </cell>
          <cell r="P470" t="str">
            <v>20 % MAX.</v>
          </cell>
          <cell r="Q470" t="str">
            <v>AGUA LIMPIA</v>
          </cell>
          <cell r="R470" t="str">
            <v>1 MILS (25.4  MICRONES)</v>
          </cell>
          <cell r="S470" t="str">
            <v>TOCAR: 30 MIN; RETOCAR: 3 HRS.</v>
          </cell>
          <cell r="T470" t="str">
            <v>-</v>
          </cell>
          <cell r="U470" t="str">
            <v>50-60 Mts2/Galon a 1 mils de espesor de pelicula seca</v>
          </cell>
          <cell r="V470" t="str">
            <v>MATE</v>
          </cell>
          <cell r="W470" t="str">
            <v>-</v>
          </cell>
          <cell r="X470" t="str">
            <v>24 meses sin abrir a 25 grados centigrados.</v>
          </cell>
          <cell r="Y470" t="str">
            <v>VARIOS</v>
          </cell>
          <cell r="Z470" t="str">
            <v>MONTAJE Y ENSAMBLE DE TORRES DE TRANSMISION TELEFONICA</v>
          </cell>
          <cell r="AA470" t="str">
            <v>RECUBRIR CON ACABADO BRILLANTE B50WSA1</v>
          </cell>
          <cell r="AB470" t="str">
            <v>SORAYA DE QUIJADA</v>
          </cell>
          <cell r="AC470" t="str">
            <v>SEPTIEMBRE 1, 2008</v>
          </cell>
        </row>
        <row r="471">
          <cell r="A471" t="str">
            <v>SAA 8013</v>
          </cell>
          <cell r="B471" t="str">
            <v>PRIMER NARANJA PARA TORRES DE HIERRO GALVANIZADO</v>
          </cell>
          <cell r="C471" t="str">
            <v>EXTERIOR</v>
          </cell>
          <cell r="D471" t="str">
            <v>HIERRO GALVANIZADO</v>
          </cell>
          <cell r="E471" t="str">
            <v>La superficie debe estar limpia, seca y en buenas condiciones. La limpieza debera ser segun SSPC-SP1 de Preferencia con thinner R7K128 o R7K203.</v>
          </cell>
          <cell r="F471" t="str">
            <v>NINGUNO</v>
          </cell>
          <cell r="G471" t="str">
            <v>9.66 ± 0.2 LBS/GALON</v>
          </cell>
          <cell r="H471" t="str">
            <v>13.8% ± 0.2</v>
          </cell>
          <cell r="I471" t="str">
            <v>49.5% ± 1.0</v>
          </cell>
          <cell r="J471" t="str">
            <v>24.0 % ± 1.0</v>
          </cell>
          <cell r="K471" t="str">
            <v>17.5%</v>
          </cell>
          <cell r="L471" t="str">
            <v>38.75% ± 1.0</v>
          </cell>
          <cell r="M471" t="str">
            <v>110 - 115 KU</v>
          </cell>
          <cell r="N471" t="str">
            <v>BROCHA -PISTOLA</v>
          </cell>
          <cell r="O471" t="str">
            <v>LA NECESARIA</v>
          </cell>
          <cell r="P471" t="str">
            <v>20 % MAX.</v>
          </cell>
          <cell r="Q471" t="str">
            <v>AGUA LIMPIA</v>
          </cell>
          <cell r="R471" t="str">
            <v>1 MILS (25.4  MICRONES)</v>
          </cell>
          <cell r="S471" t="str">
            <v>TOCAR: 30 MIN; RETOCAR: 3 HRS.</v>
          </cell>
          <cell r="T471" t="str">
            <v>-</v>
          </cell>
          <cell r="U471" t="str">
            <v>50-60 Mts2/Galon a 1 mils de espesor de pelicula seca</v>
          </cell>
          <cell r="V471" t="str">
            <v>MATE</v>
          </cell>
          <cell r="W471" t="str">
            <v>-</v>
          </cell>
          <cell r="X471" t="str">
            <v>24 meses sin abrir a 25 grados centigrados.</v>
          </cell>
          <cell r="Y471" t="str">
            <v>VARIOS</v>
          </cell>
          <cell r="Z471" t="str">
            <v>MONTAJE Y ENSAMBLE DE TORRES DE TRANSMISION TELEFONICA</v>
          </cell>
          <cell r="AA471" t="str">
            <v>RECUBRIR CON ACABADO BRILLANTE B50ESA1</v>
          </cell>
          <cell r="AB471" t="str">
            <v>SORAYA DE QUIJADA</v>
          </cell>
          <cell r="AC471" t="str">
            <v>SEPTIEMBRE 1, 2008</v>
          </cell>
        </row>
        <row r="472">
          <cell r="A472" t="str">
            <v>LINEA A33</v>
          </cell>
          <cell r="B472" t="str">
            <v>FLOOR ENAMEL</v>
          </cell>
          <cell r="C472" t="str">
            <v>INTERIOR-EXTERIOR</v>
          </cell>
          <cell r="D472" t="str">
            <v>CONCRETO, METAL Y MADERA</v>
          </cell>
          <cell r="E472" t="str">
            <v>LIMPIA, SECA, LIBRE DE POLVO, GRASA, PINTURA DESCASCARADA</v>
          </cell>
          <cell r="F472" t="str">
            <v>NINGUNO</v>
          </cell>
          <cell r="G472" t="str">
            <v>8.5 ± 0.5 LBS/GALON DEPENDIENDO EL COLOR</v>
          </cell>
          <cell r="H472" t="str">
            <v>20.2% ± 0.2 DEPENDIENDO EL COLOR</v>
          </cell>
          <cell r="I472" t="str">
            <v>47.5 - 52.5 ± 0.5 DEPENDIENDO EL COLOR</v>
          </cell>
          <cell r="J472" t="str">
            <v>-</v>
          </cell>
          <cell r="K472" t="str">
            <v>14.5 - 18.5% DEPENDIENDO EL COLOR</v>
          </cell>
          <cell r="L472" t="str">
            <v>35 - 38 ± 0.5 DEPENDIENDO EL COLOR</v>
          </cell>
          <cell r="M472" t="str">
            <v>70 - 76 KU</v>
          </cell>
          <cell r="N472" t="str">
            <v>BROCHA - RODILLO</v>
          </cell>
          <cell r="O472" t="str">
            <v>-</v>
          </cell>
          <cell r="P472" t="str">
            <v>10 % MAX</v>
          </cell>
          <cell r="Q472" t="str">
            <v>R1K4 Mineral Spirits</v>
          </cell>
          <cell r="R472" t="str">
            <v>1 - 1.5 MILS</v>
          </cell>
          <cell r="S472" t="str">
            <v>SECO TOCAR: 2 HORAS, REPINTAR: 12 HORAS, SECO COMPLETO: 24 HORAS</v>
          </cell>
          <cell r="T472" t="str">
            <v>-</v>
          </cell>
          <cell r="U472" t="str">
            <v>50 - 55 Mts Cuadrados/Gl, Dependiendo de la Superficie.</v>
          </cell>
          <cell r="V472" t="str">
            <v>SATINADO</v>
          </cell>
          <cell r="W472" t="str">
            <v>-</v>
          </cell>
          <cell r="X472" t="str">
            <v>24 MESES</v>
          </cell>
          <cell r="Y472" t="str">
            <v>VARIOS</v>
          </cell>
          <cell r="Z472" t="str">
            <v>PRODUCTO ESPECIAL PARA PANAMA</v>
          </cell>
          <cell r="AA472" t="str">
            <v>-</v>
          </cell>
          <cell r="AB472" t="str">
            <v>Hector Manuel Guerra</v>
          </cell>
          <cell r="AC472" t="str">
            <v>21/12/2010</v>
          </cell>
        </row>
        <row r="473">
          <cell r="A473" t="str">
            <v>LINEA A57</v>
          </cell>
          <cell r="B473" t="str">
            <v>PINTURA PARA TECHOS</v>
          </cell>
          <cell r="C473" t="str">
            <v>INTERIOR-EXTERIOR</v>
          </cell>
          <cell r="D473" t="str">
            <v>METAL, METAL GALVANIZADO, CONCRETO, ASBESTO</v>
          </cell>
          <cell r="E473" t="str">
            <v>La superficie debe estar limpia y seca, libre de grasa, suciedad u óxido</v>
          </cell>
          <cell r="F473" t="str">
            <v>NINGUNO</v>
          </cell>
          <cell r="G473" t="str">
            <v>10-12 LBS/GALON DEPENDIENDO EL COLOR</v>
          </cell>
          <cell r="H473" t="str">
            <v>3-10 % DEPENDIENDO EL COLOR</v>
          </cell>
          <cell r="I473" t="str">
            <v>48-78 % DEPENDIENDO EL COLOR</v>
          </cell>
          <cell r="J473" t="str">
            <v>-</v>
          </cell>
          <cell r="K473" t="str">
            <v>18-48 % DEPENDIENDO EL COLOR</v>
          </cell>
          <cell r="L473" t="str">
            <v>35-55 % DEPENDIENDO EL COLOR</v>
          </cell>
          <cell r="M473" t="str">
            <v>75-80 KU</v>
          </cell>
          <cell r="N473" t="str">
            <v>Brocha, Rodillo, Pistola de Aire</v>
          </cell>
          <cell r="O473" t="str">
            <v>-</v>
          </cell>
          <cell r="P473" t="str">
            <v>10-15 % MAX SEGUN METODO DE APLICACION</v>
          </cell>
          <cell r="Q473" t="str">
            <v>R1K4 Mineral Spirits</v>
          </cell>
          <cell r="R473" t="str">
            <v>1-2 MILS</v>
          </cell>
          <cell r="S473" t="str">
            <v>SECO TOCAR: 2 HORAS, REPINTAR: 4 HORAS, SECO COMPLETO: 12 HORAS</v>
          </cell>
          <cell r="T473" t="str">
            <v>-</v>
          </cell>
          <cell r="U473" t="str">
            <v>55-60 Mts2/Galon a 1 mils de espesor de pelicula seca</v>
          </cell>
          <cell r="V473" t="str">
            <v>MATE</v>
          </cell>
          <cell r="W473" t="str">
            <v>-</v>
          </cell>
          <cell r="X473" t="str">
            <v>24 MESES</v>
          </cell>
          <cell r="Y473" t="str">
            <v>VARIOS</v>
          </cell>
          <cell r="Z473" t="str">
            <v>-</v>
          </cell>
          <cell r="AA473" t="str">
            <v>-</v>
          </cell>
          <cell r="AB473" t="str">
            <v>Hector Manuel Guerra</v>
          </cell>
          <cell r="AC473" t="str">
            <v>22/12/10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011 master"/>
      <sheetName val="GMROI YR END 09"/>
      <sheetName val="GMROI YR END 08"/>
      <sheetName val="dep-sub-cats"/>
      <sheetName val="GMROI 5-10"/>
      <sheetName val="list prices_12.6.10"/>
      <sheetName val="s&amp;t costs_1.1.11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 master"/>
      <sheetName val="GMROI YR END 09"/>
      <sheetName val="GMROI YR END 08"/>
      <sheetName val="dep-sub-cats"/>
      <sheetName val="GMROI 5-10"/>
      <sheetName val="list prices_12.6.10"/>
      <sheetName val="s&amp;t costs_1.1.11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 DE ESPECIFICACIONES TECNIC"/>
      <sheetName val="INTRODUCCION DE DATOS"/>
      <sheetName val="LINEA A33"/>
      <sheetName val="B59S8"/>
      <sheetName val="A86YCR11"/>
      <sheetName val="A86WCR12"/>
      <sheetName val="A86WSA7"/>
      <sheetName val="ARMORSEAL 1000"/>
      <sheetName val="B50WSA2"/>
      <sheetName val="B50ESA2"/>
      <sheetName val="SAA 8012"/>
      <sheetName val="SAA 8013"/>
    </sheetNames>
    <sheetDataSet>
      <sheetData sheetId="0"/>
      <sheetData sheetId="1">
        <row r="1">
          <cell r="A1" t="str">
            <v>REX O SAA</v>
          </cell>
          <cell r="B1" t="str">
            <v>NOMBRE DEL PRODUCTO</v>
          </cell>
          <cell r="C1" t="str">
            <v>EXPOSICION</v>
          </cell>
          <cell r="D1" t="str">
            <v>SUPERFICIE A PINTAR</v>
          </cell>
          <cell r="E1" t="str">
            <v>PREPARACION DE LA SUPERFICIE</v>
          </cell>
          <cell r="F1" t="str">
            <v>PRIMER RECOMENDADO</v>
          </cell>
          <cell r="G1" t="str">
            <v>P/G CALCULADO</v>
          </cell>
          <cell r="H1" t="str">
            <v>% DE PIGMENTO</v>
          </cell>
          <cell r="I1" t="str">
            <v>% DE SOL. TOTALES</v>
          </cell>
          <cell r="J1" t="str">
            <v>% DE SOL. DE VEHICULO</v>
          </cell>
          <cell r="K1" t="str">
            <v>CONCENTRACION DE PIG. POR VOLUMEN</v>
          </cell>
          <cell r="L1" t="str">
            <v>VOLUMEN DE SOL. TOTALES</v>
          </cell>
          <cell r="M1" t="str">
            <v>RANGO DE VISCOSIDAD ORIGINAL</v>
          </cell>
          <cell r="N1" t="str">
            <v>METODO DE APLICACIÓN</v>
          </cell>
          <cell r="O1" t="str">
            <v>RANGO DE VISCOSIDAD DE APLICACIÓN</v>
          </cell>
          <cell r="P1" t="str">
            <v>PORCENTAJE DE REDUCCION</v>
          </cell>
          <cell r="Q1" t="str">
            <v>SOLVENTE RECOMENDADO</v>
          </cell>
          <cell r="R1" t="str">
            <v>ESPESOR MIN. DE PELICULA SECA</v>
          </cell>
          <cell r="S1" t="str">
            <v>SECAMIENTO</v>
          </cell>
          <cell r="T1" t="str">
            <v>TIEMPO Y TEMPERATURA DE HORNEO</v>
          </cell>
          <cell r="U1" t="str">
            <v>RENDIMIENTO CALCULADO CON ESPESOR MIN. DE PELICULA SECA</v>
          </cell>
          <cell r="V1" t="str">
            <v>BRILLO (60°)</v>
          </cell>
          <cell r="W1" t="str">
            <v>DUREZA LAPIZ</v>
          </cell>
          <cell r="X1" t="str">
            <v>TIEMPO DE VIDA ENVASADO</v>
          </cell>
          <cell r="Y1" t="str">
            <v>CLIENTE</v>
          </cell>
          <cell r="Z1" t="str">
            <v>PRODUCTO ELABORADO POR EL CLIENTE</v>
          </cell>
          <cell r="AA1" t="str">
            <v>OBSERVACIONES</v>
          </cell>
          <cell r="AB1" t="str">
            <v>ENTREGADO POR</v>
          </cell>
          <cell r="AC1" t="str">
            <v>FECHA DE FABRICACION</v>
          </cell>
        </row>
        <row r="2">
          <cell r="A2" t="str">
            <v>A5V23</v>
          </cell>
          <cell r="B2" t="str">
            <v>Silicone Water Repellent</v>
          </cell>
          <cell r="C2" t="str">
            <v>Interior-Exterior</v>
          </cell>
          <cell r="D2" t="str">
            <v>Pared de Concreto o Ladrillo</v>
          </cell>
          <cell r="E2" t="str">
            <v>Limpia de Polvo</v>
          </cell>
          <cell r="F2" t="str">
            <v>Ninguno</v>
          </cell>
          <cell r="G2" t="str">
            <v>6.65 Lbs/Gl</v>
          </cell>
          <cell r="H2" t="str">
            <v>-</v>
          </cell>
          <cell r="I2" t="str">
            <v>16.0%</v>
          </cell>
          <cell r="J2" t="str">
            <v>-</v>
          </cell>
          <cell r="K2" t="str">
            <v>-</v>
          </cell>
          <cell r="L2" t="str">
            <v>14.68%</v>
          </cell>
          <cell r="M2" t="str">
            <v>A (Gadrner Holt)</v>
          </cell>
          <cell r="N2" t="str">
            <v>Brocha-Pistola</v>
          </cell>
          <cell r="O2" t="str">
            <v>Como Viene</v>
          </cell>
          <cell r="P2" t="str">
            <v>Ninguno</v>
          </cell>
          <cell r="Q2" t="str">
            <v>Ninguno</v>
          </cell>
          <cell r="R2" t="str">
            <v>Penetra a la Superficie Pintada</v>
          </cell>
          <cell r="S2" t="str">
            <v>-</v>
          </cell>
          <cell r="T2" t="str">
            <v>-</v>
          </cell>
          <cell r="U2" t="str">
            <v>-</v>
          </cell>
          <cell r="V2" t="str">
            <v>-</v>
          </cell>
          <cell r="W2" t="str">
            <v>-</v>
          </cell>
          <cell r="X2" t="str">
            <v>1-2 Años</v>
          </cell>
          <cell r="Y2" t="str">
            <v>Warner Lambert-Guatemala</v>
          </cell>
          <cell r="Z2" t="str">
            <v>-</v>
          </cell>
          <cell r="AA2" t="str">
            <v>-</v>
          </cell>
          <cell r="AB2" t="str">
            <v>-</v>
          </cell>
          <cell r="AC2" t="str">
            <v>S/F</v>
          </cell>
        </row>
        <row r="3">
          <cell r="A3" t="str">
            <v>A86WSA10</v>
          </cell>
          <cell r="B3" t="str">
            <v>White Traffic Paint Zone Paint Type III</v>
          </cell>
          <cell r="C3" t="str">
            <v>Interior-Exterior</v>
          </cell>
          <cell r="D3" t="str">
            <v>Pavimento, Asfalto, Concreto</v>
          </cell>
          <cell r="E3" t="str">
            <v>Limpieza</v>
          </cell>
          <cell r="F3" t="str">
            <v>Ninguno</v>
          </cell>
          <cell r="G3" t="str">
            <v>13.18 Lbs/Gl</v>
          </cell>
          <cell r="H3" t="str">
            <v>55.2%</v>
          </cell>
          <cell r="I3" t="str">
            <v>77.46%</v>
          </cell>
          <cell r="J3" t="str">
            <v>22.3%</v>
          </cell>
          <cell r="K3" t="str">
            <v>52.19%</v>
          </cell>
          <cell r="L3" t="str">
            <v>51.85%</v>
          </cell>
          <cell r="M3" t="str">
            <v>70-80 KU (Stormer)</v>
          </cell>
          <cell r="N3" t="str">
            <v>Brocha-Pistola-Rodillo</v>
          </cell>
          <cell r="O3" t="str">
            <v>70-80 KU</v>
          </cell>
          <cell r="P3" t="str">
            <v>0-25%</v>
          </cell>
          <cell r="Q3" t="str">
            <v>VMP Naphtha</v>
          </cell>
          <cell r="R3" t="str">
            <v>10-15 mills</v>
          </cell>
          <cell r="S3" t="str">
            <v>10-15 min</v>
          </cell>
          <cell r="T3" t="str">
            <v>-</v>
          </cell>
          <cell r="U3" t="str">
            <v>-</v>
          </cell>
          <cell r="V3" t="str">
            <v>Mate</v>
          </cell>
          <cell r="W3" t="str">
            <v>-</v>
          </cell>
          <cell r="X3" t="str">
            <v>12 meses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S/F</v>
          </cell>
        </row>
        <row r="4">
          <cell r="A4" t="str">
            <v>A86WSA12</v>
          </cell>
          <cell r="B4" t="str">
            <v>Traffic Paint White TTP 115D Type III</v>
          </cell>
          <cell r="C4" t="str">
            <v>Exterior</v>
          </cell>
          <cell r="D4" t="str">
            <v>Pavimento, Asfalto, Concreto</v>
          </cell>
          <cell r="E4" t="str">
            <v>Limpieza</v>
          </cell>
          <cell r="F4" t="str">
            <v>Ninguno</v>
          </cell>
          <cell r="G4" t="str">
            <v>13.25 Lbs/Gl</v>
          </cell>
          <cell r="H4" t="str">
            <v>57.0%</v>
          </cell>
          <cell r="I4" t="str">
            <v>75.0%</v>
          </cell>
          <cell r="J4" t="str">
            <v>43.0%</v>
          </cell>
          <cell r="K4" t="str">
            <v>58.7%</v>
          </cell>
          <cell r="L4" t="str">
            <v>49.4%</v>
          </cell>
          <cell r="M4" t="str">
            <v>70-80 KU (Stormer)</v>
          </cell>
          <cell r="N4" t="str">
            <v>Maquina Demarcadora</v>
          </cell>
          <cell r="O4" t="str">
            <v>70-80 KU</v>
          </cell>
          <cell r="P4" t="str">
            <v>Ninguno</v>
          </cell>
          <cell r="Q4" t="str">
            <v>-</v>
          </cell>
          <cell r="R4" t="str">
            <v>10-15 mills</v>
          </cell>
          <cell r="S4" t="str">
            <v>10-15 min</v>
          </cell>
          <cell r="T4" t="str">
            <v>-</v>
          </cell>
          <cell r="U4" t="str">
            <v>-</v>
          </cell>
          <cell r="V4" t="str">
            <v>Mate</v>
          </cell>
          <cell r="W4" t="str">
            <v>-</v>
          </cell>
          <cell r="X4" t="str">
            <v>12 meses</v>
          </cell>
          <cell r="Y4" t="str">
            <v>Ministerio de Obras Publicas De El Salvador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S/F</v>
          </cell>
        </row>
        <row r="5">
          <cell r="A5" t="str">
            <v>A86YSA10</v>
          </cell>
          <cell r="B5" t="str">
            <v>Yellow Traffic Zone Paint III</v>
          </cell>
          <cell r="C5" t="str">
            <v>Interior-Exterior</v>
          </cell>
          <cell r="D5" t="str">
            <v>Pavimento, Asfalto, Concreto</v>
          </cell>
          <cell r="E5" t="str">
            <v>Limpieza</v>
          </cell>
          <cell r="F5" t="str">
            <v>Ninguno</v>
          </cell>
          <cell r="G5" t="str">
            <v>13.38 Lbs/gl</v>
          </cell>
          <cell r="H5" t="str">
            <v>55.9%</v>
          </cell>
          <cell r="I5" t="str">
            <v>77.36%</v>
          </cell>
          <cell r="J5" t="str">
            <v>21.5%</v>
          </cell>
          <cell r="K5" t="str">
            <v>51.65%</v>
          </cell>
          <cell r="L5" t="str">
            <v>55.08%</v>
          </cell>
          <cell r="M5" t="str">
            <v>70-80 KU (Stormer)</v>
          </cell>
          <cell r="N5" t="str">
            <v>Brocha-Pistola-Rodillo</v>
          </cell>
          <cell r="O5" t="str">
            <v>70-80 KU</v>
          </cell>
          <cell r="P5" t="str">
            <v>0-25%</v>
          </cell>
          <cell r="Q5" t="str">
            <v>VMP Naphtha</v>
          </cell>
          <cell r="R5" t="str">
            <v>10-15 mills</v>
          </cell>
          <cell r="S5" t="str">
            <v>10-15 min</v>
          </cell>
          <cell r="T5" t="str">
            <v>-</v>
          </cell>
          <cell r="U5" t="str">
            <v>-</v>
          </cell>
          <cell r="V5" t="str">
            <v>Mate</v>
          </cell>
          <cell r="W5" t="str">
            <v>-</v>
          </cell>
          <cell r="X5" t="str">
            <v>12 meses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S/F</v>
          </cell>
        </row>
        <row r="6">
          <cell r="A6" t="str">
            <v>A86YSA11</v>
          </cell>
          <cell r="B6" t="str">
            <v>Traffic Paint Yellow TTP115D Type III</v>
          </cell>
          <cell r="C6" t="str">
            <v>Exterior</v>
          </cell>
          <cell r="D6" t="str">
            <v>Pavimento, Asfalto, Concreto</v>
          </cell>
          <cell r="E6" t="str">
            <v>Limpieza</v>
          </cell>
          <cell r="F6" t="str">
            <v>Ninguno</v>
          </cell>
          <cell r="G6" t="str">
            <v>13.42 Lbs/Gl</v>
          </cell>
          <cell r="H6" t="str">
            <v>57.0%</v>
          </cell>
          <cell r="I6" t="str">
            <v>75.0%</v>
          </cell>
          <cell r="J6" t="str">
            <v>43.0%</v>
          </cell>
          <cell r="K6" t="str">
            <v>49.0%</v>
          </cell>
          <cell r="L6" t="str">
            <v>48.0%</v>
          </cell>
          <cell r="M6" t="str">
            <v>70-80 KU (Stormer)</v>
          </cell>
          <cell r="N6" t="str">
            <v>Maquina Demarcadora</v>
          </cell>
          <cell r="O6" t="str">
            <v>70-80 KU</v>
          </cell>
          <cell r="P6" t="str">
            <v>Ninguno</v>
          </cell>
          <cell r="Q6" t="str">
            <v>-</v>
          </cell>
          <cell r="R6" t="str">
            <v>10-15 mills</v>
          </cell>
          <cell r="S6" t="str">
            <v>10-15 min</v>
          </cell>
          <cell r="T6" t="str">
            <v>-</v>
          </cell>
          <cell r="U6" t="str">
            <v>-</v>
          </cell>
          <cell r="V6" t="str">
            <v>Mate</v>
          </cell>
          <cell r="W6" t="str">
            <v>-</v>
          </cell>
          <cell r="X6" t="str">
            <v>12 meses</v>
          </cell>
          <cell r="Y6" t="str">
            <v>Sherwin Williams de Costa Rica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S/F</v>
          </cell>
        </row>
        <row r="7">
          <cell r="A7" t="str">
            <v>A95GSA8</v>
          </cell>
          <cell r="B7" t="str">
            <v>Pintura Especial Para Laminas se Asbesto Verde</v>
          </cell>
          <cell r="C7" t="str">
            <v>Exterior</v>
          </cell>
          <cell r="D7" t="str">
            <v>Laminas de Asbesto Cemento</v>
          </cell>
          <cell r="E7" t="str">
            <v>Lijada, Libre de Polvo y Seca</v>
          </cell>
          <cell r="F7" t="str">
            <v>-</v>
          </cell>
          <cell r="G7" t="str">
            <v>10.72 Lbs/Gl</v>
          </cell>
          <cell r="H7" t="str">
            <v>30.9%</v>
          </cell>
          <cell r="I7" t="str">
            <v>48.8%</v>
          </cell>
          <cell r="J7" t="str">
            <v>17.9%</v>
          </cell>
          <cell r="K7" t="str">
            <v>13.6%</v>
          </cell>
          <cell r="L7" t="str">
            <v>35.0%</v>
          </cell>
          <cell r="M7" t="str">
            <v>20"-22" Copa SW #4</v>
          </cell>
          <cell r="N7" t="str">
            <v>Pistola Airless 30-35 Libras de Presión</v>
          </cell>
          <cell r="O7" t="str">
            <v>-</v>
          </cell>
          <cell r="P7" t="str">
            <v>25% con Agua</v>
          </cell>
          <cell r="Q7" t="str">
            <v>Agua Corriente</v>
          </cell>
          <cell r="R7" t="str">
            <v>5 mills</v>
          </cell>
          <cell r="S7" t="str">
            <v>Al Aire</v>
          </cell>
          <cell r="T7" t="str">
            <v>No recomendado</v>
          </cell>
          <cell r="U7" t="str">
            <v>45-55 Mts cuadrados por Galón</v>
          </cell>
          <cell r="V7" t="str">
            <v>Mate</v>
          </cell>
          <cell r="W7" t="str">
            <v>-</v>
          </cell>
          <cell r="X7" t="str">
            <v>1-2 Años</v>
          </cell>
          <cell r="Y7" t="str">
            <v>-</v>
          </cell>
          <cell r="Z7" t="str">
            <v>Laminas de Asbesto</v>
          </cell>
          <cell r="AA7" t="str">
            <v>-</v>
          </cell>
          <cell r="AB7" t="str">
            <v>-</v>
          </cell>
          <cell r="AC7" t="str">
            <v>S/F</v>
          </cell>
        </row>
        <row r="8">
          <cell r="A8" t="str">
            <v>A95RSA1</v>
          </cell>
          <cell r="B8" t="str">
            <v>Pintura Especial Para Laminas se Asbesto Rojo</v>
          </cell>
          <cell r="C8" t="str">
            <v>Exterior</v>
          </cell>
          <cell r="D8" t="str">
            <v>Laminas de Asbesto Cemento</v>
          </cell>
          <cell r="E8" t="str">
            <v>Lijada, Libre de Polvo y Seca</v>
          </cell>
          <cell r="F8" t="str">
            <v>-</v>
          </cell>
          <cell r="G8" t="str">
            <v>10.86 Lbs/Gl</v>
          </cell>
          <cell r="H8" t="str">
            <v>31.8%</v>
          </cell>
          <cell r="I8" t="str">
            <v>49.5%</v>
          </cell>
          <cell r="J8" t="str">
            <v>17.7%</v>
          </cell>
          <cell r="K8" t="str">
            <v>13.6%</v>
          </cell>
          <cell r="L8" t="str">
            <v>35.0 %</v>
          </cell>
          <cell r="M8" t="str">
            <v>20"-22" Copa SW #4</v>
          </cell>
          <cell r="N8" t="str">
            <v>Pistola Airless 30-35 Libras de Presión</v>
          </cell>
          <cell r="O8" t="str">
            <v>-</v>
          </cell>
          <cell r="P8" t="str">
            <v>25% con Agua</v>
          </cell>
          <cell r="Q8" t="str">
            <v>Agua Corriente</v>
          </cell>
          <cell r="R8" t="str">
            <v>5 mills</v>
          </cell>
          <cell r="S8" t="str">
            <v>Al Aire</v>
          </cell>
          <cell r="T8" t="str">
            <v>No recomendado</v>
          </cell>
          <cell r="U8" t="str">
            <v>45-55 Mts cuadrados por Galón</v>
          </cell>
          <cell r="V8" t="str">
            <v>Mate</v>
          </cell>
          <cell r="W8" t="str">
            <v>-</v>
          </cell>
          <cell r="X8" t="str">
            <v>1-2 Años</v>
          </cell>
          <cell r="Y8" t="str">
            <v>-</v>
          </cell>
          <cell r="Z8" t="str">
            <v>Laminas de Asbesto</v>
          </cell>
          <cell r="AA8" t="str">
            <v>-</v>
          </cell>
          <cell r="AB8" t="str">
            <v>-</v>
          </cell>
          <cell r="AC8" t="str">
            <v>S/F</v>
          </cell>
        </row>
        <row r="9">
          <cell r="A9" t="str">
            <v>A95RSA4</v>
          </cell>
          <cell r="B9" t="str">
            <v>Pintura Especial Rojo Para Techos de Fibrocemento</v>
          </cell>
          <cell r="C9" t="str">
            <v>Exterior</v>
          </cell>
          <cell r="D9" t="str">
            <v>Fibrocemento</v>
          </cell>
          <cell r="E9" t="str">
            <v>Lijada, Libre de Polvo y Seca</v>
          </cell>
          <cell r="F9" t="str">
            <v>-</v>
          </cell>
          <cell r="G9" t="str">
            <v>10.93 Lbs/Gl</v>
          </cell>
          <cell r="H9" t="str">
            <v>31.8%</v>
          </cell>
          <cell r="I9" t="str">
            <v>49.5%</v>
          </cell>
          <cell r="J9" t="str">
            <v>17.7%</v>
          </cell>
          <cell r="K9" t="str">
            <v>13.6%</v>
          </cell>
          <cell r="L9" t="str">
            <v>35.0 %</v>
          </cell>
          <cell r="M9" t="str">
            <v>79-85 KU</v>
          </cell>
          <cell r="N9" t="str">
            <v>Pistola Airless 30-35 Libras de Presión</v>
          </cell>
          <cell r="O9" t="str">
            <v>-</v>
          </cell>
          <cell r="P9" t="str">
            <v>25% con Agua</v>
          </cell>
          <cell r="Q9" t="str">
            <v>Agua Corriente</v>
          </cell>
          <cell r="R9" t="str">
            <v>5 mills</v>
          </cell>
          <cell r="S9" t="str">
            <v>Al Aire</v>
          </cell>
          <cell r="T9" t="str">
            <v>No recomendado</v>
          </cell>
          <cell r="U9" t="str">
            <v>45-55 Mts cuadrados por Galón</v>
          </cell>
          <cell r="V9" t="str">
            <v>Mate</v>
          </cell>
          <cell r="W9" t="str">
            <v>-</v>
          </cell>
          <cell r="X9" t="str">
            <v>1-2 Años</v>
          </cell>
          <cell r="Y9" t="str">
            <v>EUREKA</v>
          </cell>
          <cell r="Z9" t="str">
            <v>Techos de Fibrocemento</v>
          </cell>
          <cell r="AA9" t="str">
            <v>-</v>
          </cell>
          <cell r="AB9" t="str">
            <v>-</v>
          </cell>
          <cell r="AC9" t="str">
            <v>S/F</v>
          </cell>
        </row>
        <row r="10">
          <cell r="A10" t="str">
            <v>A95W91</v>
          </cell>
          <cell r="B10" t="str">
            <v>Kem Pared-Ex Blanco</v>
          </cell>
          <cell r="C10" t="str">
            <v>Exterior</v>
          </cell>
          <cell r="D10" t="str">
            <v>Cemento, Ladrillo, Asbesto, Etc</v>
          </cell>
          <cell r="E10" t="str">
            <v>Superficie Seca y Limpia</v>
          </cell>
          <cell r="F10" t="str">
            <v>Ninguno</v>
          </cell>
          <cell r="G10" t="str">
            <v>11.29 Lbs/Gl</v>
          </cell>
          <cell r="H10" t="str">
            <v>-</v>
          </cell>
          <cell r="I10" t="str">
            <v>51.0%</v>
          </cell>
          <cell r="J10" t="str">
            <v>-</v>
          </cell>
          <cell r="K10" t="str">
            <v>-</v>
          </cell>
          <cell r="L10" t="str">
            <v>35%</v>
          </cell>
          <cell r="M10" t="str">
            <v>20"-22" Copa SW #4</v>
          </cell>
          <cell r="N10" t="str">
            <v>Brocha-Rodillo</v>
          </cell>
          <cell r="O10" t="str">
            <v>El mismo</v>
          </cell>
          <cell r="P10" t="str">
            <v>Ninguno</v>
          </cell>
          <cell r="Q10" t="str">
            <v>-</v>
          </cell>
          <cell r="R10" t="str">
            <v>5 mills</v>
          </cell>
          <cell r="S10" t="str">
            <v>Al aire</v>
          </cell>
          <cell r="T10" t="str">
            <v>-</v>
          </cell>
          <cell r="U10" t="str">
            <v>50 Mts cuadrados/Gl</v>
          </cell>
          <cell r="V10" t="str">
            <v>Mate</v>
          </cell>
          <cell r="W10" t="str">
            <v>-</v>
          </cell>
          <cell r="X10" t="str">
            <v>1-2 Años</v>
          </cell>
          <cell r="Y10" t="str">
            <v>Warner Lambert-Guatemala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S/F</v>
          </cell>
        </row>
        <row r="11">
          <cell r="A11" t="str">
            <v>A99LSA2</v>
          </cell>
          <cell r="B11" t="str">
            <v>Anticorrosivo Azul Shell</v>
          </cell>
          <cell r="C11" t="str">
            <v>Exterior</v>
          </cell>
          <cell r="D11" t="str">
            <v>Hierro-Metal</v>
          </cell>
          <cell r="E11" t="str">
            <v>Limpieza y Libre de Corrosión</v>
          </cell>
          <cell r="F11" t="str">
            <v>Ninguno</v>
          </cell>
          <cell r="G11" t="str">
            <v>10.04 Lbs/Gl</v>
          </cell>
          <cell r="H11" t="str">
            <v>35.71%</v>
          </cell>
          <cell r="I11" t="str">
            <v>54.31%</v>
          </cell>
          <cell r="J11" t="str">
            <v>45.69%</v>
          </cell>
          <cell r="K11" t="str">
            <v>43.77%</v>
          </cell>
          <cell r="L11" t="str">
            <v>35.83%</v>
          </cell>
          <cell r="M11" t="str">
            <v>85-90 KU</v>
          </cell>
          <cell r="N11" t="str">
            <v>Brocha-Pistola</v>
          </cell>
          <cell r="O11" t="str">
            <v>Pistola: 18"-20" Copa Zanh #2</v>
          </cell>
          <cell r="P11" t="str">
            <v>Pistola : 25%</v>
          </cell>
          <cell r="Q11" t="str">
            <v>R1K3 VM&amp;P Nafta</v>
          </cell>
          <cell r="R11" t="str">
            <v>2 mills</v>
          </cell>
          <cell r="S11" t="str">
            <v>3-4 Horas</v>
          </cell>
          <cell r="T11" t="str">
            <v>-</v>
          </cell>
          <cell r="U11" t="str">
            <v>26.5 Mts Cuadrados/Gl</v>
          </cell>
          <cell r="V11" t="str">
            <v>Mate. 0-5 unidades</v>
          </cell>
          <cell r="W11" t="str">
            <v>-</v>
          </cell>
          <cell r="X11" t="str">
            <v>1 Año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Audrey de Morales</v>
          </cell>
          <cell r="AC11" t="str">
            <v>S/F</v>
          </cell>
        </row>
        <row r="12">
          <cell r="A12" t="str">
            <v>A99NSA11</v>
          </cell>
          <cell r="B12" t="str">
            <v>Colonial Anticorrosivo Rojo 2414</v>
          </cell>
          <cell r="C12" t="str">
            <v>Interior-Exterior</v>
          </cell>
          <cell r="D12" t="str">
            <v>Hierro-Acero</v>
          </cell>
          <cell r="E12" t="str">
            <v>Lijada, Limpia, Sin óxido y Seca</v>
          </cell>
          <cell r="F12" t="str">
            <v>-</v>
          </cell>
          <cell r="G12" t="str">
            <v>10.18 Lbs/Gl</v>
          </cell>
          <cell r="H12" t="str">
            <v>36.9%</v>
          </cell>
          <cell r="I12" t="str">
            <v>55.9%</v>
          </cell>
          <cell r="J12" t="str">
            <v>19.0%</v>
          </cell>
          <cell r="K12" t="str">
            <v>16.2%</v>
          </cell>
          <cell r="L12" t="str">
            <v>37.3%</v>
          </cell>
          <cell r="M12" t="str">
            <v>40-50 seg. Copa SW #3</v>
          </cell>
          <cell r="N12" t="str">
            <v>Brocha-Rodillo-Pistola</v>
          </cell>
          <cell r="O12" t="str">
            <v>-</v>
          </cell>
          <cell r="P12" t="str">
            <v>Ninguna ó 25% con R1K3</v>
          </cell>
          <cell r="Q12" t="str">
            <v>R1K3</v>
          </cell>
          <cell r="R12" t="str">
            <v>2 mills</v>
          </cell>
          <cell r="S12" t="str">
            <v>Al Aire</v>
          </cell>
          <cell r="U12" t="str">
            <v>40-45 Mts Cuadrados/Gl</v>
          </cell>
          <cell r="V12" t="str">
            <v>-</v>
          </cell>
          <cell r="W12" t="str">
            <v>-</v>
          </cell>
          <cell r="X12" t="str">
            <v>1 a 2 años</v>
          </cell>
          <cell r="Y12" t="str">
            <v>Marina Industrial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S/F</v>
          </cell>
        </row>
        <row r="13">
          <cell r="A13" t="str">
            <v>B24WSA1 (1)</v>
          </cell>
          <cell r="B13" t="str">
            <v>Sellador Rellenador Especial Para Fibrolit</v>
          </cell>
          <cell r="C13" t="str">
            <v>Interiores</v>
          </cell>
          <cell r="D13" t="str">
            <v>Fibrocemento</v>
          </cell>
          <cell r="E13" t="str">
            <v>Libre de Polvo y otras Sustancias</v>
          </cell>
          <cell r="F13" t="str">
            <v>Ninguno</v>
          </cell>
          <cell r="G13" t="str">
            <v>12.27 Lbs/Gl</v>
          </cell>
          <cell r="H13" t="str">
            <v>69.2%</v>
          </cell>
          <cell r="I13" t="str">
            <v>46%</v>
          </cell>
          <cell r="J13" t="str">
            <v>55%</v>
          </cell>
          <cell r="K13" t="str">
            <v>51%</v>
          </cell>
          <cell r="L13" t="str">
            <v>30%</v>
          </cell>
          <cell r="M13" t="str">
            <v>20,000-25,000 CPS</v>
          </cell>
          <cell r="N13" t="str">
            <v>Espátula-Wipe</v>
          </cell>
          <cell r="O13" t="str">
            <v>20,000-25,000 CPS</v>
          </cell>
          <cell r="P13" t="str">
            <v>Ninguno</v>
          </cell>
          <cell r="Q13" t="str">
            <v>Ninguno</v>
          </cell>
          <cell r="R13" t="str">
            <v>-</v>
          </cell>
          <cell r="S13" t="str">
            <v>Al Aire 20-30 Min.</v>
          </cell>
          <cell r="T13" t="str">
            <v>-</v>
          </cell>
          <cell r="U13" t="str">
            <v>9 Mts Cuadrados/Gl a 4 mills Seco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Constructora Orion</v>
          </cell>
          <cell r="Z13" t="str">
            <v>Fibrocemento</v>
          </cell>
          <cell r="AA13" t="str">
            <v>Este Producto debe ser Lijado.</v>
          </cell>
          <cell r="AB13" t="str">
            <v>Rene Ferrufino</v>
          </cell>
          <cell r="AC13" t="str">
            <v>S/F</v>
          </cell>
        </row>
        <row r="14">
          <cell r="A14" t="str">
            <v>B42W46</v>
          </cell>
          <cell r="B14" t="str">
            <v>Heavy Duty Block Filler</v>
          </cell>
          <cell r="C14" t="str">
            <v>Medio Ambiente con Moderadas Condiciones</v>
          </cell>
          <cell r="D14" t="str">
            <v>Bloques de Concreto</v>
          </cell>
          <cell r="E14" t="str">
            <v>Libre de Suciedad</v>
          </cell>
          <cell r="F14" t="str">
            <v>Ninguno</v>
          </cell>
          <cell r="G14" t="str">
            <v>14.6 Lbs/Gl</v>
          </cell>
          <cell r="H14" t="str">
            <v>69.05%</v>
          </cell>
          <cell r="I14" t="str">
            <v>76%-80%</v>
          </cell>
          <cell r="J14" t="str">
            <v>8.92%</v>
          </cell>
          <cell r="K14" t="str">
            <v>75.9%</v>
          </cell>
          <cell r="L14" t="str">
            <v>58%-62%</v>
          </cell>
          <cell r="M14" t="str">
            <v>100-120</v>
          </cell>
          <cell r="N14" t="str">
            <v>Brocha, Rodillo y Sistema Convencional de Spray</v>
          </cell>
          <cell r="O14" t="str">
            <v>100-120</v>
          </cell>
          <cell r="P14" t="str">
            <v>-</v>
          </cell>
          <cell r="Q14" t="str">
            <v>Agua</v>
          </cell>
          <cell r="R14" t="str">
            <v>10 mills</v>
          </cell>
          <cell r="S14" t="str">
            <v>77°F &amp; 50% H:R a 17 mills Wet: Seco Tocar: 1 Hora.</v>
          </cell>
          <cell r="T14" t="str">
            <v>-</v>
          </cell>
          <cell r="U14" t="str">
            <v>96 Pies Cuadrados/Gl</v>
          </cell>
          <cell r="V14" t="str">
            <v>-</v>
          </cell>
          <cell r="W14" t="str">
            <v>-</v>
          </cell>
          <cell r="X14" t="str">
            <v>36 meses cerrado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S/F</v>
          </cell>
        </row>
        <row r="15">
          <cell r="A15" t="str">
            <v>B45W3</v>
          </cell>
          <cell r="B15" t="str">
            <v>Fast Dry Latex Wall Primer</v>
          </cell>
          <cell r="C15" t="str">
            <v>Interior-Exterior</v>
          </cell>
          <cell r="D15" t="str">
            <v>Pared Yesada o Asbesto</v>
          </cell>
          <cell r="E15" t="str">
            <v>Limpiar con Agua y Jabón</v>
          </cell>
          <cell r="F15" t="str">
            <v>Ninguno</v>
          </cell>
          <cell r="G15" t="str">
            <v>10.53 Lbs/Gl</v>
          </cell>
          <cell r="H15" t="str">
            <v>28%</v>
          </cell>
          <cell r="I15" t="str">
            <v>43%</v>
          </cell>
          <cell r="J15" t="str">
            <v>55%</v>
          </cell>
          <cell r="K15" t="str">
            <v>42%</v>
          </cell>
          <cell r="L15" t="str">
            <v>27%</v>
          </cell>
          <cell r="M15" t="str">
            <v>3,100-2,700 cps</v>
          </cell>
          <cell r="N15" t="str">
            <v>Brocha-Rodillo</v>
          </cell>
          <cell r="O15" t="str">
            <v>1,400-1,800 cps</v>
          </cell>
          <cell r="P15" t="str">
            <v>Ninguno</v>
          </cell>
          <cell r="Q15" t="str">
            <v>Ninguno</v>
          </cell>
          <cell r="R15" t="str">
            <v>1.5 mills</v>
          </cell>
          <cell r="S15" t="str">
            <v>Al Aire</v>
          </cell>
          <cell r="T15" t="str">
            <v>Ninguno</v>
          </cell>
          <cell r="U15" t="str">
            <v>63 M2</v>
          </cell>
          <cell r="V15" t="str">
            <v>Mate</v>
          </cell>
          <cell r="W15" t="str">
            <v>-</v>
          </cell>
          <cell r="X15" t="str">
            <v>-</v>
          </cell>
          <cell r="Y15" t="str">
            <v>Sr. Richard Tisson (Betel Testigos de Jehova)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S/F</v>
          </cell>
        </row>
        <row r="16">
          <cell r="A16" t="str">
            <v>B53WW5</v>
          </cell>
          <cell r="B16" t="str">
            <v>Tank Enamel Chalking White</v>
          </cell>
          <cell r="C16" t="str">
            <v>Exterior</v>
          </cell>
          <cell r="D16" t="str">
            <v>Hierro</v>
          </cell>
          <cell r="E16" t="str">
            <v>Limpia (Libre de Suciedad y Oxido)</v>
          </cell>
          <cell r="F16" t="str">
            <v>E41N1</v>
          </cell>
          <cell r="G16" t="str">
            <v>9.48 Lbs/Gl</v>
          </cell>
          <cell r="H16" t="str">
            <v>27.57%</v>
          </cell>
          <cell r="I16" t="str">
            <v>64.05%</v>
          </cell>
          <cell r="J16" t="str">
            <v>36.47%</v>
          </cell>
          <cell r="K16" t="str">
            <v>18.90%</v>
          </cell>
          <cell r="L16" t="str">
            <v>46.74%</v>
          </cell>
          <cell r="M16" t="str">
            <v>75-85 KU (Stormer)</v>
          </cell>
          <cell r="N16" t="str">
            <v>Brocha, Rodillo y Pistola (Spray Convencional)</v>
          </cell>
          <cell r="O16" t="str">
            <v>75-85 KU</v>
          </cell>
          <cell r="P16" t="str">
            <v>Pistola hasta un 10%</v>
          </cell>
          <cell r="Q16" t="str">
            <v>R1K4</v>
          </cell>
          <cell r="R16" t="str">
            <v>5 mills</v>
          </cell>
          <cell r="S16" t="str">
            <v>Seco Tocar: 2-4 Horas; Seco Completo: 24 Horas</v>
          </cell>
          <cell r="T16" t="str">
            <v>-</v>
          </cell>
          <cell r="U16" t="str">
            <v>(5 mills DFT) 14 Mts Cuadrados</v>
          </cell>
          <cell r="V16" t="str">
            <v>75-95</v>
          </cell>
          <cell r="W16" t="str">
            <v>-</v>
          </cell>
          <cell r="X16" t="str">
            <v>36 meses cerrado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Andrés Mauricio Houdelot</v>
          </cell>
          <cell r="AC16" t="str">
            <v>S/F</v>
          </cell>
        </row>
        <row r="17">
          <cell r="A17" t="str">
            <v>B5W57</v>
          </cell>
          <cell r="B17" t="str">
            <v>Excello Latex Acrilico Blanco</v>
          </cell>
          <cell r="C17" t="str">
            <v>Interior-Exterior</v>
          </cell>
          <cell r="D17" t="str">
            <v>Concreto-Madera-Estuco</v>
          </cell>
          <cell r="E17" t="str">
            <v>Superficie Seca y Limpia</v>
          </cell>
          <cell r="F17" t="str">
            <v>A71WSA4 para pintar sobre madera</v>
          </cell>
          <cell r="G17" t="str">
            <v>11.34 Lbs/Gl</v>
          </cell>
          <cell r="H17" t="str">
            <v>-</v>
          </cell>
          <cell r="I17" t="str">
            <v>49.3%</v>
          </cell>
          <cell r="J17" t="str">
            <v>-</v>
          </cell>
          <cell r="K17" t="str">
            <v>-</v>
          </cell>
          <cell r="L17" t="str">
            <v>32.2%</v>
          </cell>
          <cell r="M17" t="str">
            <v>25"-30" Copa SW #4</v>
          </cell>
          <cell r="N17" t="str">
            <v>Brocha-Rodillo</v>
          </cell>
          <cell r="O17" t="str">
            <v>15"-20"</v>
          </cell>
          <cell r="P17" t="str">
            <v>25%</v>
          </cell>
          <cell r="Q17" t="str">
            <v>Agua</v>
          </cell>
          <cell r="R17" t="str">
            <v>5 mills</v>
          </cell>
          <cell r="S17" t="str">
            <v>Al aire</v>
          </cell>
          <cell r="T17" t="str">
            <v>-</v>
          </cell>
          <cell r="U17" t="str">
            <v>Hasta 60 Mts cuadrados/Gl</v>
          </cell>
          <cell r="V17" t="str">
            <v>Mate</v>
          </cell>
          <cell r="W17" t="str">
            <v>-</v>
          </cell>
          <cell r="X17" t="str">
            <v>1-2 Años</v>
          </cell>
          <cell r="Y17" t="str">
            <v>Warner Lambert-Guatemala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S/F</v>
          </cell>
        </row>
        <row r="18">
          <cell r="A18" t="str">
            <v>B60FSA2</v>
          </cell>
          <cell r="B18" t="str">
            <v>Catalizador Para Tile Clad II Brillante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8.77 Lbs/Gl</v>
          </cell>
          <cell r="H18" t="str">
            <v>-</v>
          </cell>
          <cell r="I18" t="str">
            <v>63.2%</v>
          </cell>
          <cell r="J18" t="str">
            <v>75%</v>
          </cell>
          <cell r="K18" t="str">
            <v>-</v>
          </cell>
          <cell r="L18" t="str">
            <v>56%</v>
          </cell>
          <cell r="M18" t="str">
            <v>77-85 KU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36 meses cerrado</v>
          </cell>
          <cell r="Y18" t="str">
            <v>Guatemala</v>
          </cell>
          <cell r="Z18" t="str">
            <v>-</v>
          </cell>
          <cell r="AA18" t="str">
            <v>Mezclar uno a uno en Volumen con Tile Clad II Brillante</v>
          </cell>
          <cell r="AB18" t="str">
            <v>-</v>
          </cell>
          <cell r="AC18" t="str">
            <v>S/F</v>
          </cell>
        </row>
        <row r="19">
          <cell r="A19" t="str">
            <v>B62BSA1</v>
          </cell>
          <cell r="B19" t="str">
            <v>Tile Clad II Negro Brillante</v>
          </cell>
          <cell r="C19" t="str">
            <v>Interior</v>
          </cell>
          <cell r="D19" t="str">
            <v>Fibrocemento (Fibrolite)</v>
          </cell>
          <cell r="E19" t="str">
            <v>Limpio</v>
          </cell>
          <cell r="F19" t="str">
            <v>Fast Dry Latex Wall Primer (B45WSA1)</v>
          </cell>
          <cell r="G19" t="str">
            <v>8.09 Lbs/Gl</v>
          </cell>
          <cell r="H19" t="str">
            <v>18%</v>
          </cell>
          <cell r="I19" t="str">
            <v>45.6%</v>
          </cell>
          <cell r="J19" t="str">
            <v>60%</v>
          </cell>
          <cell r="K19" t="str">
            <v>11.5%</v>
          </cell>
          <cell r="L19" t="str">
            <v>40.7%</v>
          </cell>
          <cell r="M19" t="str">
            <v>79-85 KU</v>
          </cell>
          <cell r="N19" t="str">
            <v>Pistola</v>
          </cell>
          <cell r="O19" t="str">
            <v>30-35 KU</v>
          </cell>
          <cell r="P19" t="str">
            <v>-</v>
          </cell>
          <cell r="Q19" t="str">
            <v>R2K4         Industrial reducer</v>
          </cell>
          <cell r="R19" t="str">
            <v>2 mills</v>
          </cell>
          <cell r="S19" t="str">
            <v>Seco Tocar: 1 Hora. Seco Completo: 4 Hrs. Repintar:6 Hrs</v>
          </cell>
          <cell r="T19" t="str">
            <v>-</v>
          </cell>
          <cell r="U19" t="str">
            <v>33 m2/Gl</v>
          </cell>
          <cell r="V19" t="str">
            <v>Full</v>
          </cell>
          <cell r="W19" t="str">
            <v>6H-7H</v>
          </cell>
          <cell r="X19" t="str">
            <v>36 meses cerrado</v>
          </cell>
          <cell r="Y19" t="str">
            <v>Industrias Eureka</v>
          </cell>
          <cell r="Z19" t="str">
            <v>Planchas de Fibrocemento</v>
          </cell>
          <cell r="AA19" t="str">
            <v>Una parte de B62BSA1 con una parte de catalizador B60FSA2 en volumen, dejar reposar 30 min.Debe esperarse de 12 a 15 días para alcanzar la dureza de 6H-7H.</v>
          </cell>
          <cell r="AB19" t="str">
            <v>-</v>
          </cell>
          <cell r="AC19" t="str">
            <v>S/F</v>
          </cell>
        </row>
        <row r="20">
          <cell r="A20" t="str">
            <v>B62LSA1</v>
          </cell>
          <cell r="B20" t="str">
            <v>Tile Clad II Trianon Brillante</v>
          </cell>
          <cell r="C20" t="str">
            <v>Interior</v>
          </cell>
          <cell r="D20" t="str">
            <v>Fibrocemento (Fibrolite)</v>
          </cell>
          <cell r="E20" t="str">
            <v>Limpio</v>
          </cell>
          <cell r="F20" t="str">
            <v>Fast Dry Latex Wall Primer (B45WSA1)</v>
          </cell>
          <cell r="G20" t="str">
            <v>9.08 Lbs/Gl</v>
          </cell>
          <cell r="H20" t="str">
            <v>42.1%</v>
          </cell>
          <cell r="I20" t="str">
            <v>56%</v>
          </cell>
          <cell r="J20" t="str">
            <v>60%</v>
          </cell>
          <cell r="K20" t="str">
            <v>19.7%</v>
          </cell>
          <cell r="L20" t="str">
            <v>50.3%</v>
          </cell>
          <cell r="M20" t="str">
            <v>79-85 KU</v>
          </cell>
          <cell r="N20" t="str">
            <v>Pistola</v>
          </cell>
          <cell r="O20" t="str">
            <v>30-35 KU</v>
          </cell>
          <cell r="P20" t="str">
            <v>-</v>
          </cell>
          <cell r="Q20" t="str">
            <v>R2K4         Industrial reducer</v>
          </cell>
          <cell r="R20" t="str">
            <v>2 mills</v>
          </cell>
          <cell r="S20" t="str">
            <v>Seco Tocar: 1 Hora. Seco Completo: 4 Hrs. Repintar:6 Hrs</v>
          </cell>
          <cell r="T20" t="str">
            <v>-</v>
          </cell>
          <cell r="U20" t="str">
            <v>33 m2/Gl</v>
          </cell>
          <cell r="V20" t="str">
            <v>Full</v>
          </cell>
          <cell r="W20" t="str">
            <v>6H-7H</v>
          </cell>
          <cell r="X20" t="str">
            <v>36 meses cerrado</v>
          </cell>
          <cell r="Y20" t="str">
            <v>Industrias Eureka</v>
          </cell>
          <cell r="Z20" t="str">
            <v>Planchas de Fibrocemento</v>
          </cell>
          <cell r="AA20" t="str">
            <v>Una parte de B62LSA1 con una parte de catalizador B60FSA2 en volumen, dejar reposar 30 min.Debe esperarse de 12 a 15 días para alcanzar la dureza de 6H-7H.</v>
          </cell>
          <cell r="AB20" t="str">
            <v>-</v>
          </cell>
          <cell r="AC20" t="str">
            <v>S/F</v>
          </cell>
        </row>
        <row r="21">
          <cell r="A21" t="str">
            <v>B62RSA1</v>
          </cell>
          <cell r="B21" t="str">
            <v>Tile Clad II Rojo Vino Brillante</v>
          </cell>
          <cell r="C21" t="str">
            <v>Interior</v>
          </cell>
          <cell r="D21" t="str">
            <v>Fibrocemento (Fibrolite)</v>
          </cell>
          <cell r="E21" t="str">
            <v>Limpia de Polvo</v>
          </cell>
          <cell r="F21" t="str">
            <v>Fast Dry Latex Wall Primer (B45WSA1)</v>
          </cell>
          <cell r="G21" t="str">
            <v>9.40 Lbs/Gl</v>
          </cell>
          <cell r="H21" t="str">
            <v>41.3%</v>
          </cell>
          <cell r="I21" t="str">
            <v>55.1%</v>
          </cell>
          <cell r="J21" t="str">
            <v>60%</v>
          </cell>
          <cell r="K21" t="str">
            <v>12.8%</v>
          </cell>
          <cell r="L21" t="str">
            <v>41.8%</v>
          </cell>
          <cell r="M21" t="str">
            <v>79-85 Ku</v>
          </cell>
          <cell r="N21" t="str">
            <v>Pistola</v>
          </cell>
          <cell r="O21" t="str">
            <v xml:space="preserve">30-35 KU  </v>
          </cell>
          <cell r="P21" t="str">
            <v>-</v>
          </cell>
          <cell r="Q21" t="str">
            <v>R2K4         Industrial reducer</v>
          </cell>
          <cell r="R21" t="str">
            <v>-</v>
          </cell>
          <cell r="S21" t="str">
            <v>Seco Tocar : 1 Hra. Seco Completo: 4 Hrs. Repintar: 6 Hrs.</v>
          </cell>
          <cell r="T21" t="str">
            <v>-</v>
          </cell>
          <cell r="U21" t="str">
            <v>33 Mts Cuadrados/Gl</v>
          </cell>
          <cell r="V21" t="str">
            <v>Full</v>
          </cell>
          <cell r="W21" t="str">
            <v>6H-7H</v>
          </cell>
          <cell r="X21" t="str">
            <v>36 meses cerrado</v>
          </cell>
          <cell r="Y21" t="str">
            <v>Industrias Eureka</v>
          </cell>
          <cell r="Z21" t="str">
            <v>Plancha de Fibrocemento</v>
          </cell>
          <cell r="AA21" t="str">
            <v>Una parte de B62WSA2 con una parte de catalizador B60FSA2 en volumen, dejar reposar 30 min.Debe esperarse de 12 a 15 días para alcanzar la dureza de 6H-7H. Vida útil de la mezcla: 8 Hrs</v>
          </cell>
          <cell r="AB21" t="str">
            <v>-</v>
          </cell>
          <cell r="AC21" t="str">
            <v>S/F</v>
          </cell>
        </row>
        <row r="22">
          <cell r="A22" t="str">
            <v>B62RSA3</v>
          </cell>
          <cell r="B22" t="str">
            <v>Tile Clad II Enamel Rojo Ladrillo Especial Semi-Mate</v>
          </cell>
          <cell r="C22" t="str">
            <v>Interior-Exterior</v>
          </cell>
          <cell r="D22" t="str">
            <v>Ladrillo para Pisos</v>
          </cell>
          <cell r="E22" t="str">
            <v>Libre de Suciedad</v>
          </cell>
          <cell r="F22" t="str">
            <v>Ninguno</v>
          </cell>
          <cell r="G22" t="str">
            <v>10.84 Lbs/Gl</v>
          </cell>
          <cell r="H22" t="str">
            <v>63.4%</v>
          </cell>
          <cell r="I22" t="str">
            <v>55.7%</v>
          </cell>
          <cell r="J22" t="str">
            <v>36.6%</v>
          </cell>
          <cell r="K22" t="str">
            <v>33.7%</v>
          </cell>
          <cell r="L22" t="str">
            <v>40.34%</v>
          </cell>
          <cell r="M22" t="str">
            <v>80-85 KU</v>
          </cell>
          <cell r="N22" t="str">
            <v>Brocha-Pistola</v>
          </cell>
          <cell r="O22" t="str">
            <v>Brocha (50-60 KU), Pistola (15-20" Ford #4)</v>
          </cell>
          <cell r="P22" t="str">
            <v>Brocha: 10% R7K54; Pistola: 25% R7K54</v>
          </cell>
          <cell r="Q22" t="str">
            <v>R7K54</v>
          </cell>
          <cell r="R22" t="str">
            <v>2.0-2.5 Mills Seco</v>
          </cell>
          <cell r="S22" t="str">
            <v>2-3 Horas</v>
          </cell>
          <cell r="T22" t="str">
            <v>-</v>
          </cell>
          <cell r="U22" t="str">
            <v>-</v>
          </cell>
          <cell r="V22" t="str">
            <v>Semi-Mate</v>
          </cell>
          <cell r="W22" t="str">
            <v>H-2H</v>
          </cell>
          <cell r="X22" t="str">
            <v>-</v>
          </cell>
          <cell r="Y22" t="str">
            <v>Don Ernesto Velasco</v>
          </cell>
          <cell r="Z22" t="str">
            <v>-</v>
          </cell>
          <cell r="AA22" t="str">
            <v>Mezcla 1:1 de B62RSA3 con el catalizador B60FSA1 en volumen, dejar reposar 20 min.La mezcla tiene una vida media de 8 horas. Debe esperarse de 12 a 15 días para alcanzar la dureza de 6H-7H.</v>
          </cell>
          <cell r="AB22" t="str">
            <v>Rene Ferrufino</v>
          </cell>
          <cell r="AC22" t="str">
            <v>S/F</v>
          </cell>
        </row>
        <row r="23">
          <cell r="A23" t="str">
            <v>B62W101</v>
          </cell>
          <cell r="B23" t="str">
            <v xml:space="preserve">Tile Clad II Enamel </v>
          </cell>
          <cell r="C23" t="str">
            <v>-</v>
          </cell>
          <cell r="D23" t="str">
            <v>Aluminio, Concreto, Madera y Acero</v>
          </cell>
          <cell r="E23" t="str">
            <v>SW-1, SW-3, SW-5, SW-15, SW-24</v>
          </cell>
          <cell r="F23" t="str">
            <v>B42W46</v>
          </cell>
          <cell r="G23" t="str">
            <v>10.0 Lbs/Gl</v>
          </cell>
          <cell r="H23" t="str">
            <v>45.10%</v>
          </cell>
          <cell r="I23" t="str">
            <v>64.98%</v>
          </cell>
          <cell r="J23" t="str">
            <v>19.87%</v>
          </cell>
          <cell r="K23" t="str">
            <v>39.2%</v>
          </cell>
          <cell r="L23" t="str">
            <v>45.48%</v>
          </cell>
          <cell r="M23" t="str">
            <v>70-85 KU</v>
          </cell>
          <cell r="N23" t="str">
            <v>Brocha, Rodillo, Pistola de Aire</v>
          </cell>
          <cell r="O23" t="str">
            <v>7</v>
          </cell>
          <cell r="P23" t="str">
            <v>-</v>
          </cell>
          <cell r="Q23" t="str">
            <v>R7K54</v>
          </cell>
          <cell r="R23" t="str">
            <v>4.0 mills</v>
          </cell>
          <cell r="S23" t="str">
            <v>Seco Tocar: 1 Hr, Tack Free: 4 Hrs</v>
          </cell>
          <cell r="T23" t="str">
            <v>-</v>
          </cell>
          <cell r="U23" t="str">
            <v>185 Pies Cuadrados/Gl</v>
          </cell>
          <cell r="V23" t="str">
            <v>80</v>
          </cell>
          <cell r="W23" t="str">
            <v>-</v>
          </cell>
          <cell r="X23" t="str">
            <v>36 meses cerrado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S/F</v>
          </cell>
        </row>
        <row r="24">
          <cell r="A24" t="str">
            <v>B62WSA2</v>
          </cell>
          <cell r="B24" t="str">
            <v>Tile Clad II Blanco Brillante</v>
          </cell>
          <cell r="C24" t="str">
            <v>Interior</v>
          </cell>
          <cell r="D24" t="str">
            <v>Fibrocemento (Fibrolite)</v>
          </cell>
          <cell r="E24" t="str">
            <v>Limpia de Polvo</v>
          </cell>
          <cell r="F24" t="str">
            <v>Fast Dry Latex Wall Primer (B45WSA1)</v>
          </cell>
          <cell r="G24" t="str">
            <v>10.51 Lbs/Gl</v>
          </cell>
          <cell r="H24" t="str">
            <v>55%</v>
          </cell>
          <cell r="I24" t="str">
            <v>61.7%</v>
          </cell>
          <cell r="J24" t="str">
            <v>60%</v>
          </cell>
          <cell r="K24" t="str">
            <v>23.9%</v>
          </cell>
          <cell r="L24" t="str">
            <v>44.5%</v>
          </cell>
          <cell r="M24" t="str">
            <v>79-80 KU</v>
          </cell>
          <cell r="N24" t="str">
            <v>Pistola</v>
          </cell>
          <cell r="O24" t="str">
            <v>30-35 KU</v>
          </cell>
          <cell r="P24" t="str">
            <v>20% en volumen con R2K4 para Aplicar con Pistola</v>
          </cell>
          <cell r="Q24" t="str">
            <v>R2K4         Industrial reducer</v>
          </cell>
          <cell r="R24" t="str">
            <v>2 mills</v>
          </cell>
          <cell r="S24" t="str">
            <v>Seco Tocar: 1 Hora. Seco Completo: 4 Hrs. Repintar:6 Hrs</v>
          </cell>
          <cell r="T24" t="str">
            <v>-</v>
          </cell>
          <cell r="U24" t="str">
            <v>33 m2/Gl</v>
          </cell>
          <cell r="V24" t="str">
            <v>Full</v>
          </cell>
          <cell r="W24" t="str">
            <v>6H-7H</v>
          </cell>
          <cell r="X24" t="str">
            <v>36 meses cerrado</v>
          </cell>
          <cell r="Y24" t="str">
            <v>Guatemala</v>
          </cell>
          <cell r="Z24" t="str">
            <v>-</v>
          </cell>
          <cell r="AA24" t="str">
            <v>Una parte de B62WSA2 con una parte de catalizador B60FSA2 en volumen, dejar reposar 30 min.Debe esperarse de 12 a 15 días para alcanzar la dureza de 6H-7H. Vida útil de la mezcla: 8 Hrs</v>
          </cell>
          <cell r="AB24" t="str">
            <v>-</v>
          </cell>
          <cell r="AC24" t="str">
            <v>S/F</v>
          </cell>
        </row>
        <row r="25">
          <cell r="A25" t="str">
            <v>B62WSA2/B60CSA1</v>
          </cell>
          <cell r="B25" t="str">
            <v>Tile Clad II Blanco Brillante</v>
          </cell>
          <cell r="C25" t="str">
            <v>Interior</v>
          </cell>
          <cell r="D25" t="str">
            <v>Concreto-Fibrocemento-Madera-Metal</v>
          </cell>
          <cell r="E25" t="str">
            <v>Limpia de Polvo, Grasa, Suciedad</v>
          </cell>
          <cell r="F25" t="str">
            <v>B24WSA1 Sellador Especial Para Fibrolit</v>
          </cell>
          <cell r="G25" t="str">
            <v>10.51 Lbs/Gl</v>
          </cell>
          <cell r="H25" t="str">
            <v>55%</v>
          </cell>
          <cell r="I25" t="str">
            <v>61.7%</v>
          </cell>
          <cell r="J25" t="str">
            <v>45%</v>
          </cell>
          <cell r="K25" t="str">
            <v>23.9%</v>
          </cell>
          <cell r="L25" t="str">
            <v>44.5%</v>
          </cell>
          <cell r="M25" t="str">
            <v>75-83 KU</v>
          </cell>
          <cell r="N25" t="str">
            <v>Pistola-Brocha (Para acabado de Azulejo Debe Ser Aplicado con Pistola)</v>
          </cell>
          <cell r="O25" t="str">
            <v>Brocha: 70-75 KU      Pistola: 15"-20" Copa Ford #4.</v>
          </cell>
          <cell r="P25" t="str">
            <v>-</v>
          </cell>
          <cell r="Q25" t="str">
            <v>R2K4         Industrial reducer</v>
          </cell>
          <cell r="R25" t="str">
            <v>De 2 a 4 mills Seco</v>
          </cell>
          <cell r="S25" t="str">
            <v>Seco Tocar: 1 Hra, Seco Completo 4-6 Hrs, Repintar: 12 Horas</v>
          </cell>
          <cell r="T25" t="str">
            <v>-</v>
          </cell>
          <cell r="U25" t="str">
            <v>25 Mts Cuadrados/Gl (4 mills), 50 Mts Cuadrados (2 mills)</v>
          </cell>
          <cell r="V25" t="str">
            <v>35 +/- 10 unidades</v>
          </cell>
          <cell r="W25" t="str">
            <v>2H</v>
          </cell>
          <cell r="X25" t="str">
            <v>-</v>
          </cell>
          <cell r="Y25" t="str">
            <v>Hospitalia S.A</v>
          </cell>
          <cell r="Z25" t="str">
            <v>-</v>
          </cell>
          <cell r="AA25" t="str">
            <v>Una parte de B62WSA2 con una parte de catalizador B60CSA1 en volumen, dejar reposar 30 min.Debe esperarse de 12 a 15 días para alcanzar la dureza de 6H-7H.</v>
          </cell>
          <cell r="AB25" t="str">
            <v>Ing. René F. Ferrufino</v>
          </cell>
          <cell r="AC25" t="str">
            <v>S/F</v>
          </cell>
        </row>
        <row r="26">
          <cell r="A26" t="str">
            <v>B69A47</v>
          </cell>
          <cell r="B26" t="str">
            <v>Zinc Clad 7 Primer</v>
          </cell>
          <cell r="C26" t="str">
            <v>Interior-Exterior Expocision a Aire Salino, Humedad, Quimicos</v>
          </cell>
          <cell r="D26" t="str">
            <v>Hierro-Acero</v>
          </cell>
          <cell r="E26" t="str">
            <v>Limpieza con Solvente</v>
          </cell>
          <cell r="F26" t="str">
            <v>Ninguno</v>
          </cell>
          <cell r="G26" t="str">
            <v>7.92 Lbs/Gl Parte A    7.45 Lbs/Gl Parte B</v>
          </cell>
          <cell r="H26" t="str">
            <v>43%</v>
          </cell>
          <cell r="I26" t="str">
            <v>84.39%</v>
          </cell>
          <cell r="J26" t="str">
            <v>75%</v>
          </cell>
          <cell r="K26" t="str">
            <v>62.16%</v>
          </cell>
          <cell r="L26" t="str">
            <v>49.55%</v>
          </cell>
          <cell r="M26" t="str">
            <v>12"-16" Ford #4, Parte A  16"-20" Ford #4, Parte B</v>
          </cell>
          <cell r="N26" t="str">
            <v>Pistola de Aire</v>
          </cell>
          <cell r="O26" t="str">
            <v>18"-22" Ford #4 Mezcla</v>
          </cell>
          <cell r="P26" t="str">
            <v>12% R6K22</v>
          </cell>
          <cell r="Q26" t="str">
            <v>R6K22</v>
          </cell>
          <cell r="R26" t="str">
            <v>2 mills</v>
          </cell>
          <cell r="S26" t="str">
            <v>Tocar: 30 Min Para Recubrimiento Final 24 Horas</v>
          </cell>
          <cell r="T26" t="str">
            <v>-</v>
          </cell>
          <cell r="U26" t="str">
            <v>-</v>
          </cell>
          <cell r="V26" t="str">
            <v>Mate</v>
          </cell>
          <cell r="W26" t="str">
            <v>-</v>
          </cell>
          <cell r="X26" t="str">
            <v>-</v>
          </cell>
          <cell r="Y26" t="str">
            <v>Beneficio El Tazumal (Chalchuapa)/(IMSA) Industrias Metalicas, S.A.</v>
          </cell>
          <cell r="Z26" t="str">
            <v>-</v>
          </cell>
          <cell r="AA26" t="str">
            <v>Producto de 3 Componentes.Mezclar 1 Parte de A con 1/2 Parte de B.Despues agregar 1 Parte de C en vol.Esperar 30 min antes de aplicar. La mezcla catalizada debe ser usada en un periodo de 8 horas.</v>
          </cell>
          <cell r="AB26" t="str">
            <v>-</v>
          </cell>
          <cell r="AC26" t="str">
            <v>S/F</v>
          </cell>
        </row>
        <row r="27">
          <cell r="A27" t="str">
            <v>B79WSA1</v>
          </cell>
          <cell r="B27" t="str">
            <v>Colonial Latex Blanco Colonial</v>
          </cell>
          <cell r="C27" t="str">
            <v>Interior-Exterior</v>
          </cell>
          <cell r="D27" t="str">
            <v>Concreto-Madera-Estuco</v>
          </cell>
          <cell r="E27" t="str">
            <v>Superficie Seca y Limpia</v>
          </cell>
          <cell r="F27" t="str">
            <v>A71WSA4 para pintar sobre madera</v>
          </cell>
          <cell r="G27" t="str">
            <v>11.30 Lbs/Gl</v>
          </cell>
          <cell r="H27" t="str">
            <v>-</v>
          </cell>
          <cell r="I27" t="str">
            <v>47.9%</v>
          </cell>
          <cell r="J27" t="str">
            <v>-</v>
          </cell>
          <cell r="K27" t="str">
            <v>-</v>
          </cell>
          <cell r="L27" t="str">
            <v>30.7%</v>
          </cell>
          <cell r="M27" t="str">
            <v>25"-30" Copa SW #4</v>
          </cell>
          <cell r="N27" t="str">
            <v>Brocha-Rodillo</v>
          </cell>
          <cell r="O27" t="str">
            <v>El mismo</v>
          </cell>
          <cell r="P27" t="str">
            <v>Ninguno</v>
          </cell>
          <cell r="Q27" t="str">
            <v>-</v>
          </cell>
          <cell r="R27" t="str">
            <v>5 mills</v>
          </cell>
          <cell r="S27" t="str">
            <v>Al aire</v>
          </cell>
          <cell r="T27" t="str">
            <v>-</v>
          </cell>
          <cell r="U27" t="str">
            <v>Aproximadamente 30 Mts cuadrados/Gl</v>
          </cell>
          <cell r="V27" t="str">
            <v>Mate</v>
          </cell>
          <cell r="W27" t="str">
            <v>-</v>
          </cell>
          <cell r="X27" t="str">
            <v>1 año</v>
          </cell>
          <cell r="Y27" t="str">
            <v>Warner Lambert-Guatemala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S/F</v>
          </cell>
        </row>
        <row r="28">
          <cell r="A28" t="str">
            <v>E61ESA6</v>
          </cell>
          <cell r="B28" t="str">
            <v>Anticorrosivo Naranja</v>
          </cell>
          <cell r="C28" t="str">
            <v>Interior-Exterior</v>
          </cell>
          <cell r="D28" t="str">
            <v>Superficies De Hierro</v>
          </cell>
          <cell r="E28" t="str">
            <v>Limpieza con Cepillo de Alambre</v>
          </cell>
          <cell r="F28" t="str">
            <v>Ninguno</v>
          </cell>
          <cell r="G28" t="str">
            <v>11.85 Lbs/Gl</v>
          </cell>
          <cell r="H28" t="str">
            <v>-</v>
          </cell>
          <cell r="I28" t="str">
            <v>74%</v>
          </cell>
          <cell r="J28" t="str">
            <v>-</v>
          </cell>
          <cell r="K28" t="str">
            <v>-</v>
          </cell>
          <cell r="L28" t="str">
            <v>49.9%</v>
          </cell>
          <cell r="M28" t="str">
            <v>100-110 KU</v>
          </cell>
          <cell r="N28" t="str">
            <v xml:space="preserve">Brocha-Pistola </v>
          </cell>
          <cell r="O28" t="str">
            <v>70-75 KU Brocha</v>
          </cell>
          <cell r="P28" t="str">
            <v>25% con R1K4 para Aplicar con Pistola</v>
          </cell>
          <cell r="Q28" t="str">
            <v>R1K4   Mineral Spirits</v>
          </cell>
          <cell r="R28" t="str">
            <v>1.0-1.5 mills</v>
          </cell>
          <cell r="S28" t="str">
            <v>-</v>
          </cell>
          <cell r="T28" t="str">
            <v>-</v>
          </cell>
          <cell r="U28" t="str">
            <v>750 Pies Cuadrados/Gl</v>
          </cell>
          <cell r="V28" t="str">
            <v>0-10</v>
          </cell>
          <cell r="W28" t="str">
            <v>-</v>
          </cell>
          <cell r="X28" t="str">
            <v>12 meses</v>
          </cell>
          <cell r="Y28" t="str">
            <v>Aceros Arquitectónicos</v>
          </cell>
          <cell r="Z28" t="str">
            <v>Estructuras Metálicas</v>
          </cell>
          <cell r="AA28" t="str">
            <v>-</v>
          </cell>
          <cell r="AB28" t="str">
            <v>-</v>
          </cell>
          <cell r="AC28" t="str">
            <v>S/F</v>
          </cell>
        </row>
        <row r="29">
          <cell r="A29" t="str">
            <v>E61ESA6 Tarj. No.2</v>
          </cell>
          <cell r="B29" t="str">
            <v>Anticorrosivo Naranja</v>
          </cell>
          <cell r="C29" t="str">
            <v>Interior-Exterior</v>
          </cell>
          <cell r="D29" t="str">
            <v>Superficies De Hierro</v>
          </cell>
          <cell r="E29" t="str">
            <v>Limpieza con Cepillo de Alambre</v>
          </cell>
          <cell r="F29" t="str">
            <v>Ninguno</v>
          </cell>
          <cell r="G29" t="str">
            <v>11.85 Lbs/Gl</v>
          </cell>
          <cell r="H29" t="str">
            <v>-</v>
          </cell>
          <cell r="I29" t="str">
            <v>74%</v>
          </cell>
          <cell r="J29" t="str">
            <v>-</v>
          </cell>
          <cell r="K29" t="str">
            <v>-</v>
          </cell>
          <cell r="L29" t="str">
            <v>49.9%</v>
          </cell>
          <cell r="M29" t="str">
            <v>100-110 KU</v>
          </cell>
          <cell r="N29" t="str">
            <v xml:space="preserve">Brocha-Pistola </v>
          </cell>
          <cell r="O29" t="str">
            <v>20"-25" Copa Ford #4 para Aplicar con Pistola</v>
          </cell>
          <cell r="P29" t="str">
            <v>25% con R1K4 para Aplicar con Pistola</v>
          </cell>
          <cell r="Q29" t="str">
            <v>R1K4   Mineral Spirits</v>
          </cell>
          <cell r="R29" t="str">
            <v>1.0-1.5 mills</v>
          </cell>
          <cell r="S29" t="str">
            <v>-</v>
          </cell>
          <cell r="T29" t="str">
            <v>-</v>
          </cell>
          <cell r="U29" t="str">
            <v>800 Pies Cuadrados/Gl</v>
          </cell>
          <cell r="V29" t="str">
            <v>0-10</v>
          </cell>
          <cell r="W29" t="str">
            <v>-</v>
          </cell>
          <cell r="X29" t="str">
            <v>12 meses</v>
          </cell>
          <cell r="Y29" t="str">
            <v>Aceros Arquitectónicos</v>
          </cell>
          <cell r="Z29" t="str">
            <v>Estructuras Metálicas</v>
          </cell>
          <cell r="AA29" t="str">
            <v>-</v>
          </cell>
          <cell r="AB29" t="str">
            <v>-</v>
          </cell>
          <cell r="AC29" t="str">
            <v>S/F</v>
          </cell>
        </row>
        <row r="30">
          <cell r="A30" t="str">
            <v>E61ESA6 Tarj. No.3</v>
          </cell>
          <cell r="B30" t="str">
            <v>Anticorrosivo Naranja</v>
          </cell>
          <cell r="C30" t="str">
            <v>Interior-Exterior</v>
          </cell>
          <cell r="D30" t="str">
            <v>Superficies De Hierro</v>
          </cell>
          <cell r="E30" t="str">
            <v>Limpieza con Cepillo de Alambre</v>
          </cell>
          <cell r="F30" t="str">
            <v>Ninguno</v>
          </cell>
          <cell r="G30" t="str">
            <v>11.33 Lbs/Gl</v>
          </cell>
          <cell r="H30" t="str">
            <v>-</v>
          </cell>
          <cell r="I30" t="str">
            <v>60.9%</v>
          </cell>
          <cell r="J30" t="str">
            <v>-</v>
          </cell>
          <cell r="K30" t="str">
            <v>-</v>
          </cell>
          <cell r="L30" t="str">
            <v>36.0%</v>
          </cell>
          <cell r="M30" t="str">
            <v>100-110 KU</v>
          </cell>
          <cell r="N30" t="str">
            <v xml:space="preserve">Brocha-Pistola </v>
          </cell>
          <cell r="O30" t="str">
            <v>20"-25" Copa Ford #4 para Aplicar con Pistola</v>
          </cell>
          <cell r="P30" t="str">
            <v>25% con R1K4 para Aplicar con Pistola</v>
          </cell>
          <cell r="Q30" t="str">
            <v>R1K4   Mineral Spirits</v>
          </cell>
          <cell r="R30" t="str">
            <v>1.0-1.5 mills</v>
          </cell>
          <cell r="S30" t="str">
            <v>-</v>
          </cell>
          <cell r="T30" t="str">
            <v>-</v>
          </cell>
          <cell r="U30" t="str">
            <v>800 Pies Cuadrados/Gl</v>
          </cell>
          <cell r="V30" t="str">
            <v>0-10</v>
          </cell>
          <cell r="W30" t="str">
            <v>-</v>
          </cell>
          <cell r="X30" t="str">
            <v>12 meses</v>
          </cell>
          <cell r="Y30" t="str">
            <v>Aceros Arquitectónicos</v>
          </cell>
          <cell r="Z30" t="str">
            <v>Estructuras Metálicas</v>
          </cell>
          <cell r="AA30" t="str">
            <v>-</v>
          </cell>
          <cell r="AB30" t="str">
            <v>-</v>
          </cell>
          <cell r="AC30" t="str">
            <v>S/F</v>
          </cell>
        </row>
        <row r="31">
          <cell r="A31" t="str">
            <v>E61ESA8</v>
          </cell>
          <cell r="B31" t="str">
            <v>Anticorrosivo Naranja Tipic</v>
          </cell>
          <cell r="C31" t="str">
            <v>Interior-Exterior</v>
          </cell>
          <cell r="D31" t="str">
            <v>Hierro</v>
          </cell>
          <cell r="E31" t="str">
            <v>Limpieza con Cepillo de Alambre</v>
          </cell>
          <cell r="F31" t="str">
            <v>-</v>
          </cell>
          <cell r="G31" t="str">
            <v>12.53 Lbs/Gl</v>
          </cell>
          <cell r="H31" t="str">
            <v>-</v>
          </cell>
          <cell r="I31" t="str">
            <v>73.34%</v>
          </cell>
          <cell r="J31" t="str">
            <v>-</v>
          </cell>
          <cell r="K31" t="str">
            <v>-</v>
          </cell>
          <cell r="L31" t="str">
            <v>47.08%</v>
          </cell>
          <cell r="M31" t="str">
            <v>20"-25" Copa SW #3</v>
          </cell>
          <cell r="N31" t="str">
            <v>Brocha-Pistola</v>
          </cell>
          <cell r="O31" t="str">
            <v>20"-25" Copa SW #3</v>
          </cell>
          <cell r="P31" t="str">
            <v>20% R1K3 para Pistola</v>
          </cell>
          <cell r="Q31" t="str">
            <v>R1K3</v>
          </cell>
          <cell r="R31" t="str">
            <v>1.0-1.5 mills</v>
          </cell>
          <cell r="S31" t="str">
            <v>-</v>
          </cell>
          <cell r="T31" t="str">
            <v>-</v>
          </cell>
          <cell r="U31" t="str">
            <v>700 Pies Cuadrados/Gl</v>
          </cell>
          <cell r="V31" t="str">
            <v>0-10</v>
          </cell>
          <cell r="W31" t="str">
            <v>-</v>
          </cell>
          <cell r="X31" t="str">
            <v>12 meses</v>
          </cell>
          <cell r="Y31" t="str">
            <v>Tipic, S.A. Guatemala</v>
          </cell>
          <cell r="Z31" t="str">
            <v>Estructuras Metálicas</v>
          </cell>
          <cell r="AA31" t="str">
            <v>-</v>
          </cell>
          <cell r="AB31" t="str">
            <v>-</v>
          </cell>
          <cell r="AC31" t="str">
            <v>S/F</v>
          </cell>
        </row>
        <row r="32">
          <cell r="A32" t="str">
            <v>E68WSA4</v>
          </cell>
          <cell r="B32" t="str">
            <v>Acrilic Monobake White Primer</v>
          </cell>
          <cell r="C32" t="str">
            <v>Interior-Exterior Limitada</v>
          </cell>
          <cell r="D32" t="str">
            <v>Hierro</v>
          </cell>
          <cell r="E32" t="str">
            <v>Limpieza Quimica y Fosfatizacion</v>
          </cell>
          <cell r="F32" t="str">
            <v>-</v>
          </cell>
          <cell r="G32" t="str">
            <v>9.76 Lbs/Gl</v>
          </cell>
          <cell r="H32" t="str">
            <v>30.5%</v>
          </cell>
          <cell r="I32" t="str">
            <v>56.26%</v>
          </cell>
          <cell r="J32" t="str">
            <v>54.26%</v>
          </cell>
          <cell r="K32" t="str">
            <v>31.51%</v>
          </cell>
          <cell r="L32" t="str">
            <v>36.62%</v>
          </cell>
          <cell r="M32" t="str">
            <v>180"-200" Copa Zanh #2</v>
          </cell>
          <cell r="N32" t="str">
            <v>Pistola</v>
          </cell>
          <cell r="O32" t="str">
            <v>28"-32" Copa Zanh #2</v>
          </cell>
          <cell r="P32" t="str">
            <v>40-50%</v>
          </cell>
          <cell r="Q32" t="str">
            <v>R2K4         Industrial reducer</v>
          </cell>
          <cell r="R32" t="str">
            <v>0.3 mills</v>
          </cell>
          <cell r="S32" t="str">
            <v>Al Horno</v>
          </cell>
          <cell r="T32" t="str">
            <v>15' a 370°F</v>
          </cell>
          <cell r="U32" t="str">
            <v>-</v>
          </cell>
          <cell r="V32" t="str">
            <v>90-95 con Esmalte G78</v>
          </cell>
          <cell r="W32" t="str">
            <v>2H con Esmalte G78</v>
          </cell>
          <cell r="X32" t="str">
            <v>6 meses</v>
          </cell>
          <cell r="Y32" t="str">
            <v>PRADO S.A</v>
          </cell>
          <cell r="Z32" t="str">
            <v>Refrigeradoras,Lavadoras,Cocinas</v>
          </cell>
          <cell r="AA32" t="str">
            <v>-</v>
          </cell>
          <cell r="AB32" t="str">
            <v>-</v>
          </cell>
          <cell r="AC32" t="str">
            <v>S/F</v>
          </cell>
        </row>
        <row r="33">
          <cell r="A33" t="str">
            <v>F65W1</v>
          </cell>
          <cell r="B33" t="str">
            <v>Kem Lustral White</v>
          </cell>
          <cell r="C33" t="str">
            <v>Interior-Exterior</v>
          </cell>
          <cell r="D33" t="str">
            <v>-</v>
          </cell>
          <cell r="E33" t="str">
            <v>Limpieza con Cepillo de Alambre</v>
          </cell>
          <cell r="F33" t="str">
            <v>E41N1 Kromik Metal Primer</v>
          </cell>
          <cell r="G33" t="str">
            <v>9.60 Lbs/Gl</v>
          </cell>
          <cell r="H33" t="str">
            <v>-</v>
          </cell>
          <cell r="I33" t="str">
            <v>59%</v>
          </cell>
          <cell r="J33" t="str">
            <v>-</v>
          </cell>
          <cell r="K33" t="str">
            <v>-</v>
          </cell>
          <cell r="L33" t="str">
            <v>41%</v>
          </cell>
          <cell r="M33" t="str">
            <v>30-36" Copa SW #3</v>
          </cell>
          <cell r="N33" t="str">
            <v>Brocha-Rodillo-Pistola</v>
          </cell>
          <cell r="O33" t="str">
            <v>Con Pistola     18"-20" Copa Ford #4</v>
          </cell>
          <cell r="P33" t="str">
            <v>Con Pistola 25% con R1K3</v>
          </cell>
          <cell r="Q33" t="str">
            <v>R1K3</v>
          </cell>
          <cell r="R33" t="str">
            <v>1-1 1/2 mills</v>
          </cell>
          <cell r="S33" t="str">
            <v>Al Aire</v>
          </cell>
          <cell r="T33" t="str">
            <v>-</v>
          </cell>
          <cell r="U33" t="str">
            <v>600 Pies Cuadrados/Gl</v>
          </cell>
          <cell r="V33" t="str">
            <v>+85</v>
          </cell>
          <cell r="W33" t="str">
            <v>-</v>
          </cell>
          <cell r="X33" t="str">
            <v>1 año</v>
          </cell>
          <cell r="Y33" t="str">
            <v>Warner Lambert-Guatemala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S/F</v>
          </cell>
        </row>
        <row r="34">
          <cell r="A34" t="str">
            <v>F68RSA9 T-2</v>
          </cell>
          <cell r="B34" t="str">
            <v>Esmalte para espejos Rojo Especial</v>
          </cell>
          <cell r="C34" t="str">
            <v xml:space="preserve">Interior  </v>
          </cell>
          <cell r="D34" t="str">
            <v>Vidrio</v>
          </cell>
          <cell r="E34" t="str">
            <v>Limpio</v>
          </cell>
          <cell r="F34" t="str">
            <v>Ninguno</v>
          </cell>
          <cell r="G34" t="str">
            <v>10.65 Lbs/Gl</v>
          </cell>
          <cell r="H34" t="str">
            <v>38.1%</v>
          </cell>
          <cell r="I34" t="str">
            <v>63.44%</v>
          </cell>
          <cell r="J34" t="str">
            <v>40.90%</v>
          </cell>
          <cell r="K34" t="str">
            <v>35.10%</v>
          </cell>
          <cell r="L34" t="str">
            <v>45.07%</v>
          </cell>
          <cell r="M34" t="str">
            <v>30-35"        SW #3</v>
          </cell>
          <cell r="N34" t="str">
            <v>Pistola</v>
          </cell>
          <cell r="O34" t="str">
            <v>18-20"             Copa Ford #4</v>
          </cell>
          <cell r="P34" t="str">
            <v>20%</v>
          </cell>
          <cell r="Q34" t="str">
            <v>Kem Flo Glo Reducer R4K183</v>
          </cell>
          <cell r="R34" t="str">
            <v>1.0 mills</v>
          </cell>
          <cell r="S34" t="str">
            <v xml:space="preserve">Al Aire               </v>
          </cell>
          <cell r="T34" t="str">
            <v>-</v>
          </cell>
          <cell r="U34" t="str">
            <v>1,015.52 pies cuadrados/Gl</v>
          </cell>
          <cell r="V34" t="str">
            <v>5-6</v>
          </cell>
          <cell r="W34" t="str">
            <v>-</v>
          </cell>
          <cell r="X34" t="str">
            <v>6 meses</v>
          </cell>
          <cell r="Y34" t="str">
            <v>FREUND            ESTACION DE PINTURAS</v>
          </cell>
          <cell r="Z34" t="str">
            <v>Espejos</v>
          </cell>
          <cell r="AA34" t="str">
            <v>-</v>
          </cell>
          <cell r="AB34" t="str">
            <v>-</v>
          </cell>
          <cell r="AC34" t="str">
            <v>S/F</v>
          </cell>
        </row>
        <row r="35">
          <cell r="A35" t="str">
            <v>F73ESA1</v>
          </cell>
          <cell r="B35" t="str">
            <v>Esmalte Horneable Naranja</v>
          </cell>
          <cell r="C35" t="str">
            <v>Interior-Exterior Limitada</v>
          </cell>
          <cell r="D35" t="str">
            <v>Hierro</v>
          </cell>
          <cell r="E35" t="str">
            <v>Limpieza Adecuada con R2K4 y Dual Etch (W4K263)</v>
          </cell>
          <cell r="F35" t="str">
            <v>Ninguno</v>
          </cell>
          <cell r="G35" t="str">
            <v>9.40 Lbs/Gl</v>
          </cell>
          <cell r="H35" t="str">
            <v>18.16%</v>
          </cell>
          <cell r="I35" t="str">
            <v>55.52%</v>
          </cell>
          <cell r="J35" t="str">
            <v>45.44%</v>
          </cell>
          <cell r="K35" t="str">
            <v>9.44%</v>
          </cell>
          <cell r="L35" t="str">
            <v>42.13%</v>
          </cell>
          <cell r="M35" t="str">
            <v>80"-90" Copa Zanh #2</v>
          </cell>
          <cell r="N35" t="str">
            <v>Pistola Convencional o Elestrostática</v>
          </cell>
          <cell r="O35" t="str">
            <v>20"-25" Copa Zanh #2</v>
          </cell>
          <cell r="P35" t="str">
            <v>20-25%</v>
          </cell>
          <cell r="Q35" t="str">
            <v>R2K4         Industrial reducer</v>
          </cell>
          <cell r="R35" t="str">
            <v>1.0-1.2 mills</v>
          </cell>
          <cell r="S35" t="str">
            <v>5-10 min</v>
          </cell>
          <cell r="T35" t="str">
            <v>15' a 300 °F</v>
          </cell>
          <cell r="U35" t="str">
            <v>893 Pies Cuadrados por Galón</v>
          </cell>
          <cell r="V35" t="str">
            <v>80-82</v>
          </cell>
          <cell r="W35" t="str">
            <v>F-H</v>
          </cell>
          <cell r="X35" t="str">
            <v>12 meses</v>
          </cell>
          <cell r="Y35" t="str">
            <v>IMSA S.A</v>
          </cell>
          <cell r="Z35" t="str">
            <v>Estantería</v>
          </cell>
          <cell r="AA35" t="str">
            <v>-</v>
          </cell>
          <cell r="AB35" t="str">
            <v>-</v>
          </cell>
          <cell r="AC35" t="str">
            <v>S/F</v>
          </cell>
        </row>
        <row r="36">
          <cell r="A36" t="str">
            <v>F73GSA25</v>
          </cell>
          <cell r="B36" t="str">
            <v>Esmalte Horneable Verde Intenso</v>
          </cell>
          <cell r="C36" t="str">
            <v>Interior-Exterior Limitada</v>
          </cell>
          <cell r="D36" t="str">
            <v>Hierro</v>
          </cell>
          <cell r="E36" t="str">
            <v>Limpieza con Industrial Reducer R2K4 y Dual Etch</v>
          </cell>
          <cell r="F36" t="str">
            <v>Ninguno</v>
          </cell>
          <cell r="G36" t="str">
            <v>9.15 Lbs/Gl</v>
          </cell>
          <cell r="H36" t="str">
            <v>16.05%</v>
          </cell>
          <cell r="I36" t="str">
            <v>62.61%</v>
          </cell>
          <cell r="J36" t="str">
            <v>49.58%</v>
          </cell>
          <cell r="K36" t="str">
            <v>9.74%</v>
          </cell>
          <cell r="L36" t="str">
            <v>44.44%</v>
          </cell>
          <cell r="M36" t="str">
            <v>100"-110" Copa Zanh #2</v>
          </cell>
          <cell r="N36" t="str">
            <v>Pistola Convencional</v>
          </cell>
          <cell r="O36" t="str">
            <v>20"-25" Copa Zanh #2</v>
          </cell>
          <cell r="P36" t="str">
            <v>20-25%</v>
          </cell>
          <cell r="Q36" t="str">
            <v>R2K4         Industrial reducer</v>
          </cell>
          <cell r="R36" t="str">
            <v>1.0-1.2 mills</v>
          </cell>
          <cell r="S36" t="str">
            <v>Al Horno</v>
          </cell>
          <cell r="T36" t="str">
            <v>15' a 300°F</v>
          </cell>
          <cell r="U36" t="str">
            <v>1001.76 Pies cuadrados por Galón</v>
          </cell>
          <cell r="V36" t="str">
            <v>+90</v>
          </cell>
          <cell r="W36" t="str">
            <v>H</v>
          </cell>
          <cell r="X36" t="str">
            <v>12 meses</v>
          </cell>
          <cell r="Y36" t="str">
            <v>Van Leer</v>
          </cell>
          <cell r="Z36" t="str">
            <v>Barriles de Hierro</v>
          </cell>
          <cell r="AA36" t="str">
            <v>-</v>
          </cell>
          <cell r="AB36" t="str">
            <v>-</v>
          </cell>
          <cell r="AC36" t="str">
            <v>S/F</v>
          </cell>
        </row>
        <row r="37">
          <cell r="A37" t="str">
            <v>F73HSA6</v>
          </cell>
          <cell r="B37" t="str">
            <v>Esmalte Horneable Beige Tyler 53</v>
          </cell>
          <cell r="C37" t="str">
            <v>Interior-Exterior Limitada</v>
          </cell>
          <cell r="D37" t="str">
            <v>Hierro</v>
          </cell>
          <cell r="E37" t="str">
            <v>Limpieza Adecuada con R2K4 y Dual Etch (W4K263)</v>
          </cell>
          <cell r="F37" t="str">
            <v>Ninguno</v>
          </cell>
          <cell r="G37" t="str">
            <v>8.79 Lbs/Gl</v>
          </cell>
          <cell r="H37" t="str">
            <v>13.57%</v>
          </cell>
          <cell r="I37" t="str">
            <v>55%</v>
          </cell>
          <cell r="J37" t="str">
            <v>47.53%</v>
          </cell>
          <cell r="K37" t="str">
            <v>7.49%</v>
          </cell>
          <cell r="L37" t="str">
            <v>42%</v>
          </cell>
          <cell r="M37" t="str">
            <v>80"-90" Copa Zanh #2</v>
          </cell>
          <cell r="N37" t="str">
            <v>Pistola Convencional o Elestrostática</v>
          </cell>
          <cell r="O37" t="str">
            <v>20"-25" Copa Zanh #2</v>
          </cell>
          <cell r="P37" t="str">
            <v>20-25%</v>
          </cell>
          <cell r="Q37" t="str">
            <v>R2K4         Industrial reducer</v>
          </cell>
          <cell r="R37" t="str">
            <v>1.0-1.2 mills</v>
          </cell>
          <cell r="S37" t="str">
            <v>5-10 min</v>
          </cell>
          <cell r="T37" t="str">
            <v>15' a 300 °F</v>
          </cell>
          <cell r="U37" t="str">
            <v>783 Pies Cuadrados por Galón</v>
          </cell>
          <cell r="V37" t="str">
            <v>85</v>
          </cell>
          <cell r="W37" t="str">
            <v>F-H</v>
          </cell>
          <cell r="X37" t="str">
            <v>12 meses</v>
          </cell>
          <cell r="Y37" t="str">
            <v>IMSA S.A</v>
          </cell>
          <cell r="Z37" t="str">
            <v>Estantería</v>
          </cell>
          <cell r="AA37" t="str">
            <v>-</v>
          </cell>
          <cell r="AB37" t="str">
            <v>-</v>
          </cell>
          <cell r="AC37" t="str">
            <v>S/F</v>
          </cell>
        </row>
        <row r="38">
          <cell r="A38" t="str">
            <v>F73LSA28</v>
          </cell>
          <cell r="B38" t="str">
            <v>Esmalte Horneable Azul Intenso</v>
          </cell>
          <cell r="C38" t="str">
            <v>Interior-Exterior Limitada</v>
          </cell>
          <cell r="D38" t="str">
            <v>Hierro</v>
          </cell>
          <cell r="E38" t="str">
            <v>Limpieza con Industrial Reducer R2K4 y Dual Etch</v>
          </cell>
          <cell r="F38" t="str">
            <v>Ninguno</v>
          </cell>
          <cell r="G38" t="str">
            <v>8.56 Lbs/Gl</v>
          </cell>
          <cell r="H38" t="str">
            <v>9.52%</v>
          </cell>
          <cell r="I38" t="str">
            <v>59.39%</v>
          </cell>
          <cell r="J38" t="str">
            <v>49.26%</v>
          </cell>
          <cell r="K38" t="str">
            <v>12.67%</v>
          </cell>
          <cell r="L38" t="str">
            <v>43.64%</v>
          </cell>
          <cell r="M38" t="str">
            <v>100"-110" Copa Zanh #2</v>
          </cell>
          <cell r="N38" t="str">
            <v>Pistola Convencional</v>
          </cell>
          <cell r="O38" t="str">
            <v>20"-25" Copa Zanh #2</v>
          </cell>
          <cell r="P38" t="str">
            <v>20-25%</v>
          </cell>
          <cell r="Q38" t="str">
            <v>R2K4         Industrial reducer</v>
          </cell>
          <cell r="R38" t="str">
            <v>1.0-1.2 mills</v>
          </cell>
          <cell r="S38" t="str">
            <v>Al Horno</v>
          </cell>
          <cell r="T38" t="str">
            <v>15' a 300°F</v>
          </cell>
          <cell r="U38" t="str">
            <v>950.24 Pies cuadrados por Galón</v>
          </cell>
          <cell r="V38" t="str">
            <v>+90</v>
          </cell>
          <cell r="W38" t="str">
            <v>H</v>
          </cell>
          <cell r="X38" t="str">
            <v>12 meses</v>
          </cell>
          <cell r="Y38" t="str">
            <v>Van Leer</v>
          </cell>
          <cell r="Z38" t="str">
            <v>Barriles de Hierro</v>
          </cell>
          <cell r="AA38" t="str">
            <v>-</v>
          </cell>
          <cell r="AB38" t="str">
            <v>-</v>
          </cell>
          <cell r="AC38" t="str">
            <v>S/F</v>
          </cell>
        </row>
        <row r="39">
          <cell r="A39" t="str">
            <v>F73RSA15</v>
          </cell>
          <cell r="B39" t="str">
            <v>Esmalte Horneable Rojo Texaco</v>
          </cell>
          <cell r="C39" t="str">
            <v>Interior-Exterior</v>
          </cell>
          <cell r="D39" t="str">
            <v>Hierro</v>
          </cell>
          <cell r="E39" t="str">
            <v>Limpieza con Solvente Industrial</v>
          </cell>
          <cell r="F39" t="str">
            <v>Ninguno</v>
          </cell>
          <cell r="G39" t="str">
            <v>8.91 Lbs/Gl</v>
          </cell>
          <cell r="H39" t="str">
            <v>12.69%</v>
          </cell>
          <cell r="I39" t="str">
            <v>57.41%</v>
          </cell>
          <cell r="J39" t="str">
            <v>51.21%</v>
          </cell>
          <cell r="K39" t="str">
            <v>7.10%</v>
          </cell>
          <cell r="L39" t="str">
            <v>45.1%</v>
          </cell>
          <cell r="M39" t="str">
            <v>100"-110" Copa Zanh #2</v>
          </cell>
          <cell r="N39" t="str">
            <v>Pistola</v>
          </cell>
          <cell r="O39" t="str">
            <v>20-25 seg. Copa Zanh #2</v>
          </cell>
          <cell r="P39" t="str">
            <v>20-25%</v>
          </cell>
          <cell r="Q39" t="str">
            <v>R2K4         Industrial reducer</v>
          </cell>
          <cell r="R39" t="str">
            <v>0.6-0.9 mills</v>
          </cell>
          <cell r="S39" t="str">
            <v>Al Horno</v>
          </cell>
          <cell r="T39" t="str">
            <v>10' a 350°F</v>
          </cell>
          <cell r="U39" t="str">
            <v>925 Pies Cuadrados/Gl</v>
          </cell>
          <cell r="V39" t="str">
            <v>+75</v>
          </cell>
          <cell r="W39" t="str">
            <v>HB-F</v>
          </cell>
          <cell r="X39" t="str">
            <v>12 meses</v>
          </cell>
          <cell r="Y39" t="str">
            <v>Van Leer</v>
          </cell>
          <cell r="Z39" t="str">
            <v>Barriles de Hierro</v>
          </cell>
          <cell r="AA39" t="str">
            <v>-</v>
          </cell>
          <cell r="AB39" t="str">
            <v>Luis Nolasco</v>
          </cell>
          <cell r="AC39" t="str">
            <v>S/F</v>
          </cell>
        </row>
        <row r="40">
          <cell r="A40" t="str">
            <v>F73SSA12</v>
          </cell>
          <cell r="B40" t="str">
            <v>Esmalte Horneable Aluminio Brillante</v>
          </cell>
          <cell r="C40" t="str">
            <v>Interior-Exterior Limitada</v>
          </cell>
          <cell r="D40" t="str">
            <v>Zamak</v>
          </cell>
          <cell r="E40" t="str">
            <v>Limpieza Adecuada con R2K4 y Dual Etch (W4K263)</v>
          </cell>
          <cell r="F40" t="str">
            <v>Wash Primer Green (P60G2)</v>
          </cell>
          <cell r="G40" t="str">
            <v>8.15 Lbs/Gl</v>
          </cell>
          <cell r="H40" t="str">
            <v>-</v>
          </cell>
          <cell r="I40" t="str">
            <v>43.8%</v>
          </cell>
          <cell r="J40" t="str">
            <v>48.3%</v>
          </cell>
          <cell r="K40" t="str">
            <v>-</v>
          </cell>
          <cell r="L40" t="str">
            <v>40.57%</v>
          </cell>
          <cell r="M40" t="str">
            <v>80"-90" Copa Zanh #2</v>
          </cell>
          <cell r="N40" t="str">
            <v>Pistola Convencional o Elestrostática</v>
          </cell>
          <cell r="O40" t="str">
            <v>20"-25" Copa Zanh #2</v>
          </cell>
          <cell r="P40" t="str">
            <v>20-25%</v>
          </cell>
          <cell r="Q40" t="str">
            <v>R2K4         Industrial reducer</v>
          </cell>
          <cell r="R40" t="str">
            <v>1.0-1.5 mills</v>
          </cell>
          <cell r="S40" t="str">
            <v>5-10 min</v>
          </cell>
          <cell r="T40" t="str">
            <v>20' a 300 °F</v>
          </cell>
          <cell r="U40" t="str">
            <v>727 Pies Cuadrados por Galón</v>
          </cell>
          <cell r="V40" t="str">
            <v>90</v>
          </cell>
          <cell r="W40" t="str">
            <v>F-H</v>
          </cell>
          <cell r="X40" t="str">
            <v>12 meses</v>
          </cell>
          <cell r="Y40" t="str">
            <v>IMSA S.A</v>
          </cell>
          <cell r="Z40" t="str">
            <v>Operadores de Ventanas</v>
          </cell>
          <cell r="AA40" t="str">
            <v>-</v>
          </cell>
          <cell r="AB40" t="str">
            <v>-</v>
          </cell>
          <cell r="AC40" t="str">
            <v>S/F</v>
          </cell>
        </row>
        <row r="41">
          <cell r="A41" t="str">
            <v>F73SSA4</v>
          </cell>
          <cell r="B41" t="str">
            <v>Reverse Dimenso Baking Baking Enamel Silver Gray</v>
          </cell>
          <cell r="C41" t="str">
            <v>Interior-Exterior Limitada</v>
          </cell>
          <cell r="D41" t="str">
            <v>Hierro y Zamak</v>
          </cell>
          <cell r="E41" t="str">
            <v>Hierro:Limpieza Adecuada con R2K4 y Dual Etch (W4K263). Zamak Limpieza con R2K4, detergente y Fosfatización)</v>
          </cell>
          <cell r="F41" t="str">
            <v>Ninguno sobre hierro, P60G2 Wash Primer sobre Zamak</v>
          </cell>
          <cell r="G41" t="str">
            <v>8.05 Lbs/Gl</v>
          </cell>
          <cell r="H41" t="str">
            <v>-</v>
          </cell>
          <cell r="I41" t="str">
            <v>46.7%</v>
          </cell>
          <cell r="J41" t="str">
            <v>46.7%</v>
          </cell>
          <cell r="K41" t="str">
            <v>-</v>
          </cell>
          <cell r="L41" t="str">
            <v>38.7%</v>
          </cell>
          <cell r="M41" t="str">
            <v>60"-70" Copa Zanh #2</v>
          </cell>
          <cell r="N41" t="str">
            <v>Pistola Convencional o Elestrostática</v>
          </cell>
          <cell r="O41" t="str">
            <v>60"-70" Copa Zanh #2</v>
          </cell>
          <cell r="P41" t="str">
            <v xml:space="preserve">Lo necesario  </v>
          </cell>
          <cell r="Q41" t="str">
            <v>R2K4         Industrial reducer</v>
          </cell>
          <cell r="R41" t="str">
            <v>1.0-1.5 mills</v>
          </cell>
          <cell r="S41" t="str">
            <v>5-10 minutos</v>
          </cell>
          <cell r="T41" t="str">
            <v>15' a 300°F</v>
          </cell>
          <cell r="U41" t="str">
            <v>388 Pies cuadrados por Galón</v>
          </cell>
          <cell r="V41" t="str">
            <v>80-85</v>
          </cell>
          <cell r="W41" t="str">
            <v>F-H</v>
          </cell>
          <cell r="X41" t="str">
            <v>12 meses</v>
          </cell>
          <cell r="Y41" t="str">
            <v>IMSA S.A</v>
          </cell>
          <cell r="Z41" t="str">
            <v>Estantería y Chapas</v>
          </cell>
          <cell r="AA41" t="str">
            <v>-</v>
          </cell>
          <cell r="AB41" t="str">
            <v>-</v>
          </cell>
          <cell r="AC41" t="str">
            <v>S/F</v>
          </cell>
        </row>
        <row r="42">
          <cell r="A42" t="str">
            <v>F73W2</v>
          </cell>
          <cell r="B42" t="str">
            <v>Kem Fast Baking Enamel White</v>
          </cell>
          <cell r="C42" t="str">
            <v>Interior-Exterior Limitada</v>
          </cell>
          <cell r="D42" t="str">
            <v>Hierro</v>
          </cell>
          <cell r="E42" t="str">
            <v>Limpieza Adecuada con R2K4 y Dual Etch (W4K263)</v>
          </cell>
          <cell r="F42" t="str">
            <v>Ninguno</v>
          </cell>
          <cell r="G42" t="str">
            <v>10.0 Lbs/GL</v>
          </cell>
          <cell r="H42" t="str">
            <v>25.70%</v>
          </cell>
          <cell r="I42" t="str">
            <v>63.27%</v>
          </cell>
          <cell r="J42" t="str">
            <v>50.57%</v>
          </cell>
          <cell r="K42" t="str">
            <v>15.81%</v>
          </cell>
          <cell r="L42" t="str">
            <v>47.13%</v>
          </cell>
          <cell r="M42" t="str">
            <v>80"-90" Copa Zanh #2</v>
          </cell>
          <cell r="N42" t="str">
            <v>Pistola Convencional o Elestrostática</v>
          </cell>
          <cell r="O42" t="str">
            <v>20"-25" Copa Zanh #2</v>
          </cell>
          <cell r="P42" t="str">
            <v>20-25%</v>
          </cell>
          <cell r="Q42" t="str">
            <v>R2K4         Industrial reducer</v>
          </cell>
          <cell r="R42" t="str">
            <v>1.0-1.2 mills</v>
          </cell>
          <cell r="S42" t="str">
            <v>Horno</v>
          </cell>
          <cell r="T42" t="str">
            <v>15' a 300 °F</v>
          </cell>
          <cell r="U42" t="str">
            <v>46.67 metros Cuadrados por Galón a 1.5 mils de espesor</v>
          </cell>
          <cell r="V42" t="str">
            <v>85</v>
          </cell>
          <cell r="W42" t="str">
            <v>F-H</v>
          </cell>
          <cell r="X42" t="str">
            <v>12 meses</v>
          </cell>
          <cell r="Y42" t="str">
            <v>-</v>
          </cell>
          <cell r="Z42" t="str">
            <v>-</v>
          </cell>
          <cell r="AA42" t="str">
            <v>VOC= 3.67 lbs/gal</v>
          </cell>
          <cell r="AB42" t="str">
            <v>-</v>
          </cell>
          <cell r="AC42" t="str">
            <v>S/F</v>
          </cell>
        </row>
        <row r="43">
          <cell r="A43" t="str">
            <v>F73WSA18 (1)</v>
          </cell>
          <cell r="B43" t="str">
            <v>Esmalte Horneable ExtraBlanco</v>
          </cell>
          <cell r="C43" t="str">
            <v>Interior-Exterior</v>
          </cell>
          <cell r="D43" t="str">
            <v>Hierro</v>
          </cell>
          <cell r="E43" t="str">
            <v>Limpieza con R2K4 (Solvente Industrial)</v>
          </cell>
          <cell r="F43" t="str">
            <v>Ninguno</v>
          </cell>
          <cell r="G43" t="str">
            <v>10.72 Lbs/Gl</v>
          </cell>
          <cell r="H43" t="str">
            <v>46% Respecto a los sólidos Totales</v>
          </cell>
          <cell r="I43" t="str">
            <v>66%</v>
          </cell>
          <cell r="J43" t="str">
            <v>54%</v>
          </cell>
          <cell r="K43" t="str">
            <v>14%</v>
          </cell>
          <cell r="L43" t="str">
            <v>50.44%</v>
          </cell>
          <cell r="M43" t="str">
            <v>100"-110" Copa Zanh #2</v>
          </cell>
          <cell r="N43" t="str">
            <v>Pistola</v>
          </cell>
          <cell r="O43" t="str">
            <v>20"-25" Copa Zanh #2</v>
          </cell>
          <cell r="P43" t="str">
            <v>20-25%</v>
          </cell>
          <cell r="Q43" t="str">
            <v>R2K4         Industrial reducer</v>
          </cell>
          <cell r="R43" t="str">
            <v>0.6-0.9 mills</v>
          </cell>
          <cell r="S43" t="str">
            <v>Al Horno</v>
          </cell>
          <cell r="T43" t="str">
            <v>15' a 300°F</v>
          </cell>
          <cell r="U43" t="str">
            <v>85 a 126 m2/Gl (0.6-0.9 Mills seco)</v>
          </cell>
          <cell r="V43" t="str">
            <v>+90</v>
          </cell>
          <cell r="W43" t="str">
            <v>H</v>
          </cell>
          <cell r="X43" t="str">
            <v>12 meses</v>
          </cell>
          <cell r="Y43" t="str">
            <v>IMSA S.A</v>
          </cell>
          <cell r="Z43" t="str">
            <v>Muebles de Metal</v>
          </cell>
          <cell r="AA43" t="str">
            <v>-</v>
          </cell>
          <cell r="AB43" t="str">
            <v>Ing. René Ferrufino</v>
          </cell>
          <cell r="AC43" t="str">
            <v>S/F</v>
          </cell>
        </row>
        <row r="44">
          <cell r="A44" t="str">
            <v>F73WSA6</v>
          </cell>
          <cell r="B44" t="str">
            <v>Esmalte Horneable Blanco Especial</v>
          </cell>
          <cell r="C44" t="str">
            <v>Interior-Exterior Limitada</v>
          </cell>
          <cell r="D44" t="str">
            <v>Hierro y Aluminio</v>
          </cell>
          <cell r="E44" t="str">
            <v>Limpieza Adecuada con R2K4 y Dual Etch (W4K263)</v>
          </cell>
          <cell r="F44" t="str">
            <v>Ninguno</v>
          </cell>
          <cell r="G44" t="str">
            <v>10.11 Lbs/Gl</v>
          </cell>
          <cell r="H44" t="str">
            <v>25.47%</v>
          </cell>
          <cell r="I44" t="str">
            <v>41.17%</v>
          </cell>
          <cell r="J44" t="str">
            <v>30.69%</v>
          </cell>
          <cell r="K44" t="str">
            <v>17.95%</v>
          </cell>
          <cell r="L44" t="str">
            <v>42.44%</v>
          </cell>
          <cell r="M44" t="str">
            <v>100"-110" Copa Zanh #2</v>
          </cell>
          <cell r="N44" t="str">
            <v>Pistola Convencional o Elestrostática</v>
          </cell>
          <cell r="O44" t="str">
            <v>20"-25" Copa Zanh #2</v>
          </cell>
          <cell r="P44" t="str">
            <v>20-25%</v>
          </cell>
          <cell r="Q44" t="str">
            <v>R2K4         Industrial reducer</v>
          </cell>
          <cell r="R44" t="str">
            <v>1.0-1.2 mills</v>
          </cell>
          <cell r="S44" t="str">
            <v>5-10 min</v>
          </cell>
          <cell r="T44" t="str">
            <v>15' a 300 °F</v>
          </cell>
          <cell r="U44" t="str">
            <v>783 Pies Cuadrados por Galón</v>
          </cell>
          <cell r="V44" t="str">
            <v>90</v>
          </cell>
          <cell r="W44" t="str">
            <v>F-H</v>
          </cell>
          <cell r="X44" t="str">
            <v>12 meses</v>
          </cell>
          <cell r="Y44" t="str">
            <v>IMSA S.A</v>
          </cell>
          <cell r="Z44" t="str">
            <v>Lamparas y Muebles</v>
          </cell>
          <cell r="AA44" t="str">
            <v>-</v>
          </cell>
          <cell r="AB44" t="str">
            <v>-</v>
          </cell>
          <cell r="AC44" t="str">
            <v>S/F</v>
          </cell>
        </row>
        <row r="45">
          <cell r="A45" t="str">
            <v>G70ASA2</v>
          </cell>
          <cell r="B45" t="str">
            <v>Pintura Para Recubrimiento Interior Fenólico</v>
          </cell>
          <cell r="C45" t="str">
            <v>Interior</v>
          </cell>
          <cell r="D45" t="str">
            <v>Acero</v>
          </cell>
          <cell r="E45" t="str">
            <v>Lijada y Limpia con Solvente</v>
          </cell>
          <cell r="F45" t="str">
            <v>Ninguno</v>
          </cell>
          <cell r="G45" t="str">
            <v>8.55 Lbs/Gl</v>
          </cell>
          <cell r="H45" t="str">
            <v>44.57%</v>
          </cell>
          <cell r="I45" t="str">
            <v>56.20%</v>
          </cell>
          <cell r="J45" t="str">
            <v>51.90%</v>
          </cell>
          <cell r="K45" t="str">
            <v>6.47%</v>
          </cell>
          <cell r="L45" t="str">
            <v>46.07%</v>
          </cell>
          <cell r="M45" t="str">
            <v>80"-90" Copa Zanh #2</v>
          </cell>
          <cell r="N45" t="str">
            <v>Pistola</v>
          </cell>
          <cell r="O45" t="str">
            <v>18"-20" Copa Ford #4</v>
          </cell>
          <cell r="P45" t="str">
            <v>20-25%</v>
          </cell>
          <cell r="Q45" t="str">
            <v>R7KSA7</v>
          </cell>
          <cell r="R45" t="str">
            <v>1.0-1.5 mills</v>
          </cell>
          <cell r="S45" t="str">
            <v>-</v>
          </cell>
          <cell r="T45" t="str">
            <v>10" a 425°F</v>
          </cell>
          <cell r="U45" t="str">
            <v>-</v>
          </cell>
          <cell r="V45" t="str">
            <v>35-40</v>
          </cell>
          <cell r="W45" t="str">
            <v>H-2H</v>
          </cell>
          <cell r="X45" t="str">
            <v>12 meses</v>
          </cell>
          <cell r="Y45" t="str">
            <v>Van Leer</v>
          </cell>
          <cell r="Z45" t="str">
            <v>Barriles-Envases, Etc</v>
          </cell>
          <cell r="AA45" t="str">
            <v>-</v>
          </cell>
          <cell r="AB45" t="str">
            <v>-</v>
          </cell>
          <cell r="AC45" t="str">
            <v>S/F</v>
          </cell>
        </row>
        <row r="46">
          <cell r="A46" t="str">
            <v>G70ASA2 (1)</v>
          </cell>
          <cell r="B46" t="str">
            <v>Recubrimiento Interior Fenolico Epoxico</v>
          </cell>
          <cell r="C46" t="str">
            <v>Interior</v>
          </cell>
          <cell r="D46" t="str">
            <v>Hierro</v>
          </cell>
          <cell r="E46" t="str">
            <v>Limpieza con Xileno</v>
          </cell>
          <cell r="F46" t="str">
            <v>Ninguno</v>
          </cell>
          <cell r="G46" t="str">
            <v>8.53 Lbs/Gl</v>
          </cell>
          <cell r="H46" t="str">
            <v>9.20%</v>
          </cell>
          <cell r="I46" t="str">
            <v>56.11%</v>
          </cell>
          <cell r="J46" t="str">
            <v>45.20%</v>
          </cell>
          <cell r="K46" t="str">
            <v>6.78%</v>
          </cell>
          <cell r="L46" t="str">
            <v>44.11%</v>
          </cell>
          <cell r="M46" t="str">
            <v>40"-45" Copa Zanh #2</v>
          </cell>
          <cell r="N46" t="str">
            <v>Pistola de Aire</v>
          </cell>
          <cell r="O46" t="str">
            <v>20"-25" Copa Zanh #2</v>
          </cell>
          <cell r="P46" t="str">
            <v>10-15%</v>
          </cell>
          <cell r="Q46" t="str">
            <v>MIBK</v>
          </cell>
          <cell r="R46" t="str">
            <v>0.7-0.8 mills</v>
          </cell>
          <cell r="S46" t="str">
            <v>Al Horno</v>
          </cell>
          <cell r="T46" t="str">
            <v>8-10' a 425°F</v>
          </cell>
          <cell r="U46" t="str">
            <v>-</v>
          </cell>
          <cell r="V46" t="str">
            <v>50-55</v>
          </cell>
          <cell r="W46" t="str">
            <v>4H</v>
          </cell>
          <cell r="X46" t="str">
            <v>6 meses</v>
          </cell>
          <cell r="Y46" t="str">
            <v>Van Leer de El Salvador</v>
          </cell>
          <cell r="Z46" t="str">
            <v>Envases Metálicos</v>
          </cell>
          <cell r="AA46" t="str">
            <v>-</v>
          </cell>
          <cell r="AB46" t="str">
            <v>-</v>
          </cell>
          <cell r="AC46" t="str">
            <v>S/F</v>
          </cell>
        </row>
        <row r="47">
          <cell r="A47" t="str">
            <v>G70NSA1</v>
          </cell>
          <cell r="B47" t="str">
            <v>Recubrimiento Interior Para Herbicida Beige</v>
          </cell>
          <cell r="C47" t="str">
            <v>Interior</v>
          </cell>
          <cell r="D47" t="str">
            <v>Lamina de Hierro</v>
          </cell>
          <cell r="E47" t="str">
            <v>Limpieza Adecuada</v>
          </cell>
          <cell r="F47" t="str">
            <v>Ninguno</v>
          </cell>
          <cell r="G47" t="str">
            <v>8.91 Lbs/Gl</v>
          </cell>
          <cell r="H47" t="str">
            <v>11.57%</v>
          </cell>
          <cell r="I47" t="str">
            <v>48.24%</v>
          </cell>
          <cell r="J47" t="str">
            <v>47.79%</v>
          </cell>
          <cell r="K47" t="str">
            <v>6.34%</v>
          </cell>
          <cell r="L47" t="str">
            <v>48.10%</v>
          </cell>
          <cell r="M47" t="str">
            <v>60"-70" Copa Zanh #2</v>
          </cell>
          <cell r="N47" t="str">
            <v>Pistola</v>
          </cell>
          <cell r="O47" t="str">
            <v>18"-20" Copa Ford #4</v>
          </cell>
          <cell r="P47" t="str">
            <v>25% con R7KSA7</v>
          </cell>
          <cell r="Q47" t="str">
            <v>R7KSA7</v>
          </cell>
          <cell r="R47" t="str">
            <v>0.8-0.9 mills</v>
          </cell>
          <cell r="S47" t="str">
            <v>-</v>
          </cell>
          <cell r="T47" t="str">
            <v>10' a 425°F</v>
          </cell>
          <cell r="U47" t="str">
            <v>772 Pies cuadrados por Galon</v>
          </cell>
          <cell r="V47" t="str">
            <v>15</v>
          </cell>
          <cell r="W47" t="str">
            <v>4H</v>
          </cell>
          <cell r="X47" t="str">
            <v>6-12 meses</v>
          </cell>
          <cell r="Y47" t="str">
            <v>Van Leer</v>
          </cell>
          <cell r="Z47" t="str">
            <v>Barriles</v>
          </cell>
          <cell r="AA47" t="str">
            <v>-</v>
          </cell>
          <cell r="AB47" t="str">
            <v>-</v>
          </cell>
          <cell r="AC47" t="str">
            <v>S/F</v>
          </cell>
        </row>
        <row r="48">
          <cell r="A48" t="str">
            <v>G70NSA2</v>
          </cell>
          <cell r="B48" t="str">
            <v>Recubrimiento Interior Para Herbicida Beige</v>
          </cell>
          <cell r="C48" t="str">
            <v>Interior</v>
          </cell>
          <cell r="D48" t="str">
            <v>Lamina de Hierro</v>
          </cell>
          <cell r="E48" t="str">
            <v>Bien Limpia</v>
          </cell>
          <cell r="F48" t="str">
            <v>Ninguno</v>
          </cell>
          <cell r="G48" t="str">
            <v>9.14 Lbs/Gl</v>
          </cell>
          <cell r="H48" t="str">
            <v>11.93%</v>
          </cell>
          <cell r="I48" t="str">
            <v>60.44%</v>
          </cell>
          <cell r="J48" t="str">
            <v>55.08%</v>
          </cell>
          <cell r="K48" t="str">
            <v>6.52%</v>
          </cell>
          <cell r="L48" t="str">
            <v>49.38%</v>
          </cell>
          <cell r="M48" t="str">
            <v>60"-70" Copa Zanh #2</v>
          </cell>
          <cell r="N48" t="str">
            <v>Pistola</v>
          </cell>
          <cell r="O48" t="str">
            <v>18"-20" Copa Ford #4</v>
          </cell>
          <cell r="P48" t="str">
            <v>20-25%</v>
          </cell>
          <cell r="Q48" t="str">
            <v>MEK</v>
          </cell>
          <cell r="R48" t="str">
            <v>1.2-1.4 mills</v>
          </cell>
          <cell r="S48" t="str">
            <v>Al Horno</v>
          </cell>
          <cell r="T48" t="str">
            <v>1ra Mano 10' a 107 °C-135°C. 2da Mano 10' a 218 °C-246°C</v>
          </cell>
          <cell r="U48" t="str">
            <v>967.04 Pies cuadrados a 1 mill de espesor</v>
          </cell>
          <cell r="V48" t="str">
            <v>7</v>
          </cell>
          <cell r="W48" t="str">
            <v>3H</v>
          </cell>
          <cell r="X48" t="str">
            <v>6 meses</v>
          </cell>
          <cell r="Y48" t="str">
            <v>Van Leer</v>
          </cell>
          <cell r="Z48" t="str">
            <v xml:space="preserve">Barriles  </v>
          </cell>
          <cell r="AA48" t="str">
            <v>-</v>
          </cell>
          <cell r="AB48" t="str">
            <v>-</v>
          </cell>
          <cell r="AC48" t="str">
            <v>S/F</v>
          </cell>
        </row>
        <row r="49">
          <cell r="A49" t="str">
            <v>G70SSA1</v>
          </cell>
          <cell r="B49" t="str">
            <v>Aluminum Roller Coating Sizing</v>
          </cell>
          <cell r="C49" t="str">
            <v>-</v>
          </cell>
          <cell r="D49" t="str">
            <v>Lamina de Hojalata</v>
          </cell>
          <cell r="E49" t="str">
            <v>Limpia, Seca, Libre de Grasa y Aceite</v>
          </cell>
          <cell r="F49" t="str">
            <v>Ninguno</v>
          </cell>
          <cell r="G49" t="str">
            <v>8.23 Lbs/Gl</v>
          </cell>
          <cell r="H49" t="str">
            <v>16.58%</v>
          </cell>
          <cell r="I49" t="str">
            <v>27.50%</v>
          </cell>
          <cell r="J49" t="str">
            <v>10.92%</v>
          </cell>
          <cell r="K49" t="str">
            <v>43.40%</v>
          </cell>
          <cell r="L49" t="str">
            <v>15.01%</v>
          </cell>
          <cell r="M49" t="str">
            <v>70-80 Seg. Copa Ford #4</v>
          </cell>
          <cell r="N49" t="str">
            <v>Rodillo</v>
          </cell>
          <cell r="O49" t="str">
            <v>70-80 Seg. Copa Ford #4</v>
          </cell>
          <cell r="P49" t="str">
            <v>Ninguno</v>
          </cell>
          <cell r="Q49" t="str">
            <v>-</v>
          </cell>
          <cell r="R49" t="str">
            <v>0.5 mills</v>
          </cell>
          <cell r="S49" t="str">
            <v>-</v>
          </cell>
          <cell r="T49" t="str">
            <v>15' a 300°F</v>
          </cell>
          <cell r="U49" t="str">
            <v>440 Mts Cuadrados/Gl a 1 mills de espesor</v>
          </cell>
          <cell r="V49" t="str">
            <v>20</v>
          </cell>
          <cell r="W49" t="str">
            <v>-</v>
          </cell>
          <cell r="X49" t="str">
            <v>6-12 meses</v>
          </cell>
          <cell r="Y49" t="str">
            <v>Nicaragua</v>
          </cell>
          <cell r="Z49" t="str">
            <v>-</v>
          </cell>
          <cell r="AA49" t="str">
            <v>-</v>
          </cell>
          <cell r="AB49" t="str">
            <v>Luis Nolasco</v>
          </cell>
          <cell r="AC49" t="str">
            <v>S/F</v>
          </cell>
        </row>
        <row r="50">
          <cell r="A50" t="str">
            <v>G70SSA1 (1)</v>
          </cell>
          <cell r="B50" t="str">
            <v>Size Aluminium Varnish</v>
          </cell>
          <cell r="C50" t="str">
            <v>-</v>
          </cell>
          <cell r="D50" t="str">
            <v>Lamina de Hojalata</v>
          </cell>
          <cell r="E50" t="str">
            <v>Limpia, Seca, Libre de Grasa y Aceite</v>
          </cell>
          <cell r="F50" t="str">
            <v>Ninguno</v>
          </cell>
          <cell r="G50" t="str">
            <v>8.23 Lbs/Gl</v>
          </cell>
          <cell r="H50" t="str">
            <v>16.58%</v>
          </cell>
          <cell r="I50" t="str">
            <v>27.50%</v>
          </cell>
          <cell r="J50" t="str">
            <v>10.92%</v>
          </cell>
          <cell r="K50" t="str">
            <v>43.40%</v>
          </cell>
          <cell r="L50" t="str">
            <v>15.01%</v>
          </cell>
          <cell r="M50" t="str">
            <v>70-80 Seg. Copa Ford #4</v>
          </cell>
          <cell r="N50" t="str">
            <v>Rodillo</v>
          </cell>
          <cell r="O50" t="str">
            <v>70-80 Seg. Copa Ford #4</v>
          </cell>
          <cell r="P50" t="str">
            <v>Ninguno</v>
          </cell>
          <cell r="Q50" t="str">
            <v>-</v>
          </cell>
          <cell r="R50" t="str">
            <v>0.5 mills</v>
          </cell>
          <cell r="S50" t="str">
            <v>-</v>
          </cell>
          <cell r="T50" t="str">
            <v>15' a 300°F</v>
          </cell>
          <cell r="U50" t="str">
            <v>440 Mts Cuadrados/Gl a 1 mills de espesor</v>
          </cell>
          <cell r="V50" t="str">
            <v>20</v>
          </cell>
          <cell r="W50" t="str">
            <v>-</v>
          </cell>
          <cell r="X50" t="str">
            <v>6-12 meses</v>
          </cell>
          <cell r="Y50" t="str">
            <v>Nicaragua</v>
          </cell>
          <cell r="Z50" t="str">
            <v>-</v>
          </cell>
          <cell r="AA50" t="str">
            <v>-</v>
          </cell>
          <cell r="AB50" t="str">
            <v>Luis Nolasco</v>
          </cell>
          <cell r="AC50" t="str">
            <v>S/F</v>
          </cell>
        </row>
        <row r="51">
          <cell r="A51" t="str">
            <v>G70TSA1</v>
          </cell>
          <cell r="B51" t="str">
            <v>Sizing Universal Barniz</v>
          </cell>
          <cell r="C51" t="str">
            <v>-</v>
          </cell>
          <cell r="D51" t="str">
            <v>Lamina de Hojalata</v>
          </cell>
          <cell r="E51" t="str">
            <v>Limpia, Seca, Libre de Grasa y Aceite</v>
          </cell>
          <cell r="F51" t="str">
            <v>Ninguno</v>
          </cell>
          <cell r="G51" t="str">
            <v>7.22 Lbs/Gl</v>
          </cell>
          <cell r="H51" t="str">
            <v>-</v>
          </cell>
          <cell r="I51" t="str">
            <v>12.56%</v>
          </cell>
          <cell r="J51" t="str">
            <v>12.56%</v>
          </cell>
          <cell r="K51" t="str">
            <v>-</v>
          </cell>
          <cell r="L51" t="str">
            <v>9.62%</v>
          </cell>
          <cell r="M51" t="str">
            <v>25"-30" Copa Zanh #2</v>
          </cell>
          <cell r="N51" t="str">
            <v>Especial</v>
          </cell>
          <cell r="O51" t="str">
            <v>Listo para Usar</v>
          </cell>
          <cell r="P51" t="str">
            <v>-</v>
          </cell>
          <cell r="Q51" t="str">
            <v>-</v>
          </cell>
          <cell r="R51" t="str">
            <v>0.5 mills</v>
          </cell>
          <cell r="S51" t="str">
            <v>Al horno</v>
          </cell>
          <cell r="T51" t="str">
            <v>15' a 300°F</v>
          </cell>
          <cell r="U51" t="str">
            <v>201 Mts Cuadrados/Gl a 1 mills de espesor</v>
          </cell>
          <cell r="V51" t="str">
            <v>20</v>
          </cell>
          <cell r="W51" t="str">
            <v>-</v>
          </cell>
          <cell r="X51" t="str">
            <v>6-12 meses</v>
          </cell>
          <cell r="Y51" t="str">
            <v>Nicaragua</v>
          </cell>
          <cell r="Z51" t="str">
            <v>-</v>
          </cell>
          <cell r="AA51" t="str">
            <v>-</v>
          </cell>
          <cell r="AB51" t="str">
            <v>Luis Nolasco</v>
          </cell>
          <cell r="AC51" t="str">
            <v>S/F</v>
          </cell>
        </row>
        <row r="52">
          <cell r="A52" t="str">
            <v>G70WSA10</v>
          </cell>
          <cell r="B52" t="str">
            <v>Esmalte Litográfico Blanco Cinco Molinos</v>
          </cell>
          <cell r="C52" t="str">
            <v>Interior</v>
          </cell>
          <cell r="D52" t="str">
            <v>Hojalata</v>
          </cell>
          <cell r="E52" t="str">
            <v>Limpieza con Solvente</v>
          </cell>
          <cell r="F52" t="str">
            <v>Ninguno</v>
          </cell>
          <cell r="G52" t="str">
            <v>10.15 Lbs/Gl</v>
          </cell>
          <cell r="H52" t="str">
            <v>38.32%</v>
          </cell>
          <cell r="I52" t="str">
            <v>61.76%</v>
          </cell>
          <cell r="J52" t="str">
            <v>38.75%</v>
          </cell>
          <cell r="K52" t="str">
            <v>27.78%</v>
          </cell>
          <cell r="L52" t="str">
            <v>41.07%</v>
          </cell>
          <cell r="M52" t="str">
            <v>70"-80" Copa Ford #4</v>
          </cell>
          <cell r="N52" t="str">
            <v>Rodillo</v>
          </cell>
          <cell r="O52" t="str">
            <v>70"-80" Copa Ford #4</v>
          </cell>
          <cell r="P52" t="str">
            <v>Ninguno</v>
          </cell>
          <cell r="Q52" t="str">
            <v>-</v>
          </cell>
          <cell r="R52" t="str">
            <v>1.0 mills</v>
          </cell>
          <cell r="S52" t="str">
            <v>-</v>
          </cell>
          <cell r="T52" t="str">
            <v>15' a 360°F</v>
          </cell>
          <cell r="U52" t="str">
            <v>-</v>
          </cell>
          <cell r="V52" t="str">
            <v>80 Minimo</v>
          </cell>
          <cell r="W52" t="str">
            <v>HB</v>
          </cell>
          <cell r="X52" t="str">
            <v>12 meses</v>
          </cell>
          <cell r="Y52" t="str">
            <v>CORLASA</v>
          </cell>
          <cell r="Z52" t="str">
            <v>Litografía</v>
          </cell>
          <cell r="AA52" t="str">
            <v>-</v>
          </cell>
          <cell r="AB52" t="str">
            <v>-</v>
          </cell>
          <cell r="AC52" t="str">
            <v>S/F</v>
          </cell>
        </row>
        <row r="53">
          <cell r="A53" t="str">
            <v>G70WSA6-P</v>
          </cell>
          <cell r="B53" t="str">
            <v>Roller Coating White</v>
          </cell>
          <cell r="C53" t="str">
            <v>Interior</v>
          </cell>
          <cell r="D53" t="str">
            <v>Hojalata</v>
          </cell>
          <cell r="E53" t="str">
            <v>Limpieza con Solvente</v>
          </cell>
          <cell r="F53" t="str">
            <v>Ninguno</v>
          </cell>
          <cell r="G53" t="str">
            <v>10.72 Lbs/Gl</v>
          </cell>
          <cell r="H53" t="str">
            <v>34.50%</v>
          </cell>
          <cell r="I53" t="str">
            <v>60.47%</v>
          </cell>
          <cell r="J53" t="str">
            <v>39.60%</v>
          </cell>
          <cell r="K53" t="str">
            <v>20.03%</v>
          </cell>
          <cell r="L53" t="str">
            <v>53.32%</v>
          </cell>
          <cell r="M53" t="str">
            <v>60"-80" Copa Ford #4</v>
          </cell>
          <cell r="N53" t="str">
            <v>Rodillo</v>
          </cell>
          <cell r="O53" t="str">
            <v>60"-80" Copa Ford #4</v>
          </cell>
          <cell r="P53" t="str">
            <v>Ninguno</v>
          </cell>
          <cell r="Q53" t="str">
            <v>-</v>
          </cell>
          <cell r="R53" t="str">
            <v>1.0 mills</v>
          </cell>
          <cell r="S53" t="str">
            <v>-</v>
          </cell>
          <cell r="T53" t="str">
            <v>18' a 300°F</v>
          </cell>
          <cell r="U53" t="str">
            <v>-</v>
          </cell>
          <cell r="V53" t="str">
            <v>80 Minimo</v>
          </cell>
          <cell r="W53" t="str">
            <v>HB</v>
          </cell>
          <cell r="X53" t="str">
            <v>12 meses</v>
          </cell>
          <cell r="Y53" t="str">
            <v>CORLASA</v>
          </cell>
          <cell r="Z53" t="str">
            <v>Litografía</v>
          </cell>
          <cell r="AA53" t="str">
            <v>-</v>
          </cell>
          <cell r="AB53" t="str">
            <v>-</v>
          </cell>
          <cell r="AC53" t="str">
            <v>S/F</v>
          </cell>
        </row>
        <row r="54">
          <cell r="A54" t="str">
            <v>G70WSA9</v>
          </cell>
          <cell r="B54" t="str">
            <v>Roller Coating Special White</v>
          </cell>
          <cell r="C54" t="str">
            <v>Interior</v>
          </cell>
          <cell r="D54" t="str">
            <v>Hojalata</v>
          </cell>
          <cell r="E54" t="str">
            <v>Limpia con Solvente</v>
          </cell>
          <cell r="F54" t="str">
            <v>Ninguno</v>
          </cell>
          <cell r="G54" t="str">
            <v>10.68 Lbs/Gl</v>
          </cell>
          <cell r="H54" t="str">
            <v>35%</v>
          </cell>
          <cell r="I54" t="str">
            <v>61.46%</v>
          </cell>
          <cell r="J54" t="str">
            <v>40.37%</v>
          </cell>
          <cell r="K54" t="str">
            <v>27.55%</v>
          </cell>
          <cell r="L54" t="str">
            <v>40.95%</v>
          </cell>
          <cell r="M54" t="str">
            <v>70"-80" Copa Ford #4</v>
          </cell>
          <cell r="N54" t="str">
            <v>Rodillo</v>
          </cell>
          <cell r="O54" t="str">
            <v>70"-80" Copa Ford #4</v>
          </cell>
          <cell r="P54" t="str">
            <v>Ninguno</v>
          </cell>
          <cell r="Q54" t="str">
            <v>-</v>
          </cell>
          <cell r="R54" t="str">
            <v>1 mills</v>
          </cell>
          <cell r="S54" t="str">
            <v>-</v>
          </cell>
          <cell r="T54" t="str">
            <v>15' a 360°F</v>
          </cell>
          <cell r="U54" t="str">
            <v>983.36 Pies Cuadrados/Gl</v>
          </cell>
          <cell r="V54" t="str">
            <v>+80</v>
          </cell>
          <cell r="W54" t="str">
            <v>-</v>
          </cell>
          <cell r="X54" t="str">
            <v>12 meses</v>
          </cell>
          <cell r="Y54" t="str">
            <v>Central de Empaques, Didema Guatemala</v>
          </cell>
          <cell r="Z54" t="str">
            <v>Corcholatas y Hojalatas</v>
          </cell>
          <cell r="AA54" t="str">
            <v>-</v>
          </cell>
          <cell r="AB54" t="str">
            <v>-</v>
          </cell>
          <cell r="AC54" t="str">
            <v>S/F</v>
          </cell>
        </row>
        <row r="55">
          <cell r="A55" t="str">
            <v>G72WSA1</v>
          </cell>
          <cell r="B55" t="str">
            <v>Collapsible Tube Enamel White</v>
          </cell>
          <cell r="C55" t="str">
            <v>Interior</v>
          </cell>
          <cell r="D55" t="str">
            <v>Tubos de Estaño y Plomo</v>
          </cell>
          <cell r="E55" t="str">
            <v>Limpieza</v>
          </cell>
          <cell r="F55" t="str">
            <v>Ninguno</v>
          </cell>
          <cell r="G55" t="str">
            <v>10.65 Lbs/Gl</v>
          </cell>
          <cell r="H55" t="str">
            <v>30%</v>
          </cell>
          <cell r="I55" t="str">
            <v>53.80%</v>
          </cell>
          <cell r="J55" t="str">
            <v>33.80%</v>
          </cell>
          <cell r="K55" t="str">
            <v>27.70%</v>
          </cell>
          <cell r="L55" t="str">
            <v>33.89%</v>
          </cell>
          <cell r="M55" t="str">
            <v>130-135 KU</v>
          </cell>
          <cell r="N55" t="str">
            <v>Especial</v>
          </cell>
          <cell r="O55" t="str">
            <v>130-135 KU</v>
          </cell>
          <cell r="P55" t="str">
            <v>Ninguno</v>
          </cell>
          <cell r="Q55" t="str">
            <v>Ninguno</v>
          </cell>
          <cell r="R55" t="str">
            <v>-</v>
          </cell>
          <cell r="S55" t="str">
            <v>-</v>
          </cell>
          <cell r="T55" t="str">
            <v>6 Min a 300°F</v>
          </cell>
          <cell r="U55" t="str">
            <v>-</v>
          </cell>
          <cell r="V55" t="str">
            <v>80 Minimo</v>
          </cell>
          <cell r="W55" t="str">
            <v>F</v>
          </cell>
          <cell r="X55" t="str">
            <v>12 meses</v>
          </cell>
          <cell r="Y55" t="str">
            <v>Colgate Palmolive</v>
          </cell>
          <cell r="Z55" t="str">
            <v>Pasta Dental</v>
          </cell>
          <cell r="AA55" t="str">
            <v>-</v>
          </cell>
          <cell r="AB55" t="str">
            <v>-</v>
          </cell>
          <cell r="AC55" t="str">
            <v>S/F</v>
          </cell>
        </row>
        <row r="56">
          <cell r="A56" t="str">
            <v>G78ASA4</v>
          </cell>
          <cell r="B56" t="str">
            <v>Esmalte Horneable Acrilico Gris Claro Martillado</v>
          </cell>
          <cell r="C56" t="str">
            <v>Interior-Exterior Limitada</v>
          </cell>
          <cell r="D56" t="str">
            <v>Hierro</v>
          </cell>
          <cell r="E56" t="str">
            <v>Limpieza Quimica y Fosfatizacion</v>
          </cell>
          <cell r="F56" t="str">
            <v>Acrilic Monobake White Primer (E68WSA4)</v>
          </cell>
          <cell r="G56" t="str">
            <v>9.77 Lbs/Gl</v>
          </cell>
          <cell r="H56" t="str">
            <v>26.6%</v>
          </cell>
          <cell r="I56" t="str">
            <v>57.65%</v>
          </cell>
          <cell r="J56" t="str">
            <v>42.30%</v>
          </cell>
          <cell r="K56" t="str">
            <v>20.75%</v>
          </cell>
          <cell r="L56" t="str">
            <v>38.13%</v>
          </cell>
          <cell r="M56" t="str">
            <v>180"-200" Copa Zanh #2</v>
          </cell>
          <cell r="N56" t="str">
            <v>Pistola</v>
          </cell>
          <cell r="O56" t="str">
            <v>28"-32" Zanh #2</v>
          </cell>
          <cell r="P56" t="str">
            <v>40-50%</v>
          </cell>
          <cell r="Q56" t="str">
            <v>R2K4         Industrial reducer</v>
          </cell>
          <cell r="R56" t="str">
            <v>1.3-1.5 mills con E68WSA4</v>
          </cell>
          <cell r="S56" t="str">
            <v>Al Horno</v>
          </cell>
          <cell r="T56" t="str">
            <v>15' a 370°F</v>
          </cell>
          <cell r="U56" t="str">
            <v>-</v>
          </cell>
          <cell r="V56" t="str">
            <v>90-95</v>
          </cell>
          <cell r="W56" t="str">
            <v>2H</v>
          </cell>
          <cell r="X56" t="str">
            <v>6 meses</v>
          </cell>
          <cell r="Y56" t="str">
            <v>PRADO S.A</v>
          </cell>
          <cell r="Z56" t="str">
            <v>Refrigeradoras,Lavadoras,Cocinas</v>
          </cell>
          <cell r="AA56" t="str">
            <v>-</v>
          </cell>
          <cell r="AB56" t="str">
            <v>-</v>
          </cell>
          <cell r="AC56" t="str">
            <v>S/F</v>
          </cell>
        </row>
        <row r="57">
          <cell r="A57" t="str">
            <v>G78ASA5</v>
          </cell>
          <cell r="B57" t="str">
            <v>Esmalte HorneableAcrílico Gris Oscuro Martillado</v>
          </cell>
          <cell r="C57" t="str">
            <v>Interior-Exterior Limitada</v>
          </cell>
          <cell r="D57" t="str">
            <v>Hierro</v>
          </cell>
          <cell r="E57" t="str">
            <v>Limpieza Quimica y Fosfatizacion</v>
          </cell>
          <cell r="F57" t="str">
            <v>Acrilic Monobake White Primer (E68WSA4)</v>
          </cell>
          <cell r="G57" t="str">
            <v>8.94 Lbs/Gl</v>
          </cell>
          <cell r="H57" t="str">
            <v>17.0%</v>
          </cell>
          <cell r="I57" t="str">
            <v>49.77%</v>
          </cell>
          <cell r="J57" t="str">
            <v>39.48%</v>
          </cell>
          <cell r="K57" t="str">
            <v>13.55%</v>
          </cell>
          <cell r="L57" t="str">
            <v>35.13%</v>
          </cell>
          <cell r="M57" t="str">
            <v>180"-200" Copa Zanh #2</v>
          </cell>
          <cell r="N57" t="str">
            <v>Pistola</v>
          </cell>
          <cell r="O57" t="str">
            <v>28"-32" Zanh #2</v>
          </cell>
          <cell r="P57" t="str">
            <v>40-50%</v>
          </cell>
          <cell r="Q57" t="str">
            <v>R2K4         Industrial reducer</v>
          </cell>
          <cell r="R57" t="str">
            <v>1.3-1.5 mills con E68WSA4</v>
          </cell>
          <cell r="S57" t="str">
            <v>Al Horno</v>
          </cell>
          <cell r="T57" t="str">
            <v>15' a 370°F</v>
          </cell>
          <cell r="U57" t="str">
            <v>-</v>
          </cell>
          <cell r="V57" t="str">
            <v>90-95</v>
          </cell>
          <cell r="W57" t="str">
            <v>2H</v>
          </cell>
          <cell r="X57" t="str">
            <v>6 meses</v>
          </cell>
          <cell r="Y57" t="str">
            <v>PRADO S.A</v>
          </cell>
          <cell r="Z57" t="str">
            <v>Refrigeradoras,Lavadoras,Cocinas</v>
          </cell>
          <cell r="AA57" t="str">
            <v>-</v>
          </cell>
          <cell r="AB57" t="str">
            <v>-</v>
          </cell>
          <cell r="AC57" t="str">
            <v>S/F</v>
          </cell>
        </row>
        <row r="58">
          <cell r="A58" t="str">
            <v>G78GSA11</v>
          </cell>
          <cell r="B58" t="str">
            <v>Esmalte Horneable Acrilico Verde Especial</v>
          </cell>
          <cell r="C58" t="str">
            <v>Interior-Exterior Limitada</v>
          </cell>
          <cell r="D58" t="str">
            <v>Lamina Electrogalvanizada</v>
          </cell>
          <cell r="E58" t="str">
            <v>Limpieza Adecuada con R2K4.</v>
          </cell>
          <cell r="F58" t="str">
            <v>Wash Primer Green (P60G2)</v>
          </cell>
          <cell r="G58" t="str">
            <v>8.65 Lbs/Gl</v>
          </cell>
          <cell r="H58" t="str">
            <v>13.37%</v>
          </cell>
          <cell r="I58" t="str">
            <v>45.50%</v>
          </cell>
          <cell r="J58" t="str">
            <v>40.46%</v>
          </cell>
          <cell r="K58" t="str">
            <v>11.22%</v>
          </cell>
          <cell r="L58" t="str">
            <v>32.61%</v>
          </cell>
          <cell r="M58" t="str">
            <v>100"-110" Copa Zanh #2</v>
          </cell>
          <cell r="N58" t="str">
            <v>Pistola Convencional o Elestrostática</v>
          </cell>
          <cell r="O58" t="str">
            <v>20"-25" Copa Zanh #2</v>
          </cell>
          <cell r="P58" t="str">
            <v>20-25%</v>
          </cell>
          <cell r="Q58" t="str">
            <v>Acrilic Baking Enamel Reducer (R7KSA9)</v>
          </cell>
          <cell r="R58" t="str">
            <v>1.0-1.2 mills</v>
          </cell>
          <cell r="S58" t="str">
            <v>5-10 min</v>
          </cell>
          <cell r="T58" t="str">
            <v>30' a 350°F ó 15' a 400°F</v>
          </cell>
          <cell r="U58" t="str">
            <v>1,357 Pies Cuadrados Por Galón</v>
          </cell>
          <cell r="V58" t="str">
            <v>90-95</v>
          </cell>
          <cell r="W58" t="str">
            <v>2H</v>
          </cell>
          <cell r="X58" t="str">
            <v>12 meses</v>
          </cell>
          <cell r="Y58" t="str">
            <v>INDECA S.A</v>
          </cell>
          <cell r="Z58" t="str">
            <v>Refrigeradoras.</v>
          </cell>
          <cell r="AA58" t="str">
            <v>-</v>
          </cell>
          <cell r="AB58" t="str">
            <v>-</v>
          </cell>
          <cell r="AC58" t="str">
            <v>S/F</v>
          </cell>
        </row>
        <row r="59">
          <cell r="A59" t="str">
            <v>G78GSA14</v>
          </cell>
          <cell r="B59" t="str">
            <v>Acrilic Baking Enamel Fresh Avocado Martillado</v>
          </cell>
          <cell r="C59" t="str">
            <v>Interior-Exterior Limitada</v>
          </cell>
          <cell r="D59" t="str">
            <v>Hierro</v>
          </cell>
          <cell r="E59" t="str">
            <v>Limpieza Quimica y Fosfatizacion</v>
          </cell>
          <cell r="F59" t="str">
            <v>Acrilic Monobake White Primer (E68WSA4)</v>
          </cell>
          <cell r="G59" t="str">
            <v>9.77 Lbs/Gl</v>
          </cell>
          <cell r="H59" t="str">
            <v>18.1%</v>
          </cell>
          <cell r="I59" t="str">
            <v>51.83%</v>
          </cell>
          <cell r="J59" t="str">
            <v>40.80%</v>
          </cell>
          <cell r="K59" t="str">
            <v>14.64%</v>
          </cell>
          <cell r="L59" t="str">
            <v>35.68%</v>
          </cell>
          <cell r="M59" t="str">
            <v>180"-200" Copa Zanh #2</v>
          </cell>
          <cell r="N59" t="str">
            <v>Pistola</v>
          </cell>
          <cell r="O59" t="str">
            <v>70"-80"</v>
          </cell>
          <cell r="P59" t="str">
            <v>30-40</v>
          </cell>
          <cell r="Q59" t="str">
            <v>R2K4         Industrial reducer</v>
          </cell>
          <cell r="R59" t="str">
            <v>1.3-1.5 mills con E68WSA4</v>
          </cell>
          <cell r="S59" t="str">
            <v>Al Horno</v>
          </cell>
          <cell r="T59" t="str">
            <v>15' a 370°F</v>
          </cell>
          <cell r="U59" t="str">
            <v>-</v>
          </cell>
          <cell r="V59" t="str">
            <v>90-95</v>
          </cell>
          <cell r="W59" t="str">
            <v>2H</v>
          </cell>
          <cell r="X59" t="str">
            <v>6 meses</v>
          </cell>
          <cell r="Y59" t="str">
            <v>PRADO S.A</v>
          </cell>
          <cell r="Z59" t="str">
            <v>Refrigeradoras,Lavadoras,Cocinas</v>
          </cell>
          <cell r="AA59" t="str">
            <v>-</v>
          </cell>
          <cell r="AB59" t="str">
            <v>-</v>
          </cell>
          <cell r="AC59" t="str">
            <v>S/F</v>
          </cell>
        </row>
        <row r="60">
          <cell r="A60" t="str">
            <v>G78HSA4</v>
          </cell>
          <cell r="B60" t="str">
            <v>Esmalte Horneable Acrilico Beige Oscuro Martillado</v>
          </cell>
          <cell r="C60" t="str">
            <v>Interior-Exterior Limitada</v>
          </cell>
          <cell r="D60" t="str">
            <v>Hierro</v>
          </cell>
          <cell r="E60" t="str">
            <v>Limpieza Quimica y Fosfatizacion</v>
          </cell>
          <cell r="F60" t="str">
            <v>Acrilic Monobake White Primer (E68WSA4)</v>
          </cell>
          <cell r="G60" t="str">
            <v>9.77 Lbs/Gl</v>
          </cell>
          <cell r="H60" t="str">
            <v>26.6%</v>
          </cell>
          <cell r="I60" t="str">
            <v>57.65%</v>
          </cell>
          <cell r="J60" t="str">
            <v>42.30%</v>
          </cell>
          <cell r="K60" t="str">
            <v>20.75%</v>
          </cell>
          <cell r="L60" t="str">
            <v>38.13%</v>
          </cell>
          <cell r="M60" t="str">
            <v>180"-200" Copa Zanh #2</v>
          </cell>
          <cell r="N60" t="str">
            <v>Pistola</v>
          </cell>
          <cell r="O60" t="str">
            <v>28"-32" Zanh #2</v>
          </cell>
          <cell r="P60" t="str">
            <v>40-50%</v>
          </cell>
          <cell r="Q60" t="str">
            <v>R2K4         Industrial reducer</v>
          </cell>
          <cell r="R60" t="str">
            <v>1.3-1.5 mills con E68WSA4</v>
          </cell>
          <cell r="S60" t="str">
            <v>Al Horno</v>
          </cell>
          <cell r="T60" t="str">
            <v>15' a 370°F</v>
          </cell>
          <cell r="U60" t="str">
            <v>-</v>
          </cell>
          <cell r="V60" t="str">
            <v>90-95</v>
          </cell>
          <cell r="W60" t="str">
            <v>2H</v>
          </cell>
          <cell r="X60" t="str">
            <v>6 meses</v>
          </cell>
          <cell r="Y60" t="str">
            <v>PRADO S.A</v>
          </cell>
          <cell r="Z60" t="str">
            <v>Refrigeradoras,Lavadoras,Cocinas</v>
          </cell>
          <cell r="AA60" t="str">
            <v>-</v>
          </cell>
          <cell r="AB60" t="str">
            <v>-</v>
          </cell>
          <cell r="AC60" t="str">
            <v>S/F</v>
          </cell>
        </row>
        <row r="61">
          <cell r="A61" t="str">
            <v>G78NSA18</v>
          </cell>
          <cell r="B61" t="str">
            <v>Acrylic Baking Enamel Oropel</v>
          </cell>
          <cell r="C61" t="str">
            <v>Interior-Exterior</v>
          </cell>
          <cell r="D61" t="str">
            <v>Marcos de Aluminio para Ventanas</v>
          </cell>
          <cell r="E61" t="str">
            <v>-</v>
          </cell>
          <cell r="F61" t="str">
            <v>E41A4</v>
          </cell>
          <cell r="G61" t="str">
            <v>7.96 Lbs/Gl</v>
          </cell>
          <cell r="H61" t="str">
            <v>-</v>
          </cell>
          <cell r="I61" t="str">
            <v>44.13%</v>
          </cell>
          <cell r="J61" t="str">
            <v>-</v>
          </cell>
          <cell r="K61" t="str">
            <v>-</v>
          </cell>
          <cell r="L61" t="str">
            <v>33.50%</v>
          </cell>
          <cell r="M61" t="str">
            <v>80"-90" Copa Zanh #2</v>
          </cell>
          <cell r="N61" t="str">
            <v>Pistola</v>
          </cell>
          <cell r="O61" t="str">
            <v>35"-40" Copa Zanh #2</v>
          </cell>
          <cell r="P61" t="str">
            <v>25%</v>
          </cell>
          <cell r="Q61" t="str">
            <v>Acrilic Baking Enamel Reducer (R7KSA9)</v>
          </cell>
          <cell r="R61" t="str">
            <v>1.5-2 mills</v>
          </cell>
          <cell r="S61" t="str">
            <v>-</v>
          </cell>
          <cell r="T61" t="str">
            <v>15' a 400°F</v>
          </cell>
          <cell r="U61" t="str">
            <v>2,800 Pies Cuadrados/Gl</v>
          </cell>
          <cell r="V61" t="str">
            <v>+80</v>
          </cell>
          <cell r="W61" t="str">
            <v>3H</v>
          </cell>
          <cell r="X61" t="str">
            <v>12 meses</v>
          </cell>
          <cell r="Y61" t="str">
            <v>CEFESA Industrial</v>
          </cell>
          <cell r="Z61" t="str">
            <v>Estructuras de Aluminio para Ventanas</v>
          </cell>
          <cell r="AA61" t="str">
            <v>-</v>
          </cell>
          <cell r="AB61" t="str">
            <v>-</v>
          </cell>
          <cell r="AC61" t="str">
            <v>S/F</v>
          </cell>
        </row>
        <row r="62">
          <cell r="A62" t="str">
            <v>G78NSA24</v>
          </cell>
          <cell r="B62" t="str">
            <v>Esmalte Horneable Acrilico Café Especial</v>
          </cell>
          <cell r="C62" t="str">
            <v>Interior-Exterior Limitada</v>
          </cell>
          <cell r="D62" t="str">
            <v>Lamina Electrogalvanizada</v>
          </cell>
          <cell r="E62" t="str">
            <v>Limpieza Adecuada Con Industrial Reducer R2K4</v>
          </cell>
          <cell r="F62" t="str">
            <v>Wash Primer Green (P60G2)</v>
          </cell>
          <cell r="G62" t="str">
            <v>8.65 Lbs/Gl</v>
          </cell>
          <cell r="H62" t="str">
            <v>12.30%</v>
          </cell>
          <cell r="I62" t="str">
            <v>45.02%</v>
          </cell>
          <cell r="J62" t="str">
            <v>39.54%</v>
          </cell>
          <cell r="K62" t="str">
            <v>10.0%</v>
          </cell>
          <cell r="L62" t="str">
            <v>31.34%</v>
          </cell>
          <cell r="M62" t="str">
            <v>100"-110" Copa Zanh #2</v>
          </cell>
          <cell r="N62" t="str">
            <v>Pistola Convencional o Elestrostática</v>
          </cell>
          <cell r="O62" t="str">
            <v>20"-25" Copa Zanh #2</v>
          </cell>
          <cell r="P62" t="str">
            <v>20-25%</v>
          </cell>
          <cell r="Q62" t="str">
            <v>Acrilic Baking Enamel Reducer (R7KSA9)</v>
          </cell>
          <cell r="R62" t="str">
            <v>1.0-1.2 mills</v>
          </cell>
          <cell r="S62" t="str">
            <v>5-10 minutos</v>
          </cell>
          <cell r="T62" t="str">
            <v>30' a 350°F ó 15' a 400 °F</v>
          </cell>
          <cell r="U62" t="str">
            <v>1197 Pies Cuadrados por Galón.</v>
          </cell>
          <cell r="V62" t="str">
            <v>90-95</v>
          </cell>
          <cell r="W62" t="str">
            <v>2H</v>
          </cell>
          <cell r="X62" t="str">
            <v>12 meses</v>
          </cell>
          <cell r="Y62" t="str">
            <v>INDECA S.A</v>
          </cell>
          <cell r="Z62" t="str">
            <v>Refrigeradoras</v>
          </cell>
          <cell r="AA62" t="str">
            <v>-</v>
          </cell>
          <cell r="AB62" t="str">
            <v>-</v>
          </cell>
          <cell r="AC62" t="str">
            <v>S/F</v>
          </cell>
        </row>
        <row r="63">
          <cell r="A63" t="str">
            <v>G78NSA28</v>
          </cell>
          <cell r="B63" t="str">
            <v>Acrylic Enamel Cofee Martillado</v>
          </cell>
          <cell r="C63" t="str">
            <v>Interior-Exterior Limitada</v>
          </cell>
          <cell r="D63" t="str">
            <v>Hierro</v>
          </cell>
          <cell r="E63" t="str">
            <v>Limpieza Quimica y Fosfatizacion</v>
          </cell>
          <cell r="F63" t="str">
            <v>Acrilic Monobake White Primer (E68WSA4)</v>
          </cell>
          <cell r="G63" t="str">
            <v>8.40 Lbs/Gl</v>
          </cell>
          <cell r="H63" t="str">
            <v>8.9%</v>
          </cell>
          <cell r="I63" t="str">
            <v>45.15%</v>
          </cell>
          <cell r="J63" t="str">
            <v>24.5%</v>
          </cell>
          <cell r="K63" t="str">
            <v>5.35%</v>
          </cell>
          <cell r="L63" t="str">
            <v>38.32%</v>
          </cell>
          <cell r="M63" t="str">
            <v>180"-200" Copa Zanh #2</v>
          </cell>
          <cell r="N63" t="str">
            <v>Pistola</v>
          </cell>
          <cell r="O63" t="str">
            <v>28"-32" Zanh #2</v>
          </cell>
          <cell r="P63" t="str">
            <v>30-40%</v>
          </cell>
          <cell r="Q63" t="str">
            <v>R2K4         Industrial reducer</v>
          </cell>
          <cell r="R63" t="str">
            <v>1.3-1.5 mills con E68WSA4</v>
          </cell>
          <cell r="S63" t="str">
            <v>Al Horno</v>
          </cell>
          <cell r="T63" t="str">
            <v>15' a 370°F</v>
          </cell>
          <cell r="U63" t="str">
            <v>-</v>
          </cell>
          <cell r="V63" t="str">
            <v>90-95</v>
          </cell>
          <cell r="W63" t="str">
            <v>2H</v>
          </cell>
          <cell r="X63" t="str">
            <v>6 meses</v>
          </cell>
          <cell r="Y63" t="str">
            <v>PRADO S.A</v>
          </cell>
          <cell r="Z63" t="str">
            <v>Refrigeradoras,Lavadoras,Cocinas</v>
          </cell>
          <cell r="AA63" t="str">
            <v>-</v>
          </cell>
          <cell r="AB63" t="str">
            <v>-</v>
          </cell>
          <cell r="AC63" t="str">
            <v>S/F</v>
          </cell>
        </row>
        <row r="64">
          <cell r="A64" t="str">
            <v>G78NSA29</v>
          </cell>
          <cell r="B64" t="str">
            <v>Esmalte Horneable Acrilico Café de Mueble Martillado</v>
          </cell>
          <cell r="C64" t="str">
            <v>Interior-Exterior Limitada</v>
          </cell>
          <cell r="D64" t="str">
            <v>Hierro</v>
          </cell>
          <cell r="E64" t="str">
            <v>Limpieza Quimica y Fosfatizacion</v>
          </cell>
          <cell r="F64" t="str">
            <v>Acrilic Monobake White Primer (E68WSA4)</v>
          </cell>
          <cell r="G64" t="str">
            <v>9.31 Lbs/Gl</v>
          </cell>
          <cell r="H64" t="str">
            <v>21.32%</v>
          </cell>
          <cell r="I64" t="str">
            <v>52.36%</v>
          </cell>
          <cell r="J64" t="str">
            <v>39.96%</v>
          </cell>
          <cell r="K64" t="str">
            <v>16.60%</v>
          </cell>
          <cell r="L64" t="str">
            <v>36.45%</v>
          </cell>
          <cell r="M64" t="str">
            <v>180"-200" Copa Zanh #2</v>
          </cell>
          <cell r="N64" t="str">
            <v>Pistola</v>
          </cell>
          <cell r="O64" t="str">
            <v>180"-200" Copa Zanh #2</v>
          </cell>
          <cell r="P64" t="str">
            <v>40-50%</v>
          </cell>
          <cell r="Q64" t="str">
            <v>R2K4         Industrial reducer</v>
          </cell>
          <cell r="R64" t="str">
            <v>1.3-1.5 mills con E68WSA4</v>
          </cell>
          <cell r="S64" t="str">
            <v>Al Horno</v>
          </cell>
          <cell r="T64" t="str">
            <v>15' a 370°F</v>
          </cell>
          <cell r="U64" t="str">
            <v>-</v>
          </cell>
          <cell r="V64" t="str">
            <v>90-95</v>
          </cell>
          <cell r="W64" t="str">
            <v>2H</v>
          </cell>
          <cell r="X64" t="str">
            <v>6 meses</v>
          </cell>
          <cell r="Y64" t="str">
            <v>PRADO S.A</v>
          </cell>
          <cell r="Z64" t="str">
            <v>Refrigeradoras,Lavadoras,Cocinas</v>
          </cell>
          <cell r="AA64" t="str">
            <v>-</v>
          </cell>
          <cell r="AB64" t="str">
            <v>-</v>
          </cell>
          <cell r="AC64" t="str">
            <v>S/F</v>
          </cell>
        </row>
        <row r="65">
          <cell r="A65" t="str">
            <v>G78WSA10</v>
          </cell>
          <cell r="B65" t="str">
            <v>Esmalte Horneable Acrilico Blanco Almendra Martillado</v>
          </cell>
          <cell r="C65" t="str">
            <v>Interior-Exterior Limitada</v>
          </cell>
          <cell r="D65" t="str">
            <v>Hierro</v>
          </cell>
          <cell r="E65" t="str">
            <v>Limpieza Quimica y Fosfatizacion</v>
          </cell>
          <cell r="F65" t="str">
            <v>Acrilic Monobake White Primer (E68WSA4)</v>
          </cell>
          <cell r="G65" t="str">
            <v>9.77 Lbs/Gl</v>
          </cell>
          <cell r="H65" t="str">
            <v>26.6%</v>
          </cell>
          <cell r="I65" t="str">
            <v>57.65%</v>
          </cell>
          <cell r="J65" t="str">
            <v>42.30%</v>
          </cell>
          <cell r="K65" t="str">
            <v>20.75%</v>
          </cell>
          <cell r="L65" t="str">
            <v>38.13%</v>
          </cell>
          <cell r="M65" t="str">
            <v>180"-200" Copa Zanh #2</v>
          </cell>
          <cell r="N65" t="str">
            <v>Pistola</v>
          </cell>
          <cell r="O65" t="str">
            <v>28"-32" Zanh #2</v>
          </cell>
          <cell r="P65" t="str">
            <v>40-50%</v>
          </cell>
          <cell r="Q65" t="str">
            <v>R2K4         Industrial reducer</v>
          </cell>
          <cell r="R65" t="str">
            <v>1.3-1.5 mills con E68WSA4</v>
          </cell>
          <cell r="S65" t="str">
            <v>Al Horno</v>
          </cell>
          <cell r="T65" t="str">
            <v>15' a 370°F</v>
          </cell>
          <cell r="U65" t="str">
            <v>-</v>
          </cell>
          <cell r="V65" t="str">
            <v>90-95</v>
          </cell>
          <cell r="W65" t="str">
            <v>2H</v>
          </cell>
          <cell r="X65" t="str">
            <v>6 meses</v>
          </cell>
          <cell r="Y65" t="str">
            <v>PRADO S.A</v>
          </cell>
          <cell r="Z65" t="str">
            <v>Refrigeradoras,Lavadoras,Cocinas</v>
          </cell>
          <cell r="AA65" t="str">
            <v>-</v>
          </cell>
          <cell r="AB65" t="str">
            <v>-</v>
          </cell>
          <cell r="AC65" t="str">
            <v>S/F</v>
          </cell>
        </row>
        <row r="66">
          <cell r="A66" t="str">
            <v>G78WSA11 (1)</v>
          </cell>
          <cell r="B66" t="str">
            <v>Esmalte Horneable Acrilico Blanco  Almendra</v>
          </cell>
          <cell r="C66" t="str">
            <v>Interior-Exterior Limitada</v>
          </cell>
          <cell r="D66" t="str">
            <v>Hierro</v>
          </cell>
          <cell r="E66" t="str">
            <v>Limpieza Quimica y Fosfatizacion</v>
          </cell>
          <cell r="F66" t="str">
            <v>Acrilic Monobake White Primer (E68WSA4)</v>
          </cell>
          <cell r="G66" t="str">
            <v>9.77 Lbs/Gl</v>
          </cell>
          <cell r="H66" t="str">
            <v>26.6%</v>
          </cell>
          <cell r="I66" t="str">
            <v>57.65%</v>
          </cell>
          <cell r="J66" t="str">
            <v>42.30%</v>
          </cell>
          <cell r="K66" t="str">
            <v>20.75%</v>
          </cell>
          <cell r="L66" t="str">
            <v>38.13%</v>
          </cell>
          <cell r="M66" t="str">
            <v>180"-200" Copa Zanh #2</v>
          </cell>
          <cell r="N66" t="str">
            <v>Pistola</v>
          </cell>
          <cell r="O66" t="str">
            <v>28"-32" Copa Zanh #2</v>
          </cell>
          <cell r="P66" t="str">
            <v>40-50%</v>
          </cell>
          <cell r="Q66" t="str">
            <v>R2K4         Industrial reducer</v>
          </cell>
          <cell r="R66" t="str">
            <v>1.3-1.5 mills con E68WSA4</v>
          </cell>
          <cell r="S66" t="str">
            <v>Al Horno</v>
          </cell>
          <cell r="T66" t="str">
            <v>15' a 370°F</v>
          </cell>
          <cell r="U66" t="str">
            <v>-</v>
          </cell>
          <cell r="V66" t="str">
            <v>90-95</v>
          </cell>
          <cell r="W66" t="str">
            <v>2H</v>
          </cell>
          <cell r="X66" t="str">
            <v>6 meses</v>
          </cell>
          <cell r="Y66" t="str">
            <v>PRADO S.A</v>
          </cell>
          <cell r="Z66" t="str">
            <v>Refrigeradoras,Lavadoras,Cocinas</v>
          </cell>
          <cell r="AA66" t="str">
            <v>-</v>
          </cell>
          <cell r="AB66" t="str">
            <v>-</v>
          </cell>
          <cell r="AC66" t="str">
            <v>S/F</v>
          </cell>
        </row>
        <row r="67">
          <cell r="A67" t="str">
            <v>G78WSA6</v>
          </cell>
          <cell r="B67" t="str">
            <v xml:space="preserve">Esmalte Horneable Acrilico Blanco  </v>
          </cell>
          <cell r="C67" t="str">
            <v>Interior-Exterior Limitada</v>
          </cell>
          <cell r="D67" t="str">
            <v>Hierro</v>
          </cell>
          <cell r="E67" t="str">
            <v>Limpieza Quimica y Fosfatizacion</v>
          </cell>
          <cell r="F67" t="str">
            <v>Acrilic Monobake White Primer (E68WSA4)</v>
          </cell>
          <cell r="G67" t="str">
            <v>9.77 Lbs/Gl</v>
          </cell>
          <cell r="H67" t="str">
            <v>26.6%</v>
          </cell>
          <cell r="I67" t="str">
            <v>57.65%</v>
          </cell>
          <cell r="J67" t="str">
            <v>42.30%</v>
          </cell>
          <cell r="K67" t="str">
            <v>20.75%</v>
          </cell>
          <cell r="L67" t="str">
            <v>38.13%</v>
          </cell>
          <cell r="M67" t="str">
            <v>180"-200" Copa Zanh #2</v>
          </cell>
          <cell r="N67" t="str">
            <v>Pistola</v>
          </cell>
          <cell r="O67" t="str">
            <v>28"-32" Copa Zanh #2</v>
          </cell>
          <cell r="P67" t="str">
            <v>40-50%</v>
          </cell>
          <cell r="Q67" t="str">
            <v>R2K4         Industrial reducer</v>
          </cell>
          <cell r="R67" t="str">
            <v>1.3-1.5 mills con E68WSA4</v>
          </cell>
          <cell r="S67" t="str">
            <v>Al Horno</v>
          </cell>
          <cell r="T67" t="str">
            <v>15' a 370°F</v>
          </cell>
          <cell r="U67" t="str">
            <v xml:space="preserve">37.87 metros cuadrados por galon a una 1.5 MILS de pulgada </v>
          </cell>
          <cell r="V67" t="str">
            <v>90-95</v>
          </cell>
          <cell r="W67" t="str">
            <v>2H</v>
          </cell>
          <cell r="X67" t="str">
            <v>6 meses</v>
          </cell>
          <cell r="Y67" t="str">
            <v>PRADO S.A</v>
          </cell>
          <cell r="Z67" t="str">
            <v>Refrigeradoras,Lavadoras,Cocinas</v>
          </cell>
          <cell r="AA67" t="str">
            <v>VOC=4.14 LBS/GALON</v>
          </cell>
          <cell r="AB67" t="str">
            <v>-</v>
          </cell>
          <cell r="AC67" t="str">
            <v>S/F</v>
          </cell>
        </row>
        <row r="68">
          <cell r="A68" t="str">
            <v>G78WSA8</v>
          </cell>
          <cell r="B68" t="str">
            <v>Esmalte Horneable Acrilico Blanco Especial</v>
          </cell>
          <cell r="C68" t="str">
            <v>Interior-Exterior Limitada</v>
          </cell>
          <cell r="D68" t="str">
            <v>Lamina Electrogalvanizada</v>
          </cell>
          <cell r="E68" t="str">
            <v>Limpieza Adecuada Con Industrial Reducer R2K4</v>
          </cell>
          <cell r="F68" t="str">
            <v>Wash Primer Green (P60G2)</v>
          </cell>
          <cell r="G68" t="str">
            <v>9.82 Lbs/Gl</v>
          </cell>
          <cell r="H68" t="str">
            <v>26.49%</v>
          </cell>
          <cell r="I68" t="str">
            <v>55.02%</v>
          </cell>
          <cell r="J68" t="str">
            <v>40.44%</v>
          </cell>
          <cell r="K68" t="str">
            <v>21.10%</v>
          </cell>
          <cell r="L68" t="str">
            <v>35.6%</v>
          </cell>
          <cell r="M68" t="str">
            <v>100"-110" Copa Zanh #2</v>
          </cell>
          <cell r="N68" t="str">
            <v>Pistola Convencional o Elestrostática</v>
          </cell>
          <cell r="O68" t="str">
            <v>20"-25" Copa Zanh #2</v>
          </cell>
          <cell r="P68" t="str">
            <v>20-25%</v>
          </cell>
          <cell r="Q68" t="str">
            <v>Acrilic Baking Enamel Reducer (R7KSA9)</v>
          </cell>
          <cell r="R68" t="str">
            <v>1.0-1.2 mills</v>
          </cell>
          <cell r="S68" t="str">
            <v>5-10 min</v>
          </cell>
          <cell r="T68" t="str">
            <v>30' a 350°F ó 15' a 400°F</v>
          </cell>
          <cell r="U68" t="str">
            <v>814 Pies Cuadrados/Gl</v>
          </cell>
          <cell r="V68" t="str">
            <v>90-95</v>
          </cell>
          <cell r="W68" t="str">
            <v>2H</v>
          </cell>
          <cell r="X68" t="str">
            <v>12 meses</v>
          </cell>
          <cell r="Y68" t="str">
            <v>INDECA S.A</v>
          </cell>
          <cell r="Z68" t="str">
            <v>Refrigeradoras.</v>
          </cell>
          <cell r="AA68" t="str">
            <v>-</v>
          </cell>
          <cell r="AB68" t="str">
            <v>-</v>
          </cell>
          <cell r="AC68" t="str">
            <v>S/F</v>
          </cell>
        </row>
        <row r="69">
          <cell r="A69" t="str">
            <v>G78YSA10</v>
          </cell>
          <cell r="B69" t="str">
            <v>Acrylic Baking Enamel Harvest Wheat Martillado</v>
          </cell>
          <cell r="C69" t="str">
            <v>Interior-Exterior Limitada</v>
          </cell>
          <cell r="D69" t="str">
            <v>Hierro</v>
          </cell>
          <cell r="E69" t="str">
            <v>Limpieza Quimica y Fosfatizacion</v>
          </cell>
          <cell r="F69" t="str">
            <v>Acrilic Monobake White Primer (E68WSA4)</v>
          </cell>
          <cell r="G69" t="str">
            <v>8.18 Lbs/Gl</v>
          </cell>
          <cell r="H69" t="str">
            <v>19.7%</v>
          </cell>
          <cell r="I69" t="str">
            <v>52.82%</v>
          </cell>
          <cell r="J69" t="str">
            <v>41.3%</v>
          </cell>
          <cell r="K69" t="str">
            <v>15.15%</v>
          </cell>
          <cell r="L69" t="str">
            <v>35.77%</v>
          </cell>
          <cell r="M69" t="str">
            <v>180"-200" Copa Zanh #2</v>
          </cell>
          <cell r="N69" t="str">
            <v>Pistola</v>
          </cell>
          <cell r="O69" t="str">
            <v>28"-32" Zanh #2</v>
          </cell>
          <cell r="P69" t="str">
            <v>30-40%</v>
          </cell>
          <cell r="Q69" t="str">
            <v>R2K4         Industrial reducer</v>
          </cell>
          <cell r="R69" t="str">
            <v>1.3-1.5 mills con E68WSA4</v>
          </cell>
          <cell r="S69" t="str">
            <v>Al Horno</v>
          </cell>
          <cell r="T69" t="str">
            <v>15' a 370°F</v>
          </cell>
          <cell r="U69" t="str">
            <v>-</v>
          </cell>
          <cell r="V69" t="str">
            <v>90-95</v>
          </cell>
          <cell r="W69" t="str">
            <v>2H</v>
          </cell>
          <cell r="X69" t="str">
            <v>6 meses</v>
          </cell>
          <cell r="Y69" t="str">
            <v>PRADO S.A</v>
          </cell>
          <cell r="Z69" t="str">
            <v>Refrigeradoras,Lavadoras,Cocinas</v>
          </cell>
          <cell r="AA69" t="str">
            <v>-</v>
          </cell>
          <cell r="AB69" t="str">
            <v>-</v>
          </cell>
          <cell r="AC69" t="str">
            <v>S/F</v>
          </cell>
        </row>
        <row r="70">
          <cell r="A70" t="str">
            <v>G78YSA8</v>
          </cell>
          <cell r="B70" t="str">
            <v>Esmalte Horneable Acrilico Amarillo Especial</v>
          </cell>
          <cell r="C70" t="str">
            <v>Interior-Exterior Limitada</v>
          </cell>
          <cell r="D70" t="str">
            <v>Lamina Electrogalvanizada</v>
          </cell>
          <cell r="E70" t="str">
            <v>Limpieza Adecuada Con Industrial Reducer R2K4</v>
          </cell>
          <cell r="F70" t="str">
            <v>Wash Primer Green (P60G2)</v>
          </cell>
          <cell r="G70" t="str">
            <v>8.89 Lbs/Gl</v>
          </cell>
          <cell r="H70" t="str">
            <v>15.88%</v>
          </cell>
          <cell r="I70" t="str">
            <v>45.47%</v>
          </cell>
          <cell r="J70" t="str">
            <v>38.25%</v>
          </cell>
          <cell r="K70" t="str">
            <v>12.86%</v>
          </cell>
          <cell r="L70" t="str">
            <v>30.25%</v>
          </cell>
          <cell r="M70" t="str">
            <v>100"-110" Copa Zanh #2</v>
          </cell>
          <cell r="N70" t="str">
            <v>Pistola Convencional o Elestrostática</v>
          </cell>
          <cell r="O70" t="str">
            <v>20"-25" Copa Zanh #2</v>
          </cell>
          <cell r="P70" t="str">
            <v>20-25%</v>
          </cell>
          <cell r="Q70" t="str">
            <v>Acrilic Baking Enamel Reducer (R7KSA9)</v>
          </cell>
          <cell r="R70" t="str">
            <v>1.0-1.2 mills</v>
          </cell>
          <cell r="S70" t="str">
            <v>5-10 minutos</v>
          </cell>
          <cell r="T70" t="str">
            <v>30' a 350°F ó 15' a 400 °F</v>
          </cell>
          <cell r="U70" t="str">
            <v>1197 Pies Cuadrados por Galón.</v>
          </cell>
          <cell r="V70" t="str">
            <v>90-95</v>
          </cell>
          <cell r="W70" t="str">
            <v>2H</v>
          </cell>
          <cell r="X70" t="str">
            <v>12 meses</v>
          </cell>
          <cell r="Y70" t="str">
            <v>INDECA S.A</v>
          </cell>
          <cell r="Z70" t="str">
            <v>Refrigeradoras</v>
          </cell>
          <cell r="AA70" t="str">
            <v>-</v>
          </cell>
          <cell r="AB70" t="str">
            <v>-</v>
          </cell>
          <cell r="AC70" t="str">
            <v>S/F</v>
          </cell>
        </row>
        <row r="71">
          <cell r="A71" t="str">
            <v>H87TSA1 (1)</v>
          </cell>
          <cell r="B71" t="str">
            <v>Laca Transparente Para Cuero</v>
          </cell>
          <cell r="C71" t="str">
            <v>Interior-Exterior</v>
          </cell>
          <cell r="D71" t="str">
            <v>Cuero</v>
          </cell>
          <cell r="E71" t="str">
            <v>Limpieza Adecuada</v>
          </cell>
          <cell r="F71" t="str">
            <v>Ninguno</v>
          </cell>
          <cell r="G71" t="str">
            <v>7.78 Lbs/Gl</v>
          </cell>
          <cell r="H71" t="str">
            <v>-</v>
          </cell>
          <cell r="I71" t="str">
            <v>12.4%</v>
          </cell>
          <cell r="J71" t="str">
            <v>12.4%</v>
          </cell>
          <cell r="K71" t="str">
            <v>-</v>
          </cell>
          <cell r="L71" t="str">
            <v>9.55%</v>
          </cell>
          <cell r="M71" t="str">
            <v>20-30 seg Copa SW #%</v>
          </cell>
          <cell r="N71" t="str">
            <v>Pistola de Aire</v>
          </cell>
          <cell r="O71" t="str">
            <v>18-22 seg en Zanh #2</v>
          </cell>
          <cell r="P71" t="str">
            <v>100-150%</v>
          </cell>
          <cell r="Q71" t="str">
            <v>R7KSA7 Thinner Esp. No.1 ó R7K128 Opex Lacquer Thinner</v>
          </cell>
          <cell r="R71" t="str">
            <v>0.5-1.0 mills/Pulgada</v>
          </cell>
          <cell r="S71" t="str">
            <v>Al Aire 10 minutos Seco completo. Al Horno 1 1/2 minutos</v>
          </cell>
          <cell r="T71" t="str">
            <v>1-14 1/2 minutos a 70-80°C</v>
          </cell>
          <cell r="U71" t="str">
            <v>250-300 Pies Cuadrados por Galón</v>
          </cell>
          <cell r="V71" t="str">
            <v>Brillante      (80-82)</v>
          </cell>
          <cell r="W71" t="str">
            <v>B</v>
          </cell>
          <cell r="X71" t="str">
            <v>12 Meses</v>
          </cell>
          <cell r="Y71" t="str">
            <v>DIREYA, S.A</v>
          </cell>
          <cell r="Z71" t="str">
            <v>Cueros</v>
          </cell>
          <cell r="AA71" t="str">
            <v>-</v>
          </cell>
          <cell r="AB71" t="str">
            <v>-</v>
          </cell>
          <cell r="AC71" t="str">
            <v>S/F</v>
          </cell>
        </row>
        <row r="72">
          <cell r="A72" t="str">
            <v>H87TSA2 (1)</v>
          </cell>
          <cell r="B72" t="str">
            <v>Laca Transparente Especial Para Cuero</v>
          </cell>
          <cell r="C72" t="str">
            <v>-</v>
          </cell>
          <cell r="D72" t="str">
            <v>Cuero</v>
          </cell>
          <cell r="E72" t="str">
            <v>Limpio con Solvente</v>
          </cell>
          <cell r="F72" t="str">
            <v>Ninguno</v>
          </cell>
          <cell r="G72" t="str">
            <v>7.81 Lbs/Gl</v>
          </cell>
          <cell r="H72" t="str">
            <v>-</v>
          </cell>
          <cell r="I72" t="str">
            <v>34.50%</v>
          </cell>
          <cell r="J72" t="str">
            <v>34.50%</v>
          </cell>
          <cell r="K72" t="str">
            <v>-</v>
          </cell>
          <cell r="L72" t="str">
            <v>26.90%</v>
          </cell>
          <cell r="M72" t="str">
            <v>20"-25" SW#5</v>
          </cell>
          <cell r="N72" t="str">
            <v>Pistola</v>
          </cell>
          <cell r="O72" t="str">
            <v>18"-20" Copa Ford #4</v>
          </cell>
          <cell r="P72" t="str">
            <v>100-150% R7K128</v>
          </cell>
          <cell r="Q72" t="str">
            <v>R7K128</v>
          </cell>
          <cell r="R72" t="str">
            <v>-</v>
          </cell>
          <cell r="S72" t="str">
            <v>20 minutos</v>
          </cell>
          <cell r="T72" t="str">
            <v>-</v>
          </cell>
          <cell r="U72" t="str">
            <v>-</v>
          </cell>
          <cell r="V72" t="str">
            <v>+80</v>
          </cell>
          <cell r="W72" t="str">
            <v>-</v>
          </cell>
          <cell r="X72" t="str">
            <v>6 meses</v>
          </cell>
          <cell r="Y72" t="str">
            <v>Calzado Infantil, S:A de C:V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S/F</v>
          </cell>
        </row>
        <row r="73">
          <cell r="A73" t="str">
            <v>K7W97</v>
          </cell>
          <cell r="B73" t="str">
            <v>Super Kem Tone Blanco Puro</v>
          </cell>
          <cell r="C73" t="str">
            <v>Interior</v>
          </cell>
          <cell r="D73" t="str">
            <v>Concreto-Madera-Estuco</v>
          </cell>
          <cell r="E73" t="str">
            <v>Superficie Seca y Limpia</v>
          </cell>
          <cell r="F73" t="str">
            <v>A71WSA4 para pintar sobre madera</v>
          </cell>
          <cell r="G73" t="str">
            <v>11.22 Lbs/Gl</v>
          </cell>
          <cell r="H73" t="str">
            <v>-</v>
          </cell>
          <cell r="I73" t="str">
            <v>53.8%</v>
          </cell>
          <cell r="J73" t="str">
            <v>-</v>
          </cell>
          <cell r="K73" t="str">
            <v>-</v>
          </cell>
          <cell r="L73" t="str">
            <v>38.7%</v>
          </cell>
          <cell r="M73" t="str">
            <v>20"-22" Copa SW #4</v>
          </cell>
          <cell r="N73" t="str">
            <v>Brocha-Rodillo</v>
          </cell>
          <cell r="O73" t="str">
            <v>El de la Pintura</v>
          </cell>
          <cell r="P73" t="str">
            <v>Ninguno</v>
          </cell>
          <cell r="Q73" t="str">
            <v>-</v>
          </cell>
          <cell r="R73" t="str">
            <v>5 mills</v>
          </cell>
          <cell r="S73" t="str">
            <v>Al aire</v>
          </cell>
          <cell r="T73" t="str">
            <v>-</v>
          </cell>
          <cell r="U73" t="str">
            <v>50 Mts cuadrados/Gl</v>
          </cell>
          <cell r="V73" t="str">
            <v>2-4 (85°)</v>
          </cell>
          <cell r="W73" t="str">
            <v>-</v>
          </cell>
          <cell r="X73" t="str">
            <v>1-2 Años</v>
          </cell>
          <cell r="Y73" t="str">
            <v>Warner Lambert-Guatemala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S/F</v>
          </cell>
        </row>
        <row r="74">
          <cell r="A74" t="str">
            <v>L60ASA10</v>
          </cell>
          <cell r="B74" t="str">
            <v>Laca Industrial Gris Especial</v>
          </cell>
          <cell r="C74" t="str">
            <v>Interior</v>
          </cell>
          <cell r="D74" t="str">
            <v>Hierro</v>
          </cell>
          <cell r="E74" t="str">
            <v xml:space="preserve">Limpio  </v>
          </cell>
          <cell r="F74" t="str">
            <v>Ninguno</v>
          </cell>
          <cell r="G74" t="str">
            <v>8.15 Lbs/Gl</v>
          </cell>
          <cell r="H74" t="str">
            <v>5.24%</v>
          </cell>
          <cell r="I74" t="str">
            <v>39.57%</v>
          </cell>
          <cell r="J74" t="str">
            <v>36.23%</v>
          </cell>
          <cell r="K74" t="str">
            <v>4.61%</v>
          </cell>
          <cell r="L74" t="str">
            <v>29.92%</v>
          </cell>
          <cell r="M74" t="str">
            <v>20"-25" Copa SW #5</v>
          </cell>
          <cell r="N74" t="str">
            <v>Inmersión</v>
          </cell>
          <cell r="O74" t="str">
            <v>18"-20" Copa Ford #4</v>
          </cell>
          <cell r="P74" t="str">
            <v>50% con R7K128</v>
          </cell>
          <cell r="Q74" t="str">
            <v>R7K128</v>
          </cell>
          <cell r="R74" t="str">
            <v>1 mills</v>
          </cell>
          <cell r="S74" t="str">
            <v>Al aire</v>
          </cell>
          <cell r="T74" t="str">
            <v>-</v>
          </cell>
          <cell r="U74" t="str">
            <v>633 Pies Cuadrados/Gl</v>
          </cell>
          <cell r="V74" t="str">
            <v>80</v>
          </cell>
          <cell r="W74" t="str">
            <v>2B</v>
          </cell>
          <cell r="X74" t="str">
            <v>6-12 meses</v>
          </cell>
          <cell r="Y74" t="str">
            <v>BOIRA</v>
          </cell>
          <cell r="Z74" t="str">
            <v>-</v>
          </cell>
          <cell r="AA74" t="str">
            <v>-</v>
          </cell>
          <cell r="AB74" t="str">
            <v>Luis Nolasco</v>
          </cell>
          <cell r="AC74" t="str">
            <v>S/F</v>
          </cell>
        </row>
        <row r="75">
          <cell r="A75" t="str">
            <v>M72WSA1</v>
          </cell>
          <cell r="B75" t="str">
            <v>Recubrimiento Blanco Para Cartón</v>
          </cell>
          <cell r="C75" t="str">
            <v>Interior</v>
          </cell>
          <cell r="D75" t="str">
            <v>Carton</v>
          </cell>
          <cell r="E75" t="str">
            <v>Ninguna</v>
          </cell>
          <cell r="F75" t="str">
            <v>-</v>
          </cell>
          <cell r="G75" t="str">
            <v>11.78 Lbs/Gl</v>
          </cell>
          <cell r="H75" t="str">
            <v>41.22%</v>
          </cell>
          <cell r="I75" t="str">
            <v>57.06%</v>
          </cell>
          <cell r="J75" t="str">
            <v>15.84%</v>
          </cell>
          <cell r="K75" t="str">
            <v>50.0%</v>
          </cell>
          <cell r="L75" t="str">
            <v>41.46%</v>
          </cell>
          <cell r="M75" t="str">
            <v>30-35 seg Copa Zanh #2</v>
          </cell>
          <cell r="N75" t="str">
            <v>Cuchilla de Hule</v>
          </cell>
          <cell r="O75" t="str">
            <v>20-25 seg. Copa Zanh #2</v>
          </cell>
          <cell r="P75" t="str">
            <v>2-3% con Agua</v>
          </cell>
          <cell r="Q75" t="str">
            <v>Agua</v>
          </cell>
          <cell r="R75" t="str">
            <v>-</v>
          </cell>
          <cell r="S75" t="str">
            <v>Con Rodillo Caliente 150°C</v>
          </cell>
          <cell r="T75" t="str">
            <v>1 Minuto a 150°C</v>
          </cell>
          <cell r="U75" t="str">
            <v>-</v>
          </cell>
          <cell r="V75" t="str">
            <v>Mate</v>
          </cell>
          <cell r="W75" t="str">
            <v>-</v>
          </cell>
          <cell r="X75" t="str">
            <v>4-6 Meses</v>
          </cell>
          <cell r="Y75" t="str">
            <v>Cajas y Bolsas S.A</v>
          </cell>
          <cell r="Z75" t="str">
            <v>Cajas de Cartón</v>
          </cell>
          <cell r="AA75" t="str">
            <v>-</v>
          </cell>
          <cell r="AB75" t="str">
            <v>-</v>
          </cell>
          <cell r="AC75" t="str">
            <v>S/F</v>
          </cell>
        </row>
        <row r="76">
          <cell r="A76" t="str">
            <v>R7KSA13 (1)</v>
          </cell>
          <cell r="B76" t="str">
            <v>Thinner Especial</v>
          </cell>
          <cell r="C76" t="str">
            <v>-</v>
          </cell>
          <cell r="D76" t="str">
            <v>Polietileno y Poliestireno</v>
          </cell>
          <cell r="E76" t="str">
            <v>-</v>
          </cell>
          <cell r="F76" t="str">
            <v>-</v>
          </cell>
          <cell r="G76" t="str">
            <v>6.68 Lbs/Gl</v>
          </cell>
          <cell r="H76" t="str">
            <v>-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Adornos Navideños y otros.</v>
          </cell>
          <cell r="AA76" t="str">
            <v>-</v>
          </cell>
          <cell r="AB76" t="str">
            <v>-</v>
          </cell>
          <cell r="AC76" t="str">
            <v>S/F</v>
          </cell>
        </row>
        <row r="77">
          <cell r="A77" t="str">
            <v>SAA 1713</v>
          </cell>
          <cell r="B77" t="str">
            <v>Esmalte Horneable Acrilico Negro Satinado</v>
          </cell>
          <cell r="C77" t="str">
            <v>Interior-Exterior Limitada</v>
          </cell>
          <cell r="D77" t="str">
            <v>Artículos de Aluminio</v>
          </cell>
          <cell r="E77" t="str">
            <v>Limpieza con Solvente</v>
          </cell>
          <cell r="F77" t="str">
            <v>Gripclad Primer</v>
          </cell>
          <cell r="G77" t="str">
            <v>8.80 Lbs/Gl</v>
          </cell>
          <cell r="H77" t="str">
            <v>-</v>
          </cell>
          <cell r="I77" t="str">
            <v>51.40%</v>
          </cell>
          <cell r="J77" t="str">
            <v>-</v>
          </cell>
          <cell r="K77" t="str">
            <v>-</v>
          </cell>
          <cell r="L77" t="str">
            <v>37.44%</v>
          </cell>
          <cell r="M77" t="str">
            <v>100"-110" Copa Zanh #2</v>
          </cell>
          <cell r="N77" t="str">
            <v>Pistola</v>
          </cell>
          <cell r="O77" t="str">
            <v>25"-30" Copa Zanh #2</v>
          </cell>
          <cell r="P77" t="str">
            <v>20%</v>
          </cell>
          <cell r="Q77" t="str">
            <v>Acrilic Baking Enamel Reducer (R7KSA9)</v>
          </cell>
          <cell r="R77" t="str">
            <v>1.0-1.5 mills</v>
          </cell>
          <cell r="S77" t="str">
            <v>-</v>
          </cell>
          <cell r="T77" t="str">
            <v>15' a 400°F</v>
          </cell>
          <cell r="U77" t="str">
            <v>600 Pies Cuadrados/Gl</v>
          </cell>
          <cell r="V77" t="str">
            <v>10-12</v>
          </cell>
          <cell r="W77" t="str">
            <v>3H</v>
          </cell>
          <cell r="X77" t="str">
            <v>12 meses</v>
          </cell>
          <cell r="Y77" t="str">
            <v>Productos Atmosféricos (Nicaragua)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S/F</v>
          </cell>
        </row>
        <row r="78">
          <cell r="A78" t="str">
            <v>SAA 1723</v>
          </cell>
          <cell r="B78" t="str">
            <v>Kem Fast Dry Oxide Black</v>
          </cell>
          <cell r="C78" t="str">
            <v>Interior-Exterior</v>
          </cell>
          <cell r="D78" t="str">
            <v>Hierro Negro</v>
          </cell>
          <cell r="E78" t="str">
            <v>Cepillo de Alambre y Productos Químicos</v>
          </cell>
          <cell r="F78" t="str">
            <v>-</v>
          </cell>
          <cell r="G78" t="str">
            <v>9.54 Lbs/Gl</v>
          </cell>
          <cell r="H78" t="str">
            <v>-</v>
          </cell>
          <cell r="I78" t="str">
            <v>52.31%</v>
          </cell>
          <cell r="J78" t="str">
            <v>-</v>
          </cell>
          <cell r="K78" t="str">
            <v>-</v>
          </cell>
          <cell r="L78" t="str">
            <v>31.61%</v>
          </cell>
          <cell r="M78" t="str">
            <v>25"-30" Copa Ford #4</v>
          </cell>
          <cell r="N78" t="str">
            <v>Pistola</v>
          </cell>
          <cell r="O78" t="str">
            <v>20"-22" Copa Ford #4</v>
          </cell>
          <cell r="P78" t="str">
            <v>12.5% R2K4</v>
          </cell>
          <cell r="Q78" t="str">
            <v>R2K4         Industrial reducer</v>
          </cell>
          <cell r="R78" t="str">
            <v>1.0-1.5 mills</v>
          </cell>
          <cell r="S78" t="str">
            <v>Al Tacto: 20 Min.        Completo: 1 Hr.</v>
          </cell>
          <cell r="T78" t="str">
            <v>-</v>
          </cell>
          <cell r="U78" t="str">
            <v>480 Pies Cuadrados/Gl</v>
          </cell>
          <cell r="V78" t="str">
            <v>0-5</v>
          </cell>
          <cell r="W78" t="str">
            <v>-</v>
          </cell>
          <cell r="X78" t="str">
            <v>12 meses</v>
          </cell>
          <cell r="Y78" t="str">
            <v>Ferro Arte Nicaragua</v>
          </cell>
          <cell r="Z78" t="str">
            <v>Verjas de Hierro Negro</v>
          </cell>
          <cell r="AA78" t="str">
            <v>-</v>
          </cell>
          <cell r="AB78" t="str">
            <v>-</v>
          </cell>
          <cell r="AC78" t="str">
            <v>S/F</v>
          </cell>
        </row>
        <row r="79">
          <cell r="A79" t="str">
            <v>SAA 1868</v>
          </cell>
          <cell r="B79" t="str">
            <v>Wet Ink Varnish (Silver V)</v>
          </cell>
          <cell r="C79" t="str">
            <v>-</v>
          </cell>
          <cell r="D79" t="str">
            <v>Hojalata</v>
          </cell>
          <cell r="E79" t="str">
            <v>Normal</v>
          </cell>
          <cell r="F79" t="str">
            <v>Ninguno</v>
          </cell>
          <cell r="G79" t="str">
            <v>7.46 Lbs/Gl</v>
          </cell>
          <cell r="H79" t="str">
            <v>-</v>
          </cell>
          <cell r="I79" t="str">
            <v>40.0%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35-40" Copa Ford #4</v>
          </cell>
          <cell r="N79" t="str">
            <v>Roller Coating</v>
          </cell>
          <cell r="O79" t="str">
            <v>Igual</v>
          </cell>
          <cell r="P79" t="str">
            <v>Ninguno</v>
          </cell>
          <cell r="Q79" t="str">
            <v>03-23-100 R2K7</v>
          </cell>
          <cell r="R79" t="str">
            <v>13 mm</v>
          </cell>
          <cell r="S79" t="str">
            <v>Al Horno</v>
          </cell>
          <cell r="T79" t="str">
            <v>12-15' a 160-165°C</v>
          </cell>
          <cell r="U79" t="str">
            <v>-</v>
          </cell>
          <cell r="V79" t="str">
            <v>90</v>
          </cell>
          <cell r="W79" t="str">
            <v>HB</v>
          </cell>
          <cell r="X79" t="str">
            <v>6 meses</v>
          </cell>
          <cell r="Y79" t="str">
            <v>CORLASA</v>
          </cell>
          <cell r="Z79" t="str">
            <v>Lamina Litografiada</v>
          </cell>
          <cell r="AA79" t="str">
            <v>-</v>
          </cell>
          <cell r="AB79" t="str">
            <v>-</v>
          </cell>
          <cell r="AC79" t="str">
            <v>S/F</v>
          </cell>
        </row>
        <row r="80">
          <cell r="A80" t="str">
            <v>SAA 2031</v>
          </cell>
          <cell r="B80" t="str">
            <v>Esmalte Horneable Rojo Especial</v>
          </cell>
          <cell r="C80" t="str">
            <v>Exterior</v>
          </cell>
          <cell r="D80" t="str">
            <v>Acero</v>
          </cell>
          <cell r="E80" t="str">
            <v>Limpia sin óxido</v>
          </cell>
          <cell r="F80" t="str">
            <v>E68WSA1</v>
          </cell>
          <cell r="G80" t="str">
            <v>8.37 Lbs/Gl</v>
          </cell>
          <cell r="H80" t="str">
            <v>6.38%</v>
          </cell>
          <cell r="I80" t="str">
            <v>50.75%</v>
          </cell>
          <cell r="J80" t="str">
            <v>44.37%</v>
          </cell>
          <cell r="K80" t="str">
            <v>4.94%</v>
          </cell>
          <cell r="L80" t="str">
            <v>42.07%</v>
          </cell>
          <cell r="M80" t="str">
            <v>80"-90" Copa Zanh #2</v>
          </cell>
          <cell r="N80" t="str">
            <v>Pistola</v>
          </cell>
          <cell r="O80" t="str">
            <v>25"-30" Copa Zanh #2</v>
          </cell>
          <cell r="P80" t="str">
            <v>20% R2K4</v>
          </cell>
          <cell r="Q80" t="str">
            <v>R2K4         Industrial reducer</v>
          </cell>
          <cell r="R80" t="str">
            <v xml:space="preserve">0.5-1.0 mills </v>
          </cell>
          <cell r="S80" t="str">
            <v>Al Horno</v>
          </cell>
          <cell r="T80" t="str">
            <v>15' a 300°F</v>
          </cell>
          <cell r="U80" t="str">
            <v>-</v>
          </cell>
          <cell r="V80" t="str">
            <v>+95</v>
          </cell>
          <cell r="W80" t="str">
            <v>H 24 Hrs después</v>
          </cell>
          <cell r="X80" t="str">
            <v>-</v>
          </cell>
          <cell r="Y80" t="str">
            <v>Productos Eléctricos, S.A</v>
          </cell>
          <cell r="Z80" t="str">
            <v>Triciclos</v>
          </cell>
          <cell r="AA80" t="str">
            <v>-</v>
          </cell>
          <cell r="AB80" t="str">
            <v>-</v>
          </cell>
          <cell r="AC80" t="str">
            <v>S/F</v>
          </cell>
        </row>
        <row r="81">
          <cell r="A81" t="str">
            <v>SAA 2032</v>
          </cell>
          <cell r="B81" t="str">
            <v>Acrylid Acrylic Enamel Alpine White</v>
          </cell>
          <cell r="C81" t="str">
            <v>Exterior</v>
          </cell>
          <cell r="D81" t="str">
            <v>Acero</v>
          </cell>
          <cell r="E81" t="str">
            <v>Fosfatizado</v>
          </cell>
          <cell r="F81" t="str">
            <v>E68ASA1   E68RSA1</v>
          </cell>
          <cell r="G81" t="str">
            <v>9.37 Lbs/Gl</v>
          </cell>
          <cell r="H81" t="str">
            <v>21.16%</v>
          </cell>
          <cell r="I81" t="str">
            <v>57.93%</v>
          </cell>
          <cell r="J81" t="str">
            <v>36.76%</v>
          </cell>
          <cell r="K81" t="str">
            <v>13.09%</v>
          </cell>
          <cell r="L81" t="str">
            <v>44.76%</v>
          </cell>
          <cell r="M81" t="str">
            <v>70"-80" Copa Ford #4</v>
          </cell>
          <cell r="N81" t="str">
            <v>Pistola</v>
          </cell>
          <cell r="O81" t="str">
            <v>18"-20" Copa Ford #4</v>
          </cell>
          <cell r="P81" t="str">
            <v>50%</v>
          </cell>
          <cell r="Q81" t="str">
            <v>R7K212</v>
          </cell>
          <cell r="R81" t="str">
            <v>1.5-2.0 mills</v>
          </cell>
          <cell r="S81" t="str">
            <v>Al Horno</v>
          </cell>
          <cell r="T81" t="str">
            <v>15' a 350°F</v>
          </cell>
          <cell r="U81" t="str">
            <v>282.5 Pies Cuadrados por Galón</v>
          </cell>
          <cell r="V81" t="str">
            <v>+80</v>
          </cell>
          <cell r="W81" t="str">
            <v>2B Después de 24 Hrs</v>
          </cell>
          <cell r="X81" t="str">
            <v>un Año</v>
          </cell>
          <cell r="Y81" t="str">
            <v>COOPESA (COSTA RICA)</v>
          </cell>
          <cell r="Z81" t="str">
            <v>Automóviles</v>
          </cell>
          <cell r="AA81" t="str">
            <v>-</v>
          </cell>
          <cell r="AB81" t="str">
            <v>-</v>
          </cell>
          <cell r="AC81" t="str">
            <v>S/F</v>
          </cell>
        </row>
        <row r="82">
          <cell r="A82" t="str">
            <v>SAA 2041</v>
          </cell>
          <cell r="B82" t="str">
            <v>Roller Coating White</v>
          </cell>
          <cell r="C82" t="str">
            <v>Interior</v>
          </cell>
          <cell r="D82" t="str">
            <v>Hojalata</v>
          </cell>
          <cell r="E82" t="str">
            <v>Limpieza con Solvente</v>
          </cell>
          <cell r="F82" t="str">
            <v>Ninguno</v>
          </cell>
          <cell r="G82" t="str">
            <v>9.39 Lbs/Gl</v>
          </cell>
          <cell r="H82" t="str">
            <v>21.2%</v>
          </cell>
          <cell r="I82" t="str">
            <v>37.8%</v>
          </cell>
          <cell r="J82" t="str">
            <v>78.8%</v>
          </cell>
          <cell r="K82" t="str">
            <v>30.7%</v>
          </cell>
          <cell r="L82" t="str">
            <v>19.7%</v>
          </cell>
          <cell r="M82" t="str">
            <v>70"-80" Copa Ford #4</v>
          </cell>
          <cell r="N82" t="str">
            <v>Rodillo</v>
          </cell>
          <cell r="O82" t="str">
            <v>70"-80" Copa Ford #4</v>
          </cell>
          <cell r="P82" t="str">
            <v>Ninguno</v>
          </cell>
          <cell r="Q82" t="str">
            <v>-</v>
          </cell>
          <cell r="R82" t="str">
            <v>1.0 mills</v>
          </cell>
          <cell r="S82" t="str">
            <v>Horneo</v>
          </cell>
          <cell r="T82" t="str">
            <v>15' a 360°F</v>
          </cell>
          <cell r="U82" t="str">
            <v>44.62 Mts Cuadrados/Gl</v>
          </cell>
          <cell r="V82" t="str">
            <v>85 Minimo</v>
          </cell>
          <cell r="W82" t="str">
            <v>HB</v>
          </cell>
          <cell r="X82" t="str">
            <v>12 meses</v>
          </cell>
          <cell r="Y82" t="str">
            <v>UNICAN</v>
          </cell>
          <cell r="Z82" t="str">
            <v>Litografía</v>
          </cell>
          <cell r="AA82" t="str">
            <v>-</v>
          </cell>
          <cell r="AB82" t="str">
            <v>-</v>
          </cell>
          <cell r="AC82" t="str">
            <v>S/F</v>
          </cell>
        </row>
        <row r="83">
          <cell r="A83" t="str">
            <v>SAA 2086</v>
          </cell>
          <cell r="B83" t="str">
            <v>Collapsible Tube Enamel White</v>
          </cell>
          <cell r="C83" t="str">
            <v>Interior</v>
          </cell>
          <cell r="D83" t="str">
            <v>Tubos de Estaño y Plomo</v>
          </cell>
          <cell r="E83" t="str">
            <v>Limpieza</v>
          </cell>
          <cell r="F83" t="str">
            <v>Ninguno</v>
          </cell>
          <cell r="G83" t="str">
            <v>10.71 Lbs/Gl</v>
          </cell>
          <cell r="H83" t="str">
            <v>29.55%</v>
          </cell>
          <cell r="I83" t="str">
            <v>53.56%</v>
          </cell>
          <cell r="J83" t="str">
            <v>34.08%</v>
          </cell>
          <cell r="K83" t="str">
            <v>27.64%</v>
          </cell>
          <cell r="L83" t="str">
            <v>33.94%</v>
          </cell>
          <cell r="M83" t="str">
            <v>130-135 KU</v>
          </cell>
          <cell r="N83" t="str">
            <v>Especial</v>
          </cell>
          <cell r="O83" t="str">
            <v>130-135 KU</v>
          </cell>
          <cell r="P83" t="str">
            <v>Ninguno</v>
          </cell>
          <cell r="Q83" t="str">
            <v>Ninguno</v>
          </cell>
          <cell r="R83" t="str">
            <v>-</v>
          </cell>
          <cell r="S83" t="str">
            <v>-</v>
          </cell>
          <cell r="T83" t="str">
            <v>3-1/2 Minutos a 230°F</v>
          </cell>
          <cell r="U83" t="str">
            <v>-</v>
          </cell>
          <cell r="V83" t="str">
            <v>80 Minimo</v>
          </cell>
          <cell r="W83" t="str">
            <v>F</v>
          </cell>
          <cell r="X83" t="str">
            <v>12 meses</v>
          </cell>
          <cell r="Y83" t="str">
            <v>Colgate Palmolive</v>
          </cell>
          <cell r="Z83" t="str">
            <v>Pasta Dental</v>
          </cell>
          <cell r="AA83" t="str">
            <v>-</v>
          </cell>
          <cell r="AB83" t="str">
            <v>-</v>
          </cell>
          <cell r="AC83" t="str">
            <v>S/F</v>
          </cell>
        </row>
        <row r="84">
          <cell r="A84" t="str">
            <v>SAA 3154</v>
          </cell>
          <cell r="B84" t="str">
            <v>Chemical And Moisture Resisting Primer</v>
          </cell>
          <cell r="C84" t="str">
            <v>-</v>
          </cell>
          <cell r="D84" t="str">
            <v>Concreto, Hierro, Aluminio, Galvanizado</v>
          </cell>
          <cell r="E84" t="str">
            <v>Limpia, Seca y Libre de Grasa o Aceite</v>
          </cell>
          <cell r="F84" t="str">
            <v>Ninguno</v>
          </cell>
          <cell r="G84" t="str">
            <v>12.58 Lbs/Gl</v>
          </cell>
          <cell r="H84" t="str">
            <v>41.17%</v>
          </cell>
          <cell r="I84" t="str">
            <v>66.61%</v>
          </cell>
          <cell r="J84" t="str">
            <v>23.85%</v>
          </cell>
          <cell r="K84" t="str">
            <v>42.76%</v>
          </cell>
          <cell r="L84" t="str">
            <v>38.79%</v>
          </cell>
          <cell r="M84" t="str">
            <v>30-35 seg Copa SW #3</v>
          </cell>
          <cell r="N84" t="str">
            <v>Brocha o Pistola de Aire</v>
          </cell>
          <cell r="O84" t="str">
            <v>-</v>
          </cell>
          <cell r="P84" t="str">
            <v>Brocha: Ninguno, Pistola de Aire 25%</v>
          </cell>
          <cell r="Q84" t="str">
            <v>R2K4         Industrial reducer</v>
          </cell>
          <cell r="R84" t="str">
            <v>1.0 mills</v>
          </cell>
          <cell r="S84" t="str">
            <v>Seco Tocar 30 Min. Seco Completo 1-2 Hrs</v>
          </cell>
          <cell r="T84" t="str">
            <v>-</v>
          </cell>
          <cell r="U84" t="str">
            <v>45 Mts Cuadrados/Gl</v>
          </cell>
          <cell r="V84" t="str">
            <v>Satinado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S/F</v>
          </cell>
        </row>
        <row r="85">
          <cell r="A85" t="str">
            <v>SAA 3160</v>
          </cell>
          <cell r="B85" t="str">
            <v>Laca Industrial Champagne</v>
          </cell>
          <cell r="C85" t="str">
            <v>-</v>
          </cell>
          <cell r="D85" t="str">
            <v>Madera</v>
          </cell>
          <cell r="E85" t="str">
            <v>Seca, Debidamente Lijada y Libre de Polvo.</v>
          </cell>
          <cell r="F85" t="str">
            <v>Opex Industrial Primer Surfacer</v>
          </cell>
          <cell r="G85" t="str">
            <v>9.40 Lbs/Gl</v>
          </cell>
          <cell r="H85" t="str">
            <v>22.60%</v>
          </cell>
          <cell r="I85" t="str">
            <v>44.10%</v>
          </cell>
          <cell r="J85" t="str">
            <v>21.50%</v>
          </cell>
          <cell r="K85" t="str">
            <v>25.80%</v>
          </cell>
          <cell r="L85" t="str">
            <v>26.30%</v>
          </cell>
          <cell r="M85" t="str">
            <v>30-40 Seg. Copa SW #5</v>
          </cell>
          <cell r="N85" t="str">
            <v>Pistola</v>
          </cell>
          <cell r="O85" t="str">
            <v>-</v>
          </cell>
          <cell r="P85" t="str">
            <v>100-150</v>
          </cell>
          <cell r="Q85" t="str">
            <v>R7K128 Opex Lacquer Thinner 128</v>
          </cell>
          <cell r="R85" t="str">
            <v>1.0 mills</v>
          </cell>
          <cell r="S85" t="str">
            <v>Seco Tocar: 10 Min; Seco Completo: 20 Min.</v>
          </cell>
          <cell r="T85" t="str">
            <v>-</v>
          </cell>
          <cell r="U85" t="str">
            <v>421 Pies Cuadrados/Gl</v>
          </cell>
          <cell r="V85" t="str">
            <v>Mate</v>
          </cell>
          <cell r="W85" t="str">
            <v>-</v>
          </cell>
          <cell r="X85" t="str">
            <v>-</v>
          </cell>
          <cell r="Y85" t="str">
            <v>MADERAMA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S/F</v>
          </cell>
        </row>
        <row r="86">
          <cell r="A86" t="str">
            <v>SAA 3161</v>
          </cell>
          <cell r="B86" t="str">
            <v>Esmalte Horneable Alkydico Rojo</v>
          </cell>
          <cell r="C86" t="str">
            <v>-</v>
          </cell>
          <cell r="D86" t="str">
            <v>Hierro</v>
          </cell>
          <cell r="E86" t="str">
            <v>Limpieza Química</v>
          </cell>
          <cell r="F86" t="str">
            <v>Ninguno</v>
          </cell>
          <cell r="G86" t="str">
            <v>8.56 Lbs/Gl</v>
          </cell>
          <cell r="H86" t="str">
            <v>-</v>
          </cell>
          <cell r="I86" t="str">
            <v>55.10%</v>
          </cell>
          <cell r="J86" t="str">
            <v>55.10%</v>
          </cell>
          <cell r="K86" t="str">
            <v>-</v>
          </cell>
          <cell r="L86" t="str">
            <v>47.90%</v>
          </cell>
          <cell r="M86" t="str">
            <v>40-50 Seg Copa Ford #4</v>
          </cell>
          <cell r="N86" t="str">
            <v>Pistolas Electrostáticas</v>
          </cell>
          <cell r="O86" t="str">
            <v>-</v>
          </cell>
          <cell r="P86" t="str">
            <v>20-25%</v>
          </cell>
          <cell r="Q86" t="str">
            <v>R2K4         Industrial reducer</v>
          </cell>
          <cell r="R86" t="str">
            <v>1.2 mills</v>
          </cell>
          <cell r="S86" t="str">
            <v>-</v>
          </cell>
          <cell r="T86" t="str">
            <v>15 Min. A 350°F</v>
          </cell>
          <cell r="U86" t="str">
            <v>640 Pies Cuadrados/Gl</v>
          </cell>
          <cell r="V86" t="str">
            <v>+90</v>
          </cell>
          <cell r="W86" t="str">
            <v>H</v>
          </cell>
          <cell r="X86" t="str">
            <v>-</v>
          </cell>
          <cell r="Y86" t="str">
            <v>VECESA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S/F</v>
          </cell>
        </row>
        <row r="87">
          <cell r="A87" t="str">
            <v>SAA 3171</v>
          </cell>
          <cell r="B87" t="str">
            <v>Sherwood 850 F.D Kemvar Gloss</v>
          </cell>
          <cell r="C87" t="str">
            <v>-</v>
          </cell>
          <cell r="D87" t="str">
            <v>Madera</v>
          </cell>
          <cell r="E87" t="str">
            <v>Lijada y libre de Polvo</v>
          </cell>
          <cell r="F87" t="str">
            <v>Sellador Vinílico T67F2</v>
          </cell>
          <cell r="G87" t="str">
            <v>7.99 Lbs/Gl</v>
          </cell>
          <cell r="H87" t="str">
            <v>-</v>
          </cell>
          <cell r="I87" t="str">
            <v>43.80%</v>
          </cell>
          <cell r="J87" t="str">
            <v>43.80%</v>
          </cell>
          <cell r="K87" t="str">
            <v>-</v>
          </cell>
          <cell r="L87" t="str">
            <v>35.80%</v>
          </cell>
          <cell r="M87" t="str">
            <v>25-30 Seg. Copa Ford #4</v>
          </cell>
          <cell r="N87" t="str">
            <v>Pistola de Aire</v>
          </cell>
          <cell r="O87" t="str">
            <v>-</v>
          </cell>
          <cell r="P87" t="str">
            <v>4% Más V66V21</v>
          </cell>
          <cell r="Q87" t="str">
            <v>R2K4         Industrial reducer</v>
          </cell>
          <cell r="R87" t="str">
            <v>1.0 mills</v>
          </cell>
          <cell r="S87" t="str">
            <v>Seco Tocar: 30 Min. Seco Completo: 90 Min.</v>
          </cell>
          <cell r="T87" t="str">
            <v>-</v>
          </cell>
          <cell r="U87" t="str">
            <v>574 Pies Cuadrados/Gl</v>
          </cell>
          <cell r="V87" t="str">
            <v>+90</v>
          </cell>
          <cell r="W87" t="str">
            <v>-</v>
          </cell>
          <cell r="X87" t="str">
            <v>-</v>
          </cell>
          <cell r="Y87" t="str">
            <v>Jimenez Castillo Arquitectos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S/F</v>
          </cell>
        </row>
        <row r="88">
          <cell r="A88" t="str">
            <v>SAA 3175</v>
          </cell>
          <cell r="B88" t="str">
            <v>Esmalte Litográfico Troquelable</v>
          </cell>
          <cell r="C88" t="str">
            <v>Interperie</v>
          </cell>
          <cell r="D88" t="str">
            <v>Hojalata ETP</v>
          </cell>
          <cell r="E88" t="str">
            <v>Limpia de Grasa</v>
          </cell>
          <cell r="F88" t="str">
            <v>Ninguno</v>
          </cell>
          <cell r="G88" t="str">
            <v>10.78 Lbs/Gl</v>
          </cell>
          <cell r="H88" t="str">
            <v>55.20%</v>
          </cell>
          <cell r="I88" t="str">
            <v>61.90%</v>
          </cell>
          <cell r="J88" t="str">
            <v>6.70%</v>
          </cell>
          <cell r="K88" t="str">
            <v>25.80%</v>
          </cell>
          <cell r="L88" t="str">
            <v>40.50%</v>
          </cell>
          <cell r="M88" t="str">
            <v>-</v>
          </cell>
          <cell r="N88" t="str">
            <v>Rodilllo</v>
          </cell>
          <cell r="O88" t="str">
            <v>178"-188" Copa Ford #4</v>
          </cell>
          <cell r="P88" t="str">
            <v>-</v>
          </cell>
          <cell r="Q88" t="str">
            <v>-</v>
          </cell>
          <cell r="R88" t="str">
            <v>1.0 mills</v>
          </cell>
          <cell r="S88" t="str">
            <v>-</v>
          </cell>
          <cell r="T88" t="str">
            <v>10 Min a 356°F</v>
          </cell>
          <cell r="U88" t="str">
            <v>649.22 Pies Cuadrados/Gl</v>
          </cell>
          <cell r="V88" t="str">
            <v>-</v>
          </cell>
          <cell r="W88" t="str">
            <v>-</v>
          </cell>
          <cell r="X88" t="str">
            <v>6 meses</v>
          </cell>
          <cell r="Y88" t="str">
            <v>Tapa Metal Guatemala</v>
          </cell>
          <cell r="Z88" t="str">
            <v>Tapones con Rosca</v>
          </cell>
          <cell r="AA88" t="str">
            <v>-</v>
          </cell>
          <cell r="AB88" t="str">
            <v>-</v>
          </cell>
          <cell r="AC88" t="str">
            <v>S/F</v>
          </cell>
        </row>
        <row r="89">
          <cell r="A89" t="str">
            <v>SAA 3181</v>
          </cell>
          <cell r="B89" t="str">
            <v>Esmalte Litográfico Troquelable</v>
          </cell>
          <cell r="C89" t="str">
            <v>Interperie</v>
          </cell>
          <cell r="D89" t="str">
            <v>Hojalata ETP</v>
          </cell>
          <cell r="E89" t="str">
            <v>Limpia de Grasa</v>
          </cell>
          <cell r="F89" t="str">
            <v>Ninguno</v>
          </cell>
          <cell r="G89" t="str">
            <v>11.15 Lbs/Gl</v>
          </cell>
          <cell r="H89" t="str">
            <v>33.60%</v>
          </cell>
          <cell r="I89" t="str">
            <v>60.86%</v>
          </cell>
          <cell r="J89" t="str">
            <v>27.26%</v>
          </cell>
          <cell r="K89" t="str">
            <v>23.65%</v>
          </cell>
          <cell r="L89" t="str">
            <v>46.30%</v>
          </cell>
          <cell r="M89" t="str">
            <v>-</v>
          </cell>
          <cell r="N89" t="str">
            <v>Rodilllo</v>
          </cell>
          <cell r="O89" t="str">
            <v>168 Seg. Copa Ford #4</v>
          </cell>
          <cell r="P89" t="str">
            <v>-</v>
          </cell>
          <cell r="Q89" t="str">
            <v>-</v>
          </cell>
          <cell r="R89" t="str">
            <v>1.0 mills</v>
          </cell>
          <cell r="S89" t="str">
            <v>-</v>
          </cell>
          <cell r="T89" t="str">
            <v>10 Min a 180°C</v>
          </cell>
          <cell r="U89" t="str">
            <v>759.32 Pies Cuadrados/Gl</v>
          </cell>
          <cell r="V89" t="str">
            <v>-</v>
          </cell>
          <cell r="W89" t="str">
            <v>-</v>
          </cell>
          <cell r="X89" t="str">
            <v>6 meses</v>
          </cell>
          <cell r="Y89" t="str">
            <v>Tapa Metal Guatemala</v>
          </cell>
          <cell r="Z89" t="str">
            <v>Tapones con Rosca</v>
          </cell>
          <cell r="AA89" t="str">
            <v>-</v>
          </cell>
          <cell r="AB89" t="str">
            <v>-</v>
          </cell>
          <cell r="AC89" t="str">
            <v>S/F</v>
          </cell>
        </row>
        <row r="90">
          <cell r="A90" t="str">
            <v>SAA 3198</v>
          </cell>
          <cell r="B90" t="str">
            <v>Oil Stain Nogal</v>
          </cell>
          <cell r="C90" t="str">
            <v>Interior</v>
          </cell>
          <cell r="D90" t="str">
            <v>Madera</v>
          </cell>
          <cell r="E90" t="str">
            <v>Lijado</v>
          </cell>
          <cell r="F90" t="str">
            <v>Ninguno</v>
          </cell>
          <cell r="G90" t="str">
            <v>7.61 Lbs/Gl</v>
          </cell>
          <cell r="H90" t="str">
            <v>12.5%</v>
          </cell>
          <cell r="I90" t="str">
            <v>29.47%</v>
          </cell>
          <cell r="J90" t="str">
            <v>18.48%</v>
          </cell>
          <cell r="K90" t="str">
            <v>16.76%</v>
          </cell>
          <cell r="L90" t="str">
            <v>29.47%</v>
          </cell>
          <cell r="M90" t="str">
            <v>10-12 seg Copa Ford #4</v>
          </cell>
          <cell r="N90" t="str">
            <v>Pistola</v>
          </cell>
          <cell r="O90" t="str">
            <v>10-12 seg Copa Ford #4</v>
          </cell>
          <cell r="P90" t="str">
            <v>Ninguno</v>
          </cell>
          <cell r="Q90" t="str">
            <v>Ninguno</v>
          </cell>
          <cell r="R90" t="str">
            <v>-</v>
          </cell>
          <cell r="S90" t="str">
            <v>4 Horas</v>
          </cell>
          <cell r="T90" t="str">
            <v>-</v>
          </cell>
          <cell r="U90" t="str">
            <v>-</v>
          </cell>
          <cell r="V90" t="str">
            <v>Mate</v>
          </cell>
          <cell r="W90" t="str">
            <v>-</v>
          </cell>
          <cell r="X90" t="str">
            <v>12 meses</v>
          </cell>
          <cell r="Y90" t="str">
            <v>Olympia Empac-Guatemala</v>
          </cell>
          <cell r="Z90" t="str">
            <v>Muebles de Madera.</v>
          </cell>
          <cell r="AA90" t="str">
            <v>-</v>
          </cell>
          <cell r="AB90" t="str">
            <v>-</v>
          </cell>
          <cell r="AC90" t="str">
            <v>S/F</v>
          </cell>
        </row>
        <row r="91">
          <cell r="A91" t="str">
            <v>SAA 3199</v>
          </cell>
          <cell r="B91" t="str">
            <v>Sellador Lijable Listo Para Usar</v>
          </cell>
          <cell r="C91" t="str">
            <v>Interior</v>
          </cell>
          <cell r="D91" t="str">
            <v>Madera</v>
          </cell>
          <cell r="E91" t="str">
            <v>Lijado</v>
          </cell>
          <cell r="F91" t="str">
            <v>Oil Stain</v>
          </cell>
          <cell r="G91" t="str">
            <v>7.43 Lbs/Gl</v>
          </cell>
          <cell r="H91" t="str">
            <v>11.90%</v>
          </cell>
          <cell r="I91" t="str">
            <v>25.60%</v>
          </cell>
          <cell r="J91" t="str">
            <v>23.55%</v>
          </cell>
          <cell r="K91" t="str">
            <v>11.20%</v>
          </cell>
          <cell r="L91" t="str">
            <v>18.39%</v>
          </cell>
          <cell r="M91" t="str">
            <v>18-20 seg. Copa Ford #4</v>
          </cell>
          <cell r="N91" t="str">
            <v>Pistola</v>
          </cell>
          <cell r="O91" t="str">
            <v>18-20 seg. Copa Ford #4</v>
          </cell>
          <cell r="P91" t="str">
            <v>Ninguno</v>
          </cell>
          <cell r="Q91" t="str">
            <v>Ninguno</v>
          </cell>
          <cell r="R91" t="str">
            <v>-</v>
          </cell>
          <cell r="S91" t="str">
            <v>20-25 min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12 meses</v>
          </cell>
          <cell r="Y91" t="str">
            <v>Olympia Empac-Guatemala</v>
          </cell>
          <cell r="Z91" t="str">
            <v>Muebles de Madera.</v>
          </cell>
          <cell r="AA91" t="str">
            <v>-</v>
          </cell>
          <cell r="AB91" t="str">
            <v>-</v>
          </cell>
          <cell r="AC91" t="str">
            <v>S/F</v>
          </cell>
        </row>
        <row r="92">
          <cell r="A92" t="str">
            <v>SAA 3200</v>
          </cell>
          <cell r="B92" t="str">
            <v>Laca Transparente Semimate Lista Para Usar</v>
          </cell>
          <cell r="C92" t="str">
            <v>Interior</v>
          </cell>
          <cell r="D92" t="str">
            <v>Madera</v>
          </cell>
          <cell r="E92" t="str">
            <v>Lijado</v>
          </cell>
          <cell r="F92" t="str">
            <v>Oil Stain+Sellador Lijable</v>
          </cell>
          <cell r="G92" t="str">
            <v>7.41 Lbs/Gl</v>
          </cell>
          <cell r="H92" t="str">
            <v>0.005%</v>
          </cell>
          <cell r="I92" t="str">
            <v>20.63%</v>
          </cell>
          <cell r="J92" t="str">
            <v>20.20%</v>
          </cell>
          <cell r="K92" t="str">
            <v>1.66%</v>
          </cell>
          <cell r="L92" t="str">
            <v>13.29%</v>
          </cell>
          <cell r="M92" t="str">
            <v>18-20 seg. Copa Ford #4</v>
          </cell>
          <cell r="N92" t="str">
            <v>Pistola</v>
          </cell>
          <cell r="O92" t="str">
            <v>18-20 seg. Copa Ford #4</v>
          </cell>
          <cell r="P92" t="str">
            <v>Ninguno</v>
          </cell>
          <cell r="Q92" t="str">
            <v>Ninguno</v>
          </cell>
          <cell r="R92" t="str">
            <v>-</v>
          </cell>
          <cell r="S92" t="str">
            <v>20-25 min</v>
          </cell>
          <cell r="T92" t="str">
            <v>-</v>
          </cell>
          <cell r="U92" t="str">
            <v>-</v>
          </cell>
          <cell r="V92" t="str">
            <v>75</v>
          </cell>
          <cell r="W92" t="str">
            <v>-</v>
          </cell>
          <cell r="X92" t="str">
            <v>12 meses</v>
          </cell>
          <cell r="Y92" t="str">
            <v>Olympia Empac-Guatemala</v>
          </cell>
          <cell r="Z92" t="str">
            <v>Muebles de Madera.</v>
          </cell>
          <cell r="AA92" t="str">
            <v>-</v>
          </cell>
          <cell r="AB92" t="str">
            <v>-</v>
          </cell>
          <cell r="AC92" t="str">
            <v>S/F</v>
          </cell>
        </row>
        <row r="93">
          <cell r="A93" t="str">
            <v>SAA 3201</v>
          </cell>
          <cell r="B93" t="str">
            <v>White Wood Surfacer</v>
          </cell>
          <cell r="C93" t="str">
            <v>Interior</v>
          </cell>
          <cell r="D93" t="str">
            <v>Madera</v>
          </cell>
          <cell r="E93" t="str">
            <v>Lijado</v>
          </cell>
          <cell r="F93" t="str">
            <v>Ninguno</v>
          </cell>
          <cell r="G93" t="str">
            <v>8.10 Lbs/Gl</v>
          </cell>
          <cell r="H93" t="str">
            <v>13.50%</v>
          </cell>
          <cell r="I93" t="str">
            <v>31.50%</v>
          </cell>
          <cell r="J93" t="str">
            <v>20.81%</v>
          </cell>
          <cell r="K93" t="str">
            <v>23.74%</v>
          </cell>
          <cell r="L93" t="str">
            <v>18.03%</v>
          </cell>
          <cell r="M93" t="str">
            <v>18-20 seg. Copa Ford #4</v>
          </cell>
          <cell r="N93" t="str">
            <v>Pistola</v>
          </cell>
          <cell r="O93" t="str">
            <v>18-20 seg. Copa Ford #4</v>
          </cell>
          <cell r="P93" t="str">
            <v>Ninguno</v>
          </cell>
          <cell r="Q93" t="str">
            <v>Ninguno</v>
          </cell>
          <cell r="R93" t="str">
            <v>-</v>
          </cell>
          <cell r="S93" t="str">
            <v>20-25 min</v>
          </cell>
          <cell r="T93" t="str">
            <v>-</v>
          </cell>
          <cell r="U93" t="str">
            <v>-</v>
          </cell>
          <cell r="V93" t="str">
            <v>Mate</v>
          </cell>
          <cell r="W93" t="str">
            <v>-</v>
          </cell>
          <cell r="X93" t="str">
            <v>12 meses</v>
          </cell>
          <cell r="Y93" t="str">
            <v>Olympia Empac-Guatemala</v>
          </cell>
          <cell r="Z93" t="str">
            <v>Muebles de Madera.</v>
          </cell>
          <cell r="AA93" t="str">
            <v>-</v>
          </cell>
          <cell r="AB93" t="str">
            <v>-</v>
          </cell>
          <cell r="AC93" t="str">
            <v>S/F</v>
          </cell>
        </row>
        <row r="94">
          <cell r="A94" t="str">
            <v>SAA 3202</v>
          </cell>
          <cell r="B94" t="str">
            <v>Laca Industrial Blanca</v>
          </cell>
          <cell r="C94" t="str">
            <v>Interior</v>
          </cell>
          <cell r="D94" t="str">
            <v>Madera</v>
          </cell>
          <cell r="E94" t="str">
            <v>Lijado</v>
          </cell>
          <cell r="F94" t="str">
            <v>White Wood Surfacer</v>
          </cell>
          <cell r="G94" t="str">
            <v>8.29 Lbs/GL</v>
          </cell>
          <cell r="H94" t="str">
            <v>13.17%</v>
          </cell>
          <cell r="I94" t="str">
            <v>32.81%</v>
          </cell>
          <cell r="J94" t="str">
            <v>22.62%</v>
          </cell>
          <cell r="K94" t="str">
            <v>17.37%</v>
          </cell>
          <cell r="L94" t="str">
            <v>18.54%</v>
          </cell>
          <cell r="M94" t="str">
            <v>18-20 seg. Copa Ford #4</v>
          </cell>
          <cell r="N94" t="str">
            <v>Pistola</v>
          </cell>
          <cell r="O94" t="str">
            <v>18-20 seg. Copa Ford #4</v>
          </cell>
          <cell r="P94" t="str">
            <v>Ninguno</v>
          </cell>
          <cell r="Q94" t="str">
            <v>Ninguno</v>
          </cell>
          <cell r="R94" t="str">
            <v>-</v>
          </cell>
          <cell r="S94" t="str">
            <v>25-30 min</v>
          </cell>
          <cell r="T94" t="str">
            <v>-</v>
          </cell>
          <cell r="U94" t="str">
            <v>-</v>
          </cell>
          <cell r="V94" t="str">
            <v>85</v>
          </cell>
          <cell r="W94" t="str">
            <v>-</v>
          </cell>
          <cell r="X94" t="str">
            <v>12 meses</v>
          </cell>
          <cell r="Y94" t="str">
            <v>Olympia Empac-Guatemala</v>
          </cell>
          <cell r="Z94" t="str">
            <v>Muebles de Madera.</v>
          </cell>
          <cell r="AA94" t="str">
            <v>-</v>
          </cell>
          <cell r="AB94" t="str">
            <v>-</v>
          </cell>
          <cell r="AC94" t="str">
            <v>S/F</v>
          </cell>
        </row>
        <row r="95">
          <cell r="A95" t="str">
            <v>SAA 3203</v>
          </cell>
          <cell r="B95" t="str">
            <v>Laca Industrial Beige</v>
          </cell>
          <cell r="C95" t="str">
            <v>Interior</v>
          </cell>
          <cell r="D95" t="str">
            <v>Madera</v>
          </cell>
          <cell r="E95" t="str">
            <v>Lijado</v>
          </cell>
          <cell r="F95" t="str">
            <v>White Wood Surfacer</v>
          </cell>
          <cell r="G95" t="str">
            <v>8.29 Lbs/GL</v>
          </cell>
          <cell r="H95" t="str">
            <v>13.17%</v>
          </cell>
          <cell r="I95" t="str">
            <v>32.81%</v>
          </cell>
          <cell r="J95" t="str">
            <v>22.62%</v>
          </cell>
          <cell r="K95" t="str">
            <v>17.37%</v>
          </cell>
          <cell r="L95" t="str">
            <v>18.54%</v>
          </cell>
          <cell r="M95" t="str">
            <v>18-20 seg. Copa Ford #4</v>
          </cell>
          <cell r="N95" t="str">
            <v>Pistola</v>
          </cell>
          <cell r="O95" t="str">
            <v>18-20 seg. Copa Ford #4</v>
          </cell>
          <cell r="P95" t="str">
            <v>Ninguno</v>
          </cell>
          <cell r="Q95" t="str">
            <v>Ninguno</v>
          </cell>
          <cell r="R95" t="str">
            <v>-</v>
          </cell>
          <cell r="S95" t="str">
            <v>25-30 min</v>
          </cell>
          <cell r="T95" t="str">
            <v>-</v>
          </cell>
          <cell r="U95" t="str">
            <v>-</v>
          </cell>
          <cell r="V95" t="str">
            <v>85</v>
          </cell>
          <cell r="W95" t="str">
            <v>-</v>
          </cell>
          <cell r="X95" t="str">
            <v>12 meses</v>
          </cell>
          <cell r="Y95" t="str">
            <v>Olympia Empac-Guatemala</v>
          </cell>
          <cell r="Z95" t="str">
            <v>Muebles de Madera.</v>
          </cell>
          <cell r="AA95" t="str">
            <v>-</v>
          </cell>
          <cell r="AB95" t="str">
            <v>-</v>
          </cell>
          <cell r="AC95" t="str">
            <v>S/F</v>
          </cell>
        </row>
        <row r="96">
          <cell r="A96" t="str">
            <v>SAA 3209</v>
          </cell>
          <cell r="B96" t="str">
            <v>Pintura Para Recubrimiento Interior Crema Claro</v>
          </cell>
          <cell r="C96" t="str">
            <v>Interior</v>
          </cell>
          <cell r="D96" t="str">
            <v>Hojalata-Lamina Cromada</v>
          </cell>
          <cell r="E96" t="str">
            <v>Limpieza Adecuada</v>
          </cell>
          <cell r="F96" t="str">
            <v>Ninguno</v>
          </cell>
          <cell r="G96" t="str">
            <v>9.01 Lbs/Gl</v>
          </cell>
          <cell r="H96" t="str">
            <v>14.71%</v>
          </cell>
          <cell r="I96" t="str">
            <v>48.73%</v>
          </cell>
          <cell r="J96" t="str">
            <v>40.45%</v>
          </cell>
          <cell r="K96" t="str">
            <v>11.14%</v>
          </cell>
          <cell r="L96" t="str">
            <v>49.17%</v>
          </cell>
          <cell r="M96" t="str">
            <v>20"-25" Copa Ford #4</v>
          </cell>
          <cell r="N96" t="str">
            <v>Pistola</v>
          </cell>
          <cell r="O96" t="str">
            <v>20"-25" Copa Ford #4</v>
          </cell>
          <cell r="P96" t="str">
            <v>Lo necesario con R2K4</v>
          </cell>
          <cell r="Q96" t="str">
            <v>R2K4         Industrial reducer</v>
          </cell>
          <cell r="R96" t="str">
            <v>1.0-1.2 mills</v>
          </cell>
          <cell r="S96" t="str">
            <v>Al horno</v>
          </cell>
          <cell r="T96" t="str">
            <v>10' a 400°F</v>
          </cell>
          <cell r="U96" t="str">
            <v>-</v>
          </cell>
          <cell r="V96" t="str">
            <v>80-85</v>
          </cell>
          <cell r="W96" t="str">
            <v>F</v>
          </cell>
          <cell r="X96" t="str">
            <v>6 meses</v>
          </cell>
          <cell r="Y96" t="str">
            <v>Colgate Palmolive</v>
          </cell>
          <cell r="Z96" t="str">
            <v>Desodorante en Spray</v>
          </cell>
          <cell r="AA96" t="str">
            <v>-</v>
          </cell>
          <cell r="AB96" t="str">
            <v>-</v>
          </cell>
          <cell r="AC96" t="str">
            <v>S/F</v>
          </cell>
        </row>
        <row r="97">
          <cell r="A97" t="str">
            <v>SAA 3246</v>
          </cell>
          <cell r="B97" t="str">
            <v>Collapsible Tube Enamel Black</v>
          </cell>
          <cell r="C97" t="str">
            <v>Horneo 3 Minutos</v>
          </cell>
          <cell r="D97" t="str">
            <v xml:space="preserve">Aluminio </v>
          </cell>
          <cell r="E97" t="str">
            <v>Limpieza con Solvente Sherwin Clean</v>
          </cell>
          <cell r="F97" t="str">
            <v>Ninguno</v>
          </cell>
          <cell r="G97" t="str">
            <v>8.27 Lbs/Gl</v>
          </cell>
          <cell r="H97" t="str">
            <v>1.18%</v>
          </cell>
          <cell r="I97" t="str">
            <v>34.6%</v>
          </cell>
          <cell r="J97" t="str">
            <v>20%</v>
          </cell>
          <cell r="K97" t="str">
            <v>2.43%</v>
          </cell>
          <cell r="L97" t="str">
            <v>27.6%</v>
          </cell>
          <cell r="M97" t="str">
            <v>4000-5000 Cps</v>
          </cell>
          <cell r="N97" t="str">
            <v>Rodillo</v>
          </cell>
          <cell r="O97" t="str">
            <v>4000-5000 Cps</v>
          </cell>
          <cell r="P97" t="str">
            <v>Ninguno</v>
          </cell>
          <cell r="Q97" t="str">
            <v>Ninguno</v>
          </cell>
          <cell r="R97" t="str">
            <v>1 mills</v>
          </cell>
          <cell r="S97" t="str">
            <v>Horneo</v>
          </cell>
          <cell r="T97" t="str">
            <v>3 Minutos a 300°F</v>
          </cell>
          <cell r="U97" t="str">
            <v>51.4 Mts Cuadrados/Gl</v>
          </cell>
          <cell r="V97" t="str">
            <v>+70</v>
          </cell>
          <cell r="W97" t="str">
            <v>H</v>
          </cell>
          <cell r="X97" t="str">
            <v>-</v>
          </cell>
          <cell r="Y97" t="str">
            <v>Colgate Palmolive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S/F</v>
          </cell>
        </row>
        <row r="98">
          <cell r="A98" t="str">
            <v>SAA 3247</v>
          </cell>
          <cell r="B98" t="str">
            <v>Danish Walnut Gloss Glaze</v>
          </cell>
          <cell r="C98" t="str">
            <v>Interior</v>
          </cell>
          <cell r="D98" t="str">
            <v>Madera</v>
          </cell>
          <cell r="E98" t="str">
            <v>Limpia</v>
          </cell>
          <cell r="F98" t="str">
            <v>Ninguno</v>
          </cell>
          <cell r="G98" t="str">
            <v>7.30 Lbs/Gl</v>
          </cell>
          <cell r="H98" t="str">
            <v>0.41%</v>
          </cell>
          <cell r="I98" t="str">
            <v>13.05%</v>
          </cell>
          <cell r="J98" t="str">
            <v>12.89%</v>
          </cell>
          <cell r="K98" t="str">
            <v>0.45%</v>
          </cell>
          <cell r="L98" t="str">
            <v>8.64%</v>
          </cell>
          <cell r="M98" t="str">
            <v>14"-16" Copa Ford #4</v>
          </cell>
          <cell r="N98" t="str">
            <v>Pistola</v>
          </cell>
          <cell r="O98" t="str">
            <v>14"-16" Copa Ford #4</v>
          </cell>
          <cell r="P98" t="str">
            <v>Listo Para Usar</v>
          </cell>
          <cell r="Q98" t="str">
            <v>R7KB28 Si es Necesario</v>
          </cell>
          <cell r="R98" t="str">
            <v>0.5-2.0 mills</v>
          </cell>
          <cell r="S98" t="str">
            <v>Al Aire 30 min.</v>
          </cell>
          <cell r="T98" t="str">
            <v>-</v>
          </cell>
          <cell r="U98" t="str">
            <v>208.8 pies cuadrados por galón</v>
          </cell>
          <cell r="V98" t="str">
            <v>+80</v>
          </cell>
          <cell r="W98" t="str">
            <v>-</v>
          </cell>
          <cell r="X98" t="str">
            <v>12 meses</v>
          </cell>
          <cell r="Y98" t="str">
            <v>Muebles Molina Hnos</v>
          </cell>
          <cell r="Z98" t="str">
            <v>Muebles de Madera.</v>
          </cell>
          <cell r="AA98" t="str">
            <v>-</v>
          </cell>
          <cell r="AB98" t="str">
            <v>-</v>
          </cell>
          <cell r="AC98" t="str">
            <v>S/F</v>
          </cell>
        </row>
        <row r="99">
          <cell r="A99" t="str">
            <v>SAA 3248</v>
          </cell>
          <cell r="B99" t="str">
            <v>African Mahogany Gloss Glaze</v>
          </cell>
          <cell r="C99" t="str">
            <v>Interior</v>
          </cell>
          <cell r="D99" t="str">
            <v>Madera</v>
          </cell>
          <cell r="E99" t="str">
            <v>Limpia</v>
          </cell>
          <cell r="F99" t="str">
            <v>Ninguno</v>
          </cell>
          <cell r="G99" t="str">
            <v>7.30 Lbs/Gl</v>
          </cell>
          <cell r="H99" t="str">
            <v>0.13%</v>
          </cell>
          <cell r="I99" t="str">
            <v>13.0%</v>
          </cell>
          <cell r="J99" t="str">
            <v>12.84%</v>
          </cell>
          <cell r="K99" t="str">
            <v>0.44%</v>
          </cell>
          <cell r="L99" t="str">
            <v>8.64%</v>
          </cell>
          <cell r="M99" t="str">
            <v>14"-16" Copa Ford #4</v>
          </cell>
          <cell r="N99" t="str">
            <v>Pistola</v>
          </cell>
          <cell r="O99" t="str">
            <v>14"-16" Copa Ford #4</v>
          </cell>
          <cell r="P99" t="str">
            <v>Listo Para Usar</v>
          </cell>
          <cell r="Q99" t="str">
            <v>R7KB28 Si es Necesario</v>
          </cell>
          <cell r="R99" t="str">
            <v>0.5-2.0 mills</v>
          </cell>
          <cell r="S99" t="str">
            <v>Al Aire 30 min.</v>
          </cell>
          <cell r="T99" t="str">
            <v>-</v>
          </cell>
          <cell r="U99" t="str">
            <v>208 pies cuadrados por galón</v>
          </cell>
          <cell r="V99" t="str">
            <v>+80</v>
          </cell>
          <cell r="W99" t="str">
            <v>-</v>
          </cell>
          <cell r="X99" t="str">
            <v>12 meses</v>
          </cell>
          <cell r="Y99" t="str">
            <v>Muebles Molina Hnos</v>
          </cell>
          <cell r="Z99" t="str">
            <v>Muebles de Madera.</v>
          </cell>
          <cell r="AA99" t="str">
            <v>-</v>
          </cell>
          <cell r="AB99" t="str">
            <v>-</v>
          </cell>
          <cell r="AC99" t="str">
            <v>S/F</v>
          </cell>
        </row>
        <row r="100">
          <cell r="A100" t="str">
            <v>SAA 3249</v>
          </cell>
          <cell r="B100" t="str">
            <v>English Oak Gloss Glaze</v>
          </cell>
          <cell r="C100" t="str">
            <v>Interior</v>
          </cell>
          <cell r="D100" t="str">
            <v>Madera</v>
          </cell>
          <cell r="E100" t="str">
            <v>Limpia</v>
          </cell>
          <cell r="F100" t="str">
            <v>Ninguno</v>
          </cell>
          <cell r="G100" t="str">
            <v>7.30 Lbs/Gl</v>
          </cell>
          <cell r="H100" t="str">
            <v>0.21%</v>
          </cell>
          <cell r="I100" t="str">
            <v>13.05%</v>
          </cell>
          <cell r="J100" t="str">
            <v>12.87%</v>
          </cell>
          <cell r="K100" t="str">
            <v>0.45%</v>
          </cell>
          <cell r="L100" t="str">
            <v>8.64%</v>
          </cell>
          <cell r="M100" t="str">
            <v>14"-16" Copa Ford #4</v>
          </cell>
          <cell r="N100" t="str">
            <v>Pistola</v>
          </cell>
          <cell r="O100" t="str">
            <v>14"-16" Copa Ford #4</v>
          </cell>
          <cell r="P100" t="str">
            <v>Listo Para Usar</v>
          </cell>
          <cell r="Q100" t="str">
            <v>R7KB28 Si es Necesario</v>
          </cell>
          <cell r="R100" t="str">
            <v>0.5-2.0 mills</v>
          </cell>
          <cell r="S100" t="str">
            <v>Al Aire 30 min.</v>
          </cell>
          <cell r="T100" t="str">
            <v>-</v>
          </cell>
          <cell r="U100" t="str">
            <v>208.8 pies cuadrados por galón</v>
          </cell>
          <cell r="V100" t="str">
            <v>+80</v>
          </cell>
          <cell r="W100" t="str">
            <v>-</v>
          </cell>
          <cell r="X100" t="str">
            <v>12 meses</v>
          </cell>
          <cell r="Y100" t="str">
            <v>Muebles Molina Hnos</v>
          </cell>
          <cell r="Z100" t="str">
            <v>Muebles de Madera.</v>
          </cell>
          <cell r="AA100" t="str">
            <v>-</v>
          </cell>
          <cell r="AB100" t="str">
            <v>-</v>
          </cell>
          <cell r="AC100" t="str">
            <v>S/F</v>
          </cell>
        </row>
        <row r="101">
          <cell r="A101" t="str">
            <v>SAA 3250</v>
          </cell>
          <cell r="B101" t="str">
            <v>Danish Walnut Flat Glaze</v>
          </cell>
          <cell r="C101" t="str">
            <v>Interior</v>
          </cell>
          <cell r="D101" t="str">
            <v>Madera</v>
          </cell>
          <cell r="E101" t="str">
            <v>Limpia</v>
          </cell>
          <cell r="F101" t="str">
            <v>Ninguno</v>
          </cell>
          <cell r="G101" t="str">
            <v>7.22 Lbs/Gl</v>
          </cell>
          <cell r="H101" t="str">
            <v>0.60%</v>
          </cell>
          <cell r="I101" t="str">
            <v>11.62%</v>
          </cell>
          <cell r="J101" t="str">
            <v>11.09%</v>
          </cell>
          <cell r="K101" t="str">
            <v>2.59%</v>
          </cell>
          <cell r="L101" t="str">
            <v>7.92%</v>
          </cell>
          <cell r="M101" t="str">
            <v>14"-16" Copa Ford #4</v>
          </cell>
          <cell r="N101" t="str">
            <v>Pistola</v>
          </cell>
          <cell r="O101" t="str">
            <v>14"-16" Copa Ford #4</v>
          </cell>
          <cell r="P101" t="str">
            <v>Listo Para Usar</v>
          </cell>
          <cell r="Q101" t="str">
            <v>R7KB28 Si es Necesario</v>
          </cell>
          <cell r="R101" t="str">
            <v>0.5-2.0 mills</v>
          </cell>
          <cell r="S101" t="str">
            <v>Al Aire 30 min.</v>
          </cell>
          <cell r="T101" t="str">
            <v>-</v>
          </cell>
          <cell r="U101" t="str">
            <v>185.92 pies cuadrados por galón</v>
          </cell>
          <cell r="V101" t="str">
            <v>+80</v>
          </cell>
          <cell r="W101" t="str">
            <v>-</v>
          </cell>
          <cell r="X101" t="str">
            <v>12 meses</v>
          </cell>
          <cell r="Y101" t="str">
            <v>Muebles Molina Hnos</v>
          </cell>
          <cell r="Z101" t="str">
            <v>Muebles de Madera.</v>
          </cell>
          <cell r="AA101" t="str">
            <v>-</v>
          </cell>
          <cell r="AB101" t="str">
            <v>-</v>
          </cell>
          <cell r="AC101" t="str">
            <v>S/F</v>
          </cell>
        </row>
        <row r="102">
          <cell r="A102" t="str">
            <v>SAA 3251</v>
          </cell>
          <cell r="B102" t="str">
            <v>African Mahogany Flat Glaze</v>
          </cell>
          <cell r="C102" t="str">
            <v>Interior</v>
          </cell>
          <cell r="D102" t="str">
            <v>Madera</v>
          </cell>
          <cell r="E102" t="str">
            <v>Limpia</v>
          </cell>
          <cell r="F102" t="str">
            <v>Ninguno</v>
          </cell>
          <cell r="G102" t="str">
            <v>7.22 Lbs/Gl</v>
          </cell>
          <cell r="H102" t="str">
            <v>0.61%</v>
          </cell>
          <cell r="I102" t="str">
            <v>11.58%</v>
          </cell>
          <cell r="J102" t="str">
            <v>11.04%</v>
          </cell>
          <cell r="K102" t="str">
            <v>3.01%</v>
          </cell>
          <cell r="L102" t="str">
            <v>7.91%</v>
          </cell>
          <cell r="M102" t="str">
            <v>14"-16" Copa Ford #4</v>
          </cell>
          <cell r="N102" t="str">
            <v>Pistola</v>
          </cell>
          <cell r="O102" t="str">
            <v>14"-16" Copa Ford #4</v>
          </cell>
          <cell r="P102" t="str">
            <v>Listo Para Usar</v>
          </cell>
          <cell r="Q102" t="str">
            <v>R7KB28 Si es Necesario</v>
          </cell>
          <cell r="R102" t="str">
            <v>0.5-2.0 mills</v>
          </cell>
          <cell r="S102" t="str">
            <v>Al Aire 30 min.</v>
          </cell>
          <cell r="T102" t="str">
            <v>-</v>
          </cell>
          <cell r="U102" t="str">
            <v>185.28 pies cuadrados por galón</v>
          </cell>
          <cell r="V102" t="str">
            <v>+80</v>
          </cell>
          <cell r="W102" t="str">
            <v>-</v>
          </cell>
          <cell r="X102" t="str">
            <v>12 meses</v>
          </cell>
          <cell r="Y102" t="str">
            <v>Muebles Molina Hnos</v>
          </cell>
          <cell r="Z102" t="str">
            <v>Muebles de Madera.</v>
          </cell>
          <cell r="AA102" t="str">
            <v>-</v>
          </cell>
          <cell r="AB102" t="str">
            <v>-</v>
          </cell>
          <cell r="AC102" t="str">
            <v>S/F</v>
          </cell>
        </row>
        <row r="103">
          <cell r="A103" t="str">
            <v>SAA 3252</v>
          </cell>
          <cell r="B103" t="str">
            <v>English Oak Flat Glaze</v>
          </cell>
          <cell r="C103" t="str">
            <v>Interior</v>
          </cell>
          <cell r="D103" t="str">
            <v>Madera</v>
          </cell>
          <cell r="E103" t="str">
            <v>Limpia</v>
          </cell>
          <cell r="F103" t="str">
            <v>Ninguno</v>
          </cell>
          <cell r="G103" t="str">
            <v>7.22 Lbs/Gl</v>
          </cell>
          <cell r="H103" t="str">
            <v>0.60%</v>
          </cell>
          <cell r="I103" t="str">
            <v>11.63%</v>
          </cell>
          <cell r="J103" t="str">
            <v>11.09%</v>
          </cell>
          <cell r="K103" t="str">
            <v>2.52%</v>
          </cell>
          <cell r="L103" t="str">
            <v>8.11%</v>
          </cell>
          <cell r="M103" t="str">
            <v>14"-16" Copa Ford #4</v>
          </cell>
          <cell r="N103" t="str">
            <v>Pistola</v>
          </cell>
          <cell r="O103" t="str">
            <v>14"-16" Copa Ford #4</v>
          </cell>
          <cell r="P103" t="str">
            <v>Listo Para Usar</v>
          </cell>
          <cell r="Q103" t="str">
            <v>R7KB28 Si es Necesario</v>
          </cell>
          <cell r="R103" t="str">
            <v>0.5-2.0 mills</v>
          </cell>
          <cell r="S103" t="str">
            <v>Al Aire 30 min.</v>
          </cell>
          <cell r="T103" t="str">
            <v>-</v>
          </cell>
          <cell r="U103" t="str">
            <v>186.08 pies cuadrados por galón</v>
          </cell>
          <cell r="V103" t="str">
            <v>+60</v>
          </cell>
          <cell r="W103" t="str">
            <v>-</v>
          </cell>
          <cell r="X103" t="str">
            <v>12 meses</v>
          </cell>
          <cell r="Y103" t="str">
            <v>Muebles Molina Hnos</v>
          </cell>
          <cell r="Z103" t="str">
            <v>Muebles de Madera.</v>
          </cell>
          <cell r="AA103" t="str">
            <v>-</v>
          </cell>
          <cell r="AB103" t="str">
            <v>-</v>
          </cell>
          <cell r="AC103" t="str">
            <v>S/F</v>
          </cell>
        </row>
        <row r="104">
          <cell r="A104" t="str">
            <v>SAA 3299</v>
          </cell>
          <cell r="B104" t="str">
            <v>Sherwood Super Kem Var "C" Gloss (Catalizado)</v>
          </cell>
          <cell r="C104" t="str">
            <v>Interior</v>
          </cell>
          <cell r="D104" t="str">
            <v>Madera</v>
          </cell>
          <cell r="E104" t="str">
            <v>Lijada, Libre de Polvo</v>
          </cell>
          <cell r="F104" t="str">
            <v>Sellador T60F50</v>
          </cell>
          <cell r="G104" t="str">
            <v>8.02 Lbs/Gl</v>
          </cell>
          <cell r="H104" t="str">
            <v>-</v>
          </cell>
          <cell r="I104" t="str">
            <v>45%</v>
          </cell>
          <cell r="J104" t="str">
            <v>52%</v>
          </cell>
          <cell r="K104" t="str">
            <v>-</v>
          </cell>
          <cell r="L104" t="str">
            <v>37.67%</v>
          </cell>
          <cell r="M104" t="str">
            <v>18"-22" Copa Ford #4</v>
          </cell>
          <cell r="N104" t="str">
            <v>Pistola de Aire</v>
          </cell>
          <cell r="O104" t="str">
            <v>18"-22" Copa Ford #4</v>
          </cell>
          <cell r="P104" t="str">
            <v>5% de V66V21 (Catalizador)</v>
          </cell>
          <cell r="Q104" t="str">
            <v>Ninguno</v>
          </cell>
          <cell r="R104" t="str">
            <v>1 mills</v>
          </cell>
          <cell r="S104" t="str">
            <v>Seco Tocar: 15 Min. Seco Completo 30 Min.</v>
          </cell>
          <cell r="T104" t="str">
            <v>-</v>
          </cell>
          <cell r="U104" t="str">
            <v>215 Pies Cuadrados/Gl</v>
          </cell>
          <cell r="V104" t="str">
            <v>+90</v>
          </cell>
          <cell r="W104" t="str">
            <v>4H (1 Mano), Mayor de 6H ( 2 Manos)</v>
          </cell>
          <cell r="X104" t="str">
            <v>-</v>
          </cell>
          <cell r="Y104" t="str">
            <v>INDECO-Guatemala</v>
          </cell>
          <cell r="Z104" t="str">
            <v>Muebles de Madera.</v>
          </cell>
          <cell r="AA104" t="str">
            <v>Este Producto Puede Permanecer Catalizado 7 Horas Antes de Gelarse Por la Catalización.</v>
          </cell>
          <cell r="AB104" t="str">
            <v>-</v>
          </cell>
          <cell r="AC104" t="str">
            <v>S/F</v>
          </cell>
        </row>
        <row r="105">
          <cell r="A105" t="str">
            <v>SAA 3300</v>
          </cell>
          <cell r="B105" t="str">
            <v>Tapaporo Nogal Oscuro Listo Para Usar</v>
          </cell>
          <cell r="C105" t="str">
            <v>Interior-Exterior</v>
          </cell>
          <cell r="D105" t="str">
            <v>Madera</v>
          </cell>
          <cell r="E105" t="str">
            <v>Lijada, Libre de Polvo</v>
          </cell>
          <cell r="F105" t="str">
            <v>Ninguno</v>
          </cell>
          <cell r="G105" t="str">
            <v>10.42 Lbs/Gl</v>
          </cell>
          <cell r="H105" t="str">
            <v>-</v>
          </cell>
          <cell r="I105" t="str">
            <v>50.8%</v>
          </cell>
          <cell r="J105" t="str">
            <v>45%</v>
          </cell>
          <cell r="K105" t="str">
            <v>-</v>
          </cell>
          <cell r="L105" t="str">
            <v>28.18%</v>
          </cell>
          <cell r="M105" t="str">
            <v>18"-22" Copa Ford #4</v>
          </cell>
          <cell r="N105" t="str">
            <v>Brocha-Whipe</v>
          </cell>
          <cell r="O105" t="str">
            <v>18"-22" Copa Ford #4</v>
          </cell>
          <cell r="P105" t="str">
            <v>Ninguno</v>
          </cell>
          <cell r="Q105" t="str">
            <v>Ninguno</v>
          </cell>
          <cell r="R105" t="str">
            <v>-</v>
          </cell>
          <cell r="S105" t="str">
            <v>5-10 MInutos</v>
          </cell>
          <cell r="T105" t="str">
            <v>-</v>
          </cell>
          <cell r="U105" t="str">
            <v>100 Mts Cuadrados/Gl</v>
          </cell>
          <cell r="V105" t="str">
            <v>Mate</v>
          </cell>
          <cell r="W105" t="str">
            <v>-</v>
          </cell>
          <cell r="X105" t="str">
            <v>-</v>
          </cell>
          <cell r="Y105" t="str">
            <v>INDECO-Guatemala</v>
          </cell>
          <cell r="Z105" t="str">
            <v>Muebles de Madera.</v>
          </cell>
          <cell r="AA105" t="str">
            <v>-</v>
          </cell>
          <cell r="AB105" t="str">
            <v>-</v>
          </cell>
          <cell r="AC105" t="str">
            <v>S/F</v>
          </cell>
        </row>
        <row r="106">
          <cell r="A106" t="str">
            <v>SAA 3302</v>
          </cell>
          <cell r="B106" t="str">
            <v>Barniz Sanitario Fenólico</v>
          </cell>
          <cell r="C106" t="str">
            <v>Interior-Exterior</v>
          </cell>
          <cell r="D106" t="str">
            <v>Hojalata</v>
          </cell>
          <cell r="E106" t="str">
            <v>Lipiar con Solvente</v>
          </cell>
          <cell r="F106" t="str">
            <v>Ninguno</v>
          </cell>
          <cell r="G106" t="str">
            <v>7.65 Lbs/Gl</v>
          </cell>
          <cell r="H106" t="str">
            <v>-</v>
          </cell>
          <cell r="I106" t="str">
            <v>27.7%</v>
          </cell>
          <cell r="J106" t="str">
            <v>54%</v>
          </cell>
          <cell r="K106" t="str">
            <v>-</v>
          </cell>
          <cell r="L106" t="str">
            <v>20.39%</v>
          </cell>
          <cell r="M106" t="str">
            <v>14"-17" Copa Ford #4</v>
          </cell>
          <cell r="N106" t="str">
            <v>Pistola de Aire</v>
          </cell>
          <cell r="O106" t="str">
            <v>14"-17" Copa Ford #4</v>
          </cell>
          <cell r="P106" t="str">
            <v>Ninguno</v>
          </cell>
          <cell r="Q106" t="str">
            <v>Ninguno</v>
          </cell>
          <cell r="R106" t="str">
            <v>1.0 mills</v>
          </cell>
          <cell r="S106" t="str">
            <v>Horneo</v>
          </cell>
          <cell r="T106" t="str">
            <v>20' a 375°F (190 °C)</v>
          </cell>
          <cell r="U106" t="str">
            <v>-</v>
          </cell>
          <cell r="V106" t="str">
            <v>Full</v>
          </cell>
          <cell r="W106" t="str">
            <v>5H-6H</v>
          </cell>
          <cell r="X106" t="str">
            <v>-</v>
          </cell>
          <cell r="Y106" t="str">
            <v>CORLASA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S/F</v>
          </cell>
        </row>
        <row r="107">
          <cell r="A107" t="str">
            <v>SAA 3305</v>
          </cell>
          <cell r="B107" t="str">
            <v>Tile Clad Enamel Blanco Hueso</v>
          </cell>
          <cell r="C107" t="str">
            <v>Interior</v>
          </cell>
          <cell r="D107" t="str">
            <v>Hierro-Acero-Aluminio</v>
          </cell>
          <cell r="E107" t="str">
            <v>Limpieza con Solvente</v>
          </cell>
          <cell r="F107" t="str">
            <v>Zinc Clad 7 (B69A47)</v>
          </cell>
          <cell r="G107" t="str">
            <v>11.03-11.15 Lbs/Gl</v>
          </cell>
          <cell r="H107" t="str">
            <v>43%</v>
          </cell>
          <cell r="I107" t="str">
            <v>63.7%</v>
          </cell>
          <cell r="J107" t="str">
            <v>60%</v>
          </cell>
          <cell r="K107" t="str">
            <v>37%</v>
          </cell>
          <cell r="L107" t="str">
            <v>43.7%</v>
          </cell>
          <cell r="M107" t="str">
            <v>75-80 KU</v>
          </cell>
          <cell r="N107" t="str">
            <v>Pistola de Aire-Brocha</v>
          </cell>
          <cell r="O107" t="str">
            <v>30-35 KU (Mezclado con Eggshell Hardener)</v>
          </cell>
          <cell r="P107" t="str">
            <v>20% con R2K4</v>
          </cell>
          <cell r="Q107" t="str">
            <v>R2K4         Industrial reducer</v>
          </cell>
          <cell r="R107" t="str">
            <v>1 mills</v>
          </cell>
          <cell r="S107" t="str">
            <v>Tocar: 1 Hra. Completo: 4 Hrs. Segunda Mano: 6 Hrs a Temperatura Ambiente</v>
          </cell>
          <cell r="T107" t="str">
            <v>-</v>
          </cell>
          <cell r="U107" t="str">
            <v>740 Pies cuadrados por Galon</v>
          </cell>
          <cell r="V107" t="str">
            <v>+35</v>
          </cell>
          <cell r="W107" t="str">
            <v>6H-7H</v>
          </cell>
          <cell r="X107" t="str">
            <v>36 meses cerrado</v>
          </cell>
          <cell r="Y107" t="str">
            <v>Beneficio El Tazumal (Chalchuapa)/(IMSA) Industrias Metalicas, S.A.</v>
          </cell>
          <cell r="Z107" t="str">
            <v>-</v>
          </cell>
          <cell r="AA107" t="str">
            <v>Mezclar una parte de Tile Clad con una parte de Eggshell Hardener, en volumen. Dejar reposar una hora antes de Aplicar. Tiempo de vida de la mezcla 8 horas.</v>
          </cell>
          <cell r="AB107" t="str">
            <v>-</v>
          </cell>
          <cell r="AC107" t="str">
            <v>S/F</v>
          </cell>
        </row>
        <row r="108">
          <cell r="A108" t="str">
            <v>SAA 3306</v>
          </cell>
          <cell r="B108" t="str">
            <v>Eggshell Hardener (Catalizador De Tile Clad Enamel)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10.42-10.67 Lbs/Gl</v>
          </cell>
          <cell r="H108" t="str">
            <v>32%</v>
          </cell>
          <cell r="I108" t="str">
            <v>69.57%</v>
          </cell>
          <cell r="J108" t="str">
            <v>60%</v>
          </cell>
          <cell r="K108" t="str">
            <v>26.6%</v>
          </cell>
          <cell r="L108" t="str">
            <v>55.9%</v>
          </cell>
          <cell r="M108" t="str">
            <v>75-80 KU</v>
          </cell>
          <cell r="N108" t="str">
            <v>Mezclar uno a uno en volumen con Tile Clad Enamel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Beneficio El Tazumal (Chalchuapa)/(IMSA) Industrias Metalicas, S.A.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S/F</v>
          </cell>
        </row>
        <row r="109">
          <cell r="A109" t="str">
            <v>SAA 3309</v>
          </cell>
          <cell r="B109" t="str">
            <v>Barniz Final Para Hojalata</v>
          </cell>
          <cell r="C109" t="str">
            <v>Interior-Exterior</v>
          </cell>
          <cell r="D109" t="str">
            <v>Hojalata</v>
          </cell>
          <cell r="E109" t="str">
            <v xml:space="preserve">Limpia </v>
          </cell>
          <cell r="F109" t="str">
            <v>Ninguno</v>
          </cell>
          <cell r="G109" t="str">
            <v>7.98 Lbs/Gl</v>
          </cell>
          <cell r="H109" t="str">
            <v>-</v>
          </cell>
          <cell r="I109" t="str">
            <v>42.50%</v>
          </cell>
          <cell r="J109" t="str">
            <v>42.50%</v>
          </cell>
          <cell r="K109" t="str">
            <v>-</v>
          </cell>
          <cell r="L109" t="str">
            <v>33.60%</v>
          </cell>
          <cell r="M109" t="str">
            <v>60"-65" copa Ford #4</v>
          </cell>
          <cell r="N109" t="str">
            <v>Rodillo</v>
          </cell>
          <cell r="O109" t="str">
            <v>60"-65" Copa Ford #4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12 Min a 160°C</v>
          </cell>
          <cell r="U109" t="str">
            <v>680 Pies cuadrados por Galón</v>
          </cell>
          <cell r="V109" t="str">
            <v>+90</v>
          </cell>
          <cell r="W109" t="str">
            <v>HB</v>
          </cell>
          <cell r="X109" t="str">
            <v>12 meses</v>
          </cell>
          <cell r="Y109" t="str">
            <v>Central de Empaques, Didema Guatemala</v>
          </cell>
          <cell r="Z109" t="str">
            <v>Corcholatas y Hojalatas</v>
          </cell>
          <cell r="AA109" t="str">
            <v>-</v>
          </cell>
          <cell r="AB109" t="str">
            <v>-</v>
          </cell>
          <cell r="AC109" t="str">
            <v>S/F</v>
          </cell>
        </row>
        <row r="110">
          <cell r="A110" t="str">
            <v>SAA 3310</v>
          </cell>
          <cell r="B110" t="str">
            <v>Barniz De Sobre Impresión</v>
          </cell>
          <cell r="C110" t="str">
            <v>Interior-Exterior</v>
          </cell>
          <cell r="D110" t="str">
            <v>Hojalata</v>
          </cell>
          <cell r="E110" t="str">
            <v xml:space="preserve">Limpia </v>
          </cell>
          <cell r="F110" t="str">
            <v>Ninguno</v>
          </cell>
          <cell r="G110" t="str">
            <v>7.98 Lbs/Gl</v>
          </cell>
          <cell r="H110" t="str">
            <v>-</v>
          </cell>
          <cell r="I110" t="str">
            <v>42.50%</v>
          </cell>
          <cell r="J110" t="str">
            <v>42.50%</v>
          </cell>
          <cell r="K110" t="str">
            <v>-</v>
          </cell>
          <cell r="L110" t="str">
            <v>33.60%</v>
          </cell>
          <cell r="M110" t="str">
            <v>60"-65" copa Ford #4</v>
          </cell>
          <cell r="N110" t="str">
            <v>Rodillo</v>
          </cell>
          <cell r="O110" t="str">
            <v>60"-65" Copa Ford #4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12 Min a 160°C</v>
          </cell>
          <cell r="U110" t="str">
            <v>680 Pies cuadrados por Galón</v>
          </cell>
          <cell r="V110" t="str">
            <v>+90</v>
          </cell>
          <cell r="W110" t="str">
            <v>HB</v>
          </cell>
          <cell r="X110" t="str">
            <v>12 meses</v>
          </cell>
          <cell r="Y110" t="str">
            <v>Central de Empaques, Didema Guatemala</v>
          </cell>
          <cell r="Z110" t="str">
            <v>Corcholatas y Hojalatas</v>
          </cell>
          <cell r="AA110" t="str">
            <v>-</v>
          </cell>
          <cell r="AB110" t="str">
            <v>-</v>
          </cell>
          <cell r="AC110" t="str">
            <v>S/F</v>
          </cell>
        </row>
        <row r="111">
          <cell r="A111" t="str">
            <v>SAA 3330</v>
          </cell>
          <cell r="B111" t="str">
            <v>Sellador Extra Concentrado</v>
          </cell>
          <cell r="C111" t="str">
            <v>Interior</v>
          </cell>
          <cell r="D111" t="str">
            <v>Madera</v>
          </cell>
          <cell r="E111" t="str">
            <v>Lijada y Limpia de Polvo</v>
          </cell>
          <cell r="F111" t="str">
            <v>D70T1</v>
          </cell>
          <cell r="G111" t="str">
            <v>8.02 Lbs/Gl</v>
          </cell>
          <cell r="H111" t="str">
            <v>-</v>
          </cell>
          <cell r="I111" t="str">
            <v>42.24%</v>
          </cell>
          <cell r="J111" t="str">
            <v>-</v>
          </cell>
          <cell r="K111" t="str">
            <v>-</v>
          </cell>
          <cell r="L111" t="str">
            <v>24.38%</v>
          </cell>
          <cell r="M111" t="str">
            <v>105,000-115,000 cps</v>
          </cell>
          <cell r="N111" t="str">
            <v>Pistola de Aire</v>
          </cell>
          <cell r="O111" t="str">
            <v>25"-30" Copa Zanh #2</v>
          </cell>
          <cell r="P111" t="str">
            <v>400%</v>
          </cell>
          <cell r="Q111" t="str">
            <v>R7K128</v>
          </cell>
          <cell r="R111" t="str">
            <v>-</v>
          </cell>
          <cell r="S111" t="str">
            <v>Tocar: 5 Min Completo: 20 Min</v>
          </cell>
          <cell r="T111" t="str">
            <v>-</v>
          </cell>
          <cell r="U111" t="str">
            <v>-</v>
          </cell>
          <cell r="V111" t="str">
            <v>Mate</v>
          </cell>
          <cell r="W111" t="str">
            <v>-</v>
          </cell>
          <cell r="X111" t="str">
            <v>-</v>
          </cell>
          <cell r="Y111" t="str">
            <v xml:space="preserve">DIDEMA  </v>
          </cell>
          <cell r="Z111" t="str">
            <v>Muebles de Madera.</v>
          </cell>
          <cell r="AA111" t="str">
            <v>-</v>
          </cell>
          <cell r="AB111" t="str">
            <v>-</v>
          </cell>
          <cell r="AC111" t="str">
            <v>S/F</v>
          </cell>
        </row>
        <row r="112">
          <cell r="A112" t="str">
            <v>SAA 3335</v>
          </cell>
          <cell r="B112" t="str">
            <v>Laca Transparente Brillante Especial</v>
          </cell>
          <cell r="C112" t="str">
            <v>Interiores</v>
          </cell>
          <cell r="D112" t="str">
            <v>Hierro (Picos, Azadones, Palas)</v>
          </cell>
          <cell r="E112" t="str">
            <v>Limpiar con solvente R7K128</v>
          </cell>
          <cell r="F112" t="str">
            <v>Ninguno</v>
          </cell>
          <cell r="G112" t="str">
            <v>7.44 Lbs/Gl</v>
          </cell>
          <cell r="H112" t="str">
            <v>-</v>
          </cell>
          <cell r="I112" t="str">
            <v>21.5%</v>
          </cell>
          <cell r="J112" t="str">
            <v>-</v>
          </cell>
          <cell r="K112" t="str">
            <v>-</v>
          </cell>
          <cell r="L112" t="str">
            <v>15.65%</v>
          </cell>
          <cell r="M112" t="str">
            <v>28-32" Copa Ford #4</v>
          </cell>
          <cell r="N112" t="str">
            <v>Inmersion</v>
          </cell>
          <cell r="O112" t="str">
            <v>28-32" Copa Ford #4</v>
          </cell>
          <cell r="P112" t="str">
            <v>Ninguno</v>
          </cell>
          <cell r="Q112" t="str">
            <v>Ninguno</v>
          </cell>
          <cell r="R112" t="str">
            <v>1 mills</v>
          </cell>
          <cell r="S112" t="str">
            <v>Tacto: 5-10 min Manejable: 15 min</v>
          </cell>
          <cell r="T112" t="str">
            <v>-</v>
          </cell>
          <cell r="U112" t="str">
            <v>-</v>
          </cell>
          <cell r="V112" t="str">
            <v>75-85</v>
          </cell>
          <cell r="W112" t="str">
            <v>-</v>
          </cell>
          <cell r="X112" t="str">
            <v>-</v>
          </cell>
          <cell r="Y112" t="str">
            <v>Vidri</v>
          </cell>
          <cell r="Z112" t="str">
            <v>Picos, Azadones, Palas</v>
          </cell>
          <cell r="AA112" t="str">
            <v>-</v>
          </cell>
          <cell r="AB112" t="str">
            <v>-</v>
          </cell>
          <cell r="AC112" t="str">
            <v>S/F</v>
          </cell>
        </row>
        <row r="113">
          <cell r="A113" t="str">
            <v>SAA 3672</v>
          </cell>
          <cell r="B113" t="str">
            <v>Anticorrosivo Blanco</v>
          </cell>
          <cell r="C113" t="str">
            <v>Interior-Exterior (Recubierta)</v>
          </cell>
          <cell r="D113" t="str">
            <v>Metal (Hierro)</v>
          </cell>
          <cell r="E113" t="str">
            <v>Limpia y Libre de Corrosión</v>
          </cell>
          <cell r="F113" t="str">
            <v>Ninguno</v>
          </cell>
          <cell r="G113" t="str">
            <v>11.17 Lbs/Gl</v>
          </cell>
          <cell r="H113" t="str">
            <v>78% (Respecto a Sólidos)</v>
          </cell>
          <cell r="I113" t="str">
            <v>65.33%</v>
          </cell>
          <cell r="J113" t="str">
            <v>22%</v>
          </cell>
          <cell r="K113" t="str">
            <v>56.6%</v>
          </cell>
          <cell r="L113" t="str">
            <v>41.5%</v>
          </cell>
          <cell r="M113" t="str">
            <v>78-85 KU</v>
          </cell>
          <cell r="N113" t="str">
            <v>Brocha-Pistola</v>
          </cell>
          <cell r="O113" t="str">
            <v>Brocha: 70-80 KU</v>
          </cell>
          <cell r="P113" t="str">
            <v>5-10%</v>
          </cell>
          <cell r="Q113" t="str">
            <v>R1K4</v>
          </cell>
          <cell r="R113" t="str">
            <v>2 mils</v>
          </cell>
          <cell r="S113" t="str">
            <v>Al Aire 5-7 Horas</v>
          </cell>
          <cell r="T113" t="str">
            <v>-</v>
          </cell>
          <cell r="U113" t="str">
            <v>-</v>
          </cell>
          <cell r="V113" t="str">
            <v>Semi-Mate</v>
          </cell>
          <cell r="W113" t="str">
            <v>-</v>
          </cell>
          <cell r="X113" t="str">
            <v>-</v>
          </cell>
          <cell r="Y113" t="str">
            <v xml:space="preserve">DIDEMA, S.A  </v>
          </cell>
          <cell r="Z113" t="str">
            <v>-</v>
          </cell>
          <cell r="AA113" t="str">
            <v>-</v>
          </cell>
          <cell r="AB113" t="str">
            <v>Rene Ferrufino</v>
          </cell>
          <cell r="AC113" t="str">
            <v>S/F</v>
          </cell>
        </row>
        <row r="114">
          <cell r="A114" t="str">
            <v>SAA 3769</v>
          </cell>
          <cell r="B114" t="str">
            <v>Permaclad 2500 White</v>
          </cell>
          <cell r="C114" t="str">
            <v>Interior</v>
          </cell>
          <cell r="D114" t="str">
            <v>Hierro</v>
          </cell>
          <cell r="E114" t="str">
            <v>Limpio con Solvente</v>
          </cell>
          <cell r="F114" t="str">
            <v>Ninguno</v>
          </cell>
          <cell r="G114" t="str">
            <v>12.02 Lbs/Gl</v>
          </cell>
          <cell r="H114" t="str">
            <v>41.28%</v>
          </cell>
          <cell r="I114" t="str">
            <v>79.75%</v>
          </cell>
          <cell r="J114" t="str">
            <v>65.51%</v>
          </cell>
          <cell r="K114" t="str">
            <v>22.80%</v>
          </cell>
          <cell r="L114" t="str">
            <v>65.69%</v>
          </cell>
          <cell r="M114" t="str">
            <v>30"-40" Copa Zanh #2</v>
          </cell>
          <cell r="N114" t="str">
            <v>Pistola</v>
          </cell>
          <cell r="O114" t="str">
            <v>18"-20" Copa Ford #4</v>
          </cell>
          <cell r="P114" t="str">
            <v>20%</v>
          </cell>
          <cell r="Q114" t="str">
            <v>R2K4         Industrial reducer</v>
          </cell>
          <cell r="R114" t="str">
            <v>1.0-1.2 mills</v>
          </cell>
          <cell r="S114" t="str">
            <v>Al Horno</v>
          </cell>
          <cell r="T114" t="str">
            <v>11' a 325°F</v>
          </cell>
          <cell r="U114" t="str">
            <v>1276 Pies Cuadrados/Gl a 1 mills seco</v>
          </cell>
          <cell r="V114" t="str">
            <v>85-90</v>
          </cell>
          <cell r="W114" t="str">
            <v>H-2H</v>
          </cell>
          <cell r="X114" t="str">
            <v>-</v>
          </cell>
          <cell r="Y114" t="str">
            <v>IMSA</v>
          </cell>
          <cell r="Z114" t="str">
            <v>Muebles Metálicos</v>
          </cell>
          <cell r="AA114" t="str">
            <v>-</v>
          </cell>
          <cell r="AB114" t="str">
            <v>Luis Nolasco</v>
          </cell>
          <cell r="AC114" t="str">
            <v>S/F</v>
          </cell>
        </row>
        <row r="115">
          <cell r="A115" t="str">
            <v>SAA 3791</v>
          </cell>
          <cell r="B115" t="str">
            <v>Esmalte Horneable Acrilico Blanco TAPPAN</v>
          </cell>
          <cell r="C115" t="str">
            <v>Interior-Exterior Limitada</v>
          </cell>
          <cell r="D115" t="str">
            <v>Hierro</v>
          </cell>
          <cell r="E115" t="str">
            <v>Lavado, Desengrase y Fosfatizado</v>
          </cell>
          <cell r="F115" t="str">
            <v>E68WSA4 Acrylic Monobake White Primer</v>
          </cell>
          <cell r="G115" t="str">
            <v>10.06 Lbs/Gl</v>
          </cell>
          <cell r="H115" t="str">
            <v>29.75%</v>
          </cell>
          <cell r="I115" t="str">
            <v>54.86%</v>
          </cell>
          <cell r="J115" t="str">
            <v>38.54%</v>
          </cell>
          <cell r="K115" t="str">
            <v>25.5%</v>
          </cell>
          <cell r="L115" t="str">
            <v>35.5%</v>
          </cell>
          <cell r="M115" t="str">
            <v>100"-110" Copa Zanh #2</v>
          </cell>
          <cell r="N115" t="str">
            <v>Pistola</v>
          </cell>
          <cell r="O115" t="str">
            <v>25"-30" Copa Zanh #2</v>
          </cell>
          <cell r="P115" t="str">
            <v>20-25%</v>
          </cell>
          <cell r="Q115" t="str">
            <v>R2K4         Industrial reducer</v>
          </cell>
          <cell r="R115" t="str">
            <v>1.0-1.2 mills</v>
          </cell>
          <cell r="S115" t="str">
            <v>Al Horno</v>
          </cell>
          <cell r="T115" t="str">
            <v>15' a 350-400°F</v>
          </cell>
          <cell r="U115" t="str">
            <v>878 Pies Cuadrados/Gl</v>
          </cell>
          <cell r="V115" t="str">
            <v>+85</v>
          </cell>
          <cell r="W115" t="str">
            <v>2H-3H</v>
          </cell>
          <cell r="X115" t="str">
            <v>6-12 meses</v>
          </cell>
          <cell r="Y115" t="str">
            <v>TAPPAN-GUATEMALA</v>
          </cell>
          <cell r="Z115" t="str">
            <v>Cocinas</v>
          </cell>
          <cell r="AA115" t="str">
            <v>-</v>
          </cell>
          <cell r="AB115" t="str">
            <v>Luis Nolasco</v>
          </cell>
          <cell r="AC115" t="str">
            <v>S/F</v>
          </cell>
        </row>
        <row r="116">
          <cell r="A116" t="str">
            <v>SAA 3792</v>
          </cell>
          <cell r="B116" t="str">
            <v>Esmalte Horneable Troquelable Blanco</v>
          </cell>
          <cell r="C116" t="str">
            <v>Exterior de Tapacoronas</v>
          </cell>
          <cell r="D116" t="str">
            <v>Hojalata</v>
          </cell>
          <cell r="E116" t="str">
            <v>Limpia</v>
          </cell>
          <cell r="F116" t="str">
            <v>Ninguno</v>
          </cell>
          <cell r="G116" t="str">
            <v>9.54 Lbs/Gl</v>
          </cell>
          <cell r="H116" t="str">
            <v>20.83%</v>
          </cell>
          <cell r="I116" t="str">
            <v>40.63%</v>
          </cell>
          <cell r="J116" t="str">
            <v>23.76%</v>
          </cell>
          <cell r="K116" t="str">
            <v>57.69%</v>
          </cell>
          <cell r="L116" t="str">
            <v>24.67%</v>
          </cell>
          <cell r="M116" t="str">
            <v>90-100 KU</v>
          </cell>
          <cell r="N116" t="str">
            <v>Ninguno</v>
          </cell>
          <cell r="O116" t="str">
            <v>90-100 KU</v>
          </cell>
          <cell r="P116" t="str">
            <v>Ninguno</v>
          </cell>
          <cell r="Q116" t="str">
            <v>-</v>
          </cell>
          <cell r="R116" t="str">
            <v>1 mills</v>
          </cell>
          <cell r="S116" t="str">
            <v>Al Horno</v>
          </cell>
          <cell r="T116" t="str">
            <v>12' a 180°C</v>
          </cell>
          <cell r="U116" t="str">
            <v>650.08 Pies Cuadrados/Gl a 1 mills de espesor</v>
          </cell>
          <cell r="V116" t="str">
            <v>+80</v>
          </cell>
          <cell r="W116" t="str">
            <v>-</v>
          </cell>
          <cell r="X116" t="str">
            <v>6-12 meses</v>
          </cell>
          <cell r="Y116" t="str">
            <v>Nicaragua</v>
          </cell>
          <cell r="Z116" t="str">
            <v>-</v>
          </cell>
          <cell r="AA116" t="str">
            <v>-</v>
          </cell>
          <cell r="AB116" t="str">
            <v>Luis Nolasco</v>
          </cell>
          <cell r="AC116" t="str">
            <v>S/F</v>
          </cell>
        </row>
        <row r="117">
          <cell r="A117" t="str">
            <v>SAA 3810</v>
          </cell>
          <cell r="B117" t="str">
            <v>Esmalte de Polyuretano Aluminio</v>
          </cell>
          <cell r="C117" t="str">
            <v>Interior-Exterior</v>
          </cell>
          <cell r="D117" t="str">
            <v>Hierro-Acero</v>
          </cell>
          <cell r="E117" t="str">
            <v>Libre de Grasa y Polvo</v>
          </cell>
          <cell r="F117" t="str">
            <v>P2A32</v>
          </cell>
          <cell r="G117" t="str">
            <v>8.61 Lbs/Gl</v>
          </cell>
          <cell r="H117" t="str">
            <v>23%</v>
          </cell>
          <cell r="I117" t="str">
            <v>34.86%</v>
          </cell>
          <cell r="J117" t="str">
            <v>77%</v>
          </cell>
          <cell r="K117" t="str">
            <v>13%</v>
          </cell>
          <cell r="L117" t="str">
            <v>26.5%</v>
          </cell>
          <cell r="M117" t="str">
            <v>12-14 Seg. Copa Ford #4</v>
          </cell>
          <cell r="N117" t="str">
            <v>Pistola</v>
          </cell>
          <cell r="O117" t="str">
            <v>12-14 Seg. Copa Ford #4</v>
          </cell>
          <cell r="P117" t="str">
            <v>Ninguno</v>
          </cell>
          <cell r="Q117" t="str">
            <v>Ninguno</v>
          </cell>
          <cell r="R117" t="str">
            <v>1 mills de Pulgada Seca</v>
          </cell>
          <cell r="S117" t="str">
            <v>Al Aire una hora y media.</v>
          </cell>
          <cell r="T117" t="str">
            <v>-</v>
          </cell>
          <cell r="U117" t="str">
            <v>95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Ing. José Guillermo Castillo</v>
          </cell>
          <cell r="Z117" t="str">
            <v>Tuberías</v>
          </cell>
          <cell r="AA117" t="str">
            <v>Mezclar 4 partes en Vol. Del SAA 3810 con una parte de Catalizador V6V283, Mexclar bien y aplicar con Pistola.</v>
          </cell>
          <cell r="AB117" t="str">
            <v>Rene Ferrufino</v>
          </cell>
          <cell r="AC117" t="str">
            <v>S/F</v>
          </cell>
        </row>
        <row r="118">
          <cell r="A118" t="str">
            <v>SAA 3811</v>
          </cell>
          <cell r="B118" t="str">
            <v>Esmalte Horneable Acrilico Negro Brillante</v>
          </cell>
          <cell r="C118" t="str">
            <v>Interior-Exterior Limitada</v>
          </cell>
          <cell r="D118" t="str">
            <v>Hierro</v>
          </cell>
          <cell r="E118" t="str">
            <v>Lavado, Desengrase y Fosfatizado</v>
          </cell>
          <cell r="F118" t="str">
            <v>E68WSA4 Acrylic Monobake White Primer</v>
          </cell>
          <cell r="G118" t="str">
            <v>7.90 Lbs/Gl</v>
          </cell>
          <cell r="H118" t="str">
            <v>2.78%</v>
          </cell>
          <cell r="I118" t="str">
            <v>40.67%</v>
          </cell>
          <cell r="J118" t="str">
            <v>38.38%</v>
          </cell>
          <cell r="K118" t="str">
            <v>4.08%</v>
          </cell>
          <cell r="L118" t="str">
            <v>37.03%</v>
          </cell>
          <cell r="M118" t="str">
            <v>100"-110" Copa Zanh #2</v>
          </cell>
          <cell r="N118" t="str">
            <v>Pistola</v>
          </cell>
          <cell r="O118" t="str">
            <v>25"-30" Copa Zanh #2</v>
          </cell>
          <cell r="P118" t="str">
            <v>20-25%</v>
          </cell>
          <cell r="Q118" t="str">
            <v>R2K4         Industrial reducer</v>
          </cell>
          <cell r="R118" t="str">
            <v>1.0-1.2 mills</v>
          </cell>
          <cell r="S118" t="str">
            <v>Al Horno</v>
          </cell>
          <cell r="T118" t="str">
            <v>15' a 350-400°F</v>
          </cell>
          <cell r="U118" t="str">
            <v>650.72 Pies Cuadrados/Gl a 1 mills de espesor</v>
          </cell>
          <cell r="V118" t="str">
            <v>+85</v>
          </cell>
          <cell r="W118" t="str">
            <v>2H-3H</v>
          </cell>
          <cell r="X118" t="str">
            <v>6-12 meses</v>
          </cell>
          <cell r="Y118" t="str">
            <v>TAPPAN-GUATEMALA</v>
          </cell>
          <cell r="Z118" t="str">
            <v>Cocinas</v>
          </cell>
          <cell r="AA118" t="str">
            <v>-</v>
          </cell>
          <cell r="AB118" t="str">
            <v>Luis Nolasco</v>
          </cell>
          <cell r="AC118" t="str">
            <v>S/F</v>
          </cell>
        </row>
        <row r="119">
          <cell r="A119" t="str">
            <v>SAA 3812</v>
          </cell>
          <cell r="B119" t="str">
            <v>Esmalte Horneble Acrílico Amarillo Suave</v>
          </cell>
          <cell r="C119" t="str">
            <v>Interior-Exterior Limitada</v>
          </cell>
          <cell r="D119" t="str">
            <v>Hierro</v>
          </cell>
          <cell r="E119" t="str">
            <v>Lavado, Desengrase y Fosfatizado</v>
          </cell>
          <cell r="F119" t="str">
            <v>E68WSA4 Acrylic Monobake White Primer</v>
          </cell>
          <cell r="G119" t="str">
            <v>9.48 Lbs/Gl</v>
          </cell>
          <cell r="H119" t="str">
            <v>23.77%</v>
          </cell>
          <cell r="I119" t="str">
            <v>52.91%</v>
          </cell>
          <cell r="J119" t="str">
            <v>38.22%</v>
          </cell>
          <cell r="K119" t="str">
            <v>17.82%</v>
          </cell>
          <cell r="L119" t="str">
            <v>38.27%</v>
          </cell>
          <cell r="M119" t="str">
            <v>100"-110" Copa Zanh #2</v>
          </cell>
          <cell r="N119" t="str">
            <v>Pistola</v>
          </cell>
          <cell r="O119" t="str">
            <v>25"-30" Copa Zanh #2</v>
          </cell>
          <cell r="P119" t="str">
            <v>20-25%</v>
          </cell>
          <cell r="Q119" t="str">
            <v>R2K4         Industrial reducer</v>
          </cell>
          <cell r="R119" t="str">
            <v>1.0-1.2 mills</v>
          </cell>
          <cell r="S119" t="str">
            <v>Al Horno</v>
          </cell>
          <cell r="T119" t="str">
            <v>15' a 350-400°F</v>
          </cell>
          <cell r="U119" t="str">
            <v>846.56 Pies Cuadrados/Gl a 1 mills de espesor</v>
          </cell>
          <cell r="V119" t="str">
            <v>+85</v>
          </cell>
          <cell r="W119" t="str">
            <v>2H-3H</v>
          </cell>
          <cell r="X119" t="str">
            <v>6-12 meses</v>
          </cell>
          <cell r="Y119" t="str">
            <v>TAPPAN-GUATEMALA</v>
          </cell>
          <cell r="Z119" t="str">
            <v>Cocinas</v>
          </cell>
          <cell r="AA119" t="str">
            <v>-</v>
          </cell>
          <cell r="AB119" t="str">
            <v>Luis Nolasco</v>
          </cell>
          <cell r="AC119" t="str">
            <v>S/F</v>
          </cell>
        </row>
        <row r="120">
          <cell r="A120" t="str">
            <v>SAA 3815</v>
          </cell>
          <cell r="B120" t="str">
            <v>Laca Industrial Negro Especial</v>
          </cell>
          <cell r="C120" t="str">
            <v>Interior-Exterior</v>
          </cell>
          <cell r="D120" t="str">
            <v>Hierro</v>
          </cell>
          <cell r="E120" t="str">
            <v>Limpia con Krill Clean</v>
          </cell>
          <cell r="F120" t="str">
            <v>Ninguno</v>
          </cell>
          <cell r="G120" t="str">
            <v>7.57 Lbs/Gl</v>
          </cell>
          <cell r="H120" t="str">
            <v>5.2%</v>
          </cell>
          <cell r="I120" t="str">
            <v>20%</v>
          </cell>
          <cell r="J120" t="str">
            <v>94.8%</v>
          </cell>
          <cell r="K120" t="str">
            <v>4%</v>
          </cell>
          <cell r="L120" t="str">
            <v>13.4%</v>
          </cell>
          <cell r="M120" t="str">
            <v>20"-30" Copa SW #5</v>
          </cell>
          <cell r="N120" t="str">
            <v>Inmersión</v>
          </cell>
          <cell r="O120" t="str">
            <v>18"-25" Copa Zanh #2</v>
          </cell>
          <cell r="P120" t="str">
            <v>50% con R7K128</v>
          </cell>
          <cell r="Q120" t="str">
            <v>R7K128</v>
          </cell>
          <cell r="R120" t="str">
            <v>1 mills seco</v>
          </cell>
          <cell r="S120" t="str">
            <v>Aire (5-10 Min)</v>
          </cell>
          <cell r="T120" t="str">
            <v>-</v>
          </cell>
          <cell r="U120" t="str">
            <v>30 Mts Cuadrados/Gl</v>
          </cell>
          <cell r="V120" t="str">
            <v>75-85</v>
          </cell>
          <cell r="W120" t="str">
            <v>-</v>
          </cell>
          <cell r="X120" t="str">
            <v>-</v>
          </cell>
          <cell r="Y120" t="str">
            <v>HECASA</v>
          </cell>
          <cell r="Z120" t="str">
            <v>Muebles de Metal</v>
          </cell>
          <cell r="AA120" t="str">
            <v>-</v>
          </cell>
          <cell r="AB120" t="str">
            <v>Rene Ferrufino</v>
          </cell>
          <cell r="AC120" t="str">
            <v>S/F</v>
          </cell>
        </row>
        <row r="121">
          <cell r="A121" t="str">
            <v>SAA 3816</v>
          </cell>
          <cell r="B121" t="str">
            <v>Esmalte Horneble Acrílico Marfil Suave</v>
          </cell>
          <cell r="C121" t="str">
            <v>Interior-Exterior Limitada</v>
          </cell>
          <cell r="D121" t="str">
            <v>Hierro</v>
          </cell>
          <cell r="E121" t="str">
            <v>Lavado, Desengrase y Fosfatizado</v>
          </cell>
          <cell r="F121" t="str">
            <v>E68WSA4 Acrylic Monobake White Primer</v>
          </cell>
          <cell r="G121" t="str">
            <v>10.06 Lbs/Gl</v>
          </cell>
          <cell r="H121" t="str">
            <v>29.75%</v>
          </cell>
          <cell r="I121" t="str">
            <v>54.86%</v>
          </cell>
          <cell r="J121" t="str">
            <v>38.54%</v>
          </cell>
          <cell r="K121" t="str">
            <v>25.5%</v>
          </cell>
          <cell r="L121" t="str">
            <v>36.5%</v>
          </cell>
          <cell r="M121" t="str">
            <v>100"-110" Copa Zanh #2</v>
          </cell>
          <cell r="N121" t="str">
            <v>Pistola</v>
          </cell>
          <cell r="O121" t="str">
            <v>25"-30" Copa Zanh #2</v>
          </cell>
          <cell r="P121" t="str">
            <v>20-25%</v>
          </cell>
          <cell r="Q121" t="str">
            <v>R2K4         Industrial reducer</v>
          </cell>
          <cell r="R121" t="str">
            <v>1.0-1.2 mills</v>
          </cell>
          <cell r="S121" t="str">
            <v>Al Horno</v>
          </cell>
          <cell r="T121" t="str">
            <v>15' a 350-400°F</v>
          </cell>
          <cell r="U121" t="str">
            <v>878 Pies Cuadrados/Gl a 1 mills de espesor</v>
          </cell>
          <cell r="V121" t="str">
            <v>+85</v>
          </cell>
          <cell r="W121" t="str">
            <v>2H-3H</v>
          </cell>
          <cell r="X121" t="str">
            <v>6-12 meses</v>
          </cell>
          <cell r="Y121" t="str">
            <v>TAPPAN-GUATEMALA</v>
          </cell>
          <cell r="Z121" t="str">
            <v>Cocinas</v>
          </cell>
          <cell r="AA121" t="str">
            <v>-</v>
          </cell>
          <cell r="AB121" t="str">
            <v>Luis Nolasco</v>
          </cell>
          <cell r="AC121" t="str">
            <v>S/F</v>
          </cell>
        </row>
        <row r="122">
          <cell r="A122" t="str">
            <v>SAA 3821</v>
          </cell>
          <cell r="B122" t="str">
            <v>Esmalte Horneble Acrílico Blanco Almendra</v>
          </cell>
          <cell r="C122" t="str">
            <v>Interior-Exterior Limitada</v>
          </cell>
          <cell r="D122" t="str">
            <v>Hierro</v>
          </cell>
          <cell r="E122" t="str">
            <v>Lavado, Desengrase y Fosfatizado</v>
          </cell>
          <cell r="F122" t="str">
            <v>E68WSA4 Acrylic Monobake White Primer</v>
          </cell>
          <cell r="G122" t="str">
            <v>10.06 Lbs/Gl</v>
          </cell>
          <cell r="H122" t="str">
            <v>29.75%</v>
          </cell>
          <cell r="I122" t="str">
            <v>54.86%</v>
          </cell>
          <cell r="J122" t="str">
            <v>38.54%</v>
          </cell>
          <cell r="K122" t="str">
            <v>25.5%</v>
          </cell>
          <cell r="L122" t="str">
            <v>36.5%</v>
          </cell>
          <cell r="M122" t="str">
            <v>100"-110" Copa Zanh #2</v>
          </cell>
          <cell r="N122" t="str">
            <v>Pistola</v>
          </cell>
          <cell r="O122" t="str">
            <v>25"-30" Copa Zanh #2</v>
          </cell>
          <cell r="P122" t="str">
            <v>20-25%</v>
          </cell>
          <cell r="Q122" t="str">
            <v>R2K4         Industrial reducer</v>
          </cell>
          <cell r="R122" t="str">
            <v>1.0-1.2 mills</v>
          </cell>
          <cell r="S122" t="str">
            <v>Al Horno</v>
          </cell>
          <cell r="T122" t="str">
            <v>15' a 350-400°F</v>
          </cell>
          <cell r="U122" t="str">
            <v>878 Pies Cuadrados/Gl a 1 mills de espesor</v>
          </cell>
          <cell r="V122" t="str">
            <v>+85</v>
          </cell>
          <cell r="W122" t="str">
            <v>2H-3H</v>
          </cell>
          <cell r="X122" t="str">
            <v>6-12 meses</v>
          </cell>
          <cell r="Y122" t="str">
            <v>TAPPAN-GUATEMALA</v>
          </cell>
          <cell r="Z122" t="str">
            <v>Cocinas</v>
          </cell>
          <cell r="AA122" t="str">
            <v>-</v>
          </cell>
          <cell r="AB122" t="str">
            <v>Luis Nolasco</v>
          </cell>
          <cell r="AC122" t="str">
            <v>S/F</v>
          </cell>
        </row>
        <row r="123">
          <cell r="A123" t="str">
            <v>SAA 3828</v>
          </cell>
          <cell r="B123" t="str">
            <v>Esmalte Horneable Acrílico Blanco Enfriador</v>
          </cell>
          <cell r="C123" t="str">
            <v>Interior-Exterior Limitada</v>
          </cell>
          <cell r="D123" t="str">
            <v>Hierro</v>
          </cell>
          <cell r="E123" t="str">
            <v>Lavado, Desengrase y Fosfatizado</v>
          </cell>
          <cell r="F123" t="str">
            <v>E68WSA4 Acrylic Monobake White Primer</v>
          </cell>
          <cell r="G123" t="str">
            <v>10.06 Lbs/Gl</v>
          </cell>
          <cell r="H123" t="str">
            <v>29.75%</v>
          </cell>
          <cell r="I123" t="str">
            <v>54.86%</v>
          </cell>
          <cell r="J123" t="str">
            <v>38.54%</v>
          </cell>
          <cell r="K123" t="str">
            <v>25.5%</v>
          </cell>
          <cell r="L123" t="str">
            <v>36.5%</v>
          </cell>
          <cell r="M123" t="str">
            <v>100"-110" Copa Zanh #2</v>
          </cell>
          <cell r="N123" t="str">
            <v>Pistola</v>
          </cell>
          <cell r="O123" t="str">
            <v>25"-30" Copa Zanh #2</v>
          </cell>
          <cell r="P123" t="str">
            <v>20-25%</v>
          </cell>
          <cell r="Q123" t="str">
            <v>R2K4         Industrial reducer</v>
          </cell>
          <cell r="R123" t="str">
            <v>1.0-1.2 mills</v>
          </cell>
          <cell r="S123" t="str">
            <v>Al Horno</v>
          </cell>
          <cell r="T123" t="str">
            <v>15' a 350-400°F</v>
          </cell>
          <cell r="U123" t="str">
            <v>878 Pies Cuadrados/Gl a 1 mills de espesor</v>
          </cell>
          <cell r="V123" t="str">
            <v>+85</v>
          </cell>
          <cell r="W123" t="str">
            <v>2H-3H</v>
          </cell>
          <cell r="X123" t="str">
            <v>6-12 meses</v>
          </cell>
          <cell r="Y123" t="str">
            <v>TAPPAN-GUATEMALA</v>
          </cell>
          <cell r="Z123" t="str">
            <v>Cocinas</v>
          </cell>
          <cell r="AA123" t="str">
            <v>-</v>
          </cell>
          <cell r="AB123" t="str">
            <v>Luis Nolasco</v>
          </cell>
          <cell r="AC123" t="str">
            <v>S/F</v>
          </cell>
        </row>
        <row r="124">
          <cell r="A124" t="str">
            <v>SAA 3829</v>
          </cell>
          <cell r="B124" t="str">
            <v>Esmalte Horneable Acrílico Blanco Cocina</v>
          </cell>
          <cell r="C124" t="str">
            <v>Interior-Exterior Limitada</v>
          </cell>
          <cell r="D124" t="str">
            <v>Hierro</v>
          </cell>
          <cell r="E124" t="str">
            <v>Lavado, Desengrase y Fosfatizado</v>
          </cell>
          <cell r="F124" t="str">
            <v>E68WSA4 Acrylic Monobake White Primer</v>
          </cell>
          <cell r="G124" t="str">
            <v>10.06 Lbs/Gl</v>
          </cell>
          <cell r="H124" t="str">
            <v>29.75%</v>
          </cell>
          <cell r="I124" t="str">
            <v>54.86%</v>
          </cell>
          <cell r="J124" t="str">
            <v>38.54%</v>
          </cell>
          <cell r="K124" t="str">
            <v>25.5%</v>
          </cell>
          <cell r="L124" t="str">
            <v>36.5%</v>
          </cell>
          <cell r="M124" t="str">
            <v>100"-110" Copa Zanh #2</v>
          </cell>
          <cell r="N124" t="str">
            <v>Pistola</v>
          </cell>
          <cell r="O124" t="str">
            <v>25"-30" Copa Zanh #2</v>
          </cell>
          <cell r="P124" t="str">
            <v>20-25%</v>
          </cell>
          <cell r="Q124" t="str">
            <v>R2K4         Industrial reducer</v>
          </cell>
          <cell r="R124" t="str">
            <v>1.0-1.2 mills</v>
          </cell>
          <cell r="S124" t="str">
            <v>Al Horno</v>
          </cell>
          <cell r="T124" t="str">
            <v>15' a 350-400°F</v>
          </cell>
          <cell r="U124" t="str">
            <v>878 Pies Cuadrados/Gl a 1 mills de espesor</v>
          </cell>
          <cell r="V124" t="str">
            <v>+85</v>
          </cell>
          <cell r="W124" t="str">
            <v>2H-3H</v>
          </cell>
          <cell r="X124" t="str">
            <v>6-12 meses</v>
          </cell>
          <cell r="Y124" t="str">
            <v>TAPPAN-GUATEMALA</v>
          </cell>
          <cell r="Z124" t="str">
            <v>Cocinas</v>
          </cell>
          <cell r="AA124" t="str">
            <v>-</v>
          </cell>
          <cell r="AB124" t="str">
            <v>Luis Nolasco</v>
          </cell>
          <cell r="AC124" t="str">
            <v>S/F</v>
          </cell>
        </row>
        <row r="125">
          <cell r="A125" t="str">
            <v>SAA 3835</v>
          </cell>
          <cell r="B125" t="str">
            <v>Esmalte Horneable Acrílico Marfil Oscuro Mate Liso</v>
          </cell>
          <cell r="C125" t="str">
            <v>Interior-Exterior Limitada</v>
          </cell>
          <cell r="D125" t="str">
            <v>Lamina Electrogalvanizada</v>
          </cell>
          <cell r="E125" t="str">
            <v>Lavado y Desengrase</v>
          </cell>
          <cell r="F125" t="str">
            <v>E68WSA4 Acrylic Monobake White Primer</v>
          </cell>
          <cell r="G125" t="str">
            <v>9.20 Lbs/Gl</v>
          </cell>
          <cell r="H125" t="str">
            <v>22.89%</v>
          </cell>
          <cell r="I125" t="str">
            <v>49.89%</v>
          </cell>
          <cell r="J125" t="str">
            <v>35.12%</v>
          </cell>
          <cell r="K125" t="str">
            <v>22.55%</v>
          </cell>
          <cell r="L125" t="str">
            <v>36.59%</v>
          </cell>
          <cell r="M125" t="str">
            <v>100"-110" Copa Zanh #2</v>
          </cell>
          <cell r="N125" t="str">
            <v>Pistola</v>
          </cell>
          <cell r="O125" t="str">
            <v>25"-30" Copa Zanh #2</v>
          </cell>
          <cell r="P125" t="str">
            <v>20-25%</v>
          </cell>
          <cell r="Q125" t="str">
            <v>R2K4         Industrial reducer</v>
          </cell>
          <cell r="R125" t="str">
            <v>1.0-1.2 mills</v>
          </cell>
          <cell r="S125" t="str">
            <v>Al Horno</v>
          </cell>
          <cell r="T125" t="str">
            <v>15' a 300°F</v>
          </cell>
          <cell r="U125" t="str">
            <v>800 Pies Cuadrados/Gl a 1 mills de espesor</v>
          </cell>
          <cell r="V125" t="str">
            <v>2-4</v>
          </cell>
          <cell r="W125" t="str">
            <v>2H-3H</v>
          </cell>
          <cell r="X125" t="str">
            <v>6-12 meses</v>
          </cell>
          <cell r="Y125" t="str">
            <v>Panavisión-Honduras</v>
          </cell>
          <cell r="Z125" t="str">
            <v>Mobiliario de Oficina</v>
          </cell>
          <cell r="AA125" t="str">
            <v>-</v>
          </cell>
          <cell r="AB125" t="str">
            <v>Luis Nolasco</v>
          </cell>
          <cell r="AC125" t="str">
            <v>S/F</v>
          </cell>
        </row>
        <row r="126">
          <cell r="A126" t="str">
            <v>SAA 3836</v>
          </cell>
          <cell r="B126" t="str">
            <v>Esmalte Horneable Acrílico Marfil Oscuro Mate Martillado</v>
          </cell>
          <cell r="C126" t="str">
            <v>Interior-Exterior Limitada</v>
          </cell>
          <cell r="D126" t="str">
            <v>Lamina Electrogalvanizada</v>
          </cell>
          <cell r="E126" t="str">
            <v>Lavado y Desengrase</v>
          </cell>
          <cell r="F126" t="str">
            <v>E68WSA4 Acrylic Monobake White Primer</v>
          </cell>
          <cell r="G126" t="str">
            <v>9.20 Lbs/Gl</v>
          </cell>
          <cell r="H126" t="str">
            <v>22.89%</v>
          </cell>
          <cell r="I126" t="str">
            <v>49.89%</v>
          </cell>
          <cell r="J126" t="str">
            <v>35.12%</v>
          </cell>
          <cell r="K126" t="str">
            <v>22.55%</v>
          </cell>
          <cell r="L126" t="str">
            <v>36.59%</v>
          </cell>
          <cell r="M126" t="str">
            <v>100"-110" Copa Zanh #2</v>
          </cell>
          <cell r="N126" t="str">
            <v>Pistola</v>
          </cell>
          <cell r="O126" t="str">
            <v>Listo para Usar</v>
          </cell>
          <cell r="P126" t="str">
            <v>-</v>
          </cell>
          <cell r="Q126" t="str">
            <v>R2K4         Industrial reducer, Si es Necesario</v>
          </cell>
          <cell r="R126" t="str">
            <v>1.0-1.2 mills</v>
          </cell>
          <cell r="S126" t="str">
            <v>Al Horno</v>
          </cell>
          <cell r="T126" t="str">
            <v>15' a 300°F</v>
          </cell>
          <cell r="U126" t="str">
            <v>800 Pies Cuadrados/Gl a 1 mills de espesor</v>
          </cell>
          <cell r="V126" t="str">
            <v>2-4</v>
          </cell>
          <cell r="W126" t="str">
            <v>2H-3H</v>
          </cell>
          <cell r="X126" t="str">
            <v>6-12 meses</v>
          </cell>
          <cell r="Y126" t="str">
            <v>Panavisión-Honduras</v>
          </cell>
          <cell r="Z126" t="str">
            <v>Mobiliario de Oficina</v>
          </cell>
          <cell r="AA126" t="str">
            <v>-</v>
          </cell>
          <cell r="AB126" t="str">
            <v>Luis Nolasco</v>
          </cell>
          <cell r="AC126" t="str">
            <v>S/F</v>
          </cell>
        </row>
        <row r="127">
          <cell r="A127" t="str">
            <v>SAA 3851</v>
          </cell>
          <cell r="B127" t="str">
            <v>Esmalte Horneable acrílico Café TAPPAN</v>
          </cell>
          <cell r="C127" t="str">
            <v>Interior-Exterior Limitada</v>
          </cell>
          <cell r="D127" t="str">
            <v>Hierro</v>
          </cell>
          <cell r="E127" t="str">
            <v>Lavado, Desengrase y Fosfatizado</v>
          </cell>
          <cell r="F127" t="str">
            <v>E68WSA4 Acrylic Monobake White Primer</v>
          </cell>
          <cell r="G127" t="str">
            <v>8.24 Lbs/Gl</v>
          </cell>
          <cell r="H127" t="str">
            <v>7.98%</v>
          </cell>
          <cell r="I127" t="str">
            <v>41.63%</v>
          </cell>
          <cell r="J127" t="str">
            <v>36.57%</v>
          </cell>
          <cell r="K127" t="str">
            <v>6.76%</v>
          </cell>
          <cell r="L127" t="str">
            <v>33.73%</v>
          </cell>
          <cell r="M127" t="str">
            <v>100"-110" Copa Zanh #2</v>
          </cell>
          <cell r="N127" t="str">
            <v>Pistola</v>
          </cell>
          <cell r="O127" t="str">
            <v>25"-30" Copa Zanh #2</v>
          </cell>
          <cell r="P127" t="str">
            <v>20-25%</v>
          </cell>
          <cell r="Q127" t="str">
            <v>R2K4         Industrial reducer</v>
          </cell>
          <cell r="R127" t="str">
            <v>1.0-1.2 mills</v>
          </cell>
          <cell r="S127" t="str">
            <v>Al Horno</v>
          </cell>
          <cell r="T127" t="str">
            <v>15' a 350-400°F</v>
          </cell>
          <cell r="U127" t="str">
            <v>666 Pies Cuadrados/Gl a 1 mills de espesor</v>
          </cell>
          <cell r="V127" t="str">
            <v>+85</v>
          </cell>
          <cell r="W127" t="str">
            <v>2H-3H</v>
          </cell>
          <cell r="X127" t="str">
            <v>6-12 meses</v>
          </cell>
          <cell r="Y127" t="str">
            <v>TAPPAN-GUATEMALA</v>
          </cell>
          <cell r="Z127" t="str">
            <v>Cocinas</v>
          </cell>
          <cell r="AA127" t="str">
            <v>-</v>
          </cell>
          <cell r="AB127" t="str">
            <v>Luis Nolasco</v>
          </cell>
          <cell r="AC127" t="str">
            <v>S/F</v>
          </cell>
        </row>
        <row r="128">
          <cell r="A128" t="str">
            <v>SAA 3852</v>
          </cell>
          <cell r="B128" t="str">
            <v>Esmalte Horneable acrílico Amarillo TAPPAN</v>
          </cell>
          <cell r="C128" t="str">
            <v>Interior-Exterior Limitada</v>
          </cell>
          <cell r="D128" t="str">
            <v>Hierro</v>
          </cell>
          <cell r="E128" t="str">
            <v>Lavado, Desengrase y Fosfatizado</v>
          </cell>
          <cell r="F128" t="str">
            <v>E68WSA4 Acrylic Monobake White Primer</v>
          </cell>
          <cell r="G128" t="str">
            <v>9.13 Lbs/Gl</v>
          </cell>
          <cell r="H128" t="str">
            <v>19.8%</v>
          </cell>
          <cell r="I128" t="str">
            <v>50.05%</v>
          </cell>
          <cell r="J128" t="str">
            <v>37.72%</v>
          </cell>
          <cell r="K128" t="str">
            <v>14.84%</v>
          </cell>
          <cell r="L128" t="str">
            <v>36.93%</v>
          </cell>
          <cell r="M128" t="str">
            <v>100"-110" Copa Zanh #2</v>
          </cell>
          <cell r="N128" t="str">
            <v>Pistola</v>
          </cell>
          <cell r="O128" t="str">
            <v>25"-30" Copa Zanh #2</v>
          </cell>
          <cell r="P128" t="str">
            <v>20-25%</v>
          </cell>
          <cell r="Q128" t="str">
            <v>R2K4         Industrial reducer</v>
          </cell>
          <cell r="R128" t="str">
            <v>1.0-1.2 mills</v>
          </cell>
          <cell r="S128" t="str">
            <v>Al Horno</v>
          </cell>
          <cell r="T128" t="str">
            <v>15' a 350-400°F</v>
          </cell>
          <cell r="U128" t="str">
            <v>800.8 Pies Cuadrados/Gl a 1 mills de espesor</v>
          </cell>
          <cell r="V128" t="str">
            <v>+85</v>
          </cell>
          <cell r="W128" t="str">
            <v>2H-3H</v>
          </cell>
          <cell r="X128" t="str">
            <v>6-12 meses</v>
          </cell>
          <cell r="Y128" t="str">
            <v>TAPPAN-GUATEMALA</v>
          </cell>
          <cell r="Z128" t="str">
            <v>Cocinas</v>
          </cell>
          <cell r="AA128" t="str">
            <v>-</v>
          </cell>
          <cell r="AB128" t="str">
            <v>Luis Nolasco</v>
          </cell>
          <cell r="AC128" t="str">
            <v>S/F</v>
          </cell>
        </row>
        <row r="129">
          <cell r="A129" t="str">
            <v>SAA 3863</v>
          </cell>
          <cell r="B129" t="str">
            <v>Esmalte Horneable Alquidico Café Oscuro Satinado</v>
          </cell>
          <cell r="C129" t="str">
            <v>Interior-Exterior</v>
          </cell>
          <cell r="D129" t="str">
            <v>Hierro</v>
          </cell>
          <cell r="E129" t="str">
            <v>Limpieza con R2K4, Desengrase, Fosfatizado</v>
          </cell>
          <cell r="F129" t="str">
            <v>Ninguno</v>
          </cell>
          <cell r="G129" t="str">
            <v>8.85 Lbs/Gl</v>
          </cell>
          <cell r="H129" t="str">
            <v>33.6%</v>
          </cell>
          <cell r="I129" t="str">
            <v>55.9%</v>
          </cell>
          <cell r="J129" t="str">
            <v>22.2%</v>
          </cell>
          <cell r="K129" t="str">
            <v>25.2%</v>
          </cell>
          <cell r="L129" t="str">
            <v>38.2%</v>
          </cell>
          <cell r="M129" t="str">
            <v>100"-110" Copa Zanh #2</v>
          </cell>
          <cell r="N129" t="str">
            <v>Pistola</v>
          </cell>
          <cell r="O129" t="str">
            <v>20-25 seg. Copa Zanh #2</v>
          </cell>
          <cell r="P129" t="str">
            <v>20-25%</v>
          </cell>
          <cell r="Q129" t="str">
            <v>R2K4         Industrial reducer</v>
          </cell>
          <cell r="R129" t="str">
            <v>1.0-1.2 mills</v>
          </cell>
          <cell r="S129" t="str">
            <v>Al horno</v>
          </cell>
          <cell r="T129" t="str">
            <v>15' a 300°F</v>
          </cell>
          <cell r="U129" t="str">
            <v xml:space="preserve">620 Pies Cuadrados/Gl </v>
          </cell>
          <cell r="V129" t="str">
            <v>40-50 unidades</v>
          </cell>
          <cell r="W129" t="str">
            <v>HB</v>
          </cell>
          <cell r="X129" t="str">
            <v>6-12 meses</v>
          </cell>
          <cell r="Y129" t="str">
            <v>HECASA</v>
          </cell>
          <cell r="Z129" t="str">
            <v>Muebles y Puertas Metálicas</v>
          </cell>
          <cell r="AA129" t="str">
            <v>-</v>
          </cell>
          <cell r="AB129" t="str">
            <v>Rene Ferrufino</v>
          </cell>
          <cell r="AC129" t="str">
            <v>S/F</v>
          </cell>
        </row>
        <row r="130">
          <cell r="A130" t="str">
            <v>SAA 3864</v>
          </cell>
          <cell r="B130" t="str">
            <v>Esmalte Horneable Alquidico Gris Oscuro</v>
          </cell>
          <cell r="C130" t="str">
            <v>Interior-Exterior</v>
          </cell>
          <cell r="D130" t="str">
            <v>Hierro</v>
          </cell>
          <cell r="E130" t="str">
            <v>Limpieza con Solvente</v>
          </cell>
          <cell r="F130" t="str">
            <v>Ninguno</v>
          </cell>
          <cell r="G130" t="str">
            <v>8.25 Lbs/Gl</v>
          </cell>
          <cell r="H130" t="str">
            <v>5.42%</v>
          </cell>
          <cell r="I130" t="str">
            <v>45.42%</v>
          </cell>
          <cell r="J130" t="str">
            <v>42.29%</v>
          </cell>
          <cell r="K130" t="str">
            <v>4.69%</v>
          </cell>
          <cell r="L130" t="str">
            <v>35.17%</v>
          </cell>
          <cell r="M130" t="str">
            <v>100"-110" Copa Zanh #2</v>
          </cell>
          <cell r="N130" t="str">
            <v>Pistola</v>
          </cell>
          <cell r="O130" t="str">
            <v>20-25 seg. Copa Zanh #2</v>
          </cell>
          <cell r="P130" t="str">
            <v>20-25%</v>
          </cell>
          <cell r="Q130" t="str">
            <v>R2K4         Industrial reducer</v>
          </cell>
          <cell r="R130" t="str">
            <v>1.0-1.2 mills</v>
          </cell>
          <cell r="S130" t="str">
            <v>Al horno</v>
          </cell>
          <cell r="T130" t="str">
            <v>15' a 300°F</v>
          </cell>
          <cell r="U130" t="str">
            <v>728.32  Pies Cuadrados/Gl a un mills de espesor</v>
          </cell>
          <cell r="V130" t="str">
            <v>+85</v>
          </cell>
          <cell r="W130" t="str">
            <v>H</v>
          </cell>
          <cell r="X130" t="str">
            <v>6-12 meses</v>
          </cell>
          <cell r="Y130" t="str">
            <v>Van Leer-Nicaragua</v>
          </cell>
          <cell r="Z130" t="str">
            <v>Barriles de Hierro</v>
          </cell>
          <cell r="AA130" t="str">
            <v>-</v>
          </cell>
          <cell r="AB130" t="str">
            <v>Luis Nolasco</v>
          </cell>
          <cell r="AC130" t="str">
            <v>S/F</v>
          </cell>
        </row>
        <row r="131">
          <cell r="A131" t="str">
            <v>SAA 3865</v>
          </cell>
          <cell r="B131" t="str">
            <v>Esmalte Horneable Negro Brillante</v>
          </cell>
          <cell r="C131" t="str">
            <v>Interior-Exterior</v>
          </cell>
          <cell r="D131" t="str">
            <v>Hierro</v>
          </cell>
          <cell r="E131" t="str">
            <v>Limpieza con Solvente</v>
          </cell>
          <cell r="F131" t="str">
            <v>Ninguno</v>
          </cell>
          <cell r="G131" t="str">
            <v>8.11 Lbs/Gl</v>
          </cell>
          <cell r="H131" t="str">
            <v>2.45%</v>
          </cell>
          <cell r="I131" t="str">
            <v>42.15%</v>
          </cell>
          <cell r="J131" t="str">
            <v>40.69%</v>
          </cell>
          <cell r="K131" t="str">
            <v>3.96%</v>
          </cell>
          <cell r="L131" t="str">
            <v>38.61%</v>
          </cell>
          <cell r="M131" t="str">
            <v>100"-110" Copa Zanh #2</v>
          </cell>
          <cell r="N131" t="str">
            <v>Pistola</v>
          </cell>
          <cell r="O131" t="str">
            <v>20-25 seg. Copa Zanh #2</v>
          </cell>
          <cell r="P131" t="str">
            <v>20-25%</v>
          </cell>
          <cell r="Q131" t="str">
            <v>R2K4         Industrial reducer</v>
          </cell>
          <cell r="R131" t="str">
            <v>1.0-1.2 mills</v>
          </cell>
          <cell r="S131" t="str">
            <v>Al horno</v>
          </cell>
          <cell r="T131" t="str">
            <v>15' a 300°F</v>
          </cell>
          <cell r="U131" t="str">
            <v>674.4 Pies Cuadrados/Gl a un mills de espesor</v>
          </cell>
          <cell r="V131" t="str">
            <v>+85</v>
          </cell>
          <cell r="W131" t="str">
            <v>H</v>
          </cell>
          <cell r="X131" t="str">
            <v>6-12 meses</v>
          </cell>
          <cell r="Y131" t="str">
            <v>Van Leer-Nicaragua</v>
          </cell>
          <cell r="Z131" t="str">
            <v>Barriles de Hierro</v>
          </cell>
          <cell r="AA131" t="str">
            <v>-</v>
          </cell>
          <cell r="AB131" t="str">
            <v>Luis Nolasco</v>
          </cell>
          <cell r="AC131" t="str">
            <v>S/F</v>
          </cell>
        </row>
        <row r="132">
          <cell r="A132" t="str">
            <v>SAA 3866</v>
          </cell>
          <cell r="B132" t="str">
            <v>Esmalte Horneable Alquidico Naranja Suave</v>
          </cell>
          <cell r="C132" t="str">
            <v>Interior-Exterior</v>
          </cell>
          <cell r="D132" t="str">
            <v>Hierro</v>
          </cell>
          <cell r="E132" t="str">
            <v>Limpieza con Solvente</v>
          </cell>
          <cell r="F132" t="str">
            <v>Ninguno</v>
          </cell>
          <cell r="G132" t="str">
            <v>9.05 Lbs/Gl</v>
          </cell>
          <cell r="H132" t="str">
            <v>14.95%</v>
          </cell>
          <cell r="I132" t="str">
            <v>51.53%</v>
          </cell>
          <cell r="J132" t="str">
            <v>42.89%</v>
          </cell>
          <cell r="K132" t="str">
            <v>8.79%</v>
          </cell>
          <cell r="L132" t="str">
            <v>36.89%</v>
          </cell>
          <cell r="M132" t="str">
            <v>100"-110" Copa Zanh #2</v>
          </cell>
          <cell r="N132" t="str">
            <v>Pistola</v>
          </cell>
          <cell r="O132" t="str">
            <v>20-25 seg. Copa Zanh #2</v>
          </cell>
          <cell r="P132" t="str">
            <v>20-25%</v>
          </cell>
          <cell r="Q132" t="str">
            <v>R2K4         Industrial reducer</v>
          </cell>
          <cell r="R132" t="str">
            <v>1.0-1.2 mills</v>
          </cell>
          <cell r="S132" t="str">
            <v>Al horno</v>
          </cell>
          <cell r="T132" t="str">
            <v>15' a 300°F</v>
          </cell>
          <cell r="U132" t="str">
            <v>824.48 Pies Cuadrados/Gl a un mills de espesor</v>
          </cell>
          <cell r="V132" t="str">
            <v>+85</v>
          </cell>
          <cell r="W132" t="str">
            <v>H</v>
          </cell>
          <cell r="X132" t="str">
            <v>6-12 meses</v>
          </cell>
          <cell r="Y132" t="str">
            <v>Van Leer-Nicaragua</v>
          </cell>
          <cell r="Z132" t="str">
            <v>Barriles de Hierro</v>
          </cell>
          <cell r="AA132" t="str">
            <v>-</v>
          </cell>
          <cell r="AB132" t="str">
            <v>Luis Nolasco</v>
          </cell>
          <cell r="AC132" t="str">
            <v>S/F</v>
          </cell>
        </row>
        <row r="133">
          <cell r="A133" t="str">
            <v>SAA 3873</v>
          </cell>
          <cell r="B133" t="str">
            <v>Esmalte Horneable Alquidico Beige Standard Steel</v>
          </cell>
          <cell r="C133" t="str">
            <v>Interior-Exterior</v>
          </cell>
          <cell r="D133" t="str">
            <v>Hierro</v>
          </cell>
          <cell r="E133" t="str">
            <v>Limpieza con R2K4, Desengrase, Fosfatizado</v>
          </cell>
          <cell r="F133" t="str">
            <v>Ninguno</v>
          </cell>
          <cell r="G133" t="str">
            <v>9.44 Lbs/Gl</v>
          </cell>
          <cell r="H133" t="str">
            <v>33.6%</v>
          </cell>
          <cell r="I133" t="str">
            <v>57.95%</v>
          </cell>
          <cell r="J133" t="str">
            <v>22.3%</v>
          </cell>
          <cell r="K133" t="str">
            <v>42.8%</v>
          </cell>
          <cell r="L133" t="str">
            <v>10.81%</v>
          </cell>
          <cell r="M133" t="str">
            <v>100"-110" Copa Zanh #2</v>
          </cell>
          <cell r="N133" t="str">
            <v>Pistola</v>
          </cell>
          <cell r="O133" t="str">
            <v>20-25 seg. Copa Zanh #2</v>
          </cell>
          <cell r="P133" t="str">
            <v>20-25%</v>
          </cell>
          <cell r="Q133" t="str">
            <v>R2K4         Industrial reducer</v>
          </cell>
          <cell r="R133" t="str">
            <v>1.0-1.2 mills</v>
          </cell>
          <cell r="S133" t="str">
            <v>Al horno</v>
          </cell>
          <cell r="T133" t="str">
            <v>15' a 300°F</v>
          </cell>
          <cell r="U133" t="str">
            <v xml:space="preserve">690 Pies Cuadrados/Gl </v>
          </cell>
          <cell r="V133" t="str">
            <v>+90</v>
          </cell>
          <cell r="W133" t="str">
            <v>HB</v>
          </cell>
          <cell r="X133" t="str">
            <v>6-12 meses</v>
          </cell>
          <cell r="Y133" t="str">
            <v>STANDARD STEEL (Nicaragua)</v>
          </cell>
          <cell r="Z133" t="str">
            <v>Muebles Metálicos</v>
          </cell>
          <cell r="AA133" t="str">
            <v>-</v>
          </cell>
          <cell r="AB133" t="str">
            <v>Rene Ferrufino</v>
          </cell>
          <cell r="AC133" t="str">
            <v>S/F</v>
          </cell>
        </row>
        <row r="134">
          <cell r="A134" t="str">
            <v>SAA 3874</v>
          </cell>
          <cell r="B134" t="str">
            <v>Esmalte Horneable Alquidico Rojo Shell</v>
          </cell>
          <cell r="C134" t="str">
            <v>Interior-Exterior</v>
          </cell>
          <cell r="D134" t="str">
            <v>Hierro</v>
          </cell>
          <cell r="E134" t="str">
            <v>Limpieza con Solvente</v>
          </cell>
          <cell r="F134" t="str">
            <v>Ninguno</v>
          </cell>
          <cell r="G134" t="str">
            <v>8.08 Lbs/Gl</v>
          </cell>
          <cell r="H134" t="str">
            <v>4.43%</v>
          </cell>
          <cell r="I134" t="str">
            <v>45.31%</v>
          </cell>
          <cell r="J134" t="str">
            <v>42.78%</v>
          </cell>
          <cell r="K134" t="str">
            <v>7.71%</v>
          </cell>
          <cell r="L134" t="str">
            <v>36.32%</v>
          </cell>
          <cell r="M134" t="str">
            <v>100"-110" Copa Zanh #2</v>
          </cell>
          <cell r="N134" t="str">
            <v>Pistola</v>
          </cell>
          <cell r="O134" t="str">
            <v>20-25 seg. Copa Zanh #2</v>
          </cell>
          <cell r="P134" t="str">
            <v>20-25%</v>
          </cell>
          <cell r="Q134" t="str">
            <v>R2K4         Industrial reducer</v>
          </cell>
          <cell r="R134" t="str">
            <v>1.0-1.2 mills</v>
          </cell>
          <cell r="S134" t="str">
            <v>Al horno</v>
          </cell>
          <cell r="T134" t="str">
            <v>15' a 300°F</v>
          </cell>
          <cell r="U134" t="str">
            <v>724.96 Pies Cuadrados/Gl a un mills de espesor</v>
          </cell>
          <cell r="V134" t="str">
            <v>+85</v>
          </cell>
          <cell r="W134" t="str">
            <v>H</v>
          </cell>
          <cell r="X134" t="str">
            <v>6-12 meses</v>
          </cell>
          <cell r="Y134" t="str">
            <v>Van Leer-Nicaragua</v>
          </cell>
          <cell r="Z134" t="str">
            <v>Barriles de Hierro</v>
          </cell>
          <cell r="AA134" t="str">
            <v>-</v>
          </cell>
          <cell r="AB134" t="str">
            <v>Luis Nolasco</v>
          </cell>
          <cell r="AC134" t="str">
            <v>S/F</v>
          </cell>
        </row>
        <row r="135">
          <cell r="A135" t="str">
            <v>SAA 3875</v>
          </cell>
          <cell r="B135" t="str">
            <v>Esmalte Horneable Alquidico Amarillo Shell</v>
          </cell>
          <cell r="C135" t="str">
            <v>Interior-Exterior</v>
          </cell>
          <cell r="D135" t="str">
            <v>Hierro</v>
          </cell>
          <cell r="E135" t="str">
            <v>Limpieza con Solvente</v>
          </cell>
          <cell r="F135" t="str">
            <v>Ninguno</v>
          </cell>
          <cell r="G135" t="str">
            <v>9.70 Lbs/Gl</v>
          </cell>
          <cell r="H135" t="str">
            <v>22.27%</v>
          </cell>
          <cell r="I135" t="str">
            <v>56.05%</v>
          </cell>
          <cell r="J135" t="str">
            <v>43.46%</v>
          </cell>
          <cell r="K135" t="str">
            <v>13.14%</v>
          </cell>
          <cell r="L135" t="str">
            <v>38.59%</v>
          </cell>
          <cell r="M135" t="str">
            <v>100"-110" Copa Zanh #2</v>
          </cell>
          <cell r="N135" t="str">
            <v>Pistola</v>
          </cell>
          <cell r="O135" t="str">
            <v>20-25 seg. Copa Zanh #2</v>
          </cell>
          <cell r="P135" t="str">
            <v>20-25%</v>
          </cell>
          <cell r="Q135" t="str">
            <v>R2K4         Industrial reducer</v>
          </cell>
          <cell r="R135" t="str">
            <v>1.0-1.2 mills</v>
          </cell>
          <cell r="S135" t="str">
            <v>Al horno</v>
          </cell>
          <cell r="T135" t="str">
            <v>15' a 300°F</v>
          </cell>
          <cell r="U135" t="str">
            <v>896.8 Pies Cuadrados/Gl a un mills de espesor</v>
          </cell>
          <cell r="V135" t="str">
            <v>+85</v>
          </cell>
          <cell r="W135" t="str">
            <v>H</v>
          </cell>
          <cell r="X135" t="str">
            <v>6-12 meses</v>
          </cell>
          <cell r="Y135" t="str">
            <v>Van Leer-Nicaragua</v>
          </cell>
          <cell r="Z135" t="str">
            <v>Barriles de Hierro</v>
          </cell>
          <cell r="AA135" t="str">
            <v>-</v>
          </cell>
          <cell r="AB135" t="str">
            <v>Luis Nolasco</v>
          </cell>
          <cell r="AC135" t="str">
            <v>S/F</v>
          </cell>
        </row>
        <row r="136">
          <cell r="A136" t="str">
            <v>SAA 3876</v>
          </cell>
          <cell r="B136" t="str">
            <v>Esmalte Horneable Café Claro</v>
          </cell>
          <cell r="C136" t="str">
            <v>Interior-Exterior</v>
          </cell>
          <cell r="D136" t="str">
            <v>Hierro</v>
          </cell>
          <cell r="E136" t="str">
            <v>Limpieza con Solvente</v>
          </cell>
          <cell r="F136" t="str">
            <v>Ninguno</v>
          </cell>
          <cell r="G136" t="str">
            <v>9.91 Lbs/Gl</v>
          </cell>
          <cell r="H136" t="str">
            <v>51.12%</v>
          </cell>
          <cell r="I136" t="str">
            <v>58%</v>
          </cell>
          <cell r="J136" t="str">
            <v>6.88%</v>
          </cell>
          <cell r="K136" t="str">
            <v>29.41%</v>
          </cell>
          <cell r="L136" t="str">
            <v>41%</v>
          </cell>
          <cell r="M136" t="str">
            <v>100"-110" Copa Zanh #2</v>
          </cell>
          <cell r="N136" t="str">
            <v>Pistola</v>
          </cell>
          <cell r="O136" t="str">
            <v>20-25 seg. Copa Zanh #2</v>
          </cell>
          <cell r="P136" t="str">
            <v>20-25%</v>
          </cell>
          <cell r="Q136" t="str">
            <v>R2K4         Industrial reducer</v>
          </cell>
          <cell r="R136" t="str">
            <v>1.0-1.2 mills</v>
          </cell>
          <cell r="S136" t="str">
            <v>Al horno</v>
          </cell>
          <cell r="T136" t="str">
            <v>15' a 300°F</v>
          </cell>
          <cell r="U136" t="str">
            <v>656 Pies Cuadrados/Gl a un mills de espesor</v>
          </cell>
          <cell r="V136" t="str">
            <v>18-25</v>
          </cell>
          <cell r="W136" t="str">
            <v>H</v>
          </cell>
          <cell r="X136" t="str">
            <v>6-12 meses</v>
          </cell>
          <cell r="Y136" t="str">
            <v>HECASA</v>
          </cell>
          <cell r="Z136" t="str">
            <v>Muebles Metálicos</v>
          </cell>
          <cell r="AA136" t="str">
            <v>-</v>
          </cell>
          <cell r="AB136" t="str">
            <v>Beatriz Sandoval</v>
          </cell>
          <cell r="AC136" t="str">
            <v>S/F</v>
          </cell>
        </row>
        <row r="137">
          <cell r="A137" t="str">
            <v>SAA 3879</v>
          </cell>
          <cell r="B137" t="str">
            <v>Rubbing Compound Extra Fino</v>
          </cell>
          <cell r="C137" t="str">
            <v>-</v>
          </cell>
          <cell r="D137" t="str">
            <v>Acabados Finales Finos (Transparentes, Lacas, Esmaltes)*</v>
          </cell>
          <cell r="E137" t="str">
            <v>Limpia de Suciedad (agua)</v>
          </cell>
          <cell r="F137" t="str">
            <v>-</v>
          </cell>
          <cell r="G137" t="str">
            <v>11.01 Lbs/Gl</v>
          </cell>
          <cell r="H137" t="str">
            <v>88.3%</v>
          </cell>
          <cell r="I137" t="str">
            <v>52.6%</v>
          </cell>
          <cell r="J137" t="str">
            <v>11.7%</v>
          </cell>
          <cell r="K137" t="str">
            <v>73.9%</v>
          </cell>
          <cell r="L137" t="str">
            <v>31.4%</v>
          </cell>
          <cell r="M137" t="str">
            <v>65/70 KU</v>
          </cell>
          <cell r="N137" t="str">
            <v>Untado con Wipe, Franela o con la Mano.</v>
          </cell>
          <cell r="O137" t="str">
            <v>65-70 KU</v>
          </cell>
          <cell r="P137" t="str">
            <v>Ninguno</v>
          </cell>
          <cell r="Q137" t="str">
            <v>Agua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1 Año</v>
          </cell>
          <cell r="Y137" t="str">
            <v>Talleres Automotrices</v>
          </cell>
          <cell r="Z137" t="str">
            <v>Pintado y Pasteado de Vehículos Automotrices.</v>
          </cell>
          <cell r="AA137" t="str">
            <v>*En donde se requiera poca abrasión, para no dañar acabados sumamente finos.</v>
          </cell>
          <cell r="AB137" t="str">
            <v>Rene Ferrufino</v>
          </cell>
          <cell r="AC137" t="str">
            <v>S/F</v>
          </cell>
        </row>
        <row r="138">
          <cell r="A138" t="str">
            <v>T60F50</v>
          </cell>
          <cell r="B138" t="str">
            <v>Sherwood Sanding Sealer No. 46</v>
          </cell>
          <cell r="C138" t="str">
            <v>Interior</v>
          </cell>
          <cell r="D138" t="str">
            <v>Madra</v>
          </cell>
          <cell r="E138" t="str">
            <v>Lijar Madera</v>
          </cell>
          <cell r="F138" t="str">
            <v>Tapaporo Nogal Oscuro Listo Para Usar</v>
          </cell>
          <cell r="G138" t="str">
            <v>7.8 Lbs/Gl</v>
          </cell>
          <cell r="H138" t="str">
            <v>-</v>
          </cell>
          <cell r="I138" t="str">
            <v>39%</v>
          </cell>
          <cell r="J138" t="str">
            <v>-</v>
          </cell>
          <cell r="K138" t="str">
            <v>-</v>
          </cell>
          <cell r="L138" t="str">
            <v>29%</v>
          </cell>
          <cell r="M138" t="str">
            <v>135-140 KU</v>
          </cell>
          <cell r="N138" t="str">
            <v>Pistola de aire</v>
          </cell>
          <cell r="O138" t="str">
            <v>25-30 Seg. Copa Zanh #2</v>
          </cell>
          <cell r="P138" t="str">
            <v>200% con Thinner R7K128</v>
          </cell>
          <cell r="Q138" t="str">
            <v>R7K128</v>
          </cell>
          <cell r="R138" t="str">
            <v>0.8 mills</v>
          </cell>
          <cell r="S138" t="str">
            <v>Tocar: 5-10 Min, Total: 15 Min. Recubrir: 30 Min.</v>
          </cell>
          <cell r="T138" t="str">
            <v>-</v>
          </cell>
          <cell r="U138" t="str">
            <v>45 Mts Cuadrados/Gl</v>
          </cell>
          <cell r="V138" t="str">
            <v>5-10</v>
          </cell>
          <cell r="W138" t="str">
            <v>-</v>
          </cell>
          <cell r="X138" t="str">
            <v>-</v>
          </cell>
          <cell r="Y138" t="str">
            <v>Olympia Empac-Guatemala</v>
          </cell>
          <cell r="Z138" t="str">
            <v>Muebles de Madera.</v>
          </cell>
          <cell r="AA138" t="str">
            <v>-</v>
          </cell>
          <cell r="AB138" t="str">
            <v>-</v>
          </cell>
          <cell r="AC138" t="str">
            <v>S/F</v>
          </cell>
        </row>
        <row r="139">
          <cell r="A139" t="str">
            <v>T70CSA16 (1)</v>
          </cell>
          <cell r="B139" t="str">
            <v>Laca Industrial Transparente Brillante</v>
          </cell>
          <cell r="C139" t="str">
            <v>Interior</v>
          </cell>
          <cell r="D139" t="str">
            <v>Polietileno y Poliestireno</v>
          </cell>
          <cell r="E139" t="str">
            <v>Limpieza Adecuada</v>
          </cell>
          <cell r="F139" t="str">
            <v>-</v>
          </cell>
          <cell r="G139" t="str">
            <v>8.0 Lbs/Gl</v>
          </cell>
          <cell r="H139" t="str">
            <v>-</v>
          </cell>
          <cell r="I139" t="str">
            <v>40%</v>
          </cell>
          <cell r="J139" t="str">
            <v>40%</v>
          </cell>
          <cell r="K139" t="str">
            <v>-</v>
          </cell>
          <cell r="L139" t="str">
            <v>32%</v>
          </cell>
          <cell r="M139" t="str">
            <v>J-L (Gardner-Holdt)</v>
          </cell>
          <cell r="N139" t="str">
            <v>Spray (Pistola)</v>
          </cell>
          <cell r="O139" t="str">
            <v>25"-28" Copa Zanh #2</v>
          </cell>
          <cell r="P139" t="str">
            <v>100-125%</v>
          </cell>
          <cell r="Q139" t="str">
            <v>R6KA10 Thinner Especial INDISA</v>
          </cell>
          <cell r="R139" t="str">
            <v>0.5-0.7 mills</v>
          </cell>
          <cell r="S139" t="str">
            <v>Al Aire 5-10 min</v>
          </cell>
          <cell r="T139" t="str">
            <v>-</v>
          </cell>
          <cell r="V139" t="str">
            <v>80</v>
          </cell>
          <cell r="W139" t="str">
            <v>2B-B</v>
          </cell>
          <cell r="X139" t="str">
            <v>1-1 1/2 Años</v>
          </cell>
          <cell r="Y139" t="str">
            <v>INDISA</v>
          </cell>
          <cell r="Z139" t="str">
            <v>Adornos Navideños y otros.</v>
          </cell>
          <cell r="AA139" t="str">
            <v>-</v>
          </cell>
          <cell r="AB139" t="str">
            <v>-</v>
          </cell>
          <cell r="AC139" t="str">
            <v>S/F</v>
          </cell>
        </row>
        <row r="140">
          <cell r="A140" t="str">
            <v>T70CSA18</v>
          </cell>
          <cell r="B140" t="str">
            <v>Laca Especial Transparente Final</v>
          </cell>
          <cell r="C140" t="str">
            <v>Interior</v>
          </cell>
          <cell r="D140" t="str">
            <v>Polietileno y Poliestireno</v>
          </cell>
          <cell r="E140" t="str">
            <v>Limpieza Adecuada</v>
          </cell>
          <cell r="F140" t="str">
            <v>T70CSA16</v>
          </cell>
          <cell r="G140" t="str">
            <v>7.59 Lbs/Gl</v>
          </cell>
          <cell r="H140" t="str">
            <v>-</v>
          </cell>
          <cell r="I140" t="str">
            <v>20.84%</v>
          </cell>
          <cell r="J140" t="str">
            <v>20.84%</v>
          </cell>
          <cell r="K140" t="str">
            <v>-</v>
          </cell>
          <cell r="L140" t="str">
            <v>13.51%</v>
          </cell>
          <cell r="M140" t="str">
            <v>10"-15" SW#5</v>
          </cell>
          <cell r="N140" t="str">
            <v>Spray (Pistola)</v>
          </cell>
          <cell r="O140" t="str">
            <v>25"-28" Copa Zanh #2</v>
          </cell>
          <cell r="P140" t="str">
            <v>100-125%</v>
          </cell>
          <cell r="Q140" t="str">
            <v>R7KSA13 Thinner Especial</v>
          </cell>
          <cell r="R140" t="str">
            <v>0.5-0.7 mills</v>
          </cell>
          <cell r="S140" t="str">
            <v>Al aire 5-10 min</v>
          </cell>
          <cell r="T140" t="str">
            <v>-</v>
          </cell>
          <cell r="U140" t="str">
            <v>-</v>
          </cell>
          <cell r="V140" t="str">
            <v>85-90 unidades</v>
          </cell>
          <cell r="W140" t="str">
            <v>2B-B</v>
          </cell>
          <cell r="X140" t="str">
            <v>1-1 1/2 Años</v>
          </cell>
          <cell r="Y140" t="str">
            <v>INDISA</v>
          </cell>
          <cell r="Z140" t="str">
            <v>Adornos Navideños y otros.</v>
          </cell>
          <cell r="AA140" t="str">
            <v>-</v>
          </cell>
          <cell r="AB140" t="str">
            <v>-</v>
          </cell>
          <cell r="AC140" t="str">
            <v>S/F</v>
          </cell>
        </row>
        <row r="141">
          <cell r="A141" t="str">
            <v>V71VSA1 T-1</v>
          </cell>
          <cell r="B141" t="str">
            <v>Barniz Interior Sanitario  Dorado</v>
          </cell>
          <cell r="C141" t="str">
            <v>Interior</v>
          </cell>
          <cell r="D141" t="str">
            <v>Hojalata</v>
          </cell>
          <cell r="E141" t="str">
            <v>Limpia con Solvente</v>
          </cell>
          <cell r="F141" t="str">
            <v>Ninguno</v>
          </cell>
          <cell r="G141" t="str">
            <v>8.15 Lbs/Gl</v>
          </cell>
          <cell r="H141" t="str">
            <v>-</v>
          </cell>
          <cell r="I141" t="str">
            <v>31.68%</v>
          </cell>
          <cell r="J141" t="str">
            <v>31.68%</v>
          </cell>
          <cell r="K141" t="str">
            <v>-</v>
          </cell>
          <cell r="L141" t="str">
            <v>27.65%</v>
          </cell>
          <cell r="M141" t="str">
            <v>160"-170" Copa SW #3</v>
          </cell>
          <cell r="N141" t="str">
            <v>Rodillo</v>
          </cell>
          <cell r="O141" t="str">
            <v>160"-170" Copa SW #3</v>
          </cell>
          <cell r="P141" t="str">
            <v>-</v>
          </cell>
          <cell r="Q141" t="str">
            <v>-</v>
          </cell>
          <cell r="R141" t="str">
            <v>1 mills</v>
          </cell>
          <cell r="S141" t="str">
            <v>Al Horno</v>
          </cell>
          <cell r="T141" t="str">
            <v>12' a 190°C</v>
          </cell>
          <cell r="U141" t="str">
            <v>547 Mts Cuadrados/Gl a 1 mills de espesor.</v>
          </cell>
          <cell r="V141" t="str">
            <v>+90</v>
          </cell>
          <cell r="W141" t="str">
            <v>-</v>
          </cell>
          <cell r="X141" t="str">
            <v>6-12 meses</v>
          </cell>
          <cell r="Y141" t="str">
            <v>Nicaragua</v>
          </cell>
          <cell r="Z141" t="str">
            <v>-</v>
          </cell>
          <cell r="AA141" t="str">
            <v>-</v>
          </cell>
          <cell r="AB141" t="str">
            <v>Luis Nolasco</v>
          </cell>
          <cell r="AC141" t="str">
            <v>S/F</v>
          </cell>
        </row>
        <row r="142">
          <cell r="A142" t="str">
            <v>V76VSA11 T-2</v>
          </cell>
          <cell r="B142" t="str">
            <v>Wet Ink Varnish Special</v>
          </cell>
          <cell r="C142" t="str">
            <v>Interior-Exterior</v>
          </cell>
          <cell r="D142" t="str">
            <v>Hojalata</v>
          </cell>
          <cell r="E142" t="str">
            <v>Limpia</v>
          </cell>
          <cell r="F142" t="str">
            <v>Ninguno</v>
          </cell>
          <cell r="G142" t="str">
            <v>7.69 Lbs/Gl</v>
          </cell>
          <cell r="H142" t="str">
            <v>-</v>
          </cell>
          <cell r="I142" t="str">
            <v>50.11%</v>
          </cell>
          <cell r="J142" t="str">
            <v>50.11%</v>
          </cell>
          <cell r="K142" t="str">
            <v>-</v>
          </cell>
          <cell r="L142" t="str">
            <v>42.72%</v>
          </cell>
          <cell r="M142" t="str">
            <v>50"-60" Copa Ford #4</v>
          </cell>
          <cell r="N142" t="str">
            <v>Rodillo</v>
          </cell>
          <cell r="O142" t="str">
            <v>50"-60" Copa Ford #4</v>
          </cell>
          <cell r="P142" t="str">
            <v>03-32-10 Si es Necesario</v>
          </cell>
          <cell r="Q142" t="str">
            <v>03-32-10</v>
          </cell>
          <cell r="R142" t="str">
            <v>-</v>
          </cell>
          <cell r="S142" t="str">
            <v>-</v>
          </cell>
          <cell r="T142" t="str">
            <v>12' a 160°C</v>
          </cell>
          <cell r="U142" t="str">
            <v>-</v>
          </cell>
          <cell r="V142" t="str">
            <v>+90</v>
          </cell>
          <cell r="W142" t="str">
            <v>B</v>
          </cell>
          <cell r="X142" t="str">
            <v>12 meses</v>
          </cell>
          <cell r="Y142" t="str">
            <v>CORLASA</v>
          </cell>
          <cell r="Z142" t="str">
            <v>Tapas Coronas, Afiches, Etc.</v>
          </cell>
          <cell r="AA142" t="str">
            <v>-</v>
          </cell>
          <cell r="AB142" t="str">
            <v>-</v>
          </cell>
          <cell r="AC142" t="str">
            <v>S/F</v>
          </cell>
        </row>
        <row r="143">
          <cell r="A143" t="str">
            <v>V76VSA13 T-2</v>
          </cell>
          <cell r="B143" t="str">
            <v>Barniz para Interiores Fenólico de Alta Resistencia Química</v>
          </cell>
          <cell r="C143" t="str">
            <v>Interior</v>
          </cell>
          <cell r="D143" t="str">
            <v>Hojalata</v>
          </cell>
          <cell r="E143" t="str">
            <v>Limpia</v>
          </cell>
          <cell r="F143" t="str">
            <v>Ninguno</v>
          </cell>
          <cell r="G143" t="str">
            <v>8.0 Lbs/Gl</v>
          </cell>
          <cell r="H143" t="str">
            <v>-</v>
          </cell>
          <cell r="I143" t="str">
            <v>38.91%</v>
          </cell>
          <cell r="J143" t="str">
            <v>38.91%</v>
          </cell>
          <cell r="K143" t="str">
            <v>-</v>
          </cell>
          <cell r="L143" t="str">
            <v>25.34%</v>
          </cell>
          <cell r="M143" t="str">
            <v>55"-65" Copa Ford #4</v>
          </cell>
          <cell r="N143" t="str">
            <v>Rodillo</v>
          </cell>
          <cell r="O143" t="str">
            <v>55"-65" Copa Ford #4</v>
          </cell>
          <cell r="P143" t="str">
            <v>Ninguno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20' a 375°F</v>
          </cell>
          <cell r="U143" t="str">
            <v>622.56 Pies Cuadrados/Gl</v>
          </cell>
          <cell r="V143" t="str">
            <v>80</v>
          </cell>
          <cell r="W143" t="str">
            <v>-</v>
          </cell>
          <cell r="X143" t="str">
            <v>12 meses</v>
          </cell>
          <cell r="Y143" t="str">
            <v>Van Leer</v>
          </cell>
          <cell r="Z143" t="str">
            <v>Envases Metálicos</v>
          </cell>
          <cell r="AA143" t="str">
            <v>-</v>
          </cell>
          <cell r="AB143" t="str">
            <v>-</v>
          </cell>
          <cell r="AC143" t="str">
            <v>S/F</v>
          </cell>
        </row>
        <row r="144">
          <cell r="A144" t="str">
            <v>V76VSA16 (1)</v>
          </cell>
          <cell r="B144" t="str">
            <v>Barniz Horneable Especial Para Tapacoronas</v>
          </cell>
          <cell r="C144" t="str">
            <v>Exterior</v>
          </cell>
          <cell r="D144" t="str">
            <v>Hojalata</v>
          </cell>
          <cell r="E144" t="str">
            <v>Limpia</v>
          </cell>
          <cell r="F144" t="str">
            <v>Ninguno</v>
          </cell>
          <cell r="G144" t="str">
            <v>8.03 Lbs/Gl</v>
          </cell>
          <cell r="H144" t="str">
            <v>-</v>
          </cell>
          <cell r="I144" t="str">
            <v>48.58%</v>
          </cell>
          <cell r="J144" t="str">
            <v>48.58%</v>
          </cell>
          <cell r="K144" t="str">
            <v>-</v>
          </cell>
          <cell r="L144" t="str">
            <v>40.40%</v>
          </cell>
          <cell r="M144" t="str">
            <v>50"-55" Copa SW #3</v>
          </cell>
          <cell r="N144" t="str">
            <v>Rodillo</v>
          </cell>
          <cell r="O144" t="str">
            <v>50"-55" Copa SW #3</v>
          </cell>
          <cell r="P144" t="str">
            <v>-</v>
          </cell>
          <cell r="Q144" t="str">
            <v>-</v>
          </cell>
          <cell r="R144" t="str">
            <v>1 mills</v>
          </cell>
          <cell r="S144" t="str">
            <v>Al Horno</v>
          </cell>
          <cell r="T144" t="str">
            <v>12' a 190°C</v>
          </cell>
          <cell r="U144" t="str">
            <v>777 Mts Cuadrados/Gl a 1 mills de espesor.</v>
          </cell>
          <cell r="V144" t="str">
            <v>+90</v>
          </cell>
          <cell r="W144" t="str">
            <v>H</v>
          </cell>
          <cell r="X144" t="str">
            <v>6-12 meses</v>
          </cell>
          <cell r="Y144" t="str">
            <v>Nicaragua</v>
          </cell>
          <cell r="Z144" t="str">
            <v>-</v>
          </cell>
          <cell r="AA144" t="str">
            <v>-</v>
          </cell>
          <cell r="AB144" t="str">
            <v>Luis Nolasco</v>
          </cell>
          <cell r="AC144" t="str">
            <v>S/F</v>
          </cell>
        </row>
        <row r="145">
          <cell r="A145" t="str">
            <v>V76VSA9 T-11</v>
          </cell>
          <cell r="B145" t="str">
            <v xml:space="preserve">Wet Ink Varnish </v>
          </cell>
          <cell r="C145" t="str">
            <v>Interior-Exterior</v>
          </cell>
          <cell r="D145" t="str">
            <v>Hojalata</v>
          </cell>
          <cell r="E145" t="str">
            <v>Limpia</v>
          </cell>
          <cell r="F145" t="str">
            <v>Ninguno</v>
          </cell>
          <cell r="G145" t="str">
            <v>8.09 Lbs/Gl</v>
          </cell>
          <cell r="H145" t="str">
            <v>-</v>
          </cell>
          <cell r="I145" t="str">
            <v>49.09%</v>
          </cell>
          <cell r="J145" t="str">
            <v>49.09%</v>
          </cell>
          <cell r="K145" t="str">
            <v>-</v>
          </cell>
          <cell r="L145" t="str">
            <v>41.69%</v>
          </cell>
          <cell r="M145" t="str">
            <v>50"-60" Copa Ford #4</v>
          </cell>
          <cell r="N145" t="str">
            <v>Rodillo</v>
          </cell>
          <cell r="O145" t="str">
            <v>50"-60" Copa Ford #4</v>
          </cell>
          <cell r="P145" t="str">
            <v>03-32-10 Si es Necesario</v>
          </cell>
          <cell r="Q145" t="str">
            <v>03-32-10</v>
          </cell>
          <cell r="R145" t="str">
            <v>-</v>
          </cell>
          <cell r="S145" t="str">
            <v>-</v>
          </cell>
          <cell r="T145" t="str">
            <v>12' a 160°C</v>
          </cell>
          <cell r="U145" t="str">
            <v>-</v>
          </cell>
          <cell r="V145" t="str">
            <v>+90</v>
          </cell>
          <cell r="W145" t="str">
            <v>B</v>
          </cell>
          <cell r="X145" t="str">
            <v>12 meses</v>
          </cell>
          <cell r="Y145" t="str">
            <v>CORLASA</v>
          </cell>
          <cell r="Z145" t="str">
            <v>Tapas Coronas, Afiches, Etc.</v>
          </cell>
          <cell r="AA145" t="str">
            <v>-</v>
          </cell>
          <cell r="AB145" t="str">
            <v>-</v>
          </cell>
          <cell r="AC145" t="str">
            <v>S/F</v>
          </cell>
        </row>
        <row r="146">
          <cell r="A146" t="str">
            <v>V83CSA2</v>
          </cell>
          <cell r="B146" t="str">
            <v>Barniz Artesanal</v>
          </cell>
          <cell r="C146" t="str">
            <v>Interior</v>
          </cell>
          <cell r="D146" t="str">
            <v>Madera</v>
          </cell>
          <cell r="E146" t="str">
            <v>Limpia, sin Polvo</v>
          </cell>
          <cell r="F146" t="str">
            <v>-</v>
          </cell>
          <cell r="G146" t="str">
            <v>7.87 Lbs/Gl</v>
          </cell>
          <cell r="H146" t="str">
            <v>-</v>
          </cell>
          <cell r="I146" t="str">
            <v>40.1%</v>
          </cell>
          <cell r="J146" t="str">
            <v>40.1%</v>
          </cell>
          <cell r="K146" t="str">
            <v>-</v>
          </cell>
          <cell r="L146" t="str">
            <v>35.2%</v>
          </cell>
          <cell r="M146" t="str">
            <v>J-L (Gardner-Holdt)</v>
          </cell>
          <cell r="N146" t="str">
            <v>Brocha,Pistola de Aire</v>
          </cell>
          <cell r="O146" t="str">
            <v>-</v>
          </cell>
          <cell r="P146" t="str">
            <v>Brocha: Lo necesario con R2K4; Pistola de Aire: 20% con R2K4</v>
          </cell>
          <cell r="Q146" t="str">
            <v>R2K4         Industrial reducer</v>
          </cell>
          <cell r="R146" t="str">
            <v>-</v>
          </cell>
          <cell r="S146" t="str">
            <v>Al Aire</v>
          </cell>
          <cell r="T146" t="str">
            <v>-</v>
          </cell>
          <cell r="U146" t="str">
            <v>-</v>
          </cell>
          <cell r="V146" t="str">
            <v>80</v>
          </cell>
          <cell r="W146" t="str">
            <v>-</v>
          </cell>
          <cell r="X146" t="str">
            <v>10-12 meses</v>
          </cell>
          <cell r="Y146" t="str">
            <v>La semilla de Dios</v>
          </cell>
          <cell r="Z146" t="str">
            <v>Cuadros y Figuras Artesanales</v>
          </cell>
          <cell r="AA146" t="str">
            <v>Recubrir 3 Horas después de aplicar la Primera mano. Empaquetar después de 48 Horas de Aplicado.</v>
          </cell>
          <cell r="AB146" t="str">
            <v>-</v>
          </cell>
          <cell r="AC146" t="str">
            <v>S/F</v>
          </cell>
        </row>
        <row r="147">
          <cell r="A147" t="str">
            <v>X79ASA1</v>
          </cell>
          <cell r="B147" t="str">
            <v>Plastisol Crown Lining</v>
          </cell>
          <cell r="C147" t="str">
            <v>Interior</v>
          </cell>
          <cell r="D147" t="str">
            <v>Tapa Corona</v>
          </cell>
          <cell r="E147" t="str">
            <v>Limpieza</v>
          </cell>
          <cell r="F147" t="str">
            <v>Ninguno</v>
          </cell>
          <cell r="G147" t="str">
            <v>10.17 Lbs/Gl</v>
          </cell>
          <cell r="H147" t="str">
            <v>Ninguno</v>
          </cell>
          <cell r="I147" t="str">
            <v>100%</v>
          </cell>
          <cell r="J147" t="str">
            <v>100%</v>
          </cell>
          <cell r="K147" t="str">
            <v>-</v>
          </cell>
          <cell r="L147" t="str">
            <v>100%</v>
          </cell>
          <cell r="M147" t="str">
            <v>130-140 KU</v>
          </cell>
          <cell r="N147" t="str">
            <v>Especial</v>
          </cell>
          <cell r="O147" t="str">
            <v>130-140 KU</v>
          </cell>
          <cell r="P147" t="str">
            <v>Ninguno</v>
          </cell>
          <cell r="Q147" t="str">
            <v>Ninguno</v>
          </cell>
          <cell r="R147" t="str">
            <v>-</v>
          </cell>
          <cell r="S147" t="str">
            <v>-</v>
          </cell>
          <cell r="T147" t="str">
            <v>70 Seg. a 210°C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12 meses</v>
          </cell>
          <cell r="Y147" t="str">
            <v>MAVICA Guatemala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S/F</v>
          </cell>
        </row>
        <row r="148">
          <cell r="A148" t="str">
            <v>SAA 1737</v>
          </cell>
          <cell r="B148" t="str">
            <v>Anticorrosivo Verde Esmeralda</v>
          </cell>
          <cell r="C148" t="str">
            <v>Interior-Exterior</v>
          </cell>
          <cell r="D148" t="str">
            <v>Estantes Metálicos</v>
          </cell>
          <cell r="E148" t="str">
            <v>Limpieza con Cepillo de Alambre</v>
          </cell>
          <cell r="F148" t="str">
            <v>-</v>
          </cell>
          <cell r="G148" t="str">
            <v>10.40 Lbs/Gl</v>
          </cell>
          <cell r="H148" t="str">
            <v>-</v>
          </cell>
          <cell r="I148" t="str">
            <v>68.39%</v>
          </cell>
          <cell r="J148" t="str">
            <v>-</v>
          </cell>
          <cell r="K148" t="str">
            <v>-</v>
          </cell>
          <cell r="L148" t="str">
            <v>50.41%</v>
          </cell>
          <cell r="M148" t="str">
            <v>30"-40"</v>
          </cell>
          <cell r="N148" t="str">
            <v>Brocha</v>
          </cell>
          <cell r="O148" t="str">
            <v>Directa</v>
          </cell>
          <cell r="P148" t="str">
            <v>15% con R1K4 si es Necesario</v>
          </cell>
          <cell r="Q148" t="str">
            <v>R1K4   Mineral Spirits</v>
          </cell>
          <cell r="R148" t="str">
            <v>2 mills</v>
          </cell>
          <cell r="S148" t="str">
            <v>-</v>
          </cell>
          <cell r="T148" t="str">
            <v>-</v>
          </cell>
          <cell r="U148" t="str">
            <v>725 Pies Cuadrados/Gl</v>
          </cell>
          <cell r="V148" t="str">
            <v>-</v>
          </cell>
          <cell r="W148" t="str">
            <v>-</v>
          </cell>
          <cell r="X148" t="str">
            <v>12 meses</v>
          </cell>
          <cell r="Y148" t="str">
            <v>Gobierno de El Salvador</v>
          </cell>
          <cell r="Z148" t="str">
            <v>Estantes Metálicos</v>
          </cell>
          <cell r="AA148" t="str">
            <v>-</v>
          </cell>
          <cell r="AB148" t="str">
            <v>-</v>
          </cell>
          <cell r="AC148">
            <v>27796</v>
          </cell>
        </row>
        <row r="149">
          <cell r="A149" t="str">
            <v>SAA 1735</v>
          </cell>
          <cell r="B149" t="str">
            <v>Laca Industrial Aluminio</v>
          </cell>
          <cell r="C149" t="str">
            <v>Interior</v>
          </cell>
          <cell r="D149" t="str">
            <v>Muebles Metálicos</v>
          </cell>
          <cell r="E149" t="str">
            <v>Lijado y Limpieza con Solvente</v>
          </cell>
          <cell r="F149" t="str">
            <v>P61W1</v>
          </cell>
          <cell r="G149" t="str">
            <v>7.90 Lbs/Gl</v>
          </cell>
          <cell r="H149" t="str">
            <v>-</v>
          </cell>
          <cell r="I149" t="str">
            <v>30.37%</v>
          </cell>
          <cell r="J149" t="str">
            <v>-</v>
          </cell>
          <cell r="K149" t="str">
            <v>-</v>
          </cell>
          <cell r="L149" t="str">
            <v>22.26%</v>
          </cell>
          <cell r="M149" t="str">
            <v>35"-40" Copa SW #5</v>
          </cell>
          <cell r="N149" t="str">
            <v>Pistola</v>
          </cell>
          <cell r="O149" t="str">
            <v>20"-22" Copa Ford #4</v>
          </cell>
          <cell r="P149" t="str">
            <v>100-150%</v>
          </cell>
          <cell r="Q149" t="str">
            <v>R7K128</v>
          </cell>
          <cell r="R149" t="str">
            <v>1.0 mills</v>
          </cell>
          <cell r="S149" t="str">
            <v>-</v>
          </cell>
          <cell r="T149" t="str">
            <v>-</v>
          </cell>
          <cell r="U149" t="str">
            <v>30 Pies Cuadrados/Gl</v>
          </cell>
          <cell r="V149" t="str">
            <v>+85</v>
          </cell>
          <cell r="W149" t="str">
            <v>-</v>
          </cell>
          <cell r="X149" t="str">
            <v>12 meses</v>
          </cell>
          <cell r="Y149" t="str">
            <v>Muebles Ganz</v>
          </cell>
          <cell r="Z149" t="str">
            <v>Muebles Metálicos</v>
          </cell>
          <cell r="AA149" t="str">
            <v>-</v>
          </cell>
          <cell r="AB149" t="str">
            <v>-</v>
          </cell>
          <cell r="AC149">
            <v>27800</v>
          </cell>
        </row>
        <row r="150">
          <cell r="A150" t="str">
            <v>SAA 1736</v>
          </cell>
          <cell r="B150" t="str">
            <v>Esmalte Horneable Alquídico Aluminio</v>
          </cell>
          <cell r="C150" t="str">
            <v>Interior</v>
          </cell>
          <cell r="D150" t="str">
            <v>Operadores de Ventanas de Zamak</v>
          </cell>
          <cell r="E150" t="str">
            <v>Limpieza con Solvente</v>
          </cell>
          <cell r="F150" t="str">
            <v>-</v>
          </cell>
          <cell r="G150" t="str">
            <v>8.27 Lbs/Gl</v>
          </cell>
          <cell r="H150" t="str">
            <v>-</v>
          </cell>
          <cell r="I150" t="str">
            <v>50.78%</v>
          </cell>
          <cell r="J150" t="str">
            <v>-</v>
          </cell>
          <cell r="K150" t="str">
            <v>-</v>
          </cell>
          <cell r="L150" t="str">
            <v>40.45%</v>
          </cell>
          <cell r="M150" t="str">
            <v>80"-90" Copa Zanh #2</v>
          </cell>
          <cell r="N150" t="str">
            <v>Pistola</v>
          </cell>
          <cell r="O150" t="str">
            <v>25"-30" Copa Zanh #2</v>
          </cell>
          <cell r="P150" t="str">
            <v>20% R2K4</v>
          </cell>
          <cell r="Q150" t="str">
            <v>R2K4         Industrial reducer</v>
          </cell>
          <cell r="R150" t="str">
            <v>1.0-1.5 mills</v>
          </cell>
          <cell r="S150" t="str">
            <v>Al Horno</v>
          </cell>
          <cell r="T150" t="str">
            <v>15' a 300°F</v>
          </cell>
          <cell r="U150" t="str">
            <v>600 Pies Cuadrados/Gl</v>
          </cell>
          <cell r="V150" t="str">
            <v>+85</v>
          </cell>
          <cell r="W150" t="str">
            <v>H</v>
          </cell>
          <cell r="X150" t="str">
            <v>12 meses</v>
          </cell>
          <cell r="Y150" t="str">
            <v>Industrias Metálicas S.A</v>
          </cell>
          <cell r="Z150" t="str">
            <v>Artículos Metálicos</v>
          </cell>
          <cell r="AA150" t="str">
            <v>-</v>
          </cell>
          <cell r="AB150" t="str">
            <v>-</v>
          </cell>
          <cell r="AC150">
            <v>27800</v>
          </cell>
        </row>
        <row r="151">
          <cell r="A151" t="str">
            <v>B69W16</v>
          </cell>
          <cell r="B151" t="str">
            <v>C&amp;M Resisting Enamel White</v>
          </cell>
          <cell r="C151" t="str">
            <v>Interior-Exterior</v>
          </cell>
          <cell r="D151" t="str">
            <v>Tanques de Concreto</v>
          </cell>
          <cell r="E151" t="str">
            <v>Lavado con Agua y Detergente</v>
          </cell>
          <cell r="F151" t="str">
            <v>-</v>
          </cell>
          <cell r="G151" t="str">
            <v>10.83 Lbs/Gl</v>
          </cell>
          <cell r="H151" t="str">
            <v>-</v>
          </cell>
          <cell r="I151" t="str">
            <v>60.01%</v>
          </cell>
          <cell r="J151" t="str">
            <v>-</v>
          </cell>
          <cell r="K151" t="str">
            <v>-</v>
          </cell>
          <cell r="L151" t="str">
            <v>36.41%</v>
          </cell>
          <cell r="M151" t="str">
            <v>40"-50" Copa SW #3</v>
          </cell>
          <cell r="N151" t="str">
            <v>Brocha-Pistola</v>
          </cell>
          <cell r="O151" t="str">
            <v>20"-25" Copa Ford #4</v>
          </cell>
          <cell r="P151" t="str">
            <v>50%</v>
          </cell>
          <cell r="Q151" t="str">
            <v>R2K4         Industrial reducer</v>
          </cell>
          <cell r="R151" t="str">
            <v>2-4 mills</v>
          </cell>
          <cell r="S151" t="str">
            <v>-</v>
          </cell>
          <cell r="T151" t="str">
            <v>-</v>
          </cell>
          <cell r="U151" t="str">
            <v>550 Pies Cuadrados/Gl</v>
          </cell>
          <cell r="V151" t="str">
            <v>20-30</v>
          </cell>
          <cell r="W151" t="str">
            <v>-</v>
          </cell>
          <cell r="X151" t="str">
            <v>12 meses</v>
          </cell>
          <cell r="Y151" t="str">
            <v>Ingenio del Jiboa</v>
          </cell>
          <cell r="Z151" t="str">
            <v>Tanques de Concreto para Acidos</v>
          </cell>
          <cell r="AA151" t="str">
            <v>-</v>
          </cell>
          <cell r="AB151" t="str">
            <v>-</v>
          </cell>
          <cell r="AC151">
            <v>27801</v>
          </cell>
        </row>
        <row r="152">
          <cell r="A152" t="str">
            <v>SAA 1734</v>
          </cell>
          <cell r="B152" t="str">
            <v>Esmalte Horneable Gris IESSA</v>
          </cell>
          <cell r="C152" t="str">
            <v>Interior-Exterior Limitada</v>
          </cell>
          <cell r="D152" t="str">
            <v>Lamina de Hierro</v>
          </cell>
          <cell r="E152" t="str">
            <v>Limpieza Química</v>
          </cell>
          <cell r="F152" t="str">
            <v>-</v>
          </cell>
          <cell r="G152" t="str">
            <v>9.03 Lbs/Gl</v>
          </cell>
          <cell r="H152" t="str">
            <v>-</v>
          </cell>
          <cell r="I152" t="str">
            <v>52.49%</v>
          </cell>
          <cell r="J152" t="str">
            <v>-</v>
          </cell>
          <cell r="K152" t="str">
            <v>-</v>
          </cell>
          <cell r="L152" t="str">
            <v>38.45%</v>
          </cell>
          <cell r="M152" t="str">
            <v>80"-90" Copa Zanh #2</v>
          </cell>
          <cell r="N152" t="str">
            <v>Pistola</v>
          </cell>
          <cell r="O152" t="str">
            <v>25"-30" Copa Zanh #2</v>
          </cell>
          <cell r="P152" t="str">
            <v>20%</v>
          </cell>
          <cell r="Q152" t="str">
            <v>R2K4         Industrial reducer</v>
          </cell>
          <cell r="R152" t="str">
            <v>1.0-1.5 mills</v>
          </cell>
          <cell r="S152" t="str">
            <v>-</v>
          </cell>
          <cell r="T152" t="str">
            <v>15' a 300°F</v>
          </cell>
          <cell r="U152" t="str">
            <v>600 Pies Cuadrados/Gl</v>
          </cell>
          <cell r="V152" t="str">
            <v>+80</v>
          </cell>
          <cell r="W152" t="str">
            <v>H</v>
          </cell>
          <cell r="X152" t="str">
            <v>12 meses</v>
          </cell>
          <cell r="Y152" t="str">
            <v>IESSA</v>
          </cell>
          <cell r="Z152" t="str">
            <v>Cajas Térmicas</v>
          </cell>
          <cell r="AA152" t="str">
            <v>-</v>
          </cell>
          <cell r="AB152" t="str">
            <v>-</v>
          </cell>
          <cell r="AC152">
            <v>27809</v>
          </cell>
        </row>
        <row r="153">
          <cell r="A153" t="str">
            <v>SAA 1745</v>
          </cell>
          <cell r="B153" t="str">
            <v>Esmalte Horneable Acrilico Light Bronze</v>
          </cell>
          <cell r="C153" t="str">
            <v>Interior-Exterior Limitada</v>
          </cell>
          <cell r="D153" t="str">
            <v>Lamina de Aluminio</v>
          </cell>
          <cell r="E153" t="str">
            <v>Limpieza con Solvente</v>
          </cell>
          <cell r="F153" t="str">
            <v>Gripclad Primer</v>
          </cell>
          <cell r="G153" t="str">
            <v>8.4Lbs/Gl</v>
          </cell>
          <cell r="H153" t="str">
            <v>-</v>
          </cell>
          <cell r="I153" t="str">
            <v>43.48%</v>
          </cell>
          <cell r="J153" t="str">
            <v>-</v>
          </cell>
          <cell r="K153" t="str">
            <v>-</v>
          </cell>
          <cell r="L153" t="str">
            <v>50.93%</v>
          </cell>
          <cell r="M153" t="str">
            <v>80"-90" Copa Zanh #2</v>
          </cell>
          <cell r="N153" t="str">
            <v>Pistola</v>
          </cell>
          <cell r="O153" t="str">
            <v>25"-30" Copa Zanh #2</v>
          </cell>
          <cell r="P153" t="str">
            <v>20%</v>
          </cell>
          <cell r="Q153" t="str">
            <v>Acrilic Baking Enamel Reducer (R7KSA9)</v>
          </cell>
          <cell r="R153" t="str">
            <v>1.0-1.5 mills</v>
          </cell>
          <cell r="S153" t="str">
            <v>-</v>
          </cell>
          <cell r="T153" t="str">
            <v>15' a 400°F</v>
          </cell>
          <cell r="U153" t="str">
            <v>490 Pies Cuadrados/Gl</v>
          </cell>
          <cell r="V153" t="str">
            <v>40-50</v>
          </cell>
          <cell r="W153" t="str">
            <v>3H</v>
          </cell>
          <cell r="X153" t="str">
            <v>12 meses</v>
          </cell>
          <cell r="Y153" t="str">
            <v>ALUMEX (Nicaragua)</v>
          </cell>
          <cell r="Z153" t="str">
            <v>Ventanas de Aluminio</v>
          </cell>
          <cell r="AA153" t="str">
            <v>-</v>
          </cell>
          <cell r="AB153" t="str">
            <v>-</v>
          </cell>
          <cell r="AC153">
            <v>27816</v>
          </cell>
        </row>
        <row r="154">
          <cell r="A154" t="str">
            <v>SAA 1746</v>
          </cell>
          <cell r="B154" t="str">
            <v>Esmalte Horneable Acrilico Dark Bronze</v>
          </cell>
          <cell r="C154" t="str">
            <v>Interior-Exterior Limitada</v>
          </cell>
          <cell r="D154" t="str">
            <v>Lamina de Aluminio</v>
          </cell>
          <cell r="E154" t="str">
            <v>Limpieza con Solvente</v>
          </cell>
          <cell r="F154" t="str">
            <v>Gripclad Primer</v>
          </cell>
          <cell r="G154" t="str">
            <v>8.75 Lbs/Gl</v>
          </cell>
          <cell r="H154" t="str">
            <v>-</v>
          </cell>
          <cell r="I154" t="str">
            <v>48.23%</v>
          </cell>
          <cell r="J154" t="str">
            <v>-</v>
          </cell>
          <cell r="K154" t="str">
            <v>-</v>
          </cell>
          <cell r="L154" t="str">
            <v>33.83%</v>
          </cell>
          <cell r="M154" t="str">
            <v>80"-90" Copa Zanh #2</v>
          </cell>
          <cell r="N154" t="str">
            <v>Pistola</v>
          </cell>
          <cell r="O154" t="str">
            <v>25"-30" Copa Zanh #2</v>
          </cell>
          <cell r="P154" t="str">
            <v>20%</v>
          </cell>
          <cell r="Q154" t="str">
            <v>Acrilic Baking Enamel Reducer (R7KSA9)</v>
          </cell>
          <cell r="R154" t="str">
            <v>1.0-1.5 mills</v>
          </cell>
          <cell r="S154" t="str">
            <v>-</v>
          </cell>
          <cell r="T154" t="str">
            <v>15' a 400°F</v>
          </cell>
          <cell r="U154" t="str">
            <v>540 Pies Cuadrados/Gl</v>
          </cell>
          <cell r="V154" t="str">
            <v>5-8</v>
          </cell>
          <cell r="W154" t="str">
            <v>3H</v>
          </cell>
          <cell r="X154" t="str">
            <v>12 meses</v>
          </cell>
          <cell r="Y154" t="str">
            <v>ALUMEX (Nicaragua)</v>
          </cell>
          <cell r="Z154" t="str">
            <v>Ventanas de Aluminio</v>
          </cell>
          <cell r="AA154" t="str">
            <v>-</v>
          </cell>
          <cell r="AB154" t="str">
            <v>-</v>
          </cell>
          <cell r="AC154">
            <v>27816</v>
          </cell>
        </row>
        <row r="155">
          <cell r="A155" t="str">
            <v>SAA 1765</v>
          </cell>
          <cell r="B155" t="str">
            <v>Esmalte Horneable Naranja</v>
          </cell>
          <cell r="C155" t="str">
            <v>Interior</v>
          </cell>
          <cell r="D155" t="str">
            <v>Muebles de Hierro</v>
          </cell>
          <cell r="E155" t="str">
            <v xml:space="preserve">Limpieza Quimica  </v>
          </cell>
          <cell r="F155" t="str">
            <v>-</v>
          </cell>
          <cell r="G155" t="str">
            <v>9.27 Lbs/Gl</v>
          </cell>
          <cell r="H155" t="str">
            <v>-</v>
          </cell>
          <cell r="I155" t="str">
            <v>56.37%</v>
          </cell>
          <cell r="J155" t="str">
            <v>-</v>
          </cell>
          <cell r="K155" t="str">
            <v>-</v>
          </cell>
          <cell r="L155" t="str">
            <v>41.64%</v>
          </cell>
          <cell r="M155" t="str">
            <v>100-110 KU</v>
          </cell>
          <cell r="N155" t="str">
            <v>Pistola Airless</v>
          </cell>
          <cell r="O155" t="str">
            <v>40-50 KU</v>
          </cell>
          <cell r="P155" t="str">
            <v>25%</v>
          </cell>
          <cell r="Q155" t="str">
            <v>R2K4         Industrial reducer</v>
          </cell>
          <cell r="R155" t="str">
            <v>1.5-2 mills</v>
          </cell>
          <cell r="S155" t="str">
            <v>-</v>
          </cell>
          <cell r="T155" t="str">
            <v>15' a 300°F</v>
          </cell>
          <cell r="U155" t="str">
            <v>900 Pies Cuadrados/Gl</v>
          </cell>
          <cell r="V155" t="str">
            <v>+85</v>
          </cell>
          <cell r="W155" t="str">
            <v>2H mínimo</v>
          </cell>
          <cell r="X155" t="str">
            <v>12 meses</v>
          </cell>
          <cell r="Y155" t="str">
            <v>DM. NACIONAL</v>
          </cell>
          <cell r="Z155" t="str">
            <v>Muebles de Metal</v>
          </cell>
          <cell r="AA155" t="str">
            <v>-</v>
          </cell>
          <cell r="AB155" t="str">
            <v>-</v>
          </cell>
          <cell r="AC155">
            <v>27856</v>
          </cell>
        </row>
        <row r="156">
          <cell r="A156" t="str">
            <v>V76VSA2</v>
          </cell>
          <cell r="B156" t="str">
            <v>Acrylic Wet Ink Varnish</v>
          </cell>
          <cell r="C156" t="str">
            <v>Interior-Exterior</v>
          </cell>
          <cell r="D156" t="str">
            <v>Hojalata</v>
          </cell>
          <cell r="E156" t="str">
            <v>-</v>
          </cell>
          <cell r="F156" t="str">
            <v>-</v>
          </cell>
          <cell r="G156" t="str">
            <v>7.83 Lbs/Gl</v>
          </cell>
          <cell r="H156" t="str">
            <v>-</v>
          </cell>
          <cell r="I156" t="str">
            <v>42.3%</v>
          </cell>
          <cell r="J156" t="str">
            <v>-</v>
          </cell>
          <cell r="K156" t="str">
            <v>-</v>
          </cell>
          <cell r="L156" t="str">
            <v>32.3%</v>
          </cell>
          <cell r="M156" t="str">
            <v>48"-56" Copa Ford #4</v>
          </cell>
          <cell r="N156" t="str">
            <v>Rodillo</v>
          </cell>
          <cell r="O156" t="str">
            <v>48"-56" Copa Ford #4</v>
          </cell>
          <cell r="P156" t="str">
            <v>Ninguno</v>
          </cell>
          <cell r="Q156" t="str">
            <v>Solvesso 150 si es Necesario</v>
          </cell>
          <cell r="R156" t="str">
            <v>Humedo: 8 Pfung Gauge</v>
          </cell>
          <cell r="S156" t="str">
            <v>-</v>
          </cell>
          <cell r="T156" t="str">
            <v>13' a 160°C</v>
          </cell>
          <cell r="U156" t="str">
            <v>-</v>
          </cell>
          <cell r="V156" t="str">
            <v>+90</v>
          </cell>
          <cell r="W156" t="str">
            <v>HB Mínimo</v>
          </cell>
          <cell r="X156" t="str">
            <v>12 meses</v>
          </cell>
          <cell r="Y156" t="str">
            <v>CORLASA</v>
          </cell>
          <cell r="Z156" t="str">
            <v>Tapas Coronas, Afiches, Etc.</v>
          </cell>
          <cell r="AA156" t="str">
            <v>-</v>
          </cell>
          <cell r="AB156" t="str">
            <v>-</v>
          </cell>
          <cell r="AC156">
            <v>27858</v>
          </cell>
        </row>
        <row r="157">
          <cell r="A157" t="str">
            <v>F73B5 (1)</v>
          </cell>
          <cell r="B157" t="str">
            <v>Extra Flat Baking Enamel Black</v>
          </cell>
          <cell r="C157" t="str">
            <v>Interior</v>
          </cell>
          <cell r="D157" t="str">
            <v>Metal</v>
          </cell>
          <cell r="E157" t="str">
            <v>-</v>
          </cell>
          <cell r="F157" t="str">
            <v>E68WSA1</v>
          </cell>
          <cell r="G157" t="str">
            <v>9.43 Lbs/Gl</v>
          </cell>
          <cell r="H157" t="str">
            <v>-</v>
          </cell>
          <cell r="I157" t="str">
            <v>50.55%</v>
          </cell>
          <cell r="J157" t="str">
            <v>-</v>
          </cell>
          <cell r="K157" t="str">
            <v>-</v>
          </cell>
          <cell r="L157" t="str">
            <v>33.54%</v>
          </cell>
          <cell r="M157" t="str">
            <v>100"-110" Copa Zanh #2</v>
          </cell>
          <cell r="N157" t="str">
            <v>Pistola</v>
          </cell>
          <cell r="O157" t="str">
            <v>40"-50" Copa Zahn #"</v>
          </cell>
          <cell r="P157" t="str">
            <v>20-25%</v>
          </cell>
          <cell r="Q157" t="str">
            <v>R2K4         Industrial reducer</v>
          </cell>
          <cell r="R157" t="str">
            <v>1.5-2 mills</v>
          </cell>
          <cell r="S157" t="str">
            <v>-</v>
          </cell>
          <cell r="T157" t="str">
            <v>15' a 300°F</v>
          </cell>
          <cell r="U157" t="str">
            <v>950 Pies Cuadrados/Gl</v>
          </cell>
          <cell r="V157" t="str">
            <v>7-9 (Mate)</v>
          </cell>
          <cell r="W157" t="str">
            <v>H</v>
          </cell>
          <cell r="X157" t="str">
            <v>12 meses</v>
          </cell>
          <cell r="Y157" t="str">
            <v>-</v>
          </cell>
          <cell r="Z157" t="str">
            <v>-</v>
          </cell>
          <cell r="AA157" t="str">
            <v>-</v>
          </cell>
          <cell r="AB157" t="str">
            <v>-</v>
          </cell>
          <cell r="AC157">
            <v>27871</v>
          </cell>
        </row>
        <row r="158">
          <cell r="A158" t="str">
            <v>SAA 1663</v>
          </cell>
          <cell r="B158" t="str">
            <v>Kem Fast Dry Oxide Black</v>
          </cell>
          <cell r="C158" t="str">
            <v>Exterior</v>
          </cell>
          <cell r="D158" t="str">
            <v>Camas para Camiones</v>
          </cell>
          <cell r="E158" t="str">
            <v>Limpieza con Solvente</v>
          </cell>
          <cell r="F158" t="str">
            <v>-</v>
          </cell>
          <cell r="G158" t="str">
            <v>9.45 Lbs/Gl</v>
          </cell>
          <cell r="H158" t="str">
            <v>-</v>
          </cell>
          <cell r="I158" t="str">
            <v>55.21%</v>
          </cell>
          <cell r="J158" t="str">
            <v>-</v>
          </cell>
          <cell r="K158" t="str">
            <v>-</v>
          </cell>
          <cell r="L158" t="str">
            <v>38.78%</v>
          </cell>
          <cell r="M158" t="str">
            <v>25"-35"</v>
          </cell>
          <cell r="N158" t="str">
            <v>Pistola</v>
          </cell>
          <cell r="O158" t="str">
            <v>Directa</v>
          </cell>
          <cell r="P158" t="str">
            <v>10%</v>
          </cell>
          <cell r="Q158" t="str">
            <v>R2K4         Industrial reducer</v>
          </cell>
          <cell r="R158" t="str">
            <v>1.5 mills</v>
          </cell>
          <cell r="S158" t="str">
            <v>-</v>
          </cell>
          <cell r="T158" t="str">
            <v>-</v>
          </cell>
          <cell r="U158" t="str">
            <v>950 Pies Cuadrados/Gl</v>
          </cell>
          <cell r="V158" t="str">
            <v>0-5 (Mate)</v>
          </cell>
          <cell r="W158" t="str">
            <v>-</v>
          </cell>
          <cell r="X158" t="str">
            <v>12 meses</v>
          </cell>
          <cell r="Y158" t="str">
            <v>IMSA S.A</v>
          </cell>
          <cell r="Z158" t="str">
            <v>Productos Metálicos</v>
          </cell>
          <cell r="AA158" t="str">
            <v>-</v>
          </cell>
          <cell r="AB158" t="str">
            <v>-</v>
          </cell>
          <cell r="AC158">
            <v>27883</v>
          </cell>
        </row>
        <row r="159">
          <cell r="A159" t="str">
            <v>B59S8</v>
          </cell>
          <cell r="B159" t="str">
            <v>Silver Brite (R) Hi-Heat Silicone Alkyd Aluminum Paint</v>
          </cell>
          <cell r="C159" t="str">
            <v>Interior-Exterior</v>
          </cell>
          <cell r="D159" t="str">
            <v>Hierro-Acero</v>
          </cell>
          <cell r="E159" t="str">
            <v>Sand Blasting</v>
          </cell>
          <cell r="F159" t="str">
            <v>Ninguno</v>
          </cell>
          <cell r="G159" t="str">
            <v>9.0 Lbs/Gl</v>
          </cell>
          <cell r="H159" t="str">
            <v>-</v>
          </cell>
          <cell r="I159" t="str">
            <v>40.6%</v>
          </cell>
          <cell r="J159" t="str">
            <v>-</v>
          </cell>
          <cell r="K159" t="str">
            <v>-</v>
          </cell>
          <cell r="L159" t="str">
            <v>25.2%</v>
          </cell>
          <cell r="M159" t="str">
            <v>54-67 KU</v>
          </cell>
          <cell r="N159" t="str">
            <v>Pistola</v>
          </cell>
          <cell r="O159" t="str">
            <v>54-67 KU</v>
          </cell>
          <cell r="P159" t="str">
            <v>Ninguno</v>
          </cell>
          <cell r="Q159" t="str">
            <v>Ninguno</v>
          </cell>
          <cell r="R159" t="str">
            <v>1.0 mills</v>
          </cell>
          <cell r="S159" t="str">
            <v>-</v>
          </cell>
          <cell r="T159" t="str">
            <v>400°F</v>
          </cell>
          <cell r="U159" t="str">
            <v>400 Pies Cuadrados/Gl</v>
          </cell>
          <cell r="V159" t="str">
            <v>-</v>
          </cell>
          <cell r="W159" t="str">
            <v>-</v>
          </cell>
          <cell r="X159" t="str">
            <v>12 meses</v>
          </cell>
          <cell r="Y159" t="str">
            <v>SWCA</v>
          </cell>
          <cell r="Z159" t="str">
            <v>-</v>
          </cell>
          <cell r="AA159" t="str">
            <v>-</v>
          </cell>
          <cell r="AB159" t="str">
            <v>-</v>
          </cell>
          <cell r="AC159">
            <v>27886</v>
          </cell>
        </row>
        <row r="160">
          <cell r="A160" t="str">
            <v>SAA 1800</v>
          </cell>
          <cell r="B160" t="str">
            <v>Esmalte Horneable Alquidico Rojo Metálico</v>
          </cell>
          <cell r="C160" t="str">
            <v>Interior-Exterior Limitada</v>
          </cell>
          <cell r="D160" t="str">
            <v>Hierro</v>
          </cell>
          <cell r="E160" t="str">
            <v>Limpieza Química</v>
          </cell>
          <cell r="F160" t="str">
            <v>E68WSA1</v>
          </cell>
          <cell r="G160" t="str">
            <v>7.85 Lbs/Gl</v>
          </cell>
          <cell r="H160" t="str">
            <v>-</v>
          </cell>
          <cell r="I160" t="str">
            <v>46.37%</v>
          </cell>
          <cell r="J160" t="str">
            <v>-</v>
          </cell>
          <cell r="K160" t="str">
            <v>-</v>
          </cell>
          <cell r="L160" t="str">
            <v>37.20%</v>
          </cell>
          <cell r="M160" t="str">
            <v>80"-90" Copa Zanh #2</v>
          </cell>
          <cell r="N160" t="str">
            <v>Pistola</v>
          </cell>
          <cell r="O160" t="str">
            <v>20"-25" Copa Zanh #2</v>
          </cell>
          <cell r="P160" t="str">
            <v>20%</v>
          </cell>
          <cell r="Q160" t="str">
            <v>R2K4         Industrial reducer</v>
          </cell>
          <cell r="R160" t="str">
            <v>1.0-1.5 mills</v>
          </cell>
          <cell r="S160" t="str">
            <v>Al Horno</v>
          </cell>
          <cell r="T160" t="str">
            <v>15' a 300°F</v>
          </cell>
          <cell r="U160" t="str">
            <v>600 Pies Cuadrados/Gl</v>
          </cell>
          <cell r="V160" t="str">
            <v>90</v>
          </cell>
          <cell r="W160" t="str">
            <v>F-H</v>
          </cell>
          <cell r="X160" t="str">
            <v>12 meses</v>
          </cell>
          <cell r="Y160" t="str">
            <v>PROESA</v>
          </cell>
          <cell r="Z160" t="str">
            <v>Triciclos y Bicicletas de Hierro</v>
          </cell>
          <cell r="AA160" t="str">
            <v>-</v>
          </cell>
          <cell r="AB160" t="str">
            <v>-</v>
          </cell>
          <cell r="AC160">
            <v>27901</v>
          </cell>
        </row>
        <row r="161">
          <cell r="A161" t="str">
            <v xml:space="preserve">SAA 1801 </v>
          </cell>
          <cell r="B161" t="str">
            <v>Esmalte Horneable Alquidico Verde Metálico</v>
          </cell>
          <cell r="C161" t="str">
            <v>Interior-Exterior Limitada</v>
          </cell>
          <cell r="D161" t="str">
            <v>Hierro</v>
          </cell>
          <cell r="E161" t="str">
            <v>Limpieza Química</v>
          </cell>
          <cell r="F161" t="str">
            <v>E68WSA1</v>
          </cell>
          <cell r="G161" t="str">
            <v>7.81 Lbs/Gl</v>
          </cell>
          <cell r="H161" t="str">
            <v>-</v>
          </cell>
          <cell r="I161" t="str">
            <v>46.09%</v>
          </cell>
          <cell r="J161" t="str">
            <v>-</v>
          </cell>
          <cell r="K161" t="str">
            <v>-</v>
          </cell>
          <cell r="L161" t="str">
            <v>36.74%</v>
          </cell>
          <cell r="M161" t="str">
            <v>80"-90" Copa Zanh #2</v>
          </cell>
          <cell r="N161" t="str">
            <v>Pistola</v>
          </cell>
          <cell r="O161" t="str">
            <v>20"-25" Copa Zanh #2</v>
          </cell>
          <cell r="P161" t="str">
            <v>20%</v>
          </cell>
          <cell r="Q161" t="str">
            <v>R2K4         Industrial reducer</v>
          </cell>
          <cell r="R161" t="str">
            <v>1.0-1.5 mills</v>
          </cell>
          <cell r="S161" t="str">
            <v>Al Horno</v>
          </cell>
          <cell r="T161" t="str">
            <v>15' a 300°F</v>
          </cell>
          <cell r="U161" t="str">
            <v>580 Pies Cuadrados/Gl</v>
          </cell>
          <cell r="V161" t="str">
            <v>90</v>
          </cell>
          <cell r="W161" t="str">
            <v>F-H</v>
          </cell>
          <cell r="X161" t="str">
            <v>12 meses</v>
          </cell>
          <cell r="Y161" t="str">
            <v>PROESA</v>
          </cell>
          <cell r="Z161" t="str">
            <v>Triciclos y Bicicletas de Hierro</v>
          </cell>
          <cell r="AA161" t="str">
            <v>-</v>
          </cell>
          <cell r="AB161" t="str">
            <v>-</v>
          </cell>
          <cell r="AC161">
            <v>27901</v>
          </cell>
        </row>
        <row r="162">
          <cell r="A162" t="str">
            <v>SAA 1802</v>
          </cell>
          <cell r="B162" t="str">
            <v>Esmalte Horneable Alquidico Azul Metálico</v>
          </cell>
          <cell r="C162" t="str">
            <v>Interior-Exterior Limitada</v>
          </cell>
          <cell r="D162" t="str">
            <v>Hierro</v>
          </cell>
          <cell r="E162" t="str">
            <v>Limpieza Química</v>
          </cell>
          <cell r="F162" t="str">
            <v>E68WSA1</v>
          </cell>
          <cell r="G162" t="str">
            <v>7.83 Lbs/Gl</v>
          </cell>
          <cell r="H162" t="str">
            <v>-</v>
          </cell>
          <cell r="I162" t="str">
            <v>45.95%</v>
          </cell>
          <cell r="J162" t="str">
            <v>-</v>
          </cell>
          <cell r="K162" t="str">
            <v>-</v>
          </cell>
          <cell r="L162" t="str">
            <v>37.55%</v>
          </cell>
          <cell r="M162" t="str">
            <v>80"-90" Copa Zanh #2</v>
          </cell>
          <cell r="N162" t="str">
            <v>Pistola</v>
          </cell>
          <cell r="O162" t="str">
            <v>20"-25" Copa Zanh #2</v>
          </cell>
          <cell r="P162" t="str">
            <v>20%</v>
          </cell>
          <cell r="Q162" t="str">
            <v>R2K4         Industrial reducer</v>
          </cell>
          <cell r="R162" t="str">
            <v>1.0-1.5 mills</v>
          </cell>
          <cell r="S162" t="str">
            <v>Al Horno</v>
          </cell>
          <cell r="T162" t="str">
            <v>15' a 300°F</v>
          </cell>
          <cell r="U162" t="str">
            <v>690 Pies Cuadrados/Gl</v>
          </cell>
          <cell r="V162" t="str">
            <v>90</v>
          </cell>
          <cell r="W162" t="str">
            <v>F-H</v>
          </cell>
          <cell r="X162" t="str">
            <v>12 meses</v>
          </cell>
          <cell r="Y162" t="str">
            <v>PROESA</v>
          </cell>
          <cell r="Z162" t="str">
            <v>Triciclos y Bicicletas de Hierro</v>
          </cell>
          <cell r="AA162" t="str">
            <v>-</v>
          </cell>
          <cell r="AB162" t="str">
            <v>-</v>
          </cell>
          <cell r="AC162">
            <v>27901</v>
          </cell>
        </row>
        <row r="163">
          <cell r="A163" t="str">
            <v>SAA 1809</v>
          </cell>
          <cell r="B163" t="str">
            <v>Primer (Wash) Pretreatment Blue</v>
          </cell>
          <cell r="C163" t="str">
            <v>-</v>
          </cell>
          <cell r="D163" t="str">
            <v>Lamina Electrogalvanizada, Aluminio</v>
          </cell>
          <cell r="E163" t="str">
            <v>Limpieza con Solvente</v>
          </cell>
          <cell r="F163" t="str">
            <v>-</v>
          </cell>
          <cell r="G163" t="str">
            <v>8.0 Lbs/Gl</v>
          </cell>
          <cell r="H163" t="str">
            <v>-</v>
          </cell>
          <cell r="I163" t="str">
            <v>25.12 %</v>
          </cell>
          <cell r="J163" t="str">
            <v>-</v>
          </cell>
          <cell r="K163" t="str">
            <v>-</v>
          </cell>
          <cell r="L163" t="str">
            <v>12.19%</v>
          </cell>
          <cell r="M163" t="str">
            <v>65-80 KU</v>
          </cell>
          <cell r="N163" t="str">
            <v>Pistola</v>
          </cell>
          <cell r="O163" t="str">
            <v>20"-22" Copa Ford #4</v>
          </cell>
          <cell r="P163" t="str">
            <v>4:1 con SAA 1810</v>
          </cell>
          <cell r="Q163" t="str">
            <v>-</v>
          </cell>
          <cell r="R163" t="str">
            <v>2-4 mills</v>
          </cell>
          <cell r="S163" t="str">
            <v>-</v>
          </cell>
          <cell r="T163" t="str">
            <v>-</v>
          </cell>
          <cell r="U163" t="str">
            <v>60-70 Mts Cuadrados/Gl</v>
          </cell>
          <cell r="V163" t="str">
            <v>Semi-Mate</v>
          </cell>
          <cell r="W163" t="str">
            <v>-</v>
          </cell>
          <cell r="X163" t="str">
            <v>12 meses</v>
          </cell>
          <cell r="Y163" t="str">
            <v>Shewin Williams de Panama</v>
          </cell>
          <cell r="Z163" t="str">
            <v>-</v>
          </cell>
          <cell r="AA163" t="str">
            <v>4 Partes de Primer (SAA 1809) con 1 Parte de Activador (SAA 1810).</v>
          </cell>
          <cell r="AB163" t="str">
            <v>-</v>
          </cell>
          <cell r="AC163">
            <v>27915</v>
          </cell>
        </row>
        <row r="164">
          <cell r="A164" t="str">
            <v xml:space="preserve">SAA 1810 </v>
          </cell>
          <cell r="B164" t="str">
            <v>Activador Primer (Wash) Pretreatment Blue</v>
          </cell>
          <cell r="C164" t="str">
            <v>-</v>
          </cell>
          <cell r="D164" t="str">
            <v>Lamina Electrogalvanizada, Aluminio</v>
          </cell>
          <cell r="E164" t="str">
            <v>Limpieza con Solvente</v>
          </cell>
          <cell r="F164" t="str">
            <v>-</v>
          </cell>
          <cell r="G164" t="str">
            <v>7.76 Lbs/Gl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Pistola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3-4 mills</v>
          </cell>
          <cell r="S164" t="str">
            <v>-</v>
          </cell>
          <cell r="T164" t="str">
            <v>-</v>
          </cell>
          <cell r="U164" t="str">
            <v>60-70 Mts Cuadrados/Gl</v>
          </cell>
          <cell r="V164" t="str">
            <v>Semi-Mate</v>
          </cell>
          <cell r="W164" t="str">
            <v>-</v>
          </cell>
          <cell r="X164" t="str">
            <v>12 meses</v>
          </cell>
          <cell r="Y164" t="str">
            <v>Shewin Williams de Panama</v>
          </cell>
          <cell r="Z164" t="str">
            <v>-</v>
          </cell>
          <cell r="AA164" t="str">
            <v>4 Partes de Primer (SAA 1809) con 1 Parte de Activador (SAA 1810).</v>
          </cell>
          <cell r="AB164" t="str">
            <v>-</v>
          </cell>
          <cell r="AC164">
            <v>27915</v>
          </cell>
        </row>
        <row r="165">
          <cell r="A165" t="str">
            <v>A86ESA1</v>
          </cell>
          <cell r="B165" t="str">
            <v>Traffic Zone Paint Orange</v>
          </cell>
          <cell r="C165" t="str">
            <v>Exterior</v>
          </cell>
          <cell r="D165" t="str">
            <v>Asfalto, Concreto</v>
          </cell>
          <cell r="E165" t="str">
            <v>Limpieza</v>
          </cell>
          <cell r="F165" t="str">
            <v>Ninguno</v>
          </cell>
          <cell r="G165" t="str">
            <v>12.83 Lbs/Gl</v>
          </cell>
          <cell r="H165" t="str">
            <v>-</v>
          </cell>
          <cell r="I165" t="str">
            <v>79.19%</v>
          </cell>
          <cell r="J165" t="str">
            <v>-</v>
          </cell>
          <cell r="K165" t="str">
            <v>-</v>
          </cell>
          <cell r="L165" t="str">
            <v>50.84%</v>
          </cell>
          <cell r="M165" t="str">
            <v>68-80 KU</v>
          </cell>
          <cell r="N165" t="str">
            <v>Brocha-Maquina Demarcadora</v>
          </cell>
          <cell r="O165" t="str">
            <v>60-80 KU</v>
          </cell>
          <cell r="P165" t="str">
            <v>-</v>
          </cell>
          <cell r="Q165" t="str">
            <v>R1K3 si es necesario</v>
          </cell>
          <cell r="R165" t="str">
            <v>5 mills</v>
          </cell>
          <cell r="S165" t="str">
            <v>-</v>
          </cell>
          <cell r="T165" t="str">
            <v>-</v>
          </cell>
          <cell r="U165" t="str">
            <v>35-40 Mts Cuadrados/Gl</v>
          </cell>
          <cell r="V165" t="str">
            <v>Mate</v>
          </cell>
          <cell r="W165" t="str">
            <v>-</v>
          </cell>
          <cell r="X165" t="str">
            <v>12 meses</v>
          </cell>
          <cell r="Y165" t="str">
            <v>Tesorería Gral de la Nación. Guatemala</v>
          </cell>
          <cell r="Z165" t="str">
            <v>-</v>
          </cell>
          <cell r="AA165" t="str">
            <v>-</v>
          </cell>
          <cell r="AB165" t="str">
            <v>-</v>
          </cell>
          <cell r="AC165">
            <v>27921</v>
          </cell>
        </row>
        <row r="166">
          <cell r="A166" t="str">
            <v>L60HSA4</v>
          </cell>
          <cell r="B166" t="str">
            <v>Laca Industrial Marfil 18552</v>
          </cell>
          <cell r="C166" t="str">
            <v>Interior</v>
          </cell>
          <cell r="D166" t="str">
            <v>Madera</v>
          </cell>
          <cell r="E166" t="str">
            <v>Lijado Completo</v>
          </cell>
          <cell r="F166" t="str">
            <v>P61A1</v>
          </cell>
          <cell r="G166" t="str">
            <v>8.25 Lbs/Gl</v>
          </cell>
          <cell r="H166" t="str">
            <v>-</v>
          </cell>
          <cell r="I166" t="str">
            <v>35.75%</v>
          </cell>
          <cell r="J166" t="str">
            <v>-</v>
          </cell>
          <cell r="K166" t="str">
            <v>-</v>
          </cell>
          <cell r="L166" t="str">
            <v>23.32%</v>
          </cell>
          <cell r="M166" t="str">
            <v>30"-40" Copa SW #5</v>
          </cell>
          <cell r="N166" t="str">
            <v>Pistola</v>
          </cell>
          <cell r="O166" t="str">
            <v>22"-25" Copa Ford #4</v>
          </cell>
          <cell r="P166" t="str">
            <v>100-150% R7K128</v>
          </cell>
          <cell r="Q166" t="str">
            <v>Opex Thinner R7K128</v>
          </cell>
          <cell r="R166" t="str">
            <v>2.0 mills</v>
          </cell>
          <cell r="S166" t="str">
            <v>-</v>
          </cell>
          <cell r="T166" t="str">
            <v>-</v>
          </cell>
          <cell r="U166" t="str">
            <v>200 Pies Cuadrados/Gl</v>
          </cell>
          <cell r="V166" t="str">
            <v>+85</v>
          </cell>
          <cell r="W166" t="str">
            <v>-</v>
          </cell>
          <cell r="X166" t="str">
            <v>12 meses</v>
          </cell>
          <cell r="Y166" t="str">
            <v>SIMCO</v>
          </cell>
          <cell r="Z166" t="str">
            <v>Muebles de Madera.</v>
          </cell>
          <cell r="AA166" t="str">
            <v>-</v>
          </cell>
          <cell r="AB166" t="str">
            <v>-</v>
          </cell>
          <cell r="AC166">
            <v>27922</v>
          </cell>
        </row>
        <row r="167">
          <cell r="A167" t="str">
            <v>L60WSA7</v>
          </cell>
          <cell r="B167" t="str">
            <v>Laca Industrial Blanco Ostra</v>
          </cell>
          <cell r="C167" t="str">
            <v>Interior</v>
          </cell>
          <cell r="D167" t="str">
            <v>Madera</v>
          </cell>
          <cell r="E167" t="str">
            <v>Lijado Completo</v>
          </cell>
          <cell r="F167" t="str">
            <v>P61A1</v>
          </cell>
          <cell r="G167" t="str">
            <v>8.25 Lbs/Gl</v>
          </cell>
          <cell r="H167" t="str">
            <v>-</v>
          </cell>
          <cell r="I167" t="str">
            <v>35.75%</v>
          </cell>
          <cell r="J167" t="str">
            <v>-</v>
          </cell>
          <cell r="K167" t="str">
            <v>-</v>
          </cell>
          <cell r="L167" t="str">
            <v>23.32%</v>
          </cell>
          <cell r="M167" t="str">
            <v>30"-40" Copa SW #5</v>
          </cell>
          <cell r="N167" t="str">
            <v>Pistola</v>
          </cell>
          <cell r="O167" t="str">
            <v>22"-25" Copa Ford #4</v>
          </cell>
          <cell r="P167" t="str">
            <v>100-150% R7K128</v>
          </cell>
          <cell r="Q167" t="str">
            <v>Opex Thinner R7K128</v>
          </cell>
          <cell r="R167" t="str">
            <v>2.0 mills</v>
          </cell>
          <cell r="S167" t="str">
            <v>-</v>
          </cell>
          <cell r="T167" t="str">
            <v>-</v>
          </cell>
          <cell r="U167" t="str">
            <v>200 Pies Cuadrados/Gl</v>
          </cell>
          <cell r="V167" t="str">
            <v>+85</v>
          </cell>
          <cell r="W167" t="str">
            <v>-</v>
          </cell>
          <cell r="X167" t="str">
            <v>12 meses</v>
          </cell>
          <cell r="Y167" t="str">
            <v>SIMCO</v>
          </cell>
          <cell r="Z167" t="str">
            <v>Muebles de Madera.</v>
          </cell>
          <cell r="AA167" t="str">
            <v>-</v>
          </cell>
          <cell r="AB167" t="str">
            <v>-</v>
          </cell>
          <cell r="AC167">
            <v>27922</v>
          </cell>
        </row>
        <row r="168">
          <cell r="A168" t="str">
            <v>SAA 1822</v>
          </cell>
          <cell r="B168" t="str">
            <v>Esmalte Especial Amarillo Ray-O-Vac</v>
          </cell>
          <cell r="C168" t="str">
            <v>Interior-Exterior</v>
          </cell>
          <cell r="D168" t="str">
            <v>Lamina de Hojalata</v>
          </cell>
          <cell r="E168" t="str">
            <v>Limpieza con Solvente</v>
          </cell>
          <cell r="F168" t="str">
            <v>P60G2</v>
          </cell>
          <cell r="G168" t="str">
            <v>9.97 Lbs/Gl</v>
          </cell>
          <cell r="H168" t="str">
            <v>-</v>
          </cell>
          <cell r="I168" t="str">
            <v>61.03%</v>
          </cell>
          <cell r="J168" t="str">
            <v>-</v>
          </cell>
          <cell r="K168" t="str">
            <v>-</v>
          </cell>
          <cell r="L168" t="str">
            <v>46.78%</v>
          </cell>
          <cell r="M168" t="str">
            <v>15"-20" Copa SW #3</v>
          </cell>
          <cell r="N168" t="str">
            <v>Pistola</v>
          </cell>
          <cell r="O168" t="str">
            <v>20"-22" Copa Ford #4</v>
          </cell>
          <cell r="P168" t="str">
            <v>10-15% VMP Nafta</v>
          </cell>
          <cell r="Q168" t="str">
            <v>R1K3 VMP Nafta</v>
          </cell>
          <cell r="R168" t="str">
            <v>1.0-1.5 mills</v>
          </cell>
          <cell r="S168" t="str">
            <v>-</v>
          </cell>
          <cell r="T168" t="str">
            <v>-</v>
          </cell>
          <cell r="U168" t="str">
            <v>725 Pies Cuadrados/Gl</v>
          </cell>
          <cell r="V168" t="str">
            <v>+85</v>
          </cell>
          <cell r="W168" t="str">
            <v>-</v>
          </cell>
          <cell r="X168" t="str">
            <v>12 meses</v>
          </cell>
          <cell r="Y168" t="str">
            <v>IGSAL</v>
          </cell>
          <cell r="Z168" t="str">
            <v>Rotulos de Hojalata</v>
          </cell>
          <cell r="AA168" t="str">
            <v>-</v>
          </cell>
          <cell r="AB168" t="str">
            <v>-</v>
          </cell>
          <cell r="AC168">
            <v>27937</v>
          </cell>
        </row>
        <row r="169">
          <cell r="A169" t="str">
            <v>B69NSA3</v>
          </cell>
          <cell r="B169" t="str">
            <v>Kem Cati Coat Light Brown</v>
          </cell>
          <cell r="C169" t="str">
            <v>Interior</v>
          </cell>
          <cell r="D169" t="str">
            <v xml:space="preserve">Concreto </v>
          </cell>
          <cell r="E169" t="str">
            <v>Limpieza</v>
          </cell>
          <cell r="F169" t="str">
            <v>B69G31</v>
          </cell>
          <cell r="G169" t="str">
            <v>9.80 Lbs/Gl</v>
          </cell>
          <cell r="H169" t="str">
            <v>-</v>
          </cell>
          <cell r="I169" t="str">
            <v>64.74%</v>
          </cell>
          <cell r="J169" t="str">
            <v>-</v>
          </cell>
          <cell r="K169" t="str">
            <v>-</v>
          </cell>
          <cell r="L169" t="str">
            <v>51.47%</v>
          </cell>
          <cell r="M169" t="str">
            <v>10"-15" Copa SW #3</v>
          </cell>
          <cell r="N169" t="str">
            <v>Brocha-Pistola</v>
          </cell>
          <cell r="O169" t="str">
            <v>Brocha-Ninguno, Pistola 20-22" Ford #4</v>
          </cell>
          <cell r="P169" t="str">
            <v>50cc lote/50 cc V66V19</v>
          </cell>
          <cell r="Q169" t="str">
            <v>20% R7K203</v>
          </cell>
          <cell r="R169" t="str">
            <v>1.5 mills</v>
          </cell>
          <cell r="S169" t="str">
            <v>-</v>
          </cell>
          <cell r="T169" t="str">
            <v>-</v>
          </cell>
          <cell r="U169" t="str">
            <v>525 Pies Cuadrados/Gl</v>
          </cell>
          <cell r="V169" t="str">
            <v>85</v>
          </cell>
          <cell r="W169" t="str">
            <v>-</v>
          </cell>
          <cell r="X169" t="str">
            <v>12 meses</v>
          </cell>
          <cell r="Y169" t="str">
            <v>DIDEMA-GUATEMALA</v>
          </cell>
          <cell r="Z169" t="str">
            <v>-</v>
          </cell>
          <cell r="AA169" t="str">
            <v>Para Aplicar Mezclar 50 cc de V66V19 con 50 cc de Lote, Aplicar después de 30 minutos.</v>
          </cell>
          <cell r="AB169" t="str">
            <v>-</v>
          </cell>
          <cell r="AC169">
            <v>27955</v>
          </cell>
        </row>
        <row r="170">
          <cell r="A170" t="str">
            <v>A86W11</v>
          </cell>
          <cell r="B170" t="str">
            <v>Sher Guide Reflector Traffic Paint White</v>
          </cell>
          <cell r="C170" t="str">
            <v>-</v>
          </cell>
          <cell r="D170" t="str">
            <v>Carreteras de Asfalto o Concreto</v>
          </cell>
          <cell r="E170" t="str">
            <v>-</v>
          </cell>
          <cell r="F170" t="str">
            <v>-</v>
          </cell>
          <cell r="G170" t="str">
            <v>13.44 Lbs/Gl</v>
          </cell>
          <cell r="H170" t="str">
            <v>67%</v>
          </cell>
          <cell r="I170" t="str">
            <v>79.25%</v>
          </cell>
          <cell r="J170" t="str">
            <v>37%</v>
          </cell>
          <cell r="K170" t="str">
            <v>-</v>
          </cell>
          <cell r="L170" t="str">
            <v>56.49%</v>
          </cell>
          <cell r="M170" t="str">
            <v>75-85 KU</v>
          </cell>
          <cell r="N170" t="str">
            <v>Con Brocha o máquina</v>
          </cell>
          <cell r="O170" t="str">
            <v>Con Brocha como Viene</v>
          </cell>
          <cell r="P170" t="str">
            <v>De Acuerdo con Tipo de Maquina Aplicadora</v>
          </cell>
          <cell r="Q170" t="str">
            <v>Mezcla 1:1 lSA3/03-17-10</v>
          </cell>
          <cell r="R170" t="str">
            <v>15-20 mills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Mate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>
            <v>28107</v>
          </cell>
        </row>
        <row r="171">
          <cell r="A171" t="str">
            <v>A86WSA7</v>
          </cell>
          <cell r="B171" t="str">
            <v>Sher-Guide Traffic Paint White</v>
          </cell>
          <cell r="C171" t="str">
            <v>-</v>
          </cell>
          <cell r="D171" t="str">
            <v>Carreteras de Asfalto o Concreto</v>
          </cell>
          <cell r="E171" t="str">
            <v>-</v>
          </cell>
          <cell r="F171" t="str">
            <v>-</v>
          </cell>
          <cell r="G171" t="str">
            <v>11.50 Lbs/Gl</v>
          </cell>
          <cell r="H171" t="str">
            <v>52.90%</v>
          </cell>
          <cell r="I171" t="str">
            <v>71.12%</v>
          </cell>
          <cell r="J171" t="str">
            <v>38.0%</v>
          </cell>
          <cell r="K171" t="str">
            <v>-</v>
          </cell>
          <cell r="L171" t="str">
            <v>52.90%</v>
          </cell>
          <cell r="M171" t="str">
            <v>90-95 KU</v>
          </cell>
          <cell r="N171" t="str">
            <v>Con Brocha o máquina</v>
          </cell>
          <cell r="O171" t="str">
            <v>Con Brocha como Viene</v>
          </cell>
          <cell r="P171" t="str">
            <v>De Acuerdo con Tipo de Maquina Aplicadora</v>
          </cell>
          <cell r="Q171" t="str">
            <v>Mezcla 1:1 lSA3/03-17-10</v>
          </cell>
          <cell r="R171" t="str">
            <v>15-20 mills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Mate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>
            <v>28107</v>
          </cell>
        </row>
        <row r="172">
          <cell r="A172" t="str">
            <v>A86Y12</v>
          </cell>
          <cell r="B172" t="str">
            <v>Sher-Guide Reflectorized Yellow Traffic Paint</v>
          </cell>
          <cell r="C172" t="str">
            <v>-</v>
          </cell>
          <cell r="D172" t="str">
            <v>Carreteras de Asfalto o Concreto</v>
          </cell>
          <cell r="E172" t="str">
            <v>-</v>
          </cell>
          <cell r="F172" t="str">
            <v>-</v>
          </cell>
          <cell r="G172" t="str">
            <v>11.30 Lbs/Gl</v>
          </cell>
          <cell r="H172" t="str">
            <v>58%</v>
          </cell>
          <cell r="I172" t="str">
            <v>72%</v>
          </cell>
          <cell r="J172" t="str">
            <v>33.0%</v>
          </cell>
          <cell r="K172" t="str">
            <v>-</v>
          </cell>
          <cell r="L172" t="str">
            <v>51.3%</v>
          </cell>
          <cell r="M172" t="str">
            <v>75-85 KU</v>
          </cell>
          <cell r="N172" t="str">
            <v>Con Brocha o máquina</v>
          </cell>
          <cell r="O172" t="str">
            <v>Con Brocha como Viene</v>
          </cell>
          <cell r="P172" t="str">
            <v>De Acuerdo con Tipo de Maquina Aplicadora</v>
          </cell>
          <cell r="Q172" t="str">
            <v>Mezcla 1:1 lSA3/03-17-10</v>
          </cell>
          <cell r="R172" t="str">
            <v>15-20 mills</v>
          </cell>
          <cell r="S172" t="str">
            <v>-</v>
          </cell>
          <cell r="T172" t="str">
            <v>-</v>
          </cell>
          <cell r="U172" t="str">
            <v>100 metros lineales con 1 galón faja de 4" ancho</v>
          </cell>
          <cell r="V172" t="str">
            <v>Mate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>
            <v>28107</v>
          </cell>
        </row>
        <row r="173">
          <cell r="A173" t="str">
            <v>A86YSA8</v>
          </cell>
          <cell r="B173" t="str">
            <v>Sher-Guide Traffic Paint Yellow</v>
          </cell>
          <cell r="C173" t="str">
            <v>-</v>
          </cell>
          <cell r="D173" t="str">
            <v>Carreteras de Asfalto o Concreto</v>
          </cell>
          <cell r="E173" t="str">
            <v>-</v>
          </cell>
          <cell r="F173" t="str">
            <v>-</v>
          </cell>
          <cell r="G173" t="str">
            <v>11.10 Lbs/Gl</v>
          </cell>
          <cell r="H173" t="str">
            <v>51%</v>
          </cell>
          <cell r="I173" t="str">
            <v>68%</v>
          </cell>
          <cell r="J173" t="str">
            <v>41%</v>
          </cell>
          <cell r="K173" t="str">
            <v>-</v>
          </cell>
          <cell r="L173" t="str">
            <v>50.3%</v>
          </cell>
          <cell r="M173" t="str">
            <v>90-95 KU</v>
          </cell>
          <cell r="N173" t="str">
            <v>Con Brocha o máquina</v>
          </cell>
          <cell r="O173" t="str">
            <v>Con Brocha como Viene</v>
          </cell>
          <cell r="P173" t="str">
            <v>De Acuerdo con Tipo de Maquina Aplicadora</v>
          </cell>
          <cell r="Q173" t="str">
            <v>R1K3 si es necesario</v>
          </cell>
          <cell r="R173" t="str">
            <v>15-20 mills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Mate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>
            <v>28107</v>
          </cell>
        </row>
        <row r="174">
          <cell r="A174" t="str">
            <v>V76SSA1</v>
          </cell>
          <cell r="B174" t="str">
            <v>Sizing Aluminum</v>
          </cell>
          <cell r="C174" t="str">
            <v>-</v>
          </cell>
          <cell r="D174" t="str">
            <v>Lamina</v>
          </cell>
          <cell r="E174" t="str">
            <v>Limpia</v>
          </cell>
          <cell r="F174" t="str">
            <v>-</v>
          </cell>
          <cell r="G174" t="str">
            <v>7.90 Lbs/Gl</v>
          </cell>
          <cell r="H174" t="str">
            <v>21%</v>
          </cell>
          <cell r="I174" t="str">
            <v>12.2%</v>
          </cell>
          <cell r="J174" t="str">
            <v>25%</v>
          </cell>
          <cell r="K174" t="str">
            <v>-</v>
          </cell>
          <cell r="L174" t="str">
            <v>17.8%</v>
          </cell>
          <cell r="M174" t="str">
            <v>50"-60"</v>
          </cell>
          <cell r="N174" t="str">
            <v>Pistola</v>
          </cell>
          <cell r="O174" t="str">
            <v>50"-60"</v>
          </cell>
          <cell r="P174" t="str">
            <v>25% Si Es Necesario</v>
          </cell>
          <cell r="Q174" t="str">
            <v>R2K4         Industrial reducer</v>
          </cell>
          <cell r="R174" t="str">
            <v>-</v>
          </cell>
          <cell r="S174" t="str">
            <v>-</v>
          </cell>
          <cell r="T174" t="str">
            <v>15' a 300°F</v>
          </cell>
          <cell r="U174" t="str">
            <v>-</v>
          </cell>
          <cell r="V174" t="str">
            <v>Full</v>
          </cell>
          <cell r="W174" t="str">
            <v>-</v>
          </cell>
          <cell r="X174" t="str">
            <v>-</v>
          </cell>
          <cell r="Y174" t="str">
            <v>CORLASA</v>
          </cell>
          <cell r="Z174" t="str">
            <v xml:space="preserve">Lamina  </v>
          </cell>
          <cell r="AA174" t="str">
            <v>-</v>
          </cell>
          <cell r="AB174" t="str">
            <v>-</v>
          </cell>
          <cell r="AC174">
            <v>28808</v>
          </cell>
        </row>
        <row r="175">
          <cell r="A175" t="str">
            <v>V76VSA9</v>
          </cell>
          <cell r="B175" t="str">
            <v xml:space="preserve">Wet Ink Varnish </v>
          </cell>
          <cell r="C175" t="str">
            <v>-</v>
          </cell>
          <cell r="D175" t="str">
            <v>Hojalata</v>
          </cell>
          <cell r="E175" t="str">
            <v>Limpia</v>
          </cell>
          <cell r="F175" t="str">
            <v>-</v>
          </cell>
          <cell r="G175" t="str">
            <v>7.63 Lbs/Gl</v>
          </cell>
          <cell r="H175" t="str">
            <v>44.97%</v>
          </cell>
          <cell r="I175" t="str">
            <v>-</v>
          </cell>
          <cell r="J175" t="str">
            <v>70.9%</v>
          </cell>
          <cell r="K175" t="str">
            <v>-</v>
          </cell>
          <cell r="L175" t="str">
            <v>70.24%</v>
          </cell>
          <cell r="M175" t="str">
            <v>36"-42"</v>
          </cell>
          <cell r="N175" t="str">
            <v>Roller Coating</v>
          </cell>
          <cell r="O175" t="str">
            <v>36"-42"</v>
          </cell>
          <cell r="P175" t="str">
            <v>03-32-10 Si es Necesario</v>
          </cell>
          <cell r="Q175" t="str">
            <v>03-32-10</v>
          </cell>
          <cell r="R175" t="str">
            <v>-</v>
          </cell>
          <cell r="S175" t="str">
            <v>-</v>
          </cell>
          <cell r="T175" t="str">
            <v>160°C 12 Minutos</v>
          </cell>
          <cell r="U175" t="str">
            <v>-</v>
          </cell>
          <cell r="V175" t="str">
            <v>90</v>
          </cell>
          <cell r="W175" t="str">
            <v>F-H</v>
          </cell>
          <cell r="X175" t="str">
            <v>6 meses</v>
          </cell>
          <cell r="Y175" t="str">
            <v>CORLASA</v>
          </cell>
          <cell r="Z175" t="str">
            <v>-</v>
          </cell>
          <cell r="AA175" t="str">
            <v>-</v>
          </cell>
          <cell r="AB175" t="str">
            <v>-</v>
          </cell>
          <cell r="AC175">
            <v>28808</v>
          </cell>
        </row>
        <row r="176">
          <cell r="A176" t="str">
            <v>SAA 2049</v>
          </cell>
          <cell r="B176" t="str">
            <v>Collapsible Tube Enamel White</v>
          </cell>
          <cell r="C176" t="str">
            <v>Interior</v>
          </cell>
          <cell r="D176" t="str">
            <v>Tubos de Estaño y Plomo</v>
          </cell>
          <cell r="E176" t="str">
            <v>Limpieza</v>
          </cell>
          <cell r="F176" t="str">
            <v>Ninguno</v>
          </cell>
          <cell r="G176" t="str">
            <v>10.65 Lbs/Gl</v>
          </cell>
          <cell r="H176" t="str">
            <v>30%</v>
          </cell>
          <cell r="I176" t="str">
            <v>53.80%</v>
          </cell>
          <cell r="J176" t="str">
            <v>33.80%</v>
          </cell>
          <cell r="K176" t="str">
            <v>27.70%</v>
          </cell>
          <cell r="L176" t="str">
            <v>33.89%</v>
          </cell>
          <cell r="M176" t="str">
            <v>130-135 KU</v>
          </cell>
          <cell r="N176" t="str">
            <v>Especial</v>
          </cell>
          <cell r="O176" t="str">
            <v>130-135 KU</v>
          </cell>
          <cell r="P176" t="str">
            <v>Ninguno</v>
          </cell>
          <cell r="Q176" t="str">
            <v>Ninguno</v>
          </cell>
          <cell r="R176" t="str">
            <v>-</v>
          </cell>
          <cell r="S176" t="str">
            <v>-</v>
          </cell>
          <cell r="T176" t="str">
            <v>6 Min a 300°F</v>
          </cell>
          <cell r="U176" t="str">
            <v>-</v>
          </cell>
          <cell r="V176" t="str">
            <v>80 Minimo</v>
          </cell>
          <cell r="W176" t="str">
            <v>F</v>
          </cell>
          <cell r="X176" t="str">
            <v>12 meses</v>
          </cell>
          <cell r="Y176" t="str">
            <v>Colgate Palmolive</v>
          </cell>
          <cell r="Z176" t="str">
            <v>Pasta Dental</v>
          </cell>
          <cell r="AA176" t="str">
            <v>-</v>
          </cell>
          <cell r="AB176" t="str">
            <v>-</v>
          </cell>
          <cell r="AC176">
            <v>29430</v>
          </cell>
        </row>
        <row r="177">
          <cell r="A177" t="str">
            <v>SAA 3155</v>
          </cell>
          <cell r="B177" t="str">
            <v>Recubrimiento Blanco Para Cartón</v>
          </cell>
          <cell r="C177" t="str">
            <v>Interior</v>
          </cell>
          <cell r="D177" t="str">
            <v>Carton</v>
          </cell>
          <cell r="E177" t="str">
            <v>Ninguna</v>
          </cell>
          <cell r="F177" t="str">
            <v>-</v>
          </cell>
          <cell r="G177" t="str">
            <v>11.25 Lbs/Gl</v>
          </cell>
          <cell r="H177" t="str">
            <v>33.37%</v>
          </cell>
          <cell r="I177" t="str">
            <v>49.84%</v>
          </cell>
          <cell r="J177" t="str">
            <v>16.47</v>
          </cell>
          <cell r="K177" t="str">
            <v>40.90%</v>
          </cell>
          <cell r="L177" t="str">
            <v>33.92%</v>
          </cell>
          <cell r="M177" t="str">
            <v>25-30 seg Copa Zanh #2</v>
          </cell>
          <cell r="N177" t="str">
            <v>Cuchilla de Hule</v>
          </cell>
          <cell r="O177" t="str">
            <v>20-25 seg. Copa Zanh #2</v>
          </cell>
          <cell r="P177" t="str">
            <v>2-3% con Agua</v>
          </cell>
          <cell r="Q177" t="str">
            <v>Agua</v>
          </cell>
          <cell r="R177" t="str">
            <v>-</v>
          </cell>
          <cell r="S177" t="str">
            <v>Con Rodillo Caliente 150°C</v>
          </cell>
          <cell r="T177" t="str">
            <v>1 Minuto a 150°C</v>
          </cell>
          <cell r="U177" t="str">
            <v>-</v>
          </cell>
          <cell r="V177" t="str">
            <v>Mate</v>
          </cell>
          <cell r="W177" t="str">
            <v>-</v>
          </cell>
          <cell r="X177" t="str">
            <v>4-6 Meses</v>
          </cell>
          <cell r="Y177" t="str">
            <v>-</v>
          </cell>
          <cell r="Z177" t="str">
            <v>Cajas de Cartón</v>
          </cell>
          <cell r="AA177" t="str">
            <v>-</v>
          </cell>
          <cell r="AB177" t="str">
            <v>-</v>
          </cell>
          <cell r="AC177">
            <v>31404</v>
          </cell>
        </row>
        <row r="178">
          <cell r="A178" t="str">
            <v>SAA 3386</v>
          </cell>
          <cell r="B178" t="str">
            <v>Pintura de Trafico Blanca TTP-115E Tipo III</v>
          </cell>
          <cell r="C178" t="str">
            <v>Interior-Exterior</v>
          </cell>
          <cell r="D178" t="str">
            <v>Asfalto y Concreto</v>
          </cell>
          <cell r="E178" t="str">
            <v>Limpia, Seca y Libre de Exudación de Asfalto</v>
          </cell>
          <cell r="F178" t="str">
            <v>Ninguno</v>
          </cell>
          <cell r="G178" t="str">
            <v>19.47 Lbs/Gl</v>
          </cell>
          <cell r="H178" t="str">
            <v>57%</v>
          </cell>
          <cell r="I178" t="str">
            <v>75%</v>
          </cell>
          <cell r="J178" t="str">
            <v>43%</v>
          </cell>
          <cell r="K178" t="str">
            <v>58.7%</v>
          </cell>
          <cell r="L178" t="str">
            <v>49.4%</v>
          </cell>
          <cell r="M178" t="str">
            <v>70-80 KU (Stormer)</v>
          </cell>
          <cell r="N178" t="str">
            <v>Brocha, Rodillo Industrial, Máquina Franjeadora, Etc.</v>
          </cell>
          <cell r="O178" t="str">
            <v>Lista para Usarse con Brocha y Rodillo</v>
          </cell>
          <cell r="P178" t="str">
            <v>Para usar con Máquina Franjeadora, Reduzca con 1/8 de Galón</v>
          </cell>
          <cell r="Q178" t="str">
            <v>R2K4         Industrial reducer</v>
          </cell>
          <cell r="R178" t="str">
            <v>4-5 mills/Pulg.</v>
          </cell>
          <cell r="S178" t="str">
            <v>5-10 Minutos. No transitar antes de 20 Minutos</v>
          </cell>
          <cell r="T178" t="str">
            <v>-</v>
          </cell>
          <cell r="U178" t="str">
            <v>45-50 Mts Cuadrados/Gl</v>
          </cell>
          <cell r="V178" t="str">
            <v>Mate 1-2</v>
          </cell>
          <cell r="W178" t="str">
            <v>2B</v>
          </cell>
          <cell r="X178" t="str">
            <v>12 meses</v>
          </cell>
          <cell r="Y178" t="str">
            <v>EDISAL</v>
          </cell>
          <cell r="Z178" t="str">
            <v>-</v>
          </cell>
          <cell r="AA178" t="str">
            <v>-</v>
          </cell>
          <cell r="AB178" t="str">
            <v>José A. Romero Valle.</v>
          </cell>
          <cell r="AC178">
            <v>32660</v>
          </cell>
        </row>
        <row r="179">
          <cell r="A179" t="str">
            <v>SAA 3387</v>
          </cell>
          <cell r="B179" t="str">
            <v>Pintura de Trafico Amarilla TTP-115E Tipo III</v>
          </cell>
          <cell r="C179" t="str">
            <v>Interior-Exterior</v>
          </cell>
          <cell r="D179" t="str">
            <v>Asfalto y Concreto</v>
          </cell>
          <cell r="E179" t="str">
            <v>Limpia, Seca y Libre de Exudación de Asfalto</v>
          </cell>
          <cell r="F179" t="str">
            <v>Ninguno</v>
          </cell>
          <cell r="G179" t="str">
            <v>19.53 Lbs/Gl</v>
          </cell>
          <cell r="H179" t="str">
            <v>57%</v>
          </cell>
          <cell r="I179" t="str">
            <v>75%</v>
          </cell>
          <cell r="J179" t="str">
            <v>43%</v>
          </cell>
          <cell r="K179" t="str">
            <v>49%</v>
          </cell>
          <cell r="L179" t="str">
            <v>48%</v>
          </cell>
          <cell r="M179" t="str">
            <v>70-80 KU (Stormer)</v>
          </cell>
          <cell r="N179" t="str">
            <v>Brocha, Rodillo Industrial, Máquina Franjeadora, Etc.</v>
          </cell>
          <cell r="O179" t="str">
            <v>Lista para Usarse con Brocha y Rodillo</v>
          </cell>
          <cell r="P179" t="str">
            <v>Para usar con Máquina Franjeadora, Reduzca con 1/8 de Galón</v>
          </cell>
          <cell r="Q179" t="str">
            <v>R2K4         Industrial reducer</v>
          </cell>
          <cell r="R179" t="str">
            <v>4-5 mills/Pulg.</v>
          </cell>
          <cell r="S179" t="str">
            <v>5-10 Minutos. No transitar antes de 20 Minutos</v>
          </cell>
          <cell r="T179" t="str">
            <v>-</v>
          </cell>
          <cell r="U179" t="str">
            <v>45-50 Mts Cuadrados/Gl</v>
          </cell>
          <cell r="V179" t="str">
            <v>Mate 1-2</v>
          </cell>
          <cell r="W179" t="str">
            <v>2B</v>
          </cell>
          <cell r="X179" t="str">
            <v>12 meses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José A. Romero Valle.</v>
          </cell>
          <cell r="AC179">
            <v>32660</v>
          </cell>
        </row>
        <row r="180">
          <cell r="A180" t="str">
            <v>SAA 3388</v>
          </cell>
          <cell r="B180" t="str">
            <v>Pintura de Tráfico Blanca TTP-1952 B</v>
          </cell>
          <cell r="C180" t="str">
            <v>Interior-Exterior</v>
          </cell>
          <cell r="D180" t="str">
            <v>Asfalto y Concreto</v>
          </cell>
          <cell r="E180" t="str">
            <v>Limpia, Seca y Libre de Exudación de Asfalto</v>
          </cell>
          <cell r="F180" t="str">
            <v>Ninguno</v>
          </cell>
          <cell r="G180" t="str">
            <v>12.41 Lbs/Gl</v>
          </cell>
          <cell r="H180" t="str">
            <v>50%</v>
          </cell>
          <cell r="I180" t="str">
            <v>66.5%</v>
          </cell>
          <cell r="J180" t="str">
            <v>33%</v>
          </cell>
          <cell r="K180" t="str">
            <v>-</v>
          </cell>
          <cell r="L180" t="str">
            <v>51%</v>
          </cell>
          <cell r="M180" t="str">
            <v>75-85 KU (Stormer)</v>
          </cell>
          <cell r="N180" t="str">
            <v>Brocha, Rodillo Industrial, Máquina Franjeadora, Etc.</v>
          </cell>
          <cell r="O180" t="str">
            <v>Lista para Usarse con Brocha y Rodillo</v>
          </cell>
          <cell r="P180" t="str">
            <v>Para usar con Máquina Franjeadora, Reduzca con 1/8 y 1/4de Galón</v>
          </cell>
          <cell r="Q180" t="str">
            <v>Agua</v>
          </cell>
          <cell r="R180" t="str">
            <v>4-5 mills/Pulg.</v>
          </cell>
          <cell r="S180" t="str">
            <v>30 Minutos. No transitar antes de 1 Hora.</v>
          </cell>
          <cell r="T180" t="str">
            <v>-</v>
          </cell>
          <cell r="U180" t="str">
            <v>45-50 Mts Cuadrados/Gl</v>
          </cell>
          <cell r="V180" t="str">
            <v>Mate 1-2</v>
          </cell>
          <cell r="W180" t="str">
            <v>5B-4B</v>
          </cell>
          <cell r="X180" t="str">
            <v>12 meses</v>
          </cell>
          <cell r="Y180" t="str">
            <v>EDISAL</v>
          </cell>
          <cell r="Z180" t="str">
            <v>-</v>
          </cell>
          <cell r="AA180" t="str">
            <v>-</v>
          </cell>
          <cell r="AB180" t="str">
            <v>José A. Romero Valle.</v>
          </cell>
          <cell r="AC180">
            <v>32660</v>
          </cell>
        </row>
        <row r="181">
          <cell r="A181" t="str">
            <v>SAA 3389</v>
          </cell>
          <cell r="B181" t="str">
            <v>Pintura de Tráfico Amarilla TTP-1952 B</v>
          </cell>
          <cell r="C181" t="str">
            <v>Interior-Exterior</v>
          </cell>
          <cell r="D181" t="str">
            <v>Asfalto y Concreto</v>
          </cell>
          <cell r="E181" t="str">
            <v>Limpia, Seca y Libre de Exudación de Asfalto</v>
          </cell>
          <cell r="F181" t="str">
            <v>Ninguno</v>
          </cell>
          <cell r="G181" t="str">
            <v>12.88 Lbs/Gl</v>
          </cell>
          <cell r="H181" t="str">
            <v>47%</v>
          </cell>
          <cell r="I181" t="str">
            <v>63%</v>
          </cell>
          <cell r="J181" t="str">
            <v>32.9%</v>
          </cell>
          <cell r="K181" t="str">
            <v>-</v>
          </cell>
          <cell r="L181" t="str">
            <v>50%</v>
          </cell>
          <cell r="M181" t="str">
            <v>75-85 KU (Stormer)</v>
          </cell>
          <cell r="N181" t="str">
            <v>Brocha, Rodillo Industrial, Máquina Franjeadora, Etc.</v>
          </cell>
          <cell r="O181" t="str">
            <v>Lista para Usarse con Brocha y Rodillo</v>
          </cell>
          <cell r="P181" t="str">
            <v>Para usar con Máquina Franjeadora, Reduzca con 1/8 y 1/4de Galón</v>
          </cell>
          <cell r="Q181" t="str">
            <v>Agua</v>
          </cell>
          <cell r="R181" t="str">
            <v>4-5 mills/Pulg.</v>
          </cell>
          <cell r="S181" t="str">
            <v>30 Minutos. No transitar antes de 1 Hora.</v>
          </cell>
          <cell r="T181" t="str">
            <v>-</v>
          </cell>
          <cell r="U181" t="str">
            <v>45-50 Mts Cuadrados/Gl</v>
          </cell>
          <cell r="V181" t="str">
            <v>Mate 1-2</v>
          </cell>
          <cell r="W181" t="str">
            <v>5B-4B</v>
          </cell>
          <cell r="X181" t="str">
            <v>12 meses</v>
          </cell>
          <cell r="Y181" t="str">
            <v>EDISAL</v>
          </cell>
          <cell r="Z181" t="str">
            <v>-</v>
          </cell>
          <cell r="AA181" t="str">
            <v>-</v>
          </cell>
          <cell r="AB181" t="str">
            <v>José A. Romero Valle.</v>
          </cell>
          <cell r="AC181">
            <v>32660</v>
          </cell>
        </row>
        <row r="182">
          <cell r="A182" t="str">
            <v>SAA 3390</v>
          </cell>
          <cell r="B182" t="str">
            <v>Pintura de Tráfico Blanco TTP-85E</v>
          </cell>
          <cell r="C182" t="str">
            <v>Interior-Exterior</v>
          </cell>
          <cell r="D182" t="str">
            <v>Asfalto y Concreto</v>
          </cell>
          <cell r="E182" t="str">
            <v>Limpia, Seca y Libre de Exudación de Asfalto</v>
          </cell>
          <cell r="F182" t="str">
            <v>Ninguno</v>
          </cell>
          <cell r="G182" t="str">
            <v>11.42 Lbs/Gl</v>
          </cell>
          <cell r="H182" t="str">
            <v>53%</v>
          </cell>
          <cell r="I182" t="str">
            <v>71.3%</v>
          </cell>
          <cell r="J182" t="str">
            <v>40%</v>
          </cell>
          <cell r="K182" t="str">
            <v>-</v>
          </cell>
          <cell r="L182" t="str">
            <v>52.52%</v>
          </cell>
          <cell r="M182" t="str">
            <v>70-80 KU (Stormer)</v>
          </cell>
          <cell r="N182" t="str">
            <v>Brocha, Rodillo Industrial, Máquina Franjeadora, Etc.</v>
          </cell>
          <cell r="O182" t="str">
            <v>Lista para Usarse con Brocha y Rodillo</v>
          </cell>
          <cell r="P182" t="str">
            <v>Para usar con Máquina Franjeadora, Reduzca con 1/8 y 1/4de Galón</v>
          </cell>
          <cell r="Q182" t="str">
            <v>R1K3 VM&amp;P Nafta</v>
          </cell>
          <cell r="R182" t="str">
            <v>4-5 mills/Pulg.</v>
          </cell>
          <cell r="S182" t="str">
            <v>15-20 Minutos. No transitar Antes de 30 Minutos</v>
          </cell>
          <cell r="T182" t="str">
            <v>-</v>
          </cell>
          <cell r="U182" t="str">
            <v>40-45 Mts Cuadrados/Gl/Mano</v>
          </cell>
          <cell r="V182" t="str">
            <v>Mate 1-2</v>
          </cell>
          <cell r="W182" t="str">
            <v>2B</v>
          </cell>
          <cell r="X182" t="str">
            <v>12 meses a 77°F y 50-55% de Humedad Relativa</v>
          </cell>
          <cell r="Y182" t="str">
            <v>EDISAL</v>
          </cell>
          <cell r="Z182" t="str">
            <v>-</v>
          </cell>
          <cell r="AA182" t="str">
            <v>-</v>
          </cell>
          <cell r="AB182" t="str">
            <v>José A. Romero Valle.</v>
          </cell>
          <cell r="AC182">
            <v>32660</v>
          </cell>
        </row>
        <row r="183">
          <cell r="A183" t="str">
            <v>SAA 3391</v>
          </cell>
          <cell r="B183" t="str">
            <v>Pintura de Tráfico Amarilla TTP-85E</v>
          </cell>
          <cell r="C183" t="str">
            <v>Interior-Exterior</v>
          </cell>
          <cell r="D183" t="str">
            <v>Asfalto y Concreto</v>
          </cell>
          <cell r="E183" t="str">
            <v>Limpia, Seca y Libre de Exudación de Asfalto</v>
          </cell>
          <cell r="F183" t="str">
            <v>Ninguno</v>
          </cell>
          <cell r="G183" t="str">
            <v>11.69 Lbs/Gl</v>
          </cell>
          <cell r="H183" t="str">
            <v>53.7%</v>
          </cell>
          <cell r="I183" t="str">
            <v>72%</v>
          </cell>
          <cell r="J183" t="str">
            <v>40%</v>
          </cell>
          <cell r="K183" t="str">
            <v>-</v>
          </cell>
          <cell r="L183" t="str">
            <v>52.6%</v>
          </cell>
          <cell r="M183" t="str">
            <v>70-80 KU (Stormer)</v>
          </cell>
          <cell r="N183" t="str">
            <v>Brocha, Rodillo Industrial, Máquina Franjeadora, Etc.</v>
          </cell>
          <cell r="O183" t="str">
            <v>Lista para Usarse con Brocha y Rodillo</v>
          </cell>
          <cell r="P183" t="str">
            <v>Para usar con Máquina Franjeadora, Reduzca con 1/8 y 1/4de Galón</v>
          </cell>
          <cell r="Q183" t="str">
            <v>R1K3 VM&amp;P Nafta</v>
          </cell>
          <cell r="R183" t="str">
            <v>4-5 mills/Pulg.</v>
          </cell>
          <cell r="S183" t="str">
            <v>15-20 Minutos. No transitar Antes de 30 Minutos</v>
          </cell>
          <cell r="T183" t="str">
            <v>-</v>
          </cell>
          <cell r="U183" t="str">
            <v>40-45 Mts Cuadrados/Gl/Mano</v>
          </cell>
          <cell r="V183" t="str">
            <v>Mate 1-2</v>
          </cell>
          <cell r="W183" t="str">
            <v>2B</v>
          </cell>
          <cell r="X183" t="str">
            <v>12 meses a 77°F y 50-55% de Humedad Relativa</v>
          </cell>
          <cell r="Y183" t="str">
            <v>EDISAL</v>
          </cell>
          <cell r="Z183" t="str">
            <v>-</v>
          </cell>
          <cell r="AA183" t="str">
            <v>-</v>
          </cell>
          <cell r="AB183" t="str">
            <v>José A. Romero Valle.</v>
          </cell>
          <cell r="AC183">
            <v>32660</v>
          </cell>
        </row>
        <row r="184">
          <cell r="A184" t="str">
            <v>SAA 3507</v>
          </cell>
          <cell r="B184" t="str">
            <v>Collapsible Tube Enamel White</v>
          </cell>
          <cell r="C184" t="str">
            <v>Interior</v>
          </cell>
          <cell r="D184" t="str">
            <v>Tubos de Estaño y Aluminio</v>
          </cell>
          <cell r="E184" t="str">
            <v>Limpieza</v>
          </cell>
          <cell r="F184" t="str">
            <v>Ninguno</v>
          </cell>
          <cell r="G184" t="str">
            <v>11.34 Lbs/Gl</v>
          </cell>
          <cell r="H184" t="str">
            <v>14.83%</v>
          </cell>
          <cell r="I184" t="str">
            <v>61.34%</v>
          </cell>
          <cell r="J184" t="str">
            <v>54.61%</v>
          </cell>
          <cell r="K184" t="str">
            <v>30.29%</v>
          </cell>
          <cell r="L184" t="str">
            <v>40.15%</v>
          </cell>
          <cell r="M184" t="str">
            <v>6000-7000 Cps</v>
          </cell>
          <cell r="N184" t="str">
            <v>Especial</v>
          </cell>
          <cell r="O184" t="str">
            <v>6000-7000 Cps</v>
          </cell>
          <cell r="P184" t="str">
            <v>Ninguno</v>
          </cell>
          <cell r="Q184" t="str">
            <v>Ninguno</v>
          </cell>
          <cell r="R184" t="str">
            <v>1.0-1.2 mills</v>
          </cell>
          <cell r="S184" t="str">
            <v>Al Horno</v>
          </cell>
          <cell r="T184" t="str">
            <v>3.5 Min a 300°F</v>
          </cell>
          <cell r="U184" t="str">
            <v>931.44 Pies Cuadrados/Gl</v>
          </cell>
          <cell r="V184" t="str">
            <v>80 Minimo</v>
          </cell>
          <cell r="W184" t="str">
            <v>F</v>
          </cell>
          <cell r="X184" t="str">
            <v>12 meses</v>
          </cell>
          <cell r="Y184" t="str">
            <v>ENVASA Costa Rica.</v>
          </cell>
          <cell r="Z184" t="str">
            <v>-</v>
          </cell>
          <cell r="AA184" t="str">
            <v>-</v>
          </cell>
          <cell r="AB184" t="str">
            <v>-</v>
          </cell>
          <cell r="AC184">
            <v>33032</v>
          </cell>
        </row>
        <row r="185">
          <cell r="A185" t="str">
            <v>SAA 3543</v>
          </cell>
          <cell r="B185" t="str">
            <v>Acrylic Metal Lacquer</v>
          </cell>
          <cell r="C185" t="str">
            <v>Interior</v>
          </cell>
          <cell r="D185" t="str">
            <v>Hierro-Acero</v>
          </cell>
          <cell r="E185" t="str">
            <v>Limpiar con solvente</v>
          </cell>
          <cell r="F185" t="str">
            <v>Ninguno</v>
          </cell>
          <cell r="G185" t="str">
            <v>7.47 Lbs/Gl</v>
          </cell>
          <cell r="H185" t="str">
            <v>-</v>
          </cell>
          <cell r="I185" t="str">
            <v>20.5%</v>
          </cell>
          <cell r="J185" t="str">
            <v>60%</v>
          </cell>
          <cell r="K185" t="str">
            <v>-</v>
          </cell>
          <cell r="L185" t="str">
            <v>13.3%</v>
          </cell>
          <cell r="M185" t="str">
            <v>35"-40" Copa SW #3</v>
          </cell>
          <cell r="N185" t="str">
            <v>Inmersión</v>
          </cell>
          <cell r="O185" t="str">
            <v>25"-40" Copa SW #3</v>
          </cell>
          <cell r="P185" t="str">
            <v>Ninguno</v>
          </cell>
          <cell r="Q185" t="str">
            <v>Por inmersión Ninguno. Pistola 25% con R7K203</v>
          </cell>
          <cell r="R185" t="str">
            <v>-</v>
          </cell>
          <cell r="S185" t="str">
            <v>5 Minutos</v>
          </cell>
          <cell r="T185" t="str">
            <v>-</v>
          </cell>
          <cell r="U185" t="str">
            <v>-</v>
          </cell>
          <cell r="V185" t="str">
            <v>90-93</v>
          </cell>
          <cell r="W185" t="str">
            <v>-</v>
          </cell>
          <cell r="Y185" t="str">
            <v>VIDRI S.A</v>
          </cell>
          <cell r="Z185" t="str">
            <v>Azadones, Picos y Palas</v>
          </cell>
          <cell r="AA185" t="str">
            <v>-</v>
          </cell>
          <cell r="AB185" t="str">
            <v>-</v>
          </cell>
          <cell r="AC185">
            <v>33105</v>
          </cell>
        </row>
        <row r="186">
          <cell r="A186" t="str">
            <v>SAA 3544</v>
          </cell>
          <cell r="B186" t="str">
            <v>Sherwood Walnut Stain Concentrate</v>
          </cell>
          <cell r="C186" t="str">
            <v>Interior</v>
          </cell>
          <cell r="D186" t="str">
            <v>Madera</v>
          </cell>
          <cell r="E186" t="str">
            <v>Madera Lijada</v>
          </cell>
          <cell r="F186" t="str">
            <v>Ninguno</v>
          </cell>
          <cell r="G186" t="str">
            <v>10.17 Lbs/Gl</v>
          </cell>
          <cell r="H186" t="str">
            <v>78.7%</v>
          </cell>
          <cell r="I186" t="str">
            <v>51.44%</v>
          </cell>
          <cell r="J186" t="str">
            <v>52%</v>
          </cell>
          <cell r="K186" t="str">
            <v>50.6%</v>
          </cell>
          <cell r="L186" t="str">
            <v>24.25%</v>
          </cell>
          <cell r="M186" t="str">
            <v>13"-16" Copa Ford #4</v>
          </cell>
          <cell r="N186" t="str">
            <v>Brocha o Wipe</v>
          </cell>
          <cell r="O186" t="str">
            <v>13"-16" Copa Ford #4</v>
          </cell>
          <cell r="P186" t="str">
            <v>Ninguno</v>
          </cell>
          <cell r="Q186" t="str">
            <v>Ninguno</v>
          </cell>
          <cell r="R186" t="str">
            <v>-</v>
          </cell>
          <cell r="S186" t="str">
            <v>1 Hora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MAYMO (Guatemala)</v>
          </cell>
          <cell r="Z186" t="str">
            <v>Muebles de Madera.</v>
          </cell>
          <cell r="AA186" t="str">
            <v>-</v>
          </cell>
          <cell r="AB186" t="str">
            <v>-</v>
          </cell>
          <cell r="AC186">
            <v>33109</v>
          </cell>
        </row>
        <row r="187">
          <cell r="A187" t="str">
            <v>G78</v>
          </cell>
          <cell r="B187" t="str">
            <v>Linea Permaclad 1700</v>
          </cell>
          <cell r="C187" t="str">
            <v>Interior-Exterior</v>
          </cell>
          <cell r="D187" t="str">
            <v>Lamina Galvanizada</v>
          </cell>
          <cell r="E187" t="str">
            <v>Limpia con Solvente</v>
          </cell>
          <cell r="F187" t="str">
            <v>Super Clad Primer P66YC1</v>
          </cell>
          <cell r="G187" t="str">
            <v>9.40 Lbs/Gl</v>
          </cell>
          <cell r="H187" t="str">
            <v>19.35%</v>
          </cell>
          <cell r="I187" t="str">
            <v>51.96%</v>
          </cell>
          <cell r="J187" t="str">
            <v>55%</v>
          </cell>
          <cell r="K187" t="str">
            <v>9.95%</v>
          </cell>
          <cell r="L187" t="str">
            <v>38.3%</v>
          </cell>
          <cell r="M187" t="str">
            <v>30"-35" Copa SW #3</v>
          </cell>
          <cell r="N187" t="str">
            <v>Pistola</v>
          </cell>
          <cell r="O187" t="str">
            <v>15"-18" Copa Ford #4</v>
          </cell>
          <cell r="P187" t="str">
            <v>15-20% con R2K4</v>
          </cell>
          <cell r="Q187" t="str">
            <v>R2K4         Industrial reducer</v>
          </cell>
          <cell r="R187" t="str">
            <v>0.8 mills</v>
          </cell>
          <cell r="S187" t="str">
            <v>Horno</v>
          </cell>
          <cell r="T187" t="str">
            <v>un minuto a 450°F</v>
          </cell>
          <cell r="U187" t="str">
            <v>79 Mts Cuadrados/Gl a 0.8 mills</v>
          </cell>
          <cell r="V187" t="str">
            <v>85-90</v>
          </cell>
          <cell r="W187" t="str">
            <v>H-2H</v>
          </cell>
          <cell r="X187" t="str">
            <v>-</v>
          </cell>
          <cell r="Y187" t="str">
            <v>PROFESAL</v>
          </cell>
          <cell r="Z187" t="str">
            <v>Laminas Galvanizadas Esmaltadas</v>
          </cell>
          <cell r="AA187" t="str">
            <v>-</v>
          </cell>
          <cell r="AB187" t="str">
            <v>-</v>
          </cell>
          <cell r="AC187">
            <v>33119</v>
          </cell>
        </row>
        <row r="188">
          <cell r="A188" t="str">
            <v>P66YC1 (1)</v>
          </cell>
          <cell r="B188" t="str">
            <v>Superclad Primer</v>
          </cell>
          <cell r="C188" t="str">
            <v>Primer (Interior-Exterior)</v>
          </cell>
          <cell r="D188" t="str">
            <v>Lamina Galvanizada</v>
          </cell>
          <cell r="E188" t="str">
            <v>Limpia con Solvente</v>
          </cell>
          <cell r="F188" t="str">
            <v>Ninguno</v>
          </cell>
          <cell r="G188" t="str">
            <v>9.4 Lbs/Gl</v>
          </cell>
          <cell r="H188" t="str">
            <v>42.8%</v>
          </cell>
          <cell r="I188" t="str">
            <v>42.6%</v>
          </cell>
          <cell r="J188" t="str">
            <v>24.45%</v>
          </cell>
          <cell r="K188" t="str">
            <v>19.2%</v>
          </cell>
          <cell r="L188" t="str">
            <v>27.0%</v>
          </cell>
          <cell r="M188" t="str">
            <v>25"-35" Copa SW #3</v>
          </cell>
          <cell r="N188" t="str">
            <v>Pistola</v>
          </cell>
          <cell r="O188" t="str">
            <v>13"-17" Copa Ford #4</v>
          </cell>
          <cell r="P188" t="str">
            <v>100% con R7KSA15</v>
          </cell>
          <cell r="Q188" t="str">
            <v>Thinner Metasa R7KSA15</v>
          </cell>
          <cell r="R188" t="str">
            <v>0.13-0.17 mills</v>
          </cell>
          <cell r="S188" t="str">
            <v>Horno</v>
          </cell>
          <cell r="T188" t="str">
            <v>1 minuto a 450°F</v>
          </cell>
          <cell r="U188" t="str">
            <v>268.3 Mts Cuadrados/Gl a 0.13 mills</v>
          </cell>
          <cell r="V188" t="str">
            <v>-</v>
          </cell>
          <cell r="W188" t="str">
            <v>-</v>
          </cell>
          <cell r="X188" t="str">
            <v>-</v>
          </cell>
          <cell r="Y188" t="str">
            <v>PROFESAL</v>
          </cell>
          <cell r="Z188" t="str">
            <v>Laminas Galvanizadas Esmaltadas</v>
          </cell>
          <cell r="AA188" t="str">
            <v>-</v>
          </cell>
          <cell r="AB188" t="str">
            <v>-</v>
          </cell>
          <cell r="AC188">
            <v>33119</v>
          </cell>
        </row>
        <row r="189">
          <cell r="A189" t="str">
            <v>R7KSA13</v>
          </cell>
          <cell r="B189" t="str">
            <v>Thinner Especial</v>
          </cell>
          <cell r="C189" t="str">
            <v>Interior</v>
          </cell>
          <cell r="D189" t="str">
            <v>-</v>
          </cell>
          <cell r="E189" t="str">
            <v>-</v>
          </cell>
          <cell r="F189" t="str">
            <v>-</v>
          </cell>
          <cell r="G189" t="str">
            <v>6.68 Lbs/Gl</v>
          </cell>
          <cell r="H189" t="str">
            <v>-</v>
          </cell>
          <cell r="I189" t="str">
            <v>-</v>
          </cell>
          <cell r="J189" t="str">
            <v>-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INDISA</v>
          </cell>
          <cell r="Z189" t="str">
            <v>Adornos Navideños y otros.</v>
          </cell>
          <cell r="AA189" t="str">
            <v>-</v>
          </cell>
          <cell r="AB189" t="str">
            <v>-</v>
          </cell>
          <cell r="AC189">
            <v>33129</v>
          </cell>
        </row>
        <row r="190">
          <cell r="A190" t="str">
            <v>R7KSA8</v>
          </cell>
          <cell r="B190" t="str">
            <v>Thinner Base Especial</v>
          </cell>
          <cell r="C190" t="str">
            <v>Interior</v>
          </cell>
          <cell r="D190" t="str">
            <v>-</v>
          </cell>
          <cell r="E190" t="str">
            <v>-</v>
          </cell>
          <cell r="F190" t="str">
            <v>-</v>
          </cell>
          <cell r="G190" t="str">
            <v>6.52 Lbs/Gl</v>
          </cell>
          <cell r="H190" t="str">
            <v>-</v>
          </cell>
          <cell r="I190" t="str">
            <v>-</v>
          </cell>
          <cell r="J190" t="str">
            <v>-</v>
          </cell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INDISA</v>
          </cell>
          <cell r="Z190" t="str">
            <v>Adornos Navideños y otros.</v>
          </cell>
          <cell r="AA190" t="str">
            <v>-</v>
          </cell>
          <cell r="AB190" t="str">
            <v>-</v>
          </cell>
          <cell r="AC190">
            <v>33129</v>
          </cell>
        </row>
        <row r="191">
          <cell r="A191" t="str">
            <v>T70CSA16</v>
          </cell>
          <cell r="B191" t="str">
            <v>Laca Transparente Brillante No.1</v>
          </cell>
          <cell r="C191" t="str">
            <v>Interior</v>
          </cell>
          <cell r="D191" t="str">
            <v>Polietileno y Poliestireno</v>
          </cell>
          <cell r="E191" t="str">
            <v>Limpieza Adecuada</v>
          </cell>
          <cell r="F191" t="str">
            <v>NINGUNO</v>
          </cell>
          <cell r="G191" t="str">
            <v>8.0 Lbs/Gl</v>
          </cell>
          <cell r="H191" t="str">
            <v>0.0%</v>
          </cell>
          <cell r="I191" t="str">
            <v>40%</v>
          </cell>
          <cell r="J191" t="str">
            <v>40%</v>
          </cell>
          <cell r="K191" t="str">
            <v>0.0 %</v>
          </cell>
          <cell r="L191" t="str">
            <v>33.85 %</v>
          </cell>
          <cell r="M191" t="str">
            <v>J-L (Gardner-Holdt)</v>
          </cell>
          <cell r="N191" t="str">
            <v>Especial</v>
          </cell>
          <cell r="O191" t="str">
            <v>18" - 22" COPA Zanh#2</v>
          </cell>
          <cell r="P191" t="str">
            <v>Ninguno</v>
          </cell>
          <cell r="Q191" t="str">
            <v>ninguno</v>
          </cell>
          <cell r="R191" t="str">
            <v>1.0 mills</v>
          </cell>
          <cell r="S191" t="str">
            <v>-</v>
          </cell>
          <cell r="T191" t="str">
            <v>-</v>
          </cell>
          <cell r="U191" t="str">
            <v>540 Pies Cuadrados/Gl a 1 mils de espesor seco</v>
          </cell>
          <cell r="V191" t="str">
            <v>80</v>
          </cell>
          <cell r="W191" t="str">
            <v>2B-B</v>
          </cell>
          <cell r="X191" t="str">
            <v>1 1/2 Años</v>
          </cell>
          <cell r="Y191" t="str">
            <v>INDISA</v>
          </cell>
          <cell r="Z191" t="str">
            <v>Adornos Navideños y otros.</v>
          </cell>
          <cell r="AA191" t="str">
            <v>-</v>
          </cell>
          <cell r="AB191" t="str">
            <v>Corina de Turcios</v>
          </cell>
          <cell r="AC191">
            <v>33129</v>
          </cell>
        </row>
        <row r="192">
          <cell r="A192" t="str">
            <v>T70CSA20</v>
          </cell>
          <cell r="B192" t="str">
            <v>Laca Especial Transparente Brillante</v>
          </cell>
          <cell r="C192" t="str">
            <v>Interior</v>
          </cell>
          <cell r="D192" t="str">
            <v>Polietileno y Poliestireno</v>
          </cell>
          <cell r="E192" t="str">
            <v>Limpieza Adecuada</v>
          </cell>
          <cell r="F192" t="str">
            <v>ninguno</v>
          </cell>
          <cell r="G192" t="str">
            <v>7.98 Lbs/Gl</v>
          </cell>
          <cell r="H192" t="str">
            <v>0.0 %</v>
          </cell>
          <cell r="I192" t="str">
            <v>30.70%</v>
          </cell>
          <cell r="J192" t="str">
            <v>30.70%</v>
          </cell>
          <cell r="K192" t="str">
            <v>0.0 %</v>
          </cell>
          <cell r="L192" t="str">
            <v>21%</v>
          </cell>
          <cell r="M192" t="str">
            <v>10-15 seg. Copa SW #5</v>
          </cell>
          <cell r="N192" t="str">
            <v>Pistola</v>
          </cell>
          <cell r="O192" t="str">
            <v>10-15 seg. Copa SW #5</v>
          </cell>
          <cell r="P192" t="str">
            <v>100</v>
          </cell>
          <cell r="Q192" t="str">
            <v>R7K128</v>
          </cell>
          <cell r="R192" t="str">
            <v>0.5-0.7 mills</v>
          </cell>
          <cell r="S192" t="str">
            <v>Al Aire. Seco Tocar: 5 Minutos. Seco Completo: 20 Minutos</v>
          </cell>
          <cell r="T192" t="str">
            <v>-</v>
          </cell>
          <cell r="U192" t="str">
            <v>480 Pies Cuadrados/Gl</v>
          </cell>
          <cell r="V192" t="str">
            <v>+80</v>
          </cell>
          <cell r="W192" t="str">
            <v>2B-B</v>
          </cell>
          <cell r="X192" t="str">
            <v>1 1/2 Años</v>
          </cell>
          <cell r="Y192" t="str">
            <v>INDISA</v>
          </cell>
          <cell r="Z192" t="str">
            <v>Adornos Navideños y otros.</v>
          </cell>
          <cell r="AA192" t="str">
            <v>-</v>
          </cell>
          <cell r="AC192" t="str">
            <v>Noviembre 27, 2002</v>
          </cell>
        </row>
        <row r="193">
          <cell r="A193" t="str">
            <v>A17VSA2</v>
          </cell>
          <cell r="B193" t="str">
            <v>Preservante-Repelente Para Fibrolite</v>
          </cell>
          <cell r="C193" t="str">
            <v>Interior-Exterior</v>
          </cell>
          <cell r="D193" t="str">
            <v>Fibrocemento</v>
          </cell>
          <cell r="E193" t="str">
            <v>Seca, Limpia y sin Polvo</v>
          </cell>
          <cell r="F193" t="str">
            <v>-</v>
          </cell>
          <cell r="G193" t="str">
            <v>6.76 Lbs/Gl</v>
          </cell>
          <cell r="H193" t="str">
            <v>-</v>
          </cell>
          <cell r="I193" t="str">
            <v>-</v>
          </cell>
          <cell r="J193" t="str">
            <v>-</v>
          </cell>
          <cell r="K193" t="str">
            <v>7%</v>
          </cell>
          <cell r="L193" t="str">
            <v>11%</v>
          </cell>
          <cell r="M193" t="str">
            <v>-</v>
          </cell>
          <cell r="N193" t="str">
            <v>Brocha-Inmersión</v>
          </cell>
          <cell r="O193" t="str">
            <v>A (Gardner-Hold)</v>
          </cell>
          <cell r="P193" t="str">
            <v>Ninguno</v>
          </cell>
          <cell r="Q193" t="str">
            <v>-</v>
          </cell>
          <cell r="R193" t="str">
            <v>-</v>
          </cell>
          <cell r="S193" t="str">
            <v>Al Aire</v>
          </cell>
          <cell r="T193" t="str">
            <v>-</v>
          </cell>
          <cell r="U193" t="str">
            <v>11-12 Mts cuadrados/ galón/mano dependiendo de la porosidad de la superficie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EUREKA</v>
          </cell>
          <cell r="Z193" t="str">
            <v>Techos de Fibrocemento</v>
          </cell>
          <cell r="AA193" t="str">
            <v>-</v>
          </cell>
          <cell r="AB193" t="str">
            <v>-</v>
          </cell>
          <cell r="AC193">
            <v>33157</v>
          </cell>
        </row>
        <row r="194">
          <cell r="A194" t="str">
            <v>A44WSA3</v>
          </cell>
          <cell r="B194" t="str">
            <v>Texture Paint For Ceiling</v>
          </cell>
          <cell r="C194" t="str">
            <v>Interior</v>
          </cell>
          <cell r="D194" t="str">
            <v>Fibrocemento</v>
          </cell>
          <cell r="E194" t="str">
            <v>Limpia de Polvo, y Seca</v>
          </cell>
          <cell r="F194" t="str">
            <v>-</v>
          </cell>
          <cell r="G194" t="str">
            <v>14.5 Lbs/Gl</v>
          </cell>
          <cell r="H194" t="str">
            <v>-</v>
          </cell>
          <cell r="I194" t="str">
            <v>72%</v>
          </cell>
          <cell r="J194" t="str">
            <v>49.6%</v>
          </cell>
          <cell r="K194" t="str">
            <v>-</v>
          </cell>
          <cell r="L194" t="str">
            <v>-</v>
          </cell>
          <cell r="M194" t="str">
            <v>96,000 CPS</v>
          </cell>
          <cell r="N194" t="str">
            <v>Rodillo-Brocha</v>
          </cell>
          <cell r="O194" t="str">
            <v>96,000 CPS</v>
          </cell>
          <cell r="P194" t="str">
            <v>-</v>
          </cell>
          <cell r="Q194" t="str">
            <v>Agua</v>
          </cell>
          <cell r="R194" t="str">
            <v>-</v>
          </cell>
          <cell r="S194" t="str">
            <v>Al aire</v>
          </cell>
          <cell r="T194" t="str">
            <v>-</v>
          </cell>
          <cell r="U194" t="str">
            <v>6.5-7.5 Mts Cuadrados/Gl dependiendo del estilo</v>
          </cell>
          <cell r="V194" t="str">
            <v>Mate</v>
          </cell>
          <cell r="W194" t="str">
            <v>-</v>
          </cell>
          <cell r="X194" t="str">
            <v>1-2 Años</v>
          </cell>
          <cell r="Y194" t="str">
            <v>EUREKA</v>
          </cell>
          <cell r="Z194" t="str">
            <v>Techos de Fibrocemento</v>
          </cell>
          <cell r="AA194" t="str">
            <v>-</v>
          </cell>
          <cell r="AB194" t="str">
            <v>-</v>
          </cell>
          <cell r="AC194">
            <v>33157</v>
          </cell>
        </row>
        <row r="195">
          <cell r="A195" t="str">
            <v>A44WSA4</v>
          </cell>
          <cell r="B195" t="str">
            <v>Texture Paint For Walls</v>
          </cell>
          <cell r="C195" t="str">
            <v>Interior</v>
          </cell>
          <cell r="D195" t="str">
            <v>Fibrocemento</v>
          </cell>
          <cell r="E195" t="str">
            <v>Limpia de Polvo, y Seca</v>
          </cell>
          <cell r="F195" t="str">
            <v>-</v>
          </cell>
          <cell r="G195" t="str">
            <v>14.5 Lbs/Gl</v>
          </cell>
          <cell r="H195" t="str">
            <v>-</v>
          </cell>
          <cell r="I195" t="str">
            <v>72%</v>
          </cell>
          <cell r="J195" t="str">
            <v>49.6%</v>
          </cell>
          <cell r="K195" t="str">
            <v>-</v>
          </cell>
          <cell r="L195" t="str">
            <v>-</v>
          </cell>
          <cell r="M195" t="str">
            <v>-</v>
          </cell>
          <cell r="N195" t="str">
            <v>Rodillo, Espátula, Brocha</v>
          </cell>
          <cell r="O195" t="str">
            <v>96,000-100,000 CPS</v>
          </cell>
          <cell r="P195" t="str">
            <v>-</v>
          </cell>
          <cell r="Q195" t="str">
            <v>Agua</v>
          </cell>
          <cell r="R195" t="str">
            <v>-</v>
          </cell>
          <cell r="S195" t="str">
            <v>Al aire</v>
          </cell>
          <cell r="T195" t="str">
            <v>-</v>
          </cell>
          <cell r="U195" t="str">
            <v>6.5-7.5 Mts Cuadrados/Gl dependiendo del estilo</v>
          </cell>
          <cell r="V195" t="str">
            <v>Mate</v>
          </cell>
          <cell r="W195" t="str">
            <v>-</v>
          </cell>
          <cell r="X195" t="str">
            <v>1-2 Años</v>
          </cell>
          <cell r="Y195" t="str">
            <v>EUREKA</v>
          </cell>
          <cell r="Z195" t="str">
            <v>Techos de Fibrocemento</v>
          </cell>
          <cell r="AA195" t="str">
            <v>-</v>
          </cell>
          <cell r="AB195" t="str">
            <v>-</v>
          </cell>
          <cell r="AC195">
            <v>33157</v>
          </cell>
        </row>
        <row r="196">
          <cell r="A196" t="str">
            <v>A95GSA14</v>
          </cell>
          <cell r="B196" t="str">
            <v>Pintura Especial Verde Para Techos de Fibrocemento</v>
          </cell>
          <cell r="C196" t="str">
            <v>Exterior</v>
          </cell>
          <cell r="D196" t="str">
            <v>Fibrocemento</v>
          </cell>
          <cell r="E196" t="str">
            <v>Lijada, Libre de Polvo y Seca</v>
          </cell>
          <cell r="F196" t="str">
            <v>-</v>
          </cell>
          <cell r="G196" t="str">
            <v>10.80 Lbs/Gl</v>
          </cell>
          <cell r="H196" t="str">
            <v>30.9%</v>
          </cell>
          <cell r="I196" t="str">
            <v>48.8%</v>
          </cell>
          <cell r="J196" t="str">
            <v>17.9%</v>
          </cell>
          <cell r="K196" t="str">
            <v>13.6%</v>
          </cell>
          <cell r="L196" t="str">
            <v>35.0%</v>
          </cell>
          <cell r="M196" t="str">
            <v>79-85 KU</v>
          </cell>
          <cell r="N196" t="str">
            <v>Pistola Airless 30-35 Libras de Presión</v>
          </cell>
          <cell r="O196" t="str">
            <v>-</v>
          </cell>
          <cell r="P196" t="str">
            <v>25% con Agua</v>
          </cell>
          <cell r="Q196" t="str">
            <v>Agua Corriente</v>
          </cell>
          <cell r="R196" t="str">
            <v>5 mills</v>
          </cell>
          <cell r="S196" t="str">
            <v>Al Aire</v>
          </cell>
          <cell r="T196" t="str">
            <v>No recomendado</v>
          </cell>
          <cell r="U196" t="str">
            <v>45-55 Mts cuadrados por Galón</v>
          </cell>
          <cell r="V196" t="str">
            <v>Mate</v>
          </cell>
          <cell r="W196" t="str">
            <v>-</v>
          </cell>
          <cell r="X196" t="str">
            <v>1-2 Años</v>
          </cell>
          <cell r="Y196" t="str">
            <v>EUREKA</v>
          </cell>
          <cell r="Z196" t="str">
            <v>Techos de Fibrocemento</v>
          </cell>
          <cell r="AA196" t="str">
            <v>-</v>
          </cell>
          <cell r="AB196" t="str">
            <v>-</v>
          </cell>
          <cell r="AC196">
            <v>33157</v>
          </cell>
        </row>
        <row r="197">
          <cell r="A197" t="str">
            <v>SAA 3567-B</v>
          </cell>
          <cell r="B197" t="str">
            <v>Sherwood White Oak Oil Stain</v>
          </cell>
          <cell r="C197" t="str">
            <v>Interiores</v>
          </cell>
          <cell r="D197" t="str">
            <v>Fibrocemento(Fibrolit)</v>
          </cell>
          <cell r="E197" t="str">
            <v>Sellada y Limpia</v>
          </cell>
          <cell r="F197" t="str">
            <v>Kem Patching Paste</v>
          </cell>
          <cell r="G197" t="str">
            <v>7.22 Lbs/Gl</v>
          </cell>
          <cell r="H197" t="str">
            <v>38%</v>
          </cell>
          <cell r="I197" t="str">
            <v>22%</v>
          </cell>
          <cell r="J197" t="str">
            <v>50%</v>
          </cell>
          <cell r="K197" t="str">
            <v>21%</v>
          </cell>
          <cell r="L197" t="str">
            <v>13%</v>
          </cell>
          <cell r="M197" t="str">
            <v>9"-12" Copa Ford #4</v>
          </cell>
          <cell r="N197" t="str">
            <v>Arrastre con Wipe</v>
          </cell>
          <cell r="O197" t="str">
            <v>9"-12" Copa Ford #4</v>
          </cell>
          <cell r="P197" t="str">
            <v>Ninguno</v>
          </cell>
          <cell r="Q197" t="str">
            <v>Ninguno</v>
          </cell>
          <cell r="R197" t="str">
            <v>-</v>
          </cell>
          <cell r="S197" t="str">
            <v>Al aire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EUREKA</v>
          </cell>
          <cell r="Z197" t="str">
            <v>Fibrocemento</v>
          </cell>
          <cell r="AA197" t="str">
            <v>-</v>
          </cell>
          <cell r="AB197" t="str">
            <v>-</v>
          </cell>
          <cell r="AC197">
            <v>33168</v>
          </cell>
        </row>
        <row r="198">
          <cell r="A198" t="str">
            <v>SAA 3568</v>
          </cell>
          <cell r="B198" t="str">
            <v>Laca Transparente Brillante Lista para Usar</v>
          </cell>
          <cell r="C198" t="str">
            <v>Interiores</v>
          </cell>
          <cell r="D198" t="str">
            <v>Fibrocemento(Fibrolit)</v>
          </cell>
          <cell r="E198" t="str">
            <v>Sellada y Limpia</v>
          </cell>
          <cell r="F198" t="str">
            <v>-</v>
          </cell>
          <cell r="G198" t="str">
            <v>7.43 Lbs/Gl</v>
          </cell>
          <cell r="H198" t="str">
            <v>-</v>
          </cell>
          <cell r="I198" t="str">
            <v>21%</v>
          </cell>
          <cell r="J198" t="str">
            <v>-</v>
          </cell>
          <cell r="K198" t="str">
            <v>-</v>
          </cell>
          <cell r="L198" t="str">
            <v>14.5%</v>
          </cell>
          <cell r="M198" t="str">
            <v>15"-19" Copa Ford #4</v>
          </cell>
          <cell r="N198" t="str">
            <v>Pistola</v>
          </cell>
          <cell r="O198" t="str">
            <v>15"-19" Copa Ford #4</v>
          </cell>
          <cell r="P198" t="str">
            <v>Ninguno</v>
          </cell>
          <cell r="Q198" t="str">
            <v>R7K203 si es necesario</v>
          </cell>
          <cell r="R198" t="str">
            <v>-</v>
          </cell>
          <cell r="S198" t="str">
            <v>Al Aire</v>
          </cell>
          <cell r="T198" t="str">
            <v>-</v>
          </cell>
          <cell r="U198" t="str">
            <v>-</v>
          </cell>
          <cell r="V198" t="str">
            <v>85-90</v>
          </cell>
          <cell r="W198" t="str">
            <v>-</v>
          </cell>
          <cell r="X198" t="str">
            <v>-</v>
          </cell>
          <cell r="Y198" t="str">
            <v>EUREKA</v>
          </cell>
          <cell r="Z198" t="str">
            <v>Fibrocemento</v>
          </cell>
          <cell r="AA198" t="str">
            <v>-</v>
          </cell>
          <cell r="AB198" t="str">
            <v>-</v>
          </cell>
          <cell r="AC198">
            <v>33168</v>
          </cell>
        </row>
        <row r="199">
          <cell r="A199" t="str">
            <v>B24WSA1</v>
          </cell>
          <cell r="B199" t="str">
            <v>Sellador Rellenador Especial Para Fibrolit</v>
          </cell>
          <cell r="C199" t="str">
            <v>Interiores</v>
          </cell>
          <cell r="D199" t="str">
            <v>Fibrocemento</v>
          </cell>
          <cell r="E199" t="str">
            <v>Libre de Polvo y otras Sustancias</v>
          </cell>
          <cell r="F199" t="str">
            <v>Ninguno</v>
          </cell>
          <cell r="G199" t="str">
            <v>12.27 Lbs/Gl</v>
          </cell>
          <cell r="H199" t="str">
            <v>69.2%</v>
          </cell>
          <cell r="I199" t="str">
            <v>46%</v>
          </cell>
          <cell r="J199" t="str">
            <v>55%</v>
          </cell>
          <cell r="K199" t="str">
            <v>51%</v>
          </cell>
          <cell r="L199" t="str">
            <v>30%</v>
          </cell>
          <cell r="M199" t="str">
            <v>13,000-15,000 CPS</v>
          </cell>
          <cell r="N199" t="str">
            <v>Espátula-Wipe</v>
          </cell>
          <cell r="O199" t="str">
            <v>13,000-15,000 CPS</v>
          </cell>
          <cell r="P199" t="str">
            <v>Ninguno</v>
          </cell>
          <cell r="Q199" t="str">
            <v>Ninguno</v>
          </cell>
          <cell r="R199" t="str">
            <v>-</v>
          </cell>
          <cell r="S199" t="str">
            <v>Al Aire</v>
          </cell>
          <cell r="T199" t="str">
            <v>-</v>
          </cell>
          <cell r="U199" t="str">
            <v>-</v>
          </cell>
          <cell r="V199" t="str">
            <v>-</v>
          </cell>
          <cell r="W199" t="str">
            <v>-</v>
          </cell>
          <cell r="X199" t="str">
            <v>-</v>
          </cell>
          <cell r="Y199" t="str">
            <v>EUREKA</v>
          </cell>
          <cell r="Z199" t="str">
            <v>Fibrocemento</v>
          </cell>
          <cell r="AA199" t="str">
            <v>-</v>
          </cell>
          <cell r="AB199" t="str">
            <v>-</v>
          </cell>
          <cell r="AC199">
            <v>33170</v>
          </cell>
        </row>
        <row r="200">
          <cell r="A200" t="str">
            <v>B45WSA1 (2)</v>
          </cell>
          <cell r="B200" t="str">
            <v>Fast Dry Latex Wall Primer (Primario)</v>
          </cell>
          <cell r="C200" t="str">
            <v>Interior</v>
          </cell>
          <cell r="D200" t="str">
            <v>Dryboard.</v>
          </cell>
          <cell r="E200" t="str">
            <v>Libre de Polvo y otras Sustancias</v>
          </cell>
          <cell r="F200" t="str">
            <v>Ninguno</v>
          </cell>
          <cell r="G200" t="str">
            <v>11.17 Lbs/Gl</v>
          </cell>
          <cell r="H200" t="str">
            <v>34.4%</v>
          </cell>
          <cell r="I200" t="str">
            <v>48.1%</v>
          </cell>
          <cell r="J200" t="str">
            <v>55%</v>
          </cell>
          <cell r="K200" t="str">
            <v>48.3%</v>
          </cell>
          <cell r="L200" t="str">
            <v>30.4%</v>
          </cell>
          <cell r="M200" t="str">
            <v>10,000-11,000 CPS</v>
          </cell>
          <cell r="N200" t="str">
            <v>Brocha-Pistola-Rodillo</v>
          </cell>
          <cell r="O200" t="str">
            <v>1,400-1,800 CPS con Brocha. 60-100 CPS con Pistola</v>
          </cell>
          <cell r="P200" t="str">
            <v>Brocha o Rodillo: 10% en Vol. Con agua. Pistola: 80% en Vol. Con Agua.</v>
          </cell>
          <cell r="Q200" t="str">
            <v>Agua</v>
          </cell>
          <cell r="R200" t="str">
            <v>2 mills</v>
          </cell>
          <cell r="S200" t="str">
            <v>Al Aire. Seco Tocar: 15 Minutos. Seco Completo: 45 Minutos</v>
          </cell>
          <cell r="T200" t="str">
            <v>Ninguno</v>
          </cell>
          <cell r="U200" t="str">
            <v>35 Mts Cuadrados/Gl</v>
          </cell>
          <cell r="V200" t="str">
            <v>Mate</v>
          </cell>
          <cell r="W200" t="str">
            <v>-</v>
          </cell>
          <cell r="X200" t="str">
            <v>2 años</v>
          </cell>
          <cell r="Y200" t="str">
            <v>Embajada Americana/Sepinta</v>
          </cell>
          <cell r="Z200" t="str">
            <v>Dryboard, Durapanel, Madera, Concreto.</v>
          </cell>
          <cell r="AA200" t="str">
            <v>-</v>
          </cell>
          <cell r="AB200" t="str">
            <v>-</v>
          </cell>
          <cell r="AC200">
            <v>33246</v>
          </cell>
        </row>
        <row r="201">
          <cell r="A201" t="str">
            <v>B49WSA1</v>
          </cell>
          <cell r="B201" t="str">
            <v>Promar 200 Alkyd Undercoater</v>
          </cell>
          <cell r="C201" t="str">
            <v>Interiores</v>
          </cell>
          <cell r="D201" t="str">
            <v>Dryboard, Concreto, Madera</v>
          </cell>
          <cell r="E201" t="str">
            <v>Limpia de Polvo</v>
          </cell>
          <cell r="F201" t="str">
            <v>Ninguno</v>
          </cell>
          <cell r="G201" t="str">
            <v>11.81 Lbs/Gl</v>
          </cell>
          <cell r="H201" t="str">
            <v>75.5%</v>
          </cell>
          <cell r="I201" t="str">
            <v>71.14%</v>
          </cell>
          <cell r="J201" t="str">
            <v>41%</v>
          </cell>
          <cell r="K201" t="str">
            <v>53.7%</v>
          </cell>
          <cell r="L201" t="str">
            <v>48.71%</v>
          </cell>
          <cell r="M201" t="str">
            <v>88-98 KU</v>
          </cell>
          <cell r="N201" t="str">
            <v>Brocha-Rodillo-Pistola</v>
          </cell>
          <cell r="O201" t="str">
            <v>Brocha (88-98 KU), Pistola (13-18" Ford #4)</v>
          </cell>
          <cell r="P201" t="str">
            <v>Brocha y Rodillo (Ninguna), Pistola (25% con R1K4)</v>
          </cell>
          <cell r="Q201" t="str">
            <v>R1K4</v>
          </cell>
          <cell r="R201" t="str">
            <v>2 mills seco</v>
          </cell>
          <cell r="S201" t="str">
            <v>Seco Tocar: 1-2 Horas, Seco Completo: 16-24 Horas.</v>
          </cell>
          <cell r="T201" t="str">
            <v>-</v>
          </cell>
          <cell r="U201" t="str">
            <v>29 Mts Cuadrados/Gl a 2 mills seco</v>
          </cell>
          <cell r="V201" t="str">
            <v>Mate</v>
          </cell>
          <cell r="W201" t="str">
            <v>-</v>
          </cell>
          <cell r="X201" t="str">
            <v>-</v>
          </cell>
          <cell r="Y201" t="str">
            <v>Embajada Americana/Sepinta</v>
          </cell>
          <cell r="Z201" t="str">
            <v>-</v>
          </cell>
          <cell r="AA201" t="str">
            <v>-</v>
          </cell>
          <cell r="AB201" t="str">
            <v>-</v>
          </cell>
          <cell r="AC201">
            <v>33246</v>
          </cell>
        </row>
        <row r="202">
          <cell r="A202" t="str">
            <v>V6V241</v>
          </cell>
          <cell r="B202" t="str">
            <v>Polasol</v>
          </cell>
          <cell r="C202" t="str">
            <v>Catalizador para Kem Lustral</v>
          </cell>
          <cell r="D202" t="str">
            <v>-</v>
          </cell>
          <cell r="E202" t="str">
            <v>-</v>
          </cell>
          <cell r="F202" t="str">
            <v>-</v>
          </cell>
          <cell r="G202" t="str">
            <v>8.91 Lbs/Gl</v>
          </cell>
          <cell r="H202" t="str">
            <v>-</v>
          </cell>
          <cell r="I202" t="str">
            <v>75%</v>
          </cell>
          <cell r="J202" t="str">
            <v>-</v>
          </cell>
          <cell r="K202" t="str">
            <v>-</v>
          </cell>
          <cell r="L202" t="str">
            <v>70.7%</v>
          </cell>
          <cell r="M202" t="str">
            <v>60-65 KU</v>
          </cell>
          <cell r="N202" t="str">
            <v>-</v>
          </cell>
          <cell r="O202" t="str">
            <v>-</v>
          </cell>
          <cell r="P202" t="str">
            <v>Se agrega 6% a Kem Lustral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Incrementa Dureza a Kem Lustral</v>
          </cell>
          <cell r="X202" t="str">
            <v>-</v>
          </cell>
          <cell r="Y202" t="str">
            <v>Sepinta, S.A</v>
          </cell>
          <cell r="Z202" t="str">
            <v>-</v>
          </cell>
          <cell r="AA202" t="str">
            <v>El Polysocianato Actúa sobre las Cadenas Alkydicas del Kem Lustral, Incrementando su Dureza, Resistencia y Adhesión.</v>
          </cell>
          <cell r="AB202" t="str">
            <v>-</v>
          </cell>
          <cell r="AC202">
            <v>33246</v>
          </cell>
        </row>
        <row r="203">
          <cell r="A203" t="str">
            <v>B60FSA1</v>
          </cell>
          <cell r="B203" t="str">
            <v>Eggshell Hardener (Catalizador De Tile Clad II Satinado)</v>
          </cell>
          <cell r="C203" t="str">
            <v>-</v>
          </cell>
          <cell r="D203" t="str">
            <v>-</v>
          </cell>
          <cell r="E203" t="str">
            <v>-</v>
          </cell>
          <cell r="G203" t="str">
            <v>10.42-10.67 Lbs/Gl</v>
          </cell>
          <cell r="H203" t="str">
            <v>32%</v>
          </cell>
          <cell r="I203" t="str">
            <v>69.57%</v>
          </cell>
          <cell r="J203" t="str">
            <v>60%</v>
          </cell>
          <cell r="K203" t="str">
            <v>26.6%</v>
          </cell>
          <cell r="L203" t="str">
            <v>55.9%</v>
          </cell>
          <cell r="M203" t="str">
            <v>68-75 KU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Freund, S.A</v>
          </cell>
          <cell r="Z203" t="str">
            <v>-</v>
          </cell>
          <cell r="AA203" t="str">
            <v>-</v>
          </cell>
          <cell r="AB203" t="str">
            <v>-</v>
          </cell>
          <cell r="AC203">
            <v>33249</v>
          </cell>
        </row>
        <row r="204">
          <cell r="A204" t="str">
            <v>B62BSA1/B60FSA1</v>
          </cell>
          <cell r="B204" t="str">
            <v>Tile Clad II Negro Satinado</v>
          </cell>
          <cell r="C204" t="str">
            <v>Interior-Exterior</v>
          </cell>
          <cell r="D204" t="str">
            <v>Concreto-Fibrocemento-Madera-Metal</v>
          </cell>
          <cell r="E204" t="str">
            <v>Limpia de Polvo, Grasa, Suciedad</v>
          </cell>
          <cell r="F204" t="str">
            <v>B24WSA1 ó B45WSA1(concreto, fibrocemento, madera) B69A47 (metal)</v>
          </cell>
          <cell r="G204" t="str">
            <v>8.09 Lbs/Gl</v>
          </cell>
          <cell r="H204" t="str">
            <v>18%</v>
          </cell>
          <cell r="I204" t="str">
            <v>45.6%</v>
          </cell>
          <cell r="J204" t="str">
            <v>60%</v>
          </cell>
          <cell r="K204" t="str">
            <v>11.5%</v>
          </cell>
          <cell r="L204" t="str">
            <v>40.7%</v>
          </cell>
          <cell r="M204" t="str">
            <v>75-83 ku</v>
          </cell>
          <cell r="N204" t="str">
            <v>Brocha-Pistola</v>
          </cell>
          <cell r="O204" t="str">
            <v>Brocha</v>
          </cell>
          <cell r="P204" t="str">
            <v>-</v>
          </cell>
          <cell r="Q204" t="str">
            <v>R2K4         Industrial reducer</v>
          </cell>
          <cell r="R204" t="str">
            <v>2-4 mills seco</v>
          </cell>
          <cell r="S204" t="str">
            <v>Seco Tocar: 1 Hra, Seco Completo 4-6 Hrs, Repintar: 12 Horas</v>
          </cell>
          <cell r="T204" t="str">
            <v>-</v>
          </cell>
          <cell r="U204" t="str">
            <v>25 Mts Cuadrados/Gl (4 mills), 50 Mts Cuadrados (2 mills)</v>
          </cell>
          <cell r="V204" t="str">
            <v>35 +/- 10 unidades</v>
          </cell>
          <cell r="W204" t="str">
            <v>2H</v>
          </cell>
          <cell r="X204" t="str">
            <v>-</v>
          </cell>
          <cell r="Y204" t="str">
            <v>Freund, S.A</v>
          </cell>
          <cell r="Z204" t="str">
            <v>-</v>
          </cell>
          <cell r="AA204" t="str">
            <v>-</v>
          </cell>
          <cell r="AB204" t="str">
            <v>-</v>
          </cell>
          <cell r="AC204">
            <v>33249</v>
          </cell>
        </row>
        <row r="205">
          <cell r="A205" t="str">
            <v>B42W1</v>
          </cell>
          <cell r="B205" t="str">
            <v>BLOC-TEX</v>
          </cell>
          <cell r="C205" t="str">
            <v>Interior-Exterior</v>
          </cell>
          <cell r="D205" t="str">
            <v>Bloques de Concreto</v>
          </cell>
          <cell r="E205" t="str">
            <v>Limpia con Agua y Jabón</v>
          </cell>
          <cell r="F205" t="str">
            <v>Ninguno</v>
          </cell>
          <cell r="G205" t="str">
            <v>14.47 Lbs/Gl</v>
          </cell>
          <cell r="H205" t="str">
            <v>80%</v>
          </cell>
          <cell r="I205" t="str">
            <v>74.7%</v>
          </cell>
          <cell r="J205" t="str">
            <v>50%</v>
          </cell>
          <cell r="K205" t="str">
            <v>75%</v>
          </cell>
          <cell r="L205" t="str">
            <v>57.7%</v>
          </cell>
          <cell r="M205" t="str">
            <v>Pasta</v>
          </cell>
          <cell r="N205" t="str">
            <v>Brocha-Rodillo</v>
          </cell>
          <cell r="O205" t="str">
            <v>110-120 KU</v>
          </cell>
          <cell r="P205" t="str">
            <v>25-50% con Excello Latex</v>
          </cell>
          <cell r="Q205" t="str">
            <v>Agua</v>
          </cell>
          <cell r="R205" t="str">
            <v>5-7 mills Seco</v>
          </cell>
          <cell r="S205" t="str">
            <v>20 minutos</v>
          </cell>
          <cell r="T205" t="str">
            <v>-</v>
          </cell>
          <cell r="U205" t="str">
            <v>15-20 Mts Cuadrados/Gl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Sepinta, S.A</v>
          </cell>
          <cell r="Z205" t="str">
            <v>-</v>
          </cell>
          <cell r="AA205" t="str">
            <v>-</v>
          </cell>
          <cell r="AB205" t="str">
            <v>-</v>
          </cell>
          <cell r="AC205">
            <v>33261</v>
          </cell>
        </row>
        <row r="206">
          <cell r="A206" t="str">
            <v>B45ASA1</v>
          </cell>
          <cell r="B206" t="str">
            <v>Sellador Para Concreto Gris</v>
          </cell>
          <cell r="C206" t="str">
            <v>Interior-Exterior</v>
          </cell>
          <cell r="D206" t="str">
            <v>Concreto</v>
          </cell>
          <cell r="E206" t="str">
            <v>Libre de Polvo y otras Sustancias</v>
          </cell>
          <cell r="F206" t="str">
            <v>Ninguno</v>
          </cell>
          <cell r="G206" t="str">
            <v>10.66 Lbs/Gl</v>
          </cell>
          <cell r="H206" t="str">
            <v>-</v>
          </cell>
          <cell r="I206" t="str">
            <v>47.3%</v>
          </cell>
          <cell r="J206" t="str">
            <v>50%</v>
          </cell>
          <cell r="K206" t="str">
            <v>45.5%</v>
          </cell>
          <cell r="L206" t="str">
            <v>31.4%</v>
          </cell>
          <cell r="M206" t="str">
            <v>13,000-15,000 CPS</v>
          </cell>
          <cell r="N206" t="str">
            <v>Brocha-Rodillo</v>
          </cell>
          <cell r="O206" t="str">
            <v>2,000-2,500 CPS</v>
          </cell>
          <cell r="P206" t="str">
            <v>10-15% de Agua</v>
          </cell>
          <cell r="Q206" t="str">
            <v>Agua</v>
          </cell>
          <cell r="R206" t="str">
            <v>2 mills</v>
          </cell>
          <cell r="S206" t="str">
            <v>Al aire (20 Min)</v>
          </cell>
          <cell r="T206" t="str">
            <v>-</v>
          </cell>
          <cell r="U206" t="str">
            <v>30 Mts Cuadrados/Gl</v>
          </cell>
          <cell r="V206" t="str">
            <v>-</v>
          </cell>
          <cell r="W206" t="str">
            <v>-</v>
          </cell>
          <cell r="X206" t="str">
            <v>-</v>
          </cell>
          <cell r="Y206" t="str">
            <v>Constructora Orion</v>
          </cell>
          <cell r="Z206" t="str">
            <v>Estructuras de Concreto</v>
          </cell>
          <cell r="AA206" t="str">
            <v>-</v>
          </cell>
          <cell r="AB206" t="str">
            <v>-</v>
          </cell>
          <cell r="AC206">
            <v>33280</v>
          </cell>
        </row>
        <row r="207">
          <cell r="A207" t="str">
            <v xml:space="preserve">V76VSA13 </v>
          </cell>
          <cell r="B207" t="str">
            <v>Barniz para Interiores Fenólico de Alta Resistencia Química</v>
          </cell>
          <cell r="C207" t="str">
            <v>Interiores</v>
          </cell>
          <cell r="D207" t="str">
            <v>Hojalata</v>
          </cell>
          <cell r="E207" t="str">
            <v>Limpia de Grasa  o suciedad</v>
          </cell>
          <cell r="F207" t="str">
            <v>Ninguno</v>
          </cell>
          <cell r="G207" t="str">
            <v>8.0 Lbs/Gl</v>
          </cell>
          <cell r="H207" t="str">
            <v>-</v>
          </cell>
          <cell r="I207" t="str">
            <v>38.91%</v>
          </cell>
          <cell r="J207" t="str">
            <v>54%</v>
          </cell>
          <cell r="K207" t="str">
            <v>-</v>
          </cell>
          <cell r="L207" t="str">
            <v>25.34%</v>
          </cell>
          <cell r="M207" t="str">
            <v>55"-65" Copa Ford #4</v>
          </cell>
          <cell r="N207" t="str">
            <v>Rodillo</v>
          </cell>
          <cell r="O207" t="str">
            <v>55"-65" Copa Ford #4</v>
          </cell>
          <cell r="P207" t="str">
            <v>Ninguno</v>
          </cell>
          <cell r="Q207" t="str">
            <v>Ninguno</v>
          </cell>
          <cell r="R207" t="str">
            <v>0.56 mills</v>
          </cell>
          <cell r="S207" t="str">
            <v>Horneo</v>
          </cell>
          <cell r="T207" t="str">
            <v>20" A 375°F</v>
          </cell>
          <cell r="U207" t="str">
            <v>-</v>
          </cell>
          <cell r="V207" t="str">
            <v>+80</v>
          </cell>
          <cell r="W207" t="str">
            <v>7H</v>
          </cell>
          <cell r="X207" t="str">
            <v>-</v>
          </cell>
          <cell r="Y207" t="str">
            <v>Pinsal</v>
          </cell>
          <cell r="Z207" t="str">
            <v>Pinturas</v>
          </cell>
          <cell r="AA207" t="str">
            <v>-</v>
          </cell>
          <cell r="AB207" t="str">
            <v>-</v>
          </cell>
          <cell r="AC207">
            <v>33288</v>
          </cell>
        </row>
        <row r="208">
          <cell r="A208" t="str">
            <v>B23WSA1 (1)</v>
          </cell>
          <cell r="B208" t="str">
            <v>Sellador Blanco Para Fibrolite</v>
          </cell>
          <cell r="C208" t="str">
            <v>Exterior e Interior</v>
          </cell>
          <cell r="D208" t="str">
            <v>Fibrolit</v>
          </cell>
          <cell r="E208" t="str">
            <v>-</v>
          </cell>
          <cell r="F208" t="str">
            <v>Ninguno</v>
          </cell>
          <cell r="G208" t="str">
            <v>13.55 Lbs/Gl</v>
          </cell>
          <cell r="H208" t="str">
            <v>68.27%</v>
          </cell>
          <cell r="I208" t="str">
            <v>75.28%</v>
          </cell>
          <cell r="J208" t="str">
            <v>5.54%</v>
          </cell>
          <cell r="K208" t="str">
            <v>76.25%</v>
          </cell>
          <cell r="L208" t="str">
            <v>48.06%</v>
          </cell>
          <cell r="M208" t="str">
            <v>100 KU</v>
          </cell>
          <cell r="N208" t="str">
            <v xml:space="preserve">Brocha </v>
          </cell>
          <cell r="O208" t="str">
            <v>100 KU</v>
          </cell>
          <cell r="P208" t="str">
            <v>Ninguno</v>
          </cell>
          <cell r="Q208" t="str">
            <v>Ninguno</v>
          </cell>
          <cell r="R208" t="str">
            <v>3-4 Mills</v>
          </cell>
          <cell r="S208" t="str">
            <v>Al Aire</v>
          </cell>
          <cell r="T208" t="str">
            <v>-</v>
          </cell>
          <cell r="U208" t="str">
            <v>12 Mts Cuadrados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Al recubrir con Pinturas de Aceite y/o Epóxicas dar una mano de Látex Antes (Colonial o Excello)</v>
          </cell>
          <cell r="AB208" t="str">
            <v>-</v>
          </cell>
          <cell r="AC208">
            <v>33291</v>
          </cell>
        </row>
        <row r="209">
          <cell r="A209" t="str">
            <v>F63W56 (1)</v>
          </cell>
          <cell r="B209" t="str">
            <v>Polane HS White</v>
          </cell>
          <cell r="C209" t="str">
            <v>Exterior e Interior</v>
          </cell>
          <cell r="D209" t="str">
            <v>Lexan</v>
          </cell>
          <cell r="E209" t="str">
            <v>Limpia de Polvo, Grasa, Suciedad</v>
          </cell>
          <cell r="F209" t="str">
            <v>Ninguno</v>
          </cell>
          <cell r="G209" t="str">
            <v>12 Lbs/Gl</v>
          </cell>
          <cell r="H209" t="str">
            <v>45.65%</v>
          </cell>
          <cell r="I209" t="str">
            <v>77.96%</v>
          </cell>
          <cell r="J209" t="str">
            <v>45.40%</v>
          </cell>
          <cell r="K209" t="str">
            <v>27.1%</v>
          </cell>
          <cell r="L209" t="str">
            <v>62.30%</v>
          </cell>
          <cell r="M209" t="str">
            <v>60-65 KU</v>
          </cell>
          <cell r="N209" t="str">
            <v>Pistola</v>
          </cell>
          <cell r="O209" t="str">
            <v>15"-20" Copa Ford #4</v>
          </cell>
          <cell r="P209" t="str">
            <v>**</v>
          </cell>
          <cell r="Q209" t="str">
            <v>Thinner R7K94 (Secado más Rápido) ó R7K84 (Secado más Lento)</v>
          </cell>
          <cell r="R209" t="str">
            <v>1.5 mills Seca</v>
          </cell>
          <cell r="S209" t="str">
            <v>Seco Tocar: 20 Minutos; Seco Completo: 30 Minutos; Manejable: 8 Hrs</v>
          </cell>
          <cell r="T209" t="str">
            <v>Ninguno</v>
          </cell>
          <cell r="U209" t="str">
            <v>75 Mts Cuadrados/Gl</v>
          </cell>
          <cell r="V209" t="str">
            <v>90</v>
          </cell>
          <cell r="W209" t="str">
            <v>3H</v>
          </cell>
          <cell r="X209" t="str">
            <v>-</v>
          </cell>
          <cell r="Y209" t="str">
            <v>SAGRISSA</v>
          </cell>
          <cell r="Z209" t="str">
            <v>Carteles, Rotulos en Lexan.</v>
          </cell>
          <cell r="AA209" t="str">
            <v>Uso Exterior: 2 partes en Vol. De F63W56 con 1 parte de V66V29 y 1 parte de R7K94. Uso Interior:2 partes en Vol. De F63W56 con 1 parte de V66V27 y 1 parte de R7K94</v>
          </cell>
          <cell r="AB209" t="str">
            <v>-</v>
          </cell>
          <cell r="AC209">
            <v>33295</v>
          </cell>
        </row>
        <row r="210">
          <cell r="A210" t="str">
            <v>B23WSA1</v>
          </cell>
          <cell r="B210" t="str">
            <v>Sellador Blanco Para Fibrolite</v>
          </cell>
          <cell r="C210" t="str">
            <v>Exterior e Interior</v>
          </cell>
          <cell r="D210" t="str">
            <v>Fibrolit</v>
          </cell>
          <cell r="E210" t="str">
            <v>-</v>
          </cell>
          <cell r="F210" t="str">
            <v>Ninguno</v>
          </cell>
          <cell r="G210" t="str">
            <v>13.55 Lbs/Gl</v>
          </cell>
          <cell r="H210" t="str">
            <v>68.27%</v>
          </cell>
          <cell r="I210" t="str">
            <v>75.28%</v>
          </cell>
          <cell r="J210" t="str">
            <v>5.54%</v>
          </cell>
          <cell r="K210" t="str">
            <v>76.25%</v>
          </cell>
          <cell r="L210" t="str">
            <v>48.06%</v>
          </cell>
          <cell r="M210" t="str">
            <v>100 KU</v>
          </cell>
          <cell r="N210" t="str">
            <v>Brocha</v>
          </cell>
          <cell r="O210" t="str">
            <v>100 KU</v>
          </cell>
          <cell r="P210" t="str">
            <v>Ninguno</v>
          </cell>
          <cell r="Q210" t="str">
            <v>Ninguno</v>
          </cell>
          <cell r="R210" t="str">
            <v>3-4 mills</v>
          </cell>
          <cell r="S210" t="str">
            <v>Al Aire</v>
          </cell>
          <cell r="T210" t="str">
            <v>-</v>
          </cell>
          <cell r="U210" t="str">
            <v>12 Mts Cuadrados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Sepinta, S.A</v>
          </cell>
          <cell r="Z210" t="str">
            <v>-</v>
          </cell>
          <cell r="AA210" t="str">
            <v>Al recubrir con Pinturas de Aceite y/o Epóxicas dar una mano de Látex Antes (Colonial o Excello)</v>
          </cell>
          <cell r="AB210" t="str">
            <v>-</v>
          </cell>
          <cell r="AC210">
            <v>33298</v>
          </cell>
        </row>
        <row r="211">
          <cell r="A211" t="str">
            <v>B45WSA1 (1)</v>
          </cell>
          <cell r="B211" t="str">
            <v>Fast Dry Latex Wall Primer (Primario)</v>
          </cell>
          <cell r="C211" t="str">
            <v>Interior-Exterior</v>
          </cell>
          <cell r="D211" t="str">
            <v>Fibrocemento</v>
          </cell>
          <cell r="E211" t="str">
            <v>Libre de Polvo y otras Sustancias</v>
          </cell>
          <cell r="F211" t="str">
            <v>Ninguno</v>
          </cell>
          <cell r="G211" t="str">
            <v>11.17 Lbs/Gl</v>
          </cell>
          <cell r="H211" t="str">
            <v>34.4%</v>
          </cell>
          <cell r="I211" t="str">
            <v>48.1%</v>
          </cell>
          <cell r="J211" t="str">
            <v>55%</v>
          </cell>
          <cell r="K211" t="str">
            <v>48.3%</v>
          </cell>
          <cell r="L211" t="str">
            <v>30.4%</v>
          </cell>
          <cell r="M211" t="str">
            <v>13,000-15,000 CPS</v>
          </cell>
          <cell r="N211" t="str">
            <v>Brocha-Pistola</v>
          </cell>
          <cell r="O211" t="str">
            <v>1,400-1,800 CPS con Brocha. 60-100 CPS con Pistola</v>
          </cell>
          <cell r="P211" t="str">
            <v>Brocha: 10% en Vol. Con agua. Pistola: 80% en Vol. Con Agua.</v>
          </cell>
          <cell r="Q211" t="str">
            <v>Agua</v>
          </cell>
          <cell r="R211" t="str">
            <v>2 mills</v>
          </cell>
          <cell r="S211" t="str">
            <v>Al Aire. Seco Tocar: 15 Minutos. Seco Completo: 45 Minutos</v>
          </cell>
          <cell r="T211" t="str">
            <v>Ninguno</v>
          </cell>
          <cell r="U211" t="str">
            <v>35 Mts Cuadrados/Gl</v>
          </cell>
          <cell r="V211" t="str">
            <v>Mate</v>
          </cell>
          <cell r="W211" t="str">
            <v>-</v>
          </cell>
          <cell r="X211" t="str">
            <v>2 años</v>
          </cell>
          <cell r="Y211" t="str">
            <v>EUREKA</v>
          </cell>
          <cell r="Z211" t="str">
            <v>Laminas de Fibrocemento</v>
          </cell>
          <cell r="AA211" t="str">
            <v>-</v>
          </cell>
          <cell r="AB211" t="str">
            <v>-</v>
          </cell>
          <cell r="AC211">
            <v>33298</v>
          </cell>
        </row>
        <row r="212">
          <cell r="A212" t="str">
            <v>G78WSA11</v>
          </cell>
          <cell r="B212" t="str">
            <v xml:space="preserve">Esmalte Horneable acrilico Blanco Almendra  </v>
          </cell>
          <cell r="C212" t="str">
            <v>Interior-Exterior Limitada</v>
          </cell>
          <cell r="D212" t="str">
            <v>Hierro</v>
          </cell>
          <cell r="E212" t="str">
            <v>Limpieza Química y Fosfatización</v>
          </cell>
          <cell r="F212" t="str">
            <v>E68WSA4 Acrylic Monobake White Primer</v>
          </cell>
          <cell r="G212" t="str">
            <v>10.06 Lbs/Gl</v>
          </cell>
          <cell r="H212" t="str">
            <v>29.75%</v>
          </cell>
          <cell r="I212" t="str">
            <v>54.86%</v>
          </cell>
          <cell r="J212" t="str">
            <v>37.74%</v>
          </cell>
          <cell r="K212" t="str">
            <v>25.53%</v>
          </cell>
          <cell r="L212" t="str">
            <v>34.98%</v>
          </cell>
          <cell r="M212" t="str">
            <v>100"-110" Copa Zanh #2</v>
          </cell>
          <cell r="N212" t="str">
            <v>Pistola</v>
          </cell>
          <cell r="O212" t="str">
            <v>18"-20" Copa Ford #4</v>
          </cell>
          <cell r="P212" t="str">
            <v>20-25%</v>
          </cell>
          <cell r="Q212" t="str">
            <v>R2K4         Industrial reducer</v>
          </cell>
          <cell r="R212" t="str">
            <v>1.3-1.4 Con E68WSA4</v>
          </cell>
          <cell r="S212" t="str">
            <v>Al Horno</v>
          </cell>
          <cell r="T212" t="str">
            <v>15' a 400°F</v>
          </cell>
          <cell r="U212" t="str">
            <v>877.76 Pies Cuadrados/Gl</v>
          </cell>
          <cell r="V212" t="str">
            <v>+85</v>
          </cell>
          <cell r="W212" t="str">
            <v>2H</v>
          </cell>
          <cell r="X212" t="str">
            <v>6 meses</v>
          </cell>
          <cell r="Y212" t="str">
            <v>Atlas Electric-Costa Rica</v>
          </cell>
          <cell r="Z212" t="str">
            <v>Refrigeradoras, Cocinas, Lavadoras</v>
          </cell>
          <cell r="AA212" t="str">
            <v>-</v>
          </cell>
          <cell r="AB212" t="str">
            <v>Luis Nolasco</v>
          </cell>
          <cell r="AC212">
            <v>33424</v>
          </cell>
        </row>
        <row r="213">
          <cell r="A213" t="str">
            <v>G78WSA7</v>
          </cell>
          <cell r="B213" t="str">
            <v>Esmalte Horneable Acrílico Blanco.</v>
          </cell>
          <cell r="C213" t="str">
            <v>Interior-Exterior Limitada</v>
          </cell>
          <cell r="D213" t="str">
            <v>Hierro</v>
          </cell>
          <cell r="E213" t="str">
            <v>Limpieza Química y Fosfatización</v>
          </cell>
          <cell r="F213" t="str">
            <v>E68WSA4 Acrylic Monobake White Primer</v>
          </cell>
          <cell r="G213" t="str">
            <v>10.06 Lbs/Gl</v>
          </cell>
          <cell r="H213" t="str">
            <v>29.75%</v>
          </cell>
          <cell r="I213" t="str">
            <v>54.86%</v>
          </cell>
          <cell r="J213" t="str">
            <v>37.74%</v>
          </cell>
          <cell r="K213" t="str">
            <v>25.5%</v>
          </cell>
          <cell r="L213" t="str">
            <v>34.98%</v>
          </cell>
          <cell r="M213" t="str">
            <v>100"-110" Copa Zanh #2</v>
          </cell>
          <cell r="N213" t="str">
            <v>Pistola</v>
          </cell>
          <cell r="O213" t="str">
            <v>18"-20" Copa Ford #4</v>
          </cell>
          <cell r="P213" t="str">
            <v>20-25%</v>
          </cell>
          <cell r="Q213" t="str">
            <v>R2K4         Industrial reducer</v>
          </cell>
          <cell r="R213" t="str">
            <v>1.3-1.4 mills</v>
          </cell>
          <cell r="S213" t="str">
            <v>Al Horno</v>
          </cell>
          <cell r="T213" t="str">
            <v>15' a 400°F</v>
          </cell>
          <cell r="U213" t="str">
            <v>877.76 Pies Cuadrados/Gl a 1 mills de espesor</v>
          </cell>
          <cell r="V213" t="str">
            <v>+85</v>
          </cell>
          <cell r="W213" t="str">
            <v>2H</v>
          </cell>
          <cell r="X213" t="str">
            <v>6 meses</v>
          </cell>
          <cell r="Y213" t="str">
            <v>Atlas Electric-Costa Rica</v>
          </cell>
          <cell r="Z213" t="str">
            <v>Refrigeradoras, Cocinas, Lavadoras</v>
          </cell>
          <cell r="AA213" t="str">
            <v>-</v>
          </cell>
          <cell r="AB213" t="str">
            <v>Luis Nolasco</v>
          </cell>
          <cell r="AC213">
            <v>33424</v>
          </cell>
        </row>
        <row r="214">
          <cell r="A214" t="str">
            <v>SAA 3644</v>
          </cell>
          <cell r="B214" t="str">
            <v>Recubrimiento Para Cartón Corrugado #7</v>
          </cell>
          <cell r="C214" t="str">
            <v>Interior</v>
          </cell>
          <cell r="D214" t="str">
            <v>Cartón Corrugado</v>
          </cell>
          <cell r="E214" t="str">
            <v>Ninguna</v>
          </cell>
          <cell r="F214" t="str">
            <v>Ninguno</v>
          </cell>
          <cell r="G214" t="str">
            <v>13.4 Lbs/Gl</v>
          </cell>
          <cell r="H214" t="str">
            <v>57.27%</v>
          </cell>
          <cell r="I214" t="str">
            <v>63.14%</v>
          </cell>
          <cell r="J214" t="str">
            <v>6.45%</v>
          </cell>
          <cell r="K214" t="str">
            <v>80.7%</v>
          </cell>
          <cell r="L214" t="str">
            <v>40.37%</v>
          </cell>
          <cell r="M214" t="str">
            <v>85 KU</v>
          </cell>
          <cell r="N214" t="str">
            <v>Cuchilla de Hule</v>
          </cell>
          <cell r="O214" t="str">
            <v>80-85 KU</v>
          </cell>
          <cell r="P214" t="str">
            <v>Ninguno</v>
          </cell>
          <cell r="Q214" t="str">
            <v>Agua (Si es Necesario)</v>
          </cell>
          <cell r="R214" t="str">
            <v>1 mills</v>
          </cell>
          <cell r="S214" t="str">
            <v xml:space="preserve">15-20 Minutos.  </v>
          </cell>
          <cell r="T214" t="str">
            <v>-</v>
          </cell>
          <cell r="U214" t="str">
            <v>98.3 Mts Cuadrados</v>
          </cell>
          <cell r="V214" t="str">
            <v>Mate</v>
          </cell>
          <cell r="W214" t="str">
            <v>-</v>
          </cell>
          <cell r="X214" t="str">
            <v>6 meses</v>
          </cell>
          <cell r="Y214" t="str">
            <v>DIDEMA, S.A (Attn: Sr. Jorge Ramirez)</v>
          </cell>
          <cell r="Z214" t="str">
            <v>Cartón Corrugado</v>
          </cell>
          <cell r="AA214" t="str">
            <v>-</v>
          </cell>
          <cell r="AB214" t="str">
            <v>Audrey de Morales</v>
          </cell>
          <cell r="AC214">
            <v>33442</v>
          </cell>
        </row>
        <row r="215">
          <cell r="A215" t="str">
            <v>SAA 3652</v>
          </cell>
          <cell r="B215" t="str">
            <v>Esmalte Litográfico Blanco Troquelable</v>
          </cell>
          <cell r="C215" t="str">
            <v>Interior-Exterior Limitada</v>
          </cell>
          <cell r="D215" t="str">
            <v>Laminas de Hojalata</v>
          </cell>
          <cell r="E215" t="str">
            <v>Desengrase y Limpieza</v>
          </cell>
          <cell r="F215" t="str">
            <v>Ninguno</v>
          </cell>
          <cell r="G215" t="str">
            <v>9.59 Lbs/Gl</v>
          </cell>
          <cell r="H215" t="str">
            <v>24.55%</v>
          </cell>
          <cell r="I215" t="str">
            <v>54.85%</v>
          </cell>
          <cell r="J215" t="str">
            <v>40.4%</v>
          </cell>
          <cell r="K215" t="str">
            <v>18.44%</v>
          </cell>
          <cell r="L215" t="str">
            <v>37.37%</v>
          </cell>
          <cell r="M215" t="str">
            <v>80-85 KU</v>
          </cell>
          <cell r="N215" t="str">
            <v>Rodillo Litográfico</v>
          </cell>
          <cell r="O215" t="str">
            <v>80-85 KU</v>
          </cell>
          <cell r="P215" t="str">
            <v>Ninguno</v>
          </cell>
          <cell r="Q215" t="str">
            <v>Si fuese necesario, use Solvesso 150</v>
          </cell>
          <cell r="R215" t="str">
            <v>1.0 mills/Pulg.</v>
          </cell>
          <cell r="S215" t="str">
            <v>Al Horno</v>
          </cell>
          <cell r="T215" t="str">
            <v>12-15 Min a 170-180°C</v>
          </cell>
          <cell r="U215" t="str">
            <v>878 Pies Cuadrados/Gl</v>
          </cell>
          <cell r="V215" t="str">
            <v>80-85</v>
          </cell>
          <cell r="W215" t="str">
            <v>B-HB</v>
          </cell>
          <cell r="X215" t="str">
            <v>6-12 meses</v>
          </cell>
          <cell r="Y215" t="str">
            <v>TAPA METAL Y CORLASA</v>
          </cell>
          <cell r="Z215" t="str">
            <v>Tapacoronas, Tapaderas diversas.</v>
          </cell>
          <cell r="AA215" t="str">
            <v>-</v>
          </cell>
          <cell r="AB215" t="str">
            <v>Roberto Alam</v>
          </cell>
          <cell r="AC215">
            <v>33512</v>
          </cell>
        </row>
        <row r="216">
          <cell r="A216" t="str">
            <v>A86WCR12 (1)</v>
          </cell>
          <cell r="B216" t="str">
            <v>Pintura de Trafico Blanca TTP-115E Tipo III</v>
          </cell>
          <cell r="C216" t="str">
            <v>Interior-Exterior</v>
          </cell>
          <cell r="D216" t="str">
            <v>Asfalto y Concreto</v>
          </cell>
          <cell r="E216" t="str">
            <v>Limpia, Seca y Libre de Exudación de Asfalto</v>
          </cell>
          <cell r="F216" t="str">
            <v>Ninguno</v>
          </cell>
          <cell r="G216" t="str">
            <v>13.18 Lbs/Gl</v>
          </cell>
          <cell r="H216" t="str">
            <v>57%</v>
          </cell>
          <cell r="I216" t="str">
            <v>75%</v>
          </cell>
          <cell r="J216" t="str">
            <v>41%</v>
          </cell>
          <cell r="K216" t="str">
            <v>-</v>
          </cell>
          <cell r="L216" t="str">
            <v>-</v>
          </cell>
          <cell r="M216" t="str">
            <v>75-80 KU</v>
          </cell>
          <cell r="N216" t="str">
            <v>Brocha, Rodillo Industrial, Máquina Franjeadora, Etc.</v>
          </cell>
          <cell r="O216" t="str">
            <v>Lista para Usarse con Brocha y Rodillo</v>
          </cell>
          <cell r="P216" t="str">
            <v>Con Maquina Franjeadora, Reduzca con 1/8 de Galón</v>
          </cell>
          <cell r="Q216" t="str">
            <v>R2K4         Industrial reducer</v>
          </cell>
          <cell r="R216" t="str">
            <v>4-5 mills/Pulg.</v>
          </cell>
          <cell r="S216" t="str">
            <v>5-15 Minutos, No transitar antes de 20 minutos</v>
          </cell>
          <cell r="T216" t="str">
            <v>-</v>
          </cell>
          <cell r="U216" t="str">
            <v>45-50 Mts Cuadrados/Gl</v>
          </cell>
          <cell r="V216" t="str">
            <v>Mate</v>
          </cell>
          <cell r="W216" t="str">
            <v>2B</v>
          </cell>
          <cell r="X216" t="str">
            <v>12 meses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Ana Irene Mendez Vides</v>
          </cell>
          <cell r="AC216">
            <v>33526</v>
          </cell>
        </row>
        <row r="217">
          <cell r="A217" t="str">
            <v>D61A23</v>
          </cell>
          <cell r="B217" t="str">
            <v>Polane Spray Fil</v>
          </cell>
          <cell r="C217" t="str">
            <v>Interior</v>
          </cell>
          <cell r="D217" t="str">
            <v>Fibrex, Tablex, Durapanel, Plastico</v>
          </cell>
          <cell r="E217" t="str">
            <v>Limpia de Polvo, Grasa, Suciedad</v>
          </cell>
          <cell r="F217" t="str">
            <v>-</v>
          </cell>
          <cell r="G217" t="str">
            <v>13.9 Lbs/Gl</v>
          </cell>
          <cell r="H217" t="str">
            <v>61.01%</v>
          </cell>
          <cell r="I217" t="str">
            <v>70.42%</v>
          </cell>
          <cell r="J217" t="str">
            <v>9.41%</v>
          </cell>
          <cell r="K217" t="str">
            <v>68.8%</v>
          </cell>
          <cell r="L217" t="str">
            <v>43.83%</v>
          </cell>
          <cell r="M217" t="str">
            <v>45-55 Seg. Copa Ford #4</v>
          </cell>
          <cell r="N217" t="str">
            <v>Pistola</v>
          </cell>
          <cell r="O217" t="str">
            <v>15-22 Seg. Copa Ford #4</v>
          </cell>
          <cell r="P217" t="str">
            <v>20-25% con R7K84</v>
          </cell>
          <cell r="Q217" t="str">
            <v>R7K84</v>
          </cell>
          <cell r="R217" t="str">
            <v>1.5-2.5 Mills</v>
          </cell>
          <cell r="S217" t="str">
            <v>Al Tacto: 15 Min; Completo: 1 Hora; Lijar: 4 Horas.</v>
          </cell>
          <cell r="T217" t="str">
            <v>-</v>
          </cell>
          <cell r="U217" t="str">
            <v>57.62 Mts Cuadrados/Gl</v>
          </cell>
          <cell r="V217" t="str">
            <v>Mate</v>
          </cell>
          <cell r="W217" t="str">
            <v>-</v>
          </cell>
          <cell r="X217" t="str">
            <v>-</v>
          </cell>
          <cell r="Y217" t="str">
            <v>INCESA STANDARD</v>
          </cell>
          <cell r="Z217" t="str">
            <v>Tapaderas de Inodoros</v>
          </cell>
          <cell r="AA217" t="str">
            <v>Este producto deberá ser catalizado. 13 partes en volumen de D61A23 con 1 parte de catalizador V66V27 ó V66V29. Reducir la mezcla con 25% con R7K84</v>
          </cell>
          <cell r="AB217" t="str">
            <v>Rene Ferrufino</v>
          </cell>
          <cell r="AC217">
            <v>33585</v>
          </cell>
        </row>
        <row r="218">
          <cell r="A218" t="str">
            <v>E65A4</v>
          </cell>
          <cell r="B218" t="str">
            <v>Polane Primer Sealer</v>
          </cell>
          <cell r="C218" t="str">
            <v>Interior</v>
          </cell>
          <cell r="D218" t="str">
            <v>Fibrex, Tablex, Durapanel, Plastico</v>
          </cell>
          <cell r="E218" t="str">
            <v>Libre de Polvo. Lijada</v>
          </cell>
          <cell r="F218" t="str">
            <v>Polane Spray Fil (D61A23)</v>
          </cell>
          <cell r="G218" t="str">
            <v>9.42 Lbs/Gl</v>
          </cell>
          <cell r="H218" t="str">
            <v>28.24%</v>
          </cell>
          <cell r="I218" t="str">
            <v>43.68%</v>
          </cell>
          <cell r="J218" t="str">
            <v>15.14%</v>
          </cell>
          <cell r="K218" t="str">
            <v>43.1%</v>
          </cell>
          <cell r="L218" t="str">
            <v>26.05%</v>
          </cell>
          <cell r="M218" t="str">
            <v>30-50 Seg. Copa Ford #4</v>
          </cell>
          <cell r="N218" t="str">
            <v>Pistola</v>
          </cell>
          <cell r="O218" t="str">
            <v>15-22 Seg. Copa Ford #4</v>
          </cell>
          <cell r="P218" t="str">
            <v>15-20% con R7K84</v>
          </cell>
          <cell r="Q218" t="str">
            <v>R7K84</v>
          </cell>
          <cell r="R218" t="str">
            <v>1.0-1.25 Mills</v>
          </cell>
          <cell r="S218" t="str">
            <v>Tacto: 5-15 Min; Completo: 1 Hora; Lijable: 2 Horas.</v>
          </cell>
          <cell r="T218" t="str">
            <v>-</v>
          </cell>
          <cell r="U218" t="str">
            <v>35-40 Mts Cuadrados/Gl</v>
          </cell>
          <cell r="V218" t="str">
            <v>Mate</v>
          </cell>
          <cell r="W218" t="str">
            <v>-</v>
          </cell>
          <cell r="X218" t="str">
            <v>-</v>
          </cell>
          <cell r="Y218" t="str">
            <v>INCESA STANDARD</v>
          </cell>
          <cell r="Z218" t="str">
            <v>Tapaderas de Inodoros</v>
          </cell>
          <cell r="AA218" t="str">
            <v>Este producto deberá ser catalizado. 13 partes en volumen de E65A4 con 1 parte de catalizador V66V27 ó V66V29. Reducir la mezcla con 20% con R7K84</v>
          </cell>
          <cell r="AB218" t="str">
            <v>Rene Ferrufino</v>
          </cell>
          <cell r="AC218">
            <v>33585</v>
          </cell>
        </row>
        <row r="219">
          <cell r="A219" t="str">
            <v>F63W56</v>
          </cell>
          <cell r="B219" t="str">
            <v>Polane HS Enamel White</v>
          </cell>
          <cell r="C219" t="str">
            <v>Interior-Exterior</v>
          </cell>
          <cell r="D219" t="str">
            <v>Fibrex, Tablex, Durapanel, Plastico</v>
          </cell>
          <cell r="E219" t="str">
            <v>Libre de Polvo.</v>
          </cell>
          <cell r="F219" t="str">
            <v>Sistema D61A23/E65A4</v>
          </cell>
          <cell r="G219" t="str">
            <v>12.0 Lbs/Gl</v>
          </cell>
          <cell r="H219" t="str">
            <v>45.65%</v>
          </cell>
          <cell r="I219" t="str">
            <v>77.96%</v>
          </cell>
          <cell r="J219" t="str">
            <v>32.31%</v>
          </cell>
          <cell r="K219" t="str">
            <v>27.1%</v>
          </cell>
          <cell r="L219" t="str">
            <v>62.30%</v>
          </cell>
          <cell r="M219" t="str">
            <v>30-40 Seg. Copa SW #3</v>
          </cell>
          <cell r="N219" t="str">
            <v>Pistola</v>
          </cell>
          <cell r="O219" t="str">
            <v>15-22 Seg. Copa Ford #4</v>
          </cell>
          <cell r="P219" t="str">
            <v>25-35% con R7K84</v>
          </cell>
          <cell r="Q219" t="str">
            <v>R7K84</v>
          </cell>
          <cell r="R219" t="str">
            <v>1.25-1.5 Mills</v>
          </cell>
          <cell r="S219" t="str">
            <v>Al Tacto: 20 Min; Completo: 30 Min; Manejable: 8 Hrs.</v>
          </cell>
          <cell r="T219" t="str">
            <v>-</v>
          </cell>
          <cell r="U219" t="str">
            <v>80-90 Mts Cuadrados/Gl</v>
          </cell>
          <cell r="V219" t="str">
            <v>95-97</v>
          </cell>
          <cell r="W219" t="str">
            <v>-</v>
          </cell>
          <cell r="X219" t="str">
            <v>-</v>
          </cell>
          <cell r="Y219" t="str">
            <v>INCESA STANDARD</v>
          </cell>
          <cell r="Z219" t="str">
            <v>Tapaderas de Inodoros</v>
          </cell>
          <cell r="AA219" t="str">
            <v>Este Producto deberá ser catalizado: 2 partes en Vol. De F63W56 con 1 parte de catalizador V66V27 ó V66V29. Reducir la mezcla con 25-35% de R7K84.</v>
          </cell>
          <cell r="AB219" t="str">
            <v>Rene Ferrufino</v>
          </cell>
          <cell r="AC219">
            <v>33585</v>
          </cell>
        </row>
        <row r="220">
          <cell r="A220" t="str">
            <v>SAA 3742</v>
          </cell>
          <cell r="B220" t="str">
            <v xml:space="preserve">Barniz Interior Sanitario </v>
          </cell>
          <cell r="C220" t="str">
            <v>-</v>
          </cell>
          <cell r="D220" t="str">
            <v>Hojalata</v>
          </cell>
          <cell r="E220" t="str">
            <v>Limpiar con Solvente</v>
          </cell>
          <cell r="F220" t="str">
            <v>Ninguno</v>
          </cell>
          <cell r="G220" t="str">
            <v>8.77 Lbs/Gl</v>
          </cell>
          <cell r="H220" t="str">
            <v>-</v>
          </cell>
          <cell r="I220" t="str">
            <v>40%</v>
          </cell>
          <cell r="J220" t="str">
            <v>40%</v>
          </cell>
          <cell r="K220" t="str">
            <v>-</v>
          </cell>
          <cell r="L220" t="str">
            <v>36%</v>
          </cell>
          <cell r="M220" t="str">
            <v>120-130 KU</v>
          </cell>
          <cell r="N220" t="str">
            <v>Especial</v>
          </cell>
          <cell r="O220" t="str">
            <v>120-130KU</v>
          </cell>
          <cell r="P220" t="str">
            <v>-</v>
          </cell>
          <cell r="Q220" t="str">
            <v>-</v>
          </cell>
          <cell r="R220" t="str">
            <v>1.0 mills</v>
          </cell>
          <cell r="S220" t="str">
            <v>Al Horno</v>
          </cell>
          <cell r="T220" t="str">
            <v>12' a 190°</v>
          </cell>
          <cell r="U220" t="str">
            <v>640 Pies Cuadrados/Gl</v>
          </cell>
          <cell r="V220" t="str">
            <v>+100</v>
          </cell>
          <cell r="W220" t="str">
            <v>HB</v>
          </cell>
          <cell r="X220" t="str">
            <v>-</v>
          </cell>
          <cell r="Y220" t="str">
            <v>CORLASA</v>
          </cell>
          <cell r="Z220" t="str">
            <v>Corcholatas y Hojalatas</v>
          </cell>
          <cell r="AA220" t="str">
            <v>-</v>
          </cell>
          <cell r="AB220" t="str">
            <v>Luis Nolasco</v>
          </cell>
          <cell r="AC220">
            <v>33788</v>
          </cell>
        </row>
        <row r="221">
          <cell r="A221" t="str">
            <v>V76VSA12</v>
          </cell>
          <cell r="B221" t="str">
            <v>Barniz Para Tapacorona</v>
          </cell>
          <cell r="C221" t="str">
            <v>Exterior de Tapacoronas</v>
          </cell>
          <cell r="D221" t="str">
            <v>Hojalata</v>
          </cell>
          <cell r="E221" t="str">
            <v>Limpia</v>
          </cell>
          <cell r="F221" t="str">
            <v>Ninguno</v>
          </cell>
          <cell r="G221" t="str">
            <v>7.98 Lbs/Gl</v>
          </cell>
          <cell r="H221" t="str">
            <v>-</v>
          </cell>
          <cell r="I221" t="str">
            <v>42.5%</v>
          </cell>
          <cell r="J221" t="str">
            <v>42.5%</v>
          </cell>
          <cell r="K221" t="str">
            <v>-</v>
          </cell>
          <cell r="L221" t="str">
            <v>33.60%</v>
          </cell>
          <cell r="M221" t="str">
            <v>60 Seg. Copa Ford #4</v>
          </cell>
          <cell r="N221" t="str">
            <v>Rodillo</v>
          </cell>
          <cell r="O221" t="str">
            <v>60 Seg. Copa Ford #4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12 Min a 160°C</v>
          </cell>
          <cell r="U221" t="str">
            <v>-</v>
          </cell>
          <cell r="V221" t="str">
            <v>+90</v>
          </cell>
          <cell r="W221" t="str">
            <v>-</v>
          </cell>
          <cell r="X221" t="str">
            <v>12 meses</v>
          </cell>
          <cell r="Y221" t="str">
            <v>CORLASA</v>
          </cell>
          <cell r="Z221" t="str">
            <v>Tapas Coronas, Afiches, Etc.</v>
          </cell>
          <cell r="AA221" t="str">
            <v>-</v>
          </cell>
          <cell r="AB221" t="str">
            <v>Luis Nolasco</v>
          </cell>
          <cell r="AC221">
            <v>33788</v>
          </cell>
        </row>
        <row r="222">
          <cell r="A222" t="str">
            <v>SAA 3859</v>
          </cell>
          <cell r="B222" t="str">
            <v>Esmalte Horneable acrilico Blanco Almendra  MADECA</v>
          </cell>
          <cell r="C222" t="str">
            <v>Interior-Exterior Limitada</v>
          </cell>
          <cell r="D222" t="str">
            <v>Hierro</v>
          </cell>
          <cell r="E222" t="str">
            <v>Lavado, Desengrase y Fosfatizado</v>
          </cell>
          <cell r="F222" t="str">
            <v>E68WSA4 Acrylic Monobake White Primer</v>
          </cell>
          <cell r="G222" t="str">
            <v>10.06 Lbs/Gl</v>
          </cell>
          <cell r="H222" t="str">
            <v>53.08%</v>
          </cell>
          <cell r="I222" t="str">
            <v>54.86%</v>
          </cell>
          <cell r="J222" t="str">
            <v>46.92%</v>
          </cell>
          <cell r="K222" t="str">
            <v>25.5%</v>
          </cell>
          <cell r="L222" t="str">
            <v>35.02%</v>
          </cell>
          <cell r="M222" t="str">
            <v>100"-110" Copa Zanh #2</v>
          </cell>
          <cell r="N222" t="str">
            <v>Pistola</v>
          </cell>
          <cell r="O222" t="str">
            <v>25"-30" Copa Zanh #2</v>
          </cell>
          <cell r="P222" t="str">
            <v>20-25%</v>
          </cell>
          <cell r="Q222" t="str">
            <v>R2K4         Industrial reducer</v>
          </cell>
          <cell r="R222" t="str">
            <v>1.0-1.2 mills</v>
          </cell>
          <cell r="S222" t="str">
            <v>Al Horno</v>
          </cell>
          <cell r="T222" t="str">
            <v>15' a 350-400°F</v>
          </cell>
          <cell r="U222" t="str">
            <v>650-700 Pies Cuadrados/Gl a 1 mills de espesor</v>
          </cell>
          <cell r="V222" t="str">
            <v>+85</v>
          </cell>
          <cell r="W222" t="str">
            <v>2H-3H</v>
          </cell>
          <cell r="X222" t="str">
            <v>6-12 meses</v>
          </cell>
          <cell r="Y222" t="str">
            <v>MADECA</v>
          </cell>
          <cell r="Z222" t="str">
            <v>-</v>
          </cell>
          <cell r="AA222" t="str">
            <v>-</v>
          </cell>
          <cell r="AB222" t="str">
            <v>Rene Ferrufino</v>
          </cell>
          <cell r="AC222">
            <v>33856</v>
          </cell>
        </row>
        <row r="223">
          <cell r="A223" t="str">
            <v>SAA 3860</v>
          </cell>
          <cell r="B223" t="str">
            <v>Roller Coating Special White</v>
          </cell>
          <cell r="C223" t="str">
            <v>Exterior del Recipiente</v>
          </cell>
          <cell r="D223" t="str">
            <v>Hojalata</v>
          </cell>
          <cell r="E223" t="str">
            <v>Limpieza con Solvente</v>
          </cell>
          <cell r="F223" t="str">
            <v>Ninguno</v>
          </cell>
          <cell r="G223" t="str">
            <v>10.68 Lbs/Gl</v>
          </cell>
          <cell r="H223" t="str">
            <v>35%</v>
          </cell>
          <cell r="I223" t="str">
            <v>61.46%</v>
          </cell>
          <cell r="J223" t="str">
            <v>40.95%</v>
          </cell>
          <cell r="K223" t="str">
            <v>27.55%</v>
          </cell>
          <cell r="L223" t="str">
            <v>40.95%</v>
          </cell>
          <cell r="M223" t="str">
            <v>70"-80" Copa Ford #4</v>
          </cell>
          <cell r="N223" t="str">
            <v>Rodillo</v>
          </cell>
          <cell r="O223" t="str">
            <v>70"-80" Copa Ford #4</v>
          </cell>
          <cell r="P223" t="str">
            <v>Ninguno</v>
          </cell>
          <cell r="Q223" t="str">
            <v>-</v>
          </cell>
          <cell r="R223" t="str">
            <v>1.0 mills</v>
          </cell>
          <cell r="S223" t="str">
            <v>-</v>
          </cell>
          <cell r="T223" t="str">
            <v>15' a 360°F</v>
          </cell>
          <cell r="U223" t="str">
            <v>983.36 Pies Cuadrados/Gl a 1 mills de espesor</v>
          </cell>
          <cell r="V223" t="str">
            <v>+80</v>
          </cell>
          <cell r="W223" t="str">
            <v>-</v>
          </cell>
          <cell r="X223" t="str">
            <v>12 meses</v>
          </cell>
          <cell r="Y223" t="str">
            <v>TAPAMETAL-GUATEMALA</v>
          </cell>
          <cell r="Z223" t="str">
            <v>-</v>
          </cell>
          <cell r="AA223" t="str">
            <v>-</v>
          </cell>
          <cell r="AB223" t="str">
            <v>Luis Nolasco</v>
          </cell>
          <cell r="AC223">
            <v>33857</v>
          </cell>
        </row>
        <row r="224">
          <cell r="A224" t="str">
            <v>V76VSA16</v>
          </cell>
          <cell r="B224" t="str">
            <v>Barniz Horneable Exterior Para Tapacoronas</v>
          </cell>
          <cell r="C224" t="str">
            <v>Exterior</v>
          </cell>
          <cell r="D224" t="str">
            <v>Hojalata</v>
          </cell>
          <cell r="E224" t="str">
            <v>Limpia</v>
          </cell>
          <cell r="F224" t="str">
            <v>Ninguno</v>
          </cell>
          <cell r="G224" t="str">
            <v>8.03 Lbs/Gl</v>
          </cell>
          <cell r="H224" t="str">
            <v>-</v>
          </cell>
          <cell r="I224" t="str">
            <v>48.58%</v>
          </cell>
          <cell r="J224" t="str">
            <v>48.58%</v>
          </cell>
          <cell r="K224" t="str">
            <v>-</v>
          </cell>
          <cell r="L224" t="str">
            <v>40.40%</v>
          </cell>
          <cell r="M224" t="str">
            <v>50"-55" Copa SW #3</v>
          </cell>
          <cell r="N224" t="str">
            <v>Rodillo</v>
          </cell>
          <cell r="O224" t="str">
            <v>50"-55" Copa SW #3</v>
          </cell>
          <cell r="P224" t="str">
            <v>-</v>
          </cell>
          <cell r="Q224" t="str">
            <v>-</v>
          </cell>
          <cell r="R224" t="str">
            <v>1 mills</v>
          </cell>
          <cell r="S224" t="str">
            <v>Al Horno</v>
          </cell>
          <cell r="T224" t="str">
            <v>12' a 190°C</v>
          </cell>
          <cell r="U224" t="str">
            <v>777 Mts Cuadrados/Gl a 1 mills de espesor.</v>
          </cell>
          <cell r="V224" t="str">
            <v>+90</v>
          </cell>
          <cell r="W224" t="str">
            <v>H</v>
          </cell>
          <cell r="X224" t="str">
            <v>6-12 meses</v>
          </cell>
          <cell r="Y224" t="str">
            <v>TAPAMETAL-GUATEMALA</v>
          </cell>
          <cell r="Z224" t="str">
            <v>Baterias-Afiches de Hojalata</v>
          </cell>
          <cell r="AA224" t="str">
            <v>-</v>
          </cell>
          <cell r="AB224" t="str">
            <v>Luis Nolasco</v>
          </cell>
          <cell r="AC224">
            <v>33897</v>
          </cell>
        </row>
        <row r="225">
          <cell r="A225" t="str">
            <v>SAA 3877</v>
          </cell>
          <cell r="B225" t="str">
            <v>Esmalte Horneable Alquidico Blanco.</v>
          </cell>
          <cell r="C225" t="str">
            <v>Interior-Exterior</v>
          </cell>
          <cell r="D225" t="str">
            <v>Lamina de Hierro</v>
          </cell>
          <cell r="E225" t="str">
            <v>Limpiar con Solvente</v>
          </cell>
          <cell r="F225" t="str">
            <v>Ninguno</v>
          </cell>
          <cell r="G225" t="str">
            <v>10.04 Lbs/Gl</v>
          </cell>
          <cell r="H225" t="str">
            <v>25-64%</v>
          </cell>
          <cell r="I225" t="str">
            <v>58.03%</v>
          </cell>
          <cell r="J225" t="str">
            <v>43.56%</v>
          </cell>
          <cell r="K225" t="str">
            <v>18.39%</v>
          </cell>
          <cell r="L225" t="str">
            <v>41.87%</v>
          </cell>
          <cell r="M225" t="str">
            <v>100"-110" Copa Zanh #2</v>
          </cell>
          <cell r="N225" t="str">
            <v>Pistola</v>
          </cell>
          <cell r="O225" t="str">
            <v>20-25 seg. Copa Zanh #2</v>
          </cell>
          <cell r="P225" t="str">
            <v>20-25%</v>
          </cell>
          <cell r="Q225" t="str">
            <v>R2K4         Industrial reducer</v>
          </cell>
          <cell r="R225" t="str">
            <v>1.0-1.2 mills</v>
          </cell>
          <cell r="S225" t="str">
            <v>Al horno</v>
          </cell>
          <cell r="T225" t="str">
            <v>15' a 300°F</v>
          </cell>
          <cell r="U225" t="str">
            <v>628.48 Pies Cuadrados/Gl a un mills de espesor</v>
          </cell>
          <cell r="V225" t="str">
            <v>+85</v>
          </cell>
          <cell r="W225" t="str">
            <v>H</v>
          </cell>
          <cell r="X225" t="str">
            <v>6-12 meses</v>
          </cell>
          <cell r="Y225" t="str">
            <v>Silvania-Costa Rica</v>
          </cell>
          <cell r="Z225" t="str">
            <v>Lamparas</v>
          </cell>
          <cell r="AA225" t="str">
            <v>-</v>
          </cell>
          <cell r="AB225" t="str">
            <v>Luis Nolasco</v>
          </cell>
          <cell r="AC225">
            <v>33903</v>
          </cell>
        </row>
        <row r="226">
          <cell r="A226" t="str">
            <v>H87TSA1 (2)</v>
          </cell>
          <cell r="B226" t="str">
            <v>Laca Transparente Para Cuero</v>
          </cell>
          <cell r="C226" t="str">
            <v>Interior-Exterior</v>
          </cell>
          <cell r="D226" t="str">
            <v>Cuero</v>
          </cell>
          <cell r="E226" t="str">
            <v>Limpiar con R2K4</v>
          </cell>
          <cell r="F226" t="str">
            <v>Laca de Color</v>
          </cell>
          <cell r="G226" t="str">
            <v>7.84 Lbs/Gl</v>
          </cell>
          <cell r="H226" t="str">
            <v>-</v>
          </cell>
          <cell r="I226" t="str">
            <v>23.47%</v>
          </cell>
          <cell r="J226" t="str">
            <v>23.47%</v>
          </cell>
          <cell r="K226" t="str">
            <v>-</v>
          </cell>
          <cell r="L226" t="str">
            <v>16.68%</v>
          </cell>
          <cell r="M226" t="str">
            <v>85-95 KU (Unidades Kress)</v>
          </cell>
          <cell r="N226" t="str">
            <v>Pistola Convencional</v>
          </cell>
          <cell r="O226" t="str">
            <v>18-20 Seg. Copa Zanh #2</v>
          </cell>
          <cell r="P226" t="str">
            <v>100-150%</v>
          </cell>
          <cell r="Q226" t="str">
            <v>R7K128</v>
          </cell>
          <cell r="R226" t="str">
            <v>1.5 mills Seca</v>
          </cell>
          <cell r="S226" t="str">
            <v>Seco Tocar: 45 Min.; Seco Completo: 1 1/2 Horas.</v>
          </cell>
          <cell r="T226" t="str">
            <v>-</v>
          </cell>
          <cell r="U226" t="str">
            <v>272 Pies Cuadrados/Gl</v>
          </cell>
          <cell r="V226" t="str">
            <v>+85</v>
          </cell>
          <cell r="W226" t="str">
            <v>-</v>
          </cell>
          <cell r="X226" t="str">
            <v>1 año</v>
          </cell>
          <cell r="Y226" t="str">
            <v>ADOC (TENERIA)</v>
          </cell>
          <cell r="Z226" t="str">
            <v>Artículos de Cuero</v>
          </cell>
          <cell r="AA226" t="str">
            <v>-</v>
          </cell>
          <cell r="AB226" t="str">
            <v>Rene Ferrufino</v>
          </cell>
          <cell r="AC226">
            <v>33904</v>
          </cell>
        </row>
        <row r="227">
          <cell r="A227" t="str">
            <v>H87TSA2</v>
          </cell>
          <cell r="B227" t="str">
            <v>Laca Especial Para Cuero Transparente (Secado Rápido)</v>
          </cell>
          <cell r="C227" t="str">
            <v>Interior-Exterior</v>
          </cell>
          <cell r="D227" t="str">
            <v>Cuero</v>
          </cell>
          <cell r="E227" t="str">
            <v>Limpiar con R2K4</v>
          </cell>
          <cell r="F227" t="str">
            <v>Laca de Color</v>
          </cell>
          <cell r="G227" t="str">
            <v>7.81 Lbs/Gl</v>
          </cell>
          <cell r="H227" t="str">
            <v>-</v>
          </cell>
          <cell r="I227" t="str">
            <v>34.50%</v>
          </cell>
          <cell r="J227" t="str">
            <v>34.50%</v>
          </cell>
          <cell r="K227" t="str">
            <v>-</v>
          </cell>
          <cell r="L227" t="str">
            <v>26.90%</v>
          </cell>
          <cell r="M227" t="str">
            <v>85-95 KU (Unidades Kress)</v>
          </cell>
          <cell r="N227" t="str">
            <v>Pistola Convencional</v>
          </cell>
          <cell r="O227" t="str">
            <v>18-20 Seg. Copa Zanh #2</v>
          </cell>
          <cell r="P227" t="str">
            <v>100-150%</v>
          </cell>
          <cell r="Q227" t="str">
            <v>R7K128</v>
          </cell>
          <cell r="R227" t="str">
            <v>1.5 mills Seca</v>
          </cell>
          <cell r="S227" t="str">
            <v>Seco Tocar: 5 Min.; Seco Completo: 20 min.</v>
          </cell>
          <cell r="T227" t="str">
            <v>-</v>
          </cell>
          <cell r="U227" t="str">
            <v>450 Pies Cuadrados/Gl</v>
          </cell>
          <cell r="V227" t="str">
            <v>+85</v>
          </cell>
          <cell r="W227" t="str">
            <v>-</v>
          </cell>
          <cell r="X227" t="str">
            <v>1 año</v>
          </cell>
          <cell r="Y227" t="str">
            <v>ADOC (TENERIA)</v>
          </cell>
          <cell r="Z227" t="str">
            <v>Artículos de Cuero</v>
          </cell>
          <cell r="AA227" t="str">
            <v>-</v>
          </cell>
          <cell r="AB227" t="str">
            <v>Rene Ferrufino</v>
          </cell>
          <cell r="AC227">
            <v>33904</v>
          </cell>
        </row>
        <row r="228">
          <cell r="A228" t="str">
            <v>SAA 3862</v>
          </cell>
          <cell r="B228" t="str">
            <v xml:space="preserve">Esmalte Horneable Alquidico Amarillo  </v>
          </cell>
          <cell r="C228" t="str">
            <v>Interior-Exterior</v>
          </cell>
          <cell r="D228" t="str">
            <v>Hierro</v>
          </cell>
          <cell r="E228" t="str">
            <v>Limpieza con Solvente</v>
          </cell>
          <cell r="F228" t="str">
            <v>Ninguno</v>
          </cell>
          <cell r="G228" t="str">
            <v>10.18 Lbs/Gl</v>
          </cell>
          <cell r="H228" t="str">
            <v>25.48%</v>
          </cell>
          <cell r="I228" t="str">
            <v>58.44%</v>
          </cell>
          <cell r="J228" t="str">
            <v>32.96%</v>
          </cell>
          <cell r="K228" t="str">
            <v>15.53%</v>
          </cell>
          <cell r="L228" t="str">
            <v>38.62%</v>
          </cell>
          <cell r="M228" t="str">
            <v>100"-110" Copa Zanh #2</v>
          </cell>
          <cell r="N228" t="str">
            <v>Pistola</v>
          </cell>
          <cell r="O228" t="str">
            <v>20-25 seg. Copa Zanh #2</v>
          </cell>
          <cell r="P228" t="str">
            <v>20-25%</v>
          </cell>
          <cell r="Q228" t="str">
            <v>R2K4         Industrial reducer</v>
          </cell>
          <cell r="R228" t="str">
            <v>1.0-1.2 mills</v>
          </cell>
          <cell r="S228" t="str">
            <v>Al horno</v>
          </cell>
          <cell r="T228" t="str">
            <v>15' a 300°F</v>
          </cell>
          <cell r="U228" t="str">
            <v xml:space="preserve">617.92 Pies Cuadrados/Gl </v>
          </cell>
          <cell r="V228" t="str">
            <v>+85</v>
          </cell>
          <cell r="W228" t="str">
            <v>H</v>
          </cell>
          <cell r="X228" t="str">
            <v>6-12 meses</v>
          </cell>
          <cell r="Y228" t="str">
            <v>Van Leer-Nicaragua</v>
          </cell>
          <cell r="Z228" t="str">
            <v>Barriles de Hierro</v>
          </cell>
          <cell r="AA228" t="str">
            <v>-</v>
          </cell>
          <cell r="AB228" t="str">
            <v>Beatriz Sandoval</v>
          </cell>
          <cell r="AC228">
            <v>33905</v>
          </cell>
        </row>
        <row r="229">
          <cell r="A229" t="str">
            <v>SAA 3884</v>
          </cell>
          <cell r="B229" t="str">
            <v>Esmalte Horneable Alquídico Azul Metálico Martillado</v>
          </cell>
          <cell r="C229" t="str">
            <v>Interior-Exterior</v>
          </cell>
          <cell r="D229" t="str">
            <v>Lamina de Hierro</v>
          </cell>
          <cell r="E229" t="str">
            <v>Lavado y Desengrase</v>
          </cell>
          <cell r="F229" t="str">
            <v>Ninguno</v>
          </cell>
          <cell r="G229" t="str">
            <v>8.12 Lbs/Gl</v>
          </cell>
          <cell r="H229" t="str">
            <v>3.2%</v>
          </cell>
          <cell r="I229" t="str">
            <v>44.5%</v>
          </cell>
          <cell r="J229" t="str">
            <v>42.67%</v>
          </cell>
          <cell r="K229" t="str">
            <v>1.95%</v>
          </cell>
          <cell r="L229" t="str">
            <v>35.41%</v>
          </cell>
          <cell r="M229" t="str">
            <v>70-80 En Copa Zanh #2</v>
          </cell>
          <cell r="N229" t="str">
            <v>Pistola</v>
          </cell>
          <cell r="O229" t="str">
            <v>Listo para Usar</v>
          </cell>
          <cell r="P229" t="str">
            <v>Ninguno</v>
          </cell>
          <cell r="Q229" t="str">
            <v>R2K4 Industrial Reducer si Fuera Necesario</v>
          </cell>
          <cell r="R229" t="str">
            <v>1.5-2.0 mills</v>
          </cell>
          <cell r="S229" t="str">
            <v>Al Horno</v>
          </cell>
          <cell r="T229" t="str">
            <v>15' a 300°F</v>
          </cell>
          <cell r="U229" t="str">
            <v>712 Pies cuadrados/Gl</v>
          </cell>
          <cell r="V229" t="str">
            <v>30-40</v>
          </cell>
          <cell r="W229" t="str">
            <v>H</v>
          </cell>
          <cell r="X229" t="str">
            <v>6-12 meses</v>
          </cell>
          <cell r="Y229" t="str">
            <v>Corporación Industrial Americana-Honduras</v>
          </cell>
          <cell r="Z229" t="str">
            <v>Piezas Metálicas</v>
          </cell>
          <cell r="AA229" t="str">
            <v>-</v>
          </cell>
          <cell r="AB229" t="str">
            <v>Luis Nolasco</v>
          </cell>
          <cell r="AC229">
            <v>33920</v>
          </cell>
        </row>
        <row r="230">
          <cell r="A230" t="str">
            <v>P66YC1</v>
          </cell>
          <cell r="B230" t="str">
            <v>Superclad Primer</v>
          </cell>
          <cell r="C230" t="str">
            <v>Primer</v>
          </cell>
          <cell r="D230" t="str">
            <v>Lamina Galvanizada</v>
          </cell>
          <cell r="E230" t="str">
            <v>Limpia con Solvente R7K156</v>
          </cell>
          <cell r="F230" t="str">
            <v>Ninguno</v>
          </cell>
          <cell r="G230" t="str">
            <v>9.34 Lbs/Gl</v>
          </cell>
          <cell r="H230" t="str">
            <v>18.16%</v>
          </cell>
          <cell r="I230" t="str">
            <v>42.62%</v>
          </cell>
          <cell r="J230" t="str">
            <v>81.84%</v>
          </cell>
          <cell r="K230" t="str">
            <v>19.2%</v>
          </cell>
          <cell r="L230" t="str">
            <v>27.09%</v>
          </cell>
          <cell r="M230" t="str">
            <v>25-35 Copa Zanh #4</v>
          </cell>
          <cell r="N230" t="str">
            <v>Atomización con Pistola Convencional (Rociado)</v>
          </cell>
          <cell r="O230" t="str">
            <v>18"-22" Copa Zanh #2</v>
          </cell>
          <cell r="P230" t="str">
            <v>100%</v>
          </cell>
          <cell r="Q230" t="str">
            <v>R7KSA15</v>
          </cell>
          <cell r="R230" t="str">
            <v>0.1-0.2 mills</v>
          </cell>
          <cell r="S230" t="str">
            <v>Horno</v>
          </cell>
          <cell r="T230" t="str">
            <v>1 Minuto a 450°F</v>
          </cell>
          <cell r="U230" t="str">
            <v>270 Mts Cuadrados/Gl a 0.15 mills Seco</v>
          </cell>
          <cell r="V230" t="str">
            <v>Mate</v>
          </cell>
          <cell r="W230" t="str">
            <v>-</v>
          </cell>
          <cell r="X230" t="str">
            <v>6 meses</v>
          </cell>
          <cell r="Y230" t="str">
            <v>METALCO (Costa Rica)</v>
          </cell>
          <cell r="Z230" t="str">
            <v>Laminas Esmaltadas</v>
          </cell>
          <cell r="AA230" t="str">
            <v>-</v>
          </cell>
          <cell r="AB230" t="str">
            <v>Rene Ferrufino</v>
          </cell>
          <cell r="AC230">
            <v>33928</v>
          </cell>
        </row>
        <row r="231">
          <cell r="A231" t="str">
            <v>SAA 3889</v>
          </cell>
          <cell r="B231" t="str">
            <v>Permaclad 1700 Marfil Metálico</v>
          </cell>
          <cell r="C231" t="str">
            <v>Interior-Exterior</v>
          </cell>
          <cell r="D231" t="str">
            <v>Lamina Galvanizada</v>
          </cell>
          <cell r="E231" t="str">
            <v>Limpia con Solvente Sher Will Clean R7K156</v>
          </cell>
          <cell r="F231" t="str">
            <v>Superclad Primer (P66YC1)</v>
          </cell>
          <cell r="G231" t="str">
            <v>9.66 Lbs/Gl</v>
          </cell>
          <cell r="H231" t="str">
            <v>20.12%</v>
          </cell>
          <cell r="I231" t="str">
            <v>51.96%</v>
          </cell>
          <cell r="J231" t="str">
            <v>79.88%</v>
          </cell>
          <cell r="K231" t="str">
            <v>9.95%</v>
          </cell>
          <cell r="L231" t="str">
            <v>38.3%</v>
          </cell>
          <cell r="M231" t="str">
            <v>65-70 KU</v>
          </cell>
          <cell r="N231" t="str">
            <v>Atomización con Pistola Convencional (Rociado)</v>
          </cell>
          <cell r="O231" t="str">
            <v>18"-22" Copa Zanh #2</v>
          </cell>
          <cell r="P231" t="str">
            <v>20-25%</v>
          </cell>
          <cell r="Q231" t="str">
            <v>R2K4         Industrial reducer</v>
          </cell>
          <cell r="R231" t="str">
            <v>1.2-1.3 mills</v>
          </cell>
          <cell r="S231" t="str">
            <v>Al Horno</v>
          </cell>
          <cell r="T231" t="str">
            <v>1 Minuto a 450°F</v>
          </cell>
          <cell r="U231" t="str">
            <v>510 Pies Cuadrados/Gl</v>
          </cell>
          <cell r="V231" t="str">
            <v>90-92 unidades</v>
          </cell>
          <cell r="W231" t="str">
            <v>H-2H</v>
          </cell>
          <cell r="X231" t="str">
            <v>6 meses</v>
          </cell>
          <cell r="Y231" t="str">
            <v>METALCO (Costa Rica)</v>
          </cell>
          <cell r="Z231" t="str">
            <v>Laminas Esmaltadas</v>
          </cell>
          <cell r="AA231" t="str">
            <v>-</v>
          </cell>
          <cell r="AB231" t="str">
            <v>Rene Ferrufino</v>
          </cell>
          <cell r="AC231">
            <v>33928</v>
          </cell>
        </row>
        <row r="232">
          <cell r="A232" t="str">
            <v>SAA 3880</v>
          </cell>
          <cell r="B232" t="str">
            <v>Sellador Ultra Concentrado</v>
          </cell>
          <cell r="C232" t="str">
            <v>Interior</v>
          </cell>
          <cell r="D232" t="str">
            <v>Madera</v>
          </cell>
          <cell r="E232" t="str">
            <v>Lijada</v>
          </cell>
          <cell r="F232" t="str">
            <v>D70T1 Sherwood Fast Drying Semi Paste Wood Filler</v>
          </cell>
          <cell r="G232" t="str">
            <v>7.77 Lbs/Gl</v>
          </cell>
          <cell r="H232" t="str">
            <v>-</v>
          </cell>
          <cell r="I232" t="str">
            <v>29.5%</v>
          </cell>
          <cell r="J232" t="str">
            <v>29.5%</v>
          </cell>
          <cell r="K232" t="str">
            <v>-</v>
          </cell>
          <cell r="L232" t="str">
            <v>22.5%</v>
          </cell>
          <cell r="M232" t="str">
            <v>280,000-290,000 CPS</v>
          </cell>
          <cell r="N232" t="str">
            <v>Pistola</v>
          </cell>
          <cell r="O232" t="str">
            <v>20-25 seg. Copa Zanh #2</v>
          </cell>
          <cell r="P232" t="str">
            <v>650-700%</v>
          </cell>
          <cell r="Q232" t="str">
            <v>R7K128</v>
          </cell>
          <cell r="R232" t="str">
            <v>0.8 mills Seco</v>
          </cell>
          <cell r="S232" t="str">
            <v>Al Tacto 5-10 Min; Para Manipular: 15 Min.</v>
          </cell>
          <cell r="T232" t="str">
            <v>-</v>
          </cell>
          <cell r="U232" t="str">
            <v>44 Mts Cuadrados/Gl a 1 mills</v>
          </cell>
          <cell r="V232" t="str">
            <v>Mate</v>
          </cell>
          <cell r="W232" t="str">
            <v>-</v>
          </cell>
          <cell r="X232" t="str">
            <v>1 Año</v>
          </cell>
          <cell r="Y232" t="str">
            <v>Talleres de Muebles de Madera.</v>
          </cell>
          <cell r="Z232" t="str">
            <v>Muebles de Madera.</v>
          </cell>
          <cell r="AA232" t="str">
            <v>-</v>
          </cell>
          <cell r="AB232" t="str">
            <v>Rene Ferrufino</v>
          </cell>
          <cell r="AC232">
            <v>33933</v>
          </cell>
        </row>
        <row r="233">
          <cell r="A233" t="str">
            <v>SAA 3892</v>
          </cell>
          <cell r="B233" t="str">
            <v>Esmalte Horneable Alquidico Amarillo Especial</v>
          </cell>
          <cell r="C233" t="str">
            <v>Interior-Exterior</v>
          </cell>
          <cell r="D233" t="str">
            <v>Hierro</v>
          </cell>
          <cell r="E233" t="str">
            <v>Limpieza con Solvente</v>
          </cell>
          <cell r="F233" t="str">
            <v>Ninguno</v>
          </cell>
          <cell r="G233" t="str">
            <v>9.25 Lbs/Gl</v>
          </cell>
          <cell r="H233" t="str">
            <v>37.32%</v>
          </cell>
          <cell r="I233" t="str">
            <v>56.73%</v>
          </cell>
          <cell r="J233" t="str">
            <v>19.41%</v>
          </cell>
          <cell r="K233" t="str">
            <v>11.95%</v>
          </cell>
          <cell r="L233" t="str">
            <v>38.47%</v>
          </cell>
          <cell r="M233" t="str">
            <v>100"-110" Copa Zanh #2</v>
          </cell>
          <cell r="N233" t="str">
            <v>Pistola</v>
          </cell>
          <cell r="O233" t="str">
            <v>20-25 seg. Copa Zanh #2</v>
          </cell>
          <cell r="P233" t="str">
            <v>20-25%</v>
          </cell>
          <cell r="Q233" t="str">
            <v>R2K4         Industrial reducer</v>
          </cell>
          <cell r="R233" t="str">
            <v>1.0-1.2 mills</v>
          </cell>
          <cell r="S233" t="str">
            <v>Al horno</v>
          </cell>
          <cell r="T233" t="str">
            <v>15' a 300°F</v>
          </cell>
          <cell r="U233" t="str">
            <v xml:space="preserve">618.48 Pies Cuadrados/Gl a un mills de espesor </v>
          </cell>
          <cell r="V233" t="str">
            <v>+85</v>
          </cell>
          <cell r="W233" t="str">
            <v>2H</v>
          </cell>
          <cell r="X233" t="str">
            <v>6-12 meses</v>
          </cell>
          <cell r="Y233" t="str">
            <v>SW Honduras</v>
          </cell>
          <cell r="Z233" t="str">
            <v>Muebles de Hierro</v>
          </cell>
          <cell r="AA233" t="str">
            <v>-</v>
          </cell>
          <cell r="AB233" t="str">
            <v>Beatriz Sandoval</v>
          </cell>
          <cell r="AC233">
            <v>33933</v>
          </cell>
        </row>
        <row r="234">
          <cell r="A234" t="str">
            <v>SAA 3894</v>
          </cell>
          <cell r="B234" t="str">
            <v>Esmalte Horneable Alquídico Azul intenso Martillado</v>
          </cell>
          <cell r="C234" t="str">
            <v>Interior-Exterior</v>
          </cell>
          <cell r="D234" t="str">
            <v>Lamina de Hierro</v>
          </cell>
          <cell r="E234" t="str">
            <v xml:space="preserve">Lavado con Solvente R7K156 </v>
          </cell>
          <cell r="F234" t="str">
            <v>Ninguno</v>
          </cell>
          <cell r="G234" t="str">
            <v>8.57 Lbs/Gl</v>
          </cell>
          <cell r="H234" t="str">
            <v>19.4%</v>
          </cell>
          <cell r="I234" t="str">
            <v>47.2%</v>
          </cell>
          <cell r="J234" t="str">
            <v>27.8%</v>
          </cell>
          <cell r="K234" t="str">
            <v>9.4%</v>
          </cell>
          <cell r="L234" t="str">
            <v>36.18%</v>
          </cell>
          <cell r="M234" t="str">
            <v>100"-110" Copa Zanh #2</v>
          </cell>
          <cell r="N234" t="str">
            <v>Pistola</v>
          </cell>
          <cell r="O234" t="str">
            <v>20-25 seg. Copa Zanh #2</v>
          </cell>
          <cell r="P234" t="str">
            <v>20-25%</v>
          </cell>
          <cell r="Q234" t="str">
            <v>R2K4 Industrial Reducer si Fuera Necesario</v>
          </cell>
          <cell r="R234" t="str">
            <v>1.2 mills</v>
          </cell>
          <cell r="S234" t="str">
            <v>Al Horno</v>
          </cell>
          <cell r="T234" t="str">
            <v>15' a 300°F</v>
          </cell>
          <cell r="U234" t="str">
            <v>53.8 Mts Cuadrados/Gl</v>
          </cell>
          <cell r="V234" t="str">
            <v>80</v>
          </cell>
          <cell r="W234" t="str">
            <v>H</v>
          </cell>
          <cell r="X234" t="str">
            <v>6 meses</v>
          </cell>
          <cell r="Y234" t="str">
            <v>SW Honduras</v>
          </cell>
          <cell r="Z234" t="str">
            <v>Muebles de Hierro</v>
          </cell>
          <cell r="AA234" t="str">
            <v>-</v>
          </cell>
          <cell r="AB234" t="str">
            <v>Rene Ferrufino</v>
          </cell>
          <cell r="AC234">
            <v>33940</v>
          </cell>
        </row>
        <row r="235">
          <cell r="A235" t="str">
            <v>SAA 3895</v>
          </cell>
          <cell r="B235" t="str">
            <v>Esmalte Horneable acrílico Verde Tappan</v>
          </cell>
          <cell r="C235" t="str">
            <v>Interior-Exterior Limitada</v>
          </cell>
          <cell r="D235" t="str">
            <v>Hierro</v>
          </cell>
          <cell r="E235" t="str">
            <v>Lavado, Desengrase y Fosfatizado</v>
          </cell>
          <cell r="F235" t="str">
            <v>E68WSA4 Acrylic Monobake White Primer</v>
          </cell>
          <cell r="G235" t="str">
            <v>8.58 Lbs/Gl</v>
          </cell>
          <cell r="H235" t="str">
            <v>12.70%</v>
          </cell>
          <cell r="I235" t="str">
            <v>44.94%</v>
          </cell>
          <cell r="J235" t="str">
            <v>36.94%</v>
          </cell>
          <cell r="K235" t="str">
            <v>9.65%</v>
          </cell>
          <cell r="L235" t="str">
            <v>34.81%</v>
          </cell>
          <cell r="M235" t="str">
            <v>100"-110" Copa Zanh #2</v>
          </cell>
          <cell r="N235" t="str">
            <v>Pistola</v>
          </cell>
          <cell r="O235" t="str">
            <v>25"-30" Copa Zanh #2</v>
          </cell>
          <cell r="P235" t="str">
            <v>20-25%</v>
          </cell>
          <cell r="Q235" t="str">
            <v>R2K4         Industrial reducer</v>
          </cell>
          <cell r="R235" t="str">
            <v>1.0-1.2 mills</v>
          </cell>
          <cell r="S235" t="str">
            <v>Al Horno</v>
          </cell>
          <cell r="T235" t="str">
            <v>15' a 350-400°F</v>
          </cell>
          <cell r="U235" t="str">
            <v>719.04 Pies Cuadrados/Gl a 1 mills de espesor</v>
          </cell>
          <cell r="V235" t="str">
            <v>+85</v>
          </cell>
          <cell r="W235" t="str">
            <v>2H-3H</v>
          </cell>
          <cell r="X235" t="str">
            <v>6-12 meses</v>
          </cell>
          <cell r="Y235" t="str">
            <v>TAPPAN-GUATEMALA</v>
          </cell>
          <cell r="Z235" t="str">
            <v>Cocinas</v>
          </cell>
          <cell r="AA235" t="str">
            <v>-</v>
          </cell>
          <cell r="AB235" t="str">
            <v>Luis Nolasco</v>
          </cell>
          <cell r="AC235">
            <v>33942</v>
          </cell>
        </row>
        <row r="236">
          <cell r="A236" t="str">
            <v>SAA 3896</v>
          </cell>
          <cell r="B236" t="str">
            <v>Esmalte Horneable Alquidico Rojo Esso</v>
          </cell>
          <cell r="C236" t="str">
            <v>Interior-Exterior</v>
          </cell>
          <cell r="D236" t="str">
            <v>Barrilles</v>
          </cell>
          <cell r="E236" t="str">
            <v>Limpieza con Solvente</v>
          </cell>
          <cell r="F236" t="str">
            <v>Ninguno</v>
          </cell>
          <cell r="G236" t="str">
            <v>8.47 Lbs/Gl</v>
          </cell>
          <cell r="H236" t="str">
            <v>15.54%</v>
          </cell>
          <cell r="I236" t="str">
            <v>46.06%</v>
          </cell>
          <cell r="J236" t="str">
            <v>30.82%</v>
          </cell>
          <cell r="K236" t="str">
            <v>4.91%</v>
          </cell>
          <cell r="L236" t="str">
            <v>34.76%</v>
          </cell>
          <cell r="M236" t="str">
            <v>100"-110" Copa Zanh #2</v>
          </cell>
          <cell r="N236" t="str">
            <v>Pistola</v>
          </cell>
          <cell r="O236" t="str">
            <v>20-25 seg. Copa Zanh #2</v>
          </cell>
          <cell r="P236" t="str">
            <v>25-30%</v>
          </cell>
          <cell r="Q236" t="str">
            <v>R2K4         Industrial reducer</v>
          </cell>
          <cell r="R236" t="str">
            <v>0.8-0.9 mills</v>
          </cell>
          <cell r="S236" t="str">
            <v>Al horno</v>
          </cell>
          <cell r="T236" t="str">
            <v>15' a 300°F</v>
          </cell>
          <cell r="U236" t="str">
            <v xml:space="preserve">556.16 Pies Cuadrados/Gl </v>
          </cell>
          <cell r="V236" t="str">
            <v>+85</v>
          </cell>
          <cell r="W236" t="str">
            <v>2H</v>
          </cell>
          <cell r="X236" t="str">
            <v>6 meses</v>
          </cell>
          <cell r="Y236" t="str">
            <v>Van Leer-Guatemala</v>
          </cell>
          <cell r="Z236" t="str">
            <v>Barriles de Hierro</v>
          </cell>
          <cell r="AA236" t="str">
            <v>-</v>
          </cell>
          <cell r="AB236" t="str">
            <v>Beatriz Sandoval</v>
          </cell>
          <cell r="AC236">
            <v>33945</v>
          </cell>
        </row>
        <row r="237">
          <cell r="A237" t="str">
            <v>SAA 3897</v>
          </cell>
          <cell r="B237" t="str">
            <v>Esmalte Horneable Alquidico Beige Siemens</v>
          </cell>
          <cell r="C237" t="str">
            <v>Interior-Exterior</v>
          </cell>
          <cell r="D237" t="str">
            <v>Lámina de Hierro</v>
          </cell>
          <cell r="E237" t="str">
            <v xml:space="preserve">Lavado con Solvente R7K156 </v>
          </cell>
          <cell r="F237" t="str">
            <v>E68WSA1 (Monobake Primer)</v>
          </cell>
          <cell r="G237" t="str">
            <v>8.98 Lbs/Gl</v>
          </cell>
          <cell r="H237" t="str">
            <v>25.4%</v>
          </cell>
          <cell r="I237" t="str">
            <v>49.2%</v>
          </cell>
          <cell r="J237" t="str">
            <v>23.2%</v>
          </cell>
          <cell r="K237" t="str">
            <v>9.5%</v>
          </cell>
          <cell r="L237" t="str">
            <v>36.9%</v>
          </cell>
          <cell r="M237" t="str">
            <v>80"-90" Copa zanh #2</v>
          </cell>
          <cell r="N237" t="str">
            <v>Pistola Convencional</v>
          </cell>
          <cell r="O237" t="str">
            <v>20"-25" Copa Zanh #2</v>
          </cell>
          <cell r="P237" t="str">
            <v>20-25%</v>
          </cell>
          <cell r="Q237" t="str">
            <v>R2K4         Industrial reducer</v>
          </cell>
          <cell r="R237" t="str">
            <v>1.2 mills seco</v>
          </cell>
          <cell r="S237" t="str">
            <v>Al horno</v>
          </cell>
          <cell r="T237" t="str">
            <v>15' a 300°F</v>
          </cell>
          <cell r="U237" t="str">
            <v>495 Pies Cuadrados/Gl. 45.72 Mts Cuadrados/Gl</v>
          </cell>
          <cell r="V237" t="str">
            <v>89 unidades</v>
          </cell>
          <cell r="W237" t="str">
            <v>H</v>
          </cell>
          <cell r="X237" t="str">
            <v>6 meses</v>
          </cell>
          <cell r="Y237" t="str">
            <v>Siemens-Nicaragua</v>
          </cell>
          <cell r="Z237" t="str">
            <v>Hardware</v>
          </cell>
          <cell r="AA237" t="str">
            <v>-</v>
          </cell>
          <cell r="AB237" t="str">
            <v>Rene Ferrufino</v>
          </cell>
          <cell r="AC237">
            <v>33947</v>
          </cell>
        </row>
        <row r="238">
          <cell r="A238" t="str">
            <v>SAA 3898</v>
          </cell>
          <cell r="B238" t="str">
            <v>Esmalte Horneable Alquidico Café Claro.</v>
          </cell>
          <cell r="C238" t="str">
            <v>Interior-Exterior</v>
          </cell>
          <cell r="D238" t="str">
            <v>Hierro</v>
          </cell>
          <cell r="E238" t="str">
            <v>Limpieza con Solvente</v>
          </cell>
          <cell r="F238" t="str">
            <v>Ninguno</v>
          </cell>
          <cell r="G238" t="str">
            <v>10.16 Lbs/Gl</v>
          </cell>
          <cell r="H238" t="str">
            <v>52.76%</v>
          </cell>
          <cell r="I238" t="str">
            <v>59.52%</v>
          </cell>
          <cell r="J238" t="str">
            <v>6.76%</v>
          </cell>
          <cell r="K238" t="str">
            <v>28.11%</v>
          </cell>
          <cell r="L238" t="str">
            <v>40.74%</v>
          </cell>
          <cell r="M238" t="str">
            <v>100"-110" Copa Zanh #2</v>
          </cell>
          <cell r="N238" t="str">
            <v>Pistola</v>
          </cell>
          <cell r="O238" t="str">
            <v>20-25 seg. Copa Zanh #2</v>
          </cell>
          <cell r="P238" t="str">
            <v>20-25%</v>
          </cell>
          <cell r="Q238" t="str">
            <v>R2K4 Industrial Reducer si Fuera Necesario</v>
          </cell>
          <cell r="R238" t="str">
            <v>1.0-1.2 mills</v>
          </cell>
          <cell r="S238" t="str">
            <v>Al Horno</v>
          </cell>
          <cell r="T238" t="str">
            <v>15' a 300°F</v>
          </cell>
          <cell r="U238" t="str">
            <v>651.84 Pies Cuadrados/Gl a 1 mills de espesor</v>
          </cell>
          <cell r="V238" t="str">
            <v>18-25</v>
          </cell>
          <cell r="W238" t="str">
            <v>H</v>
          </cell>
          <cell r="X238" t="str">
            <v>6-12 meses</v>
          </cell>
          <cell r="Y238" t="str">
            <v>HECASA</v>
          </cell>
          <cell r="Z238" t="str">
            <v>Muebles Metálicos</v>
          </cell>
          <cell r="AA238" t="str">
            <v>-</v>
          </cell>
          <cell r="AB238" t="str">
            <v>Beatriz Sandoval</v>
          </cell>
          <cell r="AC238">
            <v>33955</v>
          </cell>
        </row>
        <row r="239">
          <cell r="A239" t="str">
            <v>SAA 3900</v>
          </cell>
          <cell r="B239" t="str">
            <v>Esamalte Horneable Alquídico Rojo Shell</v>
          </cell>
          <cell r="C239" t="str">
            <v>Interior-Exterior</v>
          </cell>
          <cell r="D239" t="str">
            <v>Lámina de Hierro</v>
          </cell>
          <cell r="E239" t="str">
            <v>Lavado y Desengrase</v>
          </cell>
          <cell r="F239" t="str">
            <v>Ninguno</v>
          </cell>
          <cell r="G239" t="str">
            <v>8.64 Lbs/Gl</v>
          </cell>
          <cell r="H239" t="str">
            <v>10.46%</v>
          </cell>
          <cell r="I239" t="str">
            <v>48.61%</v>
          </cell>
          <cell r="J239" t="str">
            <v>42.61%</v>
          </cell>
          <cell r="K239" t="str">
            <v>5.76%</v>
          </cell>
          <cell r="L239" t="str">
            <v>35.57%</v>
          </cell>
          <cell r="M239" t="str">
            <v>100"-110" Copa Zanh #2</v>
          </cell>
          <cell r="N239" t="str">
            <v>Pistola</v>
          </cell>
          <cell r="O239" t="str">
            <v>25"-30" Copa Zanh #2</v>
          </cell>
          <cell r="P239" t="str">
            <v>20-25%</v>
          </cell>
          <cell r="Q239" t="str">
            <v>R2K4         Industrial reducer</v>
          </cell>
          <cell r="R239" t="str">
            <v>1.0-1.2 mills</v>
          </cell>
          <cell r="S239" t="str">
            <v>Al Horno</v>
          </cell>
          <cell r="T239" t="str">
            <v>15' a 300°F</v>
          </cell>
          <cell r="U239" t="str">
            <v>777.76 Pies Cuadrados/Gl a 1 mills de espesor</v>
          </cell>
          <cell r="V239" t="str">
            <v>+85</v>
          </cell>
          <cell r="W239" t="str">
            <v>H</v>
          </cell>
          <cell r="X239" t="str">
            <v>6-12 meses</v>
          </cell>
          <cell r="Y239" t="str">
            <v>Van Leer-Guatemala</v>
          </cell>
          <cell r="Z239" t="str">
            <v>Barriles de Hierro</v>
          </cell>
          <cell r="AA239" t="str">
            <v>-</v>
          </cell>
          <cell r="AB239" t="str">
            <v>Luis Nolasco</v>
          </cell>
          <cell r="AC239">
            <v>33955</v>
          </cell>
        </row>
        <row r="240">
          <cell r="A240" t="str">
            <v>SAA 3903</v>
          </cell>
          <cell r="B240" t="str">
            <v>Esmalte Horneable Alquidico Rojo Coca Cola Martillado</v>
          </cell>
          <cell r="C240" t="str">
            <v>Interior-Exterior</v>
          </cell>
          <cell r="D240" t="str">
            <v>Lámina de Hierro</v>
          </cell>
          <cell r="E240" t="str">
            <v xml:space="preserve">Lavado con Solvente R7K156 </v>
          </cell>
          <cell r="F240" t="str">
            <v>Ninguno</v>
          </cell>
          <cell r="G240" t="str">
            <v>8.47 Lbs/Gl</v>
          </cell>
          <cell r="H240" t="str">
            <v>12%</v>
          </cell>
          <cell r="I240" t="str">
            <v>50.3%</v>
          </cell>
          <cell r="J240" t="str">
            <v>38.3%</v>
          </cell>
          <cell r="K240" t="str">
            <v>3%</v>
          </cell>
          <cell r="L240" t="str">
            <v>35.6%</v>
          </cell>
          <cell r="M240" t="str">
            <v>100"-110" Copa Zanh #2</v>
          </cell>
          <cell r="N240" t="str">
            <v>Pistola Comercial</v>
          </cell>
          <cell r="O240" t="str">
            <v>18"-22" Copa Zanh #2</v>
          </cell>
          <cell r="P240" t="str">
            <v>20-25%</v>
          </cell>
          <cell r="Q240" t="str">
            <v>R2K4 Industrial Reducer</v>
          </cell>
          <cell r="R240" t="str">
            <v>1.3 mills seco</v>
          </cell>
          <cell r="S240" t="str">
            <v>Al Horno</v>
          </cell>
          <cell r="T240" t="str">
            <v>15' a 300°F</v>
          </cell>
          <cell r="U240" t="str">
            <v>41 Mts Cuadrados/Gl</v>
          </cell>
          <cell r="V240" t="str">
            <v>80</v>
          </cell>
          <cell r="W240" t="str">
            <v>H</v>
          </cell>
          <cell r="X240" t="str">
            <v>6 meses</v>
          </cell>
          <cell r="Y240" t="str">
            <v>Comercial Leon Quant (Tegucigalpa-Honduras)</v>
          </cell>
          <cell r="Z240" t="str">
            <v>Muebles Metálicos</v>
          </cell>
          <cell r="AA240" t="str">
            <v>-</v>
          </cell>
          <cell r="AB240" t="str">
            <v>Rene Ferrufino</v>
          </cell>
          <cell r="AC240">
            <v>33983</v>
          </cell>
        </row>
        <row r="241">
          <cell r="A241" t="str">
            <v>SAA 3904</v>
          </cell>
          <cell r="B241" t="str">
            <v>Esmalte Horneable Alkydico Amarillo Henkel Martillado</v>
          </cell>
          <cell r="C241" t="str">
            <v>Interior-Exterior</v>
          </cell>
          <cell r="D241" t="str">
            <v>Lámina de Hierro</v>
          </cell>
          <cell r="E241" t="str">
            <v xml:space="preserve">Lavado con Solvente R7K156 </v>
          </cell>
          <cell r="F241" t="str">
            <v>Ninguno</v>
          </cell>
          <cell r="G241" t="str">
            <v>9.49 Lbs/Gl</v>
          </cell>
          <cell r="H241" t="str">
            <v>19.4%</v>
          </cell>
          <cell r="I241" t="str">
            <v>54.3%</v>
          </cell>
          <cell r="J241" t="str">
            <v>34.9%</v>
          </cell>
          <cell r="K241" t="str">
            <v>12%</v>
          </cell>
          <cell r="L241" t="str">
            <v>38.0%</v>
          </cell>
          <cell r="M241" t="str">
            <v>100"-110" Copa Zanh #2</v>
          </cell>
          <cell r="N241" t="str">
            <v>Pistola Comercial</v>
          </cell>
          <cell r="O241" t="str">
            <v>18"-22" Copa Zanh #2</v>
          </cell>
          <cell r="P241" t="str">
            <v>20-25%</v>
          </cell>
          <cell r="Q241" t="str">
            <v>R2K4 Industrial Reducer</v>
          </cell>
          <cell r="R241" t="str">
            <v>1.3 mills seco</v>
          </cell>
          <cell r="S241" t="str">
            <v>Al Horno</v>
          </cell>
          <cell r="T241" t="str">
            <v>15' a 300°F</v>
          </cell>
          <cell r="U241" t="str">
            <v>43 Mts Cuadrados/Gl</v>
          </cell>
          <cell r="V241" t="str">
            <v>80</v>
          </cell>
          <cell r="W241" t="str">
            <v>H</v>
          </cell>
          <cell r="X241" t="str">
            <v>6 meses</v>
          </cell>
          <cell r="Y241" t="str">
            <v>Comercial Leon Quant (Tegucigalpa-Honduras)</v>
          </cell>
          <cell r="Z241" t="str">
            <v>Muebles Metálicos</v>
          </cell>
          <cell r="AA241" t="str">
            <v>-</v>
          </cell>
          <cell r="AB241" t="str">
            <v>Rene Ferrufino</v>
          </cell>
          <cell r="AC241">
            <v>33987</v>
          </cell>
        </row>
        <row r="242">
          <cell r="A242" t="str">
            <v>SAA 3911</v>
          </cell>
          <cell r="B242" t="str">
            <v>Esmalte Horneable Alquidico Blanco.</v>
          </cell>
          <cell r="C242" t="str">
            <v>Interior-Exterior</v>
          </cell>
          <cell r="D242" t="str">
            <v>Lámina de Hierro</v>
          </cell>
          <cell r="E242" t="str">
            <v>Limpiar con solvente</v>
          </cell>
          <cell r="F242" t="str">
            <v>Ninguno</v>
          </cell>
          <cell r="G242" t="str">
            <v>10.19 Lbs/Gl</v>
          </cell>
          <cell r="H242" t="str">
            <v>43%</v>
          </cell>
          <cell r="I242" t="str">
            <v>58.12%</v>
          </cell>
          <cell r="J242" t="str">
            <v>15.12%</v>
          </cell>
          <cell r="K242" t="str">
            <v>18.45%</v>
          </cell>
          <cell r="L242" t="str">
            <v>41.94%</v>
          </cell>
          <cell r="M242" t="str">
            <v>200"-210" Copa Zanh #2</v>
          </cell>
          <cell r="N242" t="str">
            <v>Pistola Convencional</v>
          </cell>
          <cell r="O242" t="str">
            <v>18"-22" Copa Zanh #2</v>
          </cell>
          <cell r="P242" t="str">
            <v>50-55%</v>
          </cell>
          <cell r="Q242" t="str">
            <v>R2K4 Industrial Reducer</v>
          </cell>
          <cell r="R242" t="str">
            <v>1.2-1.4 mills</v>
          </cell>
          <cell r="S242" t="str">
            <v>Al Horno</v>
          </cell>
          <cell r="T242" t="str">
            <v>15' a 300°F</v>
          </cell>
          <cell r="U242" t="str">
            <v>52 Mts Cuadrados/Gl</v>
          </cell>
          <cell r="V242" t="str">
            <v>+90</v>
          </cell>
          <cell r="W242" t="str">
            <v>H</v>
          </cell>
          <cell r="X242" t="str">
            <v>6-12 meses</v>
          </cell>
          <cell r="Y242" t="str">
            <v>Sylvania-Costa Rica</v>
          </cell>
          <cell r="Z242" t="str">
            <v>Lamparas</v>
          </cell>
          <cell r="AA242" t="str">
            <v>-</v>
          </cell>
          <cell r="AB242" t="str">
            <v>Rene Ferrufino</v>
          </cell>
          <cell r="AC242">
            <v>34002</v>
          </cell>
        </row>
        <row r="243">
          <cell r="A243" t="str">
            <v>SAA 3912</v>
          </cell>
          <cell r="B243" t="str">
            <v>Esmalte Horneable Acrílico Negro Brillante</v>
          </cell>
          <cell r="C243" t="str">
            <v>Interior-Exterior</v>
          </cell>
          <cell r="D243" t="str">
            <v>Hierro</v>
          </cell>
          <cell r="E243" t="str">
            <v>Lavado, Desengrase y Fosfatizado</v>
          </cell>
          <cell r="F243" t="str">
            <v>E68WSA4 Acrylic Monobake White Primer</v>
          </cell>
          <cell r="G243" t="str">
            <v>7.90 Lbs/Gl</v>
          </cell>
          <cell r="H243" t="str">
            <v>2.78%</v>
          </cell>
          <cell r="I243" t="str">
            <v>40.67%</v>
          </cell>
          <cell r="J243" t="str">
            <v>38.38%</v>
          </cell>
          <cell r="K243" t="str">
            <v>4.08%</v>
          </cell>
          <cell r="L243" t="str">
            <v>37.03%</v>
          </cell>
          <cell r="M243" t="str">
            <v>100"-110" Copa Zanh #2</v>
          </cell>
          <cell r="N243" t="str">
            <v>Pistola</v>
          </cell>
          <cell r="O243" t="str">
            <v>25"-30" Copa Zanh #2</v>
          </cell>
          <cell r="P243" t="str">
            <v>20-25%</v>
          </cell>
          <cell r="Q243" t="str">
            <v>R2K4         Industrial reducer</v>
          </cell>
          <cell r="R243" t="str">
            <v>1.0-1.2 mills</v>
          </cell>
          <cell r="S243" t="str">
            <v>Al Horno</v>
          </cell>
          <cell r="T243" t="str">
            <v>15' a 350-400°F</v>
          </cell>
          <cell r="U243" t="str">
            <v>650.72 Pies Cuadrados/Gl a 1 mills de espesor</v>
          </cell>
          <cell r="V243" t="str">
            <v>+85</v>
          </cell>
          <cell r="W243" t="str">
            <v>2H-3H</v>
          </cell>
          <cell r="X243" t="str">
            <v>6-12 meses</v>
          </cell>
          <cell r="Y243" t="str">
            <v>Industrias Metálicas S.A</v>
          </cell>
          <cell r="Z243" t="str">
            <v>Muebles Metálicos</v>
          </cell>
          <cell r="AA243" t="str">
            <v>-</v>
          </cell>
          <cell r="AB243" t="str">
            <v>Luis Nolasco</v>
          </cell>
          <cell r="AC243">
            <v>34003</v>
          </cell>
        </row>
        <row r="244">
          <cell r="A244" t="str">
            <v>F73B5 (2)</v>
          </cell>
          <cell r="B244" t="str">
            <v>Esmalte Horneable  Negro Brillante</v>
          </cell>
          <cell r="C244" t="str">
            <v>Interior-Exterior</v>
          </cell>
          <cell r="D244" t="str">
            <v>Hierro</v>
          </cell>
          <cell r="E244" t="str">
            <v>Limpieza con Solvente</v>
          </cell>
          <cell r="F244" t="str">
            <v>Ninguno</v>
          </cell>
          <cell r="G244" t="str">
            <v>8.11 Lbs/Gl</v>
          </cell>
          <cell r="H244" t="str">
            <v>2.45%</v>
          </cell>
          <cell r="I244" t="str">
            <v>42.15%</v>
          </cell>
          <cell r="J244" t="str">
            <v>40.69%</v>
          </cell>
          <cell r="K244" t="str">
            <v>3.96%</v>
          </cell>
          <cell r="L244" t="str">
            <v>38.61%</v>
          </cell>
          <cell r="M244" t="str">
            <v>100"-110" Copa Zanh #2</v>
          </cell>
          <cell r="N244" t="str">
            <v>Pistola</v>
          </cell>
          <cell r="O244" t="str">
            <v>20-25 seg. Copa Zanh #2</v>
          </cell>
          <cell r="P244" t="str">
            <v>20-25%</v>
          </cell>
          <cell r="Q244" t="str">
            <v>R2K4         Industrial reducer</v>
          </cell>
          <cell r="R244" t="str">
            <v>1.0-1.2 mills</v>
          </cell>
          <cell r="S244" t="str">
            <v>Al Horno</v>
          </cell>
          <cell r="T244" t="str">
            <v>15' a 300°F</v>
          </cell>
          <cell r="U244" t="str">
            <v>674.4 Pies Cuadrados/Gl a 1 mills de espesor</v>
          </cell>
          <cell r="V244" t="str">
            <v>+85</v>
          </cell>
          <cell r="W244" t="str">
            <v>H</v>
          </cell>
          <cell r="X244" t="str">
            <v>6-12 meses</v>
          </cell>
          <cell r="Y244" t="str">
            <v>VECESA</v>
          </cell>
          <cell r="Z244" t="str">
            <v>Bicicletas</v>
          </cell>
          <cell r="AA244" t="str">
            <v>-</v>
          </cell>
          <cell r="AB244" t="str">
            <v>Luis Nolasco</v>
          </cell>
          <cell r="AC244">
            <v>34005</v>
          </cell>
        </row>
        <row r="245">
          <cell r="A245" t="str">
            <v>F73WSA18</v>
          </cell>
          <cell r="B245" t="str">
            <v>Esmalte Horneable Extra Blanco</v>
          </cell>
          <cell r="C245" t="str">
            <v>Interior-Exterior</v>
          </cell>
          <cell r="D245" t="str">
            <v>Hierro</v>
          </cell>
          <cell r="E245" t="str">
            <v>Limpieza con Solvente</v>
          </cell>
          <cell r="F245" t="str">
            <v>Ninguno</v>
          </cell>
          <cell r="G245" t="str">
            <v>10.72 Lbs/Gl</v>
          </cell>
          <cell r="H245" t="str">
            <v>30.44%</v>
          </cell>
          <cell r="I245" t="str">
            <v>65.61%</v>
          </cell>
          <cell r="J245" t="str">
            <v>50.56%</v>
          </cell>
          <cell r="K245" t="str">
            <v>20.89%</v>
          </cell>
          <cell r="L245" t="str">
            <v>47.61%</v>
          </cell>
          <cell r="M245" t="str">
            <v>95-105 Copa Zanh #2</v>
          </cell>
          <cell r="N245" t="str">
            <v>Pistola</v>
          </cell>
          <cell r="O245" t="str">
            <v>20-25 seg. Copa Zanh #2</v>
          </cell>
          <cell r="P245" t="str">
            <v>20-25%</v>
          </cell>
          <cell r="Q245" t="str">
            <v>R2K4         Industrial reducer</v>
          </cell>
          <cell r="R245" t="str">
            <v>1.0-1.2 mills</v>
          </cell>
          <cell r="S245" t="str">
            <v>Al Horno</v>
          </cell>
          <cell r="T245" t="str">
            <v>15' a 300°F</v>
          </cell>
          <cell r="U245" t="str">
            <v>1049.6 Pies Cuadrados/Gl a 1 mills de espesor</v>
          </cell>
          <cell r="V245" t="str">
            <v>+90</v>
          </cell>
          <cell r="W245" t="str">
            <v>H</v>
          </cell>
          <cell r="X245" t="str">
            <v>6-12 meses</v>
          </cell>
          <cell r="Y245" t="str">
            <v>VECESA</v>
          </cell>
          <cell r="Z245" t="str">
            <v>Bicicletas</v>
          </cell>
          <cell r="AA245" t="str">
            <v>-</v>
          </cell>
          <cell r="AB245" t="str">
            <v>Luis Nolasco</v>
          </cell>
          <cell r="AC245">
            <v>34005</v>
          </cell>
        </row>
        <row r="246">
          <cell r="A246" t="str">
            <v>SAA 3913</v>
          </cell>
          <cell r="B246" t="str">
            <v>Esmalte Horneable Alquídico Aluminio Grueso</v>
          </cell>
          <cell r="C246" t="str">
            <v>Interior-Exterior</v>
          </cell>
          <cell r="D246" t="str">
            <v>Hierro</v>
          </cell>
          <cell r="E246" t="str">
            <v>Limpieza con Solvente</v>
          </cell>
          <cell r="F246" t="str">
            <v>Ninguno</v>
          </cell>
          <cell r="G246" t="str">
            <v>7.98 Lbs/Gl</v>
          </cell>
          <cell r="H246" t="str">
            <v>0.04%</v>
          </cell>
          <cell r="I246" t="str">
            <v>42.52%</v>
          </cell>
          <cell r="J246" t="str">
            <v>41.46%</v>
          </cell>
          <cell r="K246" t="str">
            <v>1.88%</v>
          </cell>
          <cell r="L246" t="str">
            <v>33.58%</v>
          </cell>
          <cell r="M246" t="str">
            <v>60"-70" Copa Zanh #2</v>
          </cell>
          <cell r="N246" t="str">
            <v>Pistola</v>
          </cell>
          <cell r="O246" t="str">
            <v>20"-25" Copa Zanh #2</v>
          </cell>
          <cell r="P246" t="str">
            <v>20-25%</v>
          </cell>
          <cell r="Q246" t="str">
            <v>R2K4         Industrial reducer</v>
          </cell>
          <cell r="R246" t="str">
            <v>1.0-1.2 mills</v>
          </cell>
          <cell r="S246" t="str">
            <v>Al Horno</v>
          </cell>
          <cell r="T246" t="str">
            <v>15' a 300°F</v>
          </cell>
          <cell r="U246" t="str">
            <v>682.32 Pies Cuadrados/Gl a 1 mills de espesor</v>
          </cell>
          <cell r="V246" t="str">
            <v>+80</v>
          </cell>
          <cell r="W246" t="str">
            <v>H</v>
          </cell>
          <cell r="X246" t="str">
            <v>6-12 meses</v>
          </cell>
          <cell r="Y246" t="str">
            <v>VECESA</v>
          </cell>
          <cell r="Z246" t="str">
            <v>Bicicletas</v>
          </cell>
          <cell r="AA246" t="str">
            <v>-</v>
          </cell>
          <cell r="AB246" t="str">
            <v>Luis Nolasco</v>
          </cell>
          <cell r="AC246">
            <v>34005</v>
          </cell>
        </row>
        <row r="247">
          <cell r="A247" t="str">
            <v>SAA 3917</v>
          </cell>
          <cell r="B247" t="str">
            <v>Esmalte Horneable Alquídico Verde Oscuro</v>
          </cell>
          <cell r="C247" t="str">
            <v>Interior-Exterior</v>
          </cell>
          <cell r="D247" t="str">
            <v>Hierro</v>
          </cell>
          <cell r="E247" t="str">
            <v>Limpieza con Solvente</v>
          </cell>
          <cell r="F247" t="str">
            <v>Ninguno</v>
          </cell>
          <cell r="G247" t="str">
            <v>8.35 Lbs/Gl</v>
          </cell>
          <cell r="H247" t="str">
            <v>15%</v>
          </cell>
          <cell r="I247" t="str">
            <v>45.6%</v>
          </cell>
          <cell r="J247" t="str">
            <v>85%</v>
          </cell>
          <cell r="K247" t="str">
            <v>6.4%</v>
          </cell>
          <cell r="L247" t="str">
            <v>35.02%</v>
          </cell>
          <cell r="M247" t="str">
            <v>100"-110" Copa Zanh #2</v>
          </cell>
          <cell r="N247" t="str">
            <v>Pistola Convencional</v>
          </cell>
          <cell r="O247" t="str">
            <v>18"-22" Copa Zanh #2</v>
          </cell>
          <cell r="P247" t="str">
            <v>20-25%</v>
          </cell>
          <cell r="Q247" t="str">
            <v>R2K4         Industrial reducer</v>
          </cell>
          <cell r="R247" t="str">
            <v>1.2-1.5 mills</v>
          </cell>
          <cell r="S247" t="str">
            <v>Al Horno</v>
          </cell>
          <cell r="T247" t="str">
            <v>15' a 300°F</v>
          </cell>
          <cell r="U247" t="str">
            <v>470 Pies Cuadrados/Gl a 1.2 mills seco de espesor</v>
          </cell>
          <cell r="V247" t="str">
            <v>+90</v>
          </cell>
          <cell r="W247" t="str">
            <v>H</v>
          </cell>
          <cell r="X247" t="str">
            <v>6-12 meses</v>
          </cell>
          <cell r="Y247" t="str">
            <v>IMSA</v>
          </cell>
          <cell r="Z247" t="str">
            <v>Muebles Metálicos</v>
          </cell>
          <cell r="AA247" t="str">
            <v>-</v>
          </cell>
          <cell r="AB247" t="str">
            <v>Rene Ferrufino</v>
          </cell>
          <cell r="AC247">
            <v>34010</v>
          </cell>
        </row>
        <row r="248">
          <cell r="A248" t="str">
            <v>SAA 3918</v>
          </cell>
          <cell r="B248" t="str">
            <v>Esmalte Horneable Alquídico Azul Metálico Grueso</v>
          </cell>
          <cell r="C248" t="str">
            <v>Interior-Exterior</v>
          </cell>
          <cell r="D248" t="str">
            <v>Hierro</v>
          </cell>
          <cell r="E248" t="str">
            <v>Limpieza con Solvente</v>
          </cell>
          <cell r="F248" t="str">
            <v>Ninguno</v>
          </cell>
          <cell r="G248" t="str">
            <v>8.03 Lbs/Gl</v>
          </cell>
          <cell r="H248" t="str">
            <v>2.35%</v>
          </cell>
          <cell r="I248" t="str">
            <v>43.51%</v>
          </cell>
          <cell r="J248" t="str">
            <v>42.15%</v>
          </cell>
          <cell r="K248" t="str">
            <v>3.48%</v>
          </cell>
          <cell r="L248" t="str">
            <v>33.86%</v>
          </cell>
          <cell r="M248" t="str">
            <v>100"-110" Copa Zanh #2</v>
          </cell>
          <cell r="N248" t="str">
            <v>Pistola</v>
          </cell>
          <cell r="O248" t="str">
            <v>20-25 seg. Copa Zanh #2</v>
          </cell>
          <cell r="P248" t="str">
            <v>20-25%</v>
          </cell>
          <cell r="Q248" t="str">
            <v>R2K4         Industrial reducer</v>
          </cell>
          <cell r="R248" t="str">
            <v>1.0-1.2 mills</v>
          </cell>
          <cell r="S248" t="str">
            <v>Al Horno</v>
          </cell>
          <cell r="T248" t="str">
            <v>15' a 300°F</v>
          </cell>
          <cell r="U248" t="str">
            <v>696.16 Pies Cuadrados/Gl a 1 mills de espesor</v>
          </cell>
          <cell r="V248" t="str">
            <v>+80</v>
          </cell>
          <cell r="W248" t="str">
            <v>H</v>
          </cell>
          <cell r="X248" t="str">
            <v>6-12 meses</v>
          </cell>
          <cell r="Y248" t="str">
            <v>VECESA</v>
          </cell>
          <cell r="Z248" t="str">
            <v>Bicicletas</v>
          </cell>
          <cell r="AA248" t="str">
            <v>-</v>
          </cell>
          <cell r="AB248" t="str">
            <v>Luis Nolasco</v>
          </cell>
          <cell r="AC248">
            <v>34011</v>
          </cell>
        </row>
        <row r="249">
          <cell r="A249" t="str">
            <v>SAA 3921</v>
          </cell>
          <cell r="B249" t="str">
            <v>Esmalte Horneable Acrilico Amarillo Alfa</v>
          </cell>
          <cell r="C249" t="str">
            <v>Interior-Exterior</v>
          </cell>
          <cell r="D249" t="str">
            <v>Hierro</v>
          </cell>
          <cell r="E249" t="str">
            <v>Enjuague, Desengrase, Desoxidación y Fostatización</v>
          </cell>
          <cell r="F249" t="str">
            <v>E68WSA4 Acrylic Monobake White Primer</v>
          </cell>
          <cell r="G249" t="str">
            <v>9.05 Lbs/Gl</v>
          </cell>
          <cell r="H249" t="str">
            <v>18.44%</v>
          </cell>
          <cell r="I249" t="str">
            <v>48.99%</v>
          </cell>
          <cell r="J249" t="str">
            <v>37.45%</v>
          </cell>
          <cell r="K249" t="str">
            <v>27.25%</v>
          </cell>
          <cell r="L249" t="str">
            <v>36.37%</v>
          </cell>
          <cell r="M249" t="str">
            <v>100"-110" Copa Zanh #2</v>
          </cell>
          <cell r="N249" t="str">
            <v>Pistola</v>
          </cell>
          <cell r="O249" t="str">
            <v>25"-30" Copa Zanh #2</v>
          </cell>
          <cell r="P249" t="str">
            <v>20-25%</v>
          </cell>
          <cell r="Q249" t="str">
            <v>R2K4         Industrial reducer</v>
          </cell>
          <cell r="R249" t="str">
            <v>1.0-1.2 mills</v>
          </cell>
          <cell r="S249" t="str">
            <v>Al Horno</v>
          </cell>
          <cell r="T249" t="str">
            <v>15' a 300°F</v>
          </cell>
          <cell r="U249" t="str">
            <v>783.84 Pies Cuadrados/Gl a 1 mills de espesor</v>
          </cell>
          <cell r="V249" t="str">
            <v>+85</v>
          </cell>
          <cell r="W249" t="str">
            <v>2H-3H</v>
          </cell>
          <cell r="X249" t="str">
            <v>6-12 meses</v>
          </cell>
          <cell r="Y249" t="str">
            <v>Industras ALFA S.A</v>
          </cell>
          <cell r="Z249" t="str">
            <v>Refrigeradoras.</v>
          </cell>
          <cell r="AA249" t="str">
            <v>-</v>
          </cell>
          <cell r="AB249" t="str">
            <v>Luis Nolasco</v>
          </cell>
          <cell r="AC249">
            <v>34078</v>
          </cell>
        </row>
        <row r="250">
          <cell r="A250" t="str">
            <v>SAA 3922</v>
          </cell>
          <cell r="B250" t="str">
            <v>Esmalte Horneable Acrilico Verde Alfa</v>
          </cell>
          <cell r="C250" t="str">
            <v>Interior-Exterior</v>
          </cell>
          <cell r="D250" t="str">
            <v>Hierro</v>
          </cell>
          <cell r="E250" t="str">
            <v>Enjuague, Desengrase, Desoxidación y Fostatización</v>
          </cell>
          <cell r="F250" t="str">
            <v>E68WSA4 Acrylic Monobake White Primer</v>
          </cell>
          <cell r="G250" t="str">
            <v>8.50 Lbs/Gl</v>
          </cell>
          <cell r="H250" t="str">
            <v>11.41%</v>
          </cell>
          <cell r="I250" t="str">
            <v>43.98%</v>
          </cell>
          <cell r="J250" t="str">
            <v>36.76%</v>
          </cell>
          <cell r="K250" t="str">
            <v>8.73%</v>
          </cell>
          <cell r="L250" t="str">
            <v>34.48%</v>
          </cell>
          <cell r="M250" t="str">
            <v>100"-110" Copa Zanh #2</v>
          </cell>
          <cell r="N250" t="str">
            <v>Pistola</v>
          </cell>
          <cell r="O250" t="str">
            <v>25"-30" Copa Zanh #2</v>
          </cell>
          <cell r="P250" t="str">
            <v>20-25%</v>
          </cell>
          <cell r="Q250" t="str">
            <v>R2K4         Industrial reducer</v>
          </cell>
          <cell r="R250" t="str">
            <v>1.0-1.2 mills</v>
          </cell>
          <cell r="S250" t="str">
            <v>Al Horno</v>
          </cell>
          <cell r="T250" t="str">
            <v>15' a 300°F</v>
          </cell>
          <cell r="U250" t="str">
            <v>863.68 Pies Cuadrados/Gl a 1 mills de espesor</v>
          </cell>
          <cell r="V250" t="str">
            <v>+85</v>
          </cell>
          <cell r="W250" t="str">
            <v>2H-3H</v>
          </cell>
          <cell r="X250" t="str">
            <v>6-12 meses</v>
          </cell>
          <cell r="Y250" t="str">
            <v>Industras ALFA S.A</v>
          </cell>
          <cell r="Z250" t="str">
            <v>Refrigeradoras.</v>
          </cell>
          <cell r="AA250" t="str">
            <v>-</v>
          </cell>
          <cell r="AB250" t="str">
            <v>Luis Nolasco</v>
          </cell>
          <cell r="AC250">
            <v>34078</v>
          </cell>
        </row>
        <row r="251">
          <cell r="A251" t="str">
            <v>G70NSA5</v>
          </cell>
          <cell r="B251" t="str">
            <v>Wet Ink Varnish Gold</v>
          </cell>
          <cell r="C251" t="str">
            <v>Interior</v>
          </cell>
          <cell r="D251" t="str">
            <v>Hojalata</v>
          </cell>
          <cell r="E251" t="str">
            <v>Limpio con R2K4 Industrial Reducer</v>
          </cell>
          <cell r="F251" t="str">
            <v>Ninguno</v>
          </cell>
          <cell r="G251" t="str">
            <v>7.23 Lbs/Gl</v>
          </cell>
          <cell r="H251" t="str">
            <v>0.04%</v>
          </cell>
          <cell r="I251" t="str">
            <v>12.92%</v>
          </cell>
          <cell r="J251" t="str">
            <v>12.59%</v>
          </cell>
          <cell r="K251" t="str">
            <v>2.30%</v>
          </cell>
          <cell r="L251" t="str">
            <v>10.01%</v>
          </cell>
          <cell r="M251" t="str">
            <v>50"-55" Copa Zanh #2</v>
          </cell>
          <cell r="N251" t="str">
            <v>Especial</v>
          </cell>
          <cell r="O251" t="str">
            <v>50"-55" Copa Zanh #2</v>
          </cell>
          <cell r="P251" t="str">
            <v>-</v>
          </cell>
          <cell r="Q251" t="str">
            <v>-</v>
          </cell>
          <cell r="R251" t="str">
            <v>1.0 mills</v>
          </cell>
          <cell r="S251" t="str">
            <v>Al Horno</v>
          </cell>
          <cell r="T251" t="str">
            <v>15' a 300°F</v>
          </cell>
          <cell r="U251" t="str">
            <v>207.2 Pies Cuadrados/Gl a 1 mills de espesor</v>
          </cell>
          <cell r="V251" t="str">
            <v>+80</v>
          </cell>
          <cell r="W251" t="str">
            <v>F-H</v>
          </cell>
          <cell r="X251" t="str">
            <v>6 meses</v>
          </cell>
          <cell r="Y251" t="str">
            <v>CORLASA</v>
          </cell>
          <cell r="Z251" t="str">
            <v>Envases de Hojalata</v>
          </cell>
          <cell r="AA251" t="str">
            <v>-</v>
          </cell>
          <cell r="AB251" t="str">
            <v>Luis Nolasco</v>
          </cell>
          <cell r="AC251">
            <v>34080</v>
          </cell>
        </row>
        <row r="252">
          <cell r="A252" t="str">
            <v>F73SSA3</v>
          </cell>
          <cell r="B252" t="str">
            <v>Esmalte Horneable Aluminio Martillado</v>
          </cell>
          <cell r="C252" t="str">
            <v>Interior-Exterior</v>
          </cell>
          <cell r="D252" t="str">
            <v>Hierro</v>
          </cell>
          <cell r="E252" t="str">
            <v>Limpio con R2K4 Industrial Reducer</v>
          </cell>
          <cell r="F252" t="str">
            <v>Ninguno</v>
          </cell>
          <cell r="G252" t="str">
            <v>8.10 Lbs/Gl</v>
          </cell>
          <cell r="H252" t="str">
            <v>3.98%</v>
          </cell>
          <cell r="I252" t="str">
            <v>47.30%</v>
          </cell>
          <cell r="J252" t="str">
            <v>43.22%</v>
          </cell>
          <cell r="K252" t="str">
            <v>1.93%</v>
          </cell>
          <cell r="L252" t="str">
            <v>38.31%</v>
          </cell>
          <cell r="M252" t="str">
            <v>60-70 Seg. Copa Zanh #2</v>
          </cell>
          <cell r="N252" t="str">
            <v>Pistola Convencional</v>
          </cell>
          <cell r="O252" t="str">
            <v>100"-110" Copa Zanh #2</v>
          </cell>
          <cell r="P252" t="str">
            <v>20-25%</v>
          </cell>
          <cell r="Q252" t="str">
            <v>R2K4         Industrial reducer</v>
          </cell>
          <cell r="R252" t="str">
            <v>1.0-1.25 mills</v>
          </cell>
          <cell r="S252" t="str">
            <v>Al Horno</v>
          </cell>
          <cell r="T252" t="str">
            <v>15' a 300°F</v>
          </cell>
          <cell r="U252" t="str">
            <v>612.96 Pies Cuadrados/Gl a 1 mills de espesor</v>
          </cell>
          <cell r="V252" t="str">
            <v>80-85</v>
          </cell>
          <cell r="W252" t="str">
            <v>H</v>
          </cell>
          <cell r="X252" t="str">
            <v>6 meses</v>
          </cell>
          <cell r="Y252" t="str">
            <v>SW San Pedro</v>
          </cell>
          <cell r="Z252" t="str">
            <v>Muebles Metálicos</v>
          </cell>
          <cell r="AA252" t="str">
            <v>-</v>
          </cell>
          <cell r="AB252" t="str">
            <v>Anabella de Mayorga</v>
          </cell>
          <cell r="AC252">
            <v>34100</v>
          </cell>
        </row>
        <row r="253">
          <cell r="A253" t="str">
            <v>K67ESA1</v>
          </cell>
          <cell r="B253" t="str">
            <v>Spray Enamel Aerosol Blaze Fluorescent</v>
          </cell>
          <cell r="C253" t="str">
            <v>Interior-Exterior</v>
          </cell>
          <cell r="D253" t="str">
            <v>Madera o Metal</v>
          </cell>
          <cell r="E253" t="str">
            <v>Limpia, Seca, Libre de Suciedad</v>
          </cell>
          <cell r="F253" t="str">
            <v>Aplicar una Primera Mano de F67WSA2</v>
          </cell>
          <cell r="G253" t="str">
            <v>8.17 Lbs/Gl</v>
          </cell>
          <cell r="H253" t="str">
            <v>63.98%</v>
          </cell>
          <cell r="I253" t="str">
            <v>43.62%</v>
          </cell>
          <cell r="J253" t="str">
            <v>36.02%</v>
          </cell>
          <cell r="K253" t="str">
            <v>54.42%</v>
          </cell>
          <cell r="L253" t="str">
            <v>30.56%</v>
          </cell>
          <cell r="M253" t="str">
            <v>12-15 Seg. Copa Ford #4</v>
          </cell>
          <cell r="N253" t="str">
            <v>Aerosol</v>
          </cell>
          <cell r="O253" t="str">
            <v>12-15 Seg. Copa Ford #4</v>
          </cell>
          <cell r="P253" t="str">
            <v>Ninguno</v>
          </cell>
          <cell r="Q253" t="str">
            <v>-</v>
          </cell>
          <cell r="R253" t="str">
            <v>1 mills</v>
          </cell>
          <cell r="S253" t="str">
            <v>-</v>
          </cell>
          <cell r="T253" t="str">
            <v>-</v>
          </cell>
          <cell r="U253" t="str">
            <v>490 Pies Cuadrados/Gl a 1 mills de espesor</v>
          </cell>
          <cell r="V253" t="str">
            <v>Mate</v>
          </cell>
          <cell r="W253" t="str">
            <v>-</v>
          </cell>
          <cell r="X253" t="str">
            <v>6-12 meses</v>
          </cell>
          <cell r="Y253" t="str">
            <v>SW</v>
          </cell>
          <cell r="Z253" t="str">
            <v>-</v>
          </cell>
          <cell r="AA253" t="str">
            <v>-</v>
          </cell>
          <cell r="AB253" t="str">
            <v>Anabella de Mayorga</v>
          </cell>
          <cell r="AC253">
            <v>34164</v>
          </cell>
        </row>
        <row r="254">
          <cell r="A254" t="str">
            <v>K67GSA1</v>
          </cell>
          <cell r="B254" t="str">
            <v>Spray Enamel Aerosol Stellar Green Fluorescent</v>
          </cell>
          <cell r="C254" t="str">
            <v>Interior-Exterior</v>
          </cell>
          <cell r="D254" t="str">
            <v>Madera o Metal</v>
          </cell>
          <cell r="E254" t="str">
            <v>Limpia, Seca, Libre de Suciedad</v>
          </cell>
          <cell r="F254" t="str">
            <v>Aplicar una Primera Mano de F67WSA2</v>
          </cell>
          <cell r="G254" t="str">
            <v>8.63 Lbs/Gl</v>
          </cell>
          <cell r="H254" t="str">
            <v>63.9%</v>
          </cell>
          <cell r="I254" t="str">
            <v>41.4%</v>
          </cell>
          <cell r="J254" t="str">
            <v>36%</v>
          </cell>
          <cell r="K254" t="str">
            <v>54.9%</v>
          </cell>
          <cell r="L254" t="str">
            <v>30.3%</v>
          </cell>
          <cell r="M254" t="str">
            <v>12-15 Seg. Copa Ford #4</v>
          </cell>
          <cell r="N254" t="str">
            <v>Aerosol</v>
          </cell>
          <cell r="O254" t="str">
            <v>12-15 Seg. Copa Ford #4</v>
          </cell>
          <cell r="P254" t="str">
            <v>Ninguno</v>
          </cell>
          <cell r="Q254" t="str">
            <v>-</v>
          </cell>
          <cell r="R254" t="str">
            <v>1 mills</v>
          </cell>
          <cell r="S254" t="str">
            <v>Al Aire-15 Minutos</v>
          </cell>
          <cell r="T254" t="str">
            <v>-</v>
          </cell>
          <cell r="U254" t="str">
            <v>45 Mts Cuadrados/Gl</v>
          </cell>
          <cell r="V254" t="str">
            <v>Mate</v>
          </cell>
          <cell r="W254" t="str">
            <v>-</v>
          </cell>
          <cell r="X254" t="str">
            <v>6-12 meses</v>
          </cell>
          <cell r="Y254" t="str">
            <v>SW</v>
          </cell>
          <cell r="Z254" t="str">
            <v>-</v>
          </cell>
          <cell r="AA254" t="str">
            <v>-</v>
          </cell>
          <cell r="AB254" t="str">
            <v>Rene Ferrufino</v>
          </cell>
          <cell r="AC254">
            <v>34164</v>
          </cell>
        </row>
        <row r="255">
          <cell r="A255" t="str">
            <v>K67RSA1</v>
          </cell>
          <cell r="B255" t="str">
            <v>Spray Enamel Aerosol Laser Red Fluorescent</v>
          </cell>
          <cell r="C255" t="str">
            <v>Interior-Exterior</v>
          </cell>
          <cell r="D255" t="str">
            <v>Madera o Metal</v>
          </cell>
          <cell r="E255" t="str">
            <v>Limpia, Seca, Libre de Suciedad</v>
          </cell>
          <cell r="F255" t="str">
            <v>Aplicar una Primera Mano de F67WSA2</v>
          </cell>
          <cell r="G255" t="str">
            <v>8.17 Lbs/Gl</v>
          </cell>
          <cell r="H255" t="str">
            <v>63.98%</v>
          </cell>
          <cell r="I255" t="str">
            <v>43.62%</v>
          </cell>
          <cell r="J255" t="str">
            <v>36.02%</v>
          </cell>
          <cell r="K255" t="str">
            <v>54.42%</v>
          </cell>
          <cell r="L255" t="str">
            <v>30.56%</v>
          </cell>
          <cell r="M255" t="str">
            <v>12-15 Seg. Copa Ford #4</v>
          </cell>
          <cell r="N255" t="str">
            <v>Aerosol</v>
          </cell>
          <cell r="O255" t="str">
            <v>12-15 Seg. Copa Ford #4</v>
          </cell>
          <cell r="P255" t="str">
            <v>Ninguno</v>
          </cell>
          <cell r="Q255" t="str">
            <v>-</v>
          </cell>
          <cell r="R255" t="str">
            <v>1 mills</v>
          </cell>
          <cell r="S255" t="str">
            <v>-</v>
          </cell>
          <cell r="T255" t="str">
            <v>-</v>
          </cell>
          <cell r="U255" t="str">
            <v>490 Pies Cuadrados/Gl a 1 mills de espesor</v>
          </cell>
          <cell r="V255" t="str">
            <v>Mate</v>
          </cell>
          <cell r="W255" t="str">
            <v>-</v>
          </cell>
          <cell r="X255" t="str">
            <v>6-12 meses</v>
          </cell>
          <cell r="Y255" t="str">
            <v>SW</v>
          </cell>
          <cell r="Z255" t="str">
            <v>-</v>
          </cell>
          <cell r="AA255" t="str">
            <v>-</v>
          </cell>
          <cell r="AB255" t="str">
            <v>Anabella de Mayorga</v>
          </cell>
          <cell r="AC255">
            <v>34164</v>
          </cell>
        </row>
        <row r="256">
          <cell r="A256" t="str">
            <v>K67YSA1</v>
          </cell>
          <cell r="B256" t="str">
            <v>Spray Enamel Aerosol Lunar Yellow Fluorescent</v>
          </cell>
          <cell r="C256" t="str">
            <v>Interior-Exterior</v>
          </cell>
          <cell r="D256" t="str">
            <v>Madera o Metal</v>
          </cell>
          <cell r="E256" t="str">
            <v>Limpia de Polvo</v>
          </cell>
          <cell r="F256" t="str">
            <v>Aplicar una Primera Mano de F67WSA2</v>
          </cell>
          <cell r="G256" t="str">
            <v>8.35 Lbs/Gl</v>
          </cell>
          <cell r="H256" t="str">
            <v>63.9%</v>
          </cell>
          <cell r="I256" t="str">
            <v>42.7%</v>
          </cell>
          <cell r="J256" t="str">
            <v>36%</v>
          </cell>
          <cell r="K256" t="str">
            <v>52.21%</v>
          </cell>
          <cell r="L256" t="str">
            <v>31.8%</v>
          </cell>
          <cell r="M256" t="str">
            <v>12-15 Seg. Copa Ford #4</v>
          </cell>
          <cell r="N256" t="str">
            <v>Aerosol</v>
          </cell>
          <cell r="O256" t="str">
            <v>12-15 Seg. Copa Ford #4</v>
          </cell>
          <cell r="P256" t="str">
            <v>Ninguno</v>
          </cell>
          <cell r="Q256" t="str">
            <v>-</v>
          </cell>
          <cell r="R256" t="str">
            <v>1 mills</v>
          </cell>
          <cell r="S256" t="str">
            <v>Al Aire-15 Minutos</v>
          </cell>
          <cell r="T256" t="str">
            <v>-</v>
          </cell>
          <cell r="U256" t="str">
            <v>45 Mts Cuadrados/Gl</v>
          </cell>
          <cell r="V256" t="str">
            <v>Mate</v>
          </cell>
          <cell r="W256" t="str">
            <v>-</v>
          </cell>
          <cell r="X256" t="str">
            <v>6-12 meses</v>
          </cell>
          <cell r="Y256" t="str">
            <v>SW</v>
          </cell>
          <cell r="Z256" t="str">
            <v>-</v>
          </cell>
          <cell r="AA256" t="str">
            <v>-</v>
          </cell>
          <cell r="AB256" t="str">
            <v>Rene Ferrufino</v>
          </cell>
          <cell r="AC256">
            <v>34164</v>
          </cell>
        </row>
        <row r="257">
          <cell r="A257" t="str">
            <v>SAA 3940</v>
          </cell>
          <cell r="B257" t="str">
            <v>Oil Stain Café Oscuro</v>
          </cell>
          <cell r="C257" t="str">
            <v>Interior</v>
          </cell>
          <cell r="D257" t="str">
            <v>Madera</v>
          </cell>
          <cell r="E257" t="str">
            <v>Lijada</v>
          </cell>
          <cell r="F257" t="str">
            <v>Ninguno</v>
          </cell>
          <cell r="G257" t="str">
            <v>7.26 Lbs/Gl</v>
          </cell>
          <cell r="H257" t="str">
            <v>-</v>
          </cell>
          <cell r="I257" t="str">
            <v>24.20%</v>
          </cell>
          <cell r="J257" t="str">
            <v>24.20%</v>
          </cell>
          <cell r="K257" t="str">
            <v>-</v>
          </cell>
          <cell r="L257" t="str">
            <v>20.26</v>
          </cell>
          <cell r="M257" t="str">
            <v>14"-16" Copa Zanh #2</v>
          </cell>
          <cell r="N257" t="str">
            <v>Brocha</v>
          </cell>
          <cell r="O257" t="str">
            <v>14"-16" Copa Zanh #2</v>
          </cell>
          <cell r="P257" t="str">
            <v>Ninguno</v>
          </cell>
          <cell r="Q257" t="str">
            <v>Ninguno</v>
          </cell>
          <cell r="R257" t="str">
            <v>-</v>
          </cell>
          <cell r="S257" t="str">
            <v>30 Minutos</v>
          </cell>
          <cell r="T257" t="str">
            <v>-</v>
          </cell>
          <cell r="U257" t="str">
            <v>387.2 Pies Cuadrados/Gl</v>
          </cell>
          <cell r="V257" t="str">
            <v>-</v>
          </cell>
          <cell r="W257" t="str">
            <v>-</v>
          </cell>
          <cell r="X257" t="str">
            <v>6-12 meses</v>
          </cell>
          <cell r="Y257" t="str">
            <v>Industrias Olins</v>
          </cell>
          <cell r="Z257" t="str">
            <v>Muebles de Madera.</v>
          </cell>
          <cell r="AA257" t="str">
            <v>-</v>
          </cell>
          <cell r="AB257" t="str">
            <v>Luis Nolasco</v>
          </cell>
          <cell r="AC257">
            <v>34178</v>
          </cell>
        </row>
        <row r="258">
          <cell r="A258" t="str">
            <v>SAA 3941</v>
          </cell>
          <cell r="B258" t="str">
            <v>Esmalte Horneable Acrilico Blanco Alfa</v>
          </cell>
          <cell r="C258" t="str">
            <v>Interior-Exterior Limitada</v>
          </cell>
          <cell r="D258" t="str">
            <v>Hierro</v>
          </cell>
          <cell r="E258" t="str">
            <v>Lavado, Desengrase y Fosfatizado</v>
          </cell>
          <cell r="F258" t="str">
            <v>E68WSA4 Acrylic Monobake White Primer</v>
          </cell>
          <cell r="G258" t="str">
            <v>10.06 Lbs/Gl</v>
          </cell>
          <cell r="H258" t="str">
            <v>29.75%</v>
          </cell>
          <cell r="I258" t="str">
            <v>54.86%</v>
          </cell>
          <cell r="J258" t="str">
            <v>38.54%</v>
          </cell>
          <cell r="K258" t="str">
            <v>25.50%</v>
          </cell>
          <cell r="L258" t="str">
            <v>35.50%</v>
          </cell>
          <cell r="M258" t="str">
            <v>100"-110" Copa Zanh #2</v>
          </cell>
          <cell r="N258" t="str">
            <v>Pistola</v>
          </cell>
          <cell r="O258" t="str">
            <v>25"-30" Copa Zanh #2</v>
          </cell>
          <cell r="P258" t="str">
            <v>20-25%</v>
          </cell>
          <cell r="Q258" t="str">
            <v>R2K4         Industrial reducer</v>
          </cell>
          <cell r="R258" t="str">
            <v>1.0-1.2 mills</v>
          </cell>
          <cell r="S258" t="str">
            <v>Al Horno</v>
          </cell>
          <cell r="T258" t="str">
            <v>15' a 350-400°F</v>
          </cell>
          <cell r="U258" t="str">
            <v>878 Pies Cuadrados/Gl a 1 mills de espesor</v>
          </cell>
          <cell r="V258" t="str">
            <v>+85</v>
          </cell>
          <cell r="W258" t="str">
            <v>2H-3H</v>
          </cell>
          <cell r="X258" t="str">
            <v>6-12 meses</v>
          </cell>
          <cell r="Y258" t="str">
            <v>Industrias ALFA S.A</v>
          </cell>
          <cell r="Z258" t="str">
            <v>Refrigeradoras</v>
          </cell>
          <cell r="AA258" t="str">
            <v>-</v>
          </cell>
          <cell r="AB258" t="str">
            <v>Luis Nolasco</v>
          </cell>
          <cell r="AC258">
            <v>34204</v>
          </cell>
        </row>
        <row r="259">
          <cell r="A259" t="str">
            <v>SAA 3942</v>
          </cell>
          <cell r="B259" t="str">
            <v>Esmalte Horneable Acrilico Almendra Alfa</v>
          </cell>
          <cell r="C259" t="str">
            <v>Interior-Exterior Limitada</v>
          </cell>
          <cell r="D259" t="str">
            <v>Hierro</v>
          </cell>
          <cell r="E259" t="str">
            <v>Lavado, Desengrase y Fosfatizado</v>
          </cell>
          <cell r="F259" t="str">
            <v>E68WSA4 Acrylic Monobake White Primer</v>
          </cell>
          <cell r="G259" t="str">
            <v>10.06 Lbs/Gl</v>
          </cell>
          <cell r="H259" t="str">
            <v>29.75%</v>
          </cell>
          <cell r="I259" t="str">
            <v>54.86%</v>
          </cell>
          <cell r="J259" t="str">
            <v>38.54%</v>
          </cell>
          <cell r="K259" t="str">
            <v>25.50%</v>
          </cell>
          <cell r="L259" t="str">
            <v>35.50%</v>
          </cell>
          <cell r="M259" t="str">
            <v>100"-110" Copa Zanh #2</v>
          </cell>
          <cell r="N259" t="str">
            <v>Pistola</v>
          </cell>
          <cell r="O259" t="str">
            <v>25"-30" Copa Zanh #2</v>
          </cell>
          <cell r="P259" t="str">
            <v>20-25%</v>
          </cell>
          <cell r="Q259" t="str">
            <v>R2K4         Industrial reducer</v>
          </cell>
          <cell r="R259" t="str">
            <v>1.0-1.2 mills</v>
          </cell>
          <cell r="S259" t="str">
            <v>Al Horno</v>
          </cell>
          <cell r="T259" t="str">
            <v>15' a 350-400°F</v>
          </cell>
          <cell r="U259" t="str">
            <v>878 Pies Cuadrados/Gl a 1 mills de espesor</v>
          </cell>
          <cell r="V259" t="str">
            <v>+85</v>
          </cell>
          <cell r="W259" t="str">
            <v>2H-3H</v>
          </cell>
          <cell r="X259" t="str">
            <v>6-12 meses</v>
          </cell>
          <cell r="Y259" t="str">
            <v>Industrias ALFA S.A</v>
          </cell>
          <cell r="Z259" t="str">
            <v>Refrigeradoras</v>
          </cell>
          <cell r="AA259" t="str">
            <v>-</v>
          </cell>
          <cell r="AB259" t="str">
            <v>Luis Nolasco</v>
          </cell>
          <cell r="AC259">
            <v>34204</v>
          </cell>
        </row>
        <row r="260">
          <cell r="A260" t="str">
            <v>G78RSA3</v>
          </cell>
          <cell r="B260" t="str">
            <v>Esmalte Horneable Acrilico Rojo TAPPAN</v>
          </cell>
          <cell r="C260" t="str">
            <v>Interior-Exterior Limitada</v>
          </cell>
          <cell r="D260" t="str">
            <v>Hierro</v>
          </cell>
          <cell r="E260" t="str">
            <v>Lavado y Eliminación de Corrosión</v>
          </cell>
          <cell r="F260" t="str">
            <v>E68WSA4 Acrylic Monobake White Primer</v>
          </cell>
          <cell r="G260" t="str">
            <v>8.46 Lbs/Gl</v>
          </cell>
          <cell r="H260" t="str">
            <v>10.35%</v>
          </cell>
          <cell r="I260" t="str">
            <v>43.09%</v>
          </cell>
          <cell r="J260" t="str">
            <v>36.52%</v>
          </cell>
          <cell r="K260" t="str">
            <v>6.84%</v>
          </cell>
          <cell r="L260" t="str">
            <v>33.78%</v>
          </cell>
          <cell r="M260" t="str">
            <v>100"-110" Copa Zanh #2</v>
          </cell>
          <cell r="N260" t="str">
            <v>Pistola</v>
          </cell>
          <cell r="O260" t="str">
            <v>25"-30" Copa Zanh #2</v>
          </cell>
          <cell r="P260" t="str">
            <v>20-25%</v>
          </cell>
          <cell r="Q260" t="str">
            <v>R2K4         Industrial reducer</v>
          </cell>
          <cell r="R260" t="str">
            <v>1.0-1.2 mills</v>
          </cell>
          <cell r="S260" t="str">
            <v>Al Horno</v>
          </cell>
          <cell r="T260" t="str">
            <v>15' a 350-400°F</v>
          </cell>
          <cell r="U260" t="str">
            <v>689.44 Pies Cuadrados/Gl a 1 mills de espesor</v>
          </cell>
          <cell r="V260" t="str">
            <v>+85</v>
          </cell>
          <cell r="W260" t="str">
            <v>2H-3H</v>
          </cell>
          <cell r="X260" t="str">
            <v>6-12 meses</v>
          </cell>
          <cell r="Y260" t="str">
            <v>TAPPAN-GUATEMALA</v>
          </cell>
          <cell r="Z260" t="str">
            <v>Artículos de Cocina</v>
          </cell>
          <cell r="AA260" t="str">
            <v>-</v>
          </cell>
          <cell r="AB260" t="str">
            <v>Luis Nolasco</v>
          </cell>
          <cell r="AC260">
            <v>34215</v>
          </cell>
        </row>
        <row r="261">
          <cell r="A261" t="str">
            <v>B97WD2049</v>
          </cell>
          <cell r="B261" t="str">
            <v>Pintura de Tráfico Blanca TTP-1952-B</v>
          </cell>
          <cell r="C261" t="str">
            <v>Interior-Exterior</v>
          </cell>
          <cell r="D261" t="str">
            <v>Asfalto y Concreto</v>
          </cell>
          <cell r="E261" t="str">
            <v>Limpia, Seca y Libre de Exudación de Asfalto</v>
          </cell>
          <cell r="F261" t="str">
            <v>Ninguno</v>
          </cell>
          <cell r="G261" t="str">
            <v>12.41 Lbs/Gl</v>
          </cell>
          <cell r="H261" t="str">
            <v>50%</v>
          </cell>
          <cell r="I261" t="str">
            <v>66.5%</v>
          </cell>
          <cell r="J261" t="str">
            <v>33%</v>
          </cell>
          <cell r="K261" t="str">
            <v>-</v>
          </cell>
          <cell r="L261" t="str">
            <v>51%</v>
          </cell>
          <cell r="M261" t="str">
            <v>75-85 KU (Stormer)</v>
          </cell>
          <cell r="N261" t="str">
            <v>Brocha, Rodillo Industrial, Máquina Franjeadora, Etc.</v>
          </cell>
          <cell r="O261" t="str">
            <v>Lista Para Usar.</v>
          </cell>
          <cell r="P261" t="str">
            <v>Ninguno</v>
          </cell>
          <cell r="Q261" t="str">
            <v>Agua, si es necesario.</v>
          </cell>
          <cell r="R261" t="str">
            <v>4-5 mills/Pulg.</v>
          </cell>
          <cell r="S261" t="str">
            <v>30 Minutos. No Transitar antes de 1 Hora</v>
          </cell>
          <cell r="T261" t="str">
            <v>-</v>
          </cell>
          <cell r="U261" t="str">
            <v>45-50 Mts Cuadrados/Gl</v>
          </cell>
          <cell r="V261" t="str">
            <v>1-2 (Mate)</v>
          </cell>
          <cell r="W261" t="str">
            <v>5B-4B</v>
          </cell>
          <cell r="X261" t="str">
            <v>12 meses</v>
          </cell>
          <cell r="Y261" t="str">
            <v>Mercantil Internacional, S.A de C.V</v>
          </cell>
          <cell r="Z261" t="str">
            <v>Placas de Vehículos.</v>
          </cell>
          <cell r="AA261" t="str">
            <v>-</v>
          </cell>
          <cell r="AB261" t="str">
            <v>Rene Ferrufino</v>
          </cell>
          <cell r="AC261">
            <v>34225</v>
          </cell>
        </row>
        <row r="262">
          <cell r="A262" t="str">
            <v>SAA 3947</v>
          </cell>
          <cell r="B262" t="str">
            <v>Esmalte Horneable Blanco IMSA</v>
          </cell>
          <cell r="C262" t="str">
            <v>Interior-Exterior</v>
          </cell>
          <cell r="D262" t="str">
            <v>Hierro</v>
          </cell>
          <cell r="E262" t="str">
            <v>Limpio con R2K4 Industrial Reducer</v>
          </cell>
          <cell r="F262" t="str">
            <v>Ninguno</v>
          </cell>
          <cell r="G262" t="str">
            <v>9.46 Lbs/Gl</v>
          </cell>
          <cell r="H262" t="str">
            <v>43.30%</v>
          </cell>
          <cell r="I262" t="str">
            <v>58.50%</v>
          </cell>
          <cell r="J262" t="str">
            <v>56.70%</v>
          </cell>
          <cell r="K262" t="str">
            <v>17.95%</v>
          </cell>
          <cell r="L262" t="str">
            <v>41.22%</v>
          </cell>
          <cell r="M262" t="str">
            <v>100"-110" Copa Zanh #2</v>
          </cell>
          <cell r="N262" t="str">
            <v>Pistola Convencional</v>
          </cell>
          <cell r="O262" t="str">
            <v>20-25 seg. Copa Zanh #2</v>
          </cell>
          <cell r="P262" t="str">
            <v>20-25%</v>
          </cell>
          <cell r="Q262" t="str">
            <v>R2K4         Industrial reducer</v>
          </cell>
          <cell r="R262" t="str">
            <v>1.0-1.25 mills</v>
          </cell>
          <cell r="S262" t="str">
            <v>Al Horno</v>
          </cell>
          <cell r="T262" t="str">
            <v>15' a 300°F</v>
          </cell>
          <cell r="U262" t="str">
            <v>655 Pies Cuadrados/Gl a 1 mills de espesor</v>
          </cell>
          <cell r="V262" t="str">
            <v>+85</v>
          </cell>
          <cell r="W262" t="str">
            <v>H</v>
          </cell>
          <cell r="X262" t="str">
            <v>6-12 meses</v>
          </cell>
          <cell r="Y262" t="str">
            <v>Industrias Metálicas S.A</v>
          </cell>
          <cell r="Z262" t="str">
            <v>Muebles Metálicos</v>
          </cell>
          <cell r="AA262" t="str">
            <v>-</v>
          </cell>
          <cell r="AB262" t="str">
            <v>Anabella de Mayorga</v>
          </cell>
          <cell r="AC262">
            <v>34235</v>
          </cell>
        </row>
        <row r="263">
          <cell r="A263" t="str">
            <v>SAA 3948</v>
          </cell>
          <cell r="B263" t="str">
            <v>Esmalte Horneable Acrílico Beige</v>
          </cell>
          <cell r="C263" t="str">
            <v>Interior-Exterior Limitada</v>
          </cell>
          <cell r="D263" t="str">
            <v>Hierro</v>
          </cell>
          <cell r="E263" t="str">
            <v>Lavado, Desengrase y Fosfatizado</v>
          </cell>
          <cell r="F263" t="str">
            <v>E68WSA4 Acrylic Monobake White Primer</v>
          </cell>
          <cell r="G263" t="str">
            <v>10.06 Lbs/Gl</v>
          </cell>
          <cell r="H263" t="str">
            <v>29.75%</v>
          </cell>
          <cell r="I263" t="str">
            <v>54.86%</v>
          </cell>
          <cell r="J263" t="str">
            <v>38.54%</v>
          </cell>
          <cell r="K263" t="str">
            <v>25.50%</v>
          </cell>
          <cell r="L263" t="str">
            <v>35.50%</v>
          </cell>
          <cell r="M263" t="str">
            <v>100"-110" Copa Zanh #2</v>
          </cell>
          <cell r="N263" t="str">
            <v>Pistola</v>
          </cell>
          <cell r="O263" t="str">
            <v>25"-30" Copa Zanh #2</v>
          </cell>
          <cell r="P263" t="str">
            <v>20-25%</v>
          </cell>
          <cell r="Q263" t="str">
            <v>R2K4         Industrial reducer</v>
          </cell>
          <cell r="R263" t="str">
            <v>1.0-1.2 mills</v>
          </cell>
          <cell r="S263" t="str">
            <v>Al Horno</v>
          </cell>
          <cell r="T263" t="str">
            <v>15' a 350-400°F</v>
          </cell>
          <cell r="U263" t="str">
            <v>878 Pies Cuadrados/Gl a 1 mills de espesor</v>
          </cell>
          <cell r="V263" t="str">
            <v>+85</v>
          </cell>
          <cell r="W263" t="str">
            <v>2H-3H</v>
          </cell>
          <cell r="X263" t="str">
            <v>6-12 meses</v>
          </cell>
          <cell r="Y263" t="str">
            <v>TAPPAN-GUATEMALA</v>
          </cell>
          <cell r="Z263" t="str">
            <v>Cocinas</v>
          </cell>
          <cell r="AA263" t="str">
            <v>-</v>
          </cell>
          <cell r="AB263" t="str">
            <v>Luis Nolasco</v>
          </cell>
          <cell r="AC263">
            <v>34236</v>
          </cell>
        </row>
        <row r="264">
          <cell r="A264" t="str">
            <v>SAA 3952</v>
          </cell>
          <cell r="B264" t="str">
            <v>Esmalte Horneable Acrílico Blanco TAPPAN</v>
          </cell>
          <cell r="C264" t="str">
            <v>Interior-Exterior Limitada</v>
          </cell>
          <cell r="D264" t="str">
            <v>Hierro</v>
          </cell>
          <cell r="E264" t="str">
            <v>Lavado, Desengrase y Fosfatizado</v>
          </cell>
          <cell r="F264" t="str">
            <v>E68WSA4 Acrylic Monobake White Primer</v>
          </cell>
          <cell r="G264" t="str">
            <v>10.06 Lbs/Gl</v>
          </cell>
          <cell r="H264" t="str">
            <v>29.75%</v>
          </cell>
          <cell r="I264" t="str">
            <v>54.86%</v>
          </cell>
          <cell r="J264" t="str">
            <v>38.54%</v>
          </cell>
          <cell r="K264" t="str">
            <v>25.50%</v>
          </cell>
          <cell r="L264" t="str">
            <v>35.50%</v>
          </cell>
          <cell r="M264" t="str">
            <v>100"-110" Copa Zanh #2</v>
          </cell>
          <cell r="N264" t="str">
            <v>Pistola</v>
          </cell>
          <cell r="O264" t="str">
            <v>25"-30" Copa Zanh #2</v>
          </cell>
          <cell r="P264" t="str">
            <v>20-25%</v>
          </cell>
          <cell r="Q264" t="str">
            <v>R2K4         Industrial reducer</v>
          </cell>
          <cell r="R264" t="str">
            <v>1.0-1.2 mills</v>
          </cell>
          <cell r="S264" t="str">
            <v>Al Horno</v>
          </cell>
          <cell r="T264" t="str">
            <v>15' a 350-400°F</v>
          </cell>
          <cell r="U264" t="str">
            <v>878 Pies Cuadrados/Gl a 1 mills de espesor</v>
          </cell>
          <cell r="V264" t="str">
            <v>+85</v>
          </cell>
          <cell r="W264" t="str">
            <v>2H-3H</v>
          </cell>
          <cell r="X264" t="str">
            <v>6-12 meses</v>
          </cell>
          <cell r="Y264" t="str">
            <v>TAPPAN-GUATEMALA</v>
          </cell>
          <cell r="Z264" t="str">
            <v>Cocinas</v>
          </cell>
          <cell r="AA264" t="str">
            <v>-</v>
          </cell>
          <cell r="AB264" t="str">
            <v>Luis Nolasco</v>
          </cell>
          <cell r="AC264">
            <v>34249</v>
          </cell>
        </row>
        <row r="265">
          <cell r="A265" t="str">
            <v>SAA 3960</v>
          </cell>
          <cell r="B265" t="str">
            <v>Laca Industrial Naranja Boira</v>
          </cell>
          <cell r="C265" t="str">
            <v>Interior</v>
          </cell>
          <cell r="D265" t="str">
            <v>Hierro</v>
          </cell>
          <cell r="E265" t="str">
            <v>Limpia con Solvente Kreel Clean</v>
          </cell>
          <cell r="F265" t="str">
            <v>Ninguno</v>
          </cell>
          <cell r="G265" t="str">
            <v>7.41 Lbs/Gl</v>
          </cell>
          <cell r="H265" t="str">
            <v>5.21%</v>
          </cell>
          <cell r="I265" t="str">
            <v>38.6%</v>
          </cell>
          <cell r="J265" t="str">
            <v>33.39%</v>
          </cell>
          <cell r="K265" t="str">
            <v>4.60%</v>
          </cell>
          <cell r="L265" t="str">
            <v>28.85%</v>
          </cell>
          <cell r="M265" t="str">
            <v>30"-40" SW #5</v>
          </cell>
          <cell r="N265" t="str">
            <v>Inmersión</v>
          </cell>
          <cell r="O265" t="str">
            <v>18"-20" Copa Ford #4</v>
          </cell>
          <cell r="P265" t="str">
            <v>100-150%</v>
          </cell>
          <cell r="Q265" t="str">
            <v>R7K128</v>
          </cell>
          <cell r="R265" t="str">
            <v>1 mills</v>
          </cell>
          <cell r="S265" t="str">
            <v>Al Aire</v>
          </cell>
          <cell r="T265" t="str">
            <v>-</v>
          </cell>
          <cell r="U265" t="str">
            <v>461 Pies Cuadrados/Gl</v>
          </cell>
          <cell r="V265" t="str">
            <v>+80</v>
          </cell>
          <cell r="W265" t="str">
            <v>2B</v>
          </cell>
          <cell r="X265" t="str">
            <v>6-12 meses</v>
          </cell>
          <cell r="Y265" t="str">
            <v>BOIRA</v>
          </cell>
          <cell r="Z265" t="str">
            <v>Sierras Metálicas</v>
          </cell>
          <cell r="AA265" t="str">
            <v>-</v>
          </cell>
          <cell r="AB265" t="str">
            <v>Rene Ferrufino</v>
          </cell>
          <cell r="AC265">
            <v>34257</v>
          </cell>
        </row>
        <row r="266">
          <cell r="A266" t="str">
            <v>SAA 3963</v>
          </cell>
          <cell r="B266" t="str">
            <v>Esmalte Horneable Alquidico Blanco IMSA</v>
          </cell>
          <cell r="C266" t="str">
            <v>Interior-Exterior</v>
          </cell>
          <cell r="D266" t="str">
            <v>Hierro</v>
          </cell>
          <cell r="E266" t="str">
            <v>Limpio con R2K4 Industrial Reducer</v>
          </cell>
          <cell r="F266" t="str">
            <v>Ninguno</v>
          </cell>
          <cell r="G266" t="str">
            <v>10.39 Lbs/Gl</v>
          </cell>
          <cell r="H266" t="str">
            <v>28.57%</v>
          </cell>
          <cell r="I266" t="str">
            <v>64.88%</v>
          </cell>
          <cell r="J266" t="str">
            <v>50.83%</v>
          </cell>
          <cell r="K266" t="str">
            <v>18.89%</v>
          </cell>
          <cell r="L266" t="str">
            <v>47.43%</v>
          </cell>
          <cell r="M266" t="str">
            <v>100"-110" Copa Zanh #2</v>
          </cell>
          <cell r="N266" t="str">
            <v>Pistola</v>
          </cell>
          <cell r="O266" t="str">
            <v>25"-30" Copa Zanh #2</v>
          </cell>
          <cell r="P266" t="str">
            <v>20-25%</v>
          </cell>
          <cell r="Q266" t="str">
            <v>R2K4         Industrial reducer</v>
          </cell>
          <cell r="R266" t="str">
            <v>1.0-1.2 mills</v>
          </cell>
          <cell r="S266" t="str">
            <v>Al Horno</v>
          </cell>
          <cell r="T266" t="str">
            <v>15' a 300°F</v>
          </cell>
          <cell r="U266" t="str">
            <v>1,038.08 Pies Cuadrados/Gl a 1 mills de espesor</v>
          </cell>
          <cell r="V266" t="str">
            <v>+85</v>
          </cell>
          <cell r="W266" t="str">
            <v>H</v>
          </cell>
          <cell r="X266" t="str">
            <v>6-12 meses</v>
          </cell>
          <cell r="Y266" t="str">
            <v>Industrias Metálicas S.A</v>
          </cell>
          <cell r="Z266" t="str">
            <v>Muebles Metálicos</v>
          </cell>
          <cell r="AA266" t="str">
            <v>-</v>
          </cell>
          <cell r="AB266" t="str">
            <v>Luis Nolasco</v>
          </cell>
          <cell r="AC266">
            <v>34260</v>
          </cell>
        </row>
        <row r="267">
          <cell r="A267" t="str">
            <v>SAA 3965</v>
          </cell>
          <cell r="B267" t="str">
            <v>Esmalte Horneable Alquidico Café Metálico IMSA</v>
          </cell>
          <cell r="C267" t="str">
            <v>Interior-Exterior</v>
          </cell>
          <cell r="D267" t="str">
            <v>Hierro</v>
          </cell>
          <cell r="E267" t="str">
            <v>Limpio con R2K4 Industrial Reducer</v>
          </cell>
          <cell r="F267" t="str">
            <v>Ninguno</v>
          </cell>
          <cell r="G267" t="str">
            <v>8.48 Lbs/Gl</v>
          </cell>
          <cell r="H267" t="str">
            <v>9.74%</v>
          </cell>
          <cell r="I267" t="str">
            <v>48.31%</v>
          </cell>
          <cell r="J267" t="str">
            <v>42.73%</v>
          </cell>
          <cell r="K267" t="str">
            <v>10.75%</v>
          </cell>
          <cell r="L267" t="str">
            <v>37.22%</v>
          </cell>
          <cell r="M267" t="str">
            <v>100"-110" Copa Zanh #2</v>
          </cell>
          <cell r="N267" t="str">
            <v>Pistola</v>
          </cell>
          <cell r="O267" t="str">
            <v>25"-30" Copa Zanh #2</v>
          </cell>
          <cell r="P267" t="str">
            <v>20-25%</v>
          </cell>
          <cell r="Q267" t="str">
            <v>R2K4         Industrial reducer</v>
          </cell>
          <cell r="R267" t="str">
            <v>1.0-1.2 mills</v>
          </cell>
          <cell r="S267" t="str">
            <v>Al Horno</v>
          </cell>
          <cell r="T267" t="str">
            <v>15' a 300°F</v>
          </cell>
          <cell r="U267" t="str">
            <v>772.96 Pies Cuadrados/Gl a 1 mills de espesor</v>
          </cell>
          <cell r="V267" t="str">
            <v>14-16</v>
          </cell>
          <cell r="W267" t="str">
            <v>H</v>
          </cell>
          <cell r="X267" t="str">
            <v>6-12 meses</v>
          </cell>
          <cell r="Y267" t="str">
            <v>Industrias Metálicas S.A</v>
          </cell>
          <cell r="Z267" t="str">
            <v>Muebles Metálicos</v>
          </cell>
          <cell r="AA267" t="str">
            <v>-</v>
          </cell>
          <cell r="AB267" t="str">
            <v>Luis Nolasco</v>
          </cell>
          <cell r="AC267">
            <v>34270</v>
          </cell>
        </row>
        <row r="268">
          <cell r="A268" t="str">
            <v>SAA 3966</v>
          </cell>
          <cell r="B268" t="str">
            <v>Esmalte Horneable Alquidico Azul Metálico Martillado</v>
          </cell>
          <cell r="C268" t="str">
            <v>Interior-Exterior</v>
          </cell>
          <cell r="D268" t="str">
            <v>Hierro</v>
          </cell>
          <cell r="E268" t="str">
            <v>Limpio con R2K4 Industrial Reducer</v>
          </cell>
          <cell r="F268" t="str">
            <v>Ninguno</v>
          </cell>
          <cell r="G268" t="str">
            <v>8.06 Lbs/Gl</v>
          </cell>
          <cell r="H268" t="str">
            <v>2.86%</v>
          </cell>
          <cell r="I268" t="str">
            <v>43.36%</v>
          </cell>
          <cell r="J268" t="str">
            <v>41.69%</v>
          </cell>
          <cell r="K268" t="str">
            <v>3.93%</v>
          </cell>
          <cell r="L268" t="str">
            <v>34.60%</v>
          </cell>
          <cell r="M268" t="str">
            <v>60"-70" Copa Zanh #2</v>
          </cell>
          <cell r="N268" t="str">
            <v>Pistola</v>
          </cell>
          <cell r="O268" t="str">
            <v>60"-70" Copa Zanh #2</v>
          </cell>
          <cell r="P268" t="str">
            <v>Listo Para Usar</v>
          </cell>
          <cell r="Q268" t="str">
            <v>Lo necesario con R2K4         Industrial reducer</v>
          </cell>
          <cell r="R268" t="str">
            <v>1.2-1.4 mills</v>
          </cell>
          <cell r="S268" t="str">
            <v>Al Horno</v>
          </cell>
          <cell r="T268" t="str">
            <v>15' a 300°F</v>
          </cell>
          <cell r="U268" t="str">
            <v>693.76 Pies Cuadrados/Gl a 1 mills de espesor</v>
          </cell>
          <cell r="V268" t="str">
            <v>80-85</v>
          </cell>
          <cell r="W268" t="str">
            <v>H</v>
          </cell>
          <cell r="X268" t="str">
            <v>6-12 meses</v>
          </cell>
          <cell r="Y268" t="str">
            <v>Leon Quam</v>
          </cell>
          <cell r="Z268" t="str">
            <v>Cocinas Metálicas</v>
          </cell>
          <cell r="AA268" t="str">
            <v>-</v>
          </cell>
          <cell r="AB268" t="str">
            <v>Luis Nolasco</v>
          </cell>
          <cell r="AC268">
            <v>34277</v>
          </cell>
        </row>
        <row r="269">
          <cell r="A269" t="str">
            <v>SAA 3967</v>
          </cell>
          <cell r="B269" t="str">
            <v>Laca Azul Especial Para Cuero</v>
          </cell>
          <cell r="C269" t="str">
            <v>Interior</v>
          </cell>
          <cell r="D269" t="str">
            <v>Cuero-Plastico</v>
          </cell>
          <cell r="E269" t="str">
            <v>Limpio con Solvente</v>
          </cell>
          <cell r="F269" t="str">
            <v>Ninguno</v>
          </cell>
          <cell r="G269" t="str">
            <v>7.60 Lbs/Gl</v>
          </cell>
          <cell r="H269" t="str">
            <v>-</v>
          </cell>
          <cell r="I269" t="str">
            <v>30.21%</v>
          </cell>
          <cell r="J269" t="str">
            <v>-</v>
          </cell>
          <cell r="K269" t="str">
            <v>-</v>
          </cell>
          <cell r="L269" t="str">
            <v>23.30%</v>
          </cell>
          <cell r="M269" t="str">
            <v>25"-30" Copa SW #5</v>
          </cell>
          <cell r="N269" t="str">
            <v>Pistola</v>
          </cell>
          <cell r="O269" t="str">
            <v>18"-20" Copa Zanh #2</v>
          </cell>
          <cell r="P269" t="str">
            <v>100-150%</v>
          </cell>
          <cell r="Q269" t="str">
            <v>R7K128</v>
          </cell>
          <cell r="R269" t="str">
            <v>1.0-1.2 mills</v>
          </cell>
          <cell r="S269" t="str">
            <v>Al Aire</v>
          </cell>
          <cell r="T269" t="str">
            <v>-</v>
          </cell>
          <cell r="U269" t="str">
            <v>483.36 Pies Cuadrados/Gl a 1 mills de espesor</v>
          </cell>
          <cell r="V269" t="str">
            <v>+85</v>
          </cell>
          <cell r="W269" t="str">
            <v xml:space="preserve">B </v>
          </cell>
          <cell r="X269" t="str">
            <v>6-12 meses</v>
          </cell>
          <cell r="Y269" t="str">
            <v>L.F RIVERA-HONDURAS</v>
          </cell>
          <cell r="Z269" t="str">
            <v>Objetos de Cuero y Plastico</v>
          </cell>
          <cell r="AA269" t="str">
            <v>-</v>
          </cell>
          <cell r="AB269" t="str">
            <v>Luis Nolasco</v>
          </cell>
          <cell r="AC269">
            <v>34311</v>
          </cell>
        </row>
        <row r="270">
          <cell r="A270" t="str">
            <v>SAA 3974</v>
          </cell>
          <cell r="B270" t="str">
            <v>Esmalte Horneable Alquidico Café HECASA</v>
          </cell>
          <cell r="C270" t="str">
            <v>Interior-Exterior</v>
          </cell>
          <cell r="D270" t="str">
            <v>Hierro</v>
          </cell>
          <cell r="E270" t="str">
            <v>Lavado y Desengrase Químico por Inmersión</v>
          </cell>
          <cell r="F270" t="str">
            <v>E68WSA1 (Monobake Primer)</v>
          </cell>
          <cell r="G270" t="str">
            <v>8.36 Lbs/Gl</v>
          </cell>
          <cell r="H270" t="str">
            <v>7.37%</v>
          </cell>
          <cell r="I270" t="str">
            <v>47.08%</v>
          </cell>
          <cell r="J270" t="str">
            <v>42.87%</v>
          </cell>
          <cell r="K270" t="str">
            <v>2.45%</v>
          </cell>
          <cell r="L270" t="str">
            <v>35.97%</v>
          </cell>
          <cell r="M270" t="str">
            <v>100"-110" Copa Zanh #2</v>
          </cell>
          <cell r="N270" t="str">
            <v>Pistola</v>
          </cell>
          <cell r="O270" t="str">
            <v>20"-25" Copa Zanh #2</v>
          </cell>
          <cell r="P270" t="str">
            <v>20-25%</v>
          </cell>
          <cell r="Q270" t="str">
            <v>R2K4         Industrial reducer</v>
          </cell>
          <cell r="R270" t="str">
            <v>1.0-1.2 mills</v>
          </cell>
          <cell r="S270" t="str">
            <v>Al Horno</v>
          </cell>
          <cell r="T270" t="str">
            <v>15' a 300°F</v>
          </cell>
          <cell r="U270" t="str">
            <v>753.28 Pies Cuadrados/Gl a 1 mills de espesor</v>
          </cell>
          <cell r="V270" t="str">
            <v>35-40</v>
          </cell>
          <cell r="W270" t="str">
            <v>H</v>
          </cell>
          <cell r="X270" t="str">
            <v>6-12 meses</v>
          </cell>
          <cell r="Y270" t="str">
            <v>HECASA</v>
          </cell>
          <cell r="Z270" t="str">
            <v>Puertas Metálicas</v>
          </cell>
          <cell r="AA270" t="str">
            <v>-</v>
          </cell>
          <cell r="AB270" t="str">
            <v>Luis Nolasco</v>
          </cell>
          <cell r="AC270">
            <v>34386</v>
          </cell>
        </row>
        <row r="271">
          <cell r="A271" t="str">
            <v>SAA 3975</v>
          </cell>
          <cell r="B271" t="str">
            <v>Esmalte horneable Alquídico Café ALFA</v>
          </cell>
          <cell r="C271" t="str">
            <v>Interior-Exterior</v>
          </cell>
          <cell r="D271" t="str">
            <v>Hierro</v>
          </cell>
          <cell r="E271" t="str">
            <v>Limpio con R2K4 Industrial Reducer</v>
          </cell>
          <cell r="F271" t="str">
            <v>E68WSA1 (Monobake Primer)</v>
          </cell>
          <cell r="G271" t="str">
            <v>8.25 Lbs/Gl</v>
          </cell>
          <cell r="H271" t="str">
            <v>5.54%</v>
          </cell>
          <cell r="I271" t="str">
            <v>45.39%</v>
          </cell>
          <cell r="J271" t="str">
            <v>42.19%</v>
          </cell>
          <cell r="K271" t="str">
            <v>4.04%</v>
          </cell>
          <cell r="L271" t="str">
            <v>34.93%</v>
          </cell>
          <cell r="M271" t="str">
            <v>100"-110" Copa Zanh #2</v>
          </cell>
          <cell r="N271" t="str">
            <v>Pistola</v>
          </cell>
          <cell r="O271" t="str">
            <v>20"-25" Copa Zanh #2</v>
          </cell>
          <cell r="P271" t="str">
            <v>20-25%</v>
          </cell>
          <cell r="Q271" t="str">
            <v>R2K4         Industrial reducer</v>
          </cell>
          <cell r="R271" t="str">
            <v>1.0-1.2 mills</v>
          </cell>
          <cell r="S271" t="str">
            <v>Al Horno</v>
          </cell>
          <cell r="T271" t="str">
            <v>15' a 300°F</v>
          </cell>
          <cell r="U271" t="str">
            <v>726.74 Pies Cuadrados/Gl a 1 mills de espesor</v>
          </cell>
          <cell r="V271" t="str">
            <v>+85</v>
          </cell>
          <cell r="W271" t="str">
            <v>H</v>
          </cell>
          <cell r="X271" t="str">
            <v>6-12 meses</v>
          </cell>
          <cell r="Y271" t="str">
            <v>Industrias ALFA S.A</v>
          </cell>
          <cell r="Z271" t="str">
            <v>Cocinas</v>
          </cell>
          <cell r="AA271" t="str">
            <v>-</v>
          </cell>
          <cell r="AB271" t="str">
            <v>Luis Nolasco</v>
          </cell>
          <cell r="AC271">
            <v>34387</v>
          </cell>
        </row>
        <row r="272">
          <cell r="A272" t="str">
            <v>SAA 3977</v>
          </cell>
          <cell r="B272" t="str">
            <v>Esmalte Horneable Alquídico Café Oscuro Martillado</v>
          </cell>
          <cell r="C272" t="str">
            <v>Interior-Exterior</v>
          </cell>
          <cell r="D272" t="str">
            <v>Hierro</v>
          </cell>
          <cell r="E272" t="str">
            <v>Limpio con R2K4 Industrial Reducer</v>
          </cell>
          <cell r="F272" t="str">
            <v>Ninguno</v>
          </cell>
          <cell r="G272" t="str">
            <v>8.14 Lbs/Gl</v>
          </cell>
          <cell r="H272" t="str">
            <v>1.54%</v>
          </cell>
          <cell r="I272" t="str">
            <v>46.88%</v>
          </cell>
          <cell r="J272" t="str">
            <v>46.08%</v>
          </cell>
          <cell r="K272" t="str">
            <v>2.09%</v>
          </cell>
          <cell r="L272" t="str">
            <v>38.30%</v>
          </cell>
          <cell r="M272" t="str">
            <v>100"-110" Copa Zanh #2</v>
          </cell>
          <cell r="N272" t="str">
            <v>Pistola</v>
          </cell>
          <cell r="O272" t="str">
            <v>70"-80" Copa Zanh #2</v>
          </cell>
          <cell r="P272" t="str">
            <v>Lo necesario</v>
          </cell>
          <cell r="Q272" t="str">
            <v>R2K4         Industrial reducer</v>
          </cell>
          <cell r="R272" t="str">
            <v>1.0-1.2 mills</v>
          </cell>
          <cell r="S272" t="str">
            <v>Al Horno</v>
          </cell>
          <cell r="T272" t="str">
            <v>15' a 300°F</v>
          </cell>
          <cell r="U272" t="str">
            <v>750.08 Pies Cuadrados/Gl a 1 mills de espesor</v>
          </cell>
          <cell r="V272" t="str">
            <v>STD</v>
          </cell>
          <cell r="W272" t="str">
            <v>H</v>
          </cell>
          <cell r="X272" t="str">
            <v>6-12 meses</v>
          </cell>
          <cell r="Y272" t="str">
            <v>Industrias ALFA S.A</v>
          </cell>
          <cell r="Z272" t="str">
            <v>Cocinas</v>
          </cell>
          <cell r="AA272" t="str">
            <v>-</v>
          </cell>
          <cell r="AB272" t="str">
            <v>Luis Nolasco</v>
          </cell>
          <cell r="AC272">
            <v>34393</v>
          </cell>
        </row>
        <row r="273">
          <cell r="A273" t="str">
            <v>SAA 3978</v>
          </cell>
          <cell r="B273" t="str">
            <v>Esmalte Horneable Alquídico Negro Martillado</v>
          </cell>
          <cell r="C273" t="str">
            <v>Interior-Exterior</v>
          </cell>
          <cell r="D273" t="str">
            <v>Hierro</v>
          </cell>
          <cell r="E273" t="str">
            <v>Limpio con R2K4 Industrial Reducer</v>
          </cell>
          <cell r="F273" t="str">
            <v>Ninguno</v>
          </cell>
          <cell r="G273" t="str">
            <v>8.13 Lbs/Gl</v>
          </cell>
          <cell r="H273" t="str">
            <v>1.22%</v>
          </cell>
          <cell r="I273" t="str">
            <v>46.62%</v>
          </cell>
          <cell r="J273" t="str">
            <v>45.96%</v>
          </cell>
          <cell r="K273" t="str">
            <v>1.58%</v>
          </cell>
          <cell r="L273" t="str">
            <v>43.76%</v>
          </cell>
          <cell r="M273" t="str">
            <v>100"-110" Copa Zanh #2</v>
          </cell>
          <cell r="N273" t="str">
            <v>Pistola</v>
          </cell>
          <cell r="O273" t="str">
            <v>70"-80" Copa Zanh #2</v>
          </cell>
          <cell r="P273" t="str">
            <v>Lo necesario</v>
          </cell>
          <cell r="Q273" t="str">
            <v>R2K4         Industrial reducer</v>
          </cell>
          <cell r="R273" t="str">
            <v>1.0-1.2 mills</v>
          </cell>
          <cell r="S273" t="str">
            <v>Al Horno</v>
          </cell>
          <cell r="T273" t="str">
            <v>15' a 300°F</v>
          </cell>
          <cell r="U273" t="str">
            <v>745.92 Pies Cuadrados/Gl a 1 mills de espesor</v>
          </cell>
          <cell r="V273" t="str">
            <v>STD</v>
          </cell>
          <cell r="W273" t="str">
            <v>H</v>
          </cell>
          <cell r="X273" t="str">
            <v>6-12 meses</v>
          </cell>
          <cell r="Y273" t="str">
            <v>Industrias ALFA S.A</v>
          </cell>
          <cell r="Z273" t="str">
            <v>Cocinas</v>
          </cell>
          <cell r="AA273" t="str">
            <v>-</v>
          </cell>
          <cell r="AB273" t="str">
            <v>Luis Nolasco</v>
          </cell>
          <cell r="AC273">
            <v>34393</v>
          </cell>
        </row>
        <row r="274">
          <cell r="A274" t="str">
            <v>SAA 3979</v>
          </cell>
          <cell r="B274" t="str">
            <v>Esmalte horneable Alquídico Café Metálico IMSA</v>
          </cell>
          <cell r="C274" t="str">
            <v>Interior-Exterior</v>
          </cell>
          <cell r="D274" t="str">
            <v>Hierro</v>
          </cell>
          <cell r="E274" t="str">
            <v>Limpio con R2K4 Industrial Reducer</v>
          </cell>
          <cell r="F274" t="str">
            <v>Ninguno</v>
          </cell>
          <cell r="G274" t="str">
            <v>8.35 Lbs/Gl</v>
          </cell>
          <cell r="H274" t="str">
            <v>9.29%</v>
          </cell>
          <cell r="I274" t="str">
            <v>46.82%</v>
          </cell>
          <cell r="J274" t="str">
            <v>42.15%</v>
          </cell>
          <cell r="K274" t="str">
            <v>9.33%</v>
          </cell>
          <cell r="L274" t="str">
            <v>36.24%</v>
          </cell>
          <cell r="M274" t="str">
            <v>100"-110" Copa Zanh #2</v>
          </cell>
          <cell r="N274" t="str">
            <v>Pistola</v>
          </cell>
          <cell r="O274" t="str">
            <v>20"-25" Copa Zanh #2</v>
          </cell>
          <cell r="P274" t="str">
            <v>20-25%</v>
          </cell>
          <cell r="Q274" t="str">
            <v>R2K4         Industrial reducer</v>
          </cell>
          <cell r="R274" t="str">
            <v>1.0-1.2 mills</v>
          </cell>
          <cell r="S274" t="str">
            <v>Al Horno</v>
          </cell>
          <cell r="T274" t="str">
            <v>15' a 300°F</v>
          </cell>
          <cell r="U274" t="str">
            <v>749.12 Pies Cuadrados/Gl a 1 mills de espesor</v>
          </cell>
          <cell r="V274" t="str">
            <v>20-25</v>
          </cell>
          <cell r="W274" t="str">
            <v>H</v>
          </cell>
          <cell r="X274" t="str">
            <v>6-12 meses</v>
          </cell>
          <cell r="Y274" t="str">
            <v>Industrias Metálicas S.A</v>
          </cell>
          <cell r="Z274" t="str">
            <v>Muebles Metálicos</v>
          </cell>
          <cell r="AA274" t="str">
            <v>-</v>
          </cell>
          <cell r="AB274" t="str">
            <v>Luis Nolasco</v>
          </cell>
          <cell r="AC274">
            <v>34401</v>
          </cell>
        </row>
        <row r="275">
          <cell r="A275" t="str">
            <v>SAA 3987</v>
          </cell>
          <cell r="B275" t="str">
            <v>Esmalte Horneable Alquídico Amarillo Oro Semi-Brillante</v>
          </cell>
          <cell r="C275" t="str">
            <v>Interior-Exterior</v>
          </cell>
          <cell r="D275" t="str">
            <v>Zamak</v>
          </cell>
          <cell r="E275" t="str">
            <v>Desengrase y Fosfatizado</v>
          </cell>
          <cell r="F275" t="str">
            <v>P60G2 Wash Primer Green</v>
          </cell>
          <cell r="G275" t="str">
            <v>8.37 Lbs/Gl</v>
          </cell>
          <cell r="H275" t="str">
            <v>13.80%</v>
          </cell>
          <cell r="I275" t="str">
            <v>46.67%</v>
          </cell>
          <cell r="J275" t="str">
            <v>42.50%</v>
          </cell>
          <cell r="K275" t="str">
            <v>6.62%</v>
          </cell>
          <cell r="L275" t="str">
            <v>35.06%</v>
          </cell>
          <cell r="M275" t="str">
            <v>100"-110" Copa Zanh #2</v>
          </cell>
          <cell r="N275" t="str">
            <v>Pistola</v>
          </cell>
          <cell r="O275" t="str">
            <v>20"-25" Copa Zanh #2</v>
          </cell>
          <cell r="P275" t="str">
            <v>20-25%</v>
          </cell>
          <cell r="Q275" t="str">
            <v>R2K4         Industrial reducer</v>
          </cell>
          <cell r="R275" t="str">
            <v>1.0-1.2 mills</v>
          </cell>
          <cell r="S275" t="str">
            <v>Al Horno</v>
          </cell>
          <cell r="T275" t="str">
            <v>15' a 300°F</v>
          </cell>
          <cell r="U275" t="str">
            <v>746.72 Pies Cuadrados/Gl a 1 mills de espesor</v>
          </cell>
          <cell r="V275" t="str">
            <v>50</v>
          </cell>
          <cell r="W275" t="str">
            <v>H</v>
          </cell>
          <cell r="X275" t="str">
            <v>6-12 meses</v>
          </cell>
          <cell r="Y275" t="str">
            <v>Industrias Metálicas S.A</v>
          </cell>
          <cell r="Z275" t="str">
            <v>Operadores</v>
          </cell>
          <cell r="AA275" t="str">
            <v>-</v>
          </cell>
          <cell r="AB275" t="str">
            <v>Luis Nolasco</v>
          </cell>
          <cell r="AC275">
            <v>34445</v>
          </cell>
        </row>
        <row r="276">
          <cell r="A276" t="str">
            <v>SAA 3988</v>
          </cell>
          <cell r="B276" t="str">
            <v>Esmalte Horneable Alquídico Amarillo Oro Brillante</v>
          </cell>
          <cell r="C276" t="str">
            <v>Interior-Exterior</v>
          </cell>
          <cell r="D276" t="str">
            <v>Zamak</v>
          </cell>
          <cell r="E276" t="str">
            <v>Desengrase y Fosfatizado</v>
          </cell>
          <cell r="F276" t="str">
            <v>P60G2 Wash Primer Green</v>
          </cell>
          <cell r="G276" t="str">
            <v>8.30 Lbs/Gl</v>
          </cell>
          <cell r="H276" t="str">
            <v>6.11%</v>
          </cell>
          <cell r="I276" t="str">
            <v>45.86%</v>
          </cell>
          <cell r="J276" t="str">
            <v>42.34%</v>
          </cell>
          <cell r="K276" t="str">
            <v>5.13%</v>
          </cell>
          <cell r="L276" t="str">
            <v>34.15%</v>
          </cell>
          <cell r="M276" t="str">
            <v>100"-110" Copa Zanh #2</v>
          </cell>
          <cell r="N276" t="str">
            <v>Pistola</v>
          </cell>
          <cell r="O276" t="str">
            <v>20"-25" Copa Zanh #2</v>
          </cell>
          <cell r="P276" t="str">
            <v>20-25%</v>
          </cell>
          <cell r="Q276" t="str">
            <v>R2K4         Industrial reducer</v>
          </cell>
          <cell r="R276" t="str">
            <v>1.0-1.2 mills</v>
          </cell>
          <cell r="S276" t="str">
            <v>Al Horno</v>
          </cell>
          <cell r="T276" t="str">
            <v>15' a 300°F</v>
          </cell>
          <cell r="U276" t="str">
            <v>733.76 Pies Cuadrados/Gl a 1 mills de espesor</v>
          </cell>
          <cell r="V276" t="str">
            <v>+80</v>
          </cell>
          <cell r="W276" t="str">
            <v>H</v>
          </cell>
          <cell r="X276" t="str">
            <v>6-12 meses</v>
          </cell>
          <cell r="Y276" t="str">
            <v>Industrias Metálicas S.A</v>
          </cell>
          <cell r="Z276" t="str">
            <v>Operadores</v>
          </cell>
          <cell r="AA276" t="str">
            <v>-</v>
          </cell>
          <cell r="AB276" t="str">
            <v>Luis Nolasco</v>
          </cell>
          <cell r="AC276">
            <v>34445</v>
          </cell>
        </row>
        <row r="277">
          <cell r="A277" t="str">
            <v>SAA 3992</v>
          </cell>
          <cell r="B277" t="str">
            <v>Esmalte Horneable Alquídico Verde IMSA</v>
          </cell>
          <cell r="C277" t="str">
            <v>Interior-Exterior</v>
          </cell>
          <cell r="D277" t="str">
            <v>Zamak</v>
          </cell>
          <cell r="E277" t="str">
            <v>Desengrase y Fosfatizado</v>
          </cell>
          <cell r="F277" t="str">
            <v>P60G2 Wash Primer Green</v>
          </cell>
          <cell r="G277" t="str">
            <v>8.40 Lbs/Gl</v>
          </cell>
          <cell r="H277" t="str">
            <v>8.05%</v>
          </cell>
          <cell r="I277" t="str">
            <v>47.33%</v>
          </cell>
          <cell r="J277" t="str">
            <v>42.72%</v>
          </cell>
          <cell r="K277" t="str">
            <v>7.20%</v>
          </cell>
          <cell r="L277" t="str">
            <v>36.12%</v>
          </cell>
          <cell r="M277" t="str">
            <v>100"-110" Copa Zanh #2</v>
          </cell>
          <cell r="N277" t="str">
            <v>Pistola</v>
          </cell>
          <cell r="O277" t="str">
            <v>20"-25" Copa Zanh #2</v>
          </cell>
          <cell r="P277" t="str">
            <v>20-25%</v>
          </cell>
          <cell r="Q277" t="str">
            <v>R2K4         Industrial reducer</v>
          </cell>
          <cell r="R277" t="str">
            <v>1.0-1.2 mills</v>
          </cell>
          <cell r="S277" t="str">
            <v>Al Horno</v>
          </cell>
          <cell r="T277" t="str">
            <v>15' a 300°F</v>
          </cell>
          <cell r="U277" t="str">
            <v>757.28 Pies Cuadrados/Gl a 1 mills de espesor</v>
          </cell>
          <cell r="V277" t="str">
            <v>+80</v>
          </cell>
          <cell r="W277" t="str">
            <v>H</v>
          </cell>
          <cell r="X277" t="str">
            <v>6-12 meses</v>
          </cell>
          <cell r="Y277" t="str">
            <v>Industrias Metálicas S.A</v>
          </cell>
          <cell r="Z277" t="str">
            <v>Operadores</v>
          </cell>
          <cell r="AA277" t="str">
            <v>-</v>
          </cell>
          <cell r="AB277" t="str">
            <v>Luis Nolasco</v>
          </cell>
          <cell r="AC277">
            <v>34456</v>
          </cell>
        </row>
        <row r="278">
          <cell r="A278" t="str">
            <v>SAA 3999</v>
          </cell>
          <cell r="B278" t="str">
            <v>Esmalte horneable Alquídico Café Suave</v>
          </cell>
          <cell r="C278" t="str">
            <v>Interior-Exterior</v>
          </cell>
          <cell r="D278" t="str">
            <v>Hierro</v>
          </cell>
          <cell r="E278" t="str">
            <v>Limpio con Solvente</v>
          </cell>
          <cell r="F278" t="str">
            <v>Ninguno</v>
          </cell>
          <cell r="G278" t="str">
            <v>8.59 Lbs/Gl</v>
          </cell>
          <cell r="H278" t="str">
            <v>10.01%</v>
          </cell>
          <cell r="I278" t="str">
            <v>48.27%</v>
          </cell>
          <cell r="J278" t="str">
            <v>42.51%</v>
          </cell>
          <cell r="K278" t="str">
            <v>7.40%</v>
          </cell>
          <cell r="L278" t="str">
            <v>36.20%</v>
          </cell>
          <cell r="M278" t="str">
            <v>100"-110" Copa Zanh #2</v>
          </cell>
          <cell r="N278" t="str">
            <v>Pistola</v>
          </cell>
          <cell r="O278" t="str">
            <v>25"-30" Copa Zanh #2</v>
          </cell>
          <cell r="P278" t="str">
            <v>20-25%</v>
          </cell>
          <cell r="Q278" t="str">
            <v>R2K4         Industrial reducer</v>
          </cell>
          <cell r="R278" t="str">
            <v>1.0-1.2 mills</v>
          </cell>
          <cell r="S278" t="str">
            <v>Al Horno</v>
          </cell>
          <cell r="T278" t="str">
            <v>15' a 300°F</v>
          </cell>
          <cell r="U278" t="str">
            <v>772.32 Pies Cuadrados/Gl a 1 mills de espesor</v>
          </cell>
          <cell r="V278" t="str">
            <v>+80</v>
          </cell>
          <cell r="W278" t="str">
            <v>H</v>
          </cell>
          <cell r="X278" t="str">
            <v>6-12 meses</v>
          </cell>
          <cell r="Y278" t="str">
            <v>SW Costa Rica</v>
          </cell>
          <cell r="Z278" t="str">
            <v>-</v>
          </cell>
          <cell r="AA278" t="str">
            <v>-</v>
          </cell>
          <cell r="AB278" t="str">
            <v>Luis Nolasco</v>
          </cell>
          <cell r="AC278">
            <v>34477</v>
          </cell>
        </row>
        <row r="279">
          <cell r="A279" t="str">
            <v>SAA 4000</v>
          </cell>
          <cell r="B279" t="str">
            <v>Esmalte Horneable Alquídico Negro Satinado</v>
          </cell>
          <cell r="C279" t="str">
            <v>Interior-Exterior</v>
          </cell>
          <cell r="D279" t="str">
            <v>Hierro</v>
          </cell>
          <cell r="E279" t="str">
            <v>Limpio con Solvente</v>
          </cell>
          <cell r="F279" t="str">
            <v>Ninguno</v>
          </cell>
          <cell r="G279" t="str">
            <v>8.82 Lbs/Gl</v>
          </cell>
          <cell r="H279" t="str">
            <v>17.79%</v>
          </cell>
          <cell r="I279" t="str">
            <v>50.91%</v>
          </cell>
          <cell r="J279" t="str">
            <v>39.95%</v>
          </cell>
          <cell r="K279" t="str">
            <v>17.96%</v>
          </cell>
          <cell r="L279" t="str">
            <v>43.12%</v>
          </cell>
          <cell r="M279" t="str">
            <v>100"-110" Copa Zanh #2</v>
          </cell>
          <cell r="N279" t="str">
            <v>Pistola</v>
          </cell>
          <cell r="O279" t="str">
            <v>25"-30" Copa Zanh #2</v>
          </cell>
          <cell r="P279" t="str">
            <v>20-25%</v>
          </cell>
          <cell r="Q279" t="str">
            <v>R2K4         Industrial reducer</v>
          </cell>
          <cell r="R279" t="str">
            <v>1.0-1.2 mills</v>
          </cell>
          <cell r="S279" t="str">
            <v>Al Horno</v>
          </cell>
          <cell r="T279" t="str">
            <v>15' a 300°F</v>
          </cell>
          <cell r="U279" t="str">
            <v>814.56 Pies Cuadrados/Gl a 1 mills de espesor</v>
          </cell>
          <cell r="V279" t="str">
            <v>20-22</v>
          </cell>
          <cell r="W279" t="str">
            <v>H</v>
          </cell>
          <cell r="X279" t="str">
            <v>6-12 meses</v>
          </cell>
          <cell r="Y279" t="str">
            <v>SW Costa Rica</v>
          </cell>
          <cell r="Z279" t="str">
            <v>-</v>
          </cell>
          <cell r="AA279" t="str">
            <v>-</v>
          </cell>
          <cell r="AB279" t="str">
            <v>Luis Nolasco</v>
          </cell>
          <cell r="AC279">
            <v>34477</v>
          </cell>
        </row>
        <row r="280">
          <cell r="A280" t="str">
            <v>SAA 4005</v>
          </cell>
          <cell r="B280" t="str">
            <v xml:space="preserve">Esmalte horneable Alquídico Café Oscuro  </v>
          </cell>
          <cell r="C280" t="str">
            <v>Interior-Exterior</v>
          </cell>
          <cell r="D280" t="str">
            <v>Hierro</v>
          </cell>
          <cell r="E280" t="str">
            <v>Limpio con Solvente</v>
          </cell>
          <cell r="F280" t="str">
            <v>Ninguno</v>
          </cell>
          <cell r="G280" t="str">
            <v>8.29 Lbs/Gl</v>
          </cell>
          <cell r="H280" t="str">
            <v>6.12%</v>
          </cell>
          <cell r="I280" t="str">
            <v>45.77%</v>
          </cell>
          <cell r="J280" t="str">
            <v>42.24%</v>
          </cell>
          <cell r="K280" t="str">
            <v>4.53%</v>
          </cell>
          <cell r="L280" t="str">
            <v>35.11%</v>
          </cell>
          <cell r="M280" t="str">
            <v>100"-110" Copa Zanh #2</v>
          </cell>
          <cell r="N280" t="str">
            <v>Pistola</v>
          </cell>
          <cell r="O280" t="str">
            <v>25"-30" Copa Zanh #2</v>
          </cell>
          <cell r="P280" t="str">
            <v>20-25%</v>
          </cell>
          <cell r="Q280" t="str">
            <v>R2K4         Industrial reducer</v>
          </cell>
          <cell r="R280" t="str">
            <v>1.0-1.2 mills</v>
          </cell>
          <cell r="S280" t="str">
            <v>Al Horno</v>
          </cell>
          <cell r="T280" t="str">
            <v>15' a 300°F</v>
          </cell>
          <cell r="U280" t="str">
            <v>732.32 Pies Cuadrados/Gl a 1 mills de espesor</v>
          </cell>
          <cell r="V280" t="str">
            <v>+80</v>
          </cell>
          <cell r="W280" t="str">
            <v>H</v>
          </cell>
          <cell r="X280" t="str">
            <v>6-12 meses</v>
          </cell>
          <cell r="Y280" t="str">
            <v>SW Costa Rica</v>
          </cell>
          <cell r="Z280" t="str">
            <v>-</v>
          </cell>
          <cell r="AA280" t="str">
            <v>-</v>
          </cell>
          <cell r="AB280" t="str">
            <v>Luis Nolasco</v>
          </cell>
          <cell r="AC280">
            <v>34487</v>
          </cell>
        </row>
        <row r="281">
          <cell r="A281" t="str">
            <v>SAA 4006</v>
          </cell>
          <cell r="B281" t="str">
            <v>Esmalte Horneable Alquídico Naranja</v>
          </cell>
          <cell r="C281" t="str">
            <v>Interior-Exterior</v>
          </cell>
          <cell r="D281" t="str">
            <v>Hierro</v>
          </cell>
          <cell r="E281" t="str">
            <v>Limpio con Solvente</v>
          </cell>
          <cell r="F281" t="str">
            <v>Ninguno</v>
          </cell>
          <cell r="G281" t="str">
            <v>8.47 Lbs/Gl</v>
          </cell>
          <cell r="H281" t="str">
            <v>8.45%</v>
          </cell>
          <cell r="I281" t="str">
            <v>47.27%</v>
          </cell>
          <cell r="J281" t="str">
            <v>42.41%</v>
          </cell>
          <cell r="K281" t="str">
            <v>5.55%</v>
          </cell>
          <cell r="L281" t="str">
            <v>35.49%</v>
          </cell>
          <cell r="M281" t="str">
            <v>100"-110" Copa Zanh #2</v>
          </cell>
          <cell r="N281" t="str">
            <v>Pistola</v>
          </cell>
          <cell r="O281" t="str">
            <v>25"-30" Copa Zanh #2</v>
          </cell>
          <cell r="P281" t="str">
            <v>20-25%</v>
          </cell>
          <cell r="Q281" t="str">
            <v>R2K4         Industrial reducer</v>
          </cell>
          <cell r="R281" t="str">
            <v>1.0-1.2 mills</v>
          </cell>
          <cell r="S281" t="str">
            <v>Al Horno</v>
          </cell>
          <cell r="T281" t="str">
            <v>15' a 300°F</v>
          </cell>
          <cell r="U281" t="str">
            <v>756.32 Pies Cuadrados/Gl a 1 mills de espesor</v>
          </cell>
          <cell r="V281" t="str">
            <v>+80</v>
          </cell>
          <cell r="W281" t="str">
            <v>H</v>
          </cell>
          <cell r="X281" t="str">
            <v>6-12 meses</v>
          </cell>
          <cell r="Y281" t="str">
            <v>SW Costa Rica</v>
          </cell>
          <cell r="Z281" t="str">
            <v>-</v>
          </cell>
          <cell r="AA281" t="str">
            <v>-</v>
          </cell>
          <cell r="AB281" t="str">
            <v>Luis Nolasco</v>
          </cell>
          <cell r="AC281">
            <v>34487</v>
          </cell>
        </row>
        <row r="282">
          <cell r="A282" t="str">
            <v>SAA 4007</v>
          </cell>
          <cell r="B282" t="str">
            <v>Esmalte Horneable Alquídico Verde Metálico</v>
          </cell>
          <cell r="C282" t="str">
            <v>Interior-Exterior</v>
          </cell>
          <cell r="D282" t="str">
            <v>Hierro</v>
          </cell>
          <cell r="E282" t="str">
            <v>Limpio con Solvente</v>
          </cell>
          <cell r="F282" t="str">
            <v>Ninguno</v>
          </cell>
          <cell r="G282" t="str">
            <v>7.98 Lbs/Gl</v>
          </cell>
          <cell r="H282" t="str">
            <v>2.49%</v>
          </cell>
          <cell r="I282" t="str">
            <v>43.92%</v>
          </cell>
          <cell r="J282" t="str">
            <v>42.48%</v>
          </cell>
          <cell r="K282" t="str">
            <v>1.95%</v>
          </cell>
          <cell r="L282" t="str">
            <v>33.86%</v>
          </cell>
          <cell r="M282" t="str">
            <v>100"-110" Copa Zanh #2</v>
          </cell>
          <cell r="N282" t="str">
            <v>Pistola</v>
          </cell>
          <cell r="O282" t="str">
            <v>25"-30" Copa Zanh #2</v>
          </cell>
          <cell r="P282" t="str">
            <v>20-25%</v>
          </cell>
          <cell r="Q282" t="str">
            <v>R2K4         Industrial reducer</v>
          </cell>
          <cell r="R282" t="str">
            <v>1.0-1.2 mills</v>
          </cell>
          <cell r="S282" t="str">
            <v>Al Horno</v>
          </cell>
          <cell r="T282" t="str">
            <v>15' a 300°F</v>
          </cell>
          <cell r="U282" t="str">
            <v>702.72 Pies Cuadrados/Gl a 1 mills de espesor</v>
          </cell>
          <cell r="V282" t="str">
            <v>+80</v>
          </cell>
          <cell r="W282" t="str">
            <v>H</v>
          </cell>
          <cell r="X282" t="str">
            <v>6-12 meses</v>
          </cell>
          <cell r="Y282" t="str">
            <v>SW Costa Rica</v>
          </cell>
          <cell r="Z282" t="str">
            <v>-</v>
          </cell>
          <cell r="AA282" t="str">
            <v>-</v>
          </cell>
          <cell r="AB282" t="str">
            <v>Luis Nolasco</v>
          </cell>
          <cell r="AC282">
            <v>34487</v>
          </cell>
        </row>
        <row r="283">
          <cell r="A283" t="str">
            <v>SAA 4008</v>
          </cell>
          <cell r="B283" t="str">
            <v>Esmalte Horneable Alquídico Gris Oscuro</v>
          </cell>
          <cell r="C283" t="str">
            <v>Interior-Exterior</v>
          </cell>
          <cell r="D283" t="str">
            <v>Hierro</v>
          </cell>
          <cell r="E283" t="str">
            <v>Limpio con Solvente</v>
          </cell>
          <cell r="F283" t="str">
            <v>Ninguno</v>
          </cell>
          <cell r="G283" t="str">
            <v>8.43 Lbs/Gl</v>
          </cell>
          <cell r="H283" t="str">
            <v>8.25%</v>
          </cell>
          <cell r="I283" t="str">
            <v>47.26%</v>
          </cell>
          <cell r="J283" t="str">
            <v>42.58%</v>
          </cell>
          <cell r="K283" t="str">
            <v>6.45%</v>
          </cell>
          <cell r="L283" t="str">
            <v>35.83%</v>
          </cell>
          <cell r="M283" t="str">
            <v>100"-110" Copa Zanh #2</v>
          </cell>
          <cell r="N283" t="str">
            <v>Pistola</v>
          </cell>
          <cell r="O283" t="str">
            <v>25"-30" Copa Zanh #2</v>
          </cell>
          <cell r="P283" t="str">
            <v>20-25%</v>
          </cell>
          <cell r="Q283" t="str">
            <v>R2K4         Industrial reducer</v>
          </cell>
          <cell r="R283" t="str">
            <v>1.0-1.2 mills</v>
          </cell>
          <cell r="S283" t="str">
            <v>Al Horno</v>
          </cell>
          <cell r="T283" t="str">
            <v>15' a 300°F</v>
          </cell>
          <cell r="U283" t="str">
            <v>761.92 Pies Cuadrados/Gl a 1 mills de espesor</v>
          </cell>
          <cell r="V283" t="str">
            <v>+80</v>
          </cell>
          <cell r="W283" t="str">
            <v>H</v>
          </cell>
          <cell r="X283" t="str">
            <v>6-12 meses</v>
          </cell>
          <cell r="Y283" t="str">
            <v>SW Costa Rica</v>
          </cell>
          <cell r="Z283" t="str">
            <v>-</v>
          </cell>
          <cell r="AA283" t="str">
            <v>-</v>
          </cell>
          <cell r="AB283" t="str">
            <v>Luis Nolasco</v>
          </cell>
          <cell r="AC283">
            <v>34487</v>
          </cell>
        </row>
        <row r="284">
          <cell r="A284" t="str">
            <v>SAA 4009</v>
          </cell>
          <cell r="B284" t="str">
            <v xml:space="preserve">Esmalte Horneable Alquídico Azul Intenso  </v>
          </cell>
          <cell r="C284" t="str">
            <v>Interior-Exterior</v>
          </cell>
          <cell r="D284" t="str">
            <v>Hierro</v>
          </cell>
          <cell r="E284" t="str">
            <v>Limpio con Solvente</v>
          </cell>
          <cell r="F284" t="str">
            <v>Ninguno</v>
          </cell>
          <cell r="G284" t="str">
            <v>8.44 Lbs/Gl</v>
          </cell>
          <cell r="H284" t="str">
            <v>9.07%</v>
          </cell>
          <cell r="I284" t="str">
            <v>48.03%</v>
          </cell>
          <cell r="J284" t="str">
            <v>42.84%</v>
          </cell>
          <cell r="K284" t="str">
            <v>9.18%</v>
          </cell>
          <cell r="L284" t="str">
            <v>36.91%</v>
          </cell>
          <cell r="M284" t="str">
            <v>100"-110" Copa Zanh #2</v>
          </cell>
          <cell r="N284" t="str">
            <v>Pistola</v>
          </cell>
          <cell r="O284" t="str">
            <v>25"-30" Copa Zanh #2</v>
          </cell>
          <cell r="P284" t="str">
            <v>20-25%</v>
          </cell>
          <cell r="Q284" t="str">
            <v>R2K4         Industrial reducer</v>
          </cell>
          <cell r="R284" t="str">
            <v>1.0-1.2 mills</v>
          </cell>
          <cell r="S284" t="str">
            <v>Al Horno</v>
          </cell>
          <cell r="T284" t="str">
            <v>15' a 300°F</v>
          </cell>
          <cell r="U284" t="str">
            <v>768.48 Pies Cuadrados/Gl a 1 mills de espesor</v>
          </cell>
          <cell r="V284" t="str">
            <v>+80</v>
          </cell>
          <cell r="W284" t="str">
            <v>H</v>
          </cell>
          <cell r="X284" t="str">
            <v>6-12 meses</v>
          </cell>
          <cell r="Y284" t="str">
            <v>SW Costa Rica</v>
          </cell>
          <cell r="Z284" t="str">
            <v>-</v>
          </cell>
          <cell r="AA284" t="str">
            <v>-</v>
          </cell>
          <cell r="AB284" t="str">
            <v>Luis Nolasco</v>
          </cell>
          <cell r="AC284">
            <v>34498</v>
          </cell>
        </row>
        <row r="285">
          <cell r="A285" t="str">
            <v>F73BSA14</v>
          </cell>
          <cell r="B285" t="str">
            <v>Esmalte Horneable Negro Semibrillante</v>
          </cell>
          <cell r="C285" t="str">
            <v>Interior-Exterior</v>
          </cell>
          <cell r="D285" t="str">
            <v>Hierro</v>
          </cell>
          <cell r="E285" t="str">
            <v>Limpieza con R2K4, Desengrase, Fosfatizado</v>
          </cell>
          <cell r="F285" t="str">
            <v>Ninguno</v>
          </cell>
          <cell r="G285" t="str">
            <v>8.73 Lbs/Gl</v>
          </cell>
          <cell r="H285" t="str">
            <v>16.27%</v>
          </cell>
          <cell r="I285" t="str">
            <v>49.50%</v>
          </cell>
          <cell r="J285" t="str">
            <v>34.94%</v>
          </cell>
          <cell r="K285" t="str">
            <v>18.97%</v>
          </cell>
          <cell r="L285" t="str">
            <v>36.43%</v>
          </cell>
          <cell r="M285" t="str">
            <v>100"-110" Copa Zanh #2</v>
          </cell>
          <cell r="N285" t="str">
            <v>Pistola</v>
          </cell>
          <cell r="O285" t="str">
            <v>20"-25" Copa Zanh #2</v>
          </cell>
          <cell r="P285" t="str">
            <v>20-25%</v>
          </cell>
          <cell r="Q285" t="str">
            <v>R2K4         Industrial reducer</v>
          </cell>
          <cell r="R285" t="str">
            <v>1.2-1.5 mills</v>
          </cell>
          <cell r="S285" t="str">
            <v>Al Horno</v>
          </cell>
          <cell r="T285" t="str">
            <v>15' a 300°F</v>
          </cell>
          <cell r="U285" t="str">
            <v>792 Pies Cuadrados/Gl a 1 mills de espesor</v>
          </cell>
          <cell r="V285" t="str">
            <v>40-45</v>
          </cell>
          <cell r="W285" t="str">
            <v>H</v>
          </cell>
          <cell r="X285" t="str">
            <v>6-12 meses</v>
          </cell>
          <cell r="Y285" t="str">
            <v>IMSA</v>
          </cell>
          <cell r="Z285" t="str">
            <v>Muebles Metálicos</v>
          </cell>
          <cell r="AA285" t="str">
            <v>-</v>
          </cell>
          <cell r="AB285" t="str">
            <v>Luis Nolasco</v>
          </cell>
          <cell r="AC285">
            <v>34773</v>
          </cell>
        </row>
        <row r="286">
          <cell r="A286" t="str">
            <v>SAA 4596</v>
          </cell>
          <cell r="B286" t="str">
            <v>Esmalte Horneable Alquidico Económico Beige</v>
          </cell>
          <cell r="C286" t="str">
            <v>Interior-Exterior</v>
          </cell>
          <cell r="D286" t="str">
            <v>Hierro</v>
          </cell>
          <cell r="E286" t="str">
            <v>Limpieza y Desengrase</v>
          </cell>
          <cell r="F286" t="str">
            <v>Ninguno</v>
          </cell>
          <cell r="G286" t="str">
            <v>8.12 Lbs/Gl</v>
          </cell>
          <cell r="H286" t="str">
            <v>10.95%</v>
          </cell>
          <cell r="I286" t="str">
            <v>47.43%</v>
          </cell>
          <cell r="J286" t="str">
            <v>41.52%</v>
          </cell>
          <cell r="K286" t="str">
            <v>7.52%</v>
          </cell>
          <cell r="L286" t="str">
            <v>35.36%</v>
          </cell>
          <cell r="M286" t="str">
            <v>50"-60" Copa Zanh #2</v>
          </cell>
          <cell r="N286" t="str">
            <v>Pistola</v>
          </cell>
          <cell r="O286" t="str">
            <v>16"-18" Copa Zanh #2</v>
          </cell>
          <cell r="P286" t="str">
            <v>10-15%</v>
          </cell>
          <cell r="Q286" t="str">
            <v>R2K4         Industrial reducer</v>
          </cell>
          <cell r="R286" t="str">
            <v>1 mills</v>
          </cell>
          <cell r="S286" t="str">
            <v>Al Horno</v>
          </cell>
          <cell r="T286" t="str">
            <v>15' a 300°F</v>
          </cell>
          <cell r="U286" t="str">
            <v>758.88 Pies Cuadrados/Gl a 1 mills de espesor</v>
          </cell>
          <cell r="V286" t="str">
            <v>+85</v>
          </cell>
          <cell r="W286" t="str">
            <v>H</v>
          </cell>
          <cell r="X286" t="str">
            <v>6-12 meses</v>
          </cell>
          <cell r="Y286" t="str">
            <v>SW Costa Rica</v>
          </cell>
          <cell r="Z286" t="str">
            <v>-</v>
          </cell>
          <cell r="AA286" t="str">
            <v>-</v>
          </cell>
          <cell r="AB286" t="str">
            <v>Luis Nolasco</v>
          </cell>
          <cell r="AC286">
            <v>35828</v>
          </cell>
        </row>
        <row r="287">
          <cell r="A287" t="str">
            <v>SAA 4597</v>
          </cell>
          <cell r="B287" t="str">
            <v>Esmalte Horneable Alquidico Económico Gris Oscuro</v>
          </cell>
          <cell r="C287" t="str">
            <v>Interior-Exterior</v>
          </cell>
          <cell r="D287" t="str">
            <v>Hierro</v>
          </cell>
          <cell r="E287" t="str">
            <v>Limpieza y Desengrase</v>
          </cell>
          <cell r="F287" t="str">
            <v>Ninguno</v>
          </cell>
          <cell r="G287" t="str">
            <v>8.0 Lbs/Gl</v>
          </cell>
          <cell r="H287" t="str">
            <v>9.32%</v>
          </cell>
          <cell r="I287" t="str">
            <v>46.87%</v>
          </cell>
          <cell r="J287" t="str">
            <v>41.42%</v>
          </cell>
          <cell r="K287" t="str">
            <v>6.68%</v>
          </cell>
          <cell r="L287" t="str">
            <v>35.04%</v>
          </cell>
          <cell r="M287" t="str">
            <v>50"-60" Copa Zanh #2</v>
          </cell>
          <cell r="N287" t="str">
            <v>Pistola</v>
          </cell>
          <cell r="O287" t="str">
            <v>16"-18" Copa Zanh #2</v>
          </cell>
          <cell r="P287" t="str">
            <v>10-15%</v>
          </cell>
          <cell r="Q287" t="str">
            <v>R2K4         Industrial reducer</v>
          </cell>
          <cell r="R287" t="str">
            <v>1 mills</v>
          </cell>
          <cell r="S287" t="str">
            <v>Al Horno</v>
          </cell>
          <cell r="T287" t="str">
            <v>15' a 300°F</v>
          </cell>
          <cell r="U287" t="str">
            <v>749.92 Pies Cuadrados/Gl a 1 mills de espesor</v>
          </cell>
          <cell r="V287" t="str">
            <v>+85</v>
          </cell>
          <cell r="W287" t="str">
            <v>H</v>
          </cell>
          <cell r="X287" t="str">
            <v>6-12 meses</v>
          </cell>
          <cell r="Y287" t="str">
            <v>SW Costa Rica</v>
          </cell>
          <cell r="Z287" t="str">
            <v>-</v>
          </cell>
          <cell r="AA287" t="str">
            <v>-</v>
          </cell>
          <cell r="AB287" t="str">
            <v>Luis Nolasco</v>
          </cell>
          <cell r="AC287">
            <v>35828</v>
          </cell>
        </row>
        <row r="288">
          <cell r="A288" t="str">
            <v>SAA 4599</v>
          </cell>
          <cell r="B288" t="str">
            <v>Oil Stain Café Oscuro</v>
          </cell>
          <cell r="C288" t="str">
            <v>Interior</v>
          </cell>
          <cell r="D288" t="str">
            <v>Madera</v>
          </cell>
          <cell r="E288" t="str">
            <v>Lijada</v>
          </cell>
          <cell r="F288" t="str">
            <v>Ninguno</v>
          </cell>
          <cell r="G288" t="str">
            <v>7.27 Lbs/Gl</v>
          </cell>
          <cell r="H288" t="str">
            <v>6.99%</v>
          </cell>
          <cell r="I288" t="str">
            <v>24.48%</v>
          </cell>
          <cell r="J288" t="str">
            <v>18.81%</v>
          </cell>
          <cell r="K288" t="str">
            <v>10%</v>
          </cell>
          <cell r="L288" t="str">
            <v>16.20%</v>
          </cell>
          <cell r="M288" t="str">
            <v>9"-11" Copa Ford #4</v>
          </cell>
          <cell r="N288" t="str">
            <v>Brocha-Chupón</v>
          </cell>
          <cell r="O288" t="str">
            <v>9"-11" Copa Ford #4</v>
          </cell>
          <cell r="P288" t="str">
            <v>-</v>
          </cell>
          <cell r="Q288" t="str">
            <v>-</v>
          </cell>
          <cell r="R288" t="str">
            <v>-</v>
          </cell>
          <cell r="S288" t="str">
            <v>Al Aire</v>
          </cell>
          <cell r="T288" t="str">
            <v>-</v>
          </cell>
          <cell r="U288" t="str">
            <v>391.68 Pies Cuadrados/Gl a 1 mills de espesor</v>
          </cell>
          <cell r="V288" t="str">
            <v>-</v>
          </cell>
          <cell r="W288" t="str">
            <v>-</v>
          </cell>
          <cell r="X288" t="str">
            <v>6-12 meses</v>
          </cell>
          <cell r="Y288" t="str">
            <v>MADECORT(El Salvador)    SW Nicaragua.</v>
          </cell>
          <cell r="Z288" t="str">
            <v>Muebles de Madera.</v>
          </cell>
          <cell r="AA288" t="str">
            <v>-</v>
          </cell>
          <cell r="AB288" t="str">
            <v>Luis Nolasco</v>
          </cell>
          <cell r="AC288">
            <v>35830</v>
          </cell>
        </row>
        <row r="289">
          <cell r="A289" t="str">
            <v>SAA 4600</v>
          </cell>
          <cell r="B289" t="str">
            <v>Oil Stain Café Oscuro</v>
          </cell>
          <cell r="C289" t="str">
            <v>Interior</v>
          </cell>
          <cell r="D289" t="str">
            <v>Madera</v>
          </cell>
          <cell r="E289" t="str">
            <v>Lijada</v>
          </cell>
          <cell r="F289" t="str">
            <v>Ninguno</v>
          </cell>
          <cell r="G289" t="str">
            <v>7.33 Lbs/Gl</v>
          </cell>
          <cell r="H289" t="str">
            <v>8.29%</v>
          </cell>
          <cell r="I289" t="str">
            <v>25.64%</v>
          </cell>
          <cell r="J289" t="str">
            <v>18.98%</v>
          </cell>
          <cell r="K289" t="str">
            <v>12.90%</v>
          </cell>
          <cell r="L289" t="str">
            <v>16.74%</v>
          </cell>
          <cell r="M289" t="str">
            <v>9"-11" Copa Ford #4</v>
          </cell>
          <cell r="N289" t="str">
            <v>Brocha-Chupón</v>
          </cell>
          <cell r="O289" t="str">
            <v>9"-11" Copa Ford #4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Al Aire</v>
          </cell>
          <cell r="T289" t="str">
            <v>-</v>
          </cell>
          <cell r="U289" t="str">
            <v>410.24 Pies Cuadrados/Gl a 1 mills de espesor</v>
          </cell>
          <cell r="V289" t="str">
            <v>-</v>
          </cell>
          <cell r="W289" t="str">
            <v>-</v>
          </cell>
          <cell r="X289" t="str">
            <v>6-12 meses</v>
          </cell>
          <cell r="Y289" t="str">
            <v>MADECORT</v>
          </cell>
          <cell r="Z289" t="str">
            <v>Muebles de Madera.</v>
          </cell>
          <cell r="AA289" t="str">
            <v>-</v>
          </cell>
          <cell r="AB289" t="str">
            <v>Luis Nolasco</v>
          </cell>
          <cell r="AC289">
            <v>35830</v>
          </cell>
        </row>
        <row r="290">
          <cell r="A290" t="str">
            <v>SAA 4601</v>
          </cell>
          <cell r="B290" t="str">
            <v>Primer Poliuretano Blanco Para Madera</v>
          </cell>
          <cell r="C290" t="str">
            <v>Interior</v>
          </cell>
          <cell r="D290" t="str">
            <v>Madera</v>
          </cell>
          <cell r="E290" t="str">
            <v>Lijada, Limpia y Seca</v>
          </cell>
          <cell r="F290" t="str">
            <v>-</v>
          </cell>
          <cell r="G290" t="str">
            <v>8.40 Lbs/Gl</v>
          </cell>
          <cell r="H290" t="str">
            <v>14.81%</v>
          </cell>
          <cell r="I290" t="str">
            <v>34.32%</v>
          </cell>
          <cell r="J290" t="str">
            <v>22.90%</v>
          </cell>
          <cell r="K290" t="str">
            <v>22.54%</v>
          </cell>
          <cell r="L290" t="str">
            <v>27.51%</v>
          </cell>
          <cell r="M290" t="str">
            <v>50"-55" Copa Ford #4</v>
          </cell>
          <cell r="N290" t="str">
            <v>Pistola</v>
          </cell>
          <cell r="O290" t="str">
            <v>18"-20" Copa Ford #4</v>
          </cell>
          <cell r="P290" t="str">
            <v>25%</v>
          </cell>
          <cell r="Q290" t="str">
            <v>R7K1499 Reductor Universal Medio #3</v>
          </cell>
          <cell r="R290" t="str">
            <v>1 mills</v>
          </cell>
          <cell r="S290" t="str">
            <v>Al Aire (Catalizar con 1/16 por Galón con V6V690)</v>
          </cell>
          <cell r="T290" t="str">
            <v>-</v>
          </cell>
          <cell r="U290" t="str">
            <v>549.12 Pies Cuadrados/Gl a 1 mills de espesor</v>
          </cell>
          <cell r="V290" t="str">
            <v>-</v>
          </cell>
          <cell r="W290" t="str">
            <v>-</v>
          </cell>
          <cell r="X290" t="str">
            <v>3 Años</v>
          </cell>
          <cell r="Y290" t="str">
            <v>Varios</v>
          </cell>
          <cell r="Z290" t="str">
            <v>Muebles de Madera.</v>
          </cell>
          <cell r="AA290" t="str">
            <v>-</v>
          </cell>
          <cell r="AB290" t="str">
            <v>Luis Nolasco</v>
          </cell>
          <cell r="AC290">
            <v>35849</v>
          </cell>
        </row>
        <row r="291">
          <cell r="A291" t="str">
            <v>SAA 4602</v>
          </cell>
          <cell r="B291" t="str">
            <v>Poliuretano Blanco Para Madera</v>
          </cell>
          <cell r="C291" t="str">
            <v>Interior</v>
          </cell>
          <cell r="D291" t="str">
            <v>Madera</v>
          </cell>
          <cell r="E291" t="str">
            <v>Lijada, Limpia y Seca</v>
          </cell>
          <cell r="F291" t="str">
            <v>SAA 4601</v>
          </cell>
          <cell r="G291" t="str">
            <v>8.25 Lbs/Gl</v>
          </cell>
          <cell r="H291" t="str">
            <v>9.90%</v>
          </cell>
          <cell r="I291" t="str">
            <v>29.79%</v>
          </cell>
          <cell r="J291" t="str">
            <v>22.07%</v>
          </cell>
          <cell r="K291" t="str">
            <v>10.55%</v>
          </cell>
          <cell r="L291" t="str">
            <v>23.89%</v>
          </cell>
          <cell r="M291" t="str">
            <v>22"-26" Copa Ford #4</v>
          </cell>
          <cell r="N291" t="str">
            <v>Pistola</v>
          </cell>
          <cell r="O291" t="str">
            <v>18"-20" Copa Ford #4</v>
          </cell>
          <cell r="P291" t="str">
            <v>10%</v>
          </cell>
          <cell r="Q291" t="str">
            <v>R7K1499 Reductor Universal Medio #3</v>
          </cell>
          <cell r="R291" t="str">
            <v>1 mills</v>
          </cell>
          <cell r="S291" t="str">
            <v>Al Aire (Catalizar con 1/16 por Galón con V6V690)</v>
          </cell>
          <cell r="T291" t="str">
            <v>-</v>
          </cell>
          <cell r="U291" t="str">
            <v>476.64 Pies Cuadrados/Gl a 1 mills de espesor</v>
          </cell>
          <cell r="V291" t="str">
            <v>+80</v>
          </cell>
          <cell r="W291" t="str">
            <v>-</v>
          </cell>
          <cell r="X291" t="str">
            <v>3 Años</v>
          </cell>
          <cell r="Y291" t="str">
            <v>Varios</v>
          </cell>
          <cell r="Z291" t="str">
            <v>Muebles de Madera.</v>
          </cell>
          <cell r="AA291" t="str">
            <v>-</v>
          </cell>
          <cell r="AB291" t="str">
            <v>Luis Nolasco</v>
          </cell>
          <cell r="AC291">
            <v>35849</v>
          </cell>
        </row>
        <row r="292">
          <cell r="A292" t="str">
            <v>E60FSA1 (1)</v>
          </cell>
          <cell r="B292" t="str">
            <v>Sellador Poliuretano Para Madera</v>
          </cell>
          <cell r="C292" t="str">
            <v>Interior</v>
          </cell>
          <cell r="D292" t="str">
            <v>Madera</v>
          </cell>
          <cell r="E292" t="str">
            <v>Lijado + Tapaporo + Tintes</v>
          </cell>
          <cell r="F292" t="str">
            <v>Mismo</v>
          </cell>
          <cell r="G292" t="str">
            <v>7.73 Lbs/Gl</v>
          </cell>
          <cell r="H292" t="str">
            <v>3.23%</v>
          </cell>
          <cell r="I292" t="str">
            <v>24.4% (Catalizado 27.20%)</v>
          </cell>
          <cell r="J292" t="str">
            <v>21.17%</v>
          </cell>
          <cell r="K292" t="str">
            <v>12.85%</v>
          </cell>
          <cell r="L292" t="str">
            <v>17.88% (Catalizado 20.46)</v>
          </cell>
          <cell r="M292" t="str">
            <v>18"-20" Copa Ford #4</v>
          </cell>
          <cell r="N292" t="str">
            <v>Pistola</v>
          </cell>
          <cell r="O292" t="str">
            <v>18"-20" Copa Ford #4</v>
          </cell>
          <cell r="P292" t="str">
            <v>Ninguno</v>
          </cell>
          <cell r="Q292" t="str">
            <v>Ninguno</v>
          </cell>
          <cell r="R292" t="str">
            <v>2 mills</v>
          </cell>
          <cell r="S292" t="str">
            <v>45 Minutos</v>
          </cell>
          <cell r="T292" t="str">
            <v>Catalizado con 1/16 de V6V690</v>
          </cell>
          <cell r="U292" t="str">
            <v>13.37 Mts Cuadrados/Gl a 2 mills de Espesor</v>
          </cell>
          <cell r="V292" t="str">
            <v>20 Unidades</v>
          </cell>
          <cell r="W292" t="str">
            <v>HB</v>
          </cell>
          <cell r="X292" t="str">
            <v>3 Años</v>
          </cell>
          <cell r="Y292" t="str">
            <v>-</v>
          </cell>
          <cell r="Z292" t="str">
            <v>-</v>
          </cell>
          <cell r="AA292" t="str">
            <v>-</v>
          </cell>
          <cell r="AB292" t="str">
            <v>Anabella de Mayorga</v>
          </cell>
          <cell r="AC292">
            <v>35858</v>
          </cell>
        </row>
        <row r="293">
          <cell r="A293" t="str">
            <v>F74C51 (1)</v>
          </cell>
          <cell r="B293" t="str">
            <v>Barniz Poliuretano Brillante Para Madera</v>
          </cell>
          <cell r="C293" t="str">
            <v>Interior</v>
          </cell>
          <cell r="D293" t="str">
            <v>Madera</v>
          </cell>
          <cell r="E293" t="str">
            <v>Lijado + Tapaporo + Tintes + Sellador</v>
          </cell>
          <cell r="F293" t="str">
            <v>Sellador Poliuretano E60FSA1</v>
          </cell>
          <cell r="G293" t="str">
            <v>7.88 Lbs/Gl</v>
          </cell>
          <cell r="H293" t="str">
            <v>-</v>
          </cell>
          <cell r="I293" t="str">
            <v>21.94% (Catalizado 24.92%)</v>
          </cell>
          <cell r="J293" t="str">
            <v>21.94%</v>
          </cell>
          <cell r="K293" t="str">
            <v>-</v>
          </cell>
          <cell r="L293" t="str">
            <v>15.77% (Catalizado 18.38%)</v>
          </cell>
          <cell r="M293" t="str">
            <v>18"-20" Copa Ford #4</v>
          </cell>
          <cell r="N293" t="str">
            <v>Pistola</v>
          </cell>
          <cell r="O293" t="str">
            <v>18"-20" Copa Ford #4</v>
          </cell>
          <cell r="P293" t="str">
            <v>Ninguno</v>
          </cell>
          <cell r="Q293" t="str">
            <v>Ninguno</v>
          </cell>
          <cell r="R293" t="str">
            <v>2 mills</v>
          </cell>
          <cell r="S293" t="str">
            <v>30 Minutos Al Aire</v>
          </cell>
          <cell r="T293" t="str">
            <v>Catalizado con 1/16 de V6V690</v>
          </cell>
          <cell r="U293" t="str">
            <v>11.72 Mts Cuadrados/Gl a 2 mills de Espesor</v>
          </cell>
          <cell r="V293" t="str">
            <v>80 Unidades</v>
          </cell>
          <cell r="W293" t="str">
            <v>HB</v>
          </cell>
          <cell r="X293" t="str">
            <v>3 Años</v>
          </cell>
          <cell r="Y293" t="str">
            <v>-</v>
          </cell>
          <cell r="Z293" t="str">
            <v>-</v>
          </cell>
          <cell r="AA293" t="str">
            <v>-</v>
          </cell>
          <cell r="AB293" t="str">
            <v>Anabella de Mayorga</v>
          </cell>
          <cell r="AC293">
            <v>35858</v>
          </cell>
        </row>
        <row r="294">
          <cell r="A294" t="str">
            <v>F74FSA1 (1)</v>
          </cell>
          <cell r="B294" t="str">
            <v>Barniz Poliuretano Mate Para Madera</v>
          </cell>
          <cell r="C294" t="str">
            <v>Interior</v>
          </cell>
          <cell r="D294" t="str">
            <v>Madera</v>
          </cell>
          <cell r="E294" t="str">
            <v>Lijado + Tapaporo + Tintes + Sellador</v>
          </cell>
          <cell r="F294" t="str">
            <v>Sellador Poliuretano E60FSA1</v>
          </cell>
          <cell r="G294" t="str">
            <v>7.88 Lbs/Gl</v>
          </cell>
          <cell r="H294" t="str">
            <v>5.82%</v>
          </cell>
          <cell r="I294" t="str">
            <v>25.99% (Catalizado 28.63%)</v>
          </cell>
          <cell r="J294" t="str">
            <v>20.17%</v>
          </cell>
          <cell r="K294" t="str">
            <v>14.63%</v>
          </cell>
          <cell r="L294" t="str">
            <v>18.05% (Catalizado 20.53%)</v>
          </cell>
          <cell r="M294" t="str">
            <v>18"-20" Copa Ford #4</v>
          </cell>
          <cell r="N294" t="str">
            <v>Pistola</v>
          </cell>
          <cell r="O294" t="str">
            <v>18"-20" Copa Ford #4</v>
          </cell>
          <cell r="P294" t="str">
            <v>Ninguno</v>
          </cell>
          <cell r="Q294" t="str">
            <v>Ninguno</v>
          </cell>
          <cell r="R294" t="str">
            <v>2 mills</v>
          </cell>
          <cell r="S294" t="str">
            <v>30 Minutos Al Aire</v>
          </cell>
          <cell r="T294" t="str">
            <v>Catalizado con 1/16 de V6V690</v>
          </cell>
          <cell r="U294" t="str">
            <v>13.42 Mts Cuadrados/Gl a 2 mills de Espesor</v>
          </cell>
          <cell r="V294" t="str">
            <v>5-7 Unidades</v>
          </cell>
          <cell r="W294" t="str">
            <v>HB</v>
          </cell>
          <cell r="X294" t="str">
            <v>3 Años</v>
          </cell>
          <cell r="Y294" t="str">
            <v>-</v>
          </cell>
          <cell r="Z294" t="str">
            <v>-</v>
          </cell>
          <cell r="AA294" t="str">
            <v>-</v>
          </cell>
          <cell r="AB294" t="str">
            <v>Anabella de Mayorga</v>
          </cell>
          <cell r="AC294">
            <v>35858</v>
          </cell>
        </row>
        <row r="295">
          <cell r="A295" t="str">
            <v>F63FSA2</v>
          </cell>
          <cell r="B295" t="str">
            <v>Barniz Poliuretano Satinado</v>
          </cell>
          <cell r="C295" t="str">
            <v>Interior</v>
          </cell>
          <cell r="D295" t="str">
            <v>Madera</v>
          </cell>
          <cell r="E295" t="str">
            <v>Lijado+Tapaporo+Tinte+Primer E65</v>
          </cell>
          <cell r="F295" t="str">
            <v>Poliuretano E65FSA1</v>
          </cell>
          <cell r="G295" t="str">
            <v>7.89Lbs/Gl</v>
          </cell>
          <cell r="H295" t="str">
            <v>1.29%</v>
          </cell>
          <cell r="I295" t="str">
            <v>23.44%</v>
          </cell>
          <cell r="J295" t="str">
            <v>22.44%</v>
          </cell>
          <cell r="K295" t="str">
            <v>3.27%</v>
          </cell>
          <cell r="L295" t="str">
            <v>16.82%</v>
          </cell>
          <cell r="M295" t="str">
            <v>18"-20" Copa Ford #4</v>
          </cell>
          <cell r="N295" t="str">
            <v>Pistola</v>
          </cell>
          <cell r="O295" t="str">
            <v>18"-20" Copa Ford #4</v>
          </cell>
          <cell r="P295" t="str">
            <v>Ninguno</v>
          </cell>
          <cell r="Q295" t="str">
            <v>NINGUNO</v>
          </cell>
          <cell r="R295" t="str">
            <v>1 mills</v>
          </cell>
          <cell r="S295" t="str">
            <v>Al Aire</v>
          </cell>
          <cell r="T295" t="str">
            <v>-</v>
          </cell>
          <cell r="U295" t="str">
            <v>375.04 Pies Cuadrados/Gl a 1 mills de espesor</v>
          </cell>
          <cell r="V295" t="str">
            <v>38-42</v>
          </cell>
          <cell r="W295" t="str">
            <v>-</v>
          </cell>
          <cell r="X295" t="str">
            <v>3 Años</v>
          </cell>
          <cell r="Y295" t="str">
            <v>Muebles Capri</v>
          </cell>
          <cell r="Z295" t="str">
            <v>Muebles de Madera.</v>
          </cell>
          <cell r="AA295" t="str">
            <v>-</v>
          </cell>
          <cell r="AB295" t="str">
            <v>Luis Nolasco</v>
          </cell>
          <cell r="AC295" t="str">
            <v xml:space="preserve">´MARZO 5 DE 1998 </v>
          </cell>
        </row>
        <row r="296">
          <cell r="A296" t="str">
            <v>SAA 4612</v>
          </cell>
          <cell r="B296" t="str">
            <v>Sher Wood 500 Café Especial</v>
          </cell>
          <cell r="C296" t="str">
            <v>Interior</v>
          </cell>
          <cell r="D296" t="str">
            <v>Madera</v>
          </cell>
          <cell r="E296" t="str">
            <v>Lijada, Limpia y Seca</v>
          </cell>
          <cell r="F296" t="str">
            <v>Ninguno</v>
          </cell>
          <cell r="G296" t="str">
            <v>6.72 Lbs/Gl</v>
          </cell>
          <cell r="H296" t="str">
            <v>2.38%</v>
          </cell>
          <cell r="I296" t="str">
            <v>2.38%</v>
          </cell>
          <cell r="J296" t="str">
            <v>-</v>
          </cell>
          <cell r="K296" t="str">
            <v>1.34%</v>
          </cell>
          <cell r="L296" t="str">
            <v>1.34%</v>
          </cell>
          <cell r="M296" t="str">
            <v>-</v>
          </cell>
          <cell r="N296" t="str">
            <v>Pistola-Inmersión-Brocha-Chupón</v>
          </cell>
          <cell r="O296" t="str">
            <v>-</v>
          </cell>
          <cell r="P296" t="str">
            <v>200-1000%</v>
          </cell>
          <cell r="Q296" t="str">
            <v>R6K1 Thinner Para Tintes Al Alcohol</v>
          </cell>
          <cell r="R296" t="str">
            <v>-</v>
          </cell>
          <cell r="S296" t="str">
            <v>Al Aire</v>
          </cell>
          <cell r="T296" t="str">
            <v>-</v>
          </cell>
          <cell r="U296" t="str">
            <v>-</v>
          </cell>
          <cell r="V296" t="str">
            <v>Mate</v>
          </cell>
          <cell r="W296" t="str">
            <v>-</v>
          </cell>
          <cell r="X296" t="str">
            <v>2 años</v>
          </cell>
          <cell r="Y296" t="str">
            <v>Muebles Capri</v>
          </cell>
          <cell r="Z296" t="str">
            <v>Muebles de Madera.</v>
          </cell>
          <cell r="AA296" t="str">
            <v>-</v>
          </cell>
          <cell r="AB296" t="str">
            <v>Luis Nolasco</v>
          </cell>
          <cell r="AC296">
            <v>35859</v>
          </cell>
        </row>
        <row r="297">
          <cell r="A297" t="str">
            <v>LINEA A5 AQUALATEX</v>
          </cell>
          <cell r="B297" t="str">
            <v>Aqualatex</v>
          </cell>
          <cell r="C297" t="str">
            <v>Interior-Exterior</v>
          </cell>
          <cell r="D297" t="str">
            <v>Fibrolite, Concreto, Lámina.</v>
          </cell>
          <cell r="E297" t="str">
            <v>Limpia y Seca</v>
          </cell>
          <cell r="F297" t="str">
            <v>-</v>
          </cell>
          <cell r="G297" t="str">
            <v>10.48-10.52 Lbs/Gl</v>
          </cell>
          <cell r="H297" t="str">
            <v>29.8-30.2%</v>
          </cell>
          <cell r="I297" t="str">
            <v>55.5-55.9%</v>
          </cell>
          <cell r="J297" t="str">
            <v>47.5-47.9%</v>
          </cell>
          <cell r="K297" t="str">
            <v>25.1-25.5%</v>
          </cell>
          <cell r="L297" t="str">
            <v>47.6-50.0%</v>
          </cell>
          <cell r="M297" t="str">
            <v>92-96 KU</v>
          </cell>
          <cell r="N297" t="str">
            <v>Brocha</v>
          </cell>
          <cell r="O297" t="str">
            <v>85-90 KU</v>
          </cell>
          <cell r="P297" t="str">
            <v>10%</v>
          </cell>
          <cell r="Q297" t="str">
            <v>Agua Limpia</v>
          </cell>
          <cell r="R297" t="str">
            <v>5 mills</v>
          </cell>
          <cell r="S297" t="str">
            <v>Al Aire</v>
          </cell>
          <cell r="T297" t="str">
            <v>-</v>
          </cell>
          <cell r="U297" t="str">
            <v>13-14 Mts Cuadrados/Gl dependiendo de la porosidad de la superficie.</v>
          </cell>
          <cell r="V297" t="str">
            <v>Satinado</v>
          </cell>
          <cell r="W297" t="str">
            <v>-</v>
          </cell>
          <cell r="X297" t="str">
            <v>1-2 Años</v>
          </cell>
          <cell r="Y297" t="str">
            <v>-</v>
          </cell>
          <cell r="Z297" t="str">
            <v>-</v>
          </cell>
          <cell r="AA297" t="str">
            <v>-</v>
          </cell>
          <cell r="AB297" t="str">
            <v>Ana Irene Mendez Vides</v>
          </cell>
          <cell r="AC297" t="str">
            <v>23/5/03</v>
          </cell>
        </row>
        <row r="298">
          <cell r="A298" t="str">
            <v>Linea A21</v>
          </cell>
          <cell r="B298" t="str">
            <v>Color Accent (Bases L, W, V, M, P, R)</v>
          </cell>
          <cell r="C298" t="str">
            <v>Interior</v>
          </cell>
          <cell r="D298" t="str">
            <v>Cemento, Ladrillo, Concreto.</v>
          </cell>
          <cell r="E298" t="str">
            <v>Curada, Limpia, Seca y Libre de toda contaminación</v>
          </cell>
          <cell r="F298" t="str">
            <v>-</v>
          </cell>
          <cell r="G298" t="str">
            <v>10.37-10.41 Lbs/Gl</v>
          </cell>
          <cell r="H298" t="str">
            <v>25%</v>
          </cell>
          <cell r="I298" t="str">
            <v>42.9-43.1%</v>
          </cell>
          <cell r="J298" t="str">
            <v>75%</v>
          </cell>
          <cell r="K298" t="str">
            <v>24.27-25.1%</v>
          </cell>
          <cell r="L298" t="str">
            <v>55.9-56.1%</v>
          </cell>
          <cell r="M298" t="str">
            <v>95-105 Ku</v>
          </cell>
          <cell r="N298" t="str">
            <v>Brocha-Rodillo</v>
          </cell>
          <cell r="O298" t="str">
            <v>95-105 KU</v>
          </cell>
          <cell r="P298" t="str">
            <v>Ninguno</v>
          </cell>
          <cell r="Q298" t="str">
            <v>Agua Limpia para Lavar Equipo Utilizado.</v>
          </cell>
          <cell r="R298" t="str">
            <v>2.5 mills</v>
          </cell>
          <cell r="S298" t="str">
            <v>Al Aire. Recubrir después de 4 Horas.</v>
          </cell>
          <cell r="T298" t="str">
            <v>-</v>
          </cell>
          <cell r="U298" t="str">
            <v>29-33 Mts Cuadrados/Gl, Dependiendo de la Superficie.</v>
          </cell>
          <cell r="V298" t="str">
            <v xml:space="preserve">Mate.  </v>
          </cell>
          <cell r="W298" t="str">
            <v>-</v>
          </cell>
          <cell r="X298" t="str">
            <v>3 Años</v>
          </cell>
          <cell r="Y298" t="str">
            <v>-</v>
          </cell>
          <cell r="Z298" t="str">
            <v>-</v>
          </cell>
          <cell r="AA298" t="str">
            <v>La Base R en Látex para Interiores se Tiene en Mate y Satinada.</v>
          </cell>
          <cell r="AB298" t="str">
            <v>Ana Irene Mendez Vides</v>
          </cell>
          <cell r="AC298">
            <v>35958</v>
          </cell>
        </row>
        <row r="299">
          <cell r="A299" t="str">
            <v>Linea A36</v>
          </cell>
          <cell r="B299" t="str">
            <v>Decorator Colors (Bases L, W, V, M, P, R)</v>
          </cell>
          <cell r="C299" t="str">
            <v>Interior</v>
          </cell>
          <cell r="D299" t="str">
            <v>Concreto, Ladrillo, Hierro, Madera</v>
          </cell>
          <cell r="E299" t="str">
            <v>Completamente Libre de Grasa o Cualquier Contaminación</v>
          </cell>
          <cell r="F299" t="str">
            <v>Kromik Metal Primer, Sellador 44, Excello Látex*</v>
          </cell>
          <cell r="G299" t="str">
            <v>8.67 Lbs/Gl más o menos 0.3</v>
          </cell>
          <cell r="H299" t="str">
            <v>26%</v>
          </cell>
          <cell r="I299" t="str">
            <v>51% más o menos 1</v>
          </cell>
          <cell r="J299" t="str">
            <v>74%</v>
          </cell>
          <cell r="K299" t="str">
            <v>22% más ó menos 2</v>
          </cell>
          <cell r="L299" t="str">
            <v>34% más o menos 2</v>
          </cell>
          <cell r="M299" t="str">
            <v>72-77 KU</v>
          </cell>
          <cell r="N299" t="str">
            <v>Brocha, Rodillo, Pistola</v>
          </cell>
          <cell r="O299" t="str">
            <v>-</v>
          </cell>
          <cell r="P299" t="str">
            <v>Con Brocha y Rodillo hasta 10%, Pistola 25%</v>
          </cell>
          <cell r="Q299" t="str">
            <v>Solvente Mineral</v>
          </cell>
          <cell r="R299" t="str">
            <v>2 mills</v>
          </cell>
          <cell r="S299" t="str">
            <v>Seco Tocar: 1-2 Horas, Completo: 3-4 Horas</v>
          </cell>
          <cell r="T299" t="str">
            <v>-</v>
          </cell>
          <cell r="U299" t="str">
            <v>38 más o menos 2 Mts cuadrados/Gl dependiendo de la Superficie.</v>
          </cell>
          <cell r="V299" t="str">
            <v>Semibrillante</v>
          </cell>
          <cell r="W299" t="str">
            <v>-</v>
          </cell>
          <cell r="X299" t="str">
            <v>3 años</v>
          </cell>
          <cell r="Y299" t="str">
            <v>-</v>
          </cell>
          <cell r="Z299" t="str">
            <v>-</v>
          </cell>
          <cell r="AA299" t="str">
            <v>* El Primer Depende del sustrato que se va a Pintar</v>
          </cell>
          <cell r="AB299" t="str">
            <v>Ana Irene Mendez Vides</v>
          </cell>
          <cell r="AC299">
            <v>35958</v>
          </cell>
        </row>
        <row r="300">
          <cell r="A300" t="str">
            <v>Linea B5 COLORES TROPICALES</v>
          </cell>
          <cell r="B300" t="str">
            <v>Colores Tropicales Intensos</v>
          </cell>
          <cell r="C300" t="str">
            <v>Interior-Exterior</v>
          </cell>
          <cell r="D300" t="str">
            <v>Cemento, Ladrillo, Concreto.</v>
          </cell>
          <cell r="E300" t="str">
            <v>Curada, Limpia, Seca y Libre de toda contaminación</v>
          </cell>
          <cell r="F300" t="str">
            <v>-</v>
          </cell>
          <cell r="G300" t="str">
            <v>10.86 Lbs/Gl más o menos 0.2</v>
          </cell>
          <cell r="H300" t="str">
            <v>35%</v>
          </cell>
          <cell r="I300" t="str">
            <v>46%  más o menos 2</v>
          </cell>
          <cell r="J300" t="str">
            <v>65%</v>
          </cell>
          <cell r="K300" t="str">
            <v>54.45% más o menos 2</v>
          </cell>
          <cell r="L300" t="str">
            <v>31.76% más o menos 2</v>
          </cell>
          <cell r="M300" t="str">
            <v>90-93 KU</v>
          </cell>
          <cell r="N300" t="str">
            <v>Brocha-Rodillo</v>
          </cell>
          <cell r="O300" t="str">
            <v>90-93 KU</v>
          </cell>
          <cell r="P300" t="str">
            <v>Ninguno</v>
          </cell>
          <cell r="Q300" t="str">
            <v>Agua Limpia para Lavar Equipo Utilizado.</v>
          </cell>
          <cell r="R300" t="str">
            <v>1.5 mills Seca</v>
          </cell>
          <cell r="S300" t="str">
            <v>Al Aire. Recubrir después de 4 Horas.</v>
          </cell>
          <cell r="T300" t="str">
            <v>-</v>
          </cell>
          <cell r="U300" t="str">
            <v>30-32 Mts Cuadrados/Gl, Dependiendo de la Superficie.</v>
          </cell>
          <cell r="V300" t="str">
            <v xml:space="preserve">Mate.  </v>
          </cell>
          <cell r="W300" t="str">
            <v>-</v>
          </cell>
          <cell r="X300" t="str">
            <v>3 Años</v>
          </cell>
          <cell r="Y300" t="str">
            <v>-</v>
          </cell>
          <cell r="Z300" t="str">
            <v>-</v>
          </cell>
          <cell r="AA300" t="str">
            <v>Colores Disponibles: Azul Mariposa, Mandarina, Mora salvaje, Fucsia silvestre, Rosa Maya, Rojo Sandía, Verde Helecho, café Zapote, Amarillo Sol.</v>
          </cell>
          <cell r="AB300" t="str">
            <v>Ana Irene Mendez Vides</v>
          </cell>
          <cell r="AC300">
            <v>35958</v>
          </cell>
        </row>
        <row r="301">
          <cell r="A301" t="str">
            <v>E60FSA1 (2)</v>
          </cell>
          <cell r="B301" t="str">
            <v>Sellador Poliuretano Para Madera</v>
          </cell>
          <cell r="C301" t="str">
            <v>Interior</v>
          </cell>
          <cell r="D301" t="str">
            <v>Madera</v>
          </cell>
          <cell r="E301" t="str">
            <v>Lijado + Tapaporo + Tintes</v>
          </cell>
          <cell r="F301" t="str">
            <v>-</v>
          </cell>
          <cell r="G301" t="str">
            <v>7.72 Lbs/Gl</v>
          </cell>
          <cell r="H301" t="str">
            <v>1.29%</v>
          </cell>
          <cell r="I301" t="str">
            <v>23.90%</v>
          </cell>
          <cell r="J301" t="str">
            <v>22.60%</v>
          </cell>
          <cell r="K301" t="str">
            <v>3.72%</v>
          </cell>
          <cell r="L301" t="str">
            <v>17.75%</v>
          </cell>
          <cell r="M301" t="str">
            <v>18"-20" Copa Ford #4</v>
          </cell>
          <cell r="N301" t="str">
            <v>Pistola</v>
          </cell>
          <cell r="O301" t="str">
            <v>18"-20" Copa Ford #4</v>
          </cell>
          <cell r="P301" t="str">
            <v>Ninguno</v>
          </cell>
          <cell r="Q301" t="str">
            <v>Solo si es necesario R7K7590 Reductor Universal.</v>
          </cell>
          <cell r="R301" t="str">
            <v>1 mills</v>
          </cell>
          <cell r="S301" t="str">
            <v>Al aire</v>
          </cell>
          <cell r="T301" t="str">
            <v>Catalizado con  V6V690</v>
          </cell>
          <cell r="U301" t="str">
            <v>284.53 Pies Cuadrados/Gl a 1 mills de Película Seca</v>
          </cell>
          <cell r="V301" t="str">
            <v>Satinado</v>
          </cell>
          <cell r="W301" t="str">
            <v>-</v>
          </cell>
          <cell r="X301" t="str">
            <v>1 año</v>
          </cell>
          <cell r="Y301" t="str">
            <v>-</v>
          </cell>
          <cell r="Z301" t="str">
            <v>-</v>
          </cell>
          <cell r="AA301" t="str">
            <v>-</v>
          </cell>
          <cell r="AB301" t="str">
            <v>Oscar Enrique Ascencio.</v>
          </cell>
          <cell r="AC301">
            <v>36003</v>
          </cell>
        </row>
        <row r="302">
          <cell r="A302" t="str">
            <v>F74C51 (2)</v>
          </cell>
          <cell r="B302" t="str">
            <v>Barniz Poliuretano Brillante</v>
          </cell>
          <cell r="C302" t="str">
            <v>Interior</v>
          </cell>
          <cell r="D302" t="str">
            <v>Madera</v>
          </cell>
          <cell r="E302" t="str">
            <v>Lijado + Tapaporo + Tintes + Primer (E60FSA1)</v>
          </cell>
          <cell r="F302" t="str">
            <v>Sellador Poliuretano</v>
          </cell>
          <cell r="G302" t="str">
            <v>7.66 Lbs/Gl</v>
          </cell>
          <cell r="H302" t="str">
            <v>-</v>
          </cell>
          <cell r="I302" t="str">
            <v xml:space="preserve">21.94% </v>
          </cell>
          <cell r="J302" t="str">
            <v>21.94%</v>
          </cell>
          <cell r="K302" t="str">
            <v>-</v>
          </cell>
          <cell r="L302" t="str">
            <v>16.04%</v>
          </cell>
          <cell r="M302" t="str">
            <v>18"-20" Copa Ford #4</v>
          </cell>
          <cell r="N302" t="str">
            <v>Pistola</v>
          </cell>
          <cell r="O302" t="str">
            <v>18"-20" Copa Ford #4</v>
          </cell>
          <cell r="P302" t="str">
            <v>Ninguno</v>
          </cell>
          <cell r="Q302" t="str">
            <v>Solo si es necesario R7K7590 Reductor Universal.</v>
          </cell>
          <cell r="R302" t="str">
            <v>1 mills</v>
          </cell>
          <cell r="S302" t="str">
            <v>Al aire</v>
          </cell>
          <cell r="T302" t="str">
            <v>Catalizado con 1/16 de V6V690</v>
          </cell>
          <cell r="U302" t="str">
            <v>25.12 Pies Cuadrados/Gl a 1 mills de película seca.</v>
          </cell>
          <cell r="V302" t="str">
            <v>+80</v>
          </cell>
          <cell r="W302" t="str">
            <v>-</v>
          </cell>
          <cell r="X302" t="str">
            <v>1 Año</v>
          </cell>
          <cell r="Y302" t="str">
            <v>-</v>
          </cell>
          <cell r="Z302" t="str">
            <v>-</v>
          </cell>
          <cell r="AA302" t="str">
            <v>-</v>
          </cell>
          <cell r="AB302" t="str">
            <v>Oscar Enrique Ascencio.</v>
          </cell>
          <cell r="AC302">
            <v>36003</v>
          </cell>
        </row>
        <row r="303">
          <cell r="A303" t="str">
            <v>F74FSA1 (2)</v>
          </cell>
          <cell r="B303" t="str">
            <v>Barniz Poliuretano Mate Industrial</v>
          </cell>
          <cell r="C303" t="str">
            <v>Interior</v>
          </cell>
          <cell r="D303" t="str">
            <v>Madera</v>
          </cell>
          <cell r="E303" t="str">
            <v>Lijado+Tapaporo+Tinte+Primer (E60FSA1)</v>
          </cell>
          <cell r="F303" t="str">
            <v>E60FSA1</v>
          </cell>
          <cell r="G303" t="str">
            <v>7.85 Lbs/Gl</v>
          </cell>
          <cell r="H303" t="str">
            <v>5.22%</v>
          </cell>
          <cell r="I303" t="str">
            <v>25.96%</v>
          </cell>
          <cell r="J303" t="str">
            <v>20.73%</v>
          </cell>
          <cell r="K303" t="str">
            <v>14.63%</v>
          </cell>
          <cell r="L303" t="str">
            <v>18.04%</v>
          </cell>
          <cell r="M303" t="str">
            <v>18"-20" Copa Ford #4</v>
          </cell>
          <cell r="N303" t="str">
            <v>Pistola</v>
          </cell>
          <cell r="O303" t="str">
            <v>18"-20" Copa Ford #4</v>
          </cell>
          <cell r="P303" t="str">
            <v>Ninguno</v>
          </cell>
          <cell r="Q303" t="str">
            <v>R7K7590  si es Necesario</v>
          </cell>
          <cell r="R303" t="str">
            <v>1 mills</v>
          </cell>
          <cell r="S303" t="str">
            <v>Al Aire</v>
          </cell>
          <cell r="T303" t="str">
            <v>Catalizado con 1/16 de V6V690</v>
          </cell>
          <cell r="U303" t="str">
            <v>289.18 Pies Cuadrados/Gl a 1 mills de película seca.</v>
          </cell>
          <cell r="V303" t="str">
            <v>5-7</v>
          </cell>
          <cell r="W303" t="str">
            <v>-</v>
          </cell>
          <cell r="X303" t="str">
            <v>1 Año</v>
          </cell>
          <cell r="Y303" t="str">
            <v>-</v>
          </cell>
          <cell r="Z303" t="str">
            <v>-</v>
          </cell>
          <cell r="AA303" t="str">
            <v>-</v>
          </cell>
          <cell r="AB303" t="str">
            <v>Oscar Enrique Ascencio.</v>
          </cell>
          <cell r="AC303">
            <v>36003</v>
          </cell>
        </row>
        <row r="304">
          <cell r="A304" t="str">
            <v>F74FSA2 (1)</v>
          </cell>
          <cell r="B304" t="str">
            <v>Barniz Poliuretano Satinado Industrial</v>
          </cell>
          <cell r="C304" t="str">
            <v>Interior</v>
          </cell>
          <cell r="D304" t="str">
            <v>Madera</v>
          </cell>
          <cell r="E304" t="str">
            <v>Lijado+Tapaporo+Tinte+Primer (E60FSA1)</v>
          </cell>
          <cell r="F304" t="str">
            <v>E60FSA1</v>
          </cell>
          <cell r="G304" t="str">
            <v>7.69 Lbs/Gl</v>
          </cell>
          <cell r="H304" t="str">
            <v>1.82% p/p</v>
          </cell>
          <cell r="I304" t="str">
            <v>22.45%</v>
          </cell>
          <cell r="J304" t="str">
            <v>20.63%</v>
          </cell>
          <cell r="K304" t="str">
            <v>0.50%</v>
          </cell>
          <cell r="L304" t="str">
            <v>16.28%</v>
          </cell>
          <cell r="M304" t="str">
            <v>18"-20" Copa Ford #4</v>
          </cell>
          <cell r="N304" t="str">
            <v>Pistola</v>
          </cell>
          <cell r="O304" t="str">
            <v>18"-20" Copa Ford #4</v>
          </cell>
          <cell r="P304" t="str">
            <v>Ninguno</v>
          </cell>
          <cell r="Q304" t="str">
            <v>Solo si es necesario R7K7590 Reductor Universal.</v>
          </cell>
          <cell r="R304" t="str">
            <v>1 mills</v>
          </cell>
          <cell r="S304" t="str">
            <v>Al aire</v>
          </cell>
          <cell r="T304" t="str">
            <v>Catalizado con  V6V690</v>
          </cell>
          <cell r="U304" t="str">
            <v>260.97 Pies Cuadrados/Gl a 1 mills de película seca.</v>
          </cell>
          <cell r="V304" t="str">
            <v>27-32</v>
          </cell>
          <cell r="W304" t="str">
            <v>-</v>
          </cell>
          <cell r="X304" t="str">
            <v>1 Año</v>
          </cell>
          <cell r="Y304" t="str">
            <v>-</v>
          </cell>
          <cell r="Z304" t="str">
            <v>-</v>
          </cell>
          <cell r="AA304" t="str">
            <v>-</v>
          </cell>
          <cell r="AB304" t="str">
            <v>Oscar Enrique Ascencio.</v>
          </cell>
          <cell r="AC304">
            <v>36003</v>
          </cell>
        </row>
        <row r="305">
          <cell r="A305" t="str">
            <v>P2YCR1</v>
          </cell>
          <cell r="B305" t="str">
            <v>Primario Combo Amarillo Ocre</v>
          </cell>
          <cell r="C305" t="str">
            <v>-</v>
          </cell>
          <cell r="D305" t="str">
            <v>Acero, Hierro, Superficies adecuadamente tratadas no Galvanizadas.</v>
          </cell>
          <cell r="E305" t="str">
            <v>Lijado+Lavado con Agua y Jabón+Solvente Limpiador R7K158.</v>
          </cell>
          <cell r="F305" t="str">
            <v>-</v>
          </cell>
          <cell r="G305" t="str">
            <v>9.68 Lbs/Gl</v>
          </cell>
          <cell r="H305" t="str">
            <v>27.38%</v>
          </cell>
          <cell r="I305" t="str">
            <v>46.60%</v>
          </cell>
          <cell r="J305" t="str">
            <v>19.30%</v>
          </cell>
          <cell r="K305" t="str">
            <v>36.68%</v>
          </cell>
          <cell r="L305" t="str">
            <v>20.15%</v>
          </cell>
          <cell r="M305" t="str">
            <v>7,000-3,000 CPS Copa Brokfield</v>
          </cell>
          <cell r="N305" t="str">
            <v>Pistola</v>
          </cell>
          <cell r="O305" t="str">
            <v>16"-18" Copa Zanh #2</v>
          </cell>
          <cell r="P305" t="str">
            <v>200% con R7K128</v>
          </cell>
          <cell r="Q305" t="str">
            <v>R7K128</v>
          </cell>
          <cell r="R305" t="str">
            <v>2 mills después de Lijado.</v>
          </cell>
          <cell r="S305" t="str">
            <v>Al Aire (Ambiente)</v>
          </cell>
          <cell r="T305" t="str">
            <v>-</v>
          </cell>
          <cell r="U305" t="str">
            <v>161.50 Pies Cuadrados/Gl a 2 mills de Película Seca sin lijar.</v>
          </cell>
          <cell r="V305" t="str">
            <v>-</v>
          </cell>
          <cell r="W305" t="str">
            <v>-</v>
          </cell>
          <cell r="X305" t="str">
            <v>3 Años sin Abrir.</v>
          </cell>
          <cell r="Y305" t="str">
            <v>-</v>
          </cell>
          <cell r="Z305" t="str">
            <v>-</v>
          </cell>
          <cell r="AA305" t="str">
            <v>-</v>
          </cell>
          <cell r="AB305" t="str">
            <v>Oscar Enrique Ascencio.</v>
          </cell>
          <cell r="AC305">
            <v>36003</v>
          </cell>
        </row>
        <row r="306">
          <cell r="A306" t="str">
            <v>B51ASA1</v>
          </cell>
          <cell r="B306" t="str">
            <v>Primera Mano Para Paredes.</v>
          </cell>
          <cell r="C306" t="str">
            <v>Interior-Exterior</v>
          </cell>
          <cell r="D306" t="str">
            <v>Ladrillos Saltex, Concreto</v>
          </cell>
          <cell r="E306" t="str">
            <v>Libre de Polvo, Grasa o Cuarquier Sustancia Contaminate</v>
          </cell>
          <cell r="F306" t="str">
            <v>Ninguno</v>
          </cell>
          <cell r="G306" t="str">
            <v>11 Lbs/Gl</v>
          </cell>
          <cell r="H306" t="str">
            <v>-</v>
          </cell>
          <cell r="I306" t="str">
            <v>48.61%</v>
          </cell>
          <cell r="J306" t="str">
            <v>-</v>
          </cell>
          <cell r="K306" t="str">
            <v>-</v>
          </cell>
          <cell r="L306" t="str">
            <v>32.87%</v>
          </cell>
          <cell r="M306" t="str">
            <v>105-110 KU</v>
          </cell>
          <cell r="N306" t="str">
            <v>Brocha</v>
          </cell>
          <cell r="O306" t="str">
            <v>95-100 KU</v>
          </cell>
          <cell r="P306" t="str">
            <v>10%</v>
          </cell>
          <cell r="Q306" t="str">
            <v>Agua Limpia</v>
          </cell>
          <cell r="R306" t="str">
            <v>4 mills</v>
          </cell>
          <cell r="S306" t="str">
            <v>Al Aire</v>
          </cell>
          <cell r="T306" t="str">
            <v>-</v>
          </cell>
          <cell r="U306" t="str">
            <v>12.5 Metros Cuadrados/Gl a 4 mills seco</v>
          </cell>
          <cell r="V306" t="str">
            <v>Mate</v>
          </cell>
          <cell r="W306" t="str">
            <v>-</v>
          </cell>
          <cell r="X306" t="str">
            <v>2 años</v>
          </cell>
          <cell r="Y306" t="str">
            <v>Varios</v>
          </cell>
          <cell r="Z306" t="str">
            <v>-</v>
          </cell>
          <cell r="AA306" t="str">
            <v>-</v>
          </cell>
          <cell r="AB306" t="str">
            <v>Ana Irene Mendez Vides</v>
          </cell>
          <cell r="AC306">
            <v>36024</v>
          </cell>
        </row>
        <row r="307">
          <cell r="A307" t="str">
            <v>M91GSA1</v>
          </cell>
          <cell r="B307" t="str">
            <v>Laca Para Escobas Verde.</v>
          </cell>
          <cell r="C307" t="str">
            <v>Interior-Exterior</v>
          </cell>
          <cell r="D307" t="str">
            <v>Madera-Palos de escoba.</v>
          </cell>
          <cell r="E307" t="str">
            <v>De acuerdo al cliente</v>
          </cell>
          <cell r="F307" t="str">
            <v>Ninguno</v>
          </cell>
          <cell r="G307" t="str">
            <v>8.36 Lbs</v>
          </cell>
          <cell r="H307" t="str">
            <v>8.05%</v>
          </cell>
          <cell r="I307" t="str">
            <v>37.54%</v>
          </cell>
          <cell r="J307" t="str">
            <v>22.11%</v>
          </cell>
          <cell r="K307" t="str">
            <v>9.72%</v>
          </cell>
          <cell r="L307" t="str">
            <v>24.49%</v>
          </cell>
          <cell r="M307" t="str">
            <v>18,000 - 23,000 cps</v>
          </cell>
          <cell r="N307" t="str">
            <v>De acuerdo al cliente</v>
          </cell>
          <cell r="O307" t="str">
            <v>-</v>
          </cell>
          <cell r="P307" t="str">
            <v>Ninguno</v>
          </cell>
          <cell r="Q307" t="str">
            <v>de ser necesario con thinner R7K128</v>
          </cell>
          <cell r="R307" t="str">
            <v>de acuerdo al cliente</v>
          </cell>
          <cell r="S307" t="str">
            <v>Al Aire</v>
          </cell>
          <cell r="T307" t="str">
            <v>-</v>
          </cell>
          <cell r="U307" t="str">
            <v>36.49 Mts Cuadrados/galon a 1 mills de película seca.</v>
          </cell>
          <cell r="V307" t="str">
            <v>-</v>
          </cell>
          <cell r="W307" t="str">
            <v>-</v>
          </cell>
          <cell r="X307" t="str">
            <v>6-12 meses</v>
          </cell>
          <cell r="Y307" t="str">
            <v>MULTIPLAST</v>
          </cell>
          <cell r="Z307" t="str">
            <v>Escobas</v>
          </cell>
          <cell r="AA307" t="str">
            <v>-</v>
          </cell>
          <cell r="AB307" t="str">
            <v>Ing. Juan Antonio Méndez</v>
          </cell>
          <cell r="AC307" t="str">
            <v>Junio, 2 del 2003</v>
          </cell>
        </row>
        <row r="308">
          <cell r="A308" t="str">
            <v>Y81WSA1</v>
          </cell>
          <cell r="B308" t="str">
            <v>Colorámica Látex Blanco</v>
          </cell>
          <cell r="C308" t="str">
            <v>Interior-Exterior</v>
          </cell>
          <cell r="D308" t="str">
            <v>Concreto, Ladrillo, Madera</v>
          </cell>
          <cell r="E308" t="str">
            <v>Libre de Polvo, Grasa o Cuarquier Sustancia Contaminate</v>
          </cell>
          <cell r="F308" t="str">
            <v>Ninguno</v>
          </cell>
          <cell r="G308" t="str">
            <v>11.42 Lbs/gl</v>
          </cell>
          <cell r="H308" t="str">
            <v>-</v>
          </cell>
          <cell r="I308" t="str">
            <v>45.45%</v>
          </cell>
          <cell r="J308" t="str">
            <v>-</v>
          </cell>
          <cell r="K308" t="str">
            <v>-</v>
          </cell>
          <cell r="L308" t="str">
            <v>26.03%</v>
          </cell>
          <cell r="M308" t="str">
            <v>102-105 KU</v>
          </cell>
          <cell r="N308" t="str">
            <v>Brocha-Rodillo</v>
          </cell>
          <cell r="O308" t="str">
            <v>95-98 KU</v>
          </cell>
          <cell r="P308" t="str">
            <v>Máximo 5% si fuera Necesario</v>
          </cell>
          <cell r="Q308" t="str">
            <v>Agua Limpia</v>
          </cell>
          <cell r="R308" t="str">
            <v>2 mills</v>
          </cell>
          <cell r="S308" t="str">
            <v>Al Aire</v>
          </cell>
          <cell r="T308" t="str">
            <v>-</v>
          </cell>
          <cell r="U308" t="str">
            <v>20 Mts Cuadrados/Gl, dependiendo de la Superficie</v>
          </cell>
          <cell r="V308" t="str">
            <v>-</v>
          </cell>
          <cell r="W308" t="str">
            <v>-</v>
          </cell>
          <cell r="X308" t="str">
            <v>2 años</v>
          </cell>
          <cell r="Y308" t="str">
            <v>DIDEMA-GUATEMALA (5°P.P)</v>
          </cell>
          <cell r="Z308" t="str">
            <v>-</v>
          </cell>
          <cell r="AA308" t="str">
            <v>-</v>
          </cell>
          <cell r="AB308" t="str">
            <v>Ana Irene Mendez Vides</v>
          </cell>
          <cell r="AC308">
            <v>37901</v>
          </cell>
        </row>
        <row r="309">
          <cell r="A309" t="str">
            <v>R7KDSA1</v>
          </cell>
          <cell r="B309" t="str">
            <v>Solvente Para Limpieza Industrial</v>
          </cell>
          <cell r="C309" t="str">
            <v>-</v>
          </cell>
          <cell r="D309" t="str">
            <v>-</v>
          </cell>
          <cell r="E309" t="str">
            <v>-</v>
          </cell>
          <cell r="F309" t="str">
            <v>-</v>
          </cell>
          <cell r="G309" t="str">
            <v>6.9 Lbs/Gl</v>
          </cell>
          <cell r="H309" t="str">
            <v>-</v>
          </cell>
          <cell r="I309" t="str">
            <v>-</v>
          </cell>
          <cell r="J309" t="str">
            <v>-</v>
          </cell>
          <cell r="K309" t="str">
            <v>-</v>
          </cell>
          <cell r="L309" t="str">
            <v>-</v>
          </cell>
          <cell r="M309" t="str">
            <v>-</v>
          </cell>
          <cell r="N309" t="str">
            <v>-</v>
          </cell>
          <cell r="O309" t="str">
            <v>-</v>
          </cell>
          <cell r="P309" t="str">
            <v>-</v>
          </cell>
          <cell r="Q309" t="str">
            <v>-</v>
          </cell>
          <cell r="R309" t="str">
            <v>-</v>
          </cell>
          <cell r="S309" t="str">
            <v>-</v>
          </cell>
          <cell r="T309" t="str">
            <v>-</v>
          </cell>
          <cell r="U309" t="str">
            <v>-</v>
          </cell>
          <cell r="V309" t="str">
            <v>-</v>
          </cell>
          <cell r="W309" t="str">
            <v>-</v>
          </cell>
          <cell r="X309" t="str">
            <v>-</v>
          </cell>
          <cell r="Y309" t="str">
            <v>Industria General</v>
          </cell>
          <cell r="Z309" t="str">
            <v>-</v>
          </cell>
          <cell r="AA309" t="str">
            <v>Kauri Butanol = Infinito.  Gravedad Específica = 0.84</v>
          </cell>
          <cell r="AB309" t="str">
            <v>Rigoberto Montalvo</v>
          </cell>
          <cell r="AC309">
            <v>36144</v>
          </cell>
        </row>
        <row r="310">
          <cell r="A310" t="str">
            <v>T1CSA4</v>
          </cell>
          <cell r="B310" t="str">
            <v>Recubrimiento Acrílico Para Metales</v>
          </cell>
          <cell r="C310" t="str">
            <v>Interior-Exterior</v>
          </cell>
          <cell r="D310" t="str">
            <v>Metal</v>
          </cell>
          <cell r="E310" t="str">
            <v>Lavado con agua y detergente, solvente de limpieza, si existe corrosión aplicar W4K288.</v>
          </cell>
          <cell r="F310" t="str">
            <v>Ninguno</v>
          </cell>
          <cell r="G310" t="str">
            <v>7.07 Lbs/Gl</v>
          </cell>
          <cell r="H310" t="str">
            <v>-</v>
          </cell>
          <cell r="I310" t="str">
            <v>21.20%</v>
          </cell>
          <cell r="J310" t="str">
            <v>100%</v>
          </cell>
          <cell r="K310" t="str">
            <v>-</v>
          </cell>
          <cell r="L310" t="str">
            <v>19%</v>
          </cell>
          <cell r="M310" t="str">
            <v>24"-28" Copa Ford #4.</v>
          </cell>
          <cell r="N310" t="str">
            <v>Pistola</v>
          </cell>
          <cell r="O310" t="str">
            <v>20" Copa Zanh #2</v>
          </cell>
          <cell r="P310" t="str">
            <v>La Necesaria para su aplicación.</v>
          </cell>
          <cell r="Q310" t="str">
            <v>R7K203</v>
          </cell>
          <cell r="R310" t="str">
            <v>1.2-1.5 Mills</v>
          </cell>
          <cell r="S310" t="str">
            <v>Al aire, 1 Hora Seco completo.</v>
          </cell>
          <cell r="T310" t="str">
            <v>-</v>
          </cell>
          <cell r="U310" t="str">
            <v>23.59 Mts Cuadrados/Gl a 1.2 mills de película seca.</v>
          </cell>
          <cell r="V310" t="str">
            <v>70 Mínimo.</v>
          </cell>
          <cell r="W310" t="str">
            <v>-</v>
          </cell>
          <cell r="X310" t="str">
            <v>2 años sin Abrir.</v>
          </cell>
          <cell r="Y310" t="str">
            <v>-</v>
          </cell>
          <cell r="Z310" t="str">
            <v>-</v>
          </cell>
          <cell r="AA310" t="str">
            <v>-</v>
          </cell>
          <cell r="AB310" t="str">
            <v>Oscar Enrique Ascencio.</v>
          </cell>
          <cell r="AC310">
            <v>36201</v>
          </cell>
        </row>
        <row r="311">
          <cell r="A311" t="str">
            <v>T60FCR1</v>
          </cell>
          <cell r="B311" t="str">
            <v>Sellador Ultra Concentrado</v>
          </cell>
          <cell r="C311" t="str">
            <v>Interior</v>
          </cell>
          <cell r="D311" t="str">
            <v>Madera</v>
          </cell>
          <cell r="E311" t="str">
            <v>Lijado</v>
          </cell>
          <cell r="F311" t="str">
            <v>D70T1 Tapaporo Natural</v>
          </cell>
          <cell r="G311" t="str">
            <v>7.75 Lbs/Gl</v>
          </cell>
          <cell r="H311" t="str">
            <v>-</v>
          </cell>
          <cell r="I311" t="str">
            <v>19.40%</v>
          </cell>
          <cell r="J311" t="str">
            <v>19.52%</v>
          </cell>
          <cell r="K311" t="str">
            <v>-</v>
          </cell>
          <cell r="L311" t="str">
            <v>11.90</v>
          </cell>
          <cell r="M311" t="str">
            <v>230,000-240,000 CPS ( Brookfield Spin #7 a 10 RPM)</v>
          </cell>
          <cell r="N311" t="str">
            <v>Pistola</v>
          </cell>
          <cell r="O311" t="str">
            <v>18"-22" Copa Ford #4</v>
          </cell>
          <cell r="P311" t="str">
            <v>800-850%</v>
          </cell>
          <cell r="Q311" t="str">
            <v>R7K128</v>
          </cell>
          <cell r="R311" t="str">
            <v>-</v>
          </cell>
          <cell r="S311" t="str">
            <v>Al Aire</v>
          </cell>
          <cell r="T311" t="str">
            <v>-</v>
          </cell>
          <cell r="U311" t="str">
            <v>30. Mts Cuadrados/Gl a 1 mills de película Seca.</v>
          </cell>
          <cell r="V311" t="str">
            <v>+40</v>
          </cell>
          <cell r="W311" t="str">
            <v>-</v>
          </cell>
          <cell r="X311" t="str">
            <v>2 años sin Abrir.</v>
          </cell>
          <cell r="Y311" t="str">
            <v>-</v>
          </cell>
          <cell r="Z311" t="str">
            <v>-</v>
          </cell>
          <cell r="AA311" t="str">
            <v>-</v>
          </cell>
          <cell r="AB311" t="str">
            <v>Rigoberto Montalvo</v>
          </cell>
          <cell r="AC311">
            <v>37427</v>
          </cell>
        </row>
        <row r="312">
          <cell r="A312" t="str">
            <v>SAA 4785 (1)</v>
          </cell>
          <cell r="B312" t="str">
            <v>Kem Lustral Verde Químico</v>
          </cell>
          <cell r="C312" t="str">
            <v>Interior-Exterior</v>
          </cell>
          <cell r="D312" t="str">
            <v>Madera, Metal, Cartón, Ladrillo, Cemento.</v>
          </cell>
          <cell r="E312" t="str">
            <v>Limpia y Seca. Libre de Aceite, Grasa u óxido.</v>
          </cell>
          <cell r="F312" t="str">
            <v>Anticorrosivo. Depende de la Superficie.</v>
          </cell>
          <cell r="G312" t="str">
            <v>8.27 Lbs/Gl</v>
          </cell>
          <cell r="H312" t="str">
            <v>11.97% p/p</v>
          </cell>
          <cell r="I312" t="str">
            <v>49.64% p/p</v>
          </cell>
          <cell r="J312" t="str">
            <v>-</v>
          </cell>
          <cell r="K312" t="str">
            <v>7.78% v/v</v>
          </cell>
          <cell r="L312" t="str">
            <v>38.79% v/v</v>
          </cell>
          <cell r="M312" t="str">
            <v>80-85 KU</v>
          </cell>
          <cell r="N312" t="str">
            <v>Brocha, Rodillo, Pistola o Inmersión.</v>
          </cell>
          <cell r="O312" t="str">
            <v>70-80 KU</v>
          </cell>
          <cell r="P312" t="str">
            <v>20-25%</v>
          </cell>
          <cell r="Q312" t="str">
            <v>R1K3 VMP Naphta.</v>
          </cell>
          <cell r="R312" t="str">
            <v>1.5-2 mills</v>
          </cell>
          <cell r="S312" t="str">
            <v>Al Aire</v>
          </cell>
          <cell r="T312" t="str">
            <v>-</v>
          </cell>
          <cell r="U312" t="str">
            <v>38 Mts Cuadrados/Gl a 1.5 mills de Espesor.</v>
          </cell>
          <cell r="V312" t="str">
            <v xml:space="preserve">90 </v>
          </cell>
          <cell r="W312" t="str">
            <v>-</v>
          </cell>
          <cell r="X312" t="str">
            <v>3 Años</v>
          </cell>
          <cell r="Y312" t="str">
            <v>DIDEMA-GUATEMALA</v>
          </cell>
          <cell r="Z312" t="str">
            <v>-</v>
          </cell>
          <cell r="AA312" t="str">
            <v>-</v>
          </cell>
          <cell r="AB312" t="str">
            <v>Mario Galán.</v>
          </cell>
          <cell r="AC312">
            <v>36236</v>
          </cell>
        </row>
        <row r="313">
          <cell r="A313" t="str">
            <v>A58RSA2</v>
          </cell>
          <cell r="B313" t="str">
            <v>Pasta Para Bloques</v>
          </cell>
          <cell r="C313" t="str">
            <v>Interior-Exterior</v>
          </cell>
          <cell r="D313" t="str">
            <v>Bloques</v>
          </cell>
          <cell r="E313" t="str">
            <v>-</v>
          </cell>
          <cell r="F313" t="str">
            <v>Ninguno</v>
          </cell>
          <cell r="G313" t="str">
            <v>19.79 Lbs/Gl</v>
          </cell>
          <cell r="H313" t="str">
            <v>71 más o menos 2</v>
          </cell>
          <cell r="I313" t="str">
            <v>75.54%</v>
          </cell>
          <cell r="J313" t="str">
            <v>-</v>
          </cell>
          <cell r="K313" t="str">
            <v>-</v>
          </cell>
          <cell r="L313" t="str">
            <v>38.90%</v>
          </cell>
          <cell r="M313" t="str">
            <v>110-115 KU</v>
          </cell>
          <cell r="N313" t="str">
            <v>Es una Mezcla hecha de Cemento, Grava, arena, Pasta Para Obtener Bloques de color.</v>
          </cell>
          <cell r="O313" t="str">
            <v>110-115 KU</v>
          </cell>
          <cell r="P313" t="str">
            <v>Ninguno</v>
          </cell>
          <cell r="Q313" t="str">
            <v>Agua Para Lavar Equipo</v>
          </cell>
          <cell r="R313" t="str">
            <v>-</v>
          </cell>
          <cell r="S313" t="str">
            <v>-</v>
          </cell>
          <cell r="T313" t="str">
            <v>-</v>
          </cell>
          <cell r="U313" t="str">
            <v>-</v>
          </cell>
          <cell r="V313" t="str">
            <v>Satinado</v>
          </cell>
          <cell r="W313" t="str">
            <v>-</v>
          </cell>
          <cell r="X313" t="str">
            <v>2 Años</v>
          </cell>
          <cell r="Y313" t="str">
            <v>BLOCTEKA-GUATEMALA</v>
          </cell>
          <cell r="Z313" t="str">
            <v>Bloques de Color.</v>
          </cell>
          <cell r="AA313" t="str">
            <v>-</v>
          </cell>
          <cell r="AB313" t="str">
            <v>Ana Irene Mendez Vides</v>
          </cell>
          <cell r="AC313">
            <v>36248</v>
          </cell>
        </row>
        <row r="314">
          <cell r="A314" t="str">
            <v>A58RSA3</v>
          </cell>
          <cell r="B314" t="str">
            <v>Pasta Para Bloques</v>
          </cell>
          <cell r="C314" t="str">
            <v>Interior-Exterior</v>
          </cell>
          <cell r="D314" t="str">
            <v>Bloques</v>
          </cell>
          <cell r="E314" t="str">
            <v>-</v>
          </cell>
          <cell r="F314" t="str">
            <v>Ninguno</v>
          </cell>
          <cell r="G314" t="str">
            <v>19.79 Lbs/Gl</v>
          </cell>
          <cell r="H314" t="str">
            <v>71 más o menos 2</v>
          </cell>
          <cell r="I314" t="str">
            <v>75.54%</v>
          </cell>
          <cell r="J314" t="str">
            <v>-</v>
          </cell>
          <cell r="K314" t="str">
            <v>-</v>
          </cell>
          <cell r="L314" t="str">
            <v>38.90%</v>
          </cell>
          <cell r="M314" t="str">
            <v>110-115 KU</v>
          </cell>
          <cell r="N314" t="str">
            <v>Es una Mezcla hecha de Cemento, Grava, arena, Pasta Para Obtener Bloques de color.</v>
          </cell>
          <cell r="O314" t="str">
            <v>110-115 KU</v>
          </cell>
          <cell r="P314" t="str">
            <v>Ninguno</v>
          </cell>
          <cell r="Q314" t="str">
            <v>Agua Para Lavar Equipo</v>
          </cell>
          <cell r="R314" t="str">
            <v>-</v>
          </cell>
          <cell r="S314" t="str">
            <v>-</v>
          </cell>
          <cell r="T314" t="str">
            <v>-</v>
          </cell>
          <cell r="U314" t="str">
            <v>-</v>
          </cell>
          <cell r="V314" t="str">
            <v>Satinado</v>
          </cell>
          <cell r="W314" t="str">
            <v>-</v>
          </cell>
          <cell r="X314" t="str">
            <v>2 Años</v>
          </cell>
          <cell r="Y314" t="str">
            <v>BLOCTEKA-GUATEMALA</v>
          </cell>
          <cell r="Z314" t="str">
            <v>Bloques de Color.</v>
          </cell>
          <cell r="AA314" t="str">
            <v>-</v>
          </cell>
          <cell r="AB314" t="str">
            <v>Ana Irene Mendez Vides</v>
          </cell>
          <cell r="AC314">
            <v>36248</v>
          </cell>
        </row>
        <row r="315">
          <cell r="A315" t="str">
            <v>B11ASA1</v>
          </cell>
          <cell r="B315" t="str">
            <v>Primera Mano Para Metales.</v>
          </cell>
          <cell r="C315" t="str">
            <v>Interior-Exterior</v>
          </cell>
          <cell r="D315" t="str">
            <v>Metal</v>
          </cell>
          <cell r="E315" t="str">
            <v>Libre de Polvo, Grasa u óxido.</v>
          </cell>
          <cell r="F315" t="str">
            <v>Ninguno</v>
          </cell>
          <cell r="G315" t="str">
            <v>9.24 Lbs/Gl</v>
          </cell>
          <cell r="H315" t="str">
            <v>-</v>
          </cell>
          <cell r="I315" t="str">
            <v>51.40%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70-90 KU</v>
          </cell>
          <cell r="N315" t="str">
            <v xml:space="preserve">Brocha-Pistola </v>
          </cell>
          <cell r="O315" t="str">
            <v>60-65 KU al Aplicar con Pistola</v>
          </cell>
          <cell r="P315" t="str">
            <v>10%-15%</v>
          </cell>
          <cell r="Q315" t="str">
            <v>R1K4</v>
          </cell>
          <cell r="R315" t="str">
            <v>1.5 mills Seca</v>
          </cell>
          <cell r="S315" t="str">
            <v>Al aire</v>
          </cell>
          <cell r="T315" t="str">
            <v>-</v>
          </cell>
          <cell r="U315" t="str">
            <v>30-33 Mts Cuadrados/Gl a 3 mills húmedo.</v>
          </cell>
          <cell r="V315" t="str">
            <v>Mate</v>
          </cell>
          <cell r="W315" t="str">
            <v>-</v>
          </cell>
          <cell r="X315" t="str">
            <v>2 Años</v>
          </cell>
          <cell r="Y315" t="str">
            <v>-</v>
          </cell>
          <cell r="Z315" t="str">
            <v>-</v>
          </cell>
          <cell r="AA315" t="str">
            <v>-</v>
          </cell>
          <cell r="AB315" t="str">
            <v>Soraya de Quijada</v>
          </cell>
          <cell r="AC315">
            <v>36391</v>
          </cell>
        </row>
        <row r="316">
          <cell r="A316" t="str">
            <v>A17V1</v>
          </cell>
          <cell r="B316" t="str">
            <v>Kem Wood Preservative #1</v>
          </cell>
          <cell r="C316" t="str">
            <v>Interior-Exterior</v>
          </cell>
          <cell r="D316" t="str">
            <v>Madera Sin Pintar</v>
          </cell>
          <cell r="E316" t="str">
            <v>Limpia, seca y libre de Cualquier Contaminación.</v>
          </cell>
          <cell r="F316" t="str">
            <v>-</v>
          </cell>
          <cell r="G316" t="str">
            <v>6.80 Lbs/Gl</v>
          </cell>
          <cell r="H316" t="str">
            <v>-</v>
          </cell>
          <cell r="I316" t="str">
            <v>16.23%</v>
          </cell>
          <cell r="J316" t="str">
            <v>-</v>
          </cell>
          <cell r="K316" t="str">
            <v>-</v>
          </cell>
          <cell r="L316" t="str">
            <v>10.0%</v>
          </cell>
          <cell r="M316" t="str">
            <v>-</v>
          </cell>
          <cell r="N316" t="str">
            <v>Brocha, Pistola o Inmersión.</v>
          </cell>
          <cell r="O316" t="str">
            <v>-</v>
          </cell>
          <cell r="P316" t="str">
            <v>Ninguno</v>
          </cell>
          <cell r="Q316" t="str">
            <v>-</v>
          </cell>
          <cell r="R316" t="str">
            <v>-</v>
          </cell>
          <cell r="S316" t="str">
            <v>Seco Tocar: 2 Horas; Retocar: 48 Horas</v>
          </cell>
          <cell r="T316" t="str">
            <v>-</v>
          </cell>
          <cell r="U316" t="str">
            <v>Brocha:Aplicar 2 manos gruesas de preservante.Inmersión:sumergir por 5 min. Por c/pulg. De grosor.</v>
          </cell>
          <cell r="V316" t="str">
            <v>-</v>
          </cell>
          <cell r="W316" t="str">
            <v>-</v>
          </cell>
          <cell r="X316" t="str">
            <v>2 años</v>
          </cell>
          <cell r="Y316" t="str">
            <v>SW de CA</v>
          </cell>
          <cell r="Z316" t="str">
            <v>-</v>
          </cell>
          <cell r="AA316" t="str">
            <v>El equipo puede lavarse con R1K4. Usar lentes, mascarilla y guantes. Es un producto irritante. Ingrediente activo: 3-yodo-2-propynyl butyl carbamate.</v>
          </cell>
          <cell r="AB316" t="str">
            <v>Ana Irene Mendez Vides</v>
          </cell>
          <cell r="AC316">
            <v>36441</v>
          </cell>
        </row>
        <row r="317">
          <cell r="A317" t="str">
            <v>F68BSA5</v>
          </cell>
          <cell r="B317" t="str">
            <v>Super Fast Dry Negro.</v>
          </cell>
          <cell r="C317" t="str">
            <v>Interior-Exterior</v>
          </cell>
          <cell r="D317" t="str">
            <v>Metal</v>
          </cell>
          <cell r="E317" t="str">
            <v>Según tipo de superficie, consultar al distribuidor.</v>
          </cell>
          <cell r="F317" t="str">
            <v>Para Máxima Protección Aplicar E61R9</v>
          </cell>
          <cell r="G317" t="str">
            <v>8.04 Lbs/Gl</v>
          </cell>
          <cell r="H317" t="str">
            <v>2.42% p/p</v>
          </cell>
          <cell r="I317" t="str">
            <v>44.21% p/p</v>
          </cell>
          <cell r="J317" t="str">
            <v>41.79% p/p</v>
          </cell>
          <cell r="K317" t="str">
            <v>3.87% v/v</v>
          </cell>
          <cell r="L317" t="str">
            <v>35.60% v/v</v>
          </cell>
          <cell r="M317" t="str">
            <v>75-80 KU</v>
          </cell>
          <cell r="N317" t="str">
            <v>Pistola</v>
          </cell>
          <cell r="O317" t="str">
            <v>20-25 seg. Copa Zanh #2</v>
          </cell>
          <cell r="P317" t="str">
            <v>25-28%</v>
          </cell>
          <cell r="Q317" t="str">
            <v>Industrial Reducer  R2K4</v>
          </cell>
          <cell r="R317" t="str">
            <v>1.2 mills</v>
          </cell>
          <cell r="S317" t="str">
            <v>Al Aire</v>
          </cell>
          <cell r="T317" t="str">
            <v>-</v>
          </cell>
          <cell r="U317" t="str">
            <v>44 Mts Cuadrados/Gl a 1.2 mills de Película Seca</v>
          </cell>
          <cell r="V317" t="str">
            <v>+80</v>
          </cell>
          <cell r="W317" t="str">
            <v>-</v>
          </cell>
          <cell r="X317" t="str">
            <v>2 años sin Abrir.</v>
          </cell>
          <cell r="Y317" t="str">
            <v>DIDEMA-NICARAGUA</v>
          </cell>
          <cell r="Z317" t="str">
            <v>-</v>
          </cell>
          <cell r="AA317" t="str">
            <v>-</v>
          </cell>
          <cell r="AB317" t="str">
            <v>Oscar Enrique Ascencio.</v>
          </cell>
          <cell r="AC317">
            <v>36441</v>
          </cell>
        </row>
        <row r="318">
          <cell r="A318" t="str">
            <v>F68GSA6</v>
          </cell>
          <cell r="B318" t="str">
            <v>Super Fast Dry Verde John Deere</v>
          </cell>
          <cell r="C318" t="str">
            <v>Interior-Exterior</v>
          </cell>
          <cell r="D318" t="str">
            <v>Metal</v>
          </cell>
          <cell r="E318" t="str">
            <v>Según tipo de superficie, consultar al distribuidor.</v>
          </cell>
          <cell r="F318" t="str">
            <v>Para Máxima Protección Aplicar E61R9</v>
          </cell>
          <cell r="G318" t="str">
            <v>8.42 Lbs/Gl</v>
          </cell>
          <cell r="H318" t="str">
            <v>8.58% p/p</v>
          </cell>
          <cell r="I318" t="str">
            <v>44.46% p/p</v>
          </cell>
          <cell r="J318" t="str">
            <v>35.88% p/p</v>
          </cell>
          <cell r="K318" t="str">
            <v>6.36% v/v</v>
          </cell>
          <cell r="L318" t="str">
            <v>37.77% v/v</v>
          </cell>
          <cell r="M318" t="str">
            <v>75-80 KU</v>
          </cell>
          <cell r="N318" t="str">
            <v>Pistola</v>
          </cell>
          <cell r="O318" t="str">
            <v>20-25 seg. Copa Zanh #2</v>
          </cell>
          <cell r="P318" t="str">
            <v>25-28%</v>
          </cell>
          <cell r="Q318" t="str">
            <v>Industrial Reducer  R2K4</v>
          </cell>
          <cell r="R318" t="str">
            <v>1.2 mills</v>
          </cell>
          <cell r="S318" t="str">
            <v>Al Aire</v>
          </cell>
          <cell r="T318" t="str">
            <v>-</v>
          </cell>
          <cell r="U318" t="str">
            <v>40.69 Mts Cuadrados/Gl a 1.2 mills de Película Seca</v>
          </cell>
          <cell r="V318" t="str">
            <v>+80</v>
          </cell>
          <cell r="W318" t="str">
            <v>-</v>
          </cell>
          <cell r="X318" t="str">
            <v>2 años sin Abrir.</v>
          </cell>
          <cell r="Y318" t="str">
            <v>DIDEMA-NICARAGUA</v>
          </cell>
          <cell r="Z318" t="str">
            <v>-</v>
          </cell>
          <cell r="AA318" t="str">
            <v>-</v>
          </cell>
          <cell r="AB318" t="str">
            <v>Oscar Enrique Ascencio.</v>
          </cell>
          <cell r="AC318">
            <v>36441</v>
          </cell>
        </row>
        <row r="319">
          <cell r="A319" t="str">
            <v>F68RSA10</v>
          </cell>
          <cell r="B319" t="str">
            <v>Super fast Dry Rojo Internacional</v>
          </cell>
          <cell r="C319" t="str">
            <v>Interior-Exterior</v>
          </cell>
          <cell r="D319" t="str">
            <v>Metal</v>
          </cell>
          <cell r="E319" t="str">
            <v>Según tipo de superficie, consultar al distribuidor.</v>
          </cell>
          <cell r="F319" t="str">
            <v>Para Máxima Protección Aplicar E61R9</v>
          </cell>
          <cell r="G319" t="str">
            <v>8.09 Lbs/Gl</v>
          </cell>
          <cell r="H319" t="str">
            <v>5.39% p/p</v>
          </cell>
          <cell r="I319" t="str">
            <v>42.66% p/p</v>
          </cell>
          <cell r="J319" t="str">
            <v>31.27% p/p</v>
          </cell>
          <cell r="K319" t="str">
            <v>8.0% v/v</v>
          </cell>
          <cell r="L319" t="str">
            <v>33.36% v/v</v>
          </cell>
          <cell r="M319" t="str">
            <v>75-80 KU</v>
          </cell>
          <cell r="N319" t="str">
            <v>Pistola</v>
          </cell>
          <cell r="O319" t="str">
            <v>20-25 seg. Copa Zanh #2</v>
          </cell>
          <cell r="P319" t="str">
            <v>25-28%</v>
          </cell>
          <cell r="Q319" t="str">
            <v>Industrial Reducer  R2K4</v>
          </cell>
          <cell r="R319" t="str">
            <v>1.2 mills</v>
          </cell>
          <cell r="S319" t="str">
            <v>Al Aire</v>
          </cell>
          <cell r="T319" t="str">
            <v>-</v>
          </cell>
          <cell r="U319" t="str">
            <v>41.42 Mts Cuadrados/Gl a 1.2 mills de Película Seca</v>
          </cell>
          <cell r="V319" t="str">
            <v>+80</v>
          </cell>
          <cell r="W319" t="str">
            <v>-</v>
          </cell>
          <cell r="X319" t="str">
            <v>2 años sin Abrir.</v>
          </cell>
          <cell r="Y319" t="str">
            <v>DIDEMA-NICARAGUA</v>
          </cell>
          <cell r="Z319" t="str">
            <v>-</v>
          </cell>
          <cell r="AA319" t="str">
            <v>-</v>
          </cell>
          <cell r="AB319" t="str">
            <v>Oscar Enrique Ascencio.</v>
          </cell>
          <cell r="AC319">
            <v>36441</v>
          </cell>
        </row>
        <row r="321">
          <cell r="A321" t="str">
            <v xml:space="preserve">B45WSA1  </v>
          </cell>
          <cell r="B321" t="str">
            <v>Sellador Blanco Rápido Secamiento/Tablayeso (Gypsum)*</v>
          </cell>
          <cell r="C321" t="str">
            <v>Interior</v>
          </cell>
          <cell r="D321" t="str">
            <v>Concreto, Cemento, Drywall y Fibrocemento</v>
          </cell>
          <cell r="E321" t="str">
            <v>Limpia, seca y libre de Cualquier Contaminación.</v>
          </cell>
          <cell r="F321" t="str">
            <v>Ninguno</v>
          </cell>
          <cell r="G321" t="str">
            <v>11.15 Lbs/Gl</v>
          </cell>
          <cell r="H321" t="str">
            <v>34%</v>
          </cell>
          <cell r="I321" t="str">
            <v>48.10%</v>
          </cell>
          <cell r="J321" t="str">
            <v>62%</v>
          </cell>
          <cell r="K321" t="str">
            <v>48.30%</v>
          </cell>
          <cell r="L321" t="str">
            <v>30.40%</v>
          </cell>
          <cell r="M321" t="str">
            <v>13-15*1000 CPS</v>
          </cell>
          <cell r="N321" t="str">
            <v>Brocha, Rodillo, Pistola.</v>
          </cell>
          <cell r="O321" t="str">
            <v>13-15*1000 CPS</v>
          </cell>
          <cell r="P321" t="str">
            <v>Brocha o Rodillo: Ninguna; Pistola 15-25% con Agua Limpia.</v>
          </cell>
          <cell r="Q321" t="str">
            <v>Ninguno</v>
          </cell>
          <cell r="R321" t="str">
            <v>1.5 mills Seca</v>
          </cell>
          <cell r="S321" t="str">
            <v>Al aire</v>
          </cell>
          <cell r="T321" t="str">
            <v>-</v>
          </cell>
          <cell r="U321" t="str">
            <v>28-30 Mts Cuadrados/Gl</v>
          </cell>
          <cell r="V321" t="str">
            <v>Mate</v>
          </cell>
          <cell r="W321" t="str">
            <v>-</v>
          </cell>
          <cell r="X321" t="str">
            <v>2 años sin Abrir.</v>
          </cell>
          <cell r="Y321" t="str">
            <v>DIDEMA-COSTA RICA</v>
          </cell>
          <cell r="Z321" t="str">
            <v>-</v>
          </cell>
          <cell r="AA321" t="str">
            <v>*Originalmente el nombre de este producto fue: FAST DRY LATEX WALL PRIMER.</v>
          </cell>
          <cell r="AB321" t="str">
            <v>Ana Irene Mendez Vides</v>
          </cell>
          <cell r="AC321">
            <v>36447</v>
          </cell>
        </row>
        <row r="322">
          <cell r="A322" t="str">
            <v>A86WCR12</v>
          </cell>
          <cell r="B322" t="str">
            <v>PINT. AMARILLO P/TRAFICO SHER GUIDE CAUCHO CLORADO FS TTP-115F</v>
          </cell>
          <cell r="C322" t="str">
            <v>Interior-Exterior</v>
          </cell>
          <cell r="D322" t="str">
            <v>Asfalto y Concreto</v>
          </cell>
          <cell r="E322" t="str">
            <v>Limpia, Seca y Libre de Exudación de Asfalto</v>
          </cell>
          <cell r="F322" t="str">
            <v>Ninguno</v>
          </cell>
          <cell r="G322" t="str">
            <v>13.5 Lbs/Gl                      ASTM D-1475</v>
          </cell>
          <cell r="H322" t="str">
            <v>51%</v>
          </cell>
          <cell r="I322" t="str">
            <v>80.0%                            ASTM D-2697</v>
          </cell>
          <cell r="J322" t="str">
            <v>49.0 %</v>
          </cell>
          <cell r="K322" t="str">
            <v>57.0%</v>
          </cell>
          <cell r="L322" t="str">
            <v>63.0 %</v>
          </cell>
          <cell r="M322" t="str">
            <v>75-80 KU                                    ASTM D-562</v>
          </cell>
          <cell r="N322" t="str">
            <v>Brocha, Rodillo Industrial, Máquina Franjeadora, Etc.</v>
          </cell>
          <cell r="O322" t="str">
            <v>Para Usar con Máquina franjeadora, reduzca con 1/8 de galón.</v>
          </cell>
          <cell r="P322" t="str">
            <v>Listo para usarse con Brocha y Rodillo.</v>
          </cell>
          <cell r="Q322" t="str">
            <v>R2K4 Industrial Reducer.</v>
          </cell>
          <cell r="R322" t="str">
            <v>7 mills</v>
          </cell>
          <cell r="S322" t="str">
            <v>15-20 Min.                         ASTM D-711</v>
          </cell>
          <cell r="T322" t="str">
            <v>-</v>
          </cell>
          <cell r="U322" t="str">
            <v>10-11 Mts cuadrados/Gl a 7 mills seco.</v>
          </cell>
          <cell r="V322" t="str">
            <v>Mate más o menos 1-2</v>
          </cell>
          <cell r="W322" t="str">
            <v>-</v>
          </cell>
          <cell r="X322" t="str">
            <v>36 meses</v>
          </cell>
          <cell r="Y322" t="str">
            <v>-</v>
          </cell>
          <cell r="Z322" t="str">
            <v>-</v>
          </cell>
          <cell r="AA322" t="str">
            <v>Abrasión: 38 Litros mínimo  (D968). Finura Hegman: 3H-0   (D-1210). Flexibilidad:  (D-522). Adherencia:   (D-3359).</v>
          </cell>
          <cell r="AB322" t="str">
            <v>Ana Irene Mendez Vides</v>
          </cell>
          <cell r="AC322">
            <v>39416</v>
          </cell>
        </row>
        <row r="323">
          <cell r="A323" t="str">
            <v>A86YCR11</v>
          </cell>
          <cell r="B323" t="str">
            <v>PINT. AMARILLO P/TRAFICO SHER GUIDE CAUCHO CLORADO FS TTP-115F</v>
          </cell>
          <cell r="C323" t="str">
            <v>Interior-Exterior</v>
          </cell>
          <cell r="D323" t="str">
            <v>Asfalto y Concreto</v>
          </cell>
          <cell r="E323" t="str">
            <v>Limpia, Seca y Libre de Exudación de Asfalto</v>
          </cell>
          <cell r="F323" t="str">
            <v>Ninguno</v>
          </cell>
          <cell r="G323" t="str">
            <v>14.25 Lbs/Gl                                   ASTM D-1475</v>
          </cell>
          <cell r="H323" t="str">
            <v>65.0 %</v>
          </cell>
          <cell r="I323" t="str">
            <v>80.0%                             ASTM D-2697</v>
          </cell>
          <cell r="J323" t="str">
            <v>49.0%</v>
          </cell>
          <cell r="K323" t="str">
            <v>57.70%</v>
          </cell>
          <cell r="L323" t="str">
            <v>62.0%</v>
          </cell>
          <cell r="M323" t="str">
            <v>75-80 KU                                           ASTM D-562</v>
          </cell>
          <cell r="N323" t="str">
            <v>Brocha, Rodillo Industrial, Máquina Franjeadora, Etc.</v>
          </cell>
          <cell r="O323" t="str">
            <v>Para Usar con Máquina franjeadora, reduzca con 1/8 de galón.</v>
          </cell>
          <cell r="P323" t="str">
            <v>Listo para usarse con Brocha y Rodillo.</v>
          </cell>
          <cell r="Q323" t="str">
            <v>R2K4 Industrial Reducer.</v>
          </cell>
          <cell r="R323" t="str">
            <v>7 mills</v>
          </cell>
          <cell r="S323" t="str">
            <v>15-20 Min.                         ASTM D-711</v>
          </cell>
          <cell r="T323" t="str">
            <v>-</v>
          </cell>
          <cell r="U323" t="str">
            <v>10-11 Mts cuadrados/Gl a 7 mills seco.</v>
          </cell>
          <cell r="V323" t="str">
            <v>Mate más o menos 1-2</v>
          </cell>
          <cell r="W323" t="str">
            <v>-</v>
          </cell>
          <cell r="X323" t="str">
            <v>36 meses</v>
          </cell>
          <cell r="Y323" t="str">
            <v>SEVISAL</v>
          </cell>
          <cell r="Z323" t="str">
            <v>-</v>
          </cell>
          <cell r="AA323" t="str">
            <v>Abrasión: 38 Litros mínimo  (D968). Finura Hegman: 3H-0   (D-1210). Flexibilidad:  (D-522). Adherencia:   (D-3359).</v>
          </cell>
          <cell r="AB323" t="str">
            <v>Ana Irene Mendez Vides</v>
          </cell>
          <cell r="AC323">
            <v>39416</v>
          </cell>
        </row>
        <row r="324">
          <cell r="A324" t="str">
            <v>F73B5</v>
          </cell>
          <cell r="B324" t="str">
            <v>Esmalte Horneable Negro Brillante</v>
          </cell>
          <cell r="C324" t="str">
            <v>Interior-Exterior</v>
          </cell>
          <cell r="D324" t="str">
            <v xml:space="preserve">Acero </v>
          </cell>
          <cell r="E324" t="str">
            <v>Limpieza y Desengrase</v>
          </cell>
          <cell r="F324" t="str">
            <v>Ninguno</v>
          </cell>
          <cell r="G324" t="str">
            <v>8.29 Lbs/Gl</v>
          </cell>
          <cell r="H324" t="str">
            <v>2.39%</v>
          </cell>
          <cell r="I324" t="str">
            <v>42.28%</v>
          </cell>
          <cell r="J324" t="str">
            <v>93.77%</v>
          </cell>
          <cell r="K324" t="str">
            <v>3.62%</v>
          </cell>
          <cell r="L324" t="str">
            <v>37.82%</v>
          </cell>
          <cell r="M324" t="str">
            <v>100"-110" Copa Zanh #2</v>
          </cell>
          <cell r="N324" t="str">
            <v>Pistola</v>
          </cell>
          <cell r="O324" t="str">
            <v>18"-22" Copa Zanh #2</v>
          </cell>
          <cell r="P324" t="str">
            <v>20-25%</v>
          </cell>
          <cell r="Q324" t="str">
            <v>R2K4 Industrial Reducer.</v>
          </cell>
          <cell r="R324" t="str">
            <v>1-1.5 mills</v>
          </cell>
          <cell r="S324" t="str">
            <v>Al horno</v>
          </cell>
          <cell r="T324" t="str">
            <v>15 Min a 300°F</v>
          </cell>
          <cell r="U324" t="str">
            <v>56 Mts Cuadrados/Gl a 1 mills de espesor.</v>
          </cell>
          <cell r="V324" t="str">
            <v>+85</v>
          </cell>
          <cell r="W324" t="str">
            <v>H</v>
          </cell>
          <cell r="X324" t="str">
            <v>6-12 meses</v>
          </cell>
          <cell r="Y324" t="str">
            <v>Van Leer Guatemala</v>
          </cell>
          <cell r="Z324" t="str">
            <v>Tambores Metálicos.</v>
          </cell>
          <cell r="AA324" t="str">
            <v>-</v>
          </cell>
          <cell r="AB324" t="str">
            <v>Corina de Turcios</v>
          </cell>
          <cell r="AC324">
            <v>36493</v>
          </cell>
        </row>
        <row r="325">
          <cell r="A325" t="str">
            <v>SAA 4902</v>
          </cell>
          <cell r="B325" t="str">
            <v>Esmalte Horneable Azul RAL 5010</v>
          </cell>
          <cell r="C325" t="str">
            <v>Interior-Exterior</v>
          </cell>
          <cell r="D325" t="str">
            <v xml:space="preserve">Acero </v>
          </cell>
          <cell r="E325" t="str">
            <v>Limpieza y Desengrase</v>
          </cell>
          <cell r="F325" t="str">
            <v>Ninguno</v>
          </cell>
          <cell r="G325" t="str">
            <v>8.3 Lbs/Gl</v>
          </cell>
          <cell r="H325" t="str">
            <v>6%</v>
          </cell>
          <cell r="I325" t="str">
            <v>44.86%</v>
          </cell>
          <cell r="J325" t="str">
            <v>86.30%</v>
          </cell>
          <cell r="K325" t="str">
            <v>6.30%</v>
          </cell>
          <cell r="L325" t="str">
            <v>36.20%</v>
          </cell>
          <cell r="M325" t="str">
            <v>100"-110" Copa Zanh #2</v>
          </cell>
          <cell r="N325" t="str">
            <v>Pistola</v>
          </cell>
          <cell r="O325" t="str">
            <v>18"-22" Copa Zanh #2</v>
          </cell>
          <cell r="P325" t="str">
            <v>20-25%</v>
          </cell>
          <cell r="Q325" t="str">
            <v>R2K4 Industrial Reducer.</v>
          </cell>
          <cell r="R325" t="str">
            <v>1-1.5 mills</v>
          </cell>
          <cell r="S325" t="str">
            <v>Al horno</v>
          </cell>
          <cell r="T325" t="str">
            <v>15 Min a 300°F</v>
          </cell>
          <cell r="U325" t="str">
            <v>53 Mts Cuadrados/Gl a 1 mills de espesor.</v>
          </cell>
          <cell r="V325" t="str">
            <v>+80</v>
          </cell>
          <cell r="W325" t="str">
            <v>H</v>
          </cell>
          <cell r="X325" t="str">
            <v>6-12 meses</v>
          </cell>
          <cell r="Y325" t="str">
            <v>Van Leer Guatemala</v>
          </cell>
          <cell r="Z325" t="str">
            <v>Tambores Metálicos.</v>
          </cell>
          <cell r="AA325" t="str">
            <v>-</v>
          </cell>
          <cell r="AB325" t="str">
            <v>Corina de Turcios</v>
          </cell>
          <cell r="AC325">
            <v>36493</v>
          </cell>
        </row>
        <row r="326">
          <cell r="A326" t="str">
            <v>SAA 4903</v>
          </cell>
          <cell r="B326" t="str">
            <v>Esmalte Horneable Verde RAL 6010</v>
          </cell>
          <cell r="C326" t="str">
            <v>Interior-Exterior</v>
          </cell>
          <cell r="D326" t="str">
            <v xml:space="preserve">Acero </v>
          </cell>
          <cell r="E326" t="str">
            <v>Limpieza y Desengrase</v>
          </cell>
          <cell r="F326" t="str">
            <v>Ninguno</v>
          </cell>
          <cell r="G326" t="str">
            <v>8.77 Lbs/Gl</v>
          </cell>
          <cell r="H326" t="str">
            <v>7.53%</v>
          </cell>
          <cell r="I326" t="str">
            <v>45.40%</v>
          </cell>
          <cell r="J326" t="str">
            <v>83.0%</v>
          </cell>
          <cell r="K326" t="str">
            <v>6.30%</v>
          </cell>
          <cell r="L326" t="str">
            <v>35.74%</v>
          </cell>
          <cell r="M326" t="str">
            <v>100"-110" Copa Zanh #2</v>
          </cell>
          <cell r="N326" t="str">
            <v>Pistola</v>
          </cell>
          <cell r="O326" t="str">
            <v>18"-22" Copa Zanh #2</v>
          </cell>
          <cell r="P326" t="str">
            <v>20-25%</v>
          </cell>
          <cell r="Q326" t="str">
            <v>R2K4 Industrial Reducer.</v>
          </cell>
          <cell r="R326" t="str">
            <v>1-1.5 mills</v>
          </cell>
          <cell r="S326" t="str">
            <v>Al horno</v>
          </cell>
          <cell r="T326" t="str">
            <v>15 Min a 300°F</v>
          </cell>
          <cell r="U326" t="str">
            <v>53.25 Mts Cuadrados/Gl a 1 mills de espesor.</v>
          </cell>
          <cell r="V326" t="str">
            <v>+80</v>
          </cell>
          <cell r="W326" t="str">
            <v>H</v>
          </cell>
          <cell r="X326" t="str">
            <v>6-12 meses</v>
          </cell>
          <cell r="Y326" t="str">
            <v>Van Leer Guatemala</v>
          </cell>
          <cell r="Z326" t="str">
            <v>Tambores Metálicos.</v>
          </cell>
          <cell r="AA326" t="str">
            <v>-</v>
          </cell>
          <cell r="AB326" t="str">
            <v>Rigoberto Montalvo</v>
          </cell>
          <cell r="AC326">
            <v>36493</v>
          </cell>
        </row>
        <row r="327">
          <cell r="A327" t="str">
            <v>SAA 4904</v>
          </cell>
          <cell r="B327" t="str">
            <v>Esmalte Horneable Gris RAL 7035</v>
          </cell>
          <cell r="C327" t="str">
            <v>Interior-Exterior</v>
          </cell>
          <cell r="D327" t="str">
            <v xml:space="preserve">Acero </v>
          </cell>
          <cell r="E327" t="str">
            <v>Limpieza y Desengrase</v>
          </cell>
          <cell r="F327" t="str">
            <v>Ninguno</v>
          </cell>
          <cell r="G327" t="str">
            <v>9.37 Lbs/Gl</v>
          </cell>
          <cell r="H327" t="str">
            <v>16%</v>
          </cell>
          <cell r="I327" t="str">
            <v>51.80%</v>
          </cell>
          <cell r="J327" t="str">
            <v>68.8%</v>
          </cell>
          <cell r="K327" t="str">
            <v>11.60%</v>
          </cell>
          <cell r="L327" t="str">
            <v>38.71%</v>
          </cell>
          <cell r="M327" t="str">
            <v>100"-110" Copa Zanh #2</v>
          </cell>
          <cell r="N327" t="str">
            <v>Pistola</v>
          </cell>
          <cell r="O327" t="str">
            <v>18"-22" Copa Zanh #2</v>
          </cell>
          <cell r="P327" t="str">
            <v>20-25%</v>
          </cell>
          <cell r="Q327" t="str">
            <v>R2K4 Industrial Reducer.</v>
          </cell>
          <cell r="R327" t="str">
            <v>1-1.5 mills</v>
          </cell>
          <cell r="S327" t="str">
            <v>Al horno</v>
          </cell>
          <cell r="T327" t="str">
            <v>15 Min a 300°F</v>
          </cell>
          <cell r="U327" t="str">
            <v>57.7 Mts Cuadrados/Gl a 1 mills de espesor.</v>
          </cell>
          <cell r="V327" t="str">
            <v>+80</v>
          </cell>
          <cell r="W327" t="str">
            <v>H</v>
          </cell>
          <cell r="X327" t="str">
            <v>6-12 meses</v>
          </cell>
          <cell r="Y327" t="str">
            <v>Van Leer Guatemala</v>
          </cell>
          <cell r="Z327" t="str">
            <v>Tambores Metálicos.</v>
          </cell>
          <cell r="AA327" t="str">
            <v>-</v>
          </cell>
          <cell r="AB327" t="str">
            <v>Rigoberto Montalvo</v>
          </cell>
          <cell r="AC327">
            <v>36493</v>
          </cell>
        </row>
        <row r="328">
          <cell r="A328" t="str">
            <v>SAA 4910</v>
          </cell>
          <cell r="B328" t="str">
            <v>Esmalte Horneable Rojo Texaco</v>
          </cell>
          <cell r="C328" t="str">
            <v>Interior-Exterior</v>
          </cell>
          <cell r="D328" t="str">
            <v xml:space="preserve">Acero </v>
          </cell>
          <cell r="E328" t="str">
            <v>Limpieza y Desengrase</v>
          </cell>
          <cell r="F328" t="str">
            <v>Ninguno</v>
          </cell>
          <cell r="G328" t="str">
            <v>8.84 Lbs/Gl</v>
          </cell>
          <cell r="H328" t="str">
            <v>12.25%</v>
          </cell>
          <cell r="I328" t="str">
            <v>50.26%</v>
          </cell>
          <cell r="J328" t="str">
            <v>70.52%</v>
          </cell>
          <cell r="K328" t="str">
            <v>3.20%</v>
          </cell>
          <cell r="L328" t="str">
            <v>38.25%</v>
          </cell>
          <cell r="M328" t="str">
            <v>100"-110" Copa Zanh #2</v>
          </cell>
          <cell r="N328" t="str">
            <v>Pistola</v>
          </cell>
          <cell r="O328" t="str">
            <v>18"-22" Copa Zanh #2</v>
          </cell>
          <cell r="P328" t="str">
            <v>20-25%</v>
          </cell>
          <cell r="Q328" t="str">
            <v>R2K4 Industrial Reducer.</v>
          </cell>
          <cell r="R328" t="str">
            <v>1-1.5 mills</v>
          </cell>
          <cell r="S328" t="str">
            <v>Al horno</v>
          </cell>
          <cell r="T328" t="str">
            <v>15 Min a 300°F</v>
          </cell>
          <cell r="U328" t="str">
            <v>57 Mts Cuadrados/Gl a 1 mills de espesor.</v>
          </cell>
          <cell r="V328" t="str">
            <v>+70</v>
          </cell>
          <cell r="W328" t="str">
            <v>H</v>
          </cell>
          <cell r="X328" t="str">
            <v>6-12 meses</v>
          </cell>
          <cell r="Y328" t="str">
            <v>Van Leer Guatemala</v>
          </cell>
          <cell r="Z328" t="str">
            <v>Tambores Metálicos.</v>
          </cell>
          <cell r="AA328" t="str">
            <v>-</v>
          </cell>
          <cell r="AB328" t="str">
            <v>Corina de Turcios</v>
          </cell>
          <cell r="AC328">
            <v>36502</v>
          </cell>
        </row>
        <row r="329">
          <cell r="A329" t="str">
            <v>F75WSA1 (1)</v>
          </cell>
          <cell r="B329" t="str">
            <v>Esmalte Horneable Industrial Blanco</v>
          </cell>
          <cell r="C329" t="str">
            <v>Interior-Exterior</v>
          </cell>
          <cell r="D329" t="str">
            <v xml:space="preserve">Acero </v>
          </cell>
          <cell r="E329" t="str">
            <v>Limpieza y Desengrase</v>
          </cell>
          <cell r="F329" t="str">
            <v>Ninguno</v>
          </cell>
          <cell r="G329" t="str">
            <v>9.86 Lbs/Gl</v>
          </cell>
          <cell r="H329" t="str">
            <v>30.54%</v>
          </cell>
          <cell r="I329" t="str">
            <v>59.38%</v>
          </cell>
          <cell r="J329" t="str">
            <v>47.28%</v>
          </cell>
          <cell r="K329" t="str">
            <v>30.54%</v>
          </cell>
          <cell r="L329" t="str">
            <v>40.44%</v>
          </cell>
          <cell r="M329" t="str">
            <v>95"-105" copa Zanh #2</v>
          </cell>
          <cell r="N329" t="str">
            <v>Pistola</v>
          </cell>
          <cell r="O329" t="str">
            <v>18"-22" Copa Zanh #2</v>
          </cell>
          <cell r="P329" t="str">
            <v>10-15%</v>
          </cell>
          <cell r="Q329" t="str">
            <v>R2K4 Industrial Reducer.</v>
          </cell>
          <cell r="R329" t="str">
            <v>1-1.5 mills</v>
          </cell>
          <cell r="S329" t="str">
            <v>Al horno</v>
          </cell>
          <cell r="T329" t="str">
            <v>15 Min a 300°F</v>
          </cell>
          <cell r="U329" t="str">
            <v>60 Mts Cuadrados/Gl a 1 mills de espesor.</v>
          </cell>
          <cell r="V329" t="str">
            <v>+80</v>
          </cell>
          <cell r="W329" t="str">
            <v>HB</v>
          </cell>
          <cell r="X329" t="str">
            <v>6-12 meses</v>
          </cell>
          <cell r="Y329" t="str">
            <v>Varios</v>
          </cell>
          <cell r="Z329" t="str">
            <v>-</v>
          </cell>
          <cell r="AA329" t="str">
            <v>-</v>
          </cell>
          <cell r="AB329" t="str">
            <v>Corina de Turcios</v>
          </cell>
          <cell r="AC329">
            <v>36595</v>
          </cell>
        </row>
        <row r="330">
          <cell r="A330" t="str">
            <v>B61BSA1</v>
          </cell>
          <cell r="B330" t="str">
            <v>Ebonol</v>
          </cell>
          <cell r="C330" t="str">
            <v>Interior</v>
          </cell>
          <cell r="D330" t="str">
            <v>Madera</v>
          </cell>
          <cell r="E330" t="str">
            <v>Lijada</v>
          </cell>
          <cell r="F330" t="str">
            <v>Ninguno</v>
          </cell>
          <cell r="G330" t="str">
            <v>7.68 Lbs/Gl</v>
          </cell>
          <cell r="H330" t="str">
            <v>0%</v>
          </cell>
          <cell r="I330" t="str">
            <v>45.20%</v>
          </cell>
          <cell r="J330" t="str">
            <v>91.72%</v>
          </cell>
          <cell r="K330" t="str">
            <v>0%</v>
          </cell>
          <cell r="L330" t="str">
            <v>36.63%</v>
          </cell>
          <cell r="M330" t="str">
            <v>40"-60" Copa SW #3</v>
          </cell>
          <cell r="N330" t="str">
            <v>Brocha o Rodillo</v>
          </cell>
          <cell r="O330" t="str">
            <v>-</v>
          </cell>
          <cell r="P330" t="str">
            <v>Lo Necesario 25%</v>
          </cell>
          <cell r="Q330" t="str">
            <v>R1K4 Mineral Spirits</v>
          </cell>
          <cell r="R330" t="str">
            <v>-</v>
          </cell>
          <cell r="S330" t="str">
            <v>Al Aire</v>
          </cell>
          <cell r="T330" t="str">
            <v>-</v>
          </cell>
          <cell r="U330" t="str">
            <v>54 Mts Cuadrados/Gl a 1 mills de espesor.</v>
          </cell>
          <cell r="V330" t="str">
            <v>-</v>
          </cell>
          <cell r="W330" t="str">
            <v>-</v>
          </cell>
          <cell r="X330" t="str">
            <v>6-12 Meses (a 25 °C y Libre de Fuga)</v>
          </cell>
          <cell r="Y330" t="str">
            <v>Varios</v>
          </cell>
          <cell r="Z330" t="str">
            <v>-</v>
          </cell>
          <cell r="AA330" t="str">
            <v>Producto Elaborado en Base a Resinas asfalticas. Libre de Plomo y Mercurio.</v>
          </cell>
          <cell r="AB330" t="str">
            <v>Corina de Turcios</v>
          </cell>
          <cell r="AC330">
            <v>36602</v>
          </cell>
        </row>
        <row r="331">
          <cell r="A331" t="str">
            <v>A86WCR12</v>
          </cell>
          <cell r="B331" t="str">
            <v>Pintura de Tráfico Blanca TTP-115F                        ASTM</v>
          </cell>
          <cell r="C331" t="str">
            <v>Interior-Exterior</v>
          </cell>
          <cell r="D331" t="str">
            <v>Asfalto y Concreto</v>
          </cell>
          <cell r="E331" t="str">
            <v>Limpia, Seca y Libre de Exudación de Asfalto</v>
          </cell>
          <cell r="F331" t="str">
            <v>Ninguno</v>
          </cell>
          <cell r="G331" t="str">
            <v>12.48 Lbs/Gl                                    D-1475</v>
          </cell>
          <cell r="H331" t="str">
            <v>57%</v>
          </cell>
          <cell r="I331" t="str">
            <v>75.0%                             D-2697</v>
          </cell>
          <cell r="J331" t="str">
            <v>41%</v>
          </cell>
          <cell r="K331" t="str">
            <v>57.0%</v>
          </cell>
          <cell r="L331" t="str">
            <v>53.40%</v>
          </cell>
          <cell r="M331" t="str">
            <v>75-80 KU                                           D-562</v>
          </cell>
          <cell r="N331" t="str">
            <v>Brocha, Rodillo Industrial, Máquina Franjeadora, Etc.</v>
          </cell>
          <cell r="O331" t="str">
            <v>Para Usar con Máquina franjeadora, reduzca con 1/8 de galón.</v>
          </cell>
          <cell r="P331" t="str">
            <v>Listo para usarse con Brocha y Rodillo.</v>
          </cell>
          <cell r="Q331" t="str">
            <v>R2K4 Industrial Reducer.</v>
          </cell>
          <cell r="R331" t="str">
            <v>7 mills</v>
          </cell>
          <cell r="S331" t="str">
            <v>15-20 Min. No transitar antes de 30 Minutos.                                             D-1640</v>
          </cell>
          <cell r="T331" t="str">
            <v>-</v>
          </cell>
          <cell r="U331" t="str">
            <v>10-11 Mts cuadrados/Gl a 7 mills seco.</v>
          </cell>
          <cell r="V331" t="str">
            <v>Mate más o menos 1-2</v>
          </cell>
          <cell r="W331" t="str">
            <v>-</v>
          </cell>
          <cell r="X331" t="str">
            <v>36 meses</v>
          </cell>
          <cell r="Y331" t="str">
            <v>-</v>
          </cell>
          <cell r="Z331" t="str">
            <v>-</v>
          </cell>
          <cell r="AA331" t="str">
            <v xml:space="preserve">Abrasión: 38 Litros mínimo  (D968). Finura Hegman: 3H-0   (D-1210). Flexibilidad:  (D-522). Adherencia:   (D-3359). </v>
          </cell>
          <cell r="AB331" t="str">
            <v>Ana Irene Mendez Vides</v>
          </cell>
          <cell r="AC331" t="str">
            <v>Julio 23, 2002</v>
          </cell>
        </row>
        <row r="332">
          <cell r="A332" t="str">
            <v>A86YCR11</v>
          </cell>
          <cell r="B332" t="str">
            <v>Pintura de Tráfico Amarilla TTP-115F                        ASTM</v>
          </cell>
          <cell r="C332" t="str">
            <v>Interior-Exterior</v>
          </cell>
          <cell r="D332" t="str">
            <v>Asfalto y Concreto</v>
          </cell>
          <cell r="E332" t="str">
            <v>Limpia, Seca y Libre de Exudación de Asfalto</v>
          </cell>
          <cell r="F332" t="str">
            <v>Ninguno</v>
          </cell>
          <cell r="G332" t="str">
            <v>12.68 Lbs/Gl                                    D-1475</v>
          </cell>
          <cell r="H332" t="str">
            <v>57.70%</v>
          </cell>
          <cell r="I332" t="str">
            <v>75.0%                             D-2697</v>
          </cell>
          <cell r="J332" t="str">
            <v>41.50%</v>
          </cell>
          <cell r="K332" t="str">
            <v>57.70%</v>
          </cell>
          <cell r="L332" t="str">
            <v>49.90%</v>
          </cell>
          <cell r="M332" t="str">
            <v>75-80 KU                                           D-562 *</v>
          </cell>
          <cell r="N332" t="str">
            <v>Brocha, Rodillo Industrial, Máquina Franjeadora, Etc.</v>
          </cell>
          <cell r="O332" t="str">
            <v>Para Usar con Máquina franjeadora, reduzca con 1/8 de galón.</v>
          </cell>
          <cell r="P332" t="str">
            <v>Listo para usarse con Brocha y Rodillo.</v>
          </cell>
          <cell r="Q332" t="str">
            <v>R2K4 Industrial Reducer.</v>
          </cell>
          <cell r="R332" t="str">
            <v>7 mills</v>
          </cell>
          <cell r="S332" t="str">
            <v>15-20 Min. No transitar antes de 30 Minutos.                                             D-1640</v>
          </cell>
          <cell r="T332" t="str">
            <v>-</v>
          </cell>
          <cell r="U332" t="str">
            <v>10-11 Mts cuadrados/Gl a 7 mills seco.</v>
          </cell>
          <cell r="V332" t="str">
            <v>Mate más o menos 1-2</v>
          </cell>
          <cell r="W332" t="str">
            <v>-</v>
          </cell>
          <cell r="X332" t="str">
            <v>36 meses</v>
          </cell>
          <cell r="Y332" t="str">
            <v>-</v>
          </cell>
          <cell r="Z332" t="str">
            <v>-</v>
          </cell>
          <cell r="AA332" t="str">
            <v>Abrasión: 38 Litros mínimo  (D968). Finura Hegman: 3H-0   (D-1210). Flexibilidad:  (D-522). Adherencia:   (D-3359). * La viscosidad del ASTM D562 es 75-80 KU, pero a solicitud del MOP se fabricará a 120 KU.</v>
          </cell>
          <cell r="AB332" t="str">
            <v>Ana Irene Mendez Vides</v>
          </cell>
          <cell r="AC332" t="str">
            <v>Enero 21, 2002</v>
          </cell>
        </row>
        <row r="333">
          <cell r="A333" t="str">
            <v>B54RSA3</v>
          </cell>
          <cell r="B333" t="str">
            <v>Pintura Industrial Rojo Electrostático HECASA.</v>
          </cell>
          <cell r="C333" t="str">
            <v>Interior-Exterior</v>
          </cell>
          <cell r="D333" t="str">
            <v xml:space="preserve">Acero </v>
          </cell>
          <cell r="E333" t="str">
            <v>Limpieza y Desengrase</v>
          </cell>
          <cell r="F333" t="str">
            <v>Ninguno</v>
          </cell>
          <cell r="G333" t="str">
            <v>8.04 Lbs/Gl</v>
          </cell>
          <cell r="H333" t="str">
            <v>9.27%</v>
          </cell>
          <cell r="I333" t="str">
            <v>29.9%</v>
          </cell>
          <cell r="J333" t="str">
            <v>63.56%</v>
          </cell>
          <cell r="K333" t="str">
            <v>10.02%</v>
          </cell>
          <cell r="L333" t="str">
            <v>19.97%</v>
          </cell>
          <cell r="M333" t="str">
            <v>18"-22" Copa Zanh #2</v>
          </cell>
          <cell r="N333" t="str">
            <v>Pistola</v>
          </cell>
          <cell r="O333" t="str">
            <v>18"-22" Copa Zanh #2</v>
          </cell>
          <cell r="P333" t="str">
            <v>Ninguno</v>
          </cell>
          <cell r="Q333" t="str">
            <v>Ninguno</v>
          </cell>
          <cell r="R333" t="str">
            <v>-</v>
          </cell>
          <cell r="S333" t="str">
            <v>Al Aire</v>
          </cell>
          <cell r="T333" t="str">
            <v>-</v>
          </cell>
          <cell r="U333" t="str">
            <v>29 Mts Cuadrados/Gl a 1 mills de Espesor</v>
          </cell>
          <cell r="V333" t="str">
            <v>STD</v>
          </cell>
          <cell r="W333" t="str">
            <v>-</v>
          </cell>
          <cell r="X333" t="str">
            <v>-</v>
          </cell>
          <cell r="Y333" t="str">
            <v>HECASA</v>
          </cell>
          <cell r="Z333" t="str">
            <v>-</v>
          </cell>
          <cell r="AA333" t="str">
            <v>Rango de Resistividad: 0.5-0.7 Megaohmios.</v>
          </cell>
          <cell r="AB333" t="str">
            <v>Corina de Turcios</v>
          </cell>
          <cell r="AC333">
            <v>36619</v>
          </cell>
        </row>
        <row r="334">
          <cell r="A334" t="str">
            <v>SAA 4981</v>
          </cell>
          <cell r="B334" t="str">
            <v>Colonial Latex Chep Blue W.B</v>
          </cell>
          <cell r="C334" t="str">
            <v>Interior-Exterior</v>
          </cell>
          <cell r="D334" t="str">
            <v>Cemento, Ladrillo, Madera</v>
          </cell>
          <cell r="E334" t="str">
            <v>Curada, Limpia, Seca y Libre de toda contaminación</v>
          </cell>
          <cell r="F334" t="str">
            <v>-</v>
          </cell>
          <cell r="G334" t="str">
            <v>11.55 Lbs/Gl más o menos 0.2</v>
          </cell>
          <cell r="H334" t="str">
            <v>-</v>
          </cell>
          <cell r="I334" t="str">
            <v>48.70% más o menos 0.2</v>
          </cell>
          <cell r="J334" t="str">
            <v>-</v>
          </cell>
          <cell r="K334" t="str">
            <v>63.50%</v>
          </cell>
          <cell r="L334" t="str">
            <v>30.90% más o menos 0.2</v>
          </cell>
          <cell r="M334" t="str">
            <v>79-85 KU</v>
          </cell>
          <cell r="N334" t="str">
            <v>Brocha-Rodillo-Pistola</v>
          </cell>
          <cell r="O334" t="str">
            <v>79-85 KU</v>
          </cell>
          <cell r="P334" t="str">
            <v>Máximo 10%</v>
          </cell>
          <cell r="Q334" t="str">
            <v>Agua Limpia</v>
          </cell>
          <cell r="R334" t="str">
            <v>1.5 mills Seca</v>
          </cell>
          <cell r="S334" t="str">
            <v>Al Aire, Recubrir después de 4 horas.</v>
          </cell>
          <cell r="T334" t="str">
            <v>-</v>
          </cell>
          <cell r="U334" t="str">
            <v>30 Mts Cuadrados/Gl más o menos1</v>
          </cell>
          <cell r="V334" t="str">
            <v>-</v>
          </cell>
          <cell r="W334" t="str">
            <v>-</v>
          </cell>
          <cell r="X334" t="str">
            <v>2 años</v>
          </cell>
          <cell r="Y334" t="str">
            <v>DIDEMA-GUATEMALA</v>
          </cell>
          <cell r="Z334" t="str">
            <v>-</v>
          </cell>
          <cell r="AA334" t="str">
            <v>-</v>
          </cell>
          <cell r="AB334" t="str">
            <v>Ana Irene Mendez Vides</v>
          </cell>
          <cell r="AC334">
            <v>36619</v>
          </cell>
        </row>
        <row r="335">
          <cell r="A335" t="str">
            <v>F75ASA1</v>
          </cell>
          <cell r="B335" t="str">
            <v>Esmalte Horneable Industrial Gris General</v>
          </cell>
          <cell r="C335" t="str">
            <v>Interior-Exterior</v>
          </cell>
          <cell r="D335" t="str">
            <v xml:space="preserve">Hierro-Acero </v>
          </cell>
          <cell r="E335" t="str">
            <v>Limpieza y Desengrase</v>
          </cell>
          <cell r="F335" t="str">
            <v>Ninguno</v>
          </cell>
          <cell r="G335" t="str">
            <v>8.63 Lbs/Gl</v>
          </cell>
          <cell r="H335" t="str">
            <v>17.21%</v>
          </cell>
          <cell r="I335" t="str">
            <v>54.80%</v>
          </cell>
          <cell r="J335" t="str">
            <v>67%</v>
          </cell>
          <cell r="K335" t="str">
            <v>11.02%</v>
          </cell>
          <cell r="L335" t="str">
            <v>41.48%</v>
          </cell>
          <cell r="M335" t="str">
            <v>100"-110" Copa Zanh #2</v>
          </cell>
          <cell r="N335" t="str">
            <v>Pistola</v>
          </cell>
          <cell r="O335" t="str">
            <v>18"-22" Copa Zanh #2</v>
          </cell>
          <cell r="P335" t="str">
            <v>20-25%</v>
          </cell>
          <cell r="Q335" t="str">
            <v>R2K4 Industrial Reducer.</v>
          </cell>
          <cell r="R335" t="str">
            <v>1-1.5 mills</v>
          </cell>
          <cell r="S335" t="str">
            <v>Al horno</v>
          </cell>
          <cell r="T335" t="str">
            <v>15 Min a 300°F (150 °C)</v>
          </cell>
          <cell r="U335" t="str">
            <v>61 Mts Cuadrados/Gl a 1 mills de espesor.</v>
          </cell>
          <cell r="V335" t="str">
            <v>80-90</v>
          </cell>
          <cell r="W335" t="str">
            <v>F-H</v>
          </cell>
          <cell r="X335" t="str">
            <v>6-12 meses</v>
          </cell>
          <cell r="Y335" t="str">
            <v>-</v>
          </cell>
          <cell r="Z335" t="str">
            <v>-</v>
          </cell>
          <cell r="AA335" t="str">
            <v>-</v>
          </cell>
          <cell r="AB335" t="str">
            <v>Corina de Turcios</v>
          </cell>
          <cell r="AC335">
            <v>36644</v>
          </cell>
        </row>
        <row r="336">
          <cell r="A336" t="str">
            <v>F75HSA1</v>
          </cell>
          <cell r="B336" t="str">
            <v>Esmalte Horneable Industrial Beige Tiler</v>
          </cell>
          <cell r="C336" t="str">
            <v>Interior-Exterior</v>
          </cell>
          <cell r="D336" t="str">
            <v>Hierro</v>
          </cell>
          <cell r="E336" t="str">
            <v>Limpieza y Desengrase</v>
          </cell>
          <cell r="F336" t="str">
            <v>Ninguno</v>
          </cell>
          <cell r="G336" t="str">
            <v>8.64 Lbs/Gl</v>
          </cell>
          <cell r="H336" t="str">
            <v>17.42%</v>
          </cell>
          <cell r="I336" t="str">
            <v>54.80%</v>
          </cell>
          <cell r="J336" t="str">
            <v>67%</v>
          </cell>
          <cell r="K336" t="str">
            <v>11.08%</v>
          </cell>
          <cell r="L336" t="str">
            <v>41.43%</v>
          </cell>
          <cell r="M336" t="str">
            <v>100"-110" Copa Zanh #2</v>
          </cell>
          <cell r="N336" t="str">
            <v>Pistola</v>
          </cell>
          <cell r="O336" t="str">
            <v>18"-22" Copa Zanh #2</v>
          </cell>
          <cell r="P336" t="str">
            <v>20-25%</v>
          </cell>
          <cell r="Q336" t="str">
            <v>R2K4 Industrial Reducer.</v>
          </cell>
          <cell r="R336" t="str">
            <v>1-1.5 mills</v>
          </cell>
          <cell r="S336" t="str">
            <v>Al horno</v>
          </cell>
          <cell r="T336" t="str">
            <v>15 Min a 300°F (150 °C)</v>
          </cell>
          <cell r="U336" t="str">
            <v>61 Mts Cuadrados/Gl a 1 mills de espesor.</v>
          </cell>
          <cell r="V336" t="str">
            <v>80-90</v>
          </cell>
          <cell r="W336" t="str">
            <v>F-H</v>
          </cell>
          <cell r="X336" t="str">
            <v>6-12 meses</v>
          </cell>
          <cell r="Y336" t="str">
            <v>-</v>
          </cell>
          <cell r="Z336" t="str">
            <v>-</v>
          </cell>
          <cell r="AA336" t="str">
            <v>-</v>
          </cell>
          <cell r="AB336" t="str">
            <v>Corina de Turcios</v>
          </cell>
          <cell r="AC336">
            <v>36644</v>
          </cell>
        </row>
        <row r="337">
          <cell r="A337" t="str">
            <v>F75NSA1</v>
          </cell>
          <cell r="B337" t="str">
            <v>Esmalte Horneable Industrial Café Liso</v>
          </cell>
          <cell r="C337" t="str">
            <v>Interior-Exterior</v>
          </cell>
          <cell r="D337" t="str">
            <v>Hierro</v>
          </cell>
          <cell r="E337" t="str">
            <v>Limpieza y Desengrase</v>
          </cell>
          <cell r="F337" t="str">
            <v>Ninguno</v>
          </cell>
          <cell r="G337" t="str">
            <v>8.15 Lbs/Gl</v>
          </cell>
          <cell r="H337" t="str">
            <v>10.73%</v>
          </cell>
          <cell r="I337" t="str">
            <v>50.41%</v>
          </cell>
          <cell r="J337" t="str">
            <v>77.3%</v>
          </cell>
          <cell r="K337" t="str">
            <v>6.71%</v>
          </cell>
          <cell r="L337" t="str">
            <v>39.49%</v>
          </cell>
          <cell r="M337" t="str">
            <v>100"-110" Copa Zanh #2</v>
          </cell>
          <cell r="N337" t="str">
            <v>Pistola</v>
          </cell>
          <cell r="O337" t="str">
            <v>18"-22" Copa Zanh #2</v>
          </cell>
          <cell r="P337" t="str">
            <v>20-25%</v>
          </cell>
          <cell r="Q337" t="str">
            <v>R2K4 Industrial Reducer.</v>
          </cell>
          <cell r="R337" t="str">
            <v>1-1.5 mills</v>
          </cell>
          <cell r="S337" t="str">
            <v>Al horno</v>
          </cell>
          <cell r="T337" t="str">
            <v>15 Min a 300°F (150 °C)</v>
          </cell>
          <cell r="U337" t="str">
            <v>58.25 Mts Cuadrados/Gl a 1 mills de espesor.</v>
          </cell>
          <cell r="V337" t="str">
            <v>80-90</v>
          </cell>
          <cell r="W337" t="str">
            <v>F-H</v>
          </cell>
          <cell r="X337" t="str">
            <v>6-12 meses</v>
          </cell>
          <cell r="Y337" t="str">
            <v>-</v>
          </cell>
          <cell r="Z337" t="str">
            <v>-</v>
          </cell>
          <cell r="AA337" t="str">
            <v>-</v>
          </cell>
          <cell r="AB337" t="str">
            <v>Corina de Turcios</v>
          </cell>
          <cell r="AC337">
            <v>36644</v>
          </cell>
        </row>
        <row r="338">
          <cell r="A338" t="str">
            <v>F75NSA2</v>
          </cell>
          <cell r="B338" t="str">
            <v>Esmalte Horneable Industrial Café Chocolate</v>
          </cell>
          <cell r="C338" t="str">
            <v>Interior-Exterior</v>
          </cell>
          <cell r="D338" t="str">
            <v xml:space="preserve">Acero </v>
          </cell>
          <cell r="E338" t="str">
            <v>Limpieza y Desengrase</v>
          </cell>
          <cell r="F338" t="str">
            <v>Ninguno</v>
          </cell>
          <cell r="G338" t="str">
            <v>7.83 Lbs/Gl</v>
          </cell>
          <cell r="H338" t="str">
            <v>6.07%</v>
          </cell>
          <cell r="I338" t="str">
            <v>47.32%</v>
          </cell>
          <cell r="J338" t="str">
            <v>86.38%</v>
          </cell>
          <cell r="K338" t="str">
            <v>3.76%</v>
          </cell>
          <cell r="L338" t="str">
            <v>32.28%</v>
          </cell>
          <cell r="M338" t="str">
            <v>100"-110" Copa Zanh #2</v>
          </cell>
          <cell r="N338" t="str">
            <v>Pistola</v>
          </cell>
          <cell r="O338" t="str">
            <v>18"-22" Copa Zanh #2</v>
          </cell>
          <cell r="P338" t="str">
            <v>20-25%</v>
          </cell>
          <cell r="Q338" t="str">
            <v>R2K4 Industrial Reducer.</v>
          </cell>
          <cell r="R338" t="str">
            <v>1-1.5 mills</v>
          </cell>
          <cell r="S338" t="str">
            <v>Al horno</v>
          </cell>
          <cell r="T338" t="str">
            <v>15 Min a 300°F (150 °C)</v>
          </cell>
          <cell r="U338" t="str">
            <v>57 Mts Cuadrados/Gl a 1 mills de espesor.</v>
          </cell>
          <cell r="V338" t="str">
            <v>80-90</v>
          </cell>
          <cell r="W338" t="str">
            <v>F-H</v>
          </cell>
          <cell r="X338" t="str">
            <v>6-12 meses</v>
          </cell>
          <cell r="Y338" t="str">
            <v>-</v>
          </cell>
          <cell r="Z338" t="str">
            <v>-</v>
          </cell>
          <cell r="AA338" t="str">
            <v>-</v>
          </cell>
          <cell r="AB338" t="str">
            <v>Corina de Turcios</v>
          </cell>
          <cell r="AC338">
            <v>36644</v>
          </cell>
        </row>
        <row r="339">
          <cell r="A339" t="str">
            <v>F75WSA1</v>
          </cell>
          <cell r="B339" t="str">
            <v>Esmalte Horneable Industrial Blanco</v>
          </cell>
          <cell r="C339" t="str">
            <v>Interior-Exterior</v>
          </cell>
          <cell r="D339" t="str">
            <v>Hierro</v>
          </cell>
          <cell r="E339" t="str">
            <v>Limpieza y Desengrase</v>
          </cell>
          <cell r="F339" t="str">
            <v>Ninguno</v>
          </cell>
          <cell r="G339" t="str">
            <v>9.85 Lbs/Gl</v>
          </cell>
          <cell r="H339" t="str">
            <v>30.54%</v>
          </cell>
          <cell r="I339" t="str">
            <v>63.50%</v>
          </cell>
          <cell r="J339" t="str">
            <v>50.69%</v>
          </cell>
          <cell r="K339" t="str">
            <v>19.90%</v>
          </cell>
          <cell r="L339" t="str">
            <v>46.17%</v>
          </cell>
          <cell r="M339" t="str">
            <v>100"-110" Copa Zanh #2</v>
          </cell>
          <cell r="N339" t="str">
            <v>Pistola</v>
          </cell>
          <cell r="O339" t="str">
            <v>18"-22" Copa Zanh #2</v>
          </cell>
          <cell r="P339" t="str">
            <v>20-25%</v>
          </cell>
          <cell r="Q339" t="str">
            <v>R2K4 Industrial Reducer.</v>
          </cell>
          <cell r="R339" t="str">
            <v>1-1.5 mills</v>
          </cell>
          <cell r="S339" t="str">
            <v>Al horno</v>
          </cell>
          <cell r="T339" t="str">
            <v>15 Min a 300°F (150 °C)</v>
          </cell>
          <cell r="U339" t="str">
            <v>68 Mts Cuadrados/Gl a 1 mills de espesor.</v>
          </cell>
          <cell r="V339" t="str">
            <v>80-90</v>
          </cell>
          <cell r="W339" t="str">
            <v>F-H</v>
          </cell>
          <cell r="X339" t="str">
            <v>6-12 meses</v>
          </cell>
          <cell r="Y339" t="str">
            <v>-</v>
          </cell>
          <cell r="Z339" t="str">
            <v>-</v>
          </cell>
          <cell r="AA339" t="str">
            <v>-</v>
          </cell>
          <cell r="AB339" t="str">
            <v>Corina de Turcios</v>
          </cell>
          <cell r="AC339">
            <v>36644</v>
          </cell>
        </row>
        <row r="340">
          <cell r="A340" t="str">
            <v>SAA 4896</v>
          </cell>
          <cell r="B340" t="str">
            <v>Pintura de Látex Acrílico Blanca</v>
          </cell>
          <cell r="C340" t="str">
            <v>Interior-Exterior</v>
          </cell>
          <cell r="D340" t="str">
            <v>Lámina Galvanizada</v>
          </cell>
          <cell r="E340" t="str">
            <v>Libre de Polvo, Grasa o Cuarquier Sustancia Contaminate</v>
          </cell>
          <cell r="F340" t="str">
            <v>Ninguno</v>
          </cell>
          <cell r="G340" t="str">
            <v>10.83 Lbs/Gl</v>
          </cell>
          <cell r="H340" t="str">
            <v>35.49%</v>
          </cell>
          <cell r="I340" t="str">
            <v>46.71%</v>
          </cell>
          <cell r="J340" t="str">
            <v>53.29%</v>
          </cell>
          <cell r="K340" t="str">
            <v>41.71%</v>
          </cell>
          <cell r="L340" t="str">
            <v>31.75%</v>
          </cell>
          <cell r="M340" t="str">
            <v>90-95 KU</v>
          </cell>
          <cell r="N340" t="str">
            <v>Brocha</v>
          </cell>
          <cell r="O340" t="str">
            <v>90-95KU</v>
          </cell>
          <cell r="P340" t="str">
            <v>Ninguno</v>
          </cell>
          <cell r="Q340" t="str">
            <v>Agua Para Lavar Equipo</v>
          </cell>
          <cell r="R340" t="str">
            <v xml:space="preserve">1.5 mills  </v>
          </cell>
          <cell r="S340" t="str">
            <v>Al aire</v>
          </cell>
          <cell r="T340" t="str">
            <v>-</v>
          </cell>
          <cell r="U340" t="str">
            <v>25-30 Mts cuadrados/Gl</v>
          </cell>
          <cell r="V340" t="str">
            <v>Satinado</v>
          </cell>
          <cell r="W340" t="str">
            <v>-</v>
          </cell>
          <cell r="X340" t="str">
            <v>1-2 Años</v>
          </cell>
          <cell r="Y340" t="str">
            <v>PREXCON</v>
          </cell>
          <cell r="Z340" t="str">
            <v>Antenas</v>
          </cell>
          <cell r="AA340" t="str">
            <v>-</v>
          </cell>
          <cell r="AB340" t="str">
            <v>Ana Irene Mendez Vides</v>
          </cell>
          <cell r="AC340">
            <v>36690</v>
          </cell>
        </row>
        <row r="341">
          <cell r="A341" t="str">
            <v>SAA 4897</v>
          </cell>
          <cell r="B341" t="str">
            <v>Pintura de Látex Acrílico Naranja</v>
          </cell>
          <cell r="C341" t="str">
            <v>Interior-Exterior</v>
          </cell>
          <cell r="D341" t="str">
            <v>Lámina Galvanizada</v>
          </cell>
          <cell r="E341" t="str">
            <v>Libre de Polvo, Grasa o Cuarquier Sustancia Contaminate</v>
          </cell>
          <cell r="F341" t="str">
            <v>Ninguno</v>
          </cell>
          <cell r="G341" t="str">
            <v>9.32 Lbs/Gl</v>
          </cell>
          <cell r="H341" t="str">
            <v>35.91%</v>
          </cell>
          <cell r="I341" t="str">
            <v>35.91%</v>
          </cell>
          <cell r="J341" t="str">
            <v>64.05%</v>
          </cell>
          <cell r="K341" t="str">
            <v>36.76%</v>
          </cell>
          <cell r="L341" t="str">
            <v>29.21%</v>
          </cell>
          <cell r="M341" t="str">
            <v>90-95 KU</v>
          </cell>
          <cell r="N341" t="str">
            <v>Brocha</v>
          </cell>
          <cell r="O341" t="str">
            <v>90-95KU</v>
          </cell>
          <cell r="P341" t="str">
            <v>Ninguno</v>
          </cell>
          <cell r="Q341" t="str">
            <v>Agua Para Lavar Equipo</v>
          </cell>
          <cell r="R341" t="str">
            <v xml:space="preserve">1.5 mills  </v>
          </cell>
          <cell r="S341" t="str">
            <v>Al aire</v>
          </cell>
          <cell r="T341" t="str">
            <v>-</v>
          </cell>
          <cell r="U341" t="str">
            <v>25-30 Mts cuadrados/Gl</v>
          </cell>
          <cell r="V341" t="str">
            <v>Satinado</v>
          </cell>
          <cell r="W341" t="str">
            <v>-</v>
          </cell>
          <cell r="X341" t="str">
            <v>1-2 Años</v>
          </cell>
          <cell r="Y341" t="str">
            <v>PREXCON</v>
          </cell>
          <cell r="Z341" t="str">
            <v>Antenas</v>
          </cell>
          <cell r="AA341" t="str">
            <v>-</v>
          </cell>
          <cell r="AB341" t="str">
            <v>Ana Irene Mendez Vides</v>
          </cell>
          <cell r="AC341">
            <v>36690</v>
          </cell>
        </row>
        <row r="342">
          <cell r="A342" t="str">
            <v>D1T13</v>
          </cell>
          <cell r="B342" t="str">
            <v>White Fat Cut Rubbing Compound</v>
          </cell>
          <cell r="C342" t="str">
            <v>-</v>
          </cell>
          <cell r="D342" t="str">
            <v>Metal cubierto con Laca</v>
          </cell>
          <cell r="E342" t="str">
            <v xml:space="preserve">Limpieza de la Superficie </v>
          </cell>
          <cell r="F342" t="str">
            <v>Ninguno</v>
          </cell>
          <cell r="G342" t="str">
            <v>10.49 Lbs/Gl</v>
          </cell>
          <cell r="H342" t="str">
            <v>-</v>
          </cell>
          <cell r="I342" t="str">
            <v>47.54%</v>
          </cell>
          <cell r="J342" t="str">
            <v>-</v>
          </cell>
          <cell r="K342" t="str">
            <v>-</v>
          </cell>
          <cell r="L342" t="str">
            <v>27.14%</v>
          </cell>
          <cell r="M342" t="str">
            <v>Pasta</v>
          </cell>
          <cell r="N342" t="str">
            <v>Trapo</v>
          </cell>
          <cell r="O342" t="str">
            <v>Pasta</v>
          </cell>
          <cell r="P342" t="str">
            <v>No se reduce</v>
          </cell>
          <cell r="Q342" t="str">
            <v>Ninguno</v>
          </cell>
          <cell r="R342" t="str">
            <v>-</v>
          </cell>
          <cell r="S342" t="str">
            <v>-</v>
          </cell>
          <cell r="T342" t="str">
            <v>-</v>
          </cell>
          <cell r="U342" t="str">
            <v>-</v>
          </cell>
          <cell r="V342" t="str">
            <v>-</v>
          </cell>
          <cell r="W342" t="str">
            <v>Pasta Blanda</v>
          </cell>
          <cell r="X342" t="str">
            <v>2 Años</v>
          </cell>
          <cell r="Y342" t="str">
            <v>Clientes Varios</v>
          </cell>
          <cell r="Z342" t="str">
            <v>-</v>
          </cell>
          <cell r="AA342" t="str">
            <v>-</v>
          </cell>
          <cell r="AB342" t="str">
            <v>Rigoberto Montalvo</v>
          </cell>
          <cell r="AC342">
            <v>36698</v>
          </cell>
        </row>
        <row r="343">
          <cell r="A343" t="str">
            <v>H87TSA1</v>
          </cell>
          <cell r="B343" t="str">
            <v>Laca Transparente Para Cuero</v>
          </cell>
          <cell r="C343" t="str">
            <v>-</v>
          </cell>
          <cell r="D343" t="str">
            <v>Cuero</v>
          </cell>
          <cell r="E343" t="str">
            <v>Limpio con Solvente</v>
          </cell>
          <cell r="F343" t="str">
            <v>Ninguno</v>
          </cell>
          <cell r="G343" t="str">
            <v>7.84 Lbs/Gl</v>
          </cell>
          <cell r="H343" t="str">
            <v>-</v>
          </cell>
          <cell r="I343" t="str">
            <v>23.47%</v>
          </cell>
          <cell r="J343" t="str">
            <v>23.47%</v>
          </cell>
          <cell r="K343" t="str">
            <v>-</v>
          </cell>
          <cell r="L343" t="str">
            <v>16.68%</v>
          </cell>
          <cell r="M343" t="str">
            <v>20"-30" Copa SW #5</v>
          </cell>
          <cell r="N343" t="str">
            <v>Pistola</v>
          </cell>
          <cell r="O343" t="str">
            <v>18-20 Seg. Copa Zanh #2</v>
          </cell>
          <cell r="P343" t="str">
            <v>100-150%</v>
          </cell>
          <cell r="Q343" t="str">
            <v>R7KSA7</v>
          </cell>
          <cell r="R343" t="str">
            <v>-</v>
          </cell>
          <cell r="S343" t="str">
            <v xml:space="preserve"> 1 1/2 Horas.</v>
          </cell>
          <cell r="T343" t="str">
            <v>-</v>
          </cell>
          <cell r="U343" t="str">
            <v>-</v>
          </cell>
          <cell r="V343" t="str">
            <v>+80</v>
          </cell>
          <cell r="W343" t="str">
            <v>-</v>
          </cell>
          <cell r="X343" t="str">
            <v>6 meses</v>
          </cell>
          <cell r="Y343" t="str">
            <v>DIDEMA-GUATEMALA</v>
          </cell>
          <cell r="Z343" t="str">
            <v>-</v>
          </cell>
          <cell r="AA343" t="str">
            <v>-</v>
          </cell>
          <cell r="AB343" t="str">
            <v>Corina de Turcios</v>
          </cell>
          <cell r="AC343">
            <v>36746</v>
          </cell>
        </row>
        <row r="344">
          <cell r="A344" t="str">
            <v>E60FSA1</v>
          </cell>
          <cell r="B344" t="str">
            <v>Sellador Poliuretano Para Madera</v>
          </cell>
          <cell r="C344" t="str">
            <v>Interior</v>
          </cell>
          <cell r="D344" t="str">
            <v>Madera</v>
          </cell>
          <cell r="E344" t="str">
            <v>Lijado + Tapaporo + Tintes</v>
          </cell>
          <cell r="F344" t="str">
            <v>Mismo</v>
          </cell>
          <cell r="G344" t="str">
            <v>7.73 Lbs/Gl</v>
          </cell>
          <cell r="H344" t="str">
            <v>3.23%</v>
          </cell>
          <cell r="I344" t="str">
            <v>24.4% (Catalizado 27.20%)</v>
          </cell>
          <cell r="J344" t="str">
            <v>21.17%</v>
          </cell>
          <cell r="K344" t="str">
            <v>12.85%</v>
          </cell>
          <cell r="L344" t="str">
            <v>17.98% (Catalizado 20.46%)</v>
          </cell>
          <cell r="M344" t="str">
            <v>18"-20" Copa Ford #4</v>
          </cell>
          <cell r="N344" t="str">
            <v>Pistola convencional</v>
          </cell>
          <cell r="O344" t="str">
            <v>18"-20" Copa Ford #4</v>
          </cell>
          <cell r="P344" t="str">
            <v>Ninguno</v>
          </cell>
          <cell r="Q344" t="str">
            <v>Ninguno</v>
          </cell>
          <cell r="R344" t="str">
            <v>2 mills</v>
          </cell>
          <cell r="S344" t="str">
            <v>45 Minutos</v>
          </cell>
          <cell r="T344" t="str">
            <v>Catalizado con 1/16 de  V6V690</v>
          </cell>
          <cell r="U344" t="str">
            <v>13.37 Mts Cuadrados/Gl a 2 mills de Película Seca</v>
          </cell>
          <cell r="V344" t="str">
            <v>20 Unidades</v>
          </cell>
          <cell r="W344" t="str">
            <v>HB</v>
          </cell>
          <cell r="X344" t="str">
            <v>3 años</v>
          </cell>
          <cell r="Y344" t="str">
            <v>-</v>
          </cell>
          <cell r="Z344" t="str">
            <v>-</v>
          </cell>
          <cell r="AA344" t="str">
            <v>-</v>
          </cell>
          <cell r="AB344" t="str">
            <v>Corina de Turcios</v>
          </cell>
          <cell r="AC344">
            <v>36756</v>
          </cell>
        </row>
        <row r="345">
          <cell r="A345" t="str">
            <v>F74C51</v>
          </cell>
          <cell r="B345" t="str">
            <v>Barniz Poliuretano Brillante Para Madera</v>
          </cell>
          <cell r="C345" t="str">
            <v>Interior</v>
          </cell>
          <cell r="D345" t="str">
            <v>Madera</v>
          </cell>
          <cell r="E345" t="str">
            <v>Lijado + Tapaporo + Tintes + Sellador</v>
          </cell>
          <cell r="F345" t="str">
            <v>Sellador Poliuretano E60FSA1</v>
          </cell>
          <cell r="G345" t="str">
            <v>7.88 Lbs/Gl</v>
          </cell>
          <cell r="H345" t="str">
            <v>-</v>
          </cell>
          <cell r="I345" t="str">
            <v>24.94% (Catalizado 27.92%)</v>
          </cell>
          <cell r="J345" t="str">
            <v>21.94%</v>
          </cell>
          <cell r="K345" t="str">
            <v>-</v>
          </cell>
          <cell r="L345" t="str">
            <v>15.77% (Catalizado 18.38%)</v>
          </cell>
          <cell r="M345" t="str">
            <v>18"-20" Copa Ford #4</v>
          </cell>
          <cell r="N345" t="str">
            <v>Pistola Convencional</v>
          </cell>
          <cell r="O345" t="str">
            <v>18"-20" Copa Ford #4</v>
          </cell>
          <cell r="P345" t="str">
            <v>Ninguno</v>
          </cell>
          <cell r="Q345" t="str">
            <v>Ninguno</v>
          </cell>
          <cell r="R345" t="str">
            <v>2 mills</v>
          </cell>
          <cell r="S345" t="str">
            <v>30 Minutos Al Aire</v>
          </cell>
          <cell r="T345" t="str">
            <v>Catalizado con 1/16 de V6V690</v>
          </cell>
          <cell r="U345" t="str">
            <v>11.72 Mts Cuadrados/Gl a 2 mills de Espesor</v>
          </cell>
          <cell r="V345" t="str">
            <v>80 Unidades</v>
          </cell>
          <cell r="W345" t="str">
            <v>HB</v>
          </cell>
          <cell r="X345" t="str">
            <v>3 Años</v>
          </cell>
          <cell r="Y345" t="str">
            <v>-</v>
          </cell>
          <cell r="Z345" t="str">
            <v>-</v>
          </cell>
          <cell r="AA345" t="str">
            <v>-</v>
          </cell>
          <cell r="AB345" t="str">
            <v>Corina de Turcios</v>
          </cell>
          <cell r="AC345">
            <v>36756</v>
          </cell>
        </row>
        <row r="346">
          <cell r="A346" t="str">
            <v>F74FSA1</v>
          </cell>
          <cell r="B346" t="str">
            <v>Barniz Poliuretano Mate Para Madera</v>
          </cell>
          <cell r="C346" t="str">
            <v>Interior</v>
          </cell>
          <cell r="D346" t="str">
            <v>Madera</v>
          </cell>
          <cell r="E346" t="str">
            <v>Lijado+Tapaporo+Tinte+Sellador (E60FSA1)</v>
          </cell>
          <cell r="F346" t="str">
            <v>E60FSA1</v>
          </cell>
          <cell r="G346" t="str">
            <v>7.88 Lbs/Gl</v>
          </cell>
          <cell r="H346" t="str">
            <v>5.82%</v>
          </cell>
          <cell r="I346" t="str">
            <v>25.99% (Catalizado 28.63%)</v>
          </cell>
          <cell r="J346" t="str">
            <v>20.17%</v>
          </cell>
          <cell r="K346" t="str">
            <v>14.63%</v>
          </cell>
          <cell r="L346" t="str">
            <v>18.05% (Catalizado 20.53%)</v>
          </cell>
          <cell r="M346" t="str">
            <v>18"-20" Copa Ford #4</v>
          </cell>
          <cell r="N346" t="str">
            <v>Pistola Convencional</v>
          </cell>
          <cell r="O346" t="str">
            <v>18"-20" Copa Ford #4</v>
          </cell>
          <cell r="P346" t="str">
            <v>Ninguno</v>
          </cell>
          <cell r="Q346" t="str">
            <v>Ninguno</v>
          </cell>
          <cell r="R346" t="str">
            <v>2 mills</v>
          </cell>
          <cell r="S346" t="str">
            <v>1/2 hora al aire</v>
          </cell>
          <cell r="T346" t="str">
            <v>Catalizado con 1/16 de V6V690</v>
          </cell>
          <cell r="U346" t="str">
            <v>13.42 Mts Cuadrados/Gl a 2 mills de película seca.</v>
          </cell>
          <cell r="V346" t="str">
            <v>5-7</v>
          </cell>
          <cell r="W346" t="str">
            <v>HB</v>
          </cell>
          <cell r="X346" t="str">
            <v>3 años</v>
          </cell>
          <cell r="Y346" t="str">
            <v>-</v>
          </cell>
          <cell r="Z346" t="str">
            <v>-</v>
          </cell>
          <cell r="AA346" t="str">
            <v>-</v>
          </cell>
          <cell r="AB346" t="str">
            <v>Corina de Turcios</v>
          </cell>
          <cell r="AC346">
            <v>36756</v>
          </cell>
        </row>
        <row r="347">
          <cell r="A347" t="str">
            <v>F74FSA2</v>
          </cell>
          <cell r="B347" t="str">
            <v>Barniz Poliuretano Satinado Industrial</v>
          </cell>
          <cell r="C347" t="str">
            <v>Interior</v>
          </cell>
          <cell r="D347" t="str">
            <v>Madera</v>
          </cell>
          <cell r="E347" t="str">
            <v>Lijado+Tapaporo+Tinte+Sellador (E60FSA1)</v>
          </cell>
          <cell r="F347" t="str">
            <v>E60FSA1</v>
          </cell>
          <cell r="G347" t="str">
            <v>7.69 Lbs/Gl</v>
          </cell>
          <cell r="H347" t="str">
            <v>1.82% p/p</v>
          </cell>
          <cell r="I347" t="str">
            <v>22.45%</v>
          </cell>
          <cell r="J347" t="str">
            <v>20.63%</v>
          </cell>
          <cell r="K347" t="str">
            <v>0.50%</v>
          </cell>
          <cell r="L347" t="str">
            <v>16.28%</v>
          </cell>
          <cell r="M347" t="str">
            <v>18"-20" Copa Ford #4</v>
          </cell>
          <cell r="N347" t="str">
            <v>Pistola Convencional</v>
          </cell>
          <cell r="O347" t="str">
            <v>18"-20" Copa Ford #4</v>
          </cell>
          <cell r="P347" t="str">
            <v>Ninguno</v>
          </cell>
          <cell r="Q347" t="str">
            <v>Solo si es necesario R7K7590 Reductor Universal.</v>
          </cell>
          <cell r="R347" t="str">
            <v>1 mills</v>
          </cell>
          <cell r="S347" t="str">
            <v>Al aire</v>
          </cell>
          <cell r="T347" t="str">
            <v>Catalizado con  V6V690</v>
          </cell>
          <cell r="U347" t="str">
            <v>260.97 Pies Cuadrados/Gl a 1 mills de película seca.</v>
          </cell>
          <cell r="V347" t="str">
            <v>27-32</v>
          </cell>
          <cell r="W347" t="str">
            <v>-</v>
          </cell>
          <cell r="X347" t="str">
            <v>1 Año</v>
          </cell>
          <cell r="Y347" t="str">
            <v>-</v>
          </cell>
          <cell r="Z347" t="str">
            <v>-</v>
          </cell>
          <cell r="AA347" t="str">
            <v>-</v>
          </cell>
          <cell r="AB347" t="str">
            <v>Corina de Turcios</v>
          </cell>
          <cell r="AC347">
            <v>36756</v>
          </cell>
        </row>
        <row r="348">
          <cell r="A348" t="str">
            <v>L60BSA10</v>
          </cell>
          <cell r="B348" t="str">
            <v>Laca Industrial Negro Mate</v>
          </cell>
          <cell r="C348" t="str">
            <v>Interior</v>
          </cell>
          <cell r="D348" t="str">
            <v>Hierro</v>
          </cell>
          <cell r="E348" t="str">
            <v>Limpieza y Desengrase</v>
          </cell>
          <cell r="F348" t="str">
            <v>Ninguno</v>
          </cell>
          <cell r="G348" t="str">
            <v>7.84 Lbs/Gl</v>
          </cell>
          <cell r="H348" t="str">
            <v>1.2%</v>
          </cell>
          <cell r="I348" t="str">
            <v>28.0%</v>
          </cell>
          <cell r="J348" t="str">
            <v>79.50%</v>
          </cell>
          <cell r="K348" t="str">
            <v>3-5%</v>
          </cell>
          <cell r="L348" t="str">
            <v>19.80%</v>
          </cell>
          <cell r="M348" t="str">
            <v>15"-20" Copa SW #5</v>
          </cell>
          <cell r="N348" t="str">
            <v>Inmersión</v>
          </cell>
          <cell r="O348" t="str">
            <v>18"-22" Copa Zanh #2</v>
          </cell>
          <cell r="P348" t="str">
            <v>100%</v>
          </cell>
          <cell r="Q348" t="str">
            <v>R7K128</v>
          </cell>
          <cell r="R348" t="str">
            <v>1 mills</v>
          </cell>
          <cell r="S348" t="str">
            <v>Al Aire</v>
          </cell>
          <cell r="T348" t="str">
            <v>-</v>
          </cell>
          <cell r="U348" t="str">
            <v>28.7 Mts Cuadrados/Gl a 1 mills de espesor</v>
          </cell>
          <cell r="V348" t="str">
            <v>3-4</v>
          </cell>
          <cell r="W348" t="str">
            <v>-</v>
          </cell>
          <cell r="X348" t="str">
            <v>6-12 meses</v>
          </cell>
          <cell r="Y348" t="str">
            <v>-</v>
          </cell>
          <cell r="Z348" t="str">
            <v>-</v>
          </cell>
          <cell r="AA348" t="str">
            <v>-</v>
          </cell>
          <cell r="AB348" t="str">
            <v>Corina de Turcios</v>
          </cell>
          <cell r="AC348">
            <v>36756</v>
          </cell>
        </row>
        <row r="349">
          <cell r="A349" t="str">
            <v>L60ESA2</v>
          </cell>
          <cell r="B349" t="str">
            <v>Laca Industrial Naranja Boira</v>
          </cell>
          <cell r="C349" t="str">
            <v>Interior</v>
          </cell>
          <cell r="D349" t="str">
            <v>Hierro</v>
          </cell>
          <cell r="E349" t="str">
            <v>Limpieza y Desengrase</v>
          </cell>
          <cell r="F349" t="str">
            <v>Ninguno</v>
          </cell>
          <cell r="G349" t="str">
            <v>8.22 Lbs/Gl</v>
          </cell>
          <cell r="H349" t="str">
            <v>11.69%</v>
          </cell>
          <cell r="I349" t="str">
            <v>35.0%</v>
          </cell>
          <cell r="J349" t="str">
            <v>52.62%</v>
          </cell>
          <cell r="K349" t="str">
            <v>9.21%</v>
          </cell>
          <cell r="L349" t="str">
            <v>23.44%</v>
          </cell>
          <cell r="M349" t="str">
            <v>30"-40" Copa SW #5</v>
          </cell>
          <cell r="N349" t="str">
            <v>Inmersión</v>
          </cell>
          <cell r="O349" t="str">
            <v>18"-22" Copa Zanh #2</v>
          </cell>
          <cell r="P349" t="str">
            <v>100-150%</v>
          </cell>
          <cell r="Q349" t="str">
            <v>R7K128</v>
          </cell>
          <cell r="R349" t="str">
            <v>1 mills</v>
          </cell>
          <cell r="S349" t="str">
            <v>Al Aire</v>
          </cell>
          <cell r="T349" t="str">
            <v>-</v>
          </cell>
          <cell r="U349" t="str">
            <v>35 Mts Cuadrados/Gl a 1 mills de espesor</v>
          </cell>
          <cell r="V349" t="str">
            <v>+80</v>
          </cell>
          <cell r="W349" t="str">
            <v>-</v>
          </cell>
          <cell r="X349" t="str">
            <v>6-12 meses</v>
          </cell>
          <cell r="Y349" t="str">
            <v>-</v>
          </cell>
          <cell r="Z349" t="str">
            <v>-</v>
          </cell>
          <cell r="AA349" t="str">
            <v>-</v>
          </cell>
          <cell r="AB349" t="str">
            <v>Corina de Turcios</v>
          </cell>
          <cell r="AC349">
            <v>36769</v>
          </cell>
        </row>
        <row r="350">
          <cell r="A350" t="str">
            <v>SAA 5064</v>
          </cell>
          <cell r="B350" t="str">
            <v>Laca Acrílica Azul Para Bolitas Navideñas</v>
          </cell>
          <cell r="C350" t="str">
            <v>Interior</v>
          </cell>
          <cell r="D350" t="str">
            <v>Polietileno y Poliestireno</v>
          </cell>
          <cell r="E350" t="str">
            <v>Limpieza Adecuada</v>
          </cell>
          <cell r="F350" t="str">
            <v>T70CSA16</v>
          </cell>
          <cell r="G350" t="str">
            <v>7.6 Lbs/Gl</v>
          </cell>
          <cell r="H350" t="str">
            <v>0.40%</v>
          </cell>
          <cell r="I350" t="str">
            <v>20.0%</v>
          </cell>
          <cell r="J350" t="str">
            <v>94.0%</v>
          </cell>
          <cell r="K350" t="str">
            <v>1.90%</v>
          </cell>
          <cell r="L350" t="str">
            <v>13.20%</v>
          </cell>
          <cell r="M350" t="str">
            <v>18"-22" Copa Zanh #2</v>
          </cell>
          <cell r="N350" t="str">
            <v>Inmersión</v>
          </cell>
          <cell r="O350" t="str">
            <v>18"-22" Copa Zanh #2</v>
          </cell>
          <cell r="P350" t="str">
            <v>Ninguno</v>
          </cell>
          <cell r="Q350" t="str">
            <v>-</v>
          </cell>
          <cell r="R350" t="str">
            <v>0.5-0.7 mills</v>
          </cell>
          <cell r="S350" t="str">
            <v>Al Aire 5-10 Minutos</v>
          </cell>
          <cell r="T350" t="str">
            <v>-</v>
          </cell>
          <cell r="U350" t="str">
            <v>19 Mts Cuadrados/Gl a 1 mills de espesor</v>
          </cell>
          <cell r="V350" t="str">
            <v>+85</v>
          </cell>
          <cell r="W350" t="str">
            <v>2B-B</v>
          </cell>
          <cell r="X350" t="str">
            <v>1 1/2 Años</v>
          </cell>
          <cell r="Y350" t="str">
            <v>DIDEMA-GUATEMALA</v>
          </cell>
          <cell r="Z350" t="str">
            <v>Adornos Navideños</v>
          </cell>
          <cell r="AA350" t="str">
            <v>-</v>
          </cell>
          <cell r="AB350" t="str">
            <v>Corina de Turcios</v>
          </cell>
          <cell r="AC350">
            <v>36776</v>
          </cell>
        </row>
        <row r="351">
          <cell r="A351" t="str">
            <v>SAA 5062</v>
          </cell>
          <cell r="B351" t="str">
            <v>Laca Acrílica Roja Para Bolitas Navideñas</v>
          </cell>
          <cell r="C351" t="str">
            <v>Interior</v>
          </cell>
          <cell r="D351" t="str">
            <v>Polietileno y Poliestireno</v>
          </cell>
          <cell r="E351" t="str">
            <v>Limpieza Adecuada</v>
          </cell>
          <cell r="F351" t="str">
            <v>T70CSA16</v>
          </cell>
          <cell r="G351" t="str">
            <v>7.6 Lbs/Gl</v>
          </cell>
          <cell r="H351" t="str">
            <v>0.20%</v>
          </cell>
          <cell r="I351" t="str">
            <v>20.0%</v>
          </cell>
          <cell r="J351" t="str">
            <v>95.0%</v>
          </cell>
          <cell r="K351" t="str">
            <v>1.30%</v>
          </cell>
          <cell r="L351" t="str">
            <v>13.0%</v>
          </cell>
          <cell r="M351" t="str">
            <v>18"-22" Copa Zanh #2</v>
          </cell>
          <cell r="N351" t="str">
            <v>Inmersión</v>
          </cell>
          <cell r="O351" t="str">
            <v>18"-22" Copa Zanh #2</v>
          </cell>
          <cell r="P351" t="str">
            <v>Ninguno</v>
          </cell>
          <cell r="Q351" t="str">
            <v>-</v>
          </cell>
          <cell r="R351" t="str">
            <v>0.5-0.7 mills</v>
          </cell>
          <cell r="S351" t="str">
            <v>Al Aire 5-10 Minutos</v>
          </cell>
          <cell r="T351" t="str">
            <v>-</v>
          </cell>
          <cell r="U351" t="str">
            <v>19 Mts Cuadrados/Gl a 1 mills de espesor</v>
          </cell>
          <cell r="V351" t="str">
            <v>+85</v>
          </cell>
          <cell r="W351" t="str">
            <v>2B-B</v>
          </cell>
          <cell r="X351" t="str">
            <v>1 1/2 Años</v>
          </cell>
          <cell r="Y351" t="str">
            <v>DIDEMA-GUATEMALA</v>
          </cell>
          <cell r="Z351" t="str">
            <v>Adornos Navideños</v>
          </cell>
          <cell r="AA351" t="str">
            <v>-</v>
          </cell>
          <cell r="AB351" t="str">
            <v>Corina de Turcios</v>
          </cell>
          <cell r="AC351">
            <v>36776</v>
          </cell>
        </row>
        <row r="352">
          <cell r="A352" t="str">
            <v>SAA 5063</v>
          </cell>
          <cell r="B352" t="str">
            <v>Laca Acrílica Amarilla Para Bolitas Navideñas</v>
          </cell>
          <cell r="C352" t="str">
            <v>Interior</v>
          </cell>
          <cell r="D352" t="str">
            <v>Polietileno y Poliestireno</v>
          </cell>
          <cell r="E352" t="str">
            <v>Limpieza Adecuada</v>
          </cell>
          <cell r="F352" t="str">
            <v>T70CSA16</v>
          </cell>
          <cell r="G352" t="str">
            <v>7.58 Lbs/Gl</v>
          </cell>
          <cell r="H352" t="str">
            <v>0.13%</v>
          </cell>
          <cell r="I352" t="str">
            <v>20.0%</v>
          </cell>
          <cell r="J352" t="str">
            <v>96.0%</v>
          </cell>
          <cell r="K352" t="str">
            <v>0.68%</v>
          </cell>
          <cell r="L352" t="str">
            <v>13.0%</v>
          </cell>
          <cell r="M352" t="str">
            <v>18"-22" Copa Zanh #2</v>
          </cell>
          <cell r="N352" t="str">
            <v>Inmersión</v>
          </cell>
          <cell r="O352" t="str">
            <v>18"-22" Copa Zanh #2</v>
          </cell>
          <cell r="P352" t="str">
            <v>Ninguno</v>
          </cell>
          <cell r="Q352" t="str">
            <v>-</v>
          </cell>
          <cell r="R352" t="str">
            <v>0.5-0.7 mills</v>
          </cell>
          <cell r="S352" t="str">
            <v>Al Aire 5-10 Minutos</v>
          </cell>
          <cell r="T352" t="str">
            <v>-</v>
          </cell>
          <cell r="U352" t="str">
            <v>19 Mts Cuadrados/Gl a 1 mills de espesor</v>
          </cell>
          <cell r="V352" t="str">
            <v>+85</v>
          </cell>
          <cell r="W352" t="str">
            <v>2B-B</v>
          </cell>
          <cell r="X352" t="str">
            <v>1 1/2 Años</v>
          </cell>
          <cell r="Y352" t="str">
            <v>DIDEMA-GUATEMALA</v>
          </cell>
          <cell r="Z352" t="str">
            <v>Adornos Navideños</v>
          </cell>
          <cell r="AA352" t="str">
            <v>-</v>
          </cell>
          <cell r="AB352" t="str">
            <v>Corina de Turcios</v>
          </cell>
          <cell r="AC352">
            <v>36776</v>
          </cell>
        </row>
        <row r="353">
          <cell r="A353" t="str">
            <v>T70CSA16</v>
          </cell>
          <cell r="B353" t="str">
            <v>Laca Industrial Transparente Brillante</v>
          </cell>
          <cell r="C353" t="str">
            <v>Interior</v>
          </cell>
          <cell r="D353" t="str">
            <v>Polietileno y Poliestireno</v>
          </cell>
          <cell r="E353" t="str">
            <v>Limpieza Adecuada</v>
          </cell>
          <cell r="F353" t="str">
            <v>Ninguno</v>
          </cell>
          <cell r="G353" t="str">
            <v>8.0 Lbs/Gl</v>
          </cell>
          <cell r="H353" t="str">
            <v>-</v>
          </cell>
          <cell r="I353" t="str">
            <v>40%</v>
          </cell>
          <cell r="J353" t="str">
            <v>40%</v>
          </cell>
          <cell r="K353" t="str">
            <v>-</v>
          </cell>
          <cell r="L353" t="str">
            <v>32%</v>
          </cell>
          <cell r="M353" t="str">
            <v>J-I (Gardner-Holdt)</v>
          </cell>
          <cell r="N353" t="str">
            <v>Inmersión</v>
          </cell>
          <cell r="O353" t="str">
            <v>18"-22" Copa Zanh #2</v>
          </cell>
          <cell r="P353" t="str">
            <v>100-125%</v>
          </cell>
          <cell r="Q353" t="str">
            <v>R7KSA7</v>
          </cell>
          <cell r="R353" t="str">
            <v>0.5-0.7 mills</v>
          </cell>
          <cell r="S353" t="str">
            <v>Al Aire 10 Minutos</v>
          </cell>
          <cell r="T353" t="str">
            <v>-</v>
          </cell>
          <cell r="U353" t="str">
            <v>48 Mts Cuadrados/Gl a 1 mills de espesor</v>
          </cell>
          <cell r="V353" t="str">
            <v>+80</v>
          </cell>
          <cell r="W353" t="str">
            <v>2B-B</v>
          </cell>
          <cell r="X353" t="str">
            <v>1 1/2 Años</v>
          </cell>
          <cell r="Y353" t="str">
            <v>DIDEMA-GUATEMALA</v>
          </cell>
          <cell r="Z353" t="str">
            <v>Adornos Navideños</v>
          </cell>
          <cell r="AA353" t="str">
            <v>-</v>
          </cell>
          <cell r="AB353" t="str">
            <v>Corina de Turcios</v>
          </cell>
          <cell r="AC353">
            <v>36776</v>
          </cell>
        </row>
        <row r="354">
          <cell r="A354" t="str">
            <v xml:space="preserve">SAA 4785 </v>
          </cell>
          <cell r="B354" t="str">
            <v>Kem Lustral Verde Químico</v>
          </cell>
          <cell r="C354" t="str">
            <v>Interior-Exterior</v>
          </cell>
          <cell r="D354" t="str">
            <v>Madera, Metal, Concreto.</v>
          </cell>
          <cell r="E354" t="str">
            <v>Limpia y Seca, Libre de grasa, Aceite u Óxido.</v>
          </cell>
          <cell r="F354" t="str">
            <v>Anticorrosivo Kromik Netal Primer para Superficies de Hierro o Acero.</v>
          </cell>
          <cell r="G354" t="str">
            <v>8.59 Lbs/Gl</v>
          </cell>
          <cell r="H354" t="str">
            <v>13.0%</v>
          </cell>
          <cell r="I354" t="str">
            <v>49.55%</v>
          </cell>
          <cell r="J354" t="str">
            <v>76.0%</v>
          </cell>
          <cell r="K354" t="str">
            <v>6.86%</v>
          </cell>
          <cell r="L354" t="str">
            <v>38.85%</v>
          </cell>
          <cell r="M354" t="str">
            <v>75-80 KU</v>
          </cell>
          <cell r="N354" t="str">
            <v xml:space="preserve">Brocha-Pistola </v>
          </cell>
          <cell r="O354" t="str">
            <v>-</v>
          </cell>
          <cell r="P354" t="str">
            <v>25.0%</v>
          </cell>
          <cell r="Q354" t="str">
            <v>VMP Naptha R1K3</v>
          </cell>
          <cell r="R354" t="str">
            <v>1 mills</v>
          </cell>
          <cell r="S354" t="str">
            <v>Completo: 4-6 Horas.</v>
          </cell>
          <cell r="T354" t="str">
            <v>-</v>
          </cell>
          <cell r="U354" t="str">
            <v>50 Mts Cuadrados/Gl a 1 mills de espesor</v>
          </cell>
          <cell r="V354" t="str">
            <v>90</v>
          </cell>
          <cell r="W354" t="str">
            <v>-</v>
          </cell>
          <cell r="X354" t="str">
            <v>3 Años</v>
          </cell>
          <cell r="Y354" t="str">
            <v>DIDEMA-GUATEMALA</v>
          </cell>
          <cell r="Z354" t="str">
            <v>-</v>
          </cell>
          <cell r="AA354" t="str">
            <v>-</v>
          </cell>
          <cell r="AB354" t="str">
            <v>Soraya de Quijada</v>
          </cell>
          <cell r="AC354">
            <v>36790</v>
          </cell>
        </row>
        <row r="355">
          <cell r="A355" t="str">
            <v>SAA 4950</v>
          </cell>
          <cell r="B355" t="str">
            <v>Kem Lustral Enamel Azul Fordson</v>
          </cell>
          <cell r="C355" t="str">
            <v>Interior-Exterior</v>
          </cell>
          <cell r="D355" t="str">
            <v>Madera, Metal, Concreto.</v>
          </cell>
          <cell r="E355" t="str">
            <v>Limpia y Seca, Libre de grasa, Aceite u Óxido.</v>
          </cell>
          <cell r="F355" t="str">
            <v>Anticorrosivo Kromik Netal Primer para Superficies de Hierro o Acero.</v>
          </cell>
          <cell r="G355" t="str">
            <v>8.23 Lbs/Gl</v>
          </cell>
          <cell r="H355" t="str">
            <v>10.0%</v>
          </cell>
          <cell r="I355" t="str">
            <v>47.0%</v>
          </cell>
          <cell r="J355" t="str">
            <v>82.0%</v>
          </cell>
          <cell r="K355" t="str">
            <v>7.40%</v>
          </cell>
          <cell r="L355" t="str">
            <v>38.19%</v>
          </cell>
          <cell r="M355" t="str">
            <v>75-80 KU</v>
          </cell>
          <cell r="N355" t="str">
            <v xml:space="preserve">Brocha-Pistola </v>
          </cell>
          <cell r="O355" t="str">
            <v>-</v>
          </cell>
          <cell r="P355" t="str">
            <v>25.0%</v>
          </cell>
          <cell r="Q355" t="str">
            <v>VMP Naptha R1K3</v>
          </cell>
          <cell r="R355" t="str">
            <v>1 mills</v>
          </cell>
          <cell r="S355" t="str">
            <v>Completo: 4-6 Horas.</v>
          </cell>
          <cell r="T355" t="str">
            <v>-</v>
          </cell>
          <cell r="U355" t="str">
            <v>50 Mts Cuadrados/Gl a 1 mills de espesor</v>
          </cell>
          <cell r="V355" t="str">
            <v>90</v>
          </cell>
          <cell r="W355" t="str">
            <v>-</v>
          </cell>
          <cell r="X355" t="str">
            <v>3 Años</v>
          </cell>
          <cell r="Y355" t="str">
            <v>DIDEMA-GUATEMALA</v>
          </cell>
          <cell r="Z355" t="str">
            <v>-</v>
          </cell>
          <cell r="AA355" t="str">
            <v>-</v>
          </cell>
          <cell r="AB355" t="str">
            <v>Soraya de Quijada</v>
          </cell>
          <cell r="AC355">
            <v>36790</v>
          </cell>
        </row>
        <row r="356">
          <cell r="A356" t="str">
            <v>SAA 4951</v>
          </cell>
          <cell r="B356" t="str">
            <v>Super Fast Dry Verde Químico.</v>
          </cell>
          <cell r="C356" t="str">
            <v>Interior-Exterior</v>
          </cell>
          <cell r="D356" t="str">
            <v>Madera, Metal</v>
          </cell>
          <cell r="E356" t="str">
            <v>Limpia y Seca, Libre de grasa, Aceite u Óxido.</v>
          </cell>
          <cell r="F356" t="str">
            <v>Para Hierro o Acero Kem Fast Dry Primer E61R9</v>
          </cell>
          <cell r="G356" t="str">
            <v>8.68 Lbs/Gl</v>
          </cell>
          <cell r="H356" t="str">
            <v>7.0%</v>
          </cell>
          <cell r="I356" t="str">
            <v>44.13%</v>
          </cell>
          <cell r="J356" t="str">
            <v>84.0%</v>
          </cell>
          <cell r="K356" t="str">
            <v>5.20%</v>
          </cell>
          <cell r="L356" t="str">
            <v>34.57%</v>
          </cell>
          <cell r="M356" t="str">
            <v>30"-35" Copa SW #3</v>
          </cell>
          <cell r="N356" t="str">
            <v>Spray o Inmersión.</v>
          </cell>
          <cell r="O356" t="str">
            <v>-</v>
          </cell>
          <cell r="P356" t="str">
            <v>25-30%</v>
          </cell>
          <cell r="Q356" t="str">
            <v>R2K4 Industrial Reducer.</v>
          </cell>
          <cell r="R356" t="str">
            <v>1.0-1.25 mills</v>
          </cell>
          <cell r="S356" t="str">
            <v>Seco Completo: 1 Hora</v>
          </cell>
          <cell r="T356" t="str">
            <v>-</v>
          </cell>
          <cell r="U356" t="str">
            <v>50 Mts Cuadrados/Gl a 1 mills de espesor</v>
          </cell>
          <cell r="V356" t="str">
            <v>+70</v>
          </cell>
          <cell r="W356" t="str">
            <v>-</v>
          </cell>
          <cell r="X356" t="str">
            <v>2 Años</v>
          </cell>
          <cell r="Y356" t="str">
            <v>DIDEMA-GUATEMALA</v>
          </cell>
          <cell r="Z356" t="str">
            <v>-</v>
          </cell>
          <cell r="AA356" t="str">
            <v>-</v>
          </cell>
          <cell r="AB356" t="str">
            <v>Soraya de Quijada</v>
          </cell>
          <cell r="AC356">
            <v>36790</v>
          </cell>
        </row>
        <row r="357">
          <cell r="A357" t="str">
            <v>A44HSA3</v>
          </cell>
          <cell r="B357" t="str">
            <v>Tex Flex Blanco Hueso</v>
          </cell>
          <cell r="C357" t="str">
            <v>Interior-Exterior</v>
          </cell>
          <cell r="D357" t="str">
            <v>Concreto</v>
          </cell>
          <cell r="E357" t="str">
            <v>Limpia, Seca y Libre de Toda Sustancia Extraña.</v>
          </cell>
          <cell r="F357" t="str">
            <v>B45ASA1</v>
          </cell>
          <cell r="G357" t="str">
            <v>12.47 Lbs/Gl</v>
          </cell>
          <cell r="H357" t="str">
            <v>25.74%</v>
          </cell>
          <cell r="I357" t="str">
            <v>70.71%</v>
          </cell>
          <cell r="J357" t="str">
            <v>-</v>
          </cell>
          <cell r="K357" t="str">
            <v>24.94%</v>
          </cell>
          <cell r="L357" t="str">
            <v>53.23%</v>
          </cell>
          <cell r="M357" t="str">
            <v>123 129 MILES EN CPS</v>
          </cell>
          <cell r="N357" t="str">
            <v>Brocha-Rodillo Texturizado.</v>
          </cell>
          <cell r="O357" t="str">
            <v>123-129 CPS</v>
          </cell>
          <cell r="P357" t="str">
            <v>Ninguno</v>
          </cell>
          <cell r="Q357" t="str">
            <v>-</v>
          </cell>
          <cell r="R357" t="str">
            <v>12 mills</v>
          </cell>
          <cell r="S357" t="str">
            <v>Al Aire</v>
          </cell>
          <cell r="T357" t="str">
            <v>-</v>
          </cell>
          <cell r="U357" t="str">
            <v>6-7 Mts Cuadrados/Gl, dependiendo de la porosidad de la superficie.</v>
          </cell>
          <cell r="V357" t="str">
            <v>Satinado</v>
          </cell>
          <cell r="W357" t="str">
            <v>-</v>
          </cell>
          <cell r="X357" t="str">
            <v>1-2 Años, sin destaparse el envase.</v>
          </cell>
          <cell r="Y357" t="str">
            <v>FRUND</v>
          </cell>
          <cell r="Z357" t="str">
            <v>-</v>
          </cell>
          <cell r="AA357" t="str">
            <v>-</v>
          </cell>
          <cell r="AB357" t="str">
            <v>Ana Irene Mendez Vides</v>
          </cell>
          <cell r="AC357" t="str">
            <v>JULIO 3, 2002</v>
          </cell>
        </row>
        <row r="358">
          <cell r="A358" t="str">
            <v>SAA 5107</v>
          </cell>
          <cell r="B358" t="str">
            <v>Anticorrosivo Al Agua Rojo RECOPE</v>
          </cell>
          <cell r="C358" t="str">
            <v>-</v>
          </cell>
          <cell r="D358" t="str">
            <v>Fibrolite, Concreto, Lámina.</v>
          </cell>
          <cell r="E358" t="str">
            <v>Limpia y Seca</v>
          </cell>
          <cell r="F358" t="str">
            <v>-</v>
          </cell>
          <cell r="G358" t="str">
            <v>10.27 Lbs/Gl más o menos 0.2</v>
          </cell>
          <cell r="H358" t="str">
            <v>29.5% más o menos 0.2</v>
          </cell>
          <cell r="I358" t="str">
            <v>54.49% más o menos 0.2</v>
          </cell>
          <cell r="J358" t="str">
            <v>-</v>
          </cell>
          <cell r="K358" t="str">
            <v>25% más o menos 0.2</v>
          </cell>
          <cell r="L358" t="str">
            <v>48.29% más o menos 0.2</v>
          </cell>
          <cell r="M358" t="str">
            <v>92-96 KU</v>
          </cell>
          <cell r="N358" t="str">
            <v>Brocha</v>
          </cell>
          <cell r="O358" t="str">
            <v>85-90 KU</v>
          </cell>
          <cell r="P358" t="str">
            <v>10% Máximo</v>
          </cell>
          <cell r="Q358" t="str">
            <v>Agua Limpia</v>
          </cell>
          <cell r="R358" t="str">
            <v>5 mills</v>
          </cell>
          <cell r="S358" t="str">
            <v>Al aire</v>
          </cell>
          <cell r="T358" t="str">
            <v>-</v>
          </cell>
          <cell r="U358" t="str">
            <v>14-15 Mts Cuadrados/Gl, dependiendo de la porosidad de la superficie.</v>
          </cell>
          <cell r="V358" t="str">
            <v>Satinado</v>
          </cell>
          <cell r="W358" t="str">
            <v>-</v>
          </cell>
          <cell r="X358" t="str">
            <v>1-2 Años, sin destaparse el envase.</v>
          </cell>
          <cell r="Y358" t="str">
            <v>RECOPE</v>
          </cell>
          <cell r="Z358" t="str">
            <v>-</v>
          </cell>
          <cell r="AA358" t="str">
            <v>-</v>
          </cell>
          <cell r="AB358" t="str">
            <v>Ana Irene Mendez Vides</v>
          </cell>
          <cell r="AC358">
            <v>36795</v>
          </cell>
        </row>
        <row r="359">
          <cell r="A359" t="str">
            <v>SAA 5108</v>
          </cell>
          <cell r="B359" t="str">
            <v>Esmalte Al Agua Aluminio RECOPE</v>
          </cell>
          <cell r="D359" t="str">
            <v>Fibrolite, Concreto, Lámina.</v>
          </cell>
          <cell r="E359" t="str">
            <v>Limpia y Seca</v>
          </cell>
          <cell r="F359" t="str">
            <v>-</v>
          </cell>
          <cell r="G359" t="str">
            <v>9.18 Lbs/Gl más o menos 0.2</v>
          </cell>
          <cell r="H359" t="str">
            <v>-</v>
          </cell>
          <cell r="I359" t="str">
            <v>53.13%</v>
          </cell>
          <cell r="J359" t="str">
            <v>-</v>
          </cell>
          <cell r="K359" t="str">
            <v>14.78%</v>
          </cell>
          <cell r="L359" t="str">
            <v>46.35% más o menos 0.2</v>
          </cell>
          <cell r="M359" t="str">
            <v>135-140 KU</v>
          </cell>
          <cell r="N359" t="str">
            <v>Brocha</v>
          </cell>
          <cell r="O359" t="str">
            <v>135-140 KU</v>
          </cell>
          <cell r="P359" t="str">
            <v>Hasta 5% si fuese necesario, según método de aplicación.</v>
          </cell>
          <cell r="Q359" t="str">
            <v>Agua Limpia</v>
          </cell>
          <cell r="R359" t="str">
            <v>5 mills</v>
          </cell>
          <cell r="S359" t="str">
            <v>Al aire</v>
          </cell>
          <cell r="T359" t="str">
            <v>-</v>
          </cell>
          <cell r="U359" t="str">
            <v>13-14 Mts Cuadrados/Gl, dependiendo de la porosidad de la superficie.</v>
          </cell>
          <cell r="V359" t="str">
            <v>-</v>
          </cell>
          <cell r="W359" t="str">
            <v>-</v>
          </cell>
          <cell r="X359" t="str">
            <v>6 meses sin destapar el envase.</v>
          </cell>
          <cell r="Y359" t="str">
            <v>RECOPE</v>
          </cell>
          <cell r="Z359" t="str">
            <v>-</v>
          </cell>
          <cell r="AA359" t="str">
            <v>-</v>
          </cell>
          <cell r="AB359" t="str">
            <v>Ana Irene Mendez Vides</v>
          </cell>
          <cell r="AC359">
            <v>36830</v>
          </cell>
        </row>
        <row r="360">
          <cell r="A360" t="str">
            <v>B53A4004</v>
          </cell>
          <cell r="B360" t="str">
            <v>Industrial Enamel Ultra Deep Base R</v>
          </cell>
          <cell r="C360" t="str">
            <v>Interior-Exterior</v>
          </cell>
          <cell r="D360" t="str">
            <v>Hierro, Madera, Concreto</v>
          </cell>
          <cell r="E360" t="str">
            <v>Totalmente secas, Libres de Polvo y Grasa</v>
          </cell>
          <cell r="F360" t="str">
            <v>Metal:Kromik Metal Primer,Colonial Anticorrosivo. Madera:Excello Wood Sealer.Concreto:Sellador p/Concreto.</v>
          </cell>
          <cell r="G360" t="str">
            <v>6.86 Lbs/Gl</v>
          </cell>
          <cell r="H360" t="str">
            <v>1.48%</v>
          </cell>
          <cell r="I360" t="str">
            <v>34.91%</v>
          </cell>
          <cell r="J360" t="str">
            <v>33.43%</v>
          </cell>
          <cell r="K360" t="str">
            <v>10.98%</v>
          </cell>
          <cell r="L360" t="str">
            <v>33.70%</v>
          </cell>
          <cell r="M360" t="str">
            <v>72-77 KU</v>
          </cell>
          <cell r="N360" t="str">
            <v>Brocha, Rodillo, Pistola de Aire</v>
          </cell>
          <cell r="O360" t="str">
            <v>Listo Para Usar.</v>
          </cell>
          <cell r="P360" t="str">
            <v xml:space="preserve">Con pistola   10-12% con R1K4 </v>
          </cell>
          <cell r="Q360" t="str">
            <v>R1K4   Mineral Spirits</v>
          </cell>
          <cell r="R360" t="str">
            <v>1 mills</v>
          </cell>
          <cell r="S360" t="str">
            <v>Seco Completo de 4 a 5 Horas (25°C)</v>
          </cell>
          <cell r="T360" t="str">
            <v>-</v>
          </cell>
          <cell r="U360" t="str">
            <v>45-55 Mts Cuadrados/Gl/Mano a 1 mill de pelicula seca. Depende del color.</v>
          </cell>
          <cell r="V360" t="str">
            <v xml:space="preserve">88-92 unidades </v>
          </cell>
          <cell r="W360" t="str">
            <v>-</v>
          </cell>
          <cell r="X360" t="str">
            <v>2 años</v>
          </cell>
          <cell r="Y360" t="str">
            <v>-</v>
          </cell>
          <cell r="Z360" t="str">
            <v>-</v>
          </cell>
          <cell r="AA360" t="str">
            <v>-</v>
          </cell>
          <cell r="AB360" t="str">
            <v>Soraya de Quijada</v>
          </cell>
          <cell r="AC360">
            <v>36901</v>
          </cell>
        </row>
        <row r="361">
          <cell r="A361" t="str">
            <v>B53W4001</v>
          </cell>
          <cell r="B361" t="str">
            <v>Industrial Enamel Pure White Base X</v>
          </cell>
          <cell r="C361" t="str">
            <v>Interior-Exterior</v>
          </cell>
          <cell r="D361" t="str">
            <v>Hierro, Madera, Concreto</v>
          </cell>
          <cell r="E361" t="str">
            <v>Totalmente secas, Libres de Polvo y Grasa</v>
          </cell>
          <cell r="F361" t="str">
            <v>Metal:Kromik Metal Primer,Colonial Anticorrosivo. Madera:Excello Wood Sealer.Concreto:Sellador p/Concreto.</v>
          </cell>
          <cell r="G361" t="str">
            <v>8.91 Lbs/Gl</v>
          </cell>
          <cell r="H361" t="str">
            <v>19.72%</v>
          </cell>
          <cell r="I361" t="str">
            <v>55.35%</v>
          </cell>
          <cell r="J361" t="str">
            <v>35.63%</v>
          </cell>
          <cell r="K361" t="str">
            <v>16.91%</v>
          </cell>
          <cell r="L361" t="str">
            <v>39.08%</v>
          </cell>
          <cell r="M361" t="str">
            <v>80-87 KU</v>
          </cell>
          <cell r="N361" t="str">
            <v>Brocha, Rodillo, Pistola de Aire</v>
          </cell>
          <cell r="O361" t="str">
            <v>70-75 KU</v>
          </cell>
          <cell r="P361" t="str">
            <v xml:space="preserve">Con pistola   12-15% con R1K4 </v>
          </cell>
          <cell r="Q361" t="str">
            <v>R1K4   Mineral Spirits</v>
          </cell>
          <cell r="R361" t="str">
            <v>1 mills</v>
          </cell>
          <cell r="S361" t="str">
            <v>Seco Completo de 4 a 5 Horas (25°C)</v>
          </cell>
          <cell r="T361" t="str">
            <v>-</v>
          </cell>
          <cell r="U361" t="str">
            <v>45-55 Mts Cuadrados/Gl/Mano a 1 mill de pelicula seca. Depende del color.</v>
          </cell>
          <cell r="V361" t="str">
            <v xml:space="preserve">88-92 unidades </v>
          </cell>
          <cell r="W361" t="str">
            <v>-</v>
          </cell>
          <cell r="X361" t="str">
            <v>2 años</v>
          </cell>
          <cell r="Y361" t="str">
            <v>-</v>
          </cell>
          <cell r="Z361" t="str">
            <v>-</v>
          </cell>
          <cell r="AA361" t="str">
            <v>-</v>
          </cell>
          <cell r="AB361" t="str">
            <v>Soraya de Quijada</v>
          </cell>
          <cell r="AC361">
            <v>36901</v>
          </cell>
        </row>
        <row r="362">
          <cell r="A362" t="str">
            <v>B53W4002</v>
          </cell>
          <cell r="B362" t="str">
            <v>Industrial Enamel Midtone Base Y</v>
          </cell>
          <cell r="C362" t="str">
            <v>Interior-Exterior</v>
          </cell>
          <cell r="D362" t="str">
            <v>Hierro, Madera, Concreto</v>
          </cell>
          <cell r="E362" t="str">
            <v>Totalmente secas, Libres de Polvo y Grasa</v>
          </cell>
          <cell r="F362" t="str">
            <v>Metal:Kromik Metal Primer,Colonial Anticorrosivo. Madera:Excello Wood Sealer.Concreto:Sellador p/Concreto.</v>
          </cell>
          <cell r="G362" t="str">
            <v>8.03 Lbs/Gl</v>
          </cell>
          <cell r="H362" t="str">
            <v>15.45%</v>
          </cell>
          <cell r="I362" t="str">
            <v>51.36%</v>
          </cell>
          <cell r="J362" t="str">
            <v>35.95%</v>
          </cell>
          <cell r="K362" t="str">
            <v>12-58%</v>
          </cell>
          <cell r="L362" t="str">
            <v>38-24%</v>
          </cell>
          <cell r="M362" t="str">
            <v>80-87 KU</v>
          </cell>
          <cell r="N362" t="str">
            <v>Brocha, Rodillo, Pistola de Aire</v>
          </cell>
          <cell r="O362" t="str">
            <v>70-75 KU</v>
          </cell>
          <cell r="P362" t="str">
            <v xml:space="preserve">Con pistola   12-15% con R1K4 </v>
          </cell>
          <cell r="Q362" t="str">
            <v>R1K4   Mineral Spirits</v>
          </cell>
          <cell r="R362" t="str">
            <v>1 mills</v>
          </cell>
          <cell r="S362" t="str">
            <v>Seco Completo de 4 a 5 Horas (25°C)</v>
          </cell>
          <cell r="T362" t="str">
            <v>-</v>
          </cell>
          <cell r="U362" t="str">
            <v>45-55 Mts Cuadrados/Gl/Mano a 1 mill de pelicula seca. Depende del color.</v>
          </cell>
          <cell r="V362" t="str">
            <v xml:space="preserve">88-92 unidades </v>
          </cell>
          <cell r="W362" t="str">
            <v>-</v>
          </cell>
          <cell r="X362" t="str">
            <v>2 años</v>
          </cell>
          <cell r="Y362" t="str">
            <v>-</v>
          </cell>
          <cell r="Z362" t="str">
            <v>-</v>
          </cell>
          <cell r="AA362" t="str">
            <v>-</v>
          </cell>
          <cell r="AB362" t="str">
            <v>Soraya de Quijada</v>
          </cell>
          <cell r="AC362">
            <v>36901</v>
          </cell>
        </row>
        <row r="363">
          <cell r="A363" t="str">
            <v>B53W4003</v>
          </cell>
          <cell r="B363" t="str">
            <v>Industrial Enamel Deeptone Base Z</v>
          </cell>
          <cell r="C363" t="str">
            <v>Interior-Exterior</v>
          </cell>
          <cell r="D363" t="str">
            <v>Hierro, Madera, Concreto</v>
          </cell>
          <cell r="E363" t="str">
            <v>Totalmente secas, Libres de Polvo y Grasa</v>
          </cell>
          <cell r="F363" t="str">
            <v>Metal:Kromik Metal Primer,Colonial Anticorrosivo. Madera:Excello Wood Sealer.Concreto:Sellador p/Concreto.</v>
          </cell>
          <cell r="G363" t="str">
            <v>7.51 Lbs/Gl</v>
          </cell>
          <cell r="H363" t="str">
            <v>11.24%</v>
          </cell>
          <cell r="I363" t="str">
            <v>48.04%</v>
          </cell>
          <cell r="J363" t="str">
            <v>36.80%</v>
          </cell>
          <cell r="K363" t="str">
            <v>7.40%</v>
          </cell>
          <cell r="L363" t="str">
            <v>34.09%</v>
          </cell>
          <cell r="M363" t="str">
            <v>80-87 KU</v>
          </cell>
          <cell r="N363" t="str">
            <v>Brocha, Rodillo, Pistola de Aire</v>
          </cell>
          <cell r="O363" t="str">
            <v>70-75 KU</v>
          </cell>
          <cell r="P363" t="str">
            <v xml:space="preserve">Con pistola   12-15% con R1K4 </v>
          </cell>
          <cell r="Q363" t="str">
            <v>R1K4   Mineral Spirits</v>
          </cell>
          <cell r="R363" t="str">
            <v>1 mills</v>
          </cell>
          <cell r="S363" t="str">
            <v>Seco Completo de 4 a 5 Horas (25°C)</v>
          </cell>
          <cell r="T363" t="str">
            <v>-</v>
          </cell>
          <cell r="U363" t="str">
            <v>45-55 Mts Cuadrados/Gl/Mano a 1 mill de pelicula seca. Depende del color.</v>
          </cell>
          <cell r="V363" t="str">
            <v xml:space="preserve">88-92 unidades </v>
          </cell>
          <cell r="W363" t="str">
            <v>-</v>
          </cell>
          <cell r="X363" t="str">
            <v>2 años</v>
          </cell>
          <cell r="Y363" t="str">
            <v>-</v>
          </cell>
          <cell r="Z363" t="str">
            <v>-</v>
          </cell>
          <cell r="AA363" t="str">
            <v>-</v>
          </cell>
          <cell r="AB363" t="str">
            <v>Soraya de Quijada</v>
          </cell>
          <cell r="AC363">
            <v>36901</v>
          </cell>
        </row>
        <row r="364">
          <cell r="A364" t="str">
            <v>B79LSA13</v>
          </cell>
          <cell r="B364" t="str">
            <v>Colonial Latex Chep Blue Pantone 300U</v>
          </cell>
          <cell r="C364" t="str">
            <v>Interior-Exterior</v>
          </cell>
          <cell r="D364" t="str">
            <v>Cemento, Ladrillo, Madera</v>
          </cell>
          <cell r="E364" t="str">
            <v>Curada, Limpia, Seca y Libre de toda contaminación</v>
          </cell>
          <cell r="F364" t="str">
            <v>-</v>
          </cell>
          <cell r="G364" t="str">
            <v>11.41 Lbs/Gl más o menos 0.2</v>
          </cell>
          <cell r="H364" t="str">
            <v>-</v>
          </cell>
          <cell r="I364" t="str">
            <v>47.75% más o menos 0.02</v>
          </cell>
          <cell r="J364" t="str">
            <v>-</v>
          </cell>
          <cell r="K364" t="str">
            <v>65.40%</v>
          </cell>
          <cell r="L364" t="str">
            <v>30.83% más o menos 0.2</v>
          </cell>
          <cell r="M364" t="str">
            <v>79-85 KU</v>
          </cell>
          <cell r="N364" t="str">
            <v>Brocha-Rodillo-Pistola</v>
          </cell>
          <cell r="O364" t="str">
            <v>79-85 KU</v>
          </cell>
          <cell r="P364" t="str">
            <v>Máximo 10%</v>
          </cell>
          <cell r="Q364" t="str">
            <v>Agua Limpia</v>
          </cell>
          <cell r="R364" t="str">
            <v>1.5 mills</v>
          </cell>
          <cell r="S364" t="str">
            <v>Al Aire, Recubrir después de 4 horas.</v>
          </cell>
          <cell r="T364" t="str">
            <v>-</v>
          </cell>
          <cell r="U364" t="str">
            <v>30 Mts Cuadrados/Gl más o menos 1</v>
          </cell>
          <cell r="V364" t="str">
            <v>-</v>
          </cell>
          <cell r="W364" t="str">
            <v>-</v>
          </cell>
          <cell r="X364" t="str">
            <v>2 años</v>
          </cell>
          <cell r="Y364" t="str">
            <v>DIDEMA-GUATEMALA</v>
          </cell>
          <cell r="Z364" t="str">
            <v>-</v>
          </cell>
          <cell r="AA364" t="str">
            <v>-</v>
          </cell>
          <cell r="AB364" t="str">
            <v>Ana Irene Mendez Vides</v>
          </cell>
          <cell r="AC364">
            <v>36907</v>
          </cell>
        </row>
        <row r="365">
          <cell r="A365" t="str">
            <v>SAA 5146</v>
          </cell>
          <cell r="B365" t="str">
            <v>Esmalte Horneable Industrial Verde Imacasa</v>
          </cell>
          <cell r="C365" t="str">
            <v>Interior-Exterior</v>
          </cell>
          <cell r="D365" t="str">
            <v>Acero</v>
          </cell>
          <cell r="E365" t="str">
            <v>Limpieza y desengrase</v>
          </cell>
          <cell r="F365" t="str">
            <v>Ninguno</v>
          </cell>
          <cell r="G365" t="str">
            <v>8.0 Lbs/Gl</v>
          </cell>
          <cell r="H365" t="str">
            <v>6.5%</v>
          </cell>
          <cell r="I365" t="str">
            <v>4.7%</v>
          </cell>
          <cell r="J365" t="str">
            <v>87%</v>
          </cell>
          <cell r="K365" t="str">
            <v>5.56%</v>
          </cell>
          <cell r="L365" t="str">
            <v>38.14%</v>
          </cell>
          <cell r="M365" t="str">
            <v>95-105" Copa Zahn #2</v>
          </cell>
          <cell r="N365" t="str">
            <v>Pistola</v>
          </cell>
          <cell r="O365" t="str">
            <v>18-22" Copa Zahn #2</v>
          </cell>
          <cell r="P365" t="str">
            <v>20-25%</v>
          </cell>
          <cell r="Q365" t="str">
            <v>R2K4         Industrial reducer</v>
          </cell>
          <cell r="R365" t="str">
            <v>1.0-1.5 mills</v>
          </cell>
          <cell r="S365" t="str">
            <v>Al Horno</v>
          </cell>
          <cell r="T365" t="str">
            <v>15 Min. A 300°F</v>
          </cell>
          <cell r="U365" t="str">
            <v>56 Mts Cuadrados/Gl</v>
          </cell>
          <cell r="V365" t="str">
            <v>+80 unidades</v>
          </cell>
          <cell r="W365" t="str">
            <v>F</v>
          </cell>
          <cell r="X365" t="str">
            <v>6-12 años</v>
          </cell>
          <cell r="Y365" t="str">
            <v>IMACASA</v>
          </cell>
          <cell r="Z365" t="str">
            <v>Herramientas Varias</v>
          </cell>
          <cell r="AA365" t="str">
            <v>-</v>
          </cell>
          <cell r="AB365" t="str">
            <v>Corina de Turcios</v>
          </cell>
          <cell r="AC365">
            <v>36924</v>
          </cell>
        </row>
        <row r="366">
          <cell r="A366" t="str">
            <v>F68RSA9</v>
          </cell>
          <cell r="B366" t="str">
            <v>Esmalte para espejos Rojo Especial</v>
          </cell>
          <cell r="C366" t="str">
            <v xml:space="preserve">Interior  </v>
          </cell>
          <cell r="D366" t="str">
            <v>Vidrio</v>
          </cell>
          <cell r="E366" t="str">
            <v>Limpieza Adecuada</v>
          </cell>
          <cell r="F366" t="str">
            <v>Ninguno</v>
          </cell>
          <cell r="G366" t="str">
            <v>10.65 Lbs/Gl</v>
          </cell>
          <cell r="H366" t="str">
            <v>38.1%</v>
          </cell>
          <cell r="I366" t="str">
            <v>61.64%</v>
          </cell>
          <cell r="J366" t="str">
            <v>37.5%</v>
          </cell>
          <cell r="K366" t="str">
            <v>35.6%</v>
          </cell>
          <cell r="L366" t="str">
            <v>44.1%</v>
          </cell>
          <cell r="M366" t="str">
            <v>30-35"        SW #3</v>
          </cell>
          <cell r="N366" t="str">
            <v>Pistola</v>
          </cell>
          <cell r="O366" t="str">
            <v>18-20"             Copa Ford #4</v>
          </cell>
          <cell r="P366" t="str">
            <v>20%</v>
          </cell>
          <cell r="Q366" t="str">
            <v>R2K4         Industrial reducer</v>
          </cell>
          <cell r="R366" t="str">
            <v>1.0 mills</v>
          </cell>
          <cell r="S366" t="str">
            <v>Al aire             5-10 Min</v>
          </cell>
          <cell r="T366" t="str">
            <v>-</v>
          </cell>
          <cell r="U366" t="str">
            <v>65 m2/Gl a un mills de espes.</v>
          </cell>
          <cell r="V366" t="str">
            <v>5-6</v>
          </cell>
          <cell r="W366" t="str">
            <v>-</v>
          </cell>
          <cell r="X366" t="str">
            <v>6 meses</v>
          </cell>
          <cell r="Y366" t="str">
            <v>DIDEMA-GUATEMALA</v>
          </cell>
          <cell r="Z366" t="str">
            <v>Espejos</v>
          </cell>
          <cell r="AA366" t="str">
            <v>-</v>
          </cell>
          <cell r="AB366" t="str">
            <v>Corina de Turcios</v>
          </cell>
          <cell r="AC366">
            <v>36942</v>
          </cell>
        </row>
        <row r="367">
          <cell r="A367" t="str">
            <v>M91GSA2</v>
          </cell>
          <cell r="B367" t="str">
            <v>Laca para escobas verde claro</v>
          </cell>
          <cell r="C367" t="str">
            <v>Interior - Exterior</v>
          </cell>
          <cell r="D367" t="str">
            <v>Palos de Escoba</v>
          </cell>
          <cell r="E367" t="str">
            <v>De Acuerdo Al Cliente</v>
          </cell>
          <cell r="F367" t="str">
            <v>Ninguno</v>
          </cell>
          <cell r="G367" t="str">
            <v>8.21 Lbs</v>
          </cell>
          <cell r="H367" t="str">
            <v>7.93%</v>
          </cell>
          <cell r="I367" t="str">
            <v>37.54%</v>
          </cell>
          <cell r="J367" t="str">
            <v>66.24%</v>
          </cell>
          <cell r="K367" t="str">
            <v>9.83%</v>
          </cell>
          <cell r="L367" t="str">
            <v>24.51%</v>
          </cell>
          <cell r="M367" t="str">
            <v>18,000-23,000 cps</v>
          </cell>
          <cell r="N367" t="str">
            <v>De Acuerdo Al Cliente</v>
          </cell>
          <cell r="O367" t="str">
            <v>-</v>
          </cell>
          <cell r="P367" t="str">
            <v>Ninguno</v>
          </cell>
          <cell r="Q367" t="str">
            <v>De ser necesario reducir con Thinner R7K128</v>
          </cell>
          <cell r="R367" t="str">
            <v>De acuerdo Al Cliente</v>
          </cell>
          <cell r="S367" t="str">
            <v>Al Aire</v>
          </cell>
          <cell r="T367" t="str">
            <v>-</v>
          </cell>
          <cell r="U367" t="str">
            <v>36.51 metros cuadrados por galon a 1 mils de pelicula seca</v>
          </cell>
          <cell r="V367" t="str">
            <v>-</v>
          </cell>
          <cell r="W367" t="str">
            <v>-</v>
          </cell>
          <cell r="X367" t="str">
            <v>6-12 meses</v>
          </cell>
          <cell r="Y367" t="str">
            <v>MULTIPLAST</v>
          </cell>
          <cell r="Z367" t="str">
            <v>Escobas</v>
          </cell>
          <cell r="AA367" t="str">
            <v>-</v>
          </cell>
          <cell r="AB367" t="str">
            <v>Ing. Juan Antonio Méndez</v>
          </cell>
          <cell r="AC367" t="str">
            <v>Junio 2, 2003</v>
          </cell>
        </row>
        <row r="368">
          <cell r="A368" t="str">
            <v>M91LSA2</v>
          </cell>
          <cell r="B368" t="str">
            <v>Laca para Escobas Azul Intenso</v>
          </cell>
          <cell r="C368" t="str">
            <v>Interior - Exterior</v>
          </cell>
          <cell r="D368" t="str">
            <v>Palos de Escoba</v>
          </cell>
          <cell r="E368" t="str">
            <v>De Acuerdo Al Cliente</v>
          </cell>
          <cell r="F368" t="str">
            <v>Ninguno</v>
          </cell>
          <cell r="G368" t="str">
            <v>8.28 Lbs</v>
          </cell>
          <cell r="H368" t="str">
            <v>6.72 %</v>
          </cell>
          <cell r="I368" t="str">
            <v>38.86%</v>
          </cell>
          <cell r="J368" t="str">
            <v>69.38%</v>
          </cell>
          <cell r="K368" t="str">
            <v>9.03%</v>
          </cell>
          <cell r="L368" t="str">
            <v>24.92%</v>
          </cell>
          <cell r="M368" t="str">
            <v>18,000 - 23,000 cps</v>
          </cell>
          <cell r="N368" t="str">
            <v>De Acuerdo Al Cliente</v>
          </cell>
          <cell r="O368" t="str">
            <v>-</v>
          </cell>
          <cell r="P368" t="str">
            <v>Ninguno</v>
          </cell>
          <cell r="Q368" t="str">
            <v>De ser necesario reducir con Thinner R7K128</v>
          </cell>
          <cell r="R368" t="str">
            <v>De acuerdo Al Cliente</v>
          </cell>
          <cell r="S368" t="str">
            <v>Al aire</v>
          </cell>
          <cell r="T368" t="str">
            <v>-</v>
          </cell>
          <cell r="U368" t="str">
            <v>37.85 metros cuadrados por galon a 1 mils de pelicula seca</v>
          </cell>
          <cell r="V368" t="str">
            <v>-</v>
          </cell>
          <cell r="W368" t="str">
            <v>-</v>
          </cell>
          <cell r="X368" t="str">
            <v>6-12 meses</v>
          </cell>
          <cell r="Y368" t="str">
            <v>MULTIPLATS</v>
          </cell>
          <cell r="Z368" t="str">
            <v>Escobas</v>
          </cell>
          <cell r="AA368" t="str">
            <v>-</v>
          </cell>
          <cell r="AB368" t="str">
            <v>Ing. Juan Antonio Méndez</v>
          </cell>
          <cell r="AC368" t="str">
            <v>Junio 2, 2003</v>
          </cell>
        </row>
        <row r="369">
          <cell r="A369" t="str">
            <v>L1ASA1</v>
          </cell>
          <cell r="B369" t="str">
            <v>Opex Lacquer Gris Proaces</v>
          </cell>
          <cell r="C369" t="str">
            <v>Interior-Exterior</v>
          </cell>
          <cell r="D369" t="str">
            <v xml:space="preserve">Hierro-Acero </v>
          </cell>
          <cell r="E369" t="str">
            <v>Lijado, Libre de Polvo y oxido</v>
          </cell>
          <cell r="F369" t="str">
            <v>E2G980, P2A32</v>
          </cell>
          <cell r="G369" t="str">
            <v>8.45</v>
          </cell>
          <cell r="H369" t="str">
            <v>7.47 %</v>
          </cell>
          <cell r="I369" t="str">
            <v>37.92%</v>
          </cell>
          <cell r="J369" t="str">
            <v>70.50%</v>
          </cell>
          <cell r="K369" t="str">
            <v>7.26%</v>
          </cell>
          <cell r="L369" t="str">
            <v>26.86%</v>
          </cell>
          <cell r="M369" t="str">
            <v>60 - 75 "       SW #5</v>
          </cell>
          <cell r="N369" t="str">
            <v>Pistola</v>
          </cell>
          <cell r="O369" t="str">
            <v>18-22" Copa Zahn #2</v>
          </cell>
          <cell r="P369" t="str">
            <v xml:space="preserve">100-150% </v>
          </cell>
          <cell r="Q369" t="str">
            <v>R7K128</v>
          </cell>
          <cell r="R369" t="str">
            <v>1.5 mils</v>
          </cell>
          <cell r="S369" t="str">
            <v>seco tocar 10 min, seco completo 20 min</v>
          </cell>
          <cell r="T369" t="str">
            <v>-</v>
          </cell>
          <cell r="U369" t="str">
            <v>40 m2 / galon a 1 mils de pelicula seca</v>
          </cell>
          <cell r="V369" t="str">
            <v>+85 unidades</v>
          </cell>
          <cell r="W369" t="str">
            <v>-</v>
          </cell>
          <cell r="X369" t="str">
            <v>12 meses</v>
          </cell>
          <cell r="Y369" t="str">
            <v>PROACES</v>
          </cell>
          <cell r="Z369" t="str">
            <v>-</v>
          </cell>
          <cell r="AA369" t="str">
            <v>Aprobado por el cliente 30-Julio-01</v>
          </cell>
          <cell r="AB369" t="str">
            <v>Juan Antonio Méndez</v>
          </cell>
          <cell r="AC369" t="str">
            <v>Agosto 7, 2001</v>
          </cell>
        </row>
        <row r="370">
          <cell r="A370" t="str">
            <v>L1HSA1</v>
          </cell>
          <cell r="B370" t="str">
            <v>Opex Lacquer beige Proaces</v>
          </cell>
          <cell r="C370" t="str">
            <v>Interior-Exterior</v>
          </cell>
          <cell r="D370" t="str">
            <v xml:space="preserve">Hierro-Acero </v>
          </cell>
          <cell r="E370" t="str">
            <v>Lijado, Libre de Polvo y oxido</v>
          </cell>
          <cell r="F370" t="str">
            <v>E2G980, P2A32</v>
          </cell>
          <cell r="G370" t="str">
            <v>8.29</v>
          </cell>
          <cell r="H370" t="str">
            <v>5.55 %</v>
          </cell>
          <cell r="I370" t="str">
            <v>36.62 %</v>
          </cell>
          <cell r="J370" t="str">
            <v>74.48 %</v>
          </cell>
          <cell r="K370" t="str">
            <v>5.16 %</v>
          </cell>
          <cell r="L370" t="str">
            <v>26.27 %</v>
          </cell>
          <cell r="M370" t="str">
            <v>60 - 75 "       SW #5</v>
          </cell>
          <cell r="N370" t="str">
            <v>Pistola</v>
          </cell>
          <cell r="O370" t="str">
            <v>18-22" Copa Zahn #2</v>
          </cell>
          <cell r="P370" t="str">
            <v xml:space="preserve">100-150% </v>
          </cell>
          <cell r="Q370" t="str">
            <v>R7K128</v>
          </cell>
          <cell r="R370" t="str">
            <v>1.5 mils</v>
          </cell>
          <cell r="S370" t="str">
            <v>seco tocar 10 min, seco completo 20 min</v>
          </cell>
          <cell r="T370" t="str">
            <v>-</v>
          </cell>
          <cell r="U370" t="str">
            <v>39 m2 / galon a 1 mils de pelicula seca</v>
          </cell>
          <cell r="V370" t="str">
            <v>+85 unidades</v>
          </cell>
          <cell r="W370" t="str">
            <v>-</v>
          </cell>
          <cell r="X370" t="str">
            <v>12 meses</v>
          </cell>
          <cell r="Y370" t="str">
            <v>PROACES</v>
          </cell>
          <cell r="Z370" t="str">
            <v>-</v>
          </cell>
          <cell r="AA370" t="str">
            <v>Aprobado por el cliente 30-Julio-01</v>
          </cell>
          <cell r="AB370" t="str">
            <v>Juan Antonio Méndez</v>
          </cell>
          <cell r="AC370" t="str">
            <v>Agosto 7, 2001</v>
          </cell>
        </row>
        <row r="371">
          <cell r="A371" t="str">
            <v>P2A34</v>
          </cell>
          <cell r="B371" t="str">
            <v>PRIMER AUTOMOTRIZ GRIS ROSMO</v>
          </cell>
          <cell r="C371" t="str">
            <v>EXTERIOR</v>
          </cell>
          <cell r="D371" t="str">
            <v>HIERRO - ACERO</v>
          </cell>
          <cell r="E371" t="str">
            <v>Lijado, Libre de Polvo, grasa y oxido</v>
          </cell>
          <cell r="F371" t="str">
            <v>-</v>
          </cell>
          <cell r="G371" t="str">
            <v>9.13</v>
          </cell>
          <cell r="H371" t="str">
            <v>3.34</v>
          </cell>
          <cell r="I371" t="str">
            <v>46.21</v>
          </cell>
          <cell r="J371" t="str">
            <v>30.18</v>
          </cell>
          <cell r="K371" t="str">
            <v>30.66</v>
          </cell>
          <cell r="L371" t="str">
            <v>29.5</v>
          </cell>
          <cell r="M371" t="str">
            <v>7000 - 13000   BROOKFIELD</v>
          </cell>
          <cell r="N371" t="str">
            <v>PISTOLA</v>
          </cell>
          <cell r="O371" t="str">
            <v>18 - 20" FORD #4</v>
          </cell>
          <cell r="P371" t="str">
            <v>150-200%</v>
          </cell>
          <cell r="Q371" t="str">
            <v>R7K128</v>
          </cell>
          <cell r="R371" t="str">
            <v>-</v>
          </cell>
          <cell r="S371" t="str">
            <v>5 - 10 Min a condiciones de 25°C y 50-60 % HR</v>
          </cell>
          <cell r="T371" t="str">
            <v>-</v>
          </cell>
          <cell r="U371" t="str">
            <v>45 m2/galon a 1 mils de pelicula seca</v>
          </cell>
          <cell r="V371" t="str">
            <v>-</v>
          </cell>
          <cell r="W371" t="str">
            <v>-</v>
          </cell>
          <cell r="X371" t="str">
            <v>12 meses</v>
          </cell>
          <cell r="Y371" t="str">
            <v>ROSMO</v>
          </cell>
          <cell r="Z371" t="str">
            <v>-</v>
          </cell>
          <cell r="AA371" t="str">
            <v>Aprobado por el cliente 14-Noviembre-2000</v>
          </cell>
          <cell r="AB371" t="str">
            <v>Juan Antonio Méndez</v>
          </cell>
          <cell r="AC371" t="str">
            <v>Agosto 7, 2001</v>
          </cell>
        </row>
        <row r="372">
          <cell r="A372" t="str">
            <v>SAA 4158</v>
          </cell>
          <cell r="B372" t="str">
            <v>LACA TRANSPARENTE SEMIMATE LISTA PARA USAR</v>
          </cell>
          <cell r="C372" t="str">
            <v>INTERIOR</v>
          </cell>
          <cell r="D372" t="str">
            <v>MADERA</v>
          </cell>
          <cell r="E372" t="str">
            <v>D70T1</v>
          </cell>
          <cell r="F372" t="str">
            <v>SELLADOR LIJABLE LISTO PARA USAR</v>
          </cell>
          <cell r="G372" t="str">
            <v>7.6</v>
          </cell>
          <cell r="H372" t="str">
            <v>.64</v>
          </cell>
          <cell r="I372" t="str">
            <v>18.9</v>
          </cell>
          <cell r="J372" t="str">
            <v>18.3</v>
          </cell>
          <cell r="K372" t="str">
            <v>2.09</v>
          </cell>
          <cell r="L372" t="str">
            <v>12.87</v>
          </cell>
          <cell r="M372" t="str">
            <v>20-25SEG FORD#4</v>
          </cell>
          <cell r="N372" t="str">
            <v>PISTOLA</v>
          </cell>
          <cell r="O372" t="str">
            <v>20-25SEG FORD#4</v>
          </cell>
          <cell r="S372" t="str">
            <v>AL AIRE</v>
          </cell>
          <cell r="U372" t="str">
            <v>330 PIE CUADRADO POR GALON A 1MILS</v>
          </cell>
          <cell r="V372" t="str">
            <v>37-42 UNIDADES</v>
          </cell>
          <cell r="X372" t="str">
            <v>12 MESES</v>
          </cell>
          <cell r="Y372" t="str">
            <v>DERIMASA</v>
          </cell>
          <cell r="Z372" t="str">
            <v>Muebles de Madera.</v>
          </cell>
          <cell r="AB372" t="str">
            <v>Rigoberto Montalvo</v>
          </cell>
          <cell r="AC372" t="str">
            <v>SEPTIEMBRE 14, 1995</v>
          </cell>
        </row>
        <row r="373">
          <cell r="A373" t="str">
            <v>P65TSA1</v>
          </cell>
          <cell r="B373" t="str">
            <v>PRIMER PARA MADERA DE SECADO RAPIDO</v>
          </cell>
          <cell r="C373" t="str">
            <v>INTERIOR</v>
          </cell>
          <cell r="D373" t="str">
            <v>MADERA</v>
          </cell>
          <cell r="E373" t="str">
            <v>LIJADO, LIBRE DE POLVO</v>
          </cell>
          <cell r="F373" t="str">
            <v>-</v>
          </cell>
          <cell r="G373" t="str">
            <v>9.48 lbs/ galon</v>
          </cell>
          <cell r="H373" t="str">
            <v>-</v>
          </cell>
          <cell r="I373" t="str">
            <v>45.11%</v>
          </cell>
          <cell r="J373" t="str">
            <v>32.11%</v>
          </cell>
          <cell r="K373" t="str">
            <v>51.37%</v>
          </cell>
          <cell r="L373" t="str">
            <v>26.32 %</v>
          </cell>
          <cell r="M373" t="str">
            <v>115 - 125 KU</v>
          </cell>
          <cell r="N373" t="str">
            <v>PISTOLA</v>
          </cell>
          <cell r="O373" t="str">
            <v>18 - 20" FORD #4</v>
          </cell>
          <cell r="P373" t="str">
            <v>100-150%</v>
          </cell>
          <cell r="Q373" t="str">
            <v>R7K128</v>
          </cell>
          <cell r="R373" t="str">
            <v>1.0 - 1.2 MILS</v>
          </cell>
          <cell r="S373" t="str">
            <v>seco tocar 10 min, seco completo 20 min</v>
          </cell>
          <cell r="T373" t="str">
            <v>-</v>
          </cell>
          <cell r="U373" t="str">
            <v>39.21 m2 / galon</v>
          </cell>
          <cell r="V373" t="str">
            <v>10 - 15 unidades</v>
          </cell>
          <cell r="W373" t="str">
            <v>-</v>
          </cell>
          <cell r="X373" t="str">
            <v>12 Meses</v>
          </cell>
          <cell r="Y373" t="str">
            <v>Didema Guatemala</v>
          </cell>
          <cell r="Z373" t="str">
            <v>-</v>
          </cell>
          <cell r="AA373" t="str">
            <v>Solicitado por Eddy López, SAA 5193</v>
          </cell>
          <cell r="AB373" t="str">
            <v>Juan Antonio Méndez</v>
          </cell>
          <cell r="AC373" t="str">
            <v xml:space="preserve"> Diciembre 27, 2000</v>
          </cell>
        </row>
        <row r="374">
          <cell r="A374" t="str">
            <v>SAA 5306</v>
          </cell>
          <cell r="B374" t="str">
            <v>OPEX LACQUER MAYMO</v>
          </cell>
          <cell r="C374" t="str">
            <v>Interior - Exterior</v>
          </cell>
          <cell r="D374" t="str">
            <v>HIERRO</v>
          </cell>
          <cell r="E374" t="str">
            <v>LIJADO, LIBRE DE POLVO GRASA Y OXIDO</v>
          </cell>
          <cell r="F374" t="str">
            <v>P2A32</v>
          </cell>
          <cell r="G374" t="str">
            <v>8.19 LBS/GALON</v>
          </cell>
          <cell r="H374" t="str">
            <v>3.68%</v>
          </cell>
          <cell r="I374" t="str">
            <v>35.47%</v>
          </cell>
          <cell r="J374" t="str">
            <v>78.07%</v>
          </cell>
          <cell r="K374" t="str">
            <v>3.42%</v>
          </cell>
          <cell r="L374" t="str">
            <v>24.55%</v>
          </cell>
          <cell r="M374" t="str">
            <v>60-75"         SW #5</v>
          </cell>
          <cell r="N374" t="str">
            <v>PISTOLA</v>
          </cell>
          <cell r="O374" t="str">
            <v>18-22" ZANH #2</v>
          </cell>
          <cell r="P374" t="str">
            <v>100-150%</v>
          </cell>
          <cell r="Q374" t="str">
            <v>R7K128</v>
          </cell>
          <cell r="R374" t="str">
            <v>1.5 MILS</v>
          </cell>
          <cell r="S374" t="str">
            <v>seco tocar 10 min, seco completo 20 min</v>
          </cell>
          <cell r="T374" t="str">
            <v>-</v>
          </cell>
          <cell r="U374" t="str">
            <v>36.58 m2/galon a 1 mils de espesor</v>
          </cell>
          <cell r="V374" t="str">
            <v>+85 unidades</v>
          </cell>
          <cell r="W374" t="str">
            <v>-</v>
          </cell>
          <cell r="X374" t="str">
            <v>12 meses</v>
          </cell>
          <cell r="Y374" t="str">
            <v>DIDEMA GUATEMALA</v>
          </cell>
          <cell r="Z374" t="str">
            <v>-</v>
          </cell>
          <cell r="AA374" t="str">
            <v>Solicitado por Arturo Toledo</v>
          </cell>
          <cell r="AB374" t="str">
            <v>Juan Antonio Méndez</v>
          </cell>
          <cell r="AC374" t="str">
            <v>SEPTIEMBRE 5, 2001</v>
          </cell>
        </row>
        <row r="375">
          <cell r="A375" t="str">
            <v>L60RSA11</v>
          </cell>
          <cell r="B375" t="str">
            <v>LACA INDUSTRIAL ROJO RASTRILLO</v>
          </cell>
          <cell r="C375" t="str">
            <v>EXTERIOR-INTERIOR</v>
          </cell>
          <cell r="D375" t="str">
            <v>ACERO - MADERA</v>
          </cell>
          <cell r="E375" t="str">
            <v>Limpieza y Desengrase</v>
          </cell>
          <cell r="F375" t="str">
            <v>P65W1, P2A32</v>
          </cell>
          <cell r="G375" t="str">
            <v>8.34 Lbs / galon</v>
          </cell>
          <cell r="H375" t="str">
            <v>7.8 %</v>
          </cell>
          <cell r="I375" t="str">
            <v>32.30%</v>
          </cell>
          <cell r="J375" t="str">
            <v>77.5%</v>
          </cell>
          <cell r="K375" t="str">
            <v>3.81</v>
          </cell>
          <cell r="L375" t="str">
            <v>25.0%</v>
          </cell>
          <cell r="M375" t="str">
            <v>50-60 seg   SW#5</v>
          </cell>
          <cell r="N375" t="str">
            <v>pistola</v>
          </cell>
          <cell r="O375" t="str">
            <v>18-20 seg     Ford #4</v>
          </cell>
          <cell r="P375" t="str">
            <v>100-150%</v>
          </cell>
          <cell r="Q375" t="str">
            <v>OPEX THINNER R7K128</v>
          </cell>
          <cell r="R375" t="str">
            <v>2.0</v>
          </cell>
          <cell r="S375" t="str">
            <v>Al Aire</v>
          </cell>
          <cell r="T375" t="str">
            <v>-</v>
          </cell>
          <cell r="U375" t="str">
            <v>38.25 Mts Cuadrados/Gl a 1 mills de espesor</v>
          </cell>
          <cell r="V375" t="str">
            <v>65 - 70 UNIDADES</v>
          </cell>
          <cell r="W375" t="str">
            <v>-</v>
          </cell>
          <cell r="X375" t="str">
            <v>6-12 meses</v>
          </cell>
          <cell r="Y375" t="str">
            <v>IMACASA</v>
          </cell>
          <cell r="Z375" t="str">
            <v>-</v>
          </cell>
          <cell r="AA375" t="str">
            <v>-</v>
          </cell>
          <cell r="AB375" t="str">
            <v>Juan Antonio Méndez</v>
          </cell>
          <cell r="AC375" t="str">
            <v xml:space="preserve"> Junio 1°, 2000</v>
          </cell>
        </row>
        <row r="376">
          <cell r="A376" t="str">
            <v>L60LSA20</v>
          </cell>
          <cell r="B376" t="str">
            <v>LACA INDUSTRIAL AZUL INTENSO MATE</v>
          </cell>
          <cell r="C376" t="str">
            <v>Interior</v>
          </cell>
          <cell r="D376" t="str">
            <v>hierro</v>
          </cell>
          <cell r="E376" t="str">
            <v>Limpieza y Desengrase</v>
          </cell>
          <cell r="G376" t="str">
            <v>7.82 Lbs / galon</v>
          </cell>
          <cell r="H376" t="str">
            <v>8.69%</v>
          </cell>
          <cell r="I376" t="str">
            <v>36.64%</v>
          </cell>
          <cell r="J376" t="str">
            <v>79.50%</v>
          </cell>
          <cell r="K376" t="str">
            <v>14.94%</v>
          </cell>
          <cell r="L376" t="str">
            <v>27.91%</v>
          </cell>
          <cell r="M376" t="str">
            <v>20"-25" Copa SW #5</v>
          </cell>
          <cell r="N376" t="str">
            <v>INMERSION</v>
          </cell>
          <cell r="O376" t="str">
            <v>22"-25" Copa Ford #4</v>
          </cell>
          <cell r="P376" t="str">
            <v>100%</v>
          </cell>
          <cell r="Q376" t="str">
            <v>OPEX THINNER R7K128</v>
          </cell>
          <cell r="R376" t="str">
            <v>-</v>
          </cell>
          <cell r="S376" t="str">
            <v>Al Aire</v>
          </cell>
          <cell r="T376" t="str">
            <v>-</v>
          </cell>
          <cell r="U376" t="str">
            <v>42.85 Mts Cuadrados/Gl a 1 mills de espesor</v>
          </cell>
          <cell r="V376" t="str">
            <v>7-9 UNIDADES</v>
          </cell>
          <cell r="W376" t="str">
            <v>-</v>
          </cell>
          <cell r="X376" t="str">
            <v>6-12 meses</v>
          </cell>
          <cell r="Y376" t="str">
            <v>IMACASA</v>
          </cell>
          <cell r="Z376" t="str">
            <v>-</v>
          </cell>
          <cell r="AA376" t="str">
            <v>-</v>
          </cell>
          <cell r="AB376" t="str">
            <v>Juan Antonio Méndez</v>
          </cell>
          <cell r="AC376" t="str">
            <v xml:space="preserve"> Junio 1°, 2000</v>
          </cell>
        </row>
        <row r="377">
          <cell r="A377" t="str">
            <v>T70CSA25</v>
          </cell>
          <cell r="B377" t="str">
            <v>LACA TRANSPARENTE BRILLANTE P/HERRAMIENTAS</v>
          </cell>
          <cell r="C377" t="str">
            <v>EXTERIOR-INTERIOR</v>
          </cell>
          <cell r="D377" t="str">
            <v>ACERO-HIERRRO</v>
          </cell>
          <cell r="E377" t="str">
            <v>Limpieza y Desengrase</v>
          </cell>
          <cell r="F377" t="str">
            <v>NINGUNO</v>
          </cell>
          <cell r="G377" t="str">
            <v>7.46 lbs / galon</v>
          </cell>
          <cell r="H377" t="str">
            <v>0.0%</v>
          </cell>
          <cell r="I377" t="str">
            <v>25%</v>
          </cell>
          <cell r="J377" t="str">
            <v>69%</v>
          </cell>
          <cell r="K377" t="str">
            <v>0.0 %</v>
          </cell>
          <cell r="L377" t="str">
            <v>13.61</v>
          </cell>
          <cell r="M377" t="str">
            <v>40 - 45 seg  SW 35</v>
          </cell>
          <cell r="N377" t="str">
            <v>INMERSION</v>
          </cell>
          <cell r="O377" t="str">
            <v>IGUAL QUE VISCOSIDAD ORIGINAL</v>
          </cell>
          <cell r="P377" t="str">
            <v>NINGUNA</v>
          </cell>
          <cell r="Q377" t="str">
            <v>-</v>
          </cell>
          <cell r="R377" t="str">
            <v>1.5 - 2.0 MILS</v>
          </cell>
          <cell r="S377" t="str">
            <v>Al Aire</v>
          </cell>
          <cell r="T377" t="str">
            <v>SECO TOCAR 10 MIN, SECO COMPLETO 20 MIN  a 25°C y 65% H.R</v>
          </cell>
          <cell r="U377" t="str">
            <v>20.27 Mts Cuadrados/Gl a 1 mills de espesor</v>
          </cell>
          <cell r="V377" t="str">
            <v>+80 unidades</v>
          </cell>
          <cell r="W377" t="str">
            <v>-</v>
          </cell>
          <cell r="X377" t="str">
            <v>6-12 meses</v>
          </cell>
          <cell r="Y377" t="str">
            <v>IMACASA</v>
          </cell>
          <cell r="Z377" t="str">
            <v>-</v>
          </cell>
          <cell r="AA377" t="str">
            <v>-</v>
          </cell>
          <cell r="AB377" t="str">
            <v>Juan Antonio Méndez</v>
          </cell>
          <cell r="AC377" t="str">
            <v xml:space="preserve"> Junio 1°, 2000</v>
          </cell>
        </row>
        <row r="378">
          <cell r="A378" t="str">
            <v>T1CSA3</v>
          </cell>
          <cell r="B378" t="str">
            <v>Recubrimiento Acrílico Para Metales</v>
          </cell>
          <cell r="C378" t="str">
            <v>Interior-Exterior</v>
          </cell>
          <cell r="D378" t="str">
            <v>Metal</v>
          </cell>
          <cell r="E378" t="str">
            <v>Lavado con agua y detergente, solvente de limpieza, si existe corrosión aplicar W4K288.</v>
          </cell>
          <cell r="F378" t="str">
            <v>Ninguno</v>
          </cell>
          <cell r="G378" t="str">
            <v>7.07 Lbs/Gl</v>
          </cell>
          <cell r="H378" t="str">
            <v>-</v>
          </cell>
          <cell r="I378" t="str">
            <v>21.20%</v>
          </cell>
          <cell r="J378" t="str">
            <v>100%</v>
          </cell>
          <cell r="K378" t="str">
            <v>-</v>
          </cell>
          <cell r="L378" t="str">
            <v>19%</v>
          </cell>
          <cell r="M378" t="str">
            <v>24"-28" Copa Ford #4.</v>
          </cell>
          <cell r="N378" t="str">
            <v>Pistola</v>
          </cell>
          <cell r="O378" t="str">
            <v>20" Copa Zanh #2</v>
          </cell>
          <cell r="P378" t="str">
            <v>La Necesaria para su aplicación.</v>
          </cell>
          <cell r="Q378" t="str">
            <v>R7K203</v>
          </cell>
          <cell r="R378" t="str">
            <v>1.2-1.5 Mills</v>
          </cell>
          <cell r="S378" t="str">
            <v>Al aire, 1 Hora Seco completo.</v>
          </cell>
          <cell r="T378" t="str">
            <v>-</v>
          </cell>
          <cell r="U378" t="str">
            <v>23.59 Mts Cuadrados/Gl a 1.2 mills de película seca.</v>
          </cell>
          <cell r="V378" t="str">
            <v>70 Mínimo.</v>
          </cell>
          <cell r="W378" t="str">
            <v>-</v>
          </cell>
          <cell r="X378" t="str">
            <v>2 años sin Abrir.</v>
          </cell>
          <cell r="Y378" t="str">
            <v>-</v>
          </cell>
          <cell r="Z378" t="str">
            <v>-</v>
          </cell>
          <cell r="AA378" t="str">
            <v>-</v>
          </cell>
          <cell r="AB378" t="str">
            <v>Oscar Enrique Ascencio.</v>
          </cell>
          <cell r="AC378">
            <v>36201</v>
          </cell>
        </row>
        <row r="379">
          <cell r="A379" t="str">
            <v>B44V20</v>
          </cell>
          <cell r="B379" t="str">
            <v>BARNIZ MOISTURE CURING</v>
          </cell>
          <cell r="C379" t="str">
            <v>INTERIOR</v>
          </cell>
          <cell r="D379" t="str">
            <v>MADERA</v>
          </cell>
          <cell r="E379" t="str">
            <v>LIJADO, LIBRE DE POLVO</v>
          </cell>
          <cell r="F379" t="str">
            <v>NINGUNO</v>
          </cell>
          <cell r="G379" t="str">
            <v>8.19 LBS/GALON</v>
          </cell>
          <cell r="H379" t="str">
            <v>0.0 %</v>
          </cell>
          <cell r="I379" t="str">
            <v>35.5%</v>
          </cell>
          <cell r="J379" t="str">
            <v>100 %</v>
          </cell>
          <cell r="K379" t="str">
            <v>0.0 %</v>
          </cell>
          <cell r="L379" t="str">
            <v>29.0 %</v>
          </cell>
          <cell r="M379" t="str">
            <v>30 - 35 SEG ZANH #2</v>
          </cell>
          <cell r="N379" t="str">
            <v>BROCHA</v>
          </cell>
          <cell r="O379" t="str">
            <v>30 - 35 SEG ZANH #2</v>
          </cell>
          <cell r="P379" t="str">
            <v>De ser necesario con R2K4</v>
          </cell>
          <cell r="Q379" t="str">
            <v>R2K4</v>
          </cell>
          <cell r="R379" t="str">
            <v>--</v>
          </cell>
          <cell r="S379" t="str">
            <v xml:space="preserve"> 6 -8 HORAS, DEPENDIENDO DE LA HUEMDAD RELATIVA AMBIENTAL</v>
          </cell>
          <cell r="T379" t="str">
            <v>--</v>
          </cell>
          <cell r="U379" t="str">
            <v>43.21 Mts cuadrados / galon a 1.0 mils de pelicula seca</v>
          </cell>
          <cell r="V379" t="str">
            <v>--</v>
          </cell>
          <cell r="W379" t="str">
            <v>F - H</v>
          </cell>
          <cell r="X379" t="str">
            <v>6 meses</v>
          </cell>
          <cell r="Y379" t="str">
            <v>Costa Rica</v>
          </cell>
          <cell r="Z379" t="str">
            <v>--</v>
          </cell>
          <cell r="AA379" t="str">
            <v>--</v>
          </cell>
          <cell r="AB379" t="str">
            <v>Juan Antonio Méndez</v>
          </cell>
          <cell r="AC379" t="str">
            <v>Junio 7, 2001</v>
          </cell>
        </row>
        <row r="380">
          <cell r="A380" t="str">
            <v>SAA 5439</v>
          </cell>
          <cell r="B380" t="str">
            <v>LACA INDUSTRIAL BLANCO PURO ESPECIAL</v>
          </cell>
          <cell r="C380" t="str">
            <v>INTERIOR-EXTERIOR</v>
          </cell>
          <cell r="D380" t="str">
            <v xml:space="preserve">Hierro-Acero </v>
          </cell>
          <cell r="E380" t="str">
            <v>Lijado libre de grasa y oxido</v>
          </cell>
          <cell r="F380" t="str">
            <v xml:space="preserve">Para Hierro o Acero Combo Primer: P2A32. Para Aluminio: WASH PRIMER P60G2 + Combo P2A32 </v>
          </cell>
          <cell r="G380" t="str">
            <v>9.60 Lbs/galón</v>
          </cell>
          <cell r="H380" t="str">
            <v>15%</v>
          </cell>
          <cell r="I380" t="str">
            <v>38.57%</v>
          </cell>
          <cell r="J380" t="str">
            <v>58.6%</v>
          </cell>
          <cell r="K380" t="str">
            <v>18.77 %</v>
          </cell>
          <cell r="L380" t="str">
            <v>25.38%</v>
          </cell>
          <cell r="M380" t="str">
            <v>25 - 30 seg  SW #5</v>
          </cell>
          <cell r="N380" t="str">
            <v>Pistola</v>
          </cell>
          <cell r="O380" t="str">
            <v>-</v>
          </cell>
          <cell r="P380" t="str">
            <v xml:space="preserve">100 - 150% </v>
          </cell>
          <cell r="Q380" t="str">
            <v>R7K128</v>
          </cell>
          <cell r="R380" t="str">
            <v xml:space="preserve">1.0 - 2.0 mils </v>
          </cell>
          <cell r="S380" t="str">
            <v>Seco Tocar. 10 min ; Seco Completo: 20 min</v>
          </cell>
          <cell r="T380" t="str">
            <v>-</v>
          </cell>
          <cell r="U380" t="str">
            <v>37.81 mts cuadrados a un mils de espesor</v>
          </cell>
          <cell r="V380" t="str">
            <v>+80 unidades</v>
          </cell>
          <cell r="W380" t="str">
            <v>-</v>
          </cell>
          <cell r="X380" t="str">
            <v>6 - 12 meses</v>
          </cell>
          <cell r="Y380" t="str">
            <v>Didema Tegucigalpa</v>
          </cell>
          <cell r="Z380" t="str">
            <v>-</v>
          </cell>
          <cell r="AA380" t="str">
            <v>-</v>
          </cell>
          <cell r="AB380" t="str">
            <v>Ing. Juan Antonio Méndez</v>
          </cell>
          <cell r="AC380" t="str">
            <v>Enero 8, 2002</v>
          </cell>
        </row>
        <row r="381">
          <cell r="A381" t="str">
            <v>LINEA B5</v>
          </cell>
          <cell r="B381" t="str">
            <v>EXCELLO LATEX Pintura para Interiores y Exteriores</v>
          </cell>
          <cell r="C381" t="str">
            <v>INTERIOR-EXTERIOR</v>
          </cell>
          <cell r="D381" t="str">
            <v>CONCRETO, LADRILLO</v>
          </cell>
          <cell r="E381" t="str">
            <v>Limpia, Seca, Libre de polvo, grasa, hongos o pintura descascarada.</v>
          </cell>
          <cell r="F381" t="str">
            <v>Sellador para concreto. Linea B45</v>
          </cell>
          <cell r="G381" t="str">
            <v>11.25 Lbs/Gl</v>
          </cell>
          <cell r="H381" t="str">
            <v>-</v>
          </cell>
          <cell r="I381" t="str">
            <v>49%</v>
          </cell>
          <cell r="J381" t="str">
            <v>-</v>
          </cell>
          <cell r="K381" t="str">
            <v>-</v>
          </cell>
          <cell r="L381" t="str">
            <v>32%</v>
          </cell>
          <cell r="M381" t="str">
            <v>90-95 KU</v>
          </cell>
          <cell r="N381" t="str">
            <v>Brocha-Rodillo</v>
          </cell>
          <cell r="O381" t="str">
            <v>-</v>
          </cell>
          <cell r="P381" t="str">
            <v>Hasta un 25%</v>
          </cell>
          <cell r="Q381" t="str">
            <v>Agua</v>
          </cell>
          <cell r="R381" t="str">
            <v>1 mills</v>
          </cell>
          <cell r="S381" t="str">
            <v>Al tacto 1 hora. Retocar: 2-4 horas.</v>
          </cell>
          <cell r="T381" t="str">
            <v>-</v>
          </cell>
          <cell r="U381" t="str">
            <v>40 Mts Cuadrados/Gl a 1 mills de espesor. (13 mts cuadrados/Lt.</v>
          </cell>
          <cell r="V381" t="str">
            <v>Mate 6%</v>
          </cell>
          <cell r="W381" t="str">
            <v>-</v>
          </cell>
          <cell r="X381" t="str">
            <v>36 meses</v>
          </cell>
          <cell r="Y381" t="str">
            <v>-</v>
          </cell>
          <cell r="Z381" t="str">
            <v>-</v>
          </cell>
          <cell r="AA381" t="str">
            <v>Ph:   8.0-8.5                      ESTE PRODUCTO NO CONTIENE PLOMO NI MERCURIO</v>
          </cell>
          <cell r="AB381" t="str">
            <v>Ana Irene Mendez Vides</v>
          </cell>
          <cell r="AC381" t="str">
            <v>Enero 21, 2002</v>
          </cell>
        </row>
        <row r="382">
          <cell r="A382" t="str">
            <v>LINEA B4</v>
          </cell>
          <cell r="B382" t="str">
            <v>EXCELLO ACEITE Pintura para Interiores y Exteriores</v>
          </cell>
          <cell r="C382" t="str">
            <v>INTERIOR-EXTERIOR</v>
          </cell>
          <cell r="D382" t="str">
            <v>Metal, Madera, Concreto</v>
          </cell>
          <cell r="E382" t="str">
            <v>Limpia, Seca, Libre de polvo, grasa,  o pintura descascarada</v>
          </cell>
          <cell r="F382" t="str">
            <v>En superficies de metal, Anticorrosivo Excello Rustop</v>
          </cell>
          <cell r="G382" t="str">
            <v>9.4 Lbs/Gl</v>
          </cell>
          <cell r="H382" t="str">
            <v>-</v>
          </cell>
          <cell r="I382" t="str">
            <v>58.8%</v>
          </cell>
          <cell r="J382" t="str">
            <v>-</v>
          </cell>
          <cell r="K382" t="str">
            <v>-</v>
          </cell>
          <cell r="L382" t="str">
            <v>42%</v>
          </cell>
          <cell r="M382" t="str">
            <v>80-85 KU</v>
          </cell>
          <cell r="N382" t="str">
            <v xml:space="preserve">Brocha-Pistola </v>
          </cell>
          <cell r="O382" t="str">
            <v>-</v>
          </cell>
          <cell r="P382" t="str">
            <v>Hasta un 25%</v>
          </cell>
          <cell r="Q382" t="str">
            <v>Mineral Spirits R1K4</v>
          </cell>
          <cell r="R382" t="str">
            <v>1 mills</v>
          </cell>
          <cell r="S382" t="str">
            <v>Al tacto 1 hora. Retocar: 12 horas.</v>
          </cell>
          <cell r="T382" t="str">
            <v>-</v>
          </cell>
          <cell r="U382" t="str">
            <v>64 Mts Cuadrados/Gl a 1 mills de espesor. (17 mts cuadrados/Lt.</v>
          </cell>
          <cell r="V382" t="str">
            <v>85% minimo (Acabado Brillante)</v>
          </cell>
          <cell r="W382" t="str">
            <v>-</v>
          </cell>
          <cell r="X382" t="str">
            <v>36 Meses</v>
          </cell>
          <cell r="Y382" t="str">
            <v>-</v>
          </cell>
          <cell r="Z382" t="str">
            <v>-</v>
          </cell>
          <cell r="AA382" t="str">
            <v>ESTE PRODUCTO NO CONTIENE PLOMO NI MERCURIO</v>
          </cell>
          <cell r="AB382" t="str">
            <v>Soraya de Quijada</v>
          </cell>
          <cell r="AC382" t="str">
            <v>Enero 21, 2002</v>
          </cell>
        </row>
        <row r="383">
          <cell r="A383" t="str">
            <v>E41N1</v>
          </cell>
          <cell r="B383" t="str">
            <v>KROMIK METAL PRIMER</v>
          </cell>
          <cell r="C383" t="str">
            <v>INTERIOR-EXTERIOR</v>
          </cell>
          <cell r="D383" t="str">
            <v xml:space="preserve">Hierro-Acero </v>
          </cell>
          <cell r="E383" t="str">
            <v>Libre de aceite, grasa, óxido suelto, pintura descascarada</v>
          </cell>
          <cell r="F383" t="str">
            <v>Ninguno</v>
          </cell>
          <cell r="G383" t="str">
            <v>13.65 Lbs/Gl</v>
          </cell>
          <cell r="H383" t="str">
            <v>37.88%</v>
          </cell>
          <cell r="I383" t="str">
            <v>78%</v>
          </cell>
          <cell r="J383" t="str">
            <v>42.43%</v>
          </cell>
          <cell r="K383" t="str">
            <v>43%</v>
          </cell>
          <cell r="L383" t="str">
            <v>56%</v>
          </cell>
          <cell r="M383" t="str">
            <v>25"-30" copa SW #3</v>
          </cell>
          <cell r="N383" t="str">
            <v xml:space="preserve">Brocha-Pistola-Rodillo </v>
          </cell>
          <cell r="O383" t="str">
            <v>-</v>
          </cell>
          <cell r="P383" t="str">
            <v>12.5%</v>
          </cell>
          <cell r="Q383" t="str">
            <v xml:space="preserve"> VMP NAFTHA R1K3</v>
          </cell>
          <cell r="R383" t="str">
            <v>3.0 mills Recomendado</v>
          </cell>
          <cell r="S383" t="str">
            <v>Tocar: 1-2 horas.  Retocar: 18-24 horas</v>
          </cell>
          <cell r="T383" t="str">
            <v>-</v>
          </cell>
          <cell r="U383" t="str">
            <v>55 Mts cuadrados/Gl a 1.5 mills seco</v>
          </cell>
          <cell r="V383" t="str">
            <v>mate</v>
          </cell>
          <cell r="W383" t="str">
            <v>HB</v>
          </cell>
          <cell r="X383" t="str">
            <v>36 meses</v>
          </cell>
          <cell r="Y383" t="str">
            <v>-</v>
          </cell>
          <cell r="Z383" t="str">
            <v>-</v>
          </cell>
          <cell r="AA383" t="str">
            <v xml:space="preserve">Punto de inflamación: 37°C, Resistencia al calor: Hasta 200°F(93°C), Flexibilidad:180°, 1/2" Pasa ASTM 1737, Resistencia a la Abrasión: 220 mg ASTM 1713, Resistencia Al Impacto: 35 in/Lb ASTM G14. </v>
          </cell>
          <cell r="AB383" t="str">
            <v>Ana Irene Mendez Vides</v>
          </cell>
          <cell r="AC383" t="str">
            <v>Enero 21, 2002</v>
          </cell>
        </row>
        <row r="384">
          <cell r="A384" t="str">
            <v>LINEA A5</v>
          </cell>
          <cell r="B384" t="str">
            <v>PINTURA PARA PISCINAS</v>
          </cell>
          <cell r="C384" t="str">
            <v>INTERIOR-EXTERIOR</v>
          </cell>
          <cell r="D384" t="str">
            <v xml:space="preserve">CEMENTO-CONCRETO </v>
          </cell>
          <cell r="E384" t="str">
            <v>Completamente Seca, libre de grasa y aceite.</v>
          </cell>
          <cell r="F384" t="str">
            <v>Ninguno</v>
          </cell>
          <cell r="G384" t="str">
            <v>10.5 Lbs/Gl</v>
          </cell>
          <cell r="H384" t="str">
            <v>-</v>
          </cell>
          <cell r="I384" t="str">
            <v>45-50%</v>
          </cell>
          <cell r="J384" t="str">
            <v>-</v>
          </cell>
          <cell r="K384" t="str">
            <v>-</v>
          </cell>
          <cell r="L384" t="str">
            <v>28-30%</v>
          </cell>
          <cell r="M384" t="str">
            <v>70-75 KU</v>
          </cell>
          <cell r="N384" t="str">
            <v>Brocha-Rodillo-Pistola</v>
          </cell>
          <cell r="O384" t="str">
            <v>-</v>
          </cell>
          <cell r="P384" t="str">
            <v>Brocha-Rodillo: Ninguna. Pistola 25% Industrial Reducer</v>
          </cell>
          <cell r="Q384" t="str">
            <v>R2K4 Industrial Reducer.</v>
          </cell>
          <cell r="R384" t="str">
            <v>-</v>
          </cell>
          <cell r="S384" t="str">
            <v>Al Tacto: 1 Hora. Repintar de 8-12 horas</v>
          </cell>
          <cell r="T384" t="str">
            <v>-</v>
          </cell>
          <cell r="U384" t="str">
            <v>40 Mts cuadrados/Gl a una mano</v>
          </cell>
          <cell r="V384" t="str">
            <v>Satinado</v>
          </cell>
          <cell r="W384" t="str">
            <v>-</v>
          </cell>
          <cell r="X384" t="str">
            <v>36 meses</v>
          </cell>
          <cell r="Y384" t="str">
            <v>-</v>
          </cell>
          <cell r="Z384" t="str">
            <v>-</v>
          </cell>
          <cell r="AA384" t="str">
            <v>Para un buen trabajo es muy importante una correcta preparación de la superficie.llenar la piscina hasta después de 7 días como mínimo.</v>
          </cell>
          <cell r="AB384" t="str">
            <v>Ana Irene Mendez Vides</v>
          </cell>
          <cell r="AC384" t="str">
            <v>Enero 21, 2002</v>
          </cell>
        </row>
        <row r="385">
          <cell r="A385" t="str">
            <v>LINEA A68</v>
          </cell>
          <cell r="B385" t="str">
            <v>GALVITE</v>
          </cell>
          <cell r="C385" t="str">
            <v>INTERIOR-EXTERIOR</v>
          </cell>
          <cell r="D385" t="str">
            <v>Hierro galvanizado, Zinc, Asbesto o hierro</v>
          </cell>
          <cell r="E385" t="str">
            <v>Limpia, seca, libre de grasas, aceites o lubricantes y óxido</v>
          </cell>
          <cell r="F385" t="str">
            <v>Ninguno</v>
          </cell>
          <cell r="G385" t="str">
            <v>-</v>
          </cell>
          <cell r="H385" t="str">
            <v>-</v>
          </cell>
          <cell r="I385" t="str">
            <v>78%</v>
          </cell>
          <cell r="J385" t="str">
            <v>-</v>
          </cell>
          <cell r="K385" t="str">
            <v>-</v>
          </cell>
          <cell r="L385" t="str">
            <v>65%</v>
          </cell>
          <cell r="M385" t="str">
            <v>-</v>
          </cell>
          <cell r="N385" t="str">
            <v>Brocha-Rodillo</v>
          </cell>
          <cell r="O385" t="str">
            <v>-</v>
          </cell>
          <cell r="P385" t="str">
            <v>25%</v>
          </cell>
          <cell r="Q385" t="str">
            <v>R1K4 Mineral Spirits</v>
          </cell>
          <cell r="R385" t="str">
            <v>1 mills</v>
          </cell>
          <cell r="S385" t="str">
            <v>Al tacto: 4-5 hioras. Retocar:24 horas</v>
          </cell>
          <cell r="T385" t="str">
            <v>-</v>
          </cell>
          <cell r="U385" t="str">
            <v>62 Mts cuadrados/Gl a 1 mills</v>
          </cell>
          <cell r="V385" t="str">
            <v>Semi-Mate</v>
          </cell>
          <cell r="W385" t="str">
            <v>-</v>
          </cell>
          <cell r="X385" t="str">
            <v>36 meses</v>
          </cell>
          <cell r="Y385" t="str">
            <v>-</v>
          </cell>
          <cell r="Z385" t="str">
            <v>-</v>
          </cell>
          <cell r="AA385" t="str">
            <v>-</v>
          </cell>
          <cell r="AB385" t="str">
            <v>Ana Irene Mendez Vides</v>
          </cell>
          <cell r="AC385" t="str">
            <v>Enero 21, 2002</v>
          </cell>
        </row>
        <row r="386">
          <cell r="A386" t="str">
            <v>R21KSA1</v>
          </cell>
          <cell r="B386" t="str">
            <v>Removedor de Pintura.</v>
          </cell>
          <cell r="C386" t="str">
            <v>-</v>
          </cell>
          <cell r="D386" t="str">
            <v>-</v>
          </cell>
          <cell r="E386" t="str">
            <v>-</v>
          </cell>
          <cell r="F386" t="str">
            <v>Ninguno</v>
          </cell>
          <cell r="G386" t="str">
            <v>9.7 Lbs/gl</v>
          </cell>
          <cell r="H386" t="str">
            <v>-</v>
          </cell>
          <cell r="I386" t="str">
            <v>4.5%</v>
          </cell>
          <cell r="J386" t="str">
            <v>-</v>
          </cell>
          <cell r="K386" t="str">
            <v>-</v>
          </cell>
          <cell r="L386" t="str">
            <v>4.2%</v>
          </cell>
          <cell r="M386" t="str">
            <v>75-80 KU</v>
          </cell>
          <cell r="N386" t="str">
            <v>Brocha</v>
          </cell>
          <cell r="O386" t="str">
            <v>-</v>
          </cell>
          <cell r="P386" t="str">
            <v>-</v>
          </cell>
          <cell r="Q386" t="str">
            <v>Agua</v>
          </cell>
          <cell r="R386" t="str">
            <v>-</v>
          </cell>
          <cell r="S386" t="str">
            <v>-</v>
          </cell>
          <cell r="T386" t="str">
            <v>-</v>
          </cell>
          <cell r="U386" t="str">
            <v>-</v>
          </cell>
          <cell r="V386" t="str">
            <v>-</v>
          </cell>
          <cell r="W386" t="str">
            <v>-</v>
          </cell>
          <cell r="X386" t="str">
            <v>-</v>
          </cell>
          <cell r="Y386" t="str">
            <v>-</v>
          </cell>
          <cell r="Z386" t="str">
            <v>-</v>
          </cell>
          <cell r="AA386" t="str">
            <v>Cumple especificaciones militares R 25134 A</v>
          </cell>
          <cell r="AB386" t="str">
            <v>Ana Irene Mendez Vides</v>
          </cell>
          <cell r="AC386" t="str">
            <v>Enero 21, 2002</v>
          </cell>
        </row>
        <row r="387">
          <cell r="A387" t="str">
            <v>W4K263</v>
          </cell>
          <cell r="B387" t="str">
            <v>Dual Etch</v>
          </cell>
          <cell r="C387" t="str">
            <v>-</v>
          </cell>
          <cell r="D387" t="str">
            <v>-</v>
          </cell>
          <cell r="E387" t="str">
            <v>-</v>
          </cell>
          <cell r="F387" t="str">
            <v>-</v>
          </cell>
          <cell r="G387" t="str">
            <v>9.7 Lbs/gl</v>
          </cell>
          <cell r="H387" t="str">
            <v>-</v>
          </cell>
          <cell r="I387" t="str">
            <v>32</v>
          </cell>
          <cell r="J387" t="str">
            <v>-</v>
          </cell>
          <cell r="K387" t="str">
            <v>-</v>
          </cell>
          <cell r="L387" t="str">
            <v>20</v>
          </cell>
          <cell r="M387" t="str">
            <v>-</v>
          </cell>
          <cell r="N387" t="str">
            <v>-</v>
          </cell>
          <cell r="O387" t="str">
            <v>-</v>
          </cell>
          <cell r="P387" t="str">
            <v>200-300%</v>
          </cell>
          <cell r="Q387" t="str">
            <v>Agua</v>
          </cell>
          <cell r="R387" t="str">
            <v>-</v>
          </cell>
          <cell r="S387" t="str">
            <v>-</v>
          </cell>
          <cell r="T387" t="str">
            <v>-</v>
          </cell>
          <cell r="U387" t="str">
            <v>-</v>
          </cell>
          <cell r="V387" t="str">
            <v>-</v>
          </cell>
          <cell r="W387" t="str">
            <v>-</v>
          </cell>
          <cell r="X387" t="str">
            <v>6 meses corectamente tapado y almacenado a 25°C</v>
          </cell>
          <cell r="Y387" t="str">
            <v>-</v>
          </cell>
          <cell r="Z387" t="str">
            <v>-</v>
          </cell>
          <cell r="AA387" t="str">
            <v>Punto de Inflamación104°C. Ingrediente Activo: Acido Fosfórico.</v>
          </cell>
          <cell r="AB387" t="str">
            <v>Ana Irene Mendez Vides</v>
          </cell>
          <cell r="AC387" t="str">
            <v>Enero 21, 2002</v>
          </cell>
        </row>
        <row r="388">
          <cell r="A388" t="str">
            <v>R1K4</v>
          </cell>
          <cell r="B388" t="str">
            <v>SOLVENTE MINERAL</v>
          </cell>
          <cell r="C388" t="str">
            <v>-</v>
          </cell>
          <cell r="D388" t="str">
            <v>-</v>
          </cell>
          <cell r="E388" t="str">
            <v>-</v>
          </cell>
          <cell r="F388" t="str">
            <v>-</v>
          </cell>
          <cell r="G388" t="str">
            <v>6.4 Lb/Gl</v>
          </cell>
          <cell r="H388" t="str">
            <v>-</v>
          </cell>
          <cell r="I388" t="str">
            <v>-</v>
          </cell>
          <cell r="J388" t="str">
            <v>-</v>
          </cell>
          <cell r="K388" t="str">
            <v>-</v>
          </cell>
          <cell r="L388" t="str">
            <v>-</v>
          </cell>
          <cell r="M388" t="str">
            <v>-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 t="str">
            <v>-</v>
          </cell>
          <cell r="V388" t="str">
            <v>-</v>
          </cell>
          <cell r="W388" t="str">
            <v>-</v>
          </cell>
          <cell r="X388" t="str">
            <v>6 meses corectamente tapado y almacenado a 25°C</v>
          </cell>
          <cell r="Y388" t="str">
            <v>-</v>
          </cell>
          <cell r="Z388" t="str">
            <v>-</v>
          </cell>
          <cell r="AA388" t="str">
            <v>Adelgazador para pinturas de aceite, esmaltes y barnices aplicados con brocha, elaborado a base de hifrocarburos alifáticos</v>
          </cell>
          <cell r="AB388" t="str">
            <v>Ana Irene Mendez Vides</v>
          </cell>
          <cell r="AC388" t="str">
            <v>Enero 21, 2002</v>
          </cell>
        </row>
        <row r="389">
          <cell r="A389" t="str">
            <v>R7K128</v>
          </cell>
          <cell r="B389" t="str">
            <v>THINNER 128</v>
          </cell>
          <cell r="C389" t="str">
            <v>-</v>
          </cell>
          <cell r="D389" t="str">
            <v>-</v>
          </cell>
          <cell r="E389" t="str">
            <v>-</v>
          </cell>
          <cell r="F389" t="str">
            <v>-</v>
          </cell>
          <cell r="G389" t="str">
            <v>7.0 Lb/Gl</v>
          </cell>
          <cell r="H389" t="str">
            <v>-</v>
          </cell>
          <cell r="I389" t="str">
            <v>-</v>
          </cell>
          <cell r="J389" t="str">
            <v>-</v>
          </cell>
          <cell r="K389" t="str">
            <v>-</v>
          </cell>
          <cell r="L389" t="str">
            <v>-</v>
          </cell>
          <cell r="M389" t="str">
            <v>-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 t="str">
            <v>-</v>
          </cell>
          <cell r="V389" t="str">
            <v>-</v>
          </cell>
          <cell r="W389" t="str">
            <v>-</v>
          </cell>
          <cell r="X389" t="str">
            <v>6 meses corectamente tapado y almacenado a 25°C</v>
          </cell>
          <cell r="Y389" t="str">
            <v>-</v>
          </cell>
          <cell r="Z389" t="str">
            <v>-</v>
          </cell>
          <cell r="AA389" t="str">
            <v>Punto de inflación -4°C. Usese sólo en lugares bien ventilados, evite respirar sus vapores o el contacto con la piel.</v>
          </cell>
          <cell r="AB389" t="str">
            <v>Ana Irene Mendez Vides</v>
          </cell>
          <cell r="AC389" t="str">
            <v>Enero 21, 2002</v>
          </cell>
        </row>
        <row r="390">
          <cell r="A390" t="str">
            <v>R2K4</v>
          </cell>
          <cell r="B390" t="str">
            <v>INDUSTRIAL REDUCER</v>
          </cell>
          <cell r="C390" t="str">
            <v>-</v>
          </cell>
          <cell r="D390" t="str">
            <v>-</v>
          </cell>
          <cell r="E390" t="str">
            <v>-</v>
          </cell>
          <cell r="F390" t="str">
            <v>-</v>
          </cell>
          <cell r="G390" t="str">
            <v>7.2 Lb/Gl</v>
          </cell>
          <cell r="H390" t="str">
            <v>-</v>
          </cell>
          <cell r="I390" t="str">
            <v>-</v>
          </cell>
          <cell r="J390" t="str">
            <v>-</v>
          </cell>
          <cell r="K390" t="str">
            <v>-</v>
          </cell>
          <cell r="L390" t="str">
            <v>-</v>
          </cell>
          <cell r="M390" t="str">
            <v>-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 t="str">
            <v>-</v>
          </cell>
          <cell r="V390" t="str">
            <v>-</v>
          </cell>
          <cell r="W390" t="str">
            <v>-</v>
          </cell>
          <cell r="X390" t="str">
            <v>6 meses corectamente tapado y almacenado a 25°C</v>
          </cell>
          <cell r="Y390" t="str">
            <v>-</v>
          </cell>
          <cell r="Z390" t="str">
            <v>-</v>
          </cell>
          <cell r="AA390" t="str">
            <v>Punto de inflamación: 27°C. Diluyente a base de hidrocarburos aromáticos, no se recomienda para reducir lacas, esmaltes epoxicos ni pinturas a base de latex. Usar en lugares bien ventilados.</v>
          </cell>
          <cell r="AB390" t="str">
            <v>Ana Irene Mendez Vides</v>
          </cell>
          <cell r="AC390" t="str">
            <v>Enero 21, 2002</v>
          </cell>
        </row>
        <row r="391">
          <cell r="A391" t="str">
            <v>SAA 5486</v>
          </cell>
          <cell r="B391" t="str">
            <v>LACA INDUSTRIAL BLANCO PURO SATINADO</v>
          </cell>
          <cell r="C391" t="str">
            <v>INTERIOR</v>
          </cell>
          <cell r="D391" t="str">
            <v>MADERA, ACERO , HIERRO</v>
          </cell>
          <cell r="E391" t="str">
            <v>Lijado libre de grasa y oxido</v>
          </cell>
          <cell r="F391" t="str">
            <v>MADERA: P65W1;                                      ACERO, HIERRO: P2A32</v>
          </cell>
          <cell r="G391" t="str">
            <v>8.66 LBS</v>
          </cell>
          <cell r="H391" t="str">
            <v>11.12%</v>
          </cell>
          <cell r="I391" t="str">
            <v>38.20%</v>
          </cell>
          <cell r="J391" t="str">
            <v>49.88%</v>
          </cell>
          <cell r="K391" t="str">
            <v>15.96%</v>
          </cell>
          <cell r="L391" t="str">
            <v>25.68%</v>
          </cell>
          <cell r="M391" t="str">
            <v>60-75 seg FORD #4</v>
          </cell>
          <cell r="N391" t="str">
            <v>PISTOLA</v>
          </cell>
          <cell r="O391" t="str">
            <v>18-20 SEG ZANH #2</v>
          </cell>
          <cell r="P391" t="str">
            <v>100-200%</v>
          </cell>
          <cell r="Q391" t="str">
            <v>R7K128</v>
          </cell>
          <cell r="R391" t="str">
            <v xml:space="preserve">1.0 -1.5 mils </v>
          </cell>
          <cell r="S391" t="str">
            <v>Seco tocar=10 min; Seco completo= 20 min</v>
          </cell>
          <cell r="T391" t="str">
            <v>-</v>
          </cell>
          <cell r="U391" t="str">
            <v>38.26 metros cuadrados por galon a 1.2 mils de pelicula seca</v>
          </cell>
          <cell r="V391" t="str">
            <v>20-40</v>
          </cell>
          <cell r="W391" t="str">
            <v>-</v>
          </cell>
          <cell r="X391" t="str">
            <v>6 meses</v>
          </cell>
          <cell r="Y391" t="str">
            <v>DIDEMA GUATEMALA</v>
          </cell>
          <cell r="Z391" t="str">
            <v>-</v>
          </cell>
          <cell r="AA391" t="str">
            <v>-</v>
          </cell>
          <cell r="AB391" t="str">
            <v>Juan Antonio Méndez</v>
          </cell>
          <cell r="AC391" t="str">
            <v>Febrero 16, 2002</v>
          </cell>
        </row>
        <row r="392">
          <cell r="A392" t="str">
            <v>LINEA L4</v>
          </cell>
          <cell r="B392" t="str">
            <v>LACA ACRILICA</v>
          </cell>
          <cell r="C392" t="str">
            <v>INTERIOR-EXTERIOR</v>
          </cell>
          <cell r="D392" t="str">
            <v>Acero, Hierro</v>
          </cell>
          <cell r="E392" t="str">
            <v>Lijado libre de grasa y oxido</v>
          </cell>
          <cell r="F392" t="str">
            <v>P2A32, P2A43</v>
          </cell>
          <cell r="G392" t="str">
            <v>ENTRE 8.5-9.5</v>
          </cell>
          <cell r="H392" t="str">
            <v>28-38% VARIA CON EL COLOR</v>
          </cell>
          <cell r="I392" t="str">
            <v>25-40% varia con el color</v>
          </cell>
          <cell r="J392" t="str">
            <v>35-50%varia con el color</v>
          </cell>
          <cell r="K392" t="str">
            <v>0-20% varia con el producto</v>
          </cell>
          <cell r="L392" t="str">
            <v>22-28% VARIA CON EL COLOR</v>
          </cell>
          <cell r="M392" t="str">
            <v>40seg Ford 4</v>
          </cell>
          <cell r="N392" t="str">
            <v>pistola</v>
          </cell>
          <cell r="O392" t="str">
            <v>18-20 SEG ZANH #3</v>
          </cell>
          <cell r="P392" t="str">
            <v>100-200%</v>
          </cell>
          <cell r="Q392" t="str">
            <v>R7K203</v>
          </cell>
          <cell r="R392" t="str">
            <v xml:space="preserve">1.0 -1.5 mils </v>
          </cell>
          <cell r="S392" t="str">
            <v>Seco tocar=10 - 15min; Seco completo= 40 - 50 min</v>
          </cell>
          <cell r="U392" t="str">
            <v>30 metros cuadrados por galon a 2 mils de pelicula seca</v>
          </cell>
          <cell r="V392" t="str">
            <v>95</v>
          </cell>
          <cell r="X392" t="str">
            <v>6 meses</v>
          </cell>
          <cell r="Y392" t="str">
            <v>VARIOS</v>
          </cell>
          <cell r="AB392" t="str">
            <v>Rigoberto Montalvo</v>
          </cell>
          <cell r="AC392" t="str">
            <v>Marzo 18, 2002</v>
          </cell>
        </row>
        <row r="393">
          <cell r="A393" t="str">
            <v>R7K203</v>
          </cell>
          <cell r="B393" t="str">
            <v>DUAL LACQUER THINNER</v>
          </cell>
          <cell r="C393" t="str">
            <v>-</v>
          </cell>
          <cell r="D393" t="str">
            <v>-</v>
          </cell>
          <cell r="E393" t="str">
            <v>-</v>
          </cell>
          <cell r="F393" t="str">
            <v>-</v>
          </cell>
          <cell r="G393" t="str">
            <v>7.09 Lb/Gl</v>
          </cell>
          <cell r="H393" t="str">
            <v>-</v>
          </cell>
          <cell r="I393" t="str">
            <v>-</v>
          </cell>
          <cell r="J393" t="str">
            <v>-</v>
          </cell>
          <cell r="L393" t="str">
            <v>-</v>
          </cell>
          <cell r="M393" t="str">
            <v>-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 t="str">
            <v>-</v>
          </cell>
          <cell r="V393" t="str">
            <v>-</v>
          </cell>
          <cell r="W393" t="str">
            <v>-</v>
          </cell>
          <cell r="X393" t="str">
            <v>6 meses correctamente tapado y almacenado a 25°C</v>
          </cell>
          <cell r="Y393" t="str">
            <v>VARIOS</v>
          </cell>
          <cell r="Z393" t="str">
            <v>-</v>
          </cell>
          <cell r="AA393" t="str">
            <v>Usese sólo en lugares bien ventilados, evite respirar sus vapores o el contacto con la piel.</v>
          </cell>
          <cell r="AB393" t="str">
            <v>Rigoberto Montalvo</v>
          </cell>
          <cell r="AC393" t="str">
            <v>Marzo 18, 2002</v>
          </cell>
        </row>
        <row r="394">
          <cell r="A394" t="str">
            <v>P2A32</v>
          </cell>
          <cell r="B394" t="str">
            <v xml:space="preserve"> COMBO LIGHT  PRIMER SURFACER</v>
          </cell>
          <cell r="C394" t="str">
            <v>EXTERIOR</v>
          </cell>
          <cell r="D394" t="str">
            <v>HIERRO - ACERO</v>
          </cell>
          <cell r="E394" t="str">
            <v>Lijado, Libre de Polvo, grasa y oxido</v>
          </cell>
          <cell r="F394" t="str">
            <v>-</v>
          </cell>
          <cell r="G394" t="str">
            <v>9.30 LBS/GALON</v>
          </cell>
          <cell r="H394" t="str">
            <v>3.19 %</v>
          </cell>
          <cell r="I394" t="str">
            <v>47.78 %</v>
          </cell>
          <cell r="J394" t="str">
            <v>30.18 %</v>
          </cell>
          <cell r="K394" t="str">
            <v>31.66</v>
          </cell>
          <cell r="L394" t="str">
            <v>30.42</v>
          </cell>
          <cell r="M394" t="str">
            <v>7000 - 13000 cps  BROOKFIELD</v>
          </cell>
          <cell r="N394" t="str">
            <v>PISTOLA</v>
          </cell>
          <cell r="O394" t="str">
            <v>18 - 20" FORD #4</v>
          </cell>
          <cell r="P394" t="str">
            <v>150-200%</v>
          </cell>
          <cell r="Q394" t="str">
            <v>R7K128</v>
          </cell>
          <cell r="R394" t="str">
            <v xml:space="preserve">1.0 - 2.0 mils </v>
          </cell>
          <cell r="S394" t="str">
            <v>5 - 10 Min a condiciones de 25°C y 50-60 % HR</v>
          </cell>
          <cell r="T394" t="str">
            <v>-</v>
          </cell>
          <cell r="U394" t="str">
            <v>45.32 m2/galon a 1 mils de pelicula seca</v>
          </cell>
          <cell r="V394" t="str">
            <v>-</v>
          </cell>
          <cell r="W394" t="str">
            <v>-</v>
          </cell>
          <cell r="X394" t="str">
            <v>6 meses</v>
          </cell>
          <cell r="Y394" t="str">
            <v>-</v>
          </cell>
          <cell r="Z394" t="str">
            <v>-</v>
          </cell>
          <cell r="AA394" t="str">
            <v>--</v>
          </cell>
          <cell r="AB394" t="str">
            <v>Juan Antonio Méndez</v>
          </cell>
          <cell r="AC394" t="str">
            <v>Marzo 19, 2002</v>
          </cell>
        </row>
        <row r="395">
          <cell r="A395" t="str">
            <v>B5W401, B5W402, B5W403</v>
          </cell>
          <cell r="B395" t="str">
            <v>STYLE PERFECT INTERIOR LATEX MATE</v>
          </cell>
          <cell r="C395" t="str">
            <v>INTERIOR</v>
          </cell>
          <cell r="D395" t="str">
            <v>CEMENTO-LADRILLO-CONCRETO</v>
          </cell>
          <cell r="E395" t="str">
            <v>CURADA, LIJADA, SECA Y LIBRE DE TODA CONTAMINACION</v>
          </cell>
          <cell r="F395" t="str">
            <v>-</v>
          </cell>
          <cell r="G395" t="str">
            <v>10.8-11.2 LBS/GL</v>
          </cell>
          <cell r="H395" t="str">
            <v>-</v>
          </cell>
          <cell r="I395" t="str">
            <v>44%-48%</v>
          </cell>
          <cell r="J395" t="str">
            <v>-</v>
          </cell>
          <cell r="K395" t="str">
            <v>47.5%-48.5%</v>
          </cell>
          <cell r="L395" t="str">
            <v>30.5-31.5</v>
          </cell>
          <cell r="M395" t="str">
            <v>95-100 KU</v>
          </cell>
          <cell r="N395" t="str">
            <v>BROCHA-RODILLO</v>
          </cell>
          <cell r="O395" t="str">
            <v>90-95 KU</v>
          </cell>
          <cell r="P395" t="str">
            <v>10%</v>
          </cell>
          <cell r="Q395" t="str">
            <v>AGUA LIMPIA</v>
          </cell>
          <cell r="R395" t="str">
            <v>1.5 MILLS</v>
          </cell>
          <cell r="S395" t="str">
            <v>AL AIRE, RECUBRIR DESPUES DE 4 HORAS</v>
          </cell>
          <cell r="T395" t="str">
            <v>-</v>
          </cell>
          <cell r="U395" t="str">
            <v>30-32 Mts Cuadrados/Gl, Dependiendo de la Superficie.</v>
          </cell>
          <cell r="V395" t="str">
            <v>MATE</v>
          </cell>
          <cell r="W395" t="str">
            <v>-</v>
          </cell>
          <cell r="X395" t="str">
            <v>3 AÑOS</v>
          </cell>
          <cell r="Y395" t="str">
            <v>VARIOS</v>
          </cell>
          <cell r="Z395" t="str">
            <v>-</v>
          </cell>
          <cell r="AA395" t="str">
            <v>-</v>
          </cell>
          <cell r="AB395" t="str">
            <v>Ana Irene Mendez Vides</v>
          </cell>
          <cell r="AC395" t="str">
            <v>ABRIL 18, 2002</v>
          </cell>
        </row>
        <row r="396">
          <cell r="A396" t="str">
            <v>B5W301, B5W302, B5Y304, B5R300, B5Y300, B5G300</v>
          </cell>
          <cell r="B396" t="str">
            <v>WHEATHER PERFECT LATEX EXTERIOR</v>
          </cell>
          <cell r="C396" t="str">
            <v>EXTERIOR</v>
          </cell>
          <cell r="D396" t="str">
            <v>CEMENTO-LADRILLO-CONCRETO</v>
          </cell>
          <cell r="E396" t="str">
            <v>CURADA, LIJADA, SECA Y LIBRE DE TODA CONTAMINACION</v>
          </cell>
          <cell r="F396" t="str">
            <v>-</v>
          </cell>
          <cell r="G396" t="str">
            <v>10.5-11.5 LBS/GL</v>
          </cell>
          <cell r="H396" t="str">
            <v>-</v>
          </cell>
          <cell r="I396" t="str">
            <v>46%-48%</v>
          </cell>
          <cell r="J396" t="str">
            <v>-</v>
          </cell>
          <cell r="K396" t="str">
            <v>48%-49%</v>
          </cell>
          <cell r="L396" t="str">
            <v>30.5-31.5</v>
          </cell>
          <cell r="M396" t="str">
            <v>95-100 KU</v>
          </cell>
          <cell r="N396" t="str">
            <v>BROCHA-RODILLO</v>
          </cell>
          <cell r="O396" t="str">
            <v>90-95 KU</v>
          </cell>
          <cell r="P396" t="str">
            <v>10%</v>
          </cell>
          <cell r="Q396" t="str">
            <v>AGUA LIMPIA</v>
          </cell>
          <cell r="R396" t="str">
            <v>1.5 MILLS</v>
          </cell>
          <cell r="S396" t="str">
            <v>AL AIRE, RECUBRIR DESPUES DE 4 HORAS</v>
          </cell>
          <cell r="T396" t="str">
            <v>-</v>
          </cell>
          <cell r="U396" t="str">
            <v>30-32 Mts Cuadrados/Gl, Dependiendo de la Superficie.</v>
          </cell>
          <cell r="V396" t="str">
            <v>MATE</v>
          </cell>
          <cell r="W396" t="str">
            <v>-</v>
          </cell>
          <cell r="X396" t="str">
            <v>3 AÑOS</v>
          </cell>
          <cell r="Y396" t="str">
            <v>VARIOS</v>
          </cell>
          <cell r="Z396" t="str">
            <v>-</v>
          </cell>
          <cell r="AA396" t="str">
            <v>-</v>
          </cell>
          <cell r="AB396" t="str">
            <v>Ana Irene Mendez Vides</v>
          </cell>
          <cell r="AC396" t="str">
            <v>ABRIL 18, 2002</v>
          </cell>
        </row>
        <row r="397">
          <cell r="A397" t="str">
            <v>LINEA A6</v>
          </cell>
          <cell r="B397" t="str">
            <v>A-100 LATEX EXTERIOR MATE</v>
          </cell>
          <cell r="C397" t="str">
            <v>EXTERIOR</v>
          </cell>
          <cell r="D397" t="str">
            <v>CEMENTO-LADRILLO-CONCRETO</v>
          </cell>
          <cell r="E397" t="str">
            <v>CURADA, LIJADA, SECA Y LIBRE DE TODA CONTAMINACION</v>
          </cell>
          <cell r="F397" t="str">
            <v>-</v>
          </cell>
          <cell r="G397" t="str">
            <v>10.28-11.28 LBS/GL</v>
          </cell>
          <cell r="H397" t="str">
            <v>-</v>
          </cell>
          <cell r="I397" t="str">
            <v>50%-52%</v>
          </cell>
          <cell r="J397" t="str">
            <v>-</v>
          </cell>
          <cell r="K397" t="str">
            <v>34.5%-35.5%</v>
          </cell>
          <cell r="L397" t="str">
            <v>35-37</v>
          </cell>
          <cell r="M397" t="str">
            <v>90-95 KU</v>
          </cell>
          <cell r="N397" t="str">
            <v>BROCHA-RODILLO</v>
          </cell>
          <cell r="O397" t="str">
            <v>90-93 KU</v>
          </cell>
          <cell r="P397" t="str">
            <v>MAXIMO 10%</v>
          </cell>
          <cell r="Q397" t="str">
            <v>AGUA LIMPIA</v>
          </cell>
          <cell r="R397" t="str">
            <v>1.5 MILLS</v>
          </cell>
          <cell r="S397" t="str">
            <v>AL AIRE, RECUBRIR DESPUES DE 4 HORAS</v>
          </cell>
          <cell r="T397" t="str">
            <v>-</v>
          </cell>
          <cell r="U397" t="str">
            <v>34-36 Mts Cuadrados/Gl, Dependiendo de la Superficie.</v>
          </cell>
          <cell r="V397" t="str">
            <v>MATE</v>
          </cell>
          <cell r="W397" t="str">
            <v>-</v>
          </cell>
          <cell r="X397" t="str">
            <v>3 AÑOS</v>
          </cell>
          <cell r="Y397" t="str">
            <v>VARIOS</v>
          </cell>
          <cell r="Z397" t="str">
            <v>-</v>
          </cell>
          <cell r="AA397" t="str">
            <v>-</v>
          </cell>
          <cell r="AB397" t="str">
            <v>Ana Irene Mendez Vides</v>
          </cell>
          <cell r="AC397" t="str">
            <v>ABRIL 18, 2002</v>
          </cell>
        </row>
        <row r="398">
          <cell r="A398" t="str">
            <v>B45WSA3</v>
          </cell>
          <cell r="B398" t="str">
            <v>SELLADOR BLANCO PARA CONCRETO AL EXTERIOR.</v>
          </cell>
          <cell r="C398" t="str">
            <v>EXTERIOR</v>
          </cell>
          <cell r="D398" t="str">
            <v>CONCRETO, CEMENTO, LADRILLO</v>
          </cell>
          <cell r="E398" t="str">
            <v>CURADA,SECA, LIBRE DE GRASA, POLVO O CUALQUIER OTRA SUSTANCIA</v>
          </cell>
          <cell r="F398" t="str">
            <v>Ninguno</v>
          </cell>
          <cell r="G398" t="str">
            <v>10.62 LBS/GALON</v>
          </cell>
          <cell r="H398" t="str">
            <v>6.87 %</v>
          </cell>
          <cell r="I398" t="str">
            <v>47.30 %</v>
          </cell>
          <cell r="J398" t="str">
            <v>-</v>
          </cell>
          <cell r="K398" t="str">
            <v>45.50%</v>
          </cell>
          <cell r="L398" t="str">
            <v>31.40%</v>
          </cell>
          <cell r="M398" t="str">
            <v>13-15 CPS</v>
          </cell>
          <cell r="N398" t="str">
            <v>BROCHA-RODILLO</v>
          </cell>
          <cell r="O398" t="str">
            <v>13-15 CPS</v>
          </cell>
          <cell r="P398" t="str">
            <v>MAXIMO 10 %</v>
          </cell>
          <cell r="Q398" t="str">
            <v>AGUA LIMPIA</v>
          </cell>
          <cell r="R398" t="str">
            <v>1.5 MILLS</v>
          </cell>
          <cell r="S398" t="str">
            <v>AL AIRE</v>
          </cell>
          <cell r="T398" t="str">
            <v>_</v>
          </cell>
          <cell r="U398" t="str">
            <v>28-30 Mts Cuadrados/Gl</v>
          </cell>
          <cell r="V398" t="str">
            <v>MATE</v>
          </cell>
          <cell r="W398" t="str">
            <v>_</v>
          </cell>
          <cell r="X398" t="str">
            <v>3 AÑOS</v>
          </cell>
          <cell r="Y398" t="str">
            <v>VARIOS</v>
          </cell>
          <cell r="Z398" t="str">
            <v>_</v>
          </cell>
          <cell r="AA398" t="str">
            <v>_</v>
          </cell>
          <cell r="AB398" t="str">
            <v>Ana Irene Mendez Vides</v>
          </cell>
          <cell r="AC398" t="str">
            <v>JUNIO 12,2002.</v>
          </cell>
        </row>
        <row r="399">
          <cell r="A399" t="str">
            <v>A44HSA2,A44HSA3,A44NSA1</v>
          </cell>
          <cell r="B399" t="str">
            <v xml:space="preserve">Tex Flex </v>
          </cell>
          <cell r="C399" t="str">
            <v>INTERIOR,EXTERIOR</v>
          </cell>
          <cell r="D399" t="str">
            <v>CONCRETO,CEMENTO,LADRILLO</v>
          </cell>
          <cell r="E399" t="str">
            <v>CURADA,SECA, LIBRE DE GRASA, POLVO O CUALQUIER OTRA SUSTANCIA</v>
          </cell>
          <cell r="F399" t="str">
            <v>B45ASA1</v>
          </cell>
          <cell r="G399" t="str">
            <v>12.47 LBS/GLN</v>
          </cell>
          <cell r="H399" t="str">
            <v>5.13 %</v>
          </cell>
          <cell r="I399" t="str">
            <v>70.71</v>
          </cell>
          <cell r="K399" t="str">
            <v>24.94 %</v>
          </cell>
          <cell r="L399" t="str">
            <v>53.23 %</v>
          </cell>
          <cell r="M399" t="str">
            <v>123-129 MILES CPS</v>
          </cell>
          <cell r="N399" t="str">
            <v>BROCHA-RODILLO</v>
          </cell>
          <cell r="O399" t="str">
            <v>123-129 MILES CPS</v>
          </cell>
          <cell r="P399" t="str">
            <v>NINGUNA</v>
          </cell>
          <cell r="Q399" t="str">
            <v>AGUA LIMPIA SI ES NECESARIO PARA LAVAR EL EQUIPO</v>
          </cell>
          <cell r="R399" t="str">
            <v>12 MILLS</v>
          </cell>
          <cell r="S399" t="str">
            <v>AL AIRE</v>
          </cell>
          <cell r="T399" t="str">
            <v>-</v>
          </cell>
          <cell r="U399" t="str">
            <v>6-7 Mts Cuadrados/Gl, Dependiendo de la Superficie.</v>
          </cell>
          <cell r="V399" t="str">
            <v>SATINADO</v>
          </cell>
          <cell r="W399" t="str">
            <v>-</v>
          </cell>
          <cell r="X399" t="str">
            <v>1-2 AÑOS SIN DESTAPARSE EL ENVASE</v>
          </cell>
          <cell r="Y399" t="str">
            <v>FREUND</v>
          </cell>
          <cell r="Z399" t="str">
            <v>-</v>
          </cell>
          <cell r="AA399" t="str">
            <v>-</v>
          </cell>
          <cell r="AB399" t="str">
            <v>Ana Irene Mendez Vides</v>
          </cell>
          <cell r="AC399" t="str">
            <v>JULIO 3, 2002</v>
          </cell>
        </row>
        <row r="400">
          <cell r="A400" t="str">
            <v>S21WSA3</v>
          </cell>
          <cell r="B400" t="str">
            <v>JOINT COMPOUND</v>
          </cell>
          <cell r="C400" t="str">
            <v>INTERIOR</v>
          </cell>
          <cell r="D400" t="str">
            <v>TABLAYESO</v>
          </cell>
          <cell r="E400" t="str">
            <v>SUPERFICIE NUEVA</v>
          </cell>
          <cell r="F400" t="str">
            <v>NINGUNO</v>
          </cell>
          <cell r="G400" t="str">
            <v>16.09</v>
          </cell>
          <cell r="H400" t="str">
            <v>-</v>
          </cell>
          <cell r="I400" t="str">
            <v>77.81</v>
          </cell>
          <cell r="J400" t="str">
            <v>7.7</v>
          </cell>
          <cell r="K400" t="str">
            <v>91.6</v>
          </cell>
          <cell r="L400" t="str">
            <v>58.83</v>
          </cell>
          <cell r="M400" t="str">
            <v>90-100 MIL CPS SPIN #7 A 10 REV BROOKFIELD</v>
          </cell>
          <cell r="N400" t="str">
            <v>ESPATULA</v>
          </cell>
          <cell r="O400" t="str">
            <v>A OPCION DEL APLICADOR</v>
          </cell>
          <cell r="P400" t="str">
            <v>LO NECESARIO QUEDA A OPCION DEL APLICADOR</v>
          </cell>
          <cell r="Q400" t="str">
            <v>AGUA</v>
          </cell>
          <cell r="R400" t="str">
            <v>10-15 MILS DEPENDE DEL APLICADOR</v>
          </cell>
          <cell r="S400" t="str">
            <v>AL AIRE</v>
          </cell>
          <cell r="T400" t="str">
            <v>-</v>
          </cell>
          <cell r="U400" t="str">
            <v>87.66MTS CUADRADOS POR GALON A 1MILS DE ESPESOR</v>
          </cell>
          <cell r="V400" t="str">
            <v>MATE</v>
          </cell>
          <cell r="W400" t="str">
            <v>-</v>
          </cell>
          <cell r="X400" t="str">
            <v>1AÑO SIN DESTAPARSE Y A 25°C</v>
          </cell>
          <cell r="Y400" t="str">
            <v>VARIOS</v>
          </cell>
          <cell r="Z400" t="str">
            <v>-</v>
          </cell>
          <cell r="AA400" t="str">
            <v>-</v>
          </cell>
          <cell r="AB400" t="str">
            <v>Rigoberto Montalvo</v>
          </cell>
          <cell r="AC400" t="str">
            <v>AGOSTO 20, 2002</v>
          </cell>
        </row>
        <row r="401">
          <cell r="A401" t="str">
            <v>SAA 5639</v>
          </cell>
          <cell r="B401" t="str">
            <v>EXTERIOR CLEAR PARA  MADERA</v>
          </cell>
          <cell r="C401" t="str">
            <v>INTERIOR - EXTERIOR</v>
          </cell>
          <cell r="D401" t="str">
            <v>MADERA DIRECTO</v>
          </cell>
          <cell r="E401" t="str">
            <v>LIJADO, LIBRE DE GRASA POLVO O CUALQUIER OTRA SUSTANCIA</v>
          </cell>
          <cell r="F401" t="str">
            <v>TAPAPORO, SI ES NECESARIO UTILIZAR SELLADOR PARA MEJORAR PROFUNDIDAD Y BRILLO</v>
          </cell>
          <cell r="G401" t="str">
            <v>7.23 LBS</v>
          </cell>
          <cell r="H401" t="str">
            <v>0.0 %</v>
          </cell>
          <cell r="I401" t="str">
            <v xml:space="preserve">33.68 % </v>
          </cell>
          <cell r="J401" t="str">
            <v>88.68 %</v>
          </cell>
          <cell r="K401" t="str">
            <v>0.0 %</v>
          </cell>
          <cell r="L401" t="str">
            <v>29.48 %</v>
          </cell>
          <cell r="M401" t="str">
            <v>10 - 16 SEG FORD # 4</v>
          </cell>
          <cell r="N401" t="str">
            <v>PISTOLA.</v>
          </cell>
          <cell r="O401" t="str">
            <v>10 - 16 SEG FORD # 4</v>
          </cell>
          <cell r="P401" t="str">
            <v>NINGUNO</v>
          </cell>
          <cell r="Q401" t="str">
            <v>NINGUNO</v>
          </cell>
          <cell r="R401" t="str">
            <v>---</v>
          </cell>
          <cell r="S401" t="str">
            <v>AL AIRE</v>
          </cell>
          <cell r="T401" t="str">
            <v>--</v>
          </cell>
          <cell r="U401" t="str">
            <v>43.92 Metros cuadrados por galon a un mils de pelicula seca</v>
          </cell>
          <cell r="V401" t="str">
            <v>MATE</v>
          </cell>
          <cell r="W401" t="str">
            <v>---</v>
          </cell>
          <cell r="X401" t="str">
            <v>1 AÑO</v>
          </cell>
          <cell r="Y401" t="str">
            <v>VARIOS</v>
          </cell>
          <cell r="Z401" t="str">
            <v>-</v>
          </cell>
          <cell r="AA401" t="str">
            <v>-</v>
          </cell>
          <cell r="AB401" t="str">
            <v>Juan Antonio Méndez</v>
          </cell>
          <cell r="AC401" t="str">
            <v>SEPTIEMBRE 11, 2002</v>
          </cell>
        </row>
        <row r="402">
          <cell r="A402" t="str">
            <v>E3A4801</v>
          </cell>
          <cell r="B402" t="str">
            <v>KEM PRIMER SURFACER GRAY</v>
          </cell>
          <cell r="C402" t="str">
            <v>EXTERIOR</v>
          </cell>
          <cell r="D402" t="str">
            <v>HIERRO, ACERO</v>
          </cell>
          <cell r="E402" t="str">
            <v>LIJADO, LIBRE DE POLVO GRASA. LIMPIEZA CON R7K156</v>
          </cell>
          <cell r="F402" t="str">
            <v>NINGUNO</v>
          </cell>
          <cell r="G402" t="str">
            <v>11.13 LBS/GALON</v>
          </cell>
          <cell r="H402" t="str">
            <v>8.90 %</v>
          </cell>
          <cell r="I402" t="str">
            <v>58.92 %</v>
          </cell>
          <cell r="J402" t="str">
            <v>--</v>
          </cell>
          <cell r="K402" t="str">
            <v>54.29 %</v>
          </cell>
          <cell r="L402" t="str">
            <v>36.69 %</v>
          </cell>
          <cell r="M402" t="str">
            <v>65 - 74 KU</v>
          </cell>
          <cell r="N402" t="str">
            <v>PISTOLA</v>
          </cell>
          <cell r="O402" t="str">
            <v>20 - 30 SEG ZANH #2</v>
          </cell>
          <cell r="P402" t="str">
            <v xml:space="preserve">20-25% </v>
          </cell>
          <cell r="Q402" t="str">
            <v>R4K183 o R2K1</v>
          </cell>
          <cell r="R402" t="str">
            <v xml:space="preserve">1.2 - 1.5 MILS </v>
          </cell>
          <cell r="S402" t="str">
            <v>AL AIRE</v>
          </cell>
          <cell r="T402" t="str">
            <v>--</v>
          </cell>
          <cell r="U402" t="str">
            <v>54.66 metros cuadrados a un mils de pelicula seca</v>
          </cell>
          <cell r="V402" t="str">
            <v>---</v>
          </cell>
          <cell r="W402" t="str">
            <v>--</v>
          </cell>
          <cell r="X402" t="str">
            <v>1 año</v>
          </cell>
          <cell r="Y402" t="str">
            <v>varios</v>
          </cell>
          <cell r="Z402" t="str">
            <v>---</v>
          </cell>
          <cell r="AA402" t="str">
            <v>nueva reformulación mejorado en adhesion, lijabilidad compatible con esmaltes sinteticos y lacas acrilicas</v>
          </cell>
          <cell r="AB402" t="str">
            <v>Juan Antonio Méndez</v>
          </cell>
          <cell r="AC402" t="str">
            <v>SEPTIEMBRE 30, 2002</v>
          </cell>
        </row>
        <row r="403">
          <cell r="A403" t="str">
            <v>SAA 5509</v>
          </cell>
          <cell r="B403" t="str">
            <v>ESMALTE HORNEABLE ROJO ELECTROSTATICO HECASA</v>
          </cell>
          <cell r="C403" t="str">
            <v>EXTERIOR-INTERIOR</v>
          </cell>
          <cell r="D403" t="str">
            <v>Acero, Hierro, Superficies adecuadamente tratadas no Galvanizadas.</v>
          </cell>
          <cell r="E403" t="str">
            <v>Lijado libre de grasa y oxido</v>
          </cell>
          <cell r="F403" t="str">
            <v>DE SER NECESARIO PUEDE UTILIZAR MONOBAKE WHITE E68WSA1</v>
          </cell>
          <cell r="G403" t="str">
            <v>9.48 lbs/ galon</v>
          </cell>
          <cell r="H403" t="str">
            <v>14.61%</v>
          </cell>
          <cell r="I403" t="str">
            <v>45.30 %</v>
          </cell>
          <cell r="J403" t="str">
            <v>59.01 %</v>
          </cell>
          <cell r="K403" t="str">
            <v>15.87 %</v>
          </cell>
          <cell r="L403" t="str">
            <v>33.94 %</v>
          </cell>
          <cell r="M403" t="str">
            <v>26 - 30 SEG ZANH #2</v>
          </cell>
          <cell r="N403" t="str">
            <v>PISTOLA</v>
          </cell>
          <cell r="O403" t="str">
            <v>IGUAL QUE VISCOSIDAD ORIGINAL</v>
          </cell>
          <cell r="P403" t="str">
            <v>NINGUNO</v>
          </cell>
          <cell r="Q403" t="str">
            <v>NINGUNO</v>
          </cell>
          <cell r="R403" t="str">
            <v xml:space="preserve">1.0 -1.5 mils </v>
          </cell>
          <cell r="S403" t="str">
            <v>--</v>
          </cell>
          <cell r="T403" t="str">
            <v>HORNEADO A 150°c POR 15 MINUTOS</v>
          </cell>
          <cell r="U403" t="str">
            <v>50.57 METROS CUADRADOS POR GALON</v>
          </cell>
          <cell r="V403" t="str">
            <v>+80</v>
          </cell>
          <cell r="W403" t="str">
            <v>F-H</v>
          </cell>
          <cell r="X403" t="str">
            <v>MAXIMO CUATRO MESES</v>
          </cell>
          <cell r="Y403" t="str">
            <v>HECASA</v>
          </cell>
          <cell r="Z403" t="str">
            <v xml:space="preserve">CARRETILLAS </v>
          </cell>
          <cell r="AA403" t="str">
            <v>PRODUCTO ELECTROSTATICO CON UNA RESISTENCIA ENTRE 3.5 - 4.5 Mega Ohmios</v>
          </cell>
          <cell r="AB403" t="str">
            <v>Ing. Juan Antonio Méndez</v>
          </cell>
          <cell r="AC403" t="str">
            <v>MARZO 13,2002</v>
          </cell>
        </row>
        <row r="404">
          <cell r="A404" t="str">
            <v>SAA 5270</v>
          </cell>
          <cell r="B404" t="str">
            <v>ZINC CHROMATE PRIMER AMARILLO OXIDO</v>
          </cell>
          <cell r="C404" t="str">
            <v>INTERIOR-EXTERIOR</v>
          </cell>
          <cell r="D404" t="str">
            <v>METAL</v>
          </cell>
          <cell r="E404" t="str">
            <v>LIBRE DE GRASA Y OXIDO</v>
          </cell>
          <cell r="F404" t="str">
            <v>-</v>
          </cell>
          <cell r="G404" t="str">
            <v>10.26 LBS/GL</v>
          </cell>
          <cell r="H404" t="str">
            <v>41.71%</v>
          </cell>
          <cell r="I404" t="str">
            <v>59.13%</v>
          </cell>
          <cell r="J404" t="str">
            <v>58.29%</v>
          </cell>
          <cell r="K404" t="str">
            <v>45.41%</v>
          </cell>
          <cell r="L404" t="str">
            <v>37.15%</v>
          </cell>
          <cell r="M404" t="str">
            <v>70-80 KU</v>
          </cell>
          <cell r="N404" t="str">
            <v>BROCHA-PISTOLA</v>
          </cell>
          <cell r="O404" t="str">
            <v>-</v>
          </cell>
          <cell r="P404" t="str">
            <v>20% R1K4</v>
          </cell>
          <cell r="Q404" t="str">
            <v>R1K4</v>
          </cell>
          <cell r="R404" t="str">
            <v>2.0 MILLS SECO</v>
          </cell>
          <cell r="S404" t="str">
            <v xml:space="preserve">AL TACTO: 1-2 HORAS; COMPLETO:3-5 HORAS; RETOCAR :18 HORAS. </v>
          </cell>
          <cell r="T404" t="str">
            <v>-</v>
          </cell>
          <cell r="U404" t="str">
            <v>60 Mts Cuadrados/Gl a 1 mills de espesor.</v>
          </cell>
          <cell r="V404" t="str">
            <v>MATE</v>
          </cell>
          <cell r="W404" t="str">
            <v>-</v>
          </cell>
          <cell r="X404" t="str">
            <v>1 AÑO</v>
          </cell>
          <cell r="Y404" t="str">
            <v>MONELCA</v>
          </cell>
          <cell r="Z404" t="str">
            <v>-</v>
          </cell>
          <cell r="AA404" t="str">
            <v>-</v>
          </cell>
          <cell r="AB404" t="str">
            <v>Soraya de Quijada</v>
          </cell>
          <cell r="AC404" t="str">
            <v>SEPTIEMBRE 16,2002</v>
          </cell>
        </row>
        <row r="405">
          <cell r="A405" t="str">
            <v>LINEA B66</v>
          </cell>
          <cell r="B405" t="str">
            <v>CORRO-SHER ANTICORROSIVO BASE AGUA</v>
          </cell>
          <cell r="C405" t="str">
            <v>INTERIOR-EXTERIOR</v>
          </cell>
          <cell r="D405" t="str">
            <v xml:space="preserve">HIERRO-LAMINA GALVANIZADA-ESTRUCTURAS DE METAL </v>
          </cell>
          <cell r="E405" t="str">
            <v>LIMPIA, SECA, LIBRE DE GRASAS, ACEITES, LUBRICANTES Y OXIDO</v>
          </cell>
          <cell r="F405" t="str">
            <v>APLICAR DIRECTAMENTE SOBRE EL METAL</v>
          </cell>
          <cell r="G405" t="str">
            <v>9.88-10.92 LBS/GL</v>
          </cell>
          <cell r="H405" t="str">
            <v>22%-32%</v>
          </cell>
          <cell r="I405" t="str">
            <v>46.6%-54.2%</v>
          </cell>
          <cell r="J405" t="str">
            <v>23.1%-25.5%</v>
          </cell>
          <cell r="K405" t="str">
            <v>25%-30%</v>
          </cell>
          <cell r="L405" t="str">
            <v>41%-45%</v>
          </cell>
          <cell r="M405" t="str">
            <v>90-100 KU</v>
          </cell>
          <cell r="N405" t="str">
            <v>BROCHA-RODILLO PISTOLA</v>
          </cell>
          <cell r="O405" t="str">
            <v>-</v>
          </cell>
          <cell r="P405" t="str">
            <v>10%</v>
          </cell>
          <cell r="Q405" t="str">
            <v>AGUA</v>
          </cell>
          <cell r="R405" t="str">
            <v>1.0-1.5 MILLS</v>
          </cell>
          <cell r="S405" t="str">
            <v>AL TACTO: 30 MINUTOS; COMPLETO: 12 HORAS</v>
          </cell>
          <cell r="T405" t="str">
            <v>-</v>
          </cell>
          <cell r="U405" t="str">
            <v>60-65 MTS CUADRADOS/GL A 1 MILLS</v>
          </cell>
          <cell r="V405" t="str">
            <v>MATE (0-5)</v>
          </cell>
          <cell r="W405" t="str">
            <v>-</v>
          </cell>
          <cell r="X405" t="str">
            <v>1 AÑO</v>
          </cell>
          <cell r="Y405" t="str">
            <v>VARIOS</v>
          </cell>
          <cell r="Z405" t="str">
            <v>-</v>
          </cell>
          <cell r="AA405" t="str">
            <v>-</v>
          </cell>
          <cell r="AB405" t="str">
            <v>Soraya de Quijada</v>
          </cell>
          <cell r="AC405" t="str">
            <v>ABRIL 30,2002</v>
          </cell>
        </row>
        <row r="406">
          <cell r="A406" t="str">
            <v>A54WCR2</v>
          </cell>
          <cell r="B406" t="str">
            <v>SELLADOR PARA CONCRETO</v>
          </cell>
          <cell r="C406" t="str">
            <v>INTERIOR-EXTERIOR</v>
          </cell>
          <cell r="D406" t="str">
            <v>CONCRETO</v>
          </cell>
          <cell r="E406" t="str">
            <v>LIMPIA Y SECA, LIBRE DE GRASAS Y ACEITES</v>
          </cell>
          <cell r="F406" t="str">
            <v>NINGUNO</v>
          </cell>
          <cell r="G406" t="str">
            <v>10.74 LBS/GL</v>
          </cell>
          <cell r="H406" t="str">
            <v>33%</v>
          </cell>
          <cell r="I406" t="str">
            <v>45.65 %</v>
          </cell>
          <cell r="J406" t="str">
            <v>28.9%</v>
          </cell>
          <cell r="K406" t="str">
            <v>48.66</v>
          </cell>
          <cell r="L406" t="str">
            <v>30.69</v>
          </cell>
          <cell r="M406" t="str">
            <v>110-115 KU</v>
          </cell>
          <cell r="N406" t="str">
            <v>BROCHA-RODILLO</v>
          </cell>
          <cell r="O406" t="str">
            <v>-</v>
          </cell>
          <cell r="P406" t="str">
            <v>10%</v>
          </cell>
          <cell r="Q406" t="str">
            <v>AGUA</v>
          </cell>
          <cell r="R406" t="str">
            <v>2.0 MILLS SECO</v>
          </cell>
          <cell r="S406" t="str">
            <v>SECO TOCAR: 10 MINUTOS, SECO COMPLETO; 30 MINUTOS; RECUBRIR: 2 HORAS</v>
          </cell>
          <cell r="T406" t="str">
            <v>-</v>
          </cell>
          <cell r="U406" t="str">
            <v>45 m2/galon a 1 mils de pelicula seca</v>
          </cell>
          <cell r="V406" t="str">
            <v>MATE</v>
          </cell>
          <cell r="W406" t="str">
            <v>-</v>
          </cell>
          <cell r="X406" t="str">
            <v>2 AÑOS</v>
          </cell>
          <cell r="Y406" t="str">
            <v>COSTA RICA</v>
          </cell>
          <cell r="Z406" t="str">
            <v>-</v>
          </cell>
          <cell r="AA406" t="str">
            <v>-</v>
          </cell>
          <cell r="AB406" t="str">
            <v>Soraya de Quijada</v>
          </cell>
          <cell r="AC406" t="str">
            <v>MAYO 9,2002</v>
          </cell>
        </row>
        <row r="407">
          <cell r="A407" t="str">
            <v>A99BCR2, A99GCR10, A99RCR4, A99WCR2</v>
          </cell>
          <cell r="B407" t="str">
            <v>COLONIAL PINTURA PARA TECHOS</v>
          </cell>
          <cell r="C407" t="str">
            <v>INTERIOR-EXTERIOR</v>
          </cell>
          <cell r="D407" t="str">
            <v>MADERA-HIERRO-CONCRETO</v>
          </cell>
          <cell r="E407" t="str">
            <v>LIMPIA, SECA, LIBRE DE GRASAS, ACEITES, LUBRICANTES Y OXIDO</v>
          </cell>
          <cell r="F407" t="str">
            <v>En superficies de metal, Anticorrosivo Excello Rustop</v>
          </cell>
          <cell r="G407" t="str">
            <v>7.96-9.03 LBS/GL</v>
          </cell>
          <cell r="H407" t="str">
            <v>5%-17%</v>
          </cell>
          <cell r="I407" t="str">
            <v>28%-40%</v>
          </cell>
          <cell r="J407" t="str">
            <v>21%-22%</v>
          </cell>
          <cell r="K407" t="str">
            <v>7%-10%</v>
          </cell>
          <cell r="L407" t="str">
            <v>22%-27%</v>
          </cell>
          <cell r="M407" t="str">
            <v>90-95 KU</v>
          </cell>
          <cell r="N407" t="str">
            <v xml:space="preserve">Brocha-Pistola-Rodillo </v>
          </cell>
          <cell r="O407" t="str">
            <v>-</v>
          </cell>
          <cell r="P407" t="str">
            <v>20%</v>
          </cell>
          <cell r="Q407" t="str">
            <v>R1K4 MINERAL SPIRITS</v>
          </cell>
          <cell r="R407" t="str">
            <v>1.0-1.5 MILLS</v>
          </cell>
          <cell r="S407" t="str">
            <v>SECO TOCAR: 1-2 HORAS, COMPLETO: 6 HORAS</v>
          </cell>
          <cell r="T407" t="str">
            <v>-</v>
          </cell>
          <cell r="U407" t="str">
            <v>35 MTS CUADRADOS/GLA UN MILLS DE PELICULA SECA</v>
          </cell>
          <cell r="V407" t="str">
            <v>70 MIN</v>
          </cell>
          <cell r="W407" t="str">
            <v>-</v>
          </cell>
          <cell r="X407" t="str">
            <v>2 AÑOS</v>
          </cell>
          <cell r="Y407" t="str">
            <v>Costa Rica</v>
          </cell>
          <cell r="Z407" t="str">
            <v>-</v>
          </cell>
          <cell r="AA407" t="str">
            <v>-</v>
          </cell>
          <cell r="AB407" t="str">
            <v>Soraya de Quijada</v>
          </cell>
          <cell r="AC407" t="str">
            <v>MAYO 9,2002</v>
          </cell>
        </row>
        <row r="408">
          <cell r="A408" t="str">
            <v>LINEA C62</v>
          </cell>
          <cell r="B408" t="str">
            <v>ANTICORROSIVO PARA ESTRUCTURAS BRILLANTE</v>
          </cell>
          <cell r="C408" t="str">
            <v>INTERIOR-EXTERIOR</v>
          </cell>
          <cell r="D408" t="str">
            <v>METAL</v>
          </cell>
          <cell r="E408" t="str">
            <v>LIBRE DE GRASA Y OXIDO</v>
          </cell>
          <cell r="F408" t="str">
            <v>-</v>
          </cell>
          <cell r="G408" t="str">
            <v>7-8-8.44 LBS/GL DEPENDIENDO DEL COLOR</v>
          </cell>
          <cell r="H408" t="str">
            <v>2.5%-9.5% DEPENDIENDO DEL COLOR</v>
          </cell>
          <cell r="I408" t="str">
            <v>23.4%-29.8% DEPENDIENDO DEL COLOR</v>
          </cell>
          <cell r="J408" t="str">
            <v>-</v>
          </cell>
          <cell r="K408" t="str">
            <v>6.9%-10.9% DEPENDIENDO DEL COLOR</v>
          </cell>
          <cell r="L408" t="str">
            <v>19.4-21.4 DEPENDIENDO DEL COLOR</v>
          </cell>
          <cell r="M408" t="str">
            <v>85-90 KU</v>
          </cell>
          <cell r="N408" t="str">
            <v>BROCHA-RODILLO-PISTOLA</v>
          </cell>
          <cell r="O408" t="str">
            <v>-</v>
          </cell>
          <cell r="P408" t="str">
            <v>10-15% MAXIMO</v>
          </cell>
          <cell r="Q408" t="str">
            <v>R1K4 MINERAL SPIRITS</v>
          </cell>
          <cell r="R408" t="str">
            <v>1.0-1.5 MILLS</v>
          </cell>
          <cell r="S408" t="str">
            <v>SECO TOCAR: 2 HORAS, SECO COMPLETO: 6 HORAS, RETOCAR: 24 HORAS</v>
          </cell>
          <cell r="T408" t="str">
            <v>-</v>
          </cell>
          <cell r="U408" t="str">
            <v>30 MTS CUADRADOS/GLA UN MILLS DE PELICULA SECA</v>
          </cell>
          <cell r="V408" t="str">
            <v>70-80</v>
          </cell>
          <cell r="W408" t="str">
            <v>-</v>
          </cell>
          <cell r="X408" t="str">
            <v>2 años sin Abrir.</v>
          </cell>
          <cell r="Y408" t="str">
            <v>VARIOS</v>
          </cell>
          <cell r="Z408" t="str">
            <v>-</v>
          </cell>
          <cell r="AA408" t="str">
            <v>-</v>
          </cell>
          <cell r="AB408" t="str">
            <v>Soraya de Quijada</v>
          </cell>
          <cell r="AC408" t="str">
            <v>JULIO 5,2002</v>
          </cell>
        </row>
        <row r="409">
          <cell r="A409" t="str">
            <v>LINEA F65</v>
          </cell>
          <cell r="B409" t="str">
            <v>ESMALTE KEM LUSTRAL</v>
          </cell>
          <cell r="C409" t="str">
            <v>INTERIOR-EXTERIOR</v>
          </cell>
          <cell r="D409" t="str">
            <v>METAL</v>
          </cell>
          <cell r="E409" t="str">
            <v>LIBRE DE GRASA Y OXIDO</v>
          </cell>
          <cell r="F409" t="str">
            <v>E41N1 KROMIK METAL PRIMER</v>
          </cell>
          <cell r="G409" t="str">
            <v>7.6-9.6 LBS/GL DEPENDIENDO DEL COLOR</v>
          </cell>
          <cell r="H409" t="str">
            <v>3%-30% DEPENDIENDO DEL COLOR</v>
          </cell>
          <cell r="I409" t="str">
            <v>39.7%-59.7% DEPENDIENDO DEL COLOR</v>
          </cell>
          <cell r="J409" t="str">
            <v>-</v>
          </cell>
          <cell r="K409" t="str">
            <v>3%-20% DEPENDIENDO DEL COLOR</v>
          </cell>
          <cell r="L409" t="str">
            <v>33-42 DEPENDIENDO DEL COLOR</v>
          </cell>
          <cell r="M409" t="str">
            <v>75-80 KU</v>
          </cell>
          <cell r="N409" t="str">
            <v>BROCHA-PISTOLA</v>
          </cell>
          <cell r="O409" t="str">
            <v>-</v>
          </cell>
          <cell r="P409" t="str">
            <v>MAXIMO 10%</v>
          </cell>
          <cell r="Q409" t="str">
            <v>R1K4 MINERAL SPIRITS</v>
          </cell>
          <cell r="R409" t="str">
            <v>1.0-1.5 MILLS</v>
          </cell>
          <cell r="S409" t="str">
            <v>SECO TOCAR: 2 HORAS, SECO COMPLETO: 6 HORAS, RETOCAR: 24 HORAS</v>
          </cell>
          <cell r="T409" t="str">
            <v>-</v>
          </cell>
          <cell r="U409" t="str">
            <v>30 MTS CUADRADOS/GLA UN MILLS DE PELICULA SECA</v>
          </cell>
          <cell r="V409" t="str">
            <v>MAYOR DE 90</v>
          </cell>
          <cell r="W409" t="str">
            <v>-</v>
          </cell>
          <cell r="X409" t="str">
            <v>2 años sin Abrir.</v>
          </cell>
          <cell r="Y409" t="str">
            <v>MONELCA</v>
          </cell>
          <cell r="Z409" t="str">
            <v>-</v>
          </cell>
          <cell r="AA409" t="str">
            <v>-</v>
          </cell>
          <cell r="AB409" t="str">
            <v>Soraya de Quijada</v>
          </cell>
          <cell r="AC409" t="str">
            <v>SEPTIEMBRE 3,2002</v>
          </cell>
        </row>
        <row r="410">
          <cell r="A410" t="str">
            <v>A86YSA14</v>
          </cell>
          <cell r="B410" t="str">
            <v>PINTURA DE TRAFICO ALQUIDICA TTP-85E AMARILLA</v>
          </cell>
          <cell r="C410" t="str">
            <v>EXTERIOR</v>
          </cell>
          <cell r="D410" t="str">
            <v>CONCRETO-ASFALTO</v>
          </cell>
          <cell r="E410" t="str">
            <v>SECA</v>
          </cell>
          <cell r="F410" t="str">
            <v>NINGUNO</v>
          </cell>
          <cell r="G410" t="str">
            <v>13.13 LBS/GL</v>
          </cell>
          <cell r="H410" t="str">
            <v>61.75 %</v>
          </cell>
          <cell r="I410" t="str">
            <v>76.31%</v>
          </cell>
          <cell r="J410" t="str">
            <v>19.8%</v>
          </cell>
          <cell r="K410" t="str">
            <v>61%</v>
          </cell>
          <cell r="L410" t="str">
            <v>55.93</v>
          </cell>
          <cell r="M410" t="str">
            <v>70-80 KU</v>
          </cell>
          <cell r="N410" t="str">
            <v>Brocha, Rodillo Industrial, Máquina Franjeadora, Etc.</v>
          </cell>
          <cell r="O410" t="str">
            <v>Para Usar con Máquina franjeadora, reduzca con 1/8 de galón.</v>
          </cell>
          <cell r="P410" t="str">
            <v>Listo para usarse con Brocha y Rodillo.</v>
          </cell>
          <cell r="Q410" t="str">
            <v>R2K4 Industrial Reducer.</v>
          </cell>
          <cell r="R410" t="str">
            <v>7 mills</v>
          </cell>
          <cell r="S410" t="str">
            <v xml:space="preserve">15-20 Min. No transitar antes de 30 Minutos.                                            </v>
          </cell>
          <cell r="T410" t="str">
            <v>-</v>
          </cell>
          <cell r="U410" t="str">
            <v>10-11 Mts cuadrados/Gl a 7 mills seco.</v>
          </cell>
          <cell r="V410" t="str">
            <v>Mate más o menos 1-2</v>
          </cell>
          <cell r="W410" t="str">
            <v>-</v>
          </cell>
          <cell r="X410" t="str">
            <v>12 meses</v>
          </cell>
          <cell r="Y410" t="str">
            <v>-</v>
          </cell>
          <cell r="Z410" t="str">
            <v>-</v>
          </cell>
          <cell r="AA410" t="str">
            <v xml:space="preserve">Finura Hegman: 3H-0 </v>
          </cell>
          <cell r="AB410" t="str">
            <v>Soraya de Quijada</v>
          </cell>
          <cell r="AC410" t="str">
            <v>SEPTIEMBRE 5,2002</v>
          </cell>
        </row>
        <row r="411">
          <cell r="A411" t="str">
            <v>A86WSA17</v>
          </cell>
          <cell r="B411" t="str">
            <v>PINTURA DE TRAFICO ALQUIDICA TTP-85E BLANCA</v>
          </cell>
          <cell r="C411" t="str">
            <v>EXTERIOR</v>
          </cell>
          <cell r="D411" t="str">
            <v>CONCRETO-ASFALTO</v>
          </cell>
          <cell r="E411" t="str">
            <v>SECA</v>
          </cell>
          <cell r="F411" t="str">
            <v>NINGUNO</v>
          </cell>
          <cell r="G411" t="str">
            <v>13.0 LBS/GL</v>
          </cell>
          <cell r="H411" t="str">
            <v>61.58%</v>
          </cell>
          <cell r="I411" t="str">
            <v>76.20%</v>
          </cell>
          <cell r="J411" t="str">
            <v>19.2%</v>
          </cell>
          <cell r="K411" t="str">
            <v>61.4%</v>
          </cell>
          <cell r="L411" t="str">
            <v>56.52</v>
          </cell>
          <cell r="M411" t="str">
            <v>70-80 KU</v>
          </cell>
          <cell r="N411" t="str">
            <v>Brocha, Rodillo Industrial, Máquina Franjeadora, Etc.</v>
          </cell>
          <cell r="O411" t="str">
            <v>Para Usar con Máquina franjeadora, reduzca con 1/8 de galón.</v>
          </cell>
          <cell r="P411" t="str">
            <v>Listo para usarse con Brocha y Rodillo.</v>
          </cell>
          <cell r="Q411" t="str">
            <v>R2K4 Industrial Reducer.</v>
          </cell>
          <cell r="R411" t="str">
            <v>7 mills</v>
          </cell>
          <cell r="S411" t="str">
            <v xml:space="preserve">15-20 Min. No transitar antes de 30 Minutos.                                            </v>
          </cell>
          <cell r="T411" t="str">
            <v>-</v>
          </cell>
          <cell r="U411" t="str">
            <v>10-11 Mts cuadrados/Gl a 7 mills seco.</v>
          </cell>
          <cell r="V411" t="str">
            <v>Mate más o menos 1-2</v>
          </cell>
          <cell r="W411" t="str">
            <v>-</v>
          </cell>
          <cell r="X411" t="str">
            <v>12 meses</v>
          </cell>
          <cell r="Y411" t="str">
            <v>-</v>
          </cell>
          <cell r="Z411" t="str">
            <v>-</v>
          </cell>
          <cell r="AA411" t="str">
            <v xml:space="preserve">Finura Hegman: 3H-0 </v>
          </cell>
          <cell r="AB411" t="str">
            <v>Soraya de Quijada</v>
          </cell>
          <cell r="AC411" t="str">
            <v>SEPTIEMBRE 5,2002</v>
          </cell>
        </row>
        <row r="412">
          <cell r="A412" t="str">
            <v>A86RSA5</v>
          </cell>
          <cell r="B412" t="str">
            <v>PINTURA DE TRAFICO ALQUIDICA TTP-85E ROJA</v>
          </cell>
          <cell r="C412" t="str">
            <v>EXTERIOR</v>
          </cell>
          <cell r="D412" t="str">
            <v>CONCRETO-ASFALTO</v>
          </cell>
          <cell r="E412" t="str">
            <v>SECA</v>
          </cell>
          <cell r="F412" t="str">
            <v>NINGUNO</v>
          </cell>
          <cell r="G412" t="str">
            <v>13.07 LBS/GL</v>
          </cell>
          <cell r="H412" t="str">
            <v>61.4%</v>
          </cell>
          <cell r="I412" t="str">
            <v>76.16%</v>
          </cell>
          <cell r="J412" t="str">
            <v>19.4%</v>
          </cell>
          <cell r="K412" t="str">
            <v>61.3%</v>
          </cell>
          <cell r="L412" t="str">
            <v>56.16</v>
          </cell>
          <cell r="M412" t="str">
            <v>70-80 KU</v>
          </cell>
          <cell r="N412" t="str">
            <v>Brocha, Rodillo Industrial, Máquina Franjeadora, Etc.</v>
          </cell>
          <cell r="O412" t="str">
            <v>Para Usar con Máquina franjeadora, reduzca con 1/8 de galón.</v>
          </cell>
          <cell r="P412" t="str">
            <v>Listo para usarse con Brocha y Rodillo.</v>
          </cell>
          <cell r="Q412" t="str">
            <v>R2K4 Industrial Reducer.</v>
          </cell>
          <cell r="R412" t="str">
            <v>7 mills</v>
          </cell>
          <cell r="S412" t="str">
            <v xml:space="preserve">15-20 Min. No transitar antes de 30 Minutos.                                             </v>
          </cell>
          <cell r="T412" t="str">
            <v>-</v>
          </cell>
          <cell r="U412" t="str">
            <v>10-11 Mts cuadrados/Gl a 7 mills seco.</v>
          </cell>
          <cell r="V412" t="str">
            <v>Mate más o menos 1-2</v>
          </cell>
          <cell r="W412" t="str">
            <v>-</v>
          </cell>
          <cell r="X412" t="str">
            <v>12 meses</v>
          </cell>
          <cell r="Y412" t="str">
            <v>-</v>
          </cell>
          <cell r="Z412" t="str">
            <v>-</v>
          </cell>
          <cell r="AA412" t="str">
            <v xml:space="preserve">Finura Hegman: 3H-0 </v>
          </cell>
          <cell r="AB412" t="str">
            <v>Soraya de Quijada</v>
          </cell>
          <cell r="AC412" t="str">
            <v>SEPTIEMBRE 5,2002</v>
          </cell>
        </row>
        <row r="413">
          <cell r="A413" t="str">
            <v>LINEA B54</v>
          </cell>
          <cell r="B413" t="str">
            <v>PINTURA INDUSTRIAL FAST DRY</v>
          </cell>
          <cell r="C413" t="str">
            <v>INTERIOR-EXTERIOR</v>
          </cell>
          <cell r="D413" t="str">
            <v>METAL</v>
          </cell>
          <cell r="E413" t="str">
            <v>LIBRE DE GRASA Y OXIDO</v>
          </cell>
          <cell r="F413" t="str">
            <v>-</v>
          </cell>
          <cell r="G413" t="str">
            <v>7.47-8.95 LBS/GL DEPENDIENDO DEL COLOR</v>
          </cell>
          <cell r="H413" t="str">
            <v>2%-22% DEPENDIENDO DEL COLOR</v>
          </cell>
          <cell r="I413" t="str">
            <v>39.7%-55.7% DEPENDIENDO DEL COLOR</v>
          </cell>
          <cell r="J413" t="str">
            <v>60%-94% DEPENDIENDO DEL COLOR</v>
          </cell>
          <cell r="K413" t="str">
            <v>3.25%-14.75% DEPENDIENDO DEL COLOR</v>
          </cell>
          <cell r="L413" t="str">
            <v>25-40 DEPENDIENDO DEL COLOR</v>
          </cell>
          <cell r="M413" t="str">
            <v>75-80 KU</v>
          </cell>
          <cell r="N413" t="str">
            <v>BROCHA-PISTOLA</v>
          </cell>
          <cell r="O413" t="str">
            <v>-</v>
          </cell>
          <cell r="P413" t="str">
            <v>PISTOLA 25% INDUSTRIAL REDUCER</v>
          </cell>
          <cell r="Q413" t="str">
            <v>R2K4 Industrial Reducer.</v>
          </cell>
          <cell r="R413" t="str">
            <v>1.0-1.5 MILLS</v>
          </cell>
          <cell r="S413" t="str">
            <v>SECO TOCAR: 15"-20". SECO COMPLETO: 2-4 HORAS</v>
          </cell>
          <cell r="T413" t="str">
            <v>-</v>
          </cell>
          <cell r="U413" t="str">
            <v>40 MTS CUADRADOS/GAL UN MILLS DE PELICULA SECA</v>
          </cell>
          <cell r="V413" t="str">
            <v>85 MIN</v>
          </cell>
          <cell r="W413" t="str">
            <v>-</v>
          </cell>
          <cell r="X413" t="str">
            <v>2 años sin Abrir.</v>
          </cell>
          <cell r="Y413" t="str">
            <v>CONSTRUCTORA ABB</v>
          </cell>
          <cell r="Z413" t="str">
            <v>-</v>
          </cell>
          <cell r="AA413" t="str">
            <v>-</v>
          </cell>
          <cell r="AB413" t="str">
            <v>Soraya de Quijada</v>
          </cell>
          <cell r="AC413" t="str">
            <v>2 DE JUNIO DEL 2003</v>
          </cell>
        </row>
        <row r="414">
          <cell r="A414" t="str">
            <v>F73 N SA59</v>
          </cell>
          <cell r="B414" t="str">
            <v>ESMALTE HORNEABLE CAFÉ CLARO ELECTROSTATICO</v>
          </cell>
          <cell r="C414" t="str">
            <v>INTERIOR-EXTERIOR</v>
          </cell>
          <cell r="D414" t="str">
            <v>ACERO</v>
          </cell>
          <cell r="E414" t="str">
            <v>Lijado #360,  libre de grasa y oxido</v>
          </cell>
          <cell r="F414" t="str">
            <v>DE SER NECESARIO PUEDE UTILIZAR MONOBAKE WHITE E68WSA1</v>
          </cell>
          <cell r="G414" t="str">
            <v>11.13 LBS/GALON</v>
          </cell>
          <cell r="H414" t="str">
            <v>27.09 %</v>
          </cell>
          <cell r="I414" t="str">
            <v>50.41 %</v>
          </cell>
          <cell r="J414" t="str">
            <v>48.24 %</v>
          </cell>
          <cell r="K414" t="str">
            <v>19.48 %</v>
          </cell>
          <cell r="L414" t="str">
            <v>32.75 %</v>
          </cell>
          <cell r="M414" t="str">
            <v>26 - 33 SEG ZANH #2</v>
          </cell>
          <cell r="N414" t="str">
            <v>PISTOLA ELECTROSTATICA</v>
          </cell>
          <cell r="O414" t="str">
            <v>IGUAL QUE ANTERIOR</v>
          </cell>
          <cell r="P414" t="str">
            <v>NINGUNO</v>
          </cell>
          <cell r="Q414" t="str">
            <v>--</v>
          </cell>
          <cell r="R414" t="str">
            <v>1.5 MILS DE PELICULA SECA</v>
          </cell>
          <cell r="S414" t="str">
            <v>HORNO CONVENCIONAL</v>
          </cell>
          <cell r="T414" t="str">
            <v>12- 15 MIN A 150°c</v>
          </cell>
          <cell r="U414" t="str">
            <v>48.75 METROS CUADRADOS A UN MILS DE PELICULA SECA</v>
          </cell>
          <cell r="V414" t="str">
            <v>18-25  60°</v>
          </cell>
          <cell r="W414" t="str">
            <v>H</v>
          </cell>
          <cell r="X414" t="str">
            <v>6 MESES</v>
          </cell>
          <cell r="Y414" t="str">
            <v>HECASA</v>
          </cell>
          <cell r="Z414" t="str">
            <v>-----</v>
          </cell>
          <cell r="AA414" t="str">
            <v>RESISTENCIA ELECTRICA = 3.5 - 4.5 MEGA OHMIOS</v>
          </cell>
          <cell r="AB414" t="str">
            <v>Ing. Juan Antonio Méndez</v>
          </cell>
          <cell r="AC414" t="str">
            <v>Noviembre, 7 2002</v>
          </cell>
        </row>
        <row r="415">
          <cell r="A415" t="str">
            <v>F73 N SA58</v>
          </cell>
          <cell r="B415" t="str">
            <v>ESMALTE HORNEABLE CAFÉ HECASA ELECTROSTATICO</v>
          </cell>
          <cell r="C415" t="str">
            <v>INTERIOR-EXTERIOR</v>
          </cell>
          <cell r="D415" t="str">
            <v>ACERO</v>
          </cell>
          <cell r="E415" t="str">
            <v>Lijado #360,  libre de grasa y oxido</v>
          </cell>
          <cell r="F415" t="str">
            <v>DE SER NECESARIO PUEDE UTILIZAR MONOBAKE WHITE E68WSA1</v>
          </cell>
          <cell r="G415" t="str">
            <v>8.49 LBS/GALON</v>
          </cell>
          <cell r="H415" t="str">
            <v>10.97%</v>
          </cell>
          <cell r="I415" t="str">
            <v>40 %</v>
          </cell>
          <cell r="J415" t="str">
            <v>45.05%</v>
          </cell>
          <cell r="K415" t="str">
            <v>9.34 %</v>
          </cell>
          <cell r="L415" t="str">
            <v>30.17 %</v>
          </cell>
          <cell r="M415" t="str">
            <v>26 - 33 SEG ZANH #2</v>
          </cell>
          <cell r="N415" t="str">
            <v>PISTOLA ELECTROSTATICA</v>
          </cell>
          <cell r="O415" t="str">
            <v>IGUAL QUE ANTERIOR</v>
          </cell>
          <cell r="P415" t="str">
            <v>NINGUNO</v>
          </cell>
          <cell r="Q415" t="str">
            <v>--</v>
          </cell>
          <cell r="R415" t="str">
            <v>1.5 MILS DE PELICULA SECA</v>
          </cell>
          <cell r="S415" t="str">
            <v>HORNO CONVENCIONAL</v>
          </cell>
          <cell r="T415" t="str">
            <v>12- 15 MIN A 150°c</v>
          </cell>
          <cell r="U415" t="str">
            <v>44.96 METROS CUADRADOS A UN MILS DE PELICULA SECA</v>
          </cell>
          <cell r="V415" t="str">
            <v>30-34    60°</v>
          </cell>
          <cell r="W415" t="str">
            <v>H</v>
          </cell>
          <cell r="X415" t="str">
            <v>6 MESES</v>
          </cell>
          <cell r="Y415" t="str">
            <v>HECASA</v>
          </cell>
          <cell r="Z415" t="str">
            <v>-----</v>
          </cell>
          <cell r="AA415" t="str">
            <v>RESISTENCIA ELECTRICA = 3.5 - 4.5 MEGA OHMIOS</v>
          </cell>
          <cell r="AB415" t="str">
            <v>Ing. Juan Antonio Méndez</v>
          </cell>
          <cell r="AC415" t="str">
            <v>Noviembre, 7 2002</v>
          </cell>
        </row>
        <row r="416">
          <cell r="A416" t="str">
            <v>F73 W SA28</v>
          </cell>
          <cell r="B416" t="str">
            <v>ESMALTE HORNEABLE BLANCO HUESO ELECTROSTATICO</v>
          </cell>
          <cell r="C416" t="str">
            <v>INTERIOR-EXTERIOR</v>
          </cell>
          <cell r="D416" t="str">
            <v>ACERO</v>
          </cell>
          <cell r="E416" t="str">
            <v>Lijado #360,  libre de grasa y oxido</v>
          </cell>
          <cell r="F416" t="str">
            <v>DE SER NECESARIO PUEDE UTILIZAR MONOBAKE WHITE E68WSA1</v>
          </cell>
          <cell r="G416" t="str">
            <v>9.27 LBS/GALON</v>
          </cell>
          <cell r="H416" t="str">
            <v>15.33 %</v>
          </cell>
          <cell r="I416" t="str">
            <v>44.21 %</v>
          </cell>
          <cell r="J416" t="str">
            <v>68.55 %</v>
          </cell>
          <cell r="K416" t="str">
            <v>13.84 %</v>
          </cell>
          <cell r="L416" t="str">
            <v>33.34 %</v>
          </cell>
          <cell r="M416" t="str">
            <v>26 - 33 SEG ZANH #2</v>
          </cell>
          <cell r="N416" t="str">
            <v>PISTOLA ELECTROSTATICA</v>
          </cell>
          <cell r="O416" t="str">
            <v>IGUAL QUE ANTERIOR</v>
          </cell>
          <cell r="P416" t="str">
            <v>NINGUNO</v>
          </cell>
          <cell r="Q416" t="str">
            <v>--</v>
          </cell>
          <cell r="R416" t="str">
            <v>1.5 MILS DE PELICULA SECA</v>
          </cell>
          <cell r="S416" t="str">
            <v>HORNO CONVENCIONAL</v>
          </cell>
          <cell r="T416" t="str">
            <v>12- 15 MIN A 150°c</v>
          </cell>
          <cell r="U416" t="str">
            <v>51.49 METROS CUADRADOS A UN MILS DE PELICULA SECA</v>
          </cell>
          <cell r="V416" t="str">
            <v>76 - 80  °60</v>
          </cell>
          <cell r="W416" t="str">
            <v>H</v>
          </cell>
          <cell r="X416" t="str">
            <v>6 MESES</v>
          </cell>
          <cell r="Y416" t="str">
            <v>HECASA</v>
          </cell>
          <cell r="Z416" t="str">
            <v>-----</v>
          </cell>
          <cell r="AA416" t="str">
            <v>RESISTENCIA ELECTRICA = 3.5 - 4.5 MEGA OHMIOS</v>
          </cell>
          <cell r="AB416" t="str">
            <v>Ing. Juan Antonio Méndez</v>
          </cell>
          <cell r="AC416" t="str">
            <v>Noviembre, 7 2002</v>
          </cell>
        </row>
        <row r="417">
          <cell r="A417" t="str">
            <v>F73 W SA29</v>
          </cell>
          <cell r="B417" t="str">
            <v>ESMALTE HORNEABLE BLANCO BRILLANTE ELECTROSTATICO</v>
          </cell>
          <cell r="C417" t="str">
            <v>INTERIOR-EXTERIOR</v>
          </cell>
          <cell r="D417" t="str">
            <v>ACERO</v>
          </cell>
          <cell r="E417" t="str">
            <v>Lijado #360,  libre de grasa y oxido</v>
          </cell>
          <cell r="F417" t="str">
            <v>DE SER NECESARIO PUEDE UTILIZAR MONOBAKE WHITE E68WSA1</v>
          </cell>
          <cell r="G417" t="str">
            <v>10.36 LBS/GALON</v>
          </cell>
          <cell r="H417" t="str">
            <v>24.78 %</v>
          </cell>
          <cell r="I417" t="str">
            <v>51.36 %</v>
          </cell>
          <cell r="J417" t="str">
            <v>50.36 %</v>
          </cell>
          <cell r="K417" t="str">
            <v>22.26 %</v>
          </cell>
          <cell r="L417" t="str">
            <v>36.67 %</v>
          </cell>
          <cell r="M417" t="str">
            <v>26 - 33 SEG ZANH #2</v>
          </cell>
          <cell r="N417" t="str">
            <v>PISTOLA ELECTROSTATICA</v>
          </cell>
          <cell r="O417" t="str">
            <v>IGUAL QUE ANTERIOR</v>
          </cell>
          <cell r="P417" t="str">
            <v>NINGUNO</v>
          </cell>
          <cell r="Q417" t="str">
            <v>--</v>
          </cell>
          <cell r="R417" t="str">
            <v>1.5 MILS DE PELICULA SECA</v>
          </cell>
          <cell r="S417" t="str">
            <v>HORNO CONVENCIONAL</v>
          </cell>
          <cell r="T417" t="str">
            <v>12- 15 MIN A 150°c</v>
          </cell>
          <cell r="U417" t="str">
            <v>54.69 METROS CUADRADOS A UN MILS DE PELICULA SECA</v>
          </cell>
          <cell r="V417" t="str">
            <v>+85     °60</v>
          </cell>
          <cell r="W417" t="str">
            <v>H</v>
          </cell>
          <cell r="X417" t="str">
            <v>6 MESES</v>
          </cell>
          <cell r="Y417" t="str">
            <v>HECASA</v>
          </cell>
          <cell r="Z417" t="str">
            <v>-----</v>
          </cell>
          <cell r="AA417" t="str">
            <v>RESISTENCIA ELECTRICA = 3.5 - 4.5 MEGA OHMIOS</v>
          </cell>
          <cell r="AB417" t="str">
            <v>Ing. Juan Antonio Méndez</v>
          </cell>
          <cell r="AC417" t="str">
            <v>Noviembre, 7 2002</v>
          </cell>
        </row>
        <row r="418">
          <cell r="A418" t="str">
            <v>F75 W SA6</v>
          </cell>
          <cell r="B418" t="str">
            <v>ESMALTE HORNEABLE INDUSTRIAL BLANCO PURO ELECTROSTATICO</v>
          </cell>
          <cell r="C418" t="str">
            <v>INTERIOR-EXTERIOR</v>
          </cell>
          <cell r="D418" t="str">
            <v>ACERO</v>
          </cell>
          <cell r="E418" t="str">
            <v>Lijado #360,  libre de grasa y oxido</v>
          </cell>
          <cell r="F418" t="str">
            <v>DE SER NECESARIO PUEDE UTILIZAR MONOBAKE WHITE E68WSA1</v>
          </cell>
          <cell r="G418" t="str">
            <v>10.31 LBS/GALON</v>
          </cell>
          <cell r="H418" t="str">
            <v>27.68%</v>
          </cell>
          <cell r="I418" t="str">
            <v>55.65 %</v>
          </cell>
          <cell r="J418" t="str">
            <v>49.91 %</v>
          </cell>
          <cell r="K418" t="str">
            <v>22.87 %</v>
          </cell>
          <cell r="L418" t="str">
            <v>39.31 %</v>
          </cell>
          <cell r="M418" t="str">
            <v>26 - 33 SEG ZANH #2</v>
          </cell>
          <cell r="N418" t="str">
            <v>PISTOLA ELECTROSTATICA</v>
          </cell>
          <cell r="O418" t="str">
            <v>IGUAL QUE ANTERIOR</v>
          </cell>
          <cell r="P418" t="str">
            <v>NINGUNO</v>
          </cell>
          <cell r="Q418" t="str">
            <v>--</v>
          </cell>
          <cell r="R418" t="str">
            <v>1.5 MILS DE PELICULA SECA</v>
          </cell>
          <cell r="S418" t="str">
            <v>HORNO CONVENCIONAL</v>
          </cell>
          <cell r="T418" t="str">
            <v>12- 15 MIN A 150°c</v>
          </cell>
          <cell r="U418" t="str">
            <v>58.57 METROS CUADRADOS A UN MILS DE PELICULA SECA</v>
          </cell>
          <cell r="V418" t="str">
            <v>+85     °60</v>
          </cell>
          <cell r="W418" t="str">
            <v>F</v>
          </cell>
          <cell r="X418" t="str">
            <v>6 MESES</v>
          </cell>
          <cell r="Y418" t="str">
            <v>HECASA</v>
          </cell>
          <cell r="Z418" t="str">
            <v>-----</v>
          </cell>
          <cell r="AA418" t="str">
            <v>RESISTENCIA ELECTRICA = 3.5 - 4.5 MEGA OHMIOS</v>
          </cell>
          <cell r="AB418" t="str">
            <v>Ing. Juan Antonio Méndez</v>
          </cell>
          <cell r="AC418" t="str">
            <v>Noviembre, 7 2002</v>
          </cell>
        </row>
        <row r="419">
          <cell r="A419" t="str">
            <v>F75 N SA8</v>
          </cell>
          <cell r="B419" t="str">
            <v>ESMALTE HORNEABLE INDUSTRIAL COPPERTONE LISO ELECTROSTATICO</v>
          </cell>
          <cell r="C419" t="str">
            <v>INTERIOR-EXTERIOR</v>
          </cell>
          <cell r="D419" t="str">
            <v>ACERO</v>
          </cell>
          <cell r="E419" t="str">
            <v>Lijado #360,  libre de grasa y oxido</v>
          </cell>
          <cell r="F419" t="str">
            <v>DE SER NECESARIO PUEDE UTILIZAR MONOBAKE WHITE E68WSA1</v>
          </cell>
          <cell r="G419" t="str">
            <v>9.39 LBS/GALON</v>
          </cell>
          <cell r="H419" t="str">
            <v>13.68 %</v>
          </cell>
          <cell r="I419" t="str">
            <v>46.82 %</v>
          </cell>
          <cell r="J419" t="str">
            <v>62.55 %</v>
          </cell>
          <cell r="K419" t="str">
            <v>10.44 %</v>
          </cell>
          <cell r="L419" t="str">
            <v>36.98 %</v>
          </cell>
          <cell r="M419" t="str">
            <v>26 - 33 SEG ZANH #2</v>
          </cell>
          <cell r="N419" t="str">
            <v>PISTOLA ELECTROSTATICA</v>
          </cell>
          <cell r="O419" t="str">
            <v>IGUAL QUE ANTERIOR</v>
          </cell>
          <cell r="P419" t="str">
            <v>NINGUNO</v>
          </cell>
          <cell r="Q419" t="str">
            <v>--</v>
          </cell>
          <cell r="R419" t="str">
            <v>1.5 MILS DE PELICULA SECA</v>
          </cell>
          <cell r="S419" t="str">
            <v>HORNO CONVENCIONAL</v>
          </cell>
          <cell r="T419" t="str">
            <v>12- 15 MIN A 150°c</v>
          </cell>
          <cell r="U419" t="str">
            <v>55.10 METROS CUADRADOS A UN MILS DE PELICULA SECA</v>
          </cell>
          <cell r="V419" t="str">
            <v>+85     °60</v>
          </cell>
          <cell r="W419" t="str">
            <v>F</v>
          </cell>
          <cell r="X419" t="str">
            <v>6 MESES</v>
          </cell>
          <cell r="Y419" t="str">
            <v>HECASA</v>
          </cell>
          <cell r="Z419" t="str">
            <v>-----</v>
          </cell>
          <cell r="AA419" t="str">
            <v>RESISTENCIA ELECTRICA = 3.5 - 4.5 MEGA OHMIOS</v>
          </cell>
          <cell r="AB419" t="str">
            <v>Ing. Juan Antonio Méndez</v>
          </cell>
          <cell r="AC419" t="str">
            <v>Noviembre, 7 2002</v>
          </cell>
        </row>
        <row r="420">
          <cell r="A420" t="str">
            <v>F75 N SA7</v>
          </cell>
          <cell r="B420" t="str">
            <v>ESMALTE HORNEABLE INDUSTRIAL CAFÉ OSCURO TEXTURIZADO ELECTROSTATICO</v>
          </cell>
          <cell r="C420" t="str">
            <v>INTERIOR-EXTERIOR</v>
          </cell>
          <cell r="D420" t="str">
            <v>ACERO</v>
          </cell>
          <cell r="E420" t="str">
            <v>Lijado #360,  libre de grasa y oxido</v>
          </cell>
          <cell r="F420" t="str">
            <v>DE SER NECESARIO PUEDE UTILIZAR MONOBAKE WHITE E68WSA1</v>
          </cell>
          <cell r="G420" t="str">
            <v>9.49 LBS/GALON</v>
          </cell>
          <cell r="H420" t="str">
            <v>10.74 %</v>
          </cell>
          <cell r="I420" t="str">
            <v>46.82 %</v>
          </cell>
          <cell r="J420" t="str">
            <v>64.38 %</v>
          </cell>
          <cell r="K420" t="str">
            <v>8.62 %</v>
          </cell>
          <cell r="L420" t="str">
            <v>36.36 %</v>
          </cell>
          <cell r="M420" t="str">
            <v>26 - 33 SEG ZANH #2</v>
          </cell>
          <cell r="N420" t="str">
            <v>PISTOLA ELECTROSTATICA</v>
          </cell>
          <cell r="O420" t="str">
            <v>IGUAL QUE ANTERIOR</v>
          </cell>
          <cell r="P420" t="str">
            <v>NINGUNO</v>
          </cell>
          <cell r="Q420" t="str">
            <v>--</v>
          </cell>
          <cell r="R420" t="str">
            <v>1.5 MILS DE PELICULA SECA</v>
          </cell>
          <cell r="S420" t="str">
            <v>HORNO CONVENCIONAL</v>
          </cell>
          <cell r="T420" t="str">
            <v>12- 15 MIN A 150°c</v>
          </cell>
          <cell r="U420" t="str">
            <v>54.18 METROS CUADRADOS A UN MILS DE PELICULA SECA</v>
          </cell>
          <cell r="V420" t="str">
            <v>70 - 80    °60</v>
          </cell>
          <cell r="W420" t="str">
            <v>F</v>
          </cell>
          <cell r="X420" t="str">
            <v>6 MESES</v>
          </cell>
          <cell r="Y420" t="str">
            <v>HECASA</v>
          </cell>
          <cell r="Z420" t="str">
            <v>----</v>
          </cell>
          <cell r="AA420" t="str">
            <v>RESISTENCIA ELECTRICA = 3.5 - 4.5 MEGA OHMIOS</v>
          </cell>
          <cell r="AB420" t="str">
            <v>Ing. Juan Antonio Méndez</v>
          </cell>
          <cell r="AC420" t="str">
            <v>Noviembre, 7 2002</v>
          </cell>
        </row>
        <row r="421">
          <cell r="A421" t="str">
            <v>F75 R SA3</v>
          </cell>
          <cell r="B421" t="str">
            <v>ESMALTE HORNEABLE INDUSTRIAL ROJO ELECTROSTATICO</v>
          </cell>
          <cell r="C421" t="str">
            <v>INTERIOR-EXTERIOR</v>
          </cell>
          <cell r="D421" t="str">
            <v>ACERO</v>
          </cell>
          <cell r="E421" t="str">
            <v>Lijado #360,  libre de grasa y oxido</v>
          </cell>
          <cell r="F421" t="str">
            <v>DE SER NECESARIO PUEDE UTILIZAR MONOBAKE WHITE E68WSA1</v>
          </cell>
          <cell r="G421" t="str">
            <v>9.28 LBS/GALON</v>
          </cell>
          <cell r="H421" t="str">
            <v>18.12 %</v>
          </cell>
          <cell r="I421" t="str">
            <v>50.10%</v>
          </cell>
          <cell r="J421" t="str">
            <v>67.25 %</v>
          </cell>
          <cell r="K421" t="str">
            <v>14.68 %</v>
          </cell>
          <cell r="L421" t="str">
            <v>36.57 %</v>
          </cell>
          <cell r="M421" t="str">
            <v>26 - 33 SEG ZANH #2</v>
          </cell>
          <cell r="N421" t="str">
            <v>PISTOLA ELECTROSTATICA</v>
          </cell>
          <cell r="O421" t="str">
            <v>IGUAL QUE ANTERIOR</v>
          </cell>
          <cell r="P421" t="str">
            <v>NINGUNO</v>
          </cell>
          <cell r="Q421" t="str">
            <v>--</v>
          </cell>
          <cell r="R421" t="str">
            <v>1.5 MILS DE PELICULA SECA</v>
          </cell>
          <cell r="S421" t="str">
            <v>HORNO CONVENCIONAL</v>
          </cell>
          <cell r="T421" t="str">
            <v>12- 15 MIN A 150°c</v>
          </cell>
          <cell r="U421" t="str">
            <v>54.48 METROS CUADRADOS A UN MILS DE PELICULA SECA</v>
          </cell>
          <cell r="V421" t="str">
            <v>70 - 80    °60</v>
          </cell>
          <cell r="W421" t="str">
            <v>F</v>
          </cell>
          <cell r="X421" t="str">
            <v>6 MESES</v>
          </cell>
          <cell r="Y421" t="str">
            <v>HECASA</v>
          </cell>
          <cell r="Z421" t="str">
            <v>----</v>
          </cell>
          <cell r="AA421" t="str">
            <v>RESISTENCIA ELECTRICA = 3.5 - 4.5 MEGA OHMIOS</v>
          </cell>
          <cell r="AB421" t="str">
            <v>Ing. Juan Antonio Méndez</v>
          </cell>
          <cell r="AC421" t="str">
            <v>Noviembre, 7 2002</v>
          </cell>
        </row>
        <row r="422">
          <cell r="A422" t="str">
            <v>B66YSA2</v>
          </cell>
          <cell r="B422" t="str">
            <v>DIRECT-TO-METAL PRIMER YELLOW OXIDE SW-PDV-300</v>
          </cell>
          <cell r="C422" t="str">
            <v>INTERIOR-EXTERIOR</v>
          </cell>
          <cell r="D422" t="str">
            <v>METAL</v>
          </cell>
          <cell r="E422" t="str">
            <v>LIBRE DE GRASA Y OXIDO</v>
          </cell>
          <cell r="F422" t="str">
            <v>-</v>
          </cell>
          <cell r="G422" t="str">
            <v>10.97 LBS/GL</v>
          </cell>
          <cell r="H422" t="str">
            <v>33.60%</v>
          </cell>
          <cell r="I422" t="str">
            <v>55.24%</v>
          </cell>
          <cell r="J422" t="str">
            <v>21.64%</v>
          </cell>
          <cell r="K422" t="str">
            <v>34.44%</v>
          </cell>
          <cell r="L422" t="str">
            <v>42.32</v>
          </cell>
          <cell r="M422" t="str">
            <v>90-100 KU</v>
          </cell>
          <cell r="N422" t="str">
            <v>BROCHA-PISTOLA</v>
          </cell>
          <cell r="O422" t="str">
            <v>-</v>
          </cell>
          <cell r="P422" t="str">
            <v>25% MAX</v>
          </cell>
          <cell r="Q422" t="str">
            <v>AGUA</v>
          </cell>
          <cell r="R422" t="str">
            <v>1.5 MILS DE PELICULA SECA</v>
          </cell>
          <cell r="S422" t="str">
            <v>AL AIRE</v>
          </cell>
          <cell r="T422" t="str">
            <v>-</v>
          </cell>
          <cell r="U422" t="str">
            <v>60 Mts Cuadrados/Gl a 1 mills de espesor.</v>
          </cell>
          <cell r="V422" t="str">
            <v>MATE</v>
          </cell>
          <cell r="W422" t="str">
            <v>-</v>
          </cell>
          <cell r="X422" t="str">
            <v>1 AÑO</v>
          </cell>
          <cell r="Y422" t="str">
            <v>CITGO</v>
          </cell>
          <cell r="Z422" t="str">
            <v>-</v>
          </cell>
          <cell r="AB422" t="str">
            <v>Soraya de Quijada</v>
          </cell>
          <cell r="AC422">
            <v>37593</v>
          </cell>
        </row>
        <row r="423">
          <cell r="A423" t="str">
            <v>F1LSA7</v>
          </cell>
          <cell r="B423" t="str">
            <v>KEM TRANSPORT METALLIC BLUE SW-PDV-100</v>
          </cell>
          <cell r="C423" t="str">
            <v>INTERIOR-EXTERIOR</v>
          </cell>
          <cell r="D423" t="str">
            <v>HIERRO- ACERO</v>
          </cell>
          <cell r="E423" t="str">
            <v>LIJADO #320, LIBRE DE GRASA Y OXIDO</v>
          </cell>
          <cell r="F423" t="str">
            <v>E3 A 4801, KEM PRIMER NEUTRAL GRAY</v>
          </cell>
          <cell r="G423" t="str">
            <v>7.52 LBS/GAL</v>
          </cell>
          <cell r="H423" t="str">
            <v>3.93%</v>
          </cell>
          <cell r="I423" t="str">
            <v>45.90 %</v>
          </cell>
          <cell r="J423" t="str">
            <v>89.80 %</v>
          </cell>
          <cell r="K423" t="str">
            <v>6.29 %</v>
          </cell>
          <cell r="L423" t="str">
            <v>38.63%</v>
          </cell>
          <cell r="M423" t="str">
            <v>70 - 80 KU</v>
          </cell>
          <cell r="N423" t="str">
            <v>PISTOLA</v>
          </cell>
          <cell r="O423" t="str">
            <v>18 - 22 SEG ZANH #2</v>
          </cell>
          <cell r="P423" t="str">
            <v xml:space="preserve">40 - 50% </v>
          </cell>
          <cell r="Q423" t="str">
            <v>R4K183 o R2K1</v>
          </cell>
          <cell r="R423" t="str">
            <v>1.5 MILS DE PELICULA SECA</v>
          </cell>
          <cell r="S423" t="str">
            <v>AL AIRE</v>
          </cell>
          <cell r="T423" t="str">
            <v>NINGUNO</v>
          </cell>
          <cell r="U423" t="str">
            <v>57.55 metros cuadrados por galón a un mils de pelicula seca</v>
          </cell>
          <cell r="V423" t="str">
            <v>70 - 80      (°60)</v>
          </cell>
          <cell r="W423" t="str">
            <v>-</v>
          </cell>
          <cell r="X423" t="str">
            <v>1 año</v>
          </cell>
          <cell r="Y423" t="str">
            <v>CITGO</v>
          </cell>
          <cell r="Z423" t="str">
            <v>SE DESCONOCE</v>
          </cell>
          <cell r="AA423" t="str">
            <v>-</v>
          </cell>
          <cell r="AB423" t="str">
            <v>Ing. Juan Antonio Méndez</v>
          </cell>
          <cell r="AC423">
            <v>37593</v>
          </cell>
        </row>
        <row r="424">
          <cell r="A424" t="str">
            <v>A48NSA11</v>
          </cell>
          <cell r="B424" t="str">
            <v>OIL STAIN CAFÉ ESPECIAL RADISSON</v>
          </cell>
          <cell r="C424" t="str">
            <v>INTERIOR</v>
          </cell>
          <cell r="D424" t="str">
            <v>MADERA</v>
          </cell>
          <cell r="E424" t="str">
            <v>LIJADA, LIBRE DE POLVO Y GRASA</v>
          </cell>
          <cell r="F424" t="str">
            <v>-</v>
          </cell>
          <cell r="G424" t="str">
            <v>7.59 LBS/GL</v>
          </cell>
          <cell r="H424" t="str">
            <v>4%</v>
          </cell>
          <cell r="I424" t="str">
            <v>34.35%</v>
          </cell>
          <cell r="J424" t="str">
            <v>30.58%</v>
          </cell>
          <cell r="K424" t="str">
            <v>5.96%</v>
          </cell>
          <cell r="L424" t="str">
            <v>25.0%</v>
          </cell>
          <cell r="M424" t="str">
            <v>9"-11"</v>
          </cell>
          <cell r="N424" t="str">
            <v>PISTOLA-MANUAL CON PAÑO LIMPIO</v>
          </cell>
          <cell r="O424" t="str">
            <v>LA MISMA</v>
          </cell>
          <cell r="P424" t="str">
            <v>NINGUNO</v>
          </cell>
          <cell r="Q424" t="str">
            <v>EN CASO DE SER NECESARIO R1K4 MINERAL SPIRITS</v>
          </cell>
          <cell r="R424" t="str">
            <v>-</v>
          </cell>
          <cell r="S424" t="str">
            <v>AL AIRE</v>
          </cell>
          <cell r="T424" t="str">
            <v>-</v>
          </cell>
          <cell r="U424" t="str">
            <v>37.25 METROS CUADRADOS/GL A UN MILS DE PELICULA SECA</v>
          </cell>
          <cell r="V424" t="str">
            <v>-</v>
          </cell>
          <cell r="W424" t="str">
            <v>-</v>
          </cell>
          <cell r="X424" t="str">
            <v>1 AÑO</v>
          </cell>
          <cell r="Y424" t="str">
            <v>HOTEL RADISSON</v>
          </cell>
          <cell r="Z424" t="str">
            <v>Muebles de Madera.</v>
          </cell>
          <cell r="AA424" t="str">
            <v>EL PRODUCTO PASO LAS PRUEBAS DE ESTABILIDAD, LO QUE GARANTIZA QUE ESTA MEZCLA ES ESTABLE EN UN TIEMPO  DE 1 AÑO SIN DESTAPARSE.</v>
          </cell>
          <cell r="AB424" t="str">
            <v>Soraya de Quijada</v>
          </cell>
          <cell r="AC424" t="str">
            <v>ENERO 28, 2003</v>
          </cell>
        </row>
        <row r="425">
          <cell r="A425" t="str">
            <v>A48NSA12</v>
          </cell>
          <cell r="B425" t="str">
            <v>OIL STAIN CAFÉ ROJIZO RADISSON</v>
          </cell>
          <cell r="C425" t="str">
            <v>INTERIOR</v>
          </cell>
          <cell r="D425" t="str">
            <v>MADERA</v>
          </cell>
          <cell r="E425" t="str">
            <v>LIJADA, LIBRE DE POLVO Y GRASA</v>
          </cell>
          <cell r="F425" t="str">
            <v>-</v>
          </cell>
          <cell r="G425" t="str">
            <v>7.82 lbs/gl</v>
          </cell>
          <cell r="H425" t="str">
            <v>13%</v>
          </cell>
          <cell r="I425" t="str">
            <v>28.23%</v>
          </cell>
          <cell r="J425" t="str">
            <v>15.43%</v>
          </cell>
          <cell r="K425" t="str">
            <v>18.10%</v>
          </cell>
          <cell r="L425" t="str">
            <v>16.18%</v>
          </cell>
          <cell r="M425" t="str">
            <v>9"-11"</v>
          </cell>
          <cell r="N425" t="str">
            <v>PISTOLA-MANUAL CON PAÑO LIMPIO</v>
          </cell>
          <cell r="O425" t="str">
            <v>LA MISMA</v>
          </cell>
          <cell r="P425" t="str">
            <v>NINGUNO</v>
          </cell>
          <cell r="Q425" t="str">
            <v>EN CASO DE SER NECESARIO R1K4 MINERAL SPIRITS</v>
          </cell>
          <cell r="R425" t="str">
            <v>-</v>
          </cell>
          <cell r="S425" t="str">
            <v>AL AIRE</v>
          </cell>
          <cell r="T425" t="str">
            <v>-</v>
          </cell>
          <cell r="U425" t="str">
            <v>24.11 METROS CUADRADOS/GL A UN MILS DE PELICULA SECA</v>
          </cell>
          <cell r="V425" t="str">
            <v>-</v>
          </cell>
          <cell r="W425" t="str">
            <v>-</v>
          </cell>
          <cell r="X425" t="str">
            <v>2 años sin Abrir.</v>
          </cell>
          <cell r="Y425" t="str">
            <v>HOTEL RADISSON</v>
          </cell>
          <cell r="Z425" t="str">
            <v>Muebles de Madera.</v>
          </cell>
          <cell r="AB425" t="str">
            <v>Soraya de Quijada</v>
          </cell>
          <cell r="AC425" t="str">
            <v>ENERO 28, 2003</v>
          </cell>
        </row>
        <row r="426">
          <cell r="A426" t="str">
            <v>V2V109</v>
          </cell>
          <cell r="B426" t="str">
            <v>WAX SOLUTION</v>
          </cell>
          <cell r="C426" t="str">
            <v>EXTERIOR</v>
          </cell>
          <cell r="D426" t="str">
            <v xml:space="preserve">METAL </v>
          </cell>
          <cell r="E426" t="str">
            <v>LIMPIA Y SECA</v>
          </cell>
          <cell r="F426" t="str">
            <v>NINGUNO</v>
          </cell>
          <cell r="G426" t="str">
            <v>7.53</v>
          </cell>
          <cell r="H426" t="str">
            <v>0.0</v>
          </cell>
          <cell r="I426" t="str">
            <v>18.8</v>
          </cell>
          <cell r="J426" t="str">
            <v>0.0</v>
          </cell>
          <cell r="K426" t="str">
            <v>0.0</v>
          </cell>
          <cell r="L426" t="str">
            <v>15.72</v>
          </cell>
          <cell r="M426" t="str">
            <v>43SEG FORD#4</v>
          </cell>
          <cell r="N426" t="str">
            <v>BROCHA</v>
          </cell>
          <cell r="O426" t="str">
            <v>LISTO A USAR</v>
          </cell>
          <cell r="P426" t="str">
            <v>NINGUNO</v>
          </cell>
          <cell r="Q426" t="str">
            <v>NINGUNO</v>
          </cell>
          <cell r="R426" t="str">
            <v>5-10MILS</v>
          </cell>
          <cell r="S426" t="str">
            <v>AL AIRE</v>
          </cell>
          <cell r="T426" t="str">
            <v>-</v>
          </cell>
          <cell r="U426" t="str">
            <v>28MTS CUADRADOS A 1 MILS</v>
          </cell>
          <cell r="V426" t="str">
            <v>MATE</v>
          </cell>
          <cell r="W426" t="str">
            <v>2B-B</v>
          </cell>
          <cell r="X426" t="str">
            <v>1AÑO SIN DESTAPARSE Y A 25°C</v>
          </cell>
          <cell r="Y426" t="str">
            <v>ASTALDI</v>
          </cell>
        </row>
        <row r="427">
          <cell r="A427" t="str">
            <v>SAA 5760</v>
          </cell>
          <cell r="B427" t="str">
            <v>TAPAPORO PARA MADERA DE SECADO RAIDO</v>
          </cell>
          <cell r="C427" t="str">
            <v>INTERIOR</v>
          </cell>
          <cell r="D427" t="str">
            <v xml:space="preserve">MADERA NUEVA </v>
          </cell>
          <cell r="E427" t="str">
            <v>MADERA NUEVA: LIJADO #150, LIBRE DE POLVILLO. MADERA VIEJA: LIJADO #150, LIBRE DE GRASA, ACEITE, LIMPIA Y SECA</v>
          </cell>
          <cell r="F427" t="str">
            <v>NINGUNO</v>
          </cell>
          <cell r="G427" t="str">
            <v>10.59 LBS/GALON</v>
          </cell>
          <cell r="H427" t="str">
            <v>0.0 %</v>
          </cell>
          <cell r="I427" t="str">
            <v>58.62%</v>
          </cell>
          <cell r="J427" t="str">
            <v>16.54%</v>
          </cell>
          <cell r="K427" t="str">
            <v>65.99 %</v>
          </cell>
          <cell r="L427" t="str">
            <v>36.32 %</v>
          </cell>
          <cell r="M427" t="str">
            <v>29,000 - 32,000 Cps</v>
          </cell>
          <cell r="N427" t="str">
            <v>BROCHA, ESPATULA</v>
          </cell>
          <cell r="P427" t="str">
            <v>REDUCIR 3 PARTES DE TAPAPORO CON 1 PARTE POR VOLUMEN DE SOLVENTE</v>
          </cell>
          <cell r="Q427" t="str">
            <v>OPEX LACQUER THINNER R7K128</v>
          </cell>
          <cell r="R427" t="str">
            <v>-</v>
          </cell>
          <cell r="S427" t="str">
            <v>AL AIRE</v>
          </cell>
          <cell r="T427" t="str">
            <v>-</v>
          </cell>
          <cell r="U427" t="str">
            <v>DEPENDE DEL RELLENO</v>
          </cell>
          <cell r="V427" t="str">
            <v>MATE</v>
          </cell>
          <cell r="W427" t="str">
            <v>-</v>
          </cell>
          <cell r="X427" t="str">
            <v>1 AÑO SIN DESTAPARSE MANTENIENDOSE A25°c Y 45-65 % H.R</v>
          </cell>
          <cell r="Y427" t="str">
            <v>DERIMASA</v>
          </cell>
          <cell r="Z427" t="str">
            <v>Muebles de Madera</v>
          </cell>
          <cell r="AA427" t="str">
            <v>-</v>
          </cell>
          <cell r="AB427" t="str">
            <v>Juan Antonio Méndez</v>
          </cell>
          <cell r="AC427" t="str">
            <v>Febrero 3, 2003</v>
          </cell>
        </row>
        <row r="428">
          <cell r="A428" t="str">
            <v>F63FSA1</v>
          </cell>
          <cell r="B428" t="str">
            <v>Barniz H.S Transparente Mate</v>
          </cell>
          <cell r="C428" t="str">
            <v>Interior</v>
          </cell>
          <cell r="D428" t="str">
            <v>Madera</v>
          </cell>
          <cell r="E428" t="str">
            <v>Lijado+Tapaporo+Tinte+Primer E65</v>
          </cell>
          <cell r="F428" t="str">
            <v>Poliuretano E65FSA1</v>
          </cell>
          <cell r="G428" t="str">
            <v>7.71 Lbs/Gl</v>
          </cell>
          <cell r="H428" t="str">
            <v>4.9</v>
          </cell>
          <cell r="I428" t="str">
            <v>26.37</v>
          </cell>
          <cell r="J428" t="str">
            <v>20.6</v>
          </cell>
          <cell r="K428" t="str">
            <v>13.98</v>
          </cell>
          <cell r="L428" t="str">
            <v>18.88</v>
          </cell>
          <cell r="M428" t="str">
            <v>18-20 seg copa zanh#2</v>
          </cell>
          <cell r="N428" t="str">
            <v>Pistola</v>
          </cell>
          <cell r="O428" t="str">
            <v>18"-20" Copa Ford #4</v>
          </cell>
          <cell r="P428" t="str">
            <v>Ninguno</v>
          </cell>
          <cell r="Q428" t="str">
            <v>NINGUNO</v>
          </cell>
          <cell r="R428" t="str">
            <v>1 mills</v>
          </cell>
          <cell r="S428" t="str">
            <v xml:space="preserve"> Catalizado 1/16 DE V6V690 por galón. Secado al aire</v>
          </cell>
          <cell r="T428" t="str">
            <v>Catalizar con  1/16 V6V690 por galón.</v>
          </cell>
          <cell r="U428" t="str">
            <v>28 mts Cuadrados/Gl a 1 mills de espesor</v>
          </cell>
          <cell r="V428" t="str">
            <v>5-7</v>
          </cell>
          <cell r="W428" t="str">
            <v>-</v>
          </cell>
          <cell r="X428" t="str">
            <v>1 año</v>
          </cell>
          <cell r="Y428" t="str">
            <v>varios</v>
          </cell>
          <cell r="Z428" t="str">
            <v>Muebles de Madera.</v>
          </cell>
          <cell r="AA428" t="str">
            <v>-</v>
          </cell>
          <cell r="AB428" t="str">
            <v>Rigoberto Montalvo</v>
          </cell>
          <cell r="AC428">
            <v>37679</v>
          </cell>
        </row>
        <row r="429">
          <cell r="A429" t="str">
            <v>F75NSA5</v>
          </cell>
          <cell r="B429" t="str">
            <v>Esmalte Horneable Alk. Indutrial Café</v>
          </cell>
          <cell r="C429" t="str">
            <v>Interior-Exterior</v>
          </cell>
          <cell r="D429" t="str">
            <v>acero</v>
          </cell>
          <cell r="E429" t="str">
            <v>Limpieza y Desengrase</v>
          </cell>
          <cell r="F429" t="str">
            <v>ninguno</v>
          </cell>
          <cell r="G429" t="str">
            <v>8.34 Lbs / galon</v>
          </cell>
          <cell r="H429" t="str">
            <v>6.23</v>
          </cell>
          <cell r="I429" t="str">
            <v>47.62</v>
          </cell>
          <cell r="J429" t="str">
            <v>85.44</v>
          </cell>
          <cell r="K429" t="str">
            <v>4.34</v>
          </cell>
          <cell r="L429" t="str">
            <v>37.81</v>
          </cell>
          <cell r="M429" t="str">
            <v>95-105 seg copa zanh #2</v>
          </cell>
          <cell r="N429" t="str">
            <v>Pistola</v>
          </cell>
          <cell r="O429" t="str">
            <v>18-22 seg copa zanh #2</v>
          </cell>
          <cell r="P429" t="str">
            <v>20-25%</v>
          </cell>
          <cell r="Q429" t="str">
            <v>R2K4 Industrial Reducer.</v>
          </cell>
          <cell r="R429" t="str">
            <v>1-1.5 mills</v>
          </cell>
          <cell r="S429" t="str">
            <v>Al horno</v>
          </cell>
          <cell r="T429" t="str">
            <v>15 Min. A 300°F</v>
          </cell>
          <cell r="U429" t="str">
            <v>56.34 m2/gal</v>
          </cell>
          <cell r="V429" t="str">
            <v>80-90</v>
          </cell>
          <cell r="W429" t="str">
            <v>F-H</v>
          </cell>
          <cell r="X429" t="str">
            <v>6-12 meses</v>
          </cell>
          <cell r="Y429" t="str">
            <v>varios</v>
          </cell>
          <cell r="AB429" t="str">
            <v>Nelson Acosta</v>
          </cell>
          <cell r="AC429" t="str">
            <v>marzo 20, 2003</v>
          </cell>
        </row>
        <row r="430">
          <cell r="A430" t="str">
            <v>62-90-253</v>
          </cell>
          <cell r="B430" t="str">
            <v>PERLA DE VIDRIO DROP ON</v>
          </cell>
          <cell r="C430" t="str">
            <v>EXTERIOR</v>
          </cell>
          <cell r="D430" t="str">
            <v>-</v>
          </cell>
          <cell r="E430" t="str">
            <v>-</v>
          </cell>
          <cell r="F430" t="str">
            <v>-</v>
          </cell>
          <cell r="G430" t="str">
            <v>-</v>
          </cell>
          <cell r="H430" t="str">
            <v>-</v>
          </cell>
          <cell r="I430" t="str">
            <v>100%</v>
          </cell>
          <cell r="J430" t="str">
            <v>-</v>
          </cell>
          <cell r="K430" t="str">
            <v>-</v>
          </cell>
          <cell r="L430" t="str">
            <v>100%</v>
          </cell>
          <cell r="M430" t="str">
            <v>SOLIDO</v>
          </cell>
          <cell r="N430" t="str">
            <v>DROP ON (ESPARCIDO SOBRE LA PELICULA DE PINTURA)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  <cell r="AA430" t="str">
            <v>LAS PARTICULAS SON ESFERICAS CONTENIENDO NO MAS DEL 30% DE IRREGULARIDAD Y PRESENTAN UN INDICE DE REFRACCION EN UN RANGO DE 1.5 A 1.6. SON QUIMICAMENTE ESTABLES</v>
          </cell>
          <cell r="AB430" t="str">
            <v>Soraya de Quijada</v>
          </cell>
          <cell r="AC430">
            <v>37656</v>
          </cell>
        </row>
        <row r="431">
          <cell r="A431" t="str">
            <v>D62BSA1</v>
          </cell>
          <cell r="B431" t="str">
            <v>PINTURA VINILICA PARA MARCAR SACOS</v>
          </cell>
          <cell r="C431" t="str">
            <v>INTERIOR-EXTERIOR</v>
          </cell>
          <cell r="D431" t="str">
            <v>SACOS DE PLASTICO Y DE MAGUEY</v>
          </cell>
          <cell r="E431" t="str">
            <v>LIMPIA Y LIBRE DE GRASA</v>
          </cell>
          <cell r="F431" t="str">
            <v>-</v>
          </cell>
          <cell r="G431" t="str">
            <v>9.79 LBS/GL</v>
          </cell>
          <cell r="H431" t="str">
            <v>19.8%</v>
          </cell>
          <cell r="I431" t="str">
            <v>37.41%</v>
          </cell>
          <cell r="J431" t="str">
            <v>17.6%</v>
          </cell>
          <cell r="K431" t="str">
            <v>33.87%</v>
          </cell>
          <cell r="L431" t="str">
            <v>27.13%</v>
          </cell>
          <cell r="M431" t="str">
            <v>25"-30" copa SW #4</v>
          </cell>
          <cell r="N431" t="str">
            <v>BROCHUELO O LA QUE EL CLIENTE ADAPTE AL PROCESO</v>
          </cell>
          <cell r="O431" t="str">
            <v>-</v>
          </cell>
          <cell r="P431" t="str">
            <v>LA QUE SEA NECESARIA</v>
          </cell>
          <cell r="Q431" t="str">
            <v>AGUA</v>
          </cell>
          <cell r="R431" t="str">
            <v>1-1.5 MILLS</v>
          </cell>
          <cell r="S431" t="str">
            <v>AL AIRE</v>
          </cell>
          <cell r="T431" t="str">
            <v>-</v>
          </cell>
          <cell r="U431" t="str">
            <v xml:space="preserve">40 MTS CUADRADOS/GL A 1 MILLS DE ESPESOR.  </v>
          </cell>
          <cell r="V431" t="str">
            <v>MATE</v>
          </cell>
          <cell r="W431" t="str">
            <v>-</v>
          </cell>
          <cell r="X431" t="str">
            <v>2 AÑOS</v>
          </cell>
          <cell r="Y431" t="str">
            <v>-</v>
          </cell>
          <cell r="Z431" t="str">
            <v>-</v>
          </cell>
          <cell r="AA431" t="str">
            <v>PRODUCTO LIBRE DE PLOMO Y MERCURIO.</v>
          </cell>
          <cell r="AB431" t="str">
            <v>Soraya de Quijada</v>
          </cell>
          <cell r="AC431">
            <v>37960</v>
          </cell>
        </row>
        <row r="432">
          <cell r="A432" t="str">
            <v>SAA 5920</v>
          </cell>
          <cell r="B432" t="str">
            <v>ANTICORROSIVO FAST DRY CHROMATO NARANJA</v>
          </cell>
          <cell r="C432" t="str">
            <v>INTERIOR-EXTERIOR</v>
          </cell>
          <cell r="D432" t="str">
            <v>ACERO</v>
          </cell>
          <cell r="E432" t="str">
            <v>LIMPIA Y LIBRE DE GRASA</v>
          </cell>
          <cell r="F432" t="str">
            <v>-</v>
          </cell>
          <cell r="G432" t="str">
            <v>11.47 LBS/GL</v>
          </cell>
          <cell r="H432" t="str">
            <v>39%</v>
          </cell>
          <cell r="I432" t="str">
            <v>63.2%</v>
          </cell>
          <cell r="J432" t="str">
            <v>24.43%</v>
          </cell>
          <cell r="K432" t="str">
            <v>30%</v>
          </cell>
          <cell r="L432" t="str">
            <v>42%</v>
          </cell>
          <cell r="M432" t="str">
            <v>80-85 KU</v>
          </cell>
          <cell r="N432" t="str">
            <v>PISTOLA</v>
          </cell>
          <cell r="O432" t="str">
            <v>-</v>
          </cell>
          <cell r="P432" t="str">
            <v>LA QUE SEA NECESARIA</v>
          </cell>
          <cell r="Q432" t="str">
            <v>INDUSTRIAL REDUCER R7K54</v>
          </cell>
          <cell r="R432" t="str">
            <v>1-1.5 MILLS</v>
          </cell>
          <cell r="S432" t="str">
            <v>AL AIRE. SECO TOCAR: 10 MIN;  MANEJAR 30 MIN; SECO COMPLETO 1 HORA</v>
          </cell>
          <cell r="T432" t="str">
            <v>-</v>
          </cell>
          <cell r="U432" t="str">
            <v xml:space="preserve">60 MTS CUADRADOS/GL A 1 MILLS DE ESPESOR.  </v>
          </cell>
          <cell r="V432" t="str">
            <v>25-30 UNIDADES</v>
          </cell>
          <cell r="W432" t="str">
            <v>-</v>
          </cell>
          <cell r="X432" t="str">
            <v>2 AÑOS</v>
          </cell>
          <cell r="Z432" t="str">
            <v>INDUSTRIA DE LA CONSTRUCCION</v>
          </cell>
          <cell r="AA432" t="str">
            <v>PRODUCTO PLOMADO</v>
          </cell>
          <cell r="AB432" t="str">
            <v>Soraya de Quijada</v>
          </cell>
          <cell r="AC432">
            <v>37760</v>
          </cell>
        </row>
        <row r="433">
          <cell r="A433" t="str">
            <v>SAA 5921</v>
          </cell>
          <cell r="B433" t="str">
            <v>ESMALTE FAST DRY BLANCO</v>
          </cell>
          <cell r="C433" t="str">
            <v>INTERIOR-EXTERIOR</v>
          </cell>
          <cell r="D433" t="str">
            <v>ACERO</v>
          </cell>
          <cell r="E433" t="str">
            <v>LIMPIA Y LIBRE DE GRASA</v>
          </cell>
          <cell r="F433" t="str">
            <v>-</v>
          </cell>
          <cell r="G433" t="str">
            <v>10.25 LBS /GL</v>
          </cell>
          <cell r="H433" t="str">
            <v>37.25%</v>
          </cell>
          <cell r="I433" t="str">
            <v>60%</v>
          </cell>
          <cell r="J433" t="str">
            <v>30%</v>
          </cell>
          <cell r="K433" t="str">
            <v>28%</v>
          </cell>
          <cell r="L433" t="str">
            <v>44%</v>
          </cell>
          <cell r="M433" t="str">
            <v>80-85 KU</v>
          </cell>
          <cell r="N433" t="str">
            <v>PISTOLA</v>
          </cell>
          <cell r="O433" t="str">
            <v>-</v>
          </cell>
          <cell r="P433" t="str">
            <v>LA QUE SEA NECESARIA</v>
          </cell>
          <cell r="Q433" t="str">
            <v>INDUSTRIAL REDUCER R7K54</v>
          </cell>
          <cell r="R433" t="str">
            <v>1-1.5 MILLS</v>
          </cell>
          <cell r="S433" t="str">
            <v>AL AIRE. SECO TOCAR: 10 MIN;  MANEJAR 30 MIN; SECO COMPLETO 1 HORA</v>
          </cell>
          <cell r="T433" t="str">
            <v>-</v>
          </cell>
          <cell r="U433" t="str">
            <v xml:space="preserve">65 MTS CUADRADOS/GL A 1 MILLS DE ESPESOR.  </v>
          </cell>
          <cell r="V433" t="str">
            <v>25-30 UNIDADES</v>
          </cell>
          <cell r="W433" t="str">
            <v>-</v>
          </cell>
          <cell r="X433" t="str">
            <v>2 AÑOS</v>
          </cell>
          <cell r="Y433" t="str">
            <v>ACEROS ARQUITECTONICOS-GUATEMALA</v>
          </cell>
          <cell r="Z433" t="str">
            <v>INDUSTRIA DE LA CONSTRUCCION</v>
          </cell>
          <cell r="AB433" t="str">
            <v>Soraya de Quijada</v>
          </cell>
          <cell r="AC433">
            <v>37760</v>
          </cell>
        </row>
        <row r="434">
          <cell r="A434" t="str">
            <v>SAA5922</v>
          </cell>
          <cell r="B434" t="str">
            <v>SOLVENTE PARA LACAS</v>
          </cell>
          <cell r="C434" t="str">
            <v>-</v>
          </cell>
          <cell r="D434" t="str">
            <v>-</v>
          </cell>
          <cell r="E434" t="str">
            <v>-</v>
          </cell>
          <cell r="F434" t="str">
            <v>-</v>
          </cell>
          <cell r="G434" t="str">
            <v>6.9 Lb/Gl</v>
          </cell>
          <cell r="H434" t="str">
            <v>-</v>
          </cell>
          <cell r="I434" t="str">
            <v>-</v>
          </cell>
          <cell r="J434" t="str">
            <v>-</v>
          </cell>
          <cell r="L434" t="str">
            <v>-</v>
          </cell>
          <cell r="M434" t="str">
            <v>-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 t="str">
            <v>-</v>
          </cell>
          <cell r="V434" t="str">
            <v>-</v>
          </cell>
          <cell r="W434" t="str">
            <v>-</v>
          </cell>
          <cell r="X434" t="str">
            <v>6 meses correctamente tapado y almacenado a 25°C</v>
          </cell>
          <cell r="Y434" t="str">
            <v>VARIOS</v>
          </cell>
          <cell r="Z434" t="str">
            <v>-</v>
          </cell>
          <cell r="AA434" t="str">
            <v>Usese sólo en lugares bien ventilados, evite respirar sus vapores o el contacto con la piel.</v>
          </cell>
          <cell r="AB434" t="str">
            <v>Rigoberto Montalvo</v>
          </cell>
          <cell r="AC434" t="str">
            <v>Mayo 15, 2003</v>
          </cell>
        </row>
        <row r="435">
          <cell r="A435" t="str">
            <v>SAA 5876</v>
          </cell>
          <cell r="B435" t="str">
            <v>WASHCOAT 1411</v>
          </cell>
          <cell r="C435" t="str">
            <v>INTERIOR</v>
          </cell>
          <cell r="D435" t="str">
            <v>MADERA</v>
          </cell>
          <cell r="E435" t="str">
            <v>NINGUNO</v>
          </cell>
          <cell r="F435" t="str">
            <v xml:space="preserve">APLICAR 1-2 MANOS SOBRE SISTEMA TAPAPORO + TINTES </v>
          </cell>
          <cell r="G435" t="str">
            <v>7.39 LBS/GALON</v>
          </cell>
          <cell r="H435" t="str">
            <v>0.0 %</v>
          </cell>
          <cell r="I435" t="str">
            <v>19.74 %</v>
          </cell>
          <cell r="J435" t="str">
            <v>82.07 %</v>
          </cell>
          <cell r="K435" t="str">
            <v>5.40%</v>
          </cell>
          <cell r="L435" t="str">
            <v>14.25 %</v>
          </cell>
          <cell r="M435" t="str">
            <v>14-17 SEG  ZAHN #2</v>
          </cell>
          <cell r="N435" t="str">
            <v>PISTOLA</v>
          </cell>
          <cell r="O435" t="str">
            <v>IGUAL QUE ORIGINAL</v>
          </cell>
          <cell r="P435" t="str">
            <v>NINGUNO. DE SER NECESARIO CON THINNER R7K128</v>
          </cell>
          <cell r="Q435" t="str">
            <v>THINNER R7K128</v>
          </cell>
          <cell r="R435" t="str">
            <v xml:space="preserve">0.8-1.2 MILS </v>
          </cell>
          <cell r="S435" t="str">
            <v>AL AIRE,  SECO TOCAR 4 MIN SECO PARA LIJAR 7 MIN A CONDICIONES DE 25 °C Y 50% HR.</v>
          </cell>
          <cell r="T435" t="str">
            <v>-</v>
          </cell>
          <cell r="U435" t="str">
            <v>42 METROS CUADRADOS / GALON  A 1 MILS DE PELICULA SECA</v>
          </cell>
          <cell r="V435" t="str">
            <v>50-60 UNIDADES</v>
          </cell>
          <cell r="W435" t="str">
            <v>-</v>
          </cell>
          <cell r="X435" t="str">
            <v>12 MESES  CORRECTAMENTE TAPADO Y ALMACENADO A 25°C</v>
          </cell>
          <cell r="Y435" t="str">
            <v>DERIMASA</v>
          </cell>
          <cell r="Z435" t="str">
            <v>GABINETES, ARMARIOS, ETC.</v>
          </cell>
          <cell r="AA435" t="str">
            <v>La muestra recibida presenta un tiempo de seco tocar de 9 minutos y seco completo de 15 min. El % de solidos es de 13.58, comparado con el SAA 5876, el nuestro tiene un 45% más de solidos.</v>
          </cell>
          <cell r="AB435" t="str">
            <v>Ing. Juan Antonio Méndez</v>
          </cell>
          <cell r="AC435" t="str">
            <v>Mayo 26, 2003</v>
          </cell>
        </row>
        <row r="436">
          <cell r="A436" t="str">
            <v>SAA 5877</v>
          </cell>
          <cell r="B436" t="str">
            <v>SELLADOR 1421</v>
          </cell>
          <cell r="C436" t="str">
            <v>INTERIOR</v>
          </cell>
          <cell r="D436" t="str">
            <v>MADERA</v>
          </cell>
          <cell r="E436" t="str">
            <v>LIMPIA Y LIBRE DE GRASA</v>
          </cell>
          <cell r="F436" t="str">
            <v>APLICAR 2-3 MANOS SOBRE SISTEMA TAPAPORO + TINTES + WASHCOAT 1411 (SAA 5876)+ GLAZE (OPCIONAL)</v>
          </cell>
          <cell r="G436" t="str">
            <v>7.69 LBS/GALON</v>
          </cell>
          <cell r="H436" t="str">
            <v>0.0 %</v>
          </cell>
          <cell r="I436" t="str">
            <v>30.04%</v>
          </cell>
          <cell r="J436" t="str">
            <v>79.52%</v>
          </cell>
          <cell r="K436" t="str">
            <v>14.93 %</v>
          </cell>
          <cell r="L436" t="str">
            <v>30.07</v>
          </cell>
          <cell r="M436" t="str">
            <v>22 SEG ZANH #2</v>
          </cell>
          <cell r="N436" t="str">
            <v>PISTOLA</v>
          </cell>
          <cell r="O436" t="str">
            <v>IGUAL QUE ORIGINAL</v>
          </cell>
          <cell r="P436" t="str">
            <v>NINGUNO. DE SER NECESARIO CON THINNER R7K128</v>
          </cell>
          <cell r="Q436" t="str">
            <v>THINNER R7K128</v>
          </cell>
          <cell r="R436" t="str">
            <v xml:space="preserve">1.0 - 1.5 MILS </v>
          </cell>
          <cell r="S436" t="str">
            <v>AL AIRE,  SECO TOCAR 5 MIN SECO PARA LIJAR 15 MIN A CONDICIONES DE 25 °C Y 50% HR.</v>
          </cell>
          <cell r="T436" t="str">
            <v>-</v>
          </cell>
          <cell r="U436" t="str">
            <v>63 METROS CUADRADOS / GALON  A 1 MILS DE PELICULA SECA</v>
          </cell>
          <cell r="V436" t="str">
            <v>50-60 UNIDADES</v>
          </cell>
          <cell r="W436" t="str">
            <v>-</v>
          </cell>
          <cell r="X436" t="str">
            <v>12 MESES  CORRECTAMENTE TAPADO Y ALMACENADO A 25°C</v>
          </cell>
          <cell r="Y436" t="str">
            <v>DERIMASA</v>
          </cell>
          <cell r="Z436" t="str">
            <v>GABINETES, ARMARIOS, ETC.</v>
          </cell>
          <cell r="AA436" t="str">
            <v>La muestra recibida presenta un tiempo de seco tocar de 8 minutos y seco completo de 22 min. El % de solidos es de 29.7%, comparado con el SAA 5877 que tiene 30% de solidos a condiciones de 25°C y 50% HR.</v>
          </cell>
          <cell r="AB436" t="str">
            <v>Ing. Juan Antonio Méndez</v>
          </cell>
          <cell r="AC436" t="str">
            <v>Mayo 26, 2003</v>
          </cell>
        </row>
        <row r="437">
          <cell r="A437" t="str">
            <v>SAA 5879</v>
          </cell>
          <cell r="B437" t="str">
            <v>LACA TRANSPARENTE #10</v>
          </cell>
          <cell r="C437" t="str">
            <v>INTERIOR</v>
          </cell>
          <cell r="D437" t="str">
            <v>MADERA, COMO ACABADO FINAL</v>
          </cell>
          <cell r="E437" t="str">
            <v>LIMPIA Y LIBRE DE GRASA</v>
          </cell>
          <cell r="F437" t="str">
            <v>2 Manos sobre sistema tapaporo+tinte+wascoat 1411 (SAA 5876)+glaze(opcional)+sellador 1421(SAA 5877)</v>
          </cell>
          <cell r="G437" t="str">
            <v>7.80 LBS / GALON</v>
          </cell>
          <cell r="H437" t="str">
            <v>0.0%</v>
          </cell>
          <cell r="I437" t="str">
            <v>26.00 %</v>
          </cell>
          <cell r="J437" t="str">
            <v>94.05 %</v>
          </cell>
          <cell r="K437" t="str">
            <v>3.80%</v>
          </cell>
          <cell r="L437" t="str">
            <v>20.27%</v>
          </cell>
          <cell r="M437" t="str">
            <v>20 - 22 SEG ZAHN #2</v>
          </cell>
          <cell r="N437" t="str">
            <v>PISTOLA</v>
          </cell>
          <cell r="O437" t="str">
            <v>IGUAL QUE ORIGINAL</v>
          </cell>
          <cell r="P437" t="str">
            <v>NINGUNO. DE SER NECESARIO CON THINNER R7K128</v>
          </cell>
          <cell r="Q437" t="str">
            <v>THINNER R7K128</v>
          </cell>
          <cell r="R437" t="str">
            <v xml:space="preserve">1.5 -2.0 MILS </v>
          </cell>
          <cell r="S437" t="str">
            <v>AL AIRE,  SECO TOCAR 5 MIN, SECO COMPLETO 12 MIN A CONDICIONES DE 25 °C Y 50% HR.</v>
          </cell>
          <cell r="T437" t="str">
            <v>-</v>
          </cell>
          <cell r="U437" t="str">
            <v>52 METROS CUADRADOS POR GALON</v>
          </cell>
          <cell r="V437" t="str">
            <v>45-55 UNIDADES 60°</v>
          </cell>
          <cell r="W437" t="str">
            <v>-</v>
          </cell>
          <cell r="X437" t="str">
            <v>12 MESES  CORRECTAMENTE TAPADO Y ALMACENADO A 25°C</v>
          </cell>
          <cell r="Y437" t="str">
            <v>DERIMASA</v>
          </cell>
          <cell r="Z437" t="str">
            <v>GABINETES, ARMARIOS, ETC.</v>
          </cell>
          <cell r="AA437" t="str">
            <v>La muestra recibida presenta un tiempo de seco tocar de 6 minutos y seco completo de 18 min. El % de solidos es de 25.84%, comparado con el SAA 5879 que tiene 26% de solidos a condiciones de 25°C y 50% HR.</v>
          </cell>
          <cell r="AB437" t="str">
            <v>Ing. Juan Antonio Méndez</v>
          </cell>
          <cell r="AC437" t="str">
            <v>Mayo 26, 2003</v>
          </cell>
        </row>
        <row r="438">
          <cell r="A438" t="str">
            <v>SAA 5831</v>
          </cell>
          <cell r="B438" t="str">
            <v>TINTE 1121-1746</v>
          </cell>
          <cell r="C438" t="str">
            <v>INTERIOR</v>
          </cell>
          <cell r="D438" t="str">
            <v>MADERA</v>
          </cell>
          <cell r="E438" t="str">
            <v>LIMPIA Y LIBRE DE GRASA</v>
          </cell>
          <cell r="F438" t="str">
            <v>TAPAPORO</v>
          </cell>
          <cell r="G438" t="str">
            <v>6.74 LBS / GAL</v>
          </cell>
          <cell r="H438" t="str">
            <v>1.90 %</v>
          </cell>
          <cell r="I438" t="str">
            <v>2.0 %</v>
          </cell>
          <cell r="J438" t="str">
            <v>0.0 %</v>
          </cell>
          <cell r="K438" t="str">
            <v>100 %</v>
          </cell>
          <cell r="L438" t="str">
            <v>1.11 %</v>
          </cell>
          <cell r="M438" t="str">
            <v>18 SEG ZAHN #2</v>
          </cell>
          <cell r="N438" t="str">
            <v xml:space="preserve"> UNA MANO CON PAÑO, CHUPON o PISTOLA</v>
          </cell>
          <cell r="O438" t="str">
            <v>IGUAL QUE ORIGINAL</v>
          </cell>
          <cell r="P438" t="str">
            <v>NINGUNO</v>
          </cell>
          <cell r="Q438" t="str">
            <v>-</v>
          </cell>
          <cell r="R438" t="str">
            <v>-</v>
          </cell>
          <cell r="S438" t="str">
            <v>AL AIRE,  SECO TOCAR 1 MIN, SECO COMPLETO 2-3 MIN A CONDICIONES DE 25 °C Y 50% HR.</v>
          </cell>
          <cell r="T438" t="str">
            <v>-</v>
          </cell>
          <cell r="U438" t="str">
            <v>-</v>
          </cell>
          <cell r="V438" t="str">
            <v>0 - 5 (°85)</v>
          </cell>
          <cell r="W438" t="str">
            <v>-</v>
          </cell>
          <cell r="X438" t="str">
            <v>12 MESES  CORRECTAMENTE TAPADO Y ALMACENADO A 25°C</v>
          </cell>
          <cell r="Y438" t="str">
            <v>DERIMASA</v>
          </cell>
          <cell r="Z438" t="str">
            <v>GABINETES, ARMARIOS, ETC.</v>
          </cell>
          <cell r="AA438" t="str">
            <v>La muestra recibida presenta un tiempo de seco tocar de 2 minutos y seco completo de 4 min. El % de solidos es de 2%, comparado con el SAA 5831 que tiene tambien 2% de solidos a condiciones de 25°C y 50% HR.</v>
          </cell>
          <cell r="AB438" t="str">
            <v>Ing. Juan Antonio Méndez</v>
          </cell>
          <cell r="AC438" t="str">
            <v>Mayo 26, 2003</v>
          </cell>
        </row>
        <row r="439">
          <cell r="A439" t="str">
            <v>SAA 5823</v>
          </cell>
          <cell r="B439" t="str">
            <v>GLAZE 26-2043</v>
          </cell>
          <cell r="C439" t="str">
            <v>INTERIOR</v>
          </cell>
          <cell r="D439" t="str">
            <v>MADERA</v>
          </cell>
          <cell r="E439" t="str">
            <v>LIJADO CON #320 LIMPIA Y LIBRE DE GRASA</v>
          </cell>
          <cell r="F439" t="str">
            <v>1mano sobre sistema tapaporo+tinte+washcoat 1411 (SAA 5823)</v>
          </cell>
          <cell r="G439" t="str">
            <v>9.87 LBS/GALON</v>
          </cell>
          <cell r="H439" t="str">
            <v>9.28 %</v>
          </cell>
          <cell r="I439" t="str">
            <v>64%</v>
          </cell>
          <cell r="J439" t="str">
            <v>8.07%</v>
          </cell>
          <cell r="K439" t="str">
            <v>40.87%</v>
          </cell>
          <cell r="L439" t="str">
            <v>40.27%</v>
          </cell>
          <cell r="M439" t="str">
            <v>20-22 SEG ZAHN #2</v>
          </cell>
          <cell r="N439" t="str">
            <v xml:space="preserve"> Una mano con paño, chupon o pistola, remover el exceso con paño seco en direccion contraria a la veta de la madera</v>
          </cell>
          <cell r="O439" t="str">
            <v>IGUAL QUE ORIGINAL</v>
          </cell>
          <cell r="P439" t="str">
            <v>NINGUNO</v>
          </cell>
          <cell r="Q439" t="str">
            <v>-</v>
          </cell>
          <cell r="R439" t="str">
            <v>-</v>
          </cell>
          <cell r="S439" t="str">
            <v>AL AIRE,  SECO TOCAR 10 MIN , SECO COMPLETO 23 MIN A CONDICIONES DE 25 °C Y 50% HR.</v>
          </cell>
          <cell r="T439" t="str">
            <v>-</v>
          </cell>
          <cell r="U439" t="str">
            <v>60 METROS CUADRADOS POR GALON</v>
          </cell>
          <cell r="V439" t="str">
            <v>0 - 5 (°85)</v>
          </cell>
          <cell r="W439" t="str">
            <v>-</v>
          </cell>
          <cell r="X439" t="str">
            <v>12 MESES  CORRECTAMENTE TAPADO Y ALMACENADO A 25°C</v>
          </cell>
          <cell r="Y439" t="str">
            <v>DERIMASA</v>
          </cell>
          <cell r="Z439" t="str">
            <v>GABINETES, ARMARIOS, ETC.</v>
          </cell>
          <cell r="AA439" t="str">
            <v>La muestra recibida presenta un tiempo de seco tocar de 14 minutos y seco completo de 28 min. El % de solidos es de 61.49%, comparado con el SAA 5823 que tiene 64% de solidos a condiciones de 25°C y 50% HR.</v>
          </cell>
          <cell r="AB439" t="str">
            <v>Ing. Juan Antonio Méndez</v>
          </cell>
          <cell r="AC439" t="str">
            <v>Mayo 26, 2003</v>
          </cell>
        </row>
        <row r="440">
          <cell r="A440" t="str">
            <v>SAA 5824</v>
          </cell>
          <cell r="B440" t="str">
            <v>ENAMEL LACQUER NEGRO 121</v>
          </cell>
          <cell r="C440" t="str">
            <v>INTERIOR</v>
          </cell>
          <cell r="D440" t="str">
            <v>MADERA</v>
          </cell>
          <cell r="E440" t="str">
            <v>LIJADO CON #320 LIMPIA Y LIBRE DE GRASA</v>
          </cell>
          <cell r="F440" t="str">
            <v>2 manos sobre tapaporo + basecoat negro (SAA 5866)</v>
          </cell>
          <cell r="G440" t="str">
            <v>7.62 lbs/galon</v>
          </cell>
          <cell r="H440" t="str">
            <v>3.88%</v>
          </cell>
          <cell r="I440" t="str">
            <v>24.07%</v>
          </cell>
          <cell r="J440" t="str">
            <v>68.49 %</v>
          </cell>
          <cell r="K440" t="str">
            <v>19.88 %</v>
          </cell>
          <cell r="L440" t="str">
            <v>16.94%</v>
          </cell>
          <cell r="M440" t="str">
            <v>22 SEG ZAHN #2</v>
          </cell>
          <cell r="N440" t="str">
            <v>PISTOLA</v>
          </cell>
          <cell r="O440" t="str">
            <v>IGUAL QUE ORIGINAL</v>
          </cell>
          <cell r="P440" t="str">
            <v>NINGUNO. DE SER NECESARIO CON THINNER R7K128</v>
          </cell>
          <cell r="Q440" t="str">
            <v>THINNER R7K128</v>
          </cell>
          <cell r="R440" t="str">
            <v>1.5-2.0 MILS</v>
          </cell>
          <cell r="S440" t="str">
            <v>AL AIRE,  SECO TOCAR 3-4 MIN, SECO COMPLETO 8 MIN A CONDICIONES DE 25 °C Y 50% HR.</v>
          </cell>
          <cell r="T440" t="str">
            <v>-</v>
          </cell>
          <cell r="U440" t="str">
            <v>24.19 METROS CUADRADOS POR GALON</v>
          </cell>
          <cell r="V440" t="str">
            <v>40-50 ° (60)</v>
          </cell>
          <cell r="W440" t="str">
            <v>-</v>
          </cell>
          <cell r="X440" t="str">
            <v>12 MESES  CORRECTAMENTE TAPADO Y ALMACENADO A 25°C</v>
          </cell>
          <cell r="Y440" t="str">
            <v>DERIMASA</v>
          </cell>
          <cell r="Z440" t="str">
            <v>GABINETES, ARMARIOS, ETC.</v>
          </cell>
          <cell r="AA440" t="str">
            <v>La muestra recibida presenta un tiempo de seco tocar de 5 minutos y seco completo de 10 min. El % de solidos es de 22.65%, comparado con el SAA 5824 que tiene 24% de solidos a condiciones de 25°C y 50% HR.</v>
          </cell>
          <cell r="AB440" t="str">
            <v>Ing. Juan Antonio Méndez</v>
          </cell>
          <cell r="AC440" t="str">
            <v>Mayo 26, 2003</v>
          </cell>
        </row>
        <row r="441">
          <cell r="A441" t="str">
            <v>SAA 5825</v>
          </cell>
          <cell r="B441" t="str">
            <v>ENAMEL LACQUER BLANCO W-10</v>
          </cell>
          <cell r="C441" t="str">
            <v>INTERIOR</v>
          </cell>
          <cell r="D441" t="str">
            <v>MADERA</v>
          </cell>
          <cell r="E441" t="str">
            <v>LIJADO CON #320 LIMPIA Y LIBRE DE GRASA</v>
          </cell>
          <cell r="F441" t="str">
            <v>2 manos sobre tapaporo + basecoat blanco (SAA 5838)</v>
          </cell>
          <cell r="G441" t="str">
            <v>8.15 LBS / GALON</v>
          </cell>
          <cell r="H441" t="str">
            <v>7.58 %</v>
          </cell>
          <cell r="I441" t="str">
            <v>27.64 %</v>
          </cell>
          <cell r="J441" t="str">
            <v>63.04 %</v>
          </cell>
          <cell r="K441" t="str">
            <v>12.53 %</v>
          </cell>
          <cell r="L441" t="str">
            <v>17.55 %</v>
          </cell>
          <cell r="M441" t="str">
            <v>22 SEG ZAHN #2</v>
          </cell>
          <cell r="N441" t="str">
            <v>PISTOLA</v>
          </cell>
          <cell r="O441" t="str">
            <v>IGUAL QUE ORIGINAL</v>
          </cell>
          <cell r="P441" t="str">
            <v>NINGUNO. DE SER NECESARIO CON THINNER R7K128</v>
          </cell>
          <cell r="Q441" t="str">
            <v>THINNER R7K128</v>
          </cell>
          <cell r="R441" t="str">
            <v>1.5-2.0 MILS</v>
          </cell>
          <cell r="S441" t="str">
            <v>AL AIRE,  SECO TOCAR 3-4 MIN, SECO COMPLETO 8 MIN A CONDICIONES DE 25 °C Y 50% HR.</v>
          </cell>
          <cell r="T441" t="str">
            <v>-</v>
          </cell>
          <cell r="U441" t="str">
            <v>26.14 METROS CUADRADOS POR GALON</v>
          </cell>
          <cell r="V441" t="str">
            <v>25-35 °(60)</v>
          </cell>
          <cell r="W441" t="str">
            <v>-</v>
          </cell>
          <cell r="X441" t="str">
            <v>12 MESES  CORRECTAMENTE TAPADO Y ALMACENADO A 25°C</v>
          </cell>
          <cell r="Y441" t="str">
            <v>DERIMASA</v>
          </cell>
          <cell r="Z441" t="str">
            <v>GABINETES, ARMARIOS, ETC.</v>
          </cell>
          <cell r="AA441" t="str">
            <v>La muestra recibida presenta un tiempo de seco tocar de 5 minutos y seco completo de 10 min. El % de solidos es de 13.25, comparado con el SAA 5825 que tiene 27.64% de solidos a condiciones de 25°C y 50% HR.</v>
          </cell>
          <cell r="AB441" t="str">
            <v>Ing. Juan Antonio Méndez</v>
          </cell>
          <cell r="AC441" t="str">
            <v>Mayo 26, 2003</v>
          </cell>
        </row>
        <row r="442">
          <cell r="A442" t="str">
            <v>SAA 5830</v>
          </cell>
          <cell r="B442" t="str">
            <v>ENAMEL LACQUER VERDE W-13</v>
          </cell>
          <cell r="C442" t="str">
            <v>INTERIOR</v>
          </cell>
          <cell r="D442" t="str">
            <v>MADERA</v>
          </cell>
          <cell r="E442" t="str">
            <v>LIJADO CON #320 LIMPIA Y LIBRE DE GRASA</v>
          </cell>
          <cell r="F442" t="str">
            <v>2 manos sobre tapaporo + basecoat blanco (SAA 5838)</v>
          </cell>
          <cell r="G442" t="str">
            <v>8.80 LBS / GALON</v>
          </cell>
          <cell r="H442" t="str">
            <v>17.57 %</v>
          </cell>
          <cell r="I442" t="str">
            <v>34.70 %</v>
          </cell>
          <cell r="J442" t="str">
            <v>38.65 %</v>
          </cell>
          <cell r="K442" t="str">
            <v>26.63 %</v>
          </cell>
          <cell r="L442" t="str">
            <v>19.34 %</v>
          </cell>
          <cell r="M442" t="str">
            <v>22 SEG ZAHN #2</v>
          </cell>
          <cell r="N442" t="str">
            <v>PISTOLA</v>
          </cell>
          <cell r="O442" t="str">
            <v>IGUAL QUE ORIGINAL</v>
          </cell>
          <cell r="P442" t="str">
            <v>NINGUNO. DE SER NECESARIO CON THINNER R7K128</v>
          </cell>
          <cell r="Q442" t="str">
            <v>THINNER R7K128</v>
          </cell>
          <cell r="R442" t="str">
            <v>1.5-2.0 MILS</v>
          </cell>
          <cell r="S442" t="str">
            <v>AL AIRE,  SECO TOCAR 3-4 MIN, SECO COMPLETO 8 MIN A CONDICIONES DE 25 °C Y 50% HR.</v>
          </cell>
          <cell r="T442" t="str">
            <v>-</v>
          </cell>
          <cell r="U442" t="str">
            <v>28.82 METROS CUADRADOS POR GALON</v>
          </cell>
          <cell r="V442" t="str">
            <v>35-40 °(60)</v>
          </cell>
          <cell r="W442" t="str">
            <v>-</v>
          </cell>
          <cell r="X442" t="str">
            <v>12 MESES  CORRECTAMENTE TAPADO Y ALMACENADO A 25°C</v>
          </cell>
          <cell r="Y442" t="str">
            <v>DERIMASA</v>
          </cell>
          <cell r="Z442" t="str">
            <v>GABINETES, ARMARIOS, ETC.</v>
          </cell>
          <cell r="AA442" t="str">
            <v>La muestra recibida presenta un tiempo de seco tocar de 5 minutos y seco completo de 10 min. El % de solidos es de 28.50, comparado con el SAA 5830 que tiene 34.70% de solidos a condiciones de 25°C y 50% HR.</v>
          </cell>
          <cell r="AB442" t="str">
            <v>Ing. Juan Antonio Méndez</v>
          </cell>
          <cell r="AC442" t="str">
            <v>Mayo 26, 2003</v>
          </cell>
        </row>
        <row r="443">
          <cell r="A443" t="str">
            <v>SAA 5832</v>
          </cell>
          <cell r="B443" t="str">
            <v>PADDING STAIN 1181</v>
          </cell>
          <cell r="C443" t="str">
            <v>INTERIOR</v>
          </cell>
          <cell r="D443" t="str">
            <v>MADERA</v>
          </cell>
          <cell r="E443" t="str">
            <v>LIMPIA Y LIBRE DE GRASA</v>
          </cell>
          <cell r="F443" t="str">
            <v>TAPAPORO</v>
          </cell>
          <cell r="G443" t="str">
            <v>6.82 LBS/GALON</v>
          </cell>
          <cell r="H443" t="str">
            <v>1.11 %</v>
          </cell>
          <cell r="I443" t="str">
            <v>1.11%</v>
          </cell>
          <cell r="J443" t="str">
            <v>0.0 %</v>
          </cell>
          <cell r="K443" t="str">
            <v>100 %</v>
          </cell>
          <cell r="L443" t="str">
            <v>0.66%</v>
          </cell>
          <cell r="M443" t="str">
            <v>18 SEG ZAHN #2</v>
          </cell>
          <cell r="N443" t="str">
            <v xml:space="preserve"> UNA MANO CON PAÑO, CHUPON o PISTOLA</v>
          </cell>
          <cell r="O443" t="str">
            <v>IGUAL QUE ORIGINAL</v>
          </cell>
          <cell r="P443" t="str">
            <v>NINGUNO</v>
          </cell>
          <cell r="Q443" t="str">
            <v>-</v>
          </cell>
          <cell r="R443" t="str">
            <v>-</v>
          </cell>
          <cell r="S443" t="str">
            <v>AL AIRE,  SECO TOCAR 1 MIN, SECO COMPLETO 2-3 MIN A CONDICIONES DE 25 °C Y 50% HR.</v>
          </cell>
          <cell r="T443" t="str">
            <v>-</v>
          </cell>
          <cell r="U443" t="str">
            <v>-</v>
          </cell>
          <cell r="V443" t="str">
            <v>0 - 5 (°85)</v>
          </cell>
          <cell r="W443" t="str">
            <v>-</v>
          </cell>
          <cell r="X443" t="str">
            <v>12 MESES  CORRECTAMENTE TAPADO Y ALMACENADO A 25°C</v>
          </cell>
          <cell r="Y443" t="str">
            <v>DERIMASA</v>
          </cell>
          <cell r="Z443" t="str">
            <v>GABINETES, ARMARIOS, ETC.</v>
          </cell>
          <cell r="AA443" t="str">
            <v>La muestra recibida presenta un tiempo de seco tocar de 2 minutos y seco completo de 4 min. El % de solidos es de 1%, comparado con el SAA 5832 que tiene tambien 1.11% de solidos a condiciones de 25°C y 50% HR.</v>
          </cell>
          <cell r="AB443" t="str">
            <v>Ing. Juan Antonio Méndez</v>
          </cell>
          <cell r="AC443" t="str">
            <v>Mayo 26, 2003</v>
          </cell>
        </row>
        <row r="444">
          <cell r="A444" t="str">
            <v>SAA 5838</v>
          </cell>
          <cell r="B444" t="str">
            <v>BASECOAT BLANCO  W-10136</v>
          </cell>
          <cell r="C444" t="str">
            <v>INTERIOR</v>
          </cell>
          <cell r="D444" t="str">
            <v>MADERA</v>
          </cell>
          <cell r="E444" t="str">
            <v>LIJADO CON #320 LIMPIA Y LIBRE DE GRASA</v>
          </cell>
          <cell r="F444" t="str">
            <v xml:space="preserve">1-2 manos sobre tapaporo </v>
          </cell>
          <cell r="G444" t="str">
            <v>8.95 LBS / GALON</v>
          </cell>
          <cell r="H444" t="str">
            <v>6.99 %</v>
          </cell>
          <cell r="I444" t="str">
            <v>36.53 %</v>
          </cell>
          <cell r="J444" t="str">
            <v>28.26 %</v>
          </cell>
          <cell r="K444" t="str">
            <v>44 .07%</v>
          </cell>
          <cell r="L444" t="str">
            <v>19.74%</v>
          </cell>
          <cell r="M444" t="str">
            <v>22 SEG ZAHN #2</v>
          </cell>
          <cell r="N444" t="str">
            <v>PISTOLA</v>
          </cell>
          <cell r="O444" t="str">
            <v>IGUAL QUE ORIGINAL</v>
          </cell>
          <cell r="P444" t="str">
            <v>NINGUNO. DE SER NECESARIO CON THINNER R7K128</v>
          </cell>
          <cell r="Q444" t="str">
            <v>THINNER R7K128</v>
          </cell>
          <cell r="R444" t="str">
            <v>1.0 MILS</v>
          </cell>
          <cell r="S444" t="str">
            <v>AL AIRE,  SECO TOCAR 3-4 MIN, SECO COMPLETO 8 MIN A CONDICIONES DE 25 °C Y 50% HR.</v>
          </cell>
          <cell r="T444" t="str">
            <v>-</v>
          </cell>
          <cell r="U444" t="str">
            <v>29.42 METROS CUADRADOS POR GALON</v>
          </cell>
          <cell r="V444" t="str">
            <v>0 - 5 (°85)</v>
          </cell>
          <cell r="W444" t="str">
            <v>-</v>
          </cell>
          <cell r="X444" t="str">
            <v>12 MESES  CORRECTAMENTE TAPADO Y ALMACENADO A 25°C</v>
          </cell>
          <cell r="Y444" t="str">
            <v>DERIMASA</v>
          </cell>
          <cell r="Z444" t="str">
            <v>GABINETES, ARMARIOS, ETC.</v>
          </cell>
          <cell r="AA444" t="str">
            <v>La muestra recibida presenta un tiempo de seco tocar de 5 minutos y seco completo de 10 min. El % de solidos es de 34.90, comparado con el SAA 5838 que tiene 36.53% de solidos a condiciones de 25°C y 50% HR.</v>
          </cell>
          <cell r="AB444" t="str">
            <v>Ing. Juan Antonio Méndez</v>
          </cell>
          <cell r="AC444" t="str">
            <v>Mayo 26, 2003</v>
          </cell>
        </row>
        <row r="445">
          <cell r="A445" t="str">
            <v>SAA 5866</v>
          </cell>
          <cell r="B445" t="str">
            <v>BASECOAT NEGRO B001</v>
          </cell>
          <cell r="C445" t="str">
            <v>INTERIOR</v>
          </cell>
          <cell r="D445" t="str">
            <v>MADERA</v>
          </cell>
          <cell r="E445" t="str">
            <v>LIJADO CON #320 LIMPIA Y LIBRE DE GRASA</v>
          </cell>
          <cell r="F445" t="str">
            <v xml:space="preserve">1-2 manos sobre tapaporo </v>
          </cell>
          <cell r="G445" t="str">
            <v>8.08 LBS / GALON</v>
          </cell>
          <cell r="H445" t="str">
            <v>4.0 %</v>
          </cell>
          <cell r="I445" t="str">
            <v>26.12 %</v>
          </cell>
          <cell r="J445" t="str">
            <v>44.10 %</v>
          </cell>
          <cell r="K445" t="str">
            <v>28.36 %</v>
          </cell>
          <cell r="L445" t="str">
            <v>15.36 %</v>
          </cell>
          <cell r="M445" t="str">
            <v>22 SEG ZAHN #2</v>
          </cell>
          <cell r="N445" t="str">
            <v>PISTOLA</v>
          </cell>
          <cell r="O445" t="str">
            <v>IGUAL QUE ORIGINAL</v>
          </cell>
          <cell r="P445" t="str">
            <v>NINGUNO. DE SER NECESARIO CON THINNER R7K128</v>
          </cell>
          <cell r="Q445" t="str">
            <v>THINNER R7K128</v>
          </cell>
          <cell r="R445" t="str">
            <v>1.0 MILS</v>
          </cell>
          <cell r="S445" t="str">
            <v>AL AIRE,  SECO TOCAR 3-4 MIN, SECO COMPLETO 8 MIN A CONDICIONES DE 25 °C Y 50% HR.</v>
          </cell>
          <cell r="T445" t="str">
            <v>-</v>
          </cell>
          <cell r="U445" t="str">
            <v>22.93 METROS CUADRADOS POR GALON</v>
          </cell>
          <cell r="V445" t="str">
            <v>0 - 5 (°85)</v>
          </cell>
          <cell r="W445" t="str">
            <v>-</v>
          </cell>
          <cell r="X445" t="str">
            <v>12 MESES  CORRECTAMENTE TAPADO Y ALMACENADO A 25°C</v>
          </cell>
          <cell r="Y445" t="str">
            <v>DERIMASA</v>
          </cell>
          <cell r="Z445" t="str">
            <v>GABINETES, ARMARIOS, ETC.</v>
          </cell>
          <cell r="AA445" t="str">
            <v>La muestra recibida presenta un tiempo de seco tocar de 5 minutos y seco completo de 10 min. El % de solidos es de 25.53, comparado con el SAA 5866 que tiene 26.12% de solidos a condiciones de 25°C y 50% HR.</v>
          </cell>
          <cell r="AB445" t="str">
            <v>Ing. Juan Antonio Méndez</v>
          </cell>
          <cell r="AC445" t="str">
            <v>Mayo 26, 2003</v>
          </cell>
        </row>
        <row r="446">
          <cell r="A446" t="str">
            <v>SAA 5867</v>
          </cell>
          <cell r="B446" t="str">
            <v>TINTE CAFÉ OSCURO</v>
          </cell>
          <cell r="C446" t="str">
            <v>INTERIOR</v>
          </cell>
          <cell r="D446" t="str">
            <v>MADERA</v>
          </cell>
          <cell r="E446" t="str">
            <v>LIMPIA Y LIBRE DE GRASA</v>
          </cell>
          <cell r="F446" t="str">
            <v>TAPAPORO</v>
          </cell>
          <cell r="G446" t="str">
            <v>6.71 LBS/GALON</v>
          </cell>
          <cell r="H446" t="str">
            <v>1.62%</v>
          </cell>
          <cell r="I446" t="str">
            <v>1.62 %</v>
          </cell>
          <cell r="J446" t="str">
            <v>0.0 %</v>
          </cell>
          <cell r="K446" t="str">
            <v>100 %</v>
          </cell>
          <cell r="L446" t="str">
            <v>0.92 %</v>
          </cell>
          <cell r="M446" t="str">
            <v>18 SEG ZAHN #2</v>
          </cell>
          <cell r="N446" t="str">
            <v xml:space="preserve"> UNA MANO CON PAÑO, CHUPON o PISTOLA</v>
          </cell>
          <cell r="O446" t="str">
            <v>IGUAL QUE ORIGINAL</v>
          </cell>
          <cell r="P446" t="str">
            <v>NINGUNO</v>
          </cell>
          <cell r="Q446" t="str">
            <v>-</v>
          </cell>
          <cell r="R446" t="str">
            <v>-</v>
          </cell>
          <cell r="S446" t="str">
            <v>AL AIRE,  SECO TOCAR 1 MIN, SECO COMPLETO 2-3 MIN A CONDICIONES DE 25 °C Y 50% HR.</v>
          </cell>
          <cell r="T446" t="str">
            <v>-</v>
          </cell>
          <cell r="U446" t="str">
            <v>-</v>
          </cell>
          <cell r="V446" t="str">
            <v>0-5 (°85)</v>
          </cell>
          <cell r="W446" t="str">
            <v>-</v>
          </cell>
          <cell r="X446" t="str">
            <v>12 MESES  CORRECTAMENTE TAPADO Y ALMACENADO A 25°C</v>
          </cell>
          <cell r="Y446" t="str">
            <v>DERIMASA</v>
          </cell>
          <cell r="Z446" t="str">
            <v>GABINETES, ARMARIOS, ETC.</v>
          </cell>
          <cell r="AA446" t="str">
            <v>La muestra recibida presenta un tiempo de seco tocar de 2 minutos y seco completo de 4 min. El % de solidos es de 1%, comparado con el SAA 5867 que tiene tambien 1.62% de solidos a condiciones de 25°C y 50% HR.</v>
          </cell>
          <cell r="AB446" t="str">
            <v>Ing. Juan Antonio Méndez</v>
          </cell>
          <cell r="AC446" t="str">
            <v>Mayo 26, 2003</v>
          </cell>
        </row>
        <row r="447">
          <cell r="A447" t="str">
            <v>SAA 5828</v>
          </cell>
          <cell r="B447" t="str">
            <v>TINTE CAFÉ CLARO 16DO2876</v>
          </cell>
          <cell r="C447" t="str">
            <v>INTERIOR</v>
          </cell>
          <cell r="D447" t="str">
            <v>MADERA</v>
          </cell>
          <cell r="E447" t="str">
            <v>LIMPIA Y LIBRE DE GRASA</v>
          </cell>
          <cell r="F447" t="str">
            <v>TAPAPORO</v>
          </cell>
          <cell r="G447" t="str">
            <v>6.69 LBS/GALON</v>
          </cell>
          <cell r="H447" t="str">
            <v>1.25 %</v>
          </cell>
          <cell r="I447" t="str">
            <v>1.25%</v>
          </cell>
          <cell r="J447" t="str">
            <v>0.0 %</v>
          </cell>
          <cell r="K447" t="str">
            <v>100 %</v>
          </cell>
          <cell r="L447" t="str">
            <v>0.71 %</v>
          </cell>
          <cell r="M447" t="str">
            <v>18 SEG ZAHN #2</v>
          </cell>
          <cell r="N447" t="str">
            <v xml:space="preserve"> UNA MANO CON PAÑO, CHUPON o PISTOLA</v>
          </cell>
          <cell r="O447" t="str">
            <v>IGUAL QUE ORIGINAL</v>
          </cell>
          <cell r="P447" t="str">
            <v>NINGUNO</v>
          </cell>
          <cell r="Q447" t="str">
            <v>-</v>
          </cell>
          <cell r="R447" t="str">
            <v>-</v>
          </cell>
          <cell r="S447" t="str">
            <v>AL AIRE,  SECO TOCAR 1 MIN, SECO COMPLETO 2-3 MIN A CONDICIONES DE 25 °C Y 50% HR.</v>
          </cell>
          <cell r="T447" t="str">
            <v>-</v>
          </cell>
          <cell r="U447" t="str">
            <v>-</v>
          </cell>
          <cell r="V447" t="str">
            <v>0 - 5 (°85)</v>
          </cell>
          <cell r="W447" t="str">
            <v>-</v>
          </cell>
          <cell r="X447" t="str">
            <v>12 MESES  CORRECTAMENTE TAPADO Y ALMACENADO A 25°C</v>
          </cell>
          <cell r="Y447" t="str">
            <v>DERIMASA</v>
          </cell>
          <cell r="Z447" t="str">
            <v>GABINETES, ARMARIOS, ETC.</v>
          </cell>
          <cell r="AA447" t="str">
            <v>La muestra recibida presenta un tiempo de seco tocar de 2 minutos y seco completo de 4 min. El % de solidos es de 1%, comparado con el SAA 5828 que tiene tambien 1.25% de solidos a condiciones de 25°C y 50% HR.</v>
          </cell>
          <cell r="AB447" t="str">
            <v>Ing. Juan Antonio Méndez</v>
          </cell>
          <cell r="AC447" t="str">
            <v>Mayo 26, 2003</v>
          </cell>
        </row>
        <row r="448">
          <cell r="A448" t="str">
            <v>SAA 5829</v>
          </cell>
          <cell r="B448" t="str">
            <v>ENAMEL LACQUER AZUL</v>
          </cell>
          <cell r="C448" t="str">
            <v>INTERIOR</v>
          </cell>
          <cell r="D448" t="str">
            <v>MADERA</v>
          </cell>
          <cell r="E448" t="str">
            <v>LIJADO CON #320 LIMPIA Y LIBRE DE GRASA</v>
          </cell>
          <cell r="F448" t="str">
            <v>2 manos sobre tapaporo + basecoat blanco (SAA 5838)</v>
          </cell>
          <cell r="G448" t="str">
            <v>8.06 LBS/GALON</v>
          </cell>
          <cell r="H448" t="str">
            <v>7.67 %</v>
          </cell>
          <cell r="I448" t="str">
            <v>57.50 %</v>
          </cell>
          <cell r="J448" t="str">
            <v>57.50 %</v>
          </cell>
          <cell r="K448" t="str">
            <v>12.05 %</v>
          </cell>
          <cell r="L448" t="str">
            <v>17.09 %</v>
          </cell>
          <cell r="M448" t="str">
            <v>22 SEG ZAHN #2</v>
          </cell>
          <cell r="N448" t="str">
            <v>PISTOLA</v>
          </cell>
          <cell r="O448" t="str">
            <v>IGUAL QUE ORIGINAL</v>
          </cell>
          <cell r="P448" t="str">
            <v>NINGUNO. DE SER NECESARIO CON THINNER R7K128</v>
          </cell>
          <cell r="Q448" t="str">
            <v>THINNER R7K128</v>
          </cell>
          <cell r="R448" t="str">
            <v>1.5-2.0 MILS</v>
          </cell>
          <cell r="S448" t="str">
            <v>AL AIRE,  SECO TOCAR 3-4 MIN, SECO COMPLETO 8 MIN A CONDICIONES DE 25 °C Y 50% HR.</v>
          </cell>
          <cell r="T448" t="str">
            <v>-</v>
          </cell>
          <cell r="U448" t="str">
            <v>25.46 METROS CUADRADOS POR GALON</v>
          </cell>
          <cell r="V448" t="str">
            <v>45-55 (°60)</v>
          </cell>
          <cell r="W448" t="str">
            <v>-</v>
          </cell>
          <cell r="X448" t="str">
            <v>12 MESES  CORRECTAMENTE TAPADO Y ALMACENADO A 25°C</v>
          </cell>
          <cell r="Y448" t="str">
            <v>DERIMASA</v>
          </cell>
          <cell r="Z448" t="str">
            <v>GABINETES, ARMARIOS, ETC.</v>
          </cell>
          <cell r="AA448" t="str">
            <v>La muestra recibida presenta un tiempo de seco tocar de 5 minutos y seco completo de 10 min. El % de solidos es de 26.0%, comparado con el SAA 5829 que tiene 26.90% de solidos a condiciones de 25°C y 50% HR.</v>
          </cell>
          <cell r="AB448" t="str">
            <v>Ing. Juan Antonio Méndez</v>
          </cell>
          <cell r="AC448" t="str">
            <v>Mayo 26, 2003</v>
          </cell>
        </row>
        <row r="449">
          <cell r="A449" t="str">
            <v>SAA 5827</v>
          </cell>
          <cell r="B449" t="str">
            <v>ENAMEL LACQUER ROJO</v>
          </cell>
          <cell r="C449" t="str">
            <v>INTERIOR</v>
          </cell>
          <cell r="D449" t="str">
            <v>MADERA</v>
          </cell>
          <cell r="E449" t="str">
            <v>LIJADO CON #320 LIMPIA Y LIBRE DE GRASA</v>
          </cell>
          <cell r="F449" t="str">
            <v>2 manos sobre tapaporo + basecoat blanco (SAA 5838)</v>
          </cell>
          <cell r="G449" t="str">
            <v>7.97 LBS / GALON</v>
          </cell>
          <cell r="H449" t="str">
            <v>5.91 %</v>
          </cell>
          <cell r="I449" t="str">
            <v>25.03 %</v>
          </cell>
          <cell r="J449" t="str">
            <v>63.92 %</v>
          </cell>
          <cell r="K449" t="str">
            <v>10.51%</v>
          </cell>
          <cell r="L449" t="str">
            <v>15.61 %</v>
          </cell>
          <cell r="M449" t="str">
            <v>22 SEG ZAHN #2</v>
          </cell>
          <cell r="N449" t="str">
            <v>PISTOLA</v>
          </cell>
          <cell r="O449" t="str">
            <v>IGUAL QUE ORIGINAL</v>
          </cell>
          <cell r="P449" t="str">
            <v>NINGUNO. DE SER NECESARIO CON THINNER R7K128</v>
          </cell>
          <cell r="Q449" t="str">
            <v>THINNER R7K128</v>
          </cell>
          <cell r="R449" t="str">
            <v>1.5-2.0 MILS</v>
          </cell>
          <cell r="S449" t="str">
            <v>AL AIRE,  SECO TOCAR 3-4 MIN, SECO COMPLETO 8 MIN A CONDICIONES DE 25 °C Y 50% HR.</v>
          </cell>
          <cell r="T449" t="str">
            <v>-</v>
          </cell>
          <cell r="U449" t="str">
            <v>23.25  METROS CUADRADOS POR GALON</v>
          </cell>
          <cell r="V449" t="str">
            <v>45-55 (°60)</v>
          </cell>
          <cell r="W449" t="str">
            <v>-</v>
          </cell>
          <cell r="X449" t="str">
            <v>12 MESES  CORRECTAMENTE TAPADO Y ALMACENADO A 25°C</v>
          </cell>
          <cell r="Y449" t="str">
            <v>DERIMASA</v>
          </cell>
          <cell r="Z449" t="str">
            <v>GABINETES, ARMARIOS, ETC.</v>
          </cell>
          <cell r="AA449" t="str">
            <v>La muestra recibida presenta un tiempo de seco tocar de 5 minutos y seco completo de 10 min. El % de solidos es de 24.0%, comparado con el SAA 5827 que tiene 25.03% de solidos a condiciones de 25°C y 50% HR.</v>
          </cell>
          <cell r="AB449" t="str">
            <v>Ing. Juan Antonio Méndez</v>
          </cell>
          <cell r="AC449" t="str">
            <v>Mayo 26, 2003</v>
          </cell>
        </row>
        <row r="450">
          <cell r="A450" t="str">
            <v>M91LSA1</v>
          </cell>
          <cell r="B450" t="str">
            <v>Laca para Escobas celeste</v>
          </cell>
          <cell r="C450" t="str">
            <v>Interior - Exterior</v>
          </cell>
          <cell r="D450" t="str">
            <v>Palos de Escoba</v>
          </cell>
          <cell r="E450" t="str">
            <v>De Acuerdo Al Cliente</v>
          </cell>
          <cell r="F450" t="str">
            <v>Ninguno</v>
          </cell>
          <cell r="G450" t="str">
            <v>8.37 lbs</v>
          </cell>
          <cell r="H450" t="str">
            <v>8.40 %</v>
          </cell>
          <cell r="I450" t="str">
            <v>39.44 %</v>
          </cell>
          <cell r="J450" t="str">
            <v>69.38%</v>
          </cell>
          <cell r="K450" t="str">
            <v>2.39 %</v>
          </cell>
          <cell r="L450" t="str">
            <v>24.57 %</v>
          </cell>
          <cell r="M450" t="str">
            <v>18,000 - 23,000 cps</v>
          </cell>
          <cell r="N450" t="str">
            <v>De Acuerdo Al Cliente</v>
          </cell>
          <cell r="O450" t="str">
            <v>-</v>
          </cell>
          <cell r="P450" t="str">
            <v>Ninguno</v>
          </cell>
          <cell r="Q450" t="str">
            <v>De ser necesario reducir con Thinner R7K128</v>
          </cell>
          <cell r="R450" t="str">
            <v>De acuerdo Al Cliente</v>
          </cell>
          <cell r="S450" t="str">
            <v>Al aire</v>
          </cell>
          <cell r="T450" t="str">
            <v>-</v>
          </cell>
          <cell r="U450" t="str">
            <v>37.14 metros cuadrados por galon a 1 mils de pelicula seca</v>
          </cell>
          <cell r="V450" t="str">
            <v>-</v>
          </cell>
          <cell r="W450" t="str">
            <v>-</v>
          </cell>
          <cell r="X450" t="str">
            <v>6-12 meses</v>
          </cell>
          <cell r="Y450" t="str">
            <v>MULTIPLATS</v>
          </cell>
          <cell r="Z450" t="str">
            <v>Escobas</v>
          </cell>
          <cell r="AA450" t="str">
            <v>-</v>
          </cell>
          <cell r="AB450" t="str">
            <v>Ing. Juan Antonio Méndez</v>
          </cell>
          <cell r="AC450" t="str">
            <v>Junio 2, 2003</v>
          </cell>
        </row>
        <row r="451">
          <cell r="A451" t="str">
            <v>M91RSA1</v>
          </cell>
          <cell r="B451" t="str">
            <v>Laca para escobas Rosado Intenso</v>
          </cell>
          <cell r="C451" t="str">
            <v>Interior - Exterior</v>
          </cell>
          <cell r="D451" t="str">
            <v>Palos de Escoba</v>
          </cell>
          <cell r="E451" t="str">
            <v>De Acuerdo Al Cliente</v>
          </cell>
          <cell r="F451" t="str">
            <v>Ninguno</v>
          </cell>
          <cell r="G451" t="str">
            <v>8.44 lbs</v>
          </cell>
          <cell r="H451" t="str">
            <v>9.01 %</v>
          </cell>
          <cell r="I451" t="str">
            <v>40.79 %</v>
          </cell>
          <cell r="J451" t="str">
            <v>65.56%</v>
          </cell>
          <cell r="K451" t="str">
            <v>3.21%</v>
          </cell>
          <cell r="L451" t="str">
            <v>25.99 %</v>
          </cell>
          <cell r="M451" t="str">
            <v>18,000-23,000 cps</v>
          </cell>
          <cell r="N451" t="str">
            <v>De Acuerdo Al Cliente</v>
          </cell>
          <cell r="O451" t="str">
            <v>-</v>
          </cell>
          <cell r="P451" t="str">
            <v>Ninguno</v>
          </cell>
          <cell r="Q451" t="str">
            <v>De ser necesario reducir con Thinner R7K128</v>
          </cell>
          <cell r="R451" t="str">
            <v>De acuerdo Al Cliente</v>
          </cell>
          <cell r="S451" t="str">
            <v>Al Aire</v>
          </cell>
          <cell r="T451" t="str">
            <v>-</v>
          </cell>
          <cell r="U451" t="str">
            <v>38.72 metros cuadrados por galon a 1 mils de pelicula seca</v>
          </cell>
          <cell r="V451" t="str">
            <v>-</v>
          </cell>
          <cell r="W451" t="str">
            <v>-</v>
          </cell>
          <cell r="X451" t="str">
            <v>6-12 meses</v>
          </cell>
          <cell r="Y451" t="str">
            <v>MULTIPLAST</v>
          </cell>
          <cell r="Z451" t="str">
            <v>Escobas</v>
          </cell>
          <cell r="AA451" t="str">
            <v>-</v>
          </cell>
          <cell r="AB451" t="str">
            <v>Ing. Juan Antonio Méndez</v>
          </cell>
          <cell r="AC451" t="str">
            <v>Junio 2, 2003</v>
          </cell>
        </row>
        <row r="452">
          <cell r="A452" t="str">
            <v>SAA 5935</v>
          </cell>
          <cell r="B452" t="str">
            <v>CORRO-SHER ANTICORROSIVO BASE AGUA ROJO TEJA</v>
          </cell>
          <cell r="C452" t="str">
            <v>INTERIOR-EXTERIOR</v>
          </cell>
          <cell r="D452" t="str">
            <v>METAL, LAMINA GLAVANIZADA</v>
          </cell>
          <cell r="E452" t="str">
            <v>LIMPIA, SECA Y LIBRE DE POLVO Y GRASA</v>
          </cell>
          <cell r="F452" t="str">
            <v>NINGUNO</v>
          </cell>
          <cell r="G452" t="str">
            <v>10.6 LBS/GL</v>
          </cell>
          <cell r="H452" t="str">
            <v>30.10%</v>
          </cell>
          <cell r="I452" t="str">
            <v>51%</v>
          </cell>
          <cell r="J452" t="str">
            <v>20.9%</v>
          </cell>
          <cell r="K452" t="str">
            <v>33.42%</v>
          </cell>
          <cell r="L452" t="str">
            <v>39%</v>
          </cell>
          <cell r="M452" t="str">
            <v>95-100 KU</v>
          </cell>
          <cell r="N452" t="str">
            <v>BROCHA</v>
          </cell>
          <cell r="O452" t="str">
            <v>-</v>
          </cell>
          <cell r="P452" t="str">
            <v>HASTA UN 20%</v>
          </cell>
          <cell r="Q452" t="str">
            <v>AGUA</v>
          </cell>
          <cell r="R452" t="str">
            <v>1 MILLS</v>
          </cell>
          <cell r="S452" t="str">
            <v>AL AIRE</v>
          </cell>
          <cell r="T452" t="str">
            <v>-</v>
          </cell>
          <cell r="U452" t="str">
            <v>58 MTS CUADRADOS/GL A UN MILLS DE PELICULA SECA</v>
          </cell>
          <cell r="V452" t="str">
            <v>LIGERAMENTE SATINADO</v>
          </cell>
          <cell r="W452" t="str">
            <v>-</v>
          </cell>
          <cell r="X452" t="str">
            <v>2 AÑOS</v>
          </cell>
          <cell r="Y452" t="str">
            <v>COSTA RICA</v>
          </cell>
          <cell r="Z452" t="str">
            <v>-</v>
          </cell>
          <cell r="AA452" t="str">
            <v>-</v>
          </cell>
          <cell r="AB452" t="str">
            <v>Soraya de Quijada</v>
          </cell>
          <cell r="AC452" t="str">
            <v>Junio 13, 2003</v>
          </cell>
        </row>
        <row r="453">
          <cell r="A453" t="str">
            <v>SAA 5940</v>
          </cell>
          <cell r="B453" t="str">
            <v>KEM CATI COAT ENAMEL GRIS NAVAL</v>
          </cell>
          <cell r="C453" t="str">
            <v>INTERIOR-EXTERIOR</v>
          </cell>
          <cell r="D453" t="str">
            <v>ACERO</v>
          </cell>
          <cell r="E453" t="str">
            <v>LIMPIA, SECA Y LIBRE DE POLVO Y GRASA</v>
          </cell>
          <cell r="F453" t="str">
            <v>B69G31 KEM CATI COAT PRIMER</v>
          </cell>
          <cell r="G453" t="str">
            <v>10.76 LBS/GL</v>
          </cell>
          <cell r="H453" t="str">
            <v>31.5%</v>
          </cell>
          <cell r="I453" t="str">
            <v>59.60%</v>
          </cell>
          <cell r="J453" t="str">
            <v>28.13%</v>
          </cell>
          <cell r="K453" t="str">
            <v>25.63%</v>
          </cell>
          <cell r="L453" t="str">
            <v>42.18%</v>
          </cell>
          <cell r="M453" t="str">
            <v>10-15 SEGUNDOS EN COPA SW 3</v>
          </cell>
          <cell r="N453" t="str">
            <v>BROCHA-PISTOLA</v>
          </cell>
          <cell r="O453" t="str">
            <v>-</v>
          </cell>
          <cell r="P453" t="str">
            <v>-</v>
          </cell>
          <cell r="Q453" t="str">
            <v>R7K54 INDUSTRIAL REDUCER</v>
          </cell>
          <cell r="R453" t="str">
            <v>-</v>
          </cell>
          <cell r="S453" t="str">
            <v>AL AIRE</v>
          </cell>
          <cell r="T453" t="str">
            <v>-</v>
          </cell>
          <cell r="U453" t="str">
            <v>60 MTS CUADRADOS/GL A UN MILLS DE PELICULA SECA</v>
          </cell>
          <cell r="V453" t="str">
            <v>BRILLANTE</v>
          </cell>
          <cell r="W453" t="str">
            <v>-</v>
          </cell>
          <cell r="X453" t="str">
            <v>1 AÑO</v>
          </cell>
          <cell r="Y453" t="str">
            <v>PANAMA</v>
          </cell>
          <cell r="Z453" t="str">
            <v>-</v>
          </cell>
          <cell r="AA453" t="str">
            <v>CATALIZAR 1:1 EN VOLUMEN CON KEM CATI COAT CATALYST V66V19 Y DEJAR REPOSAR LA MEZCLA POR 30 MINUTOS ANTES DE REDUCIR Y APLICAR. PRODUCTO LIBRE DE PLOMO</v>
          </cell>
          <cell r="AB453" t="str">
            <v>Soraya de Quijada</v>
          </cell>
          <cell r="AC453" t="str">
            <v>Junio 19, 2003</v>
          </cell>
        </row>
        <row r="454">
          <cell r="A454" t="str">
            <v>SAA 5947</v>
          </cell>
          <cell r="B454" t="str">
            <v>COLONIAL ANTICORROSIVO SEMIBRILLANTE VERDE INTENSO</v>
          </cell>
          <cell r="C454" t="str">
            <v>INTERIOR-EXTERIOR</v>
          </cell>
          <cell r="D454" t="str">
            <v>METAL</v>
          </cell>
          <cell r="E454" t="str">
            <v>LIMPIA, SECA Y LIBRE DE POLVO Y GRASA</v>
          </cell>
          <cell r="F454" t="str">
            <v>NINGUNO</v>
          </cell>
          <cell r="G454" t="str">
            <v>8.53 LBS/GL</v>
          </cell>
          <cell r="H454" t="str">
            <v>16%</v>
          </cell>
          <cell r="I454" t="str">
            <v>42.7%</v>
          </cell>
          <cell r="J454" t="str">
            <v>26.2%</v>
          </cell>
          <cell r="K454" t="str">
            <v>19.1%</v>
          </cell>
          <cell r="L454" t="str">
            <v>31.33%</v>
          </cell>
          <cell r="M454" t="str">
            <v>75-80 KU</v>
          </cell>
          <cell r="N454" t="str">
            <v>BROCHA-PISTOLA</v>
          </cell>
          <cell r="O454" t="str">
            <v>-</v>
          </cell>
          <cell r="P454" t="str">
            <v>HASTA UN 15%</v>
          </cell>
          <cell r="Q454" t="str">
            <v>R1K4</v>
          </cell>
          <cell r="R454" t="str">
            <v>1 MILLS</v>
          </cell>
          <cell r="S454" t="str">
            <v>AL AIRE</v>
          </cell>
          <cell r="T454" t="str">
            <v>-</v>
          </cell>
          <cell r="U454" t="str">
            <v>46 MTS CUADRADOS/GL A UN MILLS DE PELICULA SECA</v>
          </cell>
          <cell r="V454" t="str">
            <v>SEMIBRILLANTE 40-45 A 60 GRADOS</v>
          </cell>
          <cell r="W454" t="str">
            <v>-</v>
          </cell>
          <cell r="X454" t="str">
            <v>2 AÑOS</v>
          </cell>
          <cell r="Y454" t="str">
            <v>DIDEMA-GUATEMALA</v>
          </cell>
          <cell r="Z454" t="str">
            <v>-</v>
          </cell>
          <cell r="AA454" t="str">
            <v>COLOR DEL B4G85 VERDE INTENSO DE EXCELLO ACEITE</v>
          </cell>
          <cell r="AB454" t="str">
            <v>Soraya de Quijada</v>
          </cell>
          <cell r="AC454" t="str">
            <v>Julio 1, 2003</v>
          </cell>
        </row>
        <row r="455">
          <cell r="A455" t="str">
            <v>K54WSA2</v>
          </cell>
          <cell r="B455" t="str">
            <v>RECUBRIMIENTO BLANCO PARA GRAMA SINTETICA</v>
          </cell>
          <cell r="C455" t="str">
            <v>INTERIOR-EXTERIOR</v>
          </cell>
          <cell r="D455" t="str">
            <v>GRAMA SINTETICA</v>
          </cell>
          <cell r="E455" t="str">
            <v>LIMPIA, SECA Y LIBRE DE POLVO Y GRASA</v>
          </cell>
          <cell r="F455" t="str">
            <v>NINGUNO</v>
          </cell>
          <cell r="G455" t="str">
            <v>9.38 LBS/GL</v>
          </cell>
          <cell r="H455" t="str">
            <v>13.85%</v>
          </cell>
          <cell r="I455" t="str">
            <v>24.48%</v>
          </cell>
          <cell r="J455" t="str">
            <v>-</v>
          </cell>
          <cell r="K455" t="str">
            <v>26%</v>
          </cell>
          <cell r="L455" t="str">
            <v>14.74%</v>
          </cell>
          <cell r="M455" t="str">
            <v>80-85 KU</v>
          </cell>
          <cell r="N455" t="str">
            <v>BROCHA</v>
          </cell>
          <cell r="O455" t="str">
            <v>SEGÚN LAS NECESIDADES DEL CLIENTE PUEDE REDUCIRSE HASTA UN 50%</v>
          </cell>
          <cell r="P455" t="str">
            <v>HASTA UN 50%</v>
          </cell>
          <cell r="Q455" t="str">
            <v>AGUA</v>
          </cell>
          <cell r="R455" t="str">
            <v>-</v>
          </cell>
          <cell r="S455" t="str">
            <v>AL SOL UN MINIMO DE 48 HRS O HASTA QUE LA PINTURA EN EL FONDO DEL CESPED SE HAYA SECADO</v>
          </cell>
          <cell r="T455" t="str">
            <v>-</v>
          </cell>
          <cell r="U455" t="str">
            <v>DEPERDE DE LA FORMA DE APLICACIÓN Y EL % DE REDUCCION</v>
          </cell>
          <cell r="V455" t="str">
            <v>-</v>
          </cell>
          <cell r="W455" t="str">
            <v>-</v>
          </cell>
          <cell r="X455" t="str">
            <v>2 AÑOS</v>
          </cell>
          <cell r="Y455" t="str">
            <v>-</v>
          </cell>
          <cell r="Z455" t="str">
            <v>CANCHAS DE GRAMA SINTETICA</v>
          </cell>
          <cell r="AA455" t="str">
            <v>-</v>
          </cell>
          <cell r="AB455" t="str">
            <v>Soraya de Quijada</v>
          </cell>
          <cell r="AC455" t="str">
            <v>Julio 14, 2003</v>
          </cell>
        </row>
        <row r="456">
          <cell r="A456" t="str">
            <v>B60V70</v>
          </cell>
          <cell r="B456" t="str">
            <v>TILE CLAD II ACTIVATOR PART B PANAMA</v>
          </cell>
          <cell r="C456" t="str">
            <v>-</v>
          </cell>
          <cell r="D456" t="str">
            <v>-</v>
          </cell>
          <cell r="E456" t="str">
            <v>-</v>
          </cell>
          <cell r="F456" t="str">
            <v>NINGUNO</v>
          </cell>
          <cell r="G456" t="str">
            <v>8.43 LBS/GL</v>
          </cell>
          <cell r="H456" t="str">
            <v>0.0%</v>
          </cell>
          <cell r="I456" t="str">
            <v>51.52%</v>
          </cell>
          <cell r="J456" t="str">
            <v>51.52%</v>
          </cell>
          <cell r="K456" t="str">
            <v>0.0%</v>
          </cell>
          <cell r="L456" t="str">
            <v>45.27%</v>
          </cell>
          <cell r="M456" t="str">
            <v>F-H GARDNER TUBES</v>
          </cell>
          <cell r="N456" t="str">
            <v>BROCHA-PISTOLA</v>
          </cell>
          <cell r="O456" t="str">
            <v>-</v>
          </cell>
          <cell r="P456" t="str">
            <v>-</v>
          </cell>
          <cell r="Q456" t="str">
            <v>R2K4</v>
          </cell>
          <cell r="R456" t="str">
            <v>-</v>
          </cell>
          <cell r="S456" t="str">
            <v>-</v>
          </cell>
          <cell r="T456" t="str">
            <v>-</v>
          </cell>
          <cell r="U456" t="str">
            <v>-</v>
          </cell>
          <cell r="V456" t="str">
            <v>BRILLANTE</v>
          </cell>
          <cell r="W456" t="str">
            <v>-</v>
          </cell>
          <cell r="X456" t="str">
            <v>2 AÑOS</v>
          </cell>
          <cell r="Y456" t="str">
            <v>PANAMA</v>
          </cell>
          <cell r="Z456" t="str">
            <v>-</v>
          </cell>
          <cell r="AA456" t="str">
            <v>CATALIZAR 1:1 EN VOLUMEN CON TILE CLAD II ENAMEL PART A Y REPOSAR LA MEZCLA POR 30 MIN. ANTES DE REDUCIR Y APLICAR. PRODUCTO LIBRE DE PLOMO ESPECIAL PARA PRODUCTO ANTES FABRICADO EN  PANAMA</v>
          </cell>
          <cell r="AB456" t="str">
            <v>Soraya de Quijada</v>
          </cell>
          <cell r="AC456" t="str">
            <v>Julio 15, 2003</v>
          </cell>
        </row>
        <row r="457">
          <cell r="A457" t="str">
            <v>B97WD2257</v>
          </cell>
          <cell r="B457" t="str">
            <v>PINT.BLAN.P/TRAF.BASE AGUA Q.D. TM 2116</v>
          </cell>
          <cell r="C457" t="str">
            <v>Interior - Exterior</v>
          </cell>
          <cell r="D457" t="str">
            <v>ASFALTO - CONCRETO</v>
          </cell>
          <cell r="E457" t="str">
            <v>LIMPIA, SECA Y LIBRE DE EXUDACIONES DE ASFALTO</v>
          </cell>
          <cell r="F457" t="str">
            <v>NINGUNO.</v>
          </cell>
          <cell r="G457" t="str">
            <v>12 .43 LBS / GL.</v>
          </cell>
          <cell r="H457" t="str">
            <v>52 %.</v>
          </cell>
          <cell r="I457" t="str">
            <v>69. 68 %</v>
          </cell>
          <cell r="J457" t="str">
            <v>-</v>
          </cell>
          <cell r="K457" t="str">
            <v xml:space="preserve">51. 59 </v>
          </cell>
          <cell r="L457" t="str">
            <v>50 +/-2 %</v>
          </cell>
          <cell r="M457" t="str">
            <v>70 - 75 KU</v>
          </cell>
          <cell r="N457" t="str">
            <v>Brocha, Rodillo Industrial, Máquina Franjeadora, Etc.</v>
          </cell>
          <cell r="O457" t="str">
            <v>LISTA PARA USAR</v>
          </cell>
          <cell r="P457" t="str">
            <v>NINGUNO</v>
          </cell>
          <cell r="Q457" t="str">
            <v xml:space="preserve">AGUA LIMPIA SI ES NECESARIO  </v>
          </cell>
          <cell r="R457" t="str">
            <v>7mils</v>
          </cell>
          <cell r="S457" t="str">
            <v>30 MINUTOS. NO TRANSITAR ANTES DE 1HORA.</v>
          </cell>
          <cell r="T457" t="str">
            <v>-</v>
          </cell>
          <cell r="U457" t="str">
            <v>10 - 11 MTS CUADRADOSA 7 MILS SECO.</v>
          </cell>
          <cell r="V457" t="str">
            <v>1 - 2 MATE</v>
          </cell>
          <cell r="W457" t="str">
            <v>-</v>
          </cell>
          <cell r="X457" t="str">
            <v>12 MESES  CORRECTAMENTE TAPADO Y ALMACENADO A 25°C</v>
          </cell>
          <cell r="Y457" t="str">
            <v>VARIOS</v>
          </cell>
          <cell r="Z457" t="str">
            <v>-</v>
          </cell>
          <cell r="AA457" t="str">
            <v>SIN GRUMOS</v>
          </cell>
          <cell r="AB457" t="str">
            <v>Ana Irene Mendez Vides</v>
          </cell>
          <cell r="AC457" t="str">
            <v>21 / JULIO / 2003.</v>
          </cell>
        </row>
        <row r="458">
          <cell r="A458" t="str">
            <v>B97YD2262</v>
          </cell>
          <cell r="B458" t="str">
            <v>P1NT. AMAR.P/TRAF.BASE AGUA Q.D. TM2117</v>
          </cell>
          <cell r="C458" t="str">
            <v>Interior - Exterior</v>
          </cell>
          <cell r="D458" t="str">
            <v>ASFALTO - CONCRETO</v>
          </cell>
          <cell r="E458" t="str">
            <v xml:space="preserve">LIMPIA,SECA Y LIBRE </v>
          </cell>
          <cell r="F458" t="str">
            <v>NINGUNO</v>
          </cell>
          <cell r="G458" t="str">
            <v>12 .53 LBS / GL.</v>
          </cell>
          <cell r="H458" t="str">
            <v>52 %</v>
          </cell>
          <cell r="I458" t="str">
            <v>69. 54 %</v>
          </cell>
          <cell r="J458" t="str">
            <v>-</v>
          </cell>
          <cell r="K458" t="str">
            <v>50.12 %</v>
          </cell>
          <cell r="L458" t="str">
            <v>50 +/-2 %</v>
          </cell>
          <cell r="M458" t="str">
            <v>70 75 KU.</v>
          </cell>
          <cell r="N458" t="str">
            <v>BROCA,RODILLO INDUSTRIA,MAQUINA FRANJEADORA, ETC.</v>
          </cell>
          <cell r="O458" t="str">
            <v>LISTA PARA USAR</v>
          </cell>
          <cell r="P458" t="str">
            <v>NINGUNO</v>
          </cell>
          <cell r="Q458" t="str">
            <v>AGUA LIMPIA SI ES NECESARIO.</v>
          </cell>
          <cell r="R458" t="str">
            <v>7mils</v>
          </cell>
          <cell r="S458" t="str">
            <v>30 MINUTOS. NO TRANSITAR ANTES DE 1HORA.</v>
          </cell>
          <cell r="T458" t="str">
            <v>-</v>
          </cell>
          <cell r="U458" t="str">
            <v>10 - 11 MTS CUADRADOS A 7 MILS SECO.</v>
          </cell>
          <cell r="V458" t="str">
            <v>1 - 2 MATE</v>
          </cell>
          <cell r="W458" t="str">
            <v>-</v>
          </cell>
          <cell r="X458" t="str">
            <v>12 MESES  CORRECTAMENTE TAPADO Y ALMACENADO A 25°C</v>
          </cell>
          <cell r="Y458" t="str">
            <v>VARIOS</v>
          </cell>
          <cell r="Z458" t="str">
            <v>-</v>
          </cell>
          <cell r="AA458" t="str">
            <v>SIN GRUMOS.</v>
          </cell>
          <cell r="AB458" t="str">
            <v>Ana Irene Mendez Vides</v>
          </cell>
          <cell r="AC458" t="str">
            <v>21 / JULIO / 2003.</v>
          </cell>
        </row>
        <row r="459">
          <cell r="A459" t="str">
            <v>A86WSA14</v>
          </cell>
          <cell r="B459" t="str">
            <v>TRA. PAINT WHITE REFLECTORIZED TTP - 87D</v>
          </cell>
          <cell r="C459" t="str">
            <v>EXTERIOR</v>
          </cell>
          <cell r="D459" t="str">
            <v>ASFALTO - CONCRETO</v>
          </cell>
          <cell r="E459" t="str">
            <v>LIMPIA Y SECA</v>
          </cell>
          <cell r="F459" t="str">
            <v>NINGUNO</v>
          </cell>
          <cell r="G459" t="str">
            <v>12. 36 LBS / GL.</v>
          </cell>
          <cell r="H459" t="str">
            <v>-</v>
          </cell>
          <cell r="I459" t="str">
            <v>74. 72 %</v>
          </cell>
          <cell r="J459" t="str">
            <v>-</v>
          </cell>
          <cell r="K459" t="str">
            <v>35. 68 %</v>
          </cell>
          <cell r="L459" t="str">
            <v>53. 86 %</v>
          </cell>
          <cell r="M459" t="str">
            <v>70 - 80 KU</v>
          </cell>
          <cell r="N459" t="str">
            <v>Brocha, Rodillo Industrial, Máquina Franjeadora, Etc.</v>
          </cell>
          <cell r="O459" t="str">
            <v>CON MAQUINA FRANJEADORA, REDUZCA CON 1 / 8 DE GALON.</v>
          </cell>
          <cell r="P459" t="str">
            <v>Listo para usarse con Brocha y Rodillo.</v>
          </cell>
          <cell r="Q459" t="str">
            <v>R2K1, DILUYENTE INDUSTRIAL RAPIDO</v>
          </cell>
          <cell r="R459" t="str">
            <v>7MILS</v>
          </cell>
          <cell r="S459" t="str">
            <v>SECO TOCAR 40 MIN. NO TRANSITAR ANTES DE I H.30 MINUTOS</v>
          </cell>
          <cell r="T459" t="str">
            <v>-</v>
          </cell>
          <cell r="U459" t="str">
            <v>10 - 11 MTS CUADRADOS / GL.</v>
          </cell>
          <cell r="V459" t="str">
            <v>MATE</v>
          </cell>
          <cell r="W459" t="str">
            <v>-</v>
          </cell>
          <cell r="X459" t="str">
            <v>12 MESES CORRECTAMENTE TAPADO Y ALMACENADO A 25° C.</v>
          </cell>
          <cell r="Y459" t="str">
            <v>VARIOS</v>
          </cell>
          <cell r="Z459" t="str">
            <v>-</v>
          </cell>
          <cell r="AA459" t="str">
            <v xml:space="preserve">Finura Hegman: 3H-0 </v>
          </cell>
          <cell r="AB459" t="str">
            <v>Ana Irene Mendez Vides</v>
          </cell>
          <cell r="AC459" t="str">
            <v>21 / JULIO / 2003.</v>
          </cell>
        </row>
        <row r="460">
          <cell r="A460" t="str">
            <v>A86YSA16</v>
          </cell>
          <cell r="B460" t="str">
            <v>TRAF. PAINT YELLOW REFLECTORIZED TTP -87 D</v>
          </cell>
          <cell r="C460" t="str">
            <v>EXTERIOR</v>
          </cell>
          <cell r="D460" t="str">
            <v>ASFALTO - CONCRETO</v>
          </cell>
          <cell r="E460" t="str">
            <v>LIMPIA Y SECA</v>
          </cell>
          <cell r="F460" t="str">
            <v>NINGUNO</v>
          </cell>
          <cell r="G460" t="str">
            <v>12. 55 LBS / GL.</v>
          </cell>
          <cell r="H460" t="str">
            <v>-</v>
          </cell>
          <cell r="I460" t="str">
            <v>75. 25 %</v>
          </cell>
          <cell r="J460" t="str">
            <v>-</v>
          </cell>
          <cell r="K460" t="str">
            <v>36. 02 %</v>
          </cell>
          <cell r="L460" t="str">
            <v>54. 14 %</v>
          </cell>
          <cell r="M460" t="str">
            <v>70 - 80 KU</v>
          </cell>
          <cell r="N460" t="str">
            <v>Brocha, Rodillo Industrial, Máquina Franjeadora, Etc.</v>
          </cell>
          <cell r="O460" t="str">
            <v>CON MAQUINA FRANJEADORA, REDUZCA CON 1 / 8 DE GALON.</v>
          </cell>
          <cell r="P460" t="str">
            <v>Listo para usarse con Brocha y Rodillo.</v>
          </cell>
          <cell r="Q460" t="str">
            <v>R2K1, DILUYENTE INDUSTRIAL RAPIDO</v>
          </cell>
          <cell r="R460" t="str">
            <v>7MILS</v>
          </cell>
          <cell r="S460" t="str">
            <v>SECO TOCAR 40 MIN. NO TRANSITAR ANTES DE I H.30 MINUTOS</v>
          </cell>
          <cell r="T460" t="str">
            <v>-</v>
          </cell>
          <cell r="U460" t="str">
            <v>10 - 11 MTS CUADRADOS / GL.</v>
          </cell>
          <cell r="V460" t="str">
            <v>MATE</v>
          </cell>
          <cell r="W460" t="str">
            <v>-</v>
          </cell>
          <cell r="X460" t="str">
            <v>12 MESES CORRECTAMENTE TAPADO Y ALMACENADO A 25° C.</v>
          </cell>
          <cell r="Y460" t="str">
            <v>VARIOS</v>
          </cell>
          <cell r="Z460" t="str">
            <v>-</v>
          </cell>
          <cell r="AA460" t="str">
            <v xml:space="preserve">Finura Hegman: 3H-0 </v>
          </cell>
          <cell r="AB460" t="str">
            <v>Ana Irene Mendez Vides</v>
          </cell>
          <cell r="AC460" t="str">
            <v>21 / JULIO / 2003.</v>
          </cell>
        </row>
        <row r="461">
          <cell r="A461" t="str">
            <v>LINEA A8</v>
          </cell>
          <cell r="B461" t="str">
            <v>EXCELLO LATEX PINTURA SEMIBRILLANTE</v>
          </cell>
          <cell r="C461" t="str">
            <v>Interior-Exterior</v>
          </cell>
          <cell r="D461" t="str">
            <v>CONCRETO,LADRILLO</v>
          </cell>
          <cell r="E461" t="str">
            <v>LIMPIA,SECA, LIBRE DE POLVO,GRASA,HONGOS,PINTURA DESCASCARADA</v>
          </cell>
          <cell r="F461" t="str">
            <v>FAST DRY LATEX WALL PRIMER</v>
          </cell>
          <cell r="G461" t="str">
            <v>10 .00 +/- .5 LBS / GL</v>
          </cell>
          <cell r="H461" t="str">
            <v>-</v>
          </cell>
          <cell r="I461" t="str">
            <v>43 .29 %</v>
          </cell>
          <cell r="J461" t="str">
            <v>-</v>
          </cell>
          <cell r="K461" t="str">
            <v>24 .90 %</v>
          </cell>
          <cell r="L461" t="str">
            <v>29 .63 %</v>
          </cell>
          <cell r="M461" t="str">
            <v>90 - 95 KU</v>
          </cell>
          <cell r="N461" t="str">
            <v>BROCHA - RODILLO</v>
          </cell>
          <cell r="O461" t="str">
            <v>LISTA PARA USAR</v>
          </cell>
          <cell r="P461" t="str">
            <v>NINGUNO.</v>
          </cell>
          <cell r="Q461" t="str">
            <v>AGUA PARA LAVAR EQUIPO.</v>
          </cell>
          <cell r="R461" t="str">
            <v>1 MILS</v>
          </cell>
          <cell r="S461" t="str">
            <v>AL TACTO 1 HORA, RETOCAR : 2 - 4 HORAS</v>
          </cell>
          <cell r="T461" t="str">
            <v>-</v>
          </cell>
          <cell r="U461" t="str">
            <v>40 Mts CUADRADOS A 1 MILS DE ESPESOR</v>
          </cell>
          <cell r="V461" t="str">
            <v>25 - 30</v>
          </cell>
          <cell r="W461" t="str">
            <v>-</v>
          </cell>
          <cell r="X461" t="str">
            <v>36 MESES SIN DESTAPAR A 25 ° C</v>
          </cell>
          <cell r="Y461" t="str">
            <v>VARIOS</v>
          </cell>
          <cell r="Z461" t="str">
            <v>-</v>
          </cell>
          <cell r="AA461" t="str">
            <v>ESTE PRODUCTO NO CONTIENE PLOMO NI MERCURIO</v>
          </cell>
          <cell r="AB461" t="str">
            <v>ANA IRENE MENDEZ VIDES.</v>
          </cell>
          <cell r="AC461" t="str">
            <v>1° AGOSTO 2003</v>
          </cell>
        </row>
        <row r="462">
          <cell r="A462" t="str">
            <v>B50A1-A</v>
          </cell>
          <cell r="B462" t="str">
            <v>GALVANIZED IRON PRIMER PARTE A</v>
          </cell>
          <cell r="C462" t="str">
            <v>INTERIOR-EXTERIOR</v>
          </cell>
          <cell r="D462" t="str">
            <v>ACERO-LAMINA GALVANIZADA</v>
          </cell>
          <cell r="E462" t="str">
            <v>LIMPIA,SECA, LIBRE DE POLVO,GRASA,PINTURA DESCASCARADA</v>
          </cell>
          <cell r="F462" t="str">
            <v>-</v>
          </cell>
          <cell r="G462" t="str">
            <v>11.50 LBS/GL</v>
          </cell>
          <cell r="H462" t="str">
            <v>45.98%</v>
          </cell>
          <cell r="I462" t="str">
            <v>77.52%</v>
          </cell>
          <cell r="J462" t="str">
            <v>31.54%</v>
          </cell>
          <cell r="K462" t="str">
            <v>28.15%</v>
          </cell>
          <cell r="L462" t="str">
            <v>54.36%</v>
          </cell>
          <cell r="M462" t="str">
            <v>77-85 KU</v>
          </cell>
          <cell r="N462" t="str">
            <v>BROCHA</v>
          </cell>
          <cell r="O462" t="str">
            <v>-</v>
          </cell>
          <cell r="P462" t="str">
            <v xml:space="preserve">LA NECESARIA  </v>
          </cell>
          <cell r="Q462" t="str">
            <v>R1K4 MINERAL SPIRITS</v>
          </cell>
          <cell r="R462" t="str">
            <v>1 MILLS</v>
          </cell>
          <cell r="S462" t="str">
            <v>SECO TOCAR: 4-6 HORAS; SECO COMPLETO: 8-12 HORAS</v>
          </cell>
          <cell r="T462" t="str">
            <v>-</v>
          </cell>
          <cell r="U462" t="str">
            <v>60 Mts CUADRADOS A 1 MILS DE ESPESOR</v>
          </cell>
          <cell r="V462" t="str">
            <v>LIGERAMENTE SATINADO</v>
          </cell>
          <cell r="W462" t="str">
            <v>-</v>
          </cell>
          <cell r="X462" t="str">
            <v>24 MESES SIN DESTAPAR A 25 ° C</v>
          </cell>
          <cell r="Y462" t="str">
            <v>PANAMA</v>
          </cell>
          <cell r="Z462" t="str">
            <v>-</v>
          </cell>
          <cell r="AA462" t="str">
            <v>ESTE PRODUCTO CONSTA DE DOS PARTES, PARTE A Y PARTE B AMBAS PARTES DEBEN MEZCLARSE PARA OBTENER EL PRODUCTO FINAL Y APLICAR</v>
          </cell>
          <cell r="AB462" t="str">
            <v>Soraya de Quijada</v>
          </cell>
          <cell r="AC462" t="str">
            <v>20 AGOSTO 2003</v>
          </cell>
        </row>
        <row r="463">
          <cell r="A463" t="str">
            <v>B50A1-B</v>
          </cell>
          <cell r="B463" t="str">
            <v>GALVANIZED IRON PRIMER PARTE B</v>
          </cell>
          <cell r="C463" t="str">
            <v>-</v>
          </cell>
          <cell r="D463" t="str">
            <v>-</v>
          </cell>
          <cell r="E463" t="str">
            <v>-</v>
          </cell>
          <cell r="F463" t="str">
            <v>-</v>
          </cell>
          <cell r="G463" t="str">
            <v>58.8 LBS/GL</v>
          </cell>
          <cell r="H463" t="str">
            <v>100%</v>
          </cell>
          <cell r="I463" t="str">
            <v>100%</v>
          </cell>
          <cell r="J463" t="str">
            <v>-</v>
          </cell>
          <cell r="K463" t="str">
            <v>-</v>
          </cell>
          <cell r="L463" t="str">
            <v>-</v>
          </cell>
          <cell r="M463" t="str">
            <v>SOLIDO</v>
          </cell>
          <cell r="N463" t="str">
            <v>-</v>
          </cell>
          <cell r="O463" t="str">
            <v>-</v>
          </cell>
          <cell r="P463" t="str">
            <v>-</v>
          </cell>
          <cell r="Q463" t="str">
            <v>-</v>
          </cell>
          <cell r="R463" t="str">
            <v>-</v>
          </cell>
          <cell r="S463" t="str">
            <v>-</v>
          </cell>
          <cell r="T463" t="str">
            <v>-</v>
          </cell>
          <cell r="U463" t="str">
            <v>-</v>
          </cell>
          <cell r="V463" t="str">
            <v>-</v>
          </cell>
          <cell r="W463" t="str">
            <v>-</v>
          </cell>
          <cell r="X463" t="str">
            <v>-</v>
          </cell>
          <cell r="Y463" t="str">
            <v>PANAMA</v>
          </cell>
          <cell r="Z463" t="str">
            <v>-</v>
          </cell>
          <cell r="AA463" t="str">
            <v>POLVO DE ZINC.ESTE PRODUCTO CONSTA DE DOS PARTES, PARTE A Y PARTE B AMBAS PARTES DEBEN MEZCLARSE PARA OBTENER EL PRODUCTO FINAL Y APLICAR</v>
          </cell>
          <cell r="AB463" t="str">
            <v>Soraya de Quijada</v>
          </cell>
          <cell r="AC463" t="str">
            <v>20 AGOSTO 2003</v>
          </cell>
        </row>
        <row r="464">
          <cell r="A464" t="str">
            <v>S66NSA2</v>
          </cell>
          <cell r="B464" t="str">
            <v>GLAZE BRISTO WALNUT</v>
          </cell>
          <cell r="C464" t="str">
            <v>INTERIOR-EXTERIOR</v>
          </cell>
          <cell r="D464" t="str">
            <v>MADERA</v>
          </cell>
          <cell r="E464" t="str">
            <v>LIJADO Y LIBRE DE POLVO</v>
          </cell>
          <cell r="F464" t="str">
            <v>DE PREFERENCIA SE APLICA DESPUES DE LA MANO DELGADA DE SELLADOR (WASHCOAT)</v>
          </cell>
          <cell r="G464" t="str">
            <v>9.65 LBS</v>
          </cell>
          <cell r="H464" t="str">
            <v>5%</v>
          </cell>
          <cell r="I464" t="str">
            <v>60.0%</v>
          </cell>
          <cell r="J464" t="str">
            <v>34.56%</v>
          </cell>
          <cell r="K464" t="str">
            <v>40.92%</v>
          </cell>
          <cell r="L464" t="str">
            <v>40.0%</v>
          </cell>
          <cell r="M464" t="str">
            <v>85-90 KU</v>
          </cell>
          <cell r="N464" t="str">
            <v>BROCHA, WIPE, PISTOLA</v>
          </cell>
          <cell r="O464" t="str">
            <v>DE PREFERENCIA A 20-25 SEG ZANH 2</v>
          </cell>
          <cell r="P464" t="str">
            <v xml:space="preserve">HASTA 200% </v>
          </cell>
          <cell r="Q464" t="str">
            <v>R1K4, R1K3</v>
          </cell>
          <cell r="R464" t="str">
            <v>-</v>
          </cell>
          <cell r="S464" t="str">
            <v>30-45 MIN.</v>
          </cell>
          <cell r="T464" t="str">
            <v>-</v>
          </cell>
          <cell r="U464" t="str">
            <v>61.53 METROS CUADRADOS POR GALON A 1 MILS DE PELICULA SECA</v>
          </cell>
          <cell r="V464" t="str">
            <v>-</v>
          </cell>
          <cell r="W464" t="str">
            <v>-</v>
          </cell>
          <cell r="X464" t="str">
            <v>1 AÑO</v>
          </cell>
          <cell r="Y464" t="str">
            <v>DIDEMA HONDURAS</v>
          </cell>
          <cell r="Z464" t="str">
            <v>-</v>
          </cell>
          <cell r="AB464" t="str">
            <v>Juan Antonio Méndez</v>
          </cell>
          <cell r="AC464" t="str">
            <v>6 de noviembre del 2006</v>
          </cell>
        </row>
        <row r="465">
          <cell r="A465" t="str">
            <v>S66NSA3</v>
          </cell>
          <cell r="B465" t="str">
            <v>GLAZE CHERRY</v>
          </cell>
          <cell r="C465" t="str">
            <v>INTERIOR-EXTERIOR</v>
          </cell>
          <cell r="D465" t="str">
            <v>MADERA</v>
          </cell>
          <cell r="E465" t="str">
            <v>LIJADO Y LIBRE DE POLVO</v>
          </cell>
          <cell r="F465" t="str">
            <v>DE PREFERENCIA SE APLICA DESPUES DE LA MANO DELGADA DE SELLADOR (WASHCOAT)</v>
          </cell>
          <cell r="G465" t="str">
            <v>9.65 LBS</v>
          </cell>
          <cell r="H465" t="str">
            <v>8.22 %</v>
          </cell>
          <cell r="I465" t="str">
            <v>60.0%</v>
          </cell>
          <cell r="J465" t="str">
            <v>35.55%</v>
          </cell>
          <cell r="K465" t="str">
            <v>37%</v>
          </cell>
          <cell r="L465" t="str">
            <v>39.47%</v>
          </cell>
          <cell r="M465" t="str">
            <v>85-90 KU</v>
          </cell>
          <cell r="N465" t="str">
            <v>BROCHA, WIPE, PISTOLA</v>
          </cell>
          <cell r="O465" t="str">
            <v>DE PREFERENCIA A 25-20 SEG ZANH 2</v>
          </cell>
          <cell r="P465" t="str">
            <v xml:space="preserve">HASTA 200% </v>
          </cell>
          <cell r="Q465" t="str">
            <v>R1K4, R1K3</v>
          </cell>
          <cell r="R465" t="str">
            <v>-</v>
          </cell>
          <cell r="S465" t="str">
            <v>30-45 MIN.</v>
          </cell>
          <cell r="T465" t="str">
            <v>-</v>
          </cell>
          <cell r="U465" t="str">
            <v>58.84 METROS CUADRADOS POR GALON A 1 MILS DE PELICULA SECA</v>
          </cell>
          <cell r="V465" t="str">
            <v>-</v>
          </cell>
          <cell r="W465" t="str">
            <v>-</v>
          </cell>
          <cell r="X465" t="str">
            <v>1 AÑO</v>
          </cell>
          <cell r="Y465" t="str">
            <v>DIDEMA HONDURAS</v>
          </cell>
          <cell r="Z465" t="str">
            <v>-</v>
          </cell>
          <cell r="AB465" t="str">
            <v>Juan Antonio Méndez</v>
          </cell>
          <cell r="AC465" t="str">
            <v>6 de noviembre del 2006</v>
          </cell>
        </row>
        <row r="466">
          <cell r="A466" t="str">
            <v>S66NSA1</v>
          </cell>
          <cell r="B466" t="str">
            <v>GLAZE WARM CHESNUT</v>
          </cell>
          <cell r="C466" t="str">
            <v>INTERIOR-EXTERIOR</v>
          </cell>
          <cell r="D466" t="str">
            <v>MADERA</v>
          </cell>
          <cell r="E466" t="str">
            <v>LIJADO Y LIBRE DE POLVO</v>
          </cell>
          <cell r="F466" t="str">
            <v>DE PREFERENCIA SE APLICA DESPUES DE LA MANO DELGADA DE SELLADOR (WASHCOAT)</v>
          </cell>
          <cell r="G466" t="str">
            <v>8.98 LBS</v>
          </cell>
          <cell r="H466" t="str">
            <v>5.5 %</v>
          </cell>
          <cell r="I466" t="str">
            <v>54%</v>
          </cell>
          <cell r="J466" t="str">
            <v>32%</v>
          </cell>
          <cell r="K466" t="str">
            <v>30.60 %</v>
          </cell>
          <cell r="L466" t="str">
            <v>37 %</v>
          </cell>
          <cell r="M466" t="str">
            <v>85-90 KU</v>
          </cell>
          <cell r="N466" t="str">
            <v>BROCHA, WIPE, PISTOLA</v>
          </cell>
          <cell r="O466" t="str">
            <v>DE PREFERENCIA A 25-20 SEG ZANH 2</v>
          </cell>
          <cell r="P466" t="str">
            <v xml:space="preserve">HASTA 200% </v>
          </cell>
          <cell r="Q466" t="str">
            <v>R1K4, R1K3</v>
          </cell>
          <cell r="R466" t="str">
            <v>-</v>
          </cell>
          <cell r="S466" t="str">
            <v>30-45 MIN.</v>
          </cell>
          <cell r="T466" t="str">
            <v>-</v>
          </cell>
          <cell r="U466" t="str">
            <v>55.13 METROS CUADRADOS POR GALON A 1 MILS DE PELICULA SECA</v>
          </cell>
          <cell r="V466" t="str">
            <v>-</v>
          </cell>
          <cell r="W466" t="str">
            <v>-</v>
          </cell>
          <cell r="X466" t="str">
            <v>1 AÑO</v>
          </cell>
          <cell r="Y466" t="str">
            <v>DIDEMA HONDURAS</v>
          </cell>
          <cell r="Z466" t="str">
            <v>-</v>
          </cell>
          <cell r="AB466" t="str">
            <v>Juan Antonio Méndez</v>
          </cell>
          <cell r="AC466" t="str">
            <v>6 de noviembre del 2006</v>
          </cell>
        </row>
        <row r="467">
          <cell r="A467" t="str">
            <v>B67_2000 PARTE A.    B67V2002 PARTE B.</v>
          </cell>
          <cell r="B467" t="str">
            <v>ARMORSEAL 1000 HS EPOXY</v>
          </cell>
          <cell r="C467" t="str">
            <v>INTERIOR-EXTERIOR</v>
          </cell>
          <cell r="D467" t="str">
            <v>CONCRETO Y HIERRO</v>
          </cell>
          <cell r="E467" t="str">
            <v>CONCRETO: SSPC-SP13/NACE 6 (SEGUN ASTM D4258,D4259 Y D4260).   HIERRO: SSPC-SP6.</v>
          </cell>
          <cell r="F467" t="str">
            <v>NINGUNO</v>
          </cell>
          <cell r="G467" t="str">
            <v>12.51 MEZCLADO Y PUEDE VARIAR POR EL COLOR.</v>
          </cell>
          <cell r="H467" t="str">
            <v>---</v>
          </cell>
          <cell r="I467" t="str">
            <v>74% (MEZCLADO Y PUEDE VARIAR POR EL COLOR)</v>
          </cell>
          <cell r="J467" t="str">
            <v>---</v>
          </cell>
          <cell r="K467" t="str">
            <v>---</v>
          </cell>
          <cell r="L467" t="str">
            <v>65% (MEZCLADO Y PUEDE VARIAR POR EL COLOR)</v>
          </cell>
          <cell r="M467" t="str">
            <v>---</v>
          </cell>
          <cell r="N467" t="str">
            <v xml:space="preserve">AIRLESS, BROCHA, RODILLO, </v>
          </cell>
          <cell r="O467" t="str">
            <v>---</v>
          </cell>
          <cell r="P467" t="str">
            <v>10-15%</v>
          </cell>
          <cell r="Q467" t="str">
            <v>R7K54 INDUSTRIAL REDUCER</v>
          </cell>
          <cell r="R467" t="str">
            <v>6-10 MILS DE PELICULA SECA</v>
          </cell>
          <cell r="S467" t="str">
            <v>TRAFICO PEATONAL:24 HR.  TRAFICO PESADO: 72 HRS. PARA RESISTENCIA QUIMICA 7 DIAS.</v>
          </cell>
          <cell r="T467" t="str">
            <v>--</v>
          </cell>
          <cell r="U467" t="str">
            <v>9-16 MTS CUADRADOS POR GALON A 6-10 MILS SECOS.</v>
          </cell>
          <cell r="V467" t="str">
            <v>BRILLANTE</v>
          </cell>
          <cell r="W467" t="str">
            <v>HB</v>
          </cell>
          <cell r="X467" t="str">
            <v>1 ANO</v>
          </cell>
          <cell r="Y467" t="str">
            <v>VARIOS</v>
          </cell>
          <cell r="AA467" t="str">
            <v>ESPECIFICACIONES OBTENIDAS DE HOJA TECNICA ARMORSEAL 1000 HS.</v>
          </cell>
          <cell r="AB467" t="str">
            <v>Juan Antonio Méndez</v>
          </cell>
          <cell r="AC467" t="str">
            <v>12 DE AGOSTO DEL 2008</v>
          </cell>
        </row>
        <row r="468">
          <cell r="A468" t="str">
            <v>B50 W SA2</v>
          </cell>
          <cell r="B468" t="str">
            <v>PRIMER BLANCO PARA TORRES DE HIERRO GALVANIZADO</v>
          </cell>
          <cell r="C468" t="str">
            <v>EXTERIOR</v>
          </cell>
          <cell r="D468" t="str">
            <v>HIERRO GALVANIZADO</v>
          </cell>
          <cell r="E468" t="str">
            <v>La superficie debe estar limpia, seca y en buenas condiciones. La limpieza debera ser segun SSPC-SP1 de Preferencia con thinner R7K128 o R7K203.</v>
          </cell>
          <cell r="F468" t="str">
            <v>NINGUNO</v>
          </cell>
          <cell r="G468" t="str">
            <v>10.99 ± 0.2 LBS/GALON</v>
          </cell>
          <cell r="H468" t="str">
            <v>29.8% ± 0.2</v>
          </cell>
          <cell r="I468" t="str">
            <v>58% ± 1.0</v>
          </cell>
          <cell r="J468" t="str">
            <v>21.0 % ± 1.0</v>
          </cell>
          <cell r="K468" t="str">
            <v>27.7%</v>
          </cell>
          <cell r="L468" t="str">
            <v>44.2% ± 1.0</v>
          </cell>
          <cell r="M468" t="str">
            <v>110 - 115 KU</v>
          </cell>
          <cell r="N468" t="str">
            <v>BROCHA -PISTOLA</v>
          </cell>
          <cell r="O468" t="str">
            <v>LA NECESARIA</v>
          </cell>
          <cell r="P468" t="str">
            <v>20 % MAX.</v>
          </cell>
          <cell r="Q468" t="str">
            <v>AGUA LIMPIA</v>
          </cell>
          <cell r="R468" t="str">
            <v>1 MILS (25.4  MICRONES)</v>
          </cell>
          <cell r="S468" t="str">
            <v>TOCAR: 30 MIN; RETOCAR: 3 HRS.</v>
          </cell>
          <cell r="T468" t="str">
            <v>-</v>
          </cell>
          <cell r="U468" t="str">
            <v>50-60 Mts2/Galon a 1 mils de espesor de pelicula seca</v>
          </cell>
          <cell r="V468" t="str">
            <v>MATE</v>
          </cell>
          <cell r="W468" t="str">
            <v>-</v>
          </cell>
          <cell r="X468" t="str">
            <v>24 meses sin abrir a 25 grados centigrados.</v>
          </cell>
          <cell r="Y468" t="str">
            <v>VARIOS</v>
          </cell>
          <cell r="Z468" t="str">
            <v>MONTAJE Y ENSAMBLE DE TORRES DE TRANSMISION TELEFONICA</v>
          </cell>
          <cell r="AA468" t="str">
            <v>RECUBRIR CON ACABADO BRILLANTE B50WSA1</v>
          </cell>
          <cell r="AB468" t="str">
            <v>SORAYA DE QUIJADA</v>
          </cell>
          <cell r="AC468" t="str">
            <v>SEPTIEMBRE 1, 2008</v>
          </cell>
        </row>
        <row r="469">
          <cell r="A469" t="str">
            <v>B50 E SA2</v>
          </cell>
          <cell r="B469" t="str">
            <v>PRIMER NARANJA PARA TORRES DE HIERRO GALVANIZADO</v>
          </cell>
          <cell r="C469" t="str">
            <v>EXTERIOR</v>
          </cell>
          <cell r="D469" t="str">
            <v>HIERRO GALVANIZADO</v>
          </cell>
          <cell r="E469" t="str">
            <v>La superficie debe estar limpia, seca y en buenas condiciones. La limpieza debera ser segun SSPC-SP1 de Preferencia con thinner R7K128 o R7K203.</v>
          </cell>
          <cell r="F469" t="str">
            <v>NINGUNO</v>
          </cell>
          <cell r="G469" t="str">
            <v>9.66 ± 0.2 LBS/GALON</v>
          </cell>
          <cell r="H469" t="str">
            <v>13.8% ± 0.2</v>
          </cell>
          <cell r="I469" t="str">
            <v>49.5% ± 1.0</v>
          </cell>
          <cell r="J469" t="str">
            <v>24.0 % ± 1.0</v>
          </cell>
          <cell r="K469" t="str">
            <v>17.5%</v>
          </cell>
          <cell r="L469" t="str">
            <v>38.75% ± 1.0</v>
          </cell>
          <cell r="M469" t="str">
            <v>110 - 115 KU</v>
          </cell>
          <cell r="N469" t="str">
            <v>BROCHA -PISTOLA</v>
          </cell>
          <cell r="O469" t="str">
            <v>LA NECESARIA</v>
          </cell>
          <cell r="P469" t="str">
            <v>20 % MAX.</v>
          </cell>
          <cell r="Q469" t="str">
            <v>AGUA LIMPIA</v>
          </cell>
          <cell r="R469" t="str">
            <v>1 MILS (25.4  MICRONES)</v>
          </cell>
          <cell r="S469" t="str">
            <v>TOCAR: 30 MIN; RETOCAR: 3 HRS.</v>
          </cell>
          <cell r="T469" t="str">
            <v>-</v>
          </cell>
          <cell r="U469" t="str">
            <v>50-60 Mts2/Galon a 1 mils de espesor de pelicula seca</v>
          </cell>
          <cell r="V469" t="str">
            <v>MATE</v>
          </cell>
          <cell r="W469" t="str">
            <v>-</v>
          </cell>
          <cell r="X469" t="str">
            <v>24 meses sin abrir a 25 grados centigrados.</v>
          </cell>
          <cell r="Y469" t="str">
            <v>VARIOS</v>
          </cell>
          <cell r="Z469" t="str">
            <v>MONTAJE Y ENSAMBLE DE TORRES DE TRANSMISION TELEFONICA</v>
          </cell>
          <cell r="AA469" t="str">
            <v>RECUBRIR CON ACABADO BRILLANTE B50ESA1</v>
          </cell>
          <cell r="AB469" t="str">
            <v>SORAYA DE QUIJADA</v>
          </cell>
          <cell r="AC469" t="str">
            <v>SEPTIEMBRE 1, 2008</v>
          </cell>
        </row>
        <row r="470">
          <cell r="A470" t="str">
            <v>SAA 8012</v>
          </cell>
          <cell r="B470" t="str">
            <v>PRIMER BLANCO PARA TORRES DE HIERRO GALVANIZADO</v>
          </cell>
          <cell r="C470" t="str">
            <v>EXTERIOR</v>
          </cell>
          <cell r="D470" t="str">
            <v>HIERRO GALVANIZADO</v>
          </cell>
          <cell r="E470" t="str">
            <v>La superficie debe estar limpia, seca y en buenas condiciones. La limpieza debera ser segun SSPC-SP1 de Preferencia con thinner R7K128 o R7K203.</v>
          </cell>
          <cell r="F470" t="str">
            <v>NINGUNO</v>
          </cell>
          <cell r="G470" t="str">
            <v>10.99 ± 0.2 LBS/GALON</v>
          </cell>
          <cell r="H470" t="str">
            <v>29.8% ± 0.2</v>
          </cell>
          <cell r="I470" t="str">
            <v>58% ± 1.0</v>
          </cell>
          <cell r="J470" t="str">
            <v>21.0 % ± 1.0</v>
          </cell>
          <cell r="K470" t="str">
            <v>27.7%</v>
          </cell>
          <cell r="L470" t="str">
            <v>44.2% ± 1.0</v>
          </cell>
          <cell r="M470" t="str">
            <v>110 - 115 KU</v>
          </cell>
          <cell r="N470" t="str">
            <v>BROCHA -PISTOLA</v>
          </cell>
          <cell r="O470" t="str">
            <v>LA NECESARIA</v>
          </cell>
          <cell r="P470" t="str">
            <v>20 % MAX.</v>
          </cell>
          <cell r="Q470" t="str">
            <v>AGUA LIMPIA</v>
          </cell>
          <cell r="R470" t="str">
            <v>1 MILS (25.4  MICRONES)</v>
          </cell>
          <cell r="S470" t="str">
            <v>TOCAR: 30 MIN; RETOCAR: 3 HRS.</v>
          </cell>
          <cell r="T470" t="str">
            <v>-</v>
          </cell>
          <cell r="U470" t="str">
            <v>50-60 Mts2/Galon a 1 mils de espesor de pelicula seca</v>
          </cell>
          <cell r="V470" t="str">
            <v>MATE</v>
          </cell>
          <cell r="W470" t="str">
            <v>-</v>
          </cell>
          <cell r="X470" t="str">
            <v>24 meses sin abrir a 25 grados centigrados.</v>
          </cell>
          <cell r="Y470" t="str">
            <v>VARIOS</v>
          </cell>
          <cell r="Z470" t="str">
            <v>MONTAJE Y ENSAMBLE DE TORRES DE TRANSMISION TELEFONICA</v>
          </cell>
          <cell r="AA470" t="str">
            <v>RECUBRIR CON ACABADO BRILLANTE B50WSA1</v>
          </cell>
          <cell r="AB470" t="str">
            <v>SORAYA DE QUIJADA</v>
          </cell>
          <cell r="AC470" t="str">
            <v>SEPTIEMBRE 1, 2008</v>
          </cell>
        </row>
        <row r="471">
          <cell r="A471" t="str">
            <v>SAA 8013</v>
          </cell>
          <cell r="B471" t="str">
            <v>PRIMER NARANJA PARA TORRES DE HIERRO GALVANIZADO</v>
          </cell>
          <cell r="C471" t="str">
            <v>EXTERIOR</v>
          </cell>
          <cell r="D471" t="str">
            <v>HIERRO GALVANIZADO</v>
          </cell>
          <cell r="E471" t="str">
            <v>La superficie debe estar limpia, seca y en buenas condiciones. La limpieza debera ser segun SSPC-SP1 de Preferencia con thinner R7K128 o R7K203.</v>
          </cell>
          <cell r="F471" t="str">
            <v>NINGUNO</v>
          </cell>
          <cell r="G471" t="str">
            <v>9.66 ± 0.2 LBS/GALON</v>
          </cell>
          <cell r="H471" t="str">
            <v>13.8% ± 0.2</v>
          </cell>
          <cell r="I471" t="str">
            <v>49.5% ± 1.0</v>
          </cell>
          <cell r="J471" t="str">
            <v>24.0 % ± 1.0</v>
          </cell>
          <cell r="K471" t="str">
            <v>17.5%</v>
          </cell>
          <cell r="L471" t="str">
            <v>38.75% ± 1.0</v>
          </cell>
          <cell r="M471" t="str">
            <v>110 - 115 KU</v>
          </cell>
          <cell r="N471" t="str">
            <v>BROCHA -PISTOLA</v>
          </cell>
          <cell r="O471" t="str">
            <v>LA NECESARIA</v>
          </cell>
          <cell r="P471" t="str">
            <v>20 % MAX.</v>
          </cell>
          <cell r="Q471" t="str">
            <v>AGUA LIMPIA</v>
          </cell>
          <cell r="R471" t="str">
            <v>1 MILS (25.4  MICRONES)</v>
          </cell>
          <cell r="S471" t="str">
            <v>TOCAR: 30 MIN; RETOCAR: 3 HRS.</v>
          </cell>
          <cell r="T471" t="str">
            <v>-</v>
          </cell>
          <cell r="U471" t="str">
            <v>50-60 Mts2/Galon a 1 mils de espesor de pelicula seca</v>
          </cell>
          <cell r="V471" t="str">
            <v>MATE</v>
          </cell>
          <cell r="W471" t="str">
            <v>-</v>
          </cell>
          <cell r="X471" t="str">
            <v>24 meses sin abrir a 25 grados centigrados.</v>
          </cell>
          <cell r="Y471" t="str">
            <v>VARIOS</v>
          </cell>
          <cell r="Z471" t="str">
            <v>MONTAJE Y ENSAMBLE DE TORRES DE TRANSMISION TELEFONICA</v>
          </cell>
          <cell r="AA471" t="str">
            <v>RECUBRIR CON ACABADO BRILLANTE B50ESA1</v>
          </cell>
          <cell r="AB471" t="str">
            <v>SORAYA DE QUIJADA</v>
          </cell>
          <cell r="AC471" t="str">
            <v>SEPTIEMBRE 1, 2008</v>
          </cell>
        </row>
        <row r="472">
          <cell r="A472" t="str">
            <v>LINEA A33</v>
          </cell>
          <cell r="B472" t="str">
            <v>FLOOR ENAMEL</v>
          </cell>
          <cell r="C472" t="str">
            <v>INTERIOR-EXTERIOR</v>
          </cell>
          <cell r="D472" t="str">
            <v>CONCRETO, METAL Y MADERA</v>
          </cell>
          <cell r="E472" t="str">
            <v>LIMPIA, SECA, LIBRE DE POLVO, GRASA, PINTURA DESCASCARADA</v>
          </cell>
          <cell r="F472" t="str">
            <v>NINGUNO</v>
          </cell>
          <cell r="G472" t="str">
            <v>8.5 ± 0.5 LBS/GALON DEPENDIENDO EL COLOR</v>
          </cell>
          <cell r="H472" t="str">
            <v>20.2% ± 0.2 DEPENDIENDO EL COLOR</v>
          </cell>
          <cell r="I472" t="str">
            <v>47.5 - 52.5 ± 0.5 DEPENDIENDO EL COLOR</v>
          </cell>
          <cell r="J472" t="str">
            <v>-</v>
          </cell>
          <cell r="K472" t="str">
            <v>14.5 - 18.5% DEPENDIENDO EL COLOR</v>
          </cell>
          <cell r="L472" t="str">
            <v>35 - 38 ± 0.5 DEPENDIENDO EL COLOR</v>
          </cell>
          <cell r="M472" t="str">
            <v>70 - 76 KU</v>
          </cell>
          <cell r="N472" t="str">
            <v>BROCHA - RODILLO</v>
          </cell>
          <cell r="O472" t="str">
            <v>-</v>
          </cell>
          <cell r="P472" t="str">
            <v>10 % MAX</v>
          </cell>
          <cell r="Q472" t="str">
            <v>R1K4 Mineral Spirits</v>
          </cell>
          <cell r="R472" t="str">
            <v>1 - 1.5 MILS</v>
          </cell>
          <cell r="S472" t="str">
            <v>SECO TOCAR: 2 HORAS, REPINTAR: 12 HORAS, SECO COMPLETO: 24 HORAS</v>
          </cell>
          <cell r="T472" t="str">
            <v>-</v>
          </cell>
          <cell r="U472" t="str">
            <v>50 - 55 Mts Cuadrados/Gl, Dependiendo de la Superficie.</v>
          </cell>
          <cell r="V472" t="str">
            <v>SATINADO</v>
          </cell>
          <cell r="W472" t="str">
            <v>-</v>
          </cell>
          <cell r="X472" t="str">
            <v>24 MESES</v>
          </cell>
          <cell r="Y472" t="str">
            <v>VARIOS</v>
          </cell>
          <cell r="Z472" t="str">
            <v>PRODUCTO ESPECIAL PARA PANAMA</v>
          </cell>
          <cell r="AA472" t="str">
            <v>-</v>
          </cell>
          <cell r="AB472" t="str">
            <v>Hector Manuel Guerra</v>
          </cell>
          <cell r="AC472" t="str">
            <v>21/12/2010</v>
          </cell>
        </row>
        <row r="473">
          <cell r="A473" t="str">
            <v>LINEA A57</v>
          </cell>
          <cell r="B473" t="str">
            <v>PINTURA PARA TECHOS</v>
          </cell>
          <cell r="C473" t="str">
            <v>INTERIOR-EXTERIOR</v>
          </cell>
          <cell r="D473" t="str">
            <v>METAL, METAL GALVANIZADO, CONCRETO, ASBESTO</v>
          </cell>
          <cell r="E473" t="str">
            <v>La superficie debe estar limpia y seca, libre de grasa, suciedad u óxido</v>
          </cell>
          <cell r="F473" t="str">
            <v>NINGUNO</v>
          </cell>
          <cell r="G473" t="str">
            <v>10-12 LBS/GALON DEPENDIENDO EL COLOR</v>
          </cell>
          <cell r="H473" t="str">
            <v>3-10 % DEPENDIENDO EL COLOR</v>
          </cell>
          <cell r="I473" t="str">
            <v>48-78 % DEPENDIENDO EL COLOR</v>
          </cell>
          <cell r="J473" t="str">
            <v>-</v>
          </cell>
          <cell r="K473" t="str">
            <v>18-48 % DEPENDIENDO EL COLOR</v>
          </cell>
          <cell r="L473" t="str">
            <v>35-55 % DEPENDIENDO EL COLOR</v>
          </cell>
          <cell r="M473" t="str">
            <v>75-80 KU</v>
          </cell>
          <cell r="N473" t="str">
            <v>Brocha, Rodillo, Pistola de Aire</v>
          </cell>
          <cell r="O473" t="str">
            <v>-</v>
          </cell>
          <cell r="P473" t="str">
            <v>10-15 % MAX SEGUN METODO DE APLICACION</v>
          </cell>
          <cell r="Q473" t="str">
            <v>R1K4 Mineral Spirits</v>
          </cell>
          <cell r="R473" t="str">
            <v>1-2 MILS</v>
          </cell>
          <cell r="S473" t="str">
            <v>SECO TOCAR: 2 HORAS, REPINTAR: 4 HORAS, SECO COMPLETO: 12 HORAS</v>
          </cell>
          <cell r="T473" t="str">
            <v>-</v>
          </cell>
          <cell r="U473" t="str">
            <v>55-60 Mts2/Galon a 1 mils de espesor de pelicula seca</v>
          </cell>
          <cell r="V473" t="str">
            <v>MATE</v>
          </cell>
          <cell r="W473" t="str">
            <v>-</v>
          </cell>
          <cell r="X473" t="str">
            <v>24 MESES</v>
          </cell>
          <cell r="Y473" t="str">
            <v>VARIOS</v>
          </cell>
          <cell r="Z473" t="str">
            <v>-</v>
          </cell>
          <cell r="AA473" t="str">
            <v>-</v>
          </cell>
          <cell r="AB473" t="str">
            <v>Hector Manuel Guerra</v>
          </cell>
          <cell r="AC473" t="str">
            <v>22/12/10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 DE ESPECIFICACIONES TECNIC"/>
      <sheetName val="INTRODUCCION DE DATOS"/>
      <sheetName val="LINEA A33"/>
      <sheetName val="B59S8"/>
      <sheetName val="A86YCR11"/>
      <sheetName val="A86WCR12"/>
      <sheetName val="A86WSA7"/>
      <sheetName val="ARMORSEAL 1000"/>
      <sheetName val="B50WSA2"/>
      <sheetName val="B50ESA2"/>
      <sheetName val="SAA 8012"/>
      <sheetName val="SAA 8013"/>
    </sheetNames>
    <sheetDataSet>
      <sheetData sheetId="0"/>
      <sheetData sheetId="1">
        <row r="1">
          <cell r="A1" t="str">
            <v>REX O SAA</v>
          </cell>
          <cell r="B1" t="str">
            <v>NOMBRE DEL PRODUCTO</v>
          </cell>
          <cell r="C1" t="str">
            <v>EXPOSICION</v>
          </cell>
          <cell r="D1" t="str">
            <v>SUPERFICIE A PINTAR</v>
          </cell>
          <cell r="E1" t="str">
            <v>PREPARACION DE LA SUPERFICIE</v>
          </cell>
          <cell r="F1" t="str">
            <v>PRIMER RECOMENDADO</v>
          </cell>
          <cell r="G1" t="str">
            <v>P/G CALCULADO</v>
          </cell>
          <cell r="H1" t="str">
            <v>% DE PIGMENTO</v>
          </cell>
          <cell r="I1" t="str">
            <v>% DE SOL. TOTALES</v>
          </cell>
          <cell r="J1" t="str">
            <v>% DE SOL. DE VEHICULO</v>
          </cell>
          <cell r="K1" t="str">
            <v>CONCENTRACION DE PIG. POR VOLUMEN</v>
          </cell>
          <cell r="L1" t="str">
            <v>VOLUMEN DE SOL. TOTALES</v>
          </cell>
          <cell r="M1" t="str">
            <v>RANGO DE VISCOSIDAD ORIGINAL</v>
          </cell>
          <cell r="N1" t="str">
            <v>METODO DE APLICACIÓN</v>
          </cell>
          <cell r="O1" t="str">
            <v>RANGO DE VISCOSIDAD DE APLICACIÓN</v>
          </cell>
          <cell r="P1" t="str">
            <v>PORCENTAJE DE REDUCCION</v>
          </cell>
          <cell r="Q1" t="str">
            <v>SOLVENTE RECOMENDADO</v>
          </cell>
          <cell r="R1" t="str">
            <v>ESPESOR MIN. DE PELICULA SECA</v>
          </cell>
          <cell r="S1" t="str">
            <v>SECAMIENTO</v>
          </cell>
          <cell r="T1" t="str">
            <v>TIEMPO Y TEMPERATURA DE HORNEO</v>
          </cell>
          <cell r="U1" t="str">
            <v>RENDIMIENTO CALCULADO CON ESPESOR MIN. DE PELICULA SECA</v>
          </cell>
          <cell r="V1" t="str">
            <v>BRILLO (60°)</v>
          </cell>
          <cell r="W1" t="str">
            <v>DUREZA LAPIZ</v>
          </cell>
          <cell r="X1" t="str">
            <v>TIEMPO DE VIDA ENVASADO</v>
          </cell>
          <cell r="Y1" t="str">
            <v>CLIENTE</v>
          </cell>
          <cell r="Z1" t="str">
            <v>PRODUCTO ELABORADO POR EL CLIENTE</v>
          </cell>
          <cell r="AA1" t="str">
            <v>OBSERVACIONES</v>
          </cell>
          <cell r="AB1" t="str">
            <v>ENTREGADO POR</v>
          </cell>
          <cell r="AC1" t="str">
            <v>FECHA DE FABRICACION</v>
          </cell>
        </row>
        <row r="2">
          <cell r="A2" t="str">
            <v>A5V23</v>
          </cell>
          <cell r="B2" t="str">
            <v>Silicone Water Repellent</v>
          </cell>
          <cell r="C2" t="str">
            <v>Interior-Exterior</v>
          </cell>
          <cell r="D2" t="str">
            <v>Pared de Concreto o Ladrillo</v>
          </cell>
          <cell r="E2" t="str">
            <v>Limpia de Polvo</v>
          </cell>
          <cell r="F2" t="str">
            <v>Ninguno</v>
          </cell>
          <cell r="G2" t="str">
            <v>6.65 Lbs/Gl</v>
          </cell>
          <cell r="H2" t="str">
            <v>-</v>
          </cell>
          <cell r="I2" t="str">
            <v>16.0%</v>
          </cell>
          <cell r="J2" t="str">
            <v>-</v>
          </cell>
          <cell r="K2" t="str">
            <v>-</v>
          </cell>
          <cell r="L2" t="str">
            <v>14.68%</v>
          </cell>
          <cell r="M2" t="str">
            <v>A (Gadrner Holt)</v>
          </cell>
          <cell r="N2" t="str">
            <v>Brocha-Pistola</v>
          </cell>
          <cell r="O2" t="str">
            <v>Como Viene</v>
          </cell>
          <cell r="P2" t="str">
            <v>Ninguno</v>
          </cell>
          <cell r="Q2" t="str">
            <v>Ninguno</v>
          </cell>
          <cell r="R2" t="str">
            <v>Penetra a la Superficie Pintada</v>
          </cell>
          <cell r="S2" t="str">
            <v>-</v>
          </cell>
          <cell r="T2" t="str">
            <v>-</v>
          </cell>
          <cell r="U2" t="str">
            <v>-</v>
          </cell>
          <cell r="V2" t="str">
            <v>-</v>
          </cell>
          <cell r="W2" t="str">
            <v>-</v>
          </cell>
          <cell r="X2" t="str">
            <v>1-2 Años</v>
          </cell>
          <cell r="Y2" t="str">
            <v>Warner Lambert-Guatemala</v>
          </cell>
          <cell r="Z2" t="str">
            <v>-</v>
          </cell>
          <cell r="AA2" t="str">
            <v>-</v>
          </cell>
          <cell r="AB2" t="str">
            <v>-</v>
          </cell>
          <cell r="AC2" t="str">
            <v>S/F</v>
          </cell>
        </row>
        <row r="3">
          <cell r="A3" t="str">
            <v>A86WSA10</v>
          </cell>
          <cell r="B3" t="str">
            <v>White Traffic Paint Zone Paint Type III</v>
          </cell>
          <cell r="C3" t="str">
            <v>Interior-Exterior</v>
          </cell>
          <cell r="D3" t="str">
            <v>Pavimento, Asfalto, Concreto</v>
          </cell>
          <cell r="E3" t="str">
            <v>Limpieza</v>
          </cell>
          <cell r="F3" t="str">
            <v>Ninguno</v>
          </cell>
          <cell r="G3" t="str">
            <v>13.18 Lbs/Gl</v>
          </cell>
          <cell r="H3" t="str">
            <v>55.2%</v>
          </cell>
          <cell r="I3" t="str">
            <v>77.46%</v>
          </cell>
          <cell r="J3" t="str">
            <v>22.3%</v>
          </cell>
          <cell r="K3" t="str">
            <v>52.19%</v>
          </cell>
          <cell r="L3" t="str">
            <v>51.85%</v>
          </cell>
          <cell r="M3" t="str">
            <v>70-80 KU (Stormer)</v>
          </cell>
          <cell r="N3" t="str">
            <v>Brocha-Pistola-Rodillo</v>
          </cell>
          <cell r="O3" t="str">
            <v>70-80 KU</v>
          </cell>
          <cell r="P3" t="str">
            <v>0-25%</v>
          </cell>
          <cell r="Q3" t="str">
            <v>VMP Naphtha</v>
          </cell>
          <cell r="R3" t="str">
            <v>10-15 mills</v>
          </cell>
          <cell r="S3" t="str">
            <v>10-15 min</v>
          </cell>
          <cell r="T3" t="str">
            <v>-</v>
          </cell>
          <cell r="U3" t="str">
            <v>-</v>
          </cell>
          <cell r="V3" t="str">
            <v>Mate</v>
          </cell>
          <cell r="W3" t="str">
            <v>-</v>
          </cell>
          <cell r="X3" t="str">
            <v>12 meses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S/F</v>
          </cell>
        </row>
        <row r="4">
          <cell r="A4" t="str">
            <v>A86WSA12</v>
          </cell>
          <cell r="B4" t="str">
            <v>Traffic Paint White TTP 115D Type III</v>
          </cell>
          <cell r="C4" t="str">
            <v>Exterior</v>
          </cell>
          <cell r="D4" t="str">
            <v>Pavimento, Asfalto, Concreto</v>
          </cell>
          <cell r="E4" t="str">
            <v>Limpieza</v>
          </cell>
          <cell r="F4" t="str">
            <v>Ninguno</v>
          </cell>
          <cell r="G4" t="str">
            <v>13.25 Lbs/Gl</v>
          </cell>
          <cell r="H4" t="str">
            <v>57.0%</v>
          </cell>
          <cell r="I4" t="str">
            <v>75.0%</v>
          </cell>
          <cell r="J4" t="str">
            <v>43.0%</v>
          </cell>
          <cell r="K4" t="str">
            <v>58.7%</v>
          </cell>
          <cell r="L4" t="str">
            <v>49.4%</v>
          </cell>
          <cell r="M4" t="str">
            <v>70-80 KU (Stormer)</v>
          </cell>
          <cell r="N4" t="str">
            <v>Maquina Demarcadora</v>
          </cell>
          <cell r="O4" t="str">
            <v>70-80 KU</v>
          </cell>
          <cell r="P4" t="str">
            <v>Ninguno</v>
          </cell>
          <cell r="Q4" t="str">
            <v>-</v>
          </cell>
          <cell r="R4" t="str">
            <v>10-15 mills</v>
          </cell>
          <cell r="S4" t="str">
            <v>10-15 min</v>
          </cell>
          <cell r="T4" t="str">
            <v>-</v>
          </cell>
          <cell r="U4" t="str">
            <v>-</v>
          </cell>
          <cell r="V4" t="str">
            <v>Mate</v>
          </cell>
          <cell r="W4" t="str">
            <v>-</v>
          </cell>
          <cell r="X4" t="str">
            <v>12 meses</v>
          </cell>
          <cell r="Y4" t="str">
            <v>Ministerio de Obras Publicas De El Salvador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S/F</v>
          </cell>
        </row>
        <row r="5">
          <cell r="A5" t="str">
            <v>A86YSA10</v>
          </cell>
          <cell r="B5" t="str">
            <v>Yellow Traffic Zone Paint III</v>
          </cell>
          <cell r="C5" t="str">
            <v>Interior-Exterior</v>
          </cell>
          <cell r="D5" t="str">
            <v>Pavimento, Asfalto, Concreto</v>
          </cell>
          <cell r="E5" t="str">
            <v>Limpieza</v>
          </cell>
          <cell r="F5" t="str">
            <v>Ninguno</v>
          </cell>
          <cell r="G5" t="str">
            <v>13.38 Lbs/gl</v>
          </cell>
          <cell r="H5" t="str">
            <v>55.9%</v>
          </cell>
          <cell r="I5" t="str">
            <v>77.36%</v>
          </cell>
          <cell r="J5" t="str">
            <v>21.5%</v>
          </cell>
          <cell r="K5" t="str">
            <v>51.65%</v>
          </cell>
          <cell r="L5" t="str">
            <v>55.08%</v>
          </cell>
          <cell r="M5" t="str">
            <v>70-80 KU (Stormer)</v>
          </cell>
          <cell r="N5" t="str">
            <v>Brocha-Pistola-Rodillo</v>
          </cell>
          <cell r="O5" t="str">
            <v>70-80 KU</v>
          </cell>
          <cell r="P5" t="str">
            <v>0-25%</v>
          </cell>
          <cell r="Q5" t="str">
            <v>VMP Naphtha</v>
          </cell>
          <cell r="R5" t="str">
            <v>10-15 mills</v>
          </cell>
          <cell r="S5" t="str">
            <v>10-15 min</v>
          </cell>
          <cell r="T5" t="str">
            <v>-</v>
          </cell>
          <cell r="U5" t="str">
            <v>-</v>
          </cell>
          <cell r="V5" t="str">
            <v>Mate</v>
          </cell>
          <cell r="W5" t="str">
            <v>-</v>
          </cell>
          <cell r="X5" t="str">
            <v>12 meses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S/F</v>
          </cell>
        </row>
        <row r="6">
          <cell r="A6" t="str">
            <v>A86YSA11</v>
          </cell>
          <cell r="B6" t="str">
            <v>Traffic Paint Yellow TTP115D Type III</v>
          </cell>
          <cell r="C6" t="str">
            <v>Exterior</v>
          </cell>
          <cell r="D6" t="str">
            <v>Pavimento, Asfalto, Concreto</v>
          </cell>
          <cell r="E6" t="str">
            <v>Limpieza</v>
          </cell>
          <cell r="F6" t="str">
            <v>Ninguno</v>
          </cell>
          <cell r="G6" t="str">
            <v>13.42 Lbs/Gl</v>
          </cell>
          <cell r="H6" t="str">
            <v>57.0%</v>
          </cell>
          <cell r="I6" t="str">
            <v>75.0%</v>
          </cell>
          <cell r="J6" t="str">
            <v>43.0%</v>
          </cell>
          <cell r="K6" t="str">
            <v>49.0%</v>
          </cell>
          <cell r="L6" t="str">
            <v>48.0%</v>
          </cell>
          <cell r="M6" t="str">
            <v>70-80 KU (Stormer)</v>
          </cell>
          <cell r="N6" t="str">
            <v>Maquina Demarcadora</v>
          </cell>
          <cell r="O6" t="str">
            <v>70-80 KU</v>
          </cell>
          <cell r="P6" t="str">
            <v>Ninguno</v>
          </cell>
          <cell r="Q6" t="str">
            <v>-</v>
          </cell>
          <cell r="R6" t="str">
            <v>10-15 mills</v>
          </cell>
          <cell r="S6" t="str">
            <v>10-15 min</v>
          </cell>
          <cell r="T6" t="str">
            <v>-</v>
          </cell>
          <cell r="U6" t="str">
            <v>-</v>
          </cell>
          <cell r="V6" t="str">
            <v>Mate</v>
          </cell>
          <cell r="W6" t="str">
            <v>-</v>
          </cell>
          <cell r="X6" t="str">
            <v>12 meses</v>
          </cell>
          <cell r="Y6" t="str">
            <v>Sherwin Williams de Costa Rica</v>
          </cell>
          <cell r="Z6" t="str">
            <v>-</v>
          </cell>
          <cell r="AA6" t="str">
            <v>-</v>
          </cell>
          <cell r="AB6" t="str">
            <v>-</v>
          </cell>
          <cell r="AC6" t="str">
            <v>S/F</v>
          </cell>
        </row>
        <row r="7">
          <cell r="A7" t="str">
            <v>A95GSA8</v>
          </cell>
          <cell r="B7" t="str">
            <v>Pintura Especial Para Laminas se Asbesto Verde</v>
          </cell>
          <cell r="C7" t="str">
            <v>Exterior</v>
          </cell>
          <cell r="D7" t="str">
            <v>Laminas de Asbesto Cemento</v>
          </cell>
          <cell r="E7" t="str">
            <v>Lijada, Libre de Polvo y Seca</v>
          </cell>
          <cell r="F7" t="str">
            <v>-</v>
          </cell>
          <cell r="G7" t="str">
            <v>10.72 Lbs/Gl</v>
          </cell>
          <cell r="H7" t="str">
            <v>30.9%</v>
          </cell>
          <cell r="I7" t="str">
            <v>48.8%</v>
          </cell>
          <cell r="J7" t="str">
            <v>17.9%</v>
          </cell>
          <cell r="K7" t="str">
            <v>13.6%</v>
          </cell>
          <cell r="L7" t="str">
            <v>35.0%</v>
          </cell>
          <cell r="M7" t="str">
            <v>20"-22" Copa SW #4</v>
          </cell>
          <cell r="N7" t="str">
            <v>Pistola Airless 30-35 Libras de Presión</v>
          </cell>
          <cell r="O7" t="str">
            <v>-</v>
          </cell>
          <cell r="P7" t="str">
            <v>25% con Agua</v>
          </cell>
          <cell r="Q7" t="str">
            <v>Agua Corriente</v>
          </cell>
          <cell r="R7" t="str">
            <v>5 mills</v>
          </cell>
          <cell r="S7" t="str">
            <v>Al Aire</v>
          </cell>
          <cell r="T7" t="str">
            <v>No recomendado</v>
          </cell>
          <cell r="U7" t="str">
            <v>45-55 Mts cuadrados por Galón</v>
          </cell>
          <cell r="V7" t="str">
            <v>Mate</v>
          </cell>
          <cell r="W7" t="str">
            <v>-</v>
          </cell>
          <cell r="X7" t="str">
            <v>1-2 Años</v>
          </cell>
          <cell r="Y7" t="str">
            <v>-</v>
          </cell>
          <cell r="Z7" t="str">
            <v>Laminas de Asbesto</v>
          </cell>
          <cell r="AA7" t="str">
            <v>-</v>
          </cell>
          <cell r="AB7" t="str">
            <v>-</v>
          </cell>
          <cell r="AC7" t="str">
            <v>S/F</v>
          </cell>
        </row>
        <row r="8">
          <cell r="A8" t="str">
            <v>A95RSA1</v>
          </cell>
          <cell r="B8" t="str">
            <v>Pintura Especial Para Laminas se Asbesto Rojo</v>
          </cell>
          <cell r="C8" t="str">
            <v>Exterior</v>
          </cell>
          <cell r="D8" t="str">
            <v>Laminas de Asbesto Cemento</v>
          </cell>
          <cell r="E8" t="str">
            <v>Lijada, Libre de Polvo y Seca</v>
          </cell>
          <cell r="F8" t="str">
            <v>-</v>
          </cell>
          <cell r="G8" t="str">
            <v>10.86 Lbs/Gl</v>
          </cell>
          <cell r="H8" t="str">
            <v>31.8%</v>
          </cell>
          <cell r="I8" t="str">
            <v>49.5%</v>
          </cell>
          <cell r="J8" t="str">
            <v>17.7%</v>
          </cell>
          <cell r="K8" t="str">
            <v>13.6%</v>
          </cell>
          <cell r="L8" t="str">
            <v>35.0 %</v>
          </cell>
          <cell r="M8" t="str">
            <v>20"-22" Copa SW #4</v>
          </cell>
          <cell r="N8" t="str">
            <v>Pistola Airless 30-35 Libras de Presión</v>
          </cell>
          <cell r="O8" t="str">
            <v>-</v>
          </cell>
          <cell r="P8" t="str">
            <v>25% con Agua</v>
          </cell>
          <cell r="Q8" t="str">
            <v>Agua Corriente</v>
          </cell>
          <cell r="R8" t="str">
            <v>5 mills</v>
          </cell>
          <cell r="S8" t="str">
            <v>Al Aire</v>
          </cell>
          <cell r="T8" t="str">
            <v>No recomendado</v>
          </cell>
          <cell r="U8" t="str">
            <v>45-55 Mts cuadrados por Galón</v>
          </cell>
          <cell r="V8" t="str">
            <v>Mate</v>
          </cell>
          <cell r="W8" t="str">
            <v>-</v>
          </cell>
          <cell r="X8" t="str">
            <v>1-2 Años</v>
          </cell>
          <cell r="Y8" t="str">
            <v>-</v>
          </cell>
          <cell r="Z8" t="str">
            <v>Laminas de Asbesto</v>
          </cell>
          <cell r="AA8" t="str">
            <v>-</v>
          </cell>
          <cell r="AB8" t="str">
            <v>-</v>
          </cell>
          <cell r="AC8" t="str">
            <v>S/F</v>
          </cell>
        </row>
        <row r="9">
          <cell r="A9" t="str">
            <v>A95RSA4</v>
          </cell>
          <cell r="B9" t="str">
            <v>Pintura Especial Rojo Para Techos de Fibrocemento</v>
          </cell>
          <cell r="C9" t="str">
            <v>Exterior</v>
          </cell>
          <cell r="D9" t="str">
            <v>Fibrocemento</v>
          </cell>
          <cell r="E9" t="str">
            <v>Lijada, Libre de Polvo y Seca</v>
          </cell>
          <cell r="F9" t="str">
            <v>-</v>
          </cell>
          <cell r="G9" t="str">
            <v>10.93 Lbs/Gl</v>
          </cell>
          <cell r="H9" t="str">
            <v>31.8%</v>
          </cell>
          <cell r="I9" t="str">
            <v>49.5%</v>
          </cell>
          <cell r="J9" t="str">
            <v>17.7%</v>
          </cell>
          <cell r="K9" t="str">
            <v>13.6%</v>
          </cell>
          <cell r="L9" t="str">
            <v>35.0 %</v>
          </cell>
          <cell r="M9" t="str">
            <v>79-85 KU</v>
          </cell>
          <cell r="N9" t="str">
            <v>Pistola Airless 30-35 Libras de Presión</v>
          </cell>
          <cell r="O9" t="str">
            <v>-</v>
          </cell>
          <cell r="P9" t="str">
            <v>25% con Agua</v>
          </cell>
          <cell r="Q9" t="str">
            <v>Agua Corriente</v>
          </cell>
          <cell r="R9" t="str">
            <v>5 mills</v>
          </cell>
          <cell r="S9" t="str">
            <v>Al Aire</v>
          </cell>
          <cell r="T9" t="str">
            <v>No recomendado</v>
          </cell>
          <cell r="U9" t="str">
            <v>45-55 Mts cuadrados por Galón</v>
          </cell>
          <cell r="V9" t="str">
            <v>Mate</v>
          </cell>
          <cell r="W9" t="str">
            <v>-</v>
          </cell>
          <cell r="X9" t="str">
            <v>1-2 Años</v>
          </cell>
          <cell r="Y9" t="str">
            <v>EUREKA</v>
          </cell>
          <cell r="Z9" t="str">
            <v>Techos de Fibrocemento</v>
          </cell>
          <cell r="AA9" t="str">
            <v>-</v>
          </cell>
          <cell r="AB9" t="str">
            <v>-</v>
          </cell>
          <cell r="AC9" t="str">
            <v>S/F</v>
          </cell>
        </row>
        <row r="10">
          <cell r="A10" t="str">
            <v>A95W91</v>
          </cell>
          <cell r="B10" t="str">
            <v>Kem Pared-Ex Blanco</v>
          </cell>
          <cell r="C10" t="str">
            <v>Exterior</v>
          </cell>
          <cell r="D10" t="str">
            <v>Cemento, Ladrillo, Asbesto, Etc</v>
          </cell>
          <cell r="E10" t="str">
            <v>Superficie Seca y Limpia</v>
          </cell>
          <cell r="F10" t="str">
            <v>Ninguno</v>
          </cell>
          <cell r="G10" t="str">
            <v>11.29 Lbs/Gl</v>
          </cell>
          <cell r="H10" t="str">
            <v>-</v>
          </cell>
          <cell r="I10" t="str">
            <v>51.0%</v>
          </cell>
          <cell r="J10" t="str">
            <v>-</v>
          </cell>
          <cell r="K10" t="str">
            <v>-</v>
          </cell>
          <cell r="L10" t="str">
            <v>35%</v>
          </cell>
          <cell r="M10" t="str">
            <v>20"-22" Copa SW #4</v>
          </cell>
          <cell r="N10" t="str">
            <v>Brocha-Rodillo</v>
          </cell>
          <cell r="O10" t="str">
            <v>El mismo</v>
          </cell>
          <cell r="P10" t="str">
            <v>Ninguno</v>
          </cell>
          <cell r="Q10" t="str">
            <v>-</v>
          </cell>
          <cell r="R10" t="str">
            <v>5 mills</v>
          </cell>
          <cell r="S10" t="str">
            <v>Al aire</v>
          </cell>
          <cell r="T10" t="str">
            <v>-</v>
          </cell>
          <cell r="U10" t="str">
            <v>50 Mts cuadrados/Gl</v>
          </cell>
          <cell r="V10" t="str">
            <v>Mate</v>
          </cell>
          <cell r="W10" t="str">
            <v>-</v>
          </cell>
          <cell r="X10" t="str">
            <v>1-2 Años</v>
          </cell>
          <cell r="Y10" t="str">
            <v>Warner Lambert-Guatemala</v>
          </cell>
          <cell r="Z10" t="str">
            <v>-</v>
          </cell>
          <cell r="AA10" t="str">
            <v>-</v>
          </cell>
          <cell r="AB10" t="str">
            <v>-</v>
          </cell>
          <cell r="AC10" t="str">
            <v>S/F</v>
          </cell>
        </row>
        <row r="11">
          <cell r="A11" t="str">
            <v>A99LSA2</v>
          </cell>
          <cell r="B11" t="str">
            <v>Anticorrosivo Azul Shell</v>
          </cell>
          <cell r="C11" t="str">
            <v>Exterior</v>
          </cell>
          <cell r="D11" t="str">
            <v>Hierro-Metal</v>
          </cell>
          <cell r="E11" t="str">
            <v>Limpieza y Libre de Corrosión</v>
          </cell>
          <cell r="F11" t="str">
            <v>Ninguno</v>
          </cell>
          <cell r="G11" t="str">
            <v>10.04 Lbs/Gl</v>
          </cell>
          <cell r="H11" t="str">
            <v>35.71%</v>
          </cell>
          <cell r="I11" t="str">
            <v>54.31%</v>
          </cell>
          <cell r="J11" t="str">
            <v>45.69%</v>
          </cell>
          <cell r="K11" t="str">
            <v>43.77%</v>
          </cell>
          <cell r="L11" t="str">
            <v>35.83%</v>
          </cell>
          <cell r="M11" t="str">
            <v>85-90 KU</v>
          </cell>
          <cell r="N11" t="str">
            <v>Brocha-Pistola</v>
          </cell>
          <cell r="O11" t="str">
            <v>Pistola: 18"-20" Copa Zanh #2</v>
          </cell>
          <cell r="P11" t="str">
            <v>Pistola : 25%</v>
          </cell>
          <cell r="Q11" t="str">
            <v>R1K3 VM&amp;P Nafta</v>
          </cell>
          <cell r="R11" t="str">
            <v>2 mills</v>
          </cell>
          <cell r="S11" t="str">
            <v>3-4 Horas</v>
          </cell>
          <cell r="T11" t="str">
            <v>-</v>
          </cell>
          <cell r="U11" t="str">
            <v>26.5 Mts Cuadrados/Gl</v>
          </cell>
          <cell r="V11" t="str">
            <v>Mate. 0-5 unidades</v>
          </cell>
          <cell r="W11" t="str">
            <v>-</v>
          </cell>
          <cell r="X11" t="str">
            <v>1 Año</v>
          </cell>
          <cell r="Y11" t="str">
            <v>-</v>
          </cell>
          <cell r="Z11" t="str">
            <v>-</v>
          </cell>
          <cell r="AA11" t="str">
            <v>-</v>
          </cell>
          <cell r="AB11" t="str">
            <v>Audrey de Morales</v>
          </cell>
          <cell r="AC11" t="str">
            <v>S/F</v>
          </cell>
        </row>
        <row r="12">
          <cell r="A12" t="str">
            <v>A99NSA11</v>
          </cell>
          <cell r="B12" t="str">
            <v>Colonial Anticorrosivo Rojo 2414</v>
          </cell>
          <cell r="C12" t="str">
            <v>Interior-Exterior</v>
          </cell>
          <cell r="D12" t="str">
            <v>Hierro-Acero</v>
          </cell>
          <cell r="E12" t="str">
            <v>Lijada, Limpia, Sin óxido y Seca</v>
          </cell>
          <cell r="F12" t="str">
            <v>-</v>
          </cell>
          <cell r="G12" t="str">
            <v>10.18 Lbs/Gl</v>
          </cell>
          <cell r="H12" t="str">
            <v>36.9%</v>
          </cell>
          <cell r="I12" t="str">
            <v>55.9%</v>
          </cell>
          <cell r="J12" t="str">
            <v>19.0%</v>
          </cell>
          <cell r="K12" t="str">
            <v>16.2%</v>
          </cell>
          <cell r="L12" t="str">
            <v>37.3%</v>
          </cell>
          <cell r="M12" t="str">
            <v>40-50 seg. Copa SW #3</v>
          </cell>
          <cell r="N12" t="str">
            <v>Brocha-Rodillo-Pistola</v>
          </cell>
          <cell r="O12" t="str">
            <v>-</v>
          </cell>
          <cell r="P12" t="str">
            <v>Ninguna ó 25% con R1K3</v>
          </cell>
          <cell r="Q12" t="str">
            <v>R1K3</v>
          </cell>
          <cell r="R12" t="str">
            <v>2 mills</v>
          </cell>
          <cell r="S12" t="str">
            <v>Al Aire</v>
          </cell>
          <cell r="U12" t="str">
            <v>40-45 Mts Cuadrados/Gl</v>
          </cell>
          <cell r="V12" t="str">
            <v>-</v>
          </cell>
          <cell r="W12" t="str">
            <v>-</v>
          </cell>
          <cell r="X12" t="str">
            <v>1 a 2 años</v>
          </cell>
          <cell r="Y12" t="str">
            <v>Marina Industrial</v>
          </cell>
          <cell r="Z12" t="str">
            <v>-</v>
          </cell>
          <cell r="AA12" t="str">
            <v>-</v>
          </cell>
          <cell r="AB12" t="str">
            <v>-</v>
          </cell>
          <cell r="AC12" t="str">
            <v>S/F</v>
          </cell>
        </row>
        <row r="13">
          <cell r="A13" t="str">
            <v>B24WSA1 (1)</v>
          </cell>
          <cell r="B13" t="str">
            <v>Sellador Rellenador Especial Para Fibrolit</v>
          </cell>
          <cell r="C13" t="str">
            <v>Interiores</v>
          </cell>
          <cell r="D13" t="str">
            <v>Fibrocemento</v>
          </cell>
          <cell r="E13" t="str">
            <v>Libre de Polvo y otras Sustancias</v>
          </cell>
          <cell r="F13" t="str">
            <v>Ninguno</v>
          </cell>
          <cell r="G13" t="str">
            <v>12.27 Lbs/Gl</v>
          </cell>
          <cell r="H13" t="str">
            <v>69.2%</v>
          </cell>
          <cell r="I13" t="str">
            <v>46%</v>
          </cell>
          <cell r="J13" t="str">
            <v>55%</v>
          </cell>
          <cell r="K13" t="str">
            <v>51%</v>
          </cell>
          <cell r="L13" t="str">
            <v>30%</v>
          </cell>
          <cell r="M13" t="str">
            <v>20,000-25,000 CPS</v>
          </cell>
          <cell r="N13" t="str">
            <v>Espátula-Wipe</v>
          </cell>
          <cell r="O13" t="str">
            <v>20,000-25,000 CPS</v>
          </cell>
          <cell r="P13" t="str">
            <v>Ninguno</v>
          </cell>
          <cell r="Q13" t="str">
            <v>Ninguno</v>
          </cell>
          <cell r="R13" t="str">
            <v>-</v>
          </cell>
          <cell r="S13" t="str">
            <v>Al Aire 20-30 Min.</v>
          </cell>
          <cell r="T13" t="str">
            <v>-</v>
          </cell>
          <cell r="U13" t="str">
            <v>9 Mts Cuadrados/Gl a 4 mills Seco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Constructora Orion</v>
          </cell>
          <cell r="Z13" t="str">
            <v>Fibrocemento</v>
          </cell>
          <cell r="AA13" t="str">
            <v>Este Producto debe ser Lijado.</v>
          </cell>
          <cell r="AB13" t="str">
            <v>Rene Ferrufino</v>
          </cell>
          <cell r="AC13" t="str">
            <v>S/F</v>
          </cell>
        </row>
        <row r="14">
          <cell r="A14" t="str">
            <v>B42W46</v>
          </cell>
          <cell r="B14" t="str">
            <v>Heavy Duty Block Filler</v>
          </cell>
          <cell r="C14" t="str">
            <v>Medio Ambiente con Moderadas Condiciones</v>
          </cell>
          <cell r="D14" t="str">
            <v>Bloques de Concreto</v>
          </cell>
          <cell r="E14" t="str">
            <v>Libre de Suciedad</v>
          </cell>
          <cell r="F14" t="str">
            <v>Ninguno</v>
          </cell>
          <cell r="G14" t="str">
            <v>14.6 Lbs/Gl</v>
          </cell>
          <cell r="H14" t="str">
            <v>69.05%</v>
          </cell>
          <cell r="I14" t="str">
            <v>76%-80%</v>
          </cell>
          <cell r="J14" t="str">
            <v>8.92%</v>
          </cell>
          <cell r="K14" t="str">
            <v>75.9%</v>
          </cell>
          <cell r="L14" t="str">
            <v>58%-62%</v>
          </cell>
          <cell r="M14" t="str">
            <v>100-120</v>
          </cell>
          <cell r="N14" t="str">
            <v>Brocha, Rodillo y Sistema Convencional de Spray</v>
          </cell>
          <cell r="O14" t="str">
            <v>100-120</v>
          </cell>
          <cell r="P14" t="str">
            <v>-</v>
          </cell>
          <cell r="Q14" t="str">
            <v>Agua</v>
          </cell>
          <cell r="R14" t="str">
            <v>10 mills</v>
          </cell>
          <cell r="S14" t="str">
            <v>77°F &amp; 50% H:R a 17 mills Wet: Seco Tocar: 1 Hora.</v>
          </cell>
          <cell r="T14" t="str">
            <v>-</v>
          </cell>
          <cell r="U14" t="str">
            <v>96 Pies Cuadrados/Gl</v>
          </cell>
          <cell r="V14" t="str">
            <v>-</v>
          </cell>
          <cell r="W14" t="str">
            <v>-</v>
          </cell>
          <cell r="X14" t="str">
            <v>36 meses cerrado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S/F</v>
          </cell>
        </row>
        <row r="15">
          <cell r="A15" t="str">
            <v>B45W3</v>
          </cell>
          <cell r="B15" t="str">
            <v>Fast Dry Latex Wall Primer</v>
          </cell>
          <cell r="C15" t="str">
            <v>Interior-Exterior</v>
          </cell>
          <cell r="D15" t="str">
            <v>Pared Yesada o Asbesto</v>
          </cell>
          <cell r="E15" t="str">
            <v>Limpiar con Agua y Jabón</v>
          </cell>
          <cell r="F15" t="str">
            <v>Ninguno</v>
          </cell>
          <cell r="G15" t="str">
            <v>10.53 Lbs/Gl</v>
          </cell>
          <cell r="H15" t="str">
            <v>28%</v>
          </cell>
          <cell r="I15" t="str">
            <v>43%</v>
          </cell>
          <cell r="J15" t="str">
            <v>55%</v>
          </cell>
          <cell r="K15" t="str">
            <v>42%</v>
          </cell>
          <cell r="L15" t="str">
            <v>27%</v>
          </cell>
          <cell r="M15" t="str">
            <v>3,100-2,700 cps</v>
          </cell>
          <cell r="N15" t="str">
            <v>Brocha-Rodillo</v>
          </cell>
          <cell r="O15" t="str">
            <v>1,400-1,800 cps</v>
          </cell>
          <cell r="P15" t="str">
            <v>Ninguno</v>
          </cell>
          <cell r="Q15" t="str">
            <v>Ninguno</v>
          </cell>
          <cell r="R15" t="str">
            <v>1.5 mills</v>
          </cell>
          <cell r="S15" t="str">
            <v>Al Aire</v>
          </cell>
          <cell r="T15" t="str">
            <v>Ninguno</v>
          </cell>
          <cell r="U15" t="str">
            <v>63 M2</v>
          </cell>
          <cell r="V15" t="str">
            <v>Mate</v>
          </cell>
          <cell r="W15" t="str">
            <v>-</v>
          </cell>
          <cell r="X15" t="str">
            <v>-</v>
          </cell>
          <cell r="Y15" t="str">
            <v>Sr. Richard Tisson (Betel Testigos de Jehova)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S/F</v>
          </cell>
        </row>
        <row r="16">
          <cell r="A16" t="str">
            <v>B53WW5</v>
          </cell>
          <cell r="B16" t="str">
            <v>Tank Enamel Chalking White</v>
          </cell>
          <cell r="C16" t="str">
            <v>Exterior</v>
          </cell>
          <cell r="D16" t="str">
            <v>Hierro</v>
          </cell>
          <cell r="E16" t="str">
            <v>Limpia (Libre de Suciedad y Oxido)</v>
          </cell>
          <cell r="F16" t="str">
            <v>E41N1</v>
          </cell>
          <cell r="G16" t="str">
            <v>9.48 Lbs/Gl</v>
          </cell>
          <cell r="H16" t="str">
            <v>27.57%</v>
          </cell>
          <cell r="I16" t="str">
            <v>64.05%</v>
          </cell>
          <cell r="J16" t="str">
            <v>36.47%</v>
          </cell>
          <cell r="K16" t="str">
            <v>18.90%</v>
          </cell>
          <cell r="L16" t="str">
            <v>46.74%</v>
          </cell>
          <cell r="M16" t="str">
            <v>75-85 KU (Stormer)</v>
          </cell>
          <cell r="N16" t="str">
            <v>Brocha, Rodillo y Pistola (Spray Convencional)</v>
          </cell>
          <cell r="O16" t="str">
            <v>75-85 KU</v>
          </cell>
          <cell r="P16" t="str">
            <v>Pistola hasta un 10%</v>
          </cell>
          <cell r="Q16" t="str">
            <v>R1K4</v>
          </cell>
          <cell r="R16" t="str">
            <v>5 mills</v>
          </cell>
          <cell r="S16" t="str">
            <v>Seco Tocar: 2-4 Horas; Seco Completo: 24 Horas</v>
          </cell>
          <cell r="T16" t="str">
            <v>-</v>
          </cell>
          <cell r="U16" t="str">
            <v>(5 mills DFT) 14 Mts Cuadrados</v>
          </cell>
          <cell r="V16" t="str">
            <v>75-95</v>
          </cell>
          <cell r="W16" t="str">
            <v>-</v>
          </cell>
          <cell r="X16" t="str">
            <v>36 meses cerrado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Andrés Mauricio Houdelot</v>
          </cell>
          <cell r="AC16" t="str">
            <v>S/F</v>
          </cell>
        </row>
        <row r="17">
          <cell r="A17" t="str">
            <v>B5W57</v>
          </cell>
          <cell r="B17" t="str">
            <v>Excello Latex Acrilico Blanco</v>
          </cell>
          <cell r="C17" t="str">
            <v>Interior-Exterior</v>
          </cell>
          <cell r="D17" t="str">
            <v>Concreto-Madera-Estuco</v>
          </cell>
          <cell r="E17" t="str">
            <v>Superficie Seca y Limpia</v>
          </cell>
          <cell r="F17" t="str">
            <v>A71WSA4 para pintar sobre madera</v>
          </cell>
          <cell r="G17" t="str">
            <v>11.34 Lbs/Gl</v>
          </cell>
          <cell r="H17" t="str">
            <v>-</v>
          </cell>
          <cell r="I17" t="str">
            <v>49.3%</v>
          </cell>
          <cell r="J17" t="str">
            <v>-</v>
          </cell>
          <cell r="K17" t="str">
            <v>-</v>
          </cell>
          <cell r="L17" t="str">
            <v>32.2%</v>
          </cell>
          <cell r="M17" t="str">
            <v>25"-30" Copa SW #4</v>
          </cell>
          <cell r="N17" t="str">
            <v>Brocha-Rodillo</v>
          </cell>
          <cell r="O17" t="str">
            <v>15"-20"</v>
          </cell>
          <cell r="P17" t="str">
            <v>25%</v>
          </cell>
          <cell r="Q17" t="str">
            <v>Agua</v>
          </cell>
          <cell r="R17" t="str">
            <v>5 mills</v>
          </cell>
          <cell r="S17" t="str">
            <v>Al aire</v>
          </cell>
          <cell r="T17" t="str">
            <v>-</v>
          </cell>
          <cell r="U17" t="str">
            <v>Hasta 60 Mts cuadrados/Gl</v>
          </cell>
          <cell r="V17" t="str">
            <v>Mate</v>
          </cell>
          <cell r="W17" t="str">
            <v>-</v>
          </cell>
          <cell r="X17" t="str">
            <v>1-2 Años</v>
          </cell>
          <cell r="Y17" t="str">
            <v>Warner Lambert-Guatemala</v>
          </cell>
          <cell r="Z17" t="str">
            <v>-</v>
          </cell>
          <cell r="AA17" t="str">
            <v>-</v>
          </cell>
          <cell r="AB17" t="str">
            <v>-</v>
          </cell>
          <cell r="AC17" t="str">
            <v>S/F</v>
          </cell>
        </row>
        <row r="18">
          <cell r="A18" t="str">
            <v>B60FSA2</v>
          </cell>
          <cell r="B18" t="str">
            <v>Catalizador Para Tile Clad II Brillante</v>
          </cell>
          <cell r="C18" t="str">
            <v>-</v>
          </cell>
          <cell r="D18" t="str">
            <v>-</v>
          </cell>
          <cell r="E18" t="str">
            <v>-</v>
          </cell>
          <cell r="F18" t="str">
            <v>-</v>
          </cell>
          <cell r="G18" t="str">
            <v>8.77 Lbs/Gl</v>
          </cell>
          <cell r="H18" t="str">
            <v>-</v>
          </cell>
          <cell r="I18" t="str">
            <v>63.2%</v>
          </cell>
          <cell r="J18" t="str">
            <v>75%</v>
          </cell>
          <cell r="K18" t="str">
            <v>-</v>
          </cell>
          <cell r="L18" t="str">
            <v>56%</v>
          </cell>
          <cell r="M18" t="str">
            <v>77-85 KU</v>
          </cell>
          <cell r="N18" t="str">
            <v>-</v>
          </cell>
          <cell r="O18" t="str">
            <v>-</v>
          </cell>
          <cell r="P18" t="str">
            <v>-</v>
          </cell>
          <cell r="Q18" t="str">
            <v>-</v>
          </cell>
          <cell r="R18" t="str">
            <v>-</v>
          </cell>
          <cell r="S18" t="str">
            <v>-</v>
          </cell>
          <cell r="T18" t="str">
            <v>-</v>
          </cell>
          <cell r="U18" t="str">
            <v>-</v>
          </cell>
          <cell r="V18" t="str">
            <v>-</v>
          </cell>
          <cell r="W18" t="str">
            <v>-</v>
          </cell>
          <cell r="X18" t="str">
            <v>36 meses cerrado</v>
          </cell>
          <cell r="Y18" t="str">
            <v>Guatemala</v>
          </cell>
          <cell r="Z18" t="str">
            <v>-</v>
          </cell>
          <cell r="AA18" t="str">
            <v>Mezclar uno a uno en Volumen con Tile Clad II Brillante</v>
          </cell>
          <cell r="AB18" t="str">
            <v>-</v>
          </cell>
          <cell r="AC18" t="str">
            <v>S/F</v>
          </cell>
        </row>
        <row r="19">
          <cell r="A19" t="str">
            <v>B62BSA1</v>
          </cell>
          <cell r="B19" t="str">
            <v>Tile Clad II Negro Brillante</v>
          </cell>
          <cell r="C19" t="str">
            <v>Interior</v>
          </cell>
          <cell r="D19" t="str">
            <v>Fibrocemento (Fibrolite)</v>
          </cell>
          <cell r="E19" t="str">
            <v>Limpio</v>
          </cell>
          <cell r="F19" t="str">
            <v>Fast Dry Latex Wall Primer (B45WSA1)</v>
          </cell>
          <cell r="G19" t="str">
            <v>8.09 Lbs/Gl</v>
          </cell>
          <cell r="H19" t="str">
            <v>18%</v>
          </cell>
          <cell r="I19" t="str">
            <v>45.6%</v>
          </cell>
          <cell r="J19" t="str">
            <v>60%</v>
          </cell>
          <cell r="K19" t="str">
            <v>11.5%</v>
          </cell>
          <cell r="L19" t="str">
            <v>40.7%</v>
          </cell>
          <cell r="M19" t="str">
            <v>79-85 KU</v>
          </cell>
          <cell r="N19" t="str">
            <v>Pistola</v>
          </cell>
          <cell r="O19" t="str">
            <v>30-35 KU</v>
          </cell>
          <cell r="P19" t="str">
            <v>-</v>
          </cell>
          <cell r="Q19" t="str">
            <v>R2K4         Industrial reducer</v>
          </cell>
          <cell r="R19" t="str">
            <v>2 mills</v>
          </cell>
          <cell r="S19" t="str">
            <v>Seco Tocar: 1 Hora. Seco Completo: 4 Hrs. Repintar:6 Hrs</v>
          </cell>
          <cell r="T19" t="str">
            <v>-</v>
          </cell>
          <cell r="U19" t="str">
            <v>33 m2/Gl</v>
          </cell>
          <cell r="V19" t="str">
            <v>Full</v>
          </cell>
          <cell r="W19" t="str">
            <v>6H-7H</v>
          </cell>
          <cell r="X19" t="str">
            <v>36 meses cerrado</v>
          </cell>
          <cell r="Y19" t="str">
            <v>Industrias Eureka</v>
          </cell>
          <cell r="Z19" t="str">
            <v>Planchas de Fibrocemento</v>
          </cell>
          <cell r="AA19" t="str">
            <v>Una parte de B62BSA1 con una parte de catalizador B60FSA2 en volumen, dejar reposar 30 min.Debe esperarse de 12 a 15 días para alcanzar la dureza de 6H-7H.</v>
          </cell>
          <cell r="AB19" t="str">
            <v>-</v>
          </cell>
          <cell r="AC19" t="str">
            <v>S/F</v>
          </cell>
        </row>
        <row r="20">
          <cell r="A20" t="str">
            <v>B62LSA1</v>
          </cell>
          <cell r="B20" t="str">
            <v>Tile Clad II Trianon Brillante</v>
          </cell>
          <cell r="C20" t="str">
            <v>Interior</v>
          </cell>
          <cell r="D20" t="str">
            <v>Fibrocemento (Fibrolite)</v>
          </cell>
          <cell r="E20" t="str">
            <v>Limpio</v>
          </cell>
          <cell r="F20" t="str">
            <v>Fast Dry Latex Wall Primer (B45WSA1)</v>
          </cell>
          <cell r="G20" t="str">
            <v>9.08 Lbs/Gl</v>
          </cell>
          <cell r="H20" t="str">
            <v>42.1%</v>
          </cell>
          <cell r="I20" t="str">
            <v>56%</v>
          </cell>
          <cell r="J20" t="str">
            <v>60%</v>
          </cell>
          <cell r="K20" t="str">
            <v>19.7%</v>
          </cell>
          <cell r="L20" t="str">
            <v>50.3%</v>
          </cell>
          <cell r="M20" t="str">
            <v>79-85 KU</v>
          </cell>
          <cell r="N20" t="str">
            <v>Pistola</v>
          </cell>
          <cell r="O20" t="str">
            <v>30-35 KU</v>
          </cell>
          <cell r="P20" t="str">
            <v>-</v>
          </cell>
          <cell r="Q20" t="str">
            <v>R2K4         Industrial reducer</v>
          </cell>
          <cell r="R20" t="str">
            <v>2 mills</v>
          </cell>
          <cell r="S20" t="str">
            <v>Seco Tocar: 1 Hora. Seco Completo: 4 Hrs. Repintar:6 Hrs</v>
          </cell>
          <cell r="T20" t="str">
            <v>-</v>
          </cell>
          <cell r="U20" t="str">
            <v>33 m2/Gl</v>
          </cell>
          <cell r="V20" t="str">
            <v>Full</v>
          </cell>
          <cell r="W20" t="str">
            <v>6H-7H</v>
          </cell>
          <cell r="X20" t="str">
            <v>36 meses cerrado</v>
          </cell>
          <cell r="Y20" t="str">
            <v>Industrias Eureka</v>
          </cell>
          <cell r="Z20" t="str">
            <v>Planchas de Fibrocemento</v>
          </cell>
          <cell r="AA20" t="str">
            <v>Una parte de B62LSA1 con una parte de catalizador B60FSA2 en volumen, dejar reposar 30 min.Debe esperarse de 12 a 15 días para alcanzar la dureza de 6H-7H.</v>
          </cell>
          <cell r="AB20" t="str">
            <v>-</v>
          </cell>
          <cell r="AC20" t="str">
            <v>S/F</v>
          </cell>
        </row>
        <row r="21">
          <cell r="A21" t="str">
            <v>B62RSA1</v>
          </cell>
          <cell r="B21" t="str">
            <v>Tile Clad II Rojo Vino Brillante</v>
          </cell>
          <cell r="C21" t="str">
            <v>Interior</v>
          </cell>
          <cell r="D21" t="str">
            <v>Fibrocemento (Fibrolite)</v>
          </cell>
          <cell r="E21" t="str">
            <v>Limpia de Polvo</v>
          </cell>
          <cell r="F21" t="str">
            <v>Fast Dry Latex Wall Primer (B45WSA1)</v>
          </cell>
          <cell r="G21" t="str">
            <v>9.40 Lbs/Gl</v>
          </cell>
          <cell r="H21" t="str">
            <v>41.3%</v>
          </cell>
          <cell r="I21" t="str">
            <v>55.1%</v>
          </cell>
          <cell r="J21" t="str">
            <v>60%</v>
          </cell>
          <cell r="K21" t="str">
            <v>12.8%</v>
          </cell>
          <cell r="L21" t="str">
            <v>41.8%</v>
          </cell>
          <cell r="M21" t="str">
            <v>79-85 Ku</v>
          </cell>
          <cell r="N21" t="str">
            <v>Pistola</v>
          </cell>
          <cell r="O21" t="str">
            <v xml:space="preserve">30-35 KU  </v>
          </cell>
          <cell r="P21" t="str">
            <v>-</v>
          </cell>
          <cell r="Q21" t="str">
            <v>R2K4         Industrial reducer</v>
          </cell>
          <cell r="R21" t="str">
            <v>-</v>
          </cell>
          <cell r="S21" t="str">
            <v>Seco Tocar : 1 Hra. Seco Completo: 4 Hrs. Repintar: 6 Hrs.</v>
          </cell>
          <cell r="T21" t="str">
            <v>-</v>
          </cell>
          <cell r="U21" t="str">
            <v>33 Mts Cuadrados/Gl</v>
          </cell>
          <cell r="V21" t="str">
            <v>Full</v>
          </cell>
          <cell r="W21" t="str">
            <v>6H-7H</v>
          </cell>
          <cell r="X21" t="str">
            <v>36 meses cerrado</v>
          </cell>
          <cell r="Y21" t="str">
            <v>Industrias Eureka</v>
          </cell>
          <cell r="Z21" t="str">
            <v>Plancha de Fibrocemento</v>
          </cell>
          <cell r="AA21" t="str">
            <v>Una parte de B62WSA2 con una parte de catalizador B60FSA2 en volumen, dejar reposar 30 min.Debe esperarse de 12 a 15 días para alcanzar la dureza de 6H-7H. Vida útil de la mezcla: 8 Hrs</v>
          </cell>
          <cell r="AB21" t="str">
            <v>-</v>
          </cell>
          <cell r="AC21" t="str">
            <v>S/F</v>
          </cell>
        </row>
        <row r="22">
          <cell r="A22" t="str">
            <v>B62RSA3</v>
          </cell>
          <cell r="B22" t="str">
            <v>Tile Clad II Enamel Rojo Ladrillo Especial Semi-Mate</v>
          </cell>
          <cell r="C22" t="str">
            <v>Interior-Exterior</v>
          </cell>
          <cell r="D22" t="str">
            <v>Ladrillo para Pisos</v>
          </cell>
          <cell r="E22" t="str">
            <v>Libre de Suciedad</v>
          </cell>
          <cell r="F22" t="str">
            <v>Ninguno</v>
          </cell>
          <cell r="G22" t="str">
            <v>10.84 Lbs/Gl</v>
          </cell>
          <cell r="H22" t="str">
            <v>63.4%</v>
          </cell>
          <cell r="I22" t="str">
            <v>55.7%</v>
          </cell>
          <cell r="J22" t="str">
            <v>36.6%</v>
          </cell>
          <cell r="K22" t="str">
            <v>33.7%</v>
          </cell>
          <cell r="L22" t="str">
            <v>40.34%</v>
          </cell>
          <cell r="M22" t="str">
            <v>80-85 KU</v>
          </cell>
          <cell r="N22" t="str">
            <v>Brocha-Pistola</v>
          </cell>
          <cell r="O22" t="str">
            <v>Brocha (50-60 KU), Pistola (15-20" Ford #4)</v>
          </cell>
          <cell r="P22" t="str">
            <v>Brocha: 10% R7K54; Pistola: 25% R7K54</v>
          </cell>
          <cell r="Q22" t="str">
            <v>R7K54</v>
          </cell>
          <cell r="R22" t="str">
            <v>2.0-2.5 Mills Seco</v>
          </cell>
          <cell r="S22" t="str">
            <v>2-3 Horas</v>
          </cell>
          <cell r="T22" t="str">
            <v>-</v>
          </cell>
          <cell r="U22" t="str">
            <v>-</v>
          </cell>
          <cell r="V22" t="str">
            <v>Semi-Mate</v>
          </cell>
          <cell r="W22" t="str">
            <v>H-2H</v>
          </cell>
          <cell r="X22" t="str">
            <v>-</v>
          </cell>
          <cell r="Y22" t="str">
            <v>Don Ernesto Velasco</v>
          </cell>
          <cell r="Z22" t="str">
            <v>-</v>
          </cell>
          <cell r="AA22" t="str">
            <v>Mezcla 1:1 de B62RSA3 con el catalizador B60FSA1 en volumen, dejar reposar 20 min.La mezcla tiene una vida media de 8 horas. Debe esperarse de 12 a 15 días para alcanzar la dureza de 6H-7H.</v>
          </cell>
          <cell r="AB22" t="str">
            <v>Rene Ferrufino</v>
          </cell>
          <cell r="AC22" t="str">
            <v>S/F</v>
          </cell>
        </row>
        <row r="23">
          <cell r="A23" t="str">
            <v>B62W101</v>
          </cell>
          <cell r="B23" t="str">
            <v xml:space="preserve">Tile Clad II Enamel </v>
          </cell>
          <cell r="C23" t="str">
            <v>-</v>
          </cell>
          <cell r="D23" t="str">
            <v>Aluminio, Concreto, Madera y Acero</v>
          </cell>
          <cell r="E23" t="str">
            <v>SW-1, SW-3, SW-5, SW-15, SW-24</v>
          </cell>
          <cell r="F23" t="str">
            <v>B42W46</v>
          </cell>
          <cell r="G23" t="str">
            <v>10.0 Lbs/Gl</v>
          </cell>
          <cell r="H23" t="str">
            <v>45.10%</v>
          </cell>
          <cell r="I23" t="str">
            <v>64.98%</v>
          </cell>
          <cell r="J23" t="str">
            <v>19.87%</v>
          </cell>
          <cell r="K23" t="str">
            <v>39.2%</v>
          </cell>
          <cell r="L23" t="str">
            <v>45.48%</v>
          </cell>
          <cell r="M23" t="str">
            <v>70-85 KU</v>
          </cell>
          <cell r="N23" t="str">
            <v>Brocha, Rodillo, Pistola de Aire</v>
          </cell>
          <cell r="O23" t="str">
            <v>7</v>
          </cell>
          <cell r="P23" t="str">
            <v>-</v>
          </cell>
          <cell r="Q23" t="str">
            <v>R7K54</v>
          </cell>
          <cell r="R23" t="str">
            <v>4.0 mills</v>
          </cell>
          <cell r="S23" t="str">
            <v>Seco Tocar: 1 Hr, Tack Free: 4 Hrs</v>
          </cell>
          <cell r="T23" t="str">
            <v>-</v>
          </cell>
          <cell r="U23" t="str">
            <v>185 Pies Cuadrados/Gl</v>
          </cell>
          <cell r="V23" t="str">
            <v>80</v>
          </cell>
          <cell r="W23" t="str">
            <v>-</v>
          </cell>
          <cell r="X23" t="str">
            <v>36 meses cerrado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S/F</v>
          </cell>
        </row>
        <row r="24">
          <cell r="A24" t="str">
            <v>B62WSA2</v>
          </cell>
          <cell r="B24" t="str">
            <v>Tile Clad II Blanco Brillante</v>
          </cell>
          <cell r="C24" t="str">
            <v>Interior</v>
          </cell>
          <cell r="D24" t="str">
            <v>Fibrocemento (Fibrolite)</v>
          </cell>
          <cell r="E24" t="str">
            <v>Limpia de Polvo</v>
          </cell>
          <cell r="F24" t="str">
            <v>Fast Dry Latex Wall Primer (B45WSA1)</v>
          </cell>
          <cell r="G24" t="str">
            <v>10.51 Lbs/Gl</v>
          </cell>
          <cell r="H24" t="str">
            <v>55%</v>
          </cell>
          <cell r="I24" t="str">
            <v>61.7%</v>
          </cell>
          <cell r="J24" t="str">
            <v>60%</v>
          </cell>
          <cell r="K24" t="str">
            <v>23.9%</v>
          </cell>
          <cell r="L24" t="str">
            <v>44.5%</v>
          </cell>
          <cell r="M24" t="str">
            <v>79-80 KU</v>
          </cell>
          <cell r="N24" t="str">
            <v>Pistola</v>
          </cell>
          <cell r="O24" t="str">
            <v>30-35 KU</v>
          </cell>
          <cell r="P24" t="str">
            <v>20% en volumen con R2K4 para Aplicar con Pistola</v>
          </cell>
          <cell r="Q24" t="str">
            <v>R2K4         Industrial reducer</v>
          </cell>
          <cell r="R24" t="str">
            <v>2 mills</v>
          </cell>
          <cell r="S24" t="str">
            <v>Seco Tocar: 1 Hora. Seco Completo: 4 Hrs. Repintar:6 Hrs</v>
          </cell>
          <cell r="T24" t="str">
            <v>-</v>
          </cell>
          <cell r="U24" t="str">
            <v>33 m2/Gl</v>
          </cell>
          <cell r="V24" t="str">
            <v>Full</v>
          </cell>
          <cell r="W24" t="str">
            <v>6H-7H</v>
          </cell>
          <cell r="X24" t="str">
            <v>36 meses cerrado</v>
          </cell>
          <cell r="Y24" t="str">
            <v>Guatemala</v>
          </cell>
          <cell r="Z24" t="str">
            <v>-</v>
          </cell>
          <cell r="AA24" t="str">
            <v>Una parte de B62WSA2 con una parte de catalizador B60FSA2 en volumen, dejar reposar 30 min.Debe esperarse de 12 a 15 días para alcanzar la dureza de 6H-7H. Vida útil de la mezcla: 8 Hrs</v>
          </cell>
          <cell r="AB24" t="str">
            <v>-</v>
          </cell>
          <cell r="AC24" t="str">
            <v>S/F</v>
          </cell>
        </row>
        <row r="25">
          <cell r="A25" t="str">
            <v>B62WSA2/B60CSA1</v>
          </cell>
          <cell r="B25" t="str">
            <v>Tile Clad II Blanco Brillante</v>
          </cell>
          <cell r="C25" t="str">
            <v>Interior</v>
          </cell>
          <cell r="D25" t="str">
            <v>Concreto-Fibrocemento-Madera-Metal</v>
          </cell>
          <cell r="E25" t="str">
            <v>Limpia de Polvo, Grasa, Suciedad</v>
          </cell>
          <cell r="F25" t="str">
            <v>B24WSA1 Sellador Especial Para Fibrolit</v>
          </cell>
          <cell r="G25" t="str">
            <v>10.51 Lbs/Gl</v>
          </cell>
          <cell r="H25" t="str">
            <v>55%</v>
          </cell>
          <cell r="I25" t="str">
            <v>61.7%</v>
          </cell>
          <cell r="J25" t="str">
            <v>45%</v>
          </cell>
          <cell r="K25" t="str">
            <v>23.9%</v>
          </cell>
          <cell r="L25" t="str">
            <v>44.5%</v>
          </cell>
          <cell r="M25" t="str">
            <v>75-83 KU</v>
          </cell>
          <cell r="N25" t="str">
            <v>Pistola-Brocha (Para acabado de Azulejo Debe Ser Aplicado con Pistola)</v>
          </cell>
          <cell r="O25" t="str">
            <v>Brocha: 70-75 KU      Pistola: 15"-20" Copa Ford #4.</v>
          </cell>
          <cell r="P25" t="str">
            <v>-</v>
          </cell>
          <cell r="Q25" t="str">
            <v>R2K4         Industrial reducer</v>
          </cell>
          <cell r="R25" t="str">
            <v>De 2 a 4 mills Seco</v>
          </cell>
          <cell r="S25" t="str">
            <v>Seco Tocar: 1 Hra, Seco Completo 4-6 Hrs, Repintar: 12 Horas</v>
          </cell>
          <cell r="T25" t="str">
            <v>-</v>
          </cell>
          <cell r="U25" t="str">
            <v>25 Mts Cuadrados/Gl (4 mills), 50 Mts Cuadrados (2 mills)</v>
          </cell>
          <cell r="V25" t="str">
            <v>35 +/- 10 unidades</v>
          </cell>
          <cell r="W25" t="str">
            <v>2H</v>
          </cell>
          <cell r="X25" t="str">
            <v>-</v>
          </cell>
          <cell r="Y25" t="str">
            <v>Hospitalia S.A</v>
          </cell>
          <cell r="Z25" t="str">
            <v>-</v>
          </cell>
          <cell r="AA25" t="str">
            <v>Una parte de B62WSA2 con una parte de catalizador B60CSA1 en volumen, dejar reposar 30 min.Debe esperarse de 12 a 15 días para alcanzar la dureza de 6H-7H.</v>
          </cell>
          <cell r="AB25" t="str">
            <v>Ing. René F. Ferrufino</v>
          </cell>
          <cell r="AC25" t="str">
            <v>S/F</v>
          </cell>
        </row>
        <row r="26">
          <cell r="A26" t="str">
            <v>B69A47</v>
          </cell>
          <cell r="B26" t="str">
            <v>Zinc Clad 7 Primer</v>
          </cell>
          <cell r="C26" t="str">
            <v>Interior-Exterior Expocision a Aire Salino, Humedad, Quimicos</v>
          </cell>
          <cell r="D26" t="str">
            <v>Hierro-Acero</v>
          </cell>
          <cell r="E26" t="str">
            <v>Limpieza con Solvente</v>
          </cell>
          <cell r="F26" t="str">
            <v>Ninguno</v>
          </cell>
          <cell r="G26" t="str">
            <v>7.92 Lbs/Gl Parte A    7.45 Lbs/Gl Parte B</v>
          </cell>
          <cell r="H26" t="str">
            <v>43%</v>
          </cell>
          <cell r="I26" t="str">
            <v>84.39%</v>
          </cell>
          <cell r="J26" t="str">
            <v>75%</v>
          </cell>
          <cell r="K26" t="str">
            <v>62.16%</v>
          </cell>
          <cell r="L26" t="str">
            <v>49.55%</v>
          </cell>
          <cell r="M26" t="str">
            <v>12"-16" Ford #4, Parte A  16"-20" Ford #4, Parte B</v>
          </cell>
          <cell r="N26" t="str">
            <v>Pistola de Aire</v>
          </cell>
          <cell r="O26" t="str">
            <v>18"-22" Ford #4 Mezcla</v>
          </cell>
          <cell r="P26" t="str">
            <v>12% R6K22</v>
          </cell>
          <cell r="Q26" t="str">
            <v>R6K22</v>
          </cell>
          <cell r="R26" t="str">
            <v>2 mills</v>
          </cell>
          <cell r="S26" t="str">
            <v>Tocar: 30 Min Para Recubrimiento Final 24 Horas</v>
          </cell>
          <cell r="T26" t="str">
            <v>-</v>
          </cell>
          <cell r="U26" t="str">
            <v>-</v>
          </cell>
          <cell r="V26" t="str">
            <v>Mate</v>
          </cell>
          <cell r="W26" t="str">
            <v>-</v>
          </cell>
          <cell r="X26" t="str">
            <v>-</v>
          </cell>
          <cell r="Y26" t="str">
            <v>Beneficio El Tazumal (Chalchuapa)/(IMSA) Industrias Metalicas, S.A.</v>
          </cell>
          <cell r="Z26" t="str">
            <v>-</v>
          </cell>
          <cell r="AA26" t="str">
            <v>Producto de 3 Componentes.Mezclar 1 Parte de A con 1/2 Parte de B.Despues agregar 1 Parte de C en vol.Esperar 30 min antes de aplicar. La mezcla catalizada debe ser usada en un periodo de 8 horas.</v>
          </cell>
          <cell r="AB26" t="str">
            <v>-</v>
          </cell>
          <cell r="AC26" t="str">
            <v>S/F</v>
          </cell>
        </row>
        <row r="27">
          <cell r="A27" t="str">
            <v>B79WSA1</v>
          </cell>
          <cell r="B27" t="str">
            <v>Colonial Latex Blanco Colonial</v>
          </cell>
          <cell r="C27" t="str">
            <v>Interior-Exterior</v>
          </cell>
          <cell r="D27" t="str">
            <v>Concreto-Madera-Estuco</v>
          </cell>
          <cell r="E27" t="str">
            <v>Superficie Seca y Limpia</v>
          </cell>
          <cell r="F27" t="str">
            <v>A71WSA4 para pintar sobre madera</v>
          </cell>
          <cell r="G27" t="str">
            <v>11.30 Lbs/Gl</v>
          </cell>
          <cell r="H27" t="str">
            <v>-</v>
          </cell>
          <cell r="I27" t="str">
            <v>47.9%</v>
          </cell>
          <cell r="J27" t="str">
            <v>-</v>
          </cell>
          <cell r="K27" t="str">
            <v>-</v>
          </cell>
          <cell r="L27" t="str">
            <v>30.7%</v>
          </cell>
          <cell r="M27" t="str">
            <v>25"-30" Copa SW #4</v>
          </cell>
          <cell r="N27" t="str">
            <v>Brocha-Rodillo</v>
          </cell>
          <cell r="O27" t="str">
            <v>El mismo</v>
          </cell>
          <cell r="P27" t="str">
            <v>Ninguno</v>
          </cell>
          <cell r="Q27" t="str">
            <v>-</v>
          </cell>
          <cell r="R27" t="str">
            <v>5 mills</v>
          </cell>
          <cell r="S27" t="str">
            <v>Al aire</v>
          </cell>
          <cell r="T27" t="str">
            <v>-</v>
          </cell>
          <cell r="U27" t="str">
            <v>Aproximadamente 30 Mts cuadrados/Gl</v>
          </cell>
          <cell r="V27" t="str">
            <v>Mate</v>
          </cell>
          <cell r="W27" t="str">
            <v>-</v>
          </cell>
          <cell r="X27" t="str">
            <v>1 año</v>
          </cell>
          <cell r="Y27" t="str">
            <v>Warner Lambert-Guatemala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S/F</v>
          </cell>
        </row>
        <row r="28">
          <cell r="A28" t="str">
            <v>E61ESA6</v>
          </cell>
          <cell r="B28" t="str">
            <v>Anticorrosivo Naranja</v>
          </cell>
          <cell r="C28" t="str">
            <v>Interior-Exterior</v>
          </cell>
          <cell r="D28" t="str">
            <v>Superficies De Hierro</v>
          </cell>
          <cell r="E28" t="str">
            <v>Limpieza con Cepillo de Alambre</v>
          </cell>
          <cell r="F28" t="str">
            <v>Ninguno</v>
          </cell>
          <cell r="G28" t="str">
            <v>11.85 Lbs/Gl</v>
          </cell>
          <cell r="H28" t="str">
            <v>-</v>
          </cell>
          <cell r="I28" t="str">
            <v>74%</v>
          </cell>
          <cell r="J28" t="str">
            <v>-</v>
          </cell>
          <cell r="K28" t="str">
            <v>-</v>
          </cell>
          <cell r="L28" t="str">
            <v>49.9%</v>
          </cell>
          <cell r="M28" t="str">
            <v>100-110 KU</v>
          </cell>
          <cell r="N28" t="str">
            <v xml:space="preserve">Brocha-Pistola </v>
          </cell>
          <cell r="O28" t="str">
            <v>70-75 KU Brocha</v>
          </cell>
          <cell r="P28" t="str">
            <v>25% con R1K4 para Aplicar con Pistola</v>
          </cell>
          <cell r="Q28" t="str">
            <v>R1K4   Mineral Spirits</v>
          </cell>
          <cell r="R28" t="str">
            <v>1.0-1.5 mills</v>
          </cell>
          <cell r="S28" t="str">
            <v>-</v>
          </cell>
          <cell r="T28" t="str">
            <v>-</v>
          </cell>
          <cell r="U28" t="str">
            <v>750 Pies Cuadrados/Gl</v>
          </cell>
          <cell r="V28" t="str">
            <v>0-10</v>
          </cell>
          <cell r="W28" t="str">
            <v>-</v>
          </cell>
          <cell r="X28" t="str">
            <v>12 meses</v>
          </cell>
          <cell r="Y28" t="str">
            <v>Aceros Arquitectónicos</v>
          </cell>
          <cell r="Z28" t="str">
            <v>Estructuras Metálicas</v>
          </cell>
          <cell r="AA28" t="str">
            <v>-</v>
          </cell>
          <cell r="AB28" t="str">
            <v>-</v>
          </cell>
          <cell r="AC28" t="str">
            <v>S/F</v>
          </cell>
        </row>
        <row r="29">
          <cell r="A29" t="str">
            <v>E61ESA6 Tarj. No.2</v>
          </cell>
          <cell r="B29" t="str">
            <v>Anticorrosivo Naranja</v>
          </cell>
          <cell r="C29" t="str">
            <v>Interior-Exterior</v>
          </cell>
          <cell r="D29" t="str">
            <v>Superficies De Hierro</v>
          </cell>
          <cell r="E29" t="str">
            <v>Limpieza con Cepillo de Alambre</v>
          </cell>
          <cell r="F29" t="str">
            <v>Ninguno</v>
          </cell>
          <cell r="G29" t="str">
            <v>11.85 Lbs/Gl</v>
          </cell>
          <cell r="H29" t="str">
            <v>-</v>
          </cell>
          <cell r="I29" t="str">
            <v>74%</v>
          </cell>
          <cell r="J29" t="str">
            <v>-</v>
          </cell>
          <cell r="K29" t="str">
            <v>-</v>
          </cell>
          <cell r="L29" t="str">
            <v>49.9%</v>
          </cell>
          <cell r="M29" t="str">
            <v>100-110 KU</v>
          </cell>
          <cell r="N29" t="str">
            <v xml:space="preserve">Brocha-Pistola </v>
          </cell>
          <cell r="O29" t="str">
            <v>20"-25" Copa Ford #4 para Aplicar con Pistola</v>
          </cell>
          <cell r="P29" t="str">
            <v>25% con R1K4 para Aplicar con Pistola</v>
          </cell>
          <cell r="Q29" t="str">
            <v>R1K4   Mineral Spirits</v>
          </cell>
          <cell r="R29" t="str">
            <v>1.0-1.5 mills</v>
          </cell>
          <cell r="S29" t="str">
            <v>-</v>
          </cell>
          <cell r="T29" t="str">
            <v>-</v>
          </cell>
          <cell r="U29" t="str">
            <v>800 Pies Cuadrados/Gl</v>
          </cell>
          <cell r="V29" t="str">
            <v>0-10</v>
          </cell>
          <cell r="W29" t="str">
            <v>-</v>
          </cell>
          <cell r="X29" t="str">
            <v>12 meses</v>
          </cell>
          <cell r="Y29" t="str">
            <v>Aceros Arquitectónicos</v>
          </cell>
          <cell r="Z29" t="str">
            <v>Estructuras Metálicas</v>
          </cell>
          <cell r="AA29" t="str">
            <v>-</v>
          </cell>
          <cell r="AB29" t="str">
            <v>-</v>
          </cell>
          <cell r="AC29" t="str">
            <v>S/F</v>
          </cell>
        </row>
        <row r="30">
          <cell r="A30" t="str">
            <v>E61ESA6 Tarj. No.3</v>
          </cell>
          <cell r="B30" t="str">
            <v>Anticorrosivo Naranja</v>
          </cell>
          <cell r="C30" t="str">
            <v>Interior-Exterior</v>
          </cell>
          <cell r="D30" t="str">
            <v>Superficies De Hierro</v>
          </cell>
          <cell r="E30" t="str">
            <v>Limpieza con Cepillo de Alambre</v>
          </cell>
          <cell r="F30" t="str">
            <v>Ninguno</v>
          </cell>
          <cell r="G30" t="str">
            <v>11.33 Lbs/Gl</v>
          </cell>
          <cell r="H30" t="str">
            <v>-</v>
          </cell>
          <cell r="I30" t="str">
            <v>60.9%</v>
          </cell>
          <cell r="J30" t="str">
            <v>-</v>
          </cell>
          <cell r="K30" t="str">
            <v>-</v>
          </cell>
          <cell r="L30" t="str">
            <v>36.0%</v>
          </cell>
          <cell r="M30" t="str">
            <v>100-110 KU</v>
          </cell>
          <cell r="N30" t="str">
            <v xml:space="preserve">Brocha-Pistola </v>
          </cell>
          <cell r="O30" t="str">
            <v>20"-25" Copa Ford #4 para Aplicar con Pistola</v>
          </cell>
          <cell r="P30" t="str">
            <v>25% con R1K4 para Aplicar con Pistola</v>
          </cell>
          <cell r="Q30" t="str">
            <v>R1K4   Mineral Spirits</v>
          </cell>
          <cell r="R30" t="str">
            <v>1.0-1.5 mills</v>
          </cell>
          <cell r="S30" t="str">
            <v>-</v>
          </cell>
          <cell r="T30" t="str">
            <v>-</v>
          </cell>
          <cell r="U30" t="str">
            <v>800 Pies Cuadrados/Gl</v>
          </cell>
          <cell r="V30" t="str">
            <v>0-10</v>
          </cell>
          <cell r="W30" t="str">
            <v>-</v>
          </cell>
          <cell r="X30" t="str">
            <v>12 meses</v>
          </cell>
          <cell r="Y30" t="str">
            <v>Aceros Arquitectónicos</v>
          </cell>
          <cell r="Z30" t="str">
            <v>Estructuras Metálicas</v>
          </cell>
          <cell r="AA30" t="str">
            <v>-</v>
          </cell>
          <cell r="AB30" t="str">
            <v>-</v>
          </cell>
          <cell r="AC30" t="str">
            <v>S/F</v>
          </cell>
        </row>
        <row r="31">
          <cell r="A31" t="str">
            <v>E61ESA8</v>
          </cell>
          <cell r="B31" t="str">
            <v>Anticorrosivo Naranja Tipic</v>
          </cell>
          <cell r="C31" t="str">
            <v>Interior-Exterior</v>
          </cell>
          <cell r="D31" t="str">
            <v>Hierro</v>
          </cell>
          <cell r="E31" t="str">
            <v>Limpieza con Cepillo de Alambre</v>
          </cell>
          <cell r="F31" t="str">
            <v>-</v>
          </cell>
          <cell r="G31" t="str">
            <v>12.53 Lbs/Gl</v>
          </cell>
          <cell r="H31" t="str">
            <v>-</v>
          </cell>
          <cell r="I31" t="str">
            <v>73.34%</v>
          </cell>
          <cell r="J31" t="str">
            <v>-</v>
          </cell>
          <cell r="K31" t="str">
            <v>-</v>
          </cell>
          <cell r="L31" t="str">
            <v>47.08%</v>
          </cell>
          <cell r="M31" t="str">
            <v>20"-25" Copa SW #3</v>
          </cell>
          <cell r="N31" t="str">
            <v>Brocha-Pistola</v>
          </cell>
          <cell r="O31" t="str">
            <v>20"-25" Copa SW #3</v>
          </cell>
          <cell r="P31" t="str">
            <v>20% R1K3 para Pistola</v>
          </cell>
          <cell r="Q31" t="str">
            <v>R1K3</v>
          </cell>
          <cell r="R31" t="str">
            <v>1.0-1.5 mills</v>
          </cell>
          <cell r="S31" t="str">
            <v>-</v>
          </cell>
          <cell r="T31" t="str">
            <v>-</v>
          </cell>
          <cell r="U31" t="str">
            <v>700 Pies Cuadrados/Gl</v>
          </cell>
          <cell r="V31" t="str">
            <v>0-10</v>
          </cell>
          <cell r="W31" t="str">
            <v>-</v>
          </cell>
          <cell r="X31" t="str">
            <v>12 meses</v>
          </cell>
          <cell r="Y31" t="str">
            <v>Tipic, S.A. Guatemala</v>
          </cell>
          <cell r="Z31" t="str">
            <v>Estructuras Metálicas</v>
          </cell>
          <cell r="AA31" t="str">
            <v>-</v>
          </cell>
          <cell r="AB31" t="str">
            <v>-</v>
          </cell>
          <cell r="AC31" t="str">
            <v>S/F</v>
          </cell>
        </row>
        <row r="32">
          <cell r="A32" t="str">
            <v>E68WSA4</v>
          </cell>
          <cell r="B32" t="str">
            <v>Acrilic Monobake White Primer</v>
          </cell>
          <cell r="C32" t="str">
            <v>Interior-Exterior Limitada</v>
          </cell>
          <cell r="D32" t="str">
            <v>Hierro</v>
          </cell>
          <cell r="E32" t="str">
            <v>Limpieza Quimica y Fosfatizacion</v>
          </cell>
          <cell r="F32" t="str">
            <v>-</v>
          </cell>
          <cell r="G32" t="str">
            <v>9.76 Lbs/Gl</v>
          </cell>
          <cell r="H32" t="str">
            <v>30.5%</v>
          </cell>
          <cell r="I32" t="str">
            <v>56.26%</v>
          </cell>
          <cell r="J32" t="str">
            <v>54.26%</v>
          </cell>
          <cell r="K32" t="str">
            <v>31.51%</v>
          </cell>
          <cell r="L32" t="str">
            <v>36.62%</v>
          </cell>
          <cell r="M32" t="str">
            <v>180"-200" Copa Zanh #2</v>
          </cell>
          <cell r="N32" t="str">
            <v>Pistola</v>
          </cell>
          <cell r="O32" t="str">
            <v>28"-32" Copa Zanh #2</v>
          </cell>
          <cell r="P32" t="str">
            <v>40-50%</v>
          </cell>
          <cell r="Q32" t="str">
            <v>R2K4         Industrial reducer</v>
          </cell>
          <cell r="R32" t="str">
            <v>0.3 mills</v>
          </cell>
          <cell r="S32" t="str">
            <v>Al Horno</v>
          </cell>
          <cell r="T32" t="str">
            <v>15' a 370°F</v>
          </cell>
          <cell r="U32" t="str">
            <v>-</v>
          </cell>
          <cell r="V32" t="str">
            <v>90-95 con Esmalte G78</v>
          </cell>
          <cell r="W32" t="str">
            <v>2H con Esmalte G78</v>
          </cell>
          <cell r="X32" t="str">
            <v>6 meses</v>
          </cell>
          <cell r="Y32" t="str">
            <v>PRADO S.A</v>
          </cell>
          <cell r="Z32" t="str">
            <v>Refrigeradoras,Lavadoras,Cocinas</v>
          </cell>
          <cell r="AA32" t="str">
            <v>-</v>
          </cell>
          <cell r="AB32" t="str">
            <v>-</v>
          </cell>
          <cell r="AC32" t="str">
            <v>S/F</v>
          </cell>
        </row>
        <row r="33">
          <cell r="A33" t="str">
            <v>F65W1</v>
          </cell>
          <cell r="B33" t="str">
            <v>Kem Lustral White</v>
          </cell>
          <cell r="C33" t="str">
            <v>Interior-Exterior</v>
          </cell>
          <cell r="D33" t="str">
            <v>-</v>
          </cell>
          <cell r="E33" t="str">
            <v>Limpieza con Cepillo de Alambre</v>
          </cell>
          <cell r="F33" t="str">
            <v>E41N1 Kromik Metal Primer</v>
          </cell>
          <cell r="G33" t="str">
            <v>9.60 Lbs/Gl</v>
          </cell>
          <cell r="H33" t="str">
            <v>-</v>
          </cell>
          <cell r="I33" t="str">
            <v>59%</v>
          </cell>
          <cell r="J33" t="str">
            <v>-</v>
          </cell>
          <cell r="K33" t="str">
            <v>-</v>
          </cell>
          <cell r="L33" t="str">
            <v>41%</v>
          </cell>
          <cell r="M33" t="str">
            <v>30-36" Copa SW #3</v>
          </cell>
          <cell r="N33" t="str">
            <v>Brocha-Rodillo-Pistola</v>
          </cell>
          <cell r="O33" t="str">
            <v>Con Pistola     18"-20" Copa Ford #4</v>
          </cell>
          <cell r="P33" t="str">
            <v>Con Pistola 25% con R1K3</v>
          </cell>
          <cell r="Q33" t="str">
            <v>R1K3</v>
          </cell>
          <cell r="R33" t="str">
            <v>1-1 1/2 mills</v>
          </cell>
          <cell r="S33" t="str">
            <v>Al Aire</v>
          </cell>
          <cell r="T33" t="str">
            <v>-</v>
          </cell>
          <cell r="U33" t="str">
            <v>600 Pies Cuadrados/Gl</v>
          </cell>
          <cell r="V33" t="str">
            <v>+85</v>
          </cell>
          <cell r="W33" t="str">
            <v>-</v>
          </cell>
          <cell r="X33" t="str">
            <v>1 año</v>
          </cell>
          <cell r="Y33" t="str">
            <v>Warner Lambert-Guatemala</v>
          </cell>
          <cell r="Z33" t="str">
            <v>-</v>
          </cell>
          <cell r="AA33" t="str">
            <v>-</v>
          </cell>
          <cell r="AB33" t="str">
            <v>-</v>
          </cell>
          <cell r="AC33" t="str">
            <v>S/F</v>
          </cell>
        </row>
        <row r="34">
          <cell r="A34" t="str">
            <v>F68RSA9 T-2</v>
          </cell>
          <cell r="B34" t="str">
            <v>Esmalte para espejos Rojo Especial</v>
          </cell>
          <cell r="C34" t="str">
            <v xml:space="preserve">Interior  </v>
          </cell>
          <cell r="D34" t="str">
            <v>Vidrio</v>
          </cell>
          <cell r="E34" t="str">
            <v>Limpio</v>
          </cell>
          <cell r="F34" t="str">
            <v>Ninguno</v>
          </cell>
          <cell r="G34" t="str">
            <v>10.65 Lbs/Gl</v>
          </cell>
          <cell r="H34" t="str">
            <v>38.1%</v>
          </cell>
          <cell r="I34" t="str">
            <v>63.44%</v>
          </cell>
          <cell r="J34" t="str">
            <v>40.90%</v>
          </cell>
          <cell r="K34" t="str">
            <v>35.10%</v>
          </cell>
          <cell r="L34" t="str">
            <v>45.07%</v>
          </cell>
          <cell r="M34" t="str">
            <v>30-35"        SW #3</v>
          </cell>
          <cell r="N34" t="str">
            <v>Pistola</v>
          </cell>
          <cell r="O34" t="str">
            <v>18-20"             Copa Ford #4</v>
          </cell>
          <cell r="P34" t="str">
            <v>20%</v>
          </cell>
          <cell r="Q34" t="str">
            <v>Kem Flo Glo Reducer R4K183</v>
          </cell>
          <cell r="R34" t="str">
            <v>1.0 mills</v>
          </cell>
          <cell r="S34" t="str">
            <v xml:space="preserve">Al Aire               </v>
          </cell>
          <cell r="T34" t="str">
            <v>-</v>
          </cell>
          <cell r="U34" t="str">
            <v>1,015.52 pies cuadrados/Gl</v>
          </cell>
          <cell r="V34" t="str">
            <v>5-6</v>
          </cell>
          <cell r="W34" t="str">
            <v>-</v>
          </cell>
          <cell r="X34" t="str">
            <v>6 meses</v>
          </cell>
          <cell r="Y34" t="str">
            <v>FREUND            ESTACION DE PINTURAS</v>
          </cell>
          <cell r="Z34" t="str">
            <v>Espejos</v>
          </cell>
          <cell r="AA34" t="str">
            <v>-</v>
          </cell>
          <cell r="AB34" t="str">
            <v>-</v>
          </cell>
          <cell r="AC34" t="str">
            <v>S/F</v>
          </cell>
        </row>
        <row r="35">
          <cell r="A35" t="str">
            <v>F73ESA1</v>
          </cell>
          <cell r="B35" t="str">
            <v>Esmalte Horneable Naranja</v>
          </cell>
          <cell r="C35" t="str">
            <v>Interior-Exterior Limitada</v>
          </cell>
          <cell r="D35" t="str">
            <v>Hierro</v>
          </cell>
          <cell r="E35" t="str">
            <v>Limpieza Adecuada con R2K4 y Dual Etch (W4K263)</v>
          </cell>
          <cell r="F35" t="str">
            <v>Ninguno</v>
          </cell>
          <cell r="G35" t="str">
            <v>9.40 Lbs/Gl</v>
          </cell>
          <cell r="H35" t="str">
            <v>18.16%</v>
          </cell>
          <cell r="I35" t="str">
            <v>55.52%</v>
          </cell>
          <cell r="J35" t="str">
            <v>45.44%</v>
          </cell>
          <cell r="K35" t="str">
            <v>9.44%</v>
          </cell>
          <cell r="L35" t="str">
            <v>42.13%</v>
          </cell>
          <cell r="M35" t="str">
            <v>80"-90" Copa Zanh #2</v>
          </cell>
          <cell r="N35" t="str">
            <v>Pistola Convencional o Elestrostática</v>
          </cell>
          <cell r="O35" t="str">
            <v>20"-25" Copa Zanh #2</v>
          </cell>
          <cell r="P35" t="str">
            <v>20-25%</v>
          </cell>
          <cell r="Q35" t="str">
            <v>R2K4         Industrial reducer</v>
          </cell>
          <cell r="R35" t="str">
            <v>1.0-1.2 mills</v>
          </cell>
          <cell r="S35" t="str">
            <v>5-10 min</v>
          </cell>
          <cell r="T35" t="str">
            <v>15' a 300 °F</v>
          </cell>
          <cell r="U35" t="str">
            <v>893 Pies Cuadrados por Galón</v>
          </cell>
          <cell r="V35" t="str">
            <v>80-82</v>
          </cell>
          <cell r="W35" t="str">
            <v>F-H</v>
          </cell>
          <cell r="X35" t="str">
            <v>12 meses</v>
          </cell>
          <cell r="Y35" t="str">
            <v>IMSA S.A</v>
          </cell>
          <cell r="Z35" t="str">
            <v>Estantería</v>
          </cell>
          <cell r="AA35" t="str">
            <v>-</v>
          </cell>
          <cell r="AB35" t="str">
            <v>-</v>
          </cell>
          <cell r="AC35" t="str">
            <v>S/F</v>
          </cell>
        </row>
        <row r="36">
          <cell r="A36" t="str">
            <v>F73GSA25</v>
          </cell>
          <cell r="B36" t="str">
            <v>Esmalte Horneable Verde Intenso</v>
          </cell>
          <cell r="C36" t="str">
            <v>Interior-Exterior Limitada</v>
          </cell>
          <cell r="D36" t="str">
            <v>Hierro</v>
          </cell>
          <cell r="E36" t="str">
            <v>Limpieza con Industrial Reducer R2K4 y Dual Etch</v>
          </cell>
          <cell r="F36" t="str">
            <v>Ninguno</v>
          </cell>
          <cell r="G36" t="str">
            <v>9.15 Lbs/Gl</v>
          </cell>
          <cell r="H36" t="str">
            <v>16.05%</v>
          </cell>
          <cell r="I36" t="str">
            <v>62.61%</v>
          </cell>
          <cell r="J36" t="str">
            <v>49.58%</v>
          </cell>
          <cell r="K36" t="str">
            <v>9.74%</v>
          </cell>
          <cell r="L36" t="str">
            <v>44.44%</v>
          </cell>
          <cell r="M36" t="str">
            <v>100"-110" Copa Zanh #2</v>
          </cell>
          <cell r="N36" t="str">
            <v>Pistola Convencional</v>
          </cell>
          <cell r="O36" t="str">
            <v>20"-25" Copa Zanh #2</v>
          </cell>
          <cell r="P36" t="str">
            <v>20-25%</v>
          </cell>
          <cell r="Q36" t="str">
            <v>R2K4         Industrial reducer</v>
          </cell>
          <cell r="R36" t="str">
            <v>1.0-1.2 mills</v>
          </cell>
          <cell r="S36" t="str">
            <v>Al Horno</v>
          </cell>
          <cell r="T36" t="str">
            <v>15' a 300°F</v>
          </cell>
          <cell r="U36" t="str">
            <v>1001.76 Pies cuadrados por Galón</v>
          </cell>
          <cell r="V36" t="str">
            <v>+90</v>
          </cell>
          <cell r="W36" t="str">
            <v>H</v>
          </cell>
          <cell r="X36" t="str">
            <v>12 meses</v>
          </cell>
          <cell r="Y36" t="str">
            <v>Van Leer</v>
          </cell>
          <cell r="Z36" t="str">
            <v>Barriles de Hierro</v>
          </cell>
          <cell r="AA36" t="str">
            <v>-</v>
          </cell>
          <cell r="AB36" t="str">
            <v>-</v>
          </cell>
          <cell r="AC36" t="str">
            <v>S/F</v>
          </cell>
        </row>
        <row r="37">
          <cell r="A37" t="str">
            <v>F73HSA6</v>
          </cell>
          <cell r="B37" t="str">
            <v>Esmalte Horneable Beige Tyler 53</v>
          </cell>
          <cell r="C37" t="str">
            <v>Interior-Exterior Limitada</v>
          </cell>
          <cell r="D37" t="str">
            <v>Hierro</v>
          </cell>
          <cell r="E37" t="str">
            <v>Limpieza Adecuada con R2K4 y Dual Etch (W4K263)</v>
          </cell>
          <cell r="F37" t="str">
            <v>Ninguno</v>
          </cell>
          <cell r="G37" t="str">
            <v>8.79 Lbs/Gl</v>
          </cell>
          <cell r="H37" t="str">
            <v>13.57%</v>
          </cell>
          <cell r="I37" t="str">
            <v>55%</v>
          </cell>
          <cell r="J37" t="str">
            <v>47.53%</v>
          </cell>
          <cell r="K37" t="str">
            <v>7.49%</v>
          </cell>
          <cell r="L37" t="str">
            <v>42%</v>
          </cell>
          <cell r="M37" t="str">
            <v>80"-90" Copa Zanh #2</v>
          </cell>
          <cell r="N37" t="str">
            <v>Pistola Convencional o Elestrostática</v>
          </cell>
          <cell r="O37" t="str">
            <v>20"-25" Copa Zanh #2</v>
          </cell>
          <cell r="P37" t="str">
            <v>20-25%</v>
          </cell>
          <cell r="Q37" t="str">
            <v>R2K4         Industrial reducer</v>
          </cell>
          <cell r="R37" t="str">
            <v>1.0-1.2 mills</v>
          </cell>
          <cell r="S37" t="str">
            <v>5-10 min</v>
          </cell>
          <cell r="T37" t="str">
            <v>15' a 300 °F</v>
          </cell>
          <cell r="U37" t="str">
            <v>783 Pies Cuadrados por Galón</v>
          </cell>
          <cell r="V37" t="str">
            <v>85</v>
          </cell>
          <cell r="W37" t="str">
            <v>F-H</v>
          </cell>
          <cell r="X37" t="str">
            <v>12 meses</v>
          </cell>
          <cell r="Y37" t="str">
            <v>IMSA S.A</v>
          </cell>
          <cell r="Z37" t="str">
            <v>Estantería</v>
          </cell>
          <cell r="AA37" t="str">
            <v>-</v>
          </cell>
          <cell r="AB37" t="str">
            <v>-</v>
          </cell>
          <cell r="AC37" t="str">
            <v>S/F</v>
          </cell>
        </row>
        <row r="38">
          <cell r="A38" t="str">
            <v>F73LSA28</v>
          </cell>
          <cell r="B38" t="str">
            <v>Esmalte Horneable Azul Intenso</v>
          </cell>
          <cell r="C38" t="str">
            <v>Interior-Exterior Limitada</v>
          </cell>
          <cell r="D38" t="str">
            <v>Hierro</v>
          </cell>
          <cell r="E38" t="str">
            <v>Limpieza con Industrial Reducer R2K4 y Dual Etch</v>
          </cell>
          <cell r="F38" t="str">
            <v>Ninguno</v>
          </cell>
          <cell r="G38" t="str">
            <v>8.56 Lbs/Gl</v>
          </cell>
          <cell r="H38" t="str">
            <v>9.52%</v>
          </cell>
          <cell r="I38" t="str">
            <v>59.39%</v>
          </cell>
          <cell r="J38" t="str">
            <v>49.26%</v>
          </cell>
          <cell r="K38" t="str">
            <v>12.67%</v>
          </cell>
          <cell r="L38" t="str">
            <v>43.64%</v>
          </cell>
          <cell r="M38" t="str">
            <v>100"-110" Copa Zanh #2</v>
          </cell>
          <cell r="N38" t="str">
            <v>Pistola Convencional</v>
          </cell>
          <cell r="O38" t="str">
            <v>20"-25" Copa Zanh #2</v>
          </cell>
          <cell r="P38" t="str">
            <v>20-25%</v>
          </cell>
          <cell r="Q38" t="str">
            <v>R2K4         Industrial reducer</v>
          </cell>
          <cell r="R38" t="str">
            <v>1.0-1.2 mills</v>
          </cell>
          <cell r="S38" t="str">
            <v>Al Horno</v>
          </cell>
          <cell r="T38" t="str">
            <v>15' a 300°F</v>
          </cell>
          <cell r="U38" t="str">
            <v>950.24 Pies cuadrados por Galón</v>
          </cell>
          <cell r="V38" t="str">
            <v>+90</v>
          </cell>
          <cell r="W38" t="str">
            <v>H</v>
          </cell>
          <cell r="X38" t="str">
            <v>12 meses</v>
          </cell>
          <cell r="Y38" t="str">
            <v>Van Leer</v>
          </cell>
          <cell r="Z38" t="str">
            <v>Barriles de Hierro</v>
          </cell>
          <cell r="AA38" t="str">
            <v>-</v>
          </cell>
          <cell r="AB38" t="str">
            <v>-</v>
          </cell>
          <cell r="AC38" t="str">
            <v>S/F</v>
          </cell>
        </row>
        <row r="39">
          <cell r="A39" t="str">
            <v>F73RSA15</v>
          </cell>
          <cell r="B39" t="str">
            <v>Esmalte Horneable Rojo Texaco</v>
          </cell>
          <cell r="C39" t="str">
            <v>Interior-Exterior</v>
          </cell>
          <cell r="D39" t="str">
            <v>Hierro</v>
          </cell>
          <cell r="E39" t="str">
            <v>Limpieza con Solvente Industrial</v>
          </cell>
          <cell r="F39" t="str">
            <v>Ninguno</v>
          </cell>
          <cell r="G39" t="str">
            <v>8.91 Lbs/Gl</v>
          </cell>
          <cell r="H39" t="str">
            <v>12.69%</v>
          </cell>
          <cell r="I39" t="str">
            <v>57.41%</v>
          </cell>
          <cell r="J39" t="str">
            <v>51.21%</v>
          </cell>
          <cell r="K39" t="str">
            <v>7.10%</v>
          </cell>
          <cell r="L39" t="str">
            <v>45.1%</v>
          </cell>
          <cell r="M39" t="str">
            <v>100"-110" Copa Zanh #2</v>
          </cell>
          <cell r="N39" t="str">
            <v>Pistola</v>
          </cell>
          <cell r="O39" t="str">
            <v>20-25 seg. Copa Zanh #2</v>
          </cell>
          <cell r="P39" t="str">
            <v>20-25%</v>
          </cell>
          <cell r="Q39" t="str">
            <v>R2K4         Industrial reducer</v>
          </cell>
          <cell r="R39" t="str">
            <v>0.6-0.9 mills</v>
          </cell>
          <cell r="S39" t="str">
            <v>Al Horno</v>
          </cell>
          <cell r="T39" t="str">
            <v>10' a 350°F</v>
          </cell>
          <cell r="U39" t="str">
            <v>925 Pies Cuadrados/Gl</v>
          </cell>
          <cell r="V39" t="str">
            <v>+75</v>
          </cell>
          <cell r="W39" t="str">
            <v>HB-F</v>
          </cell>
          <cell r="X39" t="str">
            <v>12 meses</v>
          </cell>
          <cell r="Y39" t="str">
            <v>Van Leer</v>
          </cell>
          <cell r="Z39" t="str">
            <v>Barriles de Hierro</v>
          </cell>
          <cell r="AA39" t="str">
            <v>-</v>
          </cell>
          <cell r="AB39" t="str">
            <v>Luis Nolasco</v>
          </cell>
          <cell r="AC39" t="str">
            <v>S/F</v>
          </cell>
        </row>
        <row r="40">
          <cell r="A40" t="str">
            <v>F73SSA12</v>
          </cell>
          <cell r="B40" t="str">
            <v>Esmalte Horneable Aluminio Brillante</v>
          </cell>
          <cell r="C40" t="str">
            <v>Interior-Exterior Limitada</v>
          </cell>
          <cell r="D40" t="str">
            <v>Zamak</v>
          </cell>
          <cell r="E40" t="str">
            <v>Limpieza Adecuada con R2K4 y Dual Etch (W4K263)</v>
          </cell>
          <cell r="F40" t="str">
            <v>Wash Primer Green (P60G2)</v>
          </cell>
          <cell r="G40" t="str">
            <v>8.15 Lbs/Gl</v>
          </cell>
          <cell r="H40" t="str">
            <v>-</v>
          </cell>
          <cell r="I40" t="str">
            <v>43.8%</v>
          </cell>
          <cell r="J40" t="str">
            <v>48.3%</v>
          </cell>
          <cell r="K40" t="str">
            <v>-</v>
          </cell>
          <cell r="L40" t="str">
            <v>40.57%</v>
          </cell>
          <cell r="M40" t="str">
            <v>80"-90" Copa Zanh #2</v>
          </cell>
          <cell r="N40" t="str">
            <v>Pistola Convencional o Elestrostática</v>
          </cell>
          <cell r="O40" t="str">
            <v>20"-25" Copa Zanh #2</v>
          </cell>
          <cell r="P40" t="str">
            <v>20-25%</v>
          </cell>
          <cell r="Q40" t="str">
            <v>R2K4         Industrial reducer</v>
          </cell>
          <cell r="R40" t="str">
            <v>1.0-1.5 mills</v>
          </cell>
          <cell r="S40" t="str">
            <v>5-10 min</v>
          </cell>
          <cell r="T40" t="str">
            <v>20' a 300 °F</v>
          </cell>
          <cell r="U40" t="str">
            <v>727 Pies Cuadrados por Galón</v>
          </cell>
          <cell r="V40" t="str">
            <v>90</v>
          </cell>
          <cell r="W40" t="str">
            <v>F-H</v>
          </cell>
          <cell r="X40" t="str">
            <v>12 meses</v>
          </cell>
          <cell r="Y40" t="str">
            <v>IMSA S.A</v>
          </cell>
          <cell r="Z40" t="str">
            <v>Operadores de Ventanas</v>
          </cell>
          <cell r="AA40" t="str">
            <v>-</v>
          </cell>
          <cell r="AB40" t="str">
            <v>-</v>
          </cell>
          <cell r="AC40" t="str">
            <v>S/F</v>
          </cell>
        </row>
        <row r="41">
          <cell r="A41" t="str">
            <v>F73SSA4</v>
          </cell>
          <cell r="B41" t="str">
            <v>Reverse Dimenso Baking Baking Enamel Silver Gray</v>
          </cell>
          <cell r="C41" t="str">
            <v>Interior-Exterior Limitada</v>
          </cell>
          <cell r="D41" t="str">
            <v>Hierro y Zamak</v>
          </cell>
          <cell r="E41" t="str">
            <v>Hierro:Limpieza Adecuada con R2K4 y Dual Etch (W4K263). Zamak Limpieza con R2K4, detergente y Fosfatización)</v>
          </cell>
          <cell r="F41" t="str">
            <v>Ninguno sobre hierro, P60G2 Wash Primer sobre Zamak</v>
          </cell>
          <cell r="G41" t="str">
            <v>8.05 Lbs/Gl</v>
          </cell>
          <cell r="H41" t="str">
            <v>-</v>
          </cell>
          <cell r="I41" t="str">
            <v>46.7%</v>
          </cell>
          <cell r="J41" t="str">
            <v>46.7%</v>
          </cell>
          <cell r="K41" t="str">
            <v>-</v>
          </cell>
          <cell r="L41" t="str">
            <v>38.7%</v>
          </cell>
          <cell r="M41" t="str">
            <v>60"-70" Copa Zanh #2</v>
          </cell>
          <cell r="N41" t="str">
            <v>Pistola Convencional o Elestrostática</v>
          </cell>
          <cell r="O41" t="str">
            <v>60"-70" Copa Zanh #2</v>
          </cell>
          <cell r="P41" t="str">
            <v xml:space="preserve">Lo necesario  </v>
          </cell>
          <cell r="Q41" t="str">
            <v>R2K4         Industrial reducer</v>
          </cell>
          <cell r="R41" t="str">
            <v>1.0-1.5 mills</v>
          </cell>
          <cell r="S41" t="str">
            <v>5-10 minutos</v>
          </cell>
          <cell r="T41" t="str">
            <v>15' a 300°F</v>
          </cell>
          <cell r="U41" t="str">
            <v>388 Pies cuadrados por Galón</v>
          </cell>
          <cell r="V41" t="str">
            <v>80-85</v>
          </cell>
          <cell r="W41" t="str">
            <v>F-H</v>
          </cell>
          <cell r="X41" t="str">
            <v>12 meses</v>
          </cell>
          <cell r="Y41" t="str">
            <v>IMSA S.A</v>
          </cell>
          <cell r="Z41" t="str">
            <v>Estantería y Chapas</v>
          </cell>
          <cell r="AA41" t="str">
            <v>-</v>
          </cell>
          <cell r="AB41" t="str">
            <v>-</v>
          </cell>
          <cell r="AC41" t="str">
            <v>S/F</v>
          </cell>
        </row>
        <row r="42">
          <cell r="A42" t="str">
            <v>F73W2</v>
          </cell>
          <cell r="B42" t="str">
            <v>Kem Fast Baking Enamel White</v>
          </cell>
          <cell r="C42" t="str">
            <v>Interior-Exterior Limitada</v>
          </cell>
          <cell r="D42" t="str">
            <v>Hierro</v>
          </cell>
          <cell r="E42" t="str">
            <v>Limpieza Adecuada con R2K4 y Dual Etch (W4K263)</v>
          </cell>
          <cell r="F42" t="str">
            <v>Ninguno</v>
          </cell>
          <cell r="G42" t="str">
            <v>10.0 Lbs/GL</v>
          </cell>
          <cell r="H42" t="str">
            <v>25.70%</v>
          </cell>
          <cell r="I42" t="str">
            <v>63.27%</v>
          </cell>
          <cell r="J42" t="str">
            <v>50.57%</v>
          </cell>
          <cell r="K42" t="str">
            <v>15.81%</v>
          </cell>
          <cell r="L42" t="str">
            <v>47.13%</v>
          </cell>
          <cell r="M42" t="str">
            <v>80"-90" Copa Zanh #2</v>
          </cell>
          <cell r="N42" t="str">
            <v>Pistola Convencional o Elestrostática</v>
          </cell>
          <cell r="O42" t="str">
            <v>20"-25" Copa Zanh #2</v>
          </cell>
          <cell r="P42" t="str">
            <v>20-25%</v>
          </cell>
          <cell r="Q42" t="str">
            <v>R2K4         Industrial reducer</v>
          </cell>
          <cell r="R42" t="str">
            <v>1.0-1.2 mills</v>
          </cell>
          <cell r="S42" t="str">
            <v>Horno</v>
          </cell>
          <cell r="T42" t="str">
            <v>15' a 300 °F</v>
          </cell>
          <cell r="U42" t="str">
            <v>46.67 metros Cuadrados por Galón a 1.5 mils de espesor</v>
          </cell>
          <cell r="V42" t="str">
            <v>85</v>
          </cell>
          <cell r="W42" t="str">
            <v>F-H</v>
          </cell>
          <cell r="X42" t="str">
            <v>12 meses</v>
          </cell>
          <cell r="Y42" t="str">
            <v>-</v>
          </cell>
          <cell r="Z42" t="str">
            <v>-</v>
          </cell>
          <cell r="AA42" t="str">
            <v>VOC= 3.67 lbs/gal</v>
          </cell>
          <cell r="AB42" t="str">
            <v>-</v>
          </cell>
          <cell r="AC42" t="str">
            <v>S/F</v>
          </cell>
        </row>
        <row r="43">
          <cell r="A43" t="str">
            <v>F73WSA18 (1)</v>
          </cell>
          <cell r="B43" t="str">
            <v>Esmalte Horneable ExtraBlanco</v>
          </cell>
          <cell r="C43" t="str">
            <v>Interior-Exterior</v>
          </cell>
          <cell r="D43" t="str">
            <v>Hierro</v>
          </cell>
          <cell r="E43" t="str">
            <v>Limpieza con R2K4 (Solvente Industrial)</v>
          </cell>
          <cell r="F43" t="str">
            <v>Ninguno</v>
          </cell>
          <cell r="G43" t="str">
            <v>10.72 Lbs/Gl</v>
          </cell>
          <cell r="H43" t="str">
            <v>46% Respecto a los sólidos Totales</v>
          </cell>
          <cell r="I43" t="str">
            <v>66%</v>
          </cell>
          <cell r="J43" t="str">
            <v>54%</v>
          </cell>
          <cell r="K43" t="str">
            <v>14%</v>
          </cell>
          <cell r="L43" t="str">
            <v>50.44%</v>
          </cell>
          <cell r="M43" t="str">
            <v>100"-110" Copa Zanh #2</v>
          </cell>
          <cell r="N43" t="str">
            <v>Pistola</v>
          </cell>
          <cell r="O43" t="str">
            <v>20"-25" Copa Zanh #2</v>
          </cell>
          <cell r="P43" t="str">
            <v>20-25%</v>
          </cell>
          <cell r="Q43" t="str">
            <v>R2K4         Industrial reducer</v>
          </cell>
          <cell r="R43" t="str">
            <v>0.6-0.9 mills</v>
          </cell>
          <cell r="S43" t="str">
            <v>Al Horno</v>
          </cell>
          <cell r="T43" t="str">
            <v>15' a 300°F</v>
          </cell>
          <cell r="U43" t="str">
            <v>85 a 126 m2/Gl (0.6-0.9 Mills seco)</v>
          </cell>
          <cell r="V43" t="str">
            <v>+90</v>
          </cell>
          <cell r="W43" t="str">
            <v>H</v>
          </cell>
          <cell r="X43" t="str">
            <v>12 meses</v>
          </cell>
          <cell r="Y43" t="str">
            <v>IMSA S.A</v>
          </cell>
          <cell r="Z43" t="str">
            <v>Muebles de Metal</v>
          </cell>
          <cell r="AA43" t="str">
            <v>-</v>
          </cell>
          <cell r="AB43" t="str">
            <v>Ing. René Ferrufino</v>
          </cell>
          <cell r="AC43" t="str">
            <v>S/F</v>
          </cell>
        </row>
        <row r="44">
          <cell r="A44" t="str">
            <v>F73WSA6</v>
          </cell>
          <cell r="B44" t="str">
            <v>Esmalte Horneable Blanco Especial</v>
          </cell>
          <cell r="C44" t="str">
            <v>Interior-Exterior Limitada</v>
          </cell>
          <cell r="D44" t="str">
            <v>Hierro y Aluminio</v>
          </cell>
          <cell r="E44" t="str">
            <v>Limpieza Adecuada con R2K4 y Dual Etch (W4K263)</v>
          </cell>
          <cell r="F44" t="str">
            <v>Ninguno</v>
          </cell>
          <cell r="G44" t="str">
            <v>10.11 Lbs/Gl</v>
          </cell>
          <cell r="H44" t="str">
            <v>25.47%</v>
          </cell>
          <cell r="I44" t="str">
            <v>41.17%</v>
          </cell>
          <cell r="J44" t="str">
            <v>30.69%</v>
          </cell>
          <cell r="K44" t="str">
            <v>17.95%</v>
          </cell>
          <cell r="L44" t="str">
            <v>42.44%</v>
          </cell>
          <cell r="M44" t="str">
            <v>100"-110" Copa Zanh #2</v>
          </cell>
          <cell r="N44" t="str">
            <v>Pistola Convencional o Elestrostática</v>
          </cell>
          <cell r="O44" t="str">
            <v>20"-25" Copa Zanh #2</v>
          </cell>
          <cell r="P44" t="str">
            <v>20-25%</v>
          </cell>
          <cell r="Q44" t="str">
            <v>R2K4         Industrial reducer</v>
          </cell>
          <cell r="R44" t="str">
            <v>1.0-1.2 mills</v>
          </cell>
          <cell r="S44" t="str">
            <v>5-10 min</v>
          </cell>
          <cell r="T44" t="str">
            <v>15' a 300 °F</v>
          </cell>
          <cell r="U44" t="str">
            <v>783 Pies Cuadrados por Galón</v>
          </cell>
          <cell r="V44" t="str">
            <v>90</v>
          </cell>
          <cell r="W44" t="str">
            <v>F-H</v>
          </cell>
          <cell r="X44" t="str">
            <v>12 meses</v>
          </cell>
          <cell r="Y44" t="str">
            <v>IMSA S.A</v>
          </cell>
          <cell r="Z44" t="str">
            <v>Lamparas y Muebles</v>
          </cell>
          <cell r="AA44" t="str">
            <v>-</v>
          </cell>
          <cell r="AB44" t="str">
            <v>-</v>
          </cell>
          <cell r="AC44" t="str">
            <v>S/F</v>
          </cell>
        </row>
        <row r="45">
          <cell r="A45" t="str">
            <v>G70ASA2</v>
          </cell>
          <cell r="B45" t="str">
            <v>Pintura Para Recubrimiento Interior Fenólico</v>
          </cell>
          <cell r="C45" t="str">
            <v>Interior</v>
          </cell>
          <cell r="D45" t="str">
            <v>Acero</v>
          </cell>
          <cell r="E45" t="str">
            <v>Lijada y Limpia con Solvente</v>
          </cell>
          <cell r="F45" t="str">
            <v>Ninguno</v>
          </cell>
          <cell r="G45" t="str">
            <v>8.55 Lbs/Gl</v>
          </cell>
          <cell r="H45" t="str">
            <v>44.57%</v>
          </cell>
          <cell r="I45" t="str">
            <v>56.20%</v>
          </cell>
          <cell r="J45" t="str">
            <v>51.90%</v>
          </cell>
          <cell r="K45" t="str">
            <v>6.47%</v>
          </cell>
          <cell r="L45" t="str">
            <v>46.07%</v>
          </cell>
          <cell r="M45" t="str">
            <v>80"-90" Copa Zanh #2</v>
          </cell>
          <cell r="N45" t="str">
            <v>Pistola</v>
          </cell>
          <cell r="O45" t="str">
            <v>18"-20" Copa Ford #4</v>
          </cell>
          <cell r="P45" t="str">
            <v>20-25%</v>
          </cell>
          <cell r="Q45" t="str">
            <v>R7KSA7</v>
          </cell>
          <cell r="R45" t="str">
            <v>1.0-1.5 mills</v>
          </cell>
          <cell r="S45" t="str">
            <v>-</v>
          </cell>
          <cell r="T45" t="str">
            <v>10" a 425°F</v>
          </cell>
          <cell r="U45" t="str">
            <v>-</v>
          </cell>
          <cell r="V45" t="str">
            <v>35-40</v>
          </cell>
          <cell r="W45" t="str">
            <v>H-2H</v>
          </cell>
          <cell r="X45" t="str">
            <v>12 meses</v>
          </cell>
          <cell r="Y45" t="str">
            <v>Van Leer</v>
          </cell>
          <cell r="Z45" t="str">
            <v>Barriles-Envases, Etc</v>
          </cell>
          <cell r="AA45" t="str">
            <v>-</v>
          </cell>
          <cell r="AB45" t="str">
            <v>-</v>
          </cell>
          <cell r="AC45" t="str">
            <v>S/F</v>
          </cell>
        </row>
        <row r="46">
          <cell r="A46" t="str">
            <v>G70ASA2 (1)</v>
          </cell>
          <cell r="B46" t="str">
            <v>Recubrimiento Interior Fenolico Epoxico</v>
          </cell>
          <cell r="C46" t="str">
            <v>Interior</v>
          </cell>
          <cell r="D46" t="str">
            <v>Hierro</v>
          </cell>
          <cell r="E46" t="str">
            <v>Limpieza con Xileno</v>
          </cell>
          <cell r="F46" t="str">
            <v>Ninguno</v>
          </cell>
          <cell r="G46" t="str">
            <v>8.53 Lbs/Gl</v>
          </cell>
          <cell r="H46" t="str">
            <v>9.20%</v>
          </cell>
          <cell r="I46" t="str">
            <v>56.11%</v>
          </cell>
          <cell r="J46" t="str">
            <v>45.20%</v>
          </cell>
          <cell r="K46" t="str">
            <v>6.78%</v>
          </cell>
          <cell r="L46" t="str">
            <v>44.11%</v>
          </cell>
          <cell r="M46" t="str">
            <v>40"-45" Copa Zanh #2</v>
          </cell>
          <cell r="N46" t="str">
            <v>Pistola de Aire</v>
          </cell>
          <cell r="O46" t="str">
            <v>20"-25" Copa Zanh #2</v>
          </cell>
          <cell r="P46" t="str">
            <v>10-15%</v>
          </cell>
          <cell r="Q46" t="str">
            <v>MIBK</v>
          </cell>
          <cell r="R46" t="str">
            <v>0.7-0.8 mills</v>
          </cell>
          <cell r="S46" t="str">
            <v>Al Horno</v>
          </cell>
          <cell r="T46" t="str">
            <v>8-10' a 425°F</v>
          </cell>
          <cell r="U46" t="str">
            <v>-</v>
          </cell>
          <cell r="V46" t="str">
            <v>50-55</v>
          </cell>
          <cell r="W46" t="str">
            <v>4H</v>
          </cell>
          <cell r="X46" t="str">
            <v>6 meses</v>
          </cell>
          <cell r="Y46" t="str">
            <v>Van Leer de El Salvador</v>
          </cell>
          <cell r="Z46" t="str">
            <v>Envases Metálicos</v>
          </cell>
          <cell r="AA46" t="str">
            <v>-</v>
          </cell>
          <cell r="AB46" t="str">
            <v>-</v>
          </cell>
          <cell r="AC46" t="str">
            <v>S/F</v>
          </cell>
        </row>
        <row r="47">
          <cell r="A47" t="str">
            <v>G70NSA1</v>
          </cell>
          <cell r="B47" t="str">
            <v>Recubrimiento Interior Para Herbicida Beige</v>
          </cell>
          <cell r="C47" t="str">
            <v>Interior</v>
          </cell>
          <cell r="D47" t="str">
            <v>Lamina de Hierro</v>
          </cell>
          <cell r="E47" t="str">
            <v>Limpieza Adecuada</v>
          </cell>
          <cell r="F47" t="str">
            <v>Ninguno</v>
          </cell>
          <cell r="G47" t="str">
            <v>8.91 Lbs/Gl</v>
          </cell>
          <cell r="H47" t="str">
            <v>11.57%</v>
          </cell>
          <cell r="I47" t="str">
            <v>48.24%</v>
          </cell>
          <cell r="J47" t="str">
            <v>47.79%</v>
          </cell>
          <cell r="K47" t="str">
            <v>6.34%</v>
          </cell>
          <cell r="L47" t="str">
            <v>48.10%</v>
          </cell>
          <cell r="M47" t="str">
            <v>60"-70" Copa Zanh #2</v>
          </cell>
          <cell r="N47" t="str">
            <v>Pistola</v>
          </cell>
          <cell r="O47" t="str">
            <v>18"-20" Copa Ford #4</v>
          </cell>
          <cell r="P47" t="str">
            <v>25% con R7KSA7</v>
          </cell>
          <cell r="Q47" t="str">
            <v>R7KSA7</v>
          </cell>
          <cell r="R47" t="str">
            <v>0.8-0.9 mills</v>
          </cell>
          <cell r="S47" t="str">
            <v>-</v>
          </cell>
          <cell r="T47" t="str">
            <v>10' a 425°F</v>
          </cell>
          <cell r="U47" t="str">
            <v>772 Pies cuadrados por Galon</v>
          </cell>
          <cell r="V47" t="str">
            <v>15</v>
          </cell>
          <cell r="W47" t="str">
            <v>4H</v>
          </cell>
          <cell r="X47" t="str">
            <v>6-12 meses</v>
          </cell>
          <cell r="Y47" t="str">
            <v>Van Leer</v>
          </cell>
          <cell r="Z47" t="str">
            <v>Barriles</v>
          </cell>
          <cell r="AA47" t="str">
            <v>-</v>
          </cell>
          <cell r="AB47" t="str">
            <v>-</v>
          </cell>
          <cell r="AC47" t="str">
            <v>S/F</v>
          </cell>
        </row>
        <row r="48">
          <cell r="A48" t="str">
            <v>G70NSA2</v>
          </cell>
          <cell r="B48" t="str">
            <v>Recubrimiento Interior Para Herbicida Beige</v>
          </cell>
          <cell r="C48" t="str">
            <v>Interior</v>
          </cell>
          <cell r="D48" t="str">
            <v>Lamina de Hierro</v>
          </cell>
          <cell r="E48" t="str">
            <v>Bien Limpia</v>
          </cell>
          <cell r="F48" t="str">
            <v>Ninguno</v>
          </cell>
          <cell r="G48" t="str">
            <v>9.14 Lbs/Gl</v>
          </cell>
          <cell r="H48" t="str">
            <v>11.93%</v>
          </cell>
          <cell r="I48" t="str">
            <v>60.44%</v>
          </cell>
          <cell r="J48" t="str">
            <v>55.08%</v>
          </cell>
          <cell r="K48" t="str">
            <v>6.52%</v>
          </cell>
          <cell r="L48" t="str">
            <v>49.38%</v>
          </cell>
          <cell r="M48" t="str">
            <v>60"-70" Copa Zanh #2</v>
          </cell>
          <cell r="N48" t="str">
            <v>Pistola</v>
          </cell>
          <cell r="O48" t="str">
            <v>18"-20" Copa Ford #4</v>
          </cell>
          <cell r="P48" t="str">
            <v>20-25%</v>
          </cell>
          <cell r="Q48" t="str">
            <v>MEK</v>
          </cell>
          <cell r="R48" t="str">
            <v>1.2-1.4 mills</v>
          </cell>
          <cell r="S48" t="str">
            <v>Al Horno</v>
          </cell>
          <cell r="T48" t="str">
            <v>1ra Mano 10' a 107 °C-135°C. 2da Mano 10' a 218 °C-246°C</v>
          </cell>
          <cell r="U48" t="str">
            <v>967.04 Pies cuadrados a 1 mill de espesor</v>
          </cell>
          <cell r="V48" t="str">
            <v>7</v>
          </cell>
          <cell r="W48" t="str">
            <v>3H</v>
          </cell>
          <cell r="X48" t="str">
            <v>6 meses</v>
          </cell>
          <cell r="Y48" t="str">
            <v>Van Leer</v>
          </cell>
          <cell r="Z48" t="str">
            <v xml:space="preserve">Barriles  </v>
          </cell>
          <cell r="AA48" t="str">
            <v>-</v>
          </cell>
          <cell r="AB48" t="str">
            <v>-</v>
          </cell>
          <cell r="AC48" t="str">
            <v>S/F</v>
          </cell>
        </row>
        <row r="49">
          <cell r="A49" t="str">
            <v>G70SSA1</v>
          </cell>
          <cell r="B49" t="str">
            <v>Aluminum Roller Coating Sizing</v>
          </cell>
          <cell r="C49" t="str">
            <v>-</v>
          </cell>
          <cell r="D49" t="str">
            <v>Lamina de Hojalata</v>
          </cell>
          <cell r="E49" t="str">
            <v>Limpia, Seca, Libre de Grasa y Aceite</v>
          </cell>
          <cell r="F49" t="str">
            <v>Ninguno</v>
          </cell>
          <cell r="G49" t="str">
            <v>8.23 Lbs/Gl</v>
          </cell>
          <cell r="H49" t="str">
            <v>16.58%</v>
          </cell>
          <cell r="I49" t="str">
            <v>27.50%</v>
          </cell>
          <cell r="J49" t="str">
            <v>10.92%</v>
          </cell>
          <cell r="K49" t="str">
            <v>43.40%</v>
          </cell>
          <cell r="L49" t="str">
            <v>15.01%</v>
          </cell>
          <cell r="M49" t="str">
            <v>70-80 Seg. Copa Ford #4</v>
          </cell>
          <cell r="N49" t="str">
            <v>Rodillo</v>
          </cell>
          <cell r="O49" t="str">
            <v>70-80 Seg. Copa Ford #4</v>
          </cell>
          <cell r="P49" t="str">
            <v>Ninguno</v>
          </cell>
          <cell r="Q49" t="str">
            <v>-</v>
          </cell>
          <cell r="R49" t="str">
            <v>0.5 mills</v>
          </cell>
          <cell r="S49" t="str">
            <v>-</v>
          </cell>
          <cell r="T49" t="str">
            <v>15' a 300°F</v>
          </cell>
          <cell r="U49" t="str">
            <v>440 Mts Cuadrados/Gl a 1 mills de espesor</v>
          </cell>
          <cell r="V49" t="str">
            <v>20</v>
          </cell>
          <cell r="W49" t="str">
            <v>-</v>
          </cell>
          <cell r="X49" t="str">
            <v>6-12 meses</v>
          </cell>
          <cell r="Y49" t="str">
            <v>Nicaragua</v>
          </cell>
          <cell r="Z49" t="str">
            <v>-</v>
          </cell>
          <cell r="AA49" t="str">
            <v>-</v>
          </cell>
          <cell r="AB49" t="str">
            <v>Luis Nolasco</v>
          </cell>
          <cell r="AC49" t="str">
            <v>S/F</v>
          </cell>
        </row>
        <row r="50">
          <cell r="A50" t="str">
            <v>G70SSA1 (1)</v>
          </cell>
          <cell r="B50" t="str">
            <v>Size Aluminium Varnish</v>
          </cell>
          <cell r="C50" t="str">
            <v>-</v>
          </cell>
          <cell r="D50" t="str">
            <v>Lamina de Hojalata</v>
          </cell>
          <cell r="E50" t="str">
            <v>Limpia, Seca, Libre de Grasa y Aceite</v>
          </cell>
          <cell r="F50" t="str">
            <v>Ninguno</v>
          </cell>
          <cell r="G50" t="str">
            <v>8.23 Lbs/Gl</v>
          </cell>
          <cell r="H50" t="str">
            <v>16.58%</v>
          </cell>
          <cell r="I50" t="str">
            <v>27.50%</v>
          </cell>
          <cell r="J50" t="str">
            <v>10.92%</v>
          </cell>
          <cell r="K50" t="str">
            <v>43.40%</v>
          </cell>
          <cell r="L50" t="str">
            <v>15.01%</v>
          </cell>
          <cell r="M50" t="str">
            <v>70-80 Seg. Copa Ford #4</v>
          </cell>
          <cell r="N50" t="str">
            <v>Rodillo</v>
          </cell>
          <cell r="O50" t="str">
            <v>70-80 Seg. Copa Ford #4</v>
          </cell>
          <cell r="P50" t="str">
            <v>Ninguno</v>
          </cell>
          <cell r="Q50" t="str">
            <v>-</v>
          </cell>
          <cell r="R50" t="str">
            <v>0.5 mills</v>
          </cell>
          <cell r="S50" t="str">
            <v>-</v>
          </cell>
          <cell r="T50" t="str">
            <v>15' a 300°F</v>
          </cell>
          <cell r="U50" t="str">
            <v>440 Mts Cuadrados/Gl a 1 mills de espesor</v>
          </cell>
          <cell r="V50" t="str">
            <v>20</v>
          </cell>
          <cell r="W50" t="str">
            <v>-</v>
          </cell>
          <cell r="X50" t="str">
            <v>6-12 meses</v>
          </cell>
          <cell r="Y50" t="str">
            <v>Nicaragua</v>
          </cell>
          <cell r="Z50" t="str">
            <v>-</v>
          </cell>
          <cell r="AA50" t="str">
            <v>-</v>
          </cell>
          <cell r="AB50" t="str">
            <v>Luis Nolasco</v>
          </cell>
          <cell r="AC50" t="str">
            <v>S/F</v>
          </cell>
        </row>
        <row r="51">
          <cell r="A51" t="str">
            <v>G70TSA1</v>
          </cell>
          <cell r="B51" t="str">
            <v>Sizing Universal Barniz</v>
          </cell>
          <cell r="C51" t="str">
            <v>-</v>
          </cell>
          <cell r="D51" t="str">
            <v>Lamina de Hojalata</v>
          </cell>
          <cell r="E51" t="str">
            <v>Limpia, Seca, Libre de Grasa y Aceite</v>
          </cell>
          <cell r="F51" t="str">
            <v>Ninguno</v>
          </cell>
          <cell r="G51" t="str">
            <v>7.22 Lbs/Gl</v>
          </cell>
          <cell r="H51" t="str">
            <v>-</v>
          </cell>
          <cell r="I51" t="str">
            <v>12.56%</v>
          </cell>
          <cell r="J51" t="str">
            <v>12.56%</v>
          </cell>
          <cell r="K51" t="str">
            <v>-</v>
          </cell>
          <cell r="L51" t="str">
            <v>9.62%</v>
          </cell>
          <cell r="M51" t="str">
            <v>25"-30" Copa Zanh #2</v>
          </cell>
          <cell r="N51" t="str">
            <v>Especial</v>
          </cell>
          <cell r="O51" t="str">
            <v>Listo para Usar</v>
          </cell>
          <cell r="P51" t="str">
            <v>-</v>
          </cell>
          <cell r="Q51" t="str">
            <v>-</v>
          </cell>
          <cell r="R51" t="str">
            <v>0.5 mills</v>
          </cell>
          <cell r="S51" t="str">
            <v>Al horno</v>
          </cell>
          <cell r="T51" t="str">
            <v>15' a 300°F</v>
          </cell>
          <cell r="U51" t="str">
            <v>201 Mts Cuadrados/Gl a 1 mills de espesor</v>
          </cell>
          <cell r="V51" t="str">
            <v>20</v>
          </cell>
          <cell r="W51" t="str">
            <v>-</v>
          </cell>
          <cell r="X51" t="str">
            <v>6-12 meses</v>
          </cell>
          <cell r="Y51" t="str">
            <v>Nicaragua</v>
          </cell>
          <cell r="Z51" t="str">
            <v>-</v>
          </cell>
          <cell r="AA51" t="str">
            <v>-</v>
          </cell>
          <cell r="AB51" t="str">
            <v>Luis Nolasco</v>
          </cell>
          <cell r="AC51" t="str">
            <v>S/F</v>
          </cell>
        </row>
        <row r="52">
          <cell r="A52" t="str">
            <v>G70WSA10</v>
          </cell>
          <cell r="B52" t="str">
            <v>Esmalte Litográfico Blanco Cinco Molinos</v>
          </cell>
          <cell r="C52" t="str">
            <v>Interior</v>
          </cell>
          <cell r="D52" t="str">
            <v>Hojalata</v>
          </cell>
          <cell r="E52" t="str">
            <v>Limpieza con Solvente</v>
          </cell>
          <cell r="F52" t="str">
            <v>Ninguno</v>
          </cell>
          <cell r="G52" t="str">
            <v>10.15 Lbs/Gl</v>
          </cell>
          <cell r="H52" t="str">
            <v>38.32%</v>
          </cell>
          <cell r="I52" t="str">
            <v>61.76%</v>
          </cell>
          <cell r="J52" t="str">
            <v>38.75%</v>
          </cell>
          <cell r="K52" t="str">
            <v>27.78%</v>
          </cell>
          <cell r="L52" t="str">
            <v>41.07%</v>
          </cell>
          <cell r="M52" t="str">
            <v>70"-80" Copa Ford #4</v>
          </cell>
          <cell r="N52" t="str">
            <v>Rodillo</v>
          </cell>
          <cell r="O52" t="str">
            <v>70"-80" Copa Ford #4</v>
          </cell>
          <cell r="P52" t="str">
            <v>Ninguno</v>
          </cell>
          <cell r="Q52" t="str">
            <v>-</v>
          </cell>
          <cell r="R52" t="str">
            <v>1.0 mills</v>
          </cell>
          <cell r="S52" t="str">
            <v>-</v>
          </cell>
          <cell r="T52" t="str">
            <v>15' a 360°F</v>
          </cell>
          <cell r="U52" t="str">
            <v>-</v>
          </cell>
          <cell r="V52" t="str">
            <v>80 Minimo</v>
          </cell>
          <cell r="W52" t="str">
            <v>HB</v>
          </cell>
          <cell r="X52" t="str">
            <v>12 meses</v>
          </cell>
          <cell r="Y52" t="str">
            <v>CORLASA</v>
          </cell>
          <cell r="Z52" t="str">
            <v>Litografía</v>
          </cell>
          <cell r="AA52" t="str">
            <v>-</v>
          </cell>
          <cell r="AB52" t="str">
            <v>-</v>
          </cell>
          <cell r="AC52" t="str">
            <v>S/F</v>
          </cell>
        </row>
        <row r="53">
          <cell r="A53" t="str">
            <v>G70WSA6-P</v>
          </cell>
          <cell r="B53" t="str">
            <v>Roller Coating White</v>
          </cell>
          <cell r="C53" t="str">
            <v>Interior</v>
          </cell>
          <cell r="D53" t="str">
            <v>Hojalata</v>
          </cell>
          <cell r="E53" t="str">
            <v>Limpieza con Solvente</v>
          </cell>
          <cell r="F53" t="str">
            <v>Ninguno</v>
          </cell>
          <cell r="G53" t="str">
            <v>10.72 Lbs/Gl</v>
          </cell>
          <cell r="H53" t="str">
            <v>34.50%</v>
          </cell>
          <cell r="I53" t="str">
            <v>60.47%</v>
          </cell>
          <cell r="J53" t="str">
            <v>39.60%</v>
          </cell>
          <cell r="K53" t="str">
            <v>20.03%</v>
          </cell>
          <cell r="L53" t="str">
            <v>53.32%</v>
          </cell>
          <cell r="M53" t="str">
            <v>60"-80" Copa Ford #4</v>
          </cell>
          <cell r="N53" t="str">
            <v>Rodillo</v>
          </cell>
          <cell r="O53" t="str">
            <v>60"-80" Copa Ford #4</v>
          </cell>
          <cell r="P53" t="str">
            <v>Ninguno</v>
          </cell>
          <cell r="Q53" t="str">
            <v>-</v>
          </cell>
          <cell r="R53" t="str">
            <v>1.0 mills</v>
          </cell>
          <cell r="S53" t="str">
            <v>-</v>
          </cell>
          <cell r="T53" t="str">
            <v>18' a 300°F</v>
          </cell>
          <cell r="U53" t="str">
            <v>-</v>
          </cell>
          <cell r="V53" t="str">
            <v>80 Minimo</v>
          </cell>
          <cell r="W53" t="str">
            <v>HB</v>
          </cell>
          <cell r="X53" t="str">
            <v>12 meses</v>
          </cell>
          <cell r="Y53" t="str">
            <v>CORLASA</v>
          </cell>
          <cell r="Z53" t="str">
            <v>Litografía</v>
          </cell>
          <cell r="AA53" t="str">
            <v>-</v>
          </cell>
          <cell r="AB53" t="str">
            <v>-</v>
          </cell>
          <cell r="AC53" t="str">
            <v>S/F</v>
          </cell>
        </row>
        <row r="54">
          <cell r="A54" t="str">
            <v>G70WSA9</v>
          </cell>
          <cell r="B54" t="str">
            <v>Roller Coating Special White</v>
          </cell>
          <cell r="C54" t="str">
            <v>Interior</v>
          </cell>
          <cell r="D54" t="str">
            <v>Hojalata</v>
          </cell>
          <cell r="E54" t="str">
            <v>Limpia con Solvente</v>
          </cell>
          <cell r="F54" t="str">
            <v>Ninguno</v>
          </cell>
          <cell r="G54" t="str">
            <v>10.68 Lbs/Gl</v>
          </cell>
          <cell r="H54" t="str">
            <v>35%</v>
          </cell>
          <cell r="I54" t="str">
            <v>61.46%</v>
          </cell>
          <cell r="J54" t="str">
            <v>40.37%</v>
          </cell>
          <cell r="K54" t="str">
            <v>27.55%</v>
          </cell>
          <cell r="L54" t="str">
            <v>40.95%</v>
          </cell>
          <cell r="M54" t="str">
            <v>70"-80" Copa Ford #4</v>
          </cell>
          <cell r="N54" t="str">
            <v>Rodillo</v>
          </cell>
          <cell r="O54" t="str">
            <v>70"-80" Copa Ford #4</v>
          </cell>
          <cell r="P54" t="str">
            <v>Ninguno</v>
          </cell>
          <cell r="Q54" t="str">
            <v>-</v>
          </cell>
          <cell r="R54" t="str">
            <v>1 mills</v>
          </cell>
          <cell r="S54" t="str">
            <v>-</v>
          </cell>
          <cell r="T54" t="str">
            <v>15' a 360°F</v>
          </cell>
          <cell r="U54" t="str">
            <v>983.36 Pies Cuadrados/Gl</v>
          </cell>
          <cell r="V54" t="str">
            <v>+80</v>
          </cell>
          <cell r="W54" t="str">
            <v>-</v>
          </cell>
          <cell r="X54" t="str">
            <v>12 meses</v>
          </cell>
          <cell r="Y54" t="str">
            <v>Central de Empaques, Didema Guatemala</v>
          </cell>
          <cell r="Z54" t="str">
            <v>Corcholatas y Hojalatas</v>
          </cell>
          <cell r="AA54" t="str">
            <v>-</v>
          </cell>
          <cell r="AB54" t="str">
            <v>-</v>
          </cell>
          <cell r="AC54" t="str">
            <v>S/F</v>
          </cell>
        </row>
        <row r="55">
          <cell r="A55" t="str">
            <v>G72WSA1</v>
          </cell>
          <cell r="B55" t="str">
            <v>Collapsible Tube Enamel White</v>
          </cell>
          <cell r="C55" t="str">
            <v>Interior</v>
          </cell>
          <cell r="D55" t="str">
            <v>Tubos de Estaño y Plomo</v>
          </cell>
          <cell r="E55" t="str">
            <v>Limpieza</v>
          </cell>
          <cell r="F55" t="str">
            <v>Ninguno</v>
          </cell>
          <cell r="G55" t="str">
            <v>10.65 Lbs/Gl</v>
          </cell>
          <cell r="H55" t="str">
            <v>30%</v>
          </cell>
          <cell r="I55" t="str">
            <v>53.80%</v>
          </cell>
          <cell r="J55" t="str">
            <v>33.80%</v>
          </cell>
          <cell r="K55" t="str">
            <v>27.70%</v>
          </cell>
          <cell r="L55" t="str">
            <v>33.89%</v>
          </cell>
          <cell r="M55" t="str">
            <v>130-135 KU</v>
          </cell>
          <cell r="N55" t="str">
            <v>Especial</v>
          </cell>
          <cell r="O55" t="str">
            <v>130-135 KU</v>
          </cell>
          <cell r="P55" t="str">
            <v>Ninguno</v>
          </cell>
          <cell r="Q55" t="str">
            <v>Ninguno</v>
          </cell>
          <cell r="R55" t="str">
            <v>-</v>
          </cell>
          <cell r="S55" t="str">
            <v>-</v>
          </cell>
          <cell r="T55" t="str">
            <v>6 Min a 300°F</v>
          </cell>
          <cell r="U55" t="str">
            <v>-</v>
          </cell>
          <cell r="V55" t="str">
            <v>80 Minimo</v>
          </cell>
          <cell r="W55" t="str">
            <v>F</v>
          </cell>
          <cell r="X55" t="str">
            <v>12 meses</v>
          </cell>
          <cell r="Y55" t="str">
            <v>Colgate Palmolive</v>
          </cell>
          <cell r="Z55" t="str">
            <v>Pasta Dental</v>
          </cell>
          <cell r="AA55" t="str">
            <v>-</v>
          </cell>
          <cell r="AB55" t="str">
            <v>-</v>
          </cell>
          <cell r="AC55" t="str">
            <v>S/F</v>
          </cell>
        </row>
        <row r="56">
          <cell r="A56" t="str">
            <v>G78ASA4</v>
          </cell>
          <cell r="B56" t="str">
            <v>Esmalte Horneable Acrilico Gris Claro Martillado</v>
          </cell>
          <cell r="C56" t="str">
            <v>Interior-Exterior Limitada</v>
          </cell>
          <cell r="D56" t="str">
            <v>Hierro</v>
          </cell>
          <cell r="E56" t="str">
            <v>Limpieza Quimica y Fosfatizacion</v>
          </cell>
          <cell r="F56" t="str">
            <v>Acrilic Monobake White Primer (E68WSA4)</v>
          </cell>
          <cell r="G56" t="str">
            <v>9.77 Lbs/Gl</v>
          </cell>
          <cell r="H56" t="str">
            <v>26.6%</v>
          </cell>
          <cell r="I56" t="str">
            <v>57.65%</v>
          </cell>
          <cell r="J56" t="str">
            <v>42.30%</v>
          </cell>
          <cell r="K56" t="str">
            <v>20.75%</v>
          </cell>
          <cell r="L56" t="str">
            <v>38.13%</v>
          </cell>
          <cell r="M56" t="str">
            <v>180"-200" Copa Zanh #2</v>
          </cell>
          <cell r="N56" t="str">
            <v>Pistola</v>
          </cell>
          <cell r="O56" t="str">
            <v>28"-32" Zanh #2</v>
          </cell>
          <cell r="P56" t="str">
            <v>40-50%</v>
          </cell>
          <cell r="Q56" t="str">
            <v>R2K4         Industrial reducer</v>
          </cell>
          <cell r="R56" t="str">
            <v>1.3-1.5 mills con E68WSA4</v>
          </cell>
          <cell r="S56" t="str">
            <v>Al Horno</v>
          </cell>
          <cell r="T56" t="str">
            <v>15' a 370°F</v>
          </cell>
          <cell r="U56" t="str">
            <v>-</v>
          </cell>
          <cell r="V56" t="str">
            <v>90-95</v>
          </cell>
          <cell r="W56" t="str">
            <v>2H</v>
          </cell>
          <cell r="X56" t="str">
            <v>6 meses</v>
          </cell>
          <cell r="Y56" t="str">
            <v>PRADO S.A</v>
          </cell>
          <cell r="Z56" t="str">
            <v>Refrigeradoras,Lavadoras,Cocinas</v>
          </cell>
          <cell r="AA56" t="str">
            <v>-</v>
          </cell>
          <cell r="AB56" t="str">
            <v>-</v>
          </cell>
          <cell r="AC56" t="str">
            <v>S/F</v>
          </cell>
        </row>
        <row r="57">
          <cell r="A57" t="str">
            <v>G78ASA5</v>
          </cell>
          <cell r="B57" t="str">
            <v>Esmalte HorneableAcrílico Gris Oscuro Martillado</v>
          </cell>
          <cell r="C57" t="str">
            <v>Interior-Exterior Limitada</v>
          </cell>
          <cell r="D57" t="str">
            <v>Hierro</v>
          </cell>
          <cell r="E57" t="str">
            <v>Limpieza Quimica y Fosfatizacion</v>
          </cell>
          <cell r="F57" t="str">
            <v>Acrilic Monobake White Primer (E68WSA4)</v>
          </cell>
          <cell r="G57" t="str">
            <v>8.94 Lbs/Gl</v>
          </cell>
          <cell r="H57" t="str">
            <v>17.0%</v>
          </cell>
          <cell r="I57" t="str">
            <v>49.77%</v>
          </cell>
          <cell r="J57" t="str">
            <v>39.48%</v>
          </cell>
          <cell r="K57" t="str">
            <v>13.55%</v>
          </cell>
          <cell r="L57" t="str">
            <v>35.13%</v>
          </cell>
          <cell r="M57" t="str">
            <v>180"-200" Copa Zanh #2</v>
          </cell>
          <cell r="N57" t="str">
            <v>Pistola</v>
          </cell>
          <cell r="O57" t="str">
            <v>28"-32" Zanh #2</v>
          </cell>
          <cell r="P57" t="str">
            <v>40-50%</v>
          </cell>
          <cell r="Q57" t="str">
            <v>R2K4         Industrial reducer</v>
          </cell>
          <cell r="R57" t="str">
            <v>1.3-1.5 mills con E68WSA4</v>
          </cell>
          <cell r="S57" t="str">
            <v>Al Horno</v>
          </cell>
          <cell r="T57" t="str">
            <v>15' a 370°F</v>
          </cell>
          <cell r="U57" t="str">
            <v>-</v>
          </cell>
          <cell r="V57" t="str">
            <v>90-95</v>
          </cell>
          <cell r="W57" t="str">
            <v>2H</v>
          </cell>
          <cell r="X57" t="str">
            <v>6 meses</v>
          </cell>
          <cell r="Y57" t="str">
            <v>PRADO S.A</v>
          </cell>
          <cell r="Z57" t="str">
            <v>Refrigeradoras,Lavadoras,Cocinas</v>
          </cell>
          <cell r="AA57" t="str">
            <v>-</v>
          </cell>
          <cell r="AB57" t="str">
            <v>-</v>
          </cell>
          <cell r="AC57" t="str">
            <v>S/F</v>
          </cell>
        </row>
        <row r="58">
          <cell r="A58" t="str">
            <v>G78GSA11</v>
          </cell>
          <cell r="B58" t="str">
            <v>Esmalte Horneable Acrilico Verde Especial</v>
          </cell>
          <cell r="C58" t="str">
            <v>Interior-Exterior Limitada</v>
          </cell>
          <cell r="D58" t="str">
            <v>Lamina Electrogalvanizada</v>
          </cell>
          <cell r="E58" t="str">
            <v>Limpieza Adecuada con R2K4.</v>
          </cell>
          <cell r="F58" t="str">
            <v>Wash Primer Green (P60G2)</v>
          </cell>
          <cell r="G58" t="str">
            <v>8.65 Lbs/Gl</v>
          </cell>
          <cell r="H58" t="str">
            <v>13.37%</v>
          </cell>
          <cell r="I58" t="str">
            <v>45.50%</v>
          </cell>
          <cell r="J58" t="str">
            <v>40.46%</v>
          </cell>
          <cell r="K58" t="str">
            <v>11.22%</v>
          </cell>
          <cell r="L58" t="str">
            <v>32.61%</v>
          </cell>
          <cell r="M58" t="str">
            <v>100"-110" Copa Zanh #2</v>
          </cell>
          <cell r="N58" t="str">
            <v>Pistola Convencional o Elestrostática</v>
          </cell>
          <cell r="O58" t="str">
            <v>20"-25" Copa Zanh #2</v>
          </cell>
          <cell r="P58" t="str">
            <v>20-25%</v>
          </cell>
          <cell r="Q58" t="str">
            <v>Acrilic Baking Enamel Reducer (R7KSA9)</v>
          </cell>
          <cell r="R58" t="str">
            <v>1.0-1.2 mills</v>
          </cell>
          <cell r="S58" t="str">
            <v>5-10 min</v>
          </cell>
          <cell r="T58" t="str">
            <v>30' a 350°F ó 15' a 400°F</v>
          </cell>
          <cell r="U58" t="str">
            <v>1,357 Pies Cuadrados Por Galón</v>
          </cell>
          <cell r="V58" t="str">
            <v>90-95</v>
          </cell>
          <cell r="W58" t="str">
            <v>2H</v>
          </cell>
          <cell r="X58" t="str">
            <v>12 meses</v>
          </cell>
          <cell r="Y58" t="str">
            <v>INDECA S.A</v>
          </cell>
          <cell r="Z58" t="str">
            <v>Refrigeradoras.</v>
          </cell>
          <cell r="AA58" t="str">
            <v>-</v>
          </cell>
          <cell r="AB58" t="str">
            <v>-</v>
          </cell>
          <cell r="AC58" t="str">
            <v>S/F</v>
          </cell>
        </row>
        <row r="59">
          <cell r="A59" t="str">
            <v>G78GSA14</v>
          </cell>
          <cell r="B59" t="str">
            <v>Acrilic Baking Enamel Fresh Avocado Martillado</v>
          </cell>
          <cell r="C59" t="str">
            <v>Interior-Exterior Limitada</v>
          </cell>
          <cell r="D59" t="str">
            <v>Hierro</v>
          </cell>
          <cell r="E59" t="str">
            <v>Limpieza Quimica y Fosfatizacion</v>
          </cell>
          <cell r="F59" t="str">
            <v>Acrilic Monobake White Primer (E68WSA4)</v>
          </cell>
          <cell r="G59" t="str">
            <v>9.77 Lbs/Gl</v>
          </cell>
          <cell r="H59" t="str">
            <v>18.1%</v>
          </cell>
          <cell r="I59" t="str">
            <v>51.83%</v>
          </cell>
          <cell r="J59" t="str">
            <v>40.80%</v>
          </cell>
          <cell r="K59" t="str">
            <v>14.64%</v>
          </cell>
          <cell r="L59" t="str">
            <v>35.68%</v>
          </cell>
          <cell r="M59" t="str">
            <v>180"-200" Copa Zanh #2</v>
          </cell>
          <cell r="N59" t="str">
            <v>Pistola</v>
          </cell>
          <cell r="O59" t="str">
            <v>70"-80"</v>
          </cell>
          <cell r="P59" t="str">
            <v>30-40</v>
          </cell>
          <cell r="Q59" t="str">
            <v>R2K4         Industrial reducer</v>
          </cell>
          <cell r="R59" t="str">
            <v>1.3-1.5 mills con E68WSA4</v>
          </cell>
          <cell r="S59" t="str">
            <v>Al Horno</v>
          </cell>
          <cell r="T59" t="str">
            <v>15' a 370°F</v>
          </cell>
          <cell r="U59" t="str">
            <v>-</v>
          </cell>
          <cell r="V59" t="str">
            <v>90-95</v>
          </cell>
          <cell r="W59" t="str">
            <v>2H</v>
          </cell>
          <cell r="X59" t="str">
            <v>6 meses</v>
          </cell>
          <cell r="Y59" t="str">
            <v>PRADO S.A</v>
          </cell>
          <cell r="Z59" t="str">
            <v>Refrigeradoras,Lavadoras,Cocinas</v>
          </cell>
          <cell r="AA59" t="str">
            <v>-</v>
          </cell>
          <cell r="AB59" t="str">
            <v>-</v>
          </cell>
          <cell r="AC59" t="str">
            <v>S/F</v>
          </cell>
        </row>
        <row r="60">
          <cell r="A60" t="str">
            <v>G78HSA4</v>
          </cell>
          <cell r="B60" t="str">
            <v>Esmalte Horneable Acrilico Beige Oscuro Martillado</v>
          </cell>
          <cell r="C60" t="str">
            <v>Interior-Exterior Limitada</v>
          </cell>
          <cell r="D60" t="str">
            <v>Hierro</v>
          </cell>
          <cell r="E60" t="str">
            <v>Limpieza Quimica y Fosfatizacion</v>
          </cell>
          <cell r="F60" t="str">
            <v>Acrilic Monobake White Primer (E68WSA4)</v>
          </cell>
          <cell r="G60" t="str">
            <v>9.77 Lbs/Gl</v>
          </cell>
          <cell r="H60" t="str">
            <v>26.6%</v>
          </cell>
          <cell r="I60" t="str">
            <v>57.65%</v>
          </cell>
          <cell r="J60" t="str">
            <v>42.30%</v>
          </cell>
          <cell r="K60" t="str">
            <v>20.75%</v>
          </cell>
          <cell r="L60" t="str">
            <v>38.13%</v>
          </cell>
          <cell r="M60" t="str">
            <v>180"-200" Copa Zanh #2</v>
          </cell>
          <cell r="N60" t="str">
            <v>Pistola</v>
          </cell>
          <cell r="O60" t="str">
            <v>28"-32" Zanh #2</v>
          </cell>
          <cell r="P60" t="str">
            <v>40-50%</v>
          </cell>
          <cell r="Q60" t="str">
            <v>R2K4         Industrial reducer</v>
          </cell>
          <cell r="R60" t="str">
            <v>1.3-1.5 mills con E68WSA4</v>
          </cell>
          <cell r="S60" t="str">
            <v>Al Horno</v>
          </cell>
          <cell r="T60" t="str">
            <v>15' a 370°F</v>
          </cell>
          <cell r="U60" t="str">
            <v>-</v>
          </cell>
          <cell r="V60" t="str">
            <v>90-95</v>
          </cell>
          <cell r="W60" t="str">
            <v>2H</v>
          </cell>
          <cell r="X60" t="str">
            <v>6 meses</v>
          </cell>
          <cell r="Y60" t="str">
            <v>PRADO S.A</v>
          </cell>
          <cell r="Z60" t="str">
            <v>Refrigeradoras,Lavadoras,Cocinas</v>
          </cell>
          <cell r="AA60" t="str">
            <v>-</v>
          </cell>
          <cell r="AB60" t="str">
            <v>-</v>
          </cell>
          <cell r="AC60" t="str">
            <v>S/F</v>
          </cell>
        </row>
        <row r="61">
          <cell r="A61" t="str">
            <v>G78NSA18</v>
          </cell>
          <cell r="B61" t="str">
            <v>Acrylic Baking Enamel Oropel</v>
          </cell>
          <cell r="C61" t="str">
            <v>Interior-Exterior</v>
          </cell>
          <cell r="D61" t="str">
            <v>Marcos de Aluminio para Ventanas</v>
          </cell>
          <cell r="E61" t="str">
            <v>-</v>
          </cell>
          <cell r="F61" t="str">
            <v>E41A4</v>
          </cell>
          <cell r="G61" t="str">
            <v>7.96 Lbs/Gl</v>
          </cell>
          <cell r="H61" t="str">
            <v>-</v>
          </cell>
          <cell r="I61" t="str">
            <v>44.13%</v>
          </cell>
          <cell r="J61" t="str">
            <v>-</v>
          </cell>
          <cell r="K61" t="str">
            <v>-</v>
          </cell>
          <cell r="L61" t="str">
            <v>33.50%</v>
          </cell>
          <cell r="M61" t="str">
            <v>80"-90" Copa Zanh #2</v>
          </cell>
          <cell r="N61" t="str">
            <v>Pistola</v>
          </cell>
          <cell r="O61" t="str">
            <v>35"-40" Copa Zanh #2</v>
          </cell>
          <cell r="P61" t="str">
            <v>25%</v>
          </cell>
          <cell r="Q61" t="str">
            <v>Acrilic Baking Enamel Reducer (R7KSA9)</v>
          </cell>
          <cell r="R61" t="str">
            <v>1.5-2 mills</v>
          </cell>
          <cell r="S61" t="str">
            <v>-</v>
          </cell>
          <cell r="T61" t="str">
            <v>15' a 400°F</v>
          </cell>
          <cell r="U61" t="str">
            <v>2,800 Pies Cuadrados/Gl</v>
          </cell>
          <cell r="V61" t="str">
            <v>+80</v>
          </cell>
          <cell r="W61" t="str">
            <v>3H</v>
          </cell>
          <cell r="X61" t="str">
            <v>12 meses</v>
          </cell>
          <cell r="Y61" t="str">
            <v>CEFESA Industrial</v>
          </cell>
          <cell r="Z61" t="str">
            <v>Estructuras de Aluminio para Ventanas</v>
          </cell>
          <cell r="AA61" t="str">
            <v>-</v>
          </cell>
          <cell r="AB61" t="str">
            <v>-</v>
          </cell>
          <cell r="AC61" t="str">
            <v>S/F</v>
          </cell>
        </row>
        <row r="62">
          <cell r="A62" t="str">
            <v>G78NSA24</v>
          </cell>
          <cell r="B62" t="str">
            <v>Esmalte Horneable Acrilico Café Especial</v>
          </cell>
          <cell r="C62" t="str">
            <v>Interior-Exterior Limitada</v>
          </cell>
          <cell r="D62" t="str">
            <v>Lamina Electrogalvanizada</v>
          </cell>
          <cell r="E62" t="str">
            <v>Limpieza Adecuada Con Industrial Reducer R2K4</v>
          </cell>
          <cell r="F62" t="str">
            <v>Wash Primer Green (P60G2)</v>
          </cell>
          <cell r="G62" t="str">
            <v>8.65 Lbs/Gl</v>
          </cell>
          <cell r="H62" t="str">
            <v>12.30%</v>
          </cell>
          <cell r="I62" t="str">
            <v>45.02%</v>
          </cell>
          <cell r="J62" t="str">
            <v>39.54%</v>
          </cell>
          <cell r="K62" t="str">
            <v>10.0%</v>
          </cell>
          <cell r="L62" t="str">
            <v>31.34%</v>
          </cell>
          <cell r="M62" t="str">
            <v>100"-110" Copa Zanh #2</v>
          </cell>
          <cell r="N62" t="str">
            <v>Pistola Convencional o Elestrostática</v>
          </cell>
          <cell r="O62" t="str">
            <v>20"-25" Copa Zanh #2</v>
          </cell>
          <cell r="P62" t="str">
            <v>20-25%</v>
          </cell>
          <cell r="Q62" t="str">
            <v>Acrilic Baking Enamel Reducer (R7KSA9)</v>
          </cell>
          <cell r="R62" t="str">
            <v>1.0-1.2 mills</v>
          </cell>
          <cell r="S62" t="str">
            <v>5-10 minutos</v>
          </cell>
          <cell r="T62" t="str">
            <v>30' a 350°F ó 15' a 400 °F</v>
          </cell>
          <cell r="U62" t="str">
            <v>1197 Pies Cuadrados por Galón.</v>
          </cell>
          <cell r="V62" t="str">
            <v>90-95</v>
          </cell>
          <cell r="W62" t="str">
            <v>2H</v>
          </cell>
          <cell r="X62" t="str">
            <v>12 meses</v>
          </cell>
          <cell r="Y62" t="str">
            <v>INDECA S.A</v>
          </cell>
          <cell r="Z62" t="str">
            <v>Refrigeradoras</v>
          </cell>
          <cell r="AA62" t="str">
            <v>-</v>
          </cell>
          <cell r="AB62" t="str">
            <v>-</v>
          </cell>
          <cell r="AC62" t="str">
            <v>S/F</v>
          </cell>
        </row>
        <row r="63">
          <cell r="A63" t="str">
            <v>G78NSA28</v>
          </cell>
          <cell r="B63" t="str">
            <v>Acrylic Enamel Cofee Martillado</v>
          </cell>
          <cell r="C63" t="str">
            <v>Interior-Exterior Limitada</v>
          </cell>
          <cell r="D63" t="str">
            <v>Hierro</v>
          </cell>
          <cell r="E63" t="str">
            <v>Limpieza Quimica y Fosfatizacion</v>
          </cell>
          <cell r="F63" t="str">
            <v>Acrilic Monobake White Primer (E68WSA4)</v>
          </cell>
          <cell r="G63" t="str">
            <v>8.40 Lbs/Gl</v>
          </cell>
          <cell r="H63" t="str">
            <v>8.9%</v>
          </cell>
          <cell r="I63" t="str">
            <v>45.15%</v>
          </cell>
          <cell r="J63" t="str">
            <v>24.5%</v>
          </cell>
          <cell r="K63" t="str">
            <v>5.35%</v>
          </cell>
          <cell r="L63" t="str">
            <v>38.32%</v>
          </cell>
          <cell r="M63" t="str">
            <v>180"-200" Copa Zanh #2</v>
          </cell>
          <cell r="N63" t="str">
            <v>Pistola</v>
          </cell>
          <cell r="O63" t="str">
            <v>28"-32" Zanh #2</v>
          </cell>
          <cell r="P63" t="str">
            <v>30-40%</v>
          </cell>
          <cell r="Q63" t="str">
            <v>R2K4         Industrial reducer</v>
          </cell>
          <cell r="R63" t="str">
            <v>1.3-1.5 mills con E68WSA4</v>
          </cell>
          <cell r="S63" t="str">
            <v>Al Horno</v>
          </cell>
          <cell r="T63" t="str">
            <v>15' a 370°F</v>
          </cell>
          <cell r="U63" t="str">
            <v>-</v>
          </cell>
          <cell r="V63" t="str">
            <v>90-95</v>
          </cell>
          <cell r="W63" t="str">
            <v>2H</v>
          </cell>
          <cell r="X63" t="str">
            <v>6 meses</v>
          </cell>
          <cell r="Y63" t="str">
            <v>PRADO S.A</v>
          </cell>
          <cell r="Z63" t="str">
            <v>Refrigeradoras,Lavadoras,Cocinas</v>
          </cell>
          <cell r="AA63" t="str">
            <v>-</v>
          </cell>
          <cell r="AB63" t="str">
            <v>-</v>
          </cell>
          <cell r="AC63" t="str">
            <v>S/F</v>
          </cell>
        </row>
        <row r="64">
          <cell r="A64" t="str">
            <v>G78NSA29</v>
          </cell>
          <cell r="B64" t="str">
            <v>Esmalte Horneable Acrilico Café de Mueble Martillado</v>
          </cell>
          <cell r="C64" t="str">
            <v>Interior-Exterior Limitada</v>
          </cell>
          <cell r="D64" t="str">
            <v>Hierro</v>
          </cell>
          <cell r="E64" t="str">
            <v>Limpieza Quimica y Fosfatizacion</v>
          </cell>
          <cell r="F64" t="str">
            <v>Acrilic Monobake White Primer (E68WSA4)</v>
          </cell>
          <cell r="G64" t="str">
            <v>9.31 Lbs/Gl</v>
          </cell>
          <cell r="H64" t="str">
            <v>21.32%</v>
          </cell>
          <cell r="I64" t="str">
            <v>52.36%</v>
          </cell>
          <cell r="J64" t="str">
            <v>39.96%</v>
          </cell>
          <cell r="K64" t="str">
            <v>16.60%</v>
          </cell>
          <cell r="L64" t="str">
            <v>36.45%</v>
          </cell>
          <cell r="M64" t="str">
            <v>180"-200" Copa Zanh #2</v>
          </cell>
          <cell r="N64" t="str">
            <v>Pistola</v>
          </cell>
          <cell r="O64" t="str">
            <v>180"-200" Copa Zanh #2</v>
          </cell>
          <cell r="P64" t="str">
            <v>40-50%</v>
          </cell>
          <cell r="Q64" t="str">
            <v>R2K4         Industrial reducer</v>
          </cell>
          <cell r="R64" t="str">
            <v>1.3-1.5 mills con E68WSA4</v>
          </cell>
          <cell r="S64" t="str">
            <v>Al Horno</v>
          </cell>
          <cell r="T64" t="str">
            <v>15' a 370°F</v>
          </cell>
          <cell r="U64" t="str">
            <v>-</v>
          </cell>
          <cell r="V64" t="str">
            <v>90-95</v>
          </cell>
          <cell r="W64" t="str">
            <v>2H</v>
          </cell>
          <cell r="X64" t="str">
            <v>6 meses</v>
          </cell>
          <cell r="Y64" t="str">
            <v>PRADO S.A</v>
          </cell>
          <cell r="Z64" t="str">
            <v>Refrigeradoras,Lavadoras,Cocinas</v>
          </cell>
          <cell r="AA64" t="str">
            <v>-</v>
          </cell>
          <cell r="AB64" t="str">
            <v>-</v>
          </cell>
          <cell r="AC64" t="str">
            <v>S/F</v>
          </cell>
        </row>
        <row r="65">
          <cell r="A65" t="str">
            <v>G78WSA10</v>
          </cell>
          <cell r="B65" t="str">
            <v>Esmalte Horneable Acrilico Blanco Almendra Martillado</v>
          </cell>
          <cell r="C65" t="str">
            <v>Interior-Exterior Limitada</v>
          </cell>
          <cell r="D65" t="str">
            <v>Hierro</v>
          </cell>
          <cell r="E65" t="str">
            <v>Limpieza Quimica y Fosfatizacion</v>
          </cell>
          <cell r="F65" t="str">
            <v>Acrilic Monobake White Primer (E68WSA4)</v>
          </cell>
          <cell r="G65" t="str">
            <v>9.77 Lbs/Gl</v>
          </cell>
          <cell r="H65" t="str">
            <v>26.6%</v>
          </cell>
          <cell r="I65" t="str">
            <v>57.65%</v>
          </cell>
          <cell r="J65" t="str">
            <v>42.30%</v>
          </cell>
          <cell r="K65" t="str">
            <v>20.75%</v>
          </cell>
          <cell r="L65" t="str">
            <v>38.13%</v>
          </cell>
          <cell r="M65" t="str">
            <v>180"-200" Copa Zanh #2</v>
          </cell>
          <cell r="N65" t="str">
            <v>Pistola</v>
          </cell>
          <cell r="O65" t="str">
            <v>28"-32" Zanh #2</v>
          </cell>
          <cell r="P65" t="str">
            <v>40-50%</v>
          </cell>
          <cell r="Q65" t="str">
            <v>R2K4         Industrial reducer</v>
          </cell>
          <cell r="R65" t="str">
            <v>1.3-1.5 mills con E68WSA4</v>
          </cell>
          <cell r="S65" t="str">
            <v>Al Horno</v>
          </cell>
          <cell r="T65" t="str">
            <v>15' a 370°F</v>
          </cell>
          <cell r="U65" t="str">
            <v>-</v>
          </cell>
          <cell r="V65" t="str">
            <v>90-95</v>
          </cell>
          <cell r="W65" t="str">
            <v>2H</v>
          </cell>
          <cell r="X65" t="str">
            <v>6 meses</v>
          </cell>
          <cell r="Y65" t="str">
            <v>PRADO S.A</v>
          </cell>
          <cell r="Z65" t="str">
            <v>Refrigeradoras,Lavadoras,Cocinas</v>
          </cell>
          <cell r="AA65" t="str">
            <v>-</v>
          </cell>
          <cell r="AB65" t="str">
            <v>-</v>
          </cell>
          <cell r="AC65" t="str">
            <v>S/F</v>
          </cell>
        </row>
        <row r="66">
          <cell r="A66" t="str">
            <v>G78WSA11 (1)</v>
          </cell>
          <cell r="B66" t="str">
            <v>Esmalte Horneable Acrilico Blanco  Almendra</v>
          </cell>
          <cell r="C66" t="str">
            <v>Interior-Exterior Limitada</v>
          </cell>
          <cell r="D66" t="str">
            <v>Hierro</v>
          </cell>
          <cell r="E66" t="str">
            <v>Limpieza Quimica y Fosfatizacion</v>
          </cell>
          <cell r="F66" t="str">
            <v>Acrilic Monobake White Primer (E68WSA4)</v>
          </cell>
          <cell r="G66" t="str">
            <v>9.77 Lbs/Gl</v>
          </cell>
          <cell r="H66" t="str">
            <v>26.6%</v>
          </cell>
          <cell r="I66" t="str">
            <v>57.65%</v>
          </cell>
          <cell r="J66" t="str">
            <v>42.30%</v>
          </cell>
          <cell r="K66" t="str">
            <v>20.75%</v>
          </cell>
          <cell r="L66" t="str">
            <v>38.13%</v>
          </cell>
          <cell r="M66" t="str">
            <v>180"-200" Copa Zanh #2</v>
          </cell>
          <cell r="N66" t="str">
            <v>Pistola</v>
          </cell>
          <cell r="O66" t="str">
            <v>28"-32" Copa Zanh #2</v>
          </cell>
          <cell r="P66" t="str">
            <v>40-50%</v>
          </cell>
          <cell r="Q66" t="str">
            <v>R2K4         Industrial reducer</v>
          </cell>
          <cell r="R66" t="str">
            <v>1.3-1.5 mills con E68WSA4</v>
          </cell>
          <cell r="S66" t="str">
            <v>Al Horno</v>
          </cell>
          <cell r="T66" t="str">
            <v>15' a 370°F</v>
          </cell>
          <cell r="U66" t="str">
            <v>-</v>
          </cell>
          <cell r="V66" t="str">
            <v>90-95</v>
          </cell>
          <cell r="W66" t="str">
            <v>2H</v>
          </cell>
          <cell r="X66" t="str">
            <v>6 meses</v>
          </cell>
          <cell r="Y66" t="str">
            <v>PRADO S.A</v>
          </cell>
          <cell r="Z66" t="str">
            <v>Refrigeradoras,Lavadoras,Cocinas</v>
          </cell>
          <cell r="AA66" t="str">
            <v>-</v>
          </cell>
          <cell r="AB66" t="str">
            <v>-</v>
          </cell>
          <cell r="AC66" t="str">
            <v>S/F</v>
          </cell>
        </row>
        <row r="67">
          <cell r="A67" t="str">
            <v>G78WSA6</v>
          </cell>
          <cell r="B67" t="str">
            <v xml:space="preserve">Esmalte Horneable Acrilico Blanco  </v>
          </cell>
          <cell r="C67" t="str">
            <v>Interior-Exterior Limitada</v>
          </cell>
          <cell r="D67" t="str">
            <v>Hierro</v>
          </cell>
          <cell r="E67" t="str">
            <v>Limpieza Quimica y Fosfatizacion</v>
          </cell>
          <cell r="F67" t="str">
            <v>Acrilic Monobake White Primer (E68WSA4)</v>
          </cell>
          <cell r="G67" t="str">
            <v>9.77 Lbs/Gl</v>
          </cell>
          <cell r="H67" t="str">
            <v>26.6%</v>
          </cell>
          <cell r="I67" t="str">
            <v>57.65%</v>
          </cell>
          <cell r="J67" t="str">
            <v>42.30%</v>
          </cell>
          <cell r="K67" t="str">
            <v>20.75%</v>
          </cell>
          <cell r="L67" t="str">
            <v>38.13%</v>
          </cell>
          <cell r="M67" t="str">
            <v>180"-200" Copa Zanh #2</v>
          </cell>
          <cell r="N67" t="str">
            <v>Pistola</v>
          </cell>
          <cell r="O67" t="str">
            <v>28"-32" Copa Zanh #2</v>
          </cell>
          <cell r="P67" t="str">
            <v>40-50%</v>
          </cell>
          <cell r="Q67" t="str">
            <v>R2K4         Industrial reducer</v>
          </cell>
          <cell r="R67" t="str">
            <v>1.3-1.5 mills con E68WSA4</v>
          </cell>
          <cell r="S67" t="str">
            <v>Al Horno</v>
          </cell>
          <cell r="T67" t="str">
            <v>15' a 370°F</v>
          </cell>
          <cell r="U67" t="str">
            <v xml:space="preserve">37.87 metros cuadrados por galon a una 1.5 MILS de pulgada </v>
          </cell>
          <cell r="V67" t="str">
            <v>90-95</v>
          </cell>
          <cell r="W67" t="str">
            <v>2H</v>
          </cell>
          <cell r="X67" t="str">
            <v>6 meses</v>
          </cell>
          <cell r="Y67" t="str">
            <v>PRADO S.A</v>
          </cell>
          <cell r="Z67" t="str">
            <v>Refrigeradoras,Lavadoras,Cocinas</v>
          </cell>
          <cell r="AA67" t="str">
            <v>VOC=4.14 LBS/GALON</v>
          </cell>
          <cell r="AB67" t="str">
            <v>-</v>
          </cell>
          <cell r="AC67" t="str">
            <v>S/F</v>
          </cell>
        </row>
        <row r="68">
          <cell r="A68" t="str">
            <v>G78WSA8</v>
          </cell>
          <cell r="B68" t="str">
            <v>Esmalte Horneable Acrilico Blanco Especial</v>
          </cell>
          <cell r="C68" t="str">
            <v>Interior-Exterior Limitada</v>
          </cell>
          <cell r="D68" t="str">
            <v>Lamina Electrogalvanizada</v>
          </cell>
          <cell r="E68" t="str">
            <v>Limpieza Adecuada Con Industrial Reducer R2K4</v>
          </cell>
          <cell r="F68" t="str">
            <v>Wash Primer Green (P60G2)</v>
          </cell>
          <cell r="G68" t="str">
            <v>9.82 Lbs/Gl</v>
          </cell>
          <cell r="H68" t="str">
            <v>26.49%</v>
          </cell>
          <cell r="I68" t="str">
            <v>55.02%</v>
          </cell>
          <cell r="J68" t="str">
            <v>40.44%</v>
          </cell>
          <cell r="K68" t="str">
            <v>21.10%</v>
          </cell>
          <cell r="L68" t="str">
            <v>35.6%</v>
          </cell>
          <cell r="M68" t="str">
            <v>100"-110" Copa Zanh #2</v>
          </cell>
          <cell r="N68" t="str">
            <v>Pistola Convencional o Elestrostática</v>
          </cell>
          <cell r="O68" t="str">
            <v>20"-25" Copa Zanh #2</v>
          </cell>
          <cell r="P68" t="str">
            <v>20-25%</v>
          </cell>
          <cell r="Q68" t="str">
            <v>Acrilic Baking Enamel Reducer (R7KSA9)</v>
          </cell>
          <cell r="R68" t="str">
            <v>1.0-1.2 mills</v>
          </cell>
          <cell r="S68" t="str">
            <v>5-10 min</v>
          </cell>
          <cell r="T68" t="str">
            <v>30' a 350°F ó 15' a 400°F</v>
          </cell>
          <cell r="U68" t="str">
            <v>814 Pies Cuadrados/Gl</v>
          </cell>
          <cell r="V68" t="str">
            <v>90-95</v>
          </cell>
          <cell r="W68" t="str">
            <v>2H</v>
          </cell>
          <cell r="X68" t="str">
            <v>12 meses</v>
          </cell>
          <cell r="Y68" t="str">
            <v>INDECA S.A</v>
          </cell>
          <cell r="Z68" t="str">
            <v>Refrigeradoras.</v>
          </cell>
          <cell r="AA68" t="str">
            <v>-</v>
          </cell>
          <cell r="AB68" t="str">
            <v>-</v>
          </cell>
          <cell r="AC68" t="str">
            <v>S/F</v>
          </cell>
        </row>
        <row r="69">
          <cell r="A69" t="str">
            <v>G78YSA10</v>
          </cell>
          <cell r="B69" t="str">
            <v>Acrylic Baking Enamel Harvest Wheat Martillado</v>
          </cell>
          <cell r="C69" t="str">
            <v>Interior-Exterior Limitada</v>
          </cell>
          <cell r="D69" t="str">
            <v>Hierro</v>
          </cell>
          <cell r="E69" t="str">
            <v>Limpieza Quimica y Fosfatizacion</v>
          </cell>
          <cell r="F69" t="str">
            <v>Acrilic Monobake White Primer (E68WSA4)</v>
          </cell>
          <cell r="G69" t="str">
            <v>8.18 Lbs/Gl</v>
          </cell>
          <cell r="H69" t="str">
            <v>19.7%</v>
          </cell>
          <cell r="I69" t="str">
            <v>52.82%</v>
          </cell>
          <cell r="J69" t="str">
            <v>41.3%</v>
          </cell>
          <cell r="K69" t="str">
            <v>15.15%</v>
          </cell>
          <cell r="L69" t="str">
            <v>35.77%</v>
          </cell>
          <cell r="M69" t="str">
            <v>180"-200" Copa Zanh #2</v>
          </cell>
          <cell r="N69" t="str">
            <v>Pistola</v>
          </cell>
          <cell r="O69" t="str">
            <v>28"-32" Zanh #2</v>
          </cell>
          <cell r="P69" t="str">
            <v>30-40%</v>
          </cell>
          <cell r="Q69" t="str">
            <v>R2K4         Industrial reducer</v>
          </cell>
          <cell r="R69" t="str">
            <v>1.3-1.5 mills con E68WSA4</v>
          </cell>
          <cell r="S69" t="str">
            <v>Al Horno</v>
          </cell>
          <cell r="T69" t="str">
            <v>15' a 370°F</v>
          </cell>
          <cell r="U69" t="str">
            <v>-</v>
          </cell>
          <cell r="V69" t="str">
            <v>90-95</v>
          </cell>
          <cell r="W69" t="str">
            <v>2H</v>
          </cell>
          <cell r="X69" t="str">
            <v>6 meses</v>
          </cell>
          <cell r="Y69" t="str">
            <v>PRADO S.A</v>
          </cell>
          <cell r="Z69" t="str">
            <v>Refrigeradoras,Lavadoras,Cocinas</v>
          </cell>
          <cell r="AA69" t="str">
            <v>-</v>
          </cell>
          <cell r="AB69" t="str">
            <v>-</v>
          </cell>
          <cell r="AC69" t="str">
            <v>S/F</v>
          </cell>
        </row>
        <row r="70">
          <cell r="A70" t="str">
            <v>G78YSA8</v>
          </cell>
          <cell r="B70" t="str">
            <v>Esmalte Horneable Acrilico Amarillo Especial</v>
          </cell>
          <cell r="C70" t="str">
            <v>Interior-Exterior Limitada</v>
          </cell>
          <cell r="D70" t="str">
            <v>Lamina Electrogalvanizada</v>
          </cell>
          <cell r="E70" t="str">
            <v>Limpieza Adecuada Con Industrial Reducer R2K4</v>
          </cell>
          <cell r="F70" t="str">
            <v>Wash Primer Green (P60G2)</v>
          </cell>
          <cell r="G70" t="str">
            <v>8.89 Lbs/Gl</v>
          </cell>
          <cell r="H70" t="str">
            <v>15.88%</v>
          </cell>
          <cell r="I70" t="str">
            <v>45.47%</v>
          </cell>
          <cell r="J70" t="str">
            <v>38.25%</v>
          </cell>
          <cell r="K70" t="str">
            <v>12.86%</v>
          </cell>
          <cell r="L70" t="str">
            <v>30.25%</v>
          </cell>
          <cell r="M70" t="str">
            <v>100"-110" Copa Zanh #2</v>
          </cell>
          <cell r="N70" t="str">
            <v>Pistola Convencional o Elestrostática</v>
          </cell>
          <cell r="O70" t="str">
            <v>20"-25" Copa Zanh #2</v>
          </cell>
          <cell r="P70" t="str">
            <v>20-25%</v>
          </cell>
          <cell r="Q70" t="str">
            <v>Acrilic Baking Enamel Reducer (R7KSA9)</v>
          </cell>
          <cell r="R70" t="str">
            <v>1.0-1.2 mills</v>
          </cell>
          <cell r="S70" t="str">
            <v>5-10 minutos</v>
          </cell>
          <cell r="T70" t="str">
            <v>30' a 350°F ó 15' a 400 °F</v>
          </cell>
          <cell r="U70" t="str">
            <v>1197 Pies Cuadrados por Galón.</v>
          </cell>
          <cell r="V70" t="str">
            <v>90-95</v>
          </cell>
          <cell r="W70" t="str">
            <v>2H</v>
          </cell>
          <cell r="X70" t="str">
            <v>12 meses</v>
          </cell>
          <cell r="Y70" t="str">
            <v>INDECA S.A</v>
          </cell>
          <cell r="Z70" t="str">
            <v>Refrigeradoras</v>
          </cell>
          <cell r="AA70" t="str">
            <v>-</v>
          </cell>
          <cell r="AB70" t="str">
            <v>-</v>
          </cell>
          <cell r="AC70" t="str">
            <v>S/F</v>
          </cell>
        </row>
        <row r="71">
          <cell r="A71" t="str">
            <v>H87TSA1 (1)</v>
          </cell>
          <cell r="B71" t="str">
            <v>Laca Transparente Para Cuero</v>
          </cell>
          <cell r="C71" t="str">
            <v>Interior-Exterior</v>
          </cell>
          <cell r="D71" t="str">
            <v>Cuero</v>
          </cell>
          <cell r="E71" t="str">
            <v>Limpieza Adecuada</v>
          </cell>
          <cell r="F71" t="str">
            <v>Ninguno</v>
          </cell>
          <cell r="G71" t="str">
            <v>7.78 Lbs/Gl</v>
          </cell>
          <cell r="H71" t="str">
            <v>-</v>
          </cell>
          <cell r="I71" t="str">
            <v>12.4%</v>
          </cell>
          <cell r="J71" t="str">
            <v>12.4%</v>
          </cell>
          <cell r="K71" t="str">
            <v>-</v>
          </cell>
          <cell r="L71" t="str">
            <v>9.55%</v>
          </cell>
          <cell r="M71" t="str">
            <v>20-30 seg Copa SW #%</v>
          </cell>
          <cell r="N71" t="str">
            <v>Pistola de Aire</v>
          </cell>
          <cell r="O71" t="str">
            <v>18-22 seg en Zanh #2</v>
          </cell>
          <cell r="P71" t="str">
            <v>100-150%</v>
          </cell>
          <cell r="Q71" t="str">
            <v>R7KSA7 Thinner Esp. No.1 ó R7K128 Opex Lacquer Thinner</v>
          </cell>
          <cell r="R71" t="str">
            <v>0.5-1.0 mills/Pulgada</v>
          </cell>
          <cell r="S71" t="str">
            <v>Al Aire 10 minutos Seco completo. Al Horno 1 1/2 minutos</v>
          </cell>
          <cell r="T71" t="str">
            <v>1-14 1/2 minutos a 70-80°C</v>
          </cell>
          <cell r="U71" t="str">
            <v>250-300 Pies Cuadrados por Galón</v>
          </cell>
          <cell r="V71" t="str">
            <v>Brillante      (80-82)</v>
          </cell>
          <cell r="W71" t="str">
            <v>B</v>
          </cell>
          <cell r="X71" t="str">
            <v>12 Meses</v>
          </cell>
          <cell r="Y71" t="str">
            <v>DIREYA, S.A</v>
          </cell>
          <cell r="Z71" t="str">
            <v>Cueros</v>
          </cell>
          <cell r="AA71" t="str">
            <v>-</v>
          </cell>
          <cell r="AB71" t="str">
            <v>-</v>
          </cell>
          <cell r="AC71" t="str">
            <v>S/F</v>
          </cell>
        </row>
        <row r="72">
          <cell r="A72" t="str">
            <v>H87TSA2 (1)</v>
          </cell>
          <cell r="B72" t="str">
            <v>Laca Transparente Especial Para Cuero</v>
          </cell>
          <cell r="C72" t="str">
            <v>-</v>
          </cell>
          <cell r="D72" t="str">
            <v>Cuero</v>
          </cell>
          <cell r="E72" t="str">
            <v>Limpio con Solvente</v>
          </cell>
          <cell r="F72" t="str">
            <v>Ninguno</v>
          </cell>
          <cell r="G72" t="str">
            <v>7.81 Lbs/Gl</v>
          </cell>
          <cell r="H72" t="str">
            <v>-</v>
          </cell>
          <cell r="I72" t="str">
            <v>34.50%</v>
          </cell>
          <cell r="J72" t="str">
            <v>34.50%</v>
          </cell>
          <cell r="K72" t="str">
            <v>-</v>
          </cell>
          <cell r="L72" t="str">
            <v>26.90%</v>
          </cell>
          <cell r="M72" t="str">
            <v>20"-25" SW#5</v>
          </cell>
          <cell r="N72" t="str">
            <v>Pistola</v>
          </cell>
          <cell r="O72" t="str">
            <v>18"-20" Copa Ford #4</v>
          </cell>
          <cell r="P72" t="str">
            <v>100-150% R7K128</v>
          </cell>
          <cell r="Q72" t="str">
            <v>R7K128</v>
          </cell>
          <cell r="R72" t="str">
            <v>-</v>
          </cell>
          <cell r="S72" t="str">
            <v>20 minutos</v>
          </cell>
          <cell r="T72" t="str">
            <v>-</v>
          </cell>
          <cell r="U72" t="str">
            <v>-</v>
          </cell>
          <cell r="V72" t="str">
            <v>+80</v>
          </cell>
          <cell r="W72" t="str">
            <v>-</v>
          </cell>
          <cell r="X72" t="str">
            <v>6 meses</v>
          </cell>
          <cell r="Y72" t="str">
            <v>Calzado Infantil, S:A de C:V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S/F</v>
          </cell>
        </row>
        <row r="73">
          <cell r="A73" t="str">
            <v>K7W97</v>
          </cell>
          <cell r="B73" t="str">
            <v>Super Kem Tone Blanco Puro</v>
          </cell>
          <cell r="C73" t="str">
            <v>Interior</v>
          </cell>
          <cell r="D73" t="str">
            <v>Concreto-Madera-Estuco</v>
          </cell>
          <cell r="E73" t="str">
            <v>Superficie Seca y Limpia</v>
          </cell>
          <cell r="F73" t="str">
            <v>A71WSA4 para pintar sobre madera</v>
          </cell>
          <cell r="G73" t="str">
            <v>11.22 Lbs/Gl</v>
          </cell>
          <cell r="H73" t="str">
            <v>-</v>
          </cell>
          <cell r="I73" t="str">
            <v>53.8%</v>
          </cell>
          <cell r="J73" t="str">
            <v>-</v>
          </cell>
          <cell r="K73" t="str">
            <v>-</v>
          </cell>
          <cell r="L73" t="str">
            <v>38.7%</v>
          </cell>
          <cell r="M73" t="str">
            <v>20"-22" Copa SW #4</v>
          </cell>
          <cell r="N73" t="str">
            <v>Brocha-Rodillo</v>
          </cell>
          <cell r="O73" t="str">
            <v>El de la Pintura</v>
          </cell>
          <cell r="P73" t="str">
            <v>Ninguno</v>
          </cell>
          <cell r="Q73" t="str">
            <v>-</v>
          </cell>
          <cell r="R73" t="str">
            <v>5 mills</v>
          </cell>
          <cell r="S73" t="str">
            <v>Al aire</v>
          </cell>
          <cell r="T73" t="str">
            <v>-</v>
          </cell>
          <cell r="U73" t="str">
            <v>50 Mts cuadrados/Gl</v>
          </cell>
          <cell r="V73" t="str">
            <v>2-4 (85°)</v>
          </cell>
          <cell r="W73" t="str">
            <v>-</v>
          </cell>
          <cell r="X73" t="str">
            <v>1-2 Años</v>
          </cell>
          <cell r="Y73" t="str">
            <v>Warner Lambert-Guatemala</v>
          </cell>
          <cell r="Z73" t="str">
            <v>-</v>
          </cell>
          <cell r="AA73" t="str">
            <v>-</v>
          </cell>
          <cell r="AB73" t="str">
            <v>-</v>
          </cell>
          <cell r="AC73" t="str">
            <v>S/F</v>
          </cell>
        </row>
        <row r="74">
          <cell r="A74" t="str">
            <v>L60ASA10</v>
          </cell>
          <cell r="B74" t="str">
            <v>Laca Industrial Gris Especial</v>
          </cell>
          <cell r="C74" t="str">
            <v>Interior</v>
          </cell>
          <cell r="D74" t="str">
            <v>Hierro</v>
          </cell>
          <cell r="E74" t="str">
            <v xml:space="preserve">Limpio  </v>
          </cell>
          <cell r="F74" t="str">
            <v>Ninguno</v>
          </cell>
          <cell r="G74" t="str">
            <v>8.15 Lbs/Gl</v>
          </cell>
          <cell r="H74" t="str">
            <v>5.24%</v>
          </cell>
          <cell r="I74" t="str">
            <v>39.57%</v>
          </cell>
          <cell r="J74" t="str">
            <v>36.23%</v>
          </cell>
          <cell r="K74" t="str">
            <v>4.61%</v>
          </cell>
          <cell r="L74" t="str">
            <v>29.92%</v>
          </cell>
          <cell r="M74" t="str">
            <v>20"-25" Copa SW #5</v>
          </cell>
          <cell r="N74" t="str">
            <v>Inmersión</v>
          </cell>
          <cell r="O74" t="str">
            <v>18"-20" Copa Ford #4</v>
          </cell>
          <cell r="P74" t="str">
            <v>50% con R7K128</v>
          </cell>
          <cell r="Q74" t="str">
            <v>R7K128</v>
          </cell>
          <cell r="R74" t="str">
            <v>1 mills</v>
          </cell>
          <cell r="S74" t="str">
            <v>Al aire</v>
          </cell>
          <cell r="T74" t="str">
            <v>-</v>
          </cell>
          <cell r="U74" t="str">
            <v>633 Pies Cuadrados/Gl</v>
          </cell>
          <cell r="V74" t="str">
            <v>80</v>
          </cell>
          <cell r="W74" t="str">
            <v>2B</v>
          </cell>
          <cell r="X74" t="str">
            <v>6-12 meses</v>
          </cell>
          <cell r="Y74" t="str">
            <v>BOIRA</v>
          </cell>
          <cell r="Z74" t="str">
            <v>-</v>
          </cell>
          <cell r="AA74" t="str">
            <v>-</v>
          </cell>
          <cell r="AB74" t="str">
            <v>Luis Nolasco</v>
          </cell>
          <cell r="AC74" t="str">
            <v>S/F</v>
          </cell>
        </row>
        <row r="75">
          <cell r="A75" t="str">
            <v>M72WSA1</v>
          </cell>
          <cell r="B75" t="str">
            <v>Recubrimiento Blanco Para Cartón</v>
          </cell>
          <cell r="C75" t="str">
            <v>Interior</v>
          </cell>
          <cell r="D75" t="str">
            <v>Carton</v>
          </cell>
          <cell r="E75" t="str">
            <v>Ninguna</v>
          </cell>
          <cell r="F75" t="str">
            <v>-</v>
          </cell>
          <cell r="G75" t="str">
            <v>11.78 Lbs/Gl</v>
          </cell>
          <cell r="H75" t="str">
            <v>41.22%</v>
          </cell>
          <cell r="I75" t="str">
            <v>57.06%</v>
          </cell>
          <cell r="J75" t="str">
            <v>15.84%</v>
          </cell>
          <cell r="K75" t="str">
            <v>50.0%</v>
          </cell>
          <cell r="L75" t="str">
            <v>41.46%</v>
          </cell>
          <cell r="M75" t="str">
            <v>30-35 seg Copa Zanh #2</v>
          </cell>
          <cell r="N75" t="str">
            <v>Cuchilla de Hule</v>
          </cell>
          <cell r="O75" t="str">
            <v>20-25 seg. Copa Zanh #2</v>
          </cell>
          <cell r="P75" t="str">
            <v>2-3% con Agua</v>
          </cell>
          <cell r="Q75" t="str">
            <v>Agua</v>
          </cell>
          <cell r="R75" t="str">
            <v>-</v>
          </cell>
          <cell r="S75" t="str">
            <v>Con Rodillo Caliente 150°C</v>
          </cell>
          <cell r="T75" t="str">
            <v>1 Minuto a 150°C</v>
          </cell>
          <cell r="U75" t="str">
            <v>-</v>
          </cell>
          <cell r="V75" t="str">
            <v>Mate</v>
          </cell>
          <cell r="W75" t="str">
            <v>-</v>
          </cell>
          <cell r="X75" t="str">
            <v>4-6 Meses</v>
          </cell>
          <cell r="Y75" t="str">
            <v>Cajas y Bolsas S.A</v>
          </cell>
          <cell r="Z75" t="str">
            <v>Cajas de Cartón</v>
          </cell>
          <cell r="AA75" t="str">
            <v>-</v>
          </cell>
          <cell r="AB75" t="str">
            <v>-</v>
          </cell>
          <cell r="AC75" t="str">
            <v>S/F</v>
          </cell>
        </row>
        <row r="76">
          <cell r="A76" t="str">
            <v>R7KSA13 (1)</v>
          </cell>
          <cell r="B76" t="str">
            <v>Thinner Especial</v>
          </cell>
          <cell r="C76" t="str">
            <v>-</v>
          </cell>
          <cell r="D76" t="str">
            <v>Polietileno y Poliestireno</v>
          </cell>
          <cell r="E76" t="str">
            <v>-</v>
          </cell>
          <cell r="F76" t="str">
            <v>-</v>
          </cell>
          <cell r="G76" t="str">
            <v>6.68 Lbs/Gl</v>
          </cell>
          <cell r="H76" t="str">
            <v>-</v>
          </cell>
          <cell r="I76" t="str">
            <v>-</v>
          </cell>
          <cell r="J76" t="str">
            <v>-</v>
          </cell>
          <cell r="K76" t="str">
            <v>-</v>
          </cell>
          <cell r="L76" t="str">
            <v>-</v>
          </cell>
          <cell r="M76" t="str">
            <v>-</v>
          </cell>
          <cell r="N76" t="str">
            <v>-</v>
          </cell>
          <cell r="O76" t="str">
            <v>-</v>
          </cell>
          <cell r="P76" t="str">
            <v>-</v>
          </cell>
          <cell r="Q76" t="str">
            <v>-</v>
          </cell>
          <cell r="R76" t="str">
            <v>-</v>
          </cell>
          <cell r="S76" t="str">
            <v>-</v>
          </cell>
          <cell r="T76" t="str">
            <v>-</v>
          </cell>
          <cell r="U76" t="str">
            <v>-</v>
          </cell>
          <cell r="V76" t="str">
            <v>-</v>
          </cell>
          <cell r="W76" t="str">
            <v>-</v>
          </cell>
          <cell r="X76" t="str">
            <v>-</v>
          </cell>
          <cell r="Y76" t="str">
            <v>-</v>
          </cell>
          <cell r="Z76" t="str">
            <v>Adornos Navideños y otros.</v>
          </cell>
          <cell r="AA76" t="str">
            <v>-</v>
          </cell>
          <cell r="AB76" t="str">
            <v>-</v>
          </cell>
          <cell r="AC76" t="str">
            <v>S/F</v>
          </cell>
        </row>
        <row r="77">
          <cell r="A77" t="str">
            <v>SAA 1713</v>
          </cell>
          <cell r="B77" t="str">
            <v>Esmalte Horneable Acrilico Negro Satinado</v>
          </cell>
          <cell r="C77" t="str">
            <v>Interior-Exterior Limitada</v>
          </cell>
          <cell r="D77" t="str">
            <v>Artículos de Aluminio</v>
          </cell>
          <cell r="E77" t="str">
            <v>Limpieza con Solvente</v>
          </cell>
          <cell r="F77" t="str">
            <v>Gripclad Primer</v>
          </cell>
          <cell r="G77" t="str">
            <v>8.80 Lbs/Gl</v>
          </cell>
          <cell r="H77" t="str">
            <v>-</v>
          </cell>
          <cell r="I77" t="str">
            <v>51.40%</v>
          </cell>
          <cell r="J77" t="str">
            <v>-</v>
          </cell>
          <cell r="K77" t="str">
            <v>-</v>
          </cell>
          <cell r="L77" t="str">
            <v>37.44%</v>
          </cell>
          <cell r="M77" t="str">
            <v>100"-110" Copa Zanh #2</v>
          </cell>
          <cell r="N77" t="str">
            <v>Pistola</v>
          </cell>
          <cell r="O77" t="str">
            <v>25"-30" Copa Zanh #2</v>
          </cell>
          <cell r="P77" t="str">
            <v>20%</v>
          </cell>
          <cell r="Q77" t="str">
            <v>Acrilic Baking Enamel Reducer (R7KSA9)</v>
          </cell>
          <cell r="R77" t="str">
            <v>1.0-1.5 mills</v>
          </cell>
          <cell r="S77" t="str">
            <v>-</v>
          </cell>
          <cell r="T77" t="str">
            <v>15' a 400°F</v>
          </cell>
          <cell r="U77" t="str">
            <v>600 Pies Cuadrados/Gl</v>
          </cell>
          <cell r="V77" t="str">
            <v>10-12</v>
          </cell>
          <cell r="W77" t="str">
            <v>3H</v>
          </cell>
          <cell r="X77" t="str">
            <v>12 meses</v>
          </cell>
          <cell r="Y77" t="str">
            <v>Productos Atmosféricos (Nicaragua)</v>
          </cell>
          <cell r="Z77" t="str">
            <v>-</v>
          </cell>
          <cell r="AA77" t="str">
            <v>-</v>
          </cell>
          <cell r="AB77" t="str">
            <v>-</v>
          </cell>
          <cell r="AC77" t="str">
            <v>S/F</v>
          </cell>
        </row>
        <row r="78">
          <cell r="A78" t="str">
            <v>SAA 1723</v>
          </cell>
          <cell r="B78" t="str">
            <v>Kem Fast Dry Oxide Black</v>
          </cell>
          <cell r="C78" t="str">
            <v>Interior-Exterior</v>
          </cell>
          <cell r="D78" t="str">
            <v>Hierro Negro</v>
          </cell>
          <cell r="E78" t="str">
            <v>Cepillo de Alambre y Productos Químicos</v>
          </cell>
          <cell r="F78" t="str">
            <v>-</v>
          </cell>
          <cell r="G78" t="str">
            <v>9.54 Lbs/Gl</v>
          </cell>
          <cell r="H78" t="str">
            <v>-</v>
          </cell>
          <cell r="I78" t="str">
            <v>52.31%</v>
          </cell>
          <cell r="J78" t="str">
            <v>-</v>
          </cell>
          <cell r="K78" t="str">
            <v>-</v>
          </cell>
          <cell r="L78" t="str">
            <v>31.61%</v>
          </cell>
          <cell r="M78" t="str">
            <v>25"-30" Copa Ford #4</v>
          </cell>
          <cell r="N78" t="str">
            <v>Pistola</v>
          </cell>
          <cell r="O78" t="str">
            <v>20"-22" Copa Ford #4</v>
          </cell>
          <cell r="P78" t="str">
            <v>12.5% R2K4</v>
          </cell>
          <cell r="Q78" t="str">
            <v>R2K4         Industrial reducer</v>
          </cell>
          <cell r="R78" t="str">
            <v>1.0-1.5 mills</v>
          </cell>
          <cell r="S78" t="str">
            <v>Al Tacto: 20 Min.        Completo: 1 Hr.</v>
          </cell>
          <cell r="T78" t="str">
            <v>-</v>
          </cell>
          <cell r="U78" t="str">
            <v>480 Pies Cuadrados/Gl</v>
          </cell>
          <cell r="V78" t="str">
            <v>0-5</v>
          </cell>
          <cell r="W78" t="str">
            <v>-</v>
          </cell>
          <cell r="X78" t="str">
            <v>12 meses</v>
          </cell>
          <cell r="Y78" t="str">
            <v>Ferro Arte Nicaragua</v>
          </cell>
          <cell r="Z78" t="str">
            <v>Verjas de Hierro Negro</v>
          </cell>
          <cell r="AA78" t="str">
            <v>-</v>
          </cell>
          <cell r="AB78" t="str">
            <v>-</v>
          </cell>
          <cell r="AC78" t="str">
            <v>S/F</v>
          </cell>
        </row>
        <row r="79">
          <cell r="A79" t="str">
            <v>SAA 1868</v>
          </cell>
          <cell r="B79" t="str">
            <v>Wet Ink Varnish (Silver V)</v>
          </cell>
          <cell r="C79" t="str">
            <v>-</v>
          </cell>
          <cell r="D79" t="str">
            <v>Hojalata</v>
          </cell>
          <cell r="E79" t="str">
            <v>Normal</v>
          </cell>
          <cell r="F79" t="str">
            <v>Ninguno</v>
          </cell>
          <cell r="G79" t="str">
            <v>7.46 Lbs/Gl</v>
          </cell>
          <cell r="H79" t="str">
            <v>-</v>
          </cell>
          <cell r="I79" t="str">
            <v>40.0%</v>
          </cell>
          <cell r="J79" t="str">
            <v>-</v>
          </cell>
          <cell r="K79" t="str">
            <v>-</v>
          </cell>
          <cell r="L79" t="str">
            <v>-</v>
          </cell>
          <cell r="M79" t="str">
            <v>35-40" Copa Ford #4</v>
          </cell>
          <cell r="N79" t="str">
            <v>Roller Coating</v>
          </cell>
          <cell r="O79" t="str">
            <v>Igual</v>
          </cell>
          <cell r="P79" t="str">
            <v>Ninguno</v>
          </cell>
          <cell r="Q79" t="str">
            <v>03-23-100 R2K7</v>
          </cell>
          <cell r="R79" t="str">
            <v>13 mm</v>
          </cell>
          <cell r="S79" t="str">
            <v>Al Horno</v>
          </cell>
          <cell r="T79" t="str">
            <v>12-15' a 160-165°C</v>
          </cell>
          <cell r="U79" t="str">
            <v>-</v>
          </cell>
          <cell r="V79" t="str">
            <v>90</v>
          </cell>
          <cell r="W79" t="str">
            <v>HB</v>
          </cell>
          <cell r="X79" t="str">
            <v>6 meses</v>
          </cell>
          <cell r="Y79" t="str">
            <v>CORLASA</v>
          </cell>
          <cell r="Z79" t="str">
            <v>Lamina Litografiada</v>
          </cell>
          <cell r="AA79" t="str">
            <v>-</v>
          </cell>
          <cell r="AB79" t="str">
            <v>-</v>
          </cell>
          <cell r="AC79" t="str">
            <v>S/F</v>
          </cell>
        </row>
        <row r="80">
          <cell r="A80" t="str">
            <v>SAA 2031</v>
          </cell>
          <cell r="B80" t="str">
            <v>Esmalte Horneable Rojo Especial</v>
          </cell>
          <cell r="C80" t="str">
            <v>Exterior</v>
          </cell>
          <cell r="D80" t="str">
            <v>Acero</v>
          </cell>
          <cell r="E80" t="str">
            <v>Limpia sin óxido</v>
          </cell>
          <cell r="F80" t="str">
            <v>E68WSA1</v>
          </cell>
          <cell r="G80" t="str">
            <v>8.37 Lbs/Gl</v>
          </cell>
          <cell r="H80" t="str">
            <v>6.38%</v>
          </cell>
          <cell r="I80" t="str">
            <v>50.75%</v>
          </cell>
          <cell r="J80" t="str">
            <v>44.37%</v>
          </cell>
          <cell r="K80" t="str">
            <v>4.94%</v>
          </cell>
          <cell r="L80" t="str">
            <v>42.07%</v>
          </cell>
          <cell r="M80" t="str">
            <v>80"-90" Copa Zanh #2</v>
          </cell>
          <cell r="N80" t="str">
            <v>Pistola</v>
          </cell>
          <cell r="O80" t="str">
            <v>25"-30" Copa Zanh #2</v>
          </cell>
          <cell r="P80" t="str">
            <v>20% R2K4</v>
          </cell>
          <cell r="Q80" t="str">
            <v>R2K4         Industrial reducer</v>
          </cell>
          <cell r="R80" t="str">
            <v xml:space="preserve">0.5-1.0 mills </v>
          </cell>
          <cell r="S80" t="str">
            <v>Al Horno</v>
          </cell>
          <cell r="T80" t="str">
            <v>15' a 300°F</v>
          </cell>
          <cell r="U80" t="str">
            <v>-</v>
          </cell>
          <cell r="V80" t="str">
            <v>+95</v>
          </cell>
          <cell r="W80" t="str">
            <v>H 24 Hrs después</v>
          </cell>
          <cell r="X80" t="str">
            <v>-</v>
          </cell>
          <cell r="Y80" t="str">
            <v>Productos Eléctricos, S.A</v>
          </cell>
          <cell r="Z80" t="str">
            <v>Triciclos</v>
          </cell>
          <cell r="AA80" t="str">
            <v>-</v>
          </cell>
          <cell r="AB80" t="str">
            <v>-</v>
          </cell>
          <cell r="AC80" t="str">
            <v>S/F</v>
          </cell>
        </row>
        <row r="81">
          <cell r="A81" t="str">
            <v>SAA 2032</v>
          </cell>
          <cell r="B81" t="str">
            <v>Acrylid Acrylic Enamel Alpine White</v>
          </cell>
          <cell r="C81" t="str">
            <v>Exterior</v>
          </cell>
          <cell r="D81" t="str">
            <v>Acero</v>
          </cell>
          <cell r="E81" t="str">
            <v>Fosfatizado</v>
          </cell>
          <cell r="F81" t="str">
            <v>E68ASA1   E68RSA1</v>
          </cell>
          <cell r="G81" t="str">
            <v>9.37 Lbs/Gl</v>
          </cell>
          <cell r="H81" t="str">
            <v>21.16%</v>
          </cell>
          <cell r="I81" t="str">
            <v>57.93%</v>
          </cell>
          <cell r="J81" t="str">
            <v>36.76%</v>
          </cell>
          <cell r="K81" t="str">
            <v>13.09%</v>
          </cell>
          <cell r="L81" t="str">
            <v>44.76%</v>
          </cell>
          <cell r="M81" t="str">
            <v>70"-80" Copa Ford #4</v>
          </cell>
          <cell r="N81" t="str">
            <v>Pistola</v>
          </cell>
          <cell r="O81" t="str">
            <v>18"-20" Copa Ford #4</v>
          </cell>
          <cell r="P81" t="str">
            <v>50%</v>
          </cell>
          <cell r="Q81" t="str">
            <v>R7K212</v>
          </cell>
          <cell r="R81" t="str">
            <v>1.5-2.0 mills</v>
          </cell>
          <cell r="S81" t="str">
            <v>Al Horno</v>
          </cell>
          <cell r="T81" t="str">
            <v>15' a 350°F</v>
          </cell>
          <cell r="U81" t="str">
            <v>282.5 Pies Cuadrados por Galón</v>
          </cell>
          <cell r="V81" t="str">
            <v>+80</v>
          </cell>
          <cell r="W81" t="str">
            <v>2B Después de 24 Hrs</v>
          </cell>
          <cell r="X81" t="str">
            <v>un Año</v>
          </cell>
          <cell r="Y81" t="str">
            <v>COOPESA (COSTA RICA)</v>
          </cell>
          <cell r="Z81" t="str">
            <v>Automóviles</v>
          </cell>
          <cell r="AA81" t="str">
            <v>-</v>
          </cell>
          <cell r="AB81" t="str">
            <v>-</v>
          </cell>
          <cell r="AC81" t="str">
            <v>S/F</v>
          </cell>
        </row>
        <row r="82">
          <cell r="A82" t="str">
            <v>SAA 2041</v>
          </cell>
          <cell r="B82" t="str">
            <v>Roller Coating White</v>
          </cell>
          <cell r="C82" t="str">
            <v>Interior</v>
          </cell>
          <cell r="D82" t="str">
            <v>Hojalata</v>
          </cell>
          <cell r="E82" t="str">
            <v>Limpieza con Solvente</v>
          </cell>
          <cell r="F82" t="str">
            <v>Ninguno</v>
          </cell>
          <cell r="G82" t="str">
            <v>9.39 Lbs/Gl</v>
          </cell>
          <cell r="H82" t="str">
            <v>21.2%</v>
          </cell>
          <cell r="I82" t="str">
            <v>37.8%</v>
          </cell>
          <cell r="J82" t="str">
            <v>78.8%</v>
          </cell>
          <cell r="K82" t="str">
            <v>30.7%</v>
          </cell>
          <cell r="L82" t="str">
            <v>19.7%</v>
          </cell>
          <cell r="M82" t="str">
            <v>70"-80" Copa Ford #4</v>
          </cell>
          <cell r="N82" t="str">
            <v>Rodillo</v>
          </cell>
          <cell r="O82" t="str">
            <v>70"-80" Copa Ford #4</v>
          </cell>
          <cell r="P82" t="str">
            <v>Ninguno</v>
          </cell>
          <cell r="Q82" t="str">
            <v>-</v>
          </cell>
          <cell r="R82" t="str">
            <v>1.0 mills</v>
          </cell>
          <cell r="S82" t="str">
            <v>Horneo</v>
          </cell>
          <cell r="T82" t="str">
            <v>15' a 360°F</v>
          </cell>
          <cell r="U82" t="str">
            <v>44.62 Mts Cuadrados/Gl</v>
          </cell>
          <cell r="V82" t="str">
            <v>85 Minimo</v>
          </cell>
          <cell r="W82" t="str">
            <v>HB</v>
          </cell>
          <cell r="X82" t="str">
            <v>12 meses</v>
          </cell>
          <cell r="Y82" t="str">
            <v>UNICAN</v>
          </cell>
          <cell r="Z82" t="str">
            <v>Litografía</v>
          </cell>
          <cell r="AA82" t="str">
            <v>-</v>
          </cell>
          <cell r="AB82" t="str">
            <v>-</v>
          </cell>
          <cell r="AC82" t="str">
            <v>S/F</v>
          </cell>
        </row>
        <row r="83">
          <cell r="A83" t="str">
            <v>SAA 2086</v>
          </cell>
          <cell r="B83" t="str">
            <v>Collapsible Tube Enamel White</v>
          </cell>
          <cell r="C83" t="str">
            <v>Interior</v>
          </cell>
          <cell r="D83" t="str">
            <v>Tubos de Estaño y Plomo</v>
          </cell>
          <cell r="E83" t="str">
            <v>Limpieza</v>
          </cell>
          <cell r="F83" t="str">
            <v>Ninguno</v>
          </cell>
          <cell r="G83" t="str">
            <v>10.71 Lbs/Gl</v>
          </cell>
          <cell r="H83" t="str">
            <v>29.55%</v>
          </cell>
          <cell r="I83" t="str">
            <v>53.56%</v>
          </cell>
          <cell r="J83" t="str">
            <v>34.08%</v>
          </cell>
          <cell r="K83" t="str">
            <v>27.64%</v>
          </cell>
          <cell r="L83" t="str">
            <v>33.94%</v>
          </cell>
          <cell r="M83" t="str">
            <v>130-135 KU</v>
          </cell>
          <cell r="N83" t="str">
            <v>Especial</v>
          </cell>
          <cell r="O83" t="str">
            <v>130-135 KU</v>
          </cell>
          <cell r="P83" t="str">
            <v>Ninguno</v>
          </cell>
          <cell r="Q83" t="str">
            <v>Ninguno</v>
          </cell>
          <cell r="R83" t="str">
            <v>-</v>
          </cell>
          <cell r="S83" t="str">
            <v>-</v>
          </cell>
          <cell r="T83" t="str">
            <v>3-1/2 Minutos a 230°F</v>
          </cell>
          <cell r="U83" t="str">
            <v>-</v>
          </cell>
          <cell r="V83" t="str">
            <v>80 Minimo</v>
          </cell>
          <cell r="W83" t="str">
            <v>F</v>
          </cell>
          <cell r="X83" t="str">
            <v>12 meses</v>
          </cell>
          <cell r="Y83" t="str">
            <v>Colgate Palmolive</v>
          </cell>
          <cell r="Z83" t="str">
            <v>Pasta Dental</v>
          </cell>
          <cell r="AA83" t="str">
            <v>-</v>
          </cell>
          <cell r="AB83" t="str">
            <v>-</v>
          </cell>
          <cell r="AC83" t="str">
            <v>S/F</v>
          </cell>
        </row>
        <row r="84">
          <cell r="A84" t="str">
            <v>SAA 3154</v>
          </cell>
          <cell r="B84" t="str">
            <v>Chemical And Moisture Resisting Primer</v>
          </cell>
          <cell r="C84" t="str">
            <v>-</v>
          </cell>
          <cell r="D84" t="str">
            <v>Concreto, Hierro, Aluminio, Galvanizado</v>
          </cell>
          <cell r="E84" t="str">
            <v>Limpia, Seca y Libre de Grasa o Aceite</v>
          </cell>
          <cell r="F84" t="str">
            <v>Ninguno</v>
          </cell>
          <cell r="G84" t="str">
            <v>12.58 Lbs/Gl</v>
          </cell>
          <cell r="H84" t="str">
            <v>41.17%</v>
          </cell>
          <cell r="I84" t="str">
            <v>66.61%</v>
          </cell>
          <cell r="J84" t="str">
            <v>23.85%</v>
          </cell>
          <cell r="K84" t="str">
            <v>42.76%</v>
          </cell>
          <cell r="L84" t="str">
            <v>38.79%</v>
          </cell>
          <cell r="M84" t="str">
            <v>30-35 seg Copa SW #3</v>
          </cell>
          <cell r="N84" t="str">
            <v>Brocha o Pistola de Aire</v>
          </cell>
          <cell r="O84" t="str">
            <v>-</v>
          </cell>
          <cell r="P84" t="str">
            <v>Brocha: Ninguno, Pistola de Aire 25%</v>
          </cell>
          <cell r="Q84" t="str">
            <v>R2K4         Industrial reducer</v>
          </cell>
          <cell r="R84" t="str">
            <v>1.0 mills</v>
          </cell>
          <cell r="S84" t="str">
            <v>Seco Tocar 30 Min. Seco Completo 1-2 Hrs</v>
          </cell>
          <cell r="T84" t="str">
            <v>-</v>
          </cell>
          <cell r="U84" t="str">
            <v>45 Mts Cuadrados/Gl</v>
          </cell>
          <cell r="V84" t="str">
            <v>Satinado</v>
          </cell>
          <cell r="W84" t="str">
            <v>-</v>
          </cell>
          <cell r="X84" t="str">
            <v>-</v>
          </cell>
          <cell r="Y84" t="str">
            <v>-</v>
          </cell>
          <cell r="Z84" t="str">
            <v>-</v>
          </cell>
          <cell r="AA84" t="str">
            <v>-</v>
          </cell>
          <cell r="AB84" t="str">
            <v>-</v>
          </cell>
          <cell r="AC84" t="str">
            <v>S/F</v>
          </cell>
        </row>
        <row r="85">
          <cell r="A85" t="str">
            <v>SAA 3160</v>
          </cell>
          <cell r="B85" t="str">
            <v>Laca Industrial Champagne</v>
          </cell>
          <cell r="C85" t="str">
            <v>-</v>
          </cell>
          <cell r="D85" t="str">
            <v>Madera</v>
          </cell>
          <cell r="E85" t="str">
            <v>Seca, Debidamente Lijada y Libre de Polvo.</v>
          </cell>
          <cell r="F85" t="str">
            <v>Opex Industrial Primer Surfacer</v>
          </cell>
          <cell r="G85" t="str">
            <v>9.40 Lbs/Gl</v>
          </cell>
          <cell r="H85" t="str">
            <v>22.60%</v>
          </cell>
          <cell r="I85" t="str">
            <v>44.10%</v>
          </cell>
          <cell r="J85" t="str">
            <v>21.50%</v>
          </cell>
          <cell r="K85" t="str">
            <v>25.80%</v>
          </cell>
          <cell r="L85" t="str">
            <v>26.30%</v>
          </cell>
          <cell r="M85" t="str">
            <v>30-40 Seg. Copa SW #5</v>
          </cell>
          <cell r="N85" t="str">
            <v>Pistola</v>
          </cell>
          <cell r="O85" t="str">
            <v>-</v>
          </cell>
          <cell r="P85" t="str">
            <v>100-150</v>
          </cell>
          <cell r="Q85" t="str">
            <v>R7K128 Opex Lacquer Thinner 128</v>
          </cell>
          <cell r="R85" t="str">
            <v>1.0 mills</v>
          </cell>
          <cell r="S85" t="str">
            <v>Seco Tocar: 10 Min; Seco Completo: 20 Min.</v>
          </cell>
          <cell r="T85" t="str">
            <v>-</v>
          </cell>
          <cell r="U85" t="str">
            <v>421 Pies Cuadrados/Gl</v>
          </cell>
          <cell r="V85" t="str">
            <v>Mate</v>
          </cell>
          <cell r="W85" t="str">
            <v>-</v>
          </cell>
          <cell r="X85" t="str">
            <v>-</v>
          </cell>
          <cell r="Y85" t="str">
            <v>MADERAMA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S/F</v>
          </cell>
        </row>
        <row r="86">
          <cell r="A86" t="str">
            <v>SAA 3161</v>
          </cell>
          <cell r="B86" t="str">
            <v>Esmalte Horneable Alkydico Rojo</v>
          </cell>
          <cell r="C86" t="str">
            <v>-</v>
          </cell>
          <cell r="D86" t="str">
            <v>Hierro</v>
          </cell>
          <cell r="E86" t="str">
            <v>Limpieza Química</v>
          </cell>
          <cell r="F86" t="str">
            <v>Ninguno</v>
          </cell>
          <cell r="G86" t="str">
            <v>8.56 Lbs/Gl</v>
          </cell>
          <cell r="H86" t="str">
            <v>-</v>
          </cell>
          <cell r="I86" t="str">
            <v>55.10%</v>
          </cell>
          <cell r="J86" t="str">
            <v>55.10%</v>
          </cell>
          <cell r="K86" t="str">
            <v>-</v>
          </cell>
          <cell r="L86" t="str">
            <v>47.90%</v>
          </cell>
          <cell r="M86" t="str">
            <v>40-50 Seg Copa Ford #4</v>
          </cell>
          <cell r="N86" t="str">
            <v>Pistolas Electrostáticas</v>
          </cell>
          <cell r="O86" t="str">
            <v>-</v>
          </cell>
          <cell r="P86" t="str">
            <v>20-25%</v>
          </cell>
          <cell r="Q86" t="str">
            <v>R2K4         Industrial reducer</v>
          </cell>
          <cell r="R86" t="str">
            <v>1.2 mills</v>
          </cell>
          <cell r="S86" t="str">
            <v>-</v>
          </cell>
          <cell r="T86" t="str">
            <v>15 Min. A 350°F</v>
          </cell>
          <cell r="U86" t="str">
            <v>640 Pies Cuadrados/Gl</v>
          </cell>
          <cell r="V86" t="str">
            <v>+90</v>
          </cell>
          <cell r="W86" t="str">
            <v>H</v>
          </cell>
          <cell r="X86" t="str">
            <v>-</v>
          </cell>
          <cell r="Y86" t="str">
            <v>VECESA</v>
          </cell>
          <cell r="Z86" t="str">
            <v>-</v>
          </cell>
          <cell r="AA86" t="str">
            <v>-</v>
          </cell>
          <cell r="AB86" t="str">
            <v>-</v>
          </cell>
          <cell r="AC86" t="str">
            <v>S/F</v>
          </cell>
        </row>
        <row r="87">
          <cell r="A87" t="str">
            <v>SAA 3171</v>
          </cell>
          <cell r="B87" t="str">
            <v>Sherwood 850 F.D Kemvar Gloss</v>
          </cell>
          <cell r="C87" t="str">
            <v>-</v>
          </cell>
          <cell r="D87" t="str">
            <v>Madera</v>
          </cell>
          <cell r="E87" t="str">
            <v>Lijada y libre de Polvo</v>
          </cell>
          <cell r="F87" t="str">
            <v>Sellador Vinílico T67F2</v>
          </cell>
          <cell r="G87" t="str">
            <v>7.99 Lbs/Gl</v>
          </cell>
          <cell r="H87" t="str">
            <v>-</v>
          </cell>
          <cell r="I87" t="str">
            <v>43.80%</v>
          </cell>
          <cell r="J87" t="str">
            <v>43.80%</v>
          </cell>
          <cell r="K87" t="str">
            <v>-</v>
          </cell>
          <cell r="L87" t="str">
            <v>35.80%</v>
          </cell>
          <cell r="M87" t="str">
            <v>25-30 Seg. Copa Ford #4</v>
          </cell>
          <cell r="N87" t="str">
            <v>Pistola de Aire</v>
          </cell>
          <cell r="O87" t="str">
            <v>-</v>
          </cell>
          <cell r="P87" t="str">
            <v>4% Más V66V21</v>
          </cell>
          <cell r="Q87" t="str">
            <v>R2K4         Industrial reducer</v>
          </cell>
          <cell r="R87" t="str">
            <v>1.0 mills</v>
          </cell>
          <cell r="S87" t="str">
            <v>Seco Tocar: 30 Min. Seco Completo: 90 Min.</v>
          </cell>
          <cell r="T87" t="str">
            <v>-</v>
          </cell>
          <cell r="U87" t="str">
            <v>574 Pies Cuadrados/Gl</v>
          </cell>
          <cell r="V87" t="str">
            <v>+90</v>
          </cell>
          <cell r="W87" t="str">
            <v>-</v>
          </cell>
          <cell r="X87" t="str">
            <v>-</v>
          </cell>
          <cell r="Y87" t="str">
            <v>Jimenez Castillo Arquitectos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S/F</v>
          </cell>
        </row>
        <row r="88">
          <cell r="A88" t="str">
            <v>SAA 3175</v>
          </cell>
          <cell r="B88" t="str">
            <v>Esmalte Litográfico Troquelable</v>
          </cell>
          <cell r="C88" t="str">
            <v>Interperie</v>
          </cell>
          <cell r="D88" t="str">
            <v>Hojalata ETP</v>
          </cell>
          <cell r="E88" t="str">
            <v>Limpia de Grasa</v>
          </cell>
          <cell r="F88" t="str">
            <v>Ninguno</v>
          </cell>
          <cell r="G88" t="str">
            <v>10.78 Lbs/Gl</v>
          </cell>
          <cell r="H88" t="str">
            <v>55.20%</v>
          </cell>
          <cell r="I88" t="str">
            <v>61.90%</v>
          </cell>
          <cell r="J88" t="str">
            <v>6.70%</v>
          </cell>
          <cell r="K88" t="str">
            <v>25.80%</v>
          </cell>
          <cell r="L88" t="str">
            <v>40.50%</v>
          </cell>
          <cell r="M88" t="str">
            <v>-</v>
          </cell>
          <cell r="N88" t="str">
            <v>Rodilllo</v>
          </cell>
          <cell r="O88" t="str">
            <v>178"-188" Copa Ford #4</v>
          </cell>
          <cell r="P88" t="str">
            <v>-</v>
          </cell>
          <cell r="Q88" t="str">
            <v>-</v>
          </cell>
          <cell r="R88" t="str">
            <v>1.0 mills</v>
          </cell>
          <cell r="S88" t="str">
            <v>-</v>
          </cell>
          <cell r="T88" t="str">
            <v>10 Min a 356°F</v>
          </cell>
          <cell r="U88" t="str">
            <v>649.22 Pies Cuadrados/Gl</v>
          </cell>
          <cell r="V88" t="str">
            <v>-</v>
          </cell>
          <cell r="W88" t="str">
            <v>-</v>
          </cell>
          <cell r="X88" t="str">
            <v>6 meses</v>
          </cell>
          <cell r="Y88" t="str">
            <v>Tapa Metal Guatemala</v>
          </cell>
          <cell r="Z88" t="str">
            <v>Tapones con Rosca</v>
          </cell>
          <cell r="AA88" t="str">
            <v>-</v>
          </cell>
          <cell r="AB88" t="str">
            <v>-</v>
          </cell>
          <cell r="AC88" t="str">
            <v>S/F</v>
          </cell>
        </row>
        <row r="89">
          <cell r="A89" t="str">
            <v>SAA 3181</v>
          </cell>
          <cell r="B89" t="str">
            <v>Esmalte Litográfico Troquelable</v>
          </cell>
          <cell r="C89" t="str">
            <v>Interperie</v>
          </cell>
          <cell r="D89" t="str">
            <v>Hojalata ETP</v>
          </cell>
          <cell r="E89" t="str">
            <v>Limpia de Grasa</v>
          </cell>
          <cell r="F89" t="str">
            <v>Ninguno</v>
          </cell>
          <cell r="G89" t="str">
            <v>11.15 Lbs/Gl</v>
          </cell>
          <cell r="H89" t="str">
            <v>33.60%</v>
          </cell>
          <cell r="I89" t="str">
            <v>60.86%</v>
          </cell>
          <cell r="J89" t="str">
            <v>27.26%</v>
          </cell>
          <cell r="K89" t="str">
            <v>23.65%</v>
          </cell>
          <cell r="L89" t="str">
            <v>46.30%</v>
          </cell>
          <cell r="M89" t="str">
            <v>-</v>
          </cell>
          <cell r="N89" t="str">
            <v>Rodilllo</v>
          </cell>
          <cell r="O89" t="str">
            <v>168 Seg. Copa Ford #4</v>
          </cell>
          <cell r="P89" t="str">
            <v>-</v>
          </cell>
          <cell r="Q89" t="str">
            <v>-</v>
          </cell>
          <cell r="R89" t="str">
            <v>1.0 mills</v>
          </cell>
          <cell r="S89" t="str">
            <v>-</v>
          </cell>
          <cell r="T89" t="str">
            <v>10 Min a 180°C</v>
          </cell>
          <cell r="U89" t="str">
            <v>759.32 Pies Cuadrados/Gl</v>
          </cell>
          <cell r="V89" t="str">
            <v>-</v>
          </cell>
          <cell r="W89" t="str">
            <v>-</v>
          </cell>
          <cell r="X89" t="str">
            <v>6 meses</v>
          </cell>
          <cell r="Y89" t="str">
            <v>Tapa Metal Guatemala</v>
          </cell>
          <cell r="Z89" t="str">
            <v>Tapones con Rosca</v>
          </cell>
          <cell r="AA89" t="str">
            <v>-</v>
          </cell>
          <cell r="AB89" t="str">
            <v>-</v>
          </cell>
          <cell r="AC89" t="str">
            <v>S/F</v>
          </cell>
        </row>
        <row r="90">
          <cell r="A90" t="str">
            <v>SAA 3198</v>
          </cell>
          <cell r="B90" t="str">
            <v>Oil Stain Nogal</v>
          </cell>
          <cell r="C90" t="str">
            <v>Interior</v>
          </cell>
          <cell r="D90" t="str">
            <v>Madera</v>
          </cell>
          <cell r="E90" t="str">
            <v>Lijado</v>
          </cell>
          <cell r="F90" t="str">
            <v>Ninguno</v>
          </cell>
          <cell r="G90" t="str">
            <v>7.61 Lbs/Gl</v>
          </cell>
          <cell r="H90" t="str">
            <v>12.5%</v>
          </cell>
          <cell r="I90" t="str">
            <v>29.47%</v>
          </cell>
          <cell r="J90" t="str">
            <v>18.48%</v>
          </cell>
          <cell r="K90" t="str">
            <v>16.76%</v>
          </cell>
          <cell r="L90" t="str">
            <v>29.47%</v>
          </cell>
          <cell r="M90" t="str">
            <v>10-12 seg Copa Ford #4</v>
          </cell>
          <cell r="N90" t="str">
            <v>Pistola</v>
          </cell>
          <cell r="O90" t="str">
            <v>10-12 seg Copa Ford #4</v>
          </cell>
          <cell r="P90" t="str">
            <v>Ninguno</v>
          </cell>
          <cell r="Q90" t="str">
            <v>Ninguno</v>
          </cell>
          <cell r="R90" t="str">
            <v>-</v>
          </cell>
          <cell r="S90" t="str">
            <v>4 Horas</v>
          </cell>
          <cell r="T90" t="str">
            <v>-</v>
          </cell>
          <cell r="U90" t="str">
            <v>-</v>
          </cell>
          <cell r="V90" t="str">
            <v>Mate</v>
          </cell>
          <cell r="W90" t="str">
            <v>-</v>
          </cell>
          <cell r="X90" t="str">
            <v>12 meses</v>
          </cell>
          <cell r="Y90" t="str">
            <v>Olympia Empac-Guatemala</v>
          </cell>
          <cell r="Z90" t="str">
            <v>Muebles de Madera.</v>
          </cell>
          <cell r="AA90" t="str">
            <v>-</v>
          </cell>
          <cell r="AB90" t="str">
            <v>-</v>
          </cell>
          <cell r="AC90" t="str">
            <v>S/F</v>
          </cell>
        </row>
        <row r="91">
          <cell r="A91" t="str">
            <v>SAA 3199</v>
          </cell>
          <cell r="B91" t="str">
            <v>Sellador Lijable Listo Para Usar</v>
          </cell>
          <cell r="C91" t="str">
            <v>Interior</v>
          </cell>
          <cell r="D91" t="str">
            <v>Madera</v>
          </cell>
          <cell r="E91" t="str">
            <v>Lijado</v>
          </cell>
          <cell r="F91" t="str">
            <v>Oil Stain</v>
          </cell>
          <cell r="G91" t="str">
            <v>7.43 Lbs/Gl</v>
          </cell>
          <cell r="H91" t="str">
            <v>11.90%</v>
          </cell>
          <cell r="I91" t="str">
            <v>25.60%</v>
          </cell>
          <cell r="J91" t="str">
            <v>23.55%</v>
          </cell>
          <cell r="K91" t="str">
            <v>11.20%</v>
          </cell>
          <cell r="L91" t="str">
            <v>18.39%</v>
          </cell>
          <cell r="M91" t="str">
            <v>18-20 seg. Copa Ford #4</v>
          </cell>
          <cell r="N91" t="str">
            <v>Pistola</v>
          </cell>
          <cell r="O91" t="str">
            <v>18-20 seg. Copa Ford #4</v>
          </cell>
          <cell r="P91" t="str">
            <v>Ninguno</v>
          </cell>
          <cell r="Q91" t="str">
            <v>Ninguno</v>
          </cell>
          <cell r="R91" t="str">
            <v>-</v>
          </cell>
          <cell r="S91" t="str">
            <v>20-25 min</v>
          </cell>
          <cell r="T91" t="str">
            <v>-</v>
          </cell>
          <cell r="U91" t="str">
            <v>-</v>
          </cell>
          <cell r="V91" t="str">
            <v>-</v>
          </cell>
          <cell r="W91" t="str">
            <v>-</v>
          </cell>
          <cell r="X91" t="str">
            <v>12 meses</v>
          </cell>
          <cell r="Y91" t="str">
            <v>Olympia Empac-Guatemala</v>
          </cell>
          <cell r="Z91" t="str">
            <v>Muebles de Madera.</v>
          </cell>
          <cell r="AA91" t="str">
            <v>-</v>
          </cell>
          <cell r="AB91" t="str">
            <v>-</v>
          </cell>
          <cell r="AC91" t="str">
            <v>S/F</v>
          </cell>
        </row>
        <row r="92">
          <cell r="A92" t="str">
            <v>SAA 3200</v>
          </cell>
          <cell r="B92" t="str">
            <v>Laca Transparente Semimate Lista Para Usar</v>
          </cell>
          <cell r="C92" t="str">
            <v>Interior</v>
          </cell>
          <cell r="D92" t="str">
            <v>Madera</v>
          </cell>
          <cell r="E92" t="str">
            <v>Lijado</v>
          </cell>
          <cell r="F92" t="str">
            <v>Oil Stain+Sellador Lijable</v>
          </cell>
          <cell r="G92" t="str">
            <v>7.41 Lbs/Gl</v>
          </cell>
          <cell r="H92" t="str">
            <v>0.005%</v>
          </cell>
          <cell r="I92" t="str">
            <v>20.63%</v>
          </cell>
          <cell r="J92" t="str">
            <v>20.20%</v>
          </cell>
          <cell r="K92" t="str">
            <v>1.66%</v>
          </cell>
          <cell r="L92" t="str">
            <v>13.29%</v>
          </cell>
          <cell r="M92" t="str">
            <v>18-20 seg. Copa Ford #4</v>
          </cell>
          <cell r="N92" t="str">
            <v>Pistola</v>
          </cell>
          <cell r="O92" t="str">
            <v>18-20 seg. Copa Ford #4</v>
          </cell>
          <cell r="P92" t="str">
            <v>Ninguno</v>
          </cell>
          <cell r="Q92" t="str">
            <v>Ninguno</v>
          </cell>
          <cell r="R92" t="str">
            <v>-</v>
          </cell>
          <cell r="S92" t="str">
            <v>20-25 min</v>
          </cell>
          <cell r="T92" t="str">
            <v>-</v>
          </cell>
          <cell r="U92" t="str">
            <v>-</v>
          </cell>
          <cell r="V92" t="str">
            <v>75</v>
          </cell>
          <cell r="W92" t="str">
            <v>-</v>
          </cell>
          <cell r="X92" t="str">
            <v>12 meses</v>
          </cell>
          <cell r="Y92" t="str">
            <v>Olympia Empac-Guatemala</v>
          </cell>
          <cell r="Z92" t="str">
            <v>Muebles de Madera.</v>
          </cell>
          <cell r="AA92" t="str">
            <v>-</v>
          </cell>
          <cell r="AB92" t="str">
            <v>-</v>
          </cell>
          <cell r="AC92" t="str">
            <v>S/F</v>
          </cell>
        </row>
        <row r="93">
          <cell r="A93" t="str">
            <v>SAA 3201</v>
          </cell>
          <cell r="B93" t="str">
            <v>White Wood Surfacer</v>
          </cell>
          <cell r="C93" t="str">
            <v>Interior</v>
          </cell>
          <cell r="D93" t="str">
            <v>Madera</v>
          </cell>
          <cell r="E93" t="str">
            <v>Lijado</v>
          </cell>
          <cell r="F93" t="str">
            <v>Ninguno</v>
          </cell>
          <cell r="G93" t="str">
            <v>8.10 Lbs/Gl</v>
          </cell>
          <cell r="H93" t="str">
            <v>13.50%</v>
          </cell>
          <cell r="I93" t="str">
            <v>31.50%</v>
          </cell>
          <cell r="J93" t="str">
            <v>20.81%</v>
          </cell>
          <cell r="K93" t="str">
            <v>23.74%</v>
          </cell>
          <cell r="L93" t="str">
            <v>18.03%</v>
          </cell>
          <cell r="M93" t="str">
            <v>18-20 seg. Copa Ford #4</v>
          </cell>
          <cell r="N93" t="str">
            <v>Pistola</v>
          </cell>
          <cell r="O93" t="str">
            <v>18-20 seg. Copa Ford #4</v>
          </cell>
          <cell r="P93" t="str">
            <v>Ninguno</v>
          </cell>
          <cell r="Q93" t="str">
            <v>Ninguno</v>
          </cell>
          <cell r="R93" t="str">
            <v>-</v>
          </cell>
          <cell r="S93" t="str">
            <v>20-25 min</v>
          </cell>
          <cell r="T93" t="str">
            <v>-</v>
          </cell>
          <cell r="U93" t="str">
            <v>-</v>
          </cell>
          <cell r="V93" t="str">
            <v>Mate</v>
          </cell>
          <cell r="W93" t="str">
            <v>-</v>
          </cell>
          <cell r="X93" t="str">
            <v>12 meses</v>
          </cell>
          <cell r="Y93" t="str">
            <v>Olympia Empac-Guatemala</v>
          </cell>
          <cell r="Z93" t="str">
            <v>Muebles de Madera.</v>
          </cell>
          <cell r="AA93" t="str">
            <v>-</v>
          </cell>
          <cell r="AB93" t="str">
            <v>-</v>
          </cell>
          <cell r="AC93" t="str">
            <v>S/F</v>
          </cell>
        </row>
        <row r="94">
          <cell r="A94" t="str">
            <v>SAA 3202</v>
          </cell>
          <cell r="B94" t="str">
            <v>Laca Industrial Blanca</v>
          </cell>
          <cell r="C94" t="str">
            <v>Interior</v>
          </cell>
          <cell r="D94" t="str">
            <v>Madera</v>
          </cell>
          <cell r="E94" t="str">
            <v>Lijado</v>
          </cell>
          <cell r="F94" t="str">
            <v>White Wood Surfacer</v>
          </cell>
          <cell r="G94" t="str">
            <v>8.29 Lbs/GL</v>
          </cell>
          <cell r="H94" t="str">
            <v>13.17%</v>
          </cell>
          <cell r="I94" t="str">
            <v>32.81%</v>
          </cell>
          <cell r="J94" t="str">
            <v>22.62%</v>
          </cell>
          <cell r="K94" t="str">
            <v>17.37%</v>
          </cell>
          <cell r="L94" t="str">
            <v>18.54%</v>
          </cell>
          <cell r="M94" t="str">
            <v>18-20 seg. Copa Ford #4</v>
          </cell>
          <cell r="N94" t="str">
            <v>Pistola</v>
          </cell>
          <cell r="O94" t="str">
            <v>18-20 seg. Copa Ford #4</v>
          </cell>
          <cell r="P94" t="str">
            <v>Ninguno</v>
          </cell>
          <cell r="Q94" t="str">
            <v>Ninguno</v>
          </cell>
          <cell r="R94" t="str">
            <v>-</v>
          </cell>
          <cell r="S94" t="str">
            <v>25-30 min</v>
          </cell>
          <cell r="T94" t="str">
            <v>-</v>
          </cell>
          <cell r="U94" t="str">
            <v>-</v>
          </cell>
          <cell r="V94" t="str">
            <v>85</v>
          </cell>
          <cell r="W94" t="str">
            <v>-</v>
          </cell>
          <cell r="X94" t="str">
            <v>12 meses</v>
          </cell>
          <cell r="Y94" t="str">
            <v>Olympia Empac-Guatemala</v>
          </cell>
          <cell r="Z94" t="str">
            <v>Muebles de Madera.</v>
          </cell>
          <cell r="AA94" t="str">
            <v>-</v>
          </cell>
          <cell r="AB94" t="str">
            <v>-</v>
          </cell>
          <cell r="AC94" t="str">
            <v>S/F</v>
          </cell>
        </row>
        <row r="95">
          <cell r="A95" t="str">
            <v>SAA 3203</v>
          </cell>
          <cell r="B95" t="str">
            <v>Laca Industrial Beige</v>
          </cell>
          <cell r="C95" t="str">
            <v>Interior</v>
          </cell>
          <cell r="D95" t="str">
            <v>Madera</v>
          </cell>
          <cell r="E95" t="str">
            <v>Lijado</v>
          </cell>
          <cell r="F95" t="str">
            <v>White Wood Surfacer</v>
          </cell>
          <cell r="G95" t="str">
            <v>8.29 Lbs/GL</v>
          </cell>
          <cell r="H95" t="str">
            <v>13.17%</v>
          </cell>
          <cell r="I95" t="str">
            <v>32.81%</v>
          </cell>
          <cell r="J95" t="str">
            <v>22.62%</v>
          </cell>
          <cell r="K95" t="str">
            <v>17.37%</v>
          </cell>
          <cell r="L95" t="str">
            <v>18.54%</v>
          </cell>
          <cell r="M95" t="str">
            <v>18-20 seg. Copa Ford #4</v>
          </cell>
          <cell r="N95" t="str">
            <v>Pistola</v>
          </cell>
          <cell r="O95" t="str">
            <v>18-20 seg. Copa Ford #4</v>
          </cell>
          <cell r="P95" t="str">
            <v>Ninguno</v>
          </cell>
          <cell r="Q95" t="str">
            <v>Ninguno</v>
          </cell>
          <cell r="R95" t="str">
            <v>-</v>
          </cell>
          <cell r="S95" t="str">
            <v>25-30 min</v>
          </cell>
          <cell r="T95" t="str">
            <v>-</v>
          </cell>
          <cell r="U95" t="str">
            <v>-</v>
          </cell>
          <cell r="V95" t="str">
            <v>85</v>
          </cell>
          <cell r="W95" t="str">
            <v>-</v>
          </cell>
          <cell r="X95" t="str">
            <v>12 meses</v>
          </cell>
          <cell r="Y95" t="str">
            <v>Olympia Empac-Guatemala</v>
          </cell>
          <cell r="Z95" t="str">
            <v>Muebles de Madera.</v>
          </cell>
          <cell r="AA95" t="str">
            <v>-</v>
          </cell>
          <cell r="AB95" t="str">
            <v>-</v>
          </cell>
          <cell r="AC95" t="str">
            <v>S/F</v>
          </cell>
        </row>
        <row r="96">
          <cell r="A96" t="str">
            <v>SAA 3209</v>
          </cell>
          <cell r="B96" t="str">
            <v>Pintura Para Recubrimiento Interior Crema Claro</v>
          </cell>
          <cell r="C96" t="str">
            <v>Interior</v>
          </cell>
          <cell r="D96" t="str">
            <v>Hojalata-Lamina Cromada</v>
          </cell>
          <cell r="E96" t="str">
            <v>Limpieza Adecuada</v>
          </cell>
          <cell r="F96" t="str">
            <v>Ninguno</v>
          </cell>
          <cell r="G96" t="str">
            <v>9.01 Lbs/Gl</v>
          </cell>
          <cell r="H96" t="str">
            <v>14.71%</v>
          </cell>
          <cell r="I96" t="str">
            <v>48.73%</v>
          </cell>
          <cell r="J96" t="str">
            <v>40.45%</v>
          </cell>
          <cell r="K96" t="str">
            <v>11.14%</v>
          </cell>
          <cell r="L96" t="str">
            <v>49.17%</v>
          </cell>
          <cell r="M96" t="str">
            <v>20"-25" Copa Ford #4</v>
          </cell>
          <cell r="N96" t="str">
            <v>Pistola</v>
          </cell>
          <cell r="O96" t="str">
            <v>20"-25" Copa Ford #4</v>
          </cell>
          <cell r="P96" t="str">
            <v>Lo necesario con R2K4</v>
          </cell>
          <cell r="Q96" t="str">
            <v>R2K4         Industrial reducer</v>
          </cell>
          <cell r="R96" t="str">
            <v>1.0-1.2 mills</v>
          </cell>
          <cell r="S96" t="str">
            <v>Al horno</v>
          </cell>
          <cell r="T96" t="str">
            <v>10' a 400°F</v>
          </cell>
          <cell r="U96" t="str">
            <v>-</v>
          </cell>
          <cell r="V96" t="str">
            <v>80-85</v>
          </cell>
          <cell r="W96" t="str">
            <v>F</v>
          </cell>
          <cell r="X96" t="str">
            <v>6 meses</v>
          </cell>
          <cell r="Y96" t="str">
            <v>Colgate Palmolive</v>
          </cell>
          <cell r="Z96" t="str">
            <v>Desodorante en Spray</v>
          </cell>
          <cell r="AA96" t="str">
            <v>-</v>
          </cell>
          <cell r="AB96" t="str">
            <v>-</v>
          </cell>
          <cell r="AC96" t="str">
            <v>S/F</v>
          </cell>
        </row>
        <row r="97">
          <cell r="A97" t="str">
            <v>SAA 3246</v>
          </cell>
          <cell r="B97" t="str">
            <v>Collapsible Tube Enamel Black</v>
          </cell>
          <cell r="C97" t="str">
            <v>Horneo 3 Minutos</v>
          </cell>
          <cell r="D97" t="str">
            <v xml:space="preserve">Aluminio </v>
          </cell>
          <cell r="E97" t="str">
            <v>Limpieza con Solvente Sherwin Clean</v>
          </cell>
          <cell r="F97" t="str">
            <v>Ninguno</v>
          </cell>
          <cell r="G97" t="str">
            <v>8.27 Lbs/Gl</v>
          </cell>
          <cell r="H97" t="str">
            <v>1.18%</v>
          </cell>
          <cell r="I97" t="str">
            <v>34.6%</v>
          </cell>
          <cell r="J97" t="str">
            <v>20%</v>
          </cell>
          <cell r="K97" t="str">
            <v>2.43%</v>
          </cell>
          <cell r="L97" t="str">
            <v>27.6%</v>
          </cell>
          <cell r="M97" t="str">
            <v>4000-5000 Cps</v>
          </cell>
          <cell r="N97" t="str">
            <v>Rodillo</v>
          </cell>
          <cell r="O97" t="str">
            <v>4000-5000 Cps</v>
          </cell>
          <cell r="P97" t="str">
            <v>Ninguno</v>
          </cell>
          <cell r="Q97" t="str">
            <v>Ninguno</v>
          </cell>
          <cell r="R97" t="str">
            <v>1 mills</v>
          </cell>
          <cell r="S97" t="str">
            <v>Horneo</v>
          </cell>
          <cell r="T97" t="str">
            <v>3 Minutos a 300°F</v>
          </cell>
          <cell r="U97" t="str">
            <v>51.4 Mts Cuadrados/Gl</v>
          </cell>
          <cell r="V97" t="str">
            <v>+70</v>
          </cell>
          <cell r="W97" t="str">
            <v>H</v>
          </cell>
          <cell r="X97" t="str">
            <v>-</v>
          </cell>
          <cell r="Y97" t="str">
            <v>Colgate Palmolive</v>
          </cell>
          <cell r="Z97" t="str">
            <v>-</v>
          </cell>
          <cell r="AA97" t="str">
            <v>-</v>
          </cell>
          <cell r="AB97" t="str">
            <v>-</v>
          </cell>
          <cell r="AC97" t="str">
            <v>S/F</v>
          </cell>
        </row>
        <row r="98">
          <cell r="A98" t="str">
            <v>SAA 3247</v>
          </cell>
          <cell r="B98" t="str">
            <v>Danish Walnut Gloss Glaze</v>
          </cell>
          <cell r="C98" t="str">
            <v>Interior</v>
          </cell>
          <cell r="D98" t="str">
            <v>Madera</v>
          </cell>
          <cell r="E98" t="str">
            <v>Limpia</v>
          </cell>
          <cell r="F98" t="str">
            <v>Ninguno</v>
          </cell>
          <cell r="G98" t="str">
            <v>7.30 Lbs/Gl</v>
          </cell>
          <cell r="H98" t="str">
            <v>0.41%</v>
          </cell>
          <cell r="I98" t="str">
            <v>13.05%</v>
          </cell>
          <cell r="J98" t="str">
            <v>12.89%</v>
          </cell>
          <cell r="K98" t="str">
            <v>0.45%</v>
          </cell>
          <cell r="L98" t="str">
            <v>8.64%</v>
          </cell>
          <cell r="M98" t="str">
            <v>14"-16" Copa Ford #4</v>
          </cell>
          <cell r="N98" t="str">
            <v>Pistola</v>
          </cell>
          <cell r="O98" t="str">
            <v>14"-16" Copa Ford #4</v>
          </cell>
          <cell r="P98" t="str">
            <v>Listo Para Usar</v>
          </cell>
          <cell r="Q98" t="str">
            <v>R7KB28 Si es Necesario</v>
          </cell>
          <cell r="R98" t="str">
            <v>0.5-2.0 mills</v>
          </cell>
          <cell r="S98" t="str">
            <v>Al Aire 30 min.</v>
          </cell>
          <cell r="T98" t="str">
            <v>-</v>
          </cell>
          <cell r="U98" t="str">
            <v>208.8 pies cuadrados por galón</v>
          </cell>
          <cell r="V98" t="str">
            <v>+80</v>
          </cell>
          <cell r="W98" t="str">
            <v>-</v>
          </cell>
          <cell r="X98" t="str">
            <v>12 meses</v>
          </cell>
          <cell r="Y98" t="str">
            <v>Muebles Molina Hnos</v>
          </cell>
          <cell r="Z98" t="str">
            <v>Muebles de Madera.</v>
          </cell>
          <cell r="AA98" t="str">
            <v>-</v>
          </cell>
          <cell r="AB98" t="str">
            <v>-</v>
          </cell>
          <cell r="AC98" t="str">
            <v>S/F</v>
          </cell>
        </row>
        <row r="99">
          <cell r="A99" t="str">
            <v>SAA 3248</v>
          </cell>
          <cell r="B99" t="str">
            <v>African Mahogany Gloss Glaze</v>
          </cell>
          <cell r="C99" t="str">
            <v>Interior</v>
          </cell>
          <cell r="D99" t="str">
            <v>Madera</v>
          </cell>
          <cell r="E99" t="str">
            <v>Limpia</v>
          </cell>
          <cell r="F99" t="str">
            <v>Ninguno</v>
          </cell>
          <cell r="G99" t="str">
            <v>7.30 Lbs/Gl</v>
          </cell>
          <cell r="H99" t="str">
            <v>0.13%</v>
          </cell>
          <cell r="I99" t="str">
            <v>13.0%</v>
          </cell>
          <cell r="J99" t="str">
            <v>12.84%</v>
          </cell>
          <cell r="K99" t="str">
            <v>0.44%</v>
          </cell>
          <cell r="L99" t="str">
            <v>8.64%</v>
          </cell>
          <cell r="M99" t="str">
            <v>14"-16" Copa Ford #4</v>
          </cell>
          <cell r="N99" t="str">
            <v>Pistola</v>
          </cell>
          <cell r="O99" t="str">
            <v>14"-16" Copa Ford #4</v>
          </cell>
          <cell r="P99" t="str">
            <v>Listo Para Usar</v>
          </cell>
          <cell r="Q99" t="str">
            <v>R7KB28 Si es Necesario</v>
          </cell>
          <cell r="R99" t="str">
            <v>0.5-2.0 mills</v>
          </cell>
          <cell r="S99" t="str">
            <v>Al Aire 30 min.</v>
          </cell>
          <cell r="T99" t="str">
            <v>-</v>
          </cell>
          <cell r="U99" t="str">
            <v>208 pies cuadrados por galón</v>
          </cell>
          <cell r="V99" t="str">
            <v>+80</v>
          </cell>
          <cell r="W99" t="str">
            <v>-</v>
          </cell>
          <cell r="X99" t="str">
            <v>12 meses</v>
          </cell>
          <cell r="Y99" t="str">
            <v>Muebles Molina Hnos</v>
          </cell>
          <cell r="Z99" t="str">
            <v>Muebles de Madera.</v>
          </cell>
          <cell r="AA99" t="str">
            <v>-</v>
          </cell>
          <cell r="AB99" t="str">
            <v>-</v>
          </cell>
          <cell r="AC99" t="str">
            <v>S/F</v>
          </cell>
        </row>
        <row r="100">
          <cell r="A100" t="str">
            <v>SAA 3249</v>
          </cell>
          <cell r="B100" t="str">
            <v>English Oak Gloss Glaze</v>
          </cell>
          <cell r="C100" t="str">
            <v>Interior</v>
          </cell>
          <cell r="D100" t="str">
            <v>Madera</v>
          </cell>
          <cell r="E100" t="str">
            <v>Limpia</v>
          </cell>
          <cell r="F100" t="str">
            <v>Ninguno</v>
          </cell>
          <cell r="G100" t="str">
            <v>7.30 Lbs/Gl</v>
          </cell>
          <cell r="H100" t="str">
            <v>0.21%</v>
          </cell>
          <cell r="I100" t="str">
            <v>13.05%</v>
          </cell>
          <cell r="J100" t="str">
            <v>12.87%</v>
          </cell>
          <cell r="K100" t="str">
            <v>0.45%</v>
          </cell>
          <cell r="L100" t="str">
            <v>8.64%</v>
          </cell>
          <cell r="M100" t="str">
            <v>14"-16" Copa Ford #4</v>
          </cell>
          <cell r="N100" t="str">
            <v>Pistola</v>
          </cell>
          <cell r="O100" t="str">
            <v>14"-16" Copa Ford #4</v>
          </cell>
          <cell r="P100" t="str">
            <v>Listo Para Usar</v>
          </cell>
          <cell r="Q100" t="str">
            <v>R7KB28 Si es Necesario</v>
          </cell>
          <cell r="R100" t="str">
            <v>0.5-2.0 mills</v>
          </cell>
          <cell r="S100" t="str">
            <v>Al Aire 30 min.</v>
          </cell>
          <cell r="T100" t="str">
            <v>-</v>
          </cell>
          <cell r="U100" t="str">
            <v>208.8 pies cuadrados por galón</v>
          </cell>
          <cell r="V100" t="str">
            <v>+80</v>
          </cell>
          <cell r="W100" t="str">
            <v>-</v>
          </cell>
          <cell r="X100" t="str">
            <v>12 meses</v>
          </cell>
          <cell r="Y100" t="str">
            <v>Muebles Molina Hnos</v>
          </cell>
          <cell r="Z100" t="str">
            <v>Muebles de Madera.</v>
          </cell>
          <cell r="AA100" t="str">
            <v>-</v>
          </cell>
          <cell r="AB100" t="str">
            <v>-</v>
          </cell>
          <cell r="AC100" t="str">
            <v>S/F</v>
          </cell>
        </row>
        <row r="101">
          <cell r="A101" t="str">
            <v>SAA 3250</v>
          </cell>
          <cell r="B101" t="str">
            <v>Danish Walnut Flat Glaze</v>
          </cell>
          <cell r="C101" t="str">
            <v>Interior</v>
          </cell>
          <cell r="D101" t="str">
            <v>Madera</v>
          </cell>
          <cell r="E101" t="str">
            <v>Limpia</v>
          </cell>
          <cell r="F101" t="str">
            <v>Ninguno</v>
          </cell>
          <cell r="G101" t="str">
            <v>7.22 Lbs/Gl</v>
          </cell>
          <cell r="H101" t="str">
            <v>0.60%</v>
          </cell>
          <cell r="I101" t="str">
            <v>11.62%</v>
          </cell>
          <cell r="J101" t="str">
            <v>11.09%</v>
          </cell>
          <cell r="K101" t="str">
            <v>2.59%</v>
          </cell>
          <cell r="L101" t="str">
            <v>7.92%</v>
          </cell>
          <cell r="M101" t="str">
            <v>14"-16" Copa Ford #4</v>
          </cell>
          <cell r="N101" t="str">
            <v>Pistola</v>
          </cell>
          <cell r="O101" t="str">
            <v>14"-16" Copa Ford #4</v>
          </cell>
          <cell r="P101" t="str">
            <v>Listo Para Usar</v>
          </cell>
          <cell r="Q101" t="str">
            <v>R7KB28 Si es Necesario</v>
          </cell>
          <cell r="R101" t="str">
            <v>0.5-2.0 mills</v>
          </cell>
          <cell r="S101" t="str">
            <v>Al Aire 30 min.</v>
          </cell>
          <cell r="T101" t="str">
            <v>-</v>
          </cell>
          <cell r="U101" t="str">
            <v>185.92 pies cuadrados por galón</v>
          </cell>
          <cell r="V101" t="str">
            <v>+80</v>
          </cell>
          <cell r="W101" t="str">
            <v>-</v>
          </cell>
          <cell r="X101" t="str">
            <v>12 meses</v>
          </cell>
          <cell r="Y101" t="str">
            <v>Muebles Molina Hnos</v>
          </cell>
          <cell r="Z101" t="str">
            <v>Muebles de Madera.</v>
          </cell>
          <cell r="AA101" t="str">
            <v>-</v>
          </cell>
          <cell r="AB101" t="str">
            <v>-</v>
          </cell>
          <cell r="AC101" t="str">
            <v>S/F</v>
          </cell>
        </row>
        <row r="102">
          <cell r="A102" t="str">
            <v>SAA 3251</v>
          </cell>
          <cell r="B102" t="str">
            <v>African Mahogany Flat Glaze</v>
          </cell>
          <cell r="C102" t="str">
            <v>Interior</v>
          </cell>
          <cell r="D102" t="str">
            <v>Madera</v>
          </cell>
          <cell r="E102" t="str">
            <v>Limpia</v>
          </cell>
          <cell r="F102" t="str">
            <v>Ninguno</v>
          </cell>
          <cell r="G102" t="str">
            <v>7.22 Lbs/Gl</v>
          </cell>
          <cell r="H102" t="str">
            <v>0.61%</v>
          </cell>
          <cell r="I102" t="str">
            <v>11.58%</v>
          </cell>
          <cell r="J102" t="str">
            <v>11.04%</v>
          </cell>
          <cell r="K102" t="str">
            <v>3.01%</v>
          </cell>
          <cell r="L102" t="str">
            <v>7.91%</v>
          </cell>
          <cell r="M102" t="str">
            <v>14"-16" Copa Ford #4</v>
          </cell>
          <cell r="N102" t="str">
            <v>Pistola</v>
          </cell>
          <cell r="O102" t="str">
            <v>14"-16" Copa Ford #4</v>
          </cell>
          <cell r="P102" t="str">
            <v>Listo Para Usar</v>
          </cell>
          <cell r="Q102" t="str">
            <v>R7KB28 Si es Necesario</v>
          </cell>
          <cell r="R102" t="str">
            <v>0.5-2.0 mills</v>
          </cell>
          <cell r="S102" t="str">
            <v>Al Aire 30 min.</v>
          </cell>
          <cell r="T102" t="str">
            <v>-</v>
          </cell>
          <cell r="U102" t="str">
            <v>185.28 pies cuadrados por galón</v>
          </cell>
          <cell r="V102" t="str">
            <v>+80</v>
          </cell>
          <cell r="W102" t="str">
            <v>-</v>
          </cell>
          <cell r="X102" t="str">
            <v>12 meses</v>
          </cell>
          <cell r="Y102" t="str">
            <v>Muebles Molina Hnos</v>
          </cell>
          <cell r="Z102" t="str">
            <v>Muebles de Madera.</v>
          </cell>
          <cell r="AA102" t="str">
            <v>-</v>
          </cell>
          <cell r="AB102" t="str">
            <v>-</v>
          </cell>
          <cell r="AC102" t="str">
            <v>S/F</v>
          </cell>
        </row>
        <row r="103">
          <cell r="A103" t="str">
            <v>SAA 3252</v>
          </cell>
          <cell r="B103" t="str">
            <v>English Oak Flat Glaze</v>
          </cell>
          <cell r="C103" t="str">
            <v>Interior</v>
          </cell>
          <cell r="D103" t="str">
            <v>Madera</v>
          </cell>
          <cell r="E103" t="str">
            <v>Limpia</v>
          </cell>
          <cell r="F103" t="str">
            <v>Ninguno</v>
          </cell>
          <cell r="G103" t="str">
            <v>7.22 Lbs/Gl</v>
          </cell>
          <cell r="H103" t="str">
            <v>0.60%</v>
          </cell>
          <cell r="I103" t="str">
            <v>11.63%</v>
          </cell>
          <cell r="J103" t="str">
            <v>11.09%</v>
          </cell>
          <cell r="K103" t="str">
            <v>2.52%</v>
          </cell>
          <cell r="L103" t="str">
            <v>8.11%</v>
          </cell>
          <cell r="M103" t="str">
            <v>14"-16" Copa Ford #4</v>
          </cell>
          <cell r="N103" t="str">
            <v>Pistola</v>
          </cell>
          <cell r="O103" t="str">
            <v>14"-16" Copa Ford #4</v>
          </cell>
          <cell r="P103" t="str">
            <v>Listo Para Usar</v>
          </cell>
          <cell r="Q103" t="str">
            <v>R7KB28 Si es Necesario</v>
          </cell>
          <cell r="R103" t="str">
            <v>0.5-2.0 mills</v>
          </cell>
          <cell r="S103" t="str">
            <v>Al Aire 30 min.</v>
          </cell>
          <cell r="T103" t="str">
            <v>-</v>
          </cell>
          <cell r="U103" t="str">
            <v>186.08 pies cuadrados por galón</v>
          </cell>
          <cell r="V103" t="str">
            <v>+60</v>
          </cell>
          <cell r="W103" t="str">
            <v>-</v>
          </cell>
          <cell r="X103" t="str">
            <v>12 meses</v>
          </cell>
          <cell r="Y103" t="str">
            <v>Muebles Molina Hnos</v>
          </cell>
          <cell r="Z103" t="str">
            <v>Muebles de Madera.</v>
          </cell>
          <cell r="AA103" t="str">
            <v>-</v>
          </cell>
          <cell r="AB103" t="str">
            <v>-</v>
          </cell>
          <cell r="AC103" t="str">
            <v>S/F</v>
          </cell>
        </row>
        <row r="104">
          <cell r="A104" t="str">
            <v>SAA 3299</v>
          </cell>
          <cell r="B104" t="str">
            <v>Sherwood Super Kem Var "C" Gloss (Catalizado)</v>
          </cell>
          <cell r="C104" t="str">
            <v>Interior</v>
          </cell>
          <cell r="D104" t="str">
            <v>Madera</v>
          </cell>
          <cell r="E104" t="str">
            <v>Lijada, Libre de Polvo</v>
          </cell>
          <cell r="F104" t="str">
            <v>Sellador T60F50</v>
          </cell>
          <cell r="G104" t="str">
            <v>8.02 Lbs/Gl</v>
          </cell>
          <cell r="H104" t="str">
            <v>-</v>
          </cell>
          <cell r="I104" t="str">
            <v>45%</v>
          </cell>
          <cell r="J104" t="str">
            <v>52%</v>
          </cell>
          <cell r="K104" t="str">
            <v>-</v>
          </cell>
          <cell r="L104" t="str">
            <v>37.67%</v>
          </cell>
          <cell r="M104" t="str">
            <v>18"-22" Copa Ford #4</v>
          </cell>
          <cell r="N104" t="str">
            <v>Pistola de Aire</v>
          </cell>
          <cell r="O104" t="str">
            <v>18"-22" Copa Ford #4</v>
          </cell>
          <cell r="P104" t="str">
            <v>5% de V66V21 (Catalizador)</v>
          </cell>
          <cell r="Q104" t="str">
            <v>Ninguno</v>
          </cell>
          <cell r="R104" t="str">
            <v>1 mills</v>
          </cell>
          <cell r="S104" t="str">
            <v>Seco Tocar: 15 Min. Seco Completo 30 Min.</v>
          </cell>
          <cell r="T104" t="str">
            <v>-</v>
          </cell>
          <cell r="U104" t="str">
            <v>215 Pies Cuadrados/Gl</v>
          </cell>
          <cell r="V104" t="str">
            <v>+90</v>
          </cell>
          <cell r="W104" t="str">
            <v>4H (1 Mano), Mayor de 6H ( 2 Manos)</v>
          </cell>
          <cell r="X104" t="str">
            <v>-</v>
          </cell>
          <cell r="Y104" t="str">
            <v>INDECO-Guatemala</v>
          </cell>
          <cell r="Z104" t="str">
            <v>Muebles de Madera.</v>
          </cell>
          <cell r="AA104" t="str">
            <v>Este Producto Puede Permanecer Catalizado 7 Horas Antes de Gelarse Por la Catalización.</v>
          </cell>
          <cell r="AB104" t="str">
            <v>-</v>
          </cell>
          <cell r="AC104" t="str">
            <v>S/F</v>
          </cell>
        </row>
        <row r="105">
          <cell r="A105" t="str">
            <v>SAA 3300</v>
          </cell>
          <cell r="B105" t="str">
            <v>Tapaporo Nogal Oscuro Listo Para Usar</v>
          </cell>
          <cell r="C105" t="str">
            <v>Interior-Exterior</v>
          </cell>
          <cell r="D105" t="str">
            <v>Madera</v>
          </cell>
          <cell r="E105" t="str">
            <v>Lijada, Libre de Polvo</v>
          </cell>
          <cell r="F105" t="str">
            <v>Ninguno</v>
          </cell>
          <cell r="G105" t="str">
            <v>10.42 Lbs/Gl</v>
          </cell>
          <cell r="H105" t="str">
            <v>-</v>
          </cell>
          <cell r="I105" t="str">
            <v>50.8%</v>
          </cell>
          <cell r="J105" t="str">
            <v>45%</v>
          </cell>
          <cell r="K105" t="str">
            <v>-</v>
          </cell>
          <cell r="L105" t="str">
            <v>28.18%</v>
          </cell>
          <cell r="M105" t="str">
            <v>18"-22" Copa Ford #4</v>
          </cell>
          <cell r="N105" t="str">
            <v>Brocha-Whipe</v>
          </cell>
          <cell r="O105" t="str">
            <v>18"-22" Copa Ford #4</v>
          </cell>
          <cell r="P105" t="str">
            <v>Ninguno</v>
          </cell>
          <cell r="Q105" t="str">
            <v>Ninguno</v>
          </cell>
          <cell r="R105" t="str">
            <v>-</v>
          </cell>
          <cell r="S105" t="str">
            <v>5-10 MInutos</v>
          </cell>
          <cell r="T105" t="str">
            <v>-</v>
          </cell>
          <cell r="U105" t="str">
            <v>100 Mts Cuadrados/Gl</v>
          </cell>
          <cell r="V105" t="str">
            <v>Mate</v>
          </cell>
          <cell r="W105" t="str">
            <v>-</v>
          </cell>
          <cell r="X105" t="str">
            <v>-</v>
          </cell>
          <cell r="Y105" t="str">
            <v>INDECO-Guatemala</v>
          </cell>
          <cell r="Z105" t="str">
            <v>Muebles de Madera.</v>
          </cell>
          <cell r="AA105" t="str">
            <v>-</v>
          </cell>
          <cell r="AB105" t="str">
            <v>-</v>
          </cell>
          <cell r="AC105" t="str">
            <v>S/F</v>
          </cell>
        </row>
        <row r="106">
          <cell r="A106" t="str">
            <v>SAA 3302</v>
          </cell>
          <cell r="B106" t="str">
            <v>Barniz Sanitario Fenólico</v>
          </cell>
          <cell r="C106" t="str">
            <v>Interior-Exterior</v>
          </cell>
          <cell r="D106" t="str">
            <v>Hojalata</v>
          </cell>
          <cell r="E106" t="str">
            <v>Lipiar con Solvente</v>
          </cell>
          <cell r="F106" t="str">
            <v>Ninguno</v>
          </cell>
          <cell r="G106" t="str">
            <v>7.65 Lbs/Gl</v>
          </cell>
          <cell r="H106" t="str">
            <v>-</v>
          </cell>
          <cell r="I106" t="str">
            <v>27.7%</v>
          </cell>
          <cell r="J106" t="str">
            <v>54%</v>
          </cell>
          <cell r="K106" t="str">
            <v>-</v>
          </cell>
          <cell r="L106" t="str">
            <v>20.39%</v>
          </cell>
          <cell r="M106" t="str">
            <v>14"-17" Copa Ford #4</v>
          </cell>
          <cell r="N106" t="str">
            <v>Pistola de Aire</v>
          </cell>
          <cell r="O106" t="str">
            <v>14"-17" Copa Ford #4</v>
          </cell>
          <cell r="P106" t="str">
            <v>Ninguno</v>
          </cell>
          <cell r="Q106" t="str">
            <v>Ninguno</v>
          </cell>
          <cell r="R106" t="str">
            <v>1.0 mills</v>
          </cell>
          <cell r="S106" t="str">
            <v>Horneo</v>
          </cell>
          <cell r="T106" t="str">
            <v>20' a 375°F (190 °C)</v>
          </cell>
          <cell r="U106" t="str">
            <v>-</v>
          </cell>
          <cell r="V106" t="str">
            <v>Full</v>
          </cell>
          <cell r="W106" t="str">
            <v>5H-6H</v>
          </cell>
          <cell r="X106" t="str">
            <v>-</v>
          </cell>
          <cell r="Y106" t="str">
            <v>CORLASA</v>
          </cell>
          <cell r="Z106" t="str">
            <v>-</v>
          </cell>
          <cell r="AA106" t="str">
            <v>-</v>
          </cell>
          <cell r="AB106" t="str">
            <v>-</v>
          </cell>
          <cell r="AC106" t="str">
            <v>S/F</v>
          </cell>
        </row>
        <row r="107">
          <cell r="A107" t="str">
            <v>SAA 3305</v>
          </cell>
          <cell r="B107" t="str">
            <v>Tile Clad Enamel Blanco Hueso</v>
          </cell>
          <cell r="C107" t="str">
            <v>Interior</v>
          </cell>
          <cell r="D107" t="str">
            <v>Hierro-Acero-Aluminio</v>
          </cell>
          <cell r="E107" t="str">
            <v>Limpieza con Solvente</v>
          </cell>
          <cell r="F107" t="str">
            <v>Zinc Clad 7 (B69A47)</v>
          </cell>
          <cell r="G107" t="str">
            <v>11.03-11.15 Lbs/Gl</v>
          </cell>
          <cell r="H107" t="str">
            <v>43%</v>
          </cell>
          <cell r="I107" t="str">
            <v>63.7%</v>
          </cell>
          <cell r="J107" t="str">
            <v>60%</v>
          </cell>
          <cell r="K107" t="str">
            <v>37%</v>
          </cell>
          <cell r="L107" t="str">
            <v>43.7%</v>
          </cell>
          <cell r="M107" t="str">
            <v>75-80 KU</v>
          </cell>
          <cell r="N107" t="str">
            <v>Pistola de Aire-Brocha</v>
          </cell>
          <cell r="O107" t="str">
            <v>30-35 KU (Mezclado con Eggshell Hardener)</v>
          </cell>
          <cell r="P107" t="str">
            <v>20% con R2K4</v>
          </cell>
          <cell r="Q107" t="str">
            <v>R2K4         Industrial reducer</v>
          </cell>
          <cell r="R107" t="str">
            <v>1 mills</v>
          </cell>
          <cell r="S107" t="str">
            <v>Tocar: 1 Hra. Completo: 4 Hrs. Segunda Mano: 6 Hrs a Temperatura Ambiente</v>
          </cell>
          <cell r="T107" t="str">
            <v>-</v>
          </cell>
          <cell r="U107" t="str">
            <v>740 Pies cuadrados por Galon</v>
          </cell>
          <cell r="V107" t="str">
            <v>+35</v>
          </cell>
          <cell r="W107" t="str">
            <v>6H-7H</v>
          </cell>
          <cell r="X107" t="str">
            <v>36 meses cerrado</v>
          </cell>
          <cell r="Y107" t="str">
            <v>Beneficio El Tazumal (Chalchuapa)/(IMSA) Industrias Metalicas, S.A.</v>
          </cell>
          <cell r="Z107" t="str">
            <v>-</v>
          </cell>
          <cell r="AA107" t="str">
            <v>Mezclar una parte de Tile Clad con una parte de Eggshell Hardener, en volumen. Dejar reposar una hora antes de Aplicar. Tiempo de vida de la mezcla 8 horas.</v>
          </cell>
          <cell r="AB107" t="str">
            <v>-</v>
          </cell>
          <cell r="AC107" t="str">
            <v>S/F</v>
          </cell>
        </row>
        <row r="108">
          <cell r="A108" t="str">
            <v>SAA 3306</v>
          </cell>
          <cell r="B108" t="str">
            <v>Eggshell Hardener (Catalizador De Tile Clad Enamel)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10.42-10.67 Lbs/Gl</v>
          </cell>
          <cell r="H108" t="str">
            <v>32%</v>
          </cell>
          <cell r="I108" t="str">
            <v>69.57%</v>
          </cell>
          <cell r="J108" t="str">
            <v>60%</v>
          </cell>
          <cell r="K108" t="str">
            <v>26.6%</v>
          </cell>
          <cell r="L108" t="str">
            <v>55.9%</v>
          </cell>
          <cell r="M108" t="str">
            <v>75-80 KU</v>
          </cell>
          <cell r="N108" t="str">
            <v>Mezclar uno a uno en volumen con Tile Clad Enamel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 t="str">
            <v>-</v>
          </cell>
          <cell r="V108" t="str">
            <v>-</v>
          </cell>
          <cell r="W108" t="str">
            <v>-</v>
          </cell>
          <cell r="X108" t="str">
            <v>-</v>
          </cell>
          <cell r="Y108" t="str">
            <v>Beneficio El Tazumal (Chalchuapa)/(IMSA) Industrias Metalicas, S.A.</v>
          </cell>
          <cell r="Z108" t="str">
            <v>-</v>
          </cell>
          <cell r="AA108" t="str">
            <v>-</v>
          </cell>
          <cell r="AB108" t="str">
            <v>-</v>
          </cell>
          <cell r="AC108" t="str">
            <v>S/F</v>
          </cell>
        </row>
        <row r="109">
          <cell r="A109" t="str">
            <v>SAA 3309</v>
          </cell>
          <cell r="B109" t="str">
            <v>Barniz Final Para Hojalata</v>
          </cell>
          <cell r="C109" t="str">
            <v>Interior-Exterior</v>
          </cell>
          <cell r="D109" t="str">
            <v>Hojalata</v>
          </cell>
          <cell r="E109" t="str">
            <v xml:space="preserve">Limpia </v>
          </cell>
          <cell r="F109" t="str">
            <v>Ninguno</v>
          </cell>
          <cell r="G109" t="str">
            <v>7.98 Lbs/Gl</v>
          </cell>
          <cell r="H109" t="str">
            <v>-</v>
          </cell>
          <cell r="I109" t="str">
            <v>42.50%</v>
          </cell>
          <cell r="J109" t="str">
            <v>42.50%</v>
          </cell>
          <cell r="K109" t="str">
            <v>-</v>
          </cell>
          <cell r="L109" t="str">
            <v>33.60%</v>
          </cell>
          <cell r="M109" t="str">
            <v>60"-65" copa Ford #4</v>
          </cell>
          <cell r="N109" t="str">
            <v>Rodillo</v>
          </cell>
          <cell r="O109" t="str">
            <v>60"-65" Copa Ford #4</v>
          </cell>
          <cell r="P109" t="str">
            <v>-</v>
          </cell>
          <cell r="Q109" t="str">
            <v>-</v>
          </cell>
          <cell r="R109" t="str">
            <v>-</v>
          </cell>
          <cell r="S109" t="str">
            <v>-</v>
          </cell>
          <cell r="T109" t="str">
            <v>12 Min a 160°C</v>
          </cell>
          <cell r="U109" t="str">
            <v>680 Pies cuadrados por Galón</v>
          </cell>
          <cell r="V109" t="str">
            <v>+90</v>
          </cell>
          <cell r="W109" t="str">
            <v>HB</v>
          </cell>
          <cell r="X109" t="str">
            <v>12 meses</v>
          </cell>
          <cell r="Y109" t="str">
            <v>Central de Empaques, Didema Guatemala</v>
          </cell>
          <cell r="Z109" t="str">
            <v>Corcholatas y Hojalatas</v>
          </cell>
          <cell r="AA109" t="str">
            <v>-</v>
          </cell>
          <cell r="AB109" t="str">
            <v>-</v>
          </cell>
          <cell r="AC109" t="str">
            <v>S/F</v>
          </cell>
        </row>
        <row r="110">
          <cell r="A110" t="str">
            <v>SAA 3310</v>
          </cell>
          <cell r="B110" t="str">
            <v>Barniz De Sobre Impresión</v>
          </cell>
          <cell r="C110" t="str">
            <v>Interior-Exterior</v>
          </cell>
          <cell r="D110" t="str">
            <v>Hojalata</v>
          </cell>
          <cell r="E110" t="str">
            <v xml:space="preserve">Limpia </v>
          </cell>
          <cell r="F110" t="str">
            <v>Ninguno</v>
          </cell>
          <cell r="G110" t="str">
            <v>7.98 Lbs/Gl</v>
          </cell>
          <cell r="H110" t="str">
            <v>-</v>
          </cell>
          <cell r="I110" t="str">
            <v>42.50%</v>
          </cell>
          <cell r="J110" t="str">
            <v>42.50%</v>
          </cell>
          <cell r="K110" t="str">
            <v>-</v>
          </cell>
          <cell r="L110" t="str">
            <v>33.60%</v>
          </cell>
          <cell r="M110" t="str">
            <v>60"-65" copa Ford #4</v>
          </cell>
          <cell r="N110" t="str">
            <v>Rodillo</v>
          </cell>
          <cell r="O110" t="str">
            <v>60"-65" Copa Ford #4</v>
          </cell>
          <cell r="P110" t="str">
            <v>-</v>
          </cell>
          <cell r="Q110" t="str">
            <v>-</v>
          </cell>
          <cell r="R110" t="str">
            <v>-</v>
          </cell>
          <cell r="S110" t="str">
            <v>-</v>
          </cell>
          <cell r="T110" t="str">
            <v>12 Min a 160°C</v>
          </cell>
          <cell r="U110" t="str">
            <v>680 Pies cuadrados por Galón</v>
          </cell>
          <cell r="V110" t="str">
            <v>+90</v>
          </cell>
          <cell r="W110" t="str">
            <v>HB</v>
          </cell>
          <cell r="X110" t="str">
            <v>12 meses</v>
          </cell>
          <cell r="Y110" t="str">
            <v>Central de Empaques, Didema Guatemala</v>
          </cell>
          <cell r="Z110" t="str">
            <v>Corcholatas y Hojalatas</v>
          </cell>
          <cell r="AA110" t="str">
            <v>-</v>
          </cell>
          <cell r="AB110" t="str">
            <v>-</v>
          </cell>
          <cell r="AC110" t="str">
            <v>S/F</v>
          </cell>
        </row>
        <row r="111">
          <cell r="A111" t="str">
            <v>SAA 3330</v>
          </cell>
          <cell r="B111" t="str">
            <v>Sellador Extra Concentrado</v>
          </cell>
          <cell r="C111" t="str">
            <v>Interior</v>
          </cell>
          <cell r="D111" t="str">
            <v>Madera</v>
          </cell>
          <cell r="E111" t="str">
            <v>Lijada y Limpia de Polvo</v>
          </cell>
          <cell r="F111" t="str">
            <v>D70T1</v>
          </cell>
          <cell r="G111" t="str">
            <v>8.02 Lbs/Gl</v>
          </cell>
          <cell r="H111" t="str">
            <v>-</v>
          </cell>
          <cell r="I111" t="str">
            <v>42.24%</v>
          </cell>
          <cell r="J111" t="str">
            <v>-</v>
          </cell>
          <cell r="K111" t="str">
            <v>-</v>
          </cell>
          <cell r="L111" t="str">
            <v>24.38%</v>
          </cell>
          <cell r="M111" t="str">
            <v>105,000-115,000 cps</v>
          </cell>
          <cell r="N111" t="str">
            <v>Pistola de Aire</v>
          </cell>
          <cell r="O111" t="str">
            <v>25"-30" Copa Zanh #2</v>
          </cell>
          <cell r="P111" t="str">
            <v>400%</v>
          </cell>
          <cell r="Q111" t="str">
            <v>R7K128</v>
          </cell>
          <cell r="R111" t="str">
            <v>-</v>
          </cell>
          <cell r="S111" t="str">
            <v>Tocar: 5 Min Completo: 20 Min</v>
          </cell>
          <cell r="T111" t="str">
            <v>-</v>
          </cell>
          <cell r="U111" t="str">
            <v>-</v>
          </cell>
          <cell r="V111" t="str">
            <v>Mate</v>
          </cell>
          <cell r="W111" t="str">
            <v>-</v>
          </cell>
          <cell r="X111" t="str">
            <v>-</v>
          </cell>
          <cell r="Y111" t="str">
            <v xml:space="preserve">DIDEMA  </v>
          </cell>
          <cell r="Z111" t="str">
            <v>Muebles de Madera.</v>
          </cell>
          <cell r="AA111" t="str">
            <v>-</v>
          </cell>
          <cell r="AB111" t="str">
            <v>-</v>
          </cell>
          <cell r="AC111" t="str">
            <v>S/F</v>
          </cell>
        </row>
        <row r="112">
          <cell r="A112" t="str">
            <v>SAA 3335</v>
          </cell>
          <cell r="B112" t="str">
            <v>Laca Transparente Brillante Especial</v>
          </cell>
          <cell r="C112" t="str">
            <v>Interiores</v>
          </cell>
          <cell r="D112" t="str">
            <v>Hierro (Picos, Azadones, Palas)</v>
          </cell>
          <cell r="E112" t="str">
            <v>Limpiar con solvente R7K128</v>
          </cell>
          <cell r="F112" t="str">
            <v>Ninguno</v>
          </cell>
          <cell r="G112" t="str">
            <v>7.44 Lbs/Gl</v>
          </cell>
          <cell r="H112" t="str">
            <v>-</v>
          </cell>
          <cell r="I112" t="str">
            <v>21.5%</v>
          </cell>
          <cell r="J112" t="str">
            <v>-</v>
          </cell>
          <cell r="K112" t="str">
            <v>-</v>
          </cell>
          <cell r="L112" t="str">
            <v>15.65%</v>
          </cell>
          <cell r="M112" t="str">
            <v>28-32" Copa Ford #4</v>
          </cell>
          <cell r="N112" t="str">
            <v>Inmersion</v>
          </cell>
          <cell r="O112" t="str">
            <v>28-32" Copa Ford #4</v>
          </cell>
          <cell r="P112" t="str">
            <v>Ninguno</v>
          </cell>
          <cell r="Q112" t="str">
            <v>Ninguno</v>
          </cell>
          <cell r="R112" t="str">
            <v>1 mills</v>
          </cell>
          <cell r="S112" t="str">
            <v>Tacto: 5-10 min Manejable: 15 min</v>
          </cell>
          <cell r="T112" t="str">
            <v>-</v>
          </cell>
          <cell r="U112" t="str">
            <v>-</v>
          </cell>
          <cell r="V112" t="str">
            <v>75-85</v>
          </cell>
          <cell r="W112" t="str">
            <v>-</v>
          </cell>
          <cell r="X112" t="str">
            <v>-</v>
          </cell>
          <cell r="Y112" t="str">
            <v>Vidri</v>
          </cell>
          <cell r="Z112" t="str">
            <v>Picos, Azadones, Palas</v>
          </cell>
          <cell r="AA112" t="str">
            <v>-</v>
          </cell>
          <cell r="AB112" t="str">
            <v>-</v>
          </cell>
          <cell r="AC112" t="str">
            <v>S/F</v>
          </cell>
        </row>
        <row r="113">
          <cell r="A113" t="str">
            <v>SAA 3672</v>
          </cell>
          <cell r="B113" t="str">
            <v>Anticorrosivo Blanco</v>
          </cell>
          <cell r="C113" t="str">
            <v>Interior-Exterior (Recubierta)</v>
          </cell>
          <cell r="D113" t="str">
            <v>Metal (Hierro)</v>
          </cell>
          <cell r="E113" t="str">
            <v>Limpia y Libre de Corrosión</v>
          </cell>
          <cell r="F113" t="str">
            <v>Ninguno</v>
          </cell>
          <cell r="G113" t="str">
            <v>11.17 Lbs/Gl</v>
          </cell>
          <cell r="H113" t="str">
            <v>78% (Respecto a Sólidos)</v>
          </cell>
          <cell r="I113" t="str">
            <v>65.33%</v>
          </cell>
          <cell r="J113" t="str">
            <v>22%</v>
          </cell>
          <cell r="K113" t="str">
            <v>56.6%</v>
          </cell>
          <cell r="L113" t="str">
            <v>41.5%</v>
          </cell>
          <cell r="M113" t="str">
            <v>78-85 KU</v>
          </cell>
          <cell r="N113" t="str">
            <v>Brocha-Pistola</v>
          </cell>
          <cell r="O113" t="str">
            <v>Brocha: 70-80 KU</v>
          </cell>
          <cell r="P113" t="str">
            <v>5-10%</v>
          </cell>
          <cell r="Q113" t="str">
            <v>R1K4</v>
          </cell>
          <cell r="R113" t="str">
            <v>2 mils</v>
          </cell>
          <cell r="S113" t="str">
            <v>Al Aire 5-7 Horas</v>
          </cell>
          <cell r="T113" t="str">
            <v>-</v>
          </cell>
          <cell r="U113" t="str">
            <v>-</v>
          </cell>
          <cell r="V113" t="str">
            <v>Semi-Mate</v>
          </cell>
          <cell r="W113" t="str">
            <v>-</v>
          </cell>
          <cell r="X113" t="str">
            <v>-</v>
          </cell>
          <cell r="Y113" t="str">
            <v xml:space="preserve">DIDEMA, S.A  </v>
          </cell>
          <cell r="Z113" t="str">
            <v>-</v>
          </cell>
          <cell r="AA113" t="str">
            <v>-</v>
          </cell>
          <cell r="AB113" t="str">
            <v>Rene Ferrufino</v>
          </cell>
          <cell r="AC113" t="str">
            <v>S/F</v>
          </cell>
        </row>
        <row r="114">
          <cell r="A114" t="str">
            <v>SAA 3769</v>
          </cell>
          <cell r="B114" t="str">
            <v>Permaclad 2500 White</v>
          </cell>
          <cell r="C114" t="str">
            <v>Interior</v>
          </cell>
          <cell r="D114" t="str">
            <v>Hierro</v>
          </cell>
          <cell r="E114" t="str">
            <v>Limpio con Solvente</v>
          </cell>
          <cell r="F114" t="str">
            <v>Ninguno</v>
          </cell>
          <cell r="G114" t="str">
            <v>12.02 Lbs/Gl</v>
          </cell>
          <cell r="H114" t="str">
            <v>41.28%</v>
          </cell>
          <cell r="I114" t="str">
            <v>79.75%</v>
          </cell>
          <cell r="J114" t="str">
            <v>65.51%</v>
          </cell>
          <cell r="K114" t="str">
            <v>22.80%</v>
          </cell>
          <cell r="L114" t="str">
            <v>65.69%</v>
          </cell>
          <cell r="M114" t="str">
            <v>30"-40" Copa Zanh #2</v>
          </cell>
          <cell r="N114" t="str">
            <v>Pistola</v>
          </cell>
          <cell r="O114" t="str">
            <v>18"-20" Copa Ford #4</v>
          </cell>
          <cell r="P114" t="str">
            <v>20%</v>
          </cell>
          <cell r="Q114" t="str">
            <v>R2K4         Industrial reducer</v>
          </cell>
          <cell r="R114" t="str">
            <v>1.0-1.2 mills</v>
          </cell>
          <cell r="S114" t="str">
            <v>Al Horno</v>
          </cell>
          <cell r="T114" t="str">
            <v>11' a 325°F</v>
          </cell>
          <cell r="U114" t="str">
            <v>1276 Pies Cuadrados/Gl a 1 mills seco</v>
          </cell>
          <cell r="V114" t="str">
            <v>85-90</v>
          </cell>
          <cell r="W114" t="str">
            <v>H-2H</v>
          </cell>
          <cell r="X114" t="str">
            <v>-</v>
          </cell>
          <cell r="Y114" t="str">
            <v>IMSA</v>
          </cell>
          <cell r="Z114" t="str">
            <v>Muebles Metálicos</v>
          </cell>
          <cell r="AA114" t="str">
            <v>-</v>
          </cell>
          <cell r="AB114" t="str">
            <v>Luis Nolasco</v>
          </cell>
          <cell r="AC114" t="str">
            <v>S/F</v>
          </cell>
        </row>
        <row r="115">
          <cell r="A115" t="str">
            <v>SAA 3791</v>
          </cell>
          <cell r="B115" t="str">
            <v>Esmalte Horneable Acrilico Blanco TAPPAN</v>
          </cell>
          <cell r="C115" t="str">
            <v>Interior-Exterior Limitada</v>
          </cell>
          <cell r="D115" t="str">
            <v>Hierro</v>
          </cell>
          <cell r="E115" t="str">
            <v>Lavado, Desengrase y Fosfatizado</v>
          </cell>
          <cell r="F115" t="str">
            <v>E68WSA4 Acrylic Monobake White Primer</v>
          </cell>
          <cell r="G115" t="str">
            <v>10.06 Lbs/Gl</v>
          </cell>
          <cell r="H115" t="str">
            <v>29.75%</v>
          </cell>
          <cell r="I115" t="str">
            <v>54.86%</v>
          </cell>
          <cell r="J115" t="str">
            <v>38.54%</v>
          </cell>
          <cell r="K115" t="str">
            <v>25.5%</v>
          </cell>
          <cell r="L115" t="str">
            <v>35.5%</v>
          </cell>
          <cell r="M115" t="str">
            <v>100"-110" Copa Zanh #2</v>
          </cell>
          <cell r="N115" t="str">
            <v>Pistola</v>
          </cell>
          <cell r="O115" t="str">
            <v>25"-30" Copa Zanh #2</v>
          </cell>
          <cell r="P115" t="str">
            <v>20-25%</v>
          </cell>
          <cell r="Q115" t="str">
            <v>R2K4         Industrial reducer</v>
          </cell>
          <cell r="R115" t="str">
            <v>1.0-1.2 mills</v>
          </cell>
          <cell r="S115" t="str">
            <v>Al Horno</v>
          </cell>
          <cell r="T115" t="str">
            <v>15' a 350-400°F</v>
          </cell>
          <cell r="U115" t="str">
            <v>878 Pies Cuadrados/Gl</v>
          </cell>
          <cell r="V115" t="str">
            <v>+85</v>
          </cell>
          <cell r="W115" t="str">
            <v>2H-3H</v>
          </cell>
          <cell r="X115" t="str">
            <v>6-12 meses</v>
          </cell>
          <cell r="Y115" t="str">
            <v>TAPPAN-GUATEMALA</v>
          </cell>
          <cell r="Z115" t="str">
            <v>Cocinas</v>
          </cell>
          <cell r="AA115" t="str">
            <v>-</v>
          </cell>
          <cell r="AB115" t="str">
            <v>Luis Nolasco</v>
          </cell>
          <cell r="AC115" t="str">
            <v>S/F</v>
          </cell>
        </row>
        <row r="116">
          <cell r="A116" t="str">
            <v>SAA 3792</v>
          </cell>
          <cell r="B116" t="str">
            <v>Esmalte Horneable Troquelable Blanco</v>
          </cell>
          <cell r="C116" t="str">
            <v>Exterior de Tapacoronas</v>
          </cell>
          <cell r="D116" t="str">
            <v>Hojalata</v>
          </cell>
          <cell r="E116" t="str">
            <v>Limpia</v>
          </cell>
          <cell r="F116" t="str">
            <v>Ninguno</v>
          </cell>
          <cell r="G116" t="str">
            <v>9.54 Lbs/Gl</v>
          </cell>
          <cell r="H116" t="str">
            <v>20.83%</v>
          </cell>
          <cell r="I116" t="str">
            <v>40.63%</v>
          </cell>
          <cell r="J116" t="str">
            <v>23.76%</v>
          </cell>
          <cell r="K116" t="str">
            <v>57.69%</v>
          </cell>
          <cell r="L116" t="str">
            <v>24.67%</v>
          </cell>
          <cell r="M116" t="str">
            <v>90-100 KU</v>
          </cell>
          <cell r="N116" t="str">
            <v>Ninguno</v>
          </cell>
          <cell r="O116" t="str">
            <v>90-100 KU</v>
          </cell>
          <cell r="P116" t="str">
            <v>Ninguno</v>
          </cell>
          <cell r="Q116" t="str">
            <v>-</v>
          </cell>
          <cell r="R116" t="str">
            <v>1 mills</v>
          </cell>
          <cell r="S116" t="str">
            <v>Al Horno</v>
          </cell>
          <cell r="T116" t="str">
            <v>12' a 180°C</v>
          </cell>
          <cell r="U116" t="str">
            <v>650.08 Pies Cuadrados/Gl a 1 mills de espesor</v>
          </cell>
          <cell r="V116" t="str">
            <v>+80</v>
          </cell>
          <cell r="W116" t="str">
            <v>-</v>
          </cell>
          <cell r="X116" t="str">
            <v>6-12 meses</v>
          </cell>
          <cell r="Y116" t="str">
            <v>Nicaragua</v>
          </cell>
          <cell r="Z116" t="str">
            <v>-</v>
          </cell>
          <cell r="AA116" t="str">
            <v>-</v>
          </cell>
          <cell r="AB116" t="str">
            <v>Luis Nolasco</v>
          </cell>
          <cell r="AC116" t="str">
            <v>S/F</v>
          </cell>
        </row>
        <row r="117">
          <cell r="A117" t="str">
            <v>SAA 3810</v>
          </cell>
          <cell r="B117" t="str">
            <v>Esmalte de Polyuretano Aluminio</v>
          </cell>
          <cell r="C117" t="str">
            <v>Interior-Exterior</v>
          </cell>
          <cell r="D117" t="str">
            <v>Hierro-Acero</v>
          </cell>
          <cell r="E117" t="str">
            <v>Libre de Grasa y Polvo</v>
          </cell>
          <cell r="F117" t="str">
            <v>P2A32</v>
          </cell>
          <cell r="G117" t="str">
            <v>8.61 Lbs/Gl</v>
          </cell>
          <cell r="H117" t="str">
            <v>23%</v>
          </cell>
          <cell r="I117" t="str">
            <v>34.86%</v>
          </cell>
          <cell r="J117" t="str">
            <v>77%</v>
          </cell>
          <cell r="K117" t="str">
            <v>13%</v>
          </cell>
          <cell r="L117" t="str">
            <v>26.5%</v>
          </cell>
          <cell r="M117" t="str">
            <v>12-14 Seg. Copa Ford #4</v>
          </cell>
          <cell r="N117" t="str">
            <v>Pistola</v>
          </cell>
          <cell r="O117" t="str">
            <v>12-14 Seg. Copa Ford #4</v>
          </cell>
          <cell r="P117" t="str">
            <v>Ninguno</v>
          </cell>
          <cell r="Q117" t="str">
            <v>Ninguno</v>
          </cell>
          <cell r="R117" t="str">
            <v>1 mills de Pulgada Seca</v>
          </cell>
          <cell r="S117" t="str">
            <v>Al Aire una hora y media.</v>
          </cell>
          <cell r="T117" t="str">
            <v>-</v>
          </cell>
          <cell r="U117" t="str">
            <v>95</v>
          </cell>
          <cell r="V117" t="str">
            <v>-</v>
          </cell>
          <cell r="W117" t="str">
            <v>-</v>
          </cell>
          <cell r="X117" t="str">
            <v>-</v>
          </cell>
          <cell r="Y117" t="str">
            <v>Ing. José Guillermo Castillo</v>
          </cell>
          <cell r="Z117" t="str">
            <v>Tuberías</v>
          </cell>
          <cell r="AA117" t="str">
            <v>Mezclar 4 partes en Vol. Del SAA 3810 con una parte de Catalizador V6V283, Mexclar bien y aplicar con Pistola.</v>
          </cell>
          <cell r="AB117" t="str">
            <v>Rene Ferrufino</v>
          </cell>
          <cell r="AC117" t="str">
            <v>S/F</v>
          </cell>
        </row>
        <row r="118">
          <cell r="A118" t="str">
            <v>SAA 3811</v>
          </cell>
          <cell r="B118" t="str">
            <v>Esmalte Horneable Acrilico Negro Brillante</v>
          </cell>
          <cell r="C118" t="str">
            <v>Interior-Exterior Limitada</v>
          </cell>
          <cell r="D118" t="str">
            <v>Hierro</v>
          </cell>
          <cell r="E118" t="str">
            <v>Lavado, Desengrase y Fosfatizado</v>
          </cell>
          <cell r="F118" t="str">
            <v>E68WSA4 Acrylic Monobake White Primer</v>
          </cell>
          <cell r="G118" t="str">
            <v>7.90 Lbs/Gl</v>
          </cell>
          <cell r="H118" t="str">
            <v>2.78%</v>
          </cell>
          <cell r="I118" t="str">
            <v>40.67%</v>
          </cell>
          <cell r="J118" t="str">
            <v>38.38%</v>
          </cell>
          <cell r="K118" t="str">
            <v>4.08%</v>
          </cell>
          <cell r="L118" t="str">
            <v>37.03%</v>
          </cell>
          <cell r="M118" t="str">
            <v>100"-110" Copa Zanh #2</v>
          </cell>
          <cell r="N118" t="str">
            <v>Pistola</v>
          </cell>
          <cell r="O118" t="str">
            <v>25"-30" Copa Zanh #2</v>
          </cell>
          <cell r="P118" t="str">
            <v>20-25%</v>
          </cell>
          <cell r="Q118" t="str">
            <v>R2K4         Industrial reducer</v>
          </cell>
          <cell r="R118" t="str">
            <v>1.0-1.2 mills</v>
          </cell>
          <cell r="S118" t="str">
            <v>Al Horno</v>
          </cell>
          <cell r="T118" t="str">
            <v>15' a 350-400°F</v>
          </cell>
          <cell r="U118" t="str">
            <v>650.72 Pies Cuadrados/Gl a 1 mills de espesor</v>
          </cell>
          <cell r="V118" t="str">
            <v>+85</v>
          </cell>
          <cell r="W118" t="str">
            <v>2H-3H</v>
          </cell>
          <cell r="X118" t="str">
            <v>6-12 meses</v>
          </cell>
          <cell r="Y118" t="str">
            <v>TAPPAN-GUATEMALA</v>
          </cell>
          <cell r="Z118" t="str">
            <v>Cocinas</v>
          </cell>
          <cell r="AA118" t="str">
            <v>-</v>
          </cell>
          <cell r="AB118" t="str">
            <v>Luis Nolasco</v>
          </cell>
          <cell r="AC118" t="str">
            <v>S/F</v>
          </cell>
        </row>
        <row r="119">
          <cell r="A119" t="str">
            <v>SAA 3812</v>
          </cell>
          <cell r="B119" t="str">
            <v>Esmalte Horneble Acrílico Amarillo Suave</v>
          </cell>
          <cell r="C119" t="str">
            <v>Interior-Exterior Limitada</v>
          </cell>
          <cell r="D119" t="str">
            <v>Hierro</v>
          </cell>
          <cell r="E119" t="str">
            <v>Lavado, Desengrase y Fosfatizado</v>
          </cell>
          <cell r="F119" t="str">
            <v>E68WSA4 Acrylic Monobake White Primer</v>
          </cell>
          <cell r="G119" t="str">
            <v>9.48 Lbs/Gl</v>
          </cell>
          <cell r="H119" t="str">
            <v>23.77%</v>
          </cell>
          <cell r="I119" t="str">
            <v>52.91%</v>
          </cell>
          <cell r="J119" t="str">
            <v>38.22%</v>
          </cell>
          <cell r="K119" t="str">
            <v>17.82%</v>
          </cell>
          <cell r="L119" t="str">
            <v>38.27%</v>
          </cell>
          <cell r="M119" t="str">
            <v>100"-110" Copa Zanh #2</v>
          </cell>
          <cell r="N119" t="str">
            <v>Pistola</v>
          </cell>
          <cell r="O119" t="str">
            <v>25"-30" Copa Zanh #2</v>
          </cell>
          <cell r="P119" t="str">
            <v>20-25%</v>
          </cell>
          <cell r="Q119" t="str">
            <v>R2K4         Industrial reducer</v>
          </cell>
          <cell r="R119" t="str">
            <v>1.0-1.2 mills</v>
          </cell>
          <cell r="S119" t="str">
            <v>Al Horno</v>
          </cell>
          <cell r="T119" t="str">
            <v>15' a 350-400°F</v>
          </cell>
          <cell r="U119" t="str">
            <v>846.56 Pies Cuadrados/Gl a 1 mills de espesor</v>
          </cell>
          <cell r="V119" t="str">
            <v>+85</v>
          </cell>
          <cell r="W119" t="str">
            <v>2H-3H</v>
          </cell>
          <cell r="X119" t="str">
            <v>6-12 meses</v>
          </cell>
          <cell r="Y119" t="str">
            <v>TAPPAN-GUATEMALA</v>
          </cell>
          <cell r="Z119" t="str">
            <v>Cocinas</v>
          </cell>
          <cell r="AA119" t="str">
            <v>-</v>
          </cell>
          <cell r="AB119" t="str">
            <v>Luis Nolasco</v>
          </cell>
          <cell r="AC119" t="str">
            <v>S/F</v>
          </cell>
        </row>
        <row r="120">
          <cell r="A120" t="str">
            <v>SAA 3815</v>
          </cell>
          <cell r="B120" t="str">
            <v>Laca Industrial Negro Especial</v>
          </cell>
          <cell r="C120" t="str">
            <v>Interior-Exterior</v>
          </cell>
          <cell r="D120" t="str">
            <v>Hierro</v>
          </cell>
          <cell r="E120" t="str">
            <v>Limpia con Krill Clean</v>
          </cell>
          <cell r="F120" t="str">
            <v>Ninguno</v>
          </cell>
          <cell r="G120" t="str">
            <v>7.57 Lbs/Gl</v>
          </cell>
          <cell r="H120" t="str">
            <v>5.2%</v>
          </cell>
          <cell r="I120" t="str">
            <v>20%</v>
          </cell>
          <cell r="J120" t="str">
            <v>94.8%</v>
          </cell>
          <cell r="K120" t="str">
            <v>4%</v>
          </cell>
          <cell r="L120" t="str">
            <v>13.4%</v>
          </cell>
          <cell r="M120" t="str">
            <v>20"-30" Copa SW #5</v>
          </cell>
          <cell r="N120" t="str">
            <v>Inmersión</v>
          </cell>
          <cell r="O120" t="str">
            <v>18"-25" Copa Zanh #2</v>
          </cell>
          <cell r="P120" t="str">
            <v>50% con R7K128</v>
          </cell>
          <cell r="Q120" t="str">
            <v>R7K128</v>
          </cell>
          <cell r="R120" t="str">
            <v>1 mills seco</v>
          </cell>
          <cell r="S120" t="str">
            <v>Aire (5-10 Min)</v>
          </cell>
          <cell r="T120" t="str">
            <v>-</v>
          </cell>
          <cell r="U120" t="str">
            <v>30 Mts Cuadrados/Gl</v>
          </cell>
          <cell r="V120" t="str">
            <v>75-85</v>
          </cell>
          <cell r="W120" t="str">
            <v>-</v>
          </cell>
          <cell r="X120" t="str">
            <v>-</v>
          </cell>
          <cell r="Y120" t="str">
            <v>HECASA</v>
          </cell>
          <cell r="Z120" t="str">
            <v>Muebles de Metal</v>
          </cell>
          <cell r="AA120" t="str">
            <v>-</v>
          </cell>
          <cell r="AB120" t="str">
            <v>Rene Ferrufino</v>
          </cell>
          <cell r="AC120" t="str">
            <v>S/F</v>
          </cell>
        </row>
        <row r="121">
          <cell r="A121" t="str">
            <v>SAA 3816</v>
          </cell>
          <cell r="B121" t="str">
            <v>Esmalte Horneble Acrílico Marfil Suave</v>
          </cell>
          <cell r="C121" t="str">
            <v>Interior-Exterior Limitada</v>
          </cell>
          <cell r="D121" t="str">
            <v>Hierro</v>
          </cell>
          <cell r="E121" t="str">
            <v>Lavado, Desengrase y Fosfatizado</v>
          </cell>
          <cell r="F121" t="str">
            <v>E68WSA4 Acrylic Monobake White Primer</v>
          </cell>
          <cell r="G121" t="str">
            <v>10.06 Lbs/Gl</v>
          </cell>
          <cell r="H121" t="str">
            <v>29.75%</v>
          </cell>
          <cell r="I121" t="str">
            <v>54.86%</v>
          </cell>
          <cell r="J121" t="str">
            <v>38.54%</v>
          </cell>
          <cell r="K121" t="str">
            <v>25.5%</v>
          </cell>
          <cell r="L121" t="str">
            <v>36.5%</v>
          </cell>
          <cell r="M121" t="str">
            <v>100"-110" Copa Zanh #2</v>
          </cell>
          <cell r="N121" t="str">
            <v>Pistola</v>
          </cell>
          <cell r="O121" t="str">
            <v>25"-30" Copa Zanh #2</v>
          </cell>
          <cell r="P121" t="str">
            <v>20-25%</v>
          </cell>
          <cell r="Q121" t="str">
            <v>R2K4         Industrial reducer</v>
          </cell>
          <cell r="R121" t="str">
            <v>1.0-1.2 mills</v>
          </cell>
          <cell r="S121" t="str">
            <v>Al Horno</v>
          </cell>
          <cell r="T121" t="str">
            <v>15' a 350-400°F</v>
          </cell>
          <cell r="U121" t="str">
            <v>878 Pies Cuadrados/Gl a 1 mills de espesor</v>
          </cell>
          <cell r="V121" t="str">
            <v>+85</v>
          </cell>
          <cell r="W121" t="str">
            <v>2H-3H</v>
          </cell>
          <cell r="X121" t="str">
            <v>6-12 meses</v>
          </cell>
          <cell r="Y121" t="str">
            <v>TAPPAN-GUATEMALA</v>
          </cell>
          <cell r="Z121" t="str">
            <v>Cocinas</v>
          </cell>
          <cell r="AA121" t="str">
            <v>-</v>
          </cell>
          <cell r="AB121" t="str">
            <v>Luis Nolasco</v>
          </cell>
          <cell r="AC121" t="str">
            <v>S/F</v>
          </cell>
        </row>
        <row r="122">
          <cell r="A122" t="str">
            <v>SAA 3821</v>
          </cell>
          <cell r="B122" t="str">
            <v>Esmalte Horneble Acrílico Blanco Almendra</v>
          </cell>
          <cell r="C122" t="str">
            <v>Interior-Exterior Limitada</v>
          </cell>
          <cell r="D122" t="str">
            <v>Hierro</v>
          </cell>
          <cell r="E122" t="str">
            <v>Lavado, Desengrase y Fosfatizado</v>
          </cell>
          <cell r="F122" t="str">
            <v>E68WSA4 Acrylic Monobake White Primer</v>
          </cell>
          <cell r="G122" t="str">
            <v>10.06 Lbs/Gl</v>
          </cell>
          <cell r="H122" t="str">
            <v>29.75%</v>
          </cell>
          <cell r="I122" t="str">
            <v>54.86%</v>
          </cell>
          <cell r="J122" t="str">
            <v>38.54%</v>
          </cell>
          <cell r="K122" t="str">
            <v>25.5%</v>
          </cell>
          <cell r="L122" t="str">
            <v>36.5%</v>
          </cell>
          <cell r="M122" t="str">
            <v>100"-110" Copa Zanh #2</v>
          </cell>
          <cell r="N122" t="str">
            <v>Pistola</v>
          </cell>
          <cell r="O122" t="str">
            <v>25"-30" Copa Zanh #2</v>
          </cell>
          <cell r="P122" t="str">
            <v>20-25%</v>
          </cell>
          <cell r="Q122" t="str">
            <v>R2K4         Industrial reducer</v>
          </cell>
          <cell r="R122" t="str">
            <v>1.0-1.2 mills</v>
          </cell>
          <cell r="S122" t="str">
            <v>Al Horno</v>
          </cell>
          <cell r="T122" t="str">
            <v>15' a 350-400°F</v>
          </cell>
          <cell r="U122" t="str">
            <v>878 Pies Cuadrados/Gl a 1 mills de espesor</v>
          </cell>
          <cell r="V122" t="str">
            <v>+85</v>
          </cell>
          <cell r="W122" t="str">
            <v>2H-3H</v>
          </cell>
          <cell r="X122" t="str">
            <v>6-12 meses</v>
          </cell>
          <cell r="Y122" t="str">
            <v>TAPPAN-GUATEMALA</v>
          </cell>
          <cell r="Z122" t="str">
            <v>Cocinas</v>
          </cell>
          <cell r="AA122" t="str">
            <v>-</v>
          </cell>
          <cell r="AB122" t="str">
            <v>Luis Nolasco</v>
          </cell>
          <cell r="AC122" t="str">
            <v>S/F</v>
          </cell>
        </row>
        <row r="123">
          <cell r="A123" t="str">
            <v>SAA 3828</v>
          </cell>
          <cell r="B123" t="str">
            <v>Esmalte Horneable Acrílico Blanco Enfriador</v>
          </cell>
          <cell r="C123" t="str">
            <v>Interior-Exterior Limitada</v>
          </cell>
          <cell r="D123" t="str">
            <v>Hierro</v>
          </cell>
          <cell r="E123" t="str">
            <v>Lavado, Desengrase y Fosfatizado</v>
          </cell>
          <cell r="F123" t="str">
            <v>E68WSA4 Acrylic Monobake White Primer</v>
          </cell>
          <cell r="G123" t="str">
            <v>10.06 Lbs/Gl</v>
          </cell>
          <cell r="H123" t="str">
            <v>29.75%</v>
          </cell>
          <cell r="I123" t="str">
            <v>54.86%</v>
          </cell>
          <cell r="J123" t="str">
            <v>38.54%</v>
          </cell>
          <cell r="K123" t="str">
            <v>25.5%</v>
          </cell>
          <cell r="L123" t="str">
            <v>36.5%</v>
          </cell>
          <cell r="M123" t="str">
            <v>100"-110" Copa Zanh #2</v>
          </cell>
          <cell r="N123" t="str">
            <v>Pistola</v>
          </cell>
          <cell r="O123" t="str">
            <v>25"-30" Copa Zanh #2</v>
          </cell>
          <cell r="P123" t="str">
            <v>20-25%</v>
          </cell>
          <cell r="Q123" t="str">
            <v>R2K4         Industrial reducer</v>
          </cell>
          <cell r="R123" t="str">
            <v>1.0-1.2 mills</v>
          </cell>
          <cell r="S123" t="str">
            <v>Al Horno</v>
          </cell>
          <cell r="T123" t="str">
            <v>15' a 350-400°F</v>
          </cell>
          <cell r="U123" t="str">
            <v>878 Pies Cuadrados/Gl a 1 mills de espesor</v>
          </cell>
          <cell r="V123" t="str">
            <v>+85</v>
          </cell>
          <cell r="W123" t="str">
            <v>2H-3H</v>
          </cell>
          <cell r="X123" t="str">
            <v>6-12 meses</v>
          </cell>
          <cell r="Y123" t="str">
            <v>TAPPAN-GUATEMALA</v>
          </cell>
          <cell r="Z123" t="str">
            <v>Cocinas</v>
          </cell>
          <cell r="AA123" t="str">
            <v>-</v>
          </cell>
          <cell r="AB123" t="str">
            <v>Luis Nolasco</v>
          </cell>
          <cell r="AC123" t="str">
            <v>S/F</v>
          </cell>
        </row>
        <row r="124">
          <cell r="A124" t="str">
            <v>SAA 3829</v>
          </cell>
          <cell r="B124" t="str">
            <v>Esmalte Horneable Acrílico Blanco Cocina</v>
          </cell>
          <cell r="C124" t="str">
            <v>Interior-Exterior Limitada</v>
          </cell>
          <cell r="D124" t="str">
            <v>Hierro</v>
          </cell>
          <cell r="E124" t="str">
            <v>Lavado, Desengrase y Fosfatizado</v>
          </cell>
          <cell r="F124" t="str">
            <v>E68WSA4 Acrylic Monobake White Primer</v>
          </cell>
          <cell r="G124" t="str">
            <v>10.06 Lbs/Gl</v>
          </cell>
          <cell r="H124" t="str">
            <v>29.75%</v>
          </cell>
          <cell r="I124" t="str">
            <v>54.86%</v>
          </cell>
          <cell r="J124" t="str">
            <v>38.54%</v>
          </cell>
          <cell r="K124" t="str">
            <v>25.5%</v>
          </cell>
          <cell r="L124" t="str">
            <v>36.5%</v>
          </cell>
          <cell r="M124" t="str">
            <v>100"-110" Copa Zanh #2</v>
          </cell>
          <cell r="N124" t="str">
            <v>Pistola</v>
          </cell>
          <cell r="O124" t="str">
            <v>25"-30" Copa Zanh #2</v>
          </cell>
          <cell r="P124" t="str">
            <v>20-25%</v>
          </cell>
          <cell r="Q124" t="str">
            <v>R2K4         Industrial reducer</v>
          </cell>
          <cell r="R124" t="str">
            <v>1.0-1.2 mills</v>
          </cell>
          <cell r="S124" t="str">
            <v>Al Horno</v>
          </cell>
          <cell r="T124" t="str">
            <v>15' a 350-400°F</v>
          </cell>
          <cell r="U124" t="str">
            <v>878 Pies Cuadrados/Gl a 1 mills de espesor</v>
          </cell>
          <cell r="V124" t="str">
            <v>+85</v>
          </cell>
          <cell r="W124" t="str">
            <v>2H-3H</v>
          </cell>
          <cell r="X124" t="str">
            <v>6-12 meses</v>
          </cell>
          <cell r="Y124" t="str">
            <v>TAPPAN-GUATEMALA</v>
          </cell>
          <cell r="Z124" t="str">
            <v>Cocinas</v>
          </cell>
          <cell r="AA124" t="str">
            <v>-</v>
          </cell>
          <cell r="AB124" t="str">
            <v>Luis Nolasco</v>
          </cell>
          <cell r="AC124" t="str">
            <v>S/F</v>
          </cell>
        </row>
        <row r="125">
          <cell r="A125" t="str">
            <v>SAA 3835</v>
          </cell>
          <cell r="B125" t="str">
            <v>Esmalte Horneable Acrílico Marfil Oscuro Mate Liso</v>
          </cell>
          <cell r="C125" t="str">
            <v>Interior-Exterior Limitada</v>
          </cell>
          <cell r="D125" t="str">
            <v>Lamina Electrogalvanizada</v>
          </cell>
          <cell r="E125" t="str">
            <v>Lavado y Desengrase</v>
          </cell>
          <cell r="F125" t="str">
            <v>E68WSA4 Acrylic Monobake White Primer</v>
          </cell>
          <cell r="G125" t="str">
            <v>9.20 Lbs/Gl</v>
          </cell>
          <cell r="H125" t="str">
            <v>22.89%</v>
          </cell>
          <cell r="I125" t="str">
            <v>49.89%</v>
          </cell>
          <cell r="J125" t="str">
            <v>35.12%</v>
          </cell>
          <cell r="K125" t="str">
            <v>22.55%</v>
          </cell>
          <cell r="L125" t="str">
            <v>36.59%</v>
          </cell>
          <cell r="M125" t="str">
            <v>100"-110" Copa Zanh #2</v>
          </cell>
          <cell r="N125" t="str">
            <v>Pistola</v>
          </cell>
          <cell r="O125" t="str">
            <v>25"-30" Copa Zanh #2</v>
          </cell>
          <cell r="P125" t="str">
            <v>20-25%</v>
          </cell>
          <cell r="Q125" t="str">
            <v>R2K4         Industrial reducer</v>
          </cell>
          <cell r="R125" t="str">
            <v>1.0-1.2 mills</v>
          </cell>
          <cell r="S125" t="str">
            <v>Al Horno</v>
          </cell>
          <cell r="T125" t="str">
            <v>15' a 300°F</v>
          </cell>
          <cell r="U125" t="str">
            <v>800 Pies Cuadrados/Gl a 1 mills de espesor</v>
          </cell>
          <cell r="V125" t="str">
            <v>2-4</v>
          </cell>
          <cell r="W125" t="str">
            <v>2H-3H</v>
          </cell>
          <cell r="X125" t="str">
            <v>6-12 meses</v>
          </cell>
          <cell r="Y125" t="str">
            <v>Panavisión-Honduras</v>
          </cell>
          <cell r="Z125" t="str">
            <v>Mobiliario de Oficina</v>
          </cell>
          <cell r="AA125" t="str">
            <v>-</v>
          </cell>
          <cell r="AB125" t="str">
            <v>Luis Nolasco</v>
          </cell>
          <cell r="AC125" t="str">
            <v>S/F</v>
          </cell>
        </row>
        <row r="126">
          <cell r="A126" t="str">
            <v>SAA 3836</v>
          </cell>
          <cell r="B126" t="str">
            <v>Esmalte Horneable Acrílico Marfil Oscuro Mate Martillado</v>
          </cell>
          <cell r="C126" t="str">
            <v>Interior-Exterior Limitada</v>
          </cell>
          <cell r="D126" t="str">
            <v>Lamina Electrogalvanizada</v>
          </cell>
          <cell r="E126" t="str">
            <v>Lavado y Desengrase</v>
          </cell>
          <cell r="F126" t="str">
            <v>E68WSA4 Acrylic Monobake White Primer</v>
          </cell>
          <cell r="G126" t="str">
            <v>9.20 Lbs/Gl</v>
          </cell>
          <cell r="H126" t="str">
            <v>22.89%</v>
          </cell>
          <cell r="I126" t="str">
            <v>49.89%</v>
          </cell>
          <cell r="J126" t="str">
            <v>35.12%</v>
          </cell>
          <cell r="K126" t="str">
            <v>22.55%</v>
          </cell>
          <cell r="L126" t="str">
            <v>36.59%</v>
          </cell>
          <cell r="M126" t="str">
            <v>100"-110" Copa Zanh #2</v>
          </cell>
          <cell r="N126" t="str">
            <v>Pistola</v>
          </cell>
          <cell r="O126" t="str">
            <v>Listo para Usar</v>
          </cell>
          <cell r="P126" t="str">
            <v>-</v>
          </cell>
          <cell r="Q126" t="str">
            <v>R2K4         Industrial reducer, Si es Necesario</v>
          </cell>
          <cell r="R126" t="str">
            <v>1.0-1.2 mills</v>
          </cell>
          <cell r="S126" t="str">
            <v>Al Horno</v>
          </cell>
          <cell r="T126" t="str">
            <v>15' a 300°F</v>
          </cell>
          <cell r="U126" t="str">
            <v>800 Pies Cuadrados/Gl a 1 mills de espesor</v>
          </cell>
          <cell r="V126" t="str">
            <v>2-4</v>
          </cell>
          <cell r="W126" t="str">
            <v>2H-3H</v>
          </cell>
          <cell r="X126" t="str">
            <v>6-12 meses</v>
          </cell>
          <cell r="Y126" t="str">
            <v>Panavisión-Honduras</v>
          </cell>
          <cell r="Z126" t="str">
            <v>Mobiliario de Oficina</v>
          </cell>
          <cell r="AA126" t="str">
            <v>-</v>
          </cell>
          <cell r="AB126" t="str">
            <v>Luis Nolasco</v>
          </cell>
          <cell r="AC126" t="str">
            <v>S/F</v>
          </cell>
        </row>
        <row r="127">
          <cell r="A127" t="str">
            <v>SAA 3851</v>
          </cell>
          <cell r="B127" t="str">
            <v>Esmalte Horneable acrílico Café TAPPAN</v>
          </cell>
          <cell r="C127" t="str">
            <v>Interior-Exterior Limitada</v>
          </cell>
          <cell r="D127" t="str">
            <v>Hierro</v>
          </cell>
          <cell r="E127" t="str">
            <v>Lavado, Desengrase y Fosfatizado</v>
          </cell>
          <cell r="F127" t="str">
            <v>E68WSA4 Acrylic Monobake White Primer</v>
          </cell>
          <cell r="G127" t="str">
            <v>8.24 Lbs/Gl</v>
          </cell>
          <cell r="H127" t="str">
            <v>7.98%</v>
          </cell>
          <cell r="I127" t="str">
            <v>41.63%</v>
          </cell>
          <cell r="J127" t="str">
            <v>36.57%</v>
          </cell>
          <cell r="K127" t="str">
            <v>6.76%</v>
          </cell>
          <cell r="L127" t="str">
            <v>33.73%</v>
          </cell>
          <cell r="M127" t="str">
            <v>100"-110" Copa Zanh #2</v>
          </cell>
          <cell r="N127" t="str">
            <v>Pistola</v>
          </cell>
          <cell r="O127" t="str">
            <v>25"-30" Copa Zanh #2</v>
          </cell>
          <cell r="P127" t="str">
            <v>20-25%</v>
          </cell>
          <cell r="Q127" t="str">
            <v>R2K4         Industrial reducer</v>
          </cell>
          <cell r="R127" t="str">
            <v>1.0-1.2 mills</v>
          </cell>
          <cell r="S127" t="str">
            <v>Al Horno</v>
          </cell>
          <cell r="T127" t="str">
            <v>15' a 350-400°F</v>
          </cell>
          <cell r="U127" t="str">
            <v>666 Pies Cuadrados/Gl a 1 mills de espesor</v>
          </cell>
          <cell r="V127" t="str">
            <v>+85</v>
          </cell>
          <cell r="W127" t="str">
            <v>2H-3H</v>
          </cell>
          <cell r="X127" t="str">
            <v>6-12 meses</v>
          </cell>
          <cell r="Y127" t="str">
            <v>TAPPAN-GUATEMALA</v>
          </cell>
          <cell r="Z127" t="str">
            <v>Cocinas</v>
          </cell>
          <cell r="AA127" t="str">
            <v>-</v>
          </cell>
          <cell r="AB127" t="str">
            <v>Luis Nolasco</v>
          </cell>
          <cell r="AC127" t="str">
            <v>S/F</v>
          </cell>
        </row>
        <row r="128">
          <cell r="A128" t="str">
            <v>SAA 3852</v>
          </cell>
          <cell r="B128" t="str">
            <v>Esmalte Horneable acrílico Amarillo TAPPAN</v>
          </cell>
          <cell r="C128" t="str">
            <v>Interior-Exterior Limitada</v>
          </cell>
          <cell r="D128" t="str">
            <v>Hierro</v>
          </cell>
          <cell r="E128" t="str">
            <v>Lavado, Desengrase y Fosfatizado</v>
          </cell>
          <cell r="F128" t="str">
            <v>E68WSA4 Acrylic Monobake White Primer</v>
          </cell>
          <cell r="G128" t="str">
            <v>9.13 Lbs/Gl</v>
          </cell>
          <cell r="H128" t="str">
            <v>19.8%</v>
          </cell>
          <cell r="I128" t="str">
            <v>50.05%</v>
          </cell>
          <cell r="J128" t="str">
            <v>37.72%</v>
          </cell>
          <cell r="K128" t="str">
            <v>14.84%</v>
          </cell>
          <cell r="L128" t="str">
            <v>36.93%</v>
          </cell>
          <cell r="M128" t="str">
            <v>100"-110" Copa Zanh #2</v>
          </cell>
          <cell r="N128" t="str">
            <v>Pistola</v>
          </cell>
          <cell r="O128" t="str">
            <v>25"-30" Copa Zanh #2</v>
          </cell>
          <cell r="P128" t="str">
            <v>20-25%</v>
          </cell>
          <cell r="Q128" t="str">
            <v>R2K4         Industrial reducer</v>
          </cell>
          <cell r="R128" t="str">
            <v>1.0-1.2 mills</v>
          </cell>
          <cell r="S128" t="str">
            <v>Al Horno</v>
          </cell>
          <cell r="T128" t="str">
            <v>15' a 350-400°F</v>
          </cell>
          <cell r="U128" t="str">
            <v>800.8 Pies Cuadrados/Gl a 1 mills de espesor</v>
          </cell>
          <cell r="V128" t="str">
            <v>+85</v>
          </cell>
          <cell r="W128" t="str">
            <v>2H-3H</v>
          </cell>
          <cell r="X128" t="str">
            <v>6-12 meses</v>
          </cell>
          <cell r="Y128" t="str">
            <v>TAPPAN-GUATEMALA</v>
          </cell>
          <cell r="Z128" t="str">
            <v>Cocinas</v>
          </cell>
          <cell r="AA128" t="str">
            <v>-</v>
          </cell>
          <cell r="AB128" t="str">
            <v>Luis Nolasco</v>
          </cell>
          <cell r="AC128" t="str">
            <v>S/F</v>
          </cell>
        </row>
        <row r="129">
          <cell r="A129" t="str">
            <v>SAA 3863</v>
          </cell>
          <cell r="B129" t="str">
            <v>Esmalte Horneable Alquidico Café Oscuro Satinado</v>
          </cell>
          <cell r="C129" t="str">
            <v>Interior-Exterior</v>
          </cell>
          <cell r="D129" t="str">
            <v>Hierro</v>
          </cell>
          <cell r="E129" t="str">
            <v>Limpieza con R2K4, Desengrase, Fosfatizado</v>
          </cell>
          <cell r="F129" t="str">
            <v>Ninguno</v>
          </cell>
          <cell r="G129" t="str">
            <v>8.85 Lbs/Gl</v>
          </cell>
          <cell r="H129" t="str">
            <v>33.6%</v>
          </cell>
          <cell r="I129" t="str">
            <v>55.9%</v>
          </cell>
          <cell r="J129" t="str">
            <v>22.2%</v>
          </cell>
          <cell r="K129" t="str">
            <v>25.2%</v>
          </cell>
          <cell r="L129" t="str">
            <v>38.2%</v>
          </cell>
          <cell r="M129" t="str">
            <v>100"-110" Copa Zanh #2</v>
          </cell>
          <cell r="N129" t="str">
            <v>Pistola</v>
          </cell>
          <cell r="O129" t="str">
            <v>20-25 seg. Copa Zanh #2</v>
          </cell>
          <cell r="P129" t="str">
            <v>20-25%</v>
          </cell>
          <cell r="Q129" t="str">
            <v>R2K4         Industrial reducer</v>
          </cell>
          <cell r="R129" t="str">
            <v>1.0-1.2 mills</v>
          </cell>
          <cell r="S129" t="str">
            <v>Al horno</v>
          </cell>
          <cell r="T129" t="str">
            <v>15' a 300°F</v>
          </cell>
          <cell r="U129" t="str">
            <v xml:space="preserve">620 Pies Cuadrados/Gl </v>
          </cell>
          <cell r="V129" t="str">
            <v>40-50 unidades</v>
          </cell>
          <cell r="W129" t="str">
            <v>HB</v>
          </cell>
          <cell r="X129" t="str">
            <v>6-12 meses</v>
          </cell>
          <cell r="Y129" t="str">
            <v>HECASA</v>
          </cell>
          <cell r="Z129" t="str">
            <v>Muebles y Puertas Metálicas</v>
          </cell>
          <cell r="AA129" t="str">
            <v>-</v>
          </cell>
          <cell r="AB129" t="str">
            <v>Rene Ferrufino</v>
          </cell>
          <cell r="AC129" t="str">
            <v>S/F</v>
          </cell>
        </row>
        <row r="130">
          <cell r="A130" t="str">
            <v>SAA 3864</v>
          </cell>
          <cell r="B130" t="str">
            <v>Esmalte Horneable Alquidico Gris Oscuro</v>
          </cell>
          <cell r="C130" t="str">
            <v>Interior-Exterior</v>
          </cell>
          <cell r="D130" t="str">
            <v>Hierro</v>
          </cell>
          <cell r="E130" t="str">
            <v>Limpieza con Solvente</v>
          </cell>
          <cell r="F130" t="str">
            <v>Ninguno</v>
          </cell>
          <cell r="G130" t="str">
            <v>8.25 Lbs/Gl</v>
          </cell>
          <cell r="H130" t="str">
            <v>5.42%</v>
          </cell>
          <cell r="I130" t="str">
            <v>45.42%</v>
          </cell>
          <cell r="J130" t="str">
            <v>42.29%</v>
          </cell>
          <cell r="K130" t="str">
            <v>4.69%</v>
          </cell>
          <cell r="L130" t="str">
            <v>35.17%</v>
          </cell>
          <cell r="M130" t="str">
            <v>100"-110" Copa Zanh #2</v>
          </cell>
          <cell r="N130" t="str">
            <v>Pistola</v>
          </cell>
          <cell r="O130" t="str">
            <v>20-25 seg. Copa Zanh #2</v>
          </cell>
          <cell r="P130" t="str">
            <v>20-25%</v>
          </cell>
          <cell r="Q130" t="str">
            <v>R2K4         Industrial reducer</v>
          </cell>
          <cell r="R130" t="str">
            <v>1.0-1.2 mills</v>
          </cell>
          <cell r="S130" t="str">
            <v>Al horno</v>
          </cell>
          <cell r="T130" t="str">
            <v>15' a 300°F</v>
          </cell>
          <cell r="U130" t="str">
            <v>728.32  Pies Cuadrados/Gl a un mills de espesor</v>
          </cell>
          <cell r="V130" t="str">
            <v>+85</v>
          </cell>
          <cell r="W130" t="str">
            <v>H</v>
          </cell>
          <cell r="X130" t="str">
            <v>6-12 meses</v>
          </cell>
          <cell r="Y130" t="str">
            <v>Van Leer-Nicaragua</v>
          </cell>
          <cell r="Z130" t="str">
            <v>Barriles de Hierro</v>
          </cell>
          <cell r="AA130" t="str">
            <v>-</v>
          </cell>
          <cell r="AB130" t="str">
            <v>Luis Nolasco</v>
          </cell>
          <cell r="AC130" t="str">
            <v>S/F</v>
          </cell>
        </row>
        <row r="131">
          <cell r="A131" t="str">
            <v>SAA 3865</v>
          </cell>
          <cell r="B131" t="str">
            <v>Esmalte Horneable Negro Brillante</v>
          </cell>
          <cell r="C131" t="str">
            <v>Interior-Exterior</v>
          </cell>
          <cell r="D131" t="str">
            <v>Hierro</v>
          </cell>
          <cell r="E131" t="str">
            <v>Limpieza con Solvente</v>
          </cell>
          <cell r="F131" t="str">
            <v>Ninguno</v>
          </cell>
          <cell r="G131" t="str">
            <v>8.11 Lbs/Gl</v>
          </cell>
          <cell r="H131" t="str">
            <v>2.45%</v>
          </cell>
          <cell r="I131" t="str">
            <v>42.15%</v>
          </cell>
          <cell r="J131" t="str">
            <v>40.69%</v>
          </cell>
          <cell r="K131" t="str">
            <v>3.96%</v>
          </cell>
          <cell r="L131" t="str">
            <v>38.61%</v>
          </cell>
          <cell r="M131" t="str">
            <v>100"-110" Copa Zanh #2</v>
          </cell>
          <cell r="N131" t="str">
            <v>Pistola</v>
          </cell>
          <cell r="O131" t="str">
            <v>20-25 seg. Copa Zanh #2</v>
          </cell>
          <cell r="P131" t="str">
            <v>20-25%</v>
          </cell>
          <cell r="Q131" t="str">
            <v>R2K4         Industrial reducer</v>
          </cell>
          <cell r="R131" t="str">
            <v>1.0-1.2 mills</v>
          </cell>
          <cell r="S131" t="str">
            <v>Al horno</v>
          </cell>
          <cell r="T131" t="str">
            <v>15' a 300°F</v>
          </cell>
          <cell r="U131" t="str">
            <v>674.4 Pies Cuadrados/Gl a un mills de espesor</v>
          </cell>
          <cell r="V131" t="str">
            <v>+85</v>
          </cell>
          <cell r="W131" t="str">
            <v>H</v>
          </cell>
          <cell r="X131" t="str">
            <v>6-12 meses</v>
          </cell>
          <cell r="Y131" t="str">
            <v>Van Leer-Nicaragua</v>
          </cell>
          <cell r="Z131" t="str">
            <v>Barriles de Hierro</v>
          </cell>
          <cell r="AA131" t="str">
            <v>-</v>
          </cell>
          <cell r="AB131" t="str">
            <v>Luis Nolasco</v>
          </cell>
          <cell r="AC131" t="str">
            <v>S/F</v>
          </cell>
        </row>
        <row r="132">
          <cell r="A132" t="str">
            <v>SAA 3866</v>
          </cell>
          <cell r="B132" t="str">
            <v>Esmalte Horneable Alquidico Naranja Suave</v>
          </cell>
          <cell r="C132" t="str">
            <v>Interior-Exterior</v>
          </cell>
          <cell r="D132" t="str">
            <v>Hierro</v>
          </cell>
          <cell r="E132" t="str">
            <v>Limpieza con Solvente</v>
          </cell>
          <cell r="F132" t="str">
            <v>Ninguno</v>
          </cell>
          <cell r="G132" t="str">
            <v>9.05 Lbs/Gl</v>
          </cell>
          <cell r="H132" t="str">
            <v>14.95%</v>
          </cell>
          <cell r="I132" t="str">
            <v>51.53%</v>
          </cell>
          <cell r="J132" t="str">
            <v>42.89%</v>
          </cell>
          <cell r="K132" t="str">
            <v>8.79%</v>
          </cell>
          <cell r="L132" t="str">
            <v>36.89%</v>
          </cell>
          <cell r="M132" t="str">
            <v>100"-110" Copa Zanh #2</v>
          </cell>
          <cell r="N132" t="str">
            <v>Pistola</v>
          </cell>
          <cell r="O132" t="str">
            <v>20-25 seg. Copa Zanh #2</v>
          </cell>
          <cell r="P132" t="str">
            <v>20-25%</v>
          </cell>
          <cell r="Q132" t="str">
            <v>R2K4         Industrial reducer</v>
          </cell>
          <cell r="R132" t="str">
            <v>1.0-1.2 mills</v>
          </cell>
          <cell r="S132" t="str">
            <v>Al horno</v>
          </cell>
          <cell r="T132" t="str">
            <v>15' a 300°F</v>
          </cell>
          <cell r="U132" t="str">
            <v>824.48 Pies Cuadrados/Gl a un mills de espesor</v>
          </cell>
          <cell r="V132" t="str">
            <v>+85</v>
          </cell>
          <cell r="W132" t="str">
            <v>H</v>
          </cell>
          <cell r="X132" t="str">
            <v>6-12 meses</v>
          </cell>
          <cell r="Y132" t="str">
            <v>Van Leer-Nicaragua</v>
          </cell>
          <cell r="Z132" t="str">
            <v>Barriles de Hierro</v>
          </cell>
          <cell r="AA132" t="str">
            <v>-</v>
          </cell>
          <cell r="AB132" t="str">
            <v>Luis Nolasco</v>
          </cell>
          <cell r="AC132" t="str">
            <v>S/F</v>
          </cell>
        </row>
        <row r="133">
          <cell r="A133" t="str">
            <v>SAA 3873</v>
          </cell>
          <cell r="B133" t="str">
            <v>Esmalte Horneable Alquidico Beige Standard Steel</v>
          </cell>
          <cell r="C133" t="str">
            <v>Interior-Exterior</v>
          </cell>
          <cell r="D133" t="str">
            <v>Hierro</v>
          </cell>
          <cell r="E133" t="str">
            <v>Limpieza con R2K4, Desengrase, Fosfatizado</v>
          </cell>
          <cell r="F133" t="str">
            <v>Ninguno</v>
          </cell>
          <cell r="G133" t="str">
            <v>9.44 Lbs/Gl</v>
          </cell>
          <cell r="H133" t="str">
            <v>33.6%</v>
          </cell>
          <cell r="I133" t="str">
            <v>57.95%</v>
          </cell>
          <cell r="J133" t="str">
            <v>22.3%</v>
          </cell>
          <cell r="K133" t="str">
            <v>42.8%</v>
          </cell>
          <cell r="L133" t="str">
            <v>10.81%</v>
          </cell>
          <cell r="M133" t="str">
            <v>100"-110" Copa Zanh #2</v>
          </cell>
          <cell r="N133" t="str">
            <v>Pistola</v>
          </cell>
          <cell r="O133" t="str">
            <v>20-25 seg. Copa Zanh #2</v>
          </cell>
          <cell r="P133" t="str">
            <v>20-25%</v>
          </cell>
          <cell r="Q133" t="str">
            <v>R2K4         Industrial reducer</v>
          </cell>
          <cell r="R133" t="str">
            <v>1.0-1.2 mills</v>
          </cell>
          <cell r="S133" t="str">
            <v>Al horno</v>
          </cell>
          <cell r="T133" t="str">
            <v>15' a 300°F</v>
          </cell>
          <cell r="U133" t="str">
            <v xml:space="preserve">690 Pies Cuadrados/Gl </v>
          </cell>
          <cell r="V133" t="str">
            <v>+90</v>
          </cell>
          <cell r="W133" t="str">
            <v>HB</v>
          </cell>
          <cell r="X133" t="str">
            <v>6-12 meses</v>
          </cell>
          <cell r="Y133" t="str">
            <v>STANDARD STEEL (Nicaragua)</v>
          </cell>
          <cell r="Z133" t="str">
            <v>Muebles Metálicos</v>
          </cell>
          <cell r="AA133" t="str">
            <v>-</v>
          </cell>
          <cell r="AB133" t="str">
            <v>Rene Ferrufino</v>
          </cell>
          <cell r="AC133" t="str">
            <v>S/F</v>
          </cell>
        </row>
        <row r="134">
          <cell r="A134" t="str">
            <v>SAA 3874</v>
          </cell>
          <cell r="B134" t="str">
            <v>Esmalte Horneable Alquidico Rojo Shell</v>
          </cell>
          <cell r="C134" t="str">
            <v>Interior-Exterior</v>
          </cell>
          <cell r="D134" t="str">
            <v>Hierro</v>
          </cell>
          <cell r="E134" t="str">
            <v>Limpieza con Solvente</v>
          </cell>
          <cell r="F134" t="str">
            <v>Ninguno</v>
          </cell>
          <cell r="G134" t="str">
            <v>8.08 Lbs/Gl</v>
          </cell>
          <cell r="H134" t="str">
            <v>4.43%</v>
          </cell>
          <cell r="I134" t="str">
            <v>45.31%</v>
          </cell>
          <cell r="J134" t="str">
            <v>42.78%</v>
          </cell>
          <cell r="K134" t="str">
            <v>7.71%</v>
          </cell>
          <cell r="L134" t="str">
            <v>36.32%</v>
          </cell>
          <cell r="M134" t="str">
            <v>100"-110" Copa Zanh #2</v>
          </cell>
          <cell r="N134" t="str">
            <v>Pistola</v>
          </cell>
          <cell r="O134" t="str">
            <v>20-25 seg. Copa Zanh #2</v>
          </cell>
          <cell r="P134" t="str">
            <v>20-25%</v>
          </cell>
          <cell r="Q134" t="str">
            <v>R2K4         Industrial reducer</v>
          </cell>
          <cell r="R134" t="str">
            <v>1.0-1.2 mills</v>
          </cell>
          <cell r="S134" t="str">
            <v>Al horno</v>
          </cell>
          <cell r="T134" t="str">
            <v>15' a 300°F</v>
          </cell>
          <cell r="U134" t="str">
            <v>724.96 Pies Cuadrados/Gl a un mills de espesor</v>
          </cell>
          <cell r="V134" t="str">
            <v>+85</v>
          </cell>
          <cell r="W134" t="str">
            <v>H</v>
          </cell>
          <cell r="X134" t="str">
            <v>6-12 meses</v>
          </cell>
          <cell r="Y134" t="str">
            <v>Van Leer-Nicaragua</v>
          </cell>
          <cell r="Z134" t="str">
            <v>Barriles de Hierro</v>
          </cell>
          <cell r="AA134" t="str">
            <v>-</v>
          </cell>
          <cell r="AB134" t="str">
            <v>Luis Nolasco</v>
          </cell>
          <cell r="AC134" t="str">
            <v>S/F</v>
          </cell>
        </row>
        <row r="135">
          <cell r="A135" t="str">
            <v>SAA 3875</v>
          </cell>
          <cell r="B135" t="str">
            <v>Esmalte Horneable Alquidico Amarillo Shell</v>
          </cell>
          <cell r="C135" t="str">
            <v>Interior-Exterior</v>
          </cell>
          <cell r="D135" t="str">
            <v>Hierro</v>
          </cell>
          <cell r="E135" t="str">
            <v>Limpieza con Solvente</v>
          </cell>
          <cell r="F135" t="str">
            <v>Ninguno</v>
          </cell>
          <cell r="G135" t="str">
            <v>9.70 Lbs/Gl</v>
          </cell>
          <cell r="H135" t="str">
            <v>22.27%</v>
          </cell>
          <cell r="I135" t="str">
            <v>56.05%</v>
          </cell>
          <cell r="J135" t="str">
            <v>43.46%</v>
          </cell>
          <cell r="K135" t="str">
            <v>13.14%</v>
          </cell>
          <cell r="L135" t="str">
            <v>38.59%</v>
          </cell>
          <cell r="M135" t="str">
            <v>100"-110" Copa Zanh #2</v>
          </cell>
          <cell r="N135" t="str">
            <v>Pistola</v>
          </cell>
          <cell r="O135" t="str">
            <v>20-25 seg. Copa Zanh #2</v>
          </cell>
          <cell r="P135" t="str">
            <v>20-25%</v>
          </cell>
          <cell r="Q135" t="str">
            <v>R2K4         Industrial reducer</v>
          </cell>
          <cell r="R135" t="str">
            <v>1.0-1.2 mills</v>
          </cell>
          <cell r="S135" t="str">
            <v>Al horno</v>
          </cell>
          <cell r="T135" t="str">
            <v>15' a 300°F</v>
          </cell>
          <cell r="U135" t="str">
            <v>896.8 Pies Cuadrados/Gl a un mills de espesor</v>
          </cell>
          <cell r="V135" t="str">
            <v>+85</v>
          </cell>
          <cell r="W135" t="str">
            <v>H</v>
          </cell>
          <cell r="X135" t="str">
            <v>6-12 meses</v>
          </cell>
          <cell r="Y135" t="str">
            <v>Van Leer-Nicaragua</v>
          </cell>
          <cell r="Z135" t="str">
            <v>Barriles de Hierro</v>
          </cell>
          <cell r="AA135" t="str">
            <v>-</v>
          </cell>
          <cell r="AB135" t="str">
            <v>Luis Nolasco</v>
          </cell>
          <cell r="AC135" t="str">
            <v>S/F</v>
          </cell>
        </row>
        <row r="136">
          <cell r="A136" t="str">
            <v>SAA 3876</v>
          </cell>
          <cell r="B136" t="str">
            <v>Esmalte Horneable Café Claro</v>
          </cell>
          <cell r="C136" t="str">
            <v>Interior-Exterior</v>
          </cell>
          <cell r="D136" t="str">
            <v>Hierro</v>
          </cell>
          <cell r="E136" t="str">
            <v>Limpieza con Solvente</v>
          </cell>
          <cell r="F136" t="str">
            <v>Ninguno</v>
          </cell>
          <cell r="G136" t="str">
            <v>9.91 Lbs/Gl</v>
          </cell>
          <cell r="H136" t="str">
            <v>51.12%</v>
          </cell>
          <cell r="I136" t="str">
            <v>58%</v>
          </cell>
          <cell r="J136" t="str">
            <v>6.88%</v>
          </cell>
          <cell r="K136" t="str">
            <v>29.41%</v>
          </cell>
          <cell r="L136" t="str">
            <v>41%</v>
          </cell>
          <cell r="M136" t="str">
            <v>100"-110" Copa Zanh #2</v>
          </cell>
          <cell r="N136" t="str">
            <v>Pistola</v>
          </cell>
          <cell r="O136" t="str">
            <v>20-25 seg. Copa Zanh #2</v>
          </cell>
          <cell r="P136" t="str">
            <v>20-25%</v>
          </cell>
          <cell r="Q136" t="str">
            <v>R2K4         Industrial reducer</v>
          </cell>
          <cell r="R136" t="str">
            <v>1.0-1.2 mills</v>
          </cell>
          <cell r="S136" t="str">
            <v>Al horno</v>
          </cell>
          <cell r="T136" t="str">
            <v>15' a 300°F</v>
          </cell>
          <cell r="U136" t="str">
            <v>656 Pies Cuadrados/Gl a un mills de espesor</v>
          </cell>
          <cell r="V136" t="str">
            <v>18-25</v>
          </cell>
          <cell r="W136" t="str">
            <v>H</v>
          </cell>
          <cell r="X136" t="str">
            <v>6-12 meses</v>
          </cell>
          <cell r="Y136" t="str">
            <v>HECASA</v>
          </cell>
          <cell r="Z136" t="str">
            <v>Muebles Metálicos</v>
          </cell>
          <cell r="AA136" t="str">
            <v>-</v>
          </cell>
          <cell r="AB136" t="str">
            <v>Beatriz Sandoval</v>
          </cell>
          <cell r="AC136" t="str">
            <v>S/F</v>
          </cell>
        </row>
        <row r="137">
          <cell r="A137" t="str">
            <v>SAA 3879</v>
          </cell>
          <cell r="B137" t="str">
            <v>Rubbing Compound Extra Fino</v>
          </cell>
          <cell r="C137" t="str">
            <v>-</v>
          </cell>
          <cell r="D137" t="str">
            <v>Acabados Finales Finos (Transparentes, Lacas, Esmaltes)*</v>
          </cell>
          <cell r="E137" t="str">
            <v>Limpia de Suciedad (agua)</v>
          </cell>
          <cell r="F137" t="str">
            <v>-</v>
          </cell>
          <cell r="G137" t="str">
            <v>11.01 Lbs/Gl</v>
          </cell>
          <cell r="H137" t="str">
            <v>88.3%</v>
          </cell>
          <cell r="I137" t="str">
            <v>52.6%</v>
          </cell>
          <cell r="J137" t="str">
            <v>11.7%</v>
          </cell>
          <cell r="K137" t="str">
            <v>73.9%</v>
          </cell>
          <cell r="L137" t="str">
            <v>31.4%</v>
          </cell>
          <cell r="M137" t="str">
            <v>65/70 KU</v>
          </cell>
          <cell r="N137" t="str">
            <v>Untado con Wipe, Franela o con la Mano.</v>
          </cell>
          <cell r="O137" t="str">
            <v>65-70 KU</v>
          </cell>
          <cell r="P137" t="str">
            <v>Ninguno</v>
          </cell>
          <cell r="Q137" t="str">
            <v>Agua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1 Año</v>
          </cell>
          <cell r="Y137" t="str">
            <v>Talleres Automotrices</v>
          </cell>
          <cell r="Z137" t="str">
            <v>Pintado y Pasteado de Vehículos Automotrices.</v>
          </cell>
          <cell r="AA137" t="str">
            <v>*En donde se requiera poca abrasión, para no dañar acabados sumamente finos.</v>
          </cell>
          <cell r="AB137" t="str">
            <v>Rene Ferrufino</v>
          </cell>
          <cell r="AC137" t="str">
            <v>S/F</v>
          </cell>
        </row>
        <row r="138">
          <cell r="A138" t="str">
            <v>T60F50</v>
          </cell>
          <cell r="B138" t="str">
            <v>Sherwood Sanding Sealer No. 46</v>
          </cell>
          <cell r="C138" t="str">
            <v>Interior</v>
          </cell>
          <cell r="D138" t="str">
            <v>Madra</v>
          </cell>
          <cell r="E138" t="str">
            <v>Lijar Madera</v>
          </cell>
          <cell r="F138" t="str">
            <v>Tapaporo Nogal Oscuro Listo Para Usar</v>
          </cell>
          <cell r="G138" t="str">
            <v>7.8 Lbs/Gl</v>
          </cell>
          <cell r="H138" t="str">
            <v>-</v>
          </cell>
          <cell r="I138" t="str">
            <v>39%</v>
          </cell>
          <cell r="J138" t="str">
            <v>-</v>
          </cell>
          <cell r="K138" t="str">
            <v>-</v>
          </cell>
          <cell r="L138" t="str">
            <v>29%</v>
          </cell>
          <cell r="M138" t="str">
            <v>135-140 KU</v>
          </cell>
          <cell r="N138" t="str">
            <v>Pistola de aire</v>
          </cell>
          <cell r="O138" t="str">
            <v>25-30 Seg. Copa Zanh #2</v>
          </cell>
          <cell r="P138" t="str">
            <v>200% con Thinner R7K128</v>
          </cell>
          <cell r="Q138" t="str">
            <v>R7K128</v>
          </cell>
          <cell r="R138" t="str">
            <v>0.8 mills</v>
          </cell>
          <cell r="S138" t="str">
            <v>Tocar: 5-10 Min, Total: 15 Min. Recubrir: 30 Min.</v>
          </cell>
          <cell r="T138" t="str">
            <v>-</v>
          </cell>
          <cell r="U138" t="str">
            <v>45 Mts Cuadrados/Gl</v>
          </cell>
          <cell r="V138" t="str">
            <v>5-10</v>
          </cell>
          <cell r="W138" t="str">
            <v>-</v>
          </cell>
          <cell r="X138" t="str">
            <v>-</v>
          </cell>
          <cell r="Y138" t="str">
            <v>Olympia Empac-Guatemala</v>
          </cell>
          <cell r="Z138" t="str">
            <v>Muebles de Madera.</v>
          </cell>
          <cell r="AA138" t="str">
            <v>-</v>
          </cell>
          <cell r="AB138" t="str">
            <v>-</v>
          </cell>
          <cell r="AC138" t="str">
            <v>S/F</v>
          </cell>
        </row>
        <row r="139">
          <cell r="A139" t="str">
            <v>T70CSA16 (1)</v>
          </cell>
          <cell r="B139" t="str">
            <v>Laca Industrial Transparente Brillante</v>
          </cell>
          <cell r="C139" t="str">
            <v>Interior</v>
          </cell>
          <cell r="D139" t="str">
            <v>Polietileno y Poliestireno</v>
          </cell>
          <cell r="E139" t="str">
            <v>Limpieza Adecuada</v>
          </cell>
          <cell r="F139" t="str">
            <v>-</v>
          </cell>
          <cell r="G139" t="str">
            <v>8.0 Lbs/Gl</v>
          </cell>
          <cell r="H139" t="str">
            <v>-</v>
          </cell>
          <cell r="I139" t="str">
            <v>40%</v>
          </cell>
          <cell r="J139" t="str">
            <v>40%</v>
          </cell>
          <cell r="K139" t="str">
            <v>-</v>
          </cell>
          <cell r="L139" t="str">
            <v>32%</v>
          </cell>
          <cell r="M139" t="str">
            <v>J-L (Gardner-Holdt)</v>
          </cell>
          <cell r="N139" t="str">
            <v>Spray (Pistola)</v>
          </cell>
          <cell r="O139" t="str">
            <v>25"-28" Copa Zanh #2</v>
          </cell>
          <cell r="P139" t="str">
            <v>100-125%</v>
          </cell>
          <cell r="Q139" t="str">
            <v>R6KA10 Thinner Especial INDISA</v>
          </cell>
          <cell r="R139" t="str">
            <v>0.5-0.7 mills</v>
          </cell>
          <cell r="S139" t="str">
            <v>Al Aire 5-10 min</v>
          </cell>
          <cell r="T139" t="str">
            <v>-</v>
          </cell>
          <cell r="V139" t="str">
            <v>80</v>
          </cell>
          <cell r="W139" t="str">
            <v>2B-B</v>
          </cell>
          <cell r="X139" t="str">
            <v>1-1 1/2 Años</v>
          </cell>
          <cell r="Y139" t="str">
            <v>INDISA</v>
          </cell>
          <cell r="Z139" t="str">
            <v>Adornos Navideños y otros.</v>
          </cell>
          <cell r="AA139" t="str">
            <v>-</v>
          </cell>
          <cell r="AB139" t="str">
            <v>-</v>
          </cell>
          <cell r="AC139" t="str">
            <v>S/F</v>
          </cell>
        </row>
        <row r="140">
          <cell r="A140" t="str">
            <v>T70CSA18</v>
          </cell>
          <cell r="B140" t="str">
            <v>Laca Especial Transparente Final</v>
          </cell>
          <cell r="C140" t="str">
            <v>Interior</v>
          </cell>
          <cell r="D140" t="str">
            <v>Polietileno y Poliestireno</v>
          </cell>
          <cell r="E140" t="str">
            <v>Limpieza Adecuada</v>
          </cell>
          <cell r="F140" t="str">
            <v>T70CSA16</v>
          </cell>
          <cell r="G140" t="str">
            <v>7.59 Lbs/Gl</v>
          </cell>
          <cell r="H140" t="str">
            <v>-</v>
          </cell>
          <cell r="I140" t="str">
            <v>20.84%</v>
          </cell>
          <cell r="J140" t="str">
            <v>20.84%</v>
          </cell>
          <cell r="K140" t="str">
            <v>-</v>
          </cell>
          <cell r="L140" t="str">
            <v>13.51%</v>
          </cell>
          <cell r="M140" t="str">
            <v>10"-15" SW#5</v>
          </cell>
          <cell r="N140" t="str">
            <v>Spray (Pistola)</v>
          </cell>
          <cell r="O140" t="str">
            <v>25"-28" Copa Zanh #2</v>
          </cell>
          <cell r="P140" t="str">
            <v>100-125%</v>
          </cell>
          <cell r="Q140" t="str">
            <v>R7KSA13 Thinner Especial</v>
          </cell>
          <cell r="R140" t="str">
            <v>0.5-0.7 mills</v>
          </cell>
          <cell r="S140" t="str">
            <v>Al aire 5-10 min</v>
          </cell>
          <cell r="T140" t="str">
            <v>-</v>
          </cell>
          <cell r="U140" t="str">
            <v>-</v>
          </cell>
          <cell r="V140" t="str">
            <v>85-90 unidades</v>
          </cell>
          <cell r="W140" t="str">
            <v>2B-B</v>
          </cell>
          <cell r="X140" t="str">
            <v>1-1 1/2 Años</v>
          </cell>
          <cell r="Y140" t="str">
            <v>INDISA</v>
          </cell>
          <cell r="Z140" t="str">
            <v>Adornos Navideños y otros.</v>
          </cell>
          <cell r="AA140" t="str">
            <v>-</v>
          </cell>
          <cell r="AB140" t="str">
            <v>-</v>
          </cell>
          <cell r="AC140" t="str">
            <v>S/F</v>
          </cell>
        </row>
        <row r="141">
          <cell r="A141" t="str">
            <v>V71VSA1 T-1</v>
          </cell>
          <cell r="B141" t="str">
            <v>Barniz Interior Sanitario  Dorado</v>
          </cell>
          <cell r="C141" t="str">
            <v>Interior</v>
          </cell>
          <cell r="D141" t="str">
            <v>Hojalata</v>
          </cell>
          <cell r="E141" t="str">
            <v>Limpia con Solvente</v>
          </cell>
          <cell r="F141" t="str">
            <v>Ninguno</v>
          </cell>
          <cell r="G141" t="str">
            <v>8.15 Lbs/Gl</v>
          </cell>
          <cell r="H141" t="str">
            <v>-</v>
          </cell>
          <cell r="I141" t="str">
            <v>31.68%</v>
          </cell>
          <cell r="J141" t="str">
            <v>31.68%</v>
          </cell>
          <cell r="K141" t="str">
            <v>-</v>
          </cell>
          <cell r="L141" t="str">
            <v>27.65%</v>
          </cell>
          <cell r="M141" t="str">
            <v>160"-170" Copa SW #3</v>
          </cell>
          <cell r="N141" t="str">
            <v>Rodillo</v>
          </cell>
          <cell r="O141" t="str">
            <v>160"-170" Copa SW #3</v>
          </cell>
          <cell r="P141" t="str">
            <v>-</v>
          </cell>
          <cell r="Q141" t="str">
            <v>-</v>
          </cell>
          <cell r="R141" t="str">
            <v>1 mills</v>
          </cell>
          <cell r="S141" t="str">
            <v>Al Horno</v>
          </cell>
          <cell r="T141" t="str">
            <v>12' a 190°C</v>
          </cell>
          <cell r="U141" t="str">
            <v>547 Mts Cuadrados/Gl a 1 mills de espesor.</v>
          </cell>
          <cell r="V141" t="str">
            <v>+90</v>
          </cell>
          <cell r="W141" t="str">
            <v>-</v>
          </cell>
          <cell r="X141" t="str">
            <v>6-12 meses</v>
          </cell>
          <cell r="Y141" t="str">
            <v>Nicaragua</v>
          </cell>
          <cell r="Z141" t="str">
            <v>-</v>
          </cell>
          <cell r="AA141" t="str">
            <v>-</v>
          </cell>
          <cell r="AB141" t="str">
            <v>Luis Nolasco</v>
          </cell>
          <cell r="AC141" t="str">
            <v>S/F</v>
          </cell>
        </row>
        <row r="142">
          <cell r="A142" t="str">
            <v>V76VSA11 T-2</v>
          </cell>
          <cell r="B142" t="str">
            <v>Wet Ink Varnish Special</v>
          </cell>
          <cell r="C142" t="str">
            <v>Interior-Exterior</v>
          </cell>
          <cell r="D142" t="str">
            <v>Hojalata</v>
          </cell>
          <cell r="E142" t="str">
            <v>Limpia</v>
          </cell>
          <cell r="F142" t="str">
            <v>Ninguno</v>
          </cell>
          <cell r="G142" t="str">
            <v>7.69 Lbs/Gl</v>
          </cell>
          <cell r="H142" t="str">
            <v>-</v>
          </cell>
          <cell r="I142" t="str">
            <v>50.11%</v>
          </cell>
          <cell r="J142" t="str">
            <v>50.11%</v>
          </cell>
          <cell r="K142" t="str">
            <v>-</v>
          </cell>
          <cell r="L142" t="str">
            <v>42.72%</v>
          </cell>
          <cell r="M142" t="str">
            <v>50"-60" Copa Ford #4</v>
          </cell>
          <cell r="N142" t="str">
            <v>Rodillo</v>
          </cell>
          <cell r="O142" t="str">
            <v>50"-60" Copa Ford #4</v>
          </cell>
          <cell r="P142" t="str">
            <v>03-32-10 Si es Necesario</v>
          </cell>
          <cell r="Q142" t="str">
            <v>03-32-10</v>
          </cell>
          <cell r="R142" t="str">
            <v>-</v>
          </cell>
          <cell r="S142" t="str">
            <v>-</v>
          </cell>
          <cell r="T142" t="str">
            <v>12' a 160°C</v>
          </cell>
          <cell r="U142" t="str">
            <v>-</v>
          </cell>
          <cell r="V142" t="str">
            <v>+90</v>
          </cell>
          <cell r="W142" t="str">
            <v>B</v>
          </cell>
          <cell r="X142" t="str">
            <v>12 meses</v>
          </cell>
          <cell r="Y142" t="str">
            <v>CORLASA</v>
          </cell>
          <cell r="Z142" t="str">
            <v>Tapas Coronas, Afiches, Etc.</v>
          </cell>
          <cell r="AA142" t="str">
            <v>-</v>
          </cell>
          <cell r="AB142" t="str">
            <v>-</v>
          </cell>
          <cell r="AC142" t="str">
            <v>S/F</v>
          </cell>
        </row>
        <row r="143">
          <cell r="A143" t="str">
            <v>V76VSA13 T-2</v>
          </cell>
          <cell r="B143" t="str">
            <v>Barniz para Interiores Fenólico de Alta Resistencia Química</v>
          </cell>
          <cell r="C143" t="str">
            <v>Interior</v>
          </cell>
          <cell r="D143" t="str">
            <v>Hojalata</v>
          </cell>
          <cell r="E143" t="str">
            <v>Limpia</v>
          </cell>
          <cell r="F143" t="str">
            <v>Ninguno</v>
          </cell>
          <cell r="G143" t="str">
            <v>8.0 Lbs/Gl</v>
          </cell>
          <cell r="H143" t="str">
            <v>-</v>
          </cell>
          <cell r="I143" t="str">
            <v>38.91%</v>
          </cell>
          <cell r="J143" t="str">
            <v>38.91%</v>
          </cell>
          <cell r="K143" t="str">
            <v>-</v>
          </cell>
          <cell r="L143" t="str">
            <v>25.34%</v>
          </cell>
          <cell r="M143" t="str">
            <v>55"-65" Copa Ford #4</v>
          </cell>
          <cell r="N143" t="str">
            <v>Rodillo</v>
          </cell>
          <cell r="O143" t="str">
            <v>55"-65" Copa Ford #4</v>
          </cell>
          <cell r="P143" t="str">
            <v>Ninguno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20' a 375°F</v>
          </cell>
          <cell r="U143" t="str">
            <v>622.56 Pies Cuadrados/Gl</v>
          </cell>
          <cell r="V143" t="str">
            <v>80</v>
          </cell>
          <cell r="W143" t="str">
            <v>-</v>
          </cell>
          <cell r="X143" t="str">
            <v>12 meses</v>
          </cell>
          <cell r="Y143" t="str">
            <v>Van Leer</v>
          </cell>
          <cell r="Z143" t="str">
            <v>Envases Metálicos</v>
          </cell>
          <cell r="AA143" t="str">
            <v>-</v>
          </cell>
          <cell r="AB143" t="str">
            <v>-</v>
          </cell>
          <cell r="AC143" t="str">
            <v>S/F</v>
          </cell>
        </row>
        <row r="144">
          <cell r="A144" t="str">
            <v>V76VSA16 (1)</v>
          </cell>
          <cell r="B144" t="str">
            <v>Barniz Horneable Especial Para Tapacoronas</v>
          </cell>
          <cell r="C144" t="str">
            <v>Exterior</v>
          </cell>
          <cell r="D144" t="str">
            <v>Hojalata</v>
          </cell>
          <cell r="E144" t="str">
            <v>Limpia</v>
          </cell>
          <cell r="F144" t="str">
            <v>Ninguno</v>
          </cell>
          <cell r="G144" t="str">
            <v>8.03 Lbs/Gl</v>
          </cell>
          <cell r="H144" t="str">
            <v>-</v>
          </cell>
          <cell r="I144" t="str">
            <v>48.58%</v>
          </cell>
          <cell r="J144" t="str">
            <v>48.58%</v>
          </cell>
          <cell r="K144" t="str">
            <v>-</v>
          </cell>
          <cell r="L144" t="str">
            <v>40.40%</v>
          </cell>
          <cell r="M144" t="str">
            <v>50"-55" Copa SW #3</v>
          </cell>
          <cell r="N144" t="str">
            <v>Rodillo</v>
          </cell>
          <cell r="O144" t="str">
            <v>50"-55" Copa SW #3</v>
          </cell>
          <cell r="P144" t="str">
            <v>-</v>
          </cell>
          <cell r="Q144" t="str">
            <v>-</v>
          </cell>
          <cell r="R144" t="str">
            <v>1 mills</v>
          </cell>
          <cell r="S144" t="str">
            <v>Al Horno</v>
          </cell>
          <cell r="T144" t="str">
            <v>12' a 190°C</v>
          </cell>
          <cell r="U144" t="str">
            <v>777 Mts Cuadrados/Gl a 1 mills de espesor.</v>
          </cell>
          <cell r="V144" t="str">
            <v>+90</v>
          </cell>
          <cell r="W144" t="str">
            <v>H</v>
          </cell>
          <cell r="X144" t="str">
            <v>6-12 meses</v>
          </cell>
          <cell r="Y144" t="str">
            <v>Nicaragua</v>
          </cell>
          <cell r="Z144" t="str">
            <v>-</v>
          </cell>
          <cell r="AA144" t="str">
            <v>-</v>
          </cell>
          <cell r="AB144" t="str">
            <v>Luis Nolasco</v>
          </cell>
          <cell r="AC144" t="str">
            <v>S/F</v>
          </cell>
        </row>
        <row r="145">
          <cell r="A145" t="str">
            <v>V76VSA9 T-11</v>
          </cell>
          <cell r="B145" t="str">
            <v xml:space="preserve">Wet Ink Varnish </v>
          </cell>
          <cell r="C145" t="str">
            <v>Interior-Exterior</v>
          </cell>
          <cell r="D145" t="str">
            <v>Hojalata</v>
          </cell>
          <cell r="E145" t="str">
            <v>Limpia</v>
          </cell>
          <cell r="F145" t="str">
            <v>Ninguno</v>
          </cell>
          <cell r="G145" t="str">
            <v>8.09 Lbs/Gl</v>
          </cell>
          <cell r="H145" t="str">
            <v>-</v>
          </cell>
          <cell r="I145" t="str">
            <v>49.09%</v>
          </cell>
          <cell r="J145" t="str">
            <v>49.09%</v>
          </cell>
          <cell r="K145" t="str">
            <v>-</v>
          </cell>
          <cell r="L145" t="str">
            <v>41.69%</v>
          </cell>
          <cell r="M145" t="str">
            <v>50"-60" Copa Ford #4</v>
          </cell>
          <cell r="N145" t="str">
            <v>Rodillo</v>
          </cell>
          <cell r="O145" t="str">
            <v>50"-60" Copa Ford #4</v>
          </cell>
          <cell r="P145" t="str">
            <v>03-32-10 Si es Necesario</v>
          </cell>
          <cell r="Q145" t="str">
            <v>03-32-10</v>
          </cell>
          <cell r="R145" t="str">
            <v>-</v>
          </cell>
          <cell r="S145" t="str">
            <v>-</v>
          </cell>
          <cell r="T145" t="str">
            <v>12' a 160°C</v>
          </cell>
          <cell r="U145" t="str">
            <v>-</v>
          </cell>
          <cell r="V145" t="str">
            <v>+90</v>
          </cell>
          <cell r="W145" t="str">
            <v>B</v>
          </cell>
          <cell r="X145" t="str">
            <v>12 meses</v>
          </cell>
          <cell r="Y145" t="str">
            <v>CORLASA</v>
          </cell>
          <cell r="Z145" t="str">
            <v>Tapas Coronas, Afiches, Etc.</v>
          </cell>
          <cell r="AA145" t="str">
            <v>-</v>
          </cell>
          <cell r="AB145" t="str">
            <v>-</v>
          </cell>
          <cell r="AC145" t="str">
            <v>S/F</v>
          </cell>
        </row>
        <row r="146">
          <cell r="A146" t="str">
            <v>V83CSA2</v>
          </cell>
          <cell r="B146" t="str">
            <v>Barniz Artesanal</v>
          </cell>
          <cell r="C146" t="str">
            <v>Interior</v>
          </cell>
          <cell r="D146" t="str">
            <v>Madera</v>
          </cell>
          <cell r="E146" t="str">
            <v>Limpia, sin Polvo</v>
          </cell>
          <cell r="F146" t="str">
            <v>-</v>
          </cell>
          <cell r="G146" t="str">
            <v>7.87 Lbs/Gl</v>
          </cell>
          <cell r="H146" t="str">
            <v>-</v>
          </cell>
          <cell r="I146" t="str">
            <v>40.1%</v>
          </cell>
          <cell r="J146" t="str">
            <v>40.1%</v>
          </cell>
          <cell r="K146" t="str">
            <v>-</v>
          </cell>
          <cell r="L146" t="str">
            <v>35.2%</v>
          </cell>
          <cell r="M146" t="str">
            <v>J-L (Gardner-Holdt)</v>
          </cell>
          <cell r="N146" t="str">
            <v>Brocha,Pistola de Aire</v>
          </cell>
          <cell r="O146" t="str">
            <v>-</v>
          </cell>
          <cell r="P146" t="str">
            <v>Brocha: Lo necesario con R2K4; Pistola de Aire: 20% con R2K4</v>
          </cell>
          <cell r="Q146" t="str">
            <v>R2K4         Industrial reducer</v>
          </cell>
          <cell r="R146" t="str">
            <v>-</v>
          </cell>
          <cell r="S146" t="str">
            <v>Al Aire</v>
          </cell>
          <cell r="T146" t="str">
            <v>-</v>
          </cell>
          <cell r="U146" t="str">
            <v>-</v>
          </cell>
          <cell r="V146" t="str">
            <v>80</v>
          </cell>
          <cell r="W146" t="str">
            <v>-</v>
          </cell>
          <cell r="X146" t="str">
            <v>10-12 meses</v>
          </cell>
          <cell r="Y146" t="str">
            <v>La semilla de Dios</v>
          </cell>
          <cell r="Z146" t="str">
            <v>Cuadros y Figuras Artesanales</v>
          </cell>
          <cell r="AA146" t="str">
            <v>Recubrir 3 Horas después de aplicar la Primera mano. Empaquetar después de 48 Horas de Aplicado.</v>
          </cell>
          <cell r="AB146" t="str">
            <v>-</v>
          </cell>
          <cell r="AC146" t="str">
            <v>S/F</v>
          </cell>
        </row>
        <row r="147">
          <cell r="A147" t="str">
            <v>X79ASA1</v>
          </cell>
          <cell r="B147" t="str">
            <v>Plastisol Crown Lining</v>
          </cell>
          <cell r="C147" t="str">
            <v>Interior</v>
          </cell>
          <cell r="D147" t="str">
            <v>Tapa Corona</v>
          </cell>
          <cell r="E147" t="str">
            <v>Limpieza</v>
          </cell>
          <cell r="F147" t="str">
            <v>Ninguno</v>
          </cell>
          <cell r="G147" t="str">
            <v>10.17 Lbs/Gl</v>
          </cell>
          <cell r="H147" t="str">
            <v>Ninguno</v>
          </cell>
          <cell r="I147" t="str">
            <v>100%</v>
          </cell>
          <cell r="J147" t="str">
            <v>100%</v>
          </cell>
          <cell r="K147" t="str">
            <v>-</v>
          </cell>
          <cell r="L147" t="str">
            <v>100%</v>
          </cell>
          <cell r="M147" t="str">
            <v>130-140 KU</v>
          </cell>
          <cell r="N147" t="str">
            <v>Especial</v>
          </cell>
          <cell r="O147" t="str">
            <v>130-140 KU</v>
          </cell>
          <cell r="P147" t="str">
            <v>Ninguno</v>
          </cell>
          <cell r="Q147" t="str">
            <v>Ninguno</v>
          </cell>
          <cell r="R147" t="str">
            <v>-</v>
          </cell>
          <cell r="S147" t="str">
            <v>-</v>
          </cell>
          <cell r="T147" t="str">
            <v>70 Seg. a 210°C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12 meses</v>
          </cell>
          <cell r="Y147" t="str">
            <v>MAVICA Guatemala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S/F</v>
          </cell>
        </row>
        <row r="148">
          <cell r="A148" t="str">
            <v>SAA 1737</v>
          </cell>
          <cell r="B148" t="str">
            <v>Anticorrosivo Verde Esmeralda</v>
          </cell>
          <cell r="C148" t="str">
            <v>Interior-Exterior</v>
          </cell>
          <cell r="D148" t="str">
            <v>Estantes Metálicos</v>
          </cell>
          <cell r="E148" t="str">
            <v>Limpieza con Cepillo de Alambre</v>
          </cell>
          <cell r="F148" t="str">
            <v>-</v>
          </cell>
          <cell r="G148" t="str">
            <v>10.40 Lbs/Gl</v>
          </cell>
          <cell r="H148" t="str">
            <v>-</v>
          </cell>
          <cell r="I148" t="str">
            <v>68.39%</v>
          </cell>
          <cell r="J148" t="str">
            <v>-</v>
          </cell>
          <cell r="K148" t="str">
            <v>-</v>
          </cell>
          <cell r="L148" t="str">
            <v>50.41%</v>
          </cell>
          <cell r="M148" t="str">
            <v>30"-40"</v>
          </cell>
          <cell r="N148" t="str">
            <v>Brocha</v>
          </cell>
          <cell r="O148" t="str">
            <v>Directa</v>
          </cell>
          <cell r="P148" t="str">
            <v>15% con R1K4 si es Necesario</v>
          </cell>
          <cell r="Q148" t="str">
            <v>R1K4   Mineral Spirits</v>
          </cell>
          <cell r="R148" t="str">
            <v>2 mills</v>
          </cell>
          <cell r="S148" t="str">
            <v>-</v>
          </cell>
          <cell r="T148" t="str">
            <v>-</v>
          </cell>
          <cell r="U148" t="str">
            <v>725 Pies Cuadrados/Gl</v>
          </cell>
          <cell r="V148" t="str">
            <v>-</v>
          </cell>
          <cell r="W148" t="str">
            <v>-</v>
          </cell>
          <cell r="X148" t="str">
            <v>12 meses</v>
          </cell>
          <cell r="Y148" t="str">
            <v>Gobierno de El Salvador</v>
          </cell>
          <cell r="Z148" t="str">
            <v>Estantes Metálicos</v>
          </cell>
          <cell r="AA148" t="str">
            <v>-</v>
          </cell>
          <cell r="AB148" t="str">
            <v>-</v>
          </cell>
          <cell r="AC148">
            <v>27796</v>
          </cell>
        </row>
        <row r="149">
          <cell r="A149" t="str">
            <v>SAA 1735</v>
          </cell>
          <cell r="B149" t="str">
            <v>Laca Industrial Aluminio</v>
          </cell>
          <cell r="C149" t="str">
            <v>Interior</v>
          </cell>
          <cell r="D149" t="str">
            <v>Muebles Metálicos</v>
          </cell>
          <cell r="E149" t="str">
            <v>Lijado y Limpieza con Solvente</v>
          </cell>
          <cell r="F149" t="str">
            <v>P61W1</v>
          </cell>
          <cell r="G149" t="str">
            <v>7.90 Lbs/Gl</v>
          </cell>
          <cell r="H149" t="str">
            <v>-</v>
          </cell>
          <cell r="I149" t="str">
            <v>30.37%</v>
          </cell>
          <cell r="J149" t="str">
            <v>-</v>
          </cell>
          <cell r="K149" t="str">
            <v>-</v>
          </cell>
          <cell r="L149" t="str">
            <v>22.26%</v>
          </cell>
          <cell r="M149" t="str">
            <v>35"-40" Copa SW #5</v>
          </cell>
          <cell r="N149" t="str">
            <v>Pistola</v>
          </cell>
          <cell r="O149" t="str">
            <v>20"-22" Copa Ford #4</v>
          </cell>
          <cell r="P149" t="str">
            <v>100-150%</v>
          </cell>
          <cell r="Q149" t="str">
            <v>R7K128</v>
          </cell>
          <cell r="R149" t="str">
            <v>1.0 mills</v>
          </cell>
          <cell r="S149" t="str">
            <v>-</v>
          </cell>
          <cell r="T149" t="str">
            <v>-</v>
          </cell>
          <cell r="U149" t="str">
            <v>30 Pies Cuadrados/Gl</v>
          </cell>
          <cell r="V149" t="str">
            <v>+85</v>
          </cell>
          <cell r="W149" t="str">
            <v>-</v>
          </cell>
          <cell r="X149" t="str">
            <v>12 meses</v>
          </cell>
          <cell r="Y149" t="str">
            <v>Muebles Ganz</v>
          </cell>
          <cell r="Z149" t="str">
            <v>Muebles Metálicos</v>
          </cell>
          <cell r="AA149" t="str">
            <v>-</v>
          </cell>
          <cell r="AB149" t="str">
            <v>-</v>
          </cell>
          <cell r="AC149">
            <v>27800</v>
          </cell>
        </row>
        <row r="150">
          <cell r="A150" t="str">
            <v>SAA 1736</v>
          </cell>
          <cell r="B150" t="str">
            <v>Esmalte Horneable Alquídico Aluminio</v>
          </cell>
          <cell r="C150" t="str">
            <v>Interior</v>
          </cell>
          <cell r="D150" t="str">
            <v>Operadores de Ventanas de Zamak</v>
          </cell>
          <cell r="E150" t="str">
            <v>Limpieza con Solvente</v>
          </cell>
          <cell r="F150" t="str">
            <v>-</v>
          </cell>
          <cell r="G150" t="str">
            <v>8.27 Lbs/Gl</v>
          </cell>
          <cell r="H150" t="str">
            <v>-</v>
          </cell>
          <cell r="I150" t="str">
            <v>50.78%</v>
          </cell>
          <cell r="J150" t="str">
            <v>-</v>
          </cell>
          <cell r="K150" t="str">
            <v>-</v>
          </cell>
          <cell r="L150" t="str">
            <v>40.45%</v>
          </cell>
          <cell r="M150" t="str">
            <v>80"-90" Copa Zanh #2</v>
          </cell>
          <cell r="N150" t="str">
            <v>Pistola</v>
          </cell>
          <cell r="O150" t="str">
            <v>25"-30" Copa Zanh #2</v>
          </cell>
          <cell r="P150" t="str">
            <v>20% R2K4</v>
          </cell>
          <cell r="Q150" t="str">
            <v>R2K4         Industrial reducer</v>
          </cell>
          <cell r="R150" t="str">
            <v>1.0-1.5 mills</v>
          </cell>
          <cell r="S150" t="str">
            <v>Al Horno</v>
          </cell>
          <cell r="T150" t="str">
            <v>15' a 300°F</v>
          </cell>
          <cell r="U150" t="str">
            <v>600 Pies Cuadrados/Gl</v>
          </cell>
          <cell r="V150" t="str">
            <v>+85</v>
          </cell>
          <cell r="W150" t="str">
            <v>H</v>
          </cell>
          <cell r="X150" t="str">
            <v>12 meses</v>
          </cell>
          <cell r="Y150" t="str">
            <v>Industrias Metálicas S.A</v>
          </cell>
          <cell r="Z150" t="str">
            <v>Artículos Metálicos</v>
          </cell>
          <cell r="AA150" t="str">
            <v>-</v>
          </cell>
          <cell r="AB150" t="str">
            <v>-</v>
          </cell>
          <cell r="AC150">
            <v>27800</v>
          </cell>
        </row>
        <row r="151">
          <cell r="A151" t="str">
            <v>B69W16</v>
          </cell>
          <cell r="B151" t="str">
            <v>C&amp;M Resisting Enamel White</v>
          </cell>
          <cell r="C151" t="str">
            <v>Interior-Exterior</v>
          </cell>
          <cell r="D151" t="str">
            <v>Tanques de Concreto</v>
          </cell>
          <cell r="E151" t="str">
            <v>Lavado con Agua y Detergente</v>
          </cell>
          <cell r="F151" t="str">
            <v>-</v>
          </cell>
          <cell r="G151" t="str">
            <v>10.83 Lbs/Gl</v>
          </cell>
          <cell r="H151" t="str">
            <v>-</v>
          </cell>
          <cell r="I151" t="str">
            <v>60.01%</v>
          </cell>
          <cell r="J151" t="str">
            <v>-</v>
          </cell>
          <cell r="K151" t="str">
            <v>-</v>
          </cell>
          <cell r="L151" t="str">
            <v>36.41%</v>
          </cell>
          <cell r="M151" t="str">
            <v>40"-50" Copa SW #3</v>
          </cell>
          <cell r="N151" t="str">
            <v>Brocha-Pistola</v>
          </cell>
          <cell r="O151" t="str">
            <v>20"-25" Copa Ford #4</v>
          </cell>
          <cell r="P151" t="str">
            <v>50%</v>
          </cell>
          <cell r="Q151" t="str">
            <v>R2K4         Industrial reducer</v>
          </cell>
          <cell r="R151" t="str">
            <v>2-4 mills</v>
          </cell>
          <cell r="S151" t="str">
            <v>-</v>
          </cell>
          <cell r="T151" t="str">
            <v>-</v>
          </cell>
          <cell r="U151" t="str">
            <v>550 Pies Cuadrados/Gl</v>
          </cell>
          <cell r="V151" t="str">
            <v>20-30</v>
          </cell>
          <cell r="W151" t="str">
            <v>-</v>
          </cell>
          <cell r="X151" t="str">
            <v>12 meses</v>
          </cell>
          <cell r="Y151" t="str">
            <v>Ingenio del Jiboa</v>
          </cell>
          <cell r="Z151" t="str">
            <v>Tanques de Concreto para Acidos</v>
          </cell>
          <cell r="AA151" t="str">
            <v>-</v>
          </cell>
          <cell r="AB151" t="str">
            <v>-</v>
          </cell>
          <cell r="AC151">
            <v>27801</v>
          </cell>
        </row>
        <row r="152">
          <cell r="A152" t="str">
            <v>SAA 1734</v>
          </cell>
          <cell r="B152" t="str">
            <v>Esmalte Horneable Gris IESSA</v>
          </cell>
          <cell r="C152" t="str">
            <v>Interior-Exterior Limitada</v>
          </cell>
          <cell r="D152" t="str">
            <v>Lamina de Hierro</v>
          </cell>
          <cell r="E152" t="str">
            <v>Limpieza Química</v>
          </cell>
          <cell r="F152" t="str">
            <v>-</v>
          </cell>
          <cell r="G152" t="str">
            <v>9.03 Lbs/Gl</v>
          </cell>
          <cell r="H152" t="str">
            <v>-</v>
          </cell>
          <cell r="I152" t="str">
            <v>52.49%</v>
          </cell>
          <cell r="J152" t="str">
            <v>-</v>
          </cell>
          <cell r="K152" t="str">
            <v>-</v>
          </cell>
          <cell r="L152" t="str">
            <v>38.45%</v>
          </cell>
          <cell r="M152" t="str">
            <v>80"-90" Copa Zanh #2</v>
          </cell>
          <cell r="N152" t="str">
            <v>Pistola</v>
          </cell>
          <cell r="O152" t="str">
            <v>25"-30" Copa Zanh #2</v>
          </cell>
          <cell r="P152" t="str">
            <v>20%</v>
          </cell>
          <cell r="Q152" t="str">
            <v>R2K4         Industrial reducer</v>
          </cell>
          <cell r="R152" t="str">
            <v>1.0-1.5 mills</v>
          </cell>
          <cell r="S152" t="str">
            <v>-</v>
          </cell>
          <cell r="T152" t="str">
            <v>15' a 300°F</v>
          </cell>
          <cell r="U152" t="str">
            <v>600 Pies Cuadrados/Gl</v>
          </cell>
          <cell r="V152" t="str">
            <v>+80</v>
          </cell>
          <cell r="W152" t="str">
            <v>H</v>
          </cell>
          <cell r="X152" t="str">
            <v>12 meses</v>
          </cell>
          <cell r="Y152" t="str">
            <v>IESSA</v>
          </cell>
          <cell r="Z152" t="str">
            <v>Cajas Térmicas</v>
          </cell>
          <cell r="AA152" t="str">
            <v>-</v>
          </cell>
          <cell r="AB152" t="str">
            <v>-</v>
          </cell>
          <cell r="AC152">
            <v>27809</v>
          </cell>
        </row>
        <row r="153">
          <cell r="A153" t="str">
            <v>SAA 1745</v>
          </cell>
          <cell r="B153" t="str">
            <v>Esmalte Horneable Acrilico Light Bronze</v>
          </cell>
          <cell r="C153" t="str">
            <v>Interior-Exterior Limitada</v>
          </cell>
          <cell r="D153" t="str">
            <v>Lamina de Aluminio</v>
          </cell>
          <cell r="E153" t="str">
            <v>Limpieza con Solvente</v>
          </cell>
          <cell r="F153" t="str">
            <v>Gripclad Primer</v>
          </cell>
          <cell r="G153" t="str">
            <v>8.4Lbs/Gl</v>
          </cell>
          <cell r="H153" t="str">
            <v>-</v>
          </cell>
          <cell r="I153" t="str">
            <v>43.48%</v>
          </cell>
          <cell r="J153" t="str">
            <v>-</v>
          </cell>
          <cell r="K153" t="str">
            <v>-</v>
          </cell>
          <cell r="L153" t="str">
            <v>50.93%</v>
          </cell>
          <cell r="M153" t="str">
            <v>80"-90" Copa Zanh #2</v>
          </cell>
          <cell r="N153" t="str">
            <v>Pistola</v>
          </cell>
          <cell r="O153" t="str">
            <v>25"-30" Copa Zanh #2</v>
          </cell>
          <cell r="P153" t="str">
            <v>20%</v>
          </cell>
          <cell r="Q153" t="str">
            <v>Acrilic Baking Enamel Reducer (R7KSA9)</v>
          </cell>
          <cell r="R153" t="str">
            <v>1.0-1.5 mills</v>
          </cell>
          <cell r="S153" t="str">
            <v>-</v>
          </cell>
          <cell r="T153" t="str">
            <v>15' a 400°F</v>
          </cell>
          <cell r="U153" t="str">
            <v>490 Pies Cuadrados/Gl</v>
          </cell>
          <cell r="V153" t="str">
            <v>40-50</v>
          </cell>
          <cell r="W153" t="str">
            <v>3H</v>
          </cell>
          <cell r="X153" t="str">
            <v>12 meses</v>
          </cell>
          <cell r="Y153" t="str">
            <v>ALUMEX (Nicaragua)</v>
          </cell>
          <cell r="Z153" t="str">
            <v>Ventanas de Aluminio</v>
          </cell>
          <cell r="AA153" t="str">
            <v>-</v>
          </cell>
          <cell r="AB153" t="str">
            <v>-</v>
          </cell>
          <cell r="AC153">
            <v>27816</v>
          </cell>
        </row>
        <row r="154">
          <cell r="A154" t="str">
            <v>SAA 1746</v>
          </cell>
          <cell r="B154" t="str">
            <v>Esmalte Horneable Acrilico Dark Bronze</v>
          </cell>
          <cell r="C154" t="str">
            <v>Interior-Exterior Limitada</v>
          </cell>
          <cell r="D154" t="str">
            <v>Lamina de Aluminio</v>
          </cell>
          <cell r="E154" t="str">
            <v>Limpieza con Solvente</v>
          </cell>
          <cell r="F154" t="str">
            <v>Gripclad Primer</v>
          </cell>
          <cell r="G154" t="str">
            <v>8.75 Lbs/Gl</v>
          </cell>
          <cell r="H154" t="str">
            <v>-</v>
          </cell>
          <cell r="I154" t="str">
            <v>48.23%</v>
          </cell>
          <cell r="J154" t="str">
            <v>-</v>
          </cell>
          <cell r="K154" t="str">
            <v>-</v>
          </cell>
          <cell r="L154" t="str">
            <v>33.83%</v>
          </cell>
          <cell r="M154" t="str">
            <v>80"-90" Copa Zanh #2</v>
          </cell>
          <cell r="N154" t="str">
            <v>Pistola</v>
          </cell>
          <cell r="O154" t="str">
            <v>25"-30" Copa Zanh #2</v>
          </cell>
          <cell r="P154" t="str">
            <v>20%</v>
          </cell>
          <cell r="Q154" t="str">
            <v>Acrilic Baking Enamel Reducer (R7KSA9)</v>
          </cell>
          <cell r="R154" t="str">
            <v>1.0-1.5 mills</v>
          </cell>
          <cell r="S154" t="str">
            <v>-</v>
          </cell>
          <cell r="T154" t="str">
            <v>15' a 400°F</v>
          </cell>
          <cell r="U154" t="str">
            <v>540 Pies Cuadrados/Gl</v>
          </cell>
          <cell r="V154" t="str">
            <v>5-8</v>
          </cell>
          <cell r="W154" t="str">
            <v>3H</v>
          </cell>
          <cell r="X154" t="str">
            <v>12 meses</v>
          </cell>
          <cell r="Y154" t="str">
            <v>ALUMEX (Nicaragua)</v>
          </cell>
          <cell r="Z154" t="str">
            <v>Ventanas de Aluminio</v>
          </cell>
          <cell r="AA154" t="str">
            <v>-</v>
          </cell>
          <cell r="AB154" t="str">
            <v>-</v>
          </cell>
          <cell r="AC154">
            <v>27816</v>
          </cell>
        </row>
        <row r="155">
          <cell r="A155" t="str">
            <v>SAA 1765</v>
          </cell>
          <cell r="B155" t="str">
            <v>Esmalte Horneable Naranja</v>
          </cell>
          <cell r="C155" t="str">
            <v>Interior</v>
          </cell>
          <cell r="D155" t="str">
            <v>Muebles de Hierro</v>
          </cell>
          <cell r="E155" t="str">
            <v xml:space="preserve">Limpieza Quimica  </v>
          </cell>
          <cell r="F155" t="str">
            <v>-</v>
          </cell>
          <cell r="G155" t="str">
            <v>9.27 Lbs/Gl</v>
          </cell>
          <cell r="H155" t="str">
            <v>-</v>
          </cell>
          <cell r="I155" t="str">
            <v>56.37%</v>
          </cell>
          <cell r="J155" t="str">
            <v>-</v>
          </cell>
          <cell r="K155" t="str">
            <v>-</v>
          </cell>
          <cell r="L155" t="str">
            <v>41.64%</v>
          </cell>
          <cell r="M155" t="str">
            <v>100-110 KU</v>
          </cell>
          <cell r="N155" t="str">
            <v>Pistola Airless</v>
          </cell>
          <cell r="O155" t="str">
            <v>40-50 KU</v>
          </cell>
          <cell r="P155" t="str">
            <v>25%</v>
          </cell>
          <cell r="Q155" t="str">
            <v>R2K4         Industrial reducer</v>
          </cell>
          <cell r="R155" t="str">
            <v>1.5-2 mills</v>
          </cell>
          <cell r="S155" t="str">
            <v>-</v>
          </cell>
          <cell r="T155" t="str">
            <v>15' a 300°F</v>
          </cell>
          <cell r="U155" t="str">
            <v>900 Pies Cuadrados/Gl</v>
          </cell>
          <cell r="V155" t="str">
            <v>+85</v>
          </cell>
          <cell r="W155" t="str">
            <v>2H mínimo</v>
          </cell>
          <cell r="X155" t="str">
            <v>12 meses</v>
          </cell>
          <cell r="Y155" t="str">
            <v>DM. NACIONAL</v>
          </cell>
          <cell r="Z155" t="str">
            <v>Muebles de Metal</v>
          </cell>
          <cell r="AA155" t="str">
            <v>-</v>
          </cell>
          <cell r="AB155" t="str">
            <v>-</v>
          </cell>
          <cell r="AC155">
            <v>27856</v>
          </cell>
        </row>
        <row r="156">
          <cell r="A156" t="str">
            <v>V76VSA2</v>
          </cell>
          <cell r="B156" t="str">
            <v>Acrylic Wet Ink Varnish</v>
          </cell>
          <cell r="C156" t="str">
            <v>Interior-Exterior</v>
          </cell>
          <cell r="D156" t="str">
            <v>Hojalata</v>
          </cell>
          <cell r="E156" t="str">
            <v>-</v>
          </cell>
          <cell r="F156" t="str">
            <v>-</v>
          </cell>
          <cell r="G156" t="str">
            <v>7.83 Lbs/Gl</v>
          </cell>
          <cell r="H156" t="str">
            <v>-</v>
          </cell>
          <cell r="I156" t="str">
            <v>42.3%</v>
          </cell>
          <cell r="J156" t="str">
            <v>-</v>
          </cell>
          <cell r="K156" t="str">
            <v>-</v>
          </cell>
          <cell r="L156" t="str">
            <v>32.3%</v>
          </cell>
          <cell r="M156" t="str">
            <v>48"-56" Copa Ford #4</v>
          </cell>
          <cell r="N156" t="str">
            <v>Rodillo</v>
          </cell>
          <cell r="O156" t="str">
            <v>48"-56" Copa Ford #4</v>
          </cell>
          <cell r="P156" t="str">
            <v>Ninguno</v>
          </cell>
          <cell r="Q156" t="str">
            <v>Solvesso 150 si es Necesario</v>
          </cell>
          <cell r="R156" t="str">
            <v>Humedo: 8 Pfung Gauge</v>
          </cell>
          <cell r="S156" t="str">
            <v>-</v>
          </cell>
          <cell r="T156" t="str">
            <v>13' a 160°C</v>
          </cell>
          <cell r="U156" t="str">
            <v>-</v>
          </cell>
          <cell r="V156" t="str">
            <v>+90</v>
          </cell>
          <cell r="W156" t="str">
            <v>HB Mínimo</v>
          </cell>
          <cell r="X156" t="str">
            <v>12 meses</v>
          </cell>
          <cell r="Y156" t="str">
            <v>CORLASA</v>
          </cell>
          <cell r="Z156" t="str">
            <v>Tapas Coronas, Afiches, Etc.</v>
          </cell>
          <cell r="AA156" t="str">
            <v>-</v>
          </cell>
          <cell r="AB156" t="str">
            <v>-</v>
          </cell>
          <cell r="AC156">
            <v>27858</v>
          </cell>
        </row>
        <row r="157">
          <cell r="A157" t="str">
            <v>F73B5 (1)</v>
          </cell>
          <cell r="B157" t="str">
            <v>Extra Flat Baking Enamel Black</v>
          </cell>
          <cell r="C157" t="str">
            <v>Interior</v>
          </cell>
          <cell r="D157" t="str">
            <v>Metal</v>
          </cell>
          <cell r="E157" t="str">
            <v>-</v>
          </cell>
          <cell r="F157" t="str">
            <v>E68WSA1</v>
          </cell>
          <cell r="G157" t="str">
            <v>9.43 Lbs/Gl</v>
          </cell>
          <cell r="H157" t="str">
            <v>-</v>
          </cell>
          <cell r="I157" t="str">
            <v>50.55%</v>
          </cell>
          <cell r="J157" t="str">
            <v>-</v>
          </cell>
          <cell r="K157" t="str">
            <v>-</v>
          </cell>
          <cell r="L157" t="str">
            <v>33.54%</v>
          </cell>
          <cell r="M157" t="str">
            <v>100"-110" Copa Zanh #2</v>
          </cell>
          <cell r="N157" t="str">
            <v>Pistola</v>
          </cell>
          <cell r="O157" t="str">
            <v>40"-50" Copa Zahn #"</v>
          </cell>
          <cell r="P157" t="str">
            <v>20-25%</v>
          </cell>
          <cell r="Q157" t="str">
            <v>R2K4         Industrial reducer</v>
          </cell>
          <cell r="R157" t="str">
            <v>1.5-2 mills</v>
          </cell>
          <cell r="S157" t="str">
            <v>-</v>
          </cell>
          <cell r="T157" t="str">
            <v>15' a 300°F</v>
          </cell>
          <cell r="U157" t="str">
            <v>950 Pies Cuadrados/Gl</v>
          </cell>
          <cell r="V157" t="str">
            <v>7-9 (Mate)</v>
          </cell>
          <cell r="W157" t="str">
            <v>H</v>
          </cell>
          <cell r="X157" t="str">
            <v>12 meses</v>
          </cell>
          <cell r="Y157" t="str">
            <v>-</v>
          </cell>
          <cell r="Z157" t="str">
            <v>-</v>
          </cell>
          <cell r="AA157" t="str">
            <v>-</v>
          </cell>
          <cell r="AB157" t="str">
            <v>-</v>
          </cell>
          <cell r="AC157">
            <v>27871</v>
          </cell>
        </row>
        <row r="158">
          <cell r="A158" t="str">
            <v>SAA 1663</v>
          </cell>
          <cell r="B158" t="str">
            <v>Kem Fast Dry Oxide Black</v>
          </cell>
          <cell r="C158" t="str">
            <v>Exterior</v>
          </cell>
          <cell r="D158" t="str">
            <v>Camas para Camiones</v>
          </cell>
          <cell r="E158" t="str">
            <v>Limpieza con Solvente</v>
          </cell>
          <cell r="F158" t="str">
            <v>-</v>
          </cell>
          <cell r="G158" t="str">
            <v>9.45 Lbs/Gl</v>
          </cell>
          <cell r="H158" t="str">
            <v>-</v>
          </cell>
          <cell r="I158" t="str">
            <v>55.21%</v>
          </cell>
          <cell r="J158" t="str">
            <v>-</v>
          </cell>
          <cell r="K158" t="str">
            <v>-</v>
          </cell>
          <cell r="L158" t="str">
            <v>38.78%</v>
          </cell>
          <cell r="M158" t="str">
            <v>25"-35"</v>
          </cell>
          <cell r="N158" t="str">
            <v>Pistola</v>
          </cell>
          <cell r="O158" t="str">
            <v>Directa</v>
          </cell>
          <cell r="P158" t="str">
            <v>10%</v>
          </cell>
          <cell r="Q158" t="str">
            <v>R2K4         Industrial reducer</v>
          </cell>
          <cell r="R158" t="str">
            <v>1.5 mills</v>
          </cell>
          <cell r="S158" t="str">
            <v>-</v>
          </cell>
          <cell r="T158" t="str">
            <v>-</v>
          </cell>
          <cell r="U158" t="str">
            <v>950 Pies Cuadrados/Gl</v>
          </cell>
          <cell r="V158" t="str">
            <v>0-5 (Mate)</v>
          </cell>
          <cell r="W158" t="str">
            <v>-</v>
          </cell>
          <cell r="X158" t="str">
            <v>12 meses</v>
          </cell>
          <cell r="Y158" t="str">
            <v>IMSA S.A</v>
          </cell>
          <cell r="Z158" t="str">
            <v>Productos Metálicos</v>
          </cell>
          <cell r="AA158" t="str">
            <v>-</v>
          </cell>
          <cell r="AB158" t="str">
            <v>-</v>
          </cell>
          <cell r="AC158">
            <v>27883</v>
          </cell>
        </row>
        <row r="159">
          <cell r="A159" t="str">
            <v>B59S8</v>
          </cell>
          <cell r="B159" t="str">
            <v>Silver Brite (R) Hi-Heat Silicone Alkyd Aluminum Paint</v>
          </cell>
          <cell r="C159" t="str">
            <v>Interior-Exterior</v>
          </cell>
          <cell r="D159" t="str">
            <v>Hierro-Acero</v>
          </cell>
          <cell r="E159" t="str">
            <v>Sand Blasting</v>
          </cell>
          <cell r="F159" t="str">
            <v>Ninguno</v>
          </cell>
          <cell r="G159" t="str">
            <v>9.0 Lbs/Gl</v>
          </cell>
          <cell r="H159" t="str">
            <v>-</v>
          </cell>
          <cell r="I159" t="str">
            <v>40.6%</v>
          </cell>
          <cell r="J159" t="str">
            <v>-</v>
          </cell>
          <cell r="K159" t="str">
            <v>-</v>
          </cell>
          <cell r="L159" t="str">
            <v>25.2%</v>
          </cell>
          <cell r="M159" t="str">
            <v>54-67 KU</v>
          </cell>
          <cell r="N159" t="str">
            <v>Pistola</v>
          </cell>
          <cell r="O159" t="str">
            <v>54-67 KU</v>
          </cell>
          <cell r="P159" t="str">
            <v>Ninguno</v>
          </cell>
          <cell r="Q159" t="str">
            <v>Ninguno</v>
          </cell>
          <cell r="R159" t="str">
            <v>1.0 mills</v>
          </cell>
          <cell r="S159" t="str">
            <v>-</v>
          </cell>
          <cell r="T159" t="str">
            <v>400°F</v>
          </cell>
          <cell r="U159" t="str">
            <v>400 Pies Cuadrados/Gl</v>
          </cell>
          <cell r="V159" t="str">
            <v>-</v>
          </cell>
          <cell r="W159" t="str">
            <v>-</v>
          </cell>
          <cell r="X159" t="str">
            <v>12 meses</v>
          </cell>
          <cell r="Y159" t="str">
            <v>SWCA</v>
          </cell>
          <cell r="Z159" t="str">
            <v>-</v>
          </cell>
          <cell r="AA159" t="str">
            <v>-</v>
          </cell>
          <cell r="AB159" t="str">
            <v>-</v>
          </cell>
          <cell r="AC159">
            <v>27886</v>
          </cell>
        </row>
        <row r="160">
          <cell r="A160" t="str">
            <v>SAA 1800</v>
          </cell>
          <cell r="B160" t="str">
            <v>Esmalte Horneable Alquidico Rojo Metálico</v>
          </cell>
          <cell r="C160" t="str">
            <v>Interior-Exterior Limitada</v>
          </cell>
          <cell r="D160" t="str">
            <v>Hierro</v>
          </cell>
          <cell r="E160" t="str">
            <v>Limpieza Química</v>
          </cell>
          <cell r="F160" t="str">
            <v>E68WSA1</v>
          </cell>
          <cell r="G160" t="str">
            <v>7.85 Lbs/Gl</v>
          </cell>
          <cell r="H160" t="str">
            <v>-</v>
          </cell>
          <cell r="I160" t="str">
            <v>46.37%</v>
          </cell>
          <cell r="J160" t="str">
            <v>-</v>
          </cell>
          <cell r="K160" t="str">
            <v>-</v>
          </cell>
          <cell r="L160" t="str">
            <v>37.20%</v>
          </cell>
          <cell r="M160" t="str">
            <v>80"-90" Copa Zanh #2</v>
          </cell>
          <cell r="N160" t="str">
            <v>Pistola</v>
          </cell>
          <cell r="O160" t="str">
            <v>20"-25" Copa Zanh #2</v>
          </cell>
          <cell r="P160" t="str">
            <v>20%</v>
          </cell>
          <cell r="Q160" t="str">
            <v>R2K4         Industrial reducer</v>
          </cell>
          <cell r="R160" t="str">
            <v>1.0-1.5 mills</v>
          </cell>
          <cell r="S160" t="str">
            <v>Al Horno</v>
          </cell>
          <cell r="T160" t="str">
            <v>15' a 300°F</v>
          </cell>
          <cell r="U160" t="str">
            <v>600 Pies Cuadrados/Gl</v>
          </cell>
          <cell r="V160" t="str">
            <v>90</v>
          </cell>
          <cell r="W160" t="str">
            <v>F-H</v>
          </cell>
          <cell r="X160" t="str">
            <v>12 meses</v>
          </cell>
          <cell r="Y160" t="str">
            <v>PROESA</v>
          </cell>
          <cell r="Z160" t="str">
            <v>Triciclos y Bicicletas de Hierro</v>
          </cell>
          <cell r="AA160" t="str">
            <v>-</v>
          </cell>
          <cell r="AB160" t="str">
            <v>-</v>
          </cell>
          <cell r="AC160">
            <v>27901</v>
          </cell>
        </row>
        <row r="161">
          <cell r="A161" t="str">
            <v xml:space="preserve">SAA 1801 </v>
          </cell>
          <cell r="B161" t="str">
            <v>Esmalte Horneable Alquidico Verde Metálico</v>
          </cell>
          <cell r="C161" t="str">
            <v>Interior-Exterior Limitada</v>
          </cell>
          <cell r="D161" t="str">
            <v>Hierro</v>
          </cell>
          <cell r="E161" t="str">
            <v>Limpieza Química</v>
          </cell>
          <cell r="F161" t="str">
            <v>E68WSA1</v>
          </cell>
          <cell r="G161" t="str">
            <v>7.81 Lbs/Gl</v>
          </cell>
          <cell r="H161" t="str">
            <v>-</v>
          </cell>
          <cell r="I161" t="str">
            <v>46.09%</v>
          </cell>
          <cell r="J161" t="str">
            <v>-</v>
          </cell>
          <cell r="K161" t="str">
            <v>-</v>
          </cell>
          <cell r="L161" t="str">
            <v>36.74%</v>
          </cell>
          <cell r="M161" t="str">
            <v>80"-90" Copa Zanh #2</v>
          </cell>
          <cell r="N161" t="str">
            <v>Pistola</v>
          </cell>
          <cell r="O161" t="str">
            <v>20"-25" Copa Zanh #2</v>
          </cell>
          <cell r="P161" t="str">
            <v>20%</v>
          </cell>
          <cell r="Q161" t="str">
            <v>R2K4         Industrial reducer</v>
          </cell>
          <cell r="R161" t="str">
            <v>1.0-1.5 mills</v>
          </cell>
          <cell r="S161" t="str">
            <v>Al Horno</v>
          </cell>
          <cell r="T161" t="str">
            <v>15' a 300°F</v>
          </cell>
          <cell r="U161" t="str">
            <v>580 Pies Cuadrados/Gl</v>
          </cell>
          <cell r="V161" t="str">
            <v>90</v>
          </cell>
          <cell r="W161" t="str">
            <v>F-H</v>
          </cell>
          <cell r="X161" t="str">
            <v>12 meses</v>
          </cell>
          <cell r="Y161" t="str">
            <v>PROESA</v>
          </cell>
          <cell r="Z161" t="str">
            <v>Triciclos y Bicicletas de Hierro</v>
          </cell>
          <cell r="AA161" t="str">
            <v>-</v>
          </cell>
          <cell r="AB161" t="str">
            <v>-</v>
          </cell>
          <cell r="AC161">
            <v>27901</v>
          </cell>
        </row>
        <row r="162">
          <cell r="A162" t="str">
            <v>SAA 1802</v>
          </cell>
          <cell r="B162" t="str">
            <v>Esmalte Horneable Alquidico Azul Metálico</v>
          </cell>
          <cell r="C162" t="str">
            <v>Interior-Exterior Limitada</v>
          </cell>
          <cell r="D162" t="str">
            <v>Hierro</v>
          </cell>
          <cell r="E162" t="str">
            <v>Limpieza Química</v>
          </cell>
          <cell r="F162" t="str">
            <v>E68WSA1</v>
          </cell>
          <cell r="G162" t="str">
            <v>7.83 Lbs/Gl</v>
          </cell>
          <cell r="H162" t="str">
            <v>-</v>
          </cell>
          <cell r="I162" t="str">
            <v>45.95%</v>
          </cell>
          <cell r="J162" t="str">
            <v>-</v>
          </cell>
          <cell r="K162" t="str">
            <v>-</v>
          </cell>
          <cell r="L162" t="str">
            <v>37.55%</v>
          </cell>
          <cell r="M162" t="str">
            <v>80"-90" Copa Zanh #2</v>
          </cell>
          <cell r="N162" t="str">
            <v>Pistola</v>
          </cell>
          <cell r="O162" t="str">
            <v>20"-25" Copa Zanh #2</v>
          </cell>
          <cell r="P162" t="str">
            <v>20%</v>
          </cell>
          <cell r="Q162" t="str">
            <v>R2K4         Industrial reducer</v>
          </cell>
          <cell r="R162" t="str">
            <v>1.0-1.5 mills</v>
          </cell>
          <cell r="S162" t="str">
            <v>Al Horno</v>
          </cell>
          <cell r="T162" t="str">
            <v>15' a 300°F</v>
          </cell>
          <cell r="U162" t="str">
            <v>690 Pies Cuadrados/Gl</v>
          </cell>
          <cell r="V162" t="str">
            <v>90</v>
          </cell>
          <cell r="W162" t="str">
            <v>F-H</v>
          </cell>
          <cell r="X162" t="str">
            <v>12 meses</v>
          </cell>
          <cell r="Y162" t="str">
            <v>PROESA</v>
          </cell>
          <cell r="Z162" t="str">
            <v>Triciclos y Bicicletas de Hierro</v>
          </cell>
          <cell r="AA162" t="str">
            <v>-</v>
          </cell>
          <cell r="AB162" t="str">
            <v>-</v>
          </cell>
          <cell r="AC162">
            <v>27901</v>
          </cell>
        </row>
        <row r="163">
          <cell r="A163" t="str">
            <v>SAA 1809</v>
          </cell>
          <cell r="B163" t="str">
            <v>Primer (Wash) Pretreatment Blue</v>
          </cell>
          <cell r="C163" t="str">
            <v>-</v>
          </cell>
          <cell r="D163" t="str">
            <v>Lamina Electrogalvanizada, Aluminio</v>
          </cell>
          <cell r="E163" t="str">
            <v>Limpieza con Solvente</v>
          </cell>
          <cell r="F163" t="str">
            <v>-</v>
          </cell>
          <cell r="G163" t="str">
            <v>8.0 Lbs/Gl</v>
          </cell>
          <cell r="H163" t="str">
            <v>-</v>
          </cell>
          <cell r="I163" t="str">
            <v>25.12 %</v>
          </cell>
          <cell r="J163" t="str">
            <v>-</v>
          </cell>
          <cell r="K163" t="str">
            <v>-</v>
          </cell>
          <cell r="L163" t="str">
            <v>12.19%</v>
          </cell>
          <cell r="M163" t="str">
            <v>65-80 KU</v>
          </cell>
          <cell r="N163" t="str">
            <v>Pistola</v>
          </cell>
          <cell r="O163" t="str">
            <v>20"-22" Copa Ford #4</v>
          </cell>
          <cell r="P163" t="str">
            <v>4:1 con SAA 1810</v>
          </cell>
          <cell r="Q163" t="str">
            <v>-</v>
          </cell>
          <cell r="R163" t="str">
            <v>2-4 mills</v>
          </cell>
          <cell r="S163" t="str">
            <v>-</v>
          </cell>
          <cell r="T163" t="str">
            <v>-</v>
          </cell>
          <cell r="U163" t="str">
            <v>60-70 Mts Cuadrados/Gl</v>
          </cell>
          <cell r="V163" t="str">
            <v>Semi-Mate</v>
          </cell>
          <cell r="W163" t="str">
            <v>-</v>
          </cell>
          <cell r="X163" t="str">
            <v>12 meses</v>
          </cell>
          <cell r="Y163" t="str">
            <v>Shewin Williams de Panama</v>
          </cell>
          <cell r="Z163" t="str">
            <v>-</v>
          </cell>
          <cell r="AA163" t="str">
            <v>4 Partes de Primer (SAA 1809) con 1 Parte de Activador (SAA 1810).</v>
          </cell>
          <cell r="AB163" t="str">
            <v>-</v>
          </cell>
          <cell r="AC163">
            <v>27915</v>
          </cell>
        </row>
        <row r="164">
          <cell r="A164" t="str">
            <v xml:space="preserve">SAA 1810 </v>
          </cell>
          <cell r="B164" t="str">
            <v>Activador Primer (Wash) Pretreatment Blue</v>
          </cell>
          <cell r="C164" t="str">
            <v>-</v>
          </cell>
          <cell r="D164" t="str">
            <v>Lamina Electrogalvanizada, Aluminio</v>
          </cell>
          <cell r="E164" t="str">
            <v>Limpieza con Solvente</v>
          </cell>
          <cell r="F164" t="str">
            <v>-</v>
          </cell>
          <cell r="G164" t="str">
            <v>7.76 Lbs/Gl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Pistola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3-4 mills</v>
          </cell>
          <cell r="S164" t="str">
            <v>-</v>
          </cell>
          <cell r="T164" t="str">
            <v>-</v>
          </cell>
          <cell r="U164" t="str">
            <v>60-70 Mts Cuadrados/Gl</v>
          </cell>
          <cell r="V164" t="str">
            <v>Semi-Mate</v>
          </cell>
          <cell r="W164" t="str">
            <v>-</v>
          </cell>
          <cell r="X164" t="str">
            <v>12 meses</v>
          </cell>
          <cell r="Y164" t="str">
            <v>Shewin Williams de Panama</v>
          </cell>
          <cell r="Z164" t="str">
            <v>-</v>
          </cell>
          <cell r="AA164" t="str">
            <v>4 Partes de Primer (SAA 1809) con 1 Parte de Activador (SAA 1810).</v>
          </cell>
          <cell r="AB164" t="str">
            <v>-</v>
          </cell>
          <cell r="AC164">
            <v>27915</v>
          </cell>
        </row>
        <row r="165">
          <cell r="A165" t="str">
            <v>A86ESA1</v>
          </cell>
          <cell r="B165" t="str">
            <v>Traffic Zone Paint Orange</v>
          </cell>
          <cell r="C165" t="str">
            <v>Exterior</v>
          </cell>
          <cell r="D165" t="str">
            <v>Asfalto, Concreto</v>
          </cell>
          <cell r="E165" t="str">
            <v>Limpieza</v>
          </cell>
          <cell r="F165" t="str">
            <v>Ninguno</v>
          </cell>
          <cell r="G165" t="str">
            <v>12.83 Lbs/Gl</v>
          </cell>
          <cell r="H165" t="str">
            <v>-</v>
          </cell>
          <cell r="I165" t="str">
            <v>79.19%</v>
          </cell>
          <cell r="J165" t="str">
            <v>-</v>
          </cell>
          <cell r="K165" t="str">
            <v>-</v>
          </cell>
          <cell r="L165" t="str">
            <v>50.84%</v>
          </cell>
          <cell r="M165" t="str">
            <v>68-80 KU</v>
          </cell>
          <cell r="N165" t="str">
            <v>Brocha-Maquina Demarcadora</v>
          </cell>
          <cell r="O165" t="str">
            <v>60-80 KU</v>
          </cell>
          <cell r="P165" t="str">
            <v>-</v>
          </cell>
          <cell r="Q165" t="str">
            <v>R1K3 si es necesario</v>
          </cell>
          <cell r="R165" t="str">
            <v>5 mills</v>
          </cell>
          <cell r="S165" t="str">
            <v>-</v>
          </cell>
          <cell r="T165" t="str">
            <v>-</v>
          </cell>
          <cell r="U165" t="str">
            <v>35-40 Mts Cuadrados/Gl</v>
          </cell>
          <cell r="V165" t="str">
            <v>Mate</v>
          </cell>
          <cell r="W165" t="str">
            <v>-</v>
          </cell>
          <cell r="X165" t="str">
            <v>12 meses</v>
          </cell>
          <cell r="Y165" t="str">
            <v>Tesorería Gral de la Nación. Guatemala</v>
          </cell>
          <cell r="Z165" t="str">
            <v>-</v>
          </cell>
          <cell r="AA165" t="str">
            <v>-</v>
          </cell>
          <cell r="AB165" t="str">
            <v>-</v>
          </cell>
          <cell r="AC165">
            <v>27921</v>
          </cell>
        </row>
        <row r="166">
          <cell r="A166" t="str">
            <v>L60HSA4</v>
          </cell>
          <cell r="B166" t="str">
            <v>Laca Industrial Marfil 18552</v>
          </cell>
          <cell r="C166" t="str">
            <v>Interior</v>
          </cell>
          <cell r="D166" t="str">
            <v>Madera</v>
          </cell>
          <cell r="E166" t="str">
            <v>Lijado Completo</v>
          </cell>
          <cell r="F166" t="str">
            <v>P61A1</v>
          </cell>
          <cell r="G166" t="str">
            <v>8.25 Lbs/Gl</v>
          </cell>
          <cell r="H166" t="str">
            <v>-</v>
          </cell>
          <cell r="I166" t="str">
            <v>35.75%</v>
          </cell>
          <cell r="J166" t="str">
            <v>-</v>
          </cell>
          <cell r="K166" t="str">
            <v>-</v>
          </cell>
          <cell r="L166" t="str">
            <v>23.32%</v>
          </cell>
          <cell r="M166" t="str">
            <v>30"-40" Copa SW #5</v>
          </cell>
          <cell r="N166" t="str">
            <v>Pistola</v>
          </cell>
          <cell r="O166" t="str">
            <v>22"-25" Copa Ford #4</v>
          </cell>
          <cell r="P166" t="str">
            <v>100-150% R7K128</v>
          </cell>
          <cell r="Q166" t="str">
            <v>Opex Thinner R7K128</v>
          </cell>
          <cell r="R166" t="str">
            <v>2.0 mills</v>
          </cell>
          <cell r="S166" t="str">
            <v>-</v>
          </cell>
          <cell r="T166" t="str">
            <v>-</v>
          </cell>
          <cell r="U166" t="str">
            <v>200 Pies Cuadrados/Gl</v>
          </cell>
          <cell r="V166" t="str">
            <v>+85</v>
          </cell>
          <cell r="W166" t="str">
            <v>-</v>
          </cell>
          <cell r="X166" t="str">
            <v>12 meses</v>
          </cell>
          <cell r="Y166" t="str">
            <v>SIMCO</v>
          </cell>
          <cell r="Z166" t="str">
            <v>Muebles de Madera.</v>
          </cell>
          <cell r="AA166" t="str">
            <v>-</v>
          </cell>
          <cell r="AB166" t="str">
            <v>-</v>
          </cell>
          <cell r="AC166">
            <v>27922</v>
          </cell>
        </row>
        <row r="167">
          <cell r="A167" t="str">
            <v>L60WSA7</v>
          </cell>
          <cell r="B167" t="str">
            <v>Laca Industrial Blanco Ostra</v>
          </cell>
          <cell r="C167" t="str">
            <v>Interior</v>
          </cell>
          <cell r="D167" t="str">
            <v>Madera</v>
          </cell>
          <cell r="E167" t="str">
            <v>Lijado Completo</v>
          </cell>
          <cell r="F167" t="str">
            <v>P61A1</v>
          </cell>
          <cell r="G167" t="str">
            <v>8.25 Lbs/Gl</v>
          </cell>
          <cell r="H167" t="str">
            <v>-</v>
          </cell>
          <cell r="I167" t="str">
            <v>35.75%</v>
          </cell>
          <cell r="J167" t="str">
            <v>-</v>
          </cell>
          <cell r="K167" t="str">
            <v>-</v>
          </cell>
          <cell r="L167" t="str">
            <v>23.32%</v>
          </cell>
          <cell r="M167" t="str">
            <v>30"-40" Copa SW #5</v>
          </cell>
          <cell r="N167" t="str">
            <v>Pistola</v>
          </cell>
          <cell r="O167" t="str">
            <v>22"-25" Copa Ford #4</v>
          </cell>
          <cell r="P167" t="str">
            <v>100-150% R7K128</v>
          </cell>
          <cell r="Q167" t="str">
            <v>Opex Thinner R7K128</v>
          </cell>
          <cell r="R167" t="str">
            <v>2.0 mills</v>
          </cell>
          <cell r="S167" t="str">
            <v>-</v>
          </cell>
          <cell r="T167" t="str">
            <v>-</v>
          </cell>
          <cell r="U167" t="str">
            <v>200 Pies Cuadrados/Gl</v>
          </cell>
          <cell r="V167" t="str">
            <v>+85</v>
          </cell>
          <cell r="W167" t="str">
            <v>-</v>
          </cell>
          <cell r="X167" t="str">
            <v>12 meses</v>
          </cell>
          <cell r="Y167" t="str">
            <v>SIMCO</v>
          </cell>
          <cell r="Z167" t="str">
            <v>Muebles de Madera.</v>
          </cell>
          <cell r="AA167" t="str">
            <v>-</v>
          </cell>
          <cell r="AB167" t="str">
            <v>-</v>
          </cell>
          <cell r="AC167">
            <v>27922</v>
          </cell>
        </row>
        <row r="168">
          <cell r="A168" t="str">
            <v>SAA 1822</v>
          </cell>
          <cell r="B168" t="str">
            <v>Esmalte Especial Amarillo Ray-O-Vac</v>
          </cell>
          <cell r="C168" t="str">
            <v>Interior-Exterior</v>
          </cell>
          <cell r="D168" t="str">
            <v>Lamina de Hojalata</v>
          </cell>
          <cell r="E168" t="str">
            <v>Limpieza con Solvente</v>
          </cell>
          <cell r="F168" t="str">
            <v>P60G2</v>
          </cell>
          <cell r="G168" t="str">
            <v>9.97 Lbs/Gl</v>
          </cell>
          <cell r="H168" t="str">
            <v>-</v>
          </cell>
          <cell r="I168" t="str">
            <v>61.03%</v>
          </cell>
          <cell r="J168" t="str">
            <v>-</v>
          </cell>
          <cell r="K168" t="str">
            <v>-</v>
          </cell>
          <cell r="L168" t="str">
            <v>46.78%</v>
          </cell>
          <cell r="M168" t="str">
            <v>15"-20" Copa SW #3</v>
          </cell>
          <cell r="N168" t="str">
            <v>Pistola</v>
          </cell>
          <cell r="O168" t="str">
            <v>20"-22" Copa Ford #4</v>
          </cell>
          <cell r="P168" t="str">
            <v>10-15% VMP Nafta</v>
          </cell>
          <cell r="Q168" t="str">
            <v>R1K3 VMP Nafta</v>
          </cell>
          <cell r="R168" t="str">
            <v>1.0-1.5 mills</v>
          </cell>
          <cell r="S168" t="str">
            <v>-</v>
          </cell>
          <cell r="T168" t="str">
            <v>-</v>
          </cell>
          <cell r="U168" t="str">
            <v>725 Pies Cuadrados/Gl</v>
          </cell>
          <cell r="V168" t="str">
            <v>+85</v>
          </cell>
          <cell r="W168" t="str">
            <v>-</v>
          </cell>
          <cell r="X168" t="str">
            <v>12 meses</v>
          </cell>
          <cell r="Y168" t="str">
            <v>IGSAL</v>
          </cell>
          <cell r="Z168" t="str">
            <v>Rotulos de Hojalata</v>
          </cell>
          <cell r="AA168" t="str">
            <v>-</v>
          </cell>
          <cell r="AB168" t="str">
            <v>-</v>
          </cell>
          <cell r="AC168">
            <v>27937</v>
          </cell>
        </row>
        <row r="169">
          <cell r="A169" t="str">
            <v>B69NSA3</v>
          </cell>
          <cell r="B169" t="str">
            <v>Kem Cati Coat Light Brown</v>
          </cell>
          <cell r="C169" t="str">
            <v>Interior</v>
          </cell>
          <cell r="D169" t="str">
            <v xml:space="preserve">Concreto </v>
          </cell>
          <cell r="E169" t="str">
            <v>Limpieza</v>
          </cell>
          <cell r="F169" t="str">
            <v>B69G31</v>
          </cell>
          <cell r="G169" t="str">
            <v>9.80 Lbs/Gl</v>
          </cell>
          <cell r="H169" t="str">
            <v>-</v>
          </cell>
          <cell r="I169" t="str">
            <v>64.74%</v>
          </cell>
          <cell r="J169" t="str">
            <v>-</v>
          </cell>
          <cell r="K169" t="str">
            <v>-</v>
          </cell>
          <cell r="L169" t="str">
            <v>51.47%</v>
          </cell>
          <cell r="M169" t="str">
            <v>10"-15" Copa SW #3</v>
          </cell>
          <cell r="N169" t="str">
            <v>Brocha-Pistola</v>
          </cell>
          <cell r="O169" t="str">
            <v>Brocha-Ninguno, Pistola 20-22" Ford #4</v>
          </cell>
          <cell r="P169" t="str">
            <v>50cc lote/50 cc V66V19</v>
          </cell>
          <cell r="Q169" t="str">
            <v>20% R7K203</v>
          </cell>
          <cell r="R169" t="str">
            <v>1.5 mills</v>
          </cell>
          <cell r="S169" t="str">
            <v>-</v>
          </cell>
          <cell r="T169" t="str">
            <v>-</v>
          </cell>
          <cell r="U169" t="str">
            <v>525 Pies Cuadrados/Gl</v>
          </cell>
          <cell r="V169" t="str">
            <v>85</v>
          </cell>
          <cell r="W169" t="str">
            <v>-</v>
          </cell>
          <cell r="X169" t="str">
            <v>12 meses</v>
          </cell>
          <cell r="Y169" t="str">
            <v>DIDEMA-GUATEMALA</v>
          </cell>
          <cell r="Z169" t="str">
            <v>-</v>
          </cell>
          <cell r="AA169" t="str">
            <v>Para Aplicar Mezclar 50 cc de V66V19 con 50 cc de Lote, Aplicar después de 30 minutos.</v>
          </cell>
          <cell r="AB169" t="str">
            <v>-</v>
          </cell>
          <cell r="AC169">
            <v>27955</v>
          </cell>
        </row>
        <row r="170">
          <cell r="A170" t="str">
            <v>A86W11</v>
          </cell>
          <cell r="B170" t="str">
            <v>Sher Guide Reflector Traffic Paint White</v>
          </cell>
          <cell r="C170" t="str">
            <v>-</v>
          </cell>
          <cell r="D170" t="str">
            <v>Carreteras de Asfalto o Concreto</v>
          </cell>
          <cell r="E170" t="str">
            <v>-</v>
          </cell>
          <cell r="F170" t="str">
            <v>-</v>
          </cell>
          <cell r="G170" t="str">
            <v>13.44 Lbs/Gl</v>
          </cell>
          <cell r="H170" t="str">
            <v>67%</v>
          </cell>
          <cell r="I170" t="str">
            <v>79.25%</v>
          </cell>
          <cell r="J170" t="str">
            <v>37%</v>
          </cell>
          <cell r="K170" t="str">
            <v>-</v>
          </cell>
          <cell r="L170" t="str">
            <v>56.49%</v>
          </cell>
          <cell r="M170" t="str">
            <v>75-85 KU</v>
          </cell>
          <cell r="N170" t="str">
            <v>Con Brocha o máquina</v>
          </cell>
          <cell r="O170" t="str">
            <v>Con Brocha como Viene</v>
          </cell>
          <cell r="P170" t="str">
            <v>De Acuerdo con Tipo de Maquina Aplicadora</v>
          </cell>
          <cell r="Q170" t="str">
            <v>Mezcla 1:1 lSA3/03-17-10</v>
          </cell>
          <cell r="R170" t="str">
            <v>15-20 mills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Mate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>
            <v>28107</v>
          </cell>
        </row>
        <row r="171">
          <cell r="A171" t="str">
            <v>A86WSA7</v>
          </cell>
          <cell r="B171" t="str">
            <v>Sher-Guide Traffic Paint White</v>
          </cell>
          <cell r="C171" t="str">
            <v>-</v>
          </cell>
          <cell r="D171" t="str">
            <v>Carreteras de Asfalto o Concreto</v>
          </cell>
          <cell r="E171" t="str">
            <v>-</v>
          </cell>
          <cell r="F171" t="str">
            <v>-</v>
          </cell>
          <cell r="G171" t="str">
            <v>11.50 Lbs/Gl</v>
          </cell>
          <cell r="H171" t="str">
            <v>52.90%</v>
          </cell>
          <cell r="I171" t="str">
            <v>71.12%</v>
          </cell>
          <cell r="J171" t="str">
            <v>38.0%</v>
          </cell>
          <cell r="K171" t="str">
            <v>-</v>
          </cell>
          <cell r="L171" t="str">
            <v>52.90%</v>
          </cell>
          <cell r="M171" t="str">
            <v>90-95 KU</v>
          </cell>
          <cell r="N171" t="str">
            <v>Con Brocha o máquina</v>
          </cell>
          <cell r="O171" t="str">
            <v>Con Brocha como Viene</v>
          </cell>
          <cell r="P171" t="str">
            <v>De Acuerdo con Tipo de Maquina Aplicadora</v>
          </cell>
          <cell r="Q171" t="str">
            <v>Mezcla 1:1 lSA3/03-17-10</v>
          </cell>
          <cell r="R171" t="str">
            <v>15-20 mills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Mate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>
            <v>28107</v>
          </cell>
        </row>
        <row r="172">
          <cell r="A172" t="str">
            <v>A86Y12</v>
          </cell>
          <cell r="B172" t="str">
            <v>Sher-Guide Reflectorized Yellow Traffic Paint</v>
          </cell>
          <cell r="C172" t="str">
            <v>-</v>
          </cell>
          <cell r="D172" t="str">
            <v>Carreteras de Asfalto o Concreto</v>
          </cell>
          <cell r="E172" t="str">
            <v>-</v>
          </cell>
          <cell r="F172" t="str">
            <v>-</v>
          </cell>
          <cell r="G172" t="str">
            <v>11.30 Lbs/Gl</v>
          </cell>
          <cell r="H172" t="str">
            <v>58%</v>
          </cell>
          <cell r="I172" t="str">
            <v>72%</v>
          </cell>
          <cell r="J172" t="str">
            <v>33.0%</v>
          </cell>
          <cell r="K172" t="str">
            <v>-</v>
          </cell>
          <cell r="L172" t="str">
            <v>51.3%</v>
          </cell>
          <cell r="M172" t="str">
            <v>75-85 KU</v>
          </cell>
          <cell r="N172" t="str">
            <v>Con Brocha o máquina</v>
          </cell>
          <cell r="O172" t="str">
            <v>Con Brocha como Viene</v>
          </cell>
          <cell r="P172" t="str">
            <v>De Acuerdo con Tipo de Maquina Aplicadora</v>
          </cell>
          <cell r="Q172" t="str">
            <v>Mezcla 1:1 lSA3/03-17-10</v>
          </cell>
          <cell r="R172" t="str">
            <v>15-20 mills</v>
          </cell>
          <cell r="S172" t="str">
            <v>-</v>
          </cell>
          <cell r="T172" t="str">
            <v>-</v>
          </cell>
          <cell r="U172" t="str">
            <v>100 metros lineales con 1 galón faja de 4" ancho</v>
          </cell>
          <cell r="V172" t="str">
            <v>Mate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>
            <v>28107</v>
          </cell>
        </row>
        <row r="173">
          <cell r="A173" t="str">
            <v>A86YSA8</v>
          </cell>
          <cell r="B173" t="str">
            <v>Sher-Guide Traffic Paint Yellow</v>
          </cell>
          <cell r="C173" t="str">
            <v>-</v>
          </cell>
          <cell r="D173" t="str">
            <v>Carreteras de Asfalto o Concreto</v>
          </cell>
          <cell r="E173" t="str">
            <v>-</v>
          </cell>
          <cell r="F173" t="str">
            <v>-</v>
          </cell>
          <cell r="G173" t="str">
            <v>11.10 Lbs/Gl</v>
          </cell>
          <cell r="H173" t="str">
            <v>51%</v>
          </cell>
          <cell r="I173" t="str">
            <v>68%</v>
          </cell>
          <cell r="J173" t="str">
            <v>41%</v>
          </cell>
          <cell r="K173" t="str">
            <v>-</v>
          </cell>
          <cell r="L173" t="str">
            <v>50.3%</v>
          </cell>
          <cell r="M173" t="str">
            <v>90-95 KU</v>
          </cell>
          <cell r="N173" t="str">
            <v>Con Brocha o máquina</v>
          </cell>
          <cell r="O173" t="str">
            <v>Con Brocha como Viene</v>
          </cell>
          <cell r="P173" t="str">
            <v>De Acuerdo con Tipo de Maquina Aplicadora</v>
          </cell>
          <cell r="Q173" t="str">
            <v>R1K3 si es necesario</v>
          </cell>
          <cell r="R173" t="str">
            <v>15-20 mills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Mate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>
            <v>28107</v>
          </cell>
        </row>
        <row r="174">
          <cell r="A174" t="str">
            <v>V76SSA1</v>
          </cell>
          <cell r="B174" t="str">
            <v>Sizing Aluminum</v>
          </cell>
          <cell r="C174" t="str">
            <v>-</v>
          </cell>
          <cell r="D174" t="str">
            <v>Lamina</v>
          </cell>
          <cell r="E174" t="str">
            <v>Limpia</v>
          </cell>
          <cell r="F174" t="str">
            <v>-</v>
          </cell>
          <cell r="G174" t="str">
            <v>7.90 Lbs/Gl</v>
          </cell>
          <cell r="H174" t="str">
            <v>21%</v>
          </cell>
          <cell r="I174" t="str">
            <v>12.2%</v>
          </cell>
          <cell r="J174" t="str">
            <v>25%</v>
          </cell>
          <cell r="K174" t="str">
            <v>-</v>
          </cell>
          <cell r="L174" t="str">
            <v>17.8%</v>
          </cell>
          <cell r="M174" t="str">
            <v>50"-60"</v>
          </cell>
          <cell r="N174" t="str">
            <v>Pistola</v>
          </cell>
          <cell r="O174" t="str">
            <v>50"-60"</v>
          </cell>
          <cell r="P174" t="str">
            <v>25% Si Es Necesario</v>
          </cell>
          <cell r="Q174" t="str">
            <v>R2K4         Industrial reducer</v>
          </cell>
          <cell r="R174" t="str">
            <v>-</v>
          </cell>
          <cell r="S174" t="str">
            <v>-</v>
          </cell>
          <cell r="T174" t="str">
            <v>15' a 300°F</v>
          </cell>
          <cell r="U174" t="str">
            <v>-</v>
          </cell>
          <cell r="V174" t="str">
            <v>Full</v>
          </cell>
          <cell r="W174" t="str">
            <v>-</v>
          </cell>
          <cell r="X174" t="str">
            <v>-</v>
          </cell>
          <cell r="Y174" t="str">
            <v>CORLASA</v>
          </cell>
          <cell r="Z174" t="str">
            <v xml:space="preserve">Lamina  </v>
          </cell>
          <cell r="AA174" t="str">
            <v>-</v>
          </cell>
          <cell r="AB174" t="str">
            <v>-</v>
          </cell>
          <cell r="AC174">
            <v>28808</v>
          </cell>
        </row>
        <row r="175">
          <cell r="A175" t="str">
            <v>V76VSA9</v>
          </cell>
          <cell r="B175" t="str">
            <v xml:space="preserve">Wet Ink Varnish </v>
          </cell>
          <cell r="C175" t="str">
            <v>-</v>
          </cell>
          <cell r="D175" t="str">
            <v>Hojalata</v>
          </cell>
          <cell r="E175" t="str">
            <v>Limpia</v>
          </cell>
          <cell r="F175" t="str">
            <v>-</v>
          </cell>
          <cell r="G175" t="str">
            <v>7.63 Lbs/Gl</v>
          </cell>
          <cell r="H175" t="str">
            <v>44.97%</v>
          </cell>
          <cell r="I175" t="str">
            <v>-</v>
          </cell>
          <cell r="J175" t="str">
            <v>70.9%</v>
          </cell>
          <cell r="K175" t="str">
            <v>-</v>
          </cell>
          <cell r="L175" t="str">
            <v>70.24%</v>
          </cell>
          <cell r="M175" t="str">
            <v>36"-42"</v>
          </cell>
          <cell r="N175" t="str">
            <v>Roller Coating</v>
          </cell>
          <cell r="O175" t="str">
            <v>36"-42"</v>
          </cell>
          <cell r="P175" t="str">
            <v>03-32-10 Si es Necesario</v>
          </cell>
          <cell r="Q175" t="str">
            <v>03-32-10</v>
          </cell>
          <cell r="R175" t="str">
            <v>-</v>
          </cell>
          <cell r="S175" t="str">
            <v>-</v>
          </cell>
          <cell r="T175" t="str">
            <v>160°C 12 Minutos</v>
          </cell>
          <cell r="U175" t="str">
            <v>-</v>
          </cell>
          <cell r="V175" t="str">
            <v>90</v>
          </cell>
          <cell r="W175" t="str">
            <v>F-H</v>
          </cell>
          <cell r="X175" t="str">
            <v>6 meses</v>
          </cell>
          <cell r="Y175" t="str">
            <v>CORLASA</v>
          </cell>
          <cell r="Z175" t="str">
            <v>-</v>
          </cell>
          <cell r="AA175" t="str">
            <v>-</v>
          </cell>
          <cell r="AB175" t="str">
            <v>-</v>
          </cell>
          <cell r="AC175">
            <v>28808</v>
          </cell>
        </row>
        <row r="176">
          <cell r="A176" t="str">
            <v>SAA 2049</v>
          </cell>
          <cell r="B176" t="str">
            <v>Collapsible Tube Enamel White</v>
          </cell>
          <cell r="C176" t="str">
            <v>Interior</v>
          </cell>
          <cell r="D176" t="str">
            <v>Tubos de Estaño y Plomo</v>
          </cell>
          <cell r="E176" t="str">
            <v>Limpieza</v>
          </cell>
          <cell r="F176" t="str">
            <v>Ninguno</v>
          </cell>
          <cell r="G176" t="str">
            <v>10.65 Lbs/Gl</v>
          </cell>
          <cell r="H176" t="str">
            <v>30%</v>
          </cell>
          <cell r="I176" t="str">
            <v>53.80%</v>
          </cell>
          <cell r="J176" t="str">
            <v>33.80%</v>
          </cell>
          <cell r="K176" t="str">
            <v>27.70%</v>
          </cell>
          <cell r="L176" t="str">
            <v>33.89%</v>
          </cell>
          <cell r="M176" t="str">
            <v>130-135 KU</v>
          </cell>
          <cell r="N176" t="str">
            <v>Especial</v>
          </cell>
          <cell r="O176" t="str">
            <v>130-135 KU</v>
          </cell>
          <cell r="P176" t="str">
            <v>Ninguno</v>
          </cell>
          <cell r="Q176" t="str">
            <v>Ninguno</v>
          </cell>
          <cell r="R176" t="str">
            <v>-</v>
          </cell>
          <cell r="S176" t="str">
            <v>-</v>
          </cell>
          <cell r="T176" t="str">
            <v>6 Min a 300°F</v>
          </cell>
          <cell r="U176" t="str">
            <v>-</v>
          </cell>
          <cell r="V176" t="str">
            <v>80 Minimo</v>
          </cell>
          <cell r="W176" t="str">
            <v>F</v>
          </cell>
          <cell r="X176" t="str">
            <v>12 meses</v>
          </cell>
          <cell r="Y176" t="str">
            <v>Colgate Palmolive</v>
          </cell>
          <cell r="Z176" t="str">
            <v>Pasta Dental</v>
          </cell>
          <cell r="AA176" t="str">
            <v>-</v>
          </cell>
          <cell r="AB176" t="str">
            <v>-</v>
          </cell>
          <cell r="AC176">
            <v>29430</v>
          </cell>
        </row>
        <row r="177">
          <cell r="A177" t="str">
            <v>SAA 3155</v>
          </cell>
          <cell r="B177" t="str">
            <v>Recubrimiento Blanco Para Cartón</v>
          </cell>
          <cell r="C177" t="str">
            <v>Interior</v>
          </cell>
          <cell r="D177" t="str">
            <v>Carton</v>
          </cell>
          <cell r="E177" t="str">
            <v>Ninguna</v>
          </cell>
          <cell r="F177" t="str">
            <v>-</v>
          </cell>
          <cell r="G177" t="str">
            <v>11.25 Lbs/Gl</v>
          </cell>
          <cell r="H177" t="str">
            <v>33.37%</v>
          </cell>
          <cell r="I177" t="str">
            <v>49.84%</v>
          </cell>
          <cell r="J177" t="str">
            <v>16.47</v>
          </cell>
          <cell r="K177" t="str">
            <v>40.90%</v>
          </cell>
          <cell r="L177" t="str">
            <v>33.92%</v>
          </cell>
          <cell r="M177" t="str">
            <v>25-30 seg Copa Zanh #2</v>
          </cell>
          <cell r="N177" t="str">
            <v>Cuchilla de Hule</v>
          </cell>
          <cell r="O177" t="str">
            <v>20-25 seg. Copa Zanh #2</v>
          </cell>
          <cell r="P177" t="str">
            <v>2-3% con Agua</v>
          </cell>
          <cell r="Q177" t="str">
            <v>Agua</v>
          </cell>
          <cell r="R177" t="str">
            <v>-</v>
          </cell>
          <cell r="S177" t="str">
            <v>Con Rodillo Caliente 150°C</v>
          </cell>
          <cell r="T177" t="str">
            <v>1 Minuto a 150°C</v>
          </cell>
          <cell r="U177" t="str">
            <v>-</v>
          </cell>
          <cell r="V177" t="str">
            <v>Mate</v>
          </cell>
          <cell r="W177" t="str">
            <v>-</v>
          </cell>
          <cell r="X177" t="str">
            <v>4-6 Meses</v>
          </cell>
          <cell r="Y177" t="str">
            <v>-</v>
          </cell>
          <cell r="Z177" t="str">
            <v>Cajas de Cartón</v>
          </cell>
          <cell r="AA177" t="str">
            <v>-</v>
          </cell>
          <cell r="AB177" t="str">
            <v>-</v>
          </cell>
          <cell r="AC177">
            <v>31404</v>
          </cell>
        </row>
        <row r="178">
          <cell r="A178" t="str">
            <v>SAA 3386</v>
          </cell>
          <cell r="B178" t="str">
            <v>Pintura de Trafico Blanca TTP-115E Tipo III</v>
          </cell>
          <cell r="C178" t="str">
            <v>Interior-Exterior</v>
          </cell>
          <cell r="D178" t="str">
            <v>Asfalto y Concreto</v>
          </cell>
          <cell r="E178" t="str">
            <v>Limpia, Seca y Libre de Exudación de Asfalto</v>
          </cell>
          <cell r="F178" t="str">
            <v>Ninguno</v>
          </cell>
          <cell r="G178" t="str">
            <v>19.47 Lbs/Gl</v>
          </cell>
          <cell r="H178" t="str">
            <v>57%</v>
          </cell>
          <cell r="I178" t="str">
            <v>75%</v>
          </cell>
          <cell r="J178" t="str">
            <v>43%</v>
          </cell>
          <cell r="K178" t="str">
            <v>58.7%</v>
          </cell>
          <cell r="L178" t="str">
            <v>49.4%</v>
          </cell>
          <cell r="M178" t="str">
            <v>70-80 KU (Stormer)</v>
          </cell>
          <cell r="N178" t="str">
            <v>Brocha, Rodillo Industrial, Máquina Franjeadora, Etc.</v>
          </cell>
          <cell r="O178" t="str">
            <v>Lista para Usarse con Brocha y Rodillo</v>
          </cell>
          <cell r="P178" t="str">
            <v>Para usar con Máquina Franjeadora, Reduzca con 1/8 de Galón</v>
          </cell>
          <cell r="Q178" t="str">
            <v>R2K4         Industrial reducer</v>
          </cell>
          <cell r="R178" t="str">
            <v>4-5 mills/Pulg.</v>
          </cell>
          <cell r="S178" t="str">
            <v>5-10 Minutos. No transitar antes de 20 Minutos</v>
          </cell>
          <cell r="T178" t="str">
            <v>-</v>
          </cell>
          <cell r="U178" t="str">
            <v>45-50 Mts Cuadrados/Gl</v>
          </cell>
          <cell r="V178" t="str">
            <v>Mate 1-2</v>
          </cell>
          <cell r="W178" t="str">
            <v>2B</v>
          </cell>
          <cell r="X178" t="str">
            <v>12 meses</v>
          </cell>
          <cell r="Y178" t="str">
            <v>EDISAL</v>
          </cell>
          <cell r="Z178" t="str">
            <v>-</v>
          </cell>
          <cell r="AA178" t="str">
            <v>-</v>
          </cell>
          <cell r="AB178" t="str">
            <v>José A. Romero Valle.</v>
          </cell>
          <cell r="AC178">
            <v>32660</v>
          </cell>
        </row>
        <row r="179">
          <cell r="A179" t="str">
            <v>SAA 3387</v>
          </cell>
          <cell r="B179" t="str">
            <v>Pintura de Trafico Amarilla TTP-115E Tipo III</v>
          </cell>
          <cell r="C179" t="str">
            <v>Interior-Exterior</v>
          </cell>
          <cell r="D179" t="str">
            <v>Asfalto y Concreto</v>
          </cell>
          <cell r="E179" t="str">
            <v>Limpia, Seca y Libre de Exudación de Asfalto</v>
          </cell>
          <cell r="F179" t="str">
            <v>Ninguno</v>
          </cell>
          <cell r="G179" t="str">
            <v>19.53 Lbs/Gl</v>
          </cell>
          <cell r="H179" t="str">
            <v>57%</v>
          </cell>
          <cell r="I179" t="str">
            <v>75%</v>
          </cell>
          <cell r="J179" t="str">
            <v>43%</v>
          </cell>
          <cell r="K179" t="str">
            <v>49%</v>
          </cell>
          <cell r="L179" t="str">
            <v>48%</v>
          </cell>
          <cell r="M179" t="str">
            <v>70-80 KU (Stormer)</v>
          </cell>
          <cell r="N179" t="str">
            <v>Brocha, Rodillo Industrial, Máquina Franjeadora, Etc.</v>
          </cell>
          <cell r="O179" t="str">
            <v>Lista para Usarse con Brocha y Rodillo</v>
          </cell>
          <cell r="P179" t="str">
            <v>Para usar con Máquina Franjeadora, Reduzca con 1/8 de Galón</v>
          </cell>
          <cell r="Q179" t="str">
            <v>R2K4         Industrial reducer</v>
          </cell>
          <cell r="R179" t="str">
            <v>4-5 mills/Pulg.</v>
          </cell>
          <cell r="S179" t="str">
            <v>5-10 Minutos. No transitar antes de 20 Minutos</v>
          </cell>
          <cell r="T179" t="str">
            <v>-</v>
          </cell>
          <cell r="U179" t="str">
            <v>45-50 Mts Cuadrados/Gl</v>
          </cell>
          <cell r="V179" t="str">
            <v>Mate 1-2</v>
          </cell>
          <cell r="W179" t="str">
            <v>2B</v>
          </cell>
          <cell r="X179" t="str">
            <v>12 meses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José A. Romero Valle.</v>
          </cell>
          <cell r="AC179">
            <v>32660</v>
          </cell>
        </row>
        <row r="180">
          <cell r="A180" t="str">
            <v>SAA 3388</v>
          </cell>
          <cell r="B180" t="str">
            <v>Pintura de Tráfico Blanca TTP-1952 B</v>
          </cell>
          <cell r="C180" t="str">
            <v>Interior-Exterior</v>
          </cell>
          <cell r="D180" t="str">
            <v>Asfalto y Concreto</v>
          </cell>
          <cell r="E180" t="str">
            <v>Limpia, Seca y Libre de Exudación de Asfalto</v>
          </cell>
          <cell r="F180" t="str">
            <v>Ninguno</v>
          </cell>
          <cell r="G180" t="str">
            <v>12.41 Lbs/Gl</v>
          </cell>
          <cell r="H180" t="str">
            <v>50%</v>
          </cell>
          <cell r="I180" t="str">
            <v>66.5%</v>
          </cell>
          <cell r="J180" t="str">
            <v>33%</v>
          </cell>
          <cell r="K180" t="str">
            <v>-</v>
          </cell>
          <cell r="L180" t="str">
            <v>51%</v>
          </cell>
          <cell r="M180" t="str">
            <v>75-85 KU (Stormer)</v>
          </cell>
          <cell r="N180" t="str">
            <v>Brocha, Rodillo Industrial, Máquina Franjeadora, Etc.</v>
          </cell>
          <cell r="O180" t="str">
            <v>Lista para Usarse con Brocha y Rodillo</v>
          </cell>
          <cell r="P180" t="str">
            <v>Para usar con Máquina Franjeadora, Reduzca con 1/8 y 1/4de Galón</v>
          </cell>
          <cell r="Q180" t="str">
            <v>Agua</v>
          </cell>
          <cell r="R180" t="str">
            <v>4-5 mills/Pulg.</v>
          </cell>
          <cell r="S180" t="str">
            <v>30 Minutos. No transitar antes de 1 Hora.</v>
          </cell>
          <cell r="T180" t="str">
            <v>-</v>
          </cell>
          <cell r="U180" t="str">
            <v>45-50 Mts Cuadrados/Gl</v>
          </cell>
          <cell r="V180" t="str">
            <v>Mate 1-2</v>
          </cell>
          <cell r="W180" t="str">
            <v>5B-4B</v>
          </cell>
          <cell r="X180" t="str">
            <v>12 meses</v>
          </cell>
          <cell r="Y180" t="str">
            <v>EDISAL</v>
          </cell>
          <cell r="Z180" t="str">
            <v>-</v>
          </cell>
          <cell r="AA180" t="str">
            <v>-</v>
          </cell>
          <cell r="AB180" t="str">
            <v>José A. Romero Valle.</v>
          </cell>
          <cell r="AC180">
            <v>32660</v>
          </cell>
        </row>
        <row r="181">
          <cell r="A181" t="str">
            <v>SAA 3389</v>
          </cell>
          <cell r="B181" t="str">
            <v>Pintura de Tráfico Amarilla TTP-1952 B</v>
          </cell>
          <cell r="C181" t="str">
            <v>Interior-Exterior</v>
          </cell>
          <cell r="D181" t="str">
            <v>Asfalto y Concreto</v>
          </cell>
          <cell r="E181" t="str">
            <v>Limpia, Seca y Libre de Exudación de Asfalto</v>
          </cell>
          <cell r="F181" t="str">
            <v>Ninguno</v>
          </cell>
          <cell r="G181" t="str">
            <v>12.88 Lbs/Gl</v>
          </cell>
          <cell r="H181" t="str">
            <v>47%</v>
          </cell>
          <cell r="I181" t="str">
            <v>63%</v>
          </cell>
          <cell r="J181" t="str">
            <v>32.9%</v>
          </cell>
          <cell r="K181" t="str">
            <v>-</v>
          </cell>
          <cell r="L181" t="str">
            <v>50%</v>
          </cell>
          <cell r="M181" t="str">
            <v>75-85 KU (Stormer)</v>
          </cell>
          <cell r="N181" t="str">
            <v>Brocha, Rodillo Industrial, Máquina Franjeadora, Etc.</v>
          </cell>
          <cell r="O181" t="str">
            <v>Lista para Usarse con Brocha y Rodillo</v>
          </cell>
          <cell r="P181" t="str">
            <v>Para usar con Máquina Franjeadora, Reduzca con 1/8 y 1/4de Galón</v>
          </cell>
          <cell r="Q181" t="str">
            <v>Agua</v>
          </cell>
          <cell r="R181" t="str">
            <v>4-5 mills/Pulg.</v>
          </cell>
          <cell r="S181" t="str">
            <v>30 Minutos. No transitar antes de 1 Hora.</v>
          </cell>
          <cell r="T181" t="str">
            <v>-</v>
          </cell>
          <cell r="U181" t="str">
            <v>45-50 Mts Cuadrados/Gl</v>
          </cell>
          <cell r="V181" t="str">
            <v>Mate 1-2</v>
          </cell>
          <cell r="W181" t="str">
            <v>5B-4B</v>
          </cell>
          <cell r="X181" t="str">
            <v>12 meses</v>
          </cell>
          <cell r="Y181" t="str">
            <v>EDISAL</v>
          </cell>
          <cell r="Z181" t="str">
            <v>-</v>
          </cell>
          <cell r="AA181" t="str">
            <v>-</v>
          </cell>
          <cell r="AB181" t="str">
            <v>José A. Romero Valle.</v>
          </cell>
          <cell r="AC181">
            <v>32660</v>
          </cell>
        </row>
        <row r="182">
          <cell r="A182" t="str">
            <v>SAA 3390</v>
          </cell>
          <cell r="B182" t="str">
            <v>Pintura de Tráfico Blanco TTP-85E</v>
          </cell>
          <cell r="C182" t="str">
            <v>Interior-Exterior</v>
          </cell>
          <cell r="D182" t="str">
            <v>Asfalto y Concreto</v>
          </cell>
          <cell r="E182" t="str">
            <v>Limpia, Seca y Libre de Exudación de Asfalto</v>
          </cell>
          <cell r="F182" t="str">
            <v>Ninguno</v>
          </cell>
          <cell r="G182" t="str">
            <v>11.42 Lbs/Gl</v>
          </cell>
          <cell r="H182" t="str">
            <v>53%</v>
          </cell>
          <cell r="I182" t="str">
            <v>71.3%</v>
          </cell>
          <cell r="J182" t="str">
            <v>40%</v>
          </cell>
          <cell r="K182" t="str">
            <v>-</v>
          </cell>
          <cell r="L182" t="str">
            <v>52.52%</v>
          </cell>
          <cell r="M182" t="str">
            <v>70-80 KU (Stormer)</v>
          </cell>
          <cell r="N182" t="str">
            <v>Brocha, Rodillo Industrial, Máquina Franjeadora, Etc.</v>
          </cell>
          <cell r="O182" t="str">
            <v>Lista para Usarse con Brocha y Rodillo</v>
          </cell>
          <cell r="P182" t="str">
            <v>Para usar con Máquina Franjeadora, Reduzca con 1/8 y 1/4de Galón</v>
          </cell>
          <cell r="Q182" t="str">
            <v>R1K3 VM&amp;P Nafta</v>
          </cell>
          <cell r="R182" t="str">
            <v>4-5 mills/Pulg.</v>
          </cell>
          <cell r="S182" t="str">
            <v>15-20 Minutos. No transitar Antes de 30 Minutos</v>
          </cell>
          <cell r="T182" t="str">
            <v>-</v>
          </cell>
          <cell r="U182" t="str">
            <v>40-45 Mts Cuadrados/Gl/Mano</v>
          </cell>
          <cell r="V182" t="str">
            <v>Mate 1-2</v>
          </cell>
          <cell r="W182" t="str">
            <v>2B</v>
          </cell>
          <cell r="X182" t="str">
            <v>12 meses a 77°F y 50-55% de Humedad Relativa</v>
          </cell>
          <cell r="Y182" t="str">
            <v>EDISAL</v>
          </cell>
          <cell r="Z182" t="str">
            <v>-</v>
          </cell>
          <cell r="AA182" t="str">
            <v>-</v>
          </cell>
          <cell r="AB182" t="str">
            <v>José A. Romero Valle.</v>
          </cell>
          <cell r="AC182">
            <v>32660</v>
          </cell>
        </row>
        <row r="183">
          <cell r="A183" t="str">
            <v>SAA 3391</v>
          </cell>
          <cell r="B183" t="str">
            <v>Pintura de Tráfico Amarilla TTP-85E</v>
          </cell>
          <cell r="C183" t="str">
            <v>Interior-Exterior</v>
          </cell>
          <cell r="D183" t="str">
            <v>Asfalto y Concreto</v>
          </cell>
          <cell r="E183" t="str">
            <v>Limpia, Seca y Libre de Exudación de Asfalto</v>
          </cell>
          <cell r="F183" t="str">
            <v>Ninguno</v>
          </cell>
          <cell r="G183" t="str">
            <v>11.69 Lbs/Gl</v>
          </cell>
          <cell r="H183" t="str">
            <v>53.7%</v>
          </cell>
          <cell r="I183" t="str">
            <v>72%</v>
          </cell>
          <cell r="J183" t="str">
            <v>40%</v>
          </cell>
          <cell r="K183" t="str">
            <v>-</v>
          </cell>
          <cell r="L183" t="str">
            <v>52.6%</v>
          </cell>
          <cell r="M183" t="str">
            <v>70-80 KU (Stormer)</v>
          </cell>
          <cell r="N183" t="str">
            <v>Brocha, Rodillo Industrial, Máquina Franjeadora, Etc.</v>
          </cell>
          <cell r="O183" t="str">
            <v>Lista para Usarse con Brocha y Rodillo</v>
          </cell>
          <cell r="P183" t="str">
            <v>Para usar con Máquina Franjeadora, Reduzca con 1/8 y 1/4de Galón</v>
          </cell>
          <cell r="Q183" t="str">
            <v>R1K3 VM&amp;P Nafta</v>
          </cell>
          <cell r="R183" t="str">
            <v>4-5 mills/Pulg.</v>
          </cell>
          <cell r="S183" t="str">
            <v>15-20 Minutos. No transitar Antes de 30 Minutos</v>
          </cell>
          <cell r="T183" t="str">
            <v>-</v>
          </cell>
          <cell r="U183" t="str">
            <v>40-45 Mts Cuadrados/Gl/Mano</v>
          </cell>
          <cell r="V183" t="str">
            <v>Mate 1-2</v>
          </cell>
          <cell r="W183" t="str">
            <v>2B</v>
          </cell>
          <cell r="X183" t="str">
            <v>12 meses a 77°F y 50-55% de Humedad Relativa</v>
          </cell>
          <cell r="Y183" t="str">
            <v>EDISAL</v>
          </cell>
          <cell r="Z183" t="str">
            <v>-</v>
          </cell>
          <cell r="AA183" t="str">
            <v>-</v>
          </cell>
          <cell r="AB183" t="str">
            <v>José A. Romero Valle.</v>
          </cell>
          <cell r="AC183">
            <v>32660</v>
          </cell>
        </row>
        <row r="184">
          <cell r="A184" t="str">
            <v>SAA 3507</v>
          </cell>
          <cell r="B184" t="str">
            <v>Collapsible Tube Enamel White</v>
          </cell>
          <cell r="C184" t="str">
            <v>Interior</v>
          </cell>
          <cell r="D184" t="str">
            <v>Tubos de Estaño y Aluminio</v>
          </cell>
          <cell r="E184" t="str">
            <v>Limpieza</v>
          </cell>
          <cell r="F184" t="str">
            <v>Ninguno</v>
          </cell>
          <cell r="G184" t="str">
            <v>11.34 Lbs/Gl</v>
          </cell>
          <cell r="H184" t="str">
            <v>14.83%</v>
          </cell>
          <cell r="I184" t="str">
            <v>61.34%</v>
          </cell>
          <cell r="J184" t="str">
            <v>54.61%</v>
          </cell>
          <cell r="K184" t="str">
            <v>30.29%</v>
          </cell>
          <cell r="L184" t="str">
            <v>40.15%</v>
          </cell>
          <cell r="M184" t="str">
            <v>6000-7000 Cps</v>
          </cell>
          <cell r="N184" t="str">
            <v>Especial</v>
          </cell>
          <cell r="O184" t="str">
            <v>6000-7000 Cps</v>
          </cell>
          <cell r="P184" t="str">
            <v>Ninguno</v>
          </cell>
          <cell r="Q184" t="str">
            <v>Ninguno</v>
          </cell>
          <cell r="R184" t="str">
            <v>1.0-1.2 mills</v>
          </cell>
          <cell r="S184" t="str">
            <v>Al Horno</v>
          </cell>
          <cell r="T184" t="str">
            <v>3.5 Min a 300°F</v>
          </cell>
          <cell r="U184" t="str">
            <v>931.44 Pies Cuadrados/Gl</v>
          </cell>
          <cell r="V184" t="str">
            <v>80 Minimo</v>
          </cell>
          <cell r="W184" t="str">
            <v>F</v>
          </cell>
          <cell r="X184" t="str">
            <v>12 meses</v>
          </cell>
          <cell r="Y184" t="str">
            <v>ENVASA Costa Rica.</v>
          </cell>
          <cell r="Z184" t="str">
            <v>-</v>
          </cell>
          <cell r="AA184" t="str">
            <v>-</v>
          </cell>
          <cell r="AB184" t="str">
            <v>-</v>
          </cell>
          <cell r="AC184">
            <v>33032</v>
          </cell>
        </row>
        <row r="185">
          <cell r="A185" t="str">
            <v>SAA 3543</v>
          </cell>
          <cell r="B185" t="str">
            <v>Acrylic Metal Lacquer</v>
          </cell>
          <cell r="C185" t="str">
            <v>Interior</v>
          </cell>
          <cell r="D185" t="str">
            <v>Hierro-Acero</v>
          </cell>
          <cell r="E185" t="str">
            <v>Limpiar con solvente</v>
          </cell>
          <cell r="F185" t="str">
            <v>Ninguno</v>
          </cell>
          <cell r="G185" t="str">
            <v>7.47 Lbs/Gl</v>
          </cell>
          <cell r="H185" t="str">
            <v>-</v>
          </cell>
          <cell r="I185" t="str">
            <v>20.5%</v>
          </cell>
          <cell r="J185" t="str">
            <v>60%</v>
          </cell>
          <cell r="K185" t="str">
            <v>-</v>
          </cell>
          <cell r="L185" t="str">
            <v>13.3%</v>
          </cell>
          <cell r="M185" t="str">
            <v>35"-40" Copa SW #3</v>
          </cell>
          <cell r="N185" t="str">
            <v>Inmersión</v>
          </cell>
          <cell r="O185" t="str">
            <v>25"-40" Copa SW #3</v>
          </cell>
          <cell r="P185" t="str">
            <v>Ninguno</v>
          </cell>
          <cell r="Q185" t="str">
            <v>Por inmersión Ninguno. Pistola 25% con R7K203</v>
          </cell>
          <cell r="R185" t="str">
            <v>-</v>
          </cell>
          <cell r="S185" t="str">
            <v>5 Minutos</v>
          </cell>
          <cell r="T185" t="str">
            <v>-</v>
          </cell>
          <cell r="U185" t="str">
            <v>-</v>
          </cell>
          <cell r="V185" t="str">
            <v>90-93</v>
          </cell>
          <cell r="W185" t="str">
            <v>-</v>
          </cell>
          <cell r="Y185" t="str">
            <v>VIDRI S.A</v>
          </cell>
          <cell r="Z185" t="str">
            <v>Azadones, Picos y Palas</v>
          </cell>
          <cell r="AA185" t="str">
            <v>-</v>
          </cell>
          <cell r="AB185" t="str">
            <v>-</v>
          </cell>
          <cell r="AC185">
            <v>33105</v>
          </cell>
        </row>
        <row r="186">
          <cell r="A186" t="str">
            <v>SAA 3544</v>
          </cell>
          <cell r="B186" t="str">
            <v>Sherwood Walnut Stain Concentrate</v>
          </cell>
          <cell r="C186" t="str">
            <v>Interior</v>
          </cell>
          <cell r="D186" t="str">
            <v>Madera</v>
          </cell>
          <cell r="E186" t="str">
            <v>Madera Lijada</v>
          </cell>
          <cell r="F186" t="str">
            <v>Ninguno</v>
          </cell>
          <cell r="G186" t="str">
            <v>10.17 Lbs/Gl</v>
          </cell>
          <cell r="H186" t="str">
            <v>78.7%</v>
          </cell>
          <cell r="I186" t="str">
            <v>51.44%</v>
          </cell>
          <cell r="J186" t="str">
            <v>52%</v>
          </cell>
          <cell r="K186" t="str">
            <v>50.6%</v>
          </cell>
          <cell r="L186" t="str">
            <v>24.25%</v>
          </cell>
          <cell r="M186" t="str">
            <v>13"-16" Copa Ford #4</v>
          </cell>
          <cell r="N186" t="str">
            <v>Brocha o Wipe</v>
          </cell>
          <cell r="O186" t="str">
            <v>13"-16" Copa Ford #4</v>
          </cell>
          <cell r="P186" t="str">
            <v>Ninguno</v>
          </cell>
          <cell r="Q186" t="str">
            <v>Ninguno</v>
          </cell>
          <cell r="R186" t="str">
            <v>-</v>
          </cell>
          <cell r="S186" t="str">
            <v>1 Hora</v>
          </cell>
          <cell r="T186" t="str">
            <v>-</v>
          </cell>
          <cell r="U186" t="str">
            <v>-</v>
          </cell>
          <cell r="V186" t="str">
            <v>-</v>
          </cell>
          <cell r="W186" t="str">
            <v>-</v>
          </cell>
          <cell r="X186" t="str">
            <v>-</v>
          </cell>
          <cell r="Y186" t="str">
            <v>MAYMO (Guatemala)</v>
          </cell>
          <cell r="Z186" t="str">
            <v>Muebles de Madera.</v>
          </cell>
          <cell r="AA186" t="str">
            <v>-</v>
          </cell>
          <cell r="AB186" t="str">
            <v>-</v>
          </cell>
          <cell r="AC186">
            <v>33109</v>
          </cell>
        </row>
        <row r="187">
          <cell r="A187" t="str">
            <v>G78</v>
          </cell>
          <cell r="B187" t="str">
            <v>Linea Permaclad 1700</v>
          </cell>
          <cell r="C187" t="str">
            <v>Interior-Exterior</v>
          </cell>
          <cell r="D187" t="str">
            <v>Lamina Galvanizada</v>
          </cell>
          <cell r="E187" t="str">
            <v>Limpia con Solvente</v>
          </cell>
          <cell r="F187" t="str">
            <v>Super Clad Primer P66YC1</v>
          </cell>
          <cell r="G187" t="str">
            <v>9.40 Lbs/Gl</v>
          </cell>
          <cell r="H187" t="str">
            <v>19.35%</v>
          </cell>
          <cell r="I187" t="str">
            <v>51.96%</v>
          </cell>
          <cell r="J187" t="str">
            <v>55%</v>
          </cell>
          <cell r="K187" t="str">
            <v>9.95%</v>
          </cell>
          <cell r="L187" t="str">
            <v>38.3%</v>
          </cell>
          <cell r="M187" t="str">
            <v>30"-35" Copa SW #3</v>
          </cell>
          <cell r="N187" t="str">
            <v>Pistola</v>
          </cell>
          <cell r="O187" t="str">
            <v>15"-18" Copa Ford #4</v>
          </cell>
          <cell r="P187" t="str">
            <v>15-20% con R2K4</v>
          </cell>
          <cell r="Q187" t="str">
            <v>R2K4         Industrial reducer</v>
          </cell>
          <cell r="R187" t="str">
            <v>0.8 mills</v>
          </cell>
          <cell r="S187" t="str">
            <v>Horno</v>
          </cell>
          <cell r="T187" t="str">
            <v>un minuto a 450°F</v>
          </cell>
          <cell r="U187" t="str">
            <v>79 Mts Cuadrados/Gl a 0.8 mills</v>
          </cell>
          <cell r="V187" t="str">
            <v>85-90</v>
          </cell>
          <cell r="W187" t="str">
            <v>H-2H</v>
          </cell>
          <cell r="X187" t="str">
            <v>-</v>
          </cell>
          <cell r="Y187" t="str">
            <v>PROFESAL</v>
          </cell>
          <cell r="Z187" t="str">
            <v>Laminas Galvanizadas Esmaltadas</v>
          </cell>
          <cell r="AA187" t="str">
            <v>-</v>
          </cell>
          <cell r="AB187" t="str">
            <v>-</v>
          </cell>
          <cell r="AC187">
            <v>33119</v>
          </cell>
        </row>
        <row r="188">
          <cell r="A188" t="str">
            <v>P66YC1 (1)</v>
          </cell>
          <cell r="B188" t="str">
            <v>Superclad Primer</v>
          </cell>
          <cell r="C188" t="str">
            <v>Primer (Interior-Exterior)</v>
          </cell>
          <cell r="D188" t="str">
            <v>Lamina Galvanizada</v>
          </cell>
          <cell r="E188" t="str">
            <v>Limpia con Solvente</v>
          </cell>
          <cell r="F188" t="str">
            <v>Ninguno</v>
          </cell>
          <cell r="G188" t="str">
            <v>9.4 Lbs/Gl</v>
          </cell>
          <cell r="H188" t="str">
            <v>42.8%</v>
          </cell>
          <cell r="I188" t="str">
            <v>42.6%</v>
          </cell>
          <cell r="J188" t="str">
            <v>24.45%</v>
          </cell>
          <cell r="K188" t="str">
            <v>19.2%</v>
          </cell>
          <cell r="L188" t="str">
            <v>27.0%</v>
          </cell>
          <cell r="M188" t="str">
            <v>25"-35" Copa SW #3</v>
          </cell>
          <cell r="N188" t="str">
            <v>Pistola</v>
          </cell>
          <cell r="O188" t="str">
            <v>13"-17" Copa Ford #4</v>
          </cell>
          <cell r="P188" t="str">
            <v>100% con R7KSA15</v>
          </cell>
          <cell r="Q188" t="str">
            <v>Thinner Metasa R7KSA15</v>
          </cell>
          <cell r="R188" t="str">
            <v>0.13-0.17 mills</v>
          </cell>
          <cell r="S188" t="str">
            <v>Horno</v>
          </cell>
          <cell r="T188" t="str">
            <v>1 minuto a 450°F</v>
          </cell>
          <cell r="U188" t="str">
            <v>268.3 Mts Cuadrados/Gl a 0.13 mills</v>
          </cell>
          <cell r="V188" t="str">
            <v>-</v>
          </cell>
          <cell r="W188" t="str">
            <v>-</v>
          </cell>
          <cell r="X188" t="str">
            <v>-</v>
          </cell>
          <cell r="Y188" t="str">
            <v>PROFESAL</v>
          </cell>
          <cell r="Z188" t="str">
            <v>Laminas Galvanizadas Esmaltadas</v>
          </cell>
          <cell r="AA188" t="str">
            <v>-</v>
          </cell>
          <cell r="AB188" t="str">
            <v>-</v>
          </cell>
          <cell r="AC188">
            <v>33119</v>
          </cell>
        </row>
        <row r="189">
          <cell r="A189" t="str">
            <v>R7KSA13</v>
          </cell>
          <cell r="B189" t="str">
            <v>Thinner Especial</v>
          </cell>
          <cell r="C189" t="str">
            <v>Interior</v>
          </cell>
          <cell r="D189" t="str">
            <v>-</v>
          </cell>
          <cell r="E189" t="str">
            <v>-</v>
          </cell>
          <cell r="F189" t="str">
            <v>-</v>
          </cell>
          <cell r="G189" t="str">
            <v>6.68 Lbs/Gl</v>
          </cell>
          <cell r="H189" t="str">
            <v>-</v>
          </cell>
          <cell r="I189" t="str">
            <v>-</v>
          </cell>
          <cell r="J189" t="str">
            <v>-</v>
          </cell>
          <cell r="K189" t="str">
            <v>-</v>
          </cell>
          <cell r="L189" t="str">
            <v>-</v>
          </cell>
          <cell r="M189" t="str">
            <v>-</v>
          </cell>
          <cell r="N189" t="str">
            <v>-</v>
          </cell>
          <cell r="O189" t="str">
            <v>-</v>
          </cell>
          <cell r="P189" t="str">
            <v>-</v>
          </cell>
          <cell r="Q189" t="str">
            <v>-</v>
          </cell>
          <cell r="R189" t="str">
            <v>-</v>
          </cell>
          <cell r="S189" t="str">
            <v>-</v>
          </cell>
          <cell r="T189" t="str">
            <v>-</v>
          </cell>
          <cell r="U189" t="str">
            <v>-</v>
          </cell>
          <cell r="V189" t="str">
            <v>-</v>
          </cell>
          <cell r="W189" t="str">
            <v>-</v>
          </cell>
          <cell r="X189" t="str">
            <v>-</v>
          </cell>
          <cell r="Y189" t="str">
            <v>INDISA</v>
          </cell>
          <cell r="Z189" t="str">
            <v>Adornos Navideños y otros.</v>
          </cell>
          <cell r="AA189" t="str">
            <v>-</v>
          </cell>
          <cell r="AB189" t="str">
            <v>-</v>
          </cell>
          <cell r="AC189">
            <v>33129</v>
          </cell>
        </row>
        <row r="190">
          <cell r="A190" t="str">
            <v>R7KSA8</v>
          </cell>
          <cell r="B190" t="str">
            <v>Thinner Base Especial</v>
          </cell>
          <cell r="C190" t="str">
            <v>Interior</v>
          </cell>
          <cell r="D190" t="str">
            <v>-</v>
          </cell>
          <cell r="E190" t="str">
            <v>-</v>
          </cell>
          <cell r="F190" t="str">
            <v>-</v>
          </cell>
          <cell r="G190" t="str">
            <v>6.52 Lbs/Gl</v>
          </cell>
          <cell r="H190" t="str">
            <v>-</v>
          </cell>
          <cell r="I190" t="str">
            <v>-</v>
          </cell>
          <cell r="J190" t="str">
            <v>-</v>
          </cell>
          <cell r="K190" t="str">
            <v>-</v>
          </cell>
          <cell r="L190" t="str">
            <v>-</v>
          </cell>
          <cell r="M190" t="str">
            <v>-</v>
          </cell>
          <cell r="N190" t="str">
            <v>-</v>
          </cell>
          <cell r="O190" t="str">
            <v>-</v>
          </cell>
          <cell r="P190" t="str">
            <v>-</v>
          </cell>
          <cell r="Q190" t="str">
            <v>-</v>
          </cell>
          <cell r="R190" t="str">
            <v>-</v>
          </cell>
          <cell r="S190" t="str">
            <v>-</v>
          </cell>
          <cell r="T190" t="str">
            <v>-</v>
          </cell>
          <cell r="U190" t="str">
            <v>-</v>
          </cell>
          <cell r="V190" t="str">
            <v>-</v>
          </cell>
          <cell r="W190" t="str">
            <v>-</v>
          </cell>
          <cell r="X190" t="str">
            <v>-</v>
          </cell>
          <cell r="Y190" t="str">
            <v>INDISA</v>
          </cell>
          <cell r="Z190" t="str">
            <v>Adornos Navideños y otros.</v>
          </cell>
          <cell r="AA190" t="str">
            <v>-</v>
          </cell>
          <cell r="AB190" t="str">
            <v>-</v>
          </cell>
          <cell r="AC190">
            <v>33129</v>
          </cell>
        </row>
        <row r="191">
          <cell r="A191" t="str">
            <v>T70CSA16</v>
          </cell>
          <cell r="B191" t="str">
            <v>Laca Transparente Brillante No.1</v>
          </cell>
          <cell r="C191" t="str">
            <v>Interior</v>
          </cell>
          <cell r="D191" t="str">
            <v>Polietileno y Poliestireno</v>
          </cell>
          <cell r="E191" t="str">
            <v>Limpieza Adecuada</v>
          </cell>
          <cell r="F191" t="str">
            <v>NINGUNO</v>
          </cell>
          <cell r="G191" t="str">
            <v>8.0 Lbs/Gl</v>
          </cell>
          <cell r="H191" t="str">
            <v>0.0%</v>
          </cell>
          <cell r="I191" t="str">
            <v>40%</v>
          </cell>
          <cell r="J191" t="str">
            <v>40%</v>
          </cell>
          <cell r="K191" t="str">
            <v>0.0 %</v>
          </cell>
          <cell r="L191" t="str">
            <v>33.85 %</v>
          </cell>
          <cell r="M191" t="str">
            <v>J-L (Gardner-Holdt)</v>
          </cell>
          <cell r="N191" t="str">
            <v>Especial</v>
          </cell>
          <cell r="O191" t="str">
            <v>18" - 22" COPA Zanh#2</v>
          </cell>
          <cell r="P191" t="str">
            <v>Ninguno</v>
          </cell>
          <cell r="Q191" t="str">
            <v>ninguno</v>
          </cell>
          <cell r="R191" t="str">
            <v>1.0 mills</v>
          </cell>
          <cell r="S191" t="str">
            <v>-</v>
          </cell>
          <cell r="T191" t="str">
            <v>-</v>
          </cell>
          <cell r="U191" t="str">
            <v>540 Pies Cuadrados/Gl a 1 mils de espesor seco</v>
          </cell>
          <cell r="V191" t="str">
            <v>80</v>
          </cell>
          <cell r="W191" t="str">
            <v>2B-B</v>
          </cell>
          <cell r="X191" t="str">
            <v>1 1/2 Años</v>
          </cell>
          <cell r="Y191" t="str">
            <v>INDISA</v>
          </cell>
          <cell r="Z191" t="str">
            <v>Adornos Navideños y otros.</v>
          </cell>
          <cell r="AA191" t="str">
            <v>-</v>
          </cell>
          <cell r="AB191" t="str">
            <v>Corina de Turcios</v>
          </cell>
          <cell r="AC191">
            <v>33129</v>
          </cell>
        </row>
        <row r="192">
          <cell r="A192" t="str">
            <v>T70CSA20</v>
          </cell>
          <cell r="B192" t="str">
            <v>Laca Especial Transparente Brillante</v>
          </cell>
          <cell r="C192" t="str">
            <v>Interior</v>
          </cell>
          <cell r="D192" t="str">
            <v>Polietileno y Poliestireno</v>
          </cell>
          <cell r="E192" t="str">
            <v>Limpieza Adecuada</v>
          </cell>
          <cell r="F192" t="str">
            <v>ninguno</v>
          </cell>
          <cell r="G192" t="str">
            <v>7.98 Lbs/Gl</v>
          </cell>
          <cell r="H192" t="str">
            <v>0.0 %</v>
          </cell>
          <cell r="I192" t="str">
            <v>30.70%</v>
          </cell>
          <cell r="J192" t="str">
            <v>30.70%</v>
          </cell>
          <cell r="K192" t="str">
            <v>0.0 %</v>
          </cell>
          <cell r="L192" t="str">
            <v>21%</v>
          </cell>
          <cell r="M192" t="str">
            <v>10-15 seg. Copa SW #5</v>
          </cell>
          <cell r="N192" t="str">
            <v>Pistola</v>
          </cell>
          <cell r="O192" t="str">
            <v>10-15 seg. Copa SW #5</v>
          </cell>
          <cell r="P192" t="str">
            <v>100</v>
          </cell>
          <cell r="Q192" t="str">
            <v>R7K128</v>
          </cell>
          <cell r="R192" t="str">
            <v>0.5-0.7 mills</v>
          </cell>
          <cell r="S192" t="str">
            <v>Al Aire. Seco Tocar: 5 Minutos. Seco Completo: 20 Minutos</v>
          </cell>
          <cell r="T192" t="str">
            <v>-</v>
          </cell>
          <cell r="U192" t="str">
            <v>480 Pies Cuadrados/Gl</v>
          </cell>
          <cell r="V192" t="str">
            <v>+80</v>
          </cell>
          <cell r="W192" t="str">
            <v>2B-B</v>
          </cell>
          <cell r="X192" t="str">
            <v>1 1/2 Años</v>
          </cell>
          <cell r="Y192" t="str">
            <v>INDISA</v>
          </cell>
          <cell r="Z192" t="str">
            <v>Adornos Navideños y otros.</v>
          </cell>
          <cell r="AA192" t="str">
            <v>-</v>
          </cell>
          <cell r="AC192" t="str">
            <v>Noviembre 27, 2002</v>
          </cell>
        </row>
        <row r="193">
          <cell r="A193" t="str">
            <v>A17VSA2</v>
          </cell>
          <cell r="B193" t="str">
            <v>Preservante-Repelente Para Fibrolite</v>
          </cell>
          <cell r="C193" t="str">
            <v>Interior-Exterior</v>
          </cell>
          <cell r="D193" t="str">
            <v>Fibrocemento</v>
          </cell>
          <cell r="E193" t="str">
            <v>Seca, Limpia y sin Polvo</v>
          </cell>
          <cell r="F193" t="str">
            <v>-</v>
          </cell>
          <cell r="G193" t="str">
            <v>6.76 Lbs/Gl</v>
          </cell>
          <cell r="H193" t="str">
            <v>-</v>
          </cell>
          <cell r="I193" t="str">
            <v>-</v>
          </cell>
          <cell r="J193" t="str">
            <v>-</v>
          </cell>
          <cell r="K193" t="str">
            <v>7%</v>
          </cell>
          <cell r="L193" t="str">
            <v>11%</v>
          </cell>
          <cell r="M193" t="str">
            <v>-</v>
          </cell>
          <cell r="N193" t="str">
            <v>Brocha-Inmersión</v>
          </cell>
          <cell r="O193" t="str">
            <v>A (Gardner-Hold)</v>
          </cell>
          <cell r="P193" t="str">
            <v>Ninguno</v>
          </cell>
          <cell r="Q193" t="str">
            <v>-</v>
          </cell>
          <cell r="R193" t="str">
            <v>-</v>
          </cell>
          <cell r="S193" t="str">
            <v>Al Aire</v>
          </cell>
          <cell r="T193" t="str">
            <v>-</v>
          </cell>
          <cell r="U193" t="str">
            <v>11-12 Mts cuadrados/ galón/mano dependiendo de la porosidad de la superficie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EUREKA</v>
          </cell>
          <cell r="Z193" t="str">
            <v>Techos de Fibrocemento</v>
          </cell>
          <cell r="AA193" t="str">
            <v>-</v>
          </cell>
          <cell r="AB193" t="str">
            <v>-</v>
          </cell>
          <cell r="AC193">
            <v>33157</v>
          </cell>
        </row>
        <row r="194">
          <cell r="A194" t="str">
            <v>A44WSA3</v>
          </cell>
          <cell r="B194" t="str">
            <v>Texture Paint For Ceiling</v>
          </cell>
          <cell r="C194" t="str">
            <v>Interior</v>
          </cell>
          <cell r="D194" t="str">
            <v>Fibrocemento</v>
          </cell>
          <cell r="E194" t="str">
            <v>Limpia de Polvo, y Seca</v>
          </cell>
          <cell r="F194" t="str">
            <v>-</v>
          </cell>
          <cell r="G194" t="str">
            <v>14.5 Lbs/Gl</v>
          </cell>
          <cell r="H194" t="str">
            <v>-</v>
          </cell>
          <cell r="I194" t="str">
            <v>72%</v>
          </cell>
          <cell r="J194" t="str">
            <v>49.6%</v>
          </cell>
          <cell r="K194" t="str">
            <v>-</v>
          </cell>
          <cell r="L194" t="str">
            <v>-</v>
          </cell>
          <cell r="M194" t="str">
            <v>96,000 CPS</v>
          </cell>
          <cell r="N194" t="str">
            <v>Rodillo-Brocha</v>
          </cell>
          <cell r="O194" t="str">
            <v>96,000 CPS</v>
          </cell>
          <cell r="P194" t="str">
            <v>-</v>
          </cell>
          <cell r="Q194" t="str">
            <v>Agua</v>
          </cell>
          <cell r="R194" t="str">
            <v>-</v>
          </cell>
          <cell r="S194" t="str">
            <v>Al aire</v>
          </cell>
          <cell r="T194" t="str">
            <v>-</v>
          </cell>
          <cell r="U194" t="str">
            <v>6.5-7.5 Mts Cuadrados/Gl dependiendo del estilo</v>
          </cell>
          <cell r="V194" t="str">
            <v>Mate</v>
          </cell>
          <cell r="W194" t="str">
            <v>-</v>
          </cell>
          <cell r="X194" t="str">
            <v>1-2 Años</v>
          </cell>
          <cell r="Y194" t="str">
            <v>EUREKA</v>
          </cell>
          <cell r="Z194" t="str">
            <v>Techos de Fibrocemento</v>
          </cell>
          <cell r="AA194" t="str">
            <v>-</v>
          </cell>
          <cell r="AB194" t="str">
            <v>-</v>
          </cell>
          <cell r="AC194">
            <v>33157</v>
          </cell>
        </row>
        <row r="195">
          <cell r="A195" t="str">
            <v>A44WSA4</v>
          </cell>
          <cell r="B195" t="str">
            <v>Texture Paint For Walls</v>
          </cell>
          <cell r="C195" t="str">
            <v>Interior</v>
          </cell>
          <cell r="D195" t="str">
            <v>Fibrocemento</v>
          </cell>
          <cell r="E195" t="str">
            <v>Limpia de Polvo, y Seca</v>
          </cell>
          <cell r="F195" t="str">
            <v>-</v>
          </cell>
          <cell r="G195" t="str">
            <v>14.5 Lbs/Gl</v>
          </cell>
          <cell r="H195" t="str">
            <v>-</v>
          </cell>
          <cell r="I195" t="str">
            <v>72%</v>
          </cell>
          <cell r="J195" t="str">
            <v>49.6%</v>
          </cell>
          <cell r="K195" t="str">
            <v>-</v>
          </cell>
          <cell r="L195" t="str">
            <v>-</v>
          </cell>
          <cell r="M195" t="str">
            <v>-</v>
          </cell>
          <cell r="N195" t="str">
            <v>Rodillo, Espátula, Brocha</v>
          </cell>
          <cell r="O195" t="str">
            <v>96,000-100,000 CPS</v>
          </cell>
          <cell r="P195" t="str">
            <v>-</v>
          </cell>
          <cell r="Q195" t="str">
            <v>Agua</v>
          </cell>
          <cell r="R195" t="str">
            <v>-</v>
          </cell>
          <cell r="S195" t="str">
            <v>Al aire</v>
          </cell>
          <cell r="T195" t="str">
            <v>-</v>
          </cell>
          <cell r="U195" t="str">
            <v>6.5-7.5 Mts Cuadrados/Gl dependiendo del estilo</v>
          </cell>
          <cell r="V195" t="str">
            <v>Mate</v>
          </cell>
          <cell r="W195" t="str">
            <v>-</v>
          </cell>
          <cell r="X195" t="str">
            <v>1-2 Años</v>
          </cell>
          <cell r="Y195" t="str">
            <v>EUREKA</v>
          </cell>
          <cell r="Z195" t="str">
            <v>Techos de Fibrocemento</v>
          </cell>
          <cell r="AA195" t="str">
            <v>-</v>
          </cell>
          <cell r="AB195" t="str">
            <v>-</v>
          </cell>
          <cell r="AC195">
            <v>33157</v>
          </cell>
        </row>
        <row r="196">
          <cell r="A196" t="str">
            <v>A95GSA14</v>
          </cell>
          <cell r="B196" t="str">
            <v>Pintura Especial Verde Para Techos de Fibrocemento</v>
          </cell>
          <cell r="C196" t="str">
            <v>Exterior</v>
          </cell>
          <cell r="D196" t="str">
            <v>Fibrocemento</v>
          </cell>
          <cell r="E196" t="str">
            <v>Lijada, Libre de Polvo y Seca</v>
          </cell>
          <cell r="F196" t="str">
            <v>-</v>
          </cell>
          <cell r="G196" t="str">
            <v>10.80 Lbs/Gl</v>
          </cell>
          <cell r="H196" t="str">
            <v>30.9%</v>
          </cell>
          <cell r="I196" t="str">
            <v>48.8%</v>
          </cell>
          <cell r="J196" t="str">
            <v>17.9%</v>
          </cell>
          <cell r="K196" t="str">
            <v>13.6%</v>
          </cell>
          <cell r="L196" t="str">
            <v>35.0%</v>
          </cell>
          <cell r="M196" t="str">
            <v>79-85 KU</v>
          </cell>
          <cell r="N196" t="str">
            <v>Pistola Airless 30-35 Libras de Presión</v>
          </cell>
          <cell r="O196" t="str">
            <v>-</v>
          </cell>
          <cell r="P196" t="str">
            <v>25% con Agua</v>
          </cell>
          <cell r="Q196" t="str">
            <v>Agua Corriente</v>
          </cell>
          <cell r="R196" t="str">
            <v>5 mills</v>
          </cell>
          <cell r="S196" t="str">
            <v>Al Aire</v>
          </cell>
          <cell r="T196" t="str">
            <v>No recomendado</v>
          </cell>
          <cell r="U196" t="str">
            <v>45-55 Mts cuadrados por Galón</v>
          </cell>
          <cell r="V196" t="str">
            <v>Mate</v>
          </cell>
          <cell r="W196" t="str">
            <v>-</v>
          </cell>
          <cell r="X196" t="str">
            <v>1-2 Años</v>
          </cell>
          <cell r="Y196" t="str">
            <v>EUREKA</v>
          </cell>
          <cell r="Z196" t="str">
            <v>Techos de Fibrocemento</v>
          </cell>
          <cell r="AA196" t="str">
            <v>-</v>
          </cell>
          <cell r="AB196" t="str">
            <v>-</v>
          </cell>
          <cell r="AC196">
            <v>33157</v>
          </cell>
        </row>
        <row r="197">
          <cell r="A197" t="str">
            <v>SAA 3567-B</v>
          </cell>
          <cell r="B197" t="str">
            <v>Sherwood White Oak Oil Stain</v>
          </cell>
          <cell r="C197" t="str">
            <v>Interiores</v>
          </cell>
          <cell r="D197" t="str">
            <v>Fibrocemento(Fibrolit)</v>
          </cell>
          <cell r="E197" t="str">
            <v>Sellada y Limpia</v>
          </cell>
          <cell r="F197" t="str">
            <v>Kem Patching Paste</v>
          </cell>
          <cell r="G197" t="str">
            <v>7.22 Lbs/Gl</v>
          </cell>
          <cell r="H197" t="str">
            <v>38%</v>
          </cell>
          <cell r="I197" t="str">
            <v>22%</v>
          </cell>
          <cell r="J197" t="str">
            <v>50%</v>
          </cell>
          <cell r="K197" t="str">
            <v>21%</v>
          </cell>
          <cell r="L197" t="str">
            <v>13%</v>
          </cell>
          <cell r="M197" t="str">
            <v>9"-12" Copa Ford #4</v>
          </cell>
          <cell r="N197" t="str">
            <v>Arrastre con Wipe</v>
          </cell>
          <cell r="O197" t="str">
            <v>9"-12" Copa Ford #4</v>
          </cell>
          <cell r="P197" t="str">
            <v>Ninguno</v>
          </cell>
          <cell r="Q197" t="str">
            <v>Ninguno</v>
          </cell>
          <cell r="R197" t="str">
            <v>-</v>
          </cell>
          <cell r="S197" t="str">
            <v>Al aire</v>
          </cell>
          <cell r="T197" t="str">
            <v>-</v>
          </cell>
          <cell r="U197" t="str">
            <v>-</v>
          </cell>
          <cell r="V197" t="str">
            <v>-</v>
          </cell>
          <cell r="W197" t="str">
            <v>-</v>
          </cell>
          <cell r="X197" t="str">
            <v>-</v>
          </cell>
          <cell r="Y197" t="str">
            <v>EUREKA</v>
          </cell>
          <cell r="Z197" t="str">
            <v>Fibrocemento</v>
          </cell>
          <cell r="AA197" t="str">
            <v>-</v>
          </cell>
          <cell r="AB197" t="str">
            <v>-</v>
          </cell>
          <cell r="AC197">
            <v>33168</v>
          </cell>
        </row>
        <row r="198">
          <cell r="A198" t="str">
            <v>SAA 3568</v>
          </cell>
          <cell r="B198" t="str">
            <v>Laca Transparente Brillante Lista para Usar</v>
          </cell>
          <cell r="C198" t="str">
            <v>Interiores</v>
          </cell>
          <cell r="D198" t="str">
            <v>Fibrocemento(Fibrolit)</v>
          </cell>
          <cell r="E198" t="str">
            <v>Sellada y Limpia</v>
          </cell>
          <cell r="F198" t="str">
            <v>-</v>
          </cell>
          <cell r="G198" t="str">
            <v>7.43 Lbs/Gl</v>
          </cell>
          <cell r="H198" t="str">
            <v>-</v>
          </cell>
          <cell r="I198" t="str">
            <v>21%</v>
          </cell>
          <cell r="J198" t="str">
            <v>-</v>
          </cell>
          <cell r="K198" t="str">
            <v>-</v>
          </cell>
          <cell r="L198" t="str">
            <v>14.5%</v>
          </cell>
          <cell r="M198" t="str">
            <v>15"-19" Copa Ford #4</v>
          </cell>
          <cell r="N198" t="str">
            <v>Pistola</v>
          </cell>
          <cell r="O198" t="str">
            <v>15"-19" Copa Ford #4</v>
          </cell>
          <cell r="P198" t="str">
            <v>Ninguno</v>
          </cell>
          <cell r="Q198" t="str">
            <v>R7K203 si es necesario</v>
          </cell>
          <cell r="R198" t="str">
            <v>-</v>
          </cell>
          <cell r="S198" t="str">
            <v>Al Aire</v>
          </cell>
          <cell r="T198" t="str">
            <v>-</v>
          </cell>
          <cell r="U198" t="str">
            <v>-</v>
          </cell>
          <cell r="V198" t="str">
            <v>85-90</v>
          </cell>
          <cell r="W198" t="str">
            <v>-</v>
          </cell>
          <cell r="X198" t="str">
            <v>-</v>
          </cell>
          <cell r="Y198" t="str">
            <v>EUREKA</v>
          </cell>
          <cell r="Z198" t="str">
            <v>Fibrocemento</v>
          </cell>
          <cell r="AA198" t="str">
            <v>-</v>
          </cell>
          <cell r="AB198" t="str">
            <v>-</v>
          </cell>
          <cell r="AC198">
            <v>33168</v>
          </cell>
        </row>
        <row r="199">
          <cell r="A199" t="str">
            <v>B24WSA1</v>
          </cell>
          <cell r="B199" t="str">
            <v>Sellador Rellenador Especial Para Fibrolit</v>
          </cell>
          <cell r="C199" t="str">
            <v>Interiores</v>
          </cell>
          <cell r="D199" t="str">
            <v>Fibrocemento</v>
          </cell>
          <cell r="E199" t="str">
            <v>Libre de Polvo y otras Sustancias</v>
          </cell>
          <cell r="F199" t="str">
            <v>Ninguno</v>
          </cell>
          <cell r="G199" t="str">
            <v>12.27 Lbs/Gl</v>
          </cell>
          <cell r="H199" t="str">
            <v>69.2%</v>
          </cell>
          <cell r="I199" t="str">
            <v>46%</v>
          </cell>
          <cell r="J199" t="str">
            <v>55%</v>
          </cell>
          <cell r="K199" t="str">
            <v>51%</v>
          </cell>
          <cell r="L199" t="str">
            <v>30%</v>
          </cell>
          <cell r="M199" t="str">
            <v>13,000-15,000 CPS</v>
          </cell>
          <cell r="N199" t="str">
            <v>Espátula-Wipe</v>
          </cell>
          <cell r="O199" t="str">
            <v>13,000-15,000 CPS</v>
          </cell>
          <cell r="P199" t="str">
            <v>Ninguno</v>
          </cell>
          <cell r="Q199" t="str">
            <v>Ninguno</v>
          </cell>
          <cell r="R199" t="str">
            <v>-</v>
          </cell>
          <cell r="S199" t="str">
            <v>Al Aire</v>
          </cell>
          <cell r="T199" t="str">
            <v>-</v>
          </cell>
          <cell r="U199" t="str">
            <v>-</v>
          </cell>
          <cell r="V199" t="str">
            <v>-</v>
          </cell>
          <cell r="W199" t="str">
            <v>-</v>
          </cell>
          <cell r="X199" t="str">
            <v>-</v>
          </cell>
          <cell r="Y199" t="str">
            <v>EUREKA</v>
          </cell>
          <cell r="Z199" t="str">
            <v>Fibrocemento</v>
          </cell>
          <cell r="AA199" t="str">
            <v>-</v>
          </cell>
          <cell r="AB199" t="str">
            <v>-</v>
          </cell>
          <cell r="AC199">
            <v>33170</v>
          </cell>
        </row>
        <row r="200">
          <cell r="A200" t="str">
            <v>B45WSA1 (2)</v>
          </cell>
          <cell r="B200" t="str">
            <v>Fast Dry Latex Wall Primer (Primario)</v>
          </cell>
          <cell r="C200" t="str">
            <v>Interior</v>
          </cell>
          <cell r="D200" t="str">
            <v>Dryboard.</v>
          </cell>
          <cell r="E200" t="str">
            <v>Libre de Polvo y otras Sustancias</v>
          </cell>
          <cell r="F200" t="str">
            <v>Ninguno</v>
          </cell>
          <cell r="G200" t="str">
            <v>11.17 Lbs/Gl</v>
          </cell>
          <cell r="H200" t="str">
            <v>34.4%</v>
          </cell>
          <cell r="I200" t="str">
            <v>48.1%</v>
          </cell>
          <cell r="J200" t="str">
            <v>55%</v>
          </cell>
          <cell r="K200" t="str">
            <v>48.3%</v>
          </cell>
          <cell r="L200" t="str">
            <v>30.4%</v>
          </cell>
          <cell r="M200" t="str">
            <v>10,000-11,000 CPS</v>
          </cell>
          <cell r="N200" t="str">
            <v>Brocha-Pistola-Rodillo</v>
          </cell>
          <cell r="O200" t="str">
            <v>1,400-1,800 CPS con Brocha. 60-100 CPS con Pistola</v>
          </cell>
          <cell r="P200" t="str">
            <v>Brocha o Rodillo: 10% en Vol. Con agua. Pistola: 80% en Vol. Con Agua.</v>
          </cell>
          <cell r="Q200" t="str">
            <v>Agua</v>
          </cell>
          <cell r="R200" t="str">
            <v>2 mills</v>
          </cell>
          <cell r="S200" t="str">
            <v>Al Aire. Seco Tocar: 15 Minutos. Seco Completo: 45 Minutos</v>
          </cell>
          <cell r="T200" t="str">
            <v>Ninguno</v>
          </cell>
          <cell r="U200" t="str">
            <v>35 Mts Cuadrados/Gl</v>
          </cell>
          <cell r="V200" t="str">
            <v>Mate</v>
          </cell>
          <cell r="W200" t="str">
            <v>-</v>
          </cell>
          <cell r="X200" t="str">
            <v>2 años</v>
          </cell>
          <cell r="Y200" t="str">
            <v>Embajada Americana/Sepinta</v>
          </cell>
          <cell r="Z200" t="str">
            <v>Dryboard, Durapanel, Madera, Concreto.</v>
          </cell>
          <cell r="AA200" t="str">
            <v>-</v>
          </cell>
          <cell r="AB200" t="str">
            <v>-</v>
          </cell>
          <cell r="AC200">
            <v>33246</v>
          </cell>
        </row>
        <row r="201">
          <cell r="A201" t="str">
            <v>B49WSA1</v>
          </cell>
          <cell r="B201" t="str">
            <v>Promar 200 Alkyd Undercoater</v>
          </cell>
          <cell r="C201" t="str">
            <v>Interiores</v>
          </cell>
          <cell r="D201" t="str">
            <v>Dryboard, Concreto, Madera</v>
          </cell>
          <cell r="E201" t="str">
            <v>Limpia de Polvo</v>
          </cell>
          <cell r="F201" t="str">
            <v>Ninguno</v>
          </cell>
          <cell r="G201" t="str">
            <v>11.81 Lbs/Gl</v>
          </cell>
          <cell r="H201" t="str">
            <v>75.5%</v>
          </cell>
          <cell r="I201" t="str">
            <v>71.14%</v>
          </cell>
          <cell r="J201" t="str">
            <v>41%</v>
          </cell>
          <cell r="K201" t="str">
            <v>53.7%</v>
          </cell>
          <cell r="L201" t="str">
            <v>48.71%</v>
          </cell>
          <cell r="M201" t="str">
            <v>88-98 KU</v>
          </cell>
          <cell r="N201" t="str">
            <v>Brocha-Rodillo-Pistola</v>
          </cell>
          <cell r="O201" t="str">
            <v>Brocha (88-98 KU), Pistola (13-18" Ford #4)</v>
          </cell>
          <cell r="P201" t="str">
            <v>Brocha y Rodillo (Ninguna), Pistola (25% con R1K4)</v>
          </cell>
          <cell r="Q201" t="str">
            <v>R1K4</v>
          </cell>
          <cell r="R201" t="str">
            <v>2 mills seco</v>
          </cell>
          <cell r="S201" t="str">
            <v>Seco Tocar: 1-2 Horas, Seco Completo: 16-24 Horas.</v>
          </cell>
          <cell r="T201" t="str">
            <v>-</v>
          </cell>
          <cell r="U201" t="str">
            <v>29 Mts Cuadrados/Gl a 2 mills seco</v>
          </cell>
          <cell r="V201" t="str">
            <v>Mate</v>
          </cell>
          <cell r="W201" t="str">
            <v>-</v>
          </cell>
          <cell r="X201" t="str">
            <v>-</v>
          </cell>
          <cell r="Y201" t="str">
            <v>Embajada Americana/Sepinta</v>
          </cell>
          <cell r="Z201" t="str">
            <v>-</v>
          </cell>
          <cell r="AA201" t="str">
            <v>-</v>
          </cell>
          <cell r="AB201" t="str">
            <v>-</v>
          </cell>
          <cell r="AC201">
            <v>33246</v>
          </cell>
        </row>
        <row r="202">
          <cell r="A202" t="str">
            <v>V6V241</v>
          </cell>
          <cell r="B202" t="str">
            <v>Polasol</v>
          </cell>
          <cell r="C202" t="str">
            <v>Catalizador para Kem Lustral</v>
          </cell>
          <cell r="D202" t="str">
            <v>-</v>
          </cell>
          <cell r="E202" t="str">
            <v>-</v>
          </cell>
          <cell r="F202" t="str">
            <v>-</v>
          </cell>
          <cell r="G202" t="str">
            <v>8.91 Lbs/Gl</v>
          </cell>
          <cell r="H202" t="str">
            <v>-</v>
          </cell>
          <cell r="I202" t="str">
            <v>75%</v>
          </cell>
          <cell r="J202" t="str">
            <v>-</v>
          </cell>
          <cell r="K202" t="str">
            <v>-</v>
          </cell>
          <cell r="L202" t="str">
            <v>70.7%</v>
          </cell>
          <cell r="M202" t="str">
            <v>60-65 KU</v>
          </cell>
          <cell r="N202" t="str">
            <v>-</v>
          </cell>
          <cell r="O202" t="str">
            <v>-</v>
          </cell>
          <cell r="P202" t="str">
            <v>Se agrega 6% a Kem Lustral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 t="str">
            <v>-</v>
          </cell>
          <cell r="V202" t="str">
            <v>-</v>
          </cell>
          <cell r="W202" t="str">
            <v>Incrementa Dureza a Kem Lustral</v>
          </cell>
          <cell r="X202" t="str">
            <v>-</v>
          </cell>
          <cell r="Y202" t="str">
            <v>Sepinta, S.A</v>
          </cell>
          <cell r="Z202" t="str">
            <v>-</v>
          </cell>
          <cell r="AA202" t="str">
            <v>El Polysocianato Actúa sobre las Cadenas Alkydicas del Kem Lustral, Incrementando su Dureza, Resistencia y Adhesión.</v>
          </cell>
          <cell r="AB202" t="str">
            <v>-</v>
          </cell>
          <cell r="AC202">
            <v>33246</v>
          </cell>
        </row>
        <row r="203">
          <cell r="A203" t="str">
            <v>B60FSA1</v>
          </cell>
          <cell r="B203" t="str">
            <v>Eggshell Hardener (Catalizador De Tile Clad II Satinado)</v>
          </cell>
          <cell r="C203" t="str">
            <v>-</v>
          </cell>
          <cell r="D203" t="str">
            <v>-</v>
          </cell>
          <cell r="E203" t="str">
            <v>-</v>
          </cell>
          <cell r="G203" t="str">
            <v>10.42-10.67 Lbs/Gl</v>
          </cell>
          <cell r="H203" t="str">
            <v>32%</v>
          </cell>
          <cell r="I203" t="str">
            <v>69.57%</v>
          </cell>
          <cell r="J203" t="str">
            <v>60%</v>
          </cell>
          <cell r="K203" t="str">
            <v>26.6%</v>
          </cell>
          <cell r="L203" t="str">
            <v>55.9%</v>
          </cell>
          <cell r="M203" t="str">
            <v>68-75 KU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 t="str">
            <v>-</v>
          </cell>
          <cell r="V203" t="str">
            <v>-</v>
          </cell>
          <cell r="W203" t="str">
            <v>-</v>
          </cell>
          <cell r="X203" t="str">
            <v>-</v>
          </cell>
          <cell r="Y203" t="str">
            <v>Freund, S.A</v>
          </cell>
          <cell r="Z203" t="str">
            <v>-</v>
          </cell>
          <cell r="AA203" t="str">
            <v>-</v>
          </cell>
          <cell r="AB203" t="str">
            <v>-</v>
          </cell>
          <cell r="AC203">
            <v>33249</v>
          </cell>
        </row>
        <row r="204">
          <cell r="A204" t="str">
            <v>B62BSA1/B60FSA1</v>
          </cell>
          <cell r="B204" t="str">
            <v>Tile Clad II Negro Satinado</v>
          </cell>
          <cell r="C204" t="str">
            <v>Interior-Exterior</v>
          </cell>
          <cell r="D204" t="str">
            <v>Concreto-Fibrocemento-Madera-Metal</v>
          </cell>
          <cell r="E204" t="str">
            <v>Limpia de Polvo, Grasa, Suciedad</v>
          </cell>
          <cell r="F204" t="str">
            <v>B24WSA1 ó B45WSA1(concreto, fibrocemento, madera) B69A47 (metal)</v>
          </cell>
          <cell r="G204" t="str">
            <v>8.09 Lbs/Gl</v>
          </cell>
          <cell r="H204" t="str">
            <v>18%</v>
          </cell>
          <cell r="I204" t="str">
            <v>45.6%</v>
          </cell>
          <cell r="J204" t="str">
            <v>60%</v>
          </cell>
          <cell r="K204" t="str">
            <v>11.5%</v>
          </cell>
          <cell r="L204" t="str">
            <v>40.7%</v>
          </cell>
          <cell r="M204" t="str">
            <v>75-83 ku</v>
          </cell>
          <cell r="N204" t="str">
            <v>Brocha-Pistola</v>
          </cell>
          <cell r="O204" t="str">
            <v>Brocha</v>
          </cell>
          <cell r="P204" t="str">
            <v>-</v>
          </cell>
          <cell r="Q204" t="str">
            <v>R2K4         Industrial reducer</v>
          </cell>
          <cell r="R204" t="str">
            <v>2-4 mills seco</v>
          </cell>
          <cell r="S204" t="str">
            <v>Seco Tocar: 1 Hra, Seco Completo 4-6 Hrs, Repintar: 12 Horas</v>
          </cell>
          <cell r="T204" t="str">
            <v>-</v>
          </cell>
          <cell r="U204" t="str">
            <v>25 Mts Cuadrados/Gl (4 mills), 50 Mts Cuadrados (2 mills)</v>
          </cell>
          <cell r="V204" t="str">
            <v>35 +/- 10 unidades</v>
          </cell>
          <cell r="W204" t="str">
            <v>2H</v>
          </cell>
          <cell r="X204" t="str">
            <v>-</v>
          </cell>
          <cell r="Y204" t="str">
            <v>Freund, S.A</v>
          </cell>
          <cell r="Z204" t="str">
            <v>-</v>
          </cell>
          <cell r="AA204" t="str">
            <v>-</v>
          </cell>
          <cell r="AB204" t="str">
            <v>-</v>
          </cell>
          <cell r="AC204">
            <v>33249</v>
          </cell>
        </row>
        <row r="205">
          <cell r="A205" t="str">
            <v>B42W1</v>
          </cell>
          <cell r="B205" t="str">
            <v>BLOC-TEX</v>
          </cell>
          <cell r="C205" t="str">
            <v>Interior-Exterior</v>
          </cell>
          <cell r="D205" t="str">
            <v>Bloques de Concreto</v>
          </cell>
          <cell r="E205" t="str">
            <v>Limpia con Agua y Jabón</v>
          </cell>
          <cell r="F205" t="str">
            <v>Ninguno</v>
          </cell>
          <cell r="G205" t="str">
            <v>14.47 Lbs/Gl</v>
          </cell>
          <cell r="H205" t="str">
            <v>80%</v>
          </cell>
          <cell r="I205" t="str">
            <v>74.7%</v>
          </cell>
          <cell r="J205" t="str">
            <v>50%</v>
          </cell>
          <cell r="K205" t="str">
            <v>75%</v>
          </cell>
          <cell r="L205" t="str">
            <v>57.7%</v>
          </cell>
          <cell r="M205" t="str">
            <v>Pasta</v>
          </cell>
          <cell r="N205" t="str">
            <v>Brocha-Rodillo</v>
          </cell>
          <cell r="O205" t="str">
            <v>110-120 KU</v>
          </cell>
          <cell r="P205" t="str">
            <v>25-50% con Excello Latex</v>
          </cell>
          <cell r="Q205" t="str">
            <v>Agua</v>
          </cell>
          <cell r="R205" t="str">
            <v>5-7 mills Seco</v>
          </cell>
          <cell r="S205" t="str">
            <v>20 minutos</v>
          </cell>
          <cell r="T205" t="str">
            <v>-</v>
          </cell>
          <cell r="U205" t="str">
            <v>15-20 Mts Cuadrados/Gl</v>
          </cell>
          <cell r="V205" t="str">
            <v>-</v>
          </cell>
          <cell r="W205" t="str">
            <v>-</v>
          </cell>
          <cell r="X205" t="str">
            <v>-</v>
          </cell>
          <cell r="Y205" t="str">
            <v>Sepinta, S.A</v>
          </cell>
          <cell r="Z205" t="str">
            <v>-</v>
          </cell>
          <cell r="AA205" t="str">
            <v>-</v>
          </cell>
          <cell r="AB205" t="str">
            <v>-</v>
          </cell>
          <cell r="AC205">
            <v>33261</v>
          </cell>
        </row>
        <row r="206">
          <cell r="A206" t="str">
            <v>B45ASA1</v>
          </cell>
          <cell r="B206" t="str">
            <v>Sellador Para Concreto Gris</v>
          </cell>
          <cell r="C206" t="str">
            <v>Interior-Exterior</v>
          </cell>
          <cell r="D206" t="str">
            <v>Concreto</v>
          </cell>
          <cell r="E206" t="str">
            <v>Libre de Polvo y otras Sustancias</v>
          </cell>
          <cell r="F206" t="str">
            <v>Ninguno</v>
          </cell>
          <cell r="G206" t="str">
            <v>10.66 Lbs/Gl</v>
          </cell>
          <cell r="H206" t="str">
            <v>-</v>
          </cell>
          <cell r="I206" t="str">
            <v>47.3%</v>
          </cell>
          <cell r="J206" t="str">
            <v>50%</v>
          </cell>
          <cell r="K206" t="str">
            <v>45.5%</v>
          </cell>
          <cell r="L206" t="str">
            <v>31.4%</v>
          </cell>
          <cell r="M206" t="str">
            <v>13,000-15,000 CPS</v>
          </cell>
          <cell r="N206" t="str">
            <v>Brocha-Rodillo</v>
          </cell>
          <cell r="O206" t="str">
            <v>2,000-2,500 CPS</v>
          </cell>
          <cell r="P206" t="str">
            <v>10-15% de Agua</v>
          </cell>
          <cell r="Q206" t="str">
            <v>Agua</v>
          </cell>
          <cell r="R206" t="str">
            <v>2 mills</v>
          </cell>
          <cell r="S206" t="str">
            <v>Al aire (20 Min)</v>
          </cell>
          <cell r="T206" t="str">
            <v>-</v>
          </cell>
          <cell r="U206" t="str">
            <v>30 Mts Cuadrados/Gl</v>
          </cell>
          <cell r="V206" t="str">
            <v>-</v>
          </cell>
          <cell r="W206" t="str">
            <v>-</v>
          </cell>
          <cell r="X206" t="str">
            <v>-</v>
          </cell>
          <cell r="Y206" t="str">
            <v>Constructora Orion</v>
          </cell>
          <cell r="Z206" t="str">
            <v>Estructuras de Concreto</v>
          </cell>
          <cell r="AA206" t="str">
            <v>-</v>
          </cell>
          <cell r="AB206" t="str">
            <v>-</v>
          </cell>
          <cell r="AC206">
            <v>33280</v>
          </cell>
        </row>
        <row r="207">
          <cell r="A207" t="str">
            <v xml:space="preserve">V76VSA13 </v>
          </cell>
          <cell r="B207" t="str">
            <v>Barniz para Interiores Fenólico de Alta Resistencia Química</v>
          </cell>
          <cell r="C207" t="str">
            <v>Interiores</v>
          </cell>
          <cell r="D207" t="str">
            <v>Hojalata</v>
          </cell>
          <cell r="E207" t="str">
            <v>Limpia de Grasa  o suciedad</v>
          </cell>
          <cell r="F207" t="str">
            <v>Ninguno</v>
          </cell>
          <cell r="G207" t="str">
            <v>8.0 Lbs/Gl</v>
          </cell>
          <cell r="H207" t="str">
            <v>-</v>
          </cell>
          <cell r="I207" t="str">
            <v>38.91%</v>
          </cell>
          <cell r="J207" t="str">
            <v>54%</v>
          </cell>
          <cell r="K207" t="str">
            <v>-</v>
          </cell>
          <cell r="L207" t="str">
            <v>25.34%</v>
          </cell>
          <cell r="M207" t="str">
            <v>55"-65" Copa Ford #4</v>
          </cell>
          <cell r="N207" t="str">
            <v>Rodillo</v>
          </cell>
          <cell r="O207" t="str">
            <v>55"-65" Copa Ford #4</v>
          </cell>
          <cell r="P207" t="str">
            <v>Ninguno</v>
          </cell>
          <cell r="Q207" t="str">
            <v>Ninguno</v>
          </cell>
          <cell r="R207" t="str">
            <v>0.56 mills</v>
          </cell>
          <cell r="S207" t="str">
            <v>Horneo</v>
          </cell>
          <cell r="T207" t="str">
            <v>20" A 375°F</v>
          </cell>
          <cell r="U207" t="str">
            <v>-</v>
          </cell>
          <cell r="V207" t="str">
            <v>+80</v>
          </cell>
          <cell r="W207" t="str">
            <v>7H</v>
          </cell>
          <cell r="X207" t="str">
            <v>-</v>
          </cell>
          <cell r="Y207" t="str">
            <v>Pinsal</v>
          </cell>
          <cell r="Z207" t="str">
            <v>Pinturas</v>
          </cell>
          <cell r="AA207" t="str">
            <v>-</v>
          </cell>
          <cell r="AB207" t="str">
            <v>-</v>
          </cell>
          <cell r="AC207">
            <v>33288</v>
          </cell>
        </row>
        <row r="208">
          <cell r="A208" t="str">
            <v>B23WSA1 (1)</v>
          </cell>
          <cell r="B208" t="str">
            <v>Sellador Blanco Para Fibrolite</v>
          </cell>
          <cell r="C208" t="str">
            <v>Exterior e Interior</v>
          </cell>
          <cell r="D208" t="str">
            <v>Fibrolit</v>
          </cell>
          <cell r="E208" t="str">
            <v>-</v>
          </cell>
          <cell r="F208" t="str">
            <v>Ninguno</v>
          </cell>
          <cell r="G208" t="str">
            <v>13.55 Lbs/Gl</v>
          </cell>
          <cell r="H208" t="str">
            <v>68.27%</v>
          </cell>
          <cell r="I208" t="str">
            <v>75.28%</v>
          </cell>
          <cell r="J208" t="str">
            <v>5.54%</v>
          </cell>
          <cell r="K208" t="str">
            <v>76.25%</v>
          </cell>
          <cell r="L208" t="str">
            <v>48.06%</v>
          </cell>
          <cell r="M208" t="str">
            <v>100 KU</v>
          </cell>
          <cell r="N208" t="str">
            <v xml:space="preserve">Brocha </v>
          </cell>
          <cell r="O208" t="str">
            <v>100 KU</v>
          </cell>
          <cell r="P208" t="str">
            <v>Ninguno</v>
          </cell>
          <cell r="Q208" t="str">
            <v>Ninguno</v>
          </cell>
          <cell r="R208" t="str">
            <v>3-4 Mills</v>
          </cell>
          <cell r="S208" t="str">
            <v>Al Aire</v>
          </cell>
          <cell r="T208" t="str">
            <v>-</v>
          </cell>
          <cell r="U208" t="str">
            <v>12 Mts Cuadrados</v>
          </cell>
          <cell r="V208" t="str">
            <v>-</v>
          </cell>
          <cell r="W208" t="str">
            <v>-</v>
          </cell>
          <cell r="X208" t="str">
            <v>-</v>
          </cell>
          <cell r="Y208" t="str">
            <v>-</v>
          </cell>
          <cell r="Z208" t="str">
            <v>-</v>
          </cell>
          <cell r="AA208" t="str">
            <v>Al recubrir con Pinturas de Aceite y/o Epóxicas dar una mano de Látex Antes (Colonial o Excello)</v>
          </cell>
          <cell r="AB208" t="str">
            <v>-</v>
          </cell>
          <cell r="AC208">
            <v>33291</v>
          </cell>
        </row>
        <row r="209">
          <cell r="A209" t="str">
            <v>F63W56 (1)</v>
          </cell>
          <cell r="B209" t="str">
            <v>Polane HS White</v>
          </cell>
          <cell r="C209" t="str">
            <v>Exterior e Interior</v>
          </cell>
          <cell r="D209" t="str">
            <v>Lexan</v>
          </cell>
          <cell r="E209" t="str">
            <v>Limpia de Polvo, Grasa, Suciedad</v>
          </cell>
          <cell r="F209" t="str">
            <v>Ninguno</v>
          </cell>
          <cell r="G209" t="str">
            <v>12 Lbs/Gl</v>
          </cell>
          <cell r="H209" t="str">
            <v>45.65%</v>
          </cell>
          <cell r="I209" t="str">
            <v>77.96%</v>
          </cell>
          <cell r="J209" t="str">
            <v>45.40%</v>
          </cell>
          <cell r="K209" t="str">
            <v>27.1%</v>
          </cell>
          <cell r="L209" t="str">
            <v>62.30%</v>
          </cell>
          <cell r="M209" t="str">
            <v>60-65 KU</v>
          </cell>
          <cell r="N209" t="str">
            <v>Pistola</v>
          </cell>
          <cell r="O209" t="str">
            <v>15"-20" Copa Ford #4</v>
          </cell>
          <cell r="P209" t="str">
            <v>**</v>
          </cell>
          <cell r="Q209" t="str">
            <v>Thinner R7K94 (Secado más Rápido) ó R7K84 (Secado más Lento)</v>
          </cell>
          <cell r="R209" t="str">
            <v>1.5 mills Seca</v>
          </cell>
          <cell r="S209" t="str">
            <v>Seco Tocar: 20 Minutos; Seco Completo: 30 Minutos; Manejable: 8 Hrs</v>
          </cell>
          <cell r="T209" t="str">
            <v>Ninguno</v>
          </cell>
          <cell r="U209" t="str">
            <v>75 Mts Cuadrados/Gl</v>
          </cell>
          <cell r="V209" t="str">
            <v>90</v>
          </cell>
          <cell r="W209" t="str">
            <v>3H</v>
          </cell>
          <cell r="X209" t="str">
            <v>-</v>
          </cell>
          <cell r="Y209" t="str">
            <v>SAGRISSA</v>
          </cell>
          <cell r="Z209" t="str">
            <v>Carteles, Rotulos en Lexan.</v>
          </cell>
          <cell r="AA209" t="str">
            <v>Uso Exterior: 2 partes en Vol. De F63W56 con 1 parte de V66V29 y 1 parte de R7K94. Uso Interior:2 partes en Vol. De F63W56 con 1 parte de V66V27 y 1 parte de R7K94</v>
          </cell>
          <cell r="AB209" t="str">
            <v>-</v>
          </cell>
          <cell r="AC209">
            <v>33295</v>
          </cell>
        </row>
        <row r="210">
          <cell r="A210" t="str">
            <v>B23WSA1</v>
          </cell>
          <cell r="B210" t="str">
            <v>Sellador Blanco Para Fibrolite</v>
          </cell>
          <cell r="C210" t="str">
            <v>Exterior e Interior</v>
          </cell>
          <cell r="D210" t="str">
            <v>Fibrolit</v>
          </cell>
          <cell r="E210" t="str">
            <v>-</v>
          </cell>
          <cell r="F210" t="str">
            <v>Ninguno</v>
          </cell>
          <cell r="G210" t="str">
            <v>13.55 Lbs/Gl</v>
          </cell>
          <cell r="H210" t="str">
            <v>68.27%</v>
          </cell>
          <cell r="I210" t="str">
            <v>75.28%</v>
          </cell>
          <cell r="J210" t="str">
            <v>5.54%</v>
          </cell>
          <cell r="K210" t="str">
            <v>76.25%</v>
          </cell>
          <cell r="L210" t="str">
            <v>48.06%</v>
          </cell>
          <cell r="M210" t="str">
            <v>100 KU</v>
          </cell>
          <cell r="N210" t="str">
            <v>Brocha</v>
          </cell>
          <cell r="O210" t="str">
            <v>100 KU</v>
          </cell>
          <cell r="P210" t="str">
            <v>Ninguno</v>
          </cell>
          <cell r="Q210" t="str">
            <v>Ninguno</v>
          </cell>
          <cell r="R210" t="str">
            <v>3-4 mills</v>
          </cell>
          <cell r="S210" t="str">
            <v>Al Aire</v>
          </cell>
          <cell r="T210" t="str">
            <v>-</v>
          </cell>
          <cell r="U210" t="str">
            <v>12 Mts Cuadrados</v>
          </cell>
          <cell r="V210" t="str">
            <v>-</v>
          </cell>
          <cell r="W210" t="str">
            <v>-</v>
          </cell>
          <cell r="X210" t="str">
            <v>-</v>
          </cell>
          <cell r="Y210" t="str">
            <v>Sepinta, S.A</v>
          </cell>
          <cell r="Z210" t="str">
            <v>-</v>
          </cell>
          <cell r="AA210" t="str">
            <v>Al recubrir con Pinturas de Aceite y/o Epóxicas dar una mano de Látex Antes (Colonial o Excello)</v>
          </cell>
          <cell r="AB210" t="str">
            <v>-</v>
          </cell>
          <cell r="AC210">
            <v>33298</v>
          </cell>
        </row>
        <row r="211">
          <cell r="A211" t="str">
            <v>B45WSA1 (1)</v>
          </cell>
          <cell r="B211" t="str">
            <v>Fast Dry Latex Wall Primer (Primario)</v>
          </cell>
          <cell r="C211" t="str">
            <v>Interior-Exterior</v>
          </cell>
          <cell r="D211" t="str">
            <v>Fibrocemento</v>
          </cell>
          <cell r="E211" t="str">
            <v>Libre de Polvo y otras Sustancias</v>
          </cell>
          <cell r="F211" t="str">
            <v>Ninguno</v>
          </cell>
          <cell r="G211" t="str">
            <v>11.17 Lbs/Gl</v>
          </cell>
          <cell r="H211" t="str">
            <v>34.4%</v>
          </cell>
          <cell r="I211" t="str">
            <v>48.1%</v>
          </cell>
          <cell r="J211" t="str">
            <v>55%</v>
          </cell>
          <cell r="K211" t="str">
            <v>48.3%</v>
          </cell>
          <cell r="L211" t="str">
            <v>30.4%</v>
          </cell>
          <cell r="M211" t="str">
            <v>13,000-15,000 CPS</v>
          </cell>
          <cell r="N211" t="str">
            <v>Brocha-Pistola</v>
          </cell>
          <cell r="O211" t="str">
            <v>1,400-1,800 CPS con Brocha. 60-100 CPS con Pistola</v>
          </cell>
          <cell r="P211" t="str">
            <v>Brocha: 10% en Vol. Con agua. Pistola: 80% en Vol. Con Agua.</v>
          </cell>
          <cell r="Q211" t="str">
            <v>Agua</v>
          </cell>
          <cell r="R211" t="str">
            <v>2 mills</v>
          </cell>
          <cell r="S211" t="str">
            <v>Al Aire. Seco Tocar: 15 Minutos. Seco Completo: 45 Minutos</v>
          </cell>
          <cell r="T211" t="str">
            <v>Ninguno</v>
          </cell>
          <cell r="U211" t="str">
            <v>35 Mts Cuadrados/Gl</v>
          </cell>
          <cell r="V211" t="str">
            <v>Mate</v>
          </cell>
          <cell r="W211" t="str">
            <v>-</v>
          </cell>
          <cell r="X211" t="str">
            <v>2 años</v>
          </cell>
          <cell r="Y211" t="str">
            <v>EUREKA</v>
          </cell>
          <cell r="Z211" t="str">
            <v>Laminas de Fibrocemento</v>
          </cell>
          <cell r="AA211" t="str">
            <v>-</v>
          </cell>
          <cell r="AB211" t="str">
            <v>-</v>
          </cell>
          <cell r="AC211">
            <v>33298</v>
          </cell>
        </row>
        <row r="212">
          <cell r="A212" t="str">
            <v>G78WSA11</v>
          </cell>
          <cell r="B212" t="str">
            <v xml:space="preserve">Esmalte Horneable acrilico Blanco Almendra  </v>
          </cell>
          <cell r="C212" t="str">
            <v>Interior-Exterior Limitada</v>
          </cell>
          <cell r="D212" t="str">
            <v>Hierro</v>
          </cell>
          <cell r="E212" t="str">
            <v>Limpieza Química y Fosfatización</v>
          </cell>
          <cell r="F212" t="str">
            <v>E68WSA4 Acrylic Monobake White Primer</v>
          </cell>
          <cell r="G212" t="str">
            <v>10.06 Lbs/Gl</v>
          </cell>
          <cell r="H212" t="str">
            <v>29.75%</v>
          </cell>
          <cell r="I212" t="str">
            <v>54.86%</v>
          </cell>
          <cell r="J212" t="str">
            <v>37.74%</v>
          </cell>
          <cell r="K212" t="str">
            <v>25.53%</v>
          </cell>
          <cell r="L212" t="str">
            <v>34.98%</v>
          </cell>
          <cell r="M212" t="str">
            <v>100"-110" Copa Zanh #2</v>
          </cell>
          <cell r="N212" t="str">
            <v>Pistola</v>
          </cell>
          <cell r="O212" t="str">
            <v>18"-20" Copa Ford #4</v>
          </cell>
          <cell r="P212" t="str">
            <v>20-25%</v>
          </cell>
          <cell r="Q212" t="str">
            <v>R2K4         Industrial reducer</v>
          </cell>
          <cell r="R212" t="str">
            <v>1.3-1.4 Con E68WSA4</v>
          </cell>
          <cell r="S212" t="str">
            <v>Al Horno</v>
          </cell>
          <cell r="T212" t="str">
            <v>15' a 400°F</v>
          </cell>
          <cell r="U212" t="str">
            <v>877.76 Pies Cuadrados/Gl</v>
          </cell>
          <cell r="V212" t="str">
            <v>+85</v>
          </cell>
          <cell r="W212" t="str">
            <v>2H</v>
          </cell>
          <cell r="X212" t="str">
            <v>6 meses</v>
          </cell>
          <cell r="Y212" t="str">
            <v>Atlas Electric-Costa Rica</v>
          </cell>
          <cell r="Z212" t="str">
            <v>Refrigeradoras, Cocinas, Lavadoras</v>
          </cell>
          <cell r="AA212" t="str">
            <v>-</v>
          </cell>
          <cell r="AB212" t="str">
            <v>Luis Nolasco</v>
          </cell>
          <cell r="AC212">
            <v>33424</v>
          </cell>
        </row>
        <row r="213">
          <cell r="A213" t="str">
            <v>G78WSA7</v>
          </cell>
          <cell r="B213" t="str">
            <v>Esmalte Horneable Acrílico Blanco.</v>
          </cell>
          <cell r="C213" t="str">
            <v>Interior-Exterior Limitada</v>
          </cell>
          <cell r="D213" t="str">
            <v>Hierro</v>
          </cell>
          <cell r="E213" t="str">
            <v>Limpieza Química y Fosfatización</v>
          </cell>
          <cell r="F213" t="str">
            <v>E68WSA4 Acrylic Monobake White Primer</v>
          </cell>
          <cell r="G213" t="str">
            <v>10.06 Lbs/Gl</v>
          </cell>
          <cell r="H213" t="str">
            <v>29.75%</v>
          </cell>
          <cell r="I213" t="str">
            <v>54.86%</v>
          </cell>
          <cell r="J213" t="str">
            <v>37.74%</v>
          </cell>
          <cell r="K213" t="str">
            <v>25.5%</v>
          </cell>
          <cell r="L213" t="str">
            <v>34.98%</v>
          </cell>
          <cell r="M213" t="str">
            <v>100"-110" Copa Zanh #2</v>
          </cell>
          <cell r="N213" t="str">
            <v>Pistola</v>
          </cell>
          <cell r="O213" t="str">
            <v>18"-20" Copa Ford #4</v>
          </cell>
          <cell r="P213" t="str">
            <v>20-25%</v>
          </cell>
          <cell r="Q213" t="str">
            <v>R2K4         Industrial reducer</v>
          </cell>
          <cell r="R213" t="str">
            <v>1.3-1.4 mills</v>
          </cell>
          <cell r="S213" t="str">
            <v>Al Horno</v>
          </cell>
          <cell r="T213" t="str">
            <v>15' a 400°F</v>
          </cell>
          <cell r="U213" t="str">
            <v>877.76 Pies Cuadrados/Gl a 1 mills de espesor</v>
          </cell>
          <cell r="V213" t="str">
            <v>+85</v>
          </cell>
          <cell r="W213" t="str">
            <v>2H</v>
          </cell>
          <cell r="X213" t="str">
            <v>6 meses</v>
          </cell>
          <cell r="Y213" t="str">
            <v>Atlas Electric-Costa Rica</v>
          </cell>
          <cell r="Z213" t="str">
            <v>Refrigeradoras, Cocinas, Lavadoras</v>
          </cell>
          <cell r="AA213" t="str">
            <v>-</v>
          </cell>
          <cell r="AB213" t="str">
            <v>Luis Nolasco</v>
          </cell>
          <cell r="AC213">
            <v>33424</v>
          </cell>
        </row>
        <row r="214">
          <cell r="A214" t="str">
            <v>SAA 3644</v>
          </cell>
          <cell r="B214" t="str">
            <v>Recubrimiento Para Cartón Corrugado #7</v>
          </cell>
          <cell r="C214" t="str">
            <v>Interior</v>
          </cell>
          <cell r="D214" t="str">
            <v>Cartón Corrugado</v>
          </cell>
          <cell r="E214" t="str">
            <v>Ninguna</v>
          </cell>
          <cell r="F214" t="str">
            <v>Ninguno</v>
          </cell>
          <cell r="G214" t="str">
            <v>13.4 Lbs/Gl</v>
          </cell>
          <cell r="H214" t="str">
            <v>57.27%</v>
          </cell>
          <cell r="I214" t="str">
            <v>63.14%</v>
          </cell>
          <cell r="J214" t="str">
            <v>6.45%</v>
          </cell>
          <cell r="K214" t="str">
            <v>80.7%</v>
          </cell>
          <cell r="L214" t="str">
            <v>40.37%</v>
          </cell>
          <cell r="M214" t="str">
            <v>85 KU</v>
          </cell>
          <cell r="N214" t="str">
            <v>Cuchilla de Hule</v>
          </cell>
          <cell r="O214" t="str">
            <v>80-85 KU</v>
          </cell>
          <cell r="P214" t="str">
            <v>Ninguno</v>
          </cell>
          <cell r="Q214" t="str">
            <v>Agua (Si es Necesario)</v>
          </cell>
          <cell r="R214" t="str">
            <v>1 mills</v>
          </cell>
          <cell r="S214" t="str">
            <v xml:space="preserve">15-20 Minutos.  </v>
          </cell>
          <cell r="T214" t="str">
            <v>-</v>
          </cell>
          <cell r="U214" t="str">
            <v>98.3 Mts Cuadrados</v>
          </cell>
          <cell r="V214" t="str">
            <v>Mate</v>
          </cell>
          <cell r="W214" t="str">
            <v>-</v>
          </cell>
          <cell r="X214" t="str">
            <v>6 meses</v>
          </cell>
          <cell r="Y214" t="str">
            <v>DIDEMA, S.A (Attn: Sr. Jorge Ramirez)</v>
          </cell>
          <cell r="Z214" t="str">
            <v>Cartón Corrugado</v>
          </cell>
          <cell r="AA214" t="str">
            <v>-</v>
          </cell>
          <cell r="AB214" t="str">
            <v>Audrey de Morales</v>
          </cell>
          <cell r="AC214">
            <v>33442</v>
          </cell>
        </row>
        <row r="215">
          <cell r="A215" t="str">
            <v>SAA 3652</v>
          </cell>
          <cell r="B215" t="str">
            <v>Esmalte Litográfico Blanco Troquelable</v>
          </cell>
          <cell r="C215" t="str">
            <v>Interior-Exterior Limitada</v>
          </cell>
          <cell r="D215" t="str">
            <v>Laminas de Hojalata</v>
          </cell>
          <cell r="E215" t="str">
            <v>Desengrase y Limpieza</v>
          </cell>
          <cell r="F215" t="str">
            <v>Ninguno</v>
          </cell>
          <cell r="G215" t="str">
            <v>9.59 Lbs/Gl</v>
          </cell>
          <cell r="H215" t="str">
            <v>24.55%</v>
          </cell>
          <cell r="I215" t="str">
            <v>54.85%</v>
          </cell>
          <cell r="J215" t="str">
            <v>40.4%</v>
          </cell>
          <cell r="K215" t="str">
            <v>18.44%</v>
          </cell>
          <cell r="L215" t="str">
            <v>37.37%</v>
          </cell>
          <cell r="M215" t="str">
            <v>80-85 KU</v>
          </cell>
          <cell r="N215" t="str">
            <v>Rodillo Litográfico</v>
          </cell>
          <cell r="O215" t="str">
            <v>80-85 KU</v>
          </cell>
          <cell r="P215" t="str">
            <v>Ninguno</v>
          </cell>
          <cell r="Q215" t="str">
            <v>Si fuese necesario, use Solvesso 150</v>
          </cell>
          <cell r="R215" t="str">
            <v>1.0 mills/Pulg.</v>
          </cell>
          <cell r="S215" t="str">
            <v>Al Horno</v>
          </cell>
          <cell r="T215" t="str">
            <v>12-15 Min a 170-180°C</v>
          </cell>
          <cell r="U215" t="str">
            <v>878 Pies Cuadrados/Gl</v>
          </cell>
          <cell r="V215" t="str">
            <v>80-85</v>
          </cell>
          <cell r="W215" t="str">
            <v>B-HB</v>
          </cell>
          <cell r="X215" t="str">
            <v>6-12 meses</v>
          </cell>
          <cell r="Y215" t="str">
            <v>TAPA METAL Y CORLASA</v>
          </cell>
          <cell r="Z215" t="str">
            <v>Tapacoronas, Tapaderas diversas.</v>
          </cell>
          <cell r="AA215" t="str">
            <v>-</v>
          </cell>
          <cell r="AB215" t="str">
            <v>Roberto Alam</v>
          </cell>
          <cell r="AC215">
            <v>33512</v>
          </cell>
        </row>
        <row r="216">
          <cell r="A216" t="str">
            <v>A86WCR12 (1)</v>
          </cell>
          <cell r="B216" t="str">
            <v>Pintura de Trafico Blanca TTP-115E Tipo III</v>
          </cell>
          <cell r="C216" t="str">
            <v>Interior-Exterior</v>
          </cell>
          <cell r="D216" t="str">
            <v>Asfalto y Concreto</v>
          </cell>
          <cell r="E216" t="str">
            <v>Limpia, Seca y Libre de Exudación de Asfalto</v>
          </cell>
          <cell r="F216" t="str">
            <v>Ninguno</v>
          </cell>
          <cell r="G216" t="str">
            <v>13.18 Lbs/Gl</v>
          </cell>
          <cell r="H216" t="str">
            <v>57%</v>
          </cell>
          <cell r="I216" t="str">
            <v>75%</v>
          </cell>
          <cell r="J216" t="str">
            <v>41%</v>
          </cell>
          <cell r="K216" t="str">
            <v>-</v>
          </cell>
          <cell r="L216" t="str">
            <v>-</v>
          </cell>
          <cell r="M216" t="str">
            <v>75-80 KU</v>
          </cell>
          <cell r="N216" t="str">
            <v>Brocha, Rodillo Industrial, Máquina Franjeadora, Etc.</v>
          </cell>
          <cell r="O216" t="str">
            <v>Lista para Usarse con Brocha y Rodillo</v>
          </cell>
          <cell r="P216" t="str">
            <v>Con Maquina Franjeadora, Reduzca con 1/8 de Galón</v>
          </cell>
          <cell r="Q216" t="str">
            <v>R2K4         Industrial reducer</v>
          </cell>
          <cell r="R216" t="str">
            <v>4-5 mills/Pulg.</v>
          </cell>
          <cell r="S216" t="str">
            <v>5-15 Minutos, No transitar antes de 20 minutos</v>
          </cell>
          <cell r="T216" t="str">
            <v>-</v>
          </cell>
          <cell r="U216" t="str">
            <v>45-50 Mts Cuadrados/Gl</v>
          </cell>
          <cell r="V216" t="str">
            <v>Mate</v>
          </cell>
          <cell r="W216" t="str">
            <v>2B</v>
          </cell>
          <cell r="X216" t="str">
            <v>12 meses</v>
          </cell>
          <cell r="Y216" t="str">
            <v>-</v>
          </cell>
          <cell r="Z216" t="str">
            <v>-</v>
          </cell>
          <cell r="AA216" t="str">
            <v>-</v>
          </cell>
          <cell r="AB216" t="str">
            <v>Ana Irene Mendez Vides</v>
          </cell>
          <cell r="AC216">
            <v>33526</v>
          </cell>
        </row>
        <row r="217">
          <cell r="A217" t="str">
            <v>D61A23</v>
          </cell>
          <cell r="B217" t="str">
            <v>Polane Spray Fil</v>
          </cell>
          <cell r="C217" t="str">
            <v>Interior</v>
          </cell>
          <cell r="D217" t="str">
            <v>Fibrex, Tablex, Durapanel, Plastico</v>
          </cell>
          <cell r="E217" t="str">
            <v>Limpia de Polvo, Grasa, Suciedad</v>
          </cell>
          <cell r="F217" t="str">
            <v>-</v>
          </cell>
          <cell r="G217" t="str">
            <v>13.9 Lbs/Gl</v>
          </cell>
          <cell r="H217" t="str">
            <v>61.01%</v>
          </cell>
          <cell r="I217" t="str">
            <v>70.42%</v>
          </cell>
          <cell r="J217" t="str">
            <v>9.41%</v>
          </cell>
          <cell r="K217" t="str">
            <v>68.8%</v>
          </cell>
          <cell r="L217" t="str">
            <v>43.83%</v>
          </cell>
          <cell r="M217" t="str">
            <v>45-55 Seg. Copa Ford #4</v>
          </cell>
          <cell r="N217" t="str">
            <v>Pistola</v>
          </cell>
          <cell r="O217" t="str">
            <v>15-22 Seg. Copa Ford #4</v>
          </cell>
          <cell r="P217" t="str">
            <v>20-25% con R7K84</v>
          </cell>
          <cell r="Q217" t="str">
            <v>R7K84</v>
          </cell>
          <cell r="R217" t="str">
            <v>1.5-2.5 Mills</v>
          </cell>
          <cell r="S217" t="str">
            <v>Al Tacto: 15 Min; Completo: 1 Hora; Lijar: 4 Horas.</v>
          </cell>
          <cell r="T217" t="str">
            <v>-</v>
          </cell>
          <cell r="U217" t="str">
            <v>57.62 Mts Cuadrados/Gl</v>
          </cell>
          <cell r="V217" t="str">
            <v>Mate</v>
          </cell>
          <cell r="W217" t="str">
            <v>-</v>
          </cell>
          <cell r="X217" t="str">
            <v>-</v>
          </cell>
          <cell r="Y217" t="str">
            <v>INCESA STANDARD</v>
          </cell>
          <cell r="Z217" t="str">
            <v>Tapaderas de Inodoros</v>
          </cell>
          <cell r="AA217" t="str">
            <v>Este producto deberá ser catalizado. 13 partes en volumen de D61A23 con 1 parte de catalizador V66V27 ó V66V29. Reducir la mezcla con 25% con R7K84</v>
          </cell>
          <cell r="AB217" t="str">
            <v>Rene Ferrufino</v>
          </cell>
          <cell r="AC217">
            <v>33585</v>
          </cell>
        </row>
        <row r="218">
          <cell r="A218" t="str">
            <v>E65A4</v>
          </cell>
          <cell r="B218" t="str">
            <v>Polane Primer Sealer</v>
          </cell>
          <cell r="C218" t="str">
            <v>Interior</v>
          </cell>
          <cell r="D218" t="str">
            <v>Fibrex, Tablex, Durapanel, Plastico</v>
          </cell>
          <cell r="E218" t="str">
            <v>Libre de Polvo. Lijada</v>
          </cell>
          <cell r="F218" t="str">
            <v>Polane Spray Fil (D61A23)</v>
          </cell>
          <cell r="G218" t="str">
            <v>9.42 Lbs/Gl</v>
          </cell>
          <cell r="H218" t="str">
            <v>28.24%</v>
          </cell>
          <cell r="I218" t="str">
            <v>43.68%</v>
          </cell>
          <cell r="J218" t="str">
            <v>15.14%</v>
          </cell>
          <cell r="K218" t="str">
            <v>43.1%</v>
          </cell>
          <cell r="L218" t="str">
            <v>26.05%</v>
          </cell>
          <cell r="M218" t="str">
            <v>30-50 Seg. Copa Ford #4</v>
          </cell>
          <cell r="N218" t="str">
            <v>Pistola</v>
          </cell>
          <cell r="O218" t="str">
            <v>15-22 Seg. Copa Ford #4</v>
          </cell>
          <cell r="P218" t="str">
            <v>15-20% con R7K84</v>
          </cell>
          <cell r="Q218" t="str">
            <v>R7K84</v>
          </cell>
          <cell r="R218" t="str">
            <v>1.0-1.25 Mills</v>
          </cell>
          <cell r="S218" t="str">
            <v>Tacto: 5-15 Min; Completo: 1 Hora; Lijable: 2 Horas.</v>
          </cell>
          <cell r="T218" t="str">
            <v>-</v>
          </cell>
          <cell r="U218" t="str">
            <v>35-40 Mts Cuadrados/Gl</v>
          </cell>
          <cell r="V218" t="str">
            <v>Mate</v>
          </cell>
          <cell r="W218" t="str">
            <v>-</v>
          </cell>
          <cell r="X218" t="str">
            <v>-</v>
          </cell>
          <cell r="Y218" t="str">
            <v>INCESA STANDARD</v>
          </cell>
          <cell r="Z218" t="str">
            <v>Tapaderas de Inodoros</v>
          </cell>
          <cell r="AA218" t="str">
            <v>Este producto deberá ser catalizado. 13 partes en volumen de E65A4 con 1 parte de catalizador V66V27 ó V66V29. Reducir la mezcla con 20% con R7K84</v>
          </cell>
          <cell r="AB218" t="str">
            <v>Rene Ferrufino</v>
          </cell>
          <cell r="AC218">
            <v>33585</v>
          </cell>
        </row>
        <row r="219">
          <cell r="A219" t="str">
            <v>F63W56</v>
          </cell>
          <cell r="B219" t="str">
            <v>Polane HS Enamel White</v>
          </cell>
          <cell r="C219" t="str">
            <v>Interior-Exterior</v>
          </cell>
          <cell r="D219" t="str">
            <v>Fibrex, Tablex, Durapanel, Plastico</v>
          </cell>
          <cell r="E219" t="str">
            <v>Libre de Polvo.</v>
          </cell>
          <cell r="F219" t="str">
            <v>Sistema D61A23/E65A4</v>
          </cell>
          <cell r="G219" t="str">
            <v>12.0 Lbs/Gl</v>
          </cell>
          <cell r="H219" t="str">
            <v>45.65%</v>
          </cell>
          <cell r="I219" t="str">
            <v>77.96%</v>
          </cell>
          <cell r="J219" t="str">
            <v>32.31%</v>
          </cell>
          <cell r="K219" t="str">
            <v>27.1%</v>
          </cell>
          <cell r="L219" t="str">
            <v>62.30%</v>
          </cell>
          <cell r="M219" t="str">
            <v>30-40 Seg. Copa SW #3</v>
          </cell>
          <cell r="N219" t="str">
            <v>Pistola</v>
          </cell>
          <cell r="O219" t="str">
            <v>15-22 Seg. Copa Ford #4</v>
          </cell>
          <cell r="P219" t="str">
            <v>25-35% con R7K84</v>
          </cell>
          <cell r="Q219" t="str">
            <v>R7K84</v>
          </cell>
          <cell r="R219" t="str">
            <v>1.25-1.5 Mills</v>
          </cell>
          <cell r="S219" t="str">
            <v>Al Tacto: 20 Min; Completo: 30 Min; Manejable: 8 Hrs.</v>
          </cell>
          <cell r="T219" t="str">
            <v>-</v>
          </cell>
          <cell r="U219" t="str">
            <v>80-90 Mts Cuadrados/Gl</v>
          </cell>
          <cell r="V219" t="str">
            <v>95-97</v>
          </cell>
          <cell r="W219" t="str">
            <v>-</v>
          </cell>
          <cell r="X219" t="str">
            <v>-</v>
          </cell>
          <cell r="Y219" t="str">
            <v>INCESA STANDARD</v>
          </cell>
          <cell r="Z219" t="str">
            <v>Tapaderas de Inodoros</v>
          </cell>
          <cell r="AA219" t="str">
            <v>Este Producto deberá ser catalizado: 2 partes en Vol. De F63W56 con 1 parte de catalizador V66V27 ó V66V29. Reducir la mezcla con 25-35% de R7K84.</v>
          </cell>
          <cell r="AB219" t="str">
            <v>Rene Ferrufino</v>
          </cell>
          <cell r="AC219">
            <v>33585</v>
          </cell>
        </row>
        <row r="220">
          <cell r="A220" t="str">
            <v>SAA 3742</v>
          </cell>
          <cell r="B220" t="str">
            <v xml:space="preserve">Barniz Interior Sanitario </v>
          </cell>
          <cell r="C220" t="str">
            <v>-</v>
          </cell>
          <cell r="D220" t="str">
            <v>Hojalata</v>
          </cell>
          <cell r="E220" t="str">
            <v>Limpiar con Solvente</v>
          </cell>
          <cell r="F220" t="str">
            <v>Ninguno</v>
          </cell>
          <cell r="G220" t="str">
            <v>8.77 Lbs/Gl</v>
          </cell>
          <cell r="H220" t="str">
            <v>-</v>
          </cell>
          <cell r="I220" t="str">
            <v>40%</v>
          </cell>
          <cell r="J220" t="str">
            <v>40%</v>
          </cell>
          <cell r="K220" t="str">
            <v>-</v>
          </cell>
          <cell r="L220" t="str">
            <v>36%</v>
          </cell>
          <cell r="M220" t="str">
            <v>120-130 KU</v>
          </cell>
          <cell r="N220" t="str">
            <v>Especial</v>
          </cell>
          <cell r="O220" t="str">
            <v>120-130KU</v>
          </cell>
          <cell r="P220" t="str">
            <v>-</v>
          </cell>
          <cell r="Q220" t="str">
            <v>-</v>
          </cell>
          <cell r="R220" t="str">
            <v>1.0 mills</v>
          </cell>
          <cell r="S220" t="str">
            <v>Al Horno</v>
          </cell>
          <cell r="T220" t="str">
            <v>12' a 190°</v>
          </cell>
          <cell r="U220" t="str">
            <v>640 Pies Cuadrados/Gl</v>
          </cell>
          <cell r="V220" t="str">
            <v>+100</v>
          </cell>
          <cell r="W220" t="str">
            <v>HB</v>
          </cell>
          <cell r="X220" t="str">
            <v>-</v>
          </cell>
          <cell r="Y220" t="str">
            <v>CORLASA</v>
          </cell>
          <cell r="Z220" t="str">
            <v>Corcholatas y Hojalatas</v>
          </cell>
          <cell r="AA220" t="str">
            <v>-</v>
          </cell>
          <cell r="AB220" t="str">
            <v>Luis Nolasco</v>
          </cell>
          <cell r="AC220">
            <v>33788</v>
          </cell>
        </row>
        <row r="221">
          <cell r="A221" t="str">
            <v>V76VSA12</v>
          </cell>
          <cell r="B221" t="str">
            <v>Barniz Para Tapacorona</v>
          </cell>
          <cell r="C221" t="str">
            <v>Exterior de Tapacoronas</v>
          </cell>
          <cell r="D221" t="str">
            <v>Hojalata</v>
          </cell>
          <cell r="E221" t="str">
            <v>Limpia</v>
          </cell>
          <cell r="F221" t="str">
            <v>Ninguno</v>
          </cell>
          <cell r="G221" t="str">
            <v>7.98 Lbs/Gl</v>
          </cell>
          <cell r="H221" t="str">
            <v>-</v>
          </cell>
          <cell r="I221" t="str">
            <v>42.5%</v>
          </cell>
          <cell r="J221" t="str">
            <v>42.5%</v>
          </cell>
          <cell r="K221" t="str">
            <v>-</v>
          </cell>
          <cell r="L221" t="str">
            <v>33.60%</v>
          </cell>
          <cell r="M221" t="str">
            <v>60 Seg. Copa Ford #4</v>
          </cell>
          <cell r="N221" t="str">
            <v>Rodillo</v>
          </cell>
          <cell r="O221" t="str">
            <v>60 Seg. Copa Ford #4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12 Min a 160°C</v>
          </cell>
          <cell r="U221" t="str">
            <v>-</v>
          </cell>
          <cell r="V221" t="str">
            <v>+90</v>
          </cell>
          <cell r="W221" t="str">
            <v>-</v>
          </cell>
          <cell r="X221" t="str">
            <v>12 meses</v>
          </cell>
          <cell r="Y221" t="str">
            <v>CORLASA</v>
          </cell>
          <cell r="Z221" t="str">
            <v>Tapas Coronas, Afiches, Etc.</v>
          </cell>
          <cell r="AA221" t="str">
            <v>-</v>
          </cell>
          <cell r="AB221" t="str">
            <v>Luis Nolasco</v>
          </cell>
          <cell r="AC221">
            <v>33788</v>
          </cell>
        </row>
        <row r="222">
          <cell r="A222" t="str">
            <v>SAA 3859</v>
          </cell>
          <cell r="B222" t="str">
            <v>Esmalte Horneable acrilico Blanco Almendra  MADECA</v>
          </cell>
          <cell r="C222" t="str">
            <v>Interior-Exterior Limitada</v>
          </cell>
          <cell r="D222" t="str">
            <v>Hierro</v>
          </cell>
          <cell r="E222" t="str">
            <v>Lavado, Desengrase y Fosfatizado</v>
          </cell>
          <cell r="F222" t="str">
            <v>E68WSA4 Acrylic Monobake White Primer</v>
          </cell>
          <cell r="G222" t="str">
            <v>10.06 Lbs/Gl</v>
          </cell>
          <cell r="H222" t="str">
            <v>53.08%</v>
          </cell>
          <cell r="I222" t="str">
            <v>54.86%</v>
          </cell>
          <cell r="J222" t="str">
            <v>46.92%</v>
          </cell>
          <cell r="K222" t="str">
            <v>25.5%</v>
          </cell>
          <cell r="L222" t="str">
            <v>35.02%</v>
          </cell>
          <cell r="M222" t="str">
            <v>100"-110" Copa Zanh #2</v>
          </cell>
          <cell r="N222" t="str">
            <v>Pistola</v>
          </cell>
          <cell r="O222" t="str">
            <v>25"-30" Copa Zanh #2</v>
          </cell>
          <cell r="P222" t="str">
            <v>20-25%</v>
          </cell>
          <cell r="Q222" t="str">
            <v>R2K4         Industrial reducer</v>
          </cell>
          <cell r="R222" t="str">
            <v>1.0-1.2 mills</v>
          </cell>
          <cell r="S222" t="str">
            <v>Al Horno</v>
          </cell>
          <cell r="T222" t="str">
            <v>15' a 350-400°F</v>
          </cell>
          <cell r="U222" t="str">
            <v>650-700 Pies Cuadrados/Gl a 1 mills de espesor</v>
          </cell>
          <cell r="V222" t="str">
            <v>+85</v>
          </cell>
          <cell r="W222" t="str">
            <v>2H-3H</v>
          </cell>
          <cell r="X222" t="str">
            <v>6-12 meses</v>
          </cell>
          <cell r="Y222" t="str">
            <v>MADECA</v>
          </cell>
          <cell r="Z222" t="str">
            <v>-</v>
          </cell>
          <cell r="AA222" t="str">
            <v>-</v>
          </cell>
          <cell r="AB222" t="str">
            <v>Rene Ferrufino</v>
          </cell>
          <cell r="AC222">
            <v>33856</v>
          </cell>
        </row>
        <row r="223">
          <cell r="A223" t="str">
            <v>SAA 3860</v>
          </cell>
          <cell r="B223" t="str">
            <v>Roller Coating Special White</v>
          </cell>
          <cell r="C223" t="str">
            <v>Exterior del Recipiente</v>
          </cell>
          <cell r="D223" t="str">
            <v>Hojalata</v>
          </cell>
          <cell r="E223" t="str">
            <v>Limpieza con Solvente</v>
          </cell>
          <cell r="F223" t="str">
            <v>Ninguno</v>
          </cell>
          <cell r="G223" t="str">
            <v>10.68 Lbs/Gl</v>
          </cell>
          <cell r="H223" t="str">
            <v>35%</v>
          </cell>
          <cell r="I223" t="str">
            <v>61.46%</v>
          </cell>
          <cell r="J223" t="str">
            <v>40.95%</v>
          </cell>
          <cell r="K223" t="str">
            <v>27.55%</v>
          </cell>
          <cell r="L223" t="str">
            <v>40.95%</v>
          </cell>
          <cell r="M223" t="str">
            <v>70"-80" Copa Ford #4</v>
          </cell>
          <cell r="N223" t="str">
            <v>Rodillo</v>
          </cell>
          <cell r="O223" t="str">
            <v>70"-80" Copa Ford #4</v>
          </cell>
          <cell r="P223" t="str">
            <v>Ninguno</v>
          </cell>
          <cell r="Q223" t="str">
            <v>-</v>
          </cell>
          <cell r="R223" t="str">
            <v>1.0 mills</v>
          </cell>
          <cell r="S223" t="str">
            <v>-</v>
          </cell>
          <cell r="T223" t="str">
            <v>15' a 360°F</v>
          </cell>
          <cell r="U223" t="str">
            <v>983.36 Pies Cuadrados/Gl a 1 mills de espesor</v>
          </cell>
          <cell r="V223" t="str">
            <v>+80</v>
          </cell>
          <cell r="W223" t="str">
            <v>-</v>
          </cell>
          <cell r="X223" t="str">
            <v>12 meses</v>
          </cell>
          <cell r="Y223" t="str">
            <v>TAPAMETAL-GUATEMALA</v>
          </cell>
          <cell r="Z223" t="str">
            <v>-</v>
          </cell>
          <cell r="AA223" t="str">
            <v>-</v>
          </cell>
          <cell r="AB223" t="str">
            <v>Luis Nolasco</v>
          </cell>
          <cell r="AC223">
            <v>33857</v>
          </cell>
        </row>
        <row r="224">
          <cell r="A224" t="str">
            <v>V76VSA16</v>
          </cell>
          <cell r="B224" t="str">
            <v>Barniz Horneable Exterior Para Tapacoronas</v>
          </cell>
          <cell r="C224" t="str">
            <v>Exterior</v>
          </cell>
          <cell r="D224" t="str">
            <v>Hojalata</v>
          </cell>
          <cell r="E224" t="str">
            <v>Limpia</v>
          </cell>
          <cell r="F224" t="str">
            <v>Ninguno</v>
          </cell>
          <cell r="G224" t="str">
            <v>8.03 Lbs/Gl</v>
          </cell>
          <cell r="H224" t="str">
            <v>-</v>
          </cell>
          <cell r="I224" t="str">
            <v>48.58%</v>
          </cell>
          <cell r="J224" t="str">
            <v>48.58%</v>
          </cell>
          <cell r="K224" t="str">
            <v>-</v>
          </cell>
          <cell r="L224" t="str">
            <v>40.40%</v>
          </cell>
          <cell r="M224" t="str">
            <v>50"-55" Copa SW #3</v>
          </cell>
          <cell r="N224" t="str">
            <v>Rodillo</v>
          </cell>
          <cell r="O224" t="str">
            <v>50"-55" Copa SW #3</v>
          </cell>
          <cell r="P224" t="str">
            <v>-</v>
          </cell>
          <cell r="Q224" t="str">
            <v>-</v>
          </cell>
          <cell r="R224" t="str">
            <v>1 mills</v>
          </cell>
          <cell r="S224" t="str">
            <v>Al Horno</v>
          </cell>
          <cell r="T224" t="str">
            <v>12' a 190°C</v>
          </cell>
          <cell r="U224" t="str">
            <v>777 Mts Cuadrados/Gl a 1 mills de espesor.</v>
          </cell>
          <cell r="V224" t="str">
            <v>+90</v>
          </cell>
          <cell r="W224" t="str">
            <v>H</v>
          </cell>
          <cell r="X224" t="str">
            <v>6-12 meses</v>
          </cell>
          <cell r="Y224" t="str">
            <v>TAPAMETAL-GUATEMALA</v>
          </cell>
          <cell r="Z224" t="str">
            <v>Baterias-Afiches de Hojalata</v>
          </cell>
          <cell r="AA224" t="str">
            <v>-</v>
          </cell>
          <cell r="AB224" t="str">
            <v>Luis Nolasco</v>
          </cell>
          <cell r="AC224">
            <v>33897</v>
          </cell>
        </row>
        <row r="225">
          <cell r="A225" t="str">
            <v>SAA 3877</v>
          </cell>
          <cell r="B225" t="str">
            <v>Esmalte Horneable Alquidico Blanco.</v>
          </cell>
          <cell r="C225" t="str">
            <v>Interior-Exterior</v>
          </cell>
          <cell r="D225" t="str">
            <v>Lamina de Hierro</v>
          </cell>
          <cell r="E225" t="str">
            <v>Limpiar con Solvente</v>
          </cell>
          <cell r="F225" t="str">
            <v>Ninguno</v>
          </cell>
          <cell r="G225" t="str">
            <v>10.04 Lbs/Gl</v>
          </cell>
          <cell r="H225" t="str">
            <v>25-64%</v>
          </cell>
          <cell r="I225" t="str">
            <v>58.03%</v>
          </cell>
          <cell r="J225" t="str">
            <v>43.56%</v>
          </cell>
          <cell r="K225" t="str">
            <v>18.39%</v>
          </cell>
          <cell r="L225" t="str">
            <v>41.87%</v>
          </cell>
          <cell r="M225" t="str">
            <v>100"-110" Copa Zanh #2</v>
          </cell>
          <cell r="N225" t="str">
            <v>Pistola</v>
          </cell>
          <cell r="O225" t="str">
            <v>20-25 seg. Copa Zanh #2</v>
          </cell>
          <cell r="P225" t="str">
            <v>20-25%</v>
          </cell>
          <cell r="Q225" t="str">
            <v>R2K4         Industrial reducer</v>
          </cell>
          <cell r="R225" t="str">
            <v>1.0-1.2 mills</v>
          </cell>
          <cell r="S225" t="str">
            <v>Al horno</v>
          </cell>
          <cell r="T225" t="str">
            <v>15' a 300°F</v>
          </cell>
          <cell r="U225" t="str">
            <v>628.48 Pies Cuadrados/Gl a un mills de espesor</v>
          </cell>
          <cell r="V225" t="str">
            <v>+85</v>
          </cell>
          <cell r="W225" t="str">
            <v>H</v>
          </cell>
          <cell r="X225" t="str">
            <v>6-12 meses</v>
          </cell>
          <cell r="Y225" t="str">
            <v>Silvania-Costa Rica</v>
          </cell>
          <cell r="Z225" t="str">
            <v>Lamparas</v>
          </cell>
          <cell r="AA225" t="str">
            <v>-</v>
          </cell>
          <cell r="AB225" t="str">
            <v>Luis Nolasco</v>
          </cell>
          <cell r="AC225">
            <v>33903</v>
          </cell>
        </row>
        <row r="226">
          <cell r="A226" t="str">
            <v>H87TSA1 (2)</v>
          </cell>
          <cell r="B226" t="str">
            <v>Laca Transparente Para Cuero</v>
          </cell>
          <cell r="C226" t="str">
            <v>Interior-Exterior</v>
          </cell>
          <cell r="D226" t="str">
            <v>Cuero</v>
          </cell>
          <cell r="E226" t="str">
            <v>Limpiar con R2K4</v>
          </cell>
          <cell r="F226" t="str">
            <v>Laca de Color</v>
          </cell>
          <cell r="G226" t="str">
            <v>7.84 Lbs/Gl</v>
          </cell>
          <cell r="H226" t="str">
            <v>-</v>
          </cell>
          <cell r="I226" t="str">
            <v>23.47%</v>
          </cell>
          <cell r="J226" t="str">
            <v>23.47%</v>
          </cell>
          <cell r="K226" t="str">
            <v>-</v>
          </cell>
          <cell r="L226" t="str">
            <v>16.68%</v>
          </cell>
          <cell r="M226" t="str">
            <v>85-95 KU (Unidades Kress)</v>
          </cell>
          <cell r="N226" t="str">
            <v>Pistola Convencional</v>
          </cell>
          <cell r="O226" t="str">
            <v>18-20 Seg. Copa Zanh #2</v>
          </cell>
          <cell r="P226" t="str">
            <v>100-150%</v>
          </cell>
          <cell r="Q226" t="str">
            <v>R7K128</v>
          </cell>
          <cell r="R226" t="str">
            <v>1.5 mills Seca</v>
          </cell>
          <cell r="S226" t="str">
            <v>Seco Tocar: 45 Min.; Seco Completo: 1 1/2 Horas.</v>
          </cell>
          <cell r="T226" t="str">
            <v>-</v>
          </cell>
          <cell r="U226" t="str">
            <v>272 Pies Cuadrados/Gl</v>
          </cell>
          <cell r="V226" t="str">
            <v>+85</v>
          </cell>
          <cell r="W226" t="str">
            <v>-</v>
          </cell>
          <cell r="X226" t="str">
            <v>1 año</v>
          </cell>
          <cell r="Y226" t="str">
            <v>ADOC (TENERIA)</v>
          </cell>
          <cell r="Z226" t="str">
            <v>Artículos de Cuero</v>
          </cell>
          <cell r="AA226" t="str">
            <v>-</v>
          </cell>
          <cell r="AB226" t="str">
            <v>Rene Ferrufino</v>
          </cell>
          <cell r="AC226">
            <v>33904</v>
          </cell>
        </row>
        <row r="227">
          <cell r="A227" t="str">
            <v>H87TSA2</v>
          </cell>
          <cell r="B227" t="str">
            <v>Laca Especial Para Cuero Transparente (Secado Rápido)</v>
          </cell>
          <cell r="C227" t="str">
            <v>Interior-Exterior</v>
          </cell>
          <cell r="D227" t="str">
            <v>Cuero</v>
          </cell>
          <cell r="E227" t="str">
            <v>Limpiar con R2K4</v>
          </cell>
          <cell r="F227" t="str">
            <v>Laca de Color</v>
          </cell>
          <cell r="G227" t="str">
            <v>7.81 Lbs/Gl</v>
          </cell>
          <cell r="H227" t="str">
            <v>-</v>
          </cell>
          <cell r="I227" t="str">
            <v>34.50%</v>
          </cell>
          <cell r="J227" t="str">
            <v>34.50%</v>
          </cell>
          <cell r="K227" t="str">
            <v>-</v>
          </cell>
          <cell r="L227" t="str">
            <v>26.90%</v>
          </cell>
          <cell r="M227" t="str">
            <v>85-95 KU (Unidades Kress)</v>
          </cell>
          <cell r="N227" t="str">
            <v>Pistola Convencional</v>
          </cell>
          <cell r="O227" t="str">
            <v>18-20 Seg. Copa Zanh #2</v>
          </cell>
          <cell r="P227" t="str">
            <v>100-150%</v>
          </cell>
          <cell r="Q227" t="str">
            <v>R7K128</v>
          </cell>
          <cell r="R227" t="str">
            <v>1.5 mills Seca</v>
          </cell>
          <cell r="S227" t="str">
            <v>Seco Tocar: 5 Min.; Seco Completo: 20 min.</v>
          </cell>
          <cell r="T227" t="str">
            <v>-</v>
          </cell>
          <cell r="U227" t="str">
            <v>450 Pies Cuadrados/Gl</v>
          </cell>
          <cell r="V227" t="str">
            <v>+85</v>
          </cell>
          <cell r="W227" t="str">
            <v>-</v>
          </cell>
          <cell r="X227" t="str">
            <v>1 año</v>
          </cell>
          <cell r="Y227" t="str">
            <v>ADOC (TENERIA)</v>
          </cell>
          <cell r="Z227" t="str">
            <v>Artículos de Cuero</v>
          </cell>
          <cell r="AA227" t="str">
            <v>-</v>
          </cell>
          <cell r="AB227" t="str">
            <v>Rene Ferrufino</v>
          </cell>
          <cell r="AC227">
            <v>33904</v>
          </cell>
        </row>
        <row r="228">
          <cell r="A228" t="str">
            <v>SAA 3862</v>
          </cell>
          <cell r="B228" t="str">
            <v xml:space="preserve">Esmalte Horneable Alquidico Amarillo  </v>
          </cell>
          <cell r="C228" t="str">
            <v>Interior-Exterior</v>
          </cell>
          <cell r="D228" t="str">
            <v>Hierro</v>
          </cell>
          <cell r="E228" t="str">
            <v>Limpieza con Solvente</v>
          </cell>
          <cell r="F228" t="str">
            <v>Ninguno</v>
          </cell>
          <cell r="G228" t="str">
            <v>10.18 Lbs/Gl</v>
          </cell>
          <cell r="H228" t="str">
            <v>25.48%</v>
          </cell>
          <cell r="I228" t="str">
            <v>58.44%</v>
          </cell>
          <cell r="J228" t="str">
            <v>32.96%</v>
          </cell>
          <cell r="K228" t="str">
            <v>15.53%</v>
          </cell>
          <cell r="L228" t="str">
            <v>38.62%</v>
          </cell>
          <cell r="M228" t="str">
            <v>100"-110" Copa Zanh #2</v>
          </cell>
          <cell r="N228" t="str">
            <v>Pistola</v>
          </cell>
          <cell r="O228" t="str">
            <v>20-25 seg. Copa Zanh #2</v>
          </cell>
          <cell r="P228" t="str">
            <v>20-25%</v>
          </cell>
          <cell r="Q228" t="str">
            <v>R2K4         Industrial reducer</v>
          </cell>
          <cell r="R228" t="str">
            <v>1.0-1.2 mills</v>
          </cell>
          <cell r="S228" t="str">
            <v>Al horno</v>
          </cell>
          <cell r="T228" t="str">
            <v>15' a 300°F</v>
          </cell>
          <cell r="U228" t="str">
            <v xml:space="preserve">617.92 Pies Cuadrados/Gl </v>
          </cell>
          <cell r="V228" t="str">
            <v>+85</v>
          </cell>
          <cell r="W228" t="str">
            <v>H</v>
          </cell>
          <cell r="X228" t="str">
            <v>6-12 meses</v>
          </cell>
          <cell r="Y228" t="str">
            <v>Van Leer-Nicaragua</v>
          </cell>
          <cell r="Z228" t="str">
            <v>Barriles de Hierro</v>
          </cell>
          <cell r="AA228" t="str">
            <v>-</v>
          </cell>
          <cell r="AB228" t="str">
            <v>Beatriz Sandoval</v>
          </cell>
          <cell r="AC228">
            <v>33905</v>
          </cell>
        </row>
        <row r="229">
          <cell r="A229" t="str">
            <v>SAA 3884</v>
          </cell>
          <cell r="B229" t="str">
            <v>Esmalte Horneable Alquídico Azul Metálico Martillado</v>
          </cell>
          <cell r="C229" t="str">
            <v>Interior-Exterior</v>
          </cell>
          <cell r="D229" t="str">
            <v>Lamina de Hierro</v>
          </cell>
          <cell r="E229" t="str">
            <v>Lavado y Desengrase</v>
          </cell>
          <cell r="F229" t="str">
            <v>Ninguno</v>
          </cell>
          <cell r="G229" t="str">
            <v>8.12 Lbs/Gl</v>
          </cell>
          <cell r="H229" t="str">
            <v>3.2%</v>
          </cell>
          <cell r="I229" t="str">
            <v>44.5%</v>
          </cell>
          <cell r="J229" t="str">
            <v>42.67%</v>
          </cell>
          <cell r="K229" t="str">
            <v>1.95%</v>
          </cell>
          <cell r="L229" t="str">
            <v>35.41%</v>
          </cell>
          <cell r="M229" t="str">
            <v>70-80 En Copa Zanh #2</v>
          </cell>
          <cell r="N229" t="str">
            <v>Pistola</v>
          </cell>
          <cell r="O229" t="str">
            <v>Listo para Usar</v>
          </cell>
          <cell r="P229" t="str">
            <v>Ninguno</v>
          </cell>
          <cell r="Q229" t="str">
            <v>R2K4 Industrial Reducer si Fuera Necesario</v>
          </cell>
          <cell r="R229" t="str">
            <v>1.5-2.0 mills</v>
          </cell>
          <cell r="S229" t="str">
            <v>Al Horno</v>
          </cell>
          <cell r="T229" t="str">
            <v>15' a 300°F</v>
          </cell>
          <cell r="U229" t="str">
            <v>712 Pies cuadrados/Gl</v>
          </cell>
          <cell r="V229" t="str">
            <v>30-40</v>
          </cell>
          <cell r="W229" t="str">
            <v>H</v>
          </cell>
          <cell r="X229" t="str">
            <v>6-12 meses</v>
          </cell>
          <cell r="Y229" t="str">
            <v>Corporación Industrial Americana-Honduras</v>
          </cell>
          <cell r="Z229" t="str">
            <v>Piezas Metálicas</v>
          </cell>
          <cell r="AA229" t="str">
            <v>-</v>
          </cell>
          <cell r="AB229" t="str">
            <v>Luis Nolasco</v>
          </cell>
          <cell r="AC229">
            <v>33920</v>
          </cell>
        </row>
        <row r="230">
          <cell r="A230" t="str">
            <v>P66YC1</v>
          </cell>
          <cell r="B230" t="str">
            <v>Superclad Primer</v>
          </cell>
          <cell r="C230" t="str">
            <v>Primer</v>
          </cell>
          <cell r="D230" t="str">
            <v>Lamina Galvanizada</v>
          </cell>
          <cell r="E230" t="str">
            <v>Limpia con Solvente R7K156</v>
          </cell>
          <cell r="F230" t="str">
            <v>Ninguno</v>
          </cell>
          <cell r="G230" t="str">
            <v>9.34 Lbs/Gl</v>
          </cell>
          <cell r="H230" t="str">
            <v>18.16%</v>
          </cell>
          <cell r="I230" t="str">
            <v>42.62%</v>
          </cell>
          <cell r="J230" t="str">
            <v>81.84%</v>
          </cell>
          <cell r="K230" t="str">
            <v>19.2%</v>
          </cell>
          <cell r="L230" t="str">
            <v>27.09%</v>
          </cell>
          <cell r="M230" t="str">
            <v>25-35 Copa Zanh #4</v>
          </cell>
          <cell r="N230" t="str">
            <v>Atomización con Pistola Convencional (Rociado)</v>
          </cell>
          <cell r="O230" t="str">
            <v>18"-22" Copa Zanh #2</v>
          </cell>
          <cell r="P230" t="str">
            <v>100%</v>
          </cell>
          <cell r="Q230" t="str">
            <v>R7KSA15</v>
          </cell>
          <cell r="R230" t="str">
            <v>0.1-0.2 mills</v>
          </cell>
          <cell r="S230" t="str">
            <v>Horno</v>
          </cell>
          <cell r="T230" t="str">
            <v>1 Minuto a 450°F</v>
          </cell>
          <cell r="U230" t="str">
            <v>270 Mts Cuadrados/Gl a 0.15 mills Seco</v>
          </cell>
          <cell r="V230" t="str">
            <v>Mate</v>
          </cell>
          <cell r="W230" t="str">
            <v>-</v>
          </cell>
          <cell r="X230" t="str">
            <v>6 meses</v>
          </cell>
          <cell r="Y230" t="str">
            <v>METALCO (Costa Rica)</v>
          </cell>
          <cell r="Z230" t="str">
            <v>Laminas Esmaltadas</v>
          </cell>
          <cell r="AA230" t="str">
            <v>-</v>
          </cell>
          <cell r="AB230" t="str">
            <v>Rene Ferrufino</v>
          </cell>
          <cell r="AC230">
            <v>33928</v>
          </cell>
        </row>
        <row r="231">
          <cell r="A231" t="str">
            <v>SAA 3889</v>
          </cell>
          <cell r="B231" t="str">
            <v>Permaclad 1700 Marfil Metálico</v>
          </cell>
          <cell r="C231" t="str">
            <v>Interior-Exterior</v>
          </cell>
          <cell r="D231" t="str">
            <v>Lamina Galvanizada</v>
          </cell>
          <cell r="E231" t="str">
            <v>Limpia con Solvente Sher Will Clean R7K156</v>
          </cell>
          <cell r="F231" t="str">
            <v>Superclad Primer (P66YC1)</v>
          </cell>
          <cell r="G231" t="str">
            <v>9.66 Lbs/Gl</v>
          </cell>
          <cell r="H231" t="str">
            <v>20.12%</v>
          </cell>
          <cell r="I231" t="str">
            <v>51.96%</v>
          </cell>
          <cell r="J231" t="str">
            <v>79.88%</v>
          </cell>
          <cell r="K231" t="str">
            <v>9.95%</v>
          </cell>
          <cell r="L231" t="str">
            <v>38.3%</v>
          </cell>
          <cell r="M231" t="str">
            <v>65-70 KU</v>
          </cell>
          <cell r="N231" t="str">
            <v>Atomización con Pistola Convencional (Rociado)</v>
          </cell>
          <cell r="O231" t="str">
            <v>18"-22" Copa Zanh #2</v>
          </cell>
          <cell r="P231" t="str">
            <v>20-25%</v>
          </cell>
          <cell r="Q231" t="str">
            <v>R2K4         Industrial reducer</v>
          </cell>
          <cell r="R231" t="str">
            <v>1.2-1.3 mills</v>
          </cell>
          <cell r="S231" t="str">
            <v>Al Horno</v>
          </cell>
          <cell r="T231" t="str">
            <v>1 Minuto a 450°F</v>
          </cell>
          <cell r="U231" t="str">
            <v>510 Pies Cuadrados/Gl</v>
          </cell>
          <cell r="V231" t="str">
            <v>90-92 unidades</v>
          </cell>
          <cell r="W231" t="str">
            <v>H-2H</v>
          </cell>
          <cell r="X231" t="str">
            <v>6 meses</v>
          </cell>
          <cell r="Y231" t="str">
            <v>METALCO (Costa Rica)</v>
          </cell>
          <cell r="Z231" t="str">
            <v>Laminas Esmaltadas</v>
          </cell>
          <cell r="AA231" t="str">
            <v>-</v>
          </cell>
          <cell r="AB231" t="str">
            <v>Rene Ferrufino</v>
          </cell>
          <cell r="AC231">
            <v>33928</v>
          </cell>
        </row>
        <row r="232">
          <cell r="A232" t="str">
            <v>SAA 3880</v>
          </cell>
          <cell r="B232" t="str">
            <v>Sellador Ultra Concentrado</v>
          </cell>
          <cell r="C232" t="str">
            <v>Interior</v>
          </cell>
          <cell r="D232" t="str">
            <v>Madera</v>
          </cell>
          <cell r="E232" t="str">
            <v>Lijada</v>
          </cell>
          <cell r="F232" t="str">
            <v>D70T1 Sherwood Fast Drying Semi Paste Wood Filler</v>
          </cell>
          <cell r="G232" t="str">
            <v>7.77 Lbs/Gl</v>
          </cell>
          <cell r="H232" t="str">
            <v>-</v>
          </cell>
          <cell r="I232" t="str">
            <v>29.5%</v>
          </cell>
          <cell r="J232" t="str">
            <v>29.5%</v>
          </cell>
          <cell r="K232" t="str">
            <v>-</v>
          </cell>
          <cell r="L232" t="str">
            <v>22.5%</v>
          </cell>
          <cell r="M232" t="str">
            <v>280,000-290,000 CPS</v>
          </cell>
          <cell r="N232" t="str">
            <v>Pistola</v>
          </cell>
          <cell r="O232" t="str">
            <v>20-25 seg. Copa Zanh #2</v>
          </cell>
          <cell r="P232" t="str">
            <v>650-700%</v>
          </cell>
          <cell r="Q232" t="str">
            <v>R7K128</v>
          </cell>
          <cell r="R232" t="str">
            <v>0.8 mills Seco</v>
          </cell>
          <cell r="S232" t="str">
            <v>Al Tacto 5-10 Min; Para Manipular: 15 Min.</v>
          </cell>
          <cell r="T232" t="str">
            <v>-</v>
          </cell>
          <cell r="U232" t="str">
            <v>44 Mts Cuadrados/Gl a 1 mills</v>
          </cell>
          <cell r="V232" t="str">
            <v>Mate</v>
          </cell>
          <cell r="W232" t="str">
            <v>-</v>
          </cell>
          <cell r="X232" t="str">
            <v>1 Año</v>
          </cell>
          <cell r="Y232" t="str">
            <v>Talleres de Muebles de Madera.</v>
          </cell>
          <cell r="Z232" t="str">
            <v>Muebles de Madera.</v>
          </cell>
          <cell r="AA232" t="str">
            <v>-</v>
          </cell>
          <cell r="AB232" t="str">
            <v>Rene Ferrufino</v>
          </cell>
          <cell r="AC232">
            <v>33933</v>
          </cell>
        </row>
        <row r="233">
          <cell r="A233" t="str">
            <v>SAA 3892</v>
          </cell>
          <cell r="B233" t="str">
            <v>Esmalte Horneable Alquidico Amarillo Especial</v>
          </cell>
          <cell r="C233" t="str">
            <v>Interior-Exterior</v>
          </cell>
          <cell r="D233" t="str">
            <v>Hierro</v>
          </cell>
          <cell r="E233" t="str">
            <v>Limpieza con Solvente</v>
          </cell>
          <cell r="F233" t="str">
            <v>Ninguno</v>
          </cell>
          <cell r="G233" t="str">
            <v>9.25 Lbs/Gl</v>
          </cell>
          <cell r="H233" t="str">
            <v>37.32%</v>
          </cell>
          <cell r="I233" t="str">
            <v>56.73%</v>
          </cell>
          <cell r="J233" t="str">
            <v>19.41%</v>
          </cell>
          <cell r="K233" t="str">
            <v>11.95%</v>
          </cell>
          <cell r="L233" t="str">
            <v>38.47%</v>
          </cell>
          <cell r="M233" t="str">
            <v>100"-110" Copa Zanh #2</v>
          </cell>
          <cell r="N233" t="str">
            <v>Pistola</v>
          </cell>
          <cell r="O233" t="str">
            <v>20-25 seg. Copa Zanh #2</v>
          </cell>
          <cell r="P233" t="str">
            <v>20-25%</v>
          </cell>
          <cell r="Q233" t="str">
            <v>R2K4         Industrial reducer</v>
          </cell>
          <cell r="R233" t="str">
            <v>1.0-1.2 mills</v>
          </cell>
          <cell r="S233" t="str">
            <v>Al horno</v>
          </cell>
          <cell r="T233" t="str">
            <v>15' a 300°F</v>
          </cell>
          <cell r="U233" t="str">
            <v xml:space="preserve">618.48 Pies Cuadrados/Gl a un mills de espesor </v>
          </cell>
          <cell r="V233" t="str">
            <v>+85</v>
          </cell>
          <cell r="W233" t="str">
            <v>2H</v>
          </cell>
          <cell r="X233" t="str">
            <v>6-12 meses</v>
          </cell>
          <cell r="Y233" t="str">
            <v>SW Honduras</v>
          </cell>
          <cell r="Z233" t="str">
            <v>Muebles de Hierro</v>
          </cell>
          <cell r="AA233" t="str">
            <v>-</v>
          </cell>
          <cell r="AB233" t="str">
            <v>Beatriz Sandoval</v>
          </cell>
          <cell r="AC233">
            <v>33933</v>
          </cell>
        </row>
        <row r="234">
          <cell r="A234" t="str">
            <v>SAA 3894</v>
          </cell>
          <cell r="B234" t="str">
            <v>Esmalte Horneable Alquídico Azul intenso Martillado</v>
          </cell>
          <cell r="C234" t="str">
            <v>Interior-Exterior</v>
          </cell>
          <cell r="D234" t="str">
            <v>Lamina de Hierro</v>
          </cell>
          <cell r="E234" t="str">
            <v xml:space="preserve">Lavado con Solvente R7K156 </v>
          </cell>
          <cell r="F234" t="str">
            <v>Ninguno</v>
          </cell>
          <cell r="G234" t="str">
            <v>8.57 Lbs/Gl</v>
          </cell>
          <cell r="H234" t="str">
            <v>19.4%</v>
          </cell>
          <cell r="I234" t="str">
            <v>47.2%</v>
          </cell>
          <cell r="J234" t="str">
            <v>27.8%</v>
          </cell>
          <cell r="K234" t="str">
            <v>9.4%</v>
          </cell>
          <cell r="L234" t="str">
            <v>36.18%</v>
          </cell>
          <cell r="M234" t="str">
            <v>100"-110" Copa Zanh #2</v>
          </cell>
          <cell r="N234" t="str">
            <v>Pistola</v>
          </cell>
          <cell r="O234" t="str">
            <v>20-25 seg. Copa Zanh #2</v>
          </cell>
          <cell r="P234" t="str">
            <v>20-25%</v>
          </cell>
          <cell r="Q234" t="str">
            <v>R2K4 Industrial Reducer si Fuera Necesario</v>
          </cell>
          <cell r="R234" t="str">
            <v>1.2 mills</v>
          </cell>
          <cell r="S234" t="str">
            <v>Al Horno</v>
          </cell>
          <cell r="T234" t="str">
            <v>15' a 300°F</v>
          </cell>
          <cell r="U234" t="str">
            <v>53.8 Mts Cuadrados/Gl</v>
          </cell>
          <cell r="V234" t="str">
            <v>80</v>
          </cell>
          <cell r="W234" t="str">
            <v>H</v>
          </cell>
          <cell r="X234" t="str">
            <v>6 meses</v>
          </cell>
          <cell r="Y234" t="str">
            <v>SW Honduras</v>
          </cell>
          <cell r="Z234" t="str">
            <v>Muebles de Hierro</v>
          </cell>
          <cell r="AA234" t="str">
            <v>-</v>
          </cell>
          <cell r="AB234" t="str">
            <v>Rene Ferrufino</v>
          </cell>
          <cell r="AC234">
            <v>33940</v>
          </cell>
        </row>
        <row r="235">
          <cell r="A235" t="str">
            <v>SAA 3895</v>
          </cell>
          <cell r="B235" t="str">
            <v>Esmalte Horneable acrílico Verde Tappan</v>
          </cell>
          <cell r="C235" t="str">
            <v>Interior-Exterior Limitada</v>
          </cell>
          <cell r="D235" t="str">
            <v>Hierro</v>
          </cell>
          <cell r="E235" t="str">
            <v>Lavado, Desengrase y Fosfatizado</v>
          </cell>
          <cell r="F235" t="str">
            <v>E68WSA4 Acrylic Monobake White Primer</v>
          </cell>
          <cell r="G235" t="str">
            <v>8.58 Lbs/Gl</v>
          </cell>
          <cell r="H235" t="str">
            <v>12.70%</v>
          </cell>
          <cell r="I235" t="str">
            <v>44.94%</v>
          </cell>
          <cell r="J235" t="str">
            <v>36.94%</v>
          </cell>
          <cell r="K235" t="str">
            <v>9.65%</v>
          </cell>
          <cell r="L235" t="str">
            <v>34.81%</v>
          </cell>
          <cell r="M235" t="str">
            <v>100"-110" Copa Zanh #2</v>
          </cell>
          <cell r="N235" t="str">
            <v>Pistola</v>
          </cell>
          <cell r="O235" t="str">
            <v>25"-30" Copa Zanh #2</v>
          </cell>
          <cell r="P235" t="str">
            <v>20-25%</v>
          </cell>
          <cell r="Q235" t="str">
            <v>R2K4         Industrial reducer</v>
          </cell>
          <cell r="R235" t="str">
            <v>1.0-1.2 mills</v>
          </cell>
          <cell r="S235" t="str">
            <v>Al Horno</v>
          </cell>
          <cell r="T235" t="str">
            <v>15' a 350-400°F</v>
          </cell>
          <cell r="U235" t="str">
            <v>719.04 Pies Cuadrados/Gl a 1 mills de espesor</v>
          </cell>
          <cell r="V235" t="str">
            <v>+85</v>
          </cell>
          <cell r="W235" t="str">
            <v>2H-3H</v>
          </cell>
          <cell r="X235" t="str">
            <v>6-12 meses</v>
          </cell>
          <cell r="Y235" t="str">
            <v>TAPPAN-GUATEMALA</v>
          </cell>
          <cell r="Z235" t="str">
            <v>Cocinas</v>
          </cell>
          <cell r="AA235" t="str">
            <v>-</v>
          </cell>
          <cell r="AB235" t="str">
            <v>Luis Nolasco</v>
          </cell>
          <cell r="AC235">
            <v>33942</v>
          </cell>
        </row>
        <row r="236">
          <cell r="A236" t="str">
            <v>SAA 3896</v>
          </cell>
          <cell r="B236" t="str">
            <v>Esmalte Horneable Alquidico Rojo Esso</v>
          </cell>
          <cell r="C236" t="str">
            <v>Interior-Exterior</v>
          </cell>
          <cell r="D236" t="str">
            <v>Barrilles</v>
          </cell>
          <cell r="E236" t="str">
            <v>Limpieza con Solvente</v>
          </cell>
          <cell r="F236" t="str">
            <v>Ninguno</v>
          </cell>
          <cell r="G236" t="str">
            <v>8.47 Lbs/Gl</v>
          </cell>
          <cell r="H236" t="str">
            <v>15.54%</v>
          </cell>
          <cell r="I236" t="str">
            <v>46.06%</v>
          </cell>
          <cell r="J236" t="str">
            <v>30.82%</v>
          </cell>
          <cell r="K236" t="str">
            <v>4.91%</v>
          </cell>
          <cell r="L236" t="str">
            <v>34.76%</v>
          </cell>
          <cell r="M236" t="str">
            <v>100"-110" Copa Zanh #2</v>
          </cell>
          <cell r="N236" t="str">
            <v>Pistola</v>
          </cell>
          <cell r="O236" t="str">
            <v>20-25 seg. Copa Zanh #2</v>
          </cell>
          <cell r="P236" t="str">
            <v>25-30%</v>
          </cell>
          <cell r="Q236" t="str">
            <v>R2K4         Industrial reducer</v>
          </cell>
          <cell r="R236" t="str">
            <v>0.8-0.9 mills</v>
          </cell>
          <cell r="S236" t="str">
            <v>Al horno</v>
          </cell>
          <cell r="T236" t="str">
            <v>15' a 300°F</v>
          </cell>
          <cell r="U236" t="str">
            <v xml:space="preserve">556.16 Pies Cuadrados/Gl </v>
          </cell>
          <cell r="V236" t="str">
            <v>+85</v>
          </cell>
          <cell r="W236" t="str">
            <v>2H</v>
          </cell>
          <cell r="X236" t="str">
            <v>6 meses</v>
          </cell>
          <cell r="Y236" t="str">
            <v>Van Leer-Guatemala</v>
          </cell>
          <cell r="Z236" t="str">
            <v>Barriles de Hierro</v>
          </cell>
          <cell r="AA236" t="str">
            <v>-</v>
          </cell>
          <cell r="AB236" t="str">
            <v>Beatriz Sandoval</v>
          </cell>
          <cell r="AC236">
            <v>33945</v>
          </cell>
        </row>
        <row r="237">
          <cell r="A237" t="str">
            <v>SAA 3897</v>
          </cell>
          <cell r="B237" t="str">
            <v>Esmalte Horneable Alquidico Beige Siemens</v>
          </cell>
          <cell r="C237" t="str">
            <v>Interior-Exterior</v>
          </cell>
          <cell r="D237" t="str">
            <v>Lámina de Hierro</v>
          </cell>
          <cell r="E237" t="str">
            <v xml:space="preserve">Lavado con Solvente R7K156 </v>
          </cell>
          <cell r="F237" t="str">
            <v>E68WSA1 (Monobake Primer)</v>
          </cell>
          <cell r="G237" t="str">
            <v>8.98 Lbs/Gl</v>
          </cell>
          <cell r="H237" t="str">
            <v>25.4%</v>
          </cell>
          <cell r="I237" t="str">
            <v>49.2%</v>
          </cell>
          <cell r="J237" t="str">
            <v>23.2%</v>
          </cell>
          <cell r="K237" t="str">
            <v>9.5%</v>
          </cell>
          <cell r="L237" t="str">
            <v>36.9%</v>
          </cell>
          <cell r="M237" t="str">
            <v>80"-90" Copa zanh #2</v>
          </cell>
          <cell r="N237" t="str">
            <v>Pistola Convencional</v>
          </cell>
          <cell r="O237" t="str">
            <v>20"-25" Copa Zanh #2</v>
          </cell>
          <cell r="P237" t="str">
            <v>20-25%</v>
          </cell>
          <cell r="Q237" t="str">
            <v>R2K4         Industrial reducer</v>
          </cell>
          <cell r="R237" t="str">
            <v>1.2 mills seco</v>
          </cell>
          <cell r="S237" t="str">
            <v>Al horno</v>
          </cell>
          <cell r="T237" t="str">
            <v>15' a 300°F</v>
          </cell>
          <cell r="U237" t="str">
            <v>495 Pies Cuadrados/Gl. 45.72 Mts Cuadrados/Gl</v>
          </cell>
          <cell r="V237" t="str">
            <v>89 unidades</v>
          </cell>
          <cell r="W237" t="str">
            <v>H</v>
          </cell>
          <cell r="X237" t="str">
            <v>6 meses</v>
          </cell>
          <cell r="Y237" t="str">
            <v>Siemens-Nicaragua</v>
          </cell>
          <cell r="Z237" t="str">
            <v>Hardware</v>
          </cell>
          <cell r="AA237" t="str">
            <v>-</v>
          </cell>
          <cell r="AB237" t="str">
            <v>Rene Ferrufino</v>
          </cell>
          <cell r="AC237">
            <v>33947</v>
          </cell>
        </row>
        <row r="238">
          <cell r="A238" t="str">
            <v>SAA 3898</v>
          </cell>
          <cell r="B238" t="str">
            <v>Esmalte Horneable Alquidico Café Claro.</v>
          </cell>
          <cell r="C238" t="str">
            <v>Interior-Exterior</v>
          </cell>
          <cell r="D238" t="str">
            <v>Hierro</v>
          </cell>
          <cell r="E238" t="str">
            <v>Limpieza con Solvente</v>
          </cell>
          <cell r="F238" t="str">
            <v>Ninguno</v>
          </cell>
          <cell r="G238" t="str">
            <v>10.16 Lbs/Gl</v>
          </cell>
          <cell r="H238" t="str">
            <v>52.76%</v>
          </cell>
          <cell r="I238" t="str">
            <v>59.52%</v>
          </cell>
          <cell r="J238" t="str">
            <v>6.76%</v>
          </cell>
          <cell r="K238" t="str">
            <v>28.11%</v>
          </cell>
          <cell r="L238" t="str">
            <v>40.74%</v>
          </cell>
          <cell r="M238" t="str">
            <v>100"-110" Copa Zanh #2</v>
          </cell>
          <cell r="N238" t="str">
            <v>Pistola</v>
          </cell>
          <cell r="O238" t="str">
            <v>20-25 seg. Copa Zanh #2</v>
          </cell>
          <cell r="P238" t="str">
            <v>20-25%</v>
          </cell>
          <cell r="Q238" t="str">
            <v>R2K4 Industrial Reducer si Fuera Necesario</v>
          </cell>
          <cell r="R238" t="str">
            <v>1.0-1.2 mills</v>
          </cell>
          <cell r="S238" t="str">
            <v>Al Horno</v>
          </cell>
          <cell r="T238" t="str">
            <v>15' a 300°F</v>
          </cell>
          <cell r="U238" t="str">
            <v>651.84 Pies Cuadrados/Gl a 1 mills de espesor</v>
          </cell>
          <cell r="V238" t="str">
            <v>18-25</v>
          </cell>
          <cell r="W238" t="str">
            <v>H</v>
          </cell>
          <cell r="X238" t="str">
            <v>6-12 meses</v>
          </cell>
          <cell r="Y238" t="str">
            <v>HECASA</v>
          </cell>
          <cell r="Z238" t="str">
            <v>Muebles Metálicos</v>
          </cell>
          <cell r="AA238" t="str">
            <v>-</v>
          </cell>
          <cell r="AB238" t="str">
            <v>Beatriz Sandoval</v>
          </cell>
          <cell r="AC238">
            <v>33955</v>
          </cell>
        </row>
        <row r="239">
          <cell r="A239" t="str">
            <v>SAA 3900</v>
          </cell>
          <cell r="B239" t="str">
            <v>Esamalte Horneable Alquídico Rojo Shell</v>
          </cell>
          <cell r="C239" t="str">
            <v>Interior-Exterior</v>
          </cell>
          <cell r="D239" t="str">
            <v>Lámina de Hierro</v>
          </cell>
          <cell r="E239" t="str">
            <v>Lavado y Desengrase</v>
          </cell>
          <cell r="F239" t="str">
            <v>Ninguno</v>
          </cell>
          <cell r="G239" t="str">
            <v>8.64 Lbs/Gl</v>
          </cell>
          <cell r="H239" t="str">
            <v>10.46%</v>
          </cell>
          <cell r="I239" t="str">
            <v>48.61%</v>
          </cell>
          <cell r="J239" t="str">
            <v>42.61%</v>
          </cell>
          <cell r="K239" t="str">
            <v>5.76%</v>
          </cell>
          <cell r="L239" t="str">
            <v>35.57%</v>
          </cell>
          <cell r="M239" t="str">
            <v>100"-110" Copa Zanh #2</v>
          </cell>
          <cell r="N239" t="str">
            <v>Pistola</v>
          </cell>
          <cell r="O239" t="str">
            <v>25"-30" Copa Zanh #2</v>
          </cell>
          <cell r="P239" t="str">
            <v>20-25%</v>
          </cell>
          <cell r="Q239" t="str">
            <v>R2K4         Industrial reducer</v>
          </cell>
          <cell r="R239" t="str">
            <v>1.0-1.2 mills</v>
          </cell>
          <cell r="S239" t="str">
            <v>Al Horno</v>
          </cell>
          <cell r="T239" t="str">
            <v>15' a 300°F</v>
          </cell>
          <cell r="U239" t="str">
            <v>777.76 Pies Cuadrados/Gl a 1 mills de espesor</v>
          </cell>
          <cell r="V239" t="str">
            <v>+85</v>
          </cell>
          <cell r="W239" t="str">
            <v>H</v>
          </cell>
          <cell r="X239" t="str">
            <v>6-12 meses</v>
          </cell>
          <cell r="Y239" t="str">
            <v>Van Leer-Guatemala</v>
          </cell>
          <cell r="Z239" t="str">
            <v>Barriles de Hierro</v>
          </cell>
          <cell r="AA239" t="str">
            <v>-</v>
          </cell>
          <cell r="AB239" t="str">
            <v>Luis Nolasco</v>
          </cell>
          <cell r="AC239">
            <v>33955</v>
          </cell>
        </row>
        <row r="240">
          <cell r="A240" t="str">
            <v>SAA 3903</v>
          </cell>
          <cell r="B240" t="str">
            <v>Esmalte Horneable Alquidico Rojo Coca Cola Martillado</v>
          </cell>
          <cell r="C240" t="str">
            <v>Interior-Exterior</v>
          </cell>
          <cell r="D240" t="str">
            <v>Lámina de Hierro</v>
          </cell>
          <cell r="E240" t="str">
            <v xml:space="preserve">Lavado con Solvente R7K156 </v>
          </cell>
          <cell r="F240" t="str">
            <v>Ninguno</v>
          </cell>
          <cell r="G240" t="str">
            <v>8.47 Lbs/Gl</v>
          </cell>
          <cell r="H240" t="str">
            <v>12%</v>
          </cell>
          <cell r="I240" t="str">
            <v>50.3%</v>
          </cell>
          <cell r="J240" t="str">
            <v>38.3%</v>
          </cell>
          <cell r="K240" t="str">
            <v>3%</v>
          </cell>
          <cell r="L240" t="str">
            <v>35.6%</v>
          </cell>
          <cell r="M240" t="str">
            <v>100"-110" Copa Zanh #2</v>
          </cell>
          <cell r="N240" t="str">
            <v>Pistola Comercial</v>
          </cell>
          <cell r="O240" t="str">
            <v>18"-22" Copa Zanh #2</v>
          </cell>
          <cell r="P240" t="str">
            <v>20-25%</v>
          </cell>
          <cell r="Q240" t="str">
            <v>R2K4 Industrial Reducer</v>
          </cell>
          <cell r="R240" t="str">
            <v>1.3 mills seco</v>
          </cell>
          <cell r="S240" t="str">
            <v>Al Horno</v>
          </cell>
          <cell r="T240" t="str">
            <v>15' a 300°F</v>
          </cell>
          <cell r="U240" t="str">
            <v>41 Mts Cuadrados/Gl</v>
          </cell>
          <cell r="V240" t="str">
            <v>80</v>
          </cell>
          <cell r="W240" t="str">
            <v>H</v>
          </cell>
          <cell r="X240" t="str">
            <v>6 meses</v>
          </cell>
          <cell r="Y240" t="str">
            <v>Comercial Leon Quant (Tegucigalpa-Honduras)</v>
          </cell>
          <cell r="Z240" t="str">
            <v>Muebles Metálicos</v>
          </cell>
          <cell r="AA240" t="str">
            <v>-</v>
          </cell>
          <cell r="AB240" t="str">
            <v>Rene Ferrufino</v>
          </cell>
          <cell r="AC240">
            <v>33983</v>
          </cell>
        </row>
        <row r="241">
          <cell r="A241" t="str">
            <v>SAA 3904</v>
          </cell>
          <cell r="B241" t="str">
            <v>Esmalte Horneable Alkydico Amarillo Henkel Martillado</v>
          </cell>
          <cell r="C241" t="str">
            <v>Interior-Exterior</v>
          </cell>
          <cell r="D241" t="str">
            <v>Lámina de Hierro</v>
          </cell>
          <cell r="E241" t="str">
            <v xml:space="preserve">Lavado con Solvente R7K156 </v>
          </cell>
          <cell r="F241" t="str">
            <v>Ninguno</v>
          </cell>
          <cell r="G241" t="str">
            <v>9.49 Lbs/Gl</v>
          </cell>
          <cell r="H241" t="str">
            <v>19.4%</v>
          </cell>
          <cell r="I241" t="str">
            <v>54.3%</v>
          </cell>
          <cell r="J241" t="str">
            <v>34.9%</v>
          </cell>
          <cell r="K241" t="str">
            <v>12%</v>
          </cell>
          <cell r="L241" t="str">
            <v>38.0%</v>
          </cell>
          <cell r="M241" t="str">
            <v>100"-110" Copa Zanh #2</v>
          </cell>
          <cell r="N241" t="str">
            <v>Pistola Comercial</v>
          </cell>
          <cell r="O241" t="str">
            <v>18"-22" Copa Zanh #2</v>
          </cell>
          <cell r="P241" t="str">
            <v>20-25%</v>
          </cell>
          <cell r="Q241" t="str">
            <v>R2K4 Industrial Reducer</v>
          </cell>
          <cell r="R241" t="str">
            <v>1.3 mills seco</v>
          </cell>
          <cell r="S241" t="str">
            <v>Al Horno</v>
          </cell>
          <cell r="T241" t="str">
            <v>15' a 300°F</v>
          </cell>
          <cell r="U241" t="str">
            <v>43 Mts Cuadrados/Gl</v>
          </cell>
          <cell r="V241" t="str">
            <v>80</v>
          </cell>
          <cell r="W241" t="str">
            <v>H</v>
          </cell>
          <cell r="X241" t="str">
            <v>6 meses</v>
          </cell>
          <cell r="Y241" t="str">
            <v>Comercial Leon Quant (Tegucigalpa-Honduras)</v>
          </cell>
          <cell r="Z241" t="str">
            <v>Muebles Metálicos</v>
          </cell>
          <cell r="AA241" t="str">
            <v>-</v>
          </cell>
          <cell r="AB241" t="str">
            <v>Rene Ferrufino</v>
          </cell>
          <cell r="AC241">
            <v>33987</v>
          </cell>
        </row>
        <row r="242">
          <cell r="A242" t="str">
            <v>SAA 3911</v>
          </cell>
          <cell r="B242" t="str">
            <v>Esmalte Horneable Alquidico Blanco.</v>
          </cell>
          <cell r="C242" t="str">
            <v>Interior-Exterior</v>
          </cell>
          <cell r="D242" t="str">
            <v>Lámina de Hierro</v>
          </cell>
          <cell r="E242" t="str">
            <v>Limpiar con solvente</v>
          </cell>
          <cell r="F242" t="str">
            <v>Ninguno</v>
          </cell>
          <cell r="G242" t="str">
            <v>10.19 Lbs/Gl</v>
          </cell>
          <cell r="H242" t="str">
            <v>43%</v>
          </cell>
          <cell r="I242" t="str">
            <v>58.12%</v>
          </cell>
          <cell r="J242" t="str">
            <v>15.12%</v>
          </cell>
          <cell r="K242" t="str">
            <v>18.45%</v>
          </cell>
          <cell r="L242" t="str">
            <v>41.94%</v>
          </cell>
          <cell r="M242" t="str">
            <v>200"-210" Copa Zanh #2</v>
          </cell>
          <cell r="N242" t="str">
            <v>Pistola Convencional</v>
          </cell>
          <cell r="O242" t="str">
            <v>18"-22" Copa Zanh #2</v>
          </cell>
          <cell r="P242" t="str">
            <v>50-55%</v>
          </cell>
          <cell r="Q242" t="str">
            <v>R2K4 Industrial Reducer</v>
          </cell>
          <cell r="R242" t="str">
            <v>1.2-1.4 mills</v>
          </cell>
          <cell r="S242" t="str">
            <v>Al Horno</v>
          </cell>
          <cell r="T242" t="str">
            <v>15' a 300°F</v>
          </cell>
          <cell r="U242" t="str">
            <v>52 Mts Cuadrados/Gl</v>
          </cell>
          <cell r="V242" t="str">
            <v>+90</v>
          </cell>
          <cell r="W242" t="str">
            <v>H</v>
          </cell>
          <cell r="X242" t="str">
            <v>6-12 meses</v>
          </cell>
          <cell r="Y242" t="str">
            <v>Sylvania-Costa Rica</v>
          </cell>
          <cell r="Z242" t="str">
            <v>Lamparas</v>
          </cell>
          <cell r="AA242" t="str">
            <v>-</v>
          </cell>
          <cell r="AB242" t="str">
            <v>Rene Ferrufino</v>
          </cell>
          <cell r="AC242">
            <v>34002</v>
          </cell>
        </row>
        <row r="243">
          <cell r="A243" t="str">
            <v>SAA 3912</v>
          </cell>
          <cell r="B243" t="str">
            <v>Esmalte Horneable Acrílico Negro Brillante</v>
          </cell>
          <cell r="C243" t="str">
            <v>Interior-Exterior</v>
          </cell>
          <cell r="D243" t="str">
            <v>Hierro</v>
          </cell>
          <cell r="E243" t="str">
            <v>Lavado, Desengrase y Fosfatizado</v>
          </cell>
          <cell r="F243" t="str">
            <v>E68WSA4 Acrylic Monobake White Primer</v>
          </cell>
          <cell r="G243" t="str">
            <v>7.90 Lbs/Gl</v>
          </cell>
          <cell r="H243" t="str">
            <v>2.78%</v>
          </cell>
          <cell r="I243" t="str">
            <v>40.67%</v>
          </cell>
          <cell r="J243" t="str">
            <v>38.38%</v>
          </cell>
          <cell r="K243" t="str">
            <v>4.08%</v>
          </cell>
          <cell r="L243" t="str">
            <v>37.03%</v>
          </cell>
          <cell r="M243" t="str">
            <v>100"-110" Copa Zanh #2</v>
          </cell>
          <cell r="N243" t="str">
            <v>Pistola</v>
          </cell>
          <cell r="O243" t="str">
            <v>25"-30" Copa Zanh #2</v>
          </cell>
          <cell r="P243" t="str">
            <v>20-25%</v>
          </cell>
          <cell r="Q243" t="str">
            <v>R2K4         Industrial reducer</v>
          </cell>
          <cell r="R243" t="str">
            <v>1.0-1.2 mills</v>
          </cell>
          <cell r="S243" t="str">
            <v>Al Horno</v>
          </cell>
          <cell r="T243" t="str">
            <v>15' a 350-400°F</v>
          </cell>
          <cell r="U243" t="str">
            <v>650.72 Pies Cuadrados/Gl a 1 mills de espesor</v>
          </cell>
          <cell r="V243" t="str">
            <v>+85</v>
          </cell>
          <cell r="W243" t="str">
            <v>2H-3H</v>
          </cell>
          <cell r="X243" t="str">
            <v>6-12 meses</v>
          </cell>
          <cell r="Y243" t="str">
            <v>Industrias Metálicas S.A</v>
          </cell>
          <cell r="Z243" t="str">
            <v>Muebles Metálicos</v>
          </cell>
          <cell r="AA243" t="str">
            <v>-</v>
          </cell>
          <cell r="AB243" t="str">
            <v>Luis Nolasco</v>
          </cell>
          <cell r="AC243">
            <v>34003</v>
          </cell>
        </row>
        <row r="244">
          <cell r="A244" t="str">
            <v>F73B5 (2)</v>
          </cell>
          <cell r="B244" t="str">
            <v>Esmalte Horneable  Negro Brillante</v>
          </cell>
          <cell r="C244" t="str">
            <v>Interior-Exterior</v>
          </cell>
          <cell r="D244" t="str">
            <v>Hierro</v>
          </cell>
          <cell r="E244" t="str">
            <v>Limpieza con Solvente</v>
          </cell>
          <cell r="F244" t="str">
            <v>Ninguno</v>
          </cell>
          <cell r="G244" t="str">
            <v>8.11 Lbs/Gl</v>
          </cell>
          <cell r="H244" t="str">
            <v>2.45%</v>
          </cell>
          <cell r="I244" t="str">
            <v>42.15%</v>
          </cell>
          <cell r="J244" t="str">
            <v>40.69%</v>
          </cell>
          <cell r="K244" t="str">
            <v>3.96%</v>
          </cell>
          <cell r="L244" t="str">
            <v>38.61%</v>
          </cell>
          <cell r="M244" t="str">
            <v>100"-110" Copa Zanh #2</v>
          </cell>
          <cell r="N244" t="str">
            <v>Pistola</v>
          </cell>
          <cell r="O244" t="str">
            <v>20-25 seg. Copa Zanh #2</v>
          </cell>
          <cell r="P244" t="str">
            <v>20-25%</v>
          </cell>
          <cell r="Q244" t="str">
            <v>R2K4         Industrial reducer</v>
          </cell>
          <cell r="R244" t="str">
            <v>1.0-1.2 mills</v>
          </cell>
          <cell r="S244" t="str">
            <v>Al Horno</v>
          </cell>
          <cell r="T244" t="str">
            <v>15' a 300°F</v>
          </cell>
          <cell r="U244" t="str">
            <v>674.4 Pies Cuadrados/Gl a 1 mills de espesor</v>
          </cell>
          <cell r="V244" t="str">
            <v>+85</v>
          </cell>
          <cell r="W244" t="str">
            <v>H</v>
          </cell>
          <cell r="X244" t="str">
            <v>6-12 meses</v>
          </cell>
          <cell r="Y244" t="str">
            <v>VECESA</v>
          </cell>
          <cell r="Z244" t="str">
            <v>Bicicletas</v>
          </cell>
          <cell r="AA244" t="str">
            <v>-</v>
          </cell>
          <cell r="AB244" t="str">
            <v>Luis Nolasco</v>
          </cell>
          <cell r="AC244">
            <v>34005</v>
          </cell>
        </row>
        <row r="245">
          <cell r="A245" t="str">
            <v>F73WSA18</v>
          </cell>
          <cell r="B245" t="str">
            <v>Esmalte Horneable Extra Blanco</v>
          </cell>
          <cell r="C245" t="str">
            <v>Interior-Exterior</v>
          </cell>
          <cell r="D245" t="str">
            <v>Hierro</v>
          </cell>
          <cell r="E245" t="str">
            <v>Limpieza con Solvente</v>
          </cell>
          <cell r="F245" t="str">
            <v>Ninguno</v>
          </cell>
          <cell r="G245" t="str">
            <v>10.72 Lbs/Gl</v>
          </cell>
          <cell r="H245" t="str">
            <v>30.44%</v>
          </cell>
          <cell r="I245" t="str">
            <v>65.61%</v>
          </cell>
          <cell r="J245" t="str">
            <v>50.56%</v>
          </cell>
          <cell r="K245" t="str">
            <v>20.89%</v>
          </cell>
          <cell r="L245" t="str">
            <v>47.61%</v>
          </cell>
          <cell r="M245" t="str">
            <v>95-105 Copa Zanh #2</v>
          </cell>
          <cell r="N245" t="str">
            <v>Pistola</v>
          </cell>
          <cell r="O245" t="str">
            <v>20-25 seg. Copa Zanh #2</v>
          </cell>
          <cell r="P245" t="str">
            <v>20-25%</v>
          </cell>
          <cell r="Q245" t="str">
            <v>R2K4         Industrial reducer</v>
          </cell>
          <cell r="R245" t="str">
            <v>1.0-1.2 mills</v>
          </cell>
          <cell r="S245" t="str">
            <v>Al Horno</v>
          </cell>
          <cell r="T245" t="str">
            <v>15' a 300°F</v>
          </cell>
          <cell r="U245" t="str">
            <v>1049.6 Pies Cuadrados/Gl a 1 mills de espesor</v>
          </cell>
          <cell r="V245" t="str">
            <v>+90</v>
          </cell>
          <cell r="W245" t="str">
            <v>H</v>
          </cell>
          <cell r="X245" t="str">
            <v>6-12 meses</v>
          </cell>
          <cell r="Y245" t="str">
            <v>VECESA</v>
          </cell>
          <cell r="Z245" t="str">
            <v>Bicicletas</v>
          </cell>
          <cell r="AA245" t="str">
            <v>-</v>
          </cell>
          <cell r="AB245" t="str">
            <v>Luis Nolasco</v>
          </cell>
          <cell r="AC245">
            <v>34005</v>
          </cell>
        </row>
        <row r="246">
          <cell r="A246" t="str">
            <v>SAA 3913</v>
          </cell>
          <cell r="B246" t="str">
            <v>Esmalte Horneable Alquídico Aluminio Grueso</v>
          </cell>
          <cell r="C246" t="str">
            <v>Interior-Exterior</v>
          </cell>
          <cell r="D246" t="str">
            <v>Hierro</v>
          </cell>
          <cell r="E246" t="str">
            <v>Limpieza con Solvente</v>
          </cell>
          <cell r="F246" t="str">
            <v>Ninguno</v>
          </cell>
          <cell r="G246" t="str">
            <v>7.98 Lbs/Gl</v>
          </cell>
          <cell r="H246" t="str">
            <v>0.04%</v>
          </cell>
          <cell r="I246" t="str">
            <v>42.52%</v>
          </cell>
          <cell r="J246" t="str">
            <v>41.46%</v>
          </cell>
          <cell r="K246" t="str">
            <v>1.88%</v>
          </cell>
          <cell r="L246" t="str">
            <v>33.58%</v>
          </cell>
          <cell r="M246" t="str">
            <v>60"-70" Copa Zanh #2</v>
          </cell>
          <cell r="N246" t="str">
            <v>Pistola</v>
          </cell>
          <cell r="O246" t="str">
            <v>20"-25" Copa Zanh #2</v>
          </cell>
          <cell r="P246" t="str">
            <v>20-25%</v>
          </cell>
          <cell r="Q246" t="str">
            <v>R2K4         Industrial reducer</v>
          </cell>
          <cell r="R246" t="str">
            <v>1.0-1.2 mills</v>
          </cell>
          <cell r="S246" t="str">
            <v>Al Horno</v>
          </cell>
          <cell r="T246" t="str">
            <v>15' a 300°F</v>
          </cell>
          <cell r="U246" t="str">
            <v>682.32 Pies Cuadrados/Gl a 1 mills de espesor</v>
          </cell>
          <cell r="V246" t="str">
            <v>+80</v>
          </cell>
          <cell r="W246" t="str">
            <v>H</v>
          </cell>
          <cell r="X246" t="str">
            <v>6-12 meses</v>
          </cell>
          <cell r="Y246" t="str">
            <v>VECESA</v>
          </cell>
          <cell r="Z246" t="str">
            <v>Bicicletas</v>
          </cell>
          <cell r="AA246" t="str">
            <v>-</v>
          </cell>
          <cell r="AB246" t="str">
            <v>Luis Nolasco</v>
          </cell>
          <cell r="AC246">
            <v>34005</v>
          </cell>
        </row>
        <row r="247">
          <cell r="A247" t="str">
            <v>SAA 3917</v>
          </cell>
          <cell r="B247" t="str">
            <v>Esmalte Horneable Alquídico Verde Oscuro</v>
          </cell>
          <cell r="C247" t="str">
            <v>Interior-Exterior</v>
          </cell>
          <cell r="D247" t="str">
            <v>Hierro</v>
          </cell>
          <cell r="E247" t="str">
            <v>Limpieza con Solvente</v>
          </cell>
          <cell r="F247" t="str">
            <v>Ninguno</v>
          </cell>
          <cell r="G247" t="str">
            <v>8.35 Lbs/Gl</v>
          </cell>
          <cell r="H247" t="str">
            <v>15%</v>
          </cell>
          <cell r="I247" t="str">
            <v>45.6%</v>
          </cell>
          <cell r="J247" t="str">
            <v>85%</v>
          </cell>
          <cell r="K247" t="str">
            <v>6.4%</v>
          </cell>
          <cell r="L247" t="str">
            <v>35.02%</v>
          </cell>
          <cell r="M247" t="str">
            <v>100"-110" Copa Zanh #2</v>
          </cell>
          <cell r="N247" t="str">
            <v>Pistola Convencional</v>
          </cell>
          <cell r="O247" t="str">
            <v>18"-22" Copa Zanh #2</v>
          </cell>
          <cell r="P247" t="str">
            <v>20-25%</v>
          </cell>
          <cell r="Q247" t="str">
            <v>R2K4         Industrial reducer</v>
          </cell>
          <cell r="R247" t="str">
            <v>1.2-1.5 mills</v>
          </cell>
          <cell r="S247" t="str">
            <v>Al Horno</v>
          </cell>
          <cell r="T247" t="str">
            <v>15' a 300°F</v>
          </cell>
          <cell r="U247" t="str">
            <v>470 Pies Cuadrados/Gl a 1.2 mills seco de espesor</v>
          </cell>
          <cell r="V247" t="str">
            <v>+90</v>
          </cell>
          <cell r="W247" t="str">
            <v>H</v>
          </cell>
          <cell r="X247" t="str">
            <v>6-12 meses</v>
          </cell>
          <cell r="Y247" t="str">
            <v>IMSA</v>
          </cell>
          <cell r="Z247" t="str">
            <v>Muebles Metálicos</v>
          </cell>
          <cell r="AA247" t="str">
            <v>-</v>
          </cell>
          <cell r="AB247" t="str">
            <v>Rene Ferrufino</v>
          </cell>
          <cell r="AC247">
            <v>34010</v>
          </cell>
        </row>
        <row r="248">
          <cell r="A248" t="str">
            <v>SAA 3918</v>
          </cell>
          <cell r="B248" t="str">
            <v>Esmalte Horneable Alquídico Azul Metálico Grueso</v>
          </cell>
          <cell r="C248" t="str">
            <v>Interior-Exterior</v>
          </cell>
          <cell r="D248" t="str">
            <v>Hierro</v>
          </cell>
          <cell r="E248" t="str">
            <v>Limpieza con Solvente</v>
          </cell>
          <cell r="F248" t="str">
            <v>Ninguno</v>
          </cell>
          <cell r="G248" t="str">
            <v>8.03 Lbs/Gl</v>
          </cell>
          <cell r="H248" t="str">
            <v>2.35%</v>
          </cell>
          <cell r="I248" t="str">
            <v>43.51%</v>
          </cell>
          <cell r="J248" t="str">
            <v>42.15%</v>
          </cell>
          <cell r="K248" t="str">
            <v>3.48%</v>
          </cell>
          <cell r="L248" t="str">
            <v>33.86%</v>
          </cell>
          <cell r="M248" t="str">
            <v>100"-110" Copa Zanh #2</v>
          </cell>
          <cell r="N248" t="str">
            <v>Pistola</v>
          </cell>
          <cell r="O248" t="str">
            <v>20-25 seg. Copa Zanh #2</v>
          </cell>
          <cell r="P248" t="str">
            <v>20-25%</v>
          </cell>
          <cell r="Q248" t="str">
            <v>R2K4         Industrial reducer</v>
          </cell>
          <cell r="R248" t="str">
            <v>1.0-1.2 mills</v>
          </cell>
          <cell r="S248" t="str">
            <v>Al Horno</v>
          </cell>
          <cell r="T248" t="str">
            <v>15' a 300°F</v>
          </cell>
          <cell r="U248" t="str">
            <v>696.16 Pies Cuadrados/Gl a 1 mills de espesor</v>
          </cell>
          <cell r="V248" t="str">
            <v>+80</v>
          </cell>
          <cell r="W248" t="str">
            <v>H</v>
          </cell>
          <cell r="X248" t="str">
            <v>6-12 meses</v>
          </cell>
          <cell r="Y248" t="str">
            <v>VECESA</v>
          </cell>
          <cell r="Z248" t="str">
            <v>Bicicletas</v>
          </cell>
          <cell r="AA248" t="str">
            <v>-</v>
          </cell>
          <cell r="AB248" t="str">
            <v>Luis Nolasco</v>
          </cell>
          <cell r="AC248">
            <v>34011</v>
          </cell>
        </row>
        <row r="249">
          <cell r="A249" t="str">
            <v>SAA 3921</v>
          </cell>
          <cell r="B249" t="str">
            <v>Esmalte Horneable Acrilico Amarillo Alfa</v>
          </cell>
          <cell r="C249" t="str">
            <v>Interior-Exterior</v>
          </cell>
          <cell r="D249" t="str">
            <v>Hierro</v>
          </cell>
          <cell r="E249" t="str">
            <v>Enjuague, Desengrase, Desoxidación y Fostatización</v>
          </cell>
          <cell r="F249" t="str">
            <v>E68WSA4 Acrylic Monobake White Primer</v>
          </cell>
          <cell r="G249" t="str">
            <v>9.05 Lbs/Gl</v>
          </cell>
          <cell r="H249" t="str">
            <v>18.44%</v>
          </cell>
          <cell r="I249" t="str">
            <v>48.99%</v>
          </cell>
          <cell r="J249" t="str">
            <v>37.45%</v>
          </cell>
          <cell r="K249" t="str">
            <v>27.25%</v>
          </cell>
          <cell r="L249" t="str">
            <v>36.37%</v>
          </cell>
          <cell r="M249" t="str">
            <v>100"-110" Copa Zanh #2</v>
          </cell>
          <cell r="N249" t="str">
            <v>Pistola</v>
          </cell>
          <cell r="O249" t="str">
            <v>25"-30" Copa Zanh #2</v>
          </cell>
          <cell r="P249" t="str">
            <v>20-25%</v>
          </cell>
          <cell r="Q249" t="str">
            <v>R2K4         Industrial reducer</v>
          </cell>
          <cell r="R249" t="str">
            <v>1.0-1.2 mills</v>
          </cell>
          <cell r="S249" t="str">
            <v>Al Horno</v>
          </cell>
          <cell r="T249" t="str">
            <v>15' a 300°F</v>
          </cell>
          <cell r="U249" t="str">
            <v>783.84 Pies Cuadrados/Gl a 1 mills de espesor</v>
          </cell>
          <cell r="V249" t="str">
            <v>+85</v>
          </cell>
          <cell r="W249" t="str">
            <v>2H-3H</v>
          </cell>
          <cell r="X249" t="str">
            <v>6-12 meses</v>
          </cell>
          <cell r="Y249" t="str">
            <v>Industras ALFA S.A</v>
          </cell>
          <cell r="Z249" t="str">
            <v>Refrigeradoras.</v>
          </cell>
          <cell r="AA249" t="str">
            <v>-</v>
          </cell>
          <cell r="AB249" t="str">
            <v>Luis Nolasco</v>
          </cell>
          <cell r="AC249">
            <v>34078</v>
          </cell>
        </row>
        <row r="250">
          <cell r="A250" t="str">
            <v>SAA 3922</v>
          </cell>
          <cell r="B250" t="str">
            <v>Esmalte Horneable Acrilico Verde Alfa</v>
          </cell>
          <cell r="C250" t="str">
            <v>Interior-Exterior</v>
          </cell>
          <cell r="D250" t="str">
            <v>Hierro</v>
          </cell>
          <cell r="E250" t="str">
            <v>Enjuague, Desengrase, Desoxidación y Fostatización</v>
          </cell>
          <cell r="F250" t="str">
            <v>E68WSA4 Acrylic Monobake White Primer</v>
          </cell>
          <cell r="G250" t="str">
            <v>8.50 Lbs/Gl</v>
          </cell>
          <cell r="H250" t="str">
            <v>11.41%</v>
          </cell>
          <cell r="I250" t="str">
            <v>43.98%</v>
          </cell>
          <cell r="J250" t="str">
            <v>36.76%</v>
          </cell>
          <cell r="K250" t="str">
            <v>8.73%</v>
          </cell>
          <cell r="L250" t="str">
            <v>34.48%</v>
          </cell>
          <cell r="M250" t="str">
            <v>100"-110" Copa Zanh #2</v>
          </cell>
          <cell r="N250" t="str">
            <v>Pistola</v>
          </cell>
          <cell r="O250" t="str">
            <v>25"-30" Copa Zanh #2</v>
          </cell>
          <cell r="P250" t="str">
            <v>20-25%</v>
          </cell>
          <cell r="Q250" t="str">
            <v>R2K4         Industrial reducer</v>
          </cell>
          <cell r="R250" t="str">
            <v>1.0-1.2 mills</v>
          </cell>
          <cell r="S250" t="str">
            <v>Al Horno</v>
          </cell>
          <cell r="T250" t="str">
            <v>15' a 300°F</v>
          </cell>
          <cell r="U250" t="str">
            <v>863.68 Pies Cuadrados/Gl a 1 mills de espesor</v>
          </cell>
          <cell r="V250" t="str">
            <v>+85</v>
          </cell>
          <cell r="W250" t="str">
            <v>2H-3H</v>
          </cell>
          <cell r="X250" t="str">
            <v>6-12 meses</v>
          </cell>
          <cell r="Y250" t="str">
            <v>Industras ALFA S.A</v>
          </cell>
          <cell r="Z250" t="str">
            <v>Refrigeradoras.</v>
          </cell>
          <cell r="AA250" t="str">
            <v>-</v>
          </cell>
          <cell r="AB250" t="str">
            <v>Luis Nolasco</v>
          </cell>
          <cell r="AC250">
            <v>34078</v>
          </cell>
        </row>
        <row r="251">
          <cell r="A251" t="str">
            <v>G70NSA5</v>
          </cell>
          <cell r="B251" t="str">
            <v>Wet Ink Varnish Gold</v>
          </cell>
          <cell r="C251" t="str">
            <v>Interior</v>
          </cell>
          <cell r="D251" t="str">
            <v>Hojalata</v>
          </cell>
          <cell r="E251" t="str">
            <v>Limpio con R2K4 Industrial Reducer</v>
          </cell>
          <cell r="F251" t="str">
            <v>Ninguno</v>
          </cell>
          <cell r="G251" t="str">
            <v>7.23 Lbs/Gl</v>
          </cell>
          <cell r="H251" t="str">
            <v>0.04%</v>
          </cell>
          <cell r="I251" t="str">
            <v>12.92%</v>
          </cell>
          <cell r="J251" t="str">
            <v>12.59%</v>
          </cell>
          <cell r="K251" t="str">
            <v>2.30%</v>
          </cell>
          <cell r="L251" t="str">
            <v>10.01%</v>
          </cell>
          <cell r="M251" t="str">
            <v>50"-55" Copa Zanh #2</v>
          </cell>
          <cell r="N251" t="str">
            <v>Especial</v>
          </cell>
          <cell r="O251" t="str">
            <v>50"-55" Copa Zanh #2</v>
          </cell>
          <cell r="P251" t="str">
            <v>-</v>
          </cell>
          <cell r="Q251" t="str">
            <v>-</v>
          </cell>
          <cell r="R251" t="str">
            <v>1.0 mills</v>
          </cell>
          <cell r="S251" t="str">
            <v>Al Horno</v>
          </cell>
          <cell r="T251" t="str">
            <v>15' a 300°F</v>
          </cell>
          <cell r="U251" t="str">
            <v>207.2 Pies Cuadrados/Gl a 1 mills de espesor</v>
          </cell>
          <cell r="V251" t="str">
            <v>+80</v>
          </cell>
          <cell r="W251" t="str">
            <v>F-H</v>
          </cell>
          <cell r="X251" t="str">
            <v>6 meses</v>
          </cell>
          <cell r="Y251" t="str">
            <v>CORLASA</v>
          </cell>
          <cell r="Z251" t="str">
            <v>Envases de Hojalata</v>
          </cell>
          <cell r="AA251" t="str">
            <v>-</v>
          </cell>
          <cell r="AB251" t="str">
            <v>Luis Nolasco</v>
          </cell>
          <cell r="AC251">
            <v>34080</v>
          </cell>
        </row>
        <row r="252">
          <cell r="A252" t="str">
            <v>F73SSA3</v>
          </cell>
          <cell r="B252" t="str">
            <v>Esmalte Horneable Aluminio Martillado</v>
          </cell>
          <cell r="C252" t="str">
            <v>Interior-Exterior</v>
          </cell>
          <cell r="D252" t="str">
            <v>Hierro</v>
          </cell>
          <cell r="E252" t="str">
            <v>Limpio con R2K4 Industrial Reducer</v>
          </cell>
          <cell r="F252" t="str">
            <v>Ninguno</v>
          </cell>
          <cell r="G252" t="str">
            <v>8.10 Lbs/Gl</v>
          </cell>
          <cell r="H252" t="str">
            <v>3.98%</v>
          </cell>
          <cell r="I252" t="str">
            <v>47.30%</v>
          </cell>
          <cell r="J252" t="str">
            <v>43.22%</v>
          </cell>
          <cell r="K252" t="str">
            <v>1.93%</v>
          </cell>
          <cell r="L252" t="str">
            <v>38.31%</v>
          </cell>
          <cell r="M252" t="str">
            <v>60-70 Seg. Copa Zanh #2</v>
          </cell>
          <cell r="N252" t="str">
            <v>Pistola Convencional</v>
          </cell>
          <cell r="O252" t="str">
            <v>100"-110" Copa Zanh #2</v>
          </cell>
          <cell r="P252" t="str">
            <v>20-25%</v>
          </cell>
          <cell r="Q252" t="str">
            <v>R2K4         Industrial reducer</v>
          </cell>
          <cell r="R252" t="str">
            <v>1.0-1.25 mills</v>
          </cell>
          <cell r="S252" t="str">
            <v>Al Horno</v>
          </cell>
          <cell r="T252" t="str">
            <v>15' a 300°F</v>
          </cell>
          <cell r="U252" t="str">
            <v>612.96 Pies Cuadrados/Gl a 1 mills de espesor</v>
          </cell>
          <cell r="V252" t="str">
            <v>80-85</v>
          </cell>
          <cell r="W252" t="str">
            <v>H</v>
          </cell>
          <cell r="X252" t="str">
            <v>6 meses</v>
          </cell>
          <cell r="Y252" t="str">
            <v>SW San Pedro</v>
          </cell>
          <cell r="Z252" t="str">
            <v>Muebles Metálicos</v>
          </cell>
          <cell r="AA252" t="str">
            <v>-</v>
          </cell>
          <cell r="AB252" t="str">
            <v>Anabella de Mayorga</v>
          </cell>
          <cell r="AC252">
            <v>34100</v>
          </cell>
        </row>
        <row r="253">
          <cell r="A253" t="str">
            <v>K67ESA1</v>
          </cell>
          <cell r="B253" t="str">
            <v>Spray Enamel Aerosol Blaze Fluorescent</v>
          </cell>
          <cell r="C253" t="str">
            <v>Interior-Exterior</v>
          </cell>
          <cell r="D253" t="str">
            <v>Madera o Metal</v>
          </cell>
          <cell r="E253" t="str">
            <v>Limpia, Seca, Libre de Suciedad</v>
          </cell>
          <cell r="F253" t="str">
            <v>Aplicar una Primera Mano de F67WSA2</v>
          </cell>
          <cell r="G253" t="str">
            <v>8.17 Lbs/Gl</v>
          </cell>
          <cell r="H253" t="str">
            <v>63.98%</v>
          </cell>
          <cell r="I253" t="str">
            <v>43.62%</v>
          </cell>
          <cell r="J253" t="str">
            <v>36.02%</v>
          </cell>
          <cell r="K253" t="str">
            <v>54.42%</v>
          </cell>
          <cell r="L253" t="str">
            <v>30.56%</v>
          </cell>
          <cell r="M253" t="str">
            <v>12-15 Seg. Copa Ford #4</v>
          </cell>
          <cell r="N253" t="str">
            <v>Aerosol</v>
          </cell>
          <cell r="O253" t="str">
            <v>12-15 Seg. Copa Ford #4</v>
          </cell>
          <cell r="P253" t="str">
            <v>Ninguno</v>
          </cell>
          <cell r="Q253" t="str">
            <v>-</v>
          </cell>
          <cell r="R253" t="str">
            <v>1 mills</v>
          </cell>
          <cell r="S253" t="str">
            <v>-</v>
          </cell>
          <cell r="T253" t="str">
            <v>-</v>
          </cell>
          <cell r="U253" t="str">
            <v>490 Pies Cuadrados/Gl a 1 mills de espesor</v>
          </cell>
          <cell r="V253" t="str">
            <v>Mate</v>
          </cell>
          <cell r="W253" t="str">
            <v>-</v>
          </cell>
          <cell r="X253" t="str">
            <v>6-12 meses</v>
          </cell>
          <cell r="Y253" t="str">
            <v>SW</v>
          </cell>
          <cell r="Z253" t="str">
            <v>-</v>
          </cell>
          <cell r="AA253" t="str">
            <v>-</v>
          </cell>
          <cell r="AB253" t="str">
            <v>Anabella de Mayorga</v>
          </cell>
          <cell r="AC253">
            <v>34164</v>
          </cell>
        </row>
        <row r="254">
          <cell r="A254" t="str">
            <v>K67GSA1</v>
          </cell>
          <cell r="B254" t="str">
            <v>Spray Enamel Aerosol Stellar Green Fluorescent</v>
          </cell>
          <cell r="C254" t="str">
            <v>Interior-Exterior</v>
          </cell>
          <cell r="D254" t="str">
            <v>Madera o Metal</v>
          </cell>
          <cell r="E254" t="str">
            <v>Limpia, Seca, Libre de Suciedad</v>
          </cell>
          <cell r="F254" t="str">
            <v>Aplicar una Primera Mano de F67WSA2</v>
          </cell>
          <cell r="G254" t="str">
            <v>8.63 Lbs/Gl</v>
          </cell>
          <cell r="H254" t="str">
            <v>63.9%</v>
          </cell>
          <cell r="I254" t="str">
            <v>41.4%</v>
          </cell>
          <cell r="J254" t="str">
            <v>36%</v>
          </cell>
          <cell r="K254" t="str">
            <v>54.9%</v>
          </cell>
          <cell r="L254" t="str">
            <v>30.3%</v>
          </cell>
          <cell r="M254" t="str">
            <v>12-15 Seg. Copa Ford #4</v>
          </cell>
          <cell r="N254" t="str">
            <v>Aerosol</v>
          </cell>
          <cell r="O254" t="str">
            <v>12-15 Seg. Copa Ford #4</v>
          </cell>
          <cell r="P254" t="str">
            <v>Ninguno</v>
          </cell>
          <cell r="Q254" t="str">
            <v>-</v>
          </cell>
          <cell r="R254" t="str">
            <v>1 mills</v>
          </cell>
          <cell r="S254" t="str">
            <v>Al Aire-15 Minutos</v>
          </cell>
          <cell r="T254" t="str">
            <v>-</v>
          </cell>
          <cell r="U254" t="str">
            <v>45 Mts Cuadrados/Gl</v>
          </cell>
          <cell r="V254" t="str">
            <v>Mate</v>
          </cell>
          <cell r="W254" t="str">
            <v>-</v>
          </cell>
          <cell r="X254" t="str">
            <v>6-12 meses</v>
          </cell>
          <cell r="Y254" t="str">
            <v>SW</v>
          </cell>
          <cell r="Z254" t="str">
            <v>-</v>
          </cell>
          <cell r="AA254" t="str">
            <v>-</v>
          </cell>
          <cell r="AB254" t="str">
            <v>Rene Ferrufino</v>
          </cell>
          <cell r="AC254">
            <v>34164</v>
          </cell>
        </row>
        <row r="255">
          <cell r="A255" t="str">
            <v>K67RSA1</v>
          </cell>
          <cell r="B255" t="str">
            <v>Spray Enamel Aerosol Laser Red Fluorescent</v>
          </cell>
          <cell r="C255" t="str">
            <v>Interior-Exterior</v>
          </cell>
          <cell r="D255" t="str">
            <v>Madera o Metal</v>
          </cell>
          <cell r="E255" t="str">
            <v>Limpia, Seca, Libre de Suciedad</v>
          </cell>
          <cell r="F255" t="str">
            <v>Aplicar una Primera Mano de F67WSA2</v>
          </cell>
          <cell r="G255" t="str">
            <v>8.17 Lbs/Gl</v>
          </cell>
          <cell r="H255" t="str">
            <v>63.98%</v>
          </cell>
          <cell r="I255" t="str">
            <v>43.62%</v>
          </cell>
          <cell r="J255" t="str">
            <v>36.02%</v>
          </cell>
          <cell r="K255" t="str">
            <v>54.42%</v>
          </cell>
          <cell r="L255" t="str">
            <v>30.56%</v>
          </cell>
          <cell r="M255" t="str">
            <v>12-15 Seg. Copa Ford #4</v>
          </cell>
          <cell r="N255" t="str">
            <v>Aerosol</v>
          </cell>
          <cell r="O255" t="str">
            <v>12-15 Seg. Copa Ford #4</v>
          </cell>
          <cell r="P255" t="str">
            <v>Ninguno</v>
          </cell>
          <cell r="Q255" t="str">
            <v>-</v>
          </cell>
          <cell r="R255" t="str">
            <v>1 mills</v>
          </cell>
          <cell r="S255" t="str">
            <v>-</v>
          </cell>
          <cell r="T255" t="str">
            <v>-</v>
          </cell>
          <cell r="U255" t="str">
            <v>490 Pies Cuadrados/Gl a 1 mills de espesor</v>
          </cell>
          <cell r="V255" t="str">
            <v>Mate</v>
          </cell>
          <cell r="W255" t="str">
            <v>-</v>
          </cell>
          <cell r="X255" t="str">
            <v>6-12 meses</v>
          </cell>
          <cell r="Y255" t="str">
            <v>SW</v>
          </cell>
          <cell r="Z255" t="str">
            <v>-</v>
          </cell>
          <cell r="AA255" t="str">
            <v>-</v>
          </cell>
          <cell r="AB255" t="str">
            <v>Anabella de Mayorga</v>
          </cell>
          <cell r="AC255">
            <v>34164</v>
          </cell>
        </row>
        <row r="256">
          <cell r="A256" t="str">
            <v>K67YSA1</v>
          </cell>
          <cell r="B256" t="str">
            <v>Spray Enamel Aerosol Lunar Yellow Fluorescent</v>
          </cell>
          <cell r="C256" t="str">
            <v>Interior-Exterior</v>
          </cell>
          <cell r="D256" t="str">
            <v>Madera o Metal</v>
          </cell>
          <cell r="E256" t="str">
            <v>Limpia de Polvo</v>
          </cell>
          <cell r="F256" t="str">
            <v>Aplicar una Primera Mano de F67WSA2</v>
          </cell>
          <cell r="G256" t="str">
            <v>8.35 Lbs/Gl</v>
          </cell>
          <cell r="H256" t="str">
            <v>63.9%</v>
          </cell>
          <cell r="I256" t="str">
            <v>42.7%</v>
          </cell>
          <cell r="J256" t="str">
            <v>36%</v>
          </cell>
          <cell r="K256" t="str">
            <v>52.21%</v>
          </cell>
          <cell r="L256" t="str">
            <v>31.8%</v>
          </cell>
          <cell r="M256" t="str">
            <v>12-15 Seg. Copa Ford #4</v>
          </cell>
          <cell r="N256" t="str">
            <v>Aerosol</v>
          </cell>
          <cell r="O256" t="str">
            <v>12-15 Seg. Copa Ford #4</v>
          </cell>
          <cell r="P256" t="str">
            <v>Ninguno</v>
          </cell>
          <cell r="Q256" t="str">
            <v>-</v>
          </cell>
          <cell r="R256" t="str">
            <v>1 mills</v>
          </cell>
          <cell r="S256" t="str">
            <v>Al Aire-15 Minutos</v>
          </cell>
          <cell r="T256" t="str">
            <v>-</v>
          </cell>
          <cell r="U256" t="str">
            <v>45 Mts Cuadrados/Gl</v>
          </cell>
          <cell r="V256" t="str">
            <v>Mate</v>
          </cell>
          <cell r="W256" t="str">
            <v>-</v>
          </cell>
          <cell r="X256" t="str">
            <v>6-12 meses</v>
          </cell>
          <cell r="Y256" t="str">
            <v>SW</v>
          </cell>
          <cell r="Z256" t="str">
            <v>-</v>
          </cell>
          <cell r="AA256" t="str">
            <v>-</v>
          </cell>
          <cell r="AB256" t="str">
            <v>Rene Ferrufino</v>
          </cell>
          <cell r="AC256">
            <v>34164</v>
          </cell>
        </row>
        <row r="257">
          <cell r="A257" t="str">
            <v>SAA 3940</v>
          </cell>
          <cell r="B257" t="str">
            <v>Oil Stain Café Oscuro</v>
          </cell>
          <cell r="C257" t="str">
            <v>Interior</v>
          </cell>
          <cell r="D257" t="str">
            <v>Madera</v>
          </cell>
          <cell r="E257" t="str">
            <v>Lijada</v>
          </cell>
          <cell r="F257" t="str">
            <v>Ninguno</v>
          </cell>
          <cell r="G257" t="str">
            <v>7.26 Lbs/Gl</v>
          </cell>
          <cell r="H257" t="str">
            <v>-</v>
          </cell>
          <cell r="I257" t="str">
            <v>24.20%</v>
          </cell>
          <cell r="J257" t="str">
            <v>24.20%</v>
          </cell>
          <cell r="K257" t="str">
            <v>-</v>
          </cell>
          <cell r="L257" t="str">
            <v>20.26</v>
          </cell>
          <cell r="M257" t="str">
            <v>14"-16" Copa Zanh #2</v>
          </cell>
          <cell r="N257" t="str">
            <v>Brocha</v>
          </cell>
          <cell r="O257" t="str">
            <v>14"-16" Copa Zanh #2</v>
          </cell>
          <cell r="P257" t="str">
            <v>Ninguno</v>
          </cell>
          <cell r="Q257" t="str">
            <v>Ninguno</v>
          </cell>
          <cell r="R257" t="str">
            <v>-</v>
          </cell>
          <cell r="S257" t="str">
            <v>30 Minutos</v>
          </cell>
          <cell r="T257" t="str">
            <v>-</v>
          </cell>
          <cell r="U257" t="str">
            <v>387.2 Pies Cuadrados/Gl</v>
          </cell>
          <cell r="V257" t="str">
            <v>-</v>
          </cell>
          <cell r="W257" t="str">
            <v>-</v>
          </cell>
          <cell r="X257" t="str">
            <v>6-12 meses</v>
          </cell>
          <cell r="Y257" t="str">
            <v>Industrias Olins</v>
          </cell>
          <cell r="Z257" t="str">
            <v>Muebles de Madera.</v>
          </cell>
          <cell r="AA257" t="str">
            <v>-</v>
          </cell>
          <cell r="AB257" t="str">
            <v>Luis Nolasco</v>
          </cell>
          <cell r="AC257">
            <v>34178</v>
          </cell>
        </row>
        <row r="258">
          <cell r="A258" t="str">
            <v>SAA 3941</v>
          </cell>
          <cell r="B258" t="str">
            <v>Esmalte Horneable Acrilico Blanco Alfa</v>
          </cell>
          <cell r="C258" t="str">
            <v>Interior-Exterior Limitada</v>
          </cell>
          <cell r="D258" t="str">
            <v>Hierro</v>
          </cell>
          <cell r="E258" t="str">
            <v>Lavado, Desengrase y Fosfatizado</v>
          </cell>
          <cell r="F258" t="str">
            <v>E68WSA4 Acrylic Monobake White Primer</v>
          </cell>
          <cell r="G258" t="str">
            <v>10.06 Lbs/Gl</v>
          </cell>
          <cell r="H258" t="str">
            <v>29.75%</v>
          </cell>
          <cell r="I258" t="str">
            <v>54.86%</v>
          </cell>
          <cell r="J258" t="str">
            <v>38.54%</v>
          </cell>
          <cell r="K258" t="str">
            <v>25.50%</v>
          </cell>
          <cell r="L258" t="str">
            <v>35.50%</v>
          </cell>
          <cell r="M258" t="str">
            <v>100"-110" Copa Zanh #2</v>
          </cell>
          <cell r="N258" t="str">
            <v>Pistola</v>
          </cell>
          <cell r="O258" t="str">
            <v>25"-30" Copa Zanh #2</v>
          </cell>
          <cell r="P258" t="str">
            <v>20-25%</v>
          </cell>
          <cell r="Q258" t="str">
            <v>R2K4         Industrial reducer</v>
          </cell>
          <cell r="R258" t="str">
            <v>1.0-1.2 mills</v>
          </cell>
          <cell r="S258" t="str">
            <v>Al Horno</v>
          </cell>
          <cell r="T258" t="str">
            <v>15' a 350-400°F</v>
          </cell>
          <cell r="U258" t="str">
            <v>878 Pies Cuadrados/Gl a 1 mills de espesor</v>
          </cell>
          <cell r="V258" t="str">
            <v>+85</v>
          </cell>
          <cell r="W258" t="str">
            <v>2H-3H</v>
          </cell>
          <cell r="X258" t="str">
            <v>6-12 meses</v>
          </cell>
          <cell r="Y258" t="str">
            <v>Industrias ALFA S.A</v>
          </cell>
          <cell r="Z258" t="str">
            <v>Refrigeradoras</v>
          </cell>
          <cell r="AA258" t="str">
            <v>-</v>
          </cell>
          <cell r="AB258" t="str">
            <v>Luis Nolasco</v>
          </cell>
          <cell r="AC258">
            <v>34204</v>
          </cell>
        </row>
        <row r="259">
          <cell r="A259" t="str">
            <v>SAA 3942</v>
          </cell>
          <cell r="B259" t="str">
            <v>Esmalte Horneable Acrilico Almendra Alfa</v>
          </cell>
          <cell r="C259" t="str">
            <v>Interior-Exterior Limitada</v>
          </cell>
          <cell r="D259" t="str">
            <v>Hierro</v>
          </cell>
          <cell r="E259" t="str">
            <v>Lavado, Desengrase y Fosfatizado</v>
          </cell>
          <cell r="F259" t="str">
            <v>E68WSA4 Acrylic Monobake White Primer</v>
          </cell>
          <cell r="G259" t="str">
            <v>10.06 Lbs/Gl</v>
          </cell>
          <cell r="H259" t="str">
            <v>29.75%</v>
          </cell>
          <cell r="I259" t="str">
            <v>54.86%</v>
          </cell>
          <cell r="J259" t="str">
            <v>38.54%</v>
          </cell>
          <cell r="K259" t="str">
            <v>25.50%</v>
          </cell>
          <cell r="L259" t="str">
            <v>35.50%</v>
          </cell>
          <cell r="M259" t="str">
            <v>100"-110" Copa Zanh #2</v>
          </cell>
          <cell r="N259" t="str">
            <v>Pistola</v>
          </cell>
          <cell r="O259" t="str">
            <v>25"-30" Copa Zanh #2</v>
          </cell>
          <cell r="P259" t="str">
            <v>20-25%</v>
          </cell>
          <cell r="Q259" t="str">
            <v>R2K4         Industrial reducer</v>
          </cell>
          <cell r="R259" t="str">
            <v>1.0-1.2 mills</v>
          </cell>
          <cell r="S259" t="str">
            <v>Al Horno</v>
          </cell>
          <cell r="T259" t="str">
            <v>15' a 350-400°F</v>
          </cell>
          <cell r="U259" t="str">
            <v>878 Pies Cuadrados/Gl a 1 mills de espesor</v>
          </cell>
          <cell r="V259" t="str">
            <v>+85</v>
          </cell>
          <cell r="W259" t="str">
            <v>2H-3H</v>
          </cell>
          <cell r="X259" t="str">
            <v>6-12 meses</v>
          </cell>
          <cell r="Y259" t="str">
            <v>Industrias ALFA S.A</v>
          </cell>
          <cell r="Z259" t="str">
            <v>Refrigeradoras</v>
          </cell>
          <cell r="AA259" t="str">
            <v>-</v>
          </cell>
          <cell r="AB259" t="str">
            <v>Luis Nolasco</v>
          </cell>
          <cell r="AC259">
            <v>34204</v>
          </cell>
        </row>
        <row r="260">
          <cell r="A260" t="str">
            <v>G78RSA3</v>
          </cell>
          <cell r="B260" t="str">
            <v>Esmalte Horneable Acrilico Rojo TAPPAN</v>
          </cell>
          <cell r="C260" t="str">
            <v>Interior-Exterior Limitada</v>
          </cell>
          <cell r="D260" t="str">
            <v>Hierro</v>
          </cell>
          <cell r="E260" t="str">
            <v>Lavado y Eliminación de Corrosión</v>
          </cell>
          <cell r="F260" t="str">
            <v>E68WSA4 Acrylic Monobake White Primer</v>
          </cell>
          <cell r="G260" t="str">
            <v>8.46 Lbs/Gl</v>
          </cell>
          <cell r="H260" t="str">
            <v>10.35%</v>
          </cell>
          <cell r="I260" t="str">
            <v>43.09%</v>
          </cell>
          <cell r="J260" t="str">
            <v>36.52%</v>
          </cell>
          <cell r="K260" t="str">
            <v>6.84%</v>
          </cell>
          <cell r="L260" t="str">
            <v>33.78%</v>
          </cell>
          <cell r="M260" t="str">
            <v>100"-110" Copa Zanh #2</v>
          </cell>
          <cell r="N260" t="str">
            <v>Pistola</v>
          </cell>
          <cell r="O260" t="str">
            <v>25"-30" Copa Zanh #2</v>
          </cell>
          <cell r="P260" t="str">
            <v>20-25%</v>
          </cell>
          <cell r="Q260" t="str">
            <v>R2K4         Industrial reducer</v>
          </cell>
          <cell r="R260" t="str">
            <v>1.0-1.2 mills</v>
          </cell>
          <cell r="S260" t="str">
            <v>Al Horno</v>
          </cell>
          <cell r="T260" t="str">
            <v>15' a 350-400°F</v>
          </cell>
          <cell r="U260" t="str">
            <v>689.44 Pies Cuadrados/Gl a 1 mills de espesor</v>
          </cell>
          <cell r="V260" t="str">
            <v>+85</v>
          </cell>
          <cell r="W260" t="str">
            <v>2H-3H</v>
          </cell>
          <cell r="X260" t="str">
            <v>6-12 meses</v>
          </cell>
          <cell r="Y260" t="str">
            <v>TAPPAN-GUATEMALA</v>
          </cell>
          <cell r="Z260" t="str">
            <v>Artículos de Cocina</v>
          </cell>
          <cell r="AA260" t="str">
            <v>-</v>
          </cell>
          <cell r="AB260" t="str">
            <v>Luis Nolasco</v>
          </cell>
          <cell r="AC260">
            <v>34215</v>
          </cell>
        </row>
        <row r="261">
          <cell r="A261" t="str">
            <v>B97WD2049</v>
          </cell>
          <cell r="B261" t="str">
            <v>Pintura de Tráfico Blanca TTP-1952-B</v>
          </cell>
          <cell r="C261" t="str">
            <v>Interior-Exterior</v>
          </cell>
          <cell r="D261" t="str">
            <v>Asfalto y Concreto</v>
          </cell>
          <cell r="E261" t="str">
            <v>Limpia, Seca y Libre de Exudación de Asfalto</v>
          </cell>
          <cell r="F261" t="str">
            <v>Ninguno</v>
          </cell>
          <cell r="G261" t="str">
            <v>12.41 Lbs/Gl</v>
          </cell>
          <cell r="H261" t="str">
            <v>50%</v>
          </cell>
          <cell r="I261" t="str">
            <v>66.5%</v>
          </cell>
          <cell r="J261" t="str">
            <v>33%</v>
          </cell>
          <cell r="K261" t="str">
            <v>-</v>
          </cell>
          <cell r="L261" t="str">
            <v>51%</v>
          </cell>
          <cell r="M261" t="str">
            <v>75-85 KU (Stormer)</v>
          </cell>
          <cell r="N261" t="str">
            <v>Brocha, Rodillo Industrial, Máquina Franjeadora, Etc.</v>
          </cell>
          <cell r="O261" t="str">
            <v>Lista Para Usar.</v>
          </cell>
          <cell r="P261" t="str">
            <v>Ninguno</v>
          </cell>
          <cell r="Q261" t="str">
            <v>Agua, si es necesario.</v>
          </cell>
          <cell r="R261" t="str">
            <v>4-5 mills/Pulg.</v>
          </cell>
          <cell r="S261" t="str">
            <v>30 Minutos. No Transitar antes de 1 Hora</v>
          </cell>
          <cell r="T261" t="str">
            <v>-</v>
          </cell>
          <cell r="U261" t="str">
            <v>45-50 Mts Cuadrados/Gl</v>
          </cell>
          <cell r="V261" t="str">
            <v>1-2 (Mate)</v>
          </cell>
          <cell r="W261" t="str">
            <v>5B-4B</v>
          </cell>
          <cell r="X261" t="str">
            <v>12 meses</v>
          </cell>
          <cell r="Y261" t="str">
            <v>Mercantil Internacional, S.A de C.V</v>
          </cell>
          <cell r="Z261" t="str">
            <v>Placas de Vehículos.</v>
          </cell>
          <cell r="AA261" t="str">
            <v>-</v>
          </cell>
          <cell r="AB261" t="str">
            <v>Rene Ferrufino</v>
          </cell>
          <cell r="AC261">
            <v>34225</v>
          </cell>
        </row>
        <row r="262">
          <cell r="A262" t="str">
            <v>SAA 3947</v>
          </cell>
          <cell r="B262" t="str">
            <v>Esmalte Horneable Blanco IMSA</v>
          </cell>
          <cell r="C262" t="str">
            <v>Interior-Exterior</v>
          </cell>
          <cell r="D262" t="str">
            <v>Hierro</v>
          </cell>
          <cell r="E262" t="str">
            <v>Limpio con R2K4 Industrial Reducer</v>
          </cell>
          <cell r="F262" t="str">
            <v>Ninguno</v>
          </cell>
          <cell r="G262" t="str">
            <v>9.46 Lbs/Gl</v>
          </cell>
          <cell r="H262" t="str">
            <v>43.30%</v>
          </cell>
          <cell r="I262" t="str">
            <v>58.50%</v>
          </cell>
          <cell r="J262" t="str">
            <v>56.70%</v>
          </cell>
          <cell r="K262" t="str">
            <v>17.95%</v>
          </cell>
          <cell r="L262" t="str">
            <v>41.22%</v>
          </cell>
          <cell r="M262" t="str">
            <v>100"-110" Copa Zanh #2</v>
          </cell>
          <cell r="N262" t="str">
            <v>Pistola Convencional</v>
          </cell>
          <cell r="O262" t="str">
            <v>20-25 seg. Copa Zanh #2</v>
          </cell>
          <cell r="P262" t="str">
            <v>20-25%</v>
          </cell>
          <cell r="Q262" t="str">
            <v>R2K4         Industrial reducer</v>
          </cell>
          <cell r="R262" t="str">
            <v>1.0-1.25 mills</v>
          </cell>
          <cell r="S262" t="str">
            <v>Al Horno</v>
          </cell>
          <cell r="T262" t="str">
            <v>15' a 300°F</v>
          </cell>
          <cell r="U262" t="str">
            <v>655 Pies Cuadrados/Gl a 1 mills de espesor</v>
          </cell>
          <cell r="V262" t="str">
            <v>+85</v>
          </cell>
          <cell r="W262" t="str">
            <v>H</v>
          </cell>
          <cell r="X262" t="str">
            <v>6-12 meses</v>
          </cell>
          <cell r="Y262" t="str">
            <v>Industrias Metálicas S.A</v>
          </cell>
          <cell r="Z262" t="str">
            <v>Muebles Metálicos</v>
          </cell>
          <cell r="AA262" t="str">
            <v>-</v>
          </cell>
          <cell r="AB262" t="str">
            <v>Anabella de Mayorga</v>
          </cell>
          <cell r="AC262">
            <v>34235</v>
          </cell>
        </row>
        <row r="263">
          <cell r="A263" t="str">
            <v>SAA 3948</v>
          </cell>
          <cell r="B263" t="str">
            <v>Esmalte Horneable Acrílico Beige</v>
          </cell>
          <cell r="C263" t="str">
            <v>Interior-Exterior Limitada</v>
          </cell>
          <cell r="D263" t="str">
            <v>Hierro</v>
          </cell>
          <cell r="E263" t="str">
            <v>Lavado, Desengrase y Fosfatizado</v>
          </cell>
          <cell r="F263" t="str">
            <v>E68WSA4 Acrylic Monobake White Primer</v>
          </cell>
          <cell r="G263" t="str">
            <v>10.06 Lbs/Gl</v>
          </cell>
          <cell r="H263" t="str">
            <v>29.75%</v>
          </cell>
          <cell r="I263" t="str">
            <v>54.86%</v>
          </cell>
          <cell r="J263" t="str">
            <v>38.54%</v>
          </cell>
          <cell r="K263" t="str">
            <v>25.50%</v>
          </cell>
          <cell r="L263" t="str">
            <v>35.50%</v>
          </cell>
          <cell r="M263" t="str">
            <v>100"-110" Copa Zanh #2</v>
          </cell>
          <cell r="N263" t="str">
            <v>Pistola</v>
          </cell>
          <cell r="O263" t="str">
            <v>25"-30" Copa Zanh #2</v>
          </cell>
          <cell r="P263" t="str">
            <v>20-25%</v>
          </cell>
          <cell r="Q263" t="str">
            <v>R2K4         Industrial reducer</v>
          </cell>
          <cell r="R263" t="str">
            <v>1.0-1.2 mills</v>
          </cell>
          <cell r="S263" t="str">
            <v>Al Horno</v>
          </cell>
          <cell r="T263" t="str">
            <v>15' a 350-400°F</v>
          </cell>
          <cell r="U263" t="str">
            <v>878 Pies Cuadrados/Gl a 1 mills de espesor</v>
          </cell>
          <cell r="V263" t="str">
            <v>+85</v>
          </cell>
          <cell r="W263" t="str">
            <v>2H-3H</v>
          </cell>
          <cell r="X263" t="str">
            <v>6-12 meses</v>
          </cell>
          <cell r="Y263" t="str">
            <v>TAPPAN-GUATEMALA</v>
          </cell>
          <cell r="Z263" t="str">
            <v>Cocinas</v>
          </cell>
          <cell r="AA263" t="str">
            <v>-</v>
          </cell>
          <cell r="AB263" t="str">
            <v>Luis Nolasco</v>
          </cell>
          <cell r="AC263">
            <v>34236</v>
          </cell>
        </row>
        <row r="264">
          <cell r="A264" t="str">
            <v>SAA 3952</v>
          </cell>
          <cell r="B264" t="str">
            <v>Esmalte Horneable Acrílico Blanco TAPPAN</v>
          </cell>
          <cell r="C264" t="str">
            <v>Interior-Exterior Limitada</v>
          </cell>
          <cell r="D264" t="str">
            <v>Hierro</v>
          </cell>
          <cell r="E264" t="str">
            <v>Lavado, Desengrase y Fosfatizado</v>
          </cell>
          <cell r="F264" t="str">
            <v>E68WSA4 Acrylic Monobake White Primer</v>
          </cell>
          <cell r="G264" t="str">
            <v>10.06 Lbs/Gl</v>
          </cell>
          <cell r="H264" t="str">
            <v>29.75%</v>
          </cell>
          <cell r="I264" t="str">
            <v>54.86%</v>
          </cell>
          <cell r="J264" t="str">
            <v>38.54%</v>
          </cell>
          <cell r="K264" t="str">
            <v>25.50%</v>
          </cell>
          <cell r="L264" t="str">
            <v>35.50%</v>
          </cell>
          <cell r="M264" t="str">
            <v>100"-110" Copa Zanh #2</v>
          </cell>
          <cell r="N264" t="str">
            <v>Pistola</v>
          </cell>
          <cell r="O264" t="str">
            <v>25"-30" Copa Zanh #2</v>
          </cell>
          <cell r="P264" t="str">
            <v>20-25%</v>
          </cell>
          <cell r="Q264" t="str">
            <v>R2K4         Industrial reducer</v>
          </cell>
          <cell r="R264" t="str">
            <v>1.0-1.2 mills</v>
          </cell>
          <cell r="S264" t="str">
            <v>Al Horno</v>
          </cell>
          <cell r="T264" t="str">
            <v>15' a 350-400°F</v>
          </cell>
          <cell r="U264" t="str">
            <v>878 Pies Cuadrados/Gl a 1 mills de espesor</v>
          </cell>
          <cell r="V264" t="str">
            <v>+85</v>
          </cell>
          <cell r="W264" t="str">
            <v>2H-3H</v>
          </cell>
          <cell r="X264" t="str">
            <v>6-12 meses</v>
          </cell>
          <cell r="Y264" t="str">
            <v>TAPPAN-GUATEMALA</v>
          </cell>
          <cell r="Z264" t="str">
            <v>Cocinas</v>
          </cell>
          <cell r="AA264" t="str">
            <v>-</v>
          </cell>
          <cell r="AB264" t="str">
            <v>Luis Nolasco</v>
          </cell>
          <cell r="AC264">
            <v>34249</v>
          </cell>
        </row>
        <row r="265">
          <cell r="A265" t="str">
            <v>SAA 3960</v>
          </cell>
          <cell r="B265" t="str">
            <v>Laca Industrial Naranja Boira</v>
          </cell>
          <cell r="C265" t="str">
            <v>Interior</v>
          </cell>
          <cell r="D265" t="str">
            <v>Hierro</v>
          </cell>
          <cell r="E265" t="str">
            <v>Limpia con Solvente Kreel Clean</v>
          </cell>
          <cell r="F265" t="str">
            <v>Ninguno</v>
          </cell>
          <cell r="G265" t="str">
            <v>7.41 Lbs/Gl</v>
          </cell>
          <cell r="H265" t="str">
            <v>5.21%</v>
          </cell>
          <cell r="I265" t="str">
            <v>38.6%</v>
          </cell>
          <cell r="J265" t="str">
            <v>33.39%</v>
          </cell>
          <cell r="K265" t="str">
            <v>4.60%</v>
          </cell>
          <cell r="L265" t="str">
            <v>28.85%</v>
          </cell>
          <cell r="M265" t="str">
            <v>30"-40" SW #5</v>
          </cell>
          <cell r="N265" t="str">
            <v>Inmersión</v>
          </cell>
          <cell r="O265" t="str">
            <v>18"-20" Copa Ford #4</v>
          </cell>
          <cell r="P265" t="str">
            <v>100-150%</v>
          </cell>
          <cell r="Q265" t="str">
            <v>R7K128</v>
          </cell>
          <cell r="R265" t="str">
            <v>1 mills</v>
          </cell>
          <cell r="S265" t="str">
            <v>Al Aire</v>
          </cell>
          <cell r="T265" t="str">
            <v>-</v>
          </cell>
          <cell r="U265" t="str">
            <v>461 Pies Cuadrados/Gl</v>
          </cell>
          <cell r="V265" t="str">
            <v>+80</v>
          </cell>
          <cell r="W265" t="str">
            <v>2B</v>
          </cell>
          <cell r="X265" t="str">
            <v>6-12 meses</v>
          </cell>
          <cell r="Y265" t="str">
            <v>BOIRA</v>
          </cell>
          <cell r="Z265" t="str">
            <v>Sierras Metálicas</v>
          </cell>
          <cell r="AA265" t="str">
            <v>-</v>
          </cell>
          <cell r="AB265" t="str">
            <v>Rene Ferrufino</v>
          </cell>
          <cell r="AC265">
            <v>34257</v>
          </cell>
        </row>
        <row r="266">
          <cell r="A266" t="str">
            <v>SAA 3963</v>
          </cell>
          <cell r="B266" t="str">
            <v>Esmalte Horneable Alquidico Blanco IMSA</v>
          </cell>
          <cell r="C266" t="str">
            <v>Interior-Exterior</v>
          </cell>
          <cell r="D266" t="str">
            <v>Hierro</v>
          </cell>
          <cell r="E266" t="str">
            <v>Limpio con R2K4 Industrial Reducer</v>
          </cell>
          <cell r="F266" t="str">
            <v>Ninguno</v>
          </cell>
          <cell r="G266" t="str">
            <v>10.39 Lbs/Gl</v>
          </cell>
          <cell r="H266" t="str">
            <v>28.57%</v>
          </cell>
          <cell r="I266" t="str">
            <v>64.88%</v>
          </cell>
          <cell r="J266" t="str">
            <v>50.83%</v>
          </cell>
          <cell r="K266" t="str">
            <v>18.89%</v>
          </cell>
          <cell r="L266" t="str">
            <v>47.43%</v>
          </cell>
          <cell r="M266" t="str">
            <v>100"-110" Copa Zanh #2</v>
          </cell>
          <cell r="N266" t="str">
            <v>Pistola</v>
          </cell>
          <cell r="O266" t="str">
            <v>25"-30" Copa Zanh #2</v>
          </cell>
          <cell r="P266" t="str">
            <v>20-25%</v>
          </cell>
          <cell r="Q266" t="str">
            <v>R2K4         Industrial reducer</v>
          </cell>
          <cell r="R266" t="str">
            <v>1.0-1.2 mills</v>
          </cell>
          <cell r="S266" t="str">
            <v>Al Horno</v>
          </cell>
          <cell r="T266" t="str">
            <v>15' a 300°F</v>
          </cell>
          <cell r="U266" t="str">
            <v>1,038.08 Pies Cuadrados/Gl a 1 mills de espesor</v>
          </cell>
          <cell r="V266" t="str">
            <v>+85</v>
          </cell>
          <cell r="W266" t="str">
            <v>H</v>
          </cell>
          <cell r="X266" t="str">
            <v>6-12 meses</v>
          </cell>
          <cell r="Y266" t="str">
            <v>Industrias Metálicas S.A</v>
          </cell>
          <cell r="Z266" t="str">
            <v>Muebles Metálicos</v>
          </cell>
          <cell r="AA266" t="str">
            <v>-</v>
          </cell>
          <cell r="AB266" t="str">
            <v>Luis Nolasco</v>
          </cell>
          <cell r="AC266">
            <v>34260</v>
          </cell>
        </row>
        <row r="267">
          <cell r="A267" t="str">
            <v>SAA 3965</v>
          </cell>
          <cell r="B267" t="str">
            <v>Esmalte Horneable Alquidico Café Metálico IMSA</v>
          </cell>
          <cell r="C267" t="str">
            <v>Interior-Exterior</v>
          </cell>
          <cell r="D267" t="str">
            <v>Hierro</v>
          </cell>
          <cell r="E267" t="str">
            <v>Limpio con R2K4 Industrial Reducer</v>
          </cell>
          <cell r="F267" t="str">
            <v>Ninguno</v>
          </cell>
          <cell r="G267" t="str">
            <v>8.48 Lbs/Gl</v>
          </cell>
          <cell r="H267" t="str">
            <v>9.74%</v>
          </cell>
          <cell r="I267" t="str">
            <v>48.31%</v>
          </cell>
          <cell r="J267" t="str">
            <v>42.73%</v>
          </cell>
          <cell r="K267" t="str">
            <v>10.75%</v>
          </cell>
          <cell r="L267" t="str">
            <v>37.22%</v>
          </cell>
          <cell r="M267" t="str">
            <v>100"-110" Copa Zanh #2</v>
          </cell>
          <cell r="N267" t="str">
            <v>Pistola</v>
          </cell>
          <cell r="O267" t="str">
            <v>25"-30" Copa Zanh #2</v>
          </cell>
          <cell r="P267" t="str">
            <v>20-25%</v>
          </cell>
          <cell r="Q267" t="str">
            <v>R2K4         Industrial reducer</v>
          </cell>
          <cell r="R267" t="str">
            <v>1.0-1.2 mills</v>
          </cell>
          <cell r="S267" t="str">
            <v>Al Horno</v>
          </cell>
          <cell r="T267" t="str">
            <v>15' a 300°F</v>
          </cell>
          <cell r="U267" t="str">
            <v>772.96 Pies Cuadrados/Gl a 1 mills de espesor</v>
          </cell>
          <cell r="V267" t="str">
            <v>14-16</v>
          </cell>
          <cell r="W267" t="str">
            <v>H</v>
          </cell>
          <cell r="X267" t="str">
            <v>6-12 meses</v>
          </cell>
          <cell r="Y267" t="str">
            <v>Industrias Metálicas S.A</v>
          </cell>
          <cell r="Z267" t="str">
            <v>Muebles Metálicos</v>
          </cell>
          <cell r="AA267" t="str">
            <v>-</v>
          </cell>
          <cell r="AB267" t="str">
            <v>Luis Nolasco</v>
          </cell>
          <cell r="AC267">
            <v>34270</v>
          </cell>
        </row>
        <row r="268">
          <cell r="A268" t="str">
            <v>SAA 3966</v>
          </cell>
          <cell r="B268" t="str">
            <v>Esmalte Horneable Alquidico Azul Metálico Martillado</v>
          </cell>
          <cell r="C268" t="str">
            <v>Interior-Exterior</v>
          </cell>
          <cell r="D268" t="str">
            <v>Hierro</v>
          </cell>
          <cell r="E268" t="str">
            <v>Limpio con R2K4 Industrial Reducer</v>
          </cell>
          <cell r="F268" t="str">
            <v>Ninguno</v>
          </cell>
          <cell r="G268" t="str">
            <v>8.06 Lbs/Gl</v>
          </cell>
          <cell r="H268" t="str">
            <v>2.86%</v>
          </cell>
          <cell r="I268" t="str">
            <v>43.36%</v>
          </cell>
          <cell r="J268" t="str">
            <v>41.69%</v>
          </cell>
          <cell r="K268" t="str">
            <v>3.93%</v>
          </cell>
          <cell r="L268" t="str">
            <v>34.60%</v>
          </cell>
          <cell r="M268" t="str">
            <v>60"-70" Copa Zanh #2</v>
          </cell>
          <cell r="N268" t="str">
            <v>Pistola</v>
          </cell>
          <cell r="O268" t="str">
            <v>60"-70" Copa Zanh #2</v>
          </cell>
          <cell r="P268" t="str">
            <v>Listo Para Usar</v>
          </cell>
          <cell r="Q268" t="str">
            <v>Lo necesario con R2K4         Industrial reducer</v>
          </cell>
          <cell r="R268" t="str">
            <v>1.2-1.4 mills</v>
          </cell>
          <cell r="S268" t="str">
            <v>Al Horno</v>
          </cell>
          <cell r="T268" t="str">
            <v>15' a 300°F</v>
          </cell>
          <cell r="U268" t="str">
            <v>693.76 Pies Cuadrados/Gl a 1 mills de espesor</v>
          </cell>
          <cell r="V268" t="str">
            <v>80-85</v>
          </cell>
          <cell r="W268" t="str">
            <v>H</v>
          </cell>
          <cell r="X268" t="str">
            <v>6-12 meses</v>
          </cell>
          <cell r="Y268" t="str">
            <v>Leon Quam</v>
          </cell>
          <cell r="Z268" t="str">
            <v>Cocinas Metálicas</v>
          </cell>
          <cell r="AA268" t="str">
            <v>-</v>
          </cell>
          <cell r="AB268" t="str">
            <v>Luis Nolasco</v>
          </cell>
          <cell r="AC268">
            <v>34277</v>
          </cell>
        </row>
        <row r="269">
          <cell r="A269" t="str">
            <v>SAA 3967</v>
          </cell>
          <cell r="B269" t="str">
            <v>Laca Azul Especial Para Cuero</v>
          </cell>
          <cell r="C269" t="str">
            <v>Interior</v>
          </cell>
          <cell r="D269" t="str">
            <v>Cuero-Plastico</v>
          </cell>
          <cell r="E269" t="str">
            <v>Limpio con Solvente</v>
          </cell>
          <cell r="F269" t="str">
            <v>Ninguno</v>
          </cell>
          <cell r="G269" t="str">
            <v>7.60 Lbs/Gl</v>
          </cell>
          <cell r="H269" t="str">
            <v>-</v>
          </cell>
          <cell r="I269" t="str">
            <v>30.21%</v>
          </cell>
          <cell r="J269" t="str">
            <v>-</v>
          </cell>
          <cell r="K269" t="str">
            <v>-</v>
          </cell>
          <cell r="L269" t="str">
            <v>23.30%</v>
          </cell>
          <cell r="M269" t="str">
            <v>25"-30" Copa SW #5</v>
          </cell>
          <cell r="N269" t="str">
            <v>Pistola</v>
          </cell>
          <cell r="O269" t="str">
            <v>18"-20" Copa Zanh #2</v>
          </cell>
          <cell r="P269" t="str">
            <v>100-150%</v>
          </cell>
          <cell r="Q269" t="str">
            <v>R7K128</v>
          </cell>
          <cell r="R269" t="str">
            <v>1.0-1.2 mills</v>
          </cell>
          <cell r="S269" t="str">
            <v>Al Aire</v>
          </cell>
          <cell r="T269" t="str">
            <v>-</v>
          </cell>
          <cell r="U269" t="str">
            <v>483.36 Pies Cuadrados/Gl a 1 mills de espesor</v>
          </cell>
          <cell r="V269" t="str">
            <v>+85</v>
          </cell>
          <cell r="W269" t="str">
            <v xml:space="preserve">B </v>
          </cell>
          <cell r="X269" t="str">
            <v>6-12 meses</v>
          </cell>
          <cell r="Y269" t="str">
            <v>L.F RIVERA-HONDURAS</v>
          </cell>
          <cell r="Z269" t="str">
            <v>Objetos de Cuero y Plastico</v>
          </cell>
          <cell r="AA269" t="str">
            <v>-</v>
          </cell>
          <cell r="AB269" t="str">
            <v>Luis Nolasco</v>
          </cell>
          <cell r="AC269">
            <v>34311</v>
          </cell>
        </row>
        <row r="270">
          <cell r="A270" t="str">
            <v>SAA 3974</v>
          </cell>
          <cell r="B270" t="str">
            <v>Esmalte Horneable Alquidico Café HECASA</v>
          </cell>
          <cell r="C270" t="str">
            <v>Interior-Exterior</v>
          </cell>
          <cell r="D270" t="str">
            <v>Hierro</v>
          </cell>
          <cell r="E270" t="str">
            <v>Lavado y Desengrase Químico por Inmersión</v>
          </cell>
          <cell r="F270" t="str">
            <v>E68WSA1 (Monobake Primer)</v>
          </cell>
          <cell r="G270" t="str">
            <v>8.36 Lbs/Gl</v>
          </cell>
          <cell r="H270" t="str">
            <v>7.37%</v>
          </cell>
          <cell r="I270" t="str">
            <v>47.08%</v>
          </cell>
          <cell r="J270" t="str">
            <v>42.87%</v>
          </cell>
          <cell r="K270" t="str">
            <v>2.45%</v>
          </cell>
          <cell r="L270" t="str">
            <v>35.97%</v>
          </cell>
          <cell r="M270" t="str">
            <v>100"-110" Copa Zanh #2</v>
          </cell>
          <cell r="N270" t="str">
            <v>Pistola</v>
          </cell>
          <cell r="O270" t="str">
            <v>20"-25" Copa Zanh #2</v>
          </cell>
          <cell r="P270" t="str">
            <v>20-25%</v>
          </cell>
          <cell r="Q270" t="str">
            <v>R2K4         Industrial reducer</v>
          </cell>
          <cell r="R270" t="str">
            <v>1.0-1.2 mills</v>
          </cell>
          <cell r="S270" t="str">
            <v>Al Horno</v>
          </cell>
          <cell r="T270" t="str">
            <v>15' a 300°F</v>
          </cell>
          <cell r="U270" t="str">
            <v>753.28 Pies Cuadrados/Gl a 1 mills de espesor</v>
          </cell>
          <cell r="V270" t="str">
            <v>35-40</v>
          </cell>
          <cell r="W270" t="str">
            <v>H</v>
          </cell>
          <cell r="X270" t="str">
            <v>6-12 meses</v>
          </cell>
          <cell r="Y270" t="str">
            <v>HECASA</v>
          </cell>
          <cell r="Z270" t="str">
            <v>Puertas Metálicas</v>
          </cell>
          <cell r="AA270" t="str">
            <v>-</v>
          </cell>
          <cell r="AB270" t="str">
            <v>Luis Nolasco</v>
          </cell>
          <cell r="AC270">
            <v>34386</v>
          </cell>
        </row>
        <row r="271">
          <cell r="A271" t="str">
            <v>SAA 3975</v>
          </cell>
          <cell r="B271" t="str">
            <v>Esmalte horneable Alquídico Café ALFA</v>
          </cell>
          <cell r="C271" t="str">
            <v>Interior-Exterior</v>
          </cell>
          <cell r="D271" t="str">
            <v>Hierro</v>
          </cell>
          <cell r="E271" t="str">
            <v>Limpio con R2K4 Industrial Reducer</v>
          </cell>
          <cell r="F271" t="str">
            <v>E68WSA1 (Monobake Primer)</v>
          </cell>
          <cell r="G271" t="str">
            <v>8.25 Lbs/Gl</v>
          </cell>
          <cell r="H271" t="str">
            <v>5.54%</v>
          </cell>
          <cell r="I271" t="str">
            <v>45.39%</v>
          </cell>
          <cell r="J271" t="str">
            <v>42.19%</v>
          </cell>
          <cell r="K271" t="str">
            <v>4.04%</v>
          </cell>
          <cell r="L271" t="str">
            <v>34.93%</v>
          </cell>
          <cell r="M271" t="str">
            <v>100"-110" Copa Zanh #2</v>
          </cell>
          <cell r="N271" t="str">
            <v>Pistola</v>
          </cell>
          <cell r="O271" t="str">
            <v>20"-25" Copa Zanh #2</v>
          </cell>
          <cell r="P271" t="str">
            <v>20-25%</v>
          </cell>
          <cell r="Q271" t="str">
            <v>R2K4         Industrial reducer</v>
          </cell>
          <cell r="R271" t="str">
            <v>1.0-1.2 mills</v>
          </cell>
          <cell r="S271" t="str">
            <v>Al Horno</v>
          </cell>
          <cell r="T271" t="str">
            <v>15' a 300°F</v>
          </cell>
          <cell r="U271" t="str">
            <v>726.74 Pies Cuadrados/Gl a 1 mills de espesor</v>
          </cell>
          <cell r="V271" t="str">
            <v>+85</v>
          </cell>
          <cell r="W271" t="str">
            <v>H</v>
          </cell>
          <cell r="X271" t="str">
            <v>6-12 meses</v>
          </cell>
          <cell r="Y271" t="str">
            <v>Industrias ALFA S.A</v>
          </cell>
          <cell r="Z271" t="str">
            <v>Cocinas</v>
          </cell>
          <cell r="AA271" t="str">
            <v>-</v>
          </cell>
          <cell r="AB271" t="str">
            <v>Luis Nolasco</v>
          </cell>
          <cell r="AC271">
            <v>34387</v>
          </cell>
        </row>
        <row r="272">
          <cell r="A272" t="str">
            <v>SAA 3977</v>
          </cell>
          <cell r="B272" t="str">
            <v>Esmalte Horneable Alquídico Café Oscuro Martillado</v>
          </cell>
          <cell r="C272" t="str">
            <v>Interior-Exterior</v>
          </cell>
          <cell r="D272" t="str">
            <v>Hierro</v>
          </cell>
          <cell r="E272" t="str">
            <v>Limpio con R2K4 Industrial Reducer</v>
          </cell>
          <cell r="F272" t="str">
            <v>Ninguno</v>
          </cell>
          <cell r="G272" t="str">
            <v>8.14 Lbs/Gl</v>
          </cell>
          <cell r="H272" t="str">
            <v>1.54%</v>
          </cell>
          <cell r="I272" t="str">
            <v>46.88%</v>
          </cell>
          <cell r="J272" t="str">
            <v>46.08%</v>
          </cell>
          <cell r="K272" t="str">
            <v>2.09%</v>
          </cell>
          <cell r="L272" t="str">
            <v>38.30%</v>
          </cell>
          <cell r="M272" t="str">
            <v>100"-110" Copa Zanh #2</v>
          </cell>
          <cell r="N272" t="str">
            <v>Pistola</v>
          </cell>
          <cell r="O272" t="str">
            <v>70"-80" Copa Zanh #2</v>
          </cell>
          <cell r="P272" t="str">
            <v>Lo necesario</v>
          </cell>
          <cell r="Q272" t="str">
            <v>R2K4         Industrial reducer</v>
          </cell>
          <cell r="R272" t="str">
            <v>1.0-1.2 mills</v>
          </cell>
          <cell r="S272" t="str">
            <v>Al Horno</v>
          </cell>
          <cell r="T272" t="str">
            <v>15' a 300°F</v>
          </cell>
          <cell r="U272" t="str">
            <v>750.08 Pies Cuadrados/Gl a 1 mills de espesor</v>
          </cell>
          <cell r="V272" t="str">
            <v>STD</v>
          </cell>
          <cell r="W272" t="str">
            <v>H</v>
          </cell>
          <cell r="X272" t="str">
            <v>6-12 meses</v>
          </cell>
          <cell r="Y272" t="str">
            <v>Industrias ALFA S.A</v>
          </cell>
          <cell r="Z272" t="str">
            <v>Cocinas</v>
          </cell>
          <cell r="AA272" t="str">
            <v>-</v>
          </cell>
          <cell r="AB272" t="str">
            <v>Luis Nolasco</v>
          </cell>
          <cell r="AC272">
            <v>34393</v>
          </cell>
        </row>
        <row r="273">
          <cell r="A273" t="str">
            <v>SAA 3978</v>
          </cell>
          <cell r="B273" t="str">
            <v>Esmalte Horneable Alquídico Negro Martillado</v>
          </cell>
          <cell r="C273" t="str">
            <v>Interior-Exterior</v>
          </cell>
          <cell r="D273" t="str">
            <v>Hierro</v>
          </cell>
          <cell r="E273" t="str">
            <v>Limpio con R2K4 Industrial Reducer</v>
          </cell>
          <cell r="F273" t="str">
            <v>Ninguno</v>
          </cell>
          <cell r="G273" t="str">
            <v>8.13 Lbs/Gl</v>
          </cell>
          <cell r="H273" t="str">
            <v>1.22%</v>
          </cell>
          <cell r="I273" t="str">
            <v>46.62%</v>
          </cell>
          <cell r="J273" t="str">
            <v>45.96%</v>
          </cell>
          <cell r="K273" t="str">
            <v>1.58%</v>
          </cell>
          <cell r="L273" t="str">
            <v>43.76%</v>
          </cell>
          <cell r="M273" t="str">
            <v>100"-110" Copa Zanh #2</v>
          </cell>
          <cell r="N273" t="str">
            <v>Pistola</v>
          </cell>
          <cell r="O273" t="str">
            <v>70"-80" Copa Zanh #2</v>
          </cell>
          <cell r="P273" t="str">
            <v>Lo necesario</v>
          </cell>
          <cell r="Q273" t="str">
            <v>R2K4         Industrial reducer</v>
          </cell>
          <cell r="R273" t="str">
            <v>1.0-1.2 mills</v>
          </cell>
          <cell r="S273" t="str">
            <v>Al Horno</v>
          </cell>
          <cell r="T273" t="str">
            <v>15' a 300°F</v>
          </cell>
          <cell r="U273" t="str">
            <v>745.92 Pies Cuadrados/Gl a 1 mills de espesor</v>
          </cell>
          <cell r="V273" t="str">
            <v>STD</v>
          </cell>
          <cell r="W273" t="str">
            <v>H</v>
          </cell>
          <cell r="X273" t="str">
            <v>6-12 meses</v>
          </cell>
          <cell r="Y273" t="str">
            <v>Industrias ALFA S.A</v>
          </cell>
          <cell r="Z273" t="str">
            <v>Cocinas</v>
          </cell>
          <cell r="AA273" t="str">
            <v>-</v>
          </cell>
          <cell r="AB273" t="str">
            <v>Luis Nolasco</v>
          </cell>
          <cell r="AC273">
            <v>34393</v>
          </cell>
        </row>
        <row r="274">
          <cell r="A274" t="str">
            <v>SAA 3979</v>
          </cell>
          <cell r="B274" t="str">
            <v>Esmalte horneable Alquídico Café Metálico IMSA</v>
          </cell>
          <cell r="C274" t="str">
            <v>Interior-Exterior</v>
          </cell>
          <cell r="D274" t="str">
            <v>Hierro</v>
          </cell>
          <cell r="E274" t="str">
            <v>Limpio con R2K4 Industrial Reducer</v>
          </cell>
          <cell r="F274" t="str">
            <v>Ninguno</v>
          </cell>
          <cell r="G274" t="str">
            <v>8.35 Lbs/Gl</v>
          </cell>
          <cell r="H274" t="str">
            <v>9.29%</v>
          </cell>
          <cell r="I274" t="str">
            <v>46.82%</v>
          </cell>
          <cell r="J274" t="str">
            <v>42.15%</v>
          </cell>
          <cell r="K274" t="str">
            <v>9.33%</v>
          </cell>
          <cell r="L274" t="str">
            <v>36.24%</v>
          </cell>
          <cell r="M274" t="str">
            <v>100"-110" Copa Zanh #2</v>
          </cell>
          <cell r="N274" t="str">
            <v>Pistola</v>
          </cell>
          <cell r="O274" t="str">
            <v>20"-25" Copa Zanh #2</v>
          </cell>
          <cell r="P274" t="str">
            <v>20-25%</v>
          </cell>
          <cell r="Q274" t="str">
            <v>R2K4         Industrial reducer</v>
          </cell>
          <cell r="R274" t="str">
            <v>1.0-1.2 mills</v>
          </cell>
          <cell r="S274" t="str">
            <v>Al Horno</v>
          </cell>
          <cell r="T274" t="str">
            <v>15' a 300°F</v>
          </cell>
          <cell r="U274" t="str">
            <v>749.12 Pies Cuadrados/Gl a 1 mills de espesor</v>
          </cell>
          <cell r="V274" t="str">
            <v>20-25</v>
          </cell>
          <cell r="W274" t="str">
            <v>H</v>
          </cell>
          <cell r="X274" t="str">
            <v>6-12 meses</v>
          </cell>
          <cell r="Y274" t="str">
            <v>Industrias Metálicas S.A</v>
          </cell>
          <cell r="Z274" t="str">
            <v>Muebles Metálicos</v>
          </cell>
          <cell r="AA274" t="str">
            <v>-</v>
          </cell>
          <cell r="AB274" t="str">
            <v>Luis Nolasco</v>
          </cell>
          <cell r="AC274">
            <v>34401</v>
          </cell>
        </row>
        <row r="275">
          <cell r="A275" t="str">
            <v>SAA 3987</v>
          </cell>
          <cell r="B275" t="str">
            <v>Esmalte Horneable Alquídico Amarillo Oro Semi-Brillante</v>
          </cell>
          <cell r="C275" t="str">
            <v>Interior-Exterior</v>
          </cell>
          <cell r="D275" t="str">
            <v>Zamak</v>
          </cell>
          <cell r="E275" t="str">
            <v>Desengrase y Fosfatizado</v>
          </cell>
          <cell r="F275" t="str">
            <v>P60G2 Wash Primer Green</v>
          </cell>
          <cell r="G275" t="str">
            <v>8.37 Lbs/Gl</v>
          </cell>
          <cell r="H275" t="str">
            <v>13.80%</v>
          </cell>
          <cell r="I275" t="str">
            <v>46.67%</v>
          </cell>
          <cell r="J275" t="str">
            <v>42.50%</v>
          </cell>
          <cell r="K275" t="str">
            <v>6.62%</v>
          </cell>
          <cell r="L275" t="str">
            <v>35.06%</v>
          </cell>
          <cell r="M275" t="str">
            <v>100"-110" Copa Zanh #2</v>
          </cell>
          <cell r="N275" t="str">
            <v>Pistola</v>
          </cell>
          <cell r="O275" t="str">
            <v>20"-25" Copa Zanh #2</v>
          </cell>
          <cell r="P275" t="str">
            <v>20-25%</v>
          </cell>
          <cell r="Q275" t="str">
            <v>R2K4         Industrial reducer</v>
          </cell>
          <cell r="R275" t="str">
            <v>1.0-1.2 mills</v>
          </cell>
          <cell r="S275" t="str">
            <v>Al Horno</v>
          </cell>
          <cell r="T275" t="str">
            <v>15' a 300°F</v>
          </cell>
          <cell r="U275" t="str">
            <v>746.72 Pies Cuadrados/Gl a 1 mills de espesor</v>
          </cell>
          <cell r="V275" t="str">
            <v>50</v>
          </cell>
          <cell r="W275" t="str">
            <v>H</v>
          </cell>
          <cell r="X275" t="str">
            <v>6-12 meses</v>
          </cell>
          <cell r="Y275" t="str">
            <v>Industrias Metálicas S.A</v>
          </cell>
          <cell r="Z275" t="str">
            <v>Operadores</v>
          </cell>
          <cell r="AA275" t="str">
            <v>-</v>
          </cell>
          <cell r="AB275" t="str">
            <v>Luis Nolasco</v>
          </cell>
          <cell r="AC275">
            <v>34445</v>
          </cell>
        </row>
        <row r="276">
          <cell r="A276" t="str">
            <v>SAA 3988</v>
          </cell>
          <cell r="B276" t="str">
            <v>Esmalte Horneable Alquídico Amarillo Oro Brillante</v>
          </cell>
          <cell r="C276" t="str">
            <v>Interior-Exterior</v>
          </cell>
          <cell r="D276" t="str">
            <v>Zamak</v>
          </cell>
          <cell r="E276" t="str">
            <v>Desengrase y Fosfatizado</v>
          </cell>
          <cell r="F276" t="str">
            <v>P60G2 Wash Primer Green</v>
          </cell>
          <cell r="G276" t="str">
            <v>8.30 Lbs/Gl</v>
          </cell>
          <cell r="H276" t="str">
            <v>6.11%</v>
          </cell>
          <cell r="I276" t="str">
            <v>45.86%</v>
          </cell>
          <cell r="J276" t="str">
            <v>42.34%</v>
          </cell>
          <cell r="K276" t="str">
            <v>5.13%</v>
          </cell>
          <cell r="L276" t="str">
            <v>34.15%</v>
          </cell>
          <cell r="M276" t="str">
            <v>100"-110" Copa Zanh #2</v>
          </cell>
          <cell r="N276" t="str">
            <v>Pistola</v>
          </cell>
          <cell r="O276" t="str">
            <v>20"-25" Copa Zanh #2</v>
          </cell>
          <cell r="P276" t="str">
            <v>20-25%</v>
          </cell>
          <cell r="Q276" t="str">
            <v>R2K4         Industrial reducer</v>
          </cell>
          <cell r="R276" t="str">
            <v>1.0-1.2 mills</v>
          </cell>
          <cell r="S276" t="str">
            <v>Al Horno</v>
          </cell>
          <cell r="T276" t="str">
            <v>15' a 300°F</v>
          </cell>
          <cell r="U276" t="str">
            <v>733.76 Pies Cuadrados/Gl a 1 mills de espesor</v>
          </cell>
          <cell r="V276" t="str">
            <v>+80</v>
          </cell>
          <cell r="W276" t="str">
            <v>H</v>
          </cell>
          <cell r="X276" t="str">
            <v>6-12 meses</v>
          </cell>
          <cell r="Y276" t="str">
            <v>Industrias Metálicas S.A</v>
          </cell>
          <cell r="Z276" t="str">
            <v>Operadores</v>
          </cell>
          <cell r="AA276" t="str">
            <v>-</v>
          </cell>
          <cell r="AB276" t="str">
            <v>Luis Nolasco</v>
          </cell>
          <cell r="AC276">
            <v>34445</v>
          </cell>
        </row>
        <row r="277">
          <cell r="A277" t="str">
            <v>SAA 3992</v>
          </cell>
          <cell r="B277" t="str">
            <v>Esmalte Horneable Alquídico Verde IMSA</v>
          </cell>
          <cell r="C277" t="str">
            <v>Interior-Exterior</v>
          </cell>
          <cell r="D277" t="str">
            <v>Zamak</v>
          </cell>
          <cell r="E277" t="str">
            <v>Desengrase y Fosfatizado</v>
          </cell>
          <cell r="F277" t="str">
            <v>P60G2 Wash Primer Green</v>
          </cell>
          <cell r="G277" t="str">
            <v>8.40 Lbs/Gl</v>
          </cell>
          <cell r="H277" t="str">
            <v>8.05%</v>
          </cell>
          <cell r="I277" t="str">
            <v>47.33%</v>
          </cell>
          <cell r="J277" t="str">
            <v>42.72%</v>
          </cell>
          <cell r="K277" t="str">
            <v>7.20%</v>
          </cell>
          <cell r="L277" t="str">
            <v>36.12%</v>
          </cell>
          <cell r="M277" t="str">
            <v>100"-110" Copa Zanh #2</v>
          </cell>
          <cell r="N277" t="str">
            <v>Pistola</v>
          </cell>
          <cell r="O277" t="str">
            <v>20"-25" Copa Zanh #2</v>
          </cell>
          <cell r="P277" t="str">
            <v>20-25%</v>
          </cell>
          <cell r="Q277" t="str">
            <v>R2K4         Industrial reducer</v>
          </cell>
          <cell r="R277" t="str">
            <v>1.0-1.2 mills</v>
          </cell>
          <cell r="S277" t="str">
            <v>Al Horno</v>
          </cell>
          <cell r="T277" t="str">
            <v>15' a 300°F</v>
          </cell>
          <cell r="U277" t="str">
            <v>757.28 Pies Cuadrados/Gl a 1 mills de espesor</v>
          </cell>
          <cell r="V277" t="str">
            <v>+80</v>
          </cell>
          <cell r="W277" t="str">
            <v>H</v>
          </cell>
          <cell r="X277" t="str">
            <v>6-12 meses</v>
          </cell>
          <cell r="Y277" t="str">
            <v>Industrias Metálicas S.A</v>
          </cell>
          <cell r="Z277" t="str">
            <v>Operadores</v>
          </cell>
          <cell r="AA277" t="str">
            <v>-</v>
          </cell>
          <cell r="AB277" t="str">
            <v>Luis Nolasco</v>
          </cell>
          <cell r="AC277">
            <v>34456</v>
          </cell>
        </row>
        <row r="278">
          <cell r="A278" t="str">
            <v>SAA 3999</v>
          </cell>
          <cell r="B278" t="str">
            <v>Esmalte horneable Alquídico Café Suave</v>
          </cell>
          <cell r="C278" t="str">
            <v>Interior-Exterior</v>
          </cell>
          <cell r="D278" t="str">
            <v>Hierro</v>
          </cell>
          <cell r="E278" t="str">
            <v>Limpio con Solvente</v>
          </cell>
          <cell r="F278" t="str">
            <v>Ninguno</v>
          </cell>
          <cell r="G278" t="str">
            <v>8.59 Lbs/Gl</v>
          </cell>
          <cell r="H278" t="str">
            <v>10.01%</v>
          </cell>
          <cell r="I278" t="str">
            <v>48.27%</v>
          </cell>
          <cell r="J278" t="str">
            <v>42.51%</v>
          </cell>
          <cell r="K278" t="str">
            <v>7.40%</v>
          </cell>
          <cell r="L278" t="str">
            <v>36.20%</v>
          </cell>
          <cell r="M278" t="str">
            <v>100"-110" Copa Zanh #2</v>
          </cell>
          <cell r="N278" t="str">
            <v>Pistola</v>
          </cell>
          <cell r="O278" t="str">
            <v>25"-30" Copa Zanh #2</v>
          </cell>
          <cell r="P278" t="str">
            <v>20-25%</v>
          </cell>
          <cell r="Q278" t="str">
            <v>R2K4         Industrial reducer</v>
          </cell>
          <cell r="R278" t="str">
            <v>1.0-1.2 mills</v>
          </cell>
          <cell r="S278" t="str">
            <v>Al Horno</v>
          </cell>
          <cell r="T278" t="str">
            <v>15' a 300°F</v>
          </cell>
          <cell r="U278" t="str">
            <v>772.32 Pies Cuadrados/Gl a 1 mills de espesor</v>
          </cell>
          <cell r="V278" t="str">
            <v>+80</v>
          </cell>
          <cell r="W278" t="str">
            <v>H</v>
          </cell>
          <cell r="X278" t="str">
            <v>6-12 meses</v>
          </cell>
          <cell r="Y278" t="str">
            <v>SW Costa Rica</v>
          </cell>
          <cell r="Z278" t="str">
            <v>-</v>
          </cell>
          <cell r="AA278" t="str">
            <v>-</v>
          </cell>
          <cell r="AB278" t="str">
            <v>Luis Nolasco</v>
          </cell>
          <cell r="AC278">
            <v>34477</v>
          </cell>
        </row>
        <row r="279">
          <cell r="A279" t="str">
            <v>SAA 4000</v>
          </cell>
          <cell r="B279" t="str">
            <v>Esmalte Horneable Alquídico Negro Satinado</v>
          </cell>
          <cell r="C279" t="str">
            <v>Interior-Exterior</v>
          </cell>
          <cell r="D279" t="str">
            <v>Hierro</v>
          </cell>
          <cell r="E279" t="str">
            <v>Limpio con Solvente</v>
          </cell>
          <cell r="F279" t="str">
            <v>Ninguno</v>
          </cell>
          <cell r="G279" t="str">
            <v>8.82 Lbs/Gl</v>
          </cell>
          <cell r="H279" t="str">
            <v>17.79%</v>
          </cell>
          <cell r="I279" t="str">
            <v>50.91%</v>
          </cell>
          <cell r="J279" t="str">
            <v>39.95%</v>
          </cell>
          <cell r="K279" t="str">
            <v>17.96%</v>
          </cell>
          <cell r="L279" t="str">
            <v>43.12%</v>
          </cell>
          <cell r="M279" t="str">
            <v>100"-110" Copa Zanh #2</v>
          </cell>
          <cell r="N279" t="str">
            <v>Pistola</v>
          </cell>
          <cell r="O279" t="str">
            <v>25"-30" Copa Zanh #2</v>
          </cell>
          <cell r="P279" t="str">
            <v>20-25%</v>
          </cell>
          <cell r="Q279" t="str">
            <v>R2K4         Industrial reducer</v>
          </cell>
          <cell r="R279" t="str">
            <v>1.0-1.2 mills</v>
          </cell>
          <cell r="S279" t="str">
            <v>Al Horno</v>
          </cell>
          <cell r="T279" t="str">
            <v>15' a 300°F</v>
          </cell>
          <cell r="U279" t="str">
            <v>814.56 Pies Cuadrados/Gl a 1 mills de espesor</v>
          </cell>
          <cell r="V279" t="str">
            <v>20-22</v>
          </cell>
          <cell r="W279" t="str">
            <v>H</v>
          </cell>
          <cell r="X279" t="str">
            <v>6-12 meses</v>
          </cell>
          <cell r="Y279" t="str">
            <v>SW Costa Rica</v>
          </cell>
          <cell r="Z279" t="str">
            <v>-</v>
          </cell>
          <cell r="AA279" t="str">
            <v>-</v>
          </cell>
          <cell r="AB279" t="str">
            <v>Luis Nolasco</v>
          </cell>
          <cell r="AC279">
            <v>34477</v>
          </cell>
        </row>
        <row r="280">
          <cell r="A280" t="str">
            <v>SAA 4005</v>
          </cell>
          <cell r="B280" t="str">
            <v xml:space="preserve">Esmalte horneable Alquídico Café Oscuro  </v>
          </cell>
          <cell r="C280" t="str">
            <v>Interior-Exterior</v>
          </cell>
          <cell r="D280" t="str">
            <v>Hierro</v>
          </cell>
          <cell r="E280" t="str">
            <v>Limpio con Solvente</v>
          </cell>
          <cell r="F280" t="str">
            <v>Ninguno</v>
          </cell>
          <cell r="G280" t="str">
            <v>8.29 Lbs/Gl</v>
          </cell>
          <cell r="H280" t="str">
            <v>6.12%</v>
          </cell>
          <cell r="I280" t="str">
            <v>45.77%</v>
          </cell>
          <cell r="J280" t="str">
            <v>42.24%</v>
          </cell>
          <cell r="K280" t="str">
            <v>4.53%</v>
          </cell>
          <cell r="L280" t="str">
            <v>35.11%</v>
          </cell>
          <cell r="M280" t="str">
            <v>100"-110" Copa Zanh #2</v>
          </cell>
          <cell r="N280" t="str">
            <v>Pistola</v>
          </cell>
          <cell r="O280" t="str">
            <v>25"-30" Copa Zanh #2</v>
          </cell>
          <cell r="P280" t="str">
            <v>20-25%</v>
          </cell>
          <cell r="Q280" t="str">
            <v>R2K4         Industrial reducer</v>
          </cell>
          <cell r="R280" t="str">
            <v>1.0-1.2 mills</v>
          </cell>
          <cell r="S280" t="str">
            <v>Al Horno</v>
          </cell>
          <cell r="T280" t="str">
            <v>15' a 300°F</v>
          </cell>
          <cell r="U280" t="str">
            <v>732.32 Pies Cuadrados/Gl a 1 mills de espesor</v>
          </cell>
          <cell r="V280" t="str">
            <v>+80</v>
          </cell>
          <cell r="W280" t="str">
            <v>H</v>
          </cell>
          <cell r="X280" t="str">
            <v>6-12 meses</v>
          </cell>
          <cell r="Y280" t="str">
            <v>SW Costa Rica</v>
          </cell>
          <cell r="Z280" t="str">
            <v>-</v>
          </cell>
          <cell r="AA280" t="str">
            <v>-</v>
          </cell>
          <cell r="AB280" t="str">
            <v>Luis Nolasco</v>
          </cell>
          <cell r="AC280">
            <v>34487</v>
          </cell>
        </row>
        <row r="281">
          <cell r="A281" t="str">
            <v>SAA 4006</v>
          </cell>
          <cell r="B281" t="str">
            <v>Esmalte Horneable Alquídico Naranja</v>
          </cell>
          <cell r="C281" t="str">
            <v>Interior-Exterior</v>
          </cell>
          <cell r="D281" t="str">
            <v>Hierro</v>
          </cell>
          <cell r="E281" t="str">
            <v>Limpio con Solvente</v>
          </cell>
          <cell r="F281" t="str">
            <v>Ninguno</v>
          </cell>
          <cell r="G281" t="str">
            <v>8.47 Lbs/Gl</v>
          </cell>
          <cell r="H281" t="str">
            <v>8.45%</v>
          </cell>
          <cell r="I281" t="str">
            <v>47.27%</v>
          </cell>
          <cell r="J281" t="str">
            <v>42.41%</v>
          </cell>
          <cell r="K281" t="str">
            <v>5.55%</v>
          </cell>
          <cell r="L281" t="str">
            <v>35.49%</v>
          </cell>
          <cell r="M281" t="str">
            <v>100"-110" Copa Zanh #2</v>
          </cell>
          <cell r="N281" t="str">
            <v>Pistola</v>
          </cell>
          <cell r="O281" t="str">
            <v>25"-30" Copa Zanh #2</v>
          </cell>
          <cell r="P281" t="str">
            <v>20-25%</v>
          </cell>
          <cell r="Q281" t="str">
            <v>R2K4         Industrial reducer</v>
          </cell>
          <cell r="R281" t="str">
            <v>1.0-1.2 mills</v>
          </cell>
          <cell r="S281" t="str">
            <v>Al Horno</v>
          </cell>
          <cell r="T281" t="str">
            <v>15' a 300°F</v>
          </cell>
          <cell r="U281" t="str">
            <v>756.32 Pies Cuadrados/Gl a 1 mills de espesor</v>
          </cell>
          <cell r="V281" t="str">
            <v>+80</v>
          </cell>
          <cell r="W281" t="str">
            <v>H</v>
          </cell>
          <cell r="X281" t="str">
            <v>6-12 meses</v>
          </cell>
          <cell r="Y281" t="str">
            <v>SW Costa Rica</v>
          </cell>
          <cell r="Z281" t="str">
            <v>-</v>
          </cell>
          <cell r="AA281" t="str">
            <v>-</v>
          </cell>
          <cell r="AB281" t="str">
            <v>Luis Nolasco</v>
          </cell>
          <cell r="AC281">
            <v>34487</v>
          </cell>
        </row>
        <row r="282">
          <cell r="A282" t="str">
            <v>SAA 4007</v>
          </cell>
          <cell r="B282" t="str">
            <v>Esmalte Horneable Alquídico Verde Metálico</v>
          </cell>
          <cell r="C282" t="str">
            <v>Interior-Exterior</v>
          </cell>
          <cell r="D282" t="str">
            <v>Hierro</v>
          </cell>
          <cell r="E282" t="str">
            <v>Limpio con Solvente</v>
          </cell>
          <cell r="F282" t="str">
            <v>Ninguno</v>
          </cell>
          <cell r="G282" t="str">
            <v>7.98 Lbs/Gl</v>
          </cell>
          <cell r="H282" t="str">
            <v>2.49%</v>
          </cell>
          <cell r="I282" t="str">
            <v>43.92%</v>
          </cell>
          <cell r="J282" t="str">
            <v>42.48%</v>
          </cell>
          <cell r="K282" t="str">
            <v>1.95%</v>
          </cell>
          <cell r="L282" t="str">
            <v>33.86%</v>
          </cell>
          <cell r="M282" t="str">
            <v>100"-110" Copa Zanh #2</v>
          </cell>
          <cell r="N282" t="str">
            <v>Pistola</v>
          </cell>
          <cell r="O282" t="str">
            <v>25"-30" Copa Zanh #2</v>
          </cell>
          <cell r="P282" t="str">
            <v>20-25%</v>
          </cell>
          <cell r="Q282" t="str">
            <v>R2K4         Industrial reducer</v>
          </cell>
          <cell r="R282" t="str">
            <v>1.0-1.2 mills</v>
          </cell>
          <cell r="S282" t="str">
            <v>Al Horno</v>
          </cell>
          <cell r="T282" t="str">
            <v>15' a 300°F</v>
          </cell>
          <cell r="U282" t="str">
            <v>702.72 Pies Cuadrados/Gl a 1 mills de espesor</v>
          </cell>
          <cell r="V282" t="str">
            <v>+80</v>
          </cell>
          <cell r="W282" t="str">
            <v>H</v>
          </cell>
          <cell r="X282" t="str">
            <v>6-12 meses</v>
          </cell>
          <cell r="Y282" t="str">
            <v>SW Costa Rica</v>
          </cell>
          <cell r="Z282" t="str">
            <v>-</v>
          </cell>
          <cell r="AA282" t="str">
            <v>-</v>
          </cell>
          <cell r="AB282" t="str">
            <v>Luis Nolasco</v>
          </cell>
          <cell r="AC282">
            <v>34487</v>
          </cell>
        </row>
        <row r="283">
          <cell r="A283" t="str">
            <v>SAA 4008</v>
          </cell>
          <cell r="B283" t="str">
            <v>Esmalte Horneable Alquídico Gris Oscuro</v>
          </cell>
          <cell r="C283" t="str">
            <v>Interior-Exterior</v>
          </cell>
          <cell r="D283" t="str">
            <v>Hierro</v>
          </cell>
          <cell r="E283" t="str">
            <v>Limpio con Solvente</v>
          </cell>
          <cell r="F283" t="str">
            <v>Ninguno</v>
          </cell>
          <cell r="G283" t="str">
            <v>8.43 Lbs/Gl</v>
          </cell>
          <cell r="H283" t="str">
            <v>8.25%</v>
          </cell>
          <cell r="I283" t="str">
            <v>47.26%</v>
          </cell>
          <cell r="J283" t="str">
            <v>42.58%</v>
          </cell>
          <cell r="K283" t="str">
            <v>6.45%</v>
          </cell>
          <cell r="L283" t="str">
            <v>35.83%</v>
          </cell>
          <cell r="M283" t="str">
            <v>100"-110" Copa Zanh #2</v>
          </cell>
          <cell r="N283" t="str">
            <v>Pistola</v>
          </cell>
          <cell r="O283" t="str">
            <v>25"-30" Copa Zanh #2</v>
          </cell>
          <cell r="P283" t="str">
            <v>20-25%</v>
          </cell>
          <cell r="Q283" t="str">
            <v>R2K4         Industrial reducer</v>
          </cell>
          <cell r="R283" t="str">
            <v>1.0-1.2 mills</v>
          </cell>
          <cell r="S283" t="str">
            <v>Al Horno</v>
          </cell>
          <cell r="T283" t="str">
            <v>15' a 300°F</v>
          </cell>
          <cell r="U283" t="str">
            <v>761.92 Pies Cuadrados/Gl a 1 mills de espesor</v>
          </cell>
          <cell r="V283" t="str">
            <v>+80</v>
          </cell>
          <cell r="W283" t="str">
            <v>H</v>
          </cell>
          <cell r="X283" t="str">
            <v>6-12 meses</v>
          </cell>
          <cell r="Y283" t="str">
            <v>SW Costa Rica</v>
          </cell>
          <cell r="Z283" t="str">
            <v>-</v>
          </cell>
          <cell r="AA283" t="str">
            <v>-</v>
          </cell>
          <cell r="AB283" t="str">
            <v>Luis Nolasco</v>
          </cell>
          <cell r="AC283">
            <v>34487</v>
          </cell>
        </row>
        <row r="284">
          <cell r="A284" t="str">
            <v>SAA 4009</v>
          </cell>
          <cell r="B284" t="str">
            <v xml:space="preserve">Esmalte Horneable Alquídico Azul Intenso  </v>
          </cell>
          <cell r="C284" t="str">
            <v>Interior-Exterior</v>
          </cell>
          <cell r="D284" t="str">
            <v>Hierro</v>
          </cell>
          <cell r="E284" t="str">
            <v>Limpio con Solvente</v>
          </cell>
          <cell r="F284" t="str">
            <v>Ninguno</v>
          </cell>
          <cell r="G284" t="str">
            <v>8.44 Lbs/Gl</v>
          </cell>
          <cell r="H284" t="str">
            <v>9.07%</v>
          </cell>
          <cell r="I284" t="str">
            <v>48.03%</v>
          </cell>
          <cell r="J284" t="str">
            <v>42.84%</v>
          </cell>
          <cell r="K284" t="str">
            <v>9.18%</v>
          </cell>
          <cell r="L284" t="str">
            <v>36.91%</v>
          </cell>
          <cell r="M284" t="str">
            <v>100"-110" Copa Zanh #2</v>
          </cell>
          <cell r="N284" t="str">
            <v>Pistola</v>
          </cell>
          <cell r="O284" t="str">
            <v>25"-30" Copa Zanh #2</v>
          </cell>
          <cell r="P284" t="str">
            <v>20-25%</v>
          </cell>
          <cell r="Q284" t="str">
            <v>R2K4         Industrial reducer</v>
          </cell>
          <cell r="R284" t="str">
            <v>1.0-1.2 mills</v>
          </cell>
          <cell r="S284" t="str">
            <v>Al Horno</v>
          </cell>
          <cell r="T284" t="str">
            <v>15' a 300°F</v>
          </cell>
          <cell r="U284" t="str">
            <v>768.48 Pies Cuadrados/Gl a 1 mills de espesor</v>
          </cell>
          <cell r="V284" t="str">
            <v>+80</v>
          </cell>
          <cell r="W284" t="str">
            <v>H</v>
          </cell>
          <cell r="X284" t="str">
            <v>6-12 meses</v>
          </cell>
          <cell r="Y284" t="str">
            <v>SW Costa Rica</v>
          </cell>
          <cell r="Z284" t="str">
            <v>-</v>
          </cell>
          <cell r="AA284" t="str">
            <v>-</v>
          </cell>
          <cell r="AB284" t="str">
            <v>Luis Nolasco</v>
          </cell>
          <cell r="AC284">
            <v>34498</v>
          </cell>
        </row>
        <row r="285">
          <cell r="A285" t="str">
            <v>F73BSA14</v>
          </cell>
          <cell r="B285" t="str">
            <v>Esmalte Horneable Negro Semibrillante</v>
          </cell>
          <cell r="C285" t="str">
            <v>Interior-Exterior</v>
          </cell>
          <cell r="D285" t="str">
            <v>Hierro</v>
          </cell>
          <cell r="E285" t="str">
            <v>Limpieza con R2K4, Desengrase, Fosfatizado</v>
          </cell>
          <cell r="F285" t="str">
            <v>Ninguno</v>
          </cell>
          <cell r="G285" t="str">
            <v>8.73 Lbs/Gl</v>
          </cell>
          <cell r="H285" t="str">
            <v>16.27%</v>
          </cell>
          <cell r="I285" t="str">
            <v>49.50%</v>
          </cell>
          <cell r="J285" t="str">
            <v>34.94%</v>
          </cell>
          <cell r="K285" t="str">
            <v>18.97%</v>
          </cell>
          <cell r="L285" t="str">
            <v>36.43%</v>
          </cell>
          <cell r="M285" t="str">
            <v>100"-110" Copa Zanh #2</v>
          </cell>
          <cell r="N285" t="str">
            <v>Pistola</v>
          </cell>
          <cell r="O285" t="str">
            <v>20"-25" Copa Zanh #2</v>
          </cell>
          <cell r="P285" t="str">
            <v>20-25%</v>
          </cell>
          <cell r="Q285" t="str">
            <v>R2K4         Industrial reducer</v>
          </cell>
          <cell r="R285" t="str">
            <v>1.2-1.5 mills</v>
          </cell>
          <cell r="S285" t="str">
            <v>Al Horno</v>
          </cell>
          <cell r="T285" t="str">
            <v>15' a 300°F</v>
          </cell>
          <cell r="U285" t="str">
            <v>792 Pies Cuadrados/Gl a 1 mills de espesor</v>
          </cell>
          <cell r="V285" t="str">
            <v>40-45</v>
          </cell>
          <cell r="W285" t="str">
            <v>H</v>
          </cell>
          <cell r="X285" t="str">
            <v>6-12 meses</v>
          </cell>
          <cell r="Y285" t="str">
            <v>IMSA</v>
          </cell>
          <cell r="Z285" t="str">
            <v>Muebles Metálicos</v>
          </cell>
          <cell r="AA285" t="str">
            <v>-</v>
          </cell>
          <cell r="AB285" t="str">
            <v>Luis Nolasco</v>
          </cell>
          <cell r="AC285">
            <v>34773</v>
          </cell>
        </row>
        <row r="286">
          <cell r="A286" t="str">
            <v>SAA 4596</v>
          </cell>
          <cell r="B286" t="str">
            <v>Esmalte Horneable Alquidico Económico Beige</v>
          </cell>
          <cell r="C286" t="str">
            <v>Interior-Exterior</v>
          </cell>
          <cell r="D286" t="str">
            <v>Hierro</v>
          </cell>
          <cell r="E286" t="str">
            <v>Limpieza y Desengrase</v>
          </cell>
          <cell r="F286" t="str">
            <v>Ninguno</v>
          </cell>
          <cell r="G286" t="str">
            <v>8.12 Lbs/Gl</v>
          </cell>
          <cell r="H286" t="str">
            <v>10.95%</v>
          </cell>
          <cell r="I286" t="str">
            <v>47.43%</v>
          </cell>
          <cell r="J286" t="str">
            <v>41.52%</v>
          </cell>
          <cell r="K286" t="str">
            <v>7.52%</v>
          </cell>
          <cell r="L286" t="str">
            <v>35.36%</v>
          </cell>
          <cell r="M286" t="str">
            <v>50"-60" Copa Zanh #2</v>
          </cell>
          <cell r="N286" t="str">
            <v>Pistola</v>
          </cell>
          <cell r="O286" t="str">
            <v>16"-18" Copa Zanh #2</v>
          </cell>
          <cell r="P286" t="str">
            <v>10-15%</v>
          </cell>
          <cell r="Q286" t="str">
            <v>R2K4         Industrial reducer</v>
          </cell>
          <cell r="R286" t="str">
            <v>1 mills</v>
          </cell>
          <cell r="S286" t="str">
            <v>Al Horno</v>
          </cell>
          <cell r="T286" t="str">
            <v>15' a 300°F</v>
          </cell>
          <cell r="U286" t="str">
            <v>758.88 Pies Cuadrados/Gl a 1 mills de espesor</v>
          </cell>
          <cell r="V286" t="str">
            <v>+85</v>
          </cell>
          <cell r="W286" t="str">
            <v>H</v>
          </cell>
          <cell r="X286" t="str">
            <v>6-12 meses</v>
          </cell>
          <cell r="Y286" t="str">
            <v>SW Costa Rica</v>
          </cell>
          <cell r="Z286" t="str">
            <v>-</v>
          </cell>
          <cell r="AA286" t="str">
            <v>-</v>
          </cell>
          <cell r="AB286" t="str">
            <v>Luis Nolasco</v>
          </cell>
          <cell r="AC286">
            <v>35828</v>
          </cell>
        </row>
        <row r="287">
          <cell r="A287" t="str">
            <v>SAA 4597</v>
          </cell>
          <cell r="B287" t="str">
            <v>Esmalte Horneable Alquidico Económico Gris Oscuro</v>
          </cell>
          <cell r="C287" t="str">
            <v>Interior-Exterior</v>
          </cell>
          <cell r="D287" t="str">
            <v>Hierro</v>
          </cell>
          <cell r="E287" t="str">
            <v>Limpieza y Desengrase</v>
          </cell>
          <cell r="F287" t="str">
            <v>Ninguno</v>
          </cell>
          <cell r="G287" t="str">
            <v>8.0 Lbs/Gl</v>
          </cell>
          <cell r="H287" t="str">
            <v>9.32%</v>
          </cell>
          <cell r="I287" t="str">
            <v>46.87%</v>
          </cell>
          <cell r="J287" t="str">
            <v>41.42%</v>
          </cell>
          <cell r="K287" t="str">
            <v>6.68%</v>
          </cell>
          <cell r="L287" t="str">
            <v>35.04%</v>
          </cell>
          <cell r="M287" t="str">
            <v>50"-60" Copa Zanh #2</v>
          </cell>
          <cell r="N287" t="str">
            <v>Pistola</v>
          </cell>
          <cell r="O287" t="str">
            <v>16"-18" Copa Zanh #2</v>
          </cell>
          <cell r="P287" t="str">
            <v>10-15%</v>
          </cell>
          <cell r="Q287" t="str">
            <v>R2K4         Industrial reducer</v>
          </cell>
          <cell r="R287" t="str">
            <v>1 mills</v>
          </cell>
          <cell r="S287" t="str">
            <v>Al Horno</v>
          </cell>
          <cell r="T287" t="str">
            <v>15' a 300°F</v>
          </cell>
          <cell r="U287" t="str">
            <v>749.92 Pies Cuadrados/Gl a 1 mills de espesor</v>
          </cell>
          <cell r="V287" t="str">
            <v>+85</v>
          </cell>
          <cell r="W287" t="str">
            <v>H</v>
          </cell>
          <cell r="X287" t="str">
            <v>6-12 meses</v>
          </cell>
          <cell r="Y287" t="str">
            <v>SW Costa Rica</v>
          </cell>
          <cell r="Z287" t="str">
            <v>-</v>
          </cell>
          <cell r="AA287" t="str">
            <v>-</v>
          </cell>
          <cell r="AB287" t="str">
            <v>Luis Nolasco</v>
          </cell>
          <cell r="AC287">
            <v>35828</v>
          </cell>
        </row>
        <row r="288">
          <cell r="A288" t="str">
            <v>SAA 4599</v>
          </cell>
          <cell r="B288" t="str">
            <v>Oil Stain Café Oscuro</v>
          </cell>
          <cell r="C288" t="str">
            <v>Interior</v>
          </cell>
          <cell r="D288" t="str">
            <v>Madera</v>
          </cell>
          <cell r="E288" t="str">
            <v>Lijada</v>
          </cell>
          <cell r="F288" t="str">
            <v>Ninguno</v>
          </cell>
          <cell r="G288" t="str">
            <v>7.27 Lbs/Gl</v>
          </cell>
          <cell r="H288" t="str">
            <v>6.99%</v>
          </cell>
          <cell r="I288" t="str">
            <v>24.48%</v>
          </cell>
          <cell r="J288" t="str">
            <v>18.81%</v>
          </cell>
          <cell r="K288" t="str">
            <v>10%</v>
          </cell>
          <cell r="L288" t="str">
            <v>16.20%</v>
          </cell>
          <cell r="M288" t="str">
            <v>9"-11" Copa Ford #4</v>
          </cell>
          <cell r="N288" t="str">
            <v>Brocha-Chupón</v>
          </cell>
          <cell r="O288" t="str">
            <v>9"-11" Copa Ford #4</v>
          </cell>
          <cell r="P288" t="str">
            <v>-</v>
          </cell>
          <cell r="Q288" t="str">
            <v>-</v>
          </cell>
          <cell r="R288" t="str">
            <v>-</v>
          </cell>
          <cell r="S288" t="str">
            <v>Al Aire</v>
          </cell>
          <cell r="T288" t="str">
            <v>-</v>
          </cell>
          <cell r="U288" t="str">
            <v>391.68 Pies Cuadrados/Gl a 1 mills de espesor</v>
          </cell>
          <cell r="V288" t="str">
            <v>-</v>
          </cell>
          <cell r="W288" t="str">
            <v>-</v>
          </cell>
          <cell r="X288" t="str">
            <v>6-12 meses</v>
          </cell>
          <cell r="Y288" t="str">
            <v>MADECORT(El Salvador)    SW Nicaragua.</v>
          </cell>
          <cell r="Z288" t="str">
            <v>Muebles de Madera.</v>
          </cell>
          <cell r="AA288" t="str">
            <v>-</v>
          </cell>
          <cell r="AB288" t="str">
            <v>Luis Nolasco</v>
          </cell>
          <cell r="AC288">
            <v>35830</v>
          </cell>
        </row>
        <row r="289">
          <cell r="A289" t="str">
            <v>SAA 4600</v>
          </cell>
          <cell r="B289" t="str">
            <v>Oil Stain Café Oscuro</v>
          </cell>
          <cell r="C289" t="str">
            <v>Interior</v>
          </cell>
          <cell r="D289" t="str">
            <v>Madera</v>
          </cell>
          <cell r="E289" t="str">
            <v>Lijada</v>
          </cell>
          <cell r="F289" t="str">
            <v>Ninguno</v>
          </cell>
          <cell r="G289" t="str">
            <v>7.33 Lbs/Gl</v>
          </cell>
          <cell r="H289" t="str">
            <v>8.29%</v>
          </cell>
          <cell r="I289" t="str">
            <v>25.64%</v>
          </cell>
          <cell r="J289" t="str">
            <v>18.98%</v>
          </cell>
          <cell r="K289" t="str">
            <v>12.90%</v>
          </cell>
          <cell r="L289" t="str">
            <v>16.74%</v>
          </cell>
          <cell r="M289" t="str">
            <v>9"-11" Copa Ford #4</v>
          </cell>
          <cell r="N289" t="str">
            <v>Brocha-Chupón</v>
          </cell>
          <cell r="O289" t="str">
            <v>9"-11" Copa Ford #4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Al Aire</v>
          </cell>
          <cell r="T289" t="str">
            <v>-</v>
          </cell>
          <cell r="U289" t="str">
            <v>410.24 Pies Cuadrados/Gl a 1 mills de espesor</v>
          </cell>
          <cell r="V289" t="str">
            <v>-</v>
          </cell>
          <cell r="W289" t="str">
            <v>-</v>
          </cell>
          <cell r="X289" t="str">
            <v>6-12 meses</v>
          </cell>
          <cell r="Y289" t="str">
            <v>MADECORT</v>
          </cell>
          <cell r="Z289" t="str">
            <v>Muebles de Madera.</v>
          </cell>
          <cell r="AA289" t="str">
            <v>-</v>
          </cell>
          <cell r="AB289" t="str">
            <v>Luis Nolasco</v>
          </cell>
          <cell r="AC289">
            <v>35830</v>
          </cell>
        </row>
        <row r="290">
          <cell r="A290" t="str">
            <v>SAA 4601</v>
          </cell>
          <cell r="B290" t="str">
            <v>Primer Poliuretano Blanco Para Madera</v>
          </cell>
          <cell r="C290" t="str">
            <v>Interior</v>
          </cell>
          <cell r="D290" t="str">
            <v>Madera</v>
          </cell>
          <cell r="E290" t="str">
            <v>Lijada, Limpia y Seca</v>
          </cell>
          <cell r="F290" t="str">
            <v>-</v>
          </cell>
          <cell r="G290" t="str">
            <v>8.40 Lbs/Gl</v>
          </cell>
          <cell r="H290" t="str">
            <v>14.81%</v>
          </cell>
          <cell r="I290" t="str">
            <v>34.32%</v>
          </cell>
          <cell r="J290" t="str">
            <v>22.90%</v>
          </cell>
          <cell r="K290" t="str">
            <v>22.54%</v>
          </cell>
          <cell r="L290" t="str">
            <v>27.51%</v>
          </cell>
          <cell r="M290" t="str">
            <v>50"-55" Copa Ford #4</v>
          </cell>
          <cell r="N290" t="str">
            <v>Pistola</v>
          </cell>
          <cell r="O290" t="str">
            <v>18"-20" Copa Ford #4</v>
          </cell>
          <cell r="P290" t="str">
            <v>25%</v>
          </cell>
          <cell r="Q290" t="str">
            <v>R7K1499 Reductor Universal Medio #3</v>
          </cell>
          <cell r="R290" t="str">
            <v>1 mills</v>
          </cell>
          <cell r="S290" t="str">
            <v>Al Aire (Catalizar con 1/16 por Galón con V6V690)</v>
          </cell>
          <cell r="T290" t="str">
            <v>-</v>
          </cell>
          <cell r="U290" t="str">
            <v>549.12 Pies Cuadrados/Gl a 1 mills de espesor</v>
          </cell>
          <cell r="V290" t="str">
            <v>-</v>
          </cell>
          <cell r="W290" t="str">
            <v>-</v>
          </cell>
          <cell r="X290" t="str">
            <v>3 Años</v>
          </cell>
          <cell r="Y290" t="str">
            <v>Varios</v>
          </cell>
          <cell r="Z290" t="str">
            <v>Muebles de Madera.</v>
          </cell>
          <cell r="AA290" t="str">
            <v>-</v>
          </cell>
          <cell r="AB290" t="str">
            <v>Luis Nolasco</v>
          </cell>
          <cell r="AC290">
            <v>35849</v>
          </cell>
        </row>
        <row r="291">
          <cell r="A291" t="str">
            <v>SAA 4602</v>
          </cell>
          <cell r="B291" t="str">
            <v>Poliuretano Blanco Para Madera</v>
          </cell>
          <cell r="C291" t="str">
            <v>Interior</v>
          </cell>
          <cell r="D291" t="str">
            <v>Madera</v>
          </cell>
          <cell r="E291" t="str">
            <v>Lijada, Limpia y Seca</v>
          </cell>
          <cell r="F291" t="str">
            <v>SAA 4601</v>
          </cell>
          <cell r="G291" t="str">
            <v>8.25 Lbs/Gl</v>
          </cell>
          <cell r="H291" t="str">
            <v>9.90%</v>
          </cell>
          <cell r="I291" t="str">
            <v>29.79%</v>
          </cell>
          <cell r="J291" t="str">
            <v>22.07%</v>
          </cell>
          <cell r="K291" t="str">
            <v>10.55%</v>
          </cell>
          <cell r="L291" t="str">
            <v>23.89%</v>
          </cell>
          <cell r="M291" t="str">
            <v>22"-26" Copa Ford #4</v>
          </cell>
          <cell r="N291" t="str">
            <v>Pistola</v>
          </cell>
          <cell r="O291" t="str">
            <v>18"-20" Copa Ford #4</v>
          </cell>
          <cell r="P291" t="str">
            <v>10%</v>
          </cell>
          <cell r="Q291" t="str">
            <v>R7K1499 Reductor Universal Medio #3</v>
          </cell>
          <cell r="R291" t="str">
            <v>1 mills</v>
          </cell>
          <cell r="S291" t="str">
            <v>Al Aire (Catalizar con 1/16 por Galón con V6V690)</v>
          </cell>
          <cell r="T291" t="str">
            <v>-</v>
          </cell>
          <cell r="U291" t="str">
            <v>476.64 Pies Cuadrados/Gl a 1 mills de espesor</v>
          </cell>
          <cell r="V291" t="str">
            <v>+80</v>
          </cell>
          <cell r="W291" t="str">
            <v>-</v>
          </cell>
          <cell r="X291" t="str">
            <v>3 Años</v>
          </cell>
          <cell r="Y291" t="str">
            <v>Varios</v>
          </cell>
          <cell r="Z291" t="str">
            <v>Muebles de Madera.</v>
          </cell>
          <cell r="AA291" t="str">
            <v>-</v>
          </cell>
          <cell r="AB291" t="str">
            <v>Luis Nolasco</v>
          </cell>
          <cell r="AC291">
            <v>35849</v>
          </cell>
        </row>
        <row r="292">
          <cell r="A292" t="str">
            <v>E60FSA1 (1)</v>
          </cell>
          <cell r="B292" t="str">
            <v>Sellador Poliuretano Para Madera</v>
          </cell>
          <cell r="C292" t="str">
            <v>Interior</v>
          </cell>
          <cell r="D292" t="str">
            <v>Madera</v>
          </cell>
          <cell r="E292" t="str">
            <v>Lijado + Tapaporo + Tintes</v>
          </cell>
          <cell r="F292" t="str">
            <v>Mismo</v>
          </cell>
          <cell r="G292" t="str">
            <v>7.73 Lbs/Gl</v>
          </cell>
          <cell r="H292" t="str">
            <v>3.23%</v>
          </cell>
          <cell r="I292" t="str">
            <v>24.4% (Catalizado 27.20%)</v>
          </cell>
          <cell r="J292" t="str">
            <v>21.17%</v>
          </cell>
          <cell r="K292" t="str">
            <v>12.85%</v>
          </cell>
          <cell r="L292" t="str">
            <v>17.88% (Catalizado 20.46)</v>
          </cell>
          <cell r="M292" t="str">
            <v>18"-20" Copa Ford #4</v>
          </cell>
          <cell r="N292" t="str">
            <v>Pistola</v>
          </cell>
          <cell r="O292" t="str">
            <v>18"-20" Copa Ford #4</v>
          </cell>
          <cell r="P292" t="str">
            <v>Ninguno</v>
          </cell>
          <cell r="Q292" t="str">
            <v>Ninguno</v>
          </cell>
          <cell r="R292" t="str">
            <v>2 mills</v>
          </cell>
          <cell r="S292" t="str">
            <v>45 Minutos</v>
          </cell>
          <cell r="T292" t="str">
            <v>Catalizado con 1/16 de V6V690</v>
          </cell>
          <cell r="U292" t="str">
            <v>13.37 Mts Cuadrados/Gl a 2 mills de Espesor</v>
          </cell>
          <cell r="V292" t="str">
            <v>20 Unidades</v>
          </cell>
          <cell r="W292" t="str">
            <v>HB</v>
          </cell>
          <cell r="X292" t="str">
            <v>3 Años</v>
          </cell>
          <cell r="Y292" t="str">
            <v>-</v>
          </cell>
          <cell r="Z292" t="str">
            <v>-</v>
          </cell>
          <cell r="AA292" t="str">
            <v>-</v>
          </cell>
          <cell r="AB292" t="str">
            <v>Anabella de Mayorga</v>
          </cell>
          <cell r="AC292">
            <v>35858</v>
          </cell>
        </row>
        <row r="293">
          <cell r="A293" t="str">
            <v>F74C51 (1)</v>
          </cell>
          <cell r="B293" t="str">
            <v>Barniz Poliuretano Brillante Para Madera</v>
          </cell>
          <cell r="C293" t="str">
            <v>Interior</v>
          </cell>
          <cell r="D293" t="str">
            <v>Madera</v>
          </cell>
          <cell r="E293" t="str">
            <v>Lijado + Tapaporo + Tintes + Sellador</v>
          </cell>
          <cell r="F293" t="str">
            <v>Sellador Poliuretano E60FSA1</v>
          </cell>
          <cell r="G293" t="str">
            <v>7.88 Lbs/Gl</v>
          </cell>
          <cell r="H293" t="str">
            <v>-</v>
          </cell>
          <cell r="I293" t="str">
            <v>21.94% (Catalizado 24.92%)</v>
          </cell>
          <cell r="J293" t="str">
            <v>21.94%</v>
          </cell>
          <cell r="K293" t="str">
            <v>-</v>
          </cell>
          <cell r="L293" t="str">
            <v>15.77% (Catalizado 18.38%)</v>
          </cell>
          <cell r="M293" t="str">
            <v>18"-20" Copa Ford #4</v>
          </cell>
          <cell r="N293" t="str">
            <v>Pistola</v>
          </cell>
          <cell r="O293" t="str">
            <v>18"-20" Copa Ford #4</v>
          </cell>
          <cell r="P293" t="str">
            <v>Ninguno</v>
          </cell>
          <cell r="Q293" t="str">
            <v>Ninguno</v>
          </cell>
          <cell r="R293" t="str">
            <v>2 mills</v>
          </cell>
          <cell r="S293" t="str">
            <v>30 Minutos Al Aire</v>
          </cell>
          <cell r="T293" t="str">
            <v>Catalizado con 1/16 de V6V690</v>
          </cell>
          <cell r="U293" t="str">
            <v>11.72 Mts Cuadrados/Gl a 2 mills de Espesor</v>
          </cell>
          <cell r="V293" t="str">
            <v>80 Unidades</v>
          </cell>
          <cell r="W293" t="str">
            <v>HB</v>
          </cell>
          <cell r="X293" t="str">
            <v>3 Años</v>
          </cell>
          <cell r="Y293" t="str">
            <v>-</v>
          </cell>
          <cell r="Z293" t="str">
            <v>-</v>
          </cell>
          <cell r="AA293" t="str">
            <v>-</v>
          </cell>
          <cell r="AB293" t="str">
            <v>Anabella de Mayorga</v>
          </cell>
          <cell r="AC293">
            <v>35858</v>
          </cell>
        </row>
        <row r="294">
          <cell r="A294" t="str">
            <v>F74FSA1 (1)</v>
          </cell>
          <cell r="B294" t="str">
            <v>Barniz Poliuretano Mate Para Madera</v>
          </cell>
          <cell r="C294" t="str">
            <v>Interior</v>
          </cell>
          <cell r="D294" t="str">
            <v>Madera</v>
          </cell>
          <cell r="E294" t="str">
            <v>Lijado + Tapaporo + Tintes + Sellador</v>
          </cell>
          <cell r="F294" t="str">
            <v>Sellador Poliuretano E60FSA1</v>
          </cell>
          <cell r="G294" t="str">
            <v>7.88 Lbs/Gl</v>
          </cell>
          <cell r="H294" t="str">
            <v>5.82%</v>
          </cell>
          <cell r="I294" t="str">
            <v>25.99% (Catalizado 28.63%)</v>
          </cell>
          <cell r="J294" t="str">
            <v>20.17%</v>
          </cell>
          <cell r="K294" t="str">
            <v>14.63%</v>
          </cell>
          <cell r="L294" t="str">
            <v>18.05% (Catalizado 20.53%)</v>
          </cell>
          <cell r="M294" t="str">
            <v>18"-20" Copa Ford #4</v>
          </cell>
          <cell r="N294" t="str">
            <v>Pistola</v>
          </cell>
          <cell r="O294" t="str">
            <v>18"-20" Copa Ford #4</v>
          </cell>
          <cell r="P294" t="str">
            <v>Ninguno</v>
          </cell>
          <cell r="Q294" t="str">
            <v>Ninguno</v>
          </cell>
          <cell r="R294" t="str">
            <v>2 mills</v>
          </cell>
          <cell r="S294" t="str">
            <v>30 Minutos Al Aire</v>
          </cell>
          <cell r="T294" t="str">
            <v>Catalizado con 1/16 de V6V690</v>
          </cell>
          <cell r="U294" t="str">
            <v>13.42 Mts Cuadrados/Gl a 2 mills de Espesor</v>
          </cell>
          <cell r="V294" t="str">
            <v>5-7 Unidades</v>
          </cell>
          <cell r="W294" t="str">
            <v>HB</v>
          </cell>
          <cell r="X294" t="str">
            <v>3 Años</v>
          </cell>
          <cell r="Y294" t="str">
            <v>-</v>
          </cell>
          <cell r="Z294" t="str">
            <v>-</v>
          </cell>
          <cell r="AA294" t="str">
            <v>-</v>
          </cell>
          <cell r="AB294" t="str">
            <v>Anabella de Mayorga</v>
          </cell>
          <cell r="AC294">
            <v>35858</v>
          </cell>
        </row>
        <row r="295">
          <cell r="A295" t="str">
            <v>F63FSA2</v>
          </cell>
          <cell r="B295" t="str">
            <v>Barniz Poliuretano Satinado</v>
          </cell>
          <cell r="C295" t="str">
            <v>Interior</v>
          </cell>
          <cell r="D295" t="str">
            <v>Madera</v>
          </cell>
          <cell r="E295" t="str">
            <v>Lijado+Tapaporo+Tinte+Primer E65</v>
          </cell>
          <cell r="F295" t="str">
            <v>Poliuretano E65FSA1</v>
          </cell>
          <cell r="G295" t="str">
            <v>7.89Lbs/Gl</v>
          </cell>
          <cell r="H295" t="str">
            <v>1.29%</v>
          </cell>
          <cell r="I295" t="str">
            <v>23.44%</v>
          </cell>
          <cell r="J295" t="str">
            <v>22.44%</v>
          </cell>
          <cell r="K295" t="str">
            <v>3.27%</v>
          </cell>
          <cell r="L295" t="str">
            <v>16.82%</v>
          </cell>
          <cell r="M295" t="str">
            <v>18"-20" Copa Ford #4</v>
          </cell>
          <cell r="N295" t="str">
            <v>Pistola</v>
          </cell>
          <cell r="O295" t="str">
            <v>18"-20" Copa Ford #4</v>
          </cell>
          <cell r="P295" t="str">
            <v>Ninguno</v>
          </cell>
          <cell r="Q295" t="str">
            <v>NINGUNO</v>
          </cell>
          <cell r="R295" t="str">
            <v>1 mills</v>
          </cell>
          <cell r="S295" t="str">
            <v>Al Aire</v>
          </cell>
          <cell r="T295" t="str">
            <v>-</v>
          </cell>
          <cell r="U295" t="str">
            <v>375.04 Pies Cuadrados/Gl a 1 mills de espesor</v>
          </cell>
          <cell r="V295" t="str">
            <v>38-42</v>
          </cell>
          <cell r="W295" t="str">
            <v>-</v>
          </cell>
          <cell r="X295" t="str">
            <v>3 Años</v>
          </cell>
          <cell r="Y295" t="str">
            <v>Muebles Capri</v>
          </cell>
          <cell r="Z295" t="str">
            <v>Muebles de Madera.</v>
          </cell>
          <cell r="AA295" t="str">
            <v>-</v>
          </cell>
          <cell r="AB295" t="str">
            <v>Luis Nolasco</v>
          </cell>
          <cell r="AC295" t="str">
            <v xml:space="preserve">´MARZO 5 DE 1998 </v>
          </cell>
        </row>
        <row r="296">
          <cell r="A296" t="str">
            <v>SAA 4612</v>
          </cell>
          <cell r="B296" t="str">
            <v>Sher Wood 500 Café Especial</v>
          </cell>
          <cell r="C296" t="str">
            <v>Interior</v>
          </cell>
          <cell r="D296" t="str">
            <v>Madera</v>
          </cell>
          <cell r="E296" t="str">
            <v>Lijada, Limpia y Seca</v>
          </cell>
          <cell r="F296" t="str">
            <v>Ninguno</v>
          </cell>
          <cell r="G296" t="str">
            <v>6.72 Lbs/Gl</v>
          </cell>
          <cell r="H296" t="str">
            <v>2.38%</v>
          </cell>
          <cell r="I296" t="str">
            <v>2.38%</v>
          </cell>
          <cell r="J296" t="str">
            <v>-</v>
          </cell>
          <cell r="K296" t="str">
            <v>1.34%</v>
          </cell>
          <cell r="L296" t="str">
            <v>1.34%</v>
          </cell>
          <cell r="M296" t="str">
            <v>-</v>
          </cell>
          <cell r="N296" t="str">
            <v>Pistola-Inmersión-Brocha-Chupón</v>
          </cell>
          <cell r="O296" t="str">
            <v>-</v>
          </cell>
          <cell r="P296" t="str">
            <v>200-1000%</v>
          </cell>
          <cell r="Q296" t="str">
            <v>R6K1 Thinner Para Tintes Al Alcohol</v>
          </cell>
          <cell r="R296" t="str">
            <v>-</v>
          </cell>
          <cell r="S296" t="str">
            <v>Al Aire</v>
          </cell>
          <cell r="T296" t="str">
            <v>-</v>
          </cell>
          <cell r="U296" t="str">
            <v>-</v>
          </cell>
          <cell r="V296" t="str">
            <v>Mate</v>
          </cell>
          <cell r="W296" t="str">
            <v>-</v>
          </cell>
          <cell r="X296" t="str">
            <v>2 años</v>
          </cell>
          <cell r="Y296" t="str">
            <v>Muebles Capri</v>
          </cell>
          <cell r="Z296" t="str">
            <v>Muebles de Madera.</v>
          </cell>
          <cell r="AA296" t="str">
            <v>-</v>
          </cell>
          <cell r="AB296" t="str">
            <v>Luis Nolasco</v>
          </cell>
          <cell r="AC296">
            <v>35859</v>
          </cell>
        </row>
        <row r="297">
          <cell r="A297" t="str">
            <v>LINEA A5 AQUALATEX</v>
          </cell>
          <cell r="B297" t="str">
            <v>Aqualatex</v>
          </cell>
          <cell r="C297" t="str">
            <v>Interior-Exterior</v>
          </cell>
          <cell r="D297" t="str">
            <v>Fibrolite, Concreto, Lámina.</v>
          </cell>
          <cell r="E297" t="str">
            <v>Limpia y Seca</v>
          </cell>
          <cell r="F297" t="str">
            <v>-</v>
          </cell>
          <cell r="G297" t="str">
            <v>10.48-10.52 Lbs/Gl</v>
          </cell>
          <cell r="H297" t="str">
            <v>29.8-30.2%</v>
          </cell>
          <cell r="I297" t="str">
            <v>55.5-55.9%</v>
          </cell>
          <cell r="J297" t="str">
            <v>47.5-47.9%</v>
          </cell>
          <cell r="K297" t="str">
            <v>25.1-25.5%</v>
          </cell>
          <cell r="L297" t="str">
            <v>47.6-50.0%</v>
          </cell>
          <cell r="M297" t="str">
            <v>92-96 KU</v>
          </cell>
          <cell r="N297" t="str">
            <v>Brocha</v>
          </cell>
          <cell r="O297" t="str">
            <v>85-90 KU</v>
          </cell>
          <cell r="P297" t="str">
            <v>10%</v>
          </cell>
          <cell r="Q297" t="str">
            <v>Agua Limpia</v>
          </cell>
          <cell r="R297" t="str">
            <v>5 mills</v>
          </cell>
          <cell r="S297" t="str">
            <v>Al Aire</v>
          </cell>
          <cell r="T297" t="str">
            <v>-</v>
          </cell>
          <cell r="U297" t="str">
            <v>13-14 Mts Cuadrados/Gl dependiendo de la porosidad de la superficie.</v>
          </cell>
          <cell r="V297" t="str">
            <v>Satinado</v>
          </cell>
          <cell r="W297" t="str">
            <v>-</v>
          </cell>
          <cell r="X297" t="str">
            <v>1-2 Años</v>
          </cell>
          <cell r="Y297" t="str">
            <v>-</v>
          </cell>
          <cell r="Z297" t="str">
            <v>-</v>
          </cell>
          <cell r="AA297" t="str">
            <v>-</v>
          </cell>
          <cell r="AB297" t="str">
            <v>Ana Irene Mendez Vides</v>
          </cell>
          <cell r="AC297" t="str">
            <v>23/5/03</v>
          </cell>
        </row>
        <row r="298">
          <cell r="A298" t="str">
            <v>Linea A21</v>
          </cell>
          <cell r="B298" t="str">
            <v>Color Accent (Bases L, W, V, M, P, R)</v>
          </cell>
          <cell r="C298" t="str">
            <v>Interior</v>
          </cell>
          <cell r="D298" t="str">
            <v>Cemento, Ladrillo, Concreto.</v>
          </cell>
          <cell r="E298" t="str">
            <v>Curada, Limpia, Seca y Libre de toda contaminación</v>
          </cell>
          <cell r="F298" t="str">
            <v>-</v>
          </cell>
          <cell r="G298" t="str">
            <v>10.37-10.41 Lbs/Gl</v>
          </cell>
          <cell r="H298" t="str">
            <v>25%</v>
          </cell>
          <cell r="I298" t="str">
            <v>42.9-43.1%</v>
          </cell>
          <cell r="J298" t="str">
            <v>75%</v>
          </cell>
          <cell r="K298" t="str">
            <v>24.27-25.1%</v>
          </cell>
          <cell r="L298" t="str">
            <v>55.9-56.1%</v>
          </cell>
          <cell r="M298" t="str">
            <v>95-105 Ku</v>
          </cell>
          <cell r="N298" t="str">
            <v>Brocha-Rodillo</v>
          </cell>
          <cell r="O298" t="str">
            <v>95-105 KU</v>
          </cell>
          <cell r="P298" t="str">
            <v>Ninguno</v>
          </cell>
          <cell r="Q298" t="str">
            <v>Agua Limpia para Lavar Equipo Utilizado.</v>
          </cell>
          <cell r="R298" t="str">
            <v>2.5 mills</v>
          </cell>
          <cell r="S298" t="str">
            <v>Al Aire. Recubrir después de 4 Horas.</v>
          </cell>
          <cell r="T298" t="str">
            <v>-</v>
          </cell>
          <cell r="U298" t="str">
            <v>29-33 Mts Cuadrados/Gl, Dependiendo de la Superficie.</v>
          </cell>
          <cell r="V298" t="str">
            <v xml:space="preserve">Mate.  </v>
          </cell>
          <cell r="W298" t="str">
            <v>-</v>
          </cell>
          <cell r="X298" t="str">
            <v>3 Años</v>
          </cell>
          <cell r="Y298" t="str">
            <v>-</v>
          </cell>
          <cell r="Z298" t="str">
            <v>-</v>
          </cell>
          <cell r="AA298" t="str">
            <v>La Base R en Látex para Interiores se Tiene en Mate y Satinada.</v>
          </cell>
          <cell r="AB298" t="str">
            <v>Ana Irene Mendez Vides</v>
          </cell>
          <cell r="AC298">
            <v>35958</v>
          </cell>
        </row>
        <row r="299">
          <cell r="A299" t="str">
            <v>Linea A36</v>
          </cell>
          <cell r="B299" t="str">
            <v>Decorator Colors (Bases L, W, V, M, P, R)</v>
          </cell>
          <cell r="C299" t="str">
            <v>Interior</v>
          </cell>
          <cell r="D299" t="str">
            <v>Concreto, Ladrillo, Hierro, Madera</v>
          </cell>
          <cell r="E299" t="str">
            <v>Completamente Libre de Grasa o Cualquier Contaminación</v>
          </cell>
          <cell r="F299" t="str">
            <v>Kromik Metal Primer, Sellador 44, Excello Látex*</v>
          </cell>
          <cell r="G299" t="str">
            <v>8.67 Lbs/Gl más o menos 0.3</v>
          </cell>
          <cell r="H299" t="str">
            <v>26%</v>
          </cell>
          <cell r="I299" t="str">
            <v>51% más o menos 1</v>
          </cell>
          <cell r="J299" t="str">
            <v>74%</v>
          </cell>
          <cell r="K299" t="str">
            <v>22% más ó menos 2</v>
          </cell>
          <cell r="L299" t="str">
            <v>34% más o menos 2</v>
          </cell>
          <cell r="M299" t="str">
            <v>72-77 KU</v>
          </cell>
          <cell r="N299" t="str">
            <v>Brocha, Rodillo, Pistola</v>
          </cell>
          <cell r="O299" t="str">
            <v>-</v>
          </cell>
          <cell r="P299" t="str">
            <v>Con Brocha y Rodillo hasta 10%, Pistola 25%</v>
          </cell>
          <cell r="Q299" t="str">
            <v>Solvente Mineral</v>
          </cell>
          <cell r="R299" t="str">
            <v>2 mills</v>
          </cell>
          <cell r="S299" t="str">
            <v>Seco Tocar: 1-2 Horas, Completo: 3-4 Horas</v>
          </cell>
          <cell r="T299" t="str">
            <v>-</v>
          </cell>
          <cell r="U299" t="str">
            <v>38 más o menos 2 Mts cuadrados/Gl dependiendo de la Superficie.</v>
          </cell>
          <cell r="V299" t="str">
            <v>Semibrillante</v>
          </cell>
          <cell r="W299" t="str">
            <v>-</v>
          </cell>
          <cell r="X299" t="str">
            <v>3 años</v>
          </cell>
          <cell r="Y299" t="str">
            <v>-</v>
          </cell>
          <cell r="Z299" t="str">
            <v>-</v>
          </cell>
          <cell r="AA299" t="str">
            <v>* El Primer Depende del sustrato que se va a Pintar</v>
          </cell>
          <cell r="AB299" t="str">
            <v>Ana Irene Mendez Vides</v>
          </cell>
          <cell r="AC299">
            <v>35958</v>
          </cell>
        </row>
        <row r="300">
          <cell r="A300" t="str">
            <v>Linea B5 COLORES TROPICALES</v>
          </cell>
          <cell r="B300" t="str">
            <v>Colores Tropicales Intensos</v>
          </cell>
          <cell r="C300" t="str">
            <v>Interior-Exterior</v>
          </cell>
          <cell r="D300" t="str">
            <v>Cemento, Ladrillo, Concreto.</v>
          </cell>
          <cell r="E300" t="str">
            <v>Curada, Limpia, Seca y Libre de toda contaminación</v>
          </cell>
          <cell r="F300" t="str">
            <v>-</v>
          </cell>
          <cell r="G300" t="str">
            <v>10.86 Lbs/Gl más o menos 0.2</v>
          </cell>
          <cell r="H300" t="str">
            <v>35%</v>
          </cell>
          <cell r="I300" t="str">
            <v>46%  más o menos 2</v>
          </cell>
          <cell r="J300" t="str">
            <v>65%</v>
          </cell>
          <cell r="K300" t="str">
            <v>54.45% más o menos 2</v>
          </cell>
          <cell r="L300" t="str">
            <v>31.76% más o menos 2</v>
          </cell>
          <cell r="M300" t="str">
            <v>90-93 KU</v>
          </cell>
          <cell r="N300" t="str">
            <v>Brocha-Rodillo</v>
          </cell>
          <cell r="O300" t="str">
            <v>90-93 KU</v>
          </cell>
          <cell r="P300" t="str">
            <v>Ninguno</v>
          </cell>
          <cell r="Q300" t="str">
            <v>Agua Limpia para Lavar Equipo Utilizado.</v>
          </cell>
          <cell r="R300" t="str">
            <v>1.5 mills Seca</v>
          </cell>
          <cell r="S300" t="str">
            <v>Al Aire. Recubrir después de 4 Horas.</v>
          </cell>
          <cell r="T300" t="str">
            <v>-</v>
          </cell>
          <cell r="U300" t="str">
            <v>30-32 Mts Cuadrados/Gl, Dependiendo de la Superficie.</v>
          </cell>
          <cell r="V300" t="str">
            <v xml:space="preserve">Mate.  </v>
          </cell>
          <cell r="W300" t="str">
            <v>-</v>
          </cell>
          <cell r="X300" t="str">
            <v>3 Años</v>
          </cell>
          <cell r="Y300" t="str">
            <v>-</v>
          </cell>
          <cell r="Z300" t="str">
            <v>-</v>
          </cell>
          <cell r="AA300" t="str">
            <v>Colores Disponibles: Azul Mariposa, Mandarina, Mora salvaje, Fucsia silvestre, Rosa Maya, Rojo Sandía, Verde Helecho, café Zapote, Amarillo Sol.</v>
          </cell>
          <cell r="AB300" t="str">
            <v>Ana Irene Mendez Vides</v>
          </cell>
          <cell r="AC300">
            <v>35958</v>
          </cell>
        </row>
        <row r="301">
          <cell r="A301" t="str">
            <v>E60FSA1 (2)</v>
          </cell>
          <cell r="B301" t="str">
            <v>Sellador Poliuretano Para Madera</v>
          </cell>
          <cell r="C301" t="str">
            <v>Interior</v>
          </cell>
          <cell r="D301" t="str">
            <v>Madera</v>
          </cell>
          <cell r="E301" t="str">
            <v>Lijado + Tapaporo + Tintes</v>
          </cell>
          <cell r="F301" t="str">
            <v>-</v>
          </cell>
          <cell r="G301" t="str">
            <v>7.72 Lbs/Gl</v>
          </cell>
          <cell r="H301" t="str">
            <v>1.29%</v>
          </cell>
          <cell r="I301" t="str">
            <v>23.90%</v>
          </cell>
          <cell r="J301" t="str">
            <v>22.60%</v>
          </cell>
          <cell r="K301" t="str">
            <v>3.72%</v>
          </cell>
          <cell r="L301" t="str">
            <v>17.75%</v>
          </cell>
          <cell r="M301" t="str">
            <v>18"-20" Copa Ford #4</v>
          </cell>
          <cell r="N301" t="str">
            <v>Pistola</v>
          </cell>
          <cell r="O301" t="str">
            <v>18"-20" Copa Ford #4</v>
          </cell>
          <cell r="P301" t="str">
            <v>Ninguno</v>
          </cell>
          <cell r="Q301" t="str">
            <v>Solo si es necesario R7K7590 Reductor Universal.</v>
          </cell>
          <cell r="R301" t="str">
            <v>1 mills</v>
          </cell>
          <cell r="S301" t="str">
            <v>Al aire</v>
          </cell>
          <cell r="T301" t="str">
            <v>Catalizado con  V6V690</v>
          </cell>
          <cell r="U301" t="str">
            <v>284.53 Pies Cuadrados/Gl a 1 mills de Película Seca</v>
          </cell>
          <cell r="V301" t="str">
            <v>Satinado</v>
          </cell>
          <cell r="W301" t="str">
            <v>-</v>
          </cell>
          <cell r="X301" t="str">
            <v>1 año</v>
          </cell>
          <cell r="Y301" t="str">
            <v>-</v>
          </cell>
          <cell r="Z301" t="str">
            <v>-</v>
          </cell>
          <cell r="AA301" t="str">
            <v>-</v>
          </cell>
          <cell r="AB301" t="str">
            <v>Oscar Enrique Ascencio.</v>
          </cell>
          <cell r="AC301">
            <v>36003</v>
          </cell>
        </row>
        <row r="302">
          <cell r="A302" t="str">
            <v>F74C51 (2)</v>
          </cell>
          <cell r="B302" t="str">
            <v>Barniz Poliuretano Brillante</v>
          </cell>
          <cell r="C302" t="str">
            <v>Interior</v>
          </cell>
          <cell r="D302" t="str">
            <v>Madera</v>
          </cell>
          <cell r="E302" t="str">
            <v>Lijado + Tapaporo + Tintes + Primer (E60FSA1)</v>
          </cell>
          <cell r="F302" t="str">
            <v>Sellador Poliuretano</v>
          </cell>
          <cell r="G302" t="str">
            <v>7.66 Lbs/Gl</v>
          </cell>
          <cell r="H302" t="str">
            <v>-</v>
          </cell>
          <cell r="I302" t="str">
            <v xml:space="preserve">21.94% </v>
          </cell>
          <cell r="J302" t="str">
            <v>21.94%</v>
          </cell>
          <cell r="K302" t="str">
            <v>-</v>
          </cell>
          <cell r="L302" t="str">
            <v>16.04%</v>
          </cell>
          <cell r="M302" t="str">
            <v>18"-20" Copa Ford #4</v>
          </cell>
          <cell r="N302" t="str">
            <v>Pistola</v>
          </cell>
          <cell r="O302" t="str">
            <v>18"-20" Copa Ford #4</v>
          </cell>
          <cell r="P302" t="str">
            <v>Ninguno</v>
          </cell>
          <cell r="Q302" t="str">
            <v>Solo si es necesario R7K7590 Reductor Universal.</v>
          </cell>
          <cell r="R302" t="str">
            <v>1 mills</v>
          </cell>
          <cell r="S302" t="str">
            <v>Al aire</v>
          </cell>
          <cell r="T302" t="str">
            <v>Catalizado con 1/16 de V6V690</v>
          </cell>
          <cell r="U302" t="str">
            <v>25.12 Pies Cuadrados/Gl a 1 mills de película seca.</v>
          </cell>
          <cell r="V302" t="str">
            <v>+80</v>
          </cell>
          <cell r="W302" t="str">
            <v>-</v>
          </cell>
          <cell r="X302" t="str">
            <v>1 Año</v>
          </cell>
          <cell r="Y302" t="str">
            <v>-</v>
          </cell>
          <cell r="Z302" t="str">
            <v>-</v>
          </cell>
          <cell r="AA302" t="str">
            <v>-</v>
          </cell>
          <cell r="AB302" t="str">
            <v>Oscar Enrique Ascencio.</v>
          </cell>
          <cell r="AC302">
            <v>36003</v>
          </cell>
        </row>
        <row r="303">
          <cell r="A303" t="str">
            <v>F74FSA1 (2)</v>
          </cell>
          <cell r="B303" t="str">
            <v>Barniz Poliuretano Mate Industrial</v>
          </cell>
          <cell r="C303" t="str">
            <v>Interior</v>
          </cell>
          <cell r="D303" t="str">
            <v>Madera</v>
          </cell>
          <cell r="E303" t="str">
            <v>Lijado+Tapaporo+Tinte+Primer (E60FSA1)</v>
          </cell>
          <cell r="F303" t="str">
            <v>E60FSA1</v>
          </cell>
          <cell r="G303" t="str">
            <v>7.85 Lbs/Gl</v>
          </cell>
          <cell r="H303" t="str">
            <v>5.22%</v>
          </cell>
          <cell r="I303" t="str">
            <v>25.96%</v>
          </cell>
          <cell r="J303" t="str">
            <v>20.73%</v>
          </cell>
          <cell r="K303" t="str">
            <v>14.63%</v>
          </cell>
          <cell r="L303" t="str">
            <v>18.04%</v>
          </cell>
          <cell r="M303" t="str">
            <v>18"-20" Copa Ford #4</v>
          </cell>
          <cell r="N303" t="str">
            <v>Pistola</v>
          </cell>
          <cell r="O303" t="str">
            <v>18"-20" Copa Ford #4</v>
          </cell>
          <cell r="P303" t="str">
            <v>Ninguno</v>
          </cell>
          <cell r="Q303" t="str">
            <v>R7K7590  si es Necesario</v>
          </cell>
          <cell r="R303" t="str">
            <v>1 mills</v>
          </cell>
          <cell r="S303" t="str">
            <v>Al Aire</v>
          </cell>
          <cell r="T303" t="str">
            <v>Catalizado con 1/16 de V6V690</v>
          </cell>
          <cell r="U303" t="str">
            <v>289.18 Pies Cuadrados/Gl a 1 mills de película seca.</v>
          </cell>
          <cell r="V303" t="str">
            <v>5-7</v>
          </cell>
          <cell r="W303" t="str">
            <v>-</v>
          </cell>
          <cell r="X303" t="str">
            <v>1 Año</v>
          </cell>
          <cell r="Y303" t="str">
            <v>-</v>
          </cell>
          <cell r="Z303" t="str">
            <v>-</v>
          </cell>
          <cell r="AA303" t="str">
            <v>-</v>
          </cell>
          <cell r="AB303" t="str">
            <v>Oscar Enrique Ascencio.</v>
          </cell>
          <cell r="AC303">
            <v>36003</v>
          </cell>
        </row>
        <row r="304">
          <cell r="A304" t="str">
            <v>F74FSA2 (1)</v>
          </cell>
          <cell r="B304" t="str">
            <v>Barniz Poliuretano Satinado Industrial</v>
          </cell>
          <cell r="C304" t="str">
            <v>Interior</v>
          </cell>
          <cell r="D304" t="str">
            <v>Madera</v>
          </cell>
          <cell r="E304" t="str">
            <v>Lijado+Tapaporo+Tinte+Primer (E60FSA1)</v>
          </cell>
          <cell r="F304" t="str">
            <v>E60FSA1</v>
          </cell>
          <cell r="G304" t="str">
            <v>7.69 Lbs/Gl</v>
          </cell>
          <cell r="H304" t="str">
            <v>1.82% p/p</v>
          </cell>
          <cell r="I304" t="str">
            <v>22.45%</v>
          </cell>
          <cell r="J304" t="str">
            <v>20.63%</v>
          </cell>
          <cell r="K304" t="str">
            <v>0.50%</v>
          </cell>
          <cell r="L304" t="str">
            <v>16.28%</v>
          </cell>
          <cell r="M304" t="str">
            <v>18"-20" Copa Ford #4</v>
          </cell>
          <cell r="N304" t="str">
            <v>Pistola</v>
          </cell>
          <cell r="O304" t="str">
            <v>18"-20" Copa Ford #4</v>
          </cell>
          <cell r="P304" t="str">
            <v>Ninguno</v>
          </cell>
          <cell r="Q304" t="str">
            <v>Solo si es necesario R7K7590 Reductor Universal.</v>
          </cell>
          <cell r="R304" t="str">
            <v>1 mills</v>
          </cell>
          <cell r="S304" t="str">
            <v>Al aire</v>
          </cell>
          <cell r="T304" t="str">
            <v>Catalizado con  V6V690</v>
          </cell>
          <cell r="U304" t="str">
            <v>260.97 Pies Cuadrados/Gl a 1 mills de película seca.</v>
          </cell>
          <cell r="V304" t="str">
            <v>27-32</v>
          </cell>
          <cell r="W304" t="str">
            <v>-</v>
          </cell>
          <cell r="X304" t="str">
            <v>1 Año</v>
          </cell>
          <cell r="Y304" t="str">
            <v>-</v>
          </cell>
          <cell r="Z304" t="str">
            <v>-</v>
          </cell>
          <cell r="AA304" t="str">
            <v>-</v>
          </cell>
          <cell r="AB304" t="str">
            <v>Oscar Enrique Ascencio.</v>
          </cell>
          <cell r="AC304">
            <v>36003</v>
          </cell>
        </row>
        <row r="305">
          <cell r="A305" t="str">
            <v>P2YCR1</v>
          </cell>
          <cell r="B305" t="str">
            <v>Primario Combo Amarillo Ocre</v>
          </cell>
          <cell r="C305" t="str">
            <v>-</v>
          </cell>
          <cell r="D305" t="str">
            <v>Acero, Hierro, Superficies adecuadamente tratadas no Galvanizadas.</v>
          </cell>
          <cell r="E305" t="str">
            <v>Lijado+Lavado con Agua y Jabón+Solvente Limpiador R7K158.</v>
          </cell>
          <cell r="F305" t="str">
            <v>-</v>
          </cell>
          <cell r="G305" t="str">
            <v>9.68 Lbs/Gl</v>
          </cell>
          <cell r="H305" t="str">
            <v>27.38%</v>
          </cell>
          <cell r="I305" t="str">
            <v>46.60%</v>
          </cell>
          <cell r="J305" t="str">
            <v>19.30%</v>
          </cell>
          <cell r="K305" t="str">
            <v>36.68%</v>
          </cell>
          <cell r="L305" t="str">
            <v>20.15%</v>
          </cell>
          <cell r="M305" t="str">
            <v>7,000-3,000 CPS Copa Brokfield</v>
          </cell>
          <cell r="N305" t="str">
            <v>Pistola</v>
          </cell>
          <cell r="O305" t="str">
            <v>16"-18" Copa Zanh #2</v>
          </cell>
          <cell r="P305" t="str">
            <v>200% con R7K128</v>
          </cell>
          <cell r="Q305" t="str">
            <v>R7K128</v>
          </cell>
          <cell r="R305" t="str">
            <v>2 mills después de Lijado.</v>
          </cell>
          <cell r="S305" t="str">
            <v>Al Aire (Ambiente)</v>
          </cell>
          <cell r="T305" t="str">
            <v>-</v>
          </cell>
          <cell r="U305" t="str">
            <v>161.50 Pies Cuadrados/Gl a 2 mills de Película Seca sin lijar.</v>
          </cell>
          <cell r="V305" t="str">
            <v>-</v>
          </cell>
          <cell r="W305" t="str">
            <v>-</v>
          </cell>
          <cell r="X305" t="str">
            <v>3 Años sin Abrir.</v>
          </cell>
          <cell r="Y305" t="str">
            <v>-</v>
          </cell>
          <cell r="Z305" t="str">
            <v>-</v>
          </cell>
          <cell r="AA305" t="str">
            <v>-</v>
          </cell>
          <cell r="AB305" t="str">
            <v>Oscar Enrique Ascencio.</v>
          </cell>
          <cell r="AC305">
            <v>36003</v>
          </cell>
        </row>
        <row r="306">
          <cell r="A306" t="str">
            <v>B51ASA1</v>
          </cell>
          <cell r="B306" t="str">
            <v>Primera Mano Para Paredes.</v>
          </cell>
          <cell r="C306" t="str">
            <v>Interior-Exterior</v>
          </cell>
          <cell r="D306" t="str">
            <v>Ladrillos Saltex, Concreto</v>
          </cell>
          <cell r="E306" t="str">
            <v>Libre de Polvo, Grasa o Cuarquier Sustancia Contaminate</v>
          </cell>
          <cell r="F306" t="str">
            <v>Ninguno</v>
          </cell>
          <cell r="G306" t="str">
            <v>11 Lbs/Gl</v>
          </cell>
          <cell r="H306" t="str">
            <v>-</v>
          </cell>
          <cell r="I306" t="str">
            <v>48.61%</v>
          </cell>
          <cell r="J306" t="str">
            <v>-</v>
          </cell>
          <cell r="K306" t="str">
            <v>-</v>
          </cell>
          <cell r="L306" t="str">
            <v>32.87%</v>
          </cell>
          <cell r="M306" t="str">
            <v>105-110 KU</v>
          </cell>
          <cell r="N306" t="str">
            <v>Brocha</v>
          </cell>
          <cell r="O306" t="str">
            <v>95-100 KU</v>
          </cell>
          <cell r="P306" t="str">
            <v>10%</v>
          </cell>
          <cell r="Q306" t="str">
            <v>Agua Limpia</v>
          </cell>
          <cell r="R306" t="str">
            <v>4 mills</v>
          </cell>
          <cell r="S306" t="str">
            <v>Al Aire</v>
          </cell>
          <cell r="T306" t="str">
            <v>-</v>
          </cell>
          <cell r="U306" t="str">
            <v>12.5 Metros Cuadrados/Gl a 4 mills seco</v>
          </cell>
          <cell r="V306" t="str">
            <v>Mate</v>
          </cell>
          <cell r="W306" t="str">
            <v>-</v>
          </cell>
          <cell r="X306" t="str">
            <v>2 años</v>
          </cell>
          <cell r="Y306" t="str">
            <v>Varios</v>
          </cell>
          <cell r="Z306" t="str">
            <v>-</v>
          </cell>
          <cell r="AA306" t="str">
            <v>-</v>
          </cell>
          <cell r="AB306" t="str">
            <v>Ana Irene Mendez Vides</v>
          </cell>
          <cell r="AC306">
            <v>36024</v>
          </cell>
        </row>
        <row r="307">
          <cell r="A307" t="str">
            <v>M91GSA1</v>
          </cell>
          <cell r="B307" t="str">
            <v>Laca Para Escobas Verde.</v>
          </cell>
          <cell r="C307" t="str">
            <v>Interior-Exterior</v>
          </cell>
          <cell r="D307" t="str">
            <v>Madera-Palos de escoba.</v>
          </cell>
          <cell r="E307" t="str">
            <v>De acuerdo al cliente</v>
          </cell>
          <cell r="F307" t="str">
            <v>Ninguno</v>
          </cell>
          <cell r="G307" t="str">
            <v>8.36 Lbs</v>
          </cell>
          <cell r="H307" t="str">
            <v>8.05%</v>
          </cell>
          <cell r="I307" t="str">
            <v>37.54%</v>
          </cell>
          <cell r="J307" t="str">
            <v>22.11%</v>
          </cell>
          <cell r="K307" t="str">
            <v>9.72%</v>
          </cell>
          <cell r="L307" t="str">
            <v>24.49%</v>
          </cell>
          <cell r="M307" t="str">
            <v>18,000 - 23,000 cps</v>
          </cell>
          <cell r="N307" t="str">
            <v>De acuerdo al cliente</v>
          </cell>
          <cell r="O307" t="str">
            <v>-</v>
          </cell>
          <cell r="P307" t="str">
            <v>Ninguno</v>
          </cell>
          <cell r="Q307" t="str">
            <v>de ser necesario con thinner R7K128</v>
          </cell>
          <cell r="R307" t="str">
            <v>de acuerdo al cliente</v>
          </cell>
          <cell r="S307" t="str">
            <v>Al Aire</v>
          </cell>
          <cell r="T307" t="str">
            <v>-</v>
          </cell>
          <cell r="U307" t="str">
            <v>36.49 Mts Cuadrados/galon a 1 mills de película seca.</v>
          </cell>
          <cell r="V307" t="str">
            <v>-</v>
          </cell>
          <cell r="W307" t="str">
            <v>-</v>
          </cell>
          <cell r="X307" t="str">
            <v>6-12 meses</v>
          </cell>
          <cell r="Y307" t="str">
            <v>MULTIPLAST</v>
          </cell>
          <cell r="Z307" t="str">
            <v>Escobas</v>
          </cell>
          <cell r="AA307" t="str">
            <v>-</v>
          </cell>
          <cell r="AB307" t="str">
            <v>Ing. Juan Antonio Méndez</v>
          </cell>
          <cell r="AC307" t="str">
            <v>Junio, 2 del 2003</v>
          </cell>
        </row>
        <row r="308">
          <cell r="A308" t="str">
            <v>Y81WSA1</v>
          </cell>
          <cell r="B308" t="str">
            <v>Colorámica Látex Blanco</v>
          </cell>
          <cell r="C308" t="str">
            <v>Interior-Exterior</v>
          </cell>
          <cell r="D308" t="str">
            <v>Concreto, Ladrillo, Madera</v>
          </cell>
          <cell r="E308" t="str">
            <v>Libre de Polvo, Grasa o Cuarquier Sustancia Contaminate</v>
          </cell>
          <cell r="F308" t="str">
            <v>Ninguno</v>
          </cell>
          <cell r="G308" t="str">
            <v>11.42 Lbs/gl</v>
          </cell>
          <cell r="H308" t="str">
            <v>-</v>
          </cell>
          <cell r="I308" t="str">
            <v>45.45%</v>
          </cell>
          <cell r="J308" t="str">
            <v>-</v>
          </cell>
          <cell r="K308" t="str">
            <v>-</v>
          </cell>
          <cell r="L308" t="str">
            <v>26.03%</v>
          </cell>
          <cell r="M308" t="str">
            <v>102-105 KU</v>
          </cell>
          <cell r="N308" t="str">
            <v>Brocha-Rodillo</v>
          </cell>
          <cell r="O308" t="str">
            <v>95-98 KU</v>
          </cell>
          <cell r="P308" t="str">
            <v>Máximo 5% si fuera Necesario</v>
          </cell>
          <cell r="Q308" t="str">
            <v>Agua Limpia</v>
          </cell>
          <cell r="R308" t="str">
            <v>2 mills</v>
          </cell>
          <cell r="S308" t="str">
            <v>Al Aire</v>
          </cell>
          <cell r="T308" t="str">
            <v>-</v>
          </cell>
          <cell r="U308" t="str">
            <v>20 Mts Cuadrados/Gl, dependiendo de la Superficie</v>
          </cell>
          <cell r="V308" t="str">
            <v>-</v>
          </cell>
          <cell r="W308" t="str">
            <v>-</v>
          </cell>
          <cell r="X308" t="str">
            <v>2 años</v>
          </cell>
          <cell r="Y308" t="str">
            <v>DIDEMA-GUATEMALA (5°P.P)</v>
          </cell>
          <cell r="Z308" t="str">
            <v>-</v>
          </cell>
          <cell r="AA308" t="str">
            <v>-</v>
          </cell>
          <cell r="AB308" t="str">
            <v>Ana Irene Mendez Vides</v>
          </cell>
          <cell r="AC308">
            <v>37901</v>
          </cell>
        </row>
        <row r="309">
          <cell r="A309" t="str">
            <v>R7KDSA1</v>
          </cell>
          <cell r="B309" t="str">
            <v>Solvente Para Limpieza Industrial</v>
          </cell>
          <cell r="C309" t="str">
            <v>-</v>
          </cell>
          <cell r="D309" t="str">
            <v>-</v>
          </cell>
          <cell r="E309" t="str">
            <v>-</v>
          </cell>
          <cell r="F309" t="str">
            <v>-</v>
          </cell>
          <cell r="G309" t="str">
            <v>6.9 Lbs/Gl</v>
          </cell>
          <cell r="H309" t="str">
            <v>-</v>
          </cell>
          <cell r="I309" t="str">
            <v>-</v>
          </cell>
          <cell r="J309" t="str">
            <v>-</v>
          </cell>
          <cell r="K309" t="str">
            <v>-</v>
          </cell>
          <cell r="L309" t="str">
            <v>-</v>
          </cell>
          <cell r="M309" t="str">
            <v>-</v>
          </cell>
          <cell r="N309" t="str">
            <v>-</v>
          </cell>
          <cell r="O309" t="str">
            <v>-</v>
          </cell>
          <cell r="P309" t="str">
            <v>-</v>
          </cell>
          <cell r="Q309" t="str">
            <v>-</v>
          </cell>
          <cell r="R309" t="str">
            <v>-</v>
          </cell>
          <cell r="S309" t="str">
            <v>-</v>
          </cell>
          <cell r="T309" t="str">
            <v>-</v>
          </cell>
          <cell r="U309" t="str">
            <v>-</v>
          </cell>
          <cell r="V309" t="str">
            <v>-</v>
          </cell>
          <cell r="W309" t="str">
            <v>-</v>
          </cell>
          <cell r="X309" t="str">
            <v>-</v>
          </cell>
          <cell r="Y309" t="str">
            <v>Industria General</v>
          </cell>
          <cell r="Z309" t="str">
            <v>-</v>
          </cell>
          <cell r="AA309" t="str">
            <v>Kauri Butanol = Infinito.  Gravedad Específica = 0.84</v>
          </cell>
          <cell r="AB309" t="str">
            <v>Rigoberto Montalvo</v>
          </cell>
          <cell r="AC309">
            <v>36144</v>
          </cell>
        </row>
        <row r="310">
          <cell r="A310" t="str">
            <v>T1CSA4</v>
          </cell>
          <cell r="B310" t="str">
            <v>Recubrimiento Acrílico Para Metales</v>
          </cell>
          <cell r="C310" t="str">
            <v>Interior-Exterior</v>
          </cell>
          <cell r="D310" t="str">
            <v>Metal</v>
          </cell>
          <cell r="E310" t="str">
            <v>Lavado con agua y detergente, solvente de limpieza, si existe corrosión aplicar W4K288.</v>
          </cell>
          <cell r="F310" t="str">
            <v>Ninguno</v>
          </cell>
          <cell r="G310" t="str">
            <v>7.07 Lbs/Gl</v>
          </cell>
          <cell r="H310" t="str">
            <v>-</v>
          </cell>
          <cell r="I310" t="str">
            <v>21.20%</v>
          </cell>
          <cell r="J310" t="str">
            <v>100%</v>
          </cell>
          <cell r="K310" t="str">
            <v>-</v>
          </cell>
          <cell r="L310" t="str">
            <v>19%</v>
          </cell>
          <cell r="M310" t="str">
            <v>24"-28" Copa Ford #4.</v>
          </cell>
          <cell r="N310" t="str">
            <v>Pistola</v>
          </cell>
          <cell r="O310" t="str">
            <v>20" Copa Zanh #2</v>
          </cell>
          <cell r="P310" t="str">
            <v>La Necesaria para su aplicación.</v>
          </cell>
          <cell r="Q310" t="str">
            <v>R7K203</v>
          </cell>
          <cell r="R310" t="str">
            <v>1.2-1.5 Mills</v>
          </cell>
          <cell r="S310" t="str">
            <v>Al aire, 1 Hora Seco completo.</v>
          </cell>
          <cell r="T310" t="str">
            <v>-</v>
          </cell>
          <cell r="U310" t="str">
            <v>23.59 Mts Cuadrados/Gl a 1.2 mills de película seca.</v>
          </cell>
          <cell r="V310" t="str">
            <v>70 Mínimo.</v>
          </cell>
          <cell r="W310" t="str">
            <v>-</v>
          </cell>
          <cell r="X310" t="str">
            <v>2 años sin Abrir.</v>
          </cell>
          <cell r="Y310" t="str">
            <v>-</v>
          </cell>
          <cell r="Z310" t="str">
            <v>-</v>
          </cell>
          <cell r="AA310" t="str">
            <v>-</v>
          </cell>
          <cell r="AB310" t="str">
            <v>Oscar Enrique Ascencio.</v>
          </cell>
          <cell r="AC310">
            <v>36201</v>
          </cell>
        </row>
        <row r="311">
          <cell r="A311" t="str">
            <v>T60FCR1</v>
          </cell>
          <cell r="B311" t="str">
            <v>Sellador Ultra Concentrado</v>
          </cell>
          <cell r="C311" t="str">
            <v>Interior</v>
          </cell>
          <cell r="D311" t="str">
            <v>Madera</v>
          </cell>
          <cell r="E311" t="str">
            <v>Lijado</v>
          </cell>
          <cell r="F311" t="str">
            <v>D70T1 Tapaporo Natural</v>
          </cell>
          <cell r="G311" t="str">
            <v>7.75 Lbs/Gl</v>
          </cell>
          <cell r="H311" t="str">
            <v>-</v>
          </cell>
          <cell r="I311" t="str">
            <v>19.40%</v>
          </cell>
          <cell r="J311" t="str">
            <v>19.52%</v>
          </cell>
          <cell r="K311" t="str">
            <v>-</v>
          </cell>
          <cell r="L311" t="str">
            <v>11.90</v>
          </cell>
          <cell r="M311" t="str">
            <v>230,000-240,000 CPS ( Brookfield Spin #7 a 10 RPM)</v>
          </cell>
          <cell r="N311" t="str">
            <v>Pistola</v>
          </cell>
          <cell r="O311" t="str">
            <v>18"-22" Copa Ford #4</v>
          </cell>
          <cell r="P311" t="str">
            <v>800-850%</v>
          </cell>
          <cell r="Q311" t="str">
            <v>R7K128</v>
          </cell>
          <cell r="R311" t="str">
            <v>-</v>
          </cell>
          <cell r="S311" t="str">
            <v>Al Aire</v>
          </cell>
          <cell r="T311" t="str">
            <v>-</v>
          </cell>
          <cell r="U311" t="str">
            <v>30. Mts Cuadrados/Gl a 1 mills de película Seca.</v>
          </cell>
          <cell r="V311" t="str">
            <v>+40</v>
          </cell>
          <cell r="W311" t="str">
            <v>-</v>
          </cell>
          <cell r="X311" t="str">
            <v>2 años sin Abrir.</v>
          </cell>
          <cell r="Y311" t="str">
            <v>-</v>
          </cell>
          <cell r="Z311" t="str">
            <v>-</v>
          </cell>
          <cell r="AA311" t="str">
            <v>-</v>
          </cell>
          <cell r="AB311" t="str">
            <v>Rigoberto Montalvo</v>
          </cell>
          <cell r="AC311">
            <v>37427</v>
          </cell>
        </row>
        <row r="312">
          <cell r="A312" t="str">
            <v>SAA 4785 (1)</v>
          </cell>
          <cell r="B312" t="str">
            <v>Kem Lustral Verde Químico</v>
          </cell>
          <cell r="C312" t="str">
            <v>Interior-Exterior</v>
          </cell>
          <cell r="D312" t="str">
            <v>Madera, Metal, Cartón, Ladrillo, Cemento.</v>
          </cell>
          <cell r="E312" t="str">
            <v>Limpia y Seca. Libre de Aceite, Grasa u óxido.</v>
          </cell>
          <cell r="F312" t="str">
            <v>Anticorrosivo. Depende de la Superficie.</v>
          </cell>
          <cell r="G312" t="str">
            <v>8.27 Lbs/Gl</v>
          </cell>
          <cell r="H312" t="str">
            <v>11.97% p/p</v>
          </cell>
          <cell r="I312" t="str">
            <v>49.64% p/p</v>
          </cell>
          <cell r="J312" t="str">
            <v>-</v>
          </cell>
          <cell r="K312" t="str">
            <v>7.78% v/v</v>
          </cell>
          <cell r="L312" t="str">
            <v>38.79% v/v</v>
          </cell>
          <cell r="M312" t="str">
            <v>80-85 KU</v>
          </cell>
          <cell r="N312" t="str">
            <v>Brocha, Rodillo, Pistola o Inmersión.</v>
          </cell>
          <cell r="O312" t="str">
            <v>70-80 KU</v>
          </cell>
          <cell r="P312" t="str">
            <v>20-25%</v>
          </cell>
          <cell r="Q312" t="str">
            <v>R1K3 VMP Naphta.</v>
          </cell>
          <cell r="R312" t="str">
            <v>1.5-2 mills</v>
          </cell>
          <cell r="S312" t="str">
            <v>Al Aire</v>
          </cell>
          <cell r="T312" t="str">
            <v>-</v>
          </cell>
          <cell r="U312" t="str">
            <v>38 Mts Cuadrados/Gl a 1.5 mills de Espesor.</v>
          </cell>
          <cell r="V312" t="str">
            <v xml:space="preserve">90 </v>
          </cell>
          <cell r="W312" t="str">
            <v>-</v>
          </cell>
          <cell r="X312" t="str">
            <v>3 Años</v>
          </cell>
          <cell r="Y312" t="str">
            <v>DIDEMA-GUATEMALA</v>
          </cell>
          <cell r="Z312" t="str">
            <v>-</v>
          </cell>
          <cell r="AA312" t="str">
            <v>-</v>
          </cell>
          <cell r="AB312" t="str">
            <v>Mario Galán.</v>
          </cell>
          <cell r="AC312">
            <v>36236</v>
          </cell>
        </row>
        <row r="313">
          <cell r="A313" t="str">
            <v>A58RSA2</v>
          </cell>
          <cell r="B313" t="str">
            <v>Pasta Para Bloques</v>
          </cell>
          <cell r="C313" t="str">
            <v>Interior-Exterior</v>
          </cell>
          <cell r="D313" t="str">
            <v>Bloques</v>
          </cell>
          <cell r="E313" t="str">
            <v>-</v>
          </cell>
          <cell r="F313" t="str">
            <v>Ninguno</v>
          </cell>
          <cell r="G313" t="str">
            <v>19.79 Lbs/Gl</v>
          </cell>
          <cell r="H313" t="str">
            <v>71 más o menos 2</v>
          </cell>
          <cell r="I313" t="str">
            <v>75.54%</v>
          </cell>
          <cell r="J313" t="str">
            <v>-</v>
          </cell>
          <cell r="K313" t="str">
            <v>-</v>
          </cell>
          <cell r="L313" t="str">
            <v>38.90%</v>
          </cell>
          <cell r="M313" t="str">
            <v>110-115 KU</v>
          </cell>
          <cell r="N313" t="str">
            <v>Es una Mezcla hecha de Cemento, Grava, arena, Pasta Para Obtener Bloques de color.</v>
          </cell>
          <cell r="O313" t="str">
            <v>110-115 KU</v>
          </cell>
          <cell r="P313" t="str">
            <v>Ninguno</v>
          </cell>
          <cell r="Q313" t="str">
            <v>Agua Para Lavar Equipo</v>
          </cell>
          <cell r="R313" t="str">
            <v>-</v>
          </cell>
          <cell r="S313" t="str">
            <v>-</v>
          </cell>
          <cell r="T313" t="str">
            <v>-</v>
          </cell>
          <cell r="U313" t="str">
            <v>-</v>
          </cell>
          <cell r="V313" t="str">
            <v>Satinado</v>
          </cell>
          <cell r="W313" t="str">
            <v>-</v>
          </cell>
          <cell r="X313" t="str">
            <v>2 Años</v>
          </cell>
          <cell r="Y313" t="str">
            <v>BLOCTEKA-GUATEMALA</v>
          </cell>
          <cell r="Z313" t="str">
            <v>Bloques de Color.</v>
          </cell>
          <cell r="AA313" t="str">
            <v>-</v>
          </cell>
          <cell r="AB313" t="str">
            <v>Ana Irene Mendez Vides</v>
          </cell>
          <cell r="AC313">
            <v>36248</v>
          </cell>
        </row>
        <row r="314">
          <cell r="A314" t="str">
            <v>A58RSA3</v>
          </cell>
          <cell r="B314" t="str">
            <v>Pasta Para Bloques</v>
          </cell>
          <cell r="C314" t="str">
            <v>Interior-Exterior</v>
          </cell>
          <cell r="D314" t="str">
            <v>Bloques</v>
          </cell>
          <cell r="E314" t="str">
            <v>-</v>
          </cell>
          <cell r="F314" t="str">
            <v>Ninguno</v>
          </cell>
          <cell r="G314" t="str">
            <v>19.79 Lbs/Gl</v>
          </cell>
          <cell r="H314" t="str">
            <v>71 más o menos 2</v>
          </cell>
          <cell r="I314" t="str">
            <v>75.54%</v>
          </cell>
          <cell r="J314" t="str">
            <v>-</v>
          </cell>
          <cell r="K314" t="str">
            <v>-</v>
          </cell>
          <cell r="L314" t="str">
            <v>38.90%</v>
          </cell>
          <cell r="M314" t="str">
            <v>110-115 KU</v>
          </cell>
          <cell r="N314" t="str">
            <v>Es una Mezcla hecha de Cemento, Grava, arena, Pasta Para Obtener Bloques de color.</v>
          </cell>
          <cell r="O314" t="str">
            <v>110-115 KU</v>
          </cell>
          <cell r="P314" t="str">
            <v>Ninguno</v>
          </cell>
          <cell r="Q314" t="str">
            <v>Agua Para Lavar Equipo</v>
          </cell>
          <cell r="R314" t="str">
            <v>-</v>
          </cell>
          <cell r="S314" t="str">
            <v>-</v>
          </cell>
          <cell r="T314" t="str">
            <v>-</v>
          </cell>
          <cell r="U314" t="str">
            <v>-</v>
          </cell>
          <cell r="V314" t="str">
            <v>Satinado</v>
          </cell>
          <cell r="W314" t="str">
            <v>-</v>
          </cell>
          <cell r="X314" t="str">
            <v>2 Años</v>
          </cell>
          <cell r="Y314" t="str">
            <v>BLOCTEKA-GUATEMALA</v>
          </cell>
          <cell r="Z314" t="str">
            <v>Bloques de Color.</v>
          </cell>
          <cell r="AA314" t="str">
            <v>-</v>
          </cell>
          <cell r="AB314" t="str">
            <v>Ana Irene Mendez Vides</v>
          </cell>
          <cell r="AC314">
            <v>36248</v>
          </cell>
        </row>
        <row r="315">
          <cell r="A315" t="str">
            <v>B11ASA1</v>
          </cell>
          <cell r="B315" t="str">
            <v>Primera Mano Para Metales.</v>
          </cell>
          <cell r="C315" t="str">
            <v>Interior-Exterior</v>
          </cell>
          <cell r="D315" t="str">
            <v>Metal</v>
          </cell>
          <cell r="E315" t="str">
            <v>Libre de Polvo, Grasa u óxido.</v>
          </cell>
          <cell r="F315" t="str">
            <v>Ninguno</v>
          </cell>
          <cell r="G315" t="str">
            <v>9.24 Lbs/Gl</v>
          </cell>
          <cell r="H315" t="str">
            <v>-</v>
          </cell>
          <cell r="I315" t="str">
            <v>51.40%</v>
          </cell>
          <cell r="J315" t="str">
            <v>-</v>
          </cell>
          <cell r="K315" t="str">
            <v>-</v>
          </cell>
          <cell r="L315" t="str">
            <v>-</v>
          </cell>
          <cell r="M315" t="str">
            <v>70-90 KU</v>
          </cell>
          <cell r="N315" t="str">
            <v xml:space="preserve">Brocha-Pistola </v>
          </cell>
          <cell r="O315" t="str">
            <v>60-65 KU al Aplicar con Pistola</v>
          </cell>
          <cell r="P315" t="str">
            <v>10%-15%</v>
          </cell>
          <cell r="Q315" t="str">
            <v>R1K4</v>
          </cell>
          <cell r="R315" t="str">
            <v>1.5 mills Seca</v>
          </cell>
          <cell r="S315" t="str">
            <v>Al aire</v>
          </cell>
          <cell r="T315" t="str">
            <v>-</v>
          </cell>
          <cell r="U315" t="str">
            <v>30-33 Mts Cuadrados/Gl a 3 mills húmedo.</v>
          </cell>
          <cell r="V315" t="str">
            <v>Mate</v>
          </cell>
          <cell r="W315" t="str">
            <v>-</v>
          </cell>
          <cell r="X315" t="str">
            <v>2 Años</v>
          </cell>
          <cell r="Y315" t="str">
            <v>-</v>
          </cell>
          <cell r="Z315" t="str">
            <v>-</v>
          </cell>
          <cell r="AA315" t="str">
            <v>-</v>
          </cell>
          <cell r="AB315" t="str">
            <v>Soraya de Quijada</v>
          </cell>
          <cell r="AC315">
            <v>36391</v>
          </cell>
        </row>
        <row r="316">
          <cell r="A316" t="str">
            <v>A17V1</v>
          </cell>
          <cell r="B316" t="str">
            <v>Kem Wood Preservative #1</v>
          </cell>
          <cell r="C316" t="str">
            <v>Interior-Exterior</v>
          </cell>
          <cell r="D316" t="str">
            <v>Madera Sin Pintar</v>
          </cell>
          <cell r="E316" t="str">
            <v>Limpia, seca y libre de Cualquier Contaminación.</v>
          </cell>
          <cell r="F316" t="str">
            <v>-</v>
          </cell>
          <cell r="G316" t="str">
            <v>6.80 Lbs/Gl</v>
          </cell>
          <cell r="H316" t="str">
            <v>-</v>
          </cell>
          <cell r="I316" t="str">
            <v>16.23%</v>
          </cell>
          <cell r="J316" t="str">
            <v>-</v>
          </cell>
          <cell r="K316" t="str">
            <v>-</v>
          </cell>
          <cell r="L316" t="str">
            <v>10.0%</v>
          </cell>
          <cell r="M316" t="str">
            <v>-</v>
          </cell>
          <cell r="N316" t="str">
            <v>Brocha, Pistola o Inmersión.</v>
          </cell>
          <cell r="O316" t="str">
            <v>-</v>
          </cell>
          <cell r="P316" t="str">
            <v>Ninguno</v>
          </cell>
          <cell r="Q316" t="str">
            <v>-</v>
          </cell>
          <cell r="R316" t="str">
            <v>-</v>
          </cell>
          <cell r="S316" t="str">
            <v>Seco Tocar: 2 Horas; Retocar: 48 Horas</v>
          </cell>
          <cell r="T316" t="str">
            <v>-</v>
          </cell>
          <cell r="U316" t="str">
            <v>Brocha:Aplicar 2 manos gruesas de preservante.Inmersión:sumergir por 5 min. Por c/pulg. De grosor.</v>
          </cell>
          <cell r="V316" t="str">
            <v>-</v>
          </cell>
          <cell r="W316" t="str">
            <v>-</v>
          </cell>
          <cell r="X316" t="str">
            <v>2 años</v>
          </cell>
          <cell r="Y316" t="str">
            <v>SW de CA</v>
          </cell>
          <cell r="Z316" t="str">
            <v>-</v>
          </cell>
          <cell r="AA316" t="str">
            <v>El equipo puede lavarse con R1K4. Usar lentes, mascarilla y guantes. Es un producto irritante. Ingrediente activo: 3-yodo-2-propynyl butyl carbamate.</v>
          </cell>
          <cell r="AB316" t="str">
            <v>Ana Irene Mendez Vides</v>
          </cell>
          <cell r="AC316">
            <v>36441</v>
          </cell>
        </row>
        <row r="317">
          <cell r="A317" t="str">
            <v>F68BSA5</v>
          </cell>
          <cell r="B317" t="str">
            <v>Super Fast Dry Negro.</v>
          </cell>
          <cell r="C317" t="str">
            <v>Interior-Exterior</v>
          </cell>
          <cell r="D317" t="str">
            <v>Metal</v>
          </cell>
          <cell r="E317" t="str">
            <v>Según tipo de superficie, consultar al distribuidor.</v>
          </cell>
          <cell r="F317" t="str">
            <v>Para Máxima Protección Aplicar E61R9</v>
          </cell>
          <cell r="G317" t="str">
            <v>8.04 Lbs/Gl</v>
          </cell>
          <cell r="H317" t="str">
            <v>2.42% p/p</v>
          </cell>
          <cell r="I317" t="str">
            <v>44.21% p/p</v>
          </cell>
          <cell r="J317" t="str">
            <v>41.79% p/p</v>
          </cell>
          <cell r="K317" t="str">
            <v>3.87% v/v</v>
          </cell>
          <cell r="L317" t="str">
            <v>35.60% v/v</v>
          </cell>
          <cell r="M317" t="str">
            <v>75-80 KU</v>
          </cell>
          <cell r="N317" t="str">
            <v>Pistola</v>
          </cell>
          <cell r="O317" t="str">
            <v>20-25 seg. Copa Zanh #2</v>
          </cell>
          <cell r="P317" t="str">
            <v>25-28%</v>
          </cell>
          <cell r="Q317" t="str">
            <v>Industrial Reducer  R2K4</v>
          </cell>
          <cell r="R317" t="str">
            <v>1.2 mills</v>
          </cell>
          <cell r="S317" t="str">
            <v>Al Aire</v>
          </cell>
          <cell r="T317" t="str">
            <v>-</v>
          </cell>
          <cell r="U317" t="str">
            <v>44 Mts Cuadrados/Gl a 1.2 mills de Película Seca</v>
          </cell>
          <cell r="V317" t="str">
            <v>+80</v>
          </cell>
          <cell r="W317" t="str">
            <v>-</v>
          </cell>
          <cell r="X317" t="str">
            <v>2 años sin Abrir.</v>
          </cell>
          <cell r="Y317" t="str">
            <v>DIDEMA-NICARAGUA</v>
          </cell>
          <cell r="Z317" t="str">
            <v>-</v>
          </cell>
          <cell r="AA317" t="str">
            <v>-</v>
          </cell>
          <cell r="AB317" t="str">
            <v>Oscar Enrique Ascencio.</v>
          </cell>
          <cell r="AC317">
            <v>36441</v>
          </cell>
        </row>
        <row r="318">
          <cell r="A318" t="str">
            <v>F68GSA6</v>
          </cell>
          <cell r="B318" t="str">
            <v>Super Fast Dry Verde John Deere</v>
          </cell>
          <cell r="C318" t="str">
            <v>Interior-Exterior</v>
          </cell>
          <cell r="D318" t="str">
            <v>Metal</v>
          </cell>
          <cell r="E318" t="str">
            <v>Según tipo de superficie, consultar al distribuidor.</v>
          </cell>
          <cell r="F318" t="str">
            <v>Para Máxima Protección Aplicar E61R9</v>
          </cell>
          <cell r="G318" t="str">
            <v>8.42 Lbs/Gl</v>
          </cell>
          <cell r="H318" t="str">
            <v>8.58% p/p</v>
          </cell>
          <cell r="I318" t="str">
            <v>44.46% p/p</v>
          </cell>
          <cell r="J318" t="str">
            <v>35.88% p/p</v>
          </cell>
          <cell r="K318" t="str">
            <v>6.36% v/v</v>
          </cell>
          <cell r="L318" t="str">
            <v>37.77% v/v</v>
          </cell>
          <cell r="M318" t="str">
            <v>75-80 KU</v>
          </cell>
          <cell r="N318" t="str">
            <v>Pistola</v>
          </cell>
          <cell r="O318" t="str">
            <v>20-25 seg. Copa Zanh #2</v>
          </cell>
          <cell r="P318" t="str">
            <v>25-28%</v>
          </cell>
          <cell r="Q318" t="str">
            <v>Industrial Reducer  R2K4</v>
          </cell>
          <cell r="R318" t="str">
            <v>1.2 mills</v>
          </cell>
          <cell r="S318" t="str">
            <v>Al Aire</v>
          </cell>
          <cell r="T318" t="str">
            <v>-</v>
          </cell>
          <cell r="U318" t="str">
            <v>40.69 Mts Cuadrados/Gl a 1.2 mills de Película Seca</v>
          </cell>
          <cell r="V318" t="str">
            <v>+80</v>
          </cell>
          <cell r="W318" t="str">
            <v>-</v>
          </cell>
          <cell r="X318" t="str">
            <v>2 años sin Abrir.</v>
          </cell>
          <cell r="Y318" t="str">
            <v>DIDEMA-NICARAGUA</v>
          </cell>
          <cell r="Z318" t="str">
            <v>-</v>
          </cell>
          <cell r="AA318" t="str">
            <v>-</v>
          </cell>
          <cell r="AB318" t="str">
            <v>Oscar Enrique Ascencio.</v>
          </cell>
          <cell r="AC318">
            <v>36441</v>
          </cell>
        </row>
        <row r="319">
          <cell r="A319" t="str">
            <v>F68RSA10</v>
          </cell>
          <cell r="B319" t="str">
            <v>Super fast Dry Rojo Internacional</v>
          </cell>
          <cell r="C319" t="str">
            <v>Interior-Exterior</v>
          </cell>
          <cell r="D319" t="str">
            <v>Metal</v>
          </cell>
          <cell r="E319" t="str">
            <v>Según tipo de superficie, consultar al distribuidor.</v>
          </cell>
          <cell r="F319" t="str">
            <v>Para Máxima Protección Aplicar E61R9</v>
          </cell>
          <cell r="G319" t="str">
            <v>8.09 Lbs/Gl</v>
          </cell>
          <cell r="H319" t="str">
            <v>5.39% p/p</v>
          </cell>
          <cell r="I319" t="str">
            <v>42.66% p/p</v>
          </cell>
          <cell r="J319" t="str">
            <v>31.27% p/p</v>
          </cell>
          <cell r="K319" t="str">
            <v>8.0% v/v</v>
          </cell>
          <cell r="L319" t="str">
            <v>33.36% v/v</v>
          </cell>
          <cell r="M319" t="str">
            <v>75-80 KU</v>
          </cell>
          <cell r="N319" t="str">
            <v>Pistola</v>
          </cell>
          <cell r="O319" t="str">
            <v>20-25 seg. Copa Zanh #2</v>
          </cell>
          <cell r="P319" t="str">
            <v>25-28%</v>
          </cell>
          <cell r="Q319" t="str">
            <v>Industrial Reducer  R2K4</v>
          </cell>
          <cell r="R319" t="str">
            <v>1.2 mills</v>
          </cell>
          <cell r="S319" t="str">
            <v>Al Aire</v>
          </cell>
          <cell r="T319" t="str">
            <v>-</v>
          </cell>
          <cell r="U319" t="str">
            <v>41.42 Mts Cuadrados/Gl a 1.2 mills de Película Seca</v>
          </cell>
          <cell r="V319" t="str">
            <v>+80</v>
          </cell>
          <cell r="W319" t="str">
            <v>-</v>
          </cell>
          <cell r="X319" t="str">
            <v>2 años sin Abrir.</v>
          </cell>
          <cell r="Y319" t="str">
            <v>DIDEMA-NICARAGUA</v>
          </cell>
          <cell r="Z319" t="str">
            <v>-</v>
          </cell>
          <cell r="AA319" t="str">
            <v>-</v>
          </cell>
          <cell r="AB319" t="str">
            <v>Oscar Enrique Ascencio.</v>
          </cell>
          <cell r="AC319">
            <v>36441</v>
          </cell>
        </row>
        <row r="321">
          <cell r="A321" t="str">
            <v xml:space="preserve">B45WSA1  </v>
          </cell>
          <cell r="B321" t="str">
            <v>Sellador Blanco Rápido Secamiento/Tablayeso (Gypsum)*</v>
          </cell>
          <cell r="C321" t="str">
            <v>Interior</v>
          </cell>
          <cell r="D321" t="str">
            <v>Concreto, Cemento, Drywall y Fibrocemento</v>
          </cell>
          <cell r="E321" t="str">
            <v>Limpia, seca y libre de Cualquier Contaminación.</v>
          </cell>
          <cell r="F321" t="str">
            <v>Ninguno</v>
          </cell>
          <cell r="G321" t="str">
            <v>11.15 Lbs/Gl</v>
          </cell>
          <cell r="H321" t="str">
            <v>34%</v>
          </cell>
          <cell r="I321" t="str">
            <v>48.10%</v>
          </cell>
          <cell r="J321" t="str">
            <v>62%</v>
          </cell>
          <cell r="K321" t="str">
            <v>48.30%</v>
          </cell>
          <cell r="L321" t="str">
            <v>30.40%</v>
          </cell>
          <cell r="M321" t="str">
            <v>13-15*1000 CPS</v>
          </cell>
          <cell r="N321" t="str">
            <v>Brocha, Rodillo, Pistola.</v>
          </cell>
          <cell r="O321" t="str">
            <v>13-15*1000 CPS</v>
          </cell>
          <cell r="P321" t="str">
            <v>Brocha o Rodillo: Ninguna; Pistola 15-25% con Agua Limpia.</v>
          </cell>
          <cell r="Q321" t="str">
            <v>Ninguno</v>
          </cell>
          <cell r="R321" t="str">
            <v>1.5 mills Seca</v>
          </cell>
          <cell r="S321" t="str">
            <v>Al aire</v>
          </cell>
          <cell r="T321" t="str">
            <v>-</v>
          </cell>
          <cell r="U321" t="str">
            <v>28-30 Mts Cuadrados/Gl</v>
          </cell>
          <cell r="V321" t="str">
            <v>Mate</v>
          </cell>
          <cell r="W321" t="str">
            <v>-</v>
          </cell>
          <cell r="X321" t="str">
            <v>2 años sin Abrir.</v>
          </cell>
          <cell r="Y321" t="str">
            <v>DIDEMA-COSTA RICA</v>
          </cell>
          <cell r="Z321" t="str">
            <v>-</v>
          </cell>
          <cell r="AA321" t="str">
            <v>*Originalmente el nombre de este producto fue: FAST DRY LATEX WALL PRIMER.</v>
          </cell>
          <cell r="AB321" t="str">
            <v>Ana Irene Mendez Vides</v>
          </cell>
          <cell r="AC321">
            <v>36447</v>
          </cell>
        </row>
        <row r="322">
          <cell r="A322" t="str">
            <v>A86WCR12</v>
          </cell>
          <cell r="B322" t="str">
            <v>PINT. AMARILLO P/TRAFICO SHER GUIDE CAUCHO CLORADO FS TTP-115F</v>
          </cell>
          <cell r="C322" t="str">
            <v>Interior-Exterior</v>
          </cell>
          <cell r="D322" t="str">
            <v>Asfalto y Concreto</v>
          </cell>
          <cell r="E322" t="str">
            <v>Limpia, Seca y Libre de Exudación de Asfalto</v>
          </cell>
          <cell r="F322" t="str">
            <v>Ninguno</v>
          </cell>
          <cell r="G322" t="str">
            <v>13.5 Lbs/Gl                      ASTM D-1475</v>
          </cell>
          <cell r="H322" t="str">
            <v>51%</v>
          </cell>
          <cell r="I322" t="str">
            <v>80.0%                            ASTM D-2697</v>
          </cell>
          <cell r="J322" t="str">
            <v>49.0 %</v>
          </cell>
          <cell r="K322" t="str">
            <v>57.0%</v>
          </cell>
          <cell r="L322" t="str">
            <v>63.0 %</v>
          </cell>
          <cell r="M322" t="str">
            <v>75-80 KU                                    ASTM D-562</v>
          </cell>
          <cell r="N322" t="str">
            <v>Brocha, Rodillo Industrial, Máquina Franjeadora, Etc.</v>
          </cell>
          <cell r="O322" t="str">
            <v>Para Usar con Máquina franjeadora, reduzca con 1/8 de galón.</v>
          </cell>
          <cell r="P322" t="str">
            <v>Listo para usarse con Brocha y Rodillo.</v>
          </cell>
          <cell r="Q322" t="str">
            <v>R2K4 Industrial Reducer.</v>
          </cell>
          <cell r="R322" t="str">
            <v>7 mills</v>
          </cell>
          <cell r="S322" t="str">
            <v>15-20 Min.                         ASTM D-711</v>
          </cell>
          <cell r="T322" t="str">
            <v>-</v>
          </cell>
          <cell r="U322" t="str">
            <v>10-11 Mts cuadrados/Gl a 7 mills seco.</v>
          </cell>
          <cell r="V322" t="str">
            <v>Mate más o menos 1-2</v>
          </cell>
          <cell r="W322" t="str">
            <v>-</v>
          </cell>
          <cell r="X322" t="str">
            <v>36 meses</v>
          </cell>
          <cell r="Y322" t="str">
            <v>-</v>
          </cell>
          <cell r="Z322" t="str">
            <v>-</v>
          </cell>
          <cell r="AA322" t="str">
            <v>Abrasión: 38 Litros mínimo  (D968). Finura Hegman: 3H-0   (D-1210). Flexibilidad:  (D-522). Adherencia:   (D-3359).</v>
          </cell>
          <cell r="AB322" t="str">
            <v>Ana Irene Mendez Vides</v>
          </cell>
          <cell r="AC322">
            <v>39416</v>
          </cell>
        </row>
        <row r="323">
          <cell r="A323" t="str">
            <v>A86YCR11</v>
          </cell>
          <cell r="B323" t="str">
            <v>PINT. AMARILLO P/TRAFICO SHER GUIDE CAUCHO CLORADO FS TTP-115F</v>
          </cell>
          <cell r="C323" t="str">
            <v>Interior-Exterior</v>
          </cell>
          <cell r="D323" t="str">
            <v>Asfalto y Concreto</v>
          </cell>
          <cell r="E323" t="str">
            <v>Limpia, Seca y Libre de Exudación de Asfalto</v>
          </cell>
          <cell r="F323" t="str">
            <v>Ninguno</v>
          </cell>
          <cell r="G323" t="str">
            <v>14.25 Lbs/Gl                                   ASTM D-1475</v>
          </cell>
          <cell r="H323" t="str">
            <v>65.0 %</v>
          </cell>
          <cell r="I323" t="str">
            <v>80.0%                             ASTM D-2697</v>
          </cell>
          <cell r="J323" t="str">
            <v>49.0%</v>
          </cell>
          <cell r="K323" t="str">
            <v>57.70%</v>
          </cell>
          <cell r="L323" t="str">
            <v>62.0%</v>
          </cell>
          <cell r="M323" t="str">
            <v>75-80 KU                                           ASTM D-562</v>
          </cell>
          <cell r="N323" t="str">
            <v>Brocha, Rodillo Industrial, Máquina Franjeadora, Etc.</v>
          </cell>
          <cell r="O323" t="str">
            <v>Para Usar con Máquina franjeadora, reduzca con 1/8 de galón.</v>
          </cell>
          <cell r="P323" t="str">
            <v>Listo para usarse con Brocha y Rodillo.</v>
          </cell>
          <cell r="Q323" t="str">
            <v>R2K4 Industrial Reducer.</v>
          </cell>
          <cell r="R323" t="str">
            <v>7 mills</v>
          </cell>
          <cell r="S323" t="str">
            <v>15-20 Min.                         ASTM D-711</v>
          </cell>
          <cell r="T323" t="str">
            <v>-</v>
          </cell>
          <cell r="U323" t="str">
            <v>10-11 Mts cuadrados/Gl a 7 mills seco.</v>
          </cell>
          <cell r="V323" t="str">
            <v>Mate más o menos 1-2</v>
          </cell>
          <cell r="W323" t="str">
            <v>-</v>
          </cell>
          <cell r="X323" t="str">
            <v>36 meses</v>
          </cell>
          <cell r="Y323" t="str">
            <v>SEVISAL</v>
          </cell>
          <cell r="Z323" t="str">
            <v>-</v>
          </cell>
          <cell r="AA323" t="str">
            <v>Abrasión: 38 Litros mínimo  (D968). Finura Hegman: 3H-0   (D-1210). Flexibilidad:  (D-522). Adherencia:   (D-3359).</v>
          </cell>
          <cell r="AB323" t="str">
            <v>Ana Irene Mendez Vides</v>
          </cell>
          <cell r="AC323">
            <v>39416</v>
          </cell>
        </row>
        <row r="324">
          <cell r="A324" t="str">
            <v>F73B5</v>
          </cell>
          <cell r="B324" t="str">
            <v>Esmalte Horneable Negro Brillante</v>
          </cell>
          <cell r="C324" t="str">
            <v>Interior-Exterior</v>
          </cell>
          <cell r="D324" t="str">
            <v xml:space="preserve">Acero </v>
          </cell>
          <cell r="E324" t="str">
            <v>Limpieza y Desengrase</v>
          </cell>
          <cell r="F324" t="str">
            <v>Ninguno</v>
          </cell>
          <cell r="G324" t="str">
            <v>8.29 Lbs/Gl</v>
          </cell>
          <cell r="H324" t="str">
            <v>2.39%</v>
          </cell>
          <cell r="I324" t="str">
            <v>42.28%</v>
          </cell>
          <cell r="J324" t="str">
            <v>93.77%</v>
          </cell>
          <cell r="K324" t="str">
            <v>3.62%</v>
          </cell>
          <cell r="L324" t="str">
            <v>37.82%</v>
          </cell>
          <cell r="M324" t="str">
            <v>100"-110" Copa Zanh #2</v>
          </cell>
          <cell r="N324" t="str">
            <v>Pistola</v>
          </cell>
          <cell r="O324" t="str">
            <v>18"-22" Copa Zanh #2</v>
          </cell>
          <cell r="P324" t="str">
            <v>20-25%</v>
          </cell>
          <cell r="Q324" t="str">
            <v>R2K4 Industrial Reducer.</v>
          </cell>
          <cell r="R324" t="str">
            <v>1-1.5 mills</v>
          </cell>
          <cell r="S324" t="str">
            <v>Al horno</v>
          </cell>
          <cell r="T324" t="str">
            <v>15 Min a 300°F</v>
          </cell>
          <cell r="U324" t="str">
            <v>56 Mts Cuadrados/Gl a 1 mills de espesor.</v>
          </cell>
          <cell r="V324" t="str">
            <v>+85</v>
          </cell>
          <cell r="W324" t="str">
            <v>H</v>
          </cell>
          <cell r="X324" t="str">
            <v>6-12 meses</v>
          </cell>
          <cell r="Y324" t="str">
            <v>Van Leer Guatemala</v>
          </cell>
          <cell r="Z324" t="str">
            <v>Tambores Metálicos.</v>
          </cell>
          <cell r="AA324" t="str">
            <v>-</v>
          </cell>
          <cell r="AB324" t="str">
            <v>Corina de Turcios</v>
          </cell>
          <cell r="AC324">
            <v>36493</v>
          </cell>
        </row>
        <row r="325">
          <cell r="A325" t="str">
            <v>SAA 4902</v>
          </cell>
          <cell r="B325" t="str">
            <v>Esmalte Horneable Azul RAL 5010</v>
          </cell>
          <cell r="C325" t="str">
            <v>Interior-Exterior</v>
          </cell>
          <cell r="D325" t="str">
            <v xml:space="preserve">Acero </v>
          </cell>
          <cell r="E325" t="str">
            <v>Limpieza y Desengrase</v>
          </cell>
          <cell r="F325" t="str">
            <v>Ninguno</v>
          </cell>
          <cell r="G325" t="str">
            <v>8.3 Lbs/Gl</v>
          </cell>
          <cell r="H325" t="str">
            <v>6%</v>
          </cell>
          <cell r="I325" t="str">
            <v>44.86%</v>
          </cell>
          <cell r="J325" t="str">
            <v>86.30%</v>
          </cell>
          <cell r="K325" t="str">
            <v>6.30%</v>
          </cell>
          <cell r="L325" t="str">
            <v>36.20%</v>
          </cell>
          <cell r="M325" t="str">
            <v>100"-110" Copa Zanh #2</v>
          </cell>
          <cell r="N325" t="str">
            <v>Pistola</v>
          </cell>
          <cell r="O325" t="str">
            <v>18"-22" Copa Zanh #2</v>
          </cell>
          <cell r="P325" t="str">
            <v>20-25%</v>
          </cell>
          <cell r="Q325" t="str">
            <v>R2K4 Industrial Reducer.</v>
          </cell>
          <cell r="R325" t="str">
            <v>1-1.5 mills</v>
          </cell>
          <cell r="S325" t="str">
            <v>Al horno</v>
          </cell>
          <cell r="T325" t="str">
            <v>15 Min a 300°F</v>
          </cell>
          <cell r="U325" t="str">
            <v>53 Mts Cuadrados/Gl a 1 mills de espesor.</v>
          </cell>
          <cell r="V325" t="str">
            <v>+80</v>
          </cell>
          <cell r="W325" t="str">
            <v>H</v>
          </cell>
          <cell r="X325" t="str">
            <v>6-12 meses</v>
          </cell>
          <cell r="Y325" t="str">
            <v>Van Leer Guatemala</v>
          </cell>
          <cell r="Z325" t="str">
            <v>Tambores Metálicos.</v>
          </cell>
          <cell r="AA325" t="str">
            <v>-</v>
          </cell>
          <cell r="AB325" t="str">
            <v>Corina de Turcios</v>
          </cell>
          <cell r="AC325">
            <v>36493</v>
          </cell>
        </row>
        <row r="326">
          <cell r="A326" t="str">
            <v>SAA 4903</v>
          </cell>
          <cell r="B326" t="str">
            <v>Esmalte Horneable Verde RAL 6010</v>
          </cell>
          <cell r="C326" t="str">
            <v>Interior-Exterior</v>
          </cell>
          <cell r="D326" t="str">
            <v xml:space="preserve">Acero </v>
          </cell>
          <cell r="E326" t="str">
            <v>Limpieza y Desengrase</v>
          </cell>
          <cell r="F326" t="str">
            <v>Ninguno</v>
          </cell>
          <cell r="G326" t="str">
            <v>8.77 Lbs/Gl</v>
          </cell>
          <cell r="H326" t="str">
            <v>7.53%</v>
          </cell>
          <cell r="I326" t="str">
            <v>45.40%</v>
          </cell>
          <cell r="J326" t="str">
            <v>83.0%</v>
          </cell>
          <cell r="K326" t="str">
            <v>6.30%</v>
          </cell>
          <cell r="L326" t="str">
            <v>35.74%</v>
          </cell>
          <cell r="M326" t="str">
            <v>100"-110" Copa Zanh #2</v>
          </cell>
          <cell r="N326" t="str">
            <v>Pistola</v>
          </cell>
          <cell r="O326" t="str">
            <v>18"-22" Copa Zanh #2</v>
          </cell>
          <cell r="P326" t="str">
            <v>20-25%</v>
          </cell>
          <cell r="Q326" t="str">
            <v>R2K4 Industrial Reducer.</v>
          </cell>
          <cell r="R326" t="str">
            <v>1-1.5 mills</v>
          </cell>
          <cell r="S326" t="str">
            <v>Al horno</v>
          </cell>
          <cell r="T326" t="str">
            <v>15 Min a 300°F</v>
          </cell>
          <cell r="U326" t="str">
            <v>53.25 Mts Cuadrados/Gl a 1 mills de espesor.</v>
          </cell>
          <cell r="V326" t="str">
            <v>+80</v>
          </cell>
          <cell r="W326" t="str">
            <v>H</v>
          </cell>
          <cell r="X326" t="str">
            <v>6-12 meses</v>
          </cell>
          <cell r="Y326" t="str">
            <v>Van Leer Guatemala</v>
          </cell>
          <cell r="Z326" t="str">
            <v>Tambores Metálicos.</v>
          </cell>
          <cell r="AA326" t="str">
            <v>-</v>
          </cell>
          <cell r="AB326" t="str">
            <v>Rigoberto Montalvo</v>
          </cell>
          <cell r="AC326">
            <v>36493</v>
          </cell>
        </row>
        <row r="327">
          <cell r="A327" t="str">
            <v>SAA 4904</v>
          </cell>
          <cell r="B327" t="str">
            <v>Esmalte Horneable Gris RAL 7035</v>
          </cell>
          <cell r="C327" t="str">
            <v>Interior-Exterior</v>
          </cell>
          <cell r="D327" t="str">
            <v xml:space="preserve">Acero </v>
          </cell>
          <cell r="E327" t="str">
            <v>Limpieza y Desengrase</v>
          </cell>
          <cell r="F327" t="str">
            <v>Ninguno</v>
          </cell>
          <cell r="G327" t="str">
            <v>9.37 Lbs/Gl</v>
          </cell>
          <cell r="H327" t="str">
            <v>16%</v>
          </cell>
          <cell r="I327" t="str">
            <v>51.80%</v>
          </cell>
          <cell r="J327" t="str">
            <v>68.8%</v>
          </cell>
          <cell r="K327" t="str">
            <v>11.60%</v>
          </cell>
          <cell r="L327" t="str">
            <v>38.71%</v>
          </cell>
          <cell r="M327" t="str">
            <v>100"-110" Copa Zanh #2</v>
          </cell>
          <cell r="N327" t="str">
            <v>Pistola</v>
          </cell>
          <cell r="O327" t="str">
            <v>18"-22" Copa Zanh #2</v>
          </cell>
          <cell r="P327" t="str">
            <v>20-25%</v>
          </cell>
          <cell r="Q327" t="str">
            <v>R2K4 Industrial Reducer.</v>
          </cell>
          <cell r="R327" t="str">
            <v>1-1.5 mills</v>
          </cell>
          <cell r="S327" t="str">
            <v>Al horno</v>
          </cell>
          <cell r="T327" t="str">
            <v>15 Min a 300°F</v>
          </cell>
          <cell r="U327" t="str">
            <v>57.7 Mts Cuadrados/Gl a 1 mills de espesor.</v>
          </cell>
          <cell r="V327" t="str">
            <v>+80</v>
          </cell>
          <cell r="W327" t="str">
            <v>H</v>
          </cell>
          <cell r="X327" t="str">
            <v>6-12 meses</v>
          </cell>
          <cell r="Y327" t="str">
            <v>Van Leer Guatemala</v>
          </cell>
          <cell r="Z327" t="str">
            <v>Tambores Metálicos.</v>
          </cell>
          <cell r="AA327" t="str">
            <v>-</v>
          </cell>
          <cell r="AB327" t="str">
            <v>Rigoberto Montalvo</v>
          </cell>
          <cell r="AC327">
            <v>36493</v>
          </cell>
        </row>
        <row r="328">
          <cell r="A328" t="str">
            <v>SAA 4910</v>
          </cell>
          <cell r="B328" t="str">
            <v>Esmalte Horneable Rojo Texaco</v>
          </cell>
          <cell r="C328" t="str">
            <v>Interior-Exterior</v>
          </cell>
          <cell r="D328" t="str">
            <v xml:space="preserve">Acero </v>
          </cell>
          <cell r="E328" t="str">
            <v>Limpieza y Desengrase</v>
          </cell>
          <cell r="F328" t="str">
            <v>Ninguno</v>
          </cell>
          <cell r="G328" t="str">
            <v>8.84 Lbs/Gl</v>
          </cell>
          <cell r="H328" t="str">
            <v>12.25%</v>
          </cell>
          <cell r="I328" t="str">
            <v>50.26%</v>
          </cell>
          <cell r="J328" t="str">
            <v>70.52%</v>
          </cell>
          <cell r="K328" t="str">
            <v>3.20%</v>
          </cell>
          <cell r="L328" t="str">
            <v>38.25%</v>
          </cell>
          <cell r="M328" t="str">
            <v>100"-110" Copa Zanh #2</v>
          </cell>
          <cell r="N328" t="str">
            <v>Pistola</v>
          </cell>
          <cell r="O328" t="str">
            <v>18"-22" Copa Zanh #2</v>
          </cell>
          <cell r="P328" t="str">
            <v>20-25%</v>
          </cell>
          <cell r="Q328" t="str">
            <v>R2K4 Industrial Reducer.</v>
          </cell>
          <cell r="R328" t="str">
            <v>1-1.5 mills</v>
          </cell>
          <cell r="S328" t="str">
            <v>Al horno</v>
          </cell>
          <cell r="T328" t="str">
            <v>15 Min a 300°F</v>
          </cell>
          <cell r="U328" t="str">
            <v>57 Mts Cuadrados/Gl a 1 mills de espesor.</v>
          </cell>
          <cell r="V328" t="str">
            <v>+70</v>
          </cell>
          <cell r="W328" t="str">
            <v>H</v>
          </cell>
          <cell r="X328" t="str">
            <v>6-12 meses</v>
          </cell>
          <cell r="Y328" t="str">
            <v>Van Leer Guatemala</v>
          </cell>
          <cell r="Z328" t="str">
            <v>Tambores Metálicos.</v>
          </cell>
          <cell r="AA328" t="str">
            <v>-</v>
          </cell>
          <cell r="AB328" t="str">
            <v>Corina de Turcios</v>
          </cell>
          <cell r="AC328">
            <v>36502</v>
          </cell>
        </row>
        <row r="329">
          <cell r="A329" t="str">
            <v>F75WSA1 (1)</v>
          </cell>
          <cell r="B329" t="str">
            <v>Esmalte Horneable Industrial Blanco</v>
          </cell>
          <cell r="C329" t="str">
            <v>Interior-Exterior</v>
          </cell>
          <cell r="D329" t="str">
            <v xml:space="preserve">Acero </v>
          </cell>
          <cell r="E329" t="str">
            <v>Limpieza y Desengrase</v>
          </cell>
          <cell r="F329" t="str">
            <v>Ninguno</v>
          </cell>
          <cell r="G329" t="str">
            <v>9.86 Lbs/Gl</v>
          </cell>
          <cell r="H329" t="str">
            <v>30.54%</v>
          </cell>
          <cell r="I329" t="str">
            <v>59.38%</v>
          </cell>
          <cell r="J329" t="str">
            <v>47.28%</v>
          </cell>
          <cell r="K329" t="str">
            <v>30.54%</v>
          </cell>
          <cell r="L329" t="str">
            <v>40.44%</v>
          </cell>
          <cell r="M329" t="str">
            <v>95"-105" copa Zanh #2</v>
          </cell>
          <cell r="N329" t="str">
            <v>Pistola</v>
          </cell>
          <cell r="O329" t="str">
            <v>18"-22" Copa Zanh #2</v>
          </cell>
          <cell r="P329" t="str">
            <v>10-15%</v>
          </cell>
          <cell r="Q329" t="str">
            <v>R2K4 Industrial Reducer.</v>
          </cell>
          <cell r="R329" t="str">
            <v>1-1.5 mills</v>
          </cell>
          <cell r="S329" t="str">
            <v>Al horno</v>
          </cell>
          <cell r="T329" t="str">
            <v>15 Min a 300°F</v>
          </cell>
          <cell r="U329" t="str">
            <v>60 Mts Cuadrados/Gl a 1 mills de espesor.</v>
          </cell>
          <cell r="V329" t="str">
            <v>+80</v>
          </cell>
          <cell r="W329" t="str">
            <v>HB</v>
          </cell>
          <cell r="X329" t="str">
            <v>6-12 meses</v>
          </cell>
          <cell r="Y329" t="str">
            <v>Varios</v>
          </cell>
          <cell r="Z329" t="str">
            <v>-</v>
          </cell>
          <cell r="AA329" t="str">
            <v>-</v>
          </cell>
          <cell r="AB329" t="str">
            <v>Corina de Turcios</v>
          </cell>
          <cell r="AC329">
            <v>36595</v>
          </cell>
        </row>
        <row r="330">
          <cell r="A330" t="str">
            <v>B61BSA1</v>
          </cell>
          <cell r="B330" t="str">
            <v>Ebonol</v>
          </cell>
          <cell r="C330" t="str">
            <v>Interior</v>
          </cell>
          <cell r="D330" t="str">
            <v>Madera</v>
          </cell>
          <cell r="E330" t="str">
            <v>Lijada</v>
          </cell>
          <cell r="F330" t="str">
            <v>Ninguno</v>
          </cell>
          <cell r="G330" t="str">
            <v>7.68 Lbs/Gl</v>
          </cell>
          <cell r="H330" t="str">
            <v>0%</v>
          </cell>
          <cell r="I330" t="str">
            <v>45.20%</v>
          </cell>
          <cell r="J330" t="str">
            <v>91.72%</v>
          </cell>
          <cell r="K330" t="str">
            <v>0%</v>
          </cell>
          <cell r="L330" t="str">
            <v>36.63%</v>
          </cell>
          <cell r="M330" t="str">
            <v>40"-60" Copa SW #3</v>
          </cell>
          <cell r="N330" t="str">
            <v>Brocha o Rodillo</v>
          </cell>
          <cell r="O330" t="str">
            <v>-</v>
          </cell>
          <cell r="P330" t="str">
            <v>Lo Necesario 25%</v>
          </cell>
          <cell r="Q330" t="str">
            <v>R1K4 Mineral Spirits</v>
          </cell>
          <cell r="R330" t="str">
            <v>-</v>
          </cell>
          <cell r="S330" t="str">
            <v>Al Aire</v>
          </cell>
          <cell r="T330" t="str">
            <v>-</v>
          </cell>
          <cell r="U330" t="str">
            <v>54 Mts Cuadrados/Gl a 1 mills de espesor.</v>
          </cell>
          <cell r="V330" t="str">
            <v>-</v>
          </cell>
          <cell r="W330" t="str">
            <v>-</v>
          </cell>
          <cell r="X330" t="str">
            <v>6-12 Meses (a 25 °C y Libre de Fuga)</v>
          </cell>
          <cell r="Y330" t="str">
            <v>Varios</v>
          </cell>
          <cell r="Z330" t="str">
            <v>-</v>
          </cell>
          <cell r="AA330" t="str">
            <v>Producto Elaborado en Base a Resinas asfalticas. Libre de Plomo y Mercurio.</v>
          </cell>
          <cell r="AB330" t="str">
            <v>Corina de Turcios</v>
          </cell>
          <cell r="AC330">
            <v>36602</v>
          </cell>
        </row>
        <row r="331">
          <cell r="A331" t="str">
            <v>A86WCR12</v>
          </cell>
          <cell r="B331" t="str">
            <v>Pintura de Tráfico Blanca TTP-115F                        ASTM</v>
          </cell>
          <cell r="C331" t="str">
            <v>Interior-Exterior</v>
          </cell>
          <cell r="D331" t="str">
            <v>Asfalto y Concreto</v>
          </cell>
          <cell r="E331" t="str">
            <v>Limpia, Seca y Libre de Exudación de Asfalto</v>
          </cell>
          <cell r="F331" t="str">
            <v>Ninguno</v>
          </cell>
          <cell r="G331" t="str">
            <v>12.48 Lbs/Gl                                    D-1475</v>
          </cell>
          <cell r="H331" t="str">
            <v>57%</v>
          </cell>
          <cell r="I331" t="str">
            <v>75.0%                             D-2697</v>
          </cell>
          <cell r="J331" t="str">
            <v>41%</v>
          </cell>
          <cell r="K331" t="str">
            <v>57.0%</v>
          </cell>
          <cell r="L331" t="str">
            <v>53.40%</v>
          </cell>
          <cell r="M331" t="str">
            <v>75-80 KU                                           D-562</v>
          </cell>
          <cell r="N331" t="str">
            <v>Brocha, Rodillo Industrial, Máquina Franjeadora, Etc.</v>
          </cell>
          <cell r="O331" t="str">
            <v>Para Usar con Máquina franjeadora, reduzca con 1/8 de galón.</v>
          </cell>
          <cell r="P331" t="str">
            <v>Listo para usarse con Brocha y Rodillo.</v>
          </cell>
          <cell r="Q331" t="str">
            <v>R2K4 Industrial Reducer.</v>
          </cell>
          <cell r="R331" t="str">
            <v>7 mills</v>
          </cell>
          <cell r="S331" t="str">
            <v>15-20 Min. No transitar antes de 30 Minutos.                                             D-1640</v>
          </cell>
          <cell r="T331" t="str">
            <v>-</v>
          </cell>
          <cell r="U331" t="str">
            <v>10-11 Mts cuadrados/Gl a 7 mills seco.</v>
          </cell>
          <cell r="V331" t="str">
            <v>Mate más o menos 1-2</v>
          </cell>
          <cell r="W331" t="str">
            <v>-</v>
          </cell>
          <cell r="X331" t="str">
            <v>36 meses</v>
          </cell>
          <cell r="Y331" t="str">
            <v>-</v>
          </cell>
          <cell r="Z331" t="str">
            <v>-</v>
          </cell>
          <cell r="AA331" t="str">
            <v xml:space="preserve">Abrasión: 38 Litros mínimo  (D968). Finura Hegman: 3H-0   (D-1210). Flexibilidad:  (D-522). Adherencia:   (D-3359). </v>
          </cell>
          <cell r="AB331" t="str">
            <v>Ana Irene Mendez Vides</v>
          </cell>
          <cell r="AC331" t="str">
            <v>Julio 23, 2002</v>
          </cell>
        </row>
        <row r="332">
          <cell r="A332" t="str">
            <v>A86YCR11</v>
          </cell>
          <cell r="B332" t="str">
            <v>Pintura de Tráfico Amarilla TTP-115F                        ASTM</v>
          </cell>
          <cell r="C332" t="str">
            <v>Interior-Exterior</v>
          </cell>
          <cell r="D332" t="str">
            <v>Asfalto y Concreto</v>
          </cell>
          <cell r="E332" t="str">
            <v>Limpia, Seca y Libre de Exudación de Asfalto</v>
          </cell>
          <cell r="F332" t="str">
            <v>Ninguno</v>
          </cell>
          <cell r="G332" t="str">
            <v>12.68 Lbs/Gl                                    D-1475</v>
          </cell>
          <cell r="H332" t="str">
            <v>57.70%</v>
          </cell>
          <cell r="I332" t="str">
            <v>75.0%                             D-2697</v>
          </cell>
          <cell r="J332" t="str">
            <v>41.50%</v>
          </cell>
          <cell r="K332" t="str">
            <v>57.70%</v>
          </cell>
          <cell r="L332" t="str">
            <v>49.90%</v>
          </cell>
          <cell r="M332" t="str">
            <v>75-80 KU                                           D-562 *</v>
          </cell>
          <cell r="N332" t="str">
            <v>Brocha, Rodillo Industrial, Máquina Franjeadora, Etc.</v>
          </cell>
          <cell r="O332" t="str">
            <v>Para Usar con Máquina franjeadora, reduzca con 1/8 de galón.</v>
          </cell>
          <cell r="P332" t="str">
            <v>Listo para usarse con Brocha y Rodillo.</v>
          </cell>
          <cell r="Q332" t="str">
            <v>R2K4 Industrial Reducer.</v>
          </cell>
          <cell r="R332" t="str">
            <v>7 mills</v>
          </cell>
          <cell r="S332" t="str">
            <v>15-20 Min. No transitar antes de 30 Minutos.                                             D-1640</v>
          </cell>
          <cell r="T332" t="str">
            <v>-</v>
          </cell>
          <cell r="U332" t="str">
            <v>10-11 Mts cuadrados/Gl a 7 mills seco.</v>
          </cell>
          <cell r="V332" t="str">
            <v>Mate más o menos 1-2</v>
          </cell>
          <cell r="W332" t="str">
            <v>-</v>
          </cell>
          <cell r="X332" t="str">
            <v>36 meses</v>
          </cell>
          <cell r="Y332" t="str">
            <v>-</v>
          </cell>
          <cell r="Z332" t="str">
            <v>-</v>
          </cell>
          <cell r="AA332" t="str">
            <v>Abrasión: 38 Litros mínimo  (D968). Finura Hegman: 3H-0   (D-1210). Flexibilidad:  (D-522). Adherencia:   (D-3359). * La viscosidad del ASTM D562 es 75-80 KU, pero a solicitud del MOP se fabricará a 120 KU.</v>
          </cell>
          <cell r="AB332" t="str">
            <v>Ana Irene Mendez Vides</v>
          </cell>
          <cell r="AC332" t="str">
            <v>Enero 21, 2002</v>
          </cell>
        </row>
        <row r="333">
          <cell r="A333" t="str">
            <v>B54RSA3</v>
          </cell>
          <cell r="B333" t="str">
            <v>Pintura Industrial Rojo Electrostático HECASA.</v>
          </cell>
          <cell r="C333" t="str">
            <v>Interior-Exterior</v>
          </cell>
          <cell r="D333" t="str">
            <v xml:space="preserve">Acero </v>
          </cell>
          <cell r="E333" t="str">
            <v>Limpieza y Desengrase</v>
          </cell>
          <cell r="F333" t="str">
            <v>Ninguno</v>
          </cell>
          <cell r="G333" t="str">
            <v>8.04 Lbs/Gl</v>
          </cell>
          <cell r="H333" t="str">
            <v>9.27%</v>
          </cell>
          <cell r="I333" t="str">
            <v>29.9%</v>
          </cell>
          <cell r="J333" t="str">
            <v>63.56%</v>
          </cell>
          <cell r="K333" t="str">
            <v>10.02%</v>
          </cell>
          <cell r="L333" t="str">
            <v>19.97%</v>
          </cell>
          <cell r="M333" t="str">
            <v>18"-22" Copa Zanh #2</v>
          </cell>
          <cell r="N333" t="str">
            <v>Pistola</v>
          </cell>
          <cell r="O333" t="str">
            <v>18"-22" Copa Zanh #2</v>
          </cell>
          <cell r="P333" t="str">
            <v>Ninguno</v>
          </cell>
          <cell r="Q333" t="str">
            <v>Ninguno</v>
          </cell>
          <cell r="R333" t="str">
            <v>-</v>
          </cell>
          <cell r="S333" t="str">
            <v>Al Aire</v>
          </cell>
          <cell r="T333" t="str">
            <v>-</v>
          </cell>
          <cell r="U333" t="str">
            <v>29 Mts Cuadrados/Gl a 1 mills de Espesor</v>
          </cell>
          <cell r="V333" t="str">
            <v>STD</v>
          </cell>
          <cell r="W333" t="str">
            <v>-</v>
          </cell>
          <cell r="X333" t="str">
            <v>-</v>
          </cell>
          <cell r="Y333" t="str">
            <v>HECASA</v>
          </cell>
          <cell r="Z333" t="str">
            <v>-</v>
          </cell>
          <cell r="AA333" t="str">
            <v>Rango de Resistividad: 0.5-0.7 Megaohmios.</v>
          </cell>
          <cell r="AB333" t="str">
            <v>Corina de Turcios</v>
          </cell>
          <cell r="AC333">
            <v>36619</v>
          </cell>
        </row>
        <row r="334">
          <cell r="A334" t="str">
            <v>SAA 4981</v>
          </cell>
          <cell r="B334" t="str">
            <v>Colonial Latex Chep Blue W.B</v>
          </cell>
          <cell r="C334" t="str">
            <v>Interior-Exterior</v>
          </cell>
          <cell r="D334" t="str">
            <v>Cemento, Ladrillo, Madera</v>
          </cell>
          <cell r="E334" t="str">
            <v>Curada, Limpia, Seca y Libre de toda contaminación</v>
          </cell>
          <cell r="F334" t="str">
            <v>-</v>
          </cell>
          <cell r="G334" t="str">
            <v>11.55 Lbs/Gl más o menos 0.2</v>
          </cell>
          <cell r="H334" t="str">
            <v>-</v>
          </cell>
          <cell r="I334" t="str">
            <v>48.70% más o menos 0.2</v>
          </cell>
          <cell r="J334" t="str">
            <v>-</v>
          </cell>
          <cell r="K334" t="str">
            <v>63.50%</v>
          </cell>
          <cell r="L334" t="str">
            <v>30.90% más o menos 0.2</v>
          </cell>
          <cell r="M334" t="str">
            <v>79-85 KU</v>
          </cell>
          <cell r="N334" t="str">
            <v>Brocha-Rodillo-Pistola</v>
          </cell>
          <cell r="O334" t="str">
            <v>79-85 KU</v>
          </cell>
          <cell r="P334" t="str">
            <v>Máximo 10%</v>
          </cell>
          <cell r="Q334" t="str">
            <v>Agua Limpia</v>
          </cell>
          <cell r="R334" t="str">
            <v>1.5 mills Seca</v>
          </cell>
          <cell r="S334" t="str">
            <v>Al Aire, Recubrir después de 4 horas.</v>
          </cell>
          <cell r="T334" t="str">
            <v>-</v>
          </cell>
          <cell r="U334" t="str">
            <v>30 Mts Cuadrados/Gl más o menos1</v>
          </cell>
          <cell r="V334" t="str">
            <v>-</v>
          </cell>
          <cell r="W334" t="str">
            <v>-</v>
          </cell>
          <cell r="X334" t="str">
            <v>2 años</v>
          </cell>
          <cell r="Y334" t="str">
            <v>DIDEMA-GUATEMALA</v>
          </cell>
          <cell r="Z334" t="str">
            <v>-</v>
          </cell>
          <cell r="AA334" t="str">
            <v>-</v>
          </cell>
          <cell r="AB334" t="str">
            <v>Ana Irene Mendez Vides</v>
          </cell>
          <cell r="AC334">
            <v>36619</v>
          </cell>
        </row>
        <row r="335">
          <cell r="A335" t="str">
            <v>F75ASA1</v>
          </cell>
          <cell r="B335" t="str">
            <v>Esmalte Horneable Industrial Gris General</v>
          </cell>
          <cell r="C335" t="str">
            <v>Interior-Exterior</v>
          </cell>
          <cell r="D335" t="str">
            <v xml:space="preserve">Hierro-Acero </v>
          </cell>
          <cell r="E335" t="str">
            <v>Limpieza y Desengrase</v>
          </cell>
          <cell r="F335" t="str">
            <v>Ninguno</v>
          </cell>
          <cell r="G335" t="str">
            <v>8.63 Lbs/Gl</v>
          </cell>
          <cell r="H335" t="str">
            <v>17.21%</v>
          </cell>
          <cell r="I335" t="str">
            <v>54.80%</v>
          </cell>
          <cell r="J335" t="str">
            <v>67%</v>
          </cell>
          <cell r="K335" t="str">
            <v>11.02%</v>
          </cell>
          <cell r="L335" t="str">
            <v>41.48%</v>
          </cell>
          <cell r="M335" t="str">
            <v>100"-110" Copa Zanh #2</v>
          </cell>
          <cell r="N335" t="str">
            <v>Pistola</v>
          </cell>
          <cell r="O335" t="str">
            <v>18"-22" Copa Zanh #2</v>
          </cell>
          <cell r="P335" t="str">
            <v>20-25%</v>
          </cell>
          <cell r="Q335" t="str">
            <v>R2K4 Industrial Reducer.</v>
          </cell>
          <cell r="R335" t="str">
            <v>1-1.5 mills</v>
          </cell>
          <cell r="S335" t="str">
            <v>Al horno</v>
          </cell>
          <cell r="T335" t="str">
            <v>15 Min a 300°F (150 °C)</v>
          </cell>
          <cell r="U335" t="str">
            <v>61 Mts Cuadrados/Gl a 1 mills de espesor.</v>
          </cell>
          <cell r="V335" t="str">
            <v>80-90</v>
          </cell>
          <cell r="W335" t="str">
            <v>F-H</v>
          </cell>
          <cell r="X335" t="str">
            <v>6-12 meses</v>
          </cell>
          <cell r="Y335" t="str">
            <v>-</v>
          </cell>
          <cell r="Z335" t="str">
            <v>-</v>
          </cell>
          <cell r="AA335" t="str">
            <v>-</v>
          </cell>
          <cell r="AB335" t="str">
            <v>Corina de Turcios</v>
          </cell>
          <cell r="AC335">
            <v>36644</v>
          </cell>
        </row>
        <row r="336">
          <cell r="A336" t="str">
            <v>F75HSA1</v>
          </cell>
          <cell r="B336" t="str">
            <v>Esmalte Horneable Industrial Beige Tiler</v>
          </cell>
          <cell r="C336" t="str">
            <v>Interior-Exterior</v>
          </cell>
          <cell r="D336" t="str">
            <v>Hierro</v>
          </cell>
          <cell r="E336" t="str">
            <v>Limpieza y Desengrase</v>
          </cell>
          <cell r="F336" t="str">
            <v>Ninguno</v>
          </cell>
          <cell r="G336" t="str">
            <v>8.64 Lbs/Gl</v>
          </cell>
          <cell r="H336" t="str">
            <v>17.42%</v>
          </cell>
          <cell r="I336" t="str">
            <v>54.80%</v>
          </cell>
          <cell r="J336" t="str">
            <v>67%</v>
          </cell>
          <cell r="K336" t="str">
            <v>11.08%</v>
          </cell>
          <cell r="L336" t="str">
            <v>41.43%</v>
          </cell>
          <cell r="M336" t="str">
            <v>100"-110" Copa Zanh #2</v>
          </cell>
          <cell r="N336" t="str">
            <v>Pistola</v>
          </cell>
          <cell r="O336" t="str">
            <v>18"-22" Copa Zanh #2</v>
          </cell>
          <cell r="P336" t="str">
            <v>20-25%</v>
          </cell>
          <cell r="Q336" t="str">
            <v>R2K4 Industrial Reducer.</v>
          </cell>
          <cell r="R336" t="str">
            <v>1-1.5 mills</v>
          </cell>
          <cell r="S336" t="str">
            <v>Al horno</v>
          </cell>
          <cell r="T336" t="str">
            <v>15 Min a 300°F (150 °C)</v>
          </cell>
          <cell r="U336" t="str">
            <v>61 Mts Cuadrados/Gl a 1 mills de espesor.</v>
          </cell>
          <cell r="V336" t="str">
            <v>80-90</v>
          </cell>
          <cell r="W336" t="str">
            <v>F-H</v>
          </cell>
          <cell r="X336" t="str">
            <v>6-12 meses</v>
          </cell>
          <cell r="Y336" t="str">
            <v>-</v>
          </cell>
          <cell r="Z336" t="str">
            <v>-</v>
          </cell>
          <cell r="AA336" t="str">
            <v>-</v>
          </cell>
          <cell r="AB336" t="str">
            <v>Corina de Turcios</v>
          </cell>
          <cell r="AC336">
            <v>36644</v>
          </cell>
        </row>
        <row r="337">
          <cell r="A337" t="str">
            <v>F75NSA1</v>
          </cell>
          <cell r="B337" t="str">
            <v>Esmalte Horneable Industrial Café Liso</v>
          </cell>
          <cell r="C337" t="str">
            <v>Interior-Exterior</v>
          </cell>
          <cell r="D337" t="str">
            <v>Hierro</v>
          </cell>
          <cell r="E337" t="str">
            <v>Limpieza y Desengrase</v>
          </cell>
          <cell r="F337" t="str">
            <v>Ninguno</v>
          </cell>
          <cell r="G337" t="str">
            <v>8.15 Lbs/Gl</v>
          </cell>
          <cell r="H337" t="str">
            <v>10.73%</v>
          </cell>
          <cell r="I337" t="str">
            <v>50.41%</v>
          </cell>
          <cell r="J337" t="str">
            <v>77.3%</v>
          </cell>
          <cell r="K337" t="str">
            <v>6.71%</v>
          </cell>
          <cell r="L337" t="str">
            <v>39.49%</v>
          </cell>
          <cell r="M337" t="str">
            <v>100"-110" Copa Zanh #2</v>
          </cell>
          <cell r="N337" t="str">
            <v>Pistola</v>
          </cell>
          <cell r="O337" t="str">
            <v>18"-22" Copa Zanh #2</v>
          </cell>
          <cell r="P337" t="str">
            <v>20-25%</v>
          </cell>
          <cell r="Q337" t="str">
            <v>R2K4 Industrial Reducer.</v>
          </cell>
          <cell r="R337" t="str">
            <v>1-1.5 mills</v>
          </cell>
          <cell r="S337" t="str">
            <v>Al horno</v>
          </cell>
          <cell r="T337" t="str">
            <v>15 Min a 300°F (150 °C)</v>
          </cell>
          <cell r="U337" t="str">
            <v>58.25 Mts Cuadrados/Gl a 1 mills de espesor.</v>
          </cell>
          <cell r="V337" t="str">
            <v>80-90</v>
          </cell>
          <cell r="W337" t="str">
            <v>F-H</v>
          </cell>
          <cell r="X337" t="str">
            <v>6-12 meses</v>
          </cell>
          <cell r="Y337" t="str">
            <v>-</v>
          </cell>
          <cell r="Z337" t="str">
            <v>-</v>
          </cell>
          <cell r="AA337" t="str">
            <v>-</v>
          </cell>
          <cell r="AB337" t="str">
            <v>Corina de Turcios</v>
          </cell>
          <cell r="AC337">
            <v>36644</v>
          </cell>
        </row>
        <row r="338">
          <cell r="A338" t="str">
            <v>F75NSA2</v>
          </cell>
          <cell r="B338" t="str">
            <v>Esmalte Horneable Industrial Café Chocolate</v>
          </cell>
          <cell r="C338" t="str">
            <v>Interior-Exterior</v>
          </cell>
          <cell r="D338" t="str">
            <v xml:space="preserve">Acero </v>
          </cell>
          <cell r="E338" t="str">
            <v>Limpieza y Desengrase</v>
          </cell>
          <cell r="F338" t="str">
            <v>Ninguno</v>
          </cell>
          <cell r="G338" t="str">
            <v>7.83 Lbs/Gl</v>
          </cell>
          <cell r="H338" t="str">
            <v>6.07%</v>
          </cell>
          <cell r="I338" t="str">
            <v>47.32%</v>
          </cell>
          <cell r="J338" t="str">
            <v>86.38%</v>
          </cell>
          <cell r="K338" t="str">
            <v>3.76%</v>
          </cell>
          <cell r="L338" t="str">
            <v>32.28%</v>
          </cell>
          <cell r="M338" t="str">
            <v>100"-110" Copa Zanh #2</v>
          </cell>
          <cell r="N338" t="str">
            <v>Pistola</v>
          </cell>
          <cell r="O338" t="str">
            <v>18"-22" Copa Zanh #2</v>
          </cell>
          <cell r="P338" t="str">
            <v>20-25%</v>
          </cell>
          <cell r="Q338" t="str">
            <v>R2K4 Industrial Reducer.</v>
          </cell>
          <cell r="R338" t="str">
            <v>1-1.5 mills</v>
          </cell>
          <cell r="S338" t="str">
            <v>Al horno</v>
          </cell>
          <cell r="T338" t="str">
            <v>15 Min a 300°F (150 °C)</v>
          </cell>
          <cell r="U338" t="str">
            <v>57 Mts Cuadrados/Gl a 1 mills de espesor.</v>
          </cell>
          <cell r="V338" t="str">
            <v>80-90</v>
          </cell>
          <cell r="W338" t="str">
            <v>F-H</v>
          </cell>
          <cell r="X338" t="str">
            <v>6-12 meses</v>
          </cell>
          <cell r="Y338" t="str">
            <v>-</v>
          </cell>
          <cell r="Z338" t="str">
            <v>-</v>
          </cell>
          <cell r="AA338" t="str">
            <v>-</v>
          </cell>
          <cell r="AB338" t="str">
            <v>Corina de Turcios</v>
          </cell>
          <cell r="AC338">
            <v>36644</v>
          </cell>
        </row>
        <row r="339">
          <cell r="A339" t="str">
            <v>F75WSA1</v>
          </cell>
          <cell r="B339" t="str">
            <v>Esmalte Horneable Industrial Blanco</v>
          </cell>
          <cell r="C339" t="str">
            <v>Interior-Exterior</v>
          </cell>
          <cell r="D339" t="str">
            <v>Hierro</v>
          </cell>
          <cell r="E339" t="str">
            <v>Limpieza y Desengrase</v>
          </cell>
          <cell r="F339" t="str">
            <v>Ninguno</v>
          </cell>
          <cell r="G339" t="str">
            <v>9.85 Lbs/Gl</v>
          </cell>
          <cell r="H339" t="str">
            <v>30.54%</v>
          </cell>
          <cell r="I339" t="str">
            <v>63.50%</v>
          </cell>
          <cell r="J339" t="str">
            <v>50.69%</v>
          </cell>
          <cell r="K339" t="str">
            <v>19.90%</v>
          </cell>
          <cell r="L339" t="str">
            <v>46.17%</v>
          </cell>
          <cell r="M339" t="str">
            <v>100"-110" Copa Zanh #2</v>
          </cell>
          <cell r="N339" t="str">
            <v>Pistola</v>
          </cell>
          <cell r="O339" t="str">
            <v>18"-22" Copa Zanh #2</v>
          </cell>
          <cell r="P339" t="str">
            <v>20-25%</v>
          </cell>
          <cell r="Q339" t="str">
            <v>R2K4 Industrial Reducer.</v>
          </cell>
          <cell r="R339" t="str">
            <v>1-1.5 mills</v>
          </cell>
          <cell r="S339" t="str">
            <v>Al horno</v>
          </cell>
          <cell r="T339" t="str">
            <v>15 Min a 300°F (150 °C)</v>
          </cell>
          <cell r="U339" t="str">
            <v>68 Mts Cuadrados/Gl a 1 mills de espesor.</v>
          </cell>
          <cell r="V339" t="str">
            <v>80-90</v>
          </cell>
          <cell r="W339" t="str">
            <v>F-H</v>
          </cell>
          <cell r="X339" t="str">
            <v>6-12 meses</v>
          </cell>
          <cell r="Y339" t="str">
            <v>-</v>
          </cell>
          <cell r="Z339" t="str">
            <v>-</v>
          </cell>
          <cell r="AA339" t="str">
            <v>-</v>
          </cell>
          <cell r="AB339" t="str">
            <v>Corina de Turcios</v>
          </cell>
          <cell r="AC339">
            <v>36644</v>
          </cell>
        </row>
        <row r="340">
          <cell r="A340" t="str">
            <v>SAA 4896</v>
          </cell>
          <cell r="B340" t="str">
            <v>Pintura de Látex Acrílico Blanca</v>
          </cell>
          <cell r="C340" t="str">
            <v>Interior-Exterior</v>
          </cell>
          <cell r="D340" t="str">
            <v>Lámina Galvanizada</v>
          </cell>
          <cell r="E340" t="str">
            <v>Libre de Polvo, Grasa o Cuarquier Sustancia Contaminate</v>
          </cell>
          <cell r="F340" t="str">
            <v>Ninguno</v>
          </cell>
          <cell r="G340" t="str">
            <v>10.83 Lbs/Gl</v>
          </cell>
          <cell r="H340" t="str">
            <v>35.49%</v>
          </cell>
          <cell r="I340" t="str">
            <v>46.71%</v>
          </cell>
          <cell r="J340" t="str">
            <v>53.29%</v>
          </cell>
          <cell r="K340" t="str">
            <v>41.71%</v>
          </cell>
          <cell r="L340" t="str">
            <v>31.75%</v>
          </cell>
          <cell r="M340" t="str">
            <v>90-95 KU</v>
          </cell>
          <cell r="N340" t="str">
            <v>Brocha</v>
          </cell>
          <cell r="O340" t="str">
            <v>90-95KU</v>
          </cell>
          <cell r="P340" t="str">
            <v>Ninguno</v>
          </cell>
          <cell r="Q340" t="str">
            <v>Agua Para Lavar Equipo</v>
          </cell>
          <cell r="R340" t="str">
            <v xml:space="preserve">1.5 mills  </v>
          </cell>
          <cell r="S340" t="str">
            <v>Al aire</v>
          </cell>
          <cell r="T340" t="str">
            <v>-</v>
          </cell>
          <cell r="U340" t="str">
            <v>25-30 Mts cuadrados/Gl</v>
          </cell>
          <cell r="V340" t="str">
            <v>Satinado</v>
          </cell>
          <cell r="W340" t="str">
            <v>-</v>
          </cell>
          <cell r="X340" t="str">
            <v>1-2 Años</v>
          </cell>
          <cell r="Y340" t="str">
            <v>PREXCON</v>
          </cell>
          <cell r="Z340" t="str">
            <v>Antenas</v>
          </cell>
          <cell r="AA340" t="str">
            <v>-</v>
          </cell>
          <cell r="AB340" t="str">
            <v>Ana Irene Mendez Vides</v>
          </cell>
          <cell r="AC340">
            <v>36690</v>
          </cell>
        </row>
        <row r="341">
          <cell r="A341" t="str">
            <v>SAA 4897</v>
          </cell>
          <cell r="B341" t="str">
            <v>Pintura de Látex Acrílico Naranja</v>
          </cell>
          <cell r="C341" t="str">
            <v>Interior-Exterior</v>
          </cell>
          <cell r="D341" t="str">
            <v>Lámina Galvanizada</v>
          </cell>
          <cell r="E341" t="str">
            <v>Libre de Polvo, Grasa o Cuarquier Sustancia Contaminate</v>
          </cell>
          <cell r="F341" t="str">
            <v>Ninguno</v>
          </cell>
          <cell r="G341" t="str">
            <v>9.32 Lbs/Gl</v>
          </cell>
          <cell r="H341" t="str">
            <v>35.91%</v>
          </cell>
          <cell r="I341" t="str">
            <v>35.91%</v>
          </cell>
          <cell r="J341" t="str">
            <v>64.05%</v>
          </cell>
          <cell r="K341" t="str">
            <v>36.76%</v>
          </cell>
          <cell r="L341" t="str">
            <v>29.21%</v>
          </cell>
          <cell r="M341" t="str">
            <v>90-95 KU</v>
          </cell>
          <cell r="N341" t="str">
            <v>Brocha</v>
          </cell>
          <cell r="O341" t="str">
            <v>90-95KU</v>
          </cell>
          <cell r="P341" t="str">
            <v>Ninguno</v>
          </cell>
          <cell r="Q341" t="str">
            <v>Agua Para Lavar Equipo</v>
          </cell>
          <cell r="R341" t="str">
            <v xml:space="preserve">1.5 mills  </v>
          </cell>
          <cell r="S341" t="str">
            <v>Al aire</v>
          </cell>
          <cell r="T341" t="str">
            <v>-</v>
          </cell>
          <cell r="U341" t="str">
            <v>25-30 Mts cuadrados/Gl</v>
          </cell>
          <cell r="V341" t="str">
            <v>Satinado</v>
          </cell>
          <cell r="W341" t="str">
            <v>-</v>
          </cell>
          <cell r="X341" t="str">
            <v>1-2 Años</v>
          </cell>
          <cell r="Y341" t="str">
            <v>PREXCON</v>
          </cell>
          <cell r="Z341" t="str">
            <v>Antenas</v>
          </cell>
          <cell r="AA341" t="str">
            <v>-</v>
          </cell>
          <cell r="AB341" t="str">
            <v>Ana Irene Mendez Vides</v>
          </cell>
          <cell r="AC341">
            <v>36690</v>
          </cell>
        </row>
        <row r="342">
          <cell r="A342" t="str">
            <v>D1T13</v>
          </cell>
          <cell r="B342" t="str">
            <v>White Fat Cut Rubbing Compound</v>
          </cell>
          <cell r="C342" t="str">
            <v>-</v>
          </cell>
          <cell r="D342" t="str">
            <v>Metal cubierto con Laca</v>
          </cell>
          <cell r="E342" t="str">
            <v xml:space="preserve">Limpieza de la Superficie </v>
          </cell>
          <cell r="F342" t="str">
            <v>Ninguno</v>
          </cell>
          <cell r="G342" t="str">
            <v>10.49 Lbs/Gl</v>
          </cell>
          <cell r="H342" t="str">
            <v>-</v>
          </cell>
          <cell r="I342" t="str">
            <v>47.54%</v>
          </cell>
          <cell r="J342" t="str">
            <v>-</v>
          </cell>
          <cell r="K342" t="str">
            <v>-</v>
          </cell>
          <cell r="L342" t="str">
            <v>27.14%</v>
          </cell>
          <cell r="M342" t="str">
            <v>Pasta</v>
          </cell>
          <cell r="N342" t="str">
            <v>Trapo</v>
          </cell>
          <cell r="O342" t="str">
            <v>Pasta</v>
          </cell>
          <cell r="P342" t="str">
            <v>No se reduce</v>
          </cell>
          <cell r="Q342" t="str">
            <v>Ninguno</v>
          </cell>
          <cell r="R342" t="str">
            <v>-</v>
          </cell>
          <cell r="S342" t="str">
            <v>-</v>
          </cell>
          <cell r="T342" t="str">
            <v>-</v>
          </cell>
          <cell r="U342" t="str">
            <v>-</v>
          </cell>
          <cell r="V342" t="str">
            <v>-</v>
          </cell>
          <cell r="W342" t="str">
            <v>Pasta Blanda</v>
          </cell>
          <cell r="X342" t="str">
            <v>2 Años</v>
          </cell>
          <cell r="Y342" t="str">
            <v>Clientes Varios</v>
          </cell>
          <cell r="Z342" t="str">
            <v>-</v>
          </cell>
          <cell r="AA342" t="str">
            <v>-</v>
          </cell>
          <cell r="AB342" t="str">
            <v>Rigoberto Montalvo</v>
          </cell>
          <cell r="AC342">
            <v>36698</v>
          </cell>
        </row>
        <row r="343">
          <cell r="A343" t="str">
            <v>H87TSA1</v>
          </cell>
          <cell r="B343" t="str">
            <v>Laca Transparente Para Cuero</v>
          </cell>
          <cell r="C343" t="str">
            <v>-</v>
          </cell>
          <cell r="D343" t="str">
            <v>Cuero</v>
          </cell>
          <cell r="E343" t="str">
            <v>Limpio con Solvente</v>
          </cell>
          <cell r="F343" t="str">
            <v>Ninguno</v>
          </cell>
          <cell r="G343" t="str">
            <v>7.84 Lbs/Gl</v>
          </cell>
          <cell r="H343" t="str">
            <v>-</v>
          </cell>
          <cell r="I343" t="str">
            <v>23.47%</v>
          </cell>
          <cell r="J343" t="str">
            <v>23.47%</v>
          </cell>
          <cell r="K343" t="str">
            <v>-</v>
          </cell>
          <cell r="L343" t="str">
            <v>16.68%</v>
          </cell>
          <cell r="M343" t="str">
            <v>20"-30" Copa SW #5</v>
          </cell>
          <cell r="N343" t="str">
            <v>Pistola</v>
          </cell>
          <cell r="O343" t="str">
            <v>18-20 Seg. Copa Zanh #2</v>
          </cell>
          <cell r="P343" t="str">
            <v>100-150%</v>
          </cell>
          <cell r="Q343" t="str">
            <v>R7KSA7</v>
          </cell>
          <cell r="R343" t="str">
            <v>-</v>
          </cell>
          <cell r="S343" t="str">
            <v xml:space="preserve"> 1 1/2 Horas.</v>
          </cell>
          <cell r="T343" t="str">
            <v>-</v>
          </cell>
          <cell r="U343" t="str">
            <v>-</v>
          </cell>
          <cell r="V343" t="str">
            <v>+80</v>
          </cell>
          <cell r="W343" t="str">
            <v>-</v>
          </cell>
          <cell r="X343" t="str">
            <v>6 meses</v>
          </cell>
          <cell r="Y343" t="str">
            <v>DIDEMA-GUATEMALA</v>
          </cell>
          <cell r="Z343" t="str">
            <v>-</v>
          </cell>
          <cell r="AA343" t="str">
            <v>-</v>
          </cell>
          <cell r="AB343" t="str">
            <v>Corina de Turcios</v>
          </cell>
          <cell r="AC343">
            <v>36746</v>
          </cell>
        </row>
        <row r="344">
          <cell r="A344" t="str">
            <v>E60FSA1</v>
          </cell>
          <cell r="B344" t="str">
            <v>Sellador Poliuretano Para Madera</v>
          </cell>
          <cell r="C344" t="str">
            <v>Interior</v>
          </cell>
          <cell r="D344" t="str">
            <v>Madera</v>
          </cell>
          <cell r="E344" t="str">
            <v>Lijado + Tapaporo + Tintes</v>
          </cell>
          <cell r="F344" t="str">
            <v>Mismo</v>
          </cell>
          <cell r="G344" t="str">
            <v>7.73 Lbs/Gl</v>
          </cell>
          <cell r="H344" t="str">
            <v>3.23%</v>
          </cell>
          <cell r="I344" t="str">
            <v>24.4% (Catalizado 27.20%)</v>
          </cell>
          <cell r="J344" t="str">
            <v>21.17%</v>
          </cell>
          <cell r="K344" t="str">
            <v>12.85%</v>
          </cell>
          <cell r="L344" t="str">
            <v>17.98% (Catalizado 20.46%)</v>
          </cell>
          <cell r="M344" t="str">
            <v>18"-20" Copa Ford #4</v>
          </cell>
          <cell r="N344" t="str">
            <v>Pistola convencional</v>
          </cell>
          <cell r="O344" t="str">
            <v>18"-20" Copa Ford #4</v>
          </cell>
          <cell r="P344" t="str">
            <v>Ninguno</v>
          </cell>
          <cell r="Q344" t="str">
            <v>Ninguno</v>
          </cell>
          <cell r="R344" t="str">
            <v>2 mills</v>
          </cell>
          <cell r="S344" t="str">
            <v>45 Minutos</v>
          </cell>
          <cell r="T344" t="str">
            <v>Catalizado con 1/16 de  V6V690</v>
          </cell>
          <cell r="U344" t="str">
            <v>13.37 Mts Cuadrados/Gl a 2 mills de Película Seca</v>
          </cell>
          <cell r="V344" t="str">
            <v>20 Unidades</v>
          </cell>
          <cell r="W344" t="str">
            <v>HB</v>
          </cell>
          <cell r="X344" t="str">
            <v>3 años</v>
          </cell>
          <cell r="Y344" t="str">
            <v>-</v>
          </cell>
          <cell r="Z344" t="str">
            <v>-</v>
          </cell>
          <cell r="AA344" t="str">
            <v>-</v>
          </cell>
          <cell r="AB344" t="str">
            <v>Corina de Turcios</v>
          </cell>
          <cell r="AC344">
            <v>36756</v>
          </cell>
        </row>
        <row r="345">
          <cell r="A345" t="str">
            <v>F74C51</v>
          </cell>
          <cell r="B345" t="str">
            <v>Barniz Poliuretano Brillante Para Madera</v>
          </cell>
          <cell r="C345" t="str">
            <v>Interior</v>
          </cell>
          <cell r="D345" t="str">
            <v>Madera</v>
          </cell>
          <cell r="E345" t="str">
            <v>Lijado + Tapaporo + Tintes + Sellador</v>
          </cell>
          <cell r="F345" t="str">
            <v>Sellador Poliuretano E60FSA1</v>
          </cell>
          <cell r="G345" t="str">
            <v>7.88 Lbs/Gl</v>
          </cell>
          <cell r="H345" t="str">
            <v>-</v>
          </cell>
          <cell r="I345" t="str">
            <v>24.94% (Catalizado 27.92%)</v>
          </cell>
          <cell r="J345" t="str">
            <v>21.94%</v>
          </cell>
          <cell r="K345" t="str">
            <v>-</v>
          </cell>
          <cell r="L345" t="str">
            <v>15.77% (Catalizado 18.38%)</v>
          </cell>
          <cell r="M345" t="str">
            <v>18"-20" Copa Ford #4</v>
          </cell>
          <cell r="N345" t="str">
            <v>Pistola Convencional</v>
          </cell>
          <cell r="O345" t="str">
            <v>18"-20" Copa Ford #4</v>
          </cell>
          <cell r="P345" t="str">
            <v>Ninguno</v>
          </cell>
          <cell r="Q345" t="str">
            <v>Ninguno</v>
          </cell>
          <cell r="R345" t="str">
            <v>2 mills</v>
          </cell>
          <cell r="S345" t="str">
            <v>30 Minutos Al Aire</v>
          </cell>
          <cell r="T345" t="str">
            <v>Catalizado con 1/16 de V6V690</v>
          </cell>
          <cell r="U345" t="str">
            <v>11.72 Mts Cuadrados/Gl a 2 mills de Espesor</v>
          </cell>
          <cell r="V345" t="str">
            <v>80 Unidades</v>
          </cell>
          <cell r="W345" t="str">
            <v>HB</v>
          </cell>
          <cell r="X345" t="str">
            <v>3 Años</v>
          </cell>
          <cell r="Y345" t="str">
            <v>-</v>
          </cell>
          <cell r="Z345" t="str">
            <v>-</v>
          </cell>
          <cell r="AA345" t="str">
            <v>-</v>
          </cell>
          <cell r="AB345" t="str">
            <v>Corina de Turcios</v>
          </cell>
          <cell r="AC345">
            <v>36756</v>
          </cell>
        </row>
        <row r="346">
          <cell r="A346" t="str">
            <v>F74FSA1</v>
          </cell>
          <cell r="B346" t="str">
            <v>Barniz Poliuretano Mate Para Madera</v>
          </cell>
          <cell r="C346" t="str">
            <v>Interior</v>
          </cell>
          <cell r="D346" t="str">
            <v>Madera</v>
          </cell>
          <cell r="E346" t="str">
            <v>Lijado+Tapaporo+Tinte+Sellador (E60FSA1)</v>
          </cell>
          <cell r="F346" t="str">
            <v>E60FSA1</v>
          </cell>
          <cell r="G346" t="str">
            <v>7.88 Lbs/Gl</v>
          </cell>
          <cell r="H346" t="str">
            <v>5.82%</v>
          </cell>
          <cell r="I346" t="str">
            <v>25.99% (Catalizado 28.63%)</v>
          </cell>
          <cell r="J346" t="str">
            <v>20.17%</v>
          </cell>
          <cell r="K346" t="str">
            <v>14.63%</v>
          </cell>
          <cell r="L346" t="str">
            <v>18.05% (Catalizado 20.53%)</v>
          </cell>
          <cell r="M346" t="str">
            <v>18"-20" Copa Ford #4</v>
          </cell>
          <cell r="N346" t="str">
            <v>Pistola Convencional</v>
          </cell>
          <cell r="O346" t="str">
            <v>18"-20" Copa Ford #4</v>
          </cell>
          <cell r="P346" t="str">
            <v>Ninguno</v>
          </cell>
          <cell r="Q346" t="str">
            <v>Ninguno</v>
          </cell>
          <cell r="R346" t="str">
            <v>2 mills</v>
          </cell>
          <cell r="S346" t="str">
            <v>1/2 hora al aire</v>
          </cell>
          <cell r="T346" t="str">
            <v>Catalizado con 1/16 de V6V690</v>
          </cell>
          <cell r="U346" t="str">
            <v>13.42 Mts Cuadrados/Gl a 2 mills de película seca.</v>
          </cell>
          <cell r="V346" t="str">
            <v>5-7</v>
          </cell>
          <cell r="W346" t="str">
            <v>HB</v>
          </cell>
          <cell r="X346" t="str">
            <v>3 años</v>
          </cell>
          <cell r="Y346" t="str">
            <v>-</v>
          </cell>
          <cell r="Z346" t="str">
            <v>-</v>
          </cell>
          <cell r="AA346" t="str">
            <v>-</v>
          </cell>
          <cell r="AB346" t="str">
            <v>Corina de Turcios</v>
          </cell>
          <cell r="AC346">
            <v>36756</v>
          </cell>
        </row>
        <row r="347">
          <cell r="A347" t="str">
            <v>F74FSA2</v>
          </cell>
          <cell r="B347" t="str">
            <v>Barniz Poliuretano Satinado Industrial</v>
          </cell>
          <cell r="C347" t="str">
            <v>Interior</v>
          </cell>
          <cell r="D347" t="str">
            <v>Madera</v>
          </cell>
          <cell r="E347" t="str">
            <v>Lijado+Tapaporo+Tinte+Sellador (E60FSA1)</v>
          </cell>
          <cell r="F347" t="str">
            <v>E60FSA1</v>
          </cell>
          <cell r="G347" t="str">
            <v>7.69 Lbs/Gl</v>
          </cell>
          <cell r="H347" t="str">
            <v>1.82% p/p</v>
          </cell>
          <cell r="I347" t="str">
            <v>22.45%</v>
          </cell>
          <cell r="J347" t="str">
            <v>20.63%</v>
          </cell>
          <cell r="K347" t="str">
            <v>0.50%</v>
          </cell>
          <cell r="L347" t="str">
            <v>16.28%</v>
          </cell>
          <cell r="M347" t="str">
            <v>18"-20" Copa Ford #4</v>
          </cell>
          <cell r="N347" t="str">
            <v>Pistola Convencional</v>
          </cell>
          <cell r="O347" t="str">
            <v>18"-20" Copa Ford #4</v>
          </cell>
          <cell r="P347" t="str">
            <v>Ninguno</v>
          </cell>
          <cell r="Q347" t="str">
            <v>Solo si es necesario R7K7590 Reductor Universal.</v>
          </cell>
          <cell r="R347" t="str">
            <v>1 mills</v>
          </cell>
          <cell r="S347" t="str">
            <v>Al aire</v>
          </cell>
          <cell r="T347" t="str">
            <v>Catalizado con  V6V690</v>
          </cell>
          <cell r="U347" t="str">
            <v>260.97 Pies Cuadrados/Gl a 1 mills de película seca.</v>
          </cell>
          <cell r="V347" t="str">
            <v>27-32</v>
          </cell>
          <cell r="W347" t="str">
            <v>-</v>
          </cell>
          <cell r="X347" t="str">
            <v>1 Año</v>
          </cell>
          <cell r="Y347" t="str">
            <v>-</v>
          </cell>
          <cell r="Z347" t="str">
            <v>-</v>
          </cell>
          <cell r="AA347" t="str">
            <v>-</v>
          </cell>
          <cell r="AB347" t="str">
            <v>Corina de Turcios</v>
          </cell>
          <cell r="AC347">
            <v>36756</v>
          </cell>
        </row>
        <row r="348">
          <cell r="A348" t="str">
            <v>L60BSA10</v>
          </cell>
          <cell r="B348" t="str">
            <v>Laca Industrial Negro Mate</v>
          </cell>
          <cell r="C348" t="str">
            <v>Interior</v>
          </cell>
          <cell r="D348" t="str">
            <v>Hierro</v>
          </cell>
          <cell r="E348" t="str">
            <v>Limpieza y Desengrase</v>
          </cell>
          <cell r="F348" t="str">
            <v>Ninguno</v>
          </cell>
          <cell r="G348" t="str">
            <v>7.84 Lbs/Gl</v>
          </cell>
          <cell r="H348" t="str">
            <v>1.2%</v>
          </cell>
          <cell r="I348" t="str">
            <v>28.0%</v>
          </cell>
          <cell r="J348" t="str">
            <v>79.50%</v>
          </cell>
          <cell r="K348" t="str">
            <v>3-5%</v>
          </cell>
          <cell r="L348" t="str">
            <v>19.80%</v>
          </cell>
          <cell r="M348" t="str">
            <v>15"-20" Copa SW #5</v>
          </cell>
          <cell r="N348" t="str">
            <v>Inmersión</v>
          </cell>
          <cell r="O348" t="str">
            <v>18"-22" Copa Zanh #2</v>
          </cell>
          <cell r="P348" t="str">
            <v>100%</v>
          </cell>
          <cell r="Q348" t="str">
            <v>R7K128</v>
          </cell>
          <cell r="R348" t="str">
            <v>1 mills</v>
          </cell>
          <cell r="S348" t="str">
            <v>Al Aire</v>
          </cell>
          <cell r="T348" t="str">
            <v>-</v>
          </cell>
          <cell r="U348" t="str">
            <v>28.7 Mts Cuadrados/Gl a 1 mills de espesor</v>
          </cell>
          <cell r="V348" t="str">
            <v>3-4</v>
          </cell>
          <cell r="W348" t="str">
            <v>-</v>
          </cell>
          <cell r="X348" t="str">
            <v>6-12 meses</v>
          </cell>
          <cell r="Y348" t="str">
            <v>-</v>
          </cell>
          <cell r="Z348" t="str">
            <v>-</v>
          </cell>
          <cell r="AA348" t="str">
            <v>-</v>
          </cell>
          <cell r="AB348" t="str">
            <v>Corina de Turcios</v>
          </cell>
          <cell r="AC348">
            <v>36756</v>
          </cell>
        </row>
        <row r="349">
          <cell r="A349" t="str">
            <v>L60ESA2</v>
          </cell>
          <cell r="B349" t="str">
            <v>Laca Industrial Naranja Boira</v>
          </cell>
          <cell r="C349" t="str">
            <v>Interior</v>
          </cell>
          <cell r="D349" t="str">
            <v>Hierro</v>
          </cell>
          <cell r="E349" t="str">
            <v>Limpieza y Desengrase</v>
          </cell>
          <cell r="F349" t="str">
            <v>Ninguno</v>
          </cell>
          <cell r="G349" t="str">
            <v>8.22 Lbs/Gl</v>
          </cell>
          <cell r="H349" t="str">
            <v>11.69%</v>
          </cell>
          <cell r="I349" t="str">
            <v>35.0%</v>
          </cell>
          <cell r="J349" t="str">
            <v>52.62%</v>
          </cell>
          <cell r="K349" t="str">
            <v>9.21%</v>
          </cell>
          <cell r="L349" t="str">
            <v>23.44%</v>
          </cell>
          <cell r="M349" t="str">
            <v>30"-40" Copa SW #5</v>
          </cell>
          <cell r="N349" t="str">
            <v>Inmersión</v>
          </cell>
          <cell r="O349" t="str">
            <v>18"-22" Copa Zanh #2</v>
          </cell>
          <cell r="P349" t="str">
            <v>100-150%</v>
          </cell>
          <cell r="Q349" t="str">
            <v>R7K128</v>
          </cell>
          <cell r="R349" t="str">
            <v>1 mills</v>
          </cell>
          <cell r="S349" t="str">
            <v>Al Aire</v>
          </cell>
          <cell r="T349" t="str">
            <v>-</v>
          </cell>
          <cell r="U349" t="str">
            <v>35 Mts Cuadrados/Gl a 1 mills de espesor</v>
          </cell>
          <cell r="V349" t="str">
            <v>+80</v>
          </cell>
          <cell r="W349" t="str">
            <v>-</v>
          </cell>
          <cell r="X349" t="str">
            <v>6-12 meses</v>
          </cell>
          <cell r="Y349" t="str">
            <v>-</v>
          </cell>
          <cell r="Z349" t="str">
            <v>-</v>
          </cell>
          <cell r="AA349" t="str">
            <v>-</v>
          </cell>
          <cell r="AB349" t="str">
            <v>Corina de Turcios</v>
          </cell>
          <cell r="AC349">
            <v>36769</v>
          </cell>
        </row>
        <row r="350">
          <cell r="A350" t="str">
            <v>SAA 5064</v>
          </cell>
          <cell r="B350" t="str">
            <v>Laca Acrílica Azul Para Bolitas Navideñas</v>
          </cell>
          <cell r="C350" t="str">
            <v>Interior</v>
          </cell>
          <cell r="D350" t="str">
            <v>Polietileno y Poliestireno</v>
          </cell>
          <cell r="E350" t="str">
            <v>Limpieza Adecuada</v>
          </cell>
          <cell r="F350" t="str">
            <v>T70CSA16</v>
          </cell>
          <cell r="G350" t="str">
            <v>7.6 Lbs/Gl</v>
          </cell>
          <cell r="H350" t="str">
            <v>0.40%</v>
          </cell>
          <cell r="I350" t="str">
            <v>20.0%</v>
          </cell>
          <cell r="J350" t="str">
            <v>94.0%</v>
          </cell>
          <cell r="K350" t="str">
            <v>1.90%</v>
          </cell>
          <cell r="L350" t="str">
            <v>13.20%</v>
          </cell>
          <cell r="M350" t="str">
            <v>18"-22" Copa Zanh #2</v>
          </cell>
          <cell r="N350" t="str">
            <v>Inmersión</v>
          </cell>
          <cell r="O350" t="str">
            <v>18"-22" Copa Zanh #2</v>
          </cell>
          <cell r="P350" t="str">
            <v>Ninguno</v>
          </cell>
          <cell r="Q350" t="str">
            <v>-</v>
          </cell>
          <cell r="R350" t="str">
            <v>0.5-0.7 mills</v>
          </cell>
          <cell r="S350" t="str">
            <v>Al Aire 5-10 Minutos</v>
          </cell>
          <cell r="T350" t="str">
            <v>-</v>
          </cell>
          <cell r="U350" t="str">
            <v>19 Mts Cuadrados/Gl a 1 mills de espesor</v>
          </cell>
          <cell r="V350" t="str">
            <v>+85</v>
          </cell>
          <cell r="W350" t="str">
            <v>2B-B</v>
          </cell>
          <cell r="X350" t="str">
            <v>1 1/2 Años</v>
          </cell>
          <cell r="Y350" t="str">
            <v>DIDEMA-GUATEMALA</v>
          </cell>
          <cell r="Z350" t="str">
            <v>Adornos Navideños</v>
          </cell>
          <cell r="AA350" t="str">
            <v>-</v>
          </cell>
          <cell r="AB350" t="str">
            <v>Corina de Turcios</v>
          </cell>
          <cell r="AC350">
            <v>36776</v>
          </cell>
        </row>
        <row r="351">
          <cell r="A351" t="str">
            <v>SAA 5062</v>
          </cell>
          <cell r="B351" t="str">
            <v>Laca Acrílica Roja Para Bolitas Navideñas</v>
          </cell>
          <cell r="C351" t="str">
            <v>Interior</v>
          </cell>
          <cell r="D351" t="str">
            <v>Polietileno y Poliestireno</v>
          </cell>
          <cell r="E351" t="str">
            <v>Limpieza Adecuada</v>
          </cell>
          <cell r="F351" t="str">
            <v>T70CSA16</v>
          </cell>
          <cell r="G351" t="str">
            <v>7.6 Lbs/Gl</v>
          </cell>
          <cell r="H351" t="str">
            <v>0.20%</v>
          </cell>
          <cell r="I351" t="str">
            <v>20.0%</v>
          </cell>
          <cell r="J351" t="str">
            <v>95.0%</v>
          </cell>
          <cell r="K351" t="str">
            <v>1.30%</v>
          </cell>
          <cell r="L351" t="str">
            <v>13.0%</v>
          </cell>
          <cell r="M351" t="str">
            <v>18"-22" Copa Zanh #2</v>
          </cell>
          <cell r="N351" t="str">
            <v>Inmersión</v>
          </cell>
          <cell r="O351" t="str">
            <v>18"-22" Copa Zanh #2</v>
          </cell>
          <cell r="P351" t="str">
            <v>Ninguno</v>
          </cell>
          <cell r="Q351" t="str">
            <v>-</v>
          </cell>
          <cell r="R351" t="str">
            <v>0.5-0.7 mills</v>
          </cell>
          <cell r="S351" t="str">
            <v>Al Aire 5-10 Minutos</v>
          </cell>
          <cell r="T351" t="str">
            <v>-</v>
          </cell>
          <cell r="U351" t="str">
            <v>19 Mts Cuadrados/Gl a 1 mills de espesor</v>
          </cell>
          <cell r="V351" t="str">
            <v>+85</v>
          </cell>
          <cell r="W351" t="str">
            <v>2B-B</v>
          </cell>
          <cell r="X351" t="str">
            <v>1 1/2 Años</v>
          </cell>
          <cell r="Y351" t="str">
            <v>DIDEMA-GUATEMALA</v>
          </cell>
          <cell r="Z351" t="str">
            <v>Adornos Navideños</v>
          </cell>
          <cell r="AA351" t="str">
            <v>-</v>
          </cell>
          <cell r="AB351" t="str">
            <v>Corina de Turcios</v>
          </cell>
          <cell r="AC351">
            <v>36776</v>
          </cell>
        </row>
        <row r="352">
          <cell r="A352" t="str">
            <v>SAA 5063</v>
          </cell>
          <cell r="B352" t="str">
            <v>Laca Acrílica Amarilla Para Bolitas Navideñas</v>
          </cell>
          <cell r="C352" t="str">
            <v>Interior</v>
          </cell>
          <cell r="D352" t="str">
            <v>Polietileno y Poliestireno</v>
          </cell>
          <cell r="E352" t="str">
            <v>Limpieza Adecuada</v>
          </cell>
          <cell r="F352" t="str">
            <v>T70CSA16</v>
          </cell>
          <cell r="G352" t="str">
            <v>7.58 Lbs/Gl</v>
          </cell>
          <cell r="H352" t="str">
            <v>0.13%</v>
          </cell>
          <cell r="I352" t="str">
            <v>20.0%</v>
          </cell>
          <cell r="J352" t="str">
            <v>96.0%</v>
          </cell>
          <cell r="K352" t="str">
            <v>0.68%</v>
          </cell>
          <cell r="L352" t="str">
            <v>13.0%</v>
          </cell>
          <cell r="M352" t="str">
            <v>18"-22" Copa Zanh #2</v>
          </cell>
          <cell r="N352" t="str">
            <v>Inmersión</v>
          </cell>
          <cell r="O352" t="str">
            <v>18"-22" Copa Zanh #2</v>
          </cell>
          <cell r="P352" t="str">
            <v>Ninguno</v>
          </cell>
          <cell r="Q352" t="str">
            <v>-</v>
          </cell>
          <cell r="R352" t="str">
            <v>0.5-0.7 mills</v>
          </cell>
          <cell r="S352" t="str">
            <v>Al Aire 5-10 Minutos</v>
          </cell>
          <cell r="T352" t="str">
            <v>-</v>
          </cell>
          <cell r="U352" t="str">
            <v>19 Mts Cuadrados/Gl a 1 mills de espesor</v>
          </cell>
          <cell r="V352" t="str">
            <v>+85</v>
          </cell>
          <cell r="W352" t="str">
            <v>2B-B</v>
          </cell>
          <cell r="X352" t="str">
            <v>1 1/2 Años</v>
          </cell>
          <cell r="Y352" t="str">
            <v>DIDEMA-GUATEMALA</v>
          </cell>
          <cell r="Z352" t="str">
            <v>Adornos Navideños</v>
          </cell>
          <cell r="AA352" t="str">
            <v>-</v>
          </cell>
          <cell r="AB352" t="str">
            <v>Corina de Turcios</v>
          </cell>
          <cell r="AC352">
            <v>36776</v>
          </cell>
        </row>
        <row r="353">
          <cell r="A353" t="str">
            <v>T70CSA16</v>
          </cell>
          <cell r="B353" t="str">
            <v>Laca Industrial Transparente Brillante</v>
          </cell>
          <cell r="C353" t="str">
            <v>Interior</v>
          </cell>
          <cell r="D353" t="str">
            <v>Polietileno y Poliestireno</v>
          </cell>
          <cell r="E353" t="str">
            <v>Limpieza Adecuada</v>
          </cell>
          <cell r="F353" t="str">
            <v>Ninguno</v>
          </cell>
          <cell r="G353" t="str">
            <v>8.0 Lbs/Gl</v>
          </cell>
          <cell r="H353" t="str">
            <v>-</v>
          </cell>
          <cell r="I353" t="str">
            <v>40%</v>
          </cell>
          <cell r="J353" t="str">
            <v>40%</v>
          </cell>
          <cell r="K353" t="str">
            <v>-</v>
          </cell>
          <cell r="L353" t="str">
            <v>32%</v>
          </cell>
          <cell r="M353" t="str">
            <v>J-I (Gardner-Holdt)</v>
          </cell>
          <cell r="N353" t="str">
            <v>Inmersión</v>
          </cell>
          <cell r="O353" t="str">
            <v>18"-22" Copa Zanh #2</v>
          </cell>
          <cell r="P353" t="str">
            <v>100-125%</v>
          </cell>
          <cell r="Q353" t="str">
            <v>R7KSA7</v>
          </cell>
          <cell r="R353" t="str">
            <v>0.5-0.7 mills</v>
          </cell>
          <cell r="S353" t="str">
            <v>Al Aire 10 Minutos</v>
          </cell>
          <cell r="T353" t="str">
            <v>-</v>
          </cell>
          <cell r="U353" t="str">
            <v>48 Mts Cuadrados/Gl a 1 mills de espesor</v>
          </cell>
          <cell r="V353" t="str">
            <v>+80</v>
          </cell>
          <cell r="W353" t="str">
            <v>2B-B</v>
          </cell>
          <cell r="X353" t="str">
            <v>1 1/2 Años</v>
          </cell>
          <cell r="Y353" t="str">
            <v>DIDEMA-GUATEMALA</v>
          </cell>
          <cell r="Z353" t="str">
            <v>Adornos Navideños</v>
          </cell>
          <cell r="AA353" t="str">
            <v>-</v>
          </cell>
          <cell r="AB353" t="str">
            <v>Corina de Turcios</v>
          </cell>
          <cell r="AC353">
            <v>36776</v>
          </cell>
        </row>
        <row r="354">
          <cell r="A354" t="str">
            <v xml:space="preserve">SAA 4785 </v>
          </cell>
          <cell r="B354" t="str">
            <v>Kem Lustral Verde Químico</v>
          </cell>
          <cell r="C354" t="str">
            <v>Interior-Exterior</v>
          </cell>
          <cell r="D354" t="str">
            <v>Madera, Metal, Concreto.</v>
          </cell>
          <cell r="E354" t="str">
            <v>Limpia y Seca, Libre de grasa, Aceite u Óxido.</v>
          </cell>
          <cell r="F354" t="str">
            <v>Anticorrosivo Kromik Netal Primer para Superficies de Hierro o Acero.</v>
          </cell>
          <cell r="G354" t="str">
            <v>8.59 Lbs/Gl</v>
          </cell>
          <cell r="H354" t="str">
            <v>13.0%</v>
          </cell>
          <cell r="I354" t="str">
            <v>49.55%</v>
          </cell>
          <cell r="J354" t="str">
            <v>76.0%</v>
          </cell>
          <cell r="K354" t="str">
            <v>6.86%</v>
          </cell>
          <cell r="L354" t="str">
            <v>38.85%</v>
          </cell>
          <cell r="M354" t="str">
            <v>75-80 KU</v>
          </cell>
          <cell r="N354" t="str">
            <v xml:space="preserve">Brocha-Pistola </v>
          </cell>
          <cell r="O354" t="str">
            <v>-</v>
          </cell>
          <cell r="P354" t="str">
            <v>25.0%</v>
          </cell>
          <cell r="Q354" t="str">
            <v>VMP Naptha R1K3</v>
          </cell>
          <cell r="R354" t="str">
            <v>1 mills</v>
          </cell>
          <cell r="S354" t="str">
            <v>Completo: 4-6 Horas.</v>
          </cell>
          <cell r="T354" t="str">
            <v>-</v>
          </cell>
          <cell r="U354" t="str">
            <v>50 Mts Cuadrados/Gl a 1 mills de espesor</v>
          </cell>
          <cell r="V354" t="str">
            <v>90</v>
          </cell>
          <cell r="W354" t="str">
            <v>-</v>
          </cell>
          <cell r="X354" t="str">
            <v>3 Años</v>
          </cell>
          <cell r="Y354" t="str">
            <v>DIDEMA-GUATEMALA</v>
          </cell>
          <cell r="Z354" t="str">
            <v>-</v>
          </cell>
          <cell r="AA354" t="str">
            <v>-</v>
          </cell>
          <cell r="AB354" t="str">
            <v>Soraya de Quijada</v>
          </cell>
          <cell r="AC354">
            <v>36790</v>
          </cell>
        </row>
        <row r="355">
          <cell r="A355" t="str">
            <v>SAA 4950</v>
          </cell>
          <cell r="B355" t="str">
            <v>Kem Lustral Enamel Azul Fordson</v>
          </cell>
          <cell r="C355" t="str">
            <v>Interior-Exterior</v>
          </cell>
          <cell r="D355" t="str">
            <v>Madera, Metal, Concreto.</v>
          </cell>
          <cell r="E355" t="str">
            <v>Limpia y Seca, Libre de grasa, Aceite u Óxido.</v>
          </cell>
          <cell r="F355" t="str">
            <v>Anticorrosivo Kromik Netal Primer para Superficies de Hierro o Acero.</v>
          </cell>
          <cell r="G355" t="str">
            <v>8.23 Lbs/Gl</v>
          </cell>
          <cell r="H355" t="str">
            <v>10.0%</v>
          </cell>
          <cell r="I355" t="str">
            <v>47.0%</v>
          </cell>
          <cell r="J355" t="str">
            <v>82.0%</v>
          </cell>
          <cell r="K355" t="str">
            <v>7.40%</v>
          </cell>
          <cell r="L355" t="str">
            <v>38.19%</v>
          </cell>
          <cell r="M355" t="str">
            <v>75-80 KU</v>
          </cell>
          <cell r="N355" t="str">
            <v xml:space="preserve">Brocha-Pistola </v>
          </cell>
          <cell r="O355" t="str">
            <v>-</v>
          </cell>
          <cell r="P355" t="str">
            <v>25.0%</v>
          </cell>
          <cell r="Q355" t="str">
            <v>VMP Naptha R1K3</v>
          </cell>
          <cell r="R355" t="str">
            <v>1 mills</v>
          </cell>
          <cell r="S355" t="str">
            <v>Completo: 4-6 Horas.</v>
          </cell>
          <cell r="T355" t="str">
            <v>-</v>
          </cell>
          <cell r="U355" t="str">
            <v>50 Mts Cuadrados/Gl a 1 mills de espesor</v>
          </cell>
          <cell r="V355" t="str">
            <v>90</v>
          </cell>
          <cell r="W355" t="str">
            <v>-</v>
          </cell>
          <cell r="X355" t="str">
            <v>3 Años</v>
          </cell>
          <cell r="Y355" t="str">
            <v>DIDEMA-GUATEMALA</v>
          </cell>
          <cell r="Z355" t="str">
            <v>-</v>
          </cell>
          <cell r="AA355" t="str">
            <v>-</v>
          </cell>
          <cell r="AB355" t="str">
            <v>Soraya de Quijada</v>
          </cell>
          <cell r="AC355">
            <v>36790</v>
          </cell>
        </row>
        <row r="356">
          <cell r="A356" t="str">
            <v>SAA 4951</v>
          </cell>
          <cell r="B356" t="str">
            <v>Super Fast Dry Verde Químico.</v>
          </cell>
          <cell r="C356" t="str">
            <v>Interior-Exterior</v>
          </cell>
          <cell r="D356" t="str">
            <v>Madera, Metal</v>
          </cell>
          <cell r="E356" t="str">
            <v>Limpia y Seca, Libre de grasa, Aceite u Óxido.</v>
          </cell>
          <cell r="F356" t="str">
            <v>Para Hierro o Acero Kem Fast Dry Primer E61R9</v>
          </cell>
          <cell r="G356" t="str">
            <v>8.68 Lbs/Gl</v>
          </cell>
          <cell r="H356" t="str">
            <v>7.0%</v>
          </cell>
          <cell r="I356" t="str">
            <v>44.13%</v>
          </cell>
          <cell r="J356" t="str">
            <v>84.0%</v>
          </cell>
          <cell r="K356" t="str">
            <v>5.20%</v>
          </cell>
          <cell r="L356" t="str">
            <v>34.57%</v>
          </cell>
          <cell r="M356" t="str">
            <v>30"-35" Copa SW #3</v>
          </cell>
          <cell r="N356" t="str">
            <v>Spray o Inmersión.</v>
          </cell>
          <cell r="O356" t="str">
            <v>-</v>
          </cell>
          <cell r="P356" t="str">
            <v>25-30%</v>
          </cell>
          <cell r="Q356" t="str">
            <v>R2K4 Industrial Reducer.</v>
          </cell>
          <cell r="R356" t="str">
            <v>1.0-1.25 mills</v>
          </cell>
          <cell r="S356" t="str">
            <v>Seco Completo: 1 Hora</v>
          </cell>
          <cell r="T356" t="str">
            <v>-</v>
          </cell>
          <cell r="U356" t="str">
            <v>50 Mts Cuadrados/Gl a 1 mills de espesor</v>
          </cell>
          <cell r="V356" t="str">
            <v>+70</v>
          </cell>
          <cell r="W356" t="str">
            <v>-</v>
          </cell>
          <cell r="X356" t="str">
            <v>2 Años</v>
          </cell>
          <cell r="Y356" t="str">
            <v>DIDEMA-GUATEMALA</v>
          </cell>
          <cell r="Z356" t="str">
            <v>-</v>
          </cell>
          <cell r="AA356" t="str">
            <v>-</v>
          </cell>
          <cell r="AB356" t="str">
            <v>Soraya de Quijada</v>
          </cell>
          <cell r="AC356">
            <v>36790</v>
          </cell>
        </row>
        <row r="357">
          <cell r="A357" t="str">
            <v>A44HSA3</v>
          </cell>
          <cell r="B357" t="str">
            <v>Tex Flex Blanco Hueso</v>
          </cell>
          <cell r="C357" t="str">
            <v>Interior-Exterior</v>
          </cell>
          <cell r="D357" t="str">
            <v>Concreto</v>
          </cell>
          <cell r="E357" t="str">
            <v>Limpia, Seca y Libre de Toda Sustancia Extraña.</v>
          </cell>
          <cell r="F357" t="str">
            <v>B45ASA1</v>
          </cell>
          <cell r="G357" t="str">
            <v>12.47 Lbs/Gl</v>
          </cell>
          <cell r="H357" t="str">
            <v>25.74%</v>
          </cell>
          <cell r="I357" t="str">
            <v>70.71%</v>
          </cell>
          <cell r="J357" t="str">
            <v>-</v>
          </cell>
          <cell r="K357" t="str">
            <v>24.94%</v>
          </cell>
          <cell r="L357" t="str">
            <v>53.23%</v>
          </cell>
          <cell r="M357" t="str">
            <v>123 129 MILES EN CPS</v>
          </cell>
          <cell r="N357" t="str">
            <v>Brocha-Rodillo Texturizado.</v>
          </cell>
          <cell r="O357" t="str">
            <v>123-129 CPS</v>
          </cell>
          <cell r="P357" t="str">
            <v>Ninguno</v>
          </cell>
          <cell r="Q357" t="str">
            <v>-</v>
          </cell>
          <cell r="R357" t="str">
            <v>12 mills</v>
          </cell>
          <cell r="S357" t="str">
            <v>Al Aire</v>
          </cell>
          <cell r="T357" t="str">
            <v>-</v>
          </cell>
          <cell r="U357" t="str">
            <v>6-7 Mts Cuadrados/Gl, dependiendo de la porosidad de la superficie.</v>
          </cell>
          <cell r="V357" t="str">
            <v>Satinado</v>
          </cell>
          <cell r="W357" t="str">
            <v>-</v>
          </cell>
          <cell r="X357" t="str">
            <v>1-2 Años, sin destaparse el envase.</v>
          </cell>
          <cell r="Y357" t="str">
            <v>FRUND</v>
          </cell>
          <cell r="Z357" t="str">
            <v>-</v>
          </cell>
          <cell r="AA357" t="str">
            <v>-</v>
          </cell>
          <cell r="AB357" t="str">
            <v>Ana Irene Mendez Vides</v>
          </cell>
          <cell r="AC357" t="str">
            <v>JULIO 3, 2002</v>
          </cell>
        </row>
        <row r="358">
          <cell r="A358" t="str">
            <v>SAA 5107</v>
          </cell>
          <cell r="B358" t="str">
            <v>Anticorrosivo Al Agua Rojo RECOPE</v>
          </cell>
          <cell r="C358" t="str">
            <v>-</v>
          </cell>
          <cell r="D358" t="str">
            <v>Fibrolite, Concreto, Lámina.</v>
          </cell>
          <cell r="E358" t="str">
            <v>Limpia y Seca</v>
          </cell>
          <cell r="F358" t="str">
            <v>-</v>
          </cell>
          <cell r="G358" t="str">
            <v>10.27 Lbs/Gl más o menos 0.2</v>
          </cell>
          <cell r="H358" t="str">
            <v>29.5% más o menos 0.2</v>
          </cell>
          <cell r="I358" t="str">
            <v>54.49% más o menos 0.2</v>
          </cell>
          <cell r="J358" t="str">
            <v>-</v>
          </cell>
          <cell r="K358" t="str">
            <v>25% más o menos 0.2</v>
          </cell>
          <cell r="L358" t="str">
            <v>48.29% más o menos 0.2</v>
          </cell>
          <cell r="M358" t="str">
            <v>92-96 KU</v>
          </cell>
          <cell r="N358" t="str">
            <v>Brocha</v>
          </cell>
          <cell r="O358" t="str">
            <v>85-90 KU</v>
          </cell>
          <cell r="P358" t="str">
            <v>10% Máximo</v>
          </cell>
          <cell r="Q358" t="str">
            <v>Agua Limpia</v>
          </cell>
          <cell r="R358" t="str">
            <v>5 mills</v>
          </cell>
          <cell r="S358" t="str">
            <v>Al aire</v>
          </cell>
          <cell r="T358" t="str">
            <v>-</v>
          </cell>
          <cell r="U358" t="str">
            <v>14-15 Mts Cuadrados/Gl, dependiendo de la porosidad de la superficie.</v>
          </cell>
          <cell r="V358" t="str">
            <v>Satinado</v>
          </cell>
          <cell r="W358" t="str">
            <v>-</v>
          </cell>
          <cell r="X358" t="str">
            <v>1-2 Años, sin destaparse el envase.</v>
          </cell>
          <cell r="Y358" t="str">
            <v>RECOPE</v>
          </cell>
          <cell r="Z358" t="str">
            <v>-</v>
          </cell>
          <cell r="AA358" t="str">
            <v>-</v>
          </cell>
          <cell r="AB358" t="str">
            <v>Ana Irene Mendez Vides</v>
          </cell>
          <cell r="AC358">
            <v>36795</v>
          </cell>
        </row>
        <row r="359">
          <cell r="A359" t="str">
            <v>SAA 5108</v>
          </cell>
          <cell r="B359" t="str">
            <v>Esmalte Al Agua Aluminio RECOPE</v>
          </cell>
          <cell r="D359" t="str">
            <v>Fibrolite, Concreto, Lámina.</v>
          </cell>
          <cell r="E359" t="str">
            <v>Limpia y Seca</v>
          </cell>
          <cell r="F359" t="str">
            <v>-</v>
          </cell>
          <cell r="G359" t="str">
            <v>9.18 Lbs/Gl más o menos 0.2</v>
          </cell>
          <cell r="H359" t="str">
            <v>-</v>
          </cell>
          <cell r="I359" t="str">
            <v>53.13%</v>
          </cell>
          <cell r="J359" t="str">
            <v>-</v>
          </cell>
          <cell r="K359" t="str">
            <v>14.78%</v>
          </cell>
          <cell r="L359" t="str">
            <v>46.35% más o menos 0.2</v>
          </cell>
          <cell r="M359" t="str">
            <v>135-140 KU</v>
          </cell>
          <cell r="N359" t="str">
            <v>Brocha</v>
          </cell>
          <cell r="O359" t="str">
            <v>135-140 KU</v>
          </cell>
          <cell r="P359" t="str">
            <v>Hasta 5% si fuese necesario, según método de aplicación.</v>
          </cell>
          <cell r="Q359" t="str">
            <v>Agua Limpia</v>
          </cell>
          <cell r="R359" t="str">
            <v>5 mills</v>
          </cell>
          <cell r="S359" t="str">
            <v>Al aire</v>
          </cell>
          <cell r="T359" t="str">
            <v>-</v>
          </cell>
          <cell r="U359" t="str">
            <v>13-14 Mts Cuadrados/Gl, dependiendo de la porosidad de la superficie.</v>
          </cell>
          <cell r="V359" t="str">
            <v>-</v>
          </cell>
          <cell r="W359" t="str">
            <v>-</v>
          </cell>
          <cell r="X359" t="str">
            <v>6 meses sin destapar el envase.</v>
          </cell>
          <cell r="Y359" t="str">
            <v>RECOPE</v>
          </cell>
          <cell r="Z359" t="str">
            <v>-</v>
          </cell>
          <cell r="AA359" t="str">
            <v>-</v>
          </cell>
          <cell r="AB359" t="str">
            <v>Ana Irene Mendez Vides</v>
          </cell>
          <cell r="AC359">
            <v>36830</v>
          </cell>
        </row>
        <row r="360">
          <cell r="A360" t="str">
            <v>B53A4004</v>
          </cell>
          <cell r="B360" t="str">
            <v>Industrial Enamel Ultra Deep Base R</v>
          </cell>
          <cell r="C360" t="str">
            <v>Interior-Exterior</v>
          </cell>
          <cell r="D360" t="str">
            <v>Hierro, Madera, Concreto</v>
          </cell>
          <cell r="E360" t="str">
            <v>Totalmente secas, Libres de Polvo y Grasa</v>
          </cell>
          <cell r="F360" t="str">
            <v>Metal:Kromik Metal Primer,Colonial Anticorrosivo. Madera:Excello Wood Sealer.Concreto:Sellador p/Concreto.</v>
          </cell>
          <cell r="G360" t="str">
            <v>6.86 Lbs/Gl</v>
          </cell>
          <cell r="H360" t="str">
            <v>1.48%</v>
          </cell>
          <cell r="I360" t="str">
            <v>34.91%</v>
          </cell>
          <cell r="J360" t="str">
            <v>33.43%</v>
          </cell>
          <cell r="K360" t="str">
            <v>10.98%</v>
          </cell>
          <cell r="L360" t="str">
            <v>33.70%</v>
          </cell>
          <cell r="M360" t="str">
            <v>72-77 KU</v>
          </cell>
          <cell r="N360" t="str">
            <v>Brocha, Rodillo, Pistola de Aire</v>
          </cell>
          <cell r="O360" t="str">
            <v>Listo Para Usar.</v>
          </cell>
          <cell r="P360" t="str">
            <v xml:space="preserve">Con pistola   10-12% con R1K4 </v>
          </cell>
          <cell r="Q360" t="str">
            <v>R1K4   Mineral Spirits</v>
          </cell>
          <cell r="R360" t="str">
            <v>1 mills</v>
          </cell>
          <cell r="S360" t="str">
            <v>Seco Completo de 4 a 5 Horas (25°C)</v>
          </cell>
          <cell r="T360" t="str">
            <v>-</v>
          </cell>
          <cell r="U360" t="str">
            <v>45-55 Mts Cuadrados/Gl/Mano a 1 mill de pelicula seca. Depende del color.</v>
          </cell>
          <cell r="V360" t="str">
            <v xml:space="preserve">88-92 unidades </v>
          </cell>
          <cell r="W360" t="str">
            <v>-</v>
          </cell>
          <cell r="X360" t="str">
            <v>2 años</v>
          </cell>
          <cell r="Y360" t="str">
            <v>-</v>
          </cell>
          <cell r="Z360" t="str">
            <v>-</v>
          </cell>
          <cell r="AA360" t="str">
            <v>-</v>
          </cell>
          <cell r="AB360" t="str">
            <v>Soraya de Quijada</v>
          </cell>
          <cell r="AC360">
            <v>36901</v>
          </cell>
        </row>
        <row r="361">
          <cell r="A361" t="str">
            <v>B53W4001</v>
          </cell>
          <cell r="B361" t="str">
            <v>Industrial Enamel Pure White Base X</v>
          </cell>
          <cell r="C361" t="str">
            <v>Interior-Exterior</v>
          </cell>
          <cell r="D361" t="str">
            <v>Hierro, Madera, Concreto</v>
          </cell>
          <cell r="E361" t="str">
            <v>Totalmente secas, Libres de Polvo y Grasa</v>
          </cell>
          <cell r="F361" t="str">
            <v>Metal:Kromik Metal Primer,Colonial Anticorrosivo. Madera:Excello Wood Sealer.Concreto:Sellador p/Concreto.</v>
          </cell>
          <cell r="G361" t="str">
            <v>8.91 Lbs/Gl</v>
          </cell>
          <cell r="H361" t="str">
            <v>19.72%</v>
          </cell>
          <cell r="I361" t="str">
            <v>55.35%</v>
          </cell>
          <cell r="J361" t="str">
            <v>35.63%</v>
          </cell>
          <cell r="K361" t="str">
            <v>16.91%</v>
          </cell>
          <cell r="L361" t="str">
            <v>39.08%</v>
          </cell>
          <cell r="M361" t="str">
            <v>80-87 KU</v>
          </cell>
          <cell r="N361" t="str">
            <v>Brocha, Rodillo, Pistola de Aire</v>
          </cell>
          <cell r="O361" t="str">
            <v>70-75 KU</v>
          </cell>
          <cell r="P361" t="str">
            <v xml:space="preserve">Con pistola   12-15% con R1K4 </v>
          </cell>
          <cell r="Q361" t="str">
            <v>R1K4   Mineral Spirits</v>
          </cell>
          <cell r="R361" t="str">
            <v>1 mills</v>
          </cell>
          <cell r="S361" t="str">
            <v>Seco Completo de 4 a 5 Horas (25°C)</v>
          </cell>
          <cell r="T361" t="str">
            <v>-</v>
          </cell>
          <cell r="U361" t="str">
            <v>45-55 Mts Cuadrados/Gl/Mano a 1 mill de pelicula seca. Depende del color.</v>
          </cell>
          <cell r="V361" t="str">
            <v xml:space="preserve">88-92 unidades </v>
          </cell>
          <cell r="W361" t="str">
            <v>-</v>
          </cell>
          <cell r="X361" t="str">
            <v>2 años</v>
          </cell>
          <cell r="Y361" t="str">
            <v>-</v>
          </cell>
          <cell r="Z361" t="str">
            <v>-</v>
          </cell>
          <cell r="AA361" t="str">
            <v>-</v>
          </cell>
          <cell r="AB361" t="str">
            <v>Soraya de Quijada</v>
          </cell>
          <cell r="AC361">
            <v>36901</v>
          </cell>
        </row>
        <row r="362">
          <cell r="A362" t="str">
            <v>B53W4002</v>
          </cell>
          <cell r="B362" t="str">
            <v>Industrial Enamel Midtone Base Y</v>
          </cell>
          <cell r="C362" t="str">
            <v>Interior-Exterior</v>
          </cell>
          <cell r="D362" t="str">
            <v>Hierro, Madera, Concreto</v>
          </cell>
          <cell r="E362" t="str">
            <v>Totalmente secas, Libres de Polvo y Grasa</v>
          </cell>
          <cell r="F362" t="str">
            <v>Metal:Kromik Metal Primer,Colonial Anticorrosivo. Madera:Excello Wood Sealer.Concreto:Sellador p/Concreto.</v>
          </cell>
          <cell r="G362" t="str">
            <v>8.03 Lbs/Gl</v>
          </cell>
          <cell r="H362" t="str">
            <v>15.45%</v>
          </cell>
          <cell r="I362" t="str">
            <v>51.36%</v>
          </cell>
          <cell r="J362" t="str">
            <v>35.95%</v>
          </cell>
          <cell r="K362" t="str">
            <v>12-58%</v>
          </cell>
          <cell r="L362" t="str">
            <v>38-24%</v>
          </cell>
          <cell r="M362" t="str">
            <v>80-87 KU</v>
          </cell>
          <cell r="N362" t="str">
            <v>Brocha, Rodillo, Pistola de Aire</v>
          </cell>
          <cell r="O362" t="str">
            <v>70-75 KU</v>
          </cell>
          <cell r="P362" t="str">
            <v xml:space="preserve">Con pistola   12-15% con R1K4 </v>
          </cell>
          <cell r="Q362" t="str">
            <v>R1K4   Mineral Spirits</v>
          </cell>
          <cell r="R362" t="str">
            <v>1 mills</v>
          </cell>
          <cell r="S362" t="str">
            <v>Seco Completo de 4 a 5 Horas (25°C)</v>
          </cell>
          <cell r="T362" t="str">
            <v>-</v>
          </cell>
          <cell r="U362" t="str">
            <v>45-55 Mts Cuadrados/Gl/Mano a 1 mill de pelicula seca. Depende del color.</v>
          </cell>
          <cell r="V362" t="str">
            <v xml:space="preserve">88-92 unidades </v>
          </cell>
          <cell r="W362" t="str">
            <v>-</v>
          </cell>
          <cell r="X362" t="str">
            <v>2 años</v>
          </cell>
          <cell r="Y362" t="str">
            <v>-</v>
          </cell>
          <cell r="Z362" t="str">
            <v>-</v>
          </cell>
          <cell r="AA362" t="str">
            <v>-</v>
          </cell>
          <cell r="AB362" t="str">
            <v>Soraya de Quijada</v>
          </cell>
          <cell r="AC362">
            <v>36901</v>
          </cell>
        </row>
        <row r="363">
          <cell r="A363" t="str">
            <v>B53W4003</v>
          </cell>
          <cell r="B363" t="str">
            <v>Industrial Enamel Deeptone Base Z</v>
          </cell>
          <cell r="C363" t="str">
            <v>Interior-Exterior</v>
          </cell>
          <cell r="D363" t="str">
            <v>Hierro, Madera, Concreto</v>
          </cell>
          <cell r="E363" t="str">
            <v>Totalmente secas, Libres de Polvo y Grasa</v>
          </cell>
          <cell r="F363" t="str">
            <v>Metal:Kromik Metal Primer,Colonial Anticorrosivo. Madera:Excello Wood Sealer.Concreto:Sellador p/Concreto.</v>
          </cell>
          <cell r="G363" t="str">
            <v>7.51 Lbs/Gl</v>
          </cell>
          <cell r="H363" t="str">
            <v>11.24%</v>
          </cell>
          <cell r="I363" t="str">
            <v>48.04%</v>
          </cell>
          <cell r="J363" t="str">
            <v>36.80%</v>
          </cell>
          <cell r="K363" t="str">
            <v>7.40%</v>
          </cell>
          <cell r="L363" t="str">
            <v>34.09%</v>
          </cell>
          <cell r="M363" t="str">
            <v>80-87 KU</v>
          </cell>
          <cell r="N363" t="str">
            <v>Brocha, Rodillo, Pistola de Aire</v>
          </cell>
          <cell r="O363" t="str">
            <v>70-75 KU</v>
          </cell>
          <cell r="P363" t="str">
            <v xml:space="preserve">Con pistola   12-15% con R1K4 </v>
          </cell>
          <cell r="Q363" t="str">
            <v>R1K4   Mineral Spirits</v>
          </cell>
          <cell r="R363" t="str">
            <v>1 mills</v>
          </cell>
          <cell r="S363" t="str">
            <v>Seco Completo de 4 a 5 Horas (25°C)</v>
          </cell>
          <cell r="T363" t="str">
            <v>-</v>
          </cell>
          <cell r="U363" t="str">
            <v>45-55 Mts Cuadrados/Gl/Mano a 1 mill de pelicula seca. Depende del color.</v>
          </cell>
          <cell r="V363" t="str">
            <v xml:space="preserve">88-92 unidades </v>
          </cell>
          <cell r="W363" t="str">
            <v>-</v>
          </cell>
          <cell r="X363" t="str">
            <v>2 años</v>
          </cell>
          <cell r="Y363" t="str">
            <v>-</v>
          </cell>
          <cell r="Z363" t="str">
            <v>-</v>
          </cell>
          <cell r="AA363" t="str">
            <v>-</v>
          </cell>
          <cell r="AB363" t="str">
            <v>Soraya de Quijada</v>
          </cell>
          <cell r="AC363">
            <v>36901</v>
          </cell>
        </row>
        <row r="364">
          <cell r="A364" t="str">
            <v>B79LSA13</v>
          </cell>
          <cell r="B364" t="str">
            <v>Colonial Latex Chep Blue Pantone 300U</v>
          </cell>
          <cell r="C364" t="str">
            <v>Interior-Exterior</v>
          </cell>
          <cell r="D364" t="str">
            <v>Cemento, Ladrillo, Madera</v>
          </cell>
          <cell r="E364" t="str">
            <v>Curada, Limpia, Seca y Libre de toda contaminación</v>
          </cell>
          <cell r="F364" t="str">
            <v>-</v>
          </cell>
          <cell r="G364" t="str">
            <v>11.41 Lbs/Gl más o menos 0.2</v>
          </cell>
          <cell r="H364" t="str">
            <v>-</v>
          </cell>
          <cell r="I364" t="str">
            <v>47.75% más o menos 0.02</v>
          </cell>
          <cell r="J364" t="str">
            <v>-</v>
          </cell>
          <cell r="K364" t="str">
            <v>65.40%</v>
          </cell>
          <cell r="L364" t="str">
            <v>30.83% más o menos 0.2</v>
          </cell>
          <cell r="M364" t="str">
            <v>79-85 KU</v>
          </cell>
          <cell r="N364" t="str">
            <v>Brocha-Rodillo-Pistola</v>
          </cell>
          <cell r="O364" t="str">
            <v>79-85 KU</v>
          </cell>
          <cell r="P364" t="str">
            <v>Máximo 10%</v>
          </cell>
          <cell r="Q364" t="str">
            <v>Agua Limpia</v>
          </cell>
          <cell r="R364" t="str">
            <v>1.5 mills</v>
          </cell>
          <cell r="S364" t="str">
            <v>Al Aire, Recubrir después de 4 horas.</v>
          </cell>
          <cell r="T364" t="str">
            <v>-</v>
          </cell>
          <cell r="U364" t="str">
            <v>30 Mts Cuadrados/Gl más o menos 1</v>
          </cell>
          <cell r="V364" t="str">
            <v>-</v>
          </cell>
          <cell r="W364" t="str">
            <v>-</v>
          </cell>
          <cell r="X364" t="str">
            <v>2 años</v>
          </cell>
          <cell r="Y364" t="str">
            <v>DIDEMA-GUATEMALA</v>
          </cell>
          <cell r="Z364" t="str">
            <v>-</v>
          </cell>
          <cell r="AA364" t="str">
            <v>-</v>
          </cell>
          <cell r="AB364" t="str">
            <v>Ana Irene Mendez Vides</v>
          </cell>
          <cell r="AC364">
            <v>36907</v>
          </cell>
        </row>
        <row r="365">
          <cell r="A365" t="str">
            <v>SAA 5146</v>
          </cell>
          <cell r="B365" t="str">
            <v>Esmalte Horneable Industrial Verde Imacasa</v>
          </cell>
          <cell r="C365" t="str">
            <v>Interior-Exterior</v>
          </cell>
          <cell r="D365" t="str">
            <v>Acero</v>
          </cell>
          <cell r="E365" t="str">
            <v>Limpieza y desengrase</v>
          </cell>
          <cell r="F365" t="str">
            <v>Ninguno</v>
          </cell>
          <cell r="G365" t="str">
            <v>8.0 Lbs/Gl</v>
          </cell>
          <cell r="H365" t="str">
            <v>6.5%</v>
          </cell>
          <cell r="I365" t="str">
            <v>4.7%</v>
          </cell>
          <cell r="J365" t="str">
            <v>87%</v>
          </cell>
          <cell r="K365" t="str">
            <v>5.56%</v>
          </cell>
          <cell r="L365" t="str">
            <v>38.14%</v>
          </cell>
          <cell r="M365" t="str">
            <v>95-105" Copa Zahn #2</v>
          </cell>
          <cell r="N365" t="str">
            <v>Pistola</v>
          </cell>
          <cell r="O365" t="str">
            <v>18-22" Copa Zahn #2</v>
          </cell>
          <cell r="P365" t="str">
            <v>20-25%</v>
          </cell>
          <cell r="Q365" t="str">
            <v>R2K4         Industrial reducer</v>
          </cell>
          <cell r="R365" t="str">
            <v>1.0-1.5 mills</v>
          </cell>
          <cell r="S365" t="str">
            <v>Al Horno</v>
          </cell>
          <cell r="T365" t="str">
            <v>15 Min. A 300°F</v>
          </cell>
          <cell r="U365" t="str">
            <v>56 Mts Cuadrados/Gl</v>
          </cell>
          <cell r="V365" t="str">
            <v>+80 unidades</v>
          </cell>
          <cell r="W365" t="str">
            <v>F</v>
          </cell>
          <cell r="X365" t="str">
            <v>6-12 años</v>
          </cell>
          <cell r="Y365" t="str">
            <v>IMACASA</v>
          </cell>
          <cell r="Z365" t="str">
            <v>Herramientas Varias</v>
          </cell>
          <cell r="AA365" t="str">
            <v>-</v>
          </cell>
          <cell r="AB365" t="str">
            <v>Corina de Turcios</v>
          </cell>
          <cell r="AC365">
            <v>36924</v>
          </cell>
        </row>
        <row r="366">
          <cell r="A366" t="str">
            <v>F68RSA9</v>
          </cell>
          <cell r="B366" t="str">
            <v>Esmalte para espejos Rojo Especial</v>
          </cell>
          <cell r="C366" t="str">
            <v xml:space="preserve">Interior  </v>
          </cell>
          <cell r="D366" t="str">
            <v>Vidrio</v>
          </cell>
          <cell r="E366" t="str">
            <v>Limpieza Adecuada</v>
          </cell>
          <cell r="F366" t="str">
            <v>Ninguno</v>
          </cell>
          <cell r="G366" t="str">
            <v>10.65 Lbs/Gl</v>
          </cell>
          <cell r="H366" t="str">
            <v>38.1%</v>
          </cell>
          <cell r="I366" t="str">
            <v>61.64%</v>
          </cell>
          <cell r="J366" t="str">
            <v>37.5%</v>
          </cell>
          <cell r="K366" t="str">
            <v>35.6%</v>
          </cell>
          <cell r="L366" t="str">
            <v>44.1%</v>
          </cell>
          <cell r="M366" t="str">
            <v>30-35"        SW #3</v>
          </cell>
          <cell r="N366" t="str">
            <v>Pistola</v>
          </cell>
          <cell r="O366" t="str">
            <v>18-20"             Copa Ford #4</v>
          </cell>
          <cell r="P366" t="str">
            <v>20%</v>
          </cell>
          <cell r="Q366" t="str">
            <v>R2K4         Industrial reducer</v>
          </cell>
          <cell r="R366" t="str">
            <v>1.0 mills</v>
          </cell>
          <cell r="S366" t="str">
            <v>Al aire             5-10 Min</v>
          </cell>
          <cell r="T366" t="str">
            <v>-</v>
          </cell>
          <cell r="U366" t="str">
            <v>65 m2/Gl a un mills de espes.</v>
          </cell>
          <cell r="V366" t="str">
            <v>5-6</v>
          </cell>
          <cell r="W366" t="str">
            <v>-</v>
          </cell>
          <cell r="X366" t="str">
            <v>6 meses</v>
          </cell>
          <cell r="Y366" t="str">
            <v>DIDEMA-GUATEMALA</v>
          </cell>
          <cell r="Z366" t="str">
            <v>Espejos</v>
          </cell>
          <cell r="AA366" t="str">
            <v>-</v>
          </cell>
          <cell r="AB366" t="str">
            <v>Corina de Turcios</v>
          </cell>
          <cell r="AC366">
            <v>36942</v>
          </cell>
        </row>
        <row r="367">
          <cell r="A367" t="str">
            <v>M91GSA2</v>
          </cell>
          <cell r="B367" t="str">
            <v>Laca para escobas verde claro</v>
          </cell>
          <cell r="C367" t="str">
            <v>Interior - Exterior</v>
          </cell>
          <cell r="D367" t="str">
            <v>Palos de Escoba</v>
          </cell>
          <cell r="E367" t="str">
            <v>De Acuerdo Al Cliente</v>
          </cell>
          <cell r="F367" t="str">
            <v>Ninguno</v>
          </cell>
          <cell r="G367" t="str">
            <v>8.21 Lbs</v>
          </cell>
          <cell r="H367" t="str">
            <v>7.93%</v>
          </cell>
          <cell r="I367" t="str">
            <v>37.54%</v>
          </cell>
          <cell r="J367" t="str">
            <v>66.24%</v>
          </cell>
          <cell r="K367" t="str">
            <v>9.83%</v>
          </cell>
          <cell r="L367" t="str">
            <v>24.51%</v>
          </cell>
          <cell r="M367" t="str">
            <v>18,000-23,000 cps</v>
          </cell>
          <cell r="N367" t="str">
            <v>De Acuerdo Al Cliente</v>
          </cell>
          <cell r="O367" t="str">
            <v>-</v>
          </cell>
          <cell r="P367" t="str">
            <v>Ninguno</v>
          </cell>
          <cell r="Q367" t="str">
            <v>De ser necesario reducir con Thinner R7K128</v>
          </cell>
          <cell r="R367" t="str">
            <v>De acuerdo Al Cliente</v>
          </cell>
          <cell r="S367" t="str">
            <v>Al Aire</v>
          </cell>
          <cell r="T367" t="str">
            <v>-</v>
          </cell>
          <cell r="U367" t="str">
            <v>36.51 metros cuadrados por galon a 1 mils de pelicula seca</v>
          </cell>
          <cell r="V367" t="str">
            <v>-</v>
          </cell>
          <cell r="W367" t="str">
            <v>-</v>
          </cell>
          <cell r="X367" t="str">
            <v>6-12 meses</v>
          </cell>
          <cell r="Y367" t="str">
            <v>MULTIPLAST</v>
          </cell>
          <cell r="Z367" t="str">
            <v>Escobas</v>
          </cell>
          <cell r="AA367" t="str">
            <v>-</v>
          </cell>
          <cell r="AB367" t="str">
            <v>Ing. Juan Antonio Méndez</v>
          </cell>
          <cell r="AC367" t="str">
            <v>Junio 2, 2003</v>
          </cell>
        </row>
        <row r="368">
          <cell r="A368" t="str">
            <v>M91LSA2</v>
          </cell>
          <cell r="B368" t="str">
            <v>Laca para Escobas Azul Intenso</v>
          </cell>
          <cell r="C368" t="str">
            <v>Interior - Exterior</v>
          </cell>
          <cell r="D368" t="str">
            <v>Palos de Escoba</v>
          </cell>
          <cell r="E368" t="str">
            <v>De Acuerdo Al Cliente</v>
          </cell>
          <cell r="F368" t="str">
            <v>Ninguno</v>
          </cell>
          <cell r="G368" t="str">
            <v>8.28 Lbs</v>
          </cell>
          <cell r="H368" t="str">
            <v>6.72 %</v>
          </cell>
          <cell r="I368" t="str">
            <v>38.86%</v>
          </cell>
          <cell r="J368" t="str">
            <v>69.38%</v>
          </cell>
          <cell r="K368" t="str">
            <v>9.03%</v>
          </cell>
          <cell r="L368" t="str">
            <v>24.92%</v>
          </cell>
          <cell r="M368" t="str">
            <v>18,000 - 23,000 cps</v>
          </cell>
          <cell r="N368" t="str">
            <v>De Acuerdo Al Cliente</v>
          </cell>
          <cell r="O368" t="str">
            <v>-</v>
          </cell>
          <cell r="P368" t="str">
            <v>Ninguno</v>
          </cell>
          <cell r="Q368" t="str">
            <v>De ser necesario reducir con Thinner R7K128</v>
          </cell>
          <cell r="R368" t="str">
            <v>De acuerdo Al Cliente</v>
          </cell>
          <cell r="S368" t="str">
            <v>Al aire</v>
          </cell>
          <cell r="T368" t="str">
            <v>-</v>
          </cell>
          <cell r="U368" t="str">
            <v>37.85 metros cuadrados por galon a 1 mils de pelicula seca</v>
          </cell>
          <cell r="V368" t="str">
            <v>-</v>
          </cell>
          <cell r="W368" t="str">
            <v>-</v>
          </cell>
          <cell r="X368" t="str">
            <v>6-12 meses</v>
          </cell>
          <cell r="Y368" t="str">
            <v>MULTIPLATS</v>
          </cell>
          <cell r="Z368" t="str">
            <v>Escobas</v>
          </cell>
          <cell r="AA368" t="str">
            <v>-</v>
          </cell>
          <cell r="AB368" t="str">
            <v>Ing. Juan Antonio Méndez</v>
          </cell>
          <cell r="AC368" t="str">
            <v>Junio 2, 2003</v>
          </cell>
        </row>
        <row r="369">
          <cell r="A369" t="str">
            <v>L1ASA1</v>
          </cell>
          <cell r="B369" t="str">
            <v>Opex Lacquer Gris Proaces</v>
          </cell>
          <cell r="C369" t="str">
            <v>Interior-Exterior</v>
          </cell>
          <cell r="D369" t="str">
            <v xml:space="preserve">Hierro-Acero </v>
          </cell>
          <cell r="E369" t="str">
            <v>Lijado, Libre de Polvo y oxido</v>
          </cell>
          <cell r="F369" t="str">
            <v>E2G980, P2A32</v>
          </cell>
          <cell r="G369" t="str">
            <v>8.45</v>
          </cell>
          <cell r="H369" t="str">
            <v>7.47 %</v>
          </cell>
          <cell r="I369" t="str">
            <v>37.92%</v>
          </cell>
          <cell r="J369" t="str">
            <v>70.50%</v>
          </cell>
          <cell r="K369" t="str">
            <v>7.26%</v>
          </cell>
          <cell r="L369" t="str">
            <v>26.86%</v>
          </cell>
          <cell r="M369" t="str">
            <v>60 - 75 "       SW #5</v>
          </cell>
          <cell r="N369" t="str">
            <v>Pistola</v>
          </cell>
          <cell r="O369" t="str">
            <v>18-22" Copa Zahn #2</v>
          </cell>
          <cell r="P369" t="str">
            <v xml:space="preserve">100-150% </v>
          </cell>
          <cell r="Q369" t="str">
            <v>R7K128</v>
          </cell>
          <cell r="R369" t="str">
            <v>1.5 mils</v>
          </cell>
          <cell r="S369" t="str">
            <v>seco tocar 10 min, seco completo 20 min</v>
          </cell>
          <cell r="T369" t="str">
            <v>-</v>
          </cell>
          <cell r="U369" t="str">
            <v>40 m2 / galon a 1 mils de pelicula seca</v>
          </cell>
          <cell r="V369" t="str">
            <v>+85 unidades</v>
          </cell>
          <cell r="W369" t="str">
            <v>-</v>
          </cell>
          <cell r="X369" t="str">
            <v>12 meses</v>
          </cell>
          <cell r="Y369" t="str">
            <v>PROACES</v>
          </cell>
          <cell r="Z369" t="str">
            <v>-</v>
          </cell>
          <cell r="AA369" t="str">
            <v>Aprobado por el cliente 30-Julio-01</v>
          </cell>
          <cell r="AB369" t="str">
            <v>Juan Antonio Méndez</v>
          </cell>
          <cell r="AC369" t="str">
            <v>Agosto 7, 2001</v>
          </cell>
        </row>
        <row r="370">
          <cell r="A370" t="str">
            <v>L1HSA1</v>
          </cell>
          <cell r="B370" t="str">
            <v>Opex Lacquer beige Proaces</v>
          </cell>
          <cell r="C370" t="str">
            <v>Interior-Exterior</v>
          </cell>
          <cell r="D370" t="str">
            <v xml:space="preserve">Hierro-Acero </v>
          </cell>
          <cell r="E370" t="str">
            <v>Lijado, Libre de Polvo y oxido</v>
          </cell>
          <cell r="F370" t="str">
            <v>E2G980, P2A32</v>
          </cell>
          <cell r="G370" t="str">
            <v>8.29</v>
          </cell>
          <cell r="H370" t="str">
            <v>5.55 %</v>
          </cell>
          <cell r="I370" t="str">
            <v>36.62 %</v>
          </cell>
          <cell r="J370" t="str">
            <v>74.48 %</v>
          </cell>
          <cell r="K370" t="str">
            <v>5.16 %</v>
          </cell>
          <cell r="L370" t="str">
            <v>26.27 %</v>
          </cell>
          <cell r="M370" t="str">
            <v>60 - 75 "       SW #5</v>
          </cell>
          <cell r="N370" t="str">
            <v>Pistola</v>
          </cell>
          <cell r="O370" t="str">
            <v>18-22" Copa Zahn #2</v>
          </cell>
          <cell r="P370" t="str">
            <v xml:space="preserve">100-150% </v>
          </cell>
          <cell r="Q370" t="str">
            <v>R7K128</v>
          </cell>
          <cell r="R370" t="str">
            <v>1.5 mils</v>
          </cell>
          <cell r="S370" t="str">
            <v>seco tocar 10 min, seco completo 20 min</v>
          </cell>
          <cell r="T370" t="str">
            <v>-</v>
          </cell>
          <cell r="U370" t="str">
            <v>39 m2 / galon a 1 mils de pelicula seca</v>
          </cell>
          <cell r="V370" t="str">
            <v>+85 unidades</v>
          </cell>
          <cell r="W370" t="str">
            <v>-</v>
          </cell>
          <cell r="X370" t="str">
            <v>12 meses</v>
          </cell>
          <cell r="Y370" t="str">
            <v>PROACES</v>
          </cell>
          <cell r="Z370" t="str">
            <v>-</v>
          </cell>
          <cell r="AA370" t="str">
            <v>Aprobado por el cliente 30-Julio-01</v>
          </cell>
          <cell r="AB370" t="str">
            <v>Juan Antonio Méndez</v>
          </cell>
          <cell r="AC370" t="str">
            <v>Agosto 7, 2001</v>
          </cell>
        </row>
        <row r="371">
          <cell r="A371" t="str">
            <v>P2A34</v>
          </cell>
          <cell r="B371" t="str">
            <v>PRIMER AUTOMOTRIZ GRIS ROSMO</v>
          </cell>
          <cell r="C371" t="str">
            <v>EXTERIOR</v>
          </cell>
          <cell r="D371" t="str">
            <v>HIERRO - ACERO</v>
          </cell>
          <cell r="E371" t="str">
            <v>Lijado, Libre de Polvo, grasa y oxido</v>
          </cell>
          <cell r="F371" t="str">
            <v>-</v>
          </cell>
          <cell r="G371" t="str">
            <v>9.13</v>
          </cell>
          <cell r="H371" t="str">
            <v>3.34</v>
          </cell>
          <cell r="I371" t="str">
            <v>46.21</v>
          </cell>
          <cell r="J371" t="str">
            <v>30.18</v>
          </cell>
          <cell r="K371" t="str">
            <v>30.66</v>
          </cell>
          <cell r="L371" t="str">
            <v>29.5</v>
          </cell>
          <cell r="M371" t="str">
            <v>7000 - 13000   BROOKFIELD</v>
          </cell>
          <cell r="N371" t="str">
            <v>PISTOLA</v>
          </cell>
          <cell r="O371" t="str">
            <v>18 - 20" FORD #4</v>
          </cell>
          <cell r="P371" t="str">
            <v>150-200%</v>
          </cell>
          <cell r="Q371" t="str">
            <v>R7K128</v>
          </cell>
          <cell r="R371" t="str">
            <v>-</v>
          </cell>
          <cell r="S371" t="str">
            <v>5 - 10 Min a condiciones de 25°C y 50-60 % HR</v>
          </cell>
          <cell r="T371" t="str">
            <v>-</v>
          </cell>
          <cell r="U371" t="str">
            <v>45 m2/galon a 1 mils de pelicula seca</v>
          </cell>
          <cell r="V371" t="str">
            <v>-</v>
          </cell>
          <cell r="W371" t="str">
            <v>-</v>
          </cell>
          <cell r="X371" t="str">
            <v>12 meses</v>
          </cell>
          <cell r="Y371" t="str">
            <v>ROSMO</v>
          </cell>
          <cell r="Z371" t="str">
            <v>-</v>
          </cell>
          <cell r="AA371" t="str">
            <v>Aprobado por el cliente 14-Noviembre-2000</v>
          </cell>
          <cell r="AB371" t="str">
            <v>Juan Antonio Méndez</v>
          </cell>
          <cell r="AC371" t="str">
            <v>Agosto 7, 2001</v>
          </cell>
        </row>
        <row r="372">
          <cell r="A372" t="str">
            <v>SAA 4158</v>
          </cell>
          <cell r="B372" t="str">
            <v>LACA TRANSPARENTE SEMIMATE LISTA PARA USAR</v>
          </cell>
          <cell r="C372" t="str">
            <v>INTERIOR</v>
          </cell>
          <cell r="D372" t="str">
            <v>MADERA</v>
          </cell>
          <cell r="E372" t="str">
            <v>D70T1</v>
          </cell>
          <cell r="F372" t="str">
            <v>SELLADOR LIJABLE LISTO PARA USAR</v>
          </cell>
          <cell r="G372" t="str">
            <v>7.6</v>
          </cell>
          <cell r="H372" t="str">
            <v>.64</v>
          </cell>
          <cell r="I372" t="str">
            <v>18.9</v>
          </cell>
          <cell r="J372" t="str">
            <v>18.3</v>
          </cell>
          <cell r="K372" t="str">
            <v>2.09</v>
          </cell>
          <cell r="L372" t="str">
            <v>12.87</v>
          </cell>
          <cell r="M372" t="str">
            <v>20-25SEG FORD#4</v>
          </cell>
          <cell r="N372" t="str">
            <v>PISTOLA</v>
          </cell>
          <cell r="O372" t="str">
            <v>20-25SEG FORD#4</v>
          </cell>
          <cell r="S372" t="str">
            <v>AL AIRE</v>
          </cell>
          <cell r="U372" t="str">
            <v>330 PIE CUADRADO POR GALON A 1MILS</v>
          </cell>
          <cell r="V372" t="str">
            <v>37-42 UNIDADES</v>
          </cell>
          <cell r="X372" t="str">
            <v>12 MESES</v>
          </cell>
          <cell r="Y372" t="str">
            <v>DERIMASA</v>
          </cell>
          <cell r="Z372" t="str">
            <v>Muebles de Madera.</v>
          </cell>
          <cell r="AB372" t="str">
            <v>Rigoberto Montalvo</v>
          </cell>
          <cell r="AC372" t="str">
            <v>SEPTIEMBRE 14, 1995</v>
          </cell>
        </row>
        <row r="373">
          <cell r="A373" t="str">
            <v>P65TSA1</v>
          </cell>
          <cell r="B373" t="str">
            <v>PRIMER PARA MADERA DE SECADO RAPIDO</v>
          </cell>
          <cell r="C373" t="str">
            <v>INTERIOR</v>
          </cell>
          <cell r="D373" t="str">
            <v>MADERA</v>
          </cell>
          <cell r="E373" t="str">
            <v>LIJADO, LIBRE DE POLVO</v>
          </cell>
          <cell r="F373" t="str">
            <v>-</v>
          </cell>
          <cell r="G373" t="str">
            <v>9.48 lbs/ galon</v>
          </cell>
          <cell r="H373" t="str">
            <v>-</v>
          </cell>
          <cell r="I373" t="str">
            <v>45.11%</v>
          </cell>
          <cell r="J373" t="str">
            <v>32.11%</v>
          </cell>
          <cell r="K373" t="str">
            <v>51.37%</v>
          </cell>
          <cell r="L373" t="str">
            <v>26.32 %</v>
          </cell>
          <cell r="M373" t="str">
            <v>115 - 125 KU</v>
          </cell>
          <cell r="N373" t="str">
            <v>PISTOLA</v>
          </cell>
          <cell r="O373" t="str">
            <v>18 - 20" FORD #4</v>
          </cell>
          <cell r="P373" t="str">
            <v>100-150%</v>
          </cell>
          <cell r="Q373" t="str">
            <v>R7K128</v>
          </cell>
          <cell r="R373" t="str">
            <v>1.0 - 1.2 MILS</v>
          </cell>
          <cell r="S373" t="str">
            <v>seco tocar 10 min, seco completo 20 min</v>
          </cell>
          <cell r="T373" t="str">
            <v>-</v>
          </cell>
          <cell r="U373" t="str">
            <v>39.21 m2 / galon</v>
          </cell>
          <cell r="V373" t="str">
            <v>10 - 15 unidades</v>
          </cell>
          <cell r="W373" t="str">
            <v>-</v>
          </cell>
          <cell r="X373" t="str">
            <v>12 Meses</v>
          </cell>
          <cell r="Y373" t="str">
            <v>Didema Guatemala</v>
          </cell>
          <cell r="Z373" t="str">
            <v>-</v>
          </cell>
          <cell r="AA373" t="str">
            <v>Solicitado por Eddy López, SAA 5193</v>
          </cell>
          <cell r="AB373" t="str">
            <v>Juan Antonio Méndez</v>
          </cell>
          <cell r="AC373" t="str">
            <v xml:space="preserve"> Diciembre 27, 2000</v>
          </cell>
        </row>
        <row r="374">
          <cell r="A374" t="str">
            <v>SAA 5306</v>
          </cell>
          <cell r="B374" t="str">
            <v>OPEX LACQUER MAYMO</v>
          </cell>
          <cell r="C374" t="str">
            <v>Interior - Exterior</v>
          </cell>
          <cell r="D374" t="str">
            <v>HIERRO</v>
          </cell>
          <cell r="E374" t="str">
            <v>LIJADO, LIBRE DE POLVO GRASA Y OXIDO</v>
          </cell>
          <cell r="F374" t="str">
            <v>P2A32</v>
          </cell>
          <cell r="G374" t="str">
            <v>8.19 LBS/GALON</v>
          </cell>
          <cell r="H374" t="str">
            <v>3.68%</v>
          </cell>
          <cell r="I374" t="str">
            <v>35.47%</v>
          </cell>
          <cell r="J374" t="str">
            <v>78.07%</v>
          </cell>
          <cell r="K374" t="str">
            <v>3.42%</v>
          </cell>
          <cell r="L374" t="str">
            <v>24.55%</v>
          </cell>
          <cell r="M374" t="str">
            <v>60-75"         SW #5</v>
          </cell>
          <cell r="N374" t="str">
            <v>PISTOLA</v>
          </cell>
          <cell r="O374" t="str">
            <v>18-22" ZANH #2</v>
          </cell>
          <cell r="P374" t="str">
            <v>100-150%</v>
          </cell>
          <cell r="Q374" t="str">
            <v>R7K128</v>
          </cell>
          <cell r="R374" t="str">
            <v>1.5 MILS</v>
          </cell>
          <cell r="S374" t="str">
            <v>seco tocar 10 min, seco completo 20 min</v>
          </cell>
          <cell r="T374" t="str">
            <v>-</v>
          </cell>
          <cell r="U374" t="str">
            <v>36.58 m2/galon a 1 mils de espesor</v>
          </cell>
          <cell r="V374" t="str">
            <v>+85 unidades</v>
          </cell>
          <cell r="W374" t="str">
            <v>-</v>
          </cell>
          <cell r="X374" t="str">
            <v>12 meses</v>
          </cell>
          <cell r="Y374" t="str">
            <v>DIDEMA GUATEMALA</v>
          </cell>
          <cell r="Z374" t="str">
            <v>-</v>
          </cell>
          <cell r="AA374" t="str">
            <v>Solicitado por Arturo Toledo</v>
          </cell>
          <cell r="AB374" t="str">
            <v>Juan Antonio Méndez</v>
          </cell>
          <cell r="AC374" t="str">
            <v>SEPTIEMBRE 5, 2001</v>
          </cell>
        </row>
        <row r="375">
          <cell r="A375" t="str">
            <v>L60RSA11</v>
          </cell>
          <cell r="B375" t="str">
            <v>LACA INDUSTRIAL ROJO RASTRILLO</v>
          </cell>
          <cell r="C375" t="str">
            <v>EXTERIOR-INTERIOR</v>
          </cell>
          <cell r="D375" t="str">
            <v>ACERO - MADERA</v>
          </cell>
          <cell r="E375" t="str">
            <v>Limpieza y Desengrase</v>
          </cell>
          <cell r="F375" t="str">
            <v>P65W1, P2A32</v>
          </cell>
          <cell r="G375" t="str">
            <v>8.34 Lbs / galon</v>
          </cell>
          <cell r="H375" t="str">
            <v>7.8 %</v>
          </cell>
          <cell r="I375" t="str">
            <v>32.30%</v>
          </cell>
          <cell r="J375" t="str">
            <v>77.5%</v>
          </cell>
          <cell r="K375" t="str">
            <v>3.81</v>
          </cell>
          <cell r="L375" t="str">
            <v>25.0%</v>
          </cell>
          <cell r="M375" t="str">
            <v>50-60 seg   SW#5</v>
          </cell>
          <cell r="N375" t="str">
            <v>pistola</v>
          </cell>
          <cell r="O375" t="str">
            <v>18-20 seg     Ford #4</v>
          </cell>
          <cell r="P375" t="str">
            <v>100-150%</v>
          </cell>
          <cell r="Q375" t="str">
            <v>OPEX THINNER R7K128</v>
          </cell>
          <cell r="R375" t="str">
            <v>2.0</v>
          </cell>
          <cell r="S375" t="str">
            <v>Al Aire</v>
          </cell>
          <cell r="T375" t="str">
            <v>-</v>
          </cell>
          <cell r="U375" t="str">
            <v>38.25 Mts Cuadrados/Gl a 1 mills de espesor</v>
          </cell>
          <cell r="V375" t="str">
            <v>65 - 70 UNIDADES</v>
          </cell>
          <cell r="W375" t="str">
            <v>-</v>
          </cell>
          <cell r="X375" t="str">
            <v>6-12 meses</v>
          </cell>
          <cell r="Y375" t="str">
            <v>IMACASA</v>
          </cell>
          <cell r="Z375" t="str">
            <v>-</v>
          </cell>
          <cell r="AA375" t="str">
            <v>-</v>
          </cell>
          <cell r="AB375" t="str">
            <v>Juan Antonio Méndez</v>
          </cell>
          <cell r="AC375" t="str">
            <v xml:space="preserve"> Junio 1°, 2000</v>
          </cell>
        </row>
        <row r="376">
          <cell r="A376" t="str">
            <v>L60LSA20</v>
          </cell>
          <cell r="B376" t="str">
            <v>LACA INDUSTRIAL AZUL INTENSO MATE</v>
          </cell>
          <cell r="C376" t="str">
            <v>Interior</v>
          </cell>
          <cell r="D376" t="str">
            <v>hierro</v>
          </cell>
          <cell r="E376" t="str">
            <v>Limpieza y Desengrase</v>
          </cell>
          <cell r="G376" t="str">
            <v>7.82 Lbs / galon</v>
          </cell>
          <cell r="H376" t="str">
            <v>8.69%</v>
          </cell>
          <cell r="I376" t="str">
            <v>36.64%</v>
          </cell>
          <cell r="J376" t="str">
            <v>79.50%</v>
          </cell>
          <cell r="K376" t="str">
            <v>14.94%</v>
          </cell>
          <cell r="L376" t="str">
            <v>27.91%</v>
          </cell>
          <cell r="M376" t="str">
            <v>20"-25" Copa SW #5</v>
          </cell>
          <cell r="N376" t="str">
            <v>INMERSION</v>
          </cell>
          <cell r="O376" t="str">
            <v>22"-25" Copa Ford #4</v>
          </cell>
          <cell r="P376" t="str">
            <v>100%</v>
          </cell>
          <cell r="Q376" t="str">
            <v>OPEX THINNER R7K128</v>
          </cell>
          <cell r="R376" t="str">
            <v>-</v>
          </cell>
          <cell r="S376" t="str">
            <v>Al Aire</v>
          </cell>
          <cell r="T376" t="str">
            <v>-</v>
          </cell>
          <cell r="U376" t="str">
            <v>42.85 Mts Cuadrados/Gl a 1 mills de espesor</v>
          </cell>
          <cell r="V376" t="str">
            <v>7-9 UNIDADES</v>
          </cell>
          <cell r="W376" t="str">
            <v>-</v>
          </cell>
          <cell r="X376" t="str">
            <v>6-12 meses</v>
          </cell>
          <cell r="Y376" t="str">
            <v>IMACASA</v>
          </cell>
          <cell r="Z376" t="str">
            <v>-</v>
          </cell>
          <cell r="AA376" t="str">
            <v>-</v>
          </cell>
          <cell r="AB376" t="str">
            <v>Juan Antonio Méndez</v>
          </cell>
          <cell r="AC376" t="str">
            <v xml:space="preserve"> Junio 1°, 2000</v>
          </cell>
        </row>
        <row r="377">
          <cell r="A377" t="str">
            <v>T70CSA25</v>
          </cell>
          <cell r="B377" t="str">
            <v>LACA TRANSPARENTE BRILLANTE P/HERRAMIENTAS</v>
          </cell>
          <cell r="C377" t="str">
            <v>EXTERIOR-INTERIOR</v>
          </cell>
          <cell r="D377" t="str">
            <v>ACERO-HIERRRO</v>
          </cell>
          <cell r="E377" t="str">
            <v>Limpieza y Desengrase</v>
          </cell>
          <cell r="F377" t="str">
            <v>NINGUNO</v>
          </cell>
          <cell r="G377" t="str">
            <v>7.46 lbs / galon</v>
          </cell>
          <cell r="H377" t="str">
            <v>0.0%</v>
          </cell>
          <cell r="I377" t="str">
            <v>25%</v>
          </cell>
          <cell r="J377" t="str">
            <v>69%</v>
          </cell>
          <cell r="K377" t="str">
            <v>0.0 %</v>
          </cell>
          <cell r="L377" t="str">
            <v>13.61</v>
          </cell>
          <cell r="M377" t="str">
            <v>40 - 45 seg  SW 35</v>
          </cell>
          <cell r="N377" t="str">
            <v>INMERSION</v>
          </cell>
          <cell r="O377" t="str">
            <v>IGUAL QUE VISCOSIDAD ORIGINAL</v>
          </cell>
          <cell r="P377" t="str">
            <v>NINGUNA</v>
          </cell>
          <cell r="Q377" t="str">
            <v>-</v>
          </cell>
          <cell r="R377" t="str">
            <v>1.5 - 2.0 MILS</v>
          </cell>
          <cell r="S377" t="str">
            <v>Al Aire</v>
          </cell>
          <cell r="T377" t="str">
            <v>SECO TOCAR 10 MIN, SECO COMPLETO 20 MIN  a 25°C y 65% H.R</v>
          </cell>
          <cell r="U377" t="str">
            <v>20.27 Mts Cuadrados/Gl a 1 mills de espesor</v>
          </cell>
          <cell r="V377" t="str">
            <v>+80 unidades</v>
          </cell>
          <cell r="W377" t="str">
            <v>-</v>
          </cell>
          <cell r="X377" t="str">
            <v>6-12 meses</v>
          </cell>
          <cell r="Y377" t="str">
            <v>IMACASA</v>
          </cell>
          <cell r="Z377" t="str">
            <v>-</v>
          </cell>
          <cell r="AA377" t="str">
            <v>-</v>
          </cell>
          <cell r="AB377" t="str">
            <v>Juan Antonio Méndez</v>
          </cell>
          <cell r="AC377" t="str">
            <v xml:space="preserve"> Junio 1°, 2000</v>
          </cell>
        </row>
        <row r="378">
          <cell r="A378" t="str">
            <v>T1CSA3</v>
          </cell>
          <cell r="B378" t="str">
            <v>Recubrimiento Acrílico Para Metales</v>
          </cell>
          <cell r="C378" t="str">
            <v>Interior-Exterior</v>
          </cell>
          <cell r="D378" t="str">
            <v>Metal</v>
          </cell>
          <cell r="E378" t="str">
            <v>Lavado con agua y detergente, solvente de limpieza, si existe corrosión aplicar W4K288.</v>
          </cell>
          <cell r="F378" t="str">
            <v>Ninguno</v>
          </cell>
          <cell r="G378" t="str">
            <v>7.07 Lbs/Gl</v>
          </cell>
          <cell r="H378" t="str">
            <v>-</v>
          </cell>
          <cell r="I378" t="str">
            <v>21.20%</v>
          </cell>
          <cell r="J378" t="str">
            <v>100%</v>
          </cell>
          <cell r="K378" t="str">
            <v>-</v>
          </cell>
          <cell r="L378" t="str">
            <v>19%</v>
          </cell>
          <cell r="M378" t="str">
            <v>24"-28" Copa Ford #4.</v>
          </cell>
          <cell r="N378" t="str">
            <v>Pistola</v>
          </cell>
          <cell r="O378" t="str">
            <v>20" Copa Zanh #2</v>
          </cell>
          <cell r="P378" t="str">
            <v>La Necesaria para su aplicación.</v>
          </cell>
          <cell r="Q378" t="str">
            <v>R7K203</v>
          </cell>
          <cell r="R378" t="str">
            <v>1.2-1.5 Mills</v>
          </cell>
          <cell r="S378" t="str">
            <v>Al aire, 1 Hora Seco completo.</v>
          </cell>
          <cell r="T378" t="str">
            <v>-</v>
          </cell>
          <cell r="U378" t="str">
            <v>23.59 Mts Cuadrados/Gl a 1.2 mills de película seca.</v>
          </cell>
          <cell r="V378" t="str">
            <v>70 Mínimo.</v>
          </cell>
          <cell r="W378" t="str">
            <v>-</v>
          </cell>
          <cell r="X378" t="str">
            <v>2 años sin Abrir.</v>
          </cell>
          <cell r="Y378" t="str">
            <v>-</v>
          </cell>
          <cell r="Z378" t="str">
            <v>-</v>
          </cell>
          <cell r="AA378" t="str">
            <v>-</v>
          </cell>
          <cell r="AB378" t="str">
            <v>Oscar Enrique Ascencio.</v>
          </cell>
          <cell r="AC378">
            <v>36201</v>
          </cell>
        </row>
        <row r="379">
          <cell r="A379" t="str">
            <v>B44V20</v>
          </cell>
          <cell r="B379" t="str">
            <v>BARNIZ MOISTURE CURING</v>
          </cell>
          <cell r="C379" t="str">
            <v>INTERIOR</v>
          </cell>
          <cell r="D379" t="str">
            <v>MADERA</v>
          </cell>
          <cell r="E379" t="str">
            <v>LIJADO, LIBRE DE POLVO</v>
          </cell>
          <cell r="F379" t="str">
            <v>NINGUNO</v>
          </cell>
          <cell r="G379" t="str">
            <v>8.19 LBS/GALON</v>
          </cell>
          <cell r="H379" t="str">
            <v>0.0 %</v>
          </cell>
          <cell r="I379" t="str">
            <v>35.5%</v>
          </cell>
          <cell r="J379" t="str">
            <v>100 %</v>
          </cell>
          <cell r="K379" t="str">
            <v>0.0 %</v>
          </cell>
          <cell r="L379" t="str">
            <v>29.0 %</v>
          </cell>
          <cell r="M379" t="str">
            <v>30 - 35 SEG ZANH #2</v>
          </cell>
          <cell r="N379" t="str">
            <v>BROCHA</v>
          </cell>
          <cell r="O379" t="str">
            <v>30 - 35 SEG ZANH #2</v>
          </cell>
          <cell r="P379" t="str">
            <v>De ser necesario con R2K4</v>
          </cell>
          <cell r="Q379" t="str">
            <v>R2K4</v>
          </cell>
          <cell r="R379" t="str">
            <v>--</v>
          </cell>
          <cell r="S379" t="str">
            <v xml:space="preserve"> 6 -8 HORAS, DEPENDIENDO DE LA HUEMDAD RELATIVA AMBIENTAL</v>
          </cell>
          <cell r="T379" t="str">
            <v>--</v>
          </cell>
          <cell r="U379" t="str">
            <v>43.21 Mts cuadrados / galon a 1.0 mils de pelicula seca</v>
          </cell>
          <cell r="V379" t="str">
            <v>--</v>
          </cell>
          <cell r="W379" t="str">
            <v>F - H</v>
          </cell>
          <cell r="X379" t="str">
            <v>6 meses</v>
          </cell>
          <cell r="Y379" t="str">
            <v>Costa Rica</v>
          </cell>
          <cell r="Z379" t="str">
            <v>--</v>
          </cell>
          <cell r="AA379" t="str">
            <v>--</v>
          </cell>
          <cell r="AB379" t="str">
            <v>Juan Antonio Méndez</v>
          </cell>
          <cell r="AC379" t="str">
            <v>Junio 7, 2001</v>
          </cell>
        </row>
        <row r="380">
          <cell r="A380" t="str">
            <v>SAA 5439</v>
          </cell>
          <cell r="B380" t="str">
            <v>LACA INDUSTRIAL BLANCO PURO ESPECIAL</v>
          </cell>
          <cell r="C380" t="str">
            <v>INTERIOR-EXTERIOR</v>
          </cell>
          <cell r="D380" t="str">
            <v xml:space="preserve">Hierro-Acero </v>
          </cell>
          <cell r="E380" t="str">
            <v>Lijado libre de grasa y oxido</v>
          </cell>
          <cell r="F380" t="str">
            <v xml:space="preserve">Para Hierro o Acero Combo Primer: P2A32. Para Aluminio: WASH PRIMER P60G2 + Combo P2A32 </v>
          </cell>
          <cell r="G380" t="str">
            <v>9.60 Lbs/galón</v>
          </cell>
          <cell r="H380" t="str">
            <v>15%</v>
          </cell>
          <cell r="I380" t="str">
            <v>38.57%</v>
          </cell>
          <cell r="J380" t="str">
            <v>58.6%</v>
          </cell>
          <cell r="K380" t="str">
            <v>18.77 %</v>
          </cell>
          <cell r="L380" t="str">
            <v>25.38%</v>
          </cell>
          <cell r="M380" t="str">
            <v>25 - 30 seg  SW #5</v>
          </cell>
          <cell r="N380" t="str">
            <v>Pistola</v>
          </cell>
          <cell r="O380" t="str">
            <v>-</v>
          </cell>
          <cell r="P380" t="str">
            <v xml:space="preserve">100 - 150% </v>
          </cell>
          <cell r="Q380" t="str">
            <v>R7K128</v>
          </cell>
          <cell r="R380" t="str">
            <v xml:space="preserve">1.0 - 2.0 mils </v>
          </cell>
          <cell r="S380" t="str">
            <v>Seco Tocar. 10 min ; Seco Completo: 20 min</v>
          </cell>
          <cell r="T380" t="str">
            <v>-</v>
          </cell>
          <cell r="U380" t="str">
            <v>37.81 mts cuadrados a un mils de espesor</v>
          </cell>
          <cell r="V380" t="str">
            <v>+80 unidades</v>
          </cell>
          <cell r="W380" t="str">
            <v>-</v>
          </cell>
          <cell r="X380" t="str">
            <v>6 - 12 meses</v>
          </cell>
          <cell r="Y380" t="str">
            <v>Didema Tegucigalpa</v>
          </cell>
          <cell r="Z380" t="str">
            <v>-</v>
          </cell>
          <cell r="AA380" t="str">
            <v>-</v>
          </cell>
          <cell r="AB380" t="str">
            <v>Ing. Juan Antonio Méndez</v>
          </cell>
          <cell r="AC380" t="str">
            <v>Enero 8, 2002</v>
          </cell>
        </row>
        <row r="381">
          <cell r="A381" t="str">
            <v>LINEA B5</v>
          </cell>
          <cell r="B381" t="str">
            <v>EXCELLO LATEX Pintura para Interiores y Exteriores</v>
          </cell>
          <cell r="C381" t="str">
            <v>INTERIOR-EXTERIOR</v>
          </cell>
          <cell r="D381" t="str">
            <v>CONCRETO, LADRILLO</v>
          </cell>
          <cell r="E381" t="str">
            <v>Limpia, Seca, Libre de polvo, grasa, hongos o pintura descascarada.</v>
          </cell>
          <cell r="F381" t="str">
            <v>Sellador para concreto. Linea B45</v>
          </cell>
          <cell r="G381" t="str">
            <v>11.25 Lbs/Gl</v>
          </cell>
          <cell r="H381" t="str">
            <v>-</v>
          </cell>
          <cell r="I381" t="str">
            <v>49%</v>
          </cell>
          <cell r="J381" t="str">
            <v>-</v>
          </cell>
          <cell r="K381" t="str">
            <v>-</v>
          </cell>
          <cell r="L381" t="str">
            <v>32%</v>
          </cell>
          <cell r="M381" t="str">
            <v>90-95 KU</v>
          </cell>
          <cell r="N381" t="str">
            <v>Brocha-Rodillo</v>
          </cell>
          <cell r="O381" t="str">
            <v>-</v>
          </cell>
          <cell r="P381" t="str">
            <v>Hasta un 25%</v>
          </cell>
          <cell r="Q381" t="str">
            <v>Agua</v>
          </cell>
          <cell r="R381" t="str">
            <v>1 mills</v>
          </cell>
          <cell r="S381" t="str">
            <v>Al tacto 1 hora. Retocar: 2-4 horas.</v>
          </cell>
          <cell r="T381" t="str">
            <v>-</v>
          </cell>
          <cell r="U381" t="str">
            <v>40 Mts Cuadrados/Gl a 1 mills de espesor. (13 mts cuadrados/Lt.</v>
          </cell>
          <cell r="V381" t="str">
            <v>Mate 6%</v>
          </cell>
          <cell r="W381" t="str">
            <v>-</v>
          </cell>
          <cell r="X381" t="str">
            <v>36 meses</v>
          </cell>
          <cell r="Y381" t="str">
            <v>-</v>
          </cell>
          <cell r="Z381" t="str">
            <v>-</v>
          </cell>
          <cell r="AA381" t="str">
            <v>Ph:   8.0-8.5                      ESTE PRODUCTO NO CONTIENE PLOMO NI MERCURIO</v>
          </cell>
          <cell r="AB381" t="str">
            <v>Ana Irene Mendez Vides</v>
          </cell>
          <cell r="AC381" t="str">
            <v>Enero 21, 2002</v>
          </cell>
        </row>
        <row r="382">
          <cell r="A382" t="str">
            <v>LINEA B4</v>
          </cell>
          <cell r="B382" t="str">
            <v>EXCELLO ACEITE Pintura para Interiores y Exteriores</v>
          </cell>
          <cell r="C382" t="str">
            <v>INTERIOR-EXTERIOR</v>
          </cell>
          <cell r="D382" t="str">
            <v>Metal, Madera, Concreto</v>
          </cell>
          <cell r="E382" t="str">
            <v>Limpia, Seca, Libre de polvo, grasa,  o pintura descascarada</v>
          </cell>
          <cell r="F382" t="str">
            <v>En superficies de metal, Anticorrosivo Excello Rustop</v>
          </cell>
          <cell r="G382" t="str">
            <v>9.4 Lbs/Gl</v>
          </cell>
          <cell r="H382" t="str">
            <v>-</v>
          </cell>
          <cell r="I382" t="str">
            <v>58.8%</v>
          </cell>
          <cell r="J382" t="str">
            <v>-</v>
          </cell>
          <cell r="K382" t="str">
            <v>-</v>
          </cell>
          <cell r="L382" t="str">
            <v>42%</v>
          </cell>
          <cell r="M382" t="str">
            <v>80-85 KU</v>
          </cell>
          <cell r="N382" t="str">
            <v xml:space="preserve">Brocha-Pistola </v>
          </cell>
          <cell r="O382" t="str">
            <v>-</v>
          </cell>
          <cell r="P382" t="str">
            <v>Hasta un 25%</v>
          </cell>
          <cell r="Q382" t="str">
            <v>Mineral Spirits R1K4</v>
          </cell>
          <cell r="R382" t="str">
            <v>1 mills</v>
          </cell>
          <cell r="S382" t="str">
            <v>Al tacto 1 hora. Retocar: 12 horas.</v>
          </cell>
          <cell r="T382" t="str">
            <v>-</v>
          </cell>
          <cell r="U382" t="str">
            <v>64 Mts Cuadrados/Gl a 1 mills de espesor. (17 mts cuadrados/Lt.</v>
          </cell>
          <cell r="V382" t="str">
            <v>85% minimo (Acabado Brillante)</v>
          </cell>
          <cell r="W382" t="str">
            <v>-</v>
          </cell>
          <cell r="X382" t="str">
            <v>36 Meses</v>
          </cell>
          <cell r="Y382" t="str">
            <v>-</v>
          </cell>
          <cell r="Z382" t="str">
            <v>-</v>
          </cell>
          <cell r="AA382" t="str">
            <v>ESTE PRODUCTO NO CONTIENE PLOMO NI MERCURIO</v>
          </cell>
          <cell r="AB382" t="str">
            <v>Soraya de Quijada</v>
          </cell>
          <cell r="AC382" t="str">
            <v>Enero 21, 2002</v>
          </cell>
        </row>
        <row r="383">
          <cell r="A383" t="str">
            <v>E41N1</v>
          </cell>
          <cell r="B383" t="str">
            <v>KROMIK METAL PRIMER</v>
          </cell>
          <cell r="C383" t="str">
            <v>INTERIOR-EXTERIOR</v>
          </cell>
          <cell r="D383" t="str">
            <v xml:space="preserve">Hierro-Acero </v>
          </cell>
          <cell r="E383" t="str">
            <v>Libre de aceite, grasa, óxido suelto, pintura descascarada</v>
          </cell>
          <cell r="F383" t="str">
            <v>Ninguno</v>
          </cell>
          <cell r="G383" t="str">
            <v>13.65 Lbs/Gl</v>
          </cell>
          <cell r="H383" t="str">
            <v>37.88%</v>
          </cell>
          <cell r="I383" t="str">
            <v>78%</v>
          </cell>
          <cell r="J383" t="str">
            <v>42.43%</v>
          </cell>
          <cell r="K383" t="str">
            <v>43%</v>
          </cell>
          <cell r="L383" t="str">
            <v>56%</v>
          </cell>
          <cell r="M383" t="str">
            <v>25"-30" copa SW #3</v>
          </cell>
          <cell r="N383" t="str">
            <v xml:space="preserve">Brocha-Pistola-Rodillo </v>
          </cell>
          <cell r="O383" t="str">
            <v>-</v>
          </cell>
          <cell r="P383" t="str">
            <v>12.5%</v>
          </cell>
          <cell r="Q383" t="str">
            <v xml:space="preserve"> VMP NAFTHA R1K3</v>
          </cell>
          <cell r="R383" t="str">
            <v>3.0 mills Recomendado</v>
          </cell>
          <cell r="S383" t="str">
            <v>Tocar: 1-2 horas.  Retocar: 18-24 horas</v>
          </cell>
          <cell r="T383" t="str">
            <v>-</v>
          </cell>
          <cell r="U383" t="str">
            <v>55 Mts cuadrados/Gl a 1.5 mills seco</v>
          </cell>
          <cell r="V383" t="str">
            <v>mate</v>
          </cell>
          <cell r="W383" t="str">
            <v>HB</v>
          </cell>
          <cell r="X383" t="str">
            <v>36 meses</v>
          </cell>
          <cell r="Y383" t="str">
            <v>-</v>
          </cell>
          <cell r="Z383" t="str">
            <v>-</v>
          </cell>
          <cell r="AA383" t="str">
            <v xml:space="preserve">Punto de inflamación: 37°C, Resistencia al calor: Hasta 200°F(93°C), Flexibilidad:180°, 1/2" Pasa ASTM 1737, Resistencia a la Abrasión: 220 mg ASTM 1713, Resistencia Al Impacto: 35 in/Lb ASTM G14. </v>
          </cell>
          <cell r="AB383" t="str">
            <v>Ana Irene Mendez Vides</v>
          </cell>
          <cell r="AC383" t="str">
            <v>Enero 21, 2002</v>
          </cell>
        </row>
        <row r="384">
          <cell r="A384" t="str">
            <v>LINEA A5</v>
          </cell>
          <cell r="B384" t="str">
            <v>PINTURA PARA PISCINAS</v>
          </cell>
          <cell r="C384" t="str">
            <v>INTERIOR-EXTERIOR</v>
          </cell>
          <cell r="D384" t="str">
            <v xml:space="preserve">CEMENTO-CONCRETO </v>
          </cell>
          <cell r="E384" t="str">
            <v>Completamente Seca, libre de grasa y aceite.</v>
          </cell>
          <cell r="F384" t="str">
            <v>Ninguno</v>
          </cell>
          <cell r="G384" t="str">
            <v>10.5 Lbs/Gl</v>
          </cell>
          <cell r="H384" t="str">
            <v>-</v>
          </cell>
          <cell r="I384" t="str">
            <v>45-50%</v>
          </cell>
          <cell r="J384" t="str">
            <v>-</v>
          </cell>
          <cell r="K384" t="str">
            <v>-</v>
          </cell>
          <cell r="L384" t="str">
            <v>28-30%</v>
          </cell>
          <cell r="M384" t="str">
            <v>70-75 KU</v>
          </cell>
          <cell r="N384" t="str">
            <v>Brocha-Rodillo-Pistola</v>
          </cell>
          <cell r="O384" t="str">
            <v>-</v>
          </cell>
          <cell r="P384" t="str">
            <v>Brocha-Rodillo: Ninguna. Pistola 25% Industrial Reducer</v>
          </cell>
          <cell r="Q384" t="str">
            <v>R2K4 Industrial Reducer.</v>
          </cell>
          <cell r="R384" t="str">
            <v>-</v>
          </cell>
          <cell r="S384" t="str">
            <v>Al Tacto: 1 Hora. Repintar de 8-12 horas</v>
          </cell>
          <cell r="T384" t="str">
            <v>-</v>
          </cell>
          <cell r="U384" t="str">
            <v>40 Mts cuadrados/Gl a una mano</v>
          </cell>
          <cell r="V384" t="str">
            <v>Satinado</v>
          </cell>
          <cell r="W384" t="str">
            <v>-</v>
          </cell>
          <cell r="X384" t="str">
            <v>36 meses</v>
          </cell>
          <cell r="Y384" t="str">
            <v>-</v>
          </cell>
          <cell r="Z384" t="str">
            <v>-</v>
          </cell>
          <cell r="AA384" t="str">
            <v>Para un buen trabajo es muy importante una correcta preparación de la superficie.llenar la piscina hasta después de 7 días como mínimo.</v>
          </cell>
          <cell r="AB384" t="str">
            <v>Ana Irene Mendez Vides</v>
          </cell>
          <cell r="AC384" t="str">
            <v>Enero 21, 2002</v>
          </cell>
        </row>
        <row r="385">
          <cell r="A385" t="str">
            <v>LINEA A68</v>
          </cell>
          <cell r="B385" t="str">
            <v>GALVITE</v>
          </cell>
          <cell r="C385" t="str">
            <v>INTERIOR-EXTERIOR</v>
          </cell>
          <cell r="D385" t="str">
            <v>Hierro galvanizado, Zinc, Asbesto o hierro</v>
          </cell>
          <cell r="E385" t="str">
            <v>Limpia, seca, libre de grasas, aceites o lubricantes y óxido</v>
          </cell>
          <cell r="F385" t="str">
            <v>Ninguno</v>
          </cell>
          <cell r="G385" t="str">
            <v>-</v>
          </cell>
          <cell r="H385" t="str">
            <v>-</v>
          </cell>
          <cell r="I385" t="str">
            <v>78%</v>
          </cell>
          <cell r="J385" t="str">
            <v>-</v>
          </cell>
          <cell r="K385" t="str">
            <v>-</v>
          </cell>
          <cell r="L385" t="str">
            <v>65%</v>
          </cell>
          <cell r="M385" t="str">
            <v>-</v>
          </cell>
          <cell r="N385" t="str">
            <v>Brocha-Rodillo</v>
          </cell>
          <cell r="O385" t="str">
            <v>-</v>
          </cell>
          <cell r="P385" t="str">
            <v>25%</v>
          </cell>
          <cell r="Q385" t="str">
            <v>R1K4 Mineral Spirits</v>
          </cell>
          <cell r="R385" t="str">
            <v>1 mills</v>
          </cell>
          <cell r="S385" t="str">
            <v>Al tacto: 4-5 hioras. Retocar:24 horas</v>
          </cell>
          <cell r="T385" t="str">
            <v>-</v>
          </cell>
          <cell r="U385" t="str">
            <v>62 Mts cuadrados/Gl a 1 mills</v>
          </cell>
          <cell r="V385" t="str">
            <v>Semi-Mate</v>
          </cell>
          <cell r="W385" t="str">
            <v>-</v>
          </cell>
          <cell r="X385" t="str">
            <v>36 meses</v>
          </cell>
          <cell r="Y385" t="str">
            <v>-</v>
          </cell>
          <cell r="Z385" t="str">
            <v>-</v>
          </cell>
          <cell r="AA385" t="str">
            <v>-</v>
          </cell>
          <cell r="AB385" t="str">
            <v>Ana Irene Mendez Vides</v>
          </cell>
          <cell r="AC385" t="str">
            <v>Enero 21, 2002</v>
          </cell>
        </row>
        <row r="386">
          <cell r="A386" t="str">
            <v>R21KSA1</v>
          </cell>
          <cell r="B386" t="str">
            <v>Removedor de Pintura.</v>
          </cell>
          <cell r="C386" t="str">
            <v>-</v>
          </cell>
          <cell r="D386" t="str">
            <v>-</v>
          </cell>
          <cell r="E386" t="str">
            <v>-</v>
          </cell>
          <cell r="F386" t="str">
            <v>Ninguno</v>
          </cell>
          <cell r="G386" t="str">
            <v>9.7 Lbs/gl</v>
          </cell>
          <cell r="H386" t="str">
            <v>-</v>
          </cell>
          <cell r="I386" t="str">
            <v>4.5%</v>
          </cell>
          <cell r="J386" t="str">
            <v>-</v>
          </cell>
          <cell r="K386" t="str">
            <v>-</v>
          </cell>
          <cell r="L386" t="str">
            <v>4.2%</v>
          </cell>
          <cell r="M386" t="str">
            <v>75-80 KU</v>
          </cell>
          <cell r="N386" t="str">
            <v>Brocha</v>
          </cell>
          <cell r="O386" t="str">
            <v>-</v>
          </cell>
          <cell r="P386" t="str">
            <v>-</v>
          </cell>
          <cell r="Q386" t="str">
            <v>Agua</v>
          </cell>
          <cell r="R386" t="str">
            <v>-</v>
          </cell>
          <cell r="S386" t="str">
            <v>-</v>
          </cell>
          <cell r="T386" t="str">
            <v>-</v>
          </cell>
          <cell r="U386" t="str">
            <v>-</v>
          </cell>
          <cell r="V386" t="str">
            <v>-</v>
          </cell>
          <cell r="W386" t="str">
            <v>-</v>
          </cell>
          <cell r="X386" t="str">
            <v>-</v>
          </cell>
          <cell r="Y386" t="str">
            <v>-</v>
          </cell>
          <cell r="Z386" t="str">
            <v>-</v>
          </cell>
          <cell r="AA386" t="str">
            <v>Cumple especificaciones militares R 25134 A</v>
          </cell>
          <cell r="AB386" t="str">
            <v>Ana Irene Mendez Vides</v>
          </cell>
          <cell r="AC386" t="str">
            <v>Enero 21, 2002</v>
          </cell>
        </row>
        <row r="387">
          <cell r="A387" t="str">
            <v>W4K263</v>
          </cell>
          <cell r="B387" t="str">
            <v>Dual Etch</v>
          </cell>
          <cell r="C387" t="str">
            <v>-</v>
          </cell>
          <cell r="D387" t="str">
            <v>-</v>
          </cell>
          <cell r="E387" t="str">
            <v>-</v>
          </cell>
          <cell r="F387" t="str">
            <v>-</v>
          </cell>
          <cell r="G387" t="str">
            <v>9.7 Lbs/gl</v>
          </cell>
          <cell r="H387" t="str">
            <v>-</v>
          </cell>
          <cell r="I387" t="str">
            <v>32</v>
          </cell>
          <cell r="J387" t="str">
            <v>-</v>
          </cell>
          <cell r="K387" t="str">
            <v>-</v>
          </cell>
          <cell r="L387" t="str">
            <v>20</v>
          </cell>
          <cell r="M387" t="str">
            <v>-</v>
          </cell>
          <cell r="N387" t="str">
            <v>-</v>
          </cell>
          <cell r="O387" t="str">
            <v>-</v>
          </cell>
          <cell r="P387" t="str">
            <v>200-300%</v>
          </cell>
          <cell r="Q387" t="str">
            <v>Agua</v>
          </cell>
          <cell r="R387" t="str">
            <v>-</v>
          </cell>
          <cell r="S387" t="str">
            <v>-</v>
          </cell>
          <cell r="T387" t="str">
            <v>-</v>
          </cell>
          <cell r="U387" t="str">
            <v>-</v>
          </cell>
          <cell r="V387" t="str">
            <v>-</v>
          </cell>
          <cell r="W387" t="str">
            <v>-</v>
          </cell>
          <cell r="X387" t="str">
            <v>6 meses corectamente tapado y almacenado a 25°C</v>
          </cell>
          <cell r="Y387" t="str">
            <v>-</v>
          </cell>
          <cell r="Z387" t="str">
            <v>-</v>
          </cell>
          <cell r="AA387" t="str">
            <v>Punto de Inflamación104°C. Ingrediente Activo: Acido Fosfórico.</v>
          </cell>
          <cell r="AB387" t="str">
            <v>Ana Irene Mendez Vides</v>
          </cell>
          <cell r="AC387" t="str">
            <v>Enero 21, 2002</v>
          </cell>
        </row>
        <row r="388">
          <cell r="A388" t="str">
            <v>R1K4</v>
          </cell>
          <cell r="B388" t="str">
            <v>SOLVENTE MINERAL</v>
          </cell>
          <cell r="C388" t="str">
            <v>-</v>
          </cell>
          <cell r="D388" t="str">
            <v>-</v>
          </cell>
          <cell r="E388" t="str">
            <v>-</v>
          </cell>
          <cell r="F388" t="str">
            <v>-</v>
          </cell>
          <cell r="G388" t="str">
            <v>6.4 Lb/Gl</v>
          </cell>
          <cell r="H388" t="str">
            <v>-</v>
          </cell>
          <cell r="I388" t="str">
            <v>-</v>
          </cell>
          <cell r="J388" t="str">
            <v>-</v>
          </cell>
          <cell r="K388" t="str">
            <v>-</v>
          </cell>
          <cell r="L388" t="str">
            <v>-</v>
          </cell>
          <cell r="M388" t="str">
            <v>-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 t="str">
            <v>-</v>
          </cell>
          <cell r="V388" t="str">
            <v>-</v>
          </cell>
          <cell r="W388" t="str">
            <v>-</v>
          </cell>
          <cell r="X388" t="str">
            <v>6 meses corectamente tapado y almacenado a 25°C</v>
          </cell>
          <cell r="Y388" t="str">
            <v>-</v>
          </cell>
          <cell r="Z388" t="str">
            <v>-</v>
          </cell>
          <cell r="AA388" t="str">
            <v>Adelgazador para pinturas de aceite, esmaltes y barnices aplicados con brocha, elaborado a base de hifrocarburos alifáticos</v>
          </cell>
          <cell r="AB388" t="str">
            <v>Ana Irene Mendez Vides</v>
          </cell>
          <cell r="AC388" t="str">
            <v>Enero 21, 2002</v>
          </cell>
        </row>
        <row r="389">
          <cell r="A389" t="str">
            <v>R7K128</v>
          </cell>
          <cell r="B389" t="str">
            <v>THINNER 128</v>
          </cell>
          <cell r="C389" t="str">
            <v>-</v>
          </cell>
          <cell r="D389" t="str">
            <v>-</v>
          </cell>
          <cell r="E389" t="str">
            <v>-</v>
          </cell>
          <cell r="F389" t="str">
            <v>-</v>
          </cell>
          <cell r="G389" t="str">
            <v>7.0 Lb/Gl</v>
          </cell>
          <cell r="H389" t="str">
            <v>-</v>
          </cell>
          <cell r="I389" t="str">
            <v>-</v>
          </cell>
          <cell r="J389" t="str">
            <v>-</v>
          </cell>
          <cell r="K389" t="str">
            <v>-</v>
          </cell>
          <cell r="L389" t="str">
            <v>-</v>
          </cell>
          <cell r="M389" t="str">
            <v>-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 t="str">
            <v>-</v>
          </cell>
          <cell r="V389" t="str">
            <v>-</v>
          </cell>
          <cell r="W389" t="str">
            <v>-</v>
          </cell>
          <cell r="X389" t="str">
            <v>6 meses corectamente tapado y almacenado a 25°C</v>
          </cell>
          <cell r="Y389" t="str">
            <v>-</v>
          </cell>
          <cell r="Z389" t="str">
            <v>-</v>
          </cell>
          <cell r="AA389" t="str">
            <v>Punto de inflación -4°C. Usese sólo en lugares bien ventilados, evite respirar sus vapores o el contacto con la piel.</v>
          </cell>
          <cell r="AB389" t="str">
            <v>Ana Irene Mendez Vides</v>
          </cell>
          <cell r="AC389" t="str">
            <v>Enero 21, 2002</v>
          </cell>
        </row>
        <row r="390">
          <cell r="A390" t="str">
            <v>R2K4</v>
          </cell>
          <cell r="B390" t="str">
            <v>INDUSTRIAL REDUCER</v>
          </cell>
          <cell r="C390" t="str">
            <v>-</v>
          </cell>
          <cell r="D390" t="str">
            <v>-</v>
          </cell>
          <cell r="E390" t="str">
            <v>-</v>
          </cell>
          <cell r="F390" t="str">
            <v>-</v>
          </cell>
          <cell r="G390" t="str">
            <v>7.2 Lb/Gl</v>
          </cell>
          <cell r="H390" t="str">
            <v>-</v>
          </cell>
          <cell r="I390" t="str">
            <v>-</v>
          </cell>
          <cell r="J390" t="str">
            <v>-</v>
          </cell>
          <cell r="K390" t="str">
            <v>-</v>
          </cell>
          <cell r="L390" t="str">
            <v>-</v>
          </cell>
          <cell r="M390" t="str">
            <v>-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 t="str">
            <v>-</v>
          </cell>
          <cell r="V390" t="str">
            <v>-</v>
          </cell>
          <cell r="W390" t="str">
            <v>-</v>
          </cell>
          <cell r="X390" t="str">
            <v>6 meses corectamente tapado y almacenado a 25°C</v>
          </cell>
          <cell r="Y390" t="str">
            <v>-</v>
          </cell>
          <cell r="Z390" t="str">
            <v>-</v>
          </cell>
          <cell r="AA390" t="str">
            <v>Punto de inflamación: 27°C. Diluyente a base de hidrocarburos aromáticos, no se recomienda para reducir lacas, esmaltes epoxicos ni pinturas a base de latex. Usar en lugares bien ventilados.</v>
          </cell>
          <cell r="AB390" t="str">
            <v>Ana Irene Mendez Vides</v>
          </cell>
          <cell r="AC390" t="str">
            <v>Enero 21, 2002</v>
          </cell>
        </row>
        <row r="391">
          <cell r="A391" t="str">
            <v>SAA 5486</v>
          </cell>
          <cell r="B391" t="str">
            <v>LACA INDUSTRIAL BLANCO PURO SATINADO</v>
          </cell>
          <cell r="C391" t="str">
            <v>INTERIOR</v>
          </cell>
          <cell r="D391" t="str">
            <v>MADERA, ACERO , HIERRO</v>
          </cell>
          <cell r="E391" t="str">
            <v>Lijado libre de grasa y oxido</v>
          </cell>
          <cell r="F391" t="str">
            <v>MADERA: P65W1;                                      ACERO, HIERRO: P2A32</v>
          </cell>
          <cell r="G391" t="str">
            <v>8.66 LBS</v>
          </cell>
          <cell r="H391" t="str">
            <v>11.12%</v>
          </cell>
          <cell r="I391" t="str">
            <v>38.20%</v>
          </cell>
          <cell r="J391" t="str">
            <v>49.88%</v>
          </cell>
          <cell r="K391" t="str">
            <v>15.96%</v>
          </cell>
          <cell r="L391" t="str">
            <v>25.68%</v>
          </cell>
          <cell r="M391" t="str">
            <v>60-75 seg FORD #4</v>
          </cell>
          <cell r="N391" t="str">
            <v>PISTOLA</v>
          </cell>
          <cell r="O391" t="str">
            <v>18-20 SEG ZANH #2</v>
          </cell>
          <cell r="P391" t="str">
            <v>100-200%</v>
          </cell>
          <cell r="Q391" t="str">
            <v>R7K128</v>
          </cell>
          <cell r="R391" t="str">
            <v xml:space="preserve">1.0 -1.5 mils </v>
          </cell>
          <cell r="S391" t="str">
            <v>Seco tocar=10 min; Seco completo= 20 min</v>
          </cell>
          <cell r="T391" t="str">
            <v>-</v>
          </cell>
          <cell r="U391" t="str">
            <v>38.26 metros cuadrados por galon a 1.2 mils de pelicula seca</v>
          </cell>
          <cell r="V391" t="str">
            <v>20-40</v>
          </cell>
          <cell r="W391" t="str">
            <v>-</v>
          </cell>
          <cell r="X391" t="str">
            <v>6 meses</v>
          </cell>
          <cell r="Y391" t="str">
            <v>DIDEMA GUATEMALA</v>
          </cell>
          <cell r="Z391" t="str">
            <v>-</v>
          </cell>
          <cell r="AA391" t="str">
            <v>-</v>
          </cell>
          <cell r="AB391" t="str">
            <v>Juan Antonio Méndez</v>
          </cell>
          <cell r="AC391" t="str">
            <v>Febrero 16, 2002</v>
          </cell>
        </row>
        <row r="392">
          <cell r="A392" t="str">
            <v>LINEA L4</v>
          </cell>
          <cell r="B392" t="str">
            <v>LACA ACRILICA</v>
          </cell>
          <cell r="C392" t="str">
            <v>INTERIOR-EXTERIOR</v>
          </cell>
          <cell r="D392" t="str">
            <v>Acero, Hierro</v>
          </cell>
          <cell r="E392" t="str">
            <v>Lijado libre de grasa y oxido</v>
          </cell>
          <cell r="F392" t="str">
            <v>P2A32, P2A43</v>
          </cell>
          <cell r="G392" t="str">
            <v>ENTRE 8.5-9.5</v>
          </cell>
          <cell r="H392" t="str">
            <v>28-38% VARIA CON EL COLOR</v>
          </cell>
          <cell r="I392" t="str">
            <v>25-40% varia con el color</v>
          </cell>
          <cell r="J392" t="str">
            <v>35-50%varia con el color</v>
          </cell>
          <cell r="K392" t="str">
            <v>0-20% varia con el producto</v>
          </cell>
          <cell r="L392" t="str">
            <v>22-28% VARIA CON EL COLOR</v>
          </cell>
          <cell r="M392" t="str">
            <v>40seg Ford 4</v>
          </cell>
          <cell r="N392" t="str">
            <v>pistola</v>
          </cell>
          <cell r="O392" t="str">
            <v>18-20 SEG ZANH #3</v>
          </cell>
          <cell r="P392" t="str">
            <v>100-200%</v>
          </cell>
          <cell r="Q392" t="str">
            <v>R7K203</v>
          </cell>
          <cell r="R392" t="str">
            <v xml:space="preserve">1.0 -1.5 mils </v>
          </cell>
          <cell r="S392" t="str">
            <v>Seco tocar=10 - 15min; Seco completo= 40 - 50 min</v>
          </cell>
          <cell r="U392" t="str">
            <v>30 metros cuadrados por galon a 2 mils de pelicula seca</v>
          </cell>
          <cell r="V392" t="str">
            <v>95</v>
          </cell>
          <cell r="X392" t="str">
            <v>6 meses</v>
          </cell>
          <cell r="Y392" t="str">
            <v>VARIOS</v>
          </cell>
          <cell r="AB392" t="str">
            <v>Rigoberto Montalvo</v>
          </cell>
          <cell r="AC392" t="str">
            <v>Marzo 18, 2002</v>
          </cell>
        </row>
        <row r="393">
          <cell r="A393" t="str">
            <v>R7K203</v>
          </cell>
          <cell r="B393" t="str">
            <v>DUAL LACQUER THINNER</v>
          </cell>
          <cell r="C393" t="str">
            <v>-</v>
          </cell>
          <cell r="D393" t="str">
            <v>-</v>
          </cell>
          <cell r="E393" t="str">
            <v>-</v>
          </cell>
          <cell r="F393" t="str">
            <v>-</v>
          </cell>
          <cell r="G393" t="str">
            <v>7.09 Lb/Gl</v>
          </cell>
          <cell r="H393" t="str">
            <v>-</v>
          </cell>
          <cell r="I393" t="str">
            <v>-</v>
          </cell>
          <cell r="J393" t="str">
            <v>-</v>
          </cell>
          <cell r="L393" t="str">
            <v>-</v>
          </cell>
          <cell r="M393" t="str">
            <v>-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 t="str">
            <v>-</v>
          </cell>
          <cell r="V393" t="str">
            <v>-</v>
          </cell>
          <cell r="W393" t="str">
            <v>-</v>
          </cell>
          <cell r="X393" t="str">
            <v>6 meses correctamente tapado y almacenado a 25°C</v>
          </cell>
          <cell r="Y393" t="str">
            <v>VARIOS</v>
          </cell>
          <cell r="Z393" t="str">
            <v>-</v>
          </cell>
          <cell r="AA393" t="str">
            <v>Usese sólo en lugares bien ventilados, evite respirar sus vapores o el contacto con la piel.</v>
          </cell>
          <cell r="AB393" t="str">
            <v>Rigoberto Montalvo</v>
          </cell>
          <cell r="AC393" t="str">
            <v>Marzo 18, 2002</v>
          </cell>
        </row>
        <row r="394">
          <cell r="A394" t="str">
            <v>P2A32</v>
          </cell>
          <cell r="B394" t="str">
            <v xml:space="preserve"> COMBO LIGHT  PRIMER SURFACER</v>
          </cell>
          <cell r="C394" t="str">
            <v>EXTERIOR</v>
          </cell>
          <cell r="D394" t="str">
            <v>HIERRO - ACERO</v>
          </cell>
          <cell r="E394" t="str">
            <v>Lijado, Libre de Polvo, grasa y oxido</v>
          </cell>
          <cell r="F394" t="str">
            <v>-</v>
          </cell>
          <cell r="G394" t="str">
            <v>9.30 LBS/GALON</v>
          </cell>
          <cell r="H394" t="str">
            <v>3.19 %</v>
          </cell>
          <cell r="I394" t="str">
            <v>47.78 %</v>
          </cell>
          <cell r="J394" t="str">
            <v>30.18 %</v>
          </cell>
          <cell r="K394" t="str">
            <v>31.66</v>
          </cell>
          <cell r="L394" t="str">
            <v>30.42</v>
          </cell>
          <cell r="M394" t="str">
            <v>7000 - 13000 cps  BROOKFIELD</v>
          </cell>
          <cell r="N394" t="str">
            <v>PISTOLA</v>
          </cell>
          <cell r="O394" t="str">
            <v>18 - 20" FORD #4</v>
          </cell>
          <cell r="P394" t="str">
            <v>150-200%</v>
          </cell>
          <cell r="Q394" t="str">
            <v>R7K128</v>
          </cell>
          <cell r="R394" t="str">
            <v xml:space="preserve">1.0 - 2.0 mils </v>
          </cell>
          <cell r="S394" t="str">
            <v>5 - 10 Min a condiciones de 25°C y 50-60 % HR</v>
          </cell>
          <cell r="T394" t="str">
            <v>-</v>
          </cell>
          <cell r="U394" t="str">
            <v>45.32 m2/galon a 1 mils de pelicula seca</v>
          </cell>
          <cell r="V394" t="str">
            <v>-</v>
          </cell>
          <cell r="W394" t="str">
            <v>-</v>
          </cell>
          <cell r="X394" t="str">
            <v>6 meses</v>
          </cell>
          <cell r="Y394" t="str">
            <v>-</v>
          </cell>
          <cell r="Z394" t="str">
            <v>-</v>
          </cell>
          <cell r="AA394" t="str">
            <v>--</v>
          </cell>
          <cell r="AB394" t="str">
            <v>Juan Antonio Méndez</v>
          </cell>
          <cell r="AC394" t="str">
            <v>Marzo 19, 2002</v>
          </cell>
        </row>
        <row r="395">
          <cell r="A395" t="str">
            <v>B5W401, B5W402, B5W403</v>
          </cell>
          <cell r="B395" t="str">
            <v>STYLE PERFECT INTERIOR LATEX MATE</v>
          </cell>
          <cell r="C395" t="str">
            <v>INTERIOR</v>
          </cell>
          <cell r="D395" t="str">
            <v>CEMENTO-LADRILLO-CONCRETO</v>
          </cell>
          <cell r="E395" t="str">
            <v>CURADA, LIJADA, SECA Y LIBRE DE TODA CONTAMINACION</v>
          </cell>
          <cell r="F395" t="str">
            <v>-</v>
          </cell>
          <cell r="G395" t="str">
            <v>10.8-11.2 LBS/GL</v>
          </cell>
          <cell r="H395" t="str">
            <v>-</v>
          </cell>
          <cell r="I395" t="str">
            <v>44%-48%</v>
          </cell>
          <cell r="J395" t="str">
            <v>-</v>
          </cell>
          <cell r="K395" t="str">
            <v>47.5%-48.5%</v>
          </cell>
          <cell r="L395" t="str">
            <v>30.5-31.5</v>
          </cell>
          <cell r="M395" t="str">
            <v>95-100 KU</v>
          </cell>
          <cell r="N395" t="str">
            <v>BROCHA-RODILLO</v>
          </cell>
          <cell r="O395" t="str">
            <v>90-95 KU</v>
          </cell>
          <cell r="P395" t="str">
            <v>10%</v>
          </cell>
          <cell r="Q395" t="str">
            <v>AGUA LIMPIA</v>
          </cell>
          <cell r="R395" t="str">
            <v>1.5 MILLS</v>
          </cell>
          <cell r="S395" t="str">
            <v>AL AIRE, RECUBRIR DESPUES DE 4 HORAS</v>
          </cell>
          <cell r="T395" t="str">
            <v>-</v>
          </cell>
          <cell r="U395" t="str">
            <v>30-32 Mts Cuadrados/Gl, Dependiendo de la Superficie.</v>
          </cell>
          <cell r="V395" t="str">
            <v>MATE</v>
          </cell>
          <cell r="W395" t="str">
            <v>-</v>
          </cell>
          <cell r="X395" t="str">
            <v>3 AÑOS</v>
          </cell>
          <cell r="Y395" t="str">
            <v>VARIOS</v>
          </cell>
          <cell r="Z395" t="str">
            <v>-</v>
          </cell>
          <cell r="AA395" t="str">
            <v>-</v>
          </cell>
          <cell r="AB395" t="str">
            <v>Ana Irene Mendez Vides</v>
          </cell>
          <cell r="AC395" t="str">
            <v>ABRIL 18, 2002</v>
          </cell>
        </row>
        <row r="396">
          <cell r="A396" t="str">
            <v>B5W301, B5W302, B5Y304, B5R300, B5Y300, B5G300</v>
          </cell>
          <cell r="B396" t="str">
            <v>WHEATHER PERFECT LATEX EXTERIOR</v>
          </cell>
          <cell r="C396" t="str">
            <v>EXTERIOR</v>
          </cell>
          <cell r="D396" t="str">
            <v>CEMENTO-LADRILLO-CONCRETO</v>
          </cell>
          <cell r="E396" t="str">
            <v>CURADA, LIJADA, SECA Y LIBRE DE TODA CONTAMINACION</v>
          </cell>
          <cell r="F396" t="str">
            <v>-</v>
          </cell>
          <cell r="G396" t="str">
            <v>10.5-11.5 LBS/GL</v>
          </cell>
          <cell r="H396" t="str">
            <v>-</v>
          </cell>
          <cell r="I396" t="str">
            <v>46%-48%</v>
          </cell>
          <cell r="J396" t="str">
            <v>-</v>
          </cell>
          <cell r="K396" t="str">
            <v>48%-49%</v>
          </cell>
          <cell r="L396" t="str">
            <v>30.5-31.5</v>
          </cell>
          <cell r="M396" t="str">
            <v>95-100 KU</v>
          </cell>
          <cell r="N396" t="str">
            <v>BROCHA-RODILLO</v>
          </cell>
          <cell r="O396" t="str">
            <v>90-95 KU</v>
          </cell>
          <cell r="P396" t="str">
            <v>10%</v>
          </cell>
          <cell r="Q396" t="str">
            <v>AGUA LIMPIA</v>
          </cell>
          <cell r="R396" t="str">
            <v>1.5 MILLS</v>
          </cell>
          <cell r="S396" t="str">
            <v>AL AIRE, RECUBRIR DESPUES DE 4 HORAS</v>
          </cell>
          <cell r="T396" t="str">
            <v>-</v>
          </cell>
          <cell r="U396" t="str">
            <v>30-32 Mts Cuadrados/Gl, Dependiendo de la Superficie.</v>
          </cell>
          <cell r="V396" t="str">
            <v>MATE</v>
          </cell>
          <cell r="W396" t="str">
            <v>-</v>
          </cell>
          <cell r="X396" t="str">
            <v>3 AÑOS</v>
          </cell>
          <cell r="Y396" t="str">
            <v>VARIOS</v>
          </cell>
          <cell r="Z396" t="str">
            <v>-</v>
          </cell>
          <cell r="AA396" t="str">
            <v>-</v>
          </cell>
          <cell r="AB396" t="str">
            <v>Ana Irene Mendez Vides</v>
          </cell>
          <cell r="AC396" t="str">
            <v>ABRIL 18, 2002</v>
          </cell>
        </row>
        <row r="397">
          <cell r="A397" t="str">
            <v>LINEA A6</v>
          </cell>
          <cell r="B397" t="str">
            <v>A-100 LATEX EXTERIOR MATE</v>
          </cell>
          <cell r="C397" t="str">
            <v>EXTERIOR</v>
          </cell>
          <cell r="D397" t="str">
            <v>CEMENTO-LADRILLO-CONCRETO</v>
          </cell>
          <cell r="E397" t="str">
            <v>CURADA, LIJADA, SECA Y LIBRE DE TODA CONTAMINACION</v>
          </cell>
          <cell r="F397" t="str">
            <v>-</v>
          </cell>
          <cell r="G397" t="str">
            <v>10.28-11.28 LBS/GL</v>
          </cell>
          <cell r="H397" t="str">
            <v>-</v>
          </cell>
          <cell r="I397" t="str">
            <v>50%-52%</v>
          </cell>
          <cell r="J397" t="str">
            <v>-</v>
          </cell>
          <cell r="K397" t="str">
            <v>34.5%-35.5%</v>
          </cell>
          <cell r="L397" t="str">
            <v>35-37</v>
          </cell>
          <cell r="M397" t="str">
            <v>90-95 KU</v>
          </cell>
          <cell r="N397" t="str">
            <v>BROCHA-RODILLO</v>
          </cell>
          <cell r="O397" t="str">
            <v>90-93 KU</v>
          </cell>
          <cell r="P397" t="str">
            <v>MAXIMO 10%</v>
          </cell>
          <cell r="Q397" t="str">
            <v>AGUA LIMPIA</v>
          </cell>
          <cell r="R397" t="str">
            <v>1.5 MILLS</v>
          </cell>
          <cell r="S397" t="str">
            <v>AL AIRE, RECUBRIR DESPUES DE 4 HORAS</v>
          </cell>
          <cell r="T397" t="str">
            <v>-</v>
          </cell>
          <cell r="U397" t="str">
            <v>34-36 Mts Cuadrados/Gl, Dependiendo de la Superficie.</v>
          </cell>
          <cell r="V397" t="str">
            <v>MATE</v>
          </cell>
          <cell r="W397" t="str">
            <v>-</v>
          </cell>
          <cell r="X397" t="str">
            <v>3 AÑOS</v>
          </cell>
          <cell r="Y397" t="str">
            <v>VARIOS</v>
          </cell>
          <cell r="Z397" t="str">
            <v>-</v>
          </cell>
          <cell r="AA397" t="str">
            <v>-</v>
          </cell>
          <cell r="AB397" t="str">
            <v>Ana Irene Mendez Vides</v>
          </cell>
          <cell r="AC397" t="str">
            <v>ABRIL 18, 2002</v>
          </cell>
        </row>
        <row r="398">
          <cell r="A398" t="str">
            <v>B45WSA3</v>
          </cell>
          <cell r="B398" t="str">
            <v>SELLADOR BLANCO PARA CONCRETO AL EXTERIOR.</v>
          </cell>
          <cell r="C398" t="str">
            <v>EXTERIOR</v>
          </cell>
          <cell r="D398" t="str">
            <v>CONCRETO, CEMENTO, LADRILLO</v>
          </cell>
          <cell r="E398" t="str">
            <v>CURADA,SECA, LIBRE DE GRASA, POLVO O CUALQUIER OTRA SUSTANCIA</v>
          </cell>
          <cell r="F398" t="str">
            <v>Ninguno</v>
          </cell>
          <cell r="G398" t="str">
            <v>10.62 LBS/GALON</v>
          </cell>
          <cell r="H398" t="str">
            <v>6.87 %</v>
          </cell>
          <cell r="I398" t="str">
            <v>47.30 %</v>
          </cell>
          <cell r="J398" t="str">
            <v>-</v>
          </cell>
          <cell r="K398" t="str">
            <v>45.50%</v>
          </cell>
          <cell r="L398" t="str">
            <v>31.40%</v>
          </cell>
          <cell r="M398" t="str">
            <v>13-15 CPS</v>
          </cell>
          <cell r="N398" t="str">
            <v>BROCHA-RODILLO</v>
          </cell>
          <cell r="O398" t="str">
            <v>13-15 CPS</v>
          </cell>
          <cell r="P398" t="str">
            <v>MAXIMO 10 %</v>
          </cell>
          <cell r="Q398" t="str">
            <v>AGUA LIMPIA</v>
          </cell>
          <cell r="R398" t="str">
            <v>1.5 MILLS</v>
          </cell>
          <cell r="S398" t="str">
            <v>AL AIRE</v>
          </cell>
          <cell r="T398" t="str">
            <v>_</v>
          </cell>
          <cell r="U398" t="str">
            <v>28-30 Mts Cuadrados/Gl</v>
          </cell>
          <cell r="V398" t="str">
            <v>MATE</v>
          </cell>
          <cell r="W398" t="str">
            <v>_</v>
          </cell>
          <cell r="X398" t="str">
            <v>3 AÑOS</v>
          </cell>
          <cell r="Y398" t="str">
            <v>VARIOS</v>
          </cell>
          <cell r="Z398" t="str">
            <v>_</v>
          </cell>
          <cell r="AA398" t="str">
            <v>_</v>
          </cell>
          <cell r="AB398" t="str">
            <v>Ana Irene Mendez Vides</v>
          </cell>
          <cell r="AC398" t="str">
            <v>JUNIO 12,2002.</v>
          </cell>
        </row>
        <row r="399">
          <cell r="A399" t="str">
            <v>A44HSA2,A44HSA3,A44NSA1</v>
          </cell>
          <cell r="B399" t="str">
            <v xml:space="preserve">Tex Flex </v>
          </cell>
          <cell r="C399" t="str">
            <v>INTERIOR,EXTERIOR</v>
          </cell>
          <cell r="D399" t="str">
            <v>CONCRETO,CEMENTO,LADRILLO</v>
          </cell>
          <cell r="E399" t="str">
            <v>CURADA,SECA, LIBRE DE GRASA, POLVO O CUALQUIER OTRA SUSTANCIA</v>
          </cell>
          <cell r="F399" t="str">
            <v>B45ASA1</v>
          </cell>
          <cell r="G399" t="str">
            <v>12.47 LBS/GLN</v>
          </cell>
          <cell r="H399" t="str">
            <v>5.13 %</v>
          </cell>
          <cell r="I399" t="str">
            <v>70.71</v>
          </cell>
          <cell r="K399" t="str">
            <v>24.94 %</v>
          </cell>
          <cell r="L399" t="str">
            <v>53.23 %</v>
          </cell>
          <cell r="M399" t="str">
            <v>123-129 MILES CPS</v>
          </cell>
          <cell r="N399" t="str">
            <v>BROCHA-RODILLO</v>
          </cell>
          <cell r="O399" t="str">
            <v>123-129 MILES CPS</v>
          </cell>
          <cell r="P399" t="str">
            <v>NINGUNA</v>
          </cell>
          <cell r="Q399" t="str">
            <v>AGUA LIMPIA SI ES NECESARIO PARA LAVAR EL EQUIPO</v>
          </cell>
          <cell r="R399" t="str">
            <v>12 MILLS</v>
          </cell>
          <cell r="S399" t="str">
            <v>AL AIRE</v>
          </cell>
          <cell r="T399" t="str">
            <v>-</v>
          </cell>
          <cell r="U399" t="str">
            <v>6-7 Mts Cuadrados/Gl, Dependiendo de la Superficie.</v>
          </cell>
          <cell r="V399" t="str">
            <v>SATINADO</v>
          </cell>
          <cell r="W399" t="str">
            <v>-</v>
          </cell>
          <cell r="X399" t="str">
            <v>1-2 AÑOS SIN DESTAPARSE EL ENVASE</v>
          </cell>
          <cell r="Y399" t="str">
            <v>FREUND</v>
          </cell>
          <cell r="Z399" t="str">
            <v>-</v>
          </cell>
          <cell r="AA399" t="str">
            <v>-</v>
          </cell>
          <cell r="AB399" t="str">
            <v>Ana Irene Mendez Vides</v>
          </cell>
          <cell r="AC399" t="str">
            <v>JULIO 3, 2002</v>
          </cell>
        </row>
        <row r="400">
          <cell r="A400" t="str">
            <v>S21WSA3</v>
          </cell>
          <cell r="B400" t="str">
            <v>JOINT COMPOUND</v>
          </cell>
          <cell r="C400" t="str">
            <v>INTERIOR</v>
          </cell>
          <cell r="D400" t="str">
            <v>TABLAYESO</v>
          </cell>
          <cell r="E400" t="str">
            <v>SUPERFICIE NUEVA</v>
          </cell>
          <cell r="F400" t="str">
            <v>NINGUNO</v>
          </cell>
          <cell r="G400" t="str">
            <v>16.09</v>
          </cell>
          <cell r="H400" t="str">
            <v>-</v>
          </cell>
          <cell r="I400" t="str">
            <v>77.81</v>
          </cell>
          <cell r="J400" t="str">
            <v>7.7</v>
          </cell>
          <cell r="K400" t="str">
            <v>91.6</v>
          </cell>
          <cell r="L400" t="str">
            <v>58.83</v>
          </cell>
          <cell r="M400" t="str">
            <v>90-100 MIL CPS SPIN #7 A 10 REV BROOKFIELD</v>
          </cell>
          <cell r="N400" t="str">
            <v>ESPATULA</v>
          </cell>
          <cell r="O400" t="str">
            <v>A OPCION DEL APLICADOR</v>
          </cell>
          <cell r="P400" t="str">
            <v>LO NECESARIO QUEDA A OPCION DEL APLICADOR</v>
          </cell>
          <cell r="Q400" t="str">
            <v>AGUA</v>
          </cell>
          <cell r="R400" t="str">
            <v>10-15 MILS DEPENDE DEL APLICADOR</v>
          </cell>
          <cell r="S400" t="str">
            <v>AL AIRE</v>
          </cell>
          <cell r="T400" t="str">
            <v>-</v>
          </cell>
          <cell r="U400" t="str">
            <v>87.66MTS CUADRADOS POR GALON A 1MILS DE ESPESOR</v>
          </cell>
          <cell r="V400" t="str">
            <v>MATE</v>
          </cell>
          <cell r="W400" t="str">
            <v>-</v>
          </cell>
          <cell r="X400" t="str">
            <v>1AÑO SIN DESTAPARSE Y A 25°C</v>
          </cell>
          <cell r="Y400" t="str">
            <v>VARIOS</v>
          </cell>
          <cell r="Z400" t="str">
            <v>-</v>
          </cell>
          <cell r="AA400" t="str">
            <v>-</v>
          </cell>
          <cell r="AB400" t="str">
            <v>Rigoberto Montalvo</v>
          </cell>
          <cell r="AC400" t="str">
            <v>AGOSTO 20, 2002</v>
          </cell>
        </row>
        <row r="401">
          <cell r="A401" t="str">
            <v>SAA 5639</v>
          </cell>
          <cell r="B401" t="str">
            <v>EXTERIOR CLEAR PARA  MADERA</v>
          </cell>
          <cell r="C401" t="str">
            <v>INTERIOR - EXTERIOR</v>
          </cell>
          <cell r="D401" t="str">
            <v>MADERA DIRECTO</v>
          </cell>
          <cell r="E401" t="str">
            <v>LIJADO, LIBRE DE GRASA POLVO O CUALQUIER OTRA SUSTANCIA</v>
          </cell>
          <cell r="F401" t="str">
            <v>TAPAPORO, SI ES NECESARIO UTILIZAR SELLADOR PARA MEJORAR PROFUNDIDAD Y BRILLO</v>
          </cell>
          <cell r="G401" t="str">
            <v>7.23 LBS</v>
          </cell>
          <cell r="H401" t="str">
            <v>0.0 %</v>
          </cell>
          <cell r="I401" t="str">
            <v xml:space="preserve">33.68 % </v>
          </cell>
          <cell r="J401" t="str">
            <v>88.68 %</v>
          </cell>
          <cell r="K401" t="str">
            <v>0.0 %</v>
          </cell>
          <cell r="L401" t="str">
            <v>29.48 %</v>
          </cell>
          <cell r="M401" t="str">
            <v>10 - 16 SEG FORD # 4</v>
          </cell>
          <cell r="N401" t="str">
            <v>PISTOLA.</v>
          </cell>
          <cell r="O401" t="str">
            <v>10 - 16 SEG FORD # 4</v>
          </cell>
          <cell r="P401" t="str">
            <v>NINGUNO</v>
          </cell>
          <cell r="Q401" t="str">
            <v>NINGUNO</v>
          </cell>
          <cell r="R401" t="str">
            <v>---</v>
          </cell>
          <cell r="S401" t="str">
            <v>AL AIRE</v>
          </cell>
          <cell r="T401" t="str">
            <v>--</v>
          </cell>
          <cell r="U401" t="str">
            <v>43.92 Metros cuadrados por galon a un mils de pelicula seca</v>
          </cell>
          <cell r="V401" t="str">
            <v>MATE</v>
          </cell>
          <cell r="W401" t="str">
            <v>---</v>
          </cell>
          <cell r="X401" t="str">
            <v>1 AÑO</v>
          </cell>
          <cell r="Y401" t="str">
            <v>VARIOS</v>
          </cell>
          <cell r="Z401" t="str">
            <v>-</v>
          </cell>
          <cell r="AA401" t="str">
            <v>-</v>
          </cell>
          <cell r="AB401" t="str">
            <v>Juan Antonio Méndez</v>
          </cell>
          <cell r="AC401" t="str">
            <v>SEPTIEMBRE 11, 2002</v>
          </cell>
        </row>
        <row r="402">
          <cell r="A402" t="str">
            <v>E3A4801</v>
          </cell>
          <cell r="B402" t="str">
            <v>KEM PRIMER SURFACER GRAY</v>
          </cell>
          <cell r="C402" t="str">
            <v>EXTERIOR</v>
          </cell>
          <cell r="D402" t="str">
            <v>HIERRO, ACERO</v>
          </cell>
          <cell r="E402" t="str">
            <v>LIJADO, LIBRE DE POLVO GRASA. LIMPIEZA CON R7K156</v>
          </cell>
          <cell r="F402" t="str">
            <v>NINGUNO</v>
          </cell>
          <cell r="G402" t="str">
            <v>11.13 LBS/GALON</v>
          </cell>
          <cell r="H402" t="str">
            <v>8.90 %</v>
          </cell>
          <cell r="I402" t="str">
            <v>58.92 %</v>
          </cell>
          <cell r="J402" t="str">
            <v>--</v>
          </cell>
          <cell r="K402" t="str">
            <v>54.29 %</v>
          </cell>
          <cell r="L402" t="str">
            <v>36.69 %</v>
          </cell>
          <cell r="M402" t="str">
            <v>65 - 74 KU</v>
          </cell>
          <cell r="N402" t="str">
            <v>PISTOLA</v>
          </cell>
          <cell r="O402" t="str">
            <v>20 - 30 SEG ZANH #2</v>
          </cell>
          <cell r="P402" t="str">
            <v xml:space="preserve">20-25% </v>
          </cell>
          <cell r="Q402" t="str">
            <v>R4K183 o R2K1</v>
          </cell>
          <cell r="R402" t="str">
            <v xml:space="preserve">1.2 - 1.5 MILS </v>
          </cell>
          <cell r="S402" t="str">
            <v>AL AIRE</v>
          </cell>
          <cell r="T402" t="str">
            <v>--</v>
          </cell>
          <cell r="U402" t="str">
            <v>54.66 metros cuadrados a un mils de pelicula seca</v>
          </cell>
          <cell r="V402" t="str">
            <v>---</v>
          </cell>
          <cell r="W402" t="str">
            <v>--</v>
          </cell>
          <cell r="X402" t="str">
            <v>1 año</v>
          </cell>
          <cell r="Y402" t="str">
            <v>varios</v>
          </cell>
          <cell r="Z402" t="str">
            <v>---</v>
          </cell>
          <cell r="AA402" t="str">
            <v>nueva reformulación mejorado en adhesion, lijabilidad compatible con esmaltes sinteticos y lacas acrilicas</v>
          </cell>
          <cell r="AB402" t="str">
            <v>Juan Antonio Méndez</v>
          </cell>
          <cell r="AC402" t="str">
            <v>SEPTIEMBRE 30, 2002</v>
          </cell>
        </row>
        <row r="403">
          <cell r="A403" t="str">
            <v>SAA 5509</v>
          </cell>
          <cell r="B403" t="str">
            <v>ESMALTE HORNEABLE ROJO ELECTROSTATICO HECASA</v>
          </cell>
          <cell r="C403" t="str">
            <v>EXTERIOR-INTERIOR</v>
          </cell>
          <cell r="D403" t="str">
            <v>Acero, Hierro, Superficies adecuadamente tratadas no Galvanizadas.</v>
          </cell>
          <cell r="E403" t="str">
            <v>Lijado libre de grasa y oxido</v>
          </cell>
          <cell r="F403" t="str">
            <v>DE SER NECESARIO PUEDE UTILIZAR MONOBAKE WHITE E68WSA1</v>
          </cell>
          <cell r="G403" t="str">
            <v>9.48 lbs/ galon</v>
          </cell>
          <cell r="H403" t="str">
            <v>14.61%</v>
          </cell>
          <cell r="I403" t="str">
            <v>45.30 %</v>
          </cell>
          <cell r="J403" t="str">
            <v>59.01 %</v>
          </cell>
          <cell r="K403" t="str">
            <v>15.87 %</v>
          </cell>
          <cell r="L403" t="str">
            <v>33.94 %</v>
          </cell>
          <cell r="M403" t="str">
            <v>26 - 30 SEG ZANH #2</v>
          </cell>
          <cell r="N403" t="str">
            <v>PISTOLA</v>
          </cell>
          <cell r="O403" t="str">
            <v>IGUAL QUE VISCOSIDAD ORIGINAL</v>
          </cell>
          <cell r="P403" t="str">
            <v>NINGUNO</v>
          </cell>
          <cell r="Q403" t="str">
            <v>NINGUNO</v>
          </cell>
          <cell r="R403" t="str">
            <v xml:space="preserve">1.0 -1.5 mils </v>
          </cell>
          <cell r="S403" t="str">
            <v>--</v>
          </cell>
          <cell r="T403" t="str">
            <v>HORNEADO A 150°c POR 15 MINUTOS</v>
          </cell>
          <cell r="U403" t="str">
            <v>50.57 METROS CUADRADOS POR GALON</v>
          </cell>
          <cell r="V403" t="str">
            <v>+80</v>
          </cell>
          <cell r="W403" t="str">
            <v>F-H</v>
          </cell>
          <cell r="X403" t="str">
            <v>MAXIMO CUATRO MESES</v>
          </cell>
          <cell r="Y403" t="str">
            <v>HECASA</v>
          </cell>
          <cell r="Z403" t="str">
            <v xml:space="preserve">CARRETILLAS </v>
          </cell>
          <cell r="AA403" t="str">
            <v>PRODUCTO ELECTROSTATICO CON UNA RESISTENCIA ENTRE 3.5 - 4.5 Mega Ohmios</v>
          </cell>
          <cell r="AB403" t="str">
            <v>Ing. Juan Antonio Méndez</v>
          </cell>
          <cell r="AC403" t="str">
            <v>MARZO 13,2002</v>
          </cell>
        </row>
        <row r="404">
          <cell r="A404" t="str">
            <v>SAA 5270</v>
          </cell>
          <cell r="B404" t="str">
            <v>ZINC CHROMATE PRIMER AMARILLO OXIDO</v>
          </cell>
          <cell r="C404" t="str">
            <v>INTERIOR-EXTERIOR</v>
          </cell>
          <cell r="D404" t="str">
            <v>METAL</v>
          </cell>
          <cell r="E404" t="str">
            <v>LIBRE DE GRASA Y OXIDO</v>
          </cell>
          <cell r="F404" t="str">
            <v>-</v>
          </cell>
          <cell r="G404" t="str">
            <v>10.26 LBS/GL</v>
          </cell>
          <cell r="H404" t="str">
            <v>41.71%</v>
          </cell>
          <cell r="I404" t="str">
            <v>59.13%</v>
          </cell>
          <cell r="J404" t="str">
            <v>58.29%</v>
          </cell>
          <cell r="K404" t="str">
            <v>45.41%</v>
          </cell>
          <cell r="L404" t="str">
            <v>37.15%</v>
          </cell>
          <cell r="M404" t="str">
            <v>70-80 KU</v>
          </cell>
          <cell r="N404" t="str">
            <v>BROCHA-PISTOLA</v>
          </cell>
          <cell r="O404" t="str">
            <v>-</v>
          </cell>
          <cell r="P404" t="str">
            <v>20% R1K4</v>
          </cell>
          <cell r="Q404" t="str">
            <v>R1K4</v>
          </cell>
          <cell r="R404" t="str">
            <v>2.0 MILLS SECO</v>
          </cell>
          <cell r="S404" t="str">
            <v xml:space="preserve">AL TACTO: 1-2 HORAS; COMPLETO:3-5 HORAS; RETOCAR :18 HORAS. </v>
          </cell>
          <cell r="T404" t="str">
            <v>-</v>
          </cell>
          <cell r="U404" t="str">
            <v>60 Mts Cuadrados/Gl a 1 mills de espesor.</v>
          </cell>
          <cell r="V404" t="str">
            <v>MATE</v>
          </cell>
          <cell r="W404" t="str">
            <v>-</v>
          </cell>
          <cell r="X404" t="str">
            <v>1 AÑO</v>
          </cell>
          <cell r="Y404" t="str">
            <v>MONELCA</v>
          </cell>
          <cell r="Z404" t="str">
            <v>-</v>
          </cell>
          <cell r="AA404" t="str">
            <v>-</v>
          </cell>
          <cell r="AB404" t="str">
            <v>Soraya de Quijada</v>
          </cell>
          <cell r="AC404" t="str">
            <v>SEPTIEMBRE 16,2002</v>
          </cell>
        </row>
        <row r="405">
          <cell r="A405" t="str">
            <v>LINEA B66</v>
          </cell>
          <cell r="B405" t="str">
            <v>CORRO-SHER ANTICORROSIVO BASE AGUA</v>
          </cell>
          <cell r="C405" t="str">
            <v>INTERIOR-EXTERIOR</v>
          </cell>
          <cell r="D405" t="str">
            <v xml:space="preserve">HIERRO-LAMINA GALVANIZADA-ESTRUCTURAS DE METAL </v>
          </cell>
          <cell r="E405" t="str">
            <v>LIMPIA, SECA, LIBRE DE GRASAS, ACEITES, LUBRICANTES Y OXIDO</v>
          </cell>
          <cell r="F405" t="str">
            <v>APLICAR DIRECTAMENTE SOBRE EL METAL</v>
          </cell>
          <cell r="G405" t="str">
            <v>9.88-10.92 LBS/GL</v>
          </cell>
          <cell r="H405" t="str">
            <v>22%-32%</v>
          </cell>
          <cell r="I405" t="str">
            <v>46.6%-54.2%</v>
          </cell>
          <cell r="J405" t="str">
            <v>23.1%-25.5%</v>
          </cell>
          <cell r="K405" t="str">
            <v>25%-30%</v>
          </cell>
          <cell r="L405" t="str">
            <v>41%-45%</v>
          </cell>
          <cell r="M405" t="str">
            <v>90-100 KU</v>
          </cell>
          <cell r="N405" t="str">
            <v>BROCHA-RODILLO PISTOLA</v>
          </cell>
          <cell r="O405" t="str">
            <v>-</v>
          </cell>
          <cell r="P405" t="str">
            <v>10%</v>
          </cell>
          <cell r="Q405" t="str">
            <v>AGUA</v>
          </cell>
          <cell r="R405" t="str">
            <v>1.0-1.5 MILLS</v>
          </cell>
          <cell r="S405" t="str">
            <v>AL TACTO: 30 MINUTOS; COMPLETO: 12 HORAS</v>
          </cell>
          <cell r="T405" t="str">
            <v>-</v>
          </cell>
          <cell r="U405" t="str">
            <v>60-65 MTS CUADRADOS/GL A 1 MILLS</v>
          </cell>
          <cell r="V405" t="str">
            <v>MATE (0-5)</v>
          </cell>
          <cell r="W405" t="str">
            <v>-</v>
          </cell>
          <cell r="X405" t="str">
            <v>1 AÑO</v>
          </cell>
          <cell r="Y405" t="str">
            <v>VARIOS</v>
          </cell>
          <cell r="Z405" t="str">
            <v>-</v>
          </cell>
          <cell r="AA405" t="str">
            <v>-</v>
          </cell>
          <cell r="AB405" t="str">
            <v>Soraya de Quijada</v>
          </cell>
          <cell r="AC405" t="str">
            <v>ABRIL 30,2002</v>
          </cell>
        </row>
        <row r="406">
          <cell r="A406" t="str">
            <v>A54WCR2</v>
          </cell>
          <cell r="B406" t="str">
            <v>SELLADOR PARA CONCRETO</v>
          </cell>
          <cell r="C406" t="str">
            <v>INTERIOR-EXTERIOR</v>
          </cell>
          <cell r="D406" t="str">
            <v>CONCRETO</v>
          </cell>
          <cell r="E406" t="str">
            <v>LIMPIA Y SECA, LIBRE DE GRASAS Y ACEITES</v>
          </cell>
          <cell r="F406" t="str">
            <v>NINGUNO</v>
          </cell>
          <cell r="G406" t="str">
            <v>10.74 LBS/GL</v>
          </cell>
          <cell r="H406" t="str">
            <v>33%</v>
          </cell>
          <cell r="I406" t="str">
            <v>45.65 %</v>
          </cell>
          <cell r="J406" t="str">
            <v>28.9%</v>
          </cell>
          <cell r="K406" t="str">
            <v>48.66</v>
          </cell>
          <cell r="L406" t="str">
            <v>30.69</v>
          </cell>
          <cell r="M406" t="str">
            <v>110-115 KU</v>
          </cell>
          <cell r="N406" t="str">
            <v>BROCHA-RODILLO</v>
          </cell>
          <cell r="O406" t="str">
            <v>-</v>
          </cell>
          <cell r="P406" t="str">
            <v>10%</v>
          </cell>
          <cell r="Q406" t="str">
            <v>AGUA</v>
          </cell>
          <cell r="R406" t="str">
            <v>2.0 MILLS SECO</v>
          </cell>
          <cell r="S406" t="str">
            <v>SECO TOCAR: 10 MINUTOS, SECO COMPLETO; 30 MINUTOS; RECUBRIR: 2 HORAS</v>
          </cell>
          <cell r="T406" t="str">
            <v>-</v>
          </cell>
          <cell r="U406" t="str">
            <v>45 m2/galon a 1 mils de pelicula seca</v>
          </cell>
          <cell r="V406" t="str">
            <v>MATE</v>
          </cell>
          <cell r="W406" t="str">
            <v>-</v>
          </cell>
          <cell r="X406" t="str">
            <v>2 AÑOS</v>
          </cell>
          <cell r="Y406" t="str">
            <v>COSTA RICA</v>
          </cell>
          <cell r="Z406" t="str">
            <v>-</v>
          </cell>
          <cell r="AA406" t="str">
            <v>-</v>
          </cell>
          <cell r="AB406" t="str">
            <v>Soraya de Quijada</v>
          </cell>
          <cell r="AC406" t="str">
            <v>MAYO 9,2002</v>
          </cell>
        </row>
        <row r="407">
          <cell r="A407" t="str">
            <v>A99BCR2, A99GCR10, A99RCR4, A99WCR2</v>
          </cell>
          <cell r="B407" t="str">
            <v>COLONIAL PINTURA PARA TECHOS</v>
          </cell>
          <cell r="C407" t="str">
            <v>INTERIOR-EXTERIOR</v>
          </cell>
          <cell r="D407" t="str">
            <v>MADERA-HIERRO-CONCRETO</v>
          </cell>
          <cell r="E407" t="str">
            <v>LIMPIA, SECA, LIBRE DE GRASAS, ACEITES, LUBRICANTES Y OXIDO</v>
          </cell>
          <cell r="F407" t="str">
            <v>En superficies de metal, Anticorrosivo Excello Rustop</v>
          </cell>
          <cell r="G407" t="str">
            <v>7.96-9.03 LBS/GL</v>
          </cell>
          <cell r="H407" t="str">
            <v>5%-17%</v>
          </cell>
          <cell r="I407" t="str">
            <v>28%-40%</v>
          </cell>
          <cell r="J407" t="str">
            <v>21%-22%</v>
          </cell>
          <cell r="K407" t="str">
            <v>7%-10%</v>
          </cell>
          <cell r="L407" t="str">
            <v>22%-27%</v>
          </cell>
          <cell r="M407" t="str">
            <v>90-95 KU</v>
          </cell>
          <cell r="N407" t="str">
            <v xml:space="preserve">Brocha-Pistola-Rodillo </v>
          </cell>
          <cell r="O407" t="str">
            <v>-</v>
          </cell>
          <cell r="P407" t="str">
            <v>20%</v>
          </cell>
          <cell r="Q407" t="str">
            <v>R1K4 MINERAL SPIRITS</v>
          </cell>
          <cell r="R407" t="str">
            <v>1.0-1.5 MILLS</v>
          </cell>
          <cell r="S407" t="str">
            <v>SECO TOCAR: 1-2 HORAS, COMPLETO: 6 HORAS</v>
          </cell>
          <cell r="T407" t="str">
            <v>-</v>
          </cell>
          <cell r="U407" t="str">
            <v>35 MTS CUADRADOS/GLA UN MILLS DE PELICULA SECA</v>
          </cell>
          <cell r="V407" t="str">
            <v>70 MIN</v>
          </cell>
          <cell r="W407" t="str">
            <v>-</v>
          </cell>
          <cell r="X407" t="str">
            <v>2 AÑOS</v>
          </cell>
          <cell r="Y407" t="str">
            <v>Costa Rica</v>
          </cell>
          <cell r="Z407" t="str">
            <v>-</v>
          </cell>
          <cell r="AA407" t="str">
            <v>-</v>
          </cell>
          <cell r="AB407" t="str">
            <v>Soraya de Quijada</v>
          </cell>
          <cell r="AC407" t="str">
            <v>MAYO 9,2002</v>
          </cell>
        </row>
        <row r="408">
          <cell r="A408" t="str">
            <v>LINEA C62</v>
          </cell>
          <cell r="B408" t="str">
            <v>ANTICORROSIVO PARA ESTRUCTURAS BRILLANTE</v>
          </cell>
          <cell r="C408" t="str">
            <v>INTERIOR-EXTERIOR</v>
          </cell>
          <cell r="D408" t="str">
            <v>METAL</v>
          </cell>
          <cell r="E408" t="str">
            <v>LIBRE DE GRASA Y OXIDO</v>
          </cell>
          <cell r="F408" t="str">
            <v>-</v>
          </cell>
          <cell r="G408" t="str">
            <v>7-8-8.44 LBS/GL DEPENDIENDO DEL COLOR</v>
          </cell>
          <cell r="H408" t="str">
            <v>2.5%-9.5% DEPENDIENDO DEL COLOR</v>
          </cell>
          <cell r="I408" t="str">
            <v>23.4%-29.8% DEPENDIENDO DEL COLOR</v>
          </cell>
          <cell r="J408" t="str">
            <v>-</v>
          </cell>
          <cell r="K408" t="str">
            <v>6.9%-10.9% DEPENDIENDO DEL COLOR</v>
          </cell>
          <cell r="L408" t="str">
            <v>19.4-21.4 DEPENDIENDO DEL COLOR</v>
          </cell>
          <cell r="M408" t="str">
            <v>85-90 KU</v>
          </cell>
          <cell r="N408" t="str">
            <v>BROCHA-RODILLO-PISTOLA</v>
          </cell>
          <cell r="O408" t="str">
            <v>-</v>
          </cell>
          <cell r="P408" t="str">
            <v>10-15% MAXIMO</v>
          </cell>
          <cell r="Q408" t="str">
            <v>R1K4 MINERAL SPIRITS</v>
          </cell>
          <cell r="R408" t="str">
            <v>1.0-1.5 MILLS</v>
          </cell>
          <cell r="S408" t="str">
            <v>SECO TOCAR: 2 HORAS, SECO COMPLETO: 6 HORAS, RETOCAR: 24 HORAS</v>
          </cell>
          <cell r="T408" t="str">
            <v>-</v>
          </cell>
          <cell r="U408" t="str">
            <v>30 MTS CUADRADOS/GLA UN MILLS DE PELICULA SECA</v>
          </cell>
          <cell r="V408" t="str">
            <v>70-80</v>
          </cell>
          <cell r="W408" t="str">
            <v>-</v>
          </cell>
          <cell r="X408" t="str">
            <v>2 años sin Abrir.</v>
          </cell>
          <cell r="Y408" t="str">
            <v>VARIOS</v>
          </cell>
          <cell r="Z408" t="str">
            <v>-</v>
          </cell>
          <cell r="AA408" t="str">
            <v>-</v>
          </cell>
          <cell r="AB408" t="str">
            <v>Soraya de Quijada</v>
          </cell>
          <cell r="AC408" t="str">
            <v>JULIO 5,2002</v>
          </cell>
        </row>
        <row r="409">
          <cell r="A409" t="str">
            <v>LINEA F65</v>
          </cell>
          <cell r="B409" t="str">
            <v>ESMALTE KEM LUSTRAL</v>
          </cell>
          <cell r="C409" t="str">
            <v>INTERIOR-EXTERIOR</v>
          </cell>
          <cell r="D409" t="str">
            <v>METAL</v>
          </cell>
          <cell r="E409" t="str">
            <v>LIBRE DE GRASA Y OXIDO</v>
          </cell>
          <cell r="F409" t="str">
            <v>E41N1 KROMIK METAL PRIMER</v>
          </cell>
          <cell r="G409" t="str">
            <v>7.6-9.6 LBS/GL DEPENDIENDO DEL COLOR</v>
          </cell>
          <cell r="H409" t="str">
            <v>3%-30% DEPENDIENDO DEL COLOR</v>
          </cell>
          <cell r="I409" t="str">
            <v>39.7%-59.7% DEPENDIENDO DEL COLOR</v>
          </cell>
          <cell r="J409" t="str">
            <v>-</v>
          </cell>
          <cell r="K409" t="str">
            <v>3%-20% DEPENDIENDO DEL COLOR</v>
          </cell>
          <cell r="L409" t="str">
            <v>33-42 DEPENDIENDO DEL COLOR</v>
          </cell>
          <cell r="M409" t="str">
            <v>75-80 KU</v>
          </cell>
          <cell r="N409" t="str">
            <v>BROCHA-PISTOLA</v>
          </cell>
          <cell r="O409" t="str">
            <v>-</v>
          </cell>
          <cell r="P409" t="str">
            <v>MAXIMO 10%</v>
          </cell>
          <cell r="Q409" t="str">
            <v>R1K4 MINERAL SPIRITS</v>
          </cell>
          <cell r="R409" t="str">
            <v>1.0-1.5 MILLS</v>
          </cell>
          <cell r="S409" t="str">
            <v>SECO TOCAR: 2 HORAS, SECO COMPLETO: 6 HORAS, RETOCAR: 24 HORAS</v>
          </cell>
          <cell r="T409" t="str">
            <v>-</v>
          </cell>
          <cell r="U409" t="str">
            <v>30 MTS CUADRADOS/GLA UN MILLS DE PELICULA SECA</v>
          </cell>
          <cell r="V409" t="str">
            <v>MAYOR DE 90</v>
          </cell>
          <cell r="W409" t="str">
            <v>-</v>
          </cell>
          <cell r="X409" t="str">
            <v>2 años sin Abrir.</v>
          </cell>
          <cell r="Y409" t="str">
            <v>MONELCA</v>
          </cell>
          <cell r="Z409" t="str">
            <v>-</v>
          </cell>
          <cell r="AA409" t="str">
            <v>-</v>
          </cell>
          <cell r="AB409" t="str">
            <v>Soraya de Quijada</v>
          </cell>
          <cell r="AC409" t="str">
            <v>SEPTIEMBRE 3,2002</v>
          </cell>
        </row>
        <row r="410">
          <cell r="A410" t="str">
            <v>A86YSA14</v>
          </cell>
          <cell r="B410" t="str">
            <v>PINTURA DE TRAFICO ALQUIDICA TTP-85E AMARILLA</v>
          </cell>
          <cell r="C410" t="str">
            <v>EXTERIOR</v>
          </cell>
          <cell r="D410" t="str">
            <v>CONCRETO-ASFALTO</v>
          </cell>
          <cell r="E410" t="str">
            <v>SECA</v>
          </cell>
          <cell r="F410" t="str">
            <v>NINGUNO</v>
          </cell>
          <cell r="G410" t="str">
            <v>13.13 LBS/GL</v>
          </cell>
          <cell r="H410" t="str">
            <v>61.75 %</v>
          </cell>
          <cell r="I410" t="str">
            <v>76.31%</v>
          </cell>
          <cell r="J410" t="str">
            <v>19.8%</v>
          </cell>
          <cell r="K410" t="str">
            <v>61%</v>
          </cell>
          <cell r="L410" t="str">
            <v>55.93</v>
          </cell>
          <cell r="M410" t="str">
            <v>70-80 KU</v>
          </cell>
          <cell r="N410" t="str">
            <v>Brocha, Rodillo Industrial, Máquina Franjeadora, Etc.</v>
          </cell>
          <cell r="O410" t="str">
            <v>Para Usar con Máquina franjeadora, reduzca con 1/8 de galón.</v>
          </cell>
          <cell r="P410" t="str">
            <v>Listo para usarse con Brocha y Rodillo.</v>
          </cell>
          <cell r="Q410" t="str">
            <v>R2K4 Industrial Reducer.</v>
          </cell>
          <cell r="R410" t="str">
            <v>7 mills</v>
          </cell>
          <cell r="S410" t="str">
            <v xml:space="preserve">15-20 Min. No transitar antes de 30 Minutos.                                            </v>
          </cell>
          <cell r="T410" t="str">
            <v>-</v>
          </cell>
          <cell r="U410" t="str">
            <v>10-11 Mts cuadrados/Gl a 7 mills seco.</v>
          </cell>
          <cell r="V410" t="str">
            <v>Mate más o menos 1-2</v>
          </cell>
          <cell r="W410" t="str">
            <v>-</v>
          </cell>
          <cell r="X410" t="str">
            <v>12 meses</v>
          </cell>
          <cell r="Y410" t="str">
            <v>-</v>
          </cell>
          <cell r="Z410" t="str">
            <v>-</v>
          </cell>
          <cell r="AA410" t="str">
            <v xml:space="preserve">Finura Hegman: 3H-0 </v>
          </cell>
          <cell r="AB410" t="str">
            <v>Soraya de Quijada</v>
          </cell>
          <cell r="AC410" t="str">
            <v>SEPTIEMBRE 5,2002</v>
          </cell>
        </row>
        <row r="411">
          <cell r="A411" t="str">
            <v>A86WSA17</v>
          </cell>
          <cell r="B411" t="str">
            <v>PINTURA DE TRAFICO ALQUIDICA TTP-85E BLANCA</v>
          </cell>
          <cell r="C411" t="str">
            <v>EXTERIOR</v>
          </cell>
          <cell r="D411" t="str">
            <v>CONCRETO-ASFALTO</v>
          </cell>
          <cell r="E411" t="str">
            <v>SECA</v>
          </cell>
          <cell r="F411" t="str">
            <v>NINGUNO</v>
          </cell>
          <cell r="G411" t="str">
            <v>13.0 LBS/GL</v>
          </cell>
          <cell r="H411" t="str">
            <v>61.58%</v>
          </cell>
          <cell r="I411" t="str">
            <v>76.20%</v>
          </cell>
          <cell r="J411" t="str">
            <v>19.2%</v>
          </cell>
          <cell r="K411" t="str">
            <v>61.4%</v>
          </cell>
          <cell r="L411" t="str">
            <v>56.52</v>
          </cell>
          <cell r="M411" t="str">
            <v>70-80 KU</v>
          </cell>
          <cell r="N411" t="str">
            <v>Brocha, Rodillo Industrial, Máquina Franjeadora, Etc.</v>
          </cell>
          <cell r="O411" t="str">
            <v>Para Usar con Máquina franjeadora, reduzca con 1/8 de galón.</v>
          </cell>
          <cell r="P411" t="str">
            <v>Listo para usarse con Brocha y Rodillo.</v>
          </cell>
          <cell r="Q411" t="str">
            <v>R2K4 Industrial Reducer.</v>
          </cell>
          <cell r="R411" t="str">
            <v>7 mills</v>
          </cell>
          <cell r="S411" t="str">
            <v xml:space="preserve">15-20 Min. No transitar antes de 30 Minutos.                                            </v>
          </cell>
          <cell r="T411" t="str">
            <v>-</v>
          </cell>
          <cell r="U411" t="str">
            <v>10-11 Mts cuadrados/Gl a 7 mills seco.</v>
          </cell>
          <cell r="V411" t="str">
            <v>Mate más o menos 1-2</v>
          </cell>
          <cell r="W411" t="str">
            <v>-</v>
          </cell>
          <cell r="X411" t="str">
            <v>12 meses</v>
          </cell>
          <cell r="Y411" t="str">
            <v>-</v>
          </cell>
          <cell r="Z411" t="str">
            <v>-</v>
          </cell>
          <cell r="AA411" t="str">
            <v xml:space="preserve">Finura Hegman: 3H-0 </v>
          </cell>
          <cell r="AB411" t="str">
            <v>Soraya de Quijada</v>
          </cell>
          <cell r="AC411" t="str">
            <v>SEPTIEMBRE 5,2002</v>
          </cell>
        </row>
        <row r="412">
          <cell r="A412" t="str">
            <v>A86RSA5</v>
          </cell>
          <cell r="B412" t="str">
            <v>PINTURA DE TRAFICO ALQUIDICA TTP-85E ROJA</v>
          </cell>
          <cell r="C412" t="str">
            <v>EXTERIOR</v>
          </cell>
          <cell r="D412" t="str">
            <v>CONCRETO-ASFALTO</v>
          </cell>
          <cell r="E412" t="str">
            <v>SECA</v>
          </cell>
          <cell r="F412" t="str">
            <v>NINGUNO</v>
          </cell>
          <cell r="G412" t="str">
            <v>13.07 LBS/GL</v>
          </cell>
          <cell r="H412" t="str">
            <v>61.4%</v>
          </cell>
          <cell r="I412" t="str">
            <v>76.16%</v>
          </cell>
          <cell r="J412" t="str">
            <v>19.4%</v>
          </cell>
          <cell r="K412" t="str">
            <v>61.3%</v>
          </cell>
          <cell r="L412" t="str">
            <v>56.16</v>
          </cell>
          <cell r="M412" t="str">
            <v>70-80 KU</v>
          </cell>
          <cell r="N412" t="str">
            <v>Brocha, Rodillo Industrial, Máquina Franjeadora, Etc.</v>
          </cell>
          <cell r="O412" t="str">
            <v>Para Usar con Máquina franjeadora, reduzca con 1/8 de galón.</v>
          </cell>
          <cell r="P412" t="str">
            <v>Listo para usarse con Brocha y Rodillo.</v>
          </cell>
          <cell r="Q412" t="str">
            <v>R2K4 Industrial Reducer.</v>
          </cell>
          <cell r="R412" t="str">
            <v>7 mills</v>
          </cell>
          <cell r="S412" t="str">
            <v xml:space="preserve">15-20 Min. No transitar antes de 30 Minutos.                                             </v>
          </cell>
          <cell r="T412" t="str">
            <v>-</v>
          </cell>
          <cell r="U412" t="str">
            <v>10-11 Mts cuadrados/Gl a 7 mills seco.</v>
          </cell>
          <cell r="V412" t="str">
            <v>Mate más o menos 1-2</v>
          </cell>
          <cell r="W412" t="str">
            <v>-</v>
          </cell>
          <cell r="X412" t="str">
            <v>12 meses</v>
          </cell>
          <cell r="Y412" t="str">
            <v>-</v>
          </cell>
          <cell r="Z412" t="str">
            <v>-</v>
          </cell>
          <cell r="AA412" t="str">
            <v xml:space="preserve">Finura Hegman: 3H-0 </v>
          </cell>
          <cell r="AB412" t="str">
            <v>Soraya de Quijada</v>
          </cell>
          <cell r="AC412" t="str">
            <v>SEPTIEMBRE 5,2002</v>
          </cell>
        </row>
        <row r="413">
          <cell r="A413" t="str">
            <v>LINEA B54</v>
          </cell>
          <cell r="B413" t="str">
            <v>PINTURA INDUSTRIAL FAST DRY</v>
          </cell>
          <cell r="C413" t="str">
            <v>INTERIOR-EXTERIOR</v>
          </cell>
          <cell r="D413" t="str">
            <v>METAL</v>
          </cell>
          <cell r="E413" t="str">
            <v>LIBRE DE GRASA Y OXIDO</v>
          </cell>
          <cell r="F413" t="str">
            <v>-</v>
          </cell>
          <cell r="G413" t="str">
            <v>7.47-8.95 LBS/GL DEPENDIENDO DEL COLOR</v>
          </cell>
          <cell r="H413" t="str">
            <v>2%-22% DEPENDIENDO DEL COLOR</v>
          </cell>
          <cell r="I413" t="str">
            <v>39.7%-55.7% DEPENDIENDO DEL COLOR</v>
          </cell>
          <cell r="J413" t="str">
            <v>60%-94% DEPENDIENDO DEL COLOR</v>
          </cell>
          <cell r="K413" t="str">
            <v>3.25%-14.75% DEPENDIENDO DEL COLOR</v>
          </cell>
          <cell r="L413" t="str">
            <v>25-40 DEPENDIENDO DEL COLOR</v>
          </cell>
          <cell r="M413" t="str">
            <v>75-80 KU</v>
          </cell>
          <cell r="N413" t="str">
            <v>BROCHA-PISTOLA</v>
          </cell>
          <cell r="O413" t="str">
            <v>-</v>
          </cell>
          <cell r="P413" t="str">
            <v>PISTOLA 25% INDUSTRIAL REDUCER</v>
          </cell>
          <cell r="Q413" t="str">
            <v>R2K4 Industrial Reducer.</v>
          </cell>
          <cell r="R413" t="str">
            <v>1.0-1.5 MILLS</v>
          </cell>
          <cell r="S413" t="str">
            <v>SECO TOCAR: 15"-20". SECO COMPLETO: 2-4 HORAS</v>
          </cell>
          <cell r="T413" t="str">
            <v>-</v>
          </cell>
          <cell r="U413" t="str">
            <v>40 MTS CUADRADOS/GAL UN MILLS DE PELICULA SECA</v>
          </cell>
          <cell r="V413" t="str">
            <v>85 MIN</v>
          </cell>
          <cell r="W413" t="str">
            <v>-</v>
          </cell>
          <cell r="X413" t="str">
            <v>2 años sin Abrir.</v>
          </cell>
          <cell r="Y413" t="str">
            <v>CONSTRUCTORA ABB</v>
          </cell>
          <cell r="Z413" t="str">
            <v>-</v>
          </cell>
          <cell r="AA413" t="str">
            <v>-</v>
          </cell>
          <cell r="AB413" t="str">
            <v>Soraya de Quijada</v>
          </cell>
          <cell r="AC413" t="str">
            <v>2 DE JUNIO DEL 2003</v>
          </cell>
        </row>
        <row r="414">
          <cell r="A414" t="str">
            <v>F73 N SA59</v>
          </cell>
          <cell r="B414" t="str">
            <v>ESMALTE HORNEABLE CAFÉ CLARO ELECTROSTATICO</v>
          </cell>
          <cell r="C414" t="str">
            <v>INTERIOR-EXTERIOR</v>
          </cell>
          <cell r="D414" t="str">
            <v>ACERO</v>
          </cell>
          <cell r="E414" t="str">
            <v>Lijado #360,  libre de grasa y oxido</v>
          </cell>
          <cell r="F414" t="str">
            <v>DE SER NECESARIO PUEDE UTILIZAR MONOBAKE WHITE E68WSA1</v>
          </cell>
          <cell r="G414" t="str">
            <v>11.13 LBS/GALON</v>
          </cell>
          <cell r="H414" t="str">
            <v>27.09 %</v>
          </cell>
          <cell r="I414" t="str">
            <v>50.41 %</v>
          </cell>
          <cell r="J414" t="str">
            <v>48.24 %</v>
          </cell>
          <cell r="K414" t="str">
            <v>19.48 %</v>
          </cell>
          <cell r="L414" t="str">
            <v>32.75 %</v>
          </cell>
          <cell r="M414" t="str">
            <v>26 - 33 SEG ZANH #2</v>
          </cell>
          <cell r="N414" t="str">
            <v>PISTOLA ELECTROSTATICA</v>
          </cell>
          <cell r="O414" t="str">
            <v>IGUAL QUE ANTERIOR</v>
          </cell>
          <cell r="P414" t="str">
            <v>NINGUNO</v>
          </cell>
          <cell r="Q414" t="str">
            <v>--</v>
          </cell>
          <cell r="R414" t="str">
            <v>1.5 MILS DE PELICULA SECA</v>
          </cell>
          <cell r="S414" t="str">
            <v>HORNO CONVENCIONAL</v>
          </cell>
          <cell r="T414" t="str">
            <v>12- 15 MIN A 150°c</v>
          </cell>
          <cell r="U414" t="str">
            <v>48.75 METROS CUADRADOS A UN MILS DE PELICULA SECA</v>
          </cell>
          <cell r="V414" t="str">
            <v>18-25  60°</v>
          </cell>
          <cell r="W414" t="str">
            <v>H</v>
          </cell>
          <cell r="X414" t="str">
            <v>6 MESES</v>
          </cell>
          <cell r="Y414" t="str">
            <v>HECASA</v>
          </cell>
          <cell r="Z414" t="str">
            <v>-----</v>
          </cell>
          <cell r="AA414" t="str">
            <v>RESISTENCIA ELECTRICA = 3.5 - 4.5 MEGA OHMIOS</v>
          </cell>
          <cell r="AB414" t="str">
            <v>Ing. Juan Antonio Méndez</v>
          </cell>
          <cell r="AC414" t="str">
            <v>Noviembre, 7 2002</v>
          </cell>
        </row>
        <row r="415">
          <cell r="A415" t="str">
            <v>F73 N SA58</v>
          </cell>
          <cell r="B415" t="str">
            <v>ESMALTE HORNEABLE CAFÉ HECASA ELECTROSTATICO</v>
          </cell>
          <cell r="C415" t="str">
            <v>INTERIOR-EXTERIOR</v>
          </cell>
          <cell r="D415" t="str">
            <v>ACERO</v>
          </cell>
          <cell r="E415" t="str">
            <v>Lijado #360,  libre de grasa y oxido</v>
          </cell>
          <cell r="F415" t="str">
            <v>DE SER NECESARIO PUEDE UTILIZAR MONOBAKE WHITE E68WSA1</v>
          </cell>
          <cell r="G415" t="str">
            <v>8.49 LBS/GALON</v>
          </cell>
          <cell r="H415" t="str">
            <v>10.97%</v>
          </cell>
          <cell r="I415" t="str">
            <v>40 %</v>
          </cell>
          <cell r="J415" t="str">
            <v>45.05%</v>
          </cell>
          <cell r="K415" t="str">
            <v>9.34 %</v>
          </cell>
          <cell r="L415" t="str">
            <v>30.17 %</v>
          </cell>
          <cell r="M415" t="str">
            <v>26 - 33 SEG ZANH #2</v>
          </cell>
          <cell r="N415" t="str">
            <v>PISTOLA ELECTROSTATICA</v>
          </cell>
          <cell r="O415" t="str">
            <v>IGUAL QUE ANTERIOR</v>
          </cell>
          <cell r="P415" t="str">
            <v>NINGUNO</v>
          </cell>
          <cell r="Q415" t="str">
            <v>--</v>
          </cell>
          <cell r="R415" t="str">
            <v>1.5 MILS DE PELICULA SECA</v>
          </cell>
          <cell r="S415" t="str">
            <v>HORNO CONVENCIONAL</v>
          </cell>
          <cell r="T415" t="str">
            <v>12- 15 MIN A 150°c</v>
          </cell>
          <cell r="U415" t="str">
            <v>44.96 METROS CUADRADOS A UN MILS DE PELICULA SECA</v>
          </cell>
          <cell r="V415" t="str">
            <v>30-34    60°</v>
          </cell>
          <cell r="W415" t="str">
            <v>H</v>
          </cell>
          <cell r="X415" t="str">
            <v>6 MESES</v>
          </cell>
          <cell r="Y415" t="str">
            <v>HECASA</v>
          </cell>
          <cell r="Z415" t="str">
            <v>-----</v>
          </cell>
          <cell r="AA415" t="str">
            <v>RESISTENCIA ELECTRICA = 3.5 - 4.5 MEGA OHMIOS</v>
          </cell>
          <cell r="AB415" t="str">
            <v>Ing. Juan Antonio Méndez</v>
          </cell>
          <cell r="AC415" t="str">
            <v>Noviembre, 7 2002</v>
          </cell>
        </row>
        <row r="416">
          <cell r="A416" t="str">
            <v>F73 W SA28</v>
          </cell>
          <cell r="B416" t="str">
            <v>ESMALTE HORNEABLE BLANCO HUESO ELECTROSTATICO</v>
          </cell>
          <cell r="C416" t="str">
            <v>INTERIOR-EXTERIOR</v>
          </cell>
          <cell r="D416" t="str">
            <v>ACERO</v>
          </cell>
          <cell r="E416" t="str">
            <v>Lijado #360,  libre de grasa y oxido</v>
          </cell>
          <cell r="F416" t="str">
            <v>DE SER NECESARIO PUEDE UTILIZAR MONOBAKE WHITE E68WSA1</v>
          </cell>
          <cell r="G416" t="str">
            <v>9.27 LBS/GALON</v>
          </cell>
          <cell r="H416" t="str">
            <v>15.33 %</v>
          </cell>
          <cell r="I416" t="str">
            <v>44.21 %</v>
          </cell>
          <cell r="J416" t="str">
            <v>68.55 %</v>
          </cell>
          <cell r="K416" t="str">
            <v>13.84 %</v>
          </cell>
          <cell r="L416" t="str">
            <v>33.34 %</v>
          </cell>
          <cell r="M416" t="str">
            <v>26 - 33 SEG ZANH #2</v>
          </cell>
          <cell r="N416" t="str">
            <v>PISTOLA ELECTROSTATICA</v>
          </cell>
          <cell r="O416" t="str">
            <v>IGUAL QUE ANTERIOR</v>
          </cell>
          <cell r="P416" t="str">
            <v>NINGUNO</v>
          </cell>
          <cell r="Q416" t="str">
            <v>--</v>
          </cell>
          <cell r="R416" t="str">
            <v>1.5 MILS DE PELICULA SECA</v>
          </cell>
          <cell r="S416" t="str">
            <v>HORNO CONVENCIONAL</v>
          </cell>
          <cell r="T416" t="str">
            <v>12- 15 MIN A 150°c</v>
          </cell>
          <cell r="U416" t="str">
            <v>51.49 METROS CUADRADOS A UN MILS DE PELICULA SECA</v>
          </cell>
          <cell r="V416" t="str">
            <v>76 - 80  °60</v>
          </cell>
          <cell r="W416" t="str">
            <v>H</v>
          </cell>
          <cell r="X416" t="str">
            <v>6 MESES</v>
          </cell>
          <cell r="Y416" t="str">
            <v>HECASA</v>
          </cell>
          <cell r="Z416" t="str">
            <v>-----</v>
          </cell>
          <cell r="AA416" t="str">
            <v>RESISTENCIA ELECTRICA = 3.5 - 4.5 MEGA OHMIOS</v>
          </cell>
          <cell r="AB416" t="str">
            <v>Ing. Juan Antonio Méndez</v>
          </cell>
          <cell r="AC416" t="str">
            <v>Noviembre, 7 2002</v>
          </cell>
        </row>
        <row r="417">
          <cell r="A417" t="str">
            <v>F73 W SA29</v>
          </cell>
          <cell r="B417" t="str">
            <v>ESMALTE HORNEABLE BLANCO BRILLANTE ELECTROSTATICO</v>
          </cell>
          <cell r="C417" t="str">
            <v>INTERIOR-EXTERIOR</v>
          </cell>
          <cell r="D417" t="str">
            <v>ACERO</v>
          </cell>
          <cell r="E417" t="str">
            <v>Lijado #360,  libre de grasa y oxido</v>
          </cell>
          <cell r="F417" t="str">
            <v>DE SER NECESARIO PUEDE UTILIZAR MONOBAKE WHITE E68WSA1</v>
          </cell>
          <cell r="G417" t="str">
            <v>10.36 LBS/GALON</v>
          </cell>
          <cell r="H417" t="str">
            <v>24.78 %</v>
          </cell>
          <cell r="I417" t="str">
            <v>51.36 %</v>
          </cell>
          <cell r="J417" t="str">
            <v>50.36 %</v>
          </cell>
          <cell r="K417" t="str">
            <v>22.26 %</v>
          </cell>
          <cell r="L417" t="str">
            <v>36.67 %</v>
          </cell>
          <cell r="M417" t="str">
            <v>26 - 33 SEG ZANH #2</v>
          </cell>
          <cell r="N417" t="str">
            <v>PISTOLA ELECTROSTATICA</v>
          </cell>
          <cell r="O417" t="str">
            <v>IGUAL QUE ANTERIOR</v>
          </cell>
          <cell r="P417" t="str">
            <v>NINGUNO</v>
          </cell>
          <cell r="Q417" t="str">
            <v>--</v>
          </cell>
          <cell r="R417" t="str">
            <v>1.5 MILS DE PELICULA SECA</v>
          </cell>
          <cell r="S417" t="str">
            <v>HORNO CONVENCIONAL</v>
          </cell>
          <cell r="T417" t="str">
            <v>12- 15 MIN A 150°c</v>
          </cell>
          <cell r="U417" t="str">
            <v>54.69 METROS CUADRADOS A UN MILS DE PELICULA SECA</v>
          </cell>
          <cell r="V417" t="str">
            <v>+85     °60</v>
          </cell>
          <cell r="W417" t="str">
            <v>H</v>
          </cell>
          <cell r="X417" t="str">
            <v>6 MESES</v>
          </cell>
          <cell r="Y417" t="str">
            <v>HECASA</v>
          </cell>
          <cell r="Z417" t="str">
            <v>-----</v>
          </cell>
          <cell r="AA417" t="str">
            <v>RESISTENCIA ELECTRICA = 3.5 - 4.5 MEGA OHMIOS</v>
          </cell>
          <cell r="AB417" t="str">
            <v>Ing. Juan Antonio Méndez</v>
          </cell>
          <cell r="AC417" t="str">
            <v>Noviembre, 7 2002</v>
          </cell>
        </row>
        <row r="418">
          <cell r="A418" t="str">
            <v>F75 W SA6</v>
          </cell>
          <cell r="B418" t="str">
            <v>ESMALTE HORNEABLE INDUSTRIAL BLANCO PURO ELECTROSTATICO</v>
          </cell>
          <cell r="C418" t="str">
            <v>INTERIOR-EXTERIOR</v>
          </cell>
          <cell r="D418" t="str">
            <v>ACERO</v>
          </cell>
          <cell r="E418" t="str">
            <v>Lijado #360,  libre de grasa y oxido</v>
          </cell>
          <cell r="F418" t="str">
            <v>DE SER NECESARIO PUEDE UTILIZAR MONOBAKE WHITE E68WSA1</v>
          </cell>
          <cell r="G418" t="str">
            <v>10.31 LBS/GALON</v>
          </cell>
          <cell r="H418" t="str">
            <v>27.68%</v>
          </cell>
          <cell r="I418" t="str">
            <v>55.65 %</v>
          </cell>
          <cell r="J418" t="str">
            <v>49.91 %</v>
          </cell>
          <cell r="K418" t="str">
            <v>22.87 %</v>
          </cell>
          <cell r="L418" t="str">
            <v>39.31 %</v>
          </cell>
          <cell r="M418" t="str">
            <v>26 - 33 SEG ZANH #2</v>
          </cell>
          <cell r="N418" t="str">
            <v>PISTOLA ELECTROSTATICA</v>
          </cell>
          <cell r="O418" t="str">
            <v>IGUAL QUE ANTERIOR</v>
          </cell>
          <cell r="P418" t="str">
            <v>NINGUNO</v>
          </cell>
          <cell r="Q418" t="str">
            <v>--</v>
          </cell>
          <cell r="R418" t="str">
            <v>1.5 MILS DE PELICULA SECA</v>
          </cell>
          <cell r="S418" t="str">
            <v>HORNO CONVENCIONAL</v>
          </cell>
          <cell r="T418" t="str">
            <v>12- 15 MIN A 150°c</v>
          </cell>
          <cell r="U418" t="str">
            <v>58.57 METROS CUADRADOS A UN MILS DE PELICULA SECA</v>
          </cell>
          <cell r="V418" t="str">
            <v>+85     °60</v>
          </cell>
          <cell r="W418" t="str">
            <v>F</v>
          </cell>
          <cell r="X418" t="str">
            <v>6 MESES</v>
          </cell>
          <cell r="Y418" t="str">
            <v>HECASA</v>
          </cell>
          <cell r="Z418" t="str">
            <v>-----</v>
          </cell>
          <cell r="AA418" t="str">
            <v>RESISTENCIA ELECTRICA = 3.5 - 4.5 MEGA OHMIOS</v>
          </cell>
          <cell r="AB418" t="str">
            <v>Ing. Juan Antonio Méndez</v>
          </cell>
          <cell r="AC418" t="str">
            <v>Noviembre, 7 2002</v>
          </cell>
        </row>
        <row r="419">
          <cell r="A419" t="str">
            <v>F75 N SA8</v>
          </cell>
          <cell r="B419" t="str">
            <v>ESMALTE HORNEABLE INDUSTRIAL COPPERTONE LISO ELECTROSTATICO</v>
          </cell>
          <cell r="C419" t="str">
            <v>INTERIOR-EXTERIOR</v>
          </cell>
          <cell r="D419" t="str">
            <v>ACERO</v>
          </cell>
          <cell r="E419" t="str">
            <v>Lijado #360,  libre de grasa y oxido</v>
          </cell>
          <cell r="F419" t="str">
            <v>DE SER NECESARIO PUEDE UTILIZAR MONOBAKE WHITE E68WSA1</v>
          </cell>
          <cell r="G419" t="str">
            <v>9.39 LBS/GALON</v>
          </cell>
          <cell r="H419" t="str">
            <v>13.68 %</v>
          </cell>
          <cell r="I419" t="str">
            <v>46.82 %</v>
          </cell>
          <cell r="J419" t="str">
            <v>62.55 %</v>
          </cell>
          <cell r="K419" t="str">
            <v>10.44 %</v>
          </cell>
          <cell r="L419" t="str">
            <v>36.98 %</v>
          </cell>
          <cell r="M419" t="str">
            <v>26 - 33 SEG ZANH #2</v>
          </cell>
          <cell r="N419" t="str">
            <v>PISTOLA ELECTROSTATICA</v>
          </cell>
          <cell r="O419" t="str">
            <v>IGUAL QUE ANTERIOR</v>
          </cell>
          <cell r="P419" t="str">
            <v>NINGUNO</v>
          </cell>
          <cell r="Q419" t="str">
            <v>--</v>
          </cell>
          <cell r="R419" t="str">
            <v>1.5 MILS DE PELICULA SECA</v>
          </cell>
          <cell r="S419" t="str">
            <v>HORNO CONVENCIONAL</v>
          </cell>
          <cell r="T419" t="str">
            <v>12- 15 MIN A 150°c</v>
          </cell>
          <cell r="U419" t="str">
            <v>55.10 METROS CUADRADOS A UN MILS DE PELICULA SECA</v>
          </cell>
          <cell r="V419" t="str">
            <v>+85     °60</v>
          </cell>
          <cell r="W419" t="str">
            <v>F</v>
          </cell>
          <cell r="X419" t="str">
            <v>6 MESES</v>
          </cell>
          <cell r="Y419" t="str">
            <v>HECASA</v>
          </cell>
          <cell r="Z419" t="str">
            <v>-----</v>
          </cell>
          <cell r="AA419" t="str">
            <v>RESISTENCIA ELECTRICA = 3.5 - 4.5 MEGA OHMIOS</v>
          </cell>
          <cell r="AB419" t="str">
            <v>Ing. Juan Antonio Méndez</v>
          </cell>
          <cell r="AC419" t="str">
            <v>Noviembre, 7 2002</v>
          </cell>
        </row>
        <row r="420">
          <cell r="A420" t="str">
            <v>F75 N SA7</v>
          </cell>
          <cell r="B420" t="str">
            <v>ESMALTE HORNEABLE INDUSTRIAL CAFÉ OSCURO TEXTURIZADO ELECTROSTATICO</v>
          </cell>
          <cell r="C420" t="str">
            <v>INTERIOR-EXTERIOR</v>
          </cell>
          <cell r="D420" t="str">
            <v>ACERO</v>
          </cell>
          <cell r="E420" t="str">
            <v>Lijado #360,  libre de grasa y oxido</v>
          </cell>
          <cell r="F420" t="str">
            <v>DE SER NECESARIO PUEDE UTILIZAR MONOBAKE WHITE E68WSA1</v>
          </cell>
          <cell r="G420" t="str">
            <v>9.49 LBS/GALON</v>
          </cell>
          <cell r="H420" t="str">
            <v>10.74 %</v>
          </cell>
          <cell r="I420" t="str">
            <v>46.82 %</v>
          </cell>
          <cell r="J420" t="str">
            <v>64.38 %</v>
          </cell>
          <cell r="K420" t="str">
            <v>8.62 %</v>
          </cell>
          <cell r="L420" t="str">
            <v>36.36 %</v>
          </cell>
          <cell r="M420" t="str">
            <v>26 - 33 SEG ZANH #2</v>
          </cell>
          <cell r="N420" t="str">
            <v>PISTOLA ELECTROSTATICA</v>
          </cell>
          <cell r="O420" t="str">
            <v>IGUAL QUE ANTERIOR</v>
          </cell>
          <cell r="P420" t="str">
            <v>NINGUNO</v>
          </cell>
          <cell r="Q420" t="str">
            <v>--</v>
          </cell>
          <cell r="R420" t="str">
            <v>1.5 MILS DE PELICULA SECA</v>
          </cell>
          <cell r="S420" t="str">
            <v>HORNO CONVENCIONAL</v>
          </cell>
          <cell r="T420" t="str">
            <v>12- 15 MIN A 150°c</v>
          </cell>
          <cell r="U420" t="str">
            <v>54.18 METROS CUADRADOS A UN MILS DE PELICULA SECA</v>
          </cell>
          <cell r="V420" t="str">
            <v>70 - 80    °60</v>
          </cell>
          <cell r="W420" t="str">
            <v>F</v>
          </cell>
          <cell r="X420" t="str">
            <v>6 MESES</v>
          </cell>
          <cell r="Y420" t="str">
            <v>HECASA</v>
          </cell>
          <cell r="Z420" t="str">
            <v>----</v>
          </cell>
          <cell r="AA420" t="str">
            <v>RESISTENCIA ELECTRICA = 3.5 - 4.5 MEGA OHMIOS</v>
          </cell>
          <cell r="AB420" t="str">
            <v>Ing. Juan Antonio Méndez</v>
          </cell>
          <cell r="AC420" t="str">
            <v>Noviembre, 7 2002</v>
          </cell>
        </row>
        <row r="421">
          <cell r="A421" t="str">
            <v>F75 R SA3</v>
          </cell>
          <cell r="B421" t="str">
            <v>ESMALTE HORNEABLE INDUSTRIAL ROJO ELECTROSTATICO</v>
          </cell>
          <cell r="C421" t="str">
            <v>INTERIOR-EXTERIOR</v>
          </cell>
          <cell r="D421" t="str">
            <v>ACERO</v>
          </cell>
          <cell r="E421" t="str">
            <v>Lijado #360,  libre de grasa y oxido</v>
          </cell>
          <cell r="F421" t="str">
            <v>DE SER NECESARIO PUEDE UTILIZAR MONOBAKE WHITE E68WSA1</v>
          </cell>
          <cell r="G421" t="str">
            <v>9.28 LBS/GALON</v>
          </cell>
          <cell r="H421" t="str">
            <v>18.12 %</v>
          </cell>
          <cell r="I421" t="str">
            <v>50.10%</v>
          </cell>
          <cell r="J421" t="str">
            <v>67.25 %</v>
          </cell>
          <cell r="K421" t="str">
            <v>14.68 %</v>
          </cell>
          <cell r="L421" t="str">
            <v>36.57 %</v>
          </cell>
          <cell r="M421" t="str">
            <v>26 - 33 SEG ZANH #2</v>
          </cell>
          <cell r="N421" t="str">
            <v>PISTOLA ELECTROSTATICA</v>
          </cell>
          <cell r="O421" t="str">
            <v>IGUAL QUE ANTERIOR</v>
          </cell>
          <cell r="P421" t="str">
            <v>NINGUNO</v>
          </cell>
          <cell r="Q421" t="str">
            <v>--</v>
          </cell>
          <cell r="R421" t="str">
            <v>1.5 MILS DE PELICULA SECA</v>
          </cell>
          <cell r="S421" t="str">
            <v>HORNO CONVENCIONAL</v>
          </cell>
          <cell r="T421" t="str">
            <v>12- 15 MIN A 150°c</v>
          </cell>
          <cell r="U421" t="str">
            <v>54.48 METROS CUADRADOS A UN MILS DE PELICULA SECA</v>
          </cell>
          <cell r="V421" t="str">
            <v>70 - 80    °60</v>
          </cell>
          <cell r="W421" t="str">
            <v>F</v>
          </cell>
          <cell r="X421" t="str">
            <v>6 MESES</v>
          </cell>
          <cell r="Y421" t="str">
            <v>HECASA</v>
          </cell>
          <cell r="Z421" t="str">
            <v>----</v>
          </cell>
          <cell r="AA421" t="str">
            <v>RESISTENCIA ELECTRICA = 3.5 - 4.5 MEGA OHMIOS</v>
          </cell>
          <cell r="AB421" t="str">
            <v>Ing. Juan Antonio Méndez</v>
          </cell>
          <cell r="AC421" t="str">
            <v>Noviembre, 7 2002</v>
          </cell>
        </row>
        <row r="422">
          <cell r="A422" t="str">
            <v>B66YSA2</v>
          </cell>
          <cell r="B422" t="str">
            <v>DIRECT-TO-METAL PRIMER YELLOW OXIDE SW-PDV-300</v>
          </cell>
          <cell r="C422" t="str">
            <v>INTERIOR-EXTERIOR</v>
          </cell>
          <cell r="D422" t="str">
            <v>METAL</v>
          </cell>
          <cell r="E422" t="str">
            <v>LIBRE DE GRASA Y OXIDO</v>
          </cell>
          <cell r="F422" t="str">
            <v>-</v>
          </cell>
          <cell r="G422" t="str">
            <v>10.97 LBS/GL</v>
          </cell>
          <cell r="H422" t="str">
            <v>33.60%</v>
          </cell>
          <cell r="I422" t="str">
            <v>55.24%</v>
          </cell>
          <cell r="J422" t="str">
            <v>21.64%</v>
          </cell>
          <cell r="K422" t="str">
            <v>34.44%</v>
          </cell>
          <cell r="L422" t="str">
            <v>42.32</v>
          </cell>
          <cell r="M422" t="str">
            <v>90-100 KU</v>
          </cell>
          <cell r="N422" t="str">
            <v>BROCHA-PISTOLA</v>
          </cell>
          <cell r="O422" t="str">
            <v>-</v>
          </cell>
          <cell r="P422" t="str">
            <v>25% MAX</v>
          </cell>
          <cell r="Q422" t="str">
            <v>AGUA</v>
          </cell>
          <cell r="R422" t="str">
            <v>1.5 MILS DE PELICULA SECA</v>
          </cell>
          <cell r="S422" t="str">
            <v>AL AIRE</v>
          </cell>
          <cell r="T422" t="str">
            <v>-</v>
          </cell>
          <cell r="U422" t="str">
            <v>60 Mts Cuadrados/Gl a 1 mills de espesor.</v>
          </cell>
          <cell r="V422" t="str">
            <v>MATE</v>
          </cell>
          <cell r="W422" t="str">
            <v>-</v>
          </cell>
          <cell r="X422" t="str">
            <v>1 AÑO</v>
          </cell>
          <cell r="Y422" t="str">
            <v>CITGO</v>
          </cell>
          <cell r="Z422" t="str">
            <v>-</v>
          </cell>
          <cell r="AB422" t="str">
            <v>Soraya de Quijada</v>
          </cell>
          <cell r="AC422">
            <v>37593</v>
          </cell>
        </row>
        <row r="423">
          <cell r="A423" t="str">
            <v>F1LSA7</v>
          </cell>
          <cell r="B423" t="str">
            <v>KEM TRANSPORT METALLIC BLUE SW-PDV-100</v>
          </cell>
          <cell r="C423" t="str">
            <v>INTERIOR-EXTERIOR</v>
          </cell>
          <cell r="D423" t="str">
            <v>HIERRO- ACERO</v>
          </cell>
          <cell r="E423" t="str">
            <v>LIJADO #320, LIBRE DE GRASA Y OXIDO</v>
          </cell>
          <cell r="F423" t="str">
            <v>E3 A 4801, KEM PRIMER NEUTRAL GRAY</v>
          </cell>
          <cell r="G423" t="str">
            <v>7.52 LBS/GAL</v>
          </cell>
          <cell r="H423" t="str">
            <v>3.93%</v>
          </cell>
          <cell r="I423" t="str">
            <v>45.90 %</v>
          </cell>
          <cell r="J423" t="str">
            <v>89.80 %</v>
          </cell>
          <cell r="K423" t="str">
            <v>6.29 %</v>
          </cell>
          <cell r="L423" t="str">
            <v>38.63%</v>
          </cell>
          <cell r="M423" t="str">
            <v>70 - 80 KU</v>
          </cell>
          <cell r="N423" t="str">
            <v>PISTOLA</v>
          </cell>
          <cell r="O423" t="str">
            <v>18 - 22 SEG ZANH #2</v>
          </cell>
          <cell r="P423" t="str">
            <v xml:space="preserve">40 - 50% </v>
          </cell>
          <cell r="Q423" t="str">
            <v>R4K183 o R2K1</v>
          </cell>
          <cell r="R423" t="str">
            <v>1.5 MILS DE PELICULA SECA</v>
          </cell>
          <cell r="S423" t="str">
            <v>AL AIRE</v>
          </cell>
          <cell r="T423" t="str">
            <v>NINGUNO</v>
          </cell>
          <cell r="U423" t="str">
            <v>57.55 metros cuadrados por galón a un mils de pelicula seca</v>
          </cell>
          <cell r="V423" t="str">
            <v>70 - 80      (°60)</v>
          </cell>
          <cell r="W423" t="str">
            <v>-</v>
          </cell>
          <cell r="X423" t="str">
            <v>1 año</v>
          </cell>
          <cell r="Y423" t="str">
            <v>CITGO</v>
          </cell>
          <cell r="Z423" t="str">
            <v>SE DESCONOCE</v>
          </cell>
          <cell r="AA423" t="str">
            <v>-</v>
          </cell>
          <cell r="AB423" t="str">
            <v>Ing. Juan Antonio Méndez</v>
          </cell>
          <cell r="AC423">
            <v>37593</v>
          </cell>
        </row>
        <row r="424">
          <cell r="A424" t="str">
            <v>A48NSA11</v>
          </cell>
          <cell r="B424" t="str">
            <v>OIL STAIN CAFÉ ESPECIAL RADISSON</v>
          </cell>
          <cell r="C424" t="str">
            <v>INTERIOR</v>
          </cell>
          <cell r="D424" t="str">
            <v>MADERA</v>
          </cell>
          <cell r="E424" t="str">
            <v>LIJADA, LIBRE DE POLVO Y GRASA</v>
          </cell>
          <cell r="F424" t="str">
            <v>-</v>
          </cell>
          <cell r="G424" t="str">
            <v>7.59 LBS/GL</v>
          </cell>
          <cell r="H424" t="str">
            <v>4%</v>
          </cell>
          <cell r="I424" t="str">
            <v>34.35%</v>
          </cell>
          <cell r="J424" t="str">
            <v>30.58%</v>
          </cell>
          <cell r="K424" t="str">
            <v>5.96%</v>
          </cell>
          <cell r="L424" t="str">
            <v>25.0%</v>
          </cell>
          <cell r="M424" t="str">
            <v>9"-11"</v>
          </cell>
          <cell r="N424" t="str">
            <v>PISTOLA-MANUAL CON PAÑO LIMPIO</v>
          </cell>
          <cell r="O424" t="str">
            <v>LA MISMA</v>
          </cell>
          <cell r="P424" t="str">
            <v>NINGUNO</v>
          </cell>
          <cell r="Q424" t="str">
            <v>EN CASO DE SER NECESARIO R1K4 MINERAL SPIRITS</v>
          </cell>
          <cell r="R424" t="str">
            <v>-</v>
          </cell>
          <cell r="S424" t="str">
            <v>AL AIRE</v>
          </cell>
          <cell r="T424" t="str">
            <v>-</v>
          </cell>
          <cell r="U424" t="str">
            <v>37.25 METROS CUADRADOS/GL A UN MILS DE PELICULA SECA</v>
          </cell>
          <cell r="V424" t="str">
            <v>-</v>
          </cell>
          <cell r="W424" t="str">
            <v>-</v>
          </cell>
          <cell r="X424" t="str">
            <v>1 AÑO</v>
          </cell>
          <cell r="Y424" t="str">
            <v>HOTEL RADISSON</v>
          </cell>
          <cell r="Z424" t="str">
            <v>Muebles de Madera.</v>
          </cell>
          <cell r="AA424" t="str">
            <v>EL PRODUCTO PASO LAS PRUEBAS DE ESTABILIDAD, LO QUE GARANTIZA QUE ESTA MEZCLA ES ESTABLE EN UN TIEMPO  DE 1 AÑO SIN DESTAPARSE.</v>
          </cell>
          <cell r="AB424" t="str">
            <v>Soraya de Quijada</v>
          </cell>
          <cell r="AC424" t="str">
            <v>ENERO 28, 2003</v>
          </cell>
        </row>
        <row r="425">
          <cell r="A425" t="str">
            <v>A48NSA12</v>
          </cell>
          <cell r="B425" t="str">
            <v>OIL STAIN CAFÉ ROJIZO RADISSON</v>
          </cell>
          <cell r="C425" t="str">
            <v>INTERIOR</v>
          </cell>
          <cell r="D425" t="str">
            <v>MADERA</v>
          </cell>
          <cell r="E425" t="str">
            <v>LIJADA, LIBRE DE POLVO Y GRASA</v>
          </cell>
          <cell r="F425" t="str">
            <v>-</v>
          </cell>
          <cell r="G425" t="str">
            <v>7.82 lbs/gl</v>
          </cell>
          <cell r="H425" t="str">
            <v>13%</v>
          </cell>
          <cell r="I425" t="str">
            <v>28.23%</v>
          </cell>
          <cell r="J425" t="str">
            <v>15.43%</v>
          </cell>
          <cell r="K425" t="str">
            <v>18.10%</v>
          </cell>
          <cell r="L425" t="str">
            <v>16.18%</v>
          </cell>
          <cell r="M425" t="str">
            <v>9"-11"</v>
          </cell>
          <cell r="N425" t="str">
            <v>PISTOLA-MANUAL CON PAÑO LIMPIO</v>
          </cell>
          <cell r="O425" t="str">
            <v>LA MISMA</v>
          </cell>
          <cell r="P425" t="str">
            <v>NINGUNO</v>
          </cell>
          <cell r="Q425" t="str">
            <v>EN CASO DE SER NECESARIO R1K4 MINERAL SPIRITS</v>
          </cell>
          <cell r="R425" t="str">
            <v>-</v>
          </cell>
          <cell r="S425" t="str">
            <v>AL AIRE</v>
          </cell>
          <cell r="T425" t="str">
            <v>-</v>
          </cell>
          <cell r="U425" t="str">
            <v>24.11 METROS CUADRADOS/GL A UN MILS DE PELICULA SECA</v>
          </cell>
          <cell r="V425" t="str">
            <v>-</v>
          </cell>
          <cell r="W425" t="str">
            <v>-</v>
          </cell>
          <cell r="X425" t="str">
            <v>2 años sin Abrir.</v>
          </cell>
          <cell r="Y425" t="str">
            <v>HOTEL RADISSON</v>
          </cell>
          <cell r="Z425" t="str">
            <v>Muebles de Madera.</v>
          </cell>
          <cell r="AB425" t="str">
            <v>Soraya de Quijada</v>
          </cell>
          <cell r="AC425" t="str">
            <v>ENERO 28, 2003</v>
          </cell>
        </row>
        <row r="426">
          <cell r="A426" t="str">
            <v>V2V109</v>
          </cell>
          <cell r="B426" t="str">
            <v>WAX SOLUTION</v>
          </cell>
          <cell r="C426" t="str">
            <v>EXTERIOR</v>
          </cell>
          <cell r="D426" t="str">
            <v xml:space="preserve">METAL </v>
          </cell>
          <cell r="E426" t="str">
            <v>LIMPIA Y SECA</v>
          </cell>
          <cell r="F426" t="str">
            <v>NINGUNO</v>
          </cell>
          <cell r="G426" t="str">
            <v>7.53</v>
          </cell>
          <cell r="H426" t="str">
            <v>0.0</v>
          </cell>
          <cell r="I426" t="str">
            <v>18.8</v>
          </cell>
          <cell r="J426" t="str">
            <v>0.0</v>
          </cell>
          <cell r="K426" t="str">
            <v>0.0</v>
          </cell>
          <cell r="L426" t="str">
            <v>15.72</v>
          </cell>
          <cell r="M426" t="str">
            <v>43SEG FORD#4</v>
          </cell>
          <cell r="N426" t="str">
            <v>BROCHA</v>
          </cell>
          <cell r="O426" t="str">
            <v>LISTO A USAR</v>
          </cell>
          <cell r="P426" t="str">
            <v>NINGUNO</v>
          </cell>
          <cell r="Q426" t="str">
            <v>NINGUNO</v>
          </cell>
          <cell r="R426" t="str">
            <v>5-10MILS</v>
          </cell>
          <cell r="S426" t="str">
            <v>AL AIRE</v>
          </cell>
          <cell r="T426" t="str">
            <v>-</v>
          </cell>
          <cell r="U426" t="str">
            <v>28MTS CUADRADOS A 1 MILS</v>
          </cell>
          <cell r="V426" t="str">
            <v>MATE</v>
          </cell>
          <cell r="W426" t="str">
            <v>2B-B</v>
          </cell>
          <cell r="X426" t="str">
            <v>1AÑO SIN DESTAPARSE Y A 25°C</v>
          </cell>
          <cell r="Y426" t="str">
            <v>ASTALDI</v>
          </cell>
        </row>
        <row r="427">
          <cell r="A427" t="str">
            <v>SAA 5760</v>
          </cell>
          <cell r="B427" t="str">
            <v>TAPAPORO PARA MADERA DE SECADO RAIDO</v>
          </cell>
          <cell r="C427" t="str">
            <v>INTERIOR</v>
          </cell>
          <cell r="D427" t="str">
            <v xml:space="preserve">MADERA NUEVA </v>
          </cell>
          <cell r="E427" t="str">
            <v>MADERA NUEVA: LIJADO #150, LIBRE DE POLVILLO. MADERA VIEJA: LIJADO #150, LIBRE DE GRASA, ACEITE, LIMPIA Y SECA</v>
          </cell>
          <cell r="F427" t="str">
            <v>NINGUNO</v>
          </cell>
          <cell r="G427" t="str">
            <v>10.59 LBS/GALON</v>
          </cell>
          <cell r="H427" t="str">
            <v>0.0 %</v>
          </cell>
          <cell r="I427" t="str">
            <v>58.62%</v>
          </cell>
          <cell r="J427" t="str">
            <v>16.54%</v>
          </cell>
          <cell r="K427" t="str">
            <v>65.99 %</v>
          </cell>
          <cell r="L427" t="str">
            <v>36.32 %</v>
          </cell>
          <cell r="M427" t="str">
            <v>29,000 - 32,000 Cps</v>
          </cell>
          <cell r="N427" t="str">
            <v>BROCHA, ESPATULA</v>
          </cell>
          <cell r="P427" t="str">
            <v>REDUCIR 3 PARTES DE TAPAPORO CON 1 PARTE POR VOLUMEN DE SOLVENTE</v>
          </cell>
          <cell r="Q427" t="str">
            <v>OPEX LACQUER THINNER R7K128</v>
          </cell>
          <cell r="R427" t="str">
            <v>-</v>
          </cell>
          <cell r="S427" t="str">
            <v>AL AIRE</v>
          </cell>
          <cell r="T427" t="str">
            <v>-</v>
          </cell>
          <cell r="U427" t="str">
            <v>DEPENDE DEL RELLENO</v>
          </cell>
          <cell r="V427" t="str">
            <v>MATE</v>
          </cell>
          <cell r="W427" t="str">
            <v>-</v>
          </cell>
          <cell r="X427" t="str">
            <v>1 AÑO SIN DESTAPARSE MANTENIENDOSE A25°c Y 45-65 % H.R</v>
          </cell>
          <cell r="Y427" t="str">
            <v>DERIMASA</v>
          </cell>
          <cell r="Z427" t="str">
            <v>Muebles de Madera</v>
          </cell>
          <cell r="AA427" t="str">
            <v>-</v>
          </cell>
          <cell r="AB427" t="str">
            <v>Juan Antonio Méndez</v>
          </cell>
          <cell r="AC427" t="str">
            <v>Febrero 3, 2003</v>
          </cell>
        </row>
        <row r="428">
          <cell r="A428" t="str">
            <v>F63FSA1</v>
          </cell>
          <cell r="B428" t="str">
            <v>Barniz H.S Transparente Mate</v>
          </cell>
          <cell r="C428" t="str">
            <v>Interior</v>
          </cell>
          <cell r="D428" t="str">
            <v>Madera</v>
          </cell>
          <cell r="E428" t="str">
            <v>Lijado+Tapaporo+Tinte+Primer E65</v>
          </cell>
          <cell r="F428" t="str">
            <v>Poliuretano E65FSA1</v>
          </cell>
          <cell r="G428" t="str">
            <v>7.71 Lbs/Gl</v>
          </cell>
          <cell r="H428" t="str">
            <v>4.9</v>
          </cell>
          <cell r="I428" t="str">
            <v>26.37</v>
          </cell>
          <cell r="J428" t="str">
            <v>20.6</v>
          </cell>
          <cell r="K428" t="str">
            <v>13.98</v>
          </cell>
          <cell r="L428" t="str">
            <v>18.88</v>
          </cell>
          <cell r="M428" t="str">
            <v>18-20 seg copa zanh#2</v>
          </cell>
          <cell r="N428" t="str">
            <v>Pistola</v>
          </cell>
          <cell r="O428" t="str">
            <v>18"-20" Copa Ford #4</v>
          </cell>
          <cell r="P428" t="str">
            <v>Ninguno</v>
          </cell>
          <cell r="Q428" t="str">
            <v>NINGUNO</v>
          </cell>
          <cell r="R428" t="str">
            <v>1 mills</v>
          </cell>
          <cell r="S428" t="str">
            <v xml:space="preserve"> Catalizado 1/16 DE V6V690 por galón. Secado al aire</v>
          </cell>
          <cell r="T428" t="str">
            <v>Catalizar con  1/16 V6V690 por galón.</v>
          </cell>
          <cell r="U428" t="str">
            <v>28 mts Cuadrados/Gl a 1 mills de espesor</v>
          </cell>
          <cell r="V428" t="str">
            <v>5-7</v>
          </cell>
          <cell r="W428" t="str">
            <v>-</v>
          </cell>
          <cell r="X428" t="str">
            <v>1 año</v>
          </cell>
          <cell r="Y428" t="str">
            <v>varios</v>
          </cell>
          <cell r="Z428" t="str">
            <v>Muebles de Madera.</v>
          </cell>
          <cell r="AA428" t="str">
            <v>-</v>
          </cell>
          <cell r="AB428" t="str">
            <v>Rigoberto Montalvo</v>
          </cell>
          <cell r="AC428">
            <v>37679</v>
          </cell>
        </row>
        <row r="429">
          <cell r="A429" t="str">
            <v>F75NSA5</v>
          </cell>
          <cell r="B429" t="str">
            <v>Esmalte Horneable Alk. Indutrial Café</v>
          </cell>
          <cell r="C429" t="str">
            <v>Interior-Exterior</v>
          </cell>
          <cell r="D429" t="str">
            <v>acero</v>
          </cell>
          <cell r="E429" t="str">
            <v>Limpieza y Desengrase</v>
          </cell>
          <cell r="F429" t="str">
            <v>ninguno</v>
          </cell>
          <cell r="G429" t="str">
            <v>8.34 Lbs / galon</v>
          </cell>
          <cell r="H429" t="str">
            <v>6.23</v>
          </cell>
          <cell r="I429" t="str">
            <v>47.62</v>
          </cell>
          <cell r="J429" t="str">
            <v>85.44</v>
          </cell>
          <cell r="K429" t="str">
            <v>4.34</v>
          </cell>
          <cell r="L429" t="str">
            <v>37.81</v>
          </cell>
          <cell r="M429" t="str">
            <v>95-105 seg copa zanh #2</v>
          </cell>
          <cell r="N429" t="str">
            <v>Pistola</v>
          </cell>
          <cell r="O429" t="str">
            <v>18-22 seg copa zanh #2</v>
          </cell>
          <cell r="P429" t="str">
            <v>20-25%</v>
          </cell>
          <cell r="Q429" t="str">
            <v>R2K4 Industrial Reducer.</v>
          </cell>
          <cell r="R429" t="str">
            <v>1-1.5 mills</v>
          </cell>
          <cell r="S429" t="str">
            <v>Al horno</v>
          </cell>
          <cell r="T429" t="str">
            <v>15 Min. A 300°F</v>
          </cell>
          <cell r="U429" t="str">
            <v>56.34 m2/gal</v>
          </cell>
          <cell r="V429" t="str">
            <v>80-90</v>
          </cell>
          <cell r="W429" t="str">
            <v>F-H</v>
          </cell>
          <cell r="X429" t="str">
            <v>6-12 meses</v>
          </cell>
          <cell r="Y429" t="str">
            <v>varios</v>
          </cell>
          <cell r="AB429" t="str">
            <v>Nelson Acosta</v>
          </cell>
          <cell r="AC429" t="str">
            <v>marzo 20, 2003</v>
          </cell>
        </row>
        <row r="430">
          <cell r="A430" t="str">
            <v>62-90-253</v>
          </cell>
          <cell r="B430" t="str">
            <v>PERLA DE VIDRIO DROP ON</v>
          </cell>
          <cell r="C430" t="str">
            <v>EXTERIOR</v>
          </cell>
          <cell r="D430" t="str">
            <v>-</v>
          </cell>
          <cell r="E430" t="str">
            <v>-</v>
          </cell>
          <cell r="F430" t="str">
            <v>-</v>
          </cell>
          <cell r="G430" t="str">
            <v>-</v>
          </cell>
          <cell r="H430" t="str">
            <v>-</v>
          </cell>
          <cell r="I430" t="str">
            <v>100%</v>
          </cell>
          <cell r="J430" t="str">
            <v>-</v>
          </cell>
          <cell r="K430" t="str">
            <v>-</v>
          </cell>
          <cell r="L430" t="str">
            <v>100%</v>
          </cell>
          <cell r="M430" t="str">
            <v>SOLIDO</v>
          </cell>
          <cell r="N430" t="str">
            <v>DROP ON (ESPARCIDO SOBRE LA PELICULA DE PINTURA)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 t="str">
            <v>-</v>
          </cell>
          <cell r="V430" t="str">
            <v>-</v>
          </cell>
          <cell r="W430" t="str">
            <v>-</v>
          </cell>
          <cell r="X430" t="str">
            <v>-</v>
          </cell>
          <cell r="Y430" t="str">
            <v>-</v>
          </cell>
          <cell r="Z430" t="str">
            <v>-</v>
          </cell>
          <cell r="AA430" t="str">
            <v>LAS PARTICULAS SON ESFERICAS CONTENIENDO NO MAS DEL 30% DE IRREGULARIDAD Y PRESENTAN UN INDICE DE REFRACCION EN UN RANGO DE 1.5 A 1.6. SON QUIMICAMENTE ESTABLES</v>
          </cell>
          <cell r="AB430" t="str">
            <v>Soraya de Quijada</v>
          </cell>
          <cell r="AC430">
            <v>37656</v>
          </cell>
        </row>
        <row r="431">
          <cell r="A431" t="str">
            <v>D62BSA1</v>
          </cell>
          <cell r="B431" t="str">
            <v>PINTURA VINILICA PARA MARCAR SACOS</v>
          </cell>
          <cell r="C431" t="str">
            <v>INTERIOR-EXTERIOR</v>
          </cell>
          <cell r="D431" t="str">
            <v>SACOS DE PLASTICO Y DE MAGUEY</v>
          </cell>
          <cell r="E431" t="str">
            <v>LIMPIA Y LIBRE DE GRASA</v>
          </cell>
          <cell r="F431" t="str">
            <v>-</v>
          </cell>
          <cell r="G431" t="str">
            <v>9.79 LBS/GL</v>
          </cell>
          <cell r="H431" t="str">
            <v>19.8%</v>
          </cell>
          <cell r="I431" t="str">
            <v>37.41%</v>
          </cell>
          <cell r="J431" t="str">
            <v>17.6%</v>
          </cell>
          <cell r="K431" t="str">
            <v>33.87%</v>
          </cell>
          <cell r="L431" t="str">
            <v>27.13%</v>
          </cell>
          <cell r="M431" t="str">
            <v>25"-30" copa SW #4</v>
          </cell>
          <cell r="N431" t="str">
            <v>BROCHUELO O LA QUE EL CLIENTE ADAPTE AL PROCESO</v>
          </cell>
          <cell r="O431" t="str">
            <v>-</v>
          </cell>
          <cell r="P431" t="str">
            <v>LA QUE SEA NECESARIA</v>
          </cell>
          <cell r="Q431" t="str">
            <v>AGUA</v>
          </cell>
          <cell r="R431" t="str">
            <v>1-1.5 MILLS</v>
          </cell>
          <cell r="S431" t="str">
            <v>AL AIRE</v>
          </cell>
          <cell r="T431" t="str">
            <v>-</v>
          </cell>
          <cell r="U431" t="str">
            <v xml:space="preserve">40 MTS CUADRADOS/GL A 1 MILLS DE ESPESOR.  </v>
          </cell>
          <cell r="V431" t="str">
            <v>MATE</v>
          </cell>
          <cell r="W431" t="str">
            <v>-</v>
          </cell>
          <cell r="X431" t="str">
            <v>2 AÑOS</v>
          </cell>
          <cell r="Y431" t="str">
            <v>-</v>
          </cell>
          <cell r="Z431" t="str">
            <v>-</v>
          </cell>
          <cell r="AA431" t="str">
            <v>PRODUCTO LIBRE DE PLOMO Y MERCURIO.</v>
          </cell>
          <cell r="AB431" t="str">
            <v>Soraya de Quijada</v>
          </cell>
          <cell r="AC431">
            <v>37960</v>
          </cell>
        </row>
        <row r="432">
          <cell r="A432" t="str">
            <v>SAA 5920</v>
          </cell>
          <cell r="B432" t="str">
            <v>ANTICORROSIVO FAST DRY CHROMATO NARANJA</v>
          </cell>
          <cell r="C432" t="str">
            <v>INTERIOR-EXTERIOR</v>
          </cell>
          <cell r="D432" t="str">
            <v>ACERO</v>
          </cell>
          <cell r="E432" t="str">
            <v>LIMPIA Y LIBRE DE GRASA</v>
          </cell>
          <cell r="F432" t="str">
            <v>-</v>
          </cell>
          <cell r="G432" t="str">
            <v>11.47 LBS/GL</v>
          </cell>
          <cell r="H432" t="str">
            <v>39%</v>
          </cell>
          <cell r="I432" t="str">
            <v>63.2%</v>
          </cell>
          <cell r="J432" t="str">
            <v>24.43%</v>
          </cell>
          <cell r="K432" t="str">
            <v>30%</v>
          </cell>
          <cell r="L432" t="str">
            <v>42%</v>
          </cell>
          <cell r="M432" t="str">
            <v>80-85 KU</v>
          </cell>
          <cell r="N432" t="str">
            <v>PISTOLA</v>
          </cell>
          <cell r="O432" t="str">
            <v>-</v>
          </cell>
          <cell r="P432" t="str">
            <v>LA QUE SEA NECESARIA</v>
          </cell>
          <cell r="Q432" t="str">
            <v>INDUSTRIAL REDUCER R7K54</v>
          </cell>
          <cell r="R432" t="str">
            <v>1-1.5 MILLS</v>
          </cell>
          <cell r="S432" t="str">
            <v>AL AIRE. SECO TOCAR: 10 MIN;  MANEJAR 30 MIN; SECO COMPLETO 1 HORA</v>
          </cell>
          <cell r="T432" t="str">
            <v>-</v>
          </cell>
          <cell r="U432" t="str">
            <v xml:space="preserve">60 MTS CUADRADOS/GL A 1 MILLS DE ESPESOR.  </v>
          </cell>
          <cell r="V432" t="str">
            <v>25-30 UNIDADES</v>
          </cell>
          <cell r="W432" t="str">
            <v>-</v>
          </cell>
          <cell r="X432" t="str">
            <v>2 AÑOS</v>
          </cell>
          <cell r="Z432" t="str">
            <v>INDUSTRIA DE LA CONSTRUCCION</v>
          </cell>
          <cell r="AA432" t="str">
            <v>PRODUCTO PLOMADO</v>
          </cell>
          <cell r="AB432" t="str">
            <v>Soraya de Quijada</v>
          </cell>
          <cell r="AC432">
            <v>37760</v>
          </cell>
        </row>
        <row r="433">
          <cell r="A433" t="str">
            <v>SAA 5921</v>
          </cell>
          <cell r="B433" t="str">
            <v>ESMALTE FAST DRY BLANCO</v>
          </cell>
          <cell r="C433" t="str">
            <v>INTERIOR-EXTERIOR</v>
          </cell>
          <cell r="D433" t="str">
            <v>ACERO</v>
          </cell>
          <cell r="E433" t="str">
            <v>LIMPIA Y LIBRE DE GRASA</v>
          </cell>
          <cell r="F433" t="str">
            <v>-</v>
          </cell>
          <cell r="G433" t="str">
            <v>10.25 LBS /GL</v>
          </cell>
          <cell r="H433" t="str">
            <v>37.25%</v>
          </cell>
          <cell r="I433" t="str">
            <v>60%</v>
          </cell>
          <cell r="J433" t="str">
            <v>30%</v>
          </cell>
          <cell r="K433" t="str">
            <v>28%</v>
          </cell>
          <cell r="L433" t="str">
            <v>44%</v>
          </cell>
          <cell r="M433" t="str">
            <v>80-85 KU</v>
          </cell>
          <cell r="N433" t="str">
            <v>PISTOLA</v>
          </cell>
          <cell r="O433" t="str">
            <v>-</v>
          </cell>
          <cell r="P433" t="str">
            <v>LA QUE SEA NECESARIA</v>
          </cell>
          <cell r="Q433" t="str">
            <v>INDUSTRIAL REDUCER R7K54</v>
          </cell>
          <cell r="R433" t="str">
            <v>1-1.5 MILLS</v>
          </cell>
          <cell r="S433" t="str">
            <v>AL AIRE. SECO TOCAR: 10 MIN;  MANEJAR 30 MIN; SECO COMPLETO 1 HORA</v>
          </cell>
          <cell r="T433" t="str">
            <v>-</v>
          </cell>
          <cell r="U433" t="str">
            <v xml:space="preserve">65 MTS CUADRADOS/GL A 1 MILLS DE ESPESOR.  </v>
          </cell>
          <cell r="V433" t="str">
            <v>25-30 UNIDADES</v>
          </cell>
          <cell r="W433" t="str">
            <v>-</v>
          </cell>
          <cell r="X433" t="str">
            <v>2 AÑOS</v>
          </cell>
          <cell r="Y433" t="str">
            <v>ACEROS ARQUITECTONICOS-GUATEMALA</v>
          </cell>
          <cell r="Z433" t="str">
            <v>INDUSTRIA DE LA CONSTRUCCION</v>
          </cell>
          <cell r="AB433" t="str">
            <v>Soraya de Quijada</v>
          </cell>
          <cell r="AC433">
            <v>37760</v>
          </cell>
        </row>
        <row r="434">
          <cell r="A434" t="str">
            <v>SAA5922</v>
          </cell>
          <cell r="B434" t="str">
            <v>SOLVENTE PARA LACAS</v>
          </cell>
          <cell r="C434" t="str">
            <v>-</v>
          </cell>
          <cell r="D434" t="str">
            <v>-</v>
          </cell>
          <cell r="E434" t="str">
            <v>-</v>
          </cell>
          <cell r="F434" t="str">
            <v>-</v>
          </cell>
          <cell r="G434" t="str">
            <v>6.9 Lb/Gl</v>
          </cell>
          <cell r="H434" t="str">
            <v>-</v>
          </cell>
          <cell r="I434" t="str">
            <v>-</v>
          </cell>
          <cell r="J434" t="str">
            <v>-</v>
          </cell>
          <cell r="L434" t="str">
            <v>-</v>
          </cell>
          <cell r="M434" t="str">
            <v>-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 t="str">
            <v>-</v>
          </cell>
          <cell r="V434" t="str">
            <v>-</v>
          </cell>
          <cell r="W434" t="str">
            <v>-</v>
          </cell>
          <cell r="X434" t="str">
            <v>6 meses correctamente tapado y almacenado a 25°C</v>
          </cell>
          <cell r="Y434" t="str">
            <v>VARIOS</v>
          </cell>
          <cell r="Z434" t="str">
            <v>-</v>
          </cell>
          <cell r="AA434" t="str">
            <v>Usese sólo en lugares bien ventilados, evite respirar sus vapores o el contacto con la piel.</v>
          </cell>
          <cell r="AB434" t="str">
            <v>Rigoberto Montalvo</v>
          </cell>
          <cell r="AC434" t="str">
            <v>Mayo 15, 2003</v>
          </cell>
        </row>
        <row r="435">
          <cell r="A435" t="str">
            <v>SAA 5876</v>
          </cell>
          <cell r="B435" t="str">
            <v>WASHCOAT 1411</v>
          </cell>
          <cell r="C435" t="str">
            <v>INTERIOR</v>
          </cell>
          <cell r="D435" t="str">
            <v>MADERA</v>
          </cell>
          <cell r="E435" t="str">
            <v>NINGUNO</v>
          </cell>
          <cell r="F435" t="str">
            <v xml:space="preserve">APLICAR 1-2 MANOS SOBRE SISTEMA TAPAPORO + TINTES </v>
          </cell>
          <cell r="G435" t="str">
            <v>7.39 LBS/GALON</v>
          </cell>
          <cell r="H435" t="str">
            <v>0.0 %</v>
          </cell>
          <cell r="I435" t="str">
            <v>19.74 %</v>
          </cell>
          <cell r="J435" t="str">
            <v>82.07 %</v>
          </cell>
          <cell r="K435" t="str">
            <v>5.40%</v>
          </cell>
          <cell r="L435" t="str">
            <v>14.25 %</v>
          </cell>
          <cell r="M435" t="str">
            <v>14-17 SEG  ZAHN #2</v>
          </cell>
          <cell r="N435" t="str">
            <v>PISTOLA</v>
          </cell>
          <cell r="O435" t="str">
            <v>IGUAL QUE ORIGINAL</v>
          </cell>
          <cell r="P435" t="str">
            <v>NINGUNO. DE SER NECESARIO CON THINNER R7K128</v>
          </cell>
          <cell r="Q435" t="str">
            <v>THINNER R7K128</v>
          </cell>
          <cell r="R435" t="str">
            <v xml:space="preserve">0.8-1.2 MILS </v>
          </cell>
          <cell r="S435" t="str">
            <v>AL AIRE,  SECO TOCAR 4 MIN SECO PARA LIJAR 7 MIN A CONDICIONES DE 25 °C Y 50% HR.</v>
          </cell>
          <cell r="T435" t="str">
            <v>-</v>
          </cell>
          <cell r="U435" t="str">
            <v>42 METROS CUADRADOS / GALON  A 1 MILS DE PELICULA SECA</v>
          </cell>
          <cell r="V435" t="str">
            <v>50-60 UNIDADES</v>
          </cell>
          <cell r="W435" t="str">
            <v>-</v>
          </cell>
          <cell r="X435" t="str">
            <v>12 MESES  CORRECTAMENTE TAPADO Y ALMACENADO A 25°C</v>
          </cell>
          <cell r="Y435" t="str">
            <v>DERIMASA</v>
          </cell>
          <cell r="Z435" t="str">
            <v>GABINETES, ARMARIOS, ETC.</v>
          </cell>
          <cell r="AA435" t="str">
            <v>La muestra recibida presenta un tiempo de seco tocar de 9 minutos y seco completo de 15 min. El % de solidos es de 13.58, comparado con el SAA 5876, el nuestro tiene un 45% más de solidos.</v>
          </cell>
          <cell r="AB435" t="str">
            <v>Ing. Juan Antonio Méndez</v>
          </cell>
          <cell r="AC435" t="str">
            <v>Mayo 26, 2003</v>
          </cell>
        </row>
        <row r="436">
          <cell r="A436" t="str">
            <v>SAA 5877</v>
          </cell>
          <cell r="B436" t="str">
            <v>SELLADOR 1421</v>
          </cell>
          <cell r="C436" t="str">
            <v>INTERIOR</v>
          </cell>
          <cell r="D436" t="str">
            <v>MADERA</v>
          </cell>
          <cell r="E436" t="str">
            <v>LIMPIA Y LIBRE DE GRASA</v>
          </cell>
          <cell r="F436" t="str">
            <v>APLICAR 2-3 MANOS SOBRE SISTEMA TAPAPORO + TINTES + WASHCOAT 1411 (SAA 5876)+ GLAZE (OPCIONAL)</v>
          </cell>
          <cell r="G436" t="str">
            <v>7.69 LBS/GALON</v>
          </cell>
          <cell r="H436" t="str">
            <v>0.0 %</v>
          </cell>
          <cell r="I436" t="str">
            <v>30.04%</v>
          </cell>
          <cell r="J436" t="str">
            <v>79.52%</v>
          </cell>
          <cell r="K436" t="str">
            <v>14.93 %</v>
          </cell>
          <cell r="L436" t="str">
            <v>30.07</v>
          </cell>
          <cell r="M436" t="str">
            <v>22 SEG ZANH #2</v>
          </cell>
          <cell r="N436" t="str">
            <v>PISTOLA</v>
          </cell>
          <cell r="O436" t="str">
            <v>IGUAL QUE ORIGINAL</v>
          </cell>
          <cell r="P436" t="str">
            <v>NINGUNO. DE SER NECESARIO CON THINNER R7K128</v>
          </cell>
          <cell r="Q436" t="str">
            <v>THINNER R7K128</v>
          </cell>
          <cell r="R436" t="str">
            <v xml:space="preserve">1.0 - 1.5 MILS </v>
          </cell>
          <cell r="S436" t="str">
            <v>AL AIRE,  SECO TOCAR 5 MIN SECO PARA LIJAR 15 MIN A CONDICIONES DE 25 °C Y 50% HR.</v>
          </cell>
          <cell r="T436" t="str">
            <v>-</v>
          </cell>
          <cell r="U436" t="str">
            <v>63 METROS CUADRADOS / GALON  A 1 MILS DE PELICULA SECA</v>
          </cell>
          <cell r="V436" t="str">
            <v>50-60 UNIDADES</v>
          </cell>
          <cell r="W436" t="str">
            <v>-</v>
          </cell>
          <cell r="X436" t="str">
            <v>12 MESES  CORRECTAMENTE TAPADO Y ALMACENADO A 25°C</v>
          </cell>
          <cell r="Y436" t="str">
            <v>DERIMASA</v>
          </cell>
          <cell r="Z436" t="str">
            <v>GABINETES, ARMARIOS, ETC.</v>
          </cell>
          <cell r="AA436" t="str">
            <v>La muestra recibida presenta un tiempo de seco tocar de 8 minutos y seco completo de 22 min. El % de solidos es de 29.7%, comparado con el SAA 5877 que tiene 30% de solidos a condiciones de 25°C y 50% HR.</v>
          </cell>
          <cell r="AB436" t="str">
            <v>Ing. Juan Antonio Méndez</v>
          </cell>
          <cell r="AC436" t="str">
            <v>Mayo 26, 2003</v>
          </cell>
        </row>
        <row r="437">
          <cell r="A437" t="str">
            <v>SAA 5879</v>
          </cell>
          <cell r="B437" t="str">
            <v>LACA TRANSPARENTE #10</v>
          </cell>
          <cell r="C437" t="str">
            <v>INTERIOR</v>
          </cell>
          <cell r="D437" t="str">
            <v>MADERA, COMO ACABADO FINAL</v>
          </cell>
          <cell r="E437" t="str">
            <v>LIMPIA Y LIBRE DE GRASA</v>
          </cell>
          <cell r="F437" t="str">
            <v>2 Manos sobre sistema tapaporo+tinte+wascoat 1411 (SAA 5876)+glaze(opcional)+sellador 1421(SAA 5877)</v>
          </cell>
          <cell r="G437" t="str">
            <v>7.80 LBS / GALON</v>
          </cell>
          <cell r="H437" t="str">
            <v>0.0%</v>
          </cell>
          <cell r="I437" t="str">
            <v>26.00 %</v>
          </cell>
          <cell r="J437" t="str">
            <v>94.05 %</v>
          </cell>
          <cell r="K437" t="str">
            <v>3.80%</v>
          </cell>
          <cell r="L437" t="str">
            <v>20.27%</v>
          </cell>
          <cell r="M437" t="str">
            <v>20 - 22 SEG ZAHN #2</v>
          </cell>
          <cell r="N437" t="str">
            <v>PISTOLA</v>
          </cell>
          <cell r="O437" t="str">
            <v>IGUAL QUE ORIGINAL</v>
          </cell>
          <cell r="P437" t="str">
            <v>NINGUNO. DE SER NECESARIO CON THINNER R7K128</v>
          </cell>
          <cell r="Q437" t="str">
            <v>THINNER R7K128</v>
          </cell>
          <cell r="R437" t="str">
            <v xml:space="preserve">1.5 -2.0 MILS </v>
          </cell>
          <cell r="S437" t="str">
            <v>AL AIRE,  SECO TOCAR 5 MIN, SECO COMPLETO 12 MIN A CONDICIONES DE 25 °C Y 50% HR.</v>
          </cell>
          <cell r="T437" t="str">
            <v>-</v>
          </cell>
          <cell r="U437" t="str">
            <v>52 METROS CUADRADOS POR GALON</v>
          </cell>
          <cell r="V437" t="str">
            <v>45-55 UNIDADES 60°</v>
          </cell>
          <cell r="W437" t="str">
            <v>-</v>
          </cell>
          <cell r="X437" t="str">
            <v>12 MESES  CORRECTAMENTE TAPADO Y ALMACENADO A 25°C</v>
          </cell>
          <cell r="Y437" t="str">
            <v>DERIMASA</v>
          </cell>
          <cell r="Z437" t="str">
            <v>GABINETES, ARMARIOS, ETC.</v>
          </cell>
          <cell r="AA437" t="str">
            <v>La muestra recibida presenta un tiempo de seco tocar de 6 minutos y seco completo de 18 min. El % de solidos es de 25.84%, comparado con el SAA 5879 que tiene 26% de solidos a condiciones de 25°C y 50% HR.</v>
          </cell>
          <cell r="AB437" t="str">
            <v>Ing. Juan Antonio Méndez</v>
          </cell>
          <cell r="AC437" t="str">
            <v>Mayo 26, 2003</v>
          </cell>
        </row>
        <row r="438">
          <cell r="A438" t="str">
            <v>SAA 5831</v>
          </cell>
          <cell r="B438" t="str">
            <v>TINTE 1121-1746</v>
          </cell>
          <cell r="C438" t="str">
            <v>INTERIOR</v>
          </cell>
          <cell r="D438" t="str">
            <v>MADERA</v>
          </cell>
          <cell r="E438" t="str">
            <v>LIMPIA Y LIBRE DE GRASA</v>
          </cell>
          <cell r="F438" t="str">
            <v>TAPAPORO</v>
          </cell>
          <cell r="G438" t="str">
            <v>6.74 LBS / GAL</v>
          </cell>
          <cell r="H438" t="str">
            <v>1.90 %</v>
          </cell>
          <cell r="I438" t="str">
            <v>2.0 %</v>
          </cell>
          <cell r="J438" t="str">
            <v>0.0 %</v>
          </cell>
          <cell r="K438" t="str">
            <v>100 %</v>
          </cell>
          <cell r="L438" t="str">
            <v>1.11 %</v>
          </cell>
          <cell r="M438" t="str">
            <v>18 SEG ZAHN #2</v>
          </cell>
          <cell r="N438" t="str">
            <v xml:space="preserve"> UNA MANO CON PAÑO, CHUPON o PISTOLA</v>
          </cell>
          <cell r="O438" t="str">
            <v>IGUAL QUE ORIGINAL</v>
          </cell>
          <cell r="P438" t="str">
            <v>NINGUNO</v>
          </cell>
          <cell r="Q438" t="str">
            <v>-</v>
          </cell>
          <cell r="R438" t="str">
            <v>-</v>
          </cell>
          <cell r="S438" t="str">
            <v>AL AIRE,  SECO TOCAR 1 MIN, SECO COMPLETO 2-3 MIN A CONDICIONES DE 25 °C Y 50% HR.</v>
          </cell>
          <cell r="T438" t="str">
            <v>-</v>
          </cell>
          <cell r="U438" t="str">
            <v>-</v>
          </cell>
          <cell r="V438" t="str">
            <v>0 - 5 (°85)</v>
          </cell>
          <cell r="W438" t="str">
            <v>-</v>
          </cell>
          <cell r="X438" t="str">
            <v>12 MESES  CORRECTAMENTE TAPADO Y ALMACENADO A 25°C</v>
          </cell>
          <cell r="Y438" t="str">
            <v>DERIMASA</v>
          </cell>
          <cell r="Z438" t="str">
            <v>GABINETES, ARMARIOS, ETC.</v>
          </cell>
          <cell r="AA438" t="str">
            <v>La muestra recibida presenta un tiempo de seco tocar de 2 minutos y seco completo de 4 min. El % de solidos es de 2%, comparado con el SAA 5831 que tiene tambien 2% de solidos a condiciones de 25°C y 50% HR.</v>
          </cell>
          <cell r="AB438" t="str">
            <v>Ing. Juan Antonio Méndez</v>
          </cell>
          <cell r="AC438" t="str">
            <v>Mayo 26, 2003</v>
          </cell>
        </row>
        <row r="439">
          <cell r="A439" t="str">
            <v>SAA 5823</v>
          </cell>
          <cell r="B439" t="str">
            <v>GLAZE 26-2043</v>
          </cell>
          <cell r="C439" t="str">
            <v>INTERIOR</v>
          </cell>
          <cell r="D439" t="str">
            <v>MADERA</v>
          </cell>
          <cell r="E439" t="str">
            <v>LIJADO CON #320 LIMPIA Y LIBRE DE GRASA</v>
          </cell>
          <cell r="F439" t="str">
            <v>1mano sobre sistema tapaporo+tinte+washcoat 1411 (SAA 5823)</v>
          </cell>
          <cell r="G439" t="str">
            <v>9.87 LBS/GALON</v>
          </cell>
          <cell r="H439" t="str">
            <v>9.28 %</v>
          </cell>
          <cell r="I439" t="str">
            <v>64%</v>
          </cell>
          <cell r="J439" t="str">
            <v>8.07%</v>
          </cell>
          <cell r="K439" t="str">
            <v>40.87%</v>
          </cell>
          <cell r="L439" t="str">
            <v>40.27%</v>
          </cell>
          <cell r="M439" t="str">
            <v>20-22 SEG ZAHN #2</v>
          </cell>
          <cell r="N439" t="str">
            <v xml:space="preserve"> Una mano con paño, chupon o pistola, remover el exceso con paño seco en direccion contraria a la veta de la madera</v>
          </cell>
          <cell r="O439" t="str">
            <v>IGUAL QUE ORIGINAL</v>
          </cell>
          <cell r="P439" t="str">
            <v>NINGUNO</v>
          </cell>
          <cell r="Q439" t="str">
            <v>-</v>
          </cell>
          <cell r="R439" t="str">
            <v>-</v>
          </cell>
          <cell r="S439" t="str">
            <v>AL AIRE,  SECO TOCAR 10 MIN , SECO COMPLETO 23 MIN A CONDICIONES DE 25 °C Y 50% HR.</v>
          </cell>
          <cell r="T439" t="str">
            <v>-</v>
          </cell>
          <cell r="U439" t="str">
            <v>60 METROS CUADRADOS POR GALON</v>
          </cell>
          <cell r="V439" t="str">
            <v>0 - 5 (°85)</v>
          </cell>
          <cell r="W439" t="str">
            <v>-</v>
          </cell>
          <cell r="X439" t="str">
            <v>12 MESES  CORRECTAMENTE TAPADO Y ALMACENADO A 25°C</v>
          </cell>
          <cell r="Y439" t="str">
            <v>DERIMASA</v>
          </cell>
          <cell r="Z439" t="str">
            <v>GABINETES, ARMARIOS, ETC.</v>
          </cell>
          <cell r="AA439" t="str">
            <v>La muestra recibida presenta un tiempo de seco tocar de 14 minutos y seco completo de 28 min. El % de solidos es de 61.49%, comparado con el SAA 5823 que tiene 64% de solidos a condiciones de 25°C y 50% HR.</v>
          </cell>
          <cell r="AB439" t="str">
            <v>Ing. Juan Antonio Méndez</v>
          </cell>
          <cell r="AC439" t="str">
            <v>Mayo 26, 2003</v>
          </cell>
        </row>
        <row r="440">
          <cell r="A440" t="str">
            <v>SAA 5824</v>
          </cell>
          <cell r="B440" t="str">
            <v>ENAMEL LACQUER NEGRO 121</v>
          </cell>
          <cell r="C440" t="str">
            <v>INTERIOR</v>
          </cell>
          <cell r="D440" t="str">
            <v>MADERA</v>
          </cell>
          <cell r="E440" t="str">
            <v>LIJADO CON #320 LIMPIA Y LIBRE DE GRASA</v>
          </cell>
          <cell r="F440" t="str">
            <v>2 manos sobre tapaporo + basecoat negro (SAA 5866)</v>
          </cell>
          <cell r="G440" t="str">
            <v>7.62 lbs/galon</v>
          </cell>
          <cell r="H440" t="str">
            <v>3.88%</v>
          </cell>
          <cell r="I440" t="str">
            <v>24.07%</v>
          </cell>
          <cell r="J440" t="str">
            <v>68.49 %</v>
          </cell>
          <cell r="K440" t="str">
            <v>19.88 %</v>
          </cell>
          <cell r="L440" t="str">
            <v>16.94%</v>
          </cell>
          <cell r="M440" t="str">
            <v>22 SEG ZAHN #2</v>
          </cell>
          <cell r="N440" t="str">
            <v>PISTOLA</v>
          </cell>
          <cell r="O440" t="str">
            <v>IGUAL QUE ORIGINAL</v>
          </cell>
          <cell r="P440" t="str">
            <v>NINGUNO. DE SER NECESARIO CON THINNER R7K128</v>
          </cell>
          <cell r="Q440" t="str">
            <v>THINNER R7K128</v>
          </cell>
          <cell r="R440" t="str">
            <v>1.5-2.0 MILS</v>
          </cell>
          <cell r="S440" t="str">
            <v>AL AIRE,  SECO TOCAR 3-4 MIN, SECO COMPLETO 8 MIN A CONDICIONES DE 25 °C Y 50% HR.</v>
          </cell>
          <cell r="T440" t="str">
            <v>-</v>
          </cell>
          <cell r="U440" t="str">
            <v>24.19 METROS CUADRADOS POR GALON</v>
          </cell>
          <cell r="V440" t="str">
            <v>40-50 ° (60)</v>
          </cell>
          <cell r="W440" t="str">
            <v>-</v>
          </cell>
          <cell r="X440" t="str">
            <v>12 MESES  CORRECTAMENTE TAPADO Y ALMACENADO A 25°C</v>
          </cell>
          <cell r="Y440" t="str">
            <v>DERIMASA</v>
          </cell>
          <cell r="Z440" t="str">
            <v>GABINETES, ARMARIOS, ETC.</v>
          </cell>
          <cell r="AA440" t="str">
            <v>La muestra recibida presenta un tiempo de seco tocar de 5 minutos y seco completo de 10 min. El % de solidos es de 22.65%, comparado con el SAA 5824 que tiene 24% de solidos a condiciones de 25°C y 50% HR.</v>
          </cell>
          <cell r="AB440" t="str">
            <v>Ing. Juan Antonio Méndez</v>
          </cell>
          <cell r="AC440" t="str">
            <v>Mayo 26, 2003</v>
          </cell>
        </row>
        <row r="441">
          <cell r="A441" t="str">
            <v>SAA 5825</v>
          </cell>
          <cell r="B441" t="str">
            <v>ENAMEL LACQUER BLANCO W-10</v>
          </cell>
          <cell r="C441" t="str">
            <v>INTERIOR</v>
          </cell>
          <cell r="D441" t="str">
            <v>MADERA</v>
          </cell>
          <cell r="E441" t="str">
            <v>LIJADO CON #320 LIMPIA Y LIBRE DE GRASA</v>
          </cell>
          <cell r="F441" t="str">
            <v>2 manos sobre tapaporo + basecoat blanco (SAA 5838)</v>
          </cell>
          <cell r="G441" t="str">
            <v>8.15 LBS / GALON</v>
          </cell>
          <cell r="H441" t="str">
            <v>7.58 %</v>
          </cell>
          <cell r="I441" t="str">
            <v>27.64 %</v>
          </cell>
          <cell r="J441" t="str">
            <v>63.04 %</v>
          </cell>
          <cell r="K441" t="str">
            <v>12.53 %</v>
          </cell>
          <cell r="L441" t="str">
            <v>17.55 %</v>
          </cell>
          <cell r="M441" t="str">
            <v>22 SEG ZAHN #2</v>
          </cell>
          <cell r="N441" t="str">
            <v>PISTOLA</v>
          </cell>
          <cell r="O441" t="str">
            <v>IGUAL QUE ORIGINAL</v>
          </cell>
          <cell r="P441" t="str">
            <v>NINGUNO. DE SER NECESARIO CON THINNER R7K128</v>
          </cell>
          <cell r="Q441" t="str">
            <v>THINNER R7K128</v>
          </cell>
          <cell r="R441" t="str">
            <v>1.5-2.0 MILS</v>
          </cell>
          <cell r="S441" t="str">
            <v>AL AIRE,  SECO TOCAR 3-4 MIN, SECO COMPLETO 8 MIN A CONDICIONES DE 25 °C Y 50% HR.</v>
          </cell>
          <cell r="T441" t="str">
            <v>-</v>
          </cell>
          <cell r="U441" t="str">
            <v>26.14 METROS CUADRADOS POR GALON</v>
          </cell>
          <cell r="V441" t="str">
            <v>25-35 °(60)</v>
          </cell>
          <cell r="W441" t="str">
            <v>-</v>
          </cell>
          <cell r="X441" t="str">
            <v>12 MESES  CORRECTAMENTE TAPADO Y ALMACENADO A 25°C</v>
          </cell>
          <cell r="Y441" t="str">
            <v>DERIMASA</v>
          </cell>
          <cell r="Z441" t="str">
            <v>GABINETES, ARMARIOS, ETC.</v>
          </cell>
          <cell r="AA441" t="str">
            <v>La muestra recibida presenta un tiempo de seco tocar de 5 minutos y seco completo de 10 min. El % de solidos es de 13.25, comparado con el SAA 5825 que tiene 27.64% de solidos a condiciones de 25°C y 50% HR.</v>
          </cell>
          <cell r="AB441" t="str">
            <v>Ing. Juan Antonio Méndez</v>
          </cell>
          <cell r="AC441" t="str">
            <v>Mayo 26, 2003</v>
          </cell>
        </row>
        <row r="442">
          <cell r="A442" t="str">
            <v>SAA 5830</v>
          </cell>
          <cell r="B442" t="str">
            <v>ENAMEL LACQUER VERDE W-13</v>
          </cell>
          <cell r="C442" t="str">
            <v>INTERIOR</v>
          </cell>
          <cell r="D442" t="str">
            <v>MADERA</v>
          </cell>
          <cell r="E442" t="str">
            <v>LIJADO CON #320 LIMPIA Y LIBRE DE GRASA</v>
          </cell>
          <cell r="F442" t="str">
            <v>2 manos sobre tapaporo + basecoat blanco (SAA 5838)</v>
          </cell>
          <cell r="G442" t="str">
            <v>8.80 LBS / GALON</v>
          </cell>
          <cell r="H442" t="str">
            <v>17.57 %</v>
          </cell>
          <cell r="I442" t="str">
            <v>34.70 %</v>
          </cell>
          <cell r="J442" t="str">
            <v>38.65 %</v>
          </cell>
          <cell r="K442" t="str">
            <v>26.63 %</v>
          </cell>
          <cell r="L442" t="str">
            <v>19.34 %</v>
          </cell>
          <cell r="M442" t="str">
            <v>22 SEG ZAHN #2</v>
          </cell>
          <cell r="N442" t="str">
            <v>PISTOLA</v>
          </cell>
          <cell r="O442" t="str">
            <v>IGUAL QUE ORIGINAL</v>
          </cell>
          <cell r="P442" t="str">
            <v>NINGUNO. DE SER NECESARIO CON THINNER R7K128</v>
          </cell>
          <cell r="Q442" t="str">
            <v>THINNER R7K128</v>
          </cell>
          <cell r="R442" t="str">
            <v>1.5-2.0 MILS</v>
          </cell>
          <cell r="S442" t="str">
            <v>AL AIRE,  SECO TOCAR 3-4 MIN, SECO COMPLETO 8 MIN A CONDICIONES DE 25 °C Y 50% HR.</v>
          </cell>
          <cell r="T442" t="str">
            <v>-</v>
          </cell>
          <cell r="U442" t="str">
            <v>28.82 METROS CUADRADOS POR GALON</v>
          </cell>
          <cell r="V442" t="str">
            <v>35-40 °(60)</v>
          </cell>
          <cell r="W442" t="str">
            <v>-</v>
          </cell>
          <cell r="X442" t="str">
            <v>12 MESES  CORRECTAMENTE TAPADO Y ALMACENADO A 25°C</v>
          </cell>
          <cell r="Y442" t="str">
            <v>DERIMASA</v>
          </cell>
          <cell r="Z442" t="str">
            <v>GABINETES, ARMARIOS, ETC.</v>
          </cell>
          <cell r="AA442" t="str">
            <v>La muestra recibida presenta un tiempo de seco tocar de 5 minutos y seco completo de 10 min. El % de solidos es de 28.50, comparado con el SAA 5830 que tiene 34.70% de solidos a condiciones de 25°C y 50% HR.</v>
          </cell>
          <cell r="AB442" t="str">
            <v>Ing. Juan Antonio Méndez</v>
          </cell>
          <cell r="AC442" t="str">
            <v>Mayo 26, 2003</v>
          </cell>
        </row>
        <row r="443">
          <cell r="A443" t="str">
            <v>SAA 5832</v>
          </cell>
          <cell r="B443" t="str">
            <v>PADDING STAIN 1181</v>
          </cell>
          <cell r="C443" t="str">
            <v>INTERIOR</v>
          </cell>
          <cell r="D443" t="str">
            <v>MADERA</v>
          </cell>
          <cell r="E443" t="str">
            <v>LIMPIA Y LIBRE DE GRASA</v>
          </cell>
          <cell r="F443" t="str">
            <v>TAPAPORO</v>
          </cell>
          <cell r="G443" t="str">
            <v>6.82 LBS/GALON</v>
          </cell>
          <cell r="H443" t="str">
            <v>1.11 %</v>
          </cell>
          <cell r="I443" t="str">
            <v>1.11%</v>
          </cell>
          <cell r="J443" t="str">
            <v>0.0 %</v>
          </cell>
          <cell r="K443" t="str">
            <v>100 %</v>
          </cell>
          <cell r="L443" t="str">
            <v>0.66%</v>
          </cell>
          <cell r="M443" t="str">
            <v>18 SEG ZAHN #2</v>
          </cell>
          <cell r="N443" t="str">
            <v xml:space="preserve"> UNA MANO CON PAÑO, CHUPON o PISTOLA</v>
          </cell>
          <cell r="O443" t="str">
            <v>IGUAL QUE ORIGINAL</v>
          </cell>
          <cell r="P443" t="str">
            <v>NINGUNO</v>
          </cell>
          <cell r="Q443" t="str">
            <v>-</v>
          </cell>
          <cell r="R443" t="str">
            <v>-</v>
          </cell>
          <cell r="S443" t="str">
            <v>AL AIRE,  SECO TOCAR 1 MIN, SECO COMPLETO 2-3 MIN A CONDICIONES DE 25 °C Y 50% HR.</v>
          </cell>
          <cell r="T443" t="str">
            <v>-</v>
          </cell>
          <cell r="U443" t="str">
            <v>-</v>
          </cell>
          <cell r="V443" t="str">
            <v>0 - 5 (°85)</v>
          </cell>
          <cell r="W443" t="str">
            <v>-</v>
          </cell>
          <cell r="X443" t="str">
            <v>12 MESES  CORRECTAMENTE TAPADO Y ALMACENADO A 25°C</v>
          </cell>
          <cell r="Y443" t="str">
            <v>DERIMASA</v>
          </cell>
          <cell r="Z443" t="str">
            <v>GABINETES, ARMARIOS, ETC.</v>
          </cell>
          <cell r="AA443" t="str">
            <v>La muestra recibida presenta un tiempo de seco tocar de 2 minutos y seco completo de 4 min. El % de solidos es de 1%, comparado con el SAA 5832 que tiene tambien 1.11% de solidos a condiciones de 25°C y 50% HR.</v>
          </cell>
          <cell r="AB443" t="str">
            <v>Ing. Juan Antonio Méndez</v>
          </cell>
          <cell r="AC443" t="str">
            <v>Mayo 26, 2003</v>
          </cell>
        </row>
        <row r="444">
          <cell r="A444" t="str">
            <v>SAA 5838</v>
          </cell>
          <cell r="B444" t="str">
            <v>BASECOAT BLANCO  W-10136</v>
          </cell>
          <cell r="C444" t="str">
            <v>INTERIOR</v>
          </cell>
          <cell r="D444" t="str">
            <v>MADERA</v>
          </cell>
          <cell r="E444" t="str">
            <v>LIJADO CON #320 LIMPIA Y LIBRE DE GRASA</v>
          </cell>
          <cell r="F444" t="str">
            <v xml:space="preserve">1-2 manos sobre tapaporo </v>
          </cell>
          <cell r="G444" t="str">
            <v>8.95 LBS / GALON</v>
          </cell>
          <cell r="H444" t="str">
            <v>6.99 %</v>
          </cell>
          <cell r="I444" t="str">
            <v>36.53 %</v>
          </cell>
          <cell r="J444" t="str">
            <v>28.26 %</v>
          </cell>
          <cell r="K444" t="str">
            <v>44 .07%</v>
          </cell>
          <cell r="L444" t="str">
            <v>19.74%</v>
          </cell>
          <cell r="M444" t="str">
            <v>22 SEG ZAHN #2</v>
          </cell>
          <cell r="N444" t="str">
            <v>PISTOLA</v>
          </cell>
          <cell r="O444" t="str">
            <v>IGUAL QUE ORIGINAL</v>
          </cell>
          <cell r="P444" t="str">
            <v>NINGUNO. DE SER NECESARIO CON THINNER R7K128</v>
          </cell>
          <cell r="Q444" t="str">
            <v>THINNER R7K128</v>
          </cell>
          <cell r="R444" t="str">
            <v>1.0 MILS</v>
          </cell>
          <cell r="S444" t="str">
            <v>AL AIRE,  SECO TOCAR 3-4 MIN, SECO COMPLETO 8 MIN A CONDICIONES DE 25 °C Y 50% HR.</v>
          </cell>
          <cell r="T444" t="str">
            <v>-</v>
          </cell>
          <cell r="U444" t="str">
            <v>29.42 METROS CUADRADOS POR GALON</v>
          </cell>
          <cell r="V444" t="str">
            <v>0 - 5 (°85)</v>
          </cell>
          <cell r="W444" t="str">
            <v>-</v>
          </cell>
          <cell r="X444" t="str">
            <v>12 MESES  CORRECTAMENTE TAPADO Y ALMACENADO A 25°C</v>
          </cell>
          <cell r="Y444" t="str">
            <v>DERIMASA</v>
          </cell>
          <cell r="Z444" t="str">
            <v>GABINETES, ARMARIOS, ETC.</v>
          </cell>
          <cell r="AA444" t="str">
            <v>La muestra recibida presenta un tiempo de seco tocar de 5 minutos y seco completo de 10 min. El % de solidos es de 34.90, comparado con el SAA 5838 que tiene 36.53% de solidos a condiciones de 25°C y 50% HR.</v>
          </cell>
          <cell r="AB444" t="str">
            <v>Ing. Juan Antonio Méndez</v>
          </cell>
          <cell r="AC444" t="str">
            <v>Mayo 26, 2003</v>
          </cell>
        </row>
        <row r="445">
          <cell r="A445" t="str">
            <v>SAA 5866</v>
          </cell>
          <cell r="B445" t="str">
            <v>BASECOAT NEGRO B001</v>
          </cell>
          <cell r="C445" t="str">
            <v>INTERIOR</v>
          </cell>
          <cell r="D445" t="str">
            <v>MADERA</v>
          </cell>
          <cell r="E445" t="str">
            <v>LIJADO CON #320 LIMPIA Y LIBRE DE GRASA</v>
          </cell>
          <cell r="F445" t="str">
            <v xml:space="preserve">1-2 manos sobre tapaporo </v>
          </cell>
          <cell r="G445" t="str">
            <v>8.08 LBS / GALON</v>
          </cell>
          <cell r="H445" t="str">
            <v>4.0 %</v>
          </cell>
          <cell r="I445" t="str">
            <v>26.12 %</v>
          </cell>
          <cell r="J445" t="str">
            <v>44.10 %</v>
          </cell>
          <cell r="K445" t="str">
            <v>28.36 %</v>
          </cell>
          <cell r="L445" t="str">
            <v>15.36 %</v>
          </cell>
          <cell r="M445" t="str">
            <v>22 SEG ZAHN #2</v>
          </cell>
          <cell r="N445" t="str">
            <v>PISTOLA</v>
          </cell>
          <cell r="O445" t="str">
            <v>IGUAL QUE ORIGINAL</v>
          </cell>
          <cell r="P445" t="str">
            <v>NINGUNO. DE SER NECESARIO CON THINNER R7K128</v>
          </cell>
          <cell r="Q445" t="str">
            <v>THINNER R7K128</v>
          </cell>
          <cell r="R445" t="str">
            <v>1.0 MILS</v>
          </cell>
          <cell r="S445" t="str">
            <v>AL AIRE,  SECO TOCAR 3-4 MIN, SECO COMPLETO 8 MIN A CONDICIONES DE 25 °C Y 50% HR.</v>
          </cell>
          <cell r="T445" t="str">
            <v>-</v>
          </cell>
          <cell r="U445" t="str">
            <v>22.93 METROS CUADRADOS POR GALON</v>
          </cell>
          <cell r="V445" t="str">
            <v>0 - 5 (°85)</v>
          </cell>
          <cell r="W445" t="str">
            <v>-</v>
          </cell>
          <cell r="X445" t="str">
            <v>12 MESES  CORRECTAMENTE TAPADO Y ALMACENADO A 25°C</v>
          </cell>
          <cell r="Y445" t="str">
            <v>DERIMASA</v>
          </cell>
          <cell r="Z445" t="str">
            <v>GABINETES, ARMARIOS, ETC.</v>
          </cell>
          <cell r="AA445" t="str">
            <v>La muestra recibida presenta un tiempo de seco tocar de 5 minutos y seco completo de 10 min. El % de solidos es de 25.53, comparado con el SAA 5866 que tiene 26.12% de solidos a condiciones de 25°C y 50% HR.</v>
          </cell>
          <cell r="AB445" t="str">
            <v>Ing. Juan Antonio Méndez</v>
          </cell>
          <cell r="AC445" t="str">
            <v>Mayo 26, 2003</v>
          </cell>
        </row>
        <row r="446">
          <cell r="A446" t="str">
            <v>SAA 5867</v>
          </cell>
          <cell r="B446" t="str">
            <v>TINTE CAFÉ OSCURO</v>
          </cell>
          <cell r="C446" t="str">
            <v>INTERIOR</v>
          </cell>
          <cell r="D446" t="str">
            <v>MADERA</v>
          </cell>
          <cell r="E446" t="str">
            <v>LIMPIA Y LIBRE DE GRASA</v>
          </cell>
          <cell r="F446" t="str">
            <v>TAPAPORO</v>
          </cell>
          <cell r="G446" t="str">
            <v>6.71 LBS/GALON</v>
          </cell>
          <cell r="H446" t="str">
            <v>1.62%</v>
          </cell>
          <cell r="I446" t="str">
            <v>1.62 %</v>
          </cell>
          <cell r="J446" t="str">
            <v>0.0 %</v>
          </cell>
          <cell r="K446" t="str">
            <v>100 %</v>
          </cell>
          <cell r="L446" t="str">
            <v>0.92 %</v>
          </cell>
          <cell r="M446" t="str">
            <v>18 SEG ZAHN #2</v>
          </cell>
          <cell r="N446" t="str">
            <v xml:space="preserve"> UNA MANO CON PAÑO, CHUPON o PISTOLA</v>
          </cell>
          <cell r="O446" t="str">
            <v>IGUAL QUE ORIGINAL</v>
          </cell>
          <cell r="P446" t="str">
            <v>NINGUNO</v>
          </cell>
          <cell r="Q446" t="str">
            <v>-</v>
          </cell>
          <cell r="R446" t="str">
            <v>-</v>
          </cell>
          <cell r="S446" t="str">
            <v>AL AIRE,  SECO TOCAR 1 MIN, SECO COMPLETO 2-3 MIN A CONDICIONES DE 25 °C Y 50% HR.</v>
          </cell>
          <cell r="T446" t="str">
            <v>-</v>
          </cell>
          <cell r="U446" t="str">
            <v>-</v>
          </cell>
          <cell r="V446" t="str">
            <v>0-5 (°85)</v>
          </cell>
          <cell r="W446" t="str">
            <v>-</v>
          </cell>
          <cell r="X446" t="str">
            <v>12 MESES  CORRECTAMENTE TAPADO Y ALMACENADO A 25°C</v>
          </cell>
          <cell r="Y446" t="str">
            <v>DERIMASA</v>
          </cell>
          <cell r="Z446" t="str">
            <v>GABINETES, ARMARIOS, ETC.</v>
          </cell>
          <cell r="AA446" t="str">
            <v>La muestra recibida presenta un tiempo de seco tocar de 2 minutos y seco completo de 4 min. El % de solidos es de 1%, comparado con el SAA 5867 que tiene tambien 1.62% de solidos a condiciones de 25°C y 50% HR.</v>
          </cell>
          <cell r="AB446" t="str">
            <v>Ing. Juan Antonio Méndez</v>
          </cell>
          <cell r="AC446" t="str">
            <v>Mayo 26, 2003</v>
          </cell>
        </row>
        <row r="447">
          <cell r="A447" t="str">
            <v>SAA 5828</v>
          </cell>
          <cell r="B447" t="str">
            <v>TINTE CAFÉ CLARO 16DO2876</v>
          </cell>
          <cell r="C447" t="str">
            <v>INTERIOR</v>
          </cell>
          <cell r="D447" t="str">
            <v>MADERA</v>
          </cell>
          <cell r="E447" t="str">
            <v>LIMPIA Y LIBRE DE GRASA</v>
          </cell>
          <cell r="F447" t="str">
            <v>TAPAPORO</v>
          </cell>
          <cell r="G447" t="str">
            <v>6.69 LBS/GALON</v>
          </cell>
          <cell r="H447" t="str">
            <v>1.25 %</v>
          </cell>
          <cell r="I447" t="str">
            <v>1.25%</v>
          </cell>
          <cell r="J447" t="str">
            <v>0.0 %</v>
          </cell>
          <cell r="K447" t="str">
            <v>100 %</v>
          </cell>
          <cell r="L447" t="str">
            <v>0.71 %</v>
          </cell>
          <cell r="M447" t="str">
            <v>18 SEG ZAHN #2</v>
          </cell>
          <cell r="N447" t="str">
            <v xml:space="preserve"> UNA MANO CON PAÑO, CHUPON o PISTOLA</v>
          </cell>
          <cell r="O447" t="str">
            <v>IGUAL QUE ORIGINAL</v>
          </cell>
          <cell r="P447" t="str">
            <v>NINGUNO</v>
          </cell>
          <cell r="Q447" t="str">
            <v>-</v>
          </cell>
          <cell r="R447" t="str">
            <v>-</v>
          </cell>
          <cell r="S447" t="str">
            <v>AL AIRE,  SECO TOCAR 1 MIN, SECO COMPLETO 2-3 MIN A CONDICIONES DE 25 °C Y 50% HR.</v>
          </cell>
          <cell r="T447" t="str">
            <v>-</v>
          </cell>
          <cell r="U447" t="str">
            <v>-</v>
          </cell>
          <cell r="V447" t="str">
            <v>0 - 5 (°85)</v>
          </cell>
          <cell r="W447" t="str">
            <v>-</v>
          </cell>
          <cell r="X447" t="str">
            <v>12 MESES  CORRECTAMENTE TAPADO Y ALMACENADO A 25°C</v>
          </cell>
          <cell r="Y447" t="str">
            <v>DERIMASA</v>
          </cell>
          <cell r="Z447" t="str">
            <v>GABINETES, ARMARIOS, ETC.</v>
          </cell>
          <cell r="AA447" t="str">
            <v>La muestra recibida presenta un tiempo de seco tocar de 2 minutos y seco completo de 4 min. El % de solidos es de 1%, comparado con el SAA 5828 que tiene tambien 1.25% de solidos a condiciones de 25°C y 50% HR.</v>
          </cell>
          <cell r="AB447" t="str">
            <v>Ing. Juan Antonio Méndez</v>
          </cell>
          <cell r="AC447" t="str">
            <v>Mayo 26, 2003</v>
          </cell>
        </row>
        <row r="448">
          <cell r="A448" t="str">
            <v>SAA 5829</v>
          </cell>
          <cell r="B448" t="str">
            <v>ENAMEL LACQUER AZUL</v>
          </cell>
          <cell r="C448" t="str">
            <v>INTERIOR</v>
          </cell>
          <cell r="D448" t="str">
            <v>MADERA</v>
          </cell>
          <cell r="E448" t="str">
            <v>LIJADO CON #320 LIMPIA Y LIBRE DE GRASA</v>
          </cell>
          <cell r="F448" t="str">
            <v>2 manos sobre tapaporo + basecoat blanco (SAA 5838)</v>
          </cell>
          <cell r="G448" t="str">
            <v>8.06 LBS/GALON</v>
          </cell>
          <cell r="H448" t="str">
            <v>7.67 %</v>
          </cell>
          <cell r="I448" t="str">
            <v>57.50 %</v>
          </cell>
          <cell r="J448" t="str">
            <v>57.50 %</v>
          </cell>
          <cell r="K448" t="str">
            <v>12.05 %</v>
          </cell>
          <cell r="L448" t="str">
            <v>17.09 %</v>
          </cell>
          <cell r="M448" t="str">
            <v>22 SEG ZAHN #2</v>
          </cell>
          <cell r="N448" t="str">
            <v>PISTOLA</v>
          </cell>
          <cell r="O448" t="str">
            <v>IGUAL QUE ORIGINAL</v>
          </cell>
          <cell r="P448" t="str">
            <v>NINGUNO. DE SER NECESARIO CON THINNER R7K128</v>
          </cell>
          <cell r="Q448" t="str">
            <v>THINNER R7K128</v>
          </cell>
          <cell r="R448" t="str">
            <v>1.5-2.0 MILS</v>
          </cell>
          <cell r="S448" t="str">
            <v>AL AIRE,  SECO TOCAR 3-4 MIN, SECO COMPLETO 8 MIN A CONDICIONES DE 25 °C Y 50% HR.</v>
          </cell>
          <cell r="T448" t="str">
            <v>-</v>
          </cell>
          <cell r="U448" t="str">
            <v>25.46 METROS CUADRADOS POR GALON</v>
          </cell>
          <cell r="V448" t="str">
            <v>45-55 (°60)</v>
          </cell>
          <cell r="W448" t="str">
            <v>-</v>
          </cell>
          <cell r="X448" t="str">
            <v>12 MESES  CORRECTAMENTE TAPADO Y ALMACENADO A 25°C</v>
          </cell>
          <cell r="Y448" t="str">
            <v>DERIMASA</v>
          </cell>
          <cell r="Z448" t="str">
            <v>GABINETES, ARMARIOS, ETC.</v>
          </cell>
          <cell r="AA448" t="str">
            <v>La muestra recibida presenta un tiempo de seco tocar de 5 minutos y seco completo de 10 min. El % de solidos es de 26.0%, comparado con el SAA 5829 que tiene 26.90% de solidos a condiciones de 25°C y 50% HR.</v>
          </cell>
          <cell r="AB448" t="str">
            <v>Ing. Juan Antonio Méndez</v>
          </cell>
          <cell r="AC448" t="str">
            <v>Mayo 26, 2003</v>
          </cell>
        </row>
        <row r="449">
          <cell r="A449" t="str">
            <v>SAA 5827</v>
          </cell>
          <cell r="B449" t="str">
            <v>ENAMEL LACQUER ROJO</v>
          </cell>
          <cell r="C449" t="str">
            <v>INTERIOR</v>
          </cell>
          <cell r="D449" t="str">
            <v>MADERA</v>
          </cell>
          <cell r="E449" t="str">
            <v>LIJADO CON #320 LIMPIA Y LIBRE DE GRASA</v>
          </cell>
          <cell r="F449" t="str">
            <v>2 manos sobre tapaporo + basecoat blanco (SAA 5838)</v>
          </cell>
          <cell r="G449" t="str">
            <v>7.97 LBS / GALON</v>
          </cell>
          <cell r="H449" t="str">
            <v>5.91 %</v>
          </cell>
          <cell r="I449" t="str">
            <v>25.03 %</v>
          </cell>
          <cell r="J449" t="str">
            <v>63.92 %</v>
          </cell>
          <cell r="K449" t="str">
            <v>10.51%</v>
          </cell>
          <cell r="L449" t="str">
            <v>15.61 %</v>
          </cell>
          <cell r="M449" t="str">
            <v>22 SEG ZAHN #2</v>
          </cell>
          <cell r="N449" t="str">
            <v>PISTOLA</v>
          </cell>
          <cell r="O449" t="str">
            <v>IGUAL QUE ORIGINAL</v>
          </cell>
          <cell r="P449" t="str">
            <v>NINGUNO. DE SER NECESARIO CON THINNER R7K128</v>
          </cell>
          <cell r="Q449" t="str">
            <v>THINNER R7K128</v>
          </cell>
          <cell r="R449" t="str">
            <v>1.5-2.0 MILS</v>
          </cell>
          <cell r="S449" t="str">
            <v>AL AIRE,  SECO TOCAR 3-4 MIN, SECO COMPLETO 8 MIN A CONDICIONES DE 25 °C Y 50% HR.</v>
          </cell>
          <cell r="T449" t="str">
            <v>-</v>
          </cell>
          <cell r="U449" t="str">
            <v>23.25  METROS CUADRADOS POR GALON</v>
          </cell>
          <cell r="V449" t="str">
            <v>45-55 (°60)</v>
          </cell>
          <cell r="W449" t="str">
            <v>-</v>
          </cell>
          <cell r="X449" t="str">
            <v>12 MESES  CORRECTAMENTE TAPADO Y ALMACENADO A 25°C</v>
          </cell>
          <cell r="Y449" t="str">
            <v>DERIMASA</v>
          </cell>
          <cell r="Z449" t="str">
            <v>GABINETES, ARMARIOS, ETC.</v>
          </cell>
          <cell r="AA449" t="str">
            <v>La muestra recibida presenta un tiempo de seco tocar de 5 minutos y seco completo de 10 min. El % de solidos es de 24.0%, comparado con el SAA 5827 que tiene 25.03% de solidos a condiciones de 25°C y 50% HR.</v>
          </cell>
          <cell r="AB449" t="str">
            <v>Ing. Juan Antonio Méndez</v>
          </cell>
          <cell r="AC449" t="str">
            <v>Mayo 26, 2003</v>
          </cell>
        </row>
        <row r="450">
          <cell r="A450" t="str">
            <v>M91LSA1</v>
          </cell>
          <cell r="B450" t="str">
            <v>Laca para Escobas celeste</v>
          </cell>
          <cell r="C450" t="str">
            <v>Interior - Exterior</v>
          </cell>
          <cell r="D450" t="str">
            <v>Palos de Escoba</v>
          </cell>
          <cell r="E450" t="str">
            <v>De Acuerdo Al Cliente</v>
          </cell>
          <cell r="F450" t="str">
            <v>Ninguno</v>
          </cell>
          <cell r="G450" t="str">
            <v>8.37 lbs</v>
          </cell>
          <cell r="H450" t="str">
            <v>8.40 %</v>
          </cell>
          <cell r="I450" t="str">
            <v>39.44 %</v>
          </cell>
          <cell r="J450" t="str">
            <v>69.38%</v>
          </cell>
          <cell r="K450" t="str">
            <v>2.39 %</v>
          </cell>
          <cell r="L450" t="str">
            <v>24.57 %</v>
          </cell>
          <cell r="M450" t="str">
            <v>18,000 - 23,000 cps</v>
          </cell>
          <cell r="N450" t="str">
            <v>De Acuerdo Al Cliente</v>
          </cell>
          <cell r="O450" t="str">
            <v>-</v>
          </cell>
          <cell r="P450" t="str">
            <v>Ninguno</v>
          </cell>
          <cell r="Q450" t="str">
            <v>De ser necesario reducir con Thinner R7K128</v>
          </cell>
          <cell r="R450" t="str">
            <v>De acuerdo Al Cliente</v>
          </cell>
          <cell r="S450" t="str">
            <v>Al aire</v>
          </cell>
          <cell r="T450" t="str">
            <v>-</v>
          </cell>
          <cell r="U450" t="str">
            <v>37.14 metros cuadrados por galon a 1 mils de pelicula seca</v>
          </cell>
          <cell r="V450" t="str">
            <v>-</v>
          </cell>
          <cell r="W450" t="str">
            <v>-</v>
          </cell>
          <cell r="X450" t="str">
            <v>6-12 meses</v>
          </cell>
          <cell r="Y450" t="str">
            <v>MULTIPLATS</v>
          </cell>
          <cell r="Z450" t="str">
            <v>Escobas</v>
          </cell>
          <cell r="AA450" t="str">
            <v>-</v>
          </cell>
          <cell r="AB450" t="str">
            <v>Ing. Juan Antonio Méndez</v>
          </cell>
          <cell r="AC450" t="str">
            <v>Junio 2, 2003</v>
          </cell>
        </row>
        <row r="451">
          <cell r="A451" t="str">
            <v>M91RSA1</v>
          </cell>
          <cell r="B451" t="str">
            <v>Laca para escobas Rosado Intenso</v>
          </cell>
          <cell r="C451" t="str">
            <v>Interior - Exterior</v>
          </cell>
          <cell r="D451" t="str">
            <v>Palos de Escoba</v>
          </cell>
          <cell r="E451" t="str">
            <v>De Acuerdo Al Cliente</v>
          </cell>
          <cell r="F451" t="str">
            <v>Ninguno</v>
          </cell>
          <cell r="G451" t="str">
            <v>8.44 lbs</v>
          </cell>
          <cell r="H451" t="str">
            <v>9.01 %</v>
          </cell>
          <cell r="I451" t="str">
            <v>40.79 %</v>
          </cell>
          <cell r="J451" t="str">
            <v>65.56%</v>
          </cell>
          <cell r="K451" t="str">
            <v>3.21%</v>
          </cell>
          <cell r="L451" t="str">
            <v>25.99 %</v>
          </cell>
          <cell r="M451" t="str">
            <v>18,000-23,000 cps</v>
          </cell>
          <cell r="N451" t="str">
            <v>De Acuerdo Al Cliente</v>
          </cell>
          <cell r="O451" t="str">
            <v>-</v>
          </cell>
          <cell r="P451" t="str">
            <v>Ninguno</v>
          </cell>
          <cell r="Q451" t="str">
            <v>De ser necesario reducir con Thinner R7K128</v>
          </cell>
          <cell r="R451" t="str">
            <v>De acuerdo Al Cliente</v>
          </cell>
          <cell r="S451" t="str">
            <v>Al Aire</v>
          </cell>
          <cell r="T451" t="str">
            <v>-</v>
          </cell>
          <cell r="U451" t="str">
            <v>38.72 metros cuadrados por galon a 1 mils de pelicula seca</v>
          </cell>
          <cell r="V451" t="str">
            <v>-</v>
          </cell>
          <cell r="W451" t="str">
            <v>-</v>
          </cell>
          <cell r="X451" t="str">
            <v>6-12 meses</v>
          </cell>
          <cell r="Y451" t="str">
            <v>MULTIPLAST</v>
          </cell>
          <cell r="Z451" t="str">
            <v>Escobas</v>
          </cell>
          <cell r="AA451" t="str">
            <v>-</v>
          </cell>
          <cell r="AB451" t="str">
            <v>Ing. Juan Antonio Méndez</v>
          </cell>
          <cell r="AC451" t="str">
            <v>Junio 2, 2003</v>
          </cell>
        </row>
        <row r="452">
          <cell r="A452" t="str">
            <v>SAA 5935</v>
          </cell>
          <cell r="B452" t="str">
            <v>CORRO-SHER ANTICORROSIVO BASE AGUA ROJO TEJA</v>
          </cell>
          <cell r="C452" t="str">
            <v>INTERIOR-EXTERIOR</v>
          </cell>
          <cell r="D452" t="str">
            <v>METAL, LAMINA GLAVANIZADA</v>
          </cell>
          <cell r="E452" t="str">
            <v>LIMPIA, SECA Y LIBRE DE POLVO Y GRASA</v>
          </cell>
          <cell r="F452" t="str">
            <v>NINGUNO</v>
          </cell>
          <cell r="G452" t="str">
            <v>10.6 LBS/GL</v>
          </cell>
          <cell r="H452" t="str">
            <v>30.10%</v>
          </cell>
          <cell r="I452" t="str">
            <v>51%</v>
          </cell>
          <cell r="J452" t="str">
            <v>20.9%</v>
          </cell>
          <cell r="K452" t="str">
            <v>33.42%</v>
          </cell>
          <cell r="L452" t="str">
            <v>39%</v>
          </cell>
          <cell r="M452" t="str">
            <v>95-100 KU</v>
          </cell>
          <cell r="N452" t="str">
            <v>BROCHA</v>
          </cell>
          <cell r="O452" t="str">
            <v>-</v>
          </cell>
          <cell r="P452" t="str">
            <v>HASTA UN 20%</v>
          </cell>
          <cell r="Q452" t="str">
            <v>AGUA</v>
          </cell>
          <cell r="R452" t="str">
            <v>1 MILLS</v>
          </cell>
          <cell r="S452" t="str">
            <v>AL AIRE</v>
          </cell>
          <cell r="T452" t="str">
            <v>-</v>
          </cell>
          <cell r="U452" t="str">
            <v>58 MTS CUADRADOS/GL A UN MILLS DE PELICULA SECA</v>
          </cell>
          <cell r="V452" t="str">
            <v>LIGERAMENTE SATINADO</v>
          </cell>
          <cell r="W452" t="str">
            <v>-</v>
          </cell>
          <cell r="X452" t="str">
            <v>2 AÑOS</v>
          </cell>
          <cell r="Y452" t="str">
            <v>COSTA RICA</v>
          </cell>
          <cell r="Z452" t="str">
            <v>-</v>
          </cell>
          <cell r="AA452" t="str">
            <v>-</v>
          </cell>
          <cell r="AB452" t="str">
            <v>Soraya de Quijada</v>
          </cell>
          <cell r="AC452" t="str">
            <v>Junio 13, 2003</v>
          </cell>
        </row>
        <row r="453">
          <cell r="A453" t="str">
            <v>SAA 5940</v>
          </cell>
          <cell r="B453" t="str">
            <v>KEM CATI COAT ENAMEL GRIS NAVAL</v>
          </cell>
          <cell r="C453" t="str">
            <v>INTERIOR-EXTERIOR</v>
          </cell>
          <cell r="D453" t="str">
            <v>ACERO</v>
          </cell>
          <cell r="E453" t="str">
            <v>LIMPIA, SECA Y LIBRE DE POLVO Y GRASA</v>
          </cell>
          <cell r="F453" t="str">
            <v>B69G31 KEM CATI COAT PRIMER</v>
          </cell>
          <cell r="G453" t="str">
            <v>10.76 LBS/GL</v>
          </cell>
          <cell r="H453" t="str">
            <v>31.5%</v>
          </cell>
          <cell r="I453" t="str">
            <v>59.60%</v>
          </cell>
          <cell r="J453" t="str">
            <v>28.13%</v>
          </cell>
          <cell r="K453" t="str">
            <v>25.63%</v>
          </cell>
          <cell r="L453" t="str">
            <v>42.18%</v>
          </cell>
          <cell r="M453" t="str">
            <v>10-15 SEGUNDOS EN COPA SW 3</v>
          </cell>
          <cell r="N453" t="str">
            <v>BROCHA-PISTOLA</v>
          </cell>
          <cell r="O453" t="str">
            <v>-</v>
          </cell>
          <cell r="P453" t="str">
            <v>-</v>
          </cell>
          <cell r="Q453" t="str">
            <v>R7K54 INDUSTRIAL REDUCER</v>
          </cell>
          <cell r="R453" t="str">
            <v>-</v>
          </cell>
          <cell r="S453" t="str">
            <v>AL AIRE</v>
          </cell>
          <cell r="T453" t="str">
            <v>-</v>
          </cell>
          <cell r="U453" t="str">
            <v>60 MTS CUADRADOS/GL A UN MILLS DE PELICULA SECA</v>
          </cell>
          <cell r="V453" t="str">
            <v>BRILLANTE</v>
          </cell>
          <cell r="W453" t="str">
            <v>-</v>
          </cell>
          <cell r="X453" t="str">
            <v>1 AÑO</v>
          </cell>
          <cell r="Y453" t="str">
            <v>PANAMA</v>
          </cell>
          <cell r="Z453" t="str">
            <v>-</v>
          </cell>
          <cell r="AA453" t="str">
            <v>CATALIZAR 1:1 EN VOLUMEN CON KEM CATI COAT CATALYST V66V19 Y DEJAR REPOSAR LA MEZCLA POR 30 MINUTOS ANTES DE REDUCIR Y APLICAR. PRODUCTO LIBRE DE PLOMO</v>
          </cell>
          <cell r="AB453" t="str">
            <v>Soraya de Quijada</v>
          </cell>
          <cell r="AC453" t="str">
            <v>Junio 19, 2003</v>
          </cell>
        </row>
        <row r="454">
          <cell r="A454" t="str">
            <v>SAA 5947</v>
          </cell>
          <cell r="B454" t="str">
            <v>COLONIAL ANTICORROSIVO SEMIBRILLANTE VERDE INTENSO</v>
          </cell>
          <cell r="C454" t="str">
            <v>INTERIOR-EXTERIOR</v>
          </cell>
          <cell r="D454" t="str">
            <v>METAL</v>
          </cell>
          <cell r="E454" t="str">
            <v>LIMPIA, SECA Y LIBRE DE POLVO Y GRASA</v>
          </cell>
          <cell r="F454" t="str">
            <v>NINGUNO</v>
          </cell>
          <cell r="G454" t="str">
            <v>8.53 LBS/GL</v>
          </cell>
          <cell r="H454" t="str">
            <v>16%</v>
          </cell>
          <cell r="I454" t="str">
            <v>42.7%</v>
          </cell>
          <cell r="J454" t="str">
            <v>26.2%</v>
          </cell>
          <cell r="K454" t="str">
            <v>19.1%</v>
          </cell>
          <cell r="L454" t="str">
            <v>31.33%</v>
          </cell>
          <cell r="M454" t="str">
            <v>75-80 KU</v>
          </cell>
          <cell r="N454" t="str">
            <v>BROCHA-PISTOLA</v>
          </cell>
          <cell r="O454" t="str">
            <v>-</v>
          </cell>
          <cell r="P454" t="str">
            <v>HASTA UN 15%</v>
          </cell>
          <cell r="Q454" t="str">
            <v>R1K4</v>
          </cell>
          <cell r="R454" t="str">
            <v>1 MILLS</v>
          </cell>
          <cell r="S454" t="str">
            <v>AL AIRE</v>
          </cell>
          <cell r="T454" t="str">
            <v>-</v>
          </cell>
          <cell r="U454" t="str">
            <v>46 MTS CUADRADOS/GL A UN MILLS DE PELICULA SECA</v>
          </cell>
          <cell r="V454" t="str">
            <v>SEMIBRILLANTE 40-45 A 60 GRADOS</v>
          </cell>
          <cell r="W454" t="str">
            <v>-</v>
          </cell>
          <cell r="X454" t="str">
            <v>2 AÑOS</v>
          </cell>
          <cell r="Y454" t="str">
            <v>DIDEMA-GUATEMALA</v>
          </cell>
          <cell r="Z454" t="str">
            <v>-</v>
          </cell>
          <cell r="AA454" t="str">
            <v>COLOR DEL B4G85 VERDE INTENSO DE EXCELLO ACEITE</v>
          </cell>
          <cell r="AB454" t="str">
            <v>Soraya de Quijada</v>
          </cell>
          <cell r="AC454" t="str">
            <v>Julio 1, 2003</v>
          </cell>
        </row>
        <row r="455">
          <cell r="A455" t="str">
            <v>K54WSA2</v>
          </cell>
          <cell r="B455" t="str">
            <v>RECUBRIMIENTO BLANCO PARA GRAMA SINTETICA</v>
          </cell>
          <cell r="C455" t="str">
            <v>INTERIOR-EXTERIOR</v>
          </cell>
          <cell r="D455" t="str">
            <v>GRAMA SINTETICA</v>
          </cell>
          <cell r="E455" t="str">
            <v>LIMPIA, SECA Y LIBRE DE POLVO Y GRASA</v>
          </cell>
          <cell r="F455" t="str">
            <v>NINGUNO</v>
          </cell>
          <cell r="G455" t="str">
            <v>9.38 LBS/GL</v>
          </cell>
          <cell r="H455" t="str">
            <v>13.85%</v>
          </cell>
          <cell r="I455" t="str">
            <v>24.48%</v>
          </cell>
          <cell r="J455" t="str">
            <v>-</v>
          </cell>
          <cell r="K455" t="str">
            <v>26%</v>
          </cell>
          <cell r="L455" t="str">
            <v>14.74%</v>
          </cell>
          <cell r="M455" t="str">
            <v>80-85 KU</v>
          </cell>
          <cell r="N455" t="str">
            <v>BROCHA</v>
          </cell>
          <cell r="O455" t="str">
            <v>SEGÚN LAS NECESIDADES DEL CLIENTE PUEDE REDUCIRSE HASTA UN 50%</v>
          </cell>
          <cell r="P455" t="str">
            <v>HASTA UN 50%</v>
          </cell>
          <cell r="Q455" t="str">
            <v>AGUA</v>
          </cell>
          <cell r="R455" t="str">
            <v>-</v>
          </cell>
          <cell r="S455" t="str">
            <v>AL SOL UN MINIMO DE 48 HRS O HASTA QUE LA PINTURA EN EL FONDO DEL CESPED SE HAYA SECADO</v>
          </cell>
          <cell r="T455" t="str">
            <v>-</v>
          </cell>
          <cell r="U455" t="str">
            <v>DEPERDE DE LA FORMA DE APLICACIÓN Y EL % DE REDUCCION</v>
          </cell>
          <cell r="V455" t="str">
            <v>-</v>
          </cell>
          <cell r="W455" t="str">
            <v>-</v>
          </cell>
          <cell r="X455" t="str">
            <v>2 AÑOS</v>
          </cell>
          <cell r="Y455" t="str">
            <v>-</v>
          </cell>
          <cell r="Z455" t="str">
            <v>CANCHAS DE GRAMA SINTETICA</v>
          </cell>
          <cell r="AA455" t="str">
            <v>-</v>
          </cell>
          <cell r="AB455" t="str">
            <v>Soraya de Quijada</v>
          </cell>
          <cell r="AC455" t="str">
            <v>Julio 14, 2003</v>
          </cell>
        </row>
        <row r="456">
          <cell r="A456" t="str">
            <v>B60V70</v>
          </cell>
          <cell r="B456" t="str">
            <v>TILE CLAD II ACTIVATOR PART B PANAMA</v>
          </cell>
          <cell r="C456" t="str">
            <v>-</v>
          </cell>
          <cell r="D456" t="str">
            <v>-</v>
          </cell>
          <cell r="E456" t="str">
            <v>-</v>
          </cell>
          <cell r="F456" t="str">
            <v>NINGUNO</v>
          </cell>
          <cell r="G456" t="str">
            <v>8.43 LBS/GL</v>
          </cell>
          <cell r="H456" t="str">
            <v>0.0%</v>
          </cell>
          <cell r="I456" t="str">
            <v>51.52%</v>
          </cell>
          <cell r="J456" t="str">
            <v>51.52%</v>
          </cell>
          <cell r="K456" t="str">
            <v>0.0%</v>
          </cell>
          <cell r="L456" t="str">
            <v>45.27%</v>
          </cell>
          <cell r="M456" t="str">
            <v>F-H GARDNER TUBES</v>
          </cell>
          <cell r="N456" t="str">
            <v>BROCHA-PISTOLA</v>
          </cell>
          <cell r="O456" t="str">
            <v>-</v>
          </cell>
          <cell r="P456" t="str">
            <v>-</v>
          </cell>
          <cell r="Q456" t="str">
            <v>R2K4</v>
          </cell>
          <cell r="R456" t="str">
            <v>-</v>
          </cell>
          <cell r="S456" t="str">
            <v>-</v>
          </cell>
          <cell r="T456" t="str">
            <v>-</v>
          </cell>
          <cell r="U456" t="str">
            <v>-</v>
          </cell>
          <cell r="V456" t="str">
            <v>BRILLANTE</v>
          </cell>
          <cell r="W456" t="str">
            <v>-</v>
          </cell>
          <cell r="X456" t="str">
            <v>2 AÑOS</v>
          </cell>
          <cell r="Y456" t="str">
            <v>PANAMA</v>
          </cell>
          <cell r="Z456" t="str">
            <v>-</v>
          </cell>
          <cell r="AA456" t="str">
            <v>CATALIZAR 1:1 EN VOLUMEN CON TILE CLAD II ENAMEL PART A Y REPOSAR LA MEZCLA POR 30 MIN. ANTES DE REDUCIR Y APLICAR. PRODUCTO LIBRE DE PLOMO ESPECIAL PARA PRODUCTO ANTES FABRICADO EN  PANAMA</v>
          </cell>
          <cell r="AB456" t="str">
            <v>Soraya de Quijada</v>
          </cell>
          <cell r="AC456" t="str">
            <v>Julio 15, 2003</v>
          </cell>
        </row>
        <row r="457">
          <cell r="A457" t="str">
            <v>B97WD2257</v>
          </cell>
          <cell r="B457" t="str">
            <v>PINT.BLAN.P/TRAF.BASE AGUA Q.D. TM 2116</v>
          </cell>
          <cell r="C457" t="str">
            <v>Interior - Exterior</v>
          </cell>
          <cell r="D457" t="str">
            <v>ASFALTO - CONCRETO</v>
          </cell>
          <cell r="E457" t="str">
            <v>LIMPIA, SECA Y LIBRE DE EXUDACIONES DE ASFALTO</v>
          </cell>
          <cell r="F457" t="str">
            <v>NINGUNO.</v>
          </cell>
          <cell r="G457" t="str">
            <v>12 .43 LBS / GL.</v>
          </cell>
          <cell r="H457" t="str">
            <v>52 %.</v>
          </cell>
          <cell r="I457" t="str">
            <v>69. 68 %</v>
          </cell>
          <cell r="J457" t="str">
            <v>-</v>
          </cell>
          <cell r="K457" t="str">
            <v xml:space="preserve">51. 59 </v>
          </cell>
          <cell r="L457" t="str">
            <v>50 +/-2 %</v>
          </cell>
          <cell r="M457" t="str">
            <v>70 - 75 KU</v>
          </cell>
          <cell r="N457" t="str">
            <v>Brocha, Rodillo Industrial, Máquina Franjeadora, Etc.</v>
          </cell>
          <cell r="O457" t="str">
            <v>LISTA PARA USAR</v>
          </cell>
          <cell r="P457" t="str">
            <v>NINGUNO</v>
          </cell>
          <cell r="Q457" t="str">
            <v xml:space="preserve">AGUA LIMPIA SI ES NECESARIO  </v>
          </cell>
          <cell r="R457" t="str">
            <v>7mils</v>
          </cell>
          <cell r="S457" t="str">
            <v>30 MINUTOS. NO TRANSITAR ANTES DE 1HORA.</v>
          </cell>
          <cell r="T457" t="str">
            <v>-</v>
          </cell>
          <cell r="U457" t="str">
            <v>10 - 11 MTS CUADRADOSA 7 MILS SECO.</v>
          </cell>
          <cell r="V457" t="str">
            <v>1 - 2 MATE</v>
          </cell>
          <cell r="W457" t="str">
            <v>-</v>
          </cell>
          <cell r="X457" t="str">
            <v>12 MESES  CORRECTAMENTE TAPADO Y ALMACENADO A 25°C</v>
          </cell>
          <cell r="Y457" t="str">
            <v>VARIOS</v>
          </cell>
          <cell r="Z457" t="str">
            <v>-</v>
          </cell>
          <cell r="AA457" t="str">
            <v>SIN GRUMOS</v>
          </cell>
          <cell r="AB457" t="str">
            <v>Ana Irene Mendez Vides</v>
          </cell>
          <cell r="AC457" t="str">
            <v>21 / JULIO / 2003.</v>
          </cell>
        </row>
        <row r="458">
          <cell r="A458" t="str">
            <v>B97YD2262</v>
          </cell>
          <cell r="B458" t="str">
            <v>P1NT. AMAR.P/TRAF.BASE AGUA Q.D. TM2117</v>
          </cell>
          <cell r="C458" t="str">
            <v>Interior - Exterior</v>
          </cell>
          <cell r="D458" t="str">
            <v>ASFALTO - CONCRETO</v>
          </cell>
          <cell r="E458" t="str">
            <v xml:space="preserve">LIMPIA,SECA Y LIBRE </v>
          </cell>
          <cell r="F458" t="str">
            <v>NINGUNO</v>
          </cell>
          <cell r="G458" t="str">
            <v>12 .53 LBS / GL.</v>
          </cell>
          <cell r="H458" t="str">
            <v>52 %</v>
          </cell>
          <cell r="I458" t="str">
            <v>69. 54 %</v>
          </cell>
          <cell r="J458" t="str">
            <v>-</v>
          </cell>
          <cell r="K458" t="str">
            <v>50.12 %</v>
          </cell>
          <cell r="L458" t="str">
            <v>50 +/-2 %</v>
          </cell>
          <cell r="M458" t="str">
            <v>70 75 KU.</v>
          </cell>
          <cell r="N458" t="str">
            <v>BROCA,RODILLO INDUSTRIA,MAQUINA FRANJEADORA, ETC.</v>
          </cell>
          <cell r="O458" t="str">
            <v>LISTA PARA USAR</v>
          </cell>
          <cell r="P458" t="str">
            <v>NINGUNO</v>
          </cell>
          <cell r="Q458" t="str">
            <v>AGUA LIMPIA SI ES NECESARIO.</v>
          </cell>
          <cell r="R458" t="str">
            <v>7mils</v>
          </cell>
          <cell r="S458" t="str">
            <v>30 MINUTOS. NO TRANSITAR ANTES DE 1HORA.</v>
          </cell>
          <cell r="T458" t="str">
            <v>-</v>
          </cell>
          <cell r="U458" t="str">
            <v>10 - 11 MTS CUADRADOS A 7 MILS SECO.</v>
          </cell>
          <cell r="V458" t="str">
            <v>1 - 2 MATE</v>
          </cell>
          <cell r="W458" t="str">
            <v>-</v>
          </cell>
          <cell r="X458" t="str">
            <v>12 MESES  CORRECTAMENTE TAPADO Y ALMACENADO A 25°C</v>
          </cell>
          <cell r="Y458" t="str">
            <v>VARIOS</v>
          </cell>
          <cell r="Z458" t="str">
            <v>-</v>
          </cell>
          <cell r="AA458" t="str">
            <v>SIN GRUMOS.</v>
          </cell>
          <cell r="AB458" t="str">
            <v>Ana Irene Mendez Vides</v>
          </cell>
          <cell r="AC458" t="str">
            <v>21 / JULIO / 2003.</v>
          </cell>
        </row>
        <row r="459">
          <cell r="A459" t="str">
            <v>A86WSA14</v>
          </cell>
          <cell r="B459" t="str">
            <v>TRA. PAINT WHITE REFLECTORIZED TTP - 87D</v>
          </cell>
          <cell r="C459" t="str">
            <v>EXTERIOR</v>
          </cell>
          <cell r="D459" t="str">
            <v>ASFALTO - CONCRETO</v>
          </cell>
          <cell r="E459" t="str">
            <v>LIMPIA Y SECA</v>
          </cell>
          <cell r="F459" t="str">
            <v>NINGUNO</v>
          </cell>
          <cell r="G459" t="str">
            <v>12. 36 LBS / GL.</v>
          </cell>
          <cell r="H459" t="str">
            <v>-</v>
          </cell>
          <cell r="I459" t="str">
            <v>74. 72 %</v>
          </cell>
          <cell r="J459" t="str">
            <v>-</v>
          </cell>
          <cell r="K459" t="str">
            <v>35. 68 %</v>
          </cell>
          <cell r="L459" t="str">
            <v>53. 86 %</v>
          </cell>
          <cell r="M459" t="str">
            <v>70 - 80 KU</v>
          </cell>
          <cell r="N459" t="str">
            <v>Brocha, Rodillo Industrial, Máquina Franjeadora, Etc.</v>
          </cell>
          <cell r="O459" t="str">
            <v>CON MAQUINA FRANJEADORA, REDUZCA CON 1 / 8 DE GALON.</v>
          </cell>
          <cell r="P459" t="str">
            <v>Listo para usarse con Brocha y Rodillo.</v>
          </cell>
          <cell r="Q459" t="str">
            <v>R2K1, DILUYENTE INDUSTRIAL RAPIDO</v>
          </cell>
          <cell r="R459" t="str">
            <v>7MILS</v>
          </cell>
          <cell r="S459" t="str">
            <v>SECO TOCAR 40 MIN. NO TRANSITAR ANTES DE I H.30 MINUTOS</v>
          </cell>
          <cell r="T459" t="str">
            <v>-</v>
          </cell>
          <cell r="U459" t="str">
            <v>10 - 11 MTS CUADRADOS / GL.</v>
          </cell>
          <cell r="V459" t="str">
            <v>MATE</v>
          </cell>
          <cell r="W459" t="str">
            <v>-</v>
          </cell>
          <cell r="X459" t="str">
            <v>12 MESES CORRECTAMENTE TAPADO Y ALMACENADO A 25° C.</v>
          </cell>
          <cell r="Y459" t="str">
            <v>VARIOS</v>
          </cell>
          <cell r="Z459" t="str">
            <v>-</v>
          </cell>
          <cell r="AA459" t="str">
            <v xml:space="preserve">Finura Hegman: 3H-0 </v>
          </cell>
          <cell r="AB459" t="str">
            <v>Ana Irene Mendez Vides</v>
          </cell>
          <cell r="AC459" t="str">
            <v>21 / JULIO / 2003.</v>
          </cell>
        </row>
        <row r="460">
          <cell r="A460" t="str">
            <v>A86YSA16</v>
          </cell>
          <cell r="B460" t="str">
            <v>TRAF. PAINT YELLOW REFLECTORIZED TTP -87 D</v>
          </cell>
          <cell r="C460" t="str">
            <v>EXTERIOR</v>
          </cell>
          <cell r="D460" t="str">
            <v>ASFALTO - CONCRETO</v>
          </cell>
          <cell r="E460" t="str">
            <v>LIMPIA Y SECA</v>
          </cell>
          <cell r="F460" t="str">
            <v>NINGUNO</v>
          </cell>
          <cell r="G460" t="str">
            <v>12. 55 LBS / GL.</v>
          </cell>
          <cell r="H460" t="str">
            <v>-</v>
          </cell>
          <cell r="I460" t="str">
            <v>75. 25 %</v>
          </cell>
          <cell r="J460" t="str">
            <v>-</v>
          </cell>
          <cell r="K460" t="str">
            <v>36. 02 %</v>
          </cell>
          <cell r="L460" t="str">
            <v>54. 14 %</v>
          </cell>
          <cell r="M460" t="str">
            <v>70 - 80 KU</v>
          </cell>
          <cell r="N460" t="str">
            <v>Brocha, Rodillo Industrial, Máquina Franjeadora, Etc.</v>
          </cell>
          <cell r="O460" t="str">
            <v>CON MAQUINA FRANJEADORA, REDUZCA CON 1 / 8 DE GALON.</v>
          </cell>
          <cell r="P460" t="str">
            <v>Listo para usarse con Brocha y Rodillo.</v>
          </cell>
          <cell r="Q460" t="str">
            <v>R2K1, DILUYENTE INDUSTRIAL RAPIDO</v>
          </cell>
          <cell r="R460" t="str">
            <v>7MILS</v>
          </cell>
          <cell r="S460" t="str">
            <v>SECO TOCAR 40 MIN. NO TRANSITAR ANTES DE I H.30 MINUTOS</v>
          </cell>
          <cell r="T460" t="str">
            <v>-</v>
          </cell>
          <cell r="U460" t="str">
            <v>10 - 11 MTS CUADRADOS / GL.</v>
          </cell>
          <cell r="V460" t="str">
            <v>MATE</v>
          </cell>
          <cell r="W460" t="str">
            <v>-</v>
          </cell>
          <cell r="X460" t="str">
            <v>12 MESES CORRECTAMENTE TAPADO Y ALMACENADO A 25° C.</v>
          </cell>
          <cell r="Y460" t="str">
            <v>VARIOS</v>
          </cell>
          <cell r="Z460" t="str">
            <v>-</v>
          </cell>
          <cell r="AA460" t="str">
            <v xml:space="preserve">Finura Hegman: 3H-0 </v>
          </cell>
          <cell r="AB460" t="str">
            <v>Ana Irene Mendez Vides</v>
          </cell>
          <cell r="AC460" t="str">
            <v>21 / JULIO / 2003.</v>
          </cell>
        </row>
        <row r="461">
          <cell r="A461" t="str">
            <v>LINEA A8</v>
          </cell>
          <cell r="B461" t="str">
            <v>EXCELLO LATEX PINTURA SEMIBRILLANTE</v>
          </cell>
          <cell r="C461" t="str">
            <v>Interior-Exterior</v>
          </cell>
          <cell r="D461" t="str">
            <v>CONCRETO,LADRILLO</v>
          </cell>
          <cell r="E461" t="str">
            <v>LIMPIA,SECA, LIBRE DE POLVO,GRASA,HONGOS,PINTURA DESCASCARADA</v>
          </cell>
          <cell r="F461" t="str">
            <v>FAST DRY LATEX WALL PRIMER</v>
          </cell>
          <cell r="G461" t="str">
            <v>10 .00 +/- .5 LBS / GL</v>
          </cell>
          <cell r="H461" t="str">
            <v>-</v>
          </cell>
          <cell r="I461" t="str">
            <v>43 .29 %</v>
          </cell>
          <cell r="J461" t="str">
            <v>-</v>
          </cell>
          <cell r="K461" t="str">
            <v>24 .90 %</v>
          </cell>
          <cell r="L461" t="str">
            <v>29 .63 %</v>
          </cell>
          <cell r="M461" t="str">
            <v>90 - 95 KU</v>
          </cell>
          <cell r="N461" t="str">
            <v>BROCHA - RODILLO</v>
          </cell>
          <cell r="O461" t="str">
            <v>LISTA PARA USAR</v>
          </cell>
          <cell r="P461" t="str">
            <v>NINGUNO.</v>
          </cell>
          <cell r="Q461" t="str">
            <v>AGUA PARA LAVAR EQUIPO.</v>
          </cell>
          <cell r="R461" t="str">
            <v>1 MILS</v>
          </cell>
          <cell r="S461" t="str">
            <v>AL TACTO 1 HORA, RETOCAR : 2 - 4 HORAS</v>
          </cell>
          <cell r="T461" t="str">
            <v>-</v>
          </cell>
          <cell r="U461" t="str">
            <v>40 Mts CUADRADOS A 1 MILS DE ESPESOR</v>
          </cell>
          <cell r="V461" t="str">
            <v>25 - 30</v>
          </cell>
          <cell r="W461" t="str">
            <v>-</v>
          </cell>
          <cell r="X461" t="str">
            <v>36 MESES SIN DESTAPAR A 25 ° C</v>
          </cell>
          <cell r="Y461" t="str">
            <v>VARIOS</v>
          </cell>
          <cell r="Z461" t="str">
            <v>-</v>
          </cell>
          <cell r="AA461" t="str">
            <v>ESTE PRODUCTO NO CONTIENE PLOMO NI MERCURIO</v>
          </cell>
          <cell r="AB461" t="str">
            <v>ANA IRENE MENDEZ VIDES.</v>
          </cell>
          <cell r="AC461" t="str">
            <v>1° AGOSTO 2003</v>
          </cell>
        </row>
        <row r="462">
          <cell r="A462" t="str">
            <v>B50A1-A</v>
          </cell>
          <cell r="B462" t="str">
            <v>GALVANIZED IRON PRIMER PARTE A</v>
          </cell>
          <cell r="C462" t="str">
            <v>INTERIOR-EXTERIOR</v>
          </cell>
          <cell r="D462" t="str">
            <v>ACERO-LAMINA GALVANIZADA</v>
          </cell>
          <cell r="E462" t="str">
            <v>LIMPIA,SECA, LIBRE DE POLVO,GRASA,PINTURA DESCASCARADA</v>
          </cell>
          <cell r="F462" t="str">
            <v>-</v>
          </cell>
          <cell r="G462" t="str">
            <v>11.50 LBS/GL</v>
          </cell>
          <cell r="H462" t="str">
            <v>45.98%</v>
          </cell>
          <cell r="I462" t="str">
            <v>77.52%</v>
          </cell>
          <cell r="J462" t="str">
            <v>31.54%</v>
          </cell>
          <cell r="K462" t="str">
            <v>28.15%</v>
          </cell>
          <cell r="L462" t="str">
            <v>54.36%</v>
          </cell>
          <cell r="M462" t="str">
            <v>77-85 KU</v>
          </cell>
          <cell r="N462" t="str">
            <v>BROCHA</v>
          </cell>
          <cell r="O462" t="str">
            <v>-</v>
          </cell>
          <cell r="P462" t="str">
            <v xml:space="preserve">LA NECESARIA  </v>
          </cell>
          <cell r="Q462" t="str">
            <v>R1K4 MINERAL SPIRITS</v>
          </cell>
          <cell r="R462" t="str">
            <v>1 MILLS</v>
          </cell>
          <cell r="S462" t="str">
            <v>SECO TOCAR: 4-6 HORAS; SECO COMPLETO: 8-12 HORAS</v>
          </cell>
          <cell r="T462" t="str">
            <v>-</v>
          </cell>
          <cell r="U462" t="str">
            <v>60 Mts CUADRADOS A 1 MILS DE ESPESOR</v>
          </cell>
          <cell r="V462" t="str">
            <v>LIGERAMENTE SATINADO</v>
          </cell>
          <cell r="W462" t="str">
            <v>-</v>
          </cell>
          <cell r="X462" t="str">
            <v>24 MESES SIN DESTAPAR A 25 ° C</v>
          </cell>
          <cell r="Y462" t="str">
            <v>PANAMA</v>
          </cell>
          <cell r="Z462" t="str">
            <v>-</v>
          </cell>
          <cell r="AA462" t="str">
            <v>ESTE PRODUCTO CONSTA DE DOS PARTES, PARTE A Y PARTE B AMBAS PARTES DEBEN MEZCLARSE PARA OBTENER EL PRODUCTO FINAL Y APLICAR</v>
          </cell>
          <cell r="AB462" t="str">
            <v>Soraya de Quijada</v>
          </cell>
          <cell r="AC462" t="str">
            <v>20 AGOSTO 2003</v>
          </cell>
        </row>
        <row r="463">
          <cell r="A463" t="str">
            <v>B50A1-B</v>
          </cell>
          <cell r="B463" t="str">
            <v>GALVANIZED IRON PRIMER PARTE B</v>
          </cell>
          <cell r="C463" t="str">
            <v>-</v>
          </cell>
          <cell r="D463" t="str">
            <v>-</v>
          </cell>
          <cell r="E463" t="str">
            <v>-</v>
          </cell>
          <cell r="F463" t="str">
            <v>-</v>
          </cell>
          <cell r="G463" t="str">
            <v>58.8 LBS/GL</v>
          </cell>
          <cell r="H463" t="str">
            <v>100%</v>
          </cell>
          <cell r="I463" t="str">
            <v>100%</v>
          </cell>
          <cell r="J463" t="str">
            <v>-</v>
          </cell>
          <cell r="K463" t="str">
            <v>-</v>
          </cell>
          <cell r="L463" t="str">
            <v>-</v>
          </cell>
          <cell r="M463" t="str">
            <v>SOLIDO</v>
          </cell>
          <cell r="N463" t="str">
            <v>-</v>
          </cell>
          <cell r="O463" t="str">
            <v>-</v>
          </cell>
          <cell r="P463" t="str">
            <v>-</v>
          </cell>
          <cell r="Q463" t="str">
            <v>-</v>
          </cell>
          <cell r="R463" t="str">
            <v>-</v>
          </cell>
          <cell r="S463" t="str">
            <v>-</v>
          </cell>
          <cell r="T463" t="str">
            <v>-</v>
          </cell>
          <cell r="U463" t="str">
            <v>-</v>
          </cell>
          <cell r="V463" t="str">
            <v>-</v>
          </cell>
          <cell r="W463" t="str">
            <v>-</v>
          </cell>
          <cell r="X463" t="str">
            <v>-</v>
          </cell>
          <cell r="Y463" t="str">
            <v>PANAMA</v>
          </cell>
          <cell r="Z463" t="str">
            <v>-</v>
          </cell>
          <cell r="AA463" t="str">
            <v>POLVO DE ZINC.ESTE PRODUCTO CONSTA DE DOS PARTES, PARTE A Y PARTE B AMBAS PARTES DEBEN MEZCLARSE PARA OBTENER EL PRODUCTO FINAL Y APLICAR</v>
          </cell>
          <cell r="AB463" t="str">
            <v>Soraya de Quijada</v>
          </cell>
          <cell r="AC463" t="str">
            <v>20 AGOSTO 2003</v>
          </cell>
        </row>
        <row r="464">
          <cell r="A464" t="str">
            <v>S66NSA2</v>
          </cell>
          <cell r="B464" t="str">
            <v>GLAZE BRISTO WALNUT</v>
          </cell>
          <cell r="C464" t="str">
            <v>INTERIOR-EXTERIOR</v>
          </cell>
          <cell r="D464" t="str">
            <v>MADERA</v>
          </cell>
          <cell r="E464" t="str">
            <v>LIJADO Y LIBRE DE POLVO</v>
          </cell>
          <cell r="F464" t="str">
            <v>DE PREFERENCIA SE APLICA DESPUES DE LA MANO DELGADA DE SELLADOR (WASHCOAT)</v>
          </cell>
          <cell r="G464" t="str">
            <v>9.65 LBS</v>
          </cell>
          <cell r="H464" t="str">
            <v>5%</v>
          </cell>
          <cell r="I464" t="str">
            <v>60.0%</v>
          </cell>
          <cell r="J464" t="str">
            <v>34.56%</v>
          </cell>
          <cell r="K464" t="str">
            <v>40.92%</v>
          </cell>
          <cell r="L464" t="str">
            <v>40.0%</v>
          </cell>
          <cell r="M464" t="str">
            <v>85-90 KU</v>
          </cell>
          <cell r="N464" t="str">
            <v>BROCHA, WIPE, PISTOLA</v>
          </cell>
          <cell r="O464" t="str">
            <v>DE PREFERENCIA A 20-25 SEG ZANH 2</v>
          </cell>
          <cell r="P464" t="str">
            <v xml:space="preserve">HASTA 200% </v>
          </cell>
          <cell r="Q464" t="str">
            <v>R1K4, R1K3</v>
          </cell>
          <cell r="R464" t="str">
            <v>-</v>
          </cell>
          <cell r="S464" t="str">
            <v>30-45 MIN.</v>
          </cell>
          <cell r="T464" t="str">
            <v>-</v>
          </cell>
          <cell r="U464" t="str">
            <v>61.53 METROS CUADRADOS POR GALON A 1 MILS DE PELICULA SECA</v>
          </cell>
          <cell r="V464" t="str">
            <v>-</v>
          </cell>
          <cell r="W464" t="str">
            <v>-</v>
          </cell>
          <cell r="X464" t="str">
            <v>1 AÑO</v>
          </cell>
          <cell r="Y464" t="str">
            <v>DIDEMA HONDURAS</v>
          </cell>
          <cell r="Z464" t="str">
            <v>-</v>
          </cell>
          <cell r="AB464" t="str">
            <v>Juan Antonio Méndez</v>
          </cell>
          <cell r="AC464" t="str">
            <v>6 de noviembre del 2006</v>
          </cell>
        </row>
        <row r="465">
          <cell r="A465" t="str">
            <v>S66NSA3</v>
          </cell>
          <cell r="B465" t="str">
            <v>GLAZE CHERRY</v>
          </cell>
          <cell r="C465" t="str">
            <v>INTERIOR-EXTERIOR</v>
          </cell>
          <cell r="D465" t="str">
            <v>MADERA</v>
          </cell>
          <cell r="E465" t="str">
            <v>LIJADO Y LIBRE DE POLVO</v>
          </cell>
          <cell r="F465" t="str">
            <v>DE PREFERENCIA SE APLICA DESPUES DE LA MANO DELGADA DE SELLADOR (WASHCOAT)</v>
          </cell>
          <cell r="G465" t="str">
            <v>9.65 LBS</v>
          </cell>
          <cell r="H465" t="str">
            <v>8.22 %</v>
          </cell>
          <cell r="I465" t="str">
            <v>60.0%</v>
          </cell>
          <cell r="J465" t="str">
            <v>35.55%</v>
          </cell>
          <cell r="K465" t="str">
            <v>37%</v>
          </cell>
          <cell r="L465" t="str">
            <v>39.47%</v>
          </cell>
          <cell r="M465" t="str">
            <v>85-90 KU</v>
          </cell>
          <cell r="N465" t="str">
            <v>BROCHA, WIPE, PISTOLA</v>
          </cell>
          <cell r="O465" t="str">
            <v>DE PREFERENCIA A 25-20 SEG ZANH 2</v>
          </cell>
          <cell r="P465" t="str">
            <v xml:space="preserve">HASTA 200% </v>
          </cell>
          <cell r="Q465" t="str">
            <v>R1K4, R1K3</v>
          </cell>
          <cell r="R465" t="str">
            <v>-</v>
          </cell>
          <cell r="S465" t="str">
            <v>30-45 MIN.</v>
          </cell>
          <cell r="T465" t="str">
            <v>-</v>
          </cell>
          <cell r="U465" t="str">
            <v>58.84 METROS CUADRADOS POR GALON A 1 MILS DE PELICULA SECA</v>
          </cell>
          <cell r="V465" t="str">
            <v>-</v>
          </cell>
          <cell r="W465" t="str">
            <v>-</v>
          </cell>
          <cell r="X465" t="str">
            <v>1 AÑO</v>
          </cell>
          <cell r="Y465" t="str">
            <v>DIDEMA HONDURAS</v>
          </cell>
          <cell r="Z465" t="str">
            <v>-</v>
          </cell>
          <cell r="AB465" t="str">
            <v>Juan Antonio Méndez</v>
          </cell>
          <cell r="AC465" t="str">
            <v>6 de noviembre del 2006</v>
          </cell>
        </row>
        <row r="466">
          <cell r="A466" t="str">
            <v>S66NSA1</v>
          </cell>
          <cell r="B466" t="str">
            <v>GLAZE WARM CHESNUT</v>
          </cell>
          <cell r="C466" t="str">
            <v>INTERIOR-EXTERIOR</v>
          </cell>
          <cell r="D466" t="str">
            <v>MADERA</v>
          </cell>
          <cell r="E466" t="str">
            <v>LIJADO Y LIBRE DE POLVO</v>
          </cell>
          <cell r="F466" t="str">
            <v>DE PREFERENCIA SE APLICA DESPUES DE LA MANO DELGADA DE SELLADOR (WASHCOAT)</v>
          </cell>
          <cell r="G466" t="str">
            <v>8.98 LBS</v>
          </cell>
          <cell r="H466" t="str">
            <v>5.5 %</v>
          </cell>
          <cell r="I466" t="str">
            <v>54%</v>
          </cell>
          <cell r="J466" t="str">
            <v>32%</v>
          </cell>
          <cell r="K466" t="str">
            <v>30.60 %</v>
          </cell>
          <cell r="L466" t="str">
            <v>37 %</v>
          </cell>
          <cell r="M466" t="str">
            <v>85-90 KU</v>
          </cell>
          <cell r="N466" t="str">
            <v>BROCHA, WIPE, PISTOLA</v>
          </cell>
          <cell r="O466" t="str">
            <v>DE PREFERENCIA A 25-20 SEG ZANH 2</v>
          </cell>
          <cell r="P466" t="str">
            <v xml:space="preserve">HASTA 200% </v>
          </cell>
          <cell r="Q466" t="str">
            <v>R1K4, R1K3</v>
          </cell>
          <cell r="R466" t="str">
            <v>-</v>
          </cell>
          <cell r="S466" t="str">
            <v>30-45 MIN.</v>
          </cell>
          <cell r="T466" t="str">
            <v>-</v>
          </cell>
          <cell r="U466" t="str">
            <v>55.13 METROS CUADRADOS POR GALON A 1 MILS DE PELICULA SECA</v>
          </cell>
          <cell r="V466" t="str">
            <v>-</v>
          </cell>
          <cell r="W466" t="str">
            <v>-</v>
          </cell>
          <cell r="X466" t="str">
            <v>1 AÑO</v>
          </cell>
          <cell r="Y466" t="str">
            <v>DIDEMA HONDURAS</v>
          </cell>
          <cell r="Z466" t="str">
            <v>-</v>
          </cell>
          <cell r="AB466" t="str">
            <v>Juan Antonio Méndez</v>
          </cell>
          <cell r="AC466" t="str">
            <v>6 de noviembre del 2006</v>
          </cell>
        </row>
        <row r="467">
          <cell r="A467" t="str">
            <v>B67_2000 PARTE A.    B67V2002 PARTE B.</v>
          </cell>
          <cell r="B467" t="str">
            <v>ARMORSEAL 1000 HS EPOXY</v>
          </cell>
          <cell r="C467" t="str">
            <v>INTERIOR-EXTERIOR</v>
          </cell>
          <cell r="D467" t="str">
            <v>CONCRETO Y HIERRO</v>
          </cell>
          <cell r="E467" t="str">
            <v>CONCRETO: SSPC-SP13/NACE 6 (SEGUN ASTM D4258,D4259 Y D4260).   HIERRO: SSPC-SP6.</v>
          </cell>
          <cell r="F467" t="str">
            <v>NINGUNO</v>
          </cell>
          <cell r="G467" t="str">
            <v>12.51 MEZCLADO Y PUEDE VARIAR POR EL COLOR.</v>
          </cell>
          <cell r="H467" t="str">
            <v>---</v>
          </cell>
          <cell r="I467" t="str">
            <v>74% (MEZCLADO Y PUEDE VARIAR POR EL COLOR)</v>
          </cell>
          <cell r="J467" t="str">
            <v>---</v>
          </cell>
          <cell r="K467" t="str">
            <v>---</v>
          </cell>
          <cell r="L467" t="str">
            <v>65% (MEZCLADO Y PUEDE VARIAR POR EL COLOR)</v>
          </cell>
          <cell r="M467" t="str">
            <v>---</v>
          </cell>
          <cell r="N467" t="str">
            <v xml:space="preserve">AIRLESS, BROCHA, RODILLO, </v>
          </cell>
          <cell r="O467" t="str">
            <v>---</v>
          </cell>
          <cell r="P467" t="str">
            <v>10-15%</v>
          </cell>
          <cell r="Q467" t="str">
            <v>R7K54 INDUSTRIAL REDUCER</v>
          </cell>
          <cell r="R467" t="str">
            <v>6-10 MILS DE PELICULA SECA</v>
          </cell>
          <cell r="S467" t="str">
            <v>TRAFICO PEATONAL:24 HR.  TRAFICO PESADO: 72 HRS. PARA RESISTENCIA QUIMICA 7 DIAS.</v>
          </cell>
          <cell r="T467" t="str">
            <v>--</v>
          </cell>
          <cell r="U467" t="str">
            <v>9-16 MTS CUADRADOS POR GALON A 6-10 MILS SECOS.</v>
          </cell>
          <cell r="V467" t="str">
            <v>BRILLANTE</v>
          </cell>
          <cell r="W467" t="str">
            <v>HB</v>
          </cell>
          <cell r="X467" t="str">
            <v>1 ANO</v>
          </cell>
          <cell r="Y467" t="str">
            <v>VARIOS</v>
          </cell>
          <cell r="AA467" t="str">
            <v>ESPECIFICACIONES OBTENIDAS DE HOJA TECNICA ARMORSEAL 1000 HS.</v>
          </cell>
          <cell r="AB467" t="str">
            <v>Juan Antonio Méndez</v>
          </cell>
          <cell r="AC467" t="str">
            <v>12 DE AGOSTO DEL 2008</v>
          </cell>
        </row>
        <row r="468">
          <cell r="A468" t="str">
            <v>B50 W SA2</v>
          </cell>
          <cell r="B468" t="str">
            <v>PRIMER BLANCO PARA TORRES DE HIERRO GALVANIZADO</v>
          </cell>
          <cell r="C468" t="str">
            <v>EXTERIOR</v>
          </cell>
          <cell r="D468" t="str">
            <v>HIERRO GALVANIZADO</v>
          </cell>
          <cell r="E468" t="str">
            <v>La superficie debe estar limpia, seca y en buenas condiciones. La limpieza debera ser segun SSPC-SP1 de Preferencia con thinner R7K128 o R7K203.</v>
          </cell>
          <cell r="F468" t="str">
            <v>NINGUNO</v>
          </cell>
          <cell r="G468" t="str">
            <v>10.99 ± 0.2 LBS/GALON</v>
          </cell>
          <cell r="H468" t="str">
            <v>29.8% ± 0.2</v>
          </cell>
          <cell r="I468" t="str">
            <v>58% ± 1.0</v>
          </cell>
          <cell r="J468" t="str">
            <v>21.0 % ± 1.0</v>
          </cell>
          <cell r="K468" t="str">
            <v>27.7%</v>
          </cell>
          <cell r="L468" t="str">
            <v>44.2% ± 1.0</v>
          </cell>
          <cell r="M468" t="str">
            <v>110 - 115 KU</v>
          </cell>
          <cell r="N468" t="str">
            <v>BROCHA -PISTOLA</v>
          </cell>
          <cell r="O468" t="str">
            <v>LA NECESARIA</v>
          </cell>
          <cell r="P468" t="str">
            <v>20 % MAX.</v>
          </cell>
          <cell r="Q468" t="str">
            <v>AGUA LIMPIA</v>
          </cell>
          <cell r="R468" t="str">
            <v>1 MILS (25.4  MICRONES)</v>
          </cell>
          <cell r="S468" t="str">
            <v>TOCAR: 30 MIN; RETOCAR: 3 HRS.</v>
          </cell>
          <cell r="T468" t="str">
            <v>-</v>
          </cell>
          <cell r="U468" t="str">
            <v>50-60 Mts2/Galon a 1 mils de espesor de pelicula seca</v>
          </cell>
          <cell r="V468" t="str">
            <v>MATE</v>
          </cell>
          <cell r="W468" t="str">
            <v>-</v>
          </cell>
          <cell r="X468" t="str">
            <v>24 meses sin abrir a 25 grados centigrados.</v>
          </cell>
          <cell r="Y468" t="str">
            <v>VARIOS</v>
          </cell>
          <cell r="Z468" t="str">
            <v>MONTAJE Y ENSAMBLE DE TORRES DE TRANSMISION TELEFONICA</v>
          </cell>
          <cell r="AA468" t="str">
            <v>RECUBRIR CON ACABADO BRILLANTE B50WSA1</v>
          </cell>
          <cell r="AB468" t="str">
            <v>SORAYA DE QUIJADA</v>
          </cell>
          <cell r="AC468" t="str">
            <v>SEPTIEMBRE 1, 2008</v>
          </cell>
        </row>
        <row r="469">
          <cell r="A469" t="str">
            <v>B50 E SA2</v>
          </cell>
          <cell r="B469" t="str">
            <v>PRIMER NARANJA PARA TORRES DE HIERRO GALVANIZADO</v>
          </cell>
          <cell r="C469" t="str">
            <v>EXTERIOR</v>
          </cell>
          <cell r="D469" t="str">
            <v>HIERRO GALVANIZADO</v>
          </cell>
          <cell r="E469" t="str">
            <v>La superficie debe estar limpia, seca y en buenas condiciones. La limpieza debera ser segun SSPC-SP1 de Preferencia con thinner R7K128 o R7K203.</v>
          </cell>
          <cell r="F469" t="str">
            <v>NINGUNO</v>
          </cell>
          <cell r="G469" t="str">
            <v>9.66 ± 0.2 LBS/GALON</v>
          </cell>
          <cell r="H469" t="str">
            <v>13.8% ± 0.2</v>
          </cell>
          <cell r="I469" t="str">
            <v>49.5% ± 1.0</v>
          </cell>
          <cell r="J469" t="str">
            <v>24.0 % ± 1.0</v>
          </cell>
          <cell r="K469" t="str">
            <v>17.5%</v>
          </cell>
          <cell r="L469" t="str">
            <v>38.75% ± 1.0</v>
          </cell>
          <cell r="M469" t="str">
            <v>110 - 115 KU</v>
          </cell>
          <cell r="N469" t="str">
            <v>BROCHA -PISTOLA</v>
          </cell>
          <cell r="O469" t="str">
            <v>LA NECESARIA</v>
          </cell>
          <cell r="P469" t="str">
            <v>20 % MAX.</v>
          </cell>
          <cell r="Q469" t="str">
            <v>AGUA LIMPIA</v>
          </cell>
          <cell r="R469" t="str">
            <v>1 MILS (25.4  MICRONES)</v>
          </cell>
          <cell r="S469" t="str">
            <v>TOCAR: 30 MIN; RETOCAR: 3 HRS.</v>
          </cell>
          <cell r="T469" t="str">
            <v>-</v>
          </cell>
          <cell r="U469" t="str">
            <v>50-60 Mts2/Galon a 1 mils de espesor de pelicula seca</v>
          </cell>
          <cell r="V469" t="str">
            <v>MATE</v>
          </cell>
          <cell r="W469" t="str">
            <v>-</v>
          </cell>
          <cell r="X469" t="str">
            <v>24 meses sin abrir a 25 grados centigrados.</v>
          </cell>
          <cell r="Y469" t="str">
            <v>VARIOS</v>
          </cell>
          <cell r="Z469" t="str">
            <v>MONTAJE Y ENSAMBLE DE TORRES DE TRANSMISION TELEFONICA</v>
          </cell>
          <cell r="AA469" t="str">
            <v>RECUBRIR CON ACABADO BRILLANTE B50ESA1</v>
          </cell>
          <cell r="AB469" t="str">
            <v>SORAYA DE QUIJADA</v>
          </cell>
          <cell r="AC469" t="str">
            <v>SEPTIEMBRE 1, 2008</v>
          </cell>
        </row>
        <row r="470">
          <cell r="A470" t="str">
            <v>SAA 8012</v>
          </cell>
          <cell r="B470" t="str">
            <v>PRIMER BLANCO PARA TORRES DE HIERRO GALVANIZADO</v>
          </cell>
          <cell r="C470" t="str">
            <v>EXTERIOR</v>
          </cell>
          <cell r="D470" t="str">
            <v>HIERRO GALVANIZADO</v>
          </cell>
          <cell r="E470" t="str">
            <v>La superficie debe estar limpia, seca y en buenas condiciones. La limpieza debera ser segun SSPC-SP1 de Preferencia con thinner R7K128 o R7K203.</v>
          </cell>
          <cell r="F470" t="str">
            <v>NINGUNO</v>
          </cell>
          <cell r="G470" t="str">
            <v>10.99 ± 0.2 LBS/GALON</v>
          </cell>
          <cell r="H470" t="str">
            <v>29.8% ± 0.2</v>
          </cell>
          <cell r="I470" t="str">
            <v>58% ± 1.0</v>
          </cell>
          <cell r="J470" t="str">
            <v>21.0 % ± 1.0</v>
          </cell>
          <cell r="K470" t="str">
            <v>27.7%</v>
          </cell>
          <cell r="L470" t="str">
            <v>44.2% ± 1.0</v>
          </cell>
          <cell r="M470" t="str">
            <v>110 - 115 KU</v>
          </cell>
          <cell r="N470" t="str">
            <v>BROCHA -PISTOLA</v>
          </cell>
          <cell r="O470" t="str">
            <v>LA NECESARIA</v>
          </cell>
          <cell r="P470" t="str">
            <v>20 % MAX.</v>
          </cell>
          <cell r="Q470" t="str">
            <v>AGUA LIMPIA</v>
          </cell>
          <cell r="R470" t="str">
            <v>1 MILS (25.4  MICRONES)</v>
          </cell>
          <cell r="S470" t="str">
            <v>TOCAR: 30 MIN; RETOCAR: 3 HRS.</v>
          </cell>
          <cell r="T470" t="str">
            <v>-</v>
          </cell>
          <cell r="U470" t="str">
            <v>50-60 Mts2/Galon a 1 mils de espesor de pelicula seca</v>
          </cell>
          <cell r="V470" t="str">
            <v>MATE</v>
          </cell>
          <cell r="W470" t="str">
            <v>-</v>
          </cell>
          <cell r="X470" t="str">
            <v>24 meses sin abrir a 25 grados centigrados.</v>
          </cell>
          <cell r="Y470" t="str">
            <v>VARIOS</v>
          </cell>
          <cell r="Z470" t="str">
            <v>MONTAJE Y ENSAMBLE DE TORRES DE TRANSMISION TELEFONICA</v>
          </cell>
          <cell r="AA470" t="str">
            <v>RECUBRIR CON ACABADO BRILLANTE B50WSA1</v>
          </cell>
          <cell r="AB470" t="str">
            <v>SORAYA DE QUIJADA</v>
          </cell>
          <cell r="AC470" t="str">
            <v>SEPTIEMBRE 1, 2008</v>
          </cell>
        </row>
        <row r="471">
          <cell r="A471" t="str">
            <v>SAA 8013</v>
          </cell>
          <cell r="B471" t="str">
            <v>PRIMER NARANJA PARA TORRES DE HIERRO GALVANIZADO</v>
          </cell>
          <cell r="C471" t="str">
            <v>EXTERIOR</v>
          </cell>
          <cell r="D471" t="str">
            <v>HIERRO GALVANIZADO</v>
          </cell>
          <cell r="E471" t="str">
            <v>La superficie debe estar limpia, seca y en buenas condiciones. La limpieza debera ser segun SSPC-SP1 de Preferencia con thinner R7K128 o R7K203.</v>
          </cell>
          <cell r="F471" t="str">
            <v>NINGUNO</v>
          </cell>
          <cell r="G471" t="str">
            <v>9.66 ± 0.2 LBS/GALON</v>
          </cell>
          <cell r="H471" t="str">
            <v>13.8% ± 0.2</v>
          </cell>
          <cell r="I471" t="str">
            <v>49.5% ± 1.0</v>
          </cell>
          <cell r="J471" t="str">
            <v>24.0 % ± 1.0</v>
          </cell>
          <cell r="K471" t="str">
            <v>17.5%</v>
          </cell>
          <cell r="L471" t="str">
            <v>38.75% ± 1.0</v>
          </cell>
          <cell r="M471" t="str">
            <v>110 - 115 KU</v>
          </cell>
          <cell r="N471" t="str">
            <v>BROCHA -PISTOLA</v>
          </cell>
          <cell r="O471" t="str">
            <v>LA NECESARIA</v>
          </cell>
          <cell r="P471" t="str">
            <v>20 % MAX.</v>
          </cell>
          <cell r="Q471" t="str">
            <v>AGUA LIMPIA</v>
          </cell>
          <cell r="R471" t="str">
            <v>1 MILS (25.4  MICRONES)</v>
          </cell>
          <cell r="S471" t="str">
            <v>TOCAR: 30 MIN; RETOCAR: 3 HRS.</v>
          </cell>
          <cell r="T471" t="str">
            <v>-</v>
          </cell>
          <cell r="U471" t="str">
            <v>50-60 Mts2/Galon a 1 mils de espesor de pelicula seca</v>
          </cell>
          <cell r="V471" t="str">
            <v>MATE</v>
          </cell>
          <cell r="W471" t="str">
            <v>-</v>
          </cell>
          <cell r="X471" t="str">
            <v>24 meses sin abrir a 25 grados centigrados.</v>
          </cell>
          <cell r="Y471" t="str">
            <v>VARIOS</v>
          </cell>
          <cell r="Z471" t="str">
            <v>MONTAJE Y ENSAMBLE DE TORRES DE TRANSMISION TELEFONICA</v>
          </cell>
          <cell r="AA471" t="str">
            <v>RECUBRIR CON ACABADO BRILLANTE B50ESA1</v>
          </cell>
          <cell r="AB471" t="str">
            <v>SORAYA DE QUIJADA</v>
          </cell>
          <cell r="AC471" t="str">
            <v>SEPTIEMBRE 1, 2008</v>
          </cell>
        </row>
        <row r="472">
          <cell r="A472" t="str">
            <v>LINEA A33</v>
          </cell>
          <cell r="B472" t="str">
            <v>FLOOR ENAMEL</v>
          </cell>
          <cell r="C472" t="str">
            <v>INTERIOR-EXTERIOR</v>
          </cell>
          <cell r="D472" t="str">
            <v>CONCRETO, METAL Y MADERA</v>
          </cell>
          <cell r="E472" t="str">
            <v>LIMPIA, SECA, LIBRE DE POLVO, GRASA, PINTURA DESCASCARADA</v>
          </cell>
          <cell r="F472" t="str">
            <v>NINGUNO</v>
          </cell>
          <cell r="G472" t="str">
            <v>8.5 ± 0.5 LBS/GALON DEPENDIENDO EL COLOR</v>
          </cell>
          <cell r="H472" t="str">
            <v>20.2% ± 0.2 DEPENDIENDO EL COLOR</v>
          </cell>
          <cell r="I472" t="str">
            <v>47.5 - 52.5 ± 0.5 DEPENDIENDO EL COLOR</v>
          </cell>
          <cell r="J472" t="str">
            <v>-</v>
          </cell>
          <cell r="K472" t="str">
            <v>14.5 - 18.5% DEPENDIENDO EL COLOR</v>
          </cell>
          <cell r="L472" t="str">
            <v>35 - 38 ± 0.5 DEPENDIENDO EL COLOR</v>
          </cell>
          <cell r="M472" t="str">
            <v>70 - 76 KU</v>
          </cell>
          <cell r="N472" t="str">
            <v>BROCHA - RODILLO</v>
          </cell>
          <cell r="O472" t="str">
            <v>-</v>
          </cell>
          <cell r="P472" t="str">
            <v>10 % MAX</v>
          </cell>
          <cell r="Q472" t="str">
            <v>R1K4 Mineral Spirits</v>
          </cell>
          <cell r="R472" t="str">
            <v>1 - 1.5 MILS</v>
          </cell>
          <cell r="S472" t="str">
            <v>SECO TOCAR: 2 HORAS, REPINTAR: 12 HORAS, SECO COMPLETO: 24 HORAS</v>
          </cell>
          <cell r="T472" t="str">
            <v>-</v>
          </cell>
          <cell r="U472" t="str">
            <v>50 - 55 Mts Cuadrados/Gl, Dependiendo de la Superficie.</v>
          </cell>
          <cell r="V472" t="str">
            <v>SATINADO</v>
          </cell>
          <cell r="W472" t="str">
            <v>-</v>
          </cell>
          <cell r="X472" t="str">
            <v>24 MESES</v>
          </cell>
          <cell r="Y472" t="str">
            <v>VARIOS</v>
          </cell>
          <cell r="Z472" t="str">
            <v>PRODUCTO ESPECIAL PARA PANAMA</v>
          </cell>
          <cell r="AA472" t="str">
            <v>-</v>
          </cell>
          <cell r="AB472" t="str">
            <v>Hector Manuel Guerra</v>
          </cell>
          <cell r="AC472" t="str">
            <v>21/12/2010</v>
          </cell>
        </row>
        <row r="473">
          <cell r="A473" t="str">
            <v>LINEA A57</v>
          </cell>
          <cell r="B473" t="str">
            <v>PINTURA PARA TECHOS</v>
          </cell>
          <cell r="C473" t="str">
            <v>INTERIOR-EXTERIOR</v>
          </cell>
          <cell r="D473" t="str">
            <v>METAL, METAL GALVANIZADO, CONCRETO, ASBESTO</v>
          </cell>
          <cell r="E473" t="str">
            <v>La superficie debe estar limpia y seca, libre de grasa, suciedad u óxido</v>
          </cell>
          <cell r="F473" t="str">
            <v>NINGUNO</v>
          </cell>
          <cell r="G473" t="str">
            <v>10-12 LBS/GALON DEPENDIENDO EL COLOR</v>
          </cell>
          <cell r="H473" t="str">
            <v>3-10 % DEPENDIENDO EL COLOR</v>
          </cell>
          <cell r="I473" t="str">
            <v>48-78 % DEPENDIENDO EL COLOR</v>
          </cell>
          <cell r="J473" t="str">
            <v>-</v>
          </cell>
          <cell r="K473" t="str">
            <v>18-48 % DEPENDIENDO EL COLOR</v>
          </cell>
          <cell r="L473" t="str">
            <v>35-55 % DEPENDIENDO EL COLOR</v>
          </cell>
          <cell r="M473" t="str">
            <v>75-80 KU</v>
          </cell>
          <cell r="N473" t="str">
            <v>Brocha, Rodillo, Pistola de Aire</v>
          </cell>
          <cell r="O473" t="str">
            <v>-</v>
          </cell>
          <cell r="P473" t="str">
            <v>10-15 % MAX SEGUN METODO DE APLICACION</v>
          </cell>
          <cell r="Q473" t="str">
            <v>R1K4 Mineral Spirits</v>
          </cell>
          <cell r="R473" t="str">
            <v>1-2 MILS</v>
          </cell>
          <cell r="S473" t="str">
            <v>SECO TOCAR: 2 HORAS, REPINTAR: 4 HORAS, SECO COMPLETO: 12 HORAS</v>
          </cell>
          <cell r="T473" t="str">
            <v>-</v>
          </cell>
          <cell r="U473" t="str">
            <v>55-60 Mts2/Galon a 1 mils de espesor de pelicula seca</v>
          </cell>
          <cell r="V473" t="str">
            <v>MATE</v>
          </cell>
          <cell r="W473" t="str">
            <v>-</v>
          </cell>
          <cell r="X473" t="str">
            <v>24 MESES</v>
          </cell>
          <cell r="Y473" t="str">
            <v>VARIOS</v>
          </cell>
          <cell r="Z473" t="str">
            <v>-</v>
          </cell>
          <cell r="AA473" t="str">
            <v>-</v>
          </cell>
          <cell r="AB473" t="str">
            <v>Hector Manuel Guerra</v>
          </cell>
          <cell r="AC473" t="str">
            <v>22/12/10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 of Contents"/>
      <sheetName val="Color"/>
      <sheetName val="Systems"/>
      <sheetName val="Todd's Main"/>
      <sheetName val="transfers"/>
      <sheetName val="Selector Guide"/>
      <sheetName val="Products"/>
      <sheetName val="CEMENT-AGGRE"/>
      <sheetName val="PKG CODE"/>
      <sheetName val="REFERENCE"/>
      <sheetName val="CONVERSION"/>
      <sheetName val="Sources"/>
      <sheetName val="Terms"/>
      <sheetName val="Numerical Index"/>
      <sheetName val="Alpha Index"/>
      <sheetName val="Small Spread sheet"/>
      <sheetName val="Store Stock PL"/>
      <sheetName val="Sheet1"/>
      <sheetName val="NA PL"/>
      <sheetName val="Nestle"/>
    </sheetNames>
    <sheetDataSet>
      <sheetData sheetId="0"/>
      <sheetData sheetId="1"/>
      <sheetData sheetId="2"/>
      <sheetData sheetId="3"/>
      <sheetData sheetId="4" refreshError="1">
        <row r="2">
          <cell r="B2" t="str">
            <v>B58A05100-17</v>
          </cell>
          <cell r="C2">
            <v>26.27</v>
          </cell>
        </row>
        <row r="3">
          <cell r="B3" t="str">
            <v>B58A05100-20</v>
          </cell>
          <cell r="C3">
            <v>24.88</v>
          </cell>
        </row>
        <row r="4">
          <cell r="B4" t="str">
            <v>B58AQ0033-30</v>
          </cell>
          <cell r="C4">
            <v>86.96</v>
          </cell>
        </row>
        <row r="5">
          <cell r="B5" t="str">
            <v>B58AQ0655-30</v>
          </cell>
          <cell r="C5">
            <v>93.29</v>
          </cell>
        </row>
        <row r="6">
          <cell r="B6" t="str">
            <v>B58AQ0656-30</v>
          </cell>
          <cell r="C6">
            <v>88.46</v>
          </cell>
        </row>
        <row r="7">
          <cell r="B7" t="str">
            <v>B58CQ0033-30</v>
          </cell>
          <cell r="C7">
            <v>61.21</v>
          </cell>
        </row>
        <row r="8">
          <cell r="B8" t="str">
            <v>B58HQ0658-30</v>
          </cell>
          <cell r="C8">
            <v>84.56</v>
          </cell>
        </row>
        <row r="9">
          <cell r="B9" t="str">
            <v>B58L00080-16</v>
          </cell>
          <cell r="C9">
            <v>30.74</v>
          </cell>
        </row>
        <row r="10">
          <cell r="B10" t="str">
            <v>B58RQ0657-30</v>
          </cell>
          <cell r="C10">
            <v>89.41</v>
          </cell>
        </row>
        <row r="11">
          <cell r="B11" t="str">
            <v>B58T00650-16</v>
          </cell>
          <cell r="C11">
            <v>17.21</v>
          </cell>
        </row>
        <row r="12">
          <cell r="B12" t="str">
            <v>B58T00650-30</v>
          </cell>
          <cell r="C12">
            <v>76.33</v>
          </cell>
        </row>
        <row r="13">
          <cell r="B13" t="str">
            <v>B58TX0650-30</v>
          </cell>
          <cell r="C13">
            <v>79.73</v>
          </cell>
        </row>
        <row r="14">
          <cell r="B14" t="str">
            <v>B58TX0650-35</v>
          </cell>
          <cell r="C14">
            <v>17.86</v>
          </cell>
        </row>
        <row r="15">
          <cell r="B15" t="str">
            <v>B58V05100-16</v>
          </cell>
          <cell r="C15">
            <v>16.07</v>
          </cell>
        </row>
        <row r="16">
          <cell r="B16" t="str">
            <v>B58V05100-20</v>
          </cell>
          <cell r="C16">
            <v>15.64</v>
          </cell>
        </row>
        <row r="17">
          <cell r="B17" t="str">
            <v>B58VQ0650-30</v>
          </cell>
          <cell r="C17">
            <v>69.48</v>
          </cell>
        </row>
        <row r="18">
          <cell r="B18" t="str">
            <v>B58W00080-30</v>
          </cell>
          <cell r="C18">
            <v>60.75</v>
          </cell>
        </row>
        <row r="19">
          <cell r="B19" t="str">
            <v>B58W05100-17</v>
          </cell>
          <cell r="C19">
            <v>22.66</v>
          </cell>
        </row>
        <row r="20">
          <cell r="B20" t="str">
            <v>B58W05100-20</v>
          </cell>
          <cell r="C20">
            <v>21.27</v>
          </cell>
        </row>
        <row r="21">
          <cell r="B21" t="str">
            <v>B58WQ0651-30</v>
          </cell>
          <cell r="C21">
            <v>81.58</v>
          </cell>
        </row>
        <row r="22">
          <cell r="B22" t="str">
            <v>B58WX0650-30</v>
          </cell>
          <cell r="C22">
            <v>77.959999999999994</v>
          </cell>
        </row>
        <row r="23">
          <cell r="B23" t="str">
            <v>B58WX0650-35</v>
          </cell>
          <cell r="C23">
            <v>17.850000000000001</v>
          </cell>
        </row>
        <row r="24">
          <cell r="B24" t="str">
            <v>B58YX0650-35</v>
          </cell>
          <cell r="C24">
            <v>28.28</v>
          </cell>
        </row>
        <row r="25">
          <cell r="B25" t="str">
            <v>B60VQ0010-16</v>
          </cell>
          <cell r="C25">
            <v>26.62</v>
          </cell>
        </row>
        <row r="26">
          <cell r="B26" t="str">
            <v>B60VQ0011-16</v>
          </cell>
          <cell r="C26">
            <v>41.71</v>
          </cell>
        </row>
        <row r="27">
          <cell r="B27" t="str">
            <v>B60VQ0020-36</v>
          </cell>
          <cell r="C27">
            <v>22</v>
          </cell>
        </row>
        <row r="28">
          <cell r="B28" t="str">
            <v>B60VQ0033-16</v>
          </cell>
          <cell r="C28">
            <v>7.52</v>
          </cell>
        </row>
        <row r="29">
          <cell r="B29" t="str">
            <v>B60VQ0033-36</v>
          </cell>
          <cell r="C29">
            <v>24.22</v>
          </cell>
        </row>
        <row r="30">
          <cell r="B30" t="str">
            <v>B60VQ0655-16</v>
          </cell>
          <cell r="C30">
            <v>11.73</v>
          </cell>
        </row>
        <row r="31">
          <cell r="B31" t="str">
            <v>B60VQ0655-17</v>
          </cell>
          <cell r="C31">
            <v>28.89</v>
          </cell>
        </row>
        <row r="32">
          <cell r="B32" t="str">
            <v>B60VQ0655-36</v>
          </cell>
          <cell r="C32">
            <v>45</v>
          </cell>
        </row>
        <row r="33">
          <cell r="B33" t="str">
            <v>B60VQ0656-36</v>
          </cell>
          <cell r="C33">
            <v>35.950000000000003</v>
          </cell>
        </row>
        <row r="34">
          <cell r="B34" t="str">
            <v>B62A00410-17</v>
          </cell>
          <cell r="C34">
            <v>29.75</v>
          </cell>
        </row>
        <row r="35">
          <cell r="B35" t="str">
            <v>B62A00410-20</v>
          </cell>
          <cell r="C35">
            <v>28.39</v>
          </cell>
        </row>
        <row r="36">
          <cell r="B36" t="str">
            <v>B62A00415-17</v>
          </cell>
          <cell r="C36">
            <v>33.81</v>
          </cell>
        </row>
        <row r="37">
          <cell r="B37" t="str">
            <v>B62A00415-20</v>
          </cell>
          <cell r="C37">
            <v>32.42</v>
          </cell>
        </row>
        <row r="38">
          <cell r="B38" t="str">
            <v>B62A00420-16</v>
          </cell>
          <cell r="C38">
            <v>27.21</v>
          </cell>
        </row>
        <row r="39">
          <cell r="B39" t="str">
            <v>B62A00420-19</v>
          </cell>
          <cell r="C39">
            <v>108.99</v>
          </cell>
        </row>
        <row r="40">
          <cell r="B40" t="str">
            <v>B62A00425-16</v>
          </cell>
          <cell r="C40">
            <v>34.92</v>
          </cell>
        </row>
        <row r="41">
          <cell r="B41" t="str">
            <v>B62A00425-19</v>
          </cell>
          <cell r="C41">
            <v>138.4</v>
          </cell>
        </row>
        <row r="42">
          <cell r="B42" t="str">
            <v>B62A00430-16</v>
          </cell>
          <cell r="C42">
            <v>22.13</v>
          </cell>
        </row>
        <row r="43">
          <cell r="B43" t="str">
            <v>B62A00450-17</v>
          </cell>
          <cell r="C43">
            <v>31.59</v>
          </cell>
        </row>
        <row r="44">
          <cell r="B44" t="str">
            <v>B62A00450-20</v>
          </cell>
          <cell r="C44">
            <v>29.81</v>
          </cell>
        </row>
        <row r="45">
          <cell r="B45" t="str">
            <v>B62C00410-17</v>
          </cell>
          <cell r="C45">
            <v>18.510000000000002</v>
          </cell>
        </row>
        <row r="46">
          <cell r="B46" t="str">
            <v>B62C00420-16</v>
          </cell>
          <cell r="C46">
            <v>24.12</v>
          </cell>
        </row>
        <row r="47">
          <cell r="B47" t="str">
            <v>B62C00420-19</v>
          </cell>
          <cell r="C47">
            <v>95.27</v>
          </cell>
        </row>
        <row r="48">
          <cell r="B48" t="str">
            <v>B62C00435-20</v>
          </cell>
          <cell r="C48">
            <v>17.14</v>
          </cell>
        </row>
        <row r="49">
          <cell r="B49" t="str">
            <v>B62C00435-30</v>
          </cell>
          <cell r="C49">
            <v>52.73</v>
          </cell>
        </row>
        <row r="50">
          <cell r="B50" t="str">
            <v>B62C00445-16</v>
          </cell>
          <cell r="C50">
            <v>16.2</v>
          </cell>
        </row>
        <row r="51">
          <cell r="B51" t="str">
            <v>B62C00445-20</v>
          </cell>
          <cell r="C51">
            <v>14.94</v>
          </cell>
        </row>
        <row r="52">
          <cell r="B52" t="str">
            <v>B62H00410-20</v>
          </cell>
          <cell r="C52">
            <v>25.04</v>
          </cell>
        </row>
        <row r="53">
          <cell r="B53" t="str">
            <v>B62R00410-17</v>
          </cell>
          <cell r="C53">
            <v>21.43</v>
          </cell>
        </row>
        <row r="54">
          <cell r="B54" t="str">
            <v>B62R00420-16</v>
          </cell>
          <cell r="C54">
            <v>26.72</v>
          </cell>
        </row>
        <row r="55">
          <cell r="B55" t="str">
            <v>B62R00425-16</v>
          </cell>
          <cell r="C55">
            <v>34.49</v>
          </cell>
        </row>
        <row r="56">
          <cell r="B56" t="str">
            <v>B62R00425-19</v>
          </cell>
          <cell r="C56">
            <v>135.49</v>
          </cell>
        </row>
        <row r="57">
          <cell r="B57" t="str">
            <v>B62R00450-17</v>
          </cell>
          <cell r="C57">
            <v>29.37</v>
          </cell>
        </row>
        <row r="58">
          <cell r="B58" t="str">
            <v>B62V00410-16</v>
          </cell>
          <cell r="C58">
            <v>26.54</v>
          </cell>
        </row>
        <row r="59">
          <cell r="B59" t="str">
            <v>B62V00410-20</v>
          </cell>
          <cell r="C59">
            <v>26.05</v>
          </cell>
        </row>
        <row r="60">
          <cell r="B60" t="str">
            <v>B62V00415-16</v>
          </cell>
          <cell r="C60">
            <v>26.54</v>
          </cell>
        </row>
        <row r="61">
          <cell r="B61" t="str">
            <v>B62V00415-20</v>
          </cell>
          <cell r="C61">
            <v>26.31</v>
          </cell>
        </row>
        <row r="62">
          <cell r="B62" t="str">
            <v>B62V00420-14</v>
          </cell>
          <cell r="C62">
            <v>12.6</v>
          </cell>
        </row>
        <row r="63">
          <cell r="B63" t="str">
            <v>B62V00420-16</v>
          </cell>
          <cell r="C63">
            <v>48.82</v>
          </cell>
        </row>
        <row r="64">
          <cell r="B64" t="str">
            <v>B62V00425-14</v>
          </cell>
          <cell r="C64">
            <v>12.6</v>
          </cell>
        </row>
        <row r="65">
          <cell r="B65" t="str">
            <v>B62V00425-16</v>
          </cell>
          <cell r="C65">
            <v>48.81</v>
          </cell>
        </row>
        <row r="66">
          <cell r="B66" t="str">
            <v>B62V00430-14</v>
          </cell>
          <cell r="C66">
            <v>5.54</v>
          </cell>
        </row>
        <row r="67">
          <cell r="B67" t="str">
            <v>B62V00435-16</v>
          </cell>
          <cell r="C67">
            <v>30.34</v>
          </cell>
        </row>
        <row r="68">
          <cell r="B68" t="str">
            <v>B62V00440-16</v>
          </cell>
          <cell r="C68">
            <v>29.51</v>
          </cell>
        </row>
        <row r="69">
          <cell r="B69" t="str">
            <v>B62V00445-16</v>
          </cell>
          <cell r="C69">
            <v>24.93</v>
          </cell>
        </row>
        <row r="70">
          <cell r="B70" t="str">
            <v>B62V00445-20</v>
          </cell>
          <cell r="C70">
            <v>23.75</v>
          </cell>
        </row>
        <row r="71">
          <cell r="B71" t="str">
            <v>B62V00450-16</v>
          </cell>
          <cell r="C71">
            <v>27.84</v>
          </cell>
        </row>
        <row r="72">
          <cell r="B72" t="str">
            <v>B62V00450-20</v>
          </cell>
          <cell r="C72">
            <v>27.09</v>
          </cell>
        </row>
        <row r="73">
          <cell r="B73" t="str">
            <v>B67A00030-17</v>
          </cell>
          <cell r="C73">
            <v>30.51</v>
          </cell>
        </row>
        <row r="74">
          <cell r="B74" t="str">
            <v>B67A00030-20</v>
          </cell>
          <cell r="C74">
            <v>29.12</v>
          </cell>
        </row>
        <row r="75">
          <cell r="B75" t="str">
            <v>B67H00030-20</v>
          </cell>
          <cell r="C75">
            <v>25.66</v>
          </cell>
        </row>
        <row r="76">
          <cell r="B76" t="str">
            <v>B67V00030-16</v>
          </cell>
          <cell r="C76">
            <v>32</v>
          </cell>
        </row>
        <row r="77">
          <cell r="B77" t="str">
            <v>B67V00030-20</v>
          </cell>
          <cell r="C77">
            <v>31.52</v>
          </cell>
        </row>
        <row r="78">
          <cell r="B78" t="str">
            <v>B70AQ0011-19</v>
          </cell>
          <cell r="C78">
            <v>87.08</v>
          </cell>
        </row>
        <row r="79">
          <cell r="B79" t="str">
            <v>B70AQ0021-30</v>
          </cell>
          <cell r="C79">
            <v>93.35</v>
          </cell>
        </row>
        <row r="80">
          <cell r="B80" t="str">
            <v>B70VQ0010-19</v>
          </cell>
          <cell r="C80">
            <v>58.57</v>
          </cell>
        </row>
        <row r="81">
          <cell r="B81" t="str">
            <v>B81A03200-20</v>
          </cell>
          <cell r="C81">
            <v>26.63</v>
          </cell>
        </row>
        <row r="82">
          <cell r="B82" t="str">
            <v>B81A03200-27</v>
          </cell>
          <cell r="C82">
            <v>26.02</v>
          </cell>
        </row>
        <row r="83">
          <cell r="B83" t="str">
            <v>B81A03201-20</v>
          </cell>
          <cell r="C83">
            <v>26.29</v>
          </cell>
        </row>
        <row r="84">
          <cell r="B84" t="str">
            <v>B81A03201-27</v>
          </cell>
          <cell r="C84">
            <v>26.29</v>
          </cell>
        </row>
        <row r="85">
          <cell r="B85" t="str">
            <v>B81A03300-27</v>
          </cell>
          <cell r="C85">
            <v>26.32</v>
          </cell>
        </row>
        <row r="86">
          <cell r="B86" t="str">
            <v>B81A03301-27</v>
          </cell>
          <cell r="C86">
            <v>26.39</v>
          </cell>
        </row>
        <row r="87">
          <cell r="B87" t="str">
            <v>B81A03302-27</v>
          </cell>
          <cell r="C87">
            <v>26.38</v>
          </cell>
        </row>
        <row r="88">
          <cell r="B88" t="str">
            <v>B81A03500-20</v>
          </cell>
          <cell r="C88">
            <v>28.8</v>
          </cell>
        </row>
        <row r="89">
          <cell r="B89" t="str">
            <v>B81A03502-27</v>
          </cell>
          <cell r="C89">
            <v>28.76</v>
          </cell>
        </row>
        <row r="90">
          <cell r="B90" t="str">
            <v>B81A03700-20</v>
          </cell>
          <cell r="C90">
            <v>44.41</v>
          </cell>
        </row>
        <row r="91">
          <cell r="B91" t="str">
            <v>B81A03700-27</v>
          </cell>
          <cell r="C91">
            <v>44.52</v>
          </cell>
        </row>
        <row r="92">
          <cell r="B92" t="str">
            <v>B81A03701-27</v>
          </cell>
          <cell r="C92">
            <v>44.48</v>
          </cell>
        </row>
        <row r="93">
          <cell r="B93" t="str">
            <v>B81A04000-20</v>
          </cell>
          <cell r="C93">
            <v>27.21</v>
          </cell>
        </row>
        <row r="94">
          <cell r="B94" t="str">
            <v>B81A04001-20</v>
          </cell>
          <cell r="C94">
            <v>27.23</v>
          </cell>
        </row>
        <row r="95">
          <cell r="B95" t="str">
            <v>B81A04100-20</v>
          </cell>
          <cell r="C95">
            <v>24.72</v>
          </cell>
        </row>
        <row r="96">
          <cell r="B96" t="str">
            <v>B81A04101-20</v>
          </cell>
          <cell r="C96">
            <v>24.74</v>
          </cell>
        </row>
        <row r="97">
          <cell r="B97" t="str">
            <v>B81A04102-20</v>
          </cell>
          <cell r="C97">
            <v>24.92</v>
          </cell>
        </row>
        <row r="98">
          <cell r="B98" t="str">
            <v>B81A04300-27</v>
          </cell>
          <cell r="C98">
            <v>23.17</v>
          </cell>
        </row>
        <row r="99">
          <cell r="B99" t="str">
            <v>B81A04701-16</v>
          </cell>
          <cell r="C99">
            <v>30.34</v>
          </cell>
        </row>
        <row r="100">
          <cell r="B100" t="str">
            <v>B81A04701-20</v>
          </cell>
          <cell r="C100">
            <v>29.92</v>
          </cell>
        </row>
        <row r="101">
          <cell r="B101" t="str">
            <v>B81A04702-16</v>
          </cell>
          <cell r="C101">
            <v>30.51</v>
          </cell>
        </row>
        <row r="102">
          <cell r="B102" t="str">
            <v>B81B03200-27</v>
          </cell>
          <cell r="C102">
            <v>23.32</v>
          </cell>
        </row>
        <row r="103">
          <cell r="B103" t="str">
            <v>B81B03300-27</v>
          </cell>
          <cell r="C103">
            <v>23.25</v>
          </cell>
        </row>
        <row r="104">
          <cell r="B104" t="str">
            <v>B81B04000-20</v>
          </cell>
          <cell r="C104">
            <v>26.81</v>
          </cell>
        </row>
        <row r="105">
          <cell r="B105" t="str">
            <v>B81B04100-20</v>
          </cell>
          <cell r="C105">
            <v>22.39</v>
          </cell>
        </row>
        <row r="106">
          <cell r="B106" t="str">
            <v>B81B04300-20</v>
          </cell>
          <cell r="C106">
            <v>21.03</v>
          </cell>
        </row>
        <row r="107">
          <cell r="B107" t="str">
            <v>B81B04300-27</v>
          </cell>
          <cell r="C107">
            <v>21.14</v>
          </cell>
        </row>
        <row r="108">
          <cell r="B108" t="str">
            <v>B81C04400-20</v>
          </cell>
          <cell r="C108">
            <v>45.92</v>
          </cell>
        </row>
        <row r="109">
          <cell r="B109" t="str">
            <v>B81H03200-27</v>
          </cell>
          <cell r="C109">
            <v>26.17</v>
          </cell>
        </row>
        <row r="110">
          <cell r="B110" t="str">
            <v>B81H03700-27</v>
          </cell>
          <cell r="C110">
            <v>45.47</v>
          </cell>
        </row>
        <row r="111">
          <cell r="B111" t="str">
            <v>B81H03800-20</v>
          </cell>
          <cell r="C111">
            <v>31.44</v>
          </cell>
        </row>
        <row r="112">
          <cell r="B112" t="str">
            <v>B81H03800-27</v>
          </cell>
          <cell r="C112">
            <v>31.13</v>
          </cell>
        </row>
        <row r="113">
          <cell r="B113" t="str">
            <v>B81H04000-20</v>
          </cell>
          <cell r="C113">
            <v>27.61</v>
          </cell>
        </row>
        <row r="114">
          <cell r="B114" t="str">
            <v>B81L03800-27</v>
          </cell>
          <cell r="C114">
            <v>31.36</v>
          </cell>
        </row>
        <row r="115">
          <cell r="B115" t="str">
            <v>B81R04100-20</v>
          </cell>
          <cell r="C115">
            <v>24.08</v>
          </cell>
        </row>
        <row r="116">
          <cell r="B116" t="str">
            <v>B81R04700-16</v>
          </cell>
          <cell r="C116">
            <v>30.99</v>
          </cell>
        </row>
        <row r="117">
          <cell r="B117" t="str">
            <v>B81S04300-20</v>
          </cell>
          <cell r="C117">
            <v>22.08</v>
          </cell>
        </row>
        <row r="118">
          <cell r="B118" t="str">
            <v>B81S04300-27</v>
          </cell>
          <cell r="C118">
            <v>22.13</v>
          </cell>
        </row>
        <row r="119">
          <cell r="B119" t="str">
            <v>B81V03200-20</v>
          </cell>
          <cell r="C119">
            <v>18.52</v>
          </cell>
        </row>
        <row r="120">
          <cell r="B120" t="str">
            <v>B81V03200-27</v>
          </cell>
          <cell r="C120">
            <v>18.53</v>
          </cell>
        </row>
        <row r="121">
          <cell r="B121" t="str">
            <v>B81V03300-27</v>
          </cell>
          <cell r="C121">
            <v>19.75</v>
          </cell>
        </row>
        <row r="122">
          <cell r="B122" t="str">
            <v>B81V03500-20</v>
          </cell>
          <cell r="C122">
            <v>18.52</v>
          </cell>
        </row>
        <row r="123">
          <cell r="B123" t="str">
            <v>B81V03500-27</v>
          </cell>
          <cell r="C123">
            <v>18.63</v>
          </cell>
        </row>
        <row r="124">
          <cell r="B124" t="str">
            <v>B81V03700-20</v>
          </cell>
          <cell r="C124">
            <v>24.71</v>
          </cell>
        </row>
        <row r="125">
          <cell r="B125" t="str">
            <v>B81V03700-27</v>
          </cell>
          <cell r="C125">
            <v>24.68</v>
          </cell>
        </row>
        <row r="126">
          <cell r="B126" t="str">
            <v>B81V03800-20</v>
          </cell>
          <cell r="C126">
            <v>18.940000000000001</v>
          </cell>
        </row>
        <row r="127">
          <cell r="B127" t="str">
            <v>B81V03800-27</v>
          </cell>
          <cell r="C127">
            <v>18.63</v>
          </cell>
        </row>
        <row r="128">
          <cell r="B128" t="str">
            <v>B81V04000-20</v>
          </cell>
          <cell r="C128">
            <v>18.52</v>
          </cell>
        </row>
        <row r="129">
          <cell r="B129" t="str">
            <v>B81V04100-20</v>
          </cell>
          <cell r="C129">
            <v>24.09</v>
          </cell>
        </row>
        <row r="130">
          <cell r="B130" t="str">
            <v>B81V04200-27</v>
          </cell>
          <cell r="C130">
            <v>18.63</v>
          </cell>
        </row>
        <row r="131">
          <cell r="B131" t="str">
            <v>B81V04300-20</v>
          </cell>
          <cell r="C131">
            <v>18.52</v>
          </cell>
        </row>
        <row r="132">
          <cell r="B132" t="str">
            <v>B81V04300-27</v>
          </cell>
          <cell r="C132">
            <v>18.62</v>
          </cell>
        </row>
        <row r="133">
          <cell r="B133" t="str">
            <v>B81V04400-16</v>
          </cell>
          <cell r="C133">
            <v>43.88</v>
          </cell>
        </row>
        <row r="134">
          <cell r="B134" t="str">
            <v>B81V04400-20</v>
          </cell>
          <cell r="C134">
            <v>43.7</v>
          </cell>
        </row>
        <row r="135">
          <cell r="B135" t="str">
            <v>B81V04700-16</v>
          </cell>
          <cell r="C135">
            <v>35.81</v>
          </cell>
        </row>
        <row r="136">
          <cell r="B136" t="str">
            <v>B81V04700-20</v>
          </cell>
          <cell r="C136">
            <v>35.340000000000003</v>
          </cell>
        </row>
        <row r="137">
          <cell r="B137" t="str">
            <v>B81W03200-27</v>
          </cell>
          <cell r="C137">
            <v>26.12</v>
          </cell>
        </row>
        <row r="138">
          <cell r="B138" t="str">
            <v>B81W03201-20</v>
          </cell>
          <cell r="C138">
            <v>26.69</v>
          </cell>
        </row>
        <row r="139">
          <cell r="B139" t="str">
            <v>B81W03201-27</v>
          </cell>
          <cell r="C139">
            <v>26.38</v>
          </cell>
        </row>
        <row r="140">
          <cell r="B140" t="str">
            <v>B81W03700-20</v>
          </cell>
          <cell r="C140">
            <v>44.92</v>
          </cell>
        </row>
        <row r="141">
          <cell r="B141" t="str">
            <v>B81W03700-27</v>
          </cell>
          <cell r="C141">
            <v>43.09</v>
          </cell>
        </row>
        <row r="142">
          <cell r="B142" t="str">
            <v>B81W04100-20</v>
          </cell>
          <cell r="C142">
            <v>24.59</v>
          </cell>
        </row>
        <row r="143">
          <cell r="B143" t="str">
            <v>B81W04200-27</v>
          </cell>
          <cell r="C143">
            <v>23.27</v>
          </cell>
        </row>
        <row r="144">
          <cell r="B144" t="str">
            <v>B81W04400-16</v>
          </cell>
          <cell r="C144">
            <v>48.06</v>
          </cell>
        </row>
        <row r="145">
          <cell r="B145" t="str">
            <v>B81W04400-20</v>
          </cell>
          <cell r="C145">
            <v>47.86</v>
          </cell>
        </row>
        <row r="146">
          <cell r="B146" t="str">
            <v>B81W04700-16</v>
          </cell>
          <cell r="C146">
            <v>30.41</v>
          </cell>
        </row>
        <row r="147">
          <cell r="B147" t="str">
            <v>B81W04700-20</v>
          </cell>
          <cell r="C147">
            <v>29.91</v>
          </cell>
        </row>
        <row r="148">
          <cell r="B148" t="str">
            <v>B88A00020-20</v>
          </cell>
          <cell r="C148">
            <v>26.81</v>
          </cell>
        </row>
        <row r="149">
          <cell r="B149" t="str">
            <v>B88A00025-16</v>
          </cell>
          <cell r="C149">
            <v>31</v>
          </cell>
        </row>
        <row r="150">
          <cell r="B150" t="str">
            <v>B88A00025-20</v>
          </cell>
          <cell r="C150">
            <v>30.51</v>
          </cell>
        </row>
        <row r="151">
          <cell r="B151" t="str">
            <v>B88A00030-16</v>
          </cell>
          <cell r="C151">
            <v>28.84</v>
          </cell>
        </row>
        <row r="152">
          <cell r="B152" t="str">
            <v>B88A00030-20</v>
          </cell>
          <cell r="C152">
            <v>28.34</v>
          </cell>
        </row>
        <row r="153">
          <cell r="B153" t="str">
            <v>B88B00015-16</v>
          </cell>
          <cell r="C153">
            <v>26.28</v>
          </cell>
        </row>
        <row r="154">
          <cell r="B154" t="str">
            <v>B88B00015-20</v>
          </cell>
          <cell r="C154">
            <v>25.79</v>
          </cell>
        </row>
        <row r="155">
          <cell r="B155" t="str">
            <v>B88C00010-16</v>
          </cell>
          <cell r="C155">
            <v>24.48</v>
          </cell>
        </row>
        <row r="156">
          <cell r="B156" t="str">
            <v>B88C00010-20</v>
          </cell>
          <cell r="C156">
            <v>23.99</v>
          </cell>
        </row>
        <row r="157">
          <cell r="B157" t="str">
            <v>B88C00011-16</v>
          </cell>
          <cell r="C157">
            <v>24.53</v>
          </cell>
        </row>
        <row r="158">
          <cell r="B158" t="str">
            <v>B88C00011-20</v>
          </cell>
          <cell r="C158">
            <v>24.05</v>
          </cell>
        </row>
        <row r="159">
          <cell r="B159" t="str">
            <v>B88C00020-16</v>
          </cell>
          <cell r="C159">
            <v>24.37</v>
          </cell>
        </row>
        <row r="160">
          <cell r="B160" t="str">
            <v>B88C00020-20</v>
          </cell>
          <cell r="C160">
            <v>23.8</v>
          </cell>
        </row>
        <row r="161">
          <cell r="B161" t="str">
            <v>B88R00020-16</v>
          </cell>
          <cell r="C161">
            <v>27.47</v>
          </cell>
        </row>
        <row r="162">
          <cell r="B162" t="str">
            <v>B88R00020-20</v>
          </cell>
          <cell r="C162">
            <v>26.98</v>
          </cell>
        </row>
        <row r="163">
          <cell r="B163" t="str">
            <v>B88R00025-16</v>
          </cell>
          <cell r="C163">
            <v>31.19</v>
          </cell>
        </row>
        <row r="164">
          <cell r="B164" t="str">
            <v>B88R00025-20</v>
          </cell>
          <cell r="C164">
            <v>30.7</v>
          </cell>
        </row>
        <row r="165">
          <cell r="B165" t="str">
            <v>CK921W304-20</v>
          </cell>
          <cell r="C165">
            <v>21.88</v>
          </cell>
        </row>
        <row r="166">
          <cell r="B166" t="str">
            <v>CK939C308-27</v>
          </cell>
          <cell r="C166">
            <v>19.57</v>
          </cell>
        </row>
        <row r="167">
          <cell r="B167" t="str">
            <v>CK939X465-27</v>
          </cell>
          <cell r="C167">
            <v>24.71</v>
          </cell>
        </row>
        <row r="168">
          <cell r="B168" t="str">
            <v>GP0261A01-27</v>
          </cell>
          <cell r="C168">
            <v>21.59</v>
          </cell>
        </row>
        <row r="169">
          <cell r="B169" t="str">
            <v>GP0261B01-27</v>
          </cell>
          <cell r="C169">
            <v>11.99</v>
          </cell>
        </row>
        <row r="170">
          <cell r="B170" t="str">
            <v>GP0318A01-20</v>
          </cell>
          <cell r="C170">
            <v>22.16</v>
          </cell>
        </row>
        <row r="171">
          <cell r="B171" t="str">
            <v>GP0318B01-20</v>
          </cell>
          <cell r="C171">
            <v>14</v>
          </cell>
        </row>
        <row r="172">
          <cell r="B172" t="str">
            <v>GP0904A01-27</v>
          </cell>
          <cell r="C172">
            <v>20.100000000000001</v>
          </cell>
        </row>
        <row r="173">
          <cell r="B173" t="str">
            <v>GP0910A01-30</v>
          </cell>
          <cell r="C173">
            <v>64.05</v>
          </cell>
        </row>
        <row r="174">
          <cell r="B174" t="str">
            <v>GP1060A01-20</v>
          </cell>
          <cell r="C174">
            <v>12.64</v>
          </cell>
        </row>
        <row r="175">
          <cell r="B175" t="str">
            <v>GP1106A01-20</v>
          </cell>
          <cell r="C175">
            <v>21.35</v>
          </cell>
        </row>
        <row r="176">
          <cell r="B176" t="str">
            <v>GP1106B01-20</v>
          </cell>
          <cell r="C176">
            <v>28.57</v>
          </cell>
        </row>
        <row r="177">
          <cell r="B177" t="str">
            <v>GP1231A56-16</v>
          </cell>
          <cell r="C177">
            <v>27.31</v>
          </cell>
        </row>
        <row r="178">
          <cell r="B178" t="str">
            <v>GP1231B01-16</v>
          </cell>
          <cell r="C178">
            <v>28.36</v>
          </cell>
        </row>
        <row r="179">
          <cell r="B179" t="str">
            <v>GP2300T01-20</v>
          </cell>
          <cell r="C179">
            <v>12.52</v>
          </cell>
        </row>
        <row r="180">
          <cell r="B180" t="str">
            <v>GP3273A01-27</v>
          </cell>
          <cell r="C180">
            <v>38.6</v>
          </cell>
        </row>
        <row r="181">
          <cell r="B181" t="str">
            <v>GP3460A01-14</v>
          </cell>
          <cell r="C181">
            <v>5.09</v>
          </cell>
        </row>
        <row r="182">
          <cell r="B182" t="str">
            <v>GP3460B01-16</v>
          </cell>
          <cell r="C182">
            <v>20.2</v>
          </cell>
        </row>
        <row r="183">
          <cell r="B183" t="str">
            <v>GP3460B02-16</v>
          </cell>
          <cell r="C183">
            <v>22.64</v>
          </cell>
        </row>
        <row r="184">
          <cell r="B184" t="str">
            <v>GP3460B50-16</v>
          </cell>
          <cell r="C184">
            <v>22.6</v>
          </cell>
        </row>
        <row r="185">
          <cell r="B185" t="str">
            <v>GP3460B59-16</v>
          </cell>
          <cell r="C185">
            <v>20.46</v>
          </cell>
        </row>
        <row r="186">
          <cell r="B186" t="str">
            <v>GP3477A01-16</v>
          </cell>
          <cell r="C186">
            <v>15.8</v>
          </cell>
        </row>
        <row r="187">
          <cell r="B187" t="str">
            <v>GP3477A01-20</v>
          </cell>
          <cell r="C187">
            <v>17.3</v>
          </cell>
        </row>
        <row r="188">
          <cell r="B188" t="str">
            <v>GP3477B01-16</v>
          </cell>
          <cell r="C188">
            <v>14.86</v>
          </cell>
        </row>
        <row r="189">
          <cell r="B189" t="str">
            <v>GP3477B01-20</v>
          </cell>
          <cell r="C189">
            <v>16.04</v>
          </cell>
        </row>
        <row r="190">
          <cell r="B190" t="str">
            <v>GP3478A01-16</v>
          </cell>
          <cell r="C190">
            <v>11.56</v>
          </cell>
        </row>
        <row r="191">
          <cell r="B191" t="str">
            <v>GP3478A01-20</v>
          </cell>
          <cell r="C191">
            <v>11.25</v>
          </cell>
        </row>
        <row r="192">
          <cell r="B192" t="str">
            <v>GP3478B50-16</v>
          </cell>
          <cell r="C192">
            <v>17.73</v>
          </cell>
        </row>
        <row r="193">
          <cell r="B193" t="str">
            <v>GP3478B50-20</v>
          </cell>
          <cell r="C193">
            <v>17.41</v>
          </cell>
        </row>
        <row r="194">
          <cell r="B194" t="str">
            <v>GP3479A01-16</v>
          </cell>
          <cell r="C194">
            <v>21.52</v>
          </cell>
        </row>
        <row r="195">
          <cell r="B195" t="str">
            <v>GP3479A59-16</v>
          </cell>
          <cell r="C195">
            <v>25.04</v>
          </cell>
        </row>
        <row r="196">
          <cell r="B196" t="str">
            <v>GP3479A59-20</v>
          </cell>
          <cell r="C196">
            <v>20.2</v>
          </cell>
        </row>
        <row r="197">
          <cell r="B197" t="str">
            <v>GP3479B01-16</v>
          </cell>
          <cell r="C197">
            <v>19.48</v>
          </cell>
        </row>
        <row r="198">
          <cell r="B198" t="str">
            <v>GP3479B01-20</v>
          </cell>
          <cell r="C198">
            <v>17.72</v>
          </cell>
        </row>
        <row r="199">
          <cell r="B199" t="str">
            <v>GP3500A61-14</v>
          </cell>
          <cell r="C199">
            <v>6.7</v>
          </cell>
        </row>
        <row r="200">
          <cell r="B200" t="str">
            <v>GP3500B59-14</v>
          </cell>
          <cell r="C200">
            <v>4.45</v>
          </cell>
        </row>
        <row r="201">
          <cell r="B201" t="str">
            <v>GP3501A01-19</v>
          </cell>
          <cell r="C201">
            <v>61.38</v>
          </cell>
        </row>
        <row r="202">
          <cell r="B202" t="str">
            <v>GP3501B01-16</v>
          </cell>
          <cell r="C202">
            <v>23.92</v>
          </cell>
        </row>
        <row r="203">
          <cell r="B203" t="str">
            <v>GP3504A01-16</v>
          </cell>
          <cell r="C203">
            <v>18.149999999999999</v>
          </cell>
        </row>
        <row r="204">
          <cell r="B204" t="str">
            <v>GP3504A01-20</v>
          </cell>
          <cell r="C204">
            <v>19.309999999999999</v>
          </cell>
        </row>
        <row r="205">
          <cell r="B205" t="str">
            <v>GP3504B01-16</v>
          </cell>
          <cell r="C205">
            <v>24.94</v>
          </cell>
        </row>
        <row r="206">
          <cell r="B206" t="str">
            <v>GP3504B01-20</v>
          </cell>
          <cell r="C206">
            <v>26.1</v>
          </cell>
        </row>
        <row r="207">
          <cell r="B207" t="str">
            <v>GP3504B50-16</v>
          </cell>
          <cell r="C207">
            <v>25.87</v>
          </cell>
        </row>
        <row r="208">
          <cell r="B208" t="str">
            <v>GP3504B50-20</v>
          </cell>
          <cell r="C208">
            <v>27.03</v>
          </cell>
        </row>
        <row r="209">
          <cell r="B209" t="str">
            <v>GP3504B59-20</v>
          </cell>
          <cell r="C209">
            <v>27.03</v>
          </cell>
        </row>
        <row r="210">
          <cell r="B210" t="str">
            <v>GP3505A01-16</v>
          </cell>
          <cell r="C210">
            <v>26.8</v>
          </cell>
        </row>
        <row r="211">
          <cell r="B211" t="str">
            <v>GP3505A01-19</v>
          </cell>
          <cell r="C211">
            <v>112.29</v>
          </cell>
        </row>
        <row r="212">
          <cell r="B212" t="str">
            <v>GP3505A02-16</v>
          </cell>
          <cell r="C212">
            <v>27.18</v>
          </cell>
        </row>
        <row r="213">
          <cell r="B213" t="str">
            <v>GP3505A02-19</v>
          </cell>
          <cell r="C213">
            <v>108.06</v>
          </cell>
        </row>
        <row r="214">
          <cell r="B214" t="str">
            <v>GP3505A53-16</v>
          </cell>
          <cell r="C214">
            <v>28.72</v>
          </cell>
        </row>
        <row r="215">
          <cell r="B215" t="str">
            <v>GP3505A53-19</v>
          </cell>
          <cell r="C215">
            <v>119.96</v>
          </cell>
        </row>
        <row r="216">
          <cell r="B216" t="str">
            <v>GP3505A54-16</v>
          </cell>
          <cell r="C216">
            <v>28.64</v>
          </cell>
        </row>
        <row r="217">
          <cell r="B217" t="str">
            <v>GP3505A54-19</v>
          </cell>
          <cell r="C217">
            <v>119.63</v>
          </cell>
        </row>
        <row r="218">
          <cell r="B218" t="str">
            <v>GP3505A55-19</v>
          </cell>
          <cell r="C218">
            <v>123.43</v>
          </cell>
        </row>
        <row r="219">
          <cell r="B219" t="str">
            <v>GP3505A55-20</v>
          </cell>
          <cell r="C219">
            <v>30.71</v>
          </cell>
        </row>
        <row r="220">
          <cell r="B220" t="str">
            <v>GP3505A56-16</v>
          </cell>
          <cell r="C220">
            <v>28.64</v>
          </cell>
        </row>
        <row r="221">
          <cell r="B221" t="str">
            <v>GP3505A56-19</v>
          </cell>
          <cell r="C221">
            <v>119.73</v>
          </cell>
        </row>
        <row r="222">
          <cell r="B222" t="str">
            <v>GP3505A59-16</v>
          </cell>
          <cell r="C222">
            <v>26.62</v>
          </cell>
        </row>
        <row r="223">
          <cell r="B223" t="str">
            <v>GP3505A59-19</v>
          </cell>
          <cell r="C223">
            <v>111.58</v>
          </cell>
        </row>
        <row r="224">
          <cell r="B224" t="str">
            <v>GP3505A62-16</v>
          </cell>
          <cell r="C224">
            <v>29.3</v>
          </cell>
        </row>
        <row r="225">
          <cell r="B225" t="str">
            <v>GP3505A71-19</v>
          </cell>
          <cell r="C225">
            <v>115.71</v>
          </cell>
        </row>
        <row r="226">
          <cell r="B226" t="str">
            <v>GP3505A74-19</v>
          </cell>
          <cell r="C226">
            <v>124.9</v>
          </cell>
        </row>
        <row r="227">
          <cell r="B227" t="str">
            <v>GP3505A75-16</v>
          </cell>
          <cell r="C227">
            <v>29.57</v>
          </cell>
        </row>
        <row r="228">
          <cell r="B228" t="str">
            <v>GP3505B01-14</v>
          </cell>
          <cell r="C228">
            <v>8.94</v>
          </cell>
        </row>
        <row r="229">
          <cell r="B229" t="str">
            <v>GP3505B01-16</v>
          </cell>
          <cell r="C229">
            <v>33.380000000000003</v>
          </cell>
        </row>
        <row r="230">
          <cell r="B230" t="str">
            <v>GP3505B01-20</v>
          </cell>
          <cell r="C230">
            <v>25.92</v>
          </cell>
        </row>
        <row r="231">
          <cell r="B231" t="str">
            <v>GP3506A54-17</v>
          </cell>
          <cell r="C231">
            <v>29.68</v>
          </cell>
        </row>
        <row r="232">
          <cell r="B232" t="str">
            <v>GP3506A56-20</v>
          </cell>
          <cell r="C232">
            <v>28.58</v>
          </cell>
        </row>
        <row r="233">
          <cell r="B233" t="str">
            <v>GP3513A59-17</v>
          </cell>
          <cell r="C233">
            <v>21.39</v>
          </cell>
        </row>
        <row r="234">
          <cell r="B234" t="str">
            <v>GP3513B01-15</v>
          </cell>
          <cell r="C234">
            <v>13.51</v>
          </cell>
        </row>
        <row r="235">
          <cell r="B235" t="str">
            <v>GP3513B61-15</v>
          </cell>
          <cell r="C235">
            <v>13.39</v>
          </cell>
        </row>
        <row r="236">
          <cell r="B236" t="str">
            <v>GP3520A01-20</v>
          </cell>
          <cell r="C236">
            <v>20.079999999999998</v>
          </cell>
        </row>
        <row r="237">
          <cell r="B237" t="str">
            <v>GP3520A02-19</v>
          </cell>
          <cell r="C237">
            <v>85</v>
          </cell>
        </row>
        <row r="238">
          <cell r="B238" t="str">
            <v>GP3520A02-27</v>
          </cell>
          <cell r="C238">
            <v>18.63</v>
          </cell>
        </row>
        <row r="239">
          <cell r="B239" t="str">
            <v>GP3520A53-19</v>
          </cell>
          <cell r="C239">
            <v>91.65</v>
          </cell>
        </row>
        <row r="240">
          <cell r="B240" t="str">
            <v>GP3520A53-27</v>
          </cell>
          <cell r="C240">
            <v>20.63</v>
          </cell>
        </row>
        <row r="241">
          <cell r="B241" t="str">
            <v>GP3520A54-19</v>
          </cell>
          <cell r="C241">
            <v>90.71</v>
          </cell>
        </row>
        <row r="242">
          <cell r="B242" t="str">
            <v>GP3520A54-27</v>
          </cell>
          <cell r="C242">
            <v>20.39</v>
          </cell>
        </row>
        <row r="243">
          <cell r="B243" t="str">
            <v>GP3520A56-16</v>
          </cell>
          <cell r="C243">
            <v>21.4</v>
          </cell>
        </row>
        <row r="244">
          <cell r="B244" t="str">
            <v>GP3520A56-19</v>
          </cell>
          <cell r="C244">
            <v>90.77</v>
          </cell>
        </row>
        <row r="245">
          <cell r="B245" t="str">
            <v>GP3520A57-19</v>
          </cell>
          <cell r="C245">
            <v>82.51</v>
          </cell>
        </row>
        <row r="246">
          <cell r="B246" t="str">
            <v>GP3520A59-19</v>
          </cell>
          <cell r="C246">
            <v>78.62</v>
          </cell>
        </row>
        <row r="247">
          <cell r="B247" t="str">
            <v>GP3520A59-27</v>
          </cell>
          <cell r="C247">
            <v>17.600000000000001</v>
          </cell>
        </row>
        <row r="248">
          <cell r="B248" t="str">
            <v>GP3520A61-16</v>
          </cell>
          <cell r="C248">
            <v>19.940000000000001</v>
          </cell>
        </row>
        <row r="249">
          <cell r="B249" t="str">
            <v>GP3520A61-19</v>
          </cell>
          <cell r="C249">
            <v>83.86</v>
          </cell>
        </row>
        <row r="250">
          <cell r="B250" t="str">
            <v>GP3520A61-27</v>
          </cell>
          <cell r="C250">
            <v>18.95</v>
          </cell>
        </row>
        <row r="251">
          <cell r="B251" t="str">
            <v>GP3520A62-19</v>
          </cell>
          <cell r="C251">
            <v>93.02</v>
          </cell>
        </row>
        <row r="252">
          <cell r="B252" t="str">
            <v>GP3520A69-19</v>
          </cell>
          <cell r="C252">
            <v>96.08</v>
          </cell>
        </row>
        <row r="253">
          <cell r="B253" t="str">
            <v>GP3520A70-19</v>
          </cell>
          <cell r="C253">
            <v>82.5</v>
          </cell>
        </row>
        <row r="254">
          <cell r="B254" t="str">
            <v>GP3520A71-19</v>
          </cell>
          <cell r="C254">
            <v>86.55</v>
          </cell>
        </row>
        <row r="255">
          <cell r="B255" t="str">
            <v>GP3520B01-14</v>
          </cell>
          <cell r="C255">
            <v>5.27</v>
          </cell>
        </row>
        <row r="256">
          <cell r="B256" t="str">
            <v>GP3520B01-16</v>
          </cell>
          <cell r="C256">
            <v>16.420000000000002</v>
          </cell>
        </row>
        <row r="257">
          <cell r="B257" t="str">
            <v>GP3520B01-20</v>
          </cell>
          <cell r="C257">
            <v>17.579999999999998</v>
          </cell>
        </row>
        <row r="258">
          <cell r="B258" t="str">
            <v>GP3520B01-27</v>
          </cell>
          <cell r="C258">
            <v>15.43</v>
          </cell>
        </row>
        <row r="259">
          <cell r="B259" t="str">
            <v>GP3520B02-16</v>
          </cell>
          <cell r="C259">
            <v>16.440000000000001</v>
          </cell>
        </row>
        <row r="260">
          <cell r="B260" t="str">
            <v>GP3520B02-20</v>
          </cell>
          <cell r="C260">
            <v>17.600000000000001</v>
          </cell>
        </row>
        <row r="261">
          <cell r="B261" t="str">
            <v>GP3520B02-27</v>
          </cell>
          <cell r="C261">
            <v>15.45</v>
          </cell>
        </row>
        <row r="262">
          <cell r="B262" t="str">
            <v>GP3520B03-16</v>
          </cell>
          <cell r="C262">
            <v>15.11</v>
          </cell>
        </row>
        <row r="263">
          <cell r="B263" t="str">
            <v>GP3520B03-27</v>
          </cell>
          <cell r="C263">
            <v>13.72</v>
          </cell>
        </row>
        <row r="264">
          <cell r="B264" t="str">
            <v>GP3520RB1-16</v>
          </cell>
          <cell r="C264">
            <v>18.54</v>
          </cell>
        </row>
        <row r="265">
          <cell r="B265" t="str">
            <v>GP3520RB1-20</v>
          </cell>
          <cell r="C265">
            <v>19.7</v>
          </cell>
        </row>
        <row r="266">
          <cell r="B266" t="str">
            <v>GP3520RB1-27</v>
          </cell>
          <cell r="C266">
            <v>17.55</v>
          </cell>
        </row>
        <row r="267">
          <cell r="B267" t="str">
            <v>GP3524A01-16</v>
          </cell>
          <cell r="C267">
            <v>21.19</v>
          </cell>
        </row>
        <row r="268">
          <cell r="B268" t="str">
            <v>GP3524A01-20</v>
          </cell>
          <cell r="C268">
            <v>22.35</v>
          </cell>
        </row>
        <row r="269">
          <cell r="B269" t="str">
            <v>GP3524B01-16</v>
          </cell>
          <cell r="C269">
            <v>17.29</v>
          </cell>
        </row>
        <row r="270">
          <cell r="B270" t="str">
            <v>GP3524B01-20</v>
          </cell>
          <cell r="C270">
            <v>18.46</v>
          </cell>
        </row>
        <row r="271">
          <cell r="B271" t="str">
            <v>GP3525A54-16</v>
          </cell>
          <cell r="C271">
            <v>88.93</v>
          </cell>
        </row>
        <row r="272">
          <cell r="B272" t="str">
            <v>GP3525A54-20</v>
          </cell>
          <cell r="C272">
            <v>90.11</v>
          </cell>
        </row>
        <row r="273">
          <cell r="B273" t="str">
            <v>GP3525B01-16</v>
          </cell>
          <cell r="C273">
            <v>74.33</v>
          </cell>
        </row>
        <row r="274">
          <cell r="B274" t="str">
            <v>GP3525B01-20</v>
          </cell>
          <cell r="C274">
            <v>75.489999999999995</v>
          </cell>
        </row>
        <row r="275">
          <cell r="B275" t="str">
            <v>GP3525E01-16</v>
          </cell>
          <cell r="C275">
            <v>88.86</v>
          </cell>
        </row>
        <row r="276">
          <cell r="B276" t="str">
            <v>GP3525E01-20</v>
          </cell>
          <cell r="C276">
            <v>90.07</v>
          </cell>
        </row>
        <row r="277">
          <cell r="B277" t="str">
            <v>GP3525EB1-20</v>
          </cell>
          <cell r="C277">
            <v>90.07</v>
          </cell>
        </row>
        <row r="278">
          <cell r="B278" t="str">
            <v>GP3526A01-20</v>
          </cell>
          <cell r="C278">
            <v>21.74</v>
          </cell>
        </row>
        <row r="279">
          <cell r="B279" t="str">
            <v>GP3526A01-30</v>
          </cell>
          <cell r="C279">
            <v>67.81</v>
          </cell>
        </row>
        <row r="280">
          <cell r="B280" t="str">
            <v>GP3526A53-30</v>
          </cell>
          <cell r="C280">
            <v>76.78</v>
          </cell>
        </row>
        <row r="281">
          <cell r="B281" t="str">
            <v>GP3526A54-30</v>
          </cell>
          <cell r="C281">
            <v>76.16</v>
          </cell>
        </row>
        <row r="282">
          <cell r="B282" t="str">
            <v>GP3526A56-20</v>
          </cell>
          <cell r="C282">
            <v>24.54</v>
          </cell>
        </row>
        <row r="283">
          <cell r="B283" t="str">
            <v>GP3526A56-30</v>
          </cell>
          <cell r="C283">
            <v>76.209999999999994</v>
          </cell>
        </row>
        <row r="284">
          <cell r="B284" t="str">
            <v>GP3526A74-30</v>
          </cell>
          <cell r="C284">
            <v>78.05</v>
          </cell>
        </row>
        <row r="285">
          <cell r="B285" t="str">
            <v>GP3526B01-16</v>
          </cell>
          <cell r="C285">
            <v>40.58</v>
          </cell>
        </row>
        <row r="286">
          <cell r="B286" t="str">
            <v>GP3526B01-20</v>
          </cell>
          <cell r="C286">
            <v>31.99</v>
          </cell>
        </row>
        <row r="287">
          <cell r="B287" t="str">
            <v>GP3543A01-16</v>
          </cell>
          <cell r="C287">
            <v>21.69</v>
          </cell>
        </row>
        <row r="288">
          <cell r="B288" t="str">
            <v>GP3543A54-16</v>
          </cell>
          <cell r="C288">
            <v>26.09</v>
          </cell>
        </row>
        <row r="289">
          <cell r="B289" t="str">
            <v>GP3543A54-20</v>
          </cell>
          <cell r="C289">
            <v>27.25</v>
          </cell>
        </row>
        <row r="290">
          <cell r="B290" t="str">
            <v>GP3543A69-20</v>
          </cell>
          <cell r="C290">
            <v>25.24</v>
          </cell>
        </row>
        <row r="291">
          <cell r="B291" t="str">
            <v>GP3543B01-16</v>
          </cell>
          <cell r="C291">
            <v>13.78</v>
          </cell>
        </row>
        <row r="292">
          <cell r="B292" t="str">
            <v>GP3543B01-20</v>
          </cell>
          <cell r="C292">
            <v>14.94</v>
          </cell>
        </row>
        <row r="293">
          <cell r="B293" t="str">
            <v>GP3548A01-16</v>
          </cell>
          <cell r="C293">
            <v>23.29</v>
          </cell>
        </row>
        <row r="294">
          <cell r="B294" t="str">
            <v>GP3548A01-20</v>
          </cell>
          <cell r="C294">
            <v>21.71</v>
          </cell>
        </row>
        <row r="295">
          <cell r="B295" t="str">
            <v>GP3548A02-30</v>
          </cell>
          <cell r="C295">
            <v>73.5</v>
          </cell>
        </row>
        <row r="296">
          <cell r="B296" t="str">
            <v>GP3548A59-20</v>
          </cell>
          <cell r="C296">
            <v>25.05</v>
          </cell>
        </row>
        <row r="297">
          <cell r="B297" t="str">
            <v>GP3548A59-30</v>
          </cell>
          <cell r="C297">
            <v>77.739999999999995</v>
          </cell>
        </row>
        <row r="298">
          <cell r="B298" t="str">
            <v>GP3548B01-16</v>
          </cell>
          <cell r="C298">
            <v>21.73</v>
          </cell>
        </row>
        <row r="299">
          <cell r="B299" t="str">
            <v>GP3548B01-20</v>
          </cell>
          <cell r="C299">
            <v>22.89</v>
          </cell>
        </row>
        <row r="300">
          <cell r="B300" t="str">
            <v>GP3552A50-16</v>
          </cell>
          <cell r="C300">
            <v>19.760000000000002</v>
          </cell>
        </row>
        <row r="301">
          <cell r="B301" t="str">
            <v>GP3552A50-20</v>
          </cell>
          <cell r="C301">
            <v>20.94</v>
          </cell>
        </row>
        <row r="302">
          <cell r="B302" t="str">
            <v>GP3552B01-16</v>
          </cell>
          <cell r="C302">
            <v>29.79</v>
          </cell>
        </row>
        <row r="303">
          <cell r="B303" t="str">
            <v>GP3552B01-20</v>
          </cell>
          <cell r="C303">
            <v>29.35</v>
          </cell>
        </row>
        <row r="304">
          <cell r="B304" t="str">
            <v>GP3552W59-16</v>
          </cell>
          <cell r="C304">
            <v>24.09</v>
          </cell>
        </row>
        <row r="305">
          <cell r="B305" t="str">
            <v>GP3552W59-20</v>
          </cell>
          <cell r="C305">
            <v>25.27</v>
          </cell>
        </row>
        <row r="306">
          <cell r="B306" t="str">
            <v>GP3554A01-30</v>
          </cell>
          <cell r="C306">
            <v>87.05</v>
          </cell>
        </row>
        <row r="307">
          <cell r="B307" t="str">
            <v>GP3554B01-16</v>
          </cell>
          <cell r="C307">
            <v>22.24</v>
          </cell>
        </row>
        <row r="308">
          <cell r="B308" t="str">
            <v>GP3555A50-16</v>
          </cell>
          <cell r="C308">
            <v>25.48</v>
          </cell>
        </row>
        <row r="309">
          <cell r="B309" t="str">
            <v>GP3555A50-20</v>
          </cell>
          <cell r="C309">
            <v>25.17</v>
          </cell>
        </row>
        <row r="310">
          <cell r="B310" t="str">
            <v>GP3555B01-16</v>
          </cell>
          <cell r="C310">
            <v>32.42</v>
          </cell>
        </row>
        <row r="311">
          <cell r="B311" t="str">
            <v>GP3555B01-20</v>
          </cell>
          <cell r="C311">
            <v>31.97</v>
          </cell>
        </row>
        <row r="312">
          <cell r="B312" t="str">
            <v>GP3555V50-16</v>
          </cell>
          <cell r="C312">
            <v>28.89</v>
          </cell>
        </row>
        <row r="313">
          <cell r="B313" t="str">
            <v>GP3555VB1-16</v>
          </cell>
          <cell r="C313">
            <v>30.62</v>
          </cell>
        </row>
        <row r="314">
          <cell r="B314" t="str">
            <v>GP3555VB1-20</v>
          </cell>
          <cell r="C314">
            <v>31.78</v>
          </cell>
        </row>
        <row r="315">
          <cell r="B315" t="str">
            <v>GP3556A02-20</v>
          </cell>
          <cell r="C315">
            <v>21.92</v>
          </cell>
        </row>
        <row r="316">
          <cell r="B316" t="str">
            <v>GP3556A50-16</v>
          </cell>
          <cell r="C316">
            <v>19.760000000000002</v>
          </cell>
        </row>
        <row r="317">
          <cell r="B317" t="str">
            <v>GP3556A50-20</v>
          </cell>
          <cell r="C317">
            <v>20.94</v>
          </cell>
        </row>
        <row r="318">
          <cell r="B318" t="str">
            <v>GP3556B01-16</v>
          </cell>
          <cell r="C318">
            <v>29.71</v>
          </cell>
        </row>
        <row r="319">
          <cell r="B319" t="str">
            <v>GP3556B01-20</v>
          </cell>
          <cell r="C319">
            <v>29.27</v>
          </cell>
        </row>
        <row r="320">
          <cell r="B320" t="str">
            <v>GP3557A02-19</v>
          </cell>
          <cell r="C320">
            <v>83.85</v>
          </cell>
        </row>
        <row r="321">
          <cell r="B321" t="str">
            <v>GP3557A54-19</v>
          </cell>
          <cell r="C321">
            <v>90.51</v>
          </cell>
        </row>
        <row r="322">
          <cell r="B322" t="str">
            <v>GP3557A59-19</v>
          </cell>
          <cell r="C322">
            <v>83.85</v>
          </cell>
        </row>
        <row r="323">
          <cell r="B323" t="str">
            <v>GP3557A62-19</v>
          </cell>
          <cell r="C323">
            <v>92.68</v>
          </cell>
        </row>
        <row r="324">
          <cell r="B324" t="str">
            <v>GP3557B01-16</v>
          </cell>
          <cell r="C324">
            <v>18.77</v>
          </cell>
        </row>
        <row r="325">
          <cell r="B325" t="str">
            <v>GP3561A01-16</v>
          </cell>
          <cell r="C325">
            <v>19.72</v>
          </cell>
        </row>
        <row r="326">
          <cell r="B326" t="str">
            <v>GP3561A01-19</v>
          </cell>
          <cell r="C326">
            <v>84.06</v>
          </cell>
        </row>
        <row r="327">
          <cell r="B327" t="str">
            <v>GP3561A01-27</v>
          </cell>
          <cell r="C327">
            <v>18.73</v>
          </cell>
        </row>
        <row r="328">
          <cell r="B328" t="str">
            <v>GP3561A02-16</v>
          </cell>
          <cell r="C328">
            <v>20.87</v>
          </cell>
        </row>
        <row r="329">
          <cell r="B329" t="str">
            <v>GP3561A02-19</v>
          </cell>
          <cell r="C329">
            <v>88.56</v>
          </cell>
        </row>
        <row r="330">
          <cell r="B330" t="str">
            <v>GP3561A54-16</v>
          </cell>
          <cell r="C330">
            <v>22.27</v>
          </cell>
        </row>
        <row r="331">
          <cell r="B331" t="str">
            <v>GP3561A54-19</v>
          </cell>
          <cell r="C331">
            <v>94.16</v>
          </cell>
        </row>
        <row r="332">
          <cell r="B332" t="str">
            <v>GP3561A59-16</v>
          </cell>
          <cell r="C332">
            <v>20.85</v>
          </cell>
        </row>
        <row r="333">
          <cell r="B333" t="str">
            <v>GP3561A59-19</v>
          </cell>
          <cell r="C333">
            <v>85.18</v>
          </cell>
        </row>
        <row r="334">
          <cell r="B334" t="str">
            <v>GP3561A61-19</v>
          </cell>
          <cell r="C334">
            <v>90.03</v>
          </cell>
        </row>
        <row r="335">
          <cell r="B335" t="str">
            <v>GP3561A74-16</v>
          </cell>
          <cell r="C335">
            <v>23.45</v>
          </cell>
        </row>
        <row r="336">
          <cell r="B336" t="str">
            <v>GP3561A74-19</v>
          </cell>
          <cell r="C336">
            <v>92.84</v>
          </cell>
        </row>
        <row r="337">
          <cell r="B337" t="str">
            <v>GP3561AXX-20</v>
          </cell>
          <cell r="C337">
            <v>20.41</v>
          </cell>
        </row>
        <row r="338">
          <cell r="B338" t="str">
            <v>GP3561AXX-27</v>
          </cell>
          <cell r="C338">
            <v>18.25</v>
          </cell>
        </row>
        <row r="339">
          <cell r="B339" t="str">
            <v>GP3561B01-14</v>
          </cell>
          <cell r="C339">
            <v>4.37</v>
          </cell>
        </row>
        <row r="340">
          <cell r="B340" t="str">
            <v>GP3561B01-16</v>
          </cell>
          <cell r="C340">
            <v>18.260000000000002</v>
          </cell>
        </row>
        <row r="341">
          <cell r="B341" t="str">
            <v>GP3561B01-20</v>
          </cell>
          <cell r="C341">
            <v>19.420000000000002</v>
          </cell>
        </row>
        <row r="342">
          <cell r="B342" t="str">
            <v>GP3561B01-27</v>
          </cell>
          <cell r="C342">
            <v>17.260000000000002</v>
          </cell>
        </row>
        <row r="343">
          <cell r="B343" t="str">
            <v>GP3561B02-14</v>
          </cell>
          <cell r="C343">
            <v>7.34</v>
          </cell>
        </row>
        <row r="344">
          <cell r="B344" t="str">
            <v>GP3561B02-16</v>
          </cell>
          <cell r="C344">
            <v>30.14</v>
          </cell>
        </row>
        <row r="345">
          <cell r="B345" t="str">
            <v>GP3561B02-20</v>
          </cell>
          <cell r="C345">
            <v>31.3</v>
          </cell>
        </row>
        <row r="346">
          <cell r="B346" t="str">
            <v>GP3561CA1-19</v>
          </cell>
          <cell r="C346">
            <v>76.5</v>
          </cell>
        </row>
        <row r="347">
          <cell r="B347" t="str">
            <v>GP3561V01-16</v>
          </cell>
          <cell r="C347">
            <v>20.71</v>
          </cell>
        </row>
        <row r="348">
          <cell r="B348" t="str">
            <v>GP3561V01-19</v>
          </cell>
          <cell r="C348">
            <v>87.94</v>
          </cell>
        </row>
        <row r="349">
          <cell r="B349" t="str">
            <v>GP3561V50-16</v>
          </cell>
          <cell r="C349">
            <v>21.88</v>
          </cell>
        </row>
        <row r="350">
          <cell r="B350" t="str">
            <v>GP3561V50-19</v>
          </cell>
          <cell r="C350">
            <v>99.43</v>
          </cell>
        </row>
        <row r="351">
          <cell r="B351" t="str">
            <v>GP3561V59-16</v>
          </cell>
          <cell r="C351">
            <v>23.08</v>
          </cell>
        </row>
        <row r="352">
          <cell r="B352" t="str">
            <v>GP3561V59-19</v>
          </cell>
          <cell r="C352">
            <v>93.34</v>
          </cell>
        </row>
        <row r="353">
          <cell r="B353" t="str">
            <v>GP3561V74-16</v>
          </cell>
          <cell r="C353">
            <v>24.53</v>
          </cell>
        </row>
        <row r="354">
          <cell r="B354" t="str">
            <v>GP3562A01-19</v>
          </cell>
          <cell r="C354">
            <v>78.36</v>
          </cell>
        </row>
        <row r="355">
          <cell r="B355" t="str">
            <v>GP3562B01-16</v>
          </cell>
          <cell r="C355">
            <v>18.260000000000002</v>
          </cell>
        </row>
        <row r="356">
          <cell r="B356" t="str">
            <v>GP3563A01-16</v>
          </cell>
          <cell r="C356">
            <v>19.920000000000002</v>
          </cell>
        </row>
        <row r="357">
          <cell r="B357" t="str">
            <v>GP3563A01-20</v>
          </cell>
          <cell r="C357">
            <v>21.1</v>
          </cell>
        </row>
        <row r="358">
          <cell r="B358" t="str">
            <v>GP3563A74-20</v>
          </cell>
          <cell r="C358">
            <v>26.83</v>
          </cell>
        </row>
        <row r="359">
          <cell r="B359" t="str">
            <v>GP3563B01-16</v>
          </cell>
          <cell r="C359">
            <v>16.64</v>
          </cell>
        </row>
        <row r="360">
          <cell r="B360" t="str">
            <v>GP3563B01-20</v>
          </cell>
          <cell r="C360">
            <v>17.8</v>
          </cell>
        </row>
        <row r="361">
          <cell r="B361" t="str">
            <v>GP3579A01-16</v>
          </cell>
          <cell r="C361">
            <v>20.51</v>
          </cell>
        </row>
        <row r="362">
          <cell r="B362" t="str">
            <v>GP3579A01-20</v>
          </cell>
          <cell r="C362">
            <v>21.69</v>
          </cell>
        </row>
        <row r="363">
          <cell r="B363" t="str">
            <v>GP3579A01-27</v>
          </cell>
          <cell r="C363">
            <v>19.52</v>
          </cell>
        </row>
        <row r="364">
          <cell r="B364" t="str">
            <v>GP3579A50-16</v>
          </cell>
          <cell r="C364">
            <v>25.1</v>
          </cell>
        </row>
        <row r="365">
          <cell r="B365" t="str">
            <v>GP3579A50-20</v>
          </cell>
          <cell r="C365">
            <v>26.28</v>
          </cell>
        </row>
        <row r="366">
          <cell r="B366" t="str">
            <v>GP3579A50-27</v>
          </cell>
          <cell r="C366">
            <v>24.1</v>
          </cell>
        </row>
        <row r="367">
          <cell r="B367" t="str">
            <v>GP3579A59-16</v>
          </cell>
          <cell r="C367">
            <v>22.93</v>
          </cell>
        </row>
        <row r="368">
          <cell r="B368" t="str">
            <v>GP3579A59-20</v>
          </cell>
          <cell r="C368">
            <v>23.52</v>
          </cell>
        </row>
        <row r="369">
          <cell r="B369" t="str">
            <v>GP3579A74-16</v>
          </cell>
          <cell r="C369">
            <v>26.16</v>
          </cell>
        </row>
        <row r="370">
          <cell r="B370" t="str">
            <v>GP3579A74-20</v>
          </cell>
          <cell r="C370">
            <v>26.61</v>
          </cell>
        </row>
        <row r="371">
          <cell r="B371" t="str">
            <v>GP3579B01-16</v>
          </cell>
          <cell r="C371">
            <v>17.989999999999998</v>
          </cell>
        </row>
        <row r="372">
          <cell r="B372" t="str">
            <v>GP3579B01-20</v>
          </cell>
          <cell r="C372">
            <v>19.149999999999999</v>
          </cell>
        </row>
        <row r="373">
          <cell r="B373" t="str">
            <v>GP3579B01-27</v>
          </cell>
          <cell r="C373">
            <v>17.02</v>
          </cell>
        </row>
        <row r="374">
          <cell r="B374" t="str">
            <v>GP3580A01-16</v>
          </cell>
          <cell r="C374">
            <v>22.9</v>
          </cell>
        </row>
        <row r="375">
          <cell r="B375" t="str">
            <v>GP3580A01-20</v>
          </cell>
          <cell r="C375">
            <v>24.08</v>
          </cell>
        </row>
        <row r="376">
          <cell r="B376" t="str">
            <v>GP3580A02-16</v>
          </cell>
          <cell r="C376">
            <v>23.55</v>
          </cell>
        </row>
        <row r="377">
          <cell r="B377" t="str">
            <v>GP3580A54-16</v>
          </cell>
          <cell r="C377">
            <v>24.31</v>
          </cell>
        </row>
        <row r="378">
          <cell r="B378" t="str">
            <v>GP3580A54-20</v>
          </cell>
          <cell r="C378">
            <v>25.49</v>
          </cell>
        </row>
        <row r="379">
          <cell r="B379" t="str">
            <v>GP3580B01-16</v>
          </cell>
          <cell r="C379">
            <v>14.8</v>
          </cell>
        </row>
        <row r="380">
          <cell r="B380" t="str">
            <v>GP3580B01-20</v>
          </cell>
          <cell r="C380">
            <v>15.96</v>
          </cell>
        </row>
        <row r="381">
          <cell r="B381" t="str">
            <v>GP3589A01-16</v>
          </cell>
          <cell r="C381">
            <v>19.309999999999999</v>
          </cell>
        </row>
        <row r="382">
          <cell r="B382" t="str">
            <v>GP3589A01-19</v>
          </cell>
          <cell r="C382">
            <v>82.42</v>
          </cell>
        </row>
        <row r="383">
          <cell r="B383" t="str">
            <v>GP3589A01-27</v>
          </cell>
          <cell r="C383">
            <v>18.32</v>
          </cell>
        </row>
        <row r="384">
          <cell r="B384" t="str">
            <v>GP3589A02-16</v>
          </cell>
          <cell r="C384">
            <v>22.22</v>
          </cell>
        </row>
        <row r="385">
          <cell r="B385" t="str">
            <v>GP3589A02-19</v>
          </cell>
          <cell r="C385">
            <v>128.56</v>
          </cell>
        </row>
        <row r="386">
          <cell r="B386" t="str">
            <v>GP3589A53-16</v>
          </cell>
          <cell r="C386">
            <v>20.9</v>
          </cell>
        </row>
        <row r="387">
          <cell r="B387" t="str">
            <v>GP3589A53-19</v>
          </cell>
          <cell r="C387">
            <v>88.76</v>
          </cell>
        </row>
        <row r="388">
          <cell r="B388" t="str">
            <v>GP3589A54-16</v>
          </cell>
          <cell r="C388">
            <v>20.84</v>
          </cell>
        </row>
        <row r="389">
          <cell r="B389" t="str">
            <v>GP3589A54-19</v>
          </cell>
          <cell r="C389">
            <v>88.51</v>
          </cell>
        </row>
        <row r="390">
          <cell r="B390" t="str">
            <v>GP3589A55-16</v>
          </cell>
          <cell r="C390">
            <v>23.62</v>
          </cell>
        </row>
        <row r="391">
          <cell r="B391" t="str">
            <v>GP3589A55-19</v>
          </cell>
          <cell r="C391">
            <v>99.66</v>
          </cell>
        </row>
        <row r="392">
          <cell r="B392" t="str">
            <v>GP3589A56-16</v>
          </cell>
          <cell r="C392">
            <v>22.7</v>
          </cell>
        </row>
        <row r="393">
          <cell r="B393" t="str">
            <v>GP3589A56-19</v>
          </cell>
          <cell r="C393">
            <v>95.95</v>
          </cell>
        </row>
        <row r="394">
          <cell r="B394" t="str">
            <v>GP3589A59-16</v>
          </cell>
          <cell r="C394">
            <v>23.08</v>
          </cell>
        </row>
        <row r="395">
          <cell r="B395" t="str">
            <v>GP3589A59-19</v>
          </cell>
          <cell r="C395">
            <v>94.28</v>
          </cell>
        </row>
        <row r="396">
          <cell r="B396" t="str">
            <v>GP3589A61-16</v>
          </cell>
          <cell r="C396">
            <v>20.6</v>
          </cell>
        </row>
        <row r="397">
          <cell r="B397" t="str">
            <v>GP3589A61-19</v>
          </cell>
          <cell r="C397">
            <v>87.55</v>
          </cell>
        </row>
        <row r="398">
          <cell r="B398" t="str">
            <v>GP3589A62-16</v>
          </cell>
          <cell r="C398">
            <v>23.18</v>
          </cell>
        </row>
        <row r="399">
          <cell r="B399" t="str">
            <v>GP3589A62-19</v>
          </cell>
          <cell r="C399">
            <v>97.82</v>
          </cell>
        </row>
        <row r="400">
          <cell r="B400" t="str">
            <v>GP3589A69-16</v>
          </cell>
          <cell r="C400">
            <v>21.28</v>
          </cell>
        </row>
        <row r="401">
          <cell r="B401" t="str">
            <v>GP3589A69-19</v>
          </cell>
          <cell r="C401">
            <v>90.28</v>
          </cell>
        </row>
        <row r="402">
          <cell r="B402" t="str">
            <v>GP3589A71-16</v>
          </cell>
          <cell r="C402">
            <v>21.56</v>
          </cell>
        </row>
        <row r="403">
          <cell r="B403" t="str">
            <v>GP3589A71-19</v>
          </cell>
          <cell r="C403">
            <v>91.43</v>
          </cell>
        </row>
        <row r="404">
          <cell r="B404" t="str">
            <v>GP3589A74-16</v>
          </cell>
          <cell r="C404">
            <v>21.77</v>
          </cell>
        </row>
        <row r="405">
          <cell r="B405" t="str">
            <v>GP3589A74-19</v>
          </cell>
          <cell r="C405">
            <v>93.67</v>
          </cell>
        </row>
        <row r="406">
          <cell r="B406" t="str">
            <v>GP3589A75-16</v>
          </cell>
          <cell r="C406">
            <v>23.44</v>
          </cell>
        </row>
        <row r="407">
          <cell r="B407" t="str">
            <v>GP3589A75-19</v>
          </cell>
          <cell r="C407">
            <v>98.85</v>
          </cell>
        </row>
        <row r="408">
          <cell r="B408" t="str">
            <v>GP3589B01-14</v>
          </cell>
          <cell r="C408">
            <v>6</v>
          </cell>
        </row>
        <row r="409">
          <cell r="B409" t="str">
            <v>GP3589B01-16</v>
          </cell>
          <cell r="C409">
            <v>24.76</v>
          </cell>
        </row>
        <row r="410">
          <cell r="B410" t="str">
            <v>GP3589B01-20</v>
          </cell>
          <cell r="C410">
            <v>25.92</v>
          </cell>
        </row>
        <row r="411">
          <cell r="B411" t="str">
            <v>GP3589B01-27</v>
          </cell>
          <cell r="C411">
            <v>25.84</v>
          </cell>
        </row>
        <row r="412">
          <cell r="B412" t="str">
            <v>GP3594SA1-16</v>
          </cell>
          <cell r="C412">
            <v>24.02</v>
          </cell>
        </row>
        <row r="413">
          <cell r="B413" t="str">
            <v>GP3594SA1-20</v>
          </cell>
          <cell r="C413">
            <v>25.2</v>
          </cell>
        </row>
        <row r="414">
          <cell r="B414" t="str">
            <v>GP3594SB1-16</v>
          </cell>
          <cell r="C414">
            <v>29.51</v>
          </cell>
        </row>
        <row r="415">
          <cell r="B415" t="str">
            <v>GP3594SB1-20</v>
          </cell>
          <cell r="C415">
            <v>30.67</v>
          </cell>
        </row>
        <row r="416">
          <cell r="B416" t="str">
            <v>GP3599A56-20</v>
          </cell>
          <cell r="C416">
            <v>25.32</v>
          </cell>
        </row>
        <row r="417">
          <cell r="B417" t="str">
            <v>GP3599A67-30</v>
          </cell>
          <cell r="C417">
            <v>127.5</v>
          </cell>
        </row>
        <row r="418">
          <cell r="B418" t="str">
            <v>GP3644A01-20</v>
          </cell>
          <cell r="C418">
            <v>21.38</v>
          </cell>
        </row>
        <row r="419">
          <cell r="B419" t="str">
            <v>GP3712A01-16</v>
          </cell>
          <cell r="C419">
            <v>27.1</v>
          </cell>
        </row>
        <row r="420">
          <cell r="B420" t="str">
            <v>GP3712A50-16</v>
          </cell>
          <cell r="C420">
            <v>26.62</v>
          </cell>
        </row>
        <row r="421">
          <cell r="B421" t="str">
            <v>GP3712A50-19</v>
          </cell>
          <cell r="C421">
            <v>111.65</v>
          </cell>
        </row>
        <row r="422">
          <cell r="B422" t="str">
            <v>GP3712B01-14</v>
          </cell>
          <cell r="C422">
            <v>12.21</v>
          </cell>
        </row>
        <row r="423">
          <cell r="B423" t="str">
            <v>GP3712B01-16</v>
          </cell>
          <cell r="C423">
            <v>49.6</v>
          </cell>
        </row>
        <row r="424">
          <cell r="B424" t="str">
            <v>GP3712B01-20</v>
          </cell>
          <cell r="C424">
            <v>50.76</v>
          </cell>
        </row>
        <row r="425">
          <cell r="B425" t="str">
            <v>GP3740A01-20</v>
          </cell>
          <cell r="C425">
            <v>24.5</v>
          </cell>
        </row>
        <row r="426">
          <cell r="B426" t="str">
            <v>GP3740B01-16</v>
          </cell>
          <cell r="C426">
            <v>31.83</v>
          </cell>
        </row>
        <row r="427">
          <cell r="B427" t="str">
            <v>GP3741A01-16</v>
          </cell>
          <cell r="C427">
            <v>24.14</v>
          </cell>
        </row>
        <row r="428">
          <cell r="B428" t="str">
            <v>GP3741A53-16</v>
          </cell>
          <cell r="C428">
            <v>27.06</v>
          </cell>
        </row>
        <row r="429">
          <cell r="B429" t="str">
            <v>GP3741A53-20</v>
          </cell>
          <cell r="C429">
            <v>28.26</v>
          </cell>
        </row>
        <row r="430">
          <cell r="B430" t="str">
            <v>GP3741A54-16</v>
          </cell>
          <cell r="C430">
            <v>29.61</v>
          </cell>
        </row>
        <row r="431">
          <cell r="B431" t="str">
            <v>GP3741A54-20</v>
          </cell>
          <cell r="C431">
            <v>29.35</v>
          </cell>
        </row>
        <row r="432">
          <cell r="B432" t="str">
            <v>GP3741A56-16</v>
          </cell>
          <cell r="C432">
            <v>34.07</v>
          </cell>
        </row>
        <row r="433">
          <cell r="B433" t="str">
            <v>GP3741A56-20</v>
          </cell>
          <cell r="C433">
            <v>33.700000000000003</v>
          </cell>
        </row>
        <row r="434">
          <cell r="B434" t="str">
            <v>GP3741A71-16</v>
          </cell>
          <cell r="C434">
            <v>25.4</v>
          </cell>
        </row>
        <row r="435">
          <cell r="B435" t="str">
            <v>GP3741A74-16</v>
          </cell>
          <cell r="C435">
            <v>35.79</v>
          </cell>
        </row>
        <row r="436">
          <cell r="B436" t="str">
            <v>GP3741A74-20</v>
          </cell>
          <cell r="C436">
            <v>29.7</v>
          </cell>
        </row>
        <row r="437">
          <cell r="B437" t="str">
            <v>GP3741B01-16</v>
          </cell>
          <cell r="C437">
            <v>27.6</v>
          </cell>
        </row>
        <row r="438">
          <cell r="B438" t="str">
            <v>GP3741B01-20</v>
          </cell>
          <cell r="C438">
            <v>27.24</v>
          </cell>
        </row>
        <row r="439">
          <cell r="B439" t="str">
            <v>GP3744A01-16</v>
          </cell>
          <cell r="C439">
            <v>23.71</v>
          </cell>
        </row>
        <row r="440">
          <cell r="B440" t="str">
            <v>GP3744A01-20</v>
          </cell>
          <cell r="C440">
            <v>24.89</v>
          </cell>
        </row>
        <row r="441">
          <cell r="B441" t="str">
            <v>GP3744A01-27</v>
          </cell>
          <cell r="C441">
            <v>22.71</v>
          </cell>
        </row>
        <row r="442">
          <cell r="B442" t="str">
            <v>GP3744A02-16</v>
          </cell>
          <cell r="C442">
            <v>10.19</v>
          </cell>
        </row>
        <row r="443">
          <cell r="B443" t="str">
            <v>GP3744A02-20</v>
          </cell>
          <cell r="C443">
            <v>9.85</v>
          </cell>
        </row>
        <row r="444">
          <cell r="B444" t="str">
            <v>GP3744A53-16</v>
          </cell>
          <cell r="C444">
            <v>27.01</v>
          </cell>
        </row>
        <row r="445">
          <cell r="B445" t="str">
            <v>GP3744A53-20</v>
          </cell>
          <cell r="C445">
            <v>28.19</v>
          </cell>
        </row>
        <row r="446">
          <cell r="B446" t="str">
            <v>GP3744A54-16</v>
          </cell>
          <cell r="C446">
            <v>26.77</v>
          </cell>
        </row>
        <row r="447">
          <cell r="B447" t="str">
            <v>GP3744A54-20</v>
          </cell>
          <cell r="C447">
            <v>27.95</v>
          </cell>
        </row>
        <row r="448">
          <cell r="B448" t="str">
            <v>GP3744A55-16</v>
          </cell>
          <cell r="C448">
            <v>33.200000000000003</v>
          </cell>
        </row>
        <row r="449">
          <cell r="B449" t="str">
            <v>GP3744A55-20</v>
          </cell>
          <cell r="C449">
            <v>34.380000000000003</v>
          </cell>
        </row>
        <row r="450">
          <cell r="B450" t="str">
            <v>GP3744A56-16</v>
          </cell>
          <cell r="C450">
            <v>26.8</v>
          </cell>
        </row>
        <row r="451">
          <cell r="B451" t="str">
            <v>GP3744A56-20</v>
          </cell>
          <cell r="C451">
            <v>27.98</v>
          </cell>
        </row>
        <row r="452">
          <cell r="B452" t="str">
            <v>GP3744A57-16</v>
          </cell>
          <cell r="C452">
            <v>24.42</v>
          </cell>
        </row>
        <row r="453">
          <cell r="B453" t="str">
            <v>GP3744A57-20</v>
          </cell>
          <cell r="C453">
            <v>25.6</v>
          </cell>
        </row>
        <row r="454">
          <cell r="B454" t="str">
            <v>GP3744A59-16</v>
          </cell>
          <cell r="C454">
            <v>26.83</v>
          </cell>
        </row>
        <row r="455">
          <cell r="B455" t="str">
            <v>GP3744A59-20</v>
          </cell>
          <cell r="C455">
            <v>28.01</v>
          </cell>
        </row>
        <row r="456">
          <cell r="B456" t="str">
            <v>GP3744A61-16</v>
          </cell>
          <cell r="C456">
            <v>26.32</v>
          </cell>
        </row>
        <row r="457">
          <cell r="B457" t="str">
            <v>GP3744A61-20</v>
          </cell>
          <cell r="C457">
            <v>27.5</v>
          </cell>
        </row>
        <row r="458">
          <cell r="B458" t="str">
            <v>GP3744A62-16</v>
          </cell>
          <cell r="C458">
            <v>28.65</v>
          </cell>
        </row>
        <row r="459">
          <cell r="B459" t="str">
            <v>GP3744A62-20</v>
          </cell>
          <cell r="C459">
            <v>29.83</v>
          </cell>
        </row>
        <row r="460">
          <cell r="B460" t="str">
            <v>GP3744A67-16</v>
          </cell>
          <cell r="C460">
            <v>20.309999999999999</v>
          </cell>
        </row>
        <row r="461">
          <cell r="B461" t="str">
            <v>GP3744A67-20</v>
          </cell>
          <cell r="C461">
            <v>32.31</v>
          </cell>
        </row>
        <row r="462">
          <cell r="B462" t="str">
            <v>GP3744A69-16</v>
          </cell>
          <cell r="C462">
            <v>28.27</v>
          </cell>
        </row>
        <row r="463">
          <cell r="B463" t="str">
            <v>GP3744A69-20</v>
          </cell>
          <cell r="C463">
            <v>29.45</v>
          </cell>
        </row>
        <row r="464">
          <cell r="B464" t="str">
            <v>GP3744A71-16</v>
          </cell>
          <cell r="C464">
            <v>25.83</v>
          </cell>
        </row>
        <row r="465">
          <cell r="B465" t="str">
            <v>GP3744A71-20</v>
          </cell>
          <cell r="C465">
            <v>27.01</v>
          </cell>
        </row>
        <row r="466">
          <cell r="B466" t="str">
            <v>GP3744A74-16</v>
          </cell>
          <cell r="C466">
            <v>28.06</v>
          </cell>
        </row>
        <row r="467">
          <cell r="B467" t="str">
            <v>GP3744A74-20</v>
          </cell>
          <cell r="C467">
            <v>29.24</v>
          </cell>
        </row>
        <row r="468">
          <cell r="B468" t="str">
            <v>GP3744A75-16</v>
          </cell>
          <cell r="C468">
            <v>27.71</v>
          </cell>
        </row>
        <row r="469">
          <cell r="B469" t="str">
            <v>GP3744A75-20</v>
          </cell>
          <cell r="C469">
            <v>28.89</v>
          </cell>
        </row>
        <row r="470">
          <cell r="B470" t="str">
            <v>GP3744B01-16</v>
          </cell>
          <cell r="C470">
            <v>27.38</v>
          </cell>
        </row>
        <row r="471">
          <cell r="B471" t="str">
            <v>GP3744B01-20</v>
          </cell>
          <cell r="C471">
            <v>28.54</v>
          </cell>
        </row>
        <row r="472">
          <cell r="B472" t="str">
            <v>GP3744B01-27</v>
          </cell>
          <cell r="C472">
            <v>26.37</v>
          </cell>
        </row>
        <row r="473">
          <cell r="B473" t="str">
            <v>GP3744B02-16</v>
          </cell>
          <cell r="C473">
            <v>23.13</v>
          </cell>
        </row>
        <row r="474">
          <cell r="B474" t="str">
            <v>GP3744B02-20</v>
          </cell>
          <cell r="C474">
            <v>24.3</v>
          </cell>
        </row>
        <row r="475">
          <cell r="B475" t="str">
            <v>GP3744G01-16</v>
          </cell>
          <cell r="C475">
            <v>25.22</v>
          </cell>
        </row>
        <row r="476">
          <cell r="B476" t="str">
            <v>GP3744G01-20</v>
          </cell>
          <cell r="C476">
            <v>26.4</v>
          </cell>
        </row>
        <row r="477">
          <cell r="B477" t="str">
            <v>GP3744G54-16</v>
          </cell>
          <cell r="C477">
            <v>26.41</v>
          </cell>
        </row>
        <row r="478">
          <cell r="B478" t="str">
            <v>GP3744G54-20</v>
          </cell>
          <cell r="C478">
            <v>27.59</v>
          </cell>
        </row>
        <row r="479">
          <cell r="B479" t="str">
            <v>GP3744G56-16</v>
          </cell>
          <cell r="C479">
            <v>26.42</v>
          </cell>
        </row>
        <row r="480">
          <cell r="B480" t="str">
            <v>GP4040A01-16</v>
          </cell>
          <cell r="C480">
            <v>26.37</v>
          </cell>
        </row>
        <row r="481">
          <cell r="B481" t="str">
            <v>GP4040B01-15</v>
          </cell>
          <cell r="C481">
            <v>12.76</v>
          </cell>
        </row>
        <row r="482">
          <cell r="B482" t="str">
            <v>GP4050A01-16</v>
          </cell>
          <cell r="C482">
            <v>13.69</v>
          </cell>
        </row>
        <row r="483">
          <cell r="B483" t="str">
            <v>GP4050B01-16</v>
          </cell>
          <cell r="C483">
            <v>16.97</v>
          </cell>
        </row>
        <row r="484">
          <cell r="B484" t="str">
            <v>GP4060A01-14</v>
          </cell>
          <cell r="C484">
            <v>3.76</v>
          </cell>
        </row>
        <row r="485">
          <cell r="B485" t="str">
            <v>GP4060B01-14</v>
          </cell>
          <cell r="C485">
            <v>5.58</v>
          </cell>
        </row>
        <row r="486">
          <cell r="B486" t="str">
            <v>GP4070A01-15</v>
          </cell>
          <cell r="C486">
            <v>7.36</v>
          </cell>
        </row>
        <row r="487">
          <cell r="B487" t="str">
            <v>GP4070B01-15</v>
          </cell>
          <cell r="C487">
            <v>11.71</v>
          </cell>
        </row>
        <row r="488">
          <cell r="B488" t="str">
            <v>GP4401C01-16</v>
          </cell>
          <cell r="C488">
            <v>17.600000000000001</v>
          </cell>
        </row>
        <row r="489">
          <cell r="B489" t="str">
            <v>GP4401C01-20</v>
          </cell>
          <cell r="C489">
            <v>18.71</v>
          </cell>
        </row>
        <row r="490">
          <cell r="B490" t="str">
            <v>GP4402C01-16</v>
          </cell>
          <cell r="C490">
            <v>15.29</v>
          </cell>
        </row>
        <row r="491">
          <cell r="B491" t="str">
            <v>GP4402C01-20</v>
          </cell>
          <cell r="C491">
            <v>20.55</v>
          </cell>
        </row>
        <row r="492">
          <cell r="B492" t="str">
            <v>GP4618A01-16</v>
          </cell>
          <cell r="C492">
            <v>26.33</v>
          </cell>
        </row>
        <row r="493">
          <cell r="B493" t="str">
            <v>GP4618A01-20</v>
          </cell>
          <cell r="C493">
            <v>27.5</v>
          </cell>
        </row>
        <row r="494">
          <cell r="B494" t="str">
            <v>GP4618A02-16</v>
          </cell>
          <cell r="C494">
            <v>27.36</v>
          </cell>
        </row>
        <row r="495">
          <cell r="B495" t="str">
            <v>GP4618A02-20</v>
          </cell>
          <cell r="C495">
            <v>28.54</v>
          </cell>
        </row>
        <row r="496">
          <cell r="B496" t="str">
            <v>GP4618A53-16</v>
          </cell>
          <cell r="C496">
            <v>33.630000000000003</v>
          </cell>
        </row>
        <row r="497">
          <cell r="B497" t="str">
            <v>GP4618A54-16</v>
          </cell>
          <cell r="C497">
            <v>28.58</v>
          </cell>
        </row>
        <row r="498">
          <cell r="B498" t="str">
            <v>GP4618A54-20</v>
          </cell>
          <cell r="C498">
            <v>29.74</v>
          </cell>
        </row>
        <row r="499">
          <cell r="B499" t="str">
            <v>GP4618A55-16</v>
          </cell>
          <cell r="C499">
            <v>33.340000000000003</v>
          </cell>
        </row>
        <row r="500">
          <cell r="B500" t="str">
            <v>GP4618A55-20</v>
          </cell>
          <cell r="C500">
            <v>34.520000000000003</v>
          </cell>
        </row>
        <row r="501">
          <cell r="B501" t="str">
            <v>GP4618A56-16</v>
          </cell>
          <cell r="C501">
            <v>28.29</v>
          </cell>
        </row>
        <row r="502">
          <cell r="B502" t="str">
            <v>GP4618A56-20</v>
          </cell>
          <cell r="C502">
            <v>29.45</v>
          </cell>
        </row>
        <row r="503">
          <cell r="B503" t="str">
            <v>GP4618A59-16</v>
          </cell>
          <cell r="C503">
            <v>29.03</v>
          </cell>
        </row>
        <row r="504">
          <cell r="B504" t="str">
            <v>GP4618A59-20</v>
          </cell>
          <cell r="C504">
            <v>30.21</v>
          </cell>
        </row>
        <row r="505">
          <cell r="B505" t="str">
            <v>GP4618A61-16</v>
          </cell>
          <cell r="C505">
            <v>27.1</v>
          </cell>
        </row>
        <row r="506">
          <cell r="B506" t="str">
            <v>GP4618A62-20</v>
          </cell>
          <cell r="C506">
            <v>34.270000000000003</v>
          </cell>
        </row>
        <row r="507">
          <cell r="B507" t="str">
            <v>GP4618A67-16</v>
          </cell>
          <cell r="C507">
            <v>34.31</v>
          </cell>
        </row>
        <row r="508">
          <cell r="B508" t="str">
            <v>GP4618A69-16</v>
          </cell>
          <cell r="C508">
            <v>38.36</v>
          </cell>
        </row>
        <row r="509">
          <cell r="B509" t="str">
            <v>GP4618A69-20</v>
          </cell>
          <cell r="C509">
            <v>39.520000000000003</v>
          </cell>
        </row>
        <row r="510">
          <cell r="B510" t="str">
            <v>GP4618A71-16</v>
          </cell>
          <cell r="C510">
            <v>29.01</v>
          </cell>
        </row>
        <row r="511">
          <cell r="B511" t="str">
            <v>GP4618A71-20</v>
          </cell>
          <cell r="C511">
            <v>30.19</v>
          </cell>
        </row>
        <row r="512">
          <cell r="B512" t="str">
            <v>GP4618A74-16</v>
          </cell>
          <cell r="C512">
            <v>34.32</v>
          </cell>
        </row>
        <row r="513">
          <cell r="B513" t="str">
            <v>GP4618A74-20</v>
          </cell>
          <cell r="C513">
            <v>35.5</v>
          </cell>
        </row>
        <row r="514">
          <cell r="B514" t="str">
            <v>GP4618A75-20</v>
          </cell>
          <cell r="C514">
            <v>30.96</v>
          </cell>
        </row>
        <row r="515">
          <cell r="B515" t="str">
            <v>GP4618B01-16</v>
          </cell>
          <cell r="C515">
            <v>45.71</v>
          </cell>
        </row>
        <row r="516">
          <cell r="B516" t="str">
            <v>GP4618B01-20</v>
          </cell>
          <cell r="C516">
            <v>46.87</v>
          </cell>
        </row>
        <row r="517">
          <cell r="B517" t="str">
            <v>GP4618E01-16</v>
          </cell>
          <cell r="C517">
            <v>31.57</v>
          </cell>
        </row>
        <row r="518">
          <cell r="B518" t="str">
            <v>GP4618E54-16</v>
          </cell>
          <cell r="C518">
            <v>32.93</v>
          </cell>
        </row>
        <row r="519">
          <cell r="B519" t="str">
            <v>GP4618E56-16</v>
          </cell>
          <cell r="C519">
            <v>32.729999999999997</v>
          </cell>
        </row>
        <row r="520">
          <cell r="B520" t="str">
            <v>GP4618E56-20</v>
          </cell>
          <cell r="C520">
            <v>33.909999999999997</v>
          </cell>
        </row>
        <row r="521">
          <cell r="B521" t="str">
            <v>GP4618E71-20</v>
          </cell>
          <cell r="C521">
            <v>34.42</v>
          </cell>
        </row>
        <row r="522">
          <cell r="B522" t="str">
            <v>GP4618E74-16</v>
          </cell>
          <cell r="C522">
            <v>37.729999999999997</v>
          </cell>
        </row>
        <row r="523">
          <cell r="B523" t="str">
            <v>GP4685A01-16</v>
          </cell>
          <cell r="C523">
            <v>29.08</v>
          </cell>
        </row>
        <row r="524">
          <cell r="B524" t="str">
            <v>GP4685A01-20</v>
          </cell>
          <cell r="C524">
            <v>30.26</v>
          </cell>
        </row>
        <row r="525">
          <cell r="B525" t="str">
            <v>GP4685A02-16</v>
          </cell>
          <cell r="C525">
            <v>32.619999999999997</v>
          </cell>
        </row>
        <row r="526">
          <cell r="B526" t="str">
            <v>GP4685A02-20</v>
          </cell>
          <cell r="C526">
            <v>32.020000000000003</v>
          </cell>
        </row>
        <row r="527">
          <cell r="B527" t="str">
            <v>GP4685A53-16</v>
          </cell>
          <cell r="C527">
            <v>28.69</v>
          </cell>
        </row>
        <row r="528">
          <cell r="B528" t="str">
            <v>GP4685A53-20</v>
          </cell>
          <cell r="C528">
            <v>29.87</v>
          </cell>
        </row>
        <row r="529">
          <cell r="B529" t="str">
            <v>GP4685A54-16</v>
          </cell>
          <cell r="C529">
            <v>32.229999999999997</v>
          </cell>
        </row>
        <row r="530">
          <cell r="B530" t="str">
            <v>GP4685A54-20</v>
          </cell>
          <cell r="C530">
            <v>30.74</v>
          </cell>
        </row>
        <row r="531">
          <cell r="B531" t="str">
            <v>GP4685A56-16</v>
          </cell>
          <cell r="C531">
            <v>30.38</v>
          </cell>
        </row>
        <row r="532">
          <cell r="B532" t="str">
            <v>GP4685A56-20</v>
          </cell>
          <cell r="C532">
            <v>30.91</v>
          </cell>
        </row>
        <row r="533">
          <cell r="B533" t="str">
            <v>GP4685A59-16</v>
          </cell>
          <cell r="C533">
            <v>31.04</v>
          </cell>
        </row>
        <row r="534">
          <cell r="B534" t="str">
            <v>GP4685A59-20</v>
          </cell>
          <cell r="C534">
            <v>32.24</v>
          </cell>
        </row>
        <row r="535">
          <cell r="B535" t="str">
            <v>GP4685A61-16</v>
          </cell>
          <cell r="C535">
            <v>28.92</v>
          </cell>
        </row>
        <row r="536">
          <cell r="B536" t="str">
            <v>GP4685A62-16</v>
          </cell>
          <cell r="C536">
            <v>31.51</v>
          </cell>
        </row>
        <row r="537">
          <cell r="B537" t="str">
            <v>GP4685A74-16</v>
          </cell>
          <cell r="C537">
            <v>36.25</v>
          </cell>
        </row>
        <row r="538">
          <cell r="B538" t="str">
            <v>GP4685A74-20</v>
          </cell>
          <cell r="C538">
            <v>35.44</v>
          </cell>
        </row>
        <row r="539">
          <cell r="B539" t="str">
            <v>GP4685B01-16</v>
          </cell>
          <cell r="C539">
            <v>45.71</v>
          </cell>
        </row>
        <row r="540">
          <cell r="B540" t="str">
            <v>GP4685B01-20</v>
          </cell>
          <cell r="C540">
            <v>46.87</v>
          </cell>
        </row>
        <row r="541">
          <cell r="B541" t="str">
            <v>GP4685W01-16</v>
          </cell>
          <cell r="C541">
            <v>32.72</v>
          </cell>
        </row>
        <row r="542">
          <cell r="B542" t="str">
            <v>GP4685W01-20</v>
          </cell>
          <cell r="C542">
            <v>33.9</v>
          </cell>
        </row>
        <row r="543">
          <cell r="B543" t="str">
            <v>GP4685W02-16</v>
          </cell>
          <cell r="C543">
            <v>33.58</v>
          </cell>
        </row>
        <row r="544">
          <cell r="B544" t="str">
            <v>GP4685W02-20</v>
          </cell>
          <cell r="C544">
            <v>33.9</v>
          </cell>
        </row>
        <row r="545">
          <cell r="B545" t="str">
            <v>GP4685W55-16</v>
          </cell>
          <cell r="C545">
            <v>31.87</v>
          </cell>
        </row>
        <row r="546">
          <cell r="B546" t="str">
            <v>GP4685W55-20</v>
          </cell>
          <cell r="C546">
            <v>33.04</v>
          </cell>
        </row>
        <row r="547">
          <cell r="B547" t="str">
            <v>GP4685W59-16</v>
          </cell>
          <cell r="C547">
            <v>31.69</v>
          </cell>
        </row>
        <row r="548">
          <cell r="B548" t="str">
            <v>GP4685W59-20</v>
          </cell>
          <cell r="C548">
            <v>31.47</v>
          </cell>
        </row>
        <row r="549">
          <cell r="B549" t="str">
            <v>GP4700A01-16</v>
          </cell>
          <cell r="C549">
            <v>18.940000000000001</v>
          </cell>
        </row>
        <row r="550">
          <cell r="B550" t="str">
            <v>GP4700A01-20</v>
          </cell>
          <cell r="C550">
            <v>22.31</v>
          </cell>
        </row>
        <row r="551">
          <cell r="B551" t="str">
            <v>GP4772C01-20</v>
          </cell>
          <cell r="C551">
            <v>15.29</v>
          </cell>
        </row>
        <row r="552">
          <cell r="B552" t="str">
            <v>GP4844A01-16</v>
          </cell>
          <cell r="C552">
            <v>44.61</v>
          </cell>
        </row>
        <row r="553">
          <cell r="B553" t="str">
            <v>GP4844B01-16</v>
          </cell>
          <cell r="C553">
            <v>54.02</v>
          </cell>
        </row>
        <row r="554">
          <cell r="B554" t="str">
            <v>GP5190C01-16</v>
          </cell>
          <cell r="C554">
            <v>22.33</v>
          </cell>
        </row>
        <row r="555">
          <cell r="B555" t="str">
            <v>GP5190C01-20</v>
          </cell>
          <cell r="C555">
            <v>21.83</v>
          </cell>
        </row>
        <row r="556">
          <cell r="B556" t="str">
            <v>GP5191C01-16</v>
          </cell>
          <cell r="C556">
            <v>21.98</v>
          </cell>
        </row>
        <row r="557">
          <cell r="B557" t="str">
            <v>GP5531C01-14</v>
          </cell>
          <cell r="C557">
            <v>3.81</v>
          </cell>
        </row>
        <row r="558">
          <cell r="B558" t="str">
            <v>GP5555C01-16</v>
          </cell>
          <cell r="C558">
            <v>28.6</v>
          </cell>
        </row>
        <row r="559">
          <cell r="B559" t="str">
            <v>GP5555C01-20</v>
          </cell>
          <cell r="C559">
            <v>29.76</v>
          </cell>
        </row>
        <row r="560">
          <cell r="B560" t="str">
            <v>GP5677C01-16</v>
          </cell>
          <cell r="C560">
            <v>9.6999999999999993</v>
          </cell>
        </row>
        <row r="561">
          <cell r="B561" t="str">
            <v>GP5751C01-16</v>
          </cell>
          <cell r="C561">
            <v>10.24</v>
          </cell>
        </row>
        <row r="562">
          <cell r="B562" t="str">
            <v>GP8548A01-16</v>
          </cell>
          <cell r="C562">
            <v>36.549999999999997</v>
          </cell>
        </row>
        <row r="563">
          <cell r="B563" t="str">
            <v>GP8548B01-16</v>
          </cell>
          <cell r="C563">
            <v>24.76</v>
          </cell>
        </row>
        <row r="564">
          <cell r="B564" t="str">
            <v>GP8744A01-16</v>
          </cell>
          <cell r="C564">
            <v>24.57</v>
          </cell>
        </row>
        <row r="565">
          <cell r="B565" t="str">
            <v>GP8744A01-20</v>
          </cell>
          <cell r="C565">
            <v>23.76</v>
          </cell>
        </row>
        <row r="566">
          <cell r="B566" t="str">
            <v>GP8744A02-16</v>
          </cell>
          <cell r="C566">
            <v>26.79</v>
          </cell>
        </row>
        <row r="567">
          <cell r="B567" t="str">
            <v>GP8744A56-16</v>
          </cell>
          <cell r="C567">
            <v>27.89</v>
          </cell>
        </row>
        <row r="568">
          <cell r="B568" t="str">
            <v>GP8744A56-20</v>
          </cell>
          <cell r="C568">
            <v>29.07</v>
          </cell>
        </row>
        <row r="569">
          <cell r="B569" t="str">
            <v>GP8744A75-16</v>
          </cell>
          <cell r="C569">
            <v>28.8</v>
          </cell>
        </row>
        <row r="570">
          <cell r="B570" t="str">
            <v>GP8744A75-20</v>
          </cell>
          <cell r="C570">
            <v>29.98</v>
          </cell>
        </row>
        <row r="571">
          <cell r="B571" t="str">
            <v>GP8744B01-16</v>
          </cell>
          <cell r="C571">
            <v>27.74</v>
          </cell>
        </row>
        <row r="572">
          <cell r="B572" t="str">
            <v>GP8744B01-20</v>
          </cell>
          <cell r="C572">
            <v>27.38</v>
          </cell>
        </row>
        <row r="573">
          <cell r="B573" t="str">
            <v>GP9685A01-16</v>
          </cell>
          <cell r="C573">
            <v>30.54</v>
          </cell>
        </row>
        <row r="574">
          <cell r="B574" t="str">
            <v>GP9685B01-16</v>
          </cell>
          <cell r="C574">
            <v>60.89</v>
          </cell>
        </row>
        <row r="575">
          <cell r="B575" t="str">
            <v>GPL511A01-27</v>
          </cell>
          <cell r="C575">
            <v>22.4</v>
          </cell>
        </row>
        <row r="576">
          <cell r="B576" t="str">
            <v>GPL511B01-27</v>
          </cell>
          <cell r="C576">
            <v>32.47</v>
          </cell>
        </row>
        <row r="577">
          <cell r="B577" t="str">
            <v>GPP000105-20</v>
          </cell>
          <cell r="C577">
            <v>30.03</v>
          </cell>
        </row>
        <row r="578">
          <cell r="B578" t="str">
            <v>GPT763B01-16</v>
          </cell>
          <cell r="C578">
            <v>16.43</v>
          </cell>
        </row>
        <row r="579">
          <cell r="B579" t="str">
            <v>GPT763B01-20</v>
          </cell>
          <cell r="C579">
            <v>17.600000000000001</v>
          </cell>
        </row>
        <row r="580">
          <cell r="B580" t="str">
            <v>GPT867B01-16</v>
          </cell>
          <cell r="C580">
            <v>14.73</v>
          </cell>
        </row>
        <row r="581">
          <cell r="B581" t="str">
            <v>GPT867B01-27</v>
          </cell>
          <cell r="C581">
            <v>13.74</v>
          </cell>
        </row>
        <row r="582">
          <cell r="B582" t="str">
            <v>GPT910A01-17</v>
          </cell>
          <cell r="C582">
            <v>21.28</v>
          </cell>
        </row>
        <row r="583">
          <cell r="B583" t="str">
            <v>KB58AQ001-36</v>
          </cell>
          <cell r="C583">
            <v>52.53</v>
          </cell>
        </row>
        <row r="584">
          <cell r="B584" t="str">
            <v>KB58AQ002-36</v>
          </cell>
          <cell r="C584">
            <v>34.93</v>
          </cell>
        </row>
        <row r="585">
          <cell r="B585" t="str">
            <v>KB58AQ033-35</v>
          </cell>
          <cell r="C585">
            <v>43.73</v>
          </cell>
        </row>
        <row r="586">
          <cell r="B586" t="str">
            <v>KB58AQ655-35</v>
          </cell>
          <cell r="C586">
            <v>65.319999999999993</v>
          </cell>
        </row>
        <row r="587">
          <cell r="B587" t="str">
            <v>KB58AQ656-35</v>
          </cell>
          <cell r="C587">
            <v>64.42</v>
          </cell>
        </row>
        <row r="588">
          <cell r="B588" t="str">
            <v>KB58CQ033-35</v>
          </cell>
          <cell r="C588">
            <v>37.799999999999997</v>
          </cell>
        </row>
        <row r="589">
          <cell r="B589" t="str">
            <v>KB58HQ658-35</v>
          </cell>
          <cell r="C589">
            <v>63.78</v>
          </cell>
        </row>
        <row r="590">
          <cell r="B590" t="str">
            <v>KB58RQ657-35</v>
          </cell>
          <cell r="C590">
            <v>64.59</v>
          </cell>
        </row>
        <row r="591">
          <cell r="B591" t="str">
            <v>KB58VQ650-35</v>
          </cell>
          <cell r="C591">
            <v>59.79</v>
          </cell>
        </row>
        <row r="592">
          <cell r="B592" t="str">
            <v>KB58WQ651-35</v>
          </cell>
          <cell r="C592">
            <v>62.73</v>
          </cell>
        </row>
        <row r="593">
          <cell r="B593" t="str">
            <v>KB58YX650-35</v>
          </cell>
          <cell r="C593">
            <v>34.64</v>
          </cell>
        </row>
        <row r="594">
          <cell r="B594" t="str">
            <v>KB70AQ011-35</v>
          </cell>
          <cell r="C594">
            <v>29.21</v>
          </cell>
        </row>
        <row r="595">
          <cell r="B595" t="str">
            <v>KB70AQ021-35</v>
          </cell>
          <cell r="C595">
            <v>42.97</v>
          </cell>
        </row>
        <row r="596">
          <cell r="B596" t="str">
            <v>KB70CQ020-35</v>
          </cell>
          <cell r="C596">
            <v>45.79</v>
          </cell>
        </row>
        <row r="597">
          <cell r="B597" t="str">
            <v>KB70HQ023-35</v>
          </cell>
          <cell r="C597">
            <v>17.190000000000001</v>
          </cell>
        </row>
        <row r="598">
          <cell r="B598" t="str">
            <v>KB70TX020-35</v>
          </cell>
          <cell r="C598">
            <v>18.62</v>
          </cell>
        </row>
        <row r="599">
          <cell r="B599" t="str">
            <v>KB70VQ010-35</v>
          </cell>
          <cell r="C599">
            <v>19.93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Color"/>
      <sheetName val="Systems"/>
      <sheetName val="Todd's Main"/>
      <sheetName val="transfers"/>
      <sheetName val="Selector Guide"/>
      <sheetName val="Products"/>
      <sheetName val="CEMENT-AGGRE"/>
      <sheetName val="PKG CODE"/>
      <sheetName val="REFERENCE"/>
      <sheetName val="CONVERSION"/>
      <sheetName val="Sources"/>
      <sheetName val="Terms"/>
      <sheetName val="Numerical Index"/>
      <sheetName val="Alpha Index"/>
      <sheetName val="Small Spread sheet"/>
      <sheetName val="Store Stock PL"/>
      <sheetName val="Sheet1"/>
      <sheetName val="NA PL"/>
      <sheetName val="Nestle"/>
    </sheetNames>
    <sheetDataSet>
      <sheetData sheetId="0"/>
      <sheetData sheetId="1"/>
      <sheetData sheetId="2"/>
      <sheetData sheetId="3"/>
      <sheetData sheetId="4" refreshError="1">
        <row r="2">
          <cell r="B2" t="str">
            <v>B58A05100-17</v>
          </cell>
          <cell r="C2">
            <v>26.27</v>
          </cell>
        </row>
        <row r="3">
          <cell r="B3" t="str">
            <v>B58A05100-20</v>
          </cell>
          <cell r="C3">
            <v>24.88</v>
          </cell>
        </row>
        <row r="4">
          <cell r="B4" t="str">
            <v>B58AQ0033-30</v>
          </cell>
          <cell r="C4">
            <v>86.96</v>
          </cell>
        </row>
        <row r="5">
          <cell r="B5" t="str">
            <v>B58AQ0655-30</v>
          </cell>
          <cell r="C5">
            <v>93.29</v>
          </cell>
        </row>
        <row r="6">
          <cell r="B6" t="str">
            <v>B58AQ0656-30</v>
          </cell>
          <cell r="C6">
            <v>88.46</v>
          </cell>
        </row>
        <row r="7">
          <cell r="B7" t="str">
            <v>B58CQ0033-30</v>
          </cell>
          <cell r="C7">
            <v>61.21</v>
          </cell>
        </row>
        <row r="8">
          <cell r="B8" t="str">
            <v>B58HQ0658-30</v>
          </cell>
          <cell r="C8">
            <v>84.56</v>
          </cell>
        </row>
        <row r="9">
          <cell r="B9" t="str">
            <v>B58L00080-16</v>
          </cell>
          <cell r="C9">
            <v>30.74</v>
          </cell>
        </row>
        <row r="10">
          <cell r="B10" t="str">
            <v>B58RQ0657-30</v>
          </cell>
          <cell r="C10">
            <v>89.41</v>
          </cell>
        </row>
        <row r="11">
          <cell r="B11" t="str">
            <v>B58T00650-16</v>
          </cell>
          <cell r="C11">
            <v>17.21</v>
          </cell>
        </row>
        <row r="12">
          <cell r="B12" t="str">
            <v>B58T00650-30</v>
          </cell>
          <cell r="C12">
            <v>76.33</v>
          </cell>
        </row>
        <row r="13">
          <cell r="B13" t="str">
            <v>B58TX0650-30</v>
          </cell>
          <cell r="C13">
            <v>79.73</v>
          </cell>
        </row>
        <row r="14">
          <cell r="B14" t="str">
            <v>B58TX0650-35</v>
          </cell>
          <cell r="C14">
            <v>17.86</v>
          </cell>
        </row>
        <row r="15">
          <cell r="B15" t="str">
            <v>B58V05100-16</v>
          </cell>
          <cell r="C15">
            <v>16.07</v>
          </cell>
        </row>
        <row r="16">
          <cell r="B16" t="str">
            <v>B58V05100-20</v>
          </cell>
          <cell r="C16">
            <v>15.64</v>
          </cell>
        </row>
        <row r="17">
          <cell r="B17" t="str">
            <v>B58VQ0650-30</v>
          </cell>
          <cell r="C17">
            <v>69.48</v>
          </cell>
        </row>
        <row r="18">
          <cell r="B18" t="str">
            <v>B58W00080-30</v>
          </cell>
          <cell r="C18">
            <v>60.75</v>
          </cell>
        </row>
        <row r="19">
          <cell r="B19" t="str">
            <v>B58W05100-17</v>
          </cell>
          <cell r="C19">
            <v>22.66</v>
          </cell>
        </row>
        <row r="20">
          <cell r="B20" t="str">
            <v>B58W05100-20</v>
          </cell>
          <cell r="C20">
            <v>21.27</v>
          </cell>
        </row>
        <row r="21">
          <cell r="B21" t="str">
            <v>B58WQ0651-30</v>
          </cell>
          <cell r="C21">
            <v>81.58</v>
          </cell>
        </row>
        <row r="22">
          <cell r="B22" t="str">
            <v>B58WX0650-30</v>
          </cell>
          <cell r="C22">
            <v>77.959999999999994</v>
          </cell>
        </row>
        <row r="23">
          <cell r="B23" t="str">
            <v>B58WX0650-35</v>
          </cell>
          <cell r="C23">
            <v>17.850000000000001</v>
          </cell>
        </row>
        <row r="24">
          <cell r="B24" t="str">
            <v>B58YX0650-35</v>
          </cell>
          <cell r="C24">
            <v>28.28</v>
          </cell>
        </row>
        <row r="25">
          <cell r="B25" t="str">
            <v>B60VQ0010-16</v>
          </cell>
          <cell r="C25">
            <v>26.62</v>
          </cell>
        </row>
        <row r="26">
          <cell r="B26" t="str">
            <v>B60VQ0011-16</v>
          </cell>
          <cell r="C26">
            <v>41.71</v>
          </cell>
        </row>
        <row r="27">
          <cell r="B27" t="str">
            <v>B60VQ0020-36</v>
          </cell>
          <cell r="C27">
            <v>22</v>
          </cell>
        </row>
        <row r="28">
          <cell r="B28" t="str">
            <v>B60VQ0033-16</v>
          </cell>
          <cell r="C28">
            <v>7.52</v>
          </cell>
        </row>
        <row r="29">
          <cell r="B29" t="str">
            <v>B60VQ0033-36</v>
          </cell>
          <cell r="C29">
            <v>24.22</v>
          </cell>
        </row>
        <row r="30">
          <cell r="B30" t="str">
            <v>B60VQ0655-16</v>
          </cell>
          <cell r="C30">
            <v>11.73</v>
          </cell>
        </row>
        <row r="31">
          <cell r="B31" t="str">
            <v>B60VQ0655-17</v>
          </cell>
          <cell r="C31">
            <v>28.89</v>
          </cell>
        </row>
        <row r="32">
          <cell r="B32" t="str">
            <v>B60VQ0655-36</v>
          </cell>
          <cell r="C32">
            <v>45</v>
          </cell>
        </row>
        <row r="33">
          <cell r="B33" t="str">
            <v>B60VQ0656-36</v>
          </cell>
          <cell r="C33">
            <v>35.950000000000003</v>
          </cell>
        </row>
        <row r="34">
          <cell r="B34" t="str">
            <v>B62A00410-17</v>
          </cell>
          <cell r="C34">
            <v>29.75</v>
          </cell>
        </row>
        <row r="35">
          <cell r="B35" t="str">
            <v>B62A00410-20</v>
          </cell>
          <cell r="C35">
            <v>28.39</v>
          </cell>
        </row>
        <row r="36">
          <cell r="B36" t="str">
            <v>B62A00415-17</v>
          </cell>
          <cell r="C36">
            <v>33.81</v>
          </cell>
        </row>
        <row r="37">
          <cell r="B37" t="str">
            <v>B62A00415-20</v>
          </cell>
          <cell r="C37">
            <v>32.42</v>
          </cell>
        </row>
        <row r="38">
          <cell r="B38" t="str">
            <v>B62A00420-16</v>
          </cell>
          <cell r="C38">
            <v>27.21</v>
          </cell>
        </row>
        <row r="39">
          <cell r="B39" t="str">
            <v>B62A00420-19</v>
          </cell>
          <cell r="C39">
            <v>108.99</v>
          </cell>
        </row>
        <row r="40">
          <cell r="B40" t="str">
            <v>B62A00425-16</v>
          </cell>
          <cell r="C40">
            <v>34.92</v>
          </cell>
        </row>
        <row r="41">
          <cell r="B41" t="str">
            <v>B62A00425-19</v>
          </cell>
          <cell r="C41">
            <v>138.4</v>
          </cell>
        </row>
        <row r="42">
          <cell r="B42" t="str">
            <v>B62A00430-16</v>
          </cell>
          <cell r="C42">
            <v>22.13</v>
          </cell>
        </row>
        <row r="43">
          <cell r="B43" t="str">
            <v>B62A00450-17</v>
          </cell>
          <cell r="C43">
            <v>31.59</v>
          </cell>
        </row>
        <row r="44">
          <cell r="B44" t="str">
            <v>B62A00450-20</v>
          </cell>
          <cell r="C44">
            <v>29.81</v>
          </cell>
        </row>
        <row r="45">
          <cell r="B45" t="str">
            <v>B62C00410-17</v>
          </cell>
          <cell r="C45">
            <v>18.510000000000002</v>
          </cell>
        </row>
        <row r="46">
          <cell r="B46" t="str">
            <v>B62C00420-16</v>
          </cell>
          <cell r="C46">
            <v>24.12</v>
          </cell>
        </row>
        <row r="47">
          <cell r="B47" t="str">
            <v>B62C00420-19</v>
          </cell>
          <cell r="C47">
            <v>95.27</v>
          </cell>
        </row>
        <row r="48">
          <cell r="B48" t="str">
            <v>B62C00435-20</v>
          </cell>
          <cell r="C48">
            <v>17.14</v>
          </cell>
        </row>
        <row r="49">
          <cell r="B49" t="str">
            <v>B62C00435-30</v>
          </cell>
          <cell r="C49">
            <v>52.73</v>
          </cell>
        </row>
        <row r="50">
          <cell r="B50" t="str">
            <v>B62C00445-16</v>
          </cell>
          <cell r="C50">
            <v>16.2</v>
          </cell>
        </row>
        <row r="51">
          <cell r="B51" t="str">
            <v>B62C00445-20</v>
          </cell>
          <cell r="C51">
            <v>14.94</v>
          </cell>
        </row>
        <row r="52">
          <cell r="B52" t="str">
            <v>B62H00410-20</v>
          </cell>
          <cell r="C52">
            <v>25.04</v>
          </cell>
        </row>
        <row r="53">
          <cell r="B53" t="str">
            <v>B62R00410-17</v>
          </cell>
          <cell r="C53">
            <v>21.43</v>
          </cell>
        </row>
        <row r="54">
          <cell r="B54" t="str">
            <v>B62R00420-16</v>
          </cell>
          <cell r="C54">
            <v>26.72</v>
          </cell>
        </row>
        <row r="55">
          <cell r="B55" t="str">
            <v>B62R00425-16</v>
          </cell>
          <cell r="C55">
            <v>34.49</v>
          </cell>
        </row>
        <row r="56">
          <cell r="B56" t="str">
            <v>B62R00425-19</v>
          </cell>
          <cell r="C56">
            <v>135.49</v>
          </cell>
        </row>
        <row r="57">
          <cell r="B57" t="str">
            <v>B62R00450-17</v>
          </cell>
          <cell r="C57">
            <v>29.37</v>
          </cell>
        </row>
        <row r="58">
          <cell r="B58" t="str">
            <v>B62V00410-16</v>
          </cell>
          <cell r="C58">
            <v>26.54</v>
          </cell>
        </row>
        <row r="59">
          <cell r="B59" t="str">
            <v>B62V00410-20</v>
          </cell>
          <cell r="C59">
            <v>26.05</v>
          </cell>
        </row>
        <row r="60">
          <cell r="B60" t="str">
            <v>B62V00415-16</v>
          </cell>
          <cell r="C60">
            <v>26.54</v>
          </cell>
        </row>
        <row r="61">
          <cell r="B61" t="str">
            <v>B62V00415-20</v>
          </cell>
          <cell r="C61">
            <v>26.31</v>
          </cell>
        </row>
        <row r="62">
          <cell r="B62" t="str">
            <v>B62V00420-14</v>
          </cell>
          <cell r="C62">
            <v>12.6</v>
          </cell>
        </row>
        <row r="63">
          <cell r="B63" t="str">
            <v>B62V00420-16</v>
          </cell>
          <cell r="C63">
            <v>48.82</v>
          </cell>
        </row>
        <row r="64">
          <cell r="B64" t="str">
            <v>B62V00425-14</v>
          </cell>
          <cell r="C64">
            <v>12.6</v>
          </cell>
        </row>
        <row r="65">
          <cell r="B65" t="str">
            <v>B62V00425-16</v>
          </cell>
          <cell r="C65">
            <v>48.81</v>
          </cell>
        </row>
        <row r="66">
          <cell r="B66" t="str">
            <v>B62V00430-14</v>
          </cell>
          <cell r="C66">
            <v>5.54</v>
          </cell>
        </row>
        <row r="67">
          <cell r="B67" t="str">
            <v>B62V00435-16</v>
          </cell>
          <cell r="C67">
            <v>30.34</v>
          </cell>
        </row>
        <row r="68">
          <cell r="B68" t="str">
            <v>B62V00440-16</v>
          </cell>
          <cell r="C68">
            <v>29.51</v>
          </cell>
        </row>
        <row r="69">
          <cell r="B69" t="str">
            <v>B62V00445-16</v>
          </cell>
          <cell r="C69">
            <v>24.93</v>
          </cell>
        </row>
        <row r="70">
          <cell r="B70" t="str">
            <v>B62V00445-20</v>
          </cell>
          <cell r="C70">
            <v>23.75</v>
          </cell>
        </row>
        <row r="71">
          <cell r="B71" t="str">
            <v>B62V00450-16</v>
          </cell>
          <cell r="C71">
            <v>27.84</v>
          </cell>
        </row>
        <row r="72">
          <cell r="B72" t="str">
            <v>B62V00450-20</v>
          </cell>
          <cell r="C72">
            <v>27.09</v>
          </cell>
        </row>
        <row r="73">
          <cell r="B73" t="str">
            <v>B67A00030-17</v>
          </cell>
          <cell r="C73">
            <v>30.51</v>
          </cell>
        </row>
        <row r="74">
          <cell r="B74" t="str">
            <v>B67A00030-20</v>
          </cell>
          <cell r="C74">
            <v>29.12</v>
          </cell>
        </row>
        <row r="75">
          <cell r="B75" t="str">
            <v>B67H00030-20</v>
          </cell>
          <cell r="C75">
            <v>25.66</v>
          </cell>
        </row>
        <row r="76">
          <cell r="B76" t="str">
            <v>B67V00030-16</v>
          </cell>
          <cell r="C76">
            <v>32</v>
          </cell>
        </row>
        <row r="77">
          <cell r="B77" t="str">
            <v>B67V00030-20</v>
          </cell>
          <cell r="C77">
            <v>31.52</v>
          </cell>
        </row>
        <row r="78">
          <cell r="B78" t="str">
            <v>B70AQ0011-19</v>
          </cell>
          <cell r="C78">
            <v>87.08</v>
          </cell>
        </row>
        <row r="79">
          <cell r="B79" t="str">
            <v>B70AQ0021-30</v>
          </cell>
          <cell r="C79">
            <v>93.35</v>
          </cell>
        </row>
        <row r="80">
          <cell r="B80" t="str">
            <v>B70VQ0010-19</v>
          </cell>
          <cell r="C80">
            <v>58.57</v>
          </cell>
        </row>
        <row r="81">
          <cell r="B81" t="str">
            <v>B81A03200-20</v>
          </cell>
          <cell r="C81">
            <v>26.63</v>
          </cell>
        </row>
        <row r="82">
          <cell r="B82" t="str">
            <v>B81A03200-27</v>
          </cell>
          <cell r="C82">
            <v>26.02</v>
          </cell>
        </row>
        <row r="83">
          <cell r="B83" t="str">
            <v>B81A03201-20</v>
          </cell>
          <cell r="C83">
            <v>26.29</v>
          </cell>
        </row>
        <row r="84">
          <cell r="B84" t="str">
            <v>B81A03201-27</v>
          </cell>
          <cell r="C84">
            <v>26.29</v>
          </cell>
        </row>
        <row r="85">
          <cell r="B85" t="str">
            <v>B81A03300-27</v>
          </cell>
          <cell r="C85">
            <v>26.32</v>
          </cell>
        </row>
        <row r="86">
          <cell r="B86" t="str">
            <v>B81A03301-27</v>
          </cell>
          <cell r="C86">
            <v>26.39</v>
          </cell>
        </row>
        <row r="87">
          <cell r="B87" t="str">
            <v>B81A03302-27</v>
          </cell>
          <cell r="C87">
            <v>26.38</v>
          </cell>
        </row>
        <row r="88">
          <cell r="B88" t="str">
            <v>B81A03500-20</v>
          </cell>
          <cell r="C88">
            <v>28.8</v>
          </cell>
        </row>
        <row r="89">
          <cell r="B89" t="str">
            <v>B81A03502-27</v>
          </cell>
          <cell r="C89">
            <v>28.76</v>
          </cell>
        </row>
        <row r="90">
          <cell r="B90" t="str">
            <v>B81A03700-20</v>
          </cell>
          <cell r="C90">
            <v>44.41</v>
          </cell>
        </row>
        <row r="91">
          <cell r="B91" t="str">
            <v>B81A03700-27</v>
          </cell>
          <cell r="C91">
            <v>44.52</v>
          </cell>
        </row>
        <row r="92">
          <cell r="B92" t="str">
            <v>B81A03701-27</v>
          </cell>
          <cell r="C92">
            <v>44.48</v>
          </cell>
        </row>
        <row r="93">
          <cell r="B93" t="str">
            <v>B81A04000-20</v>
          </cell>
          <cell r="C93">
            <v>27.21</v>
          </cell>
        </row>
        <row r="94">
          <cell r="B94" t="str">
            <v>B81A04001-20</v>
          </cell>
          <cell r="C94">
            <v>27.23</v>
          </cell>
        </row>
        <row r="95">
          <cell r="B95" t="str">
            <v>B81A04100-20</v>
          </cell>
          <cell r="C95">
            <v>24.72</v>
          </cell>
        </row>
        <row r="96">
          <cell r="B96" t="str">
            <v>B81A04101-20</v>
          </cell>
          <cell r="C96">
            <v>24.74</v>
          </cell>
        </row>
        <row r="97">
          <cell r="B97" t="str">
            <v>B81A04102-20</v>
          </cell>
          <cell r="C97">
            <v>24.92</v>
          </cell>
        </row>
        <row r="98">
          <cell r="B98" t="str">
            <v>B81A04300-27</v>
          </cell>
          <cell r="C98">
            <v>23.17</v>
          </cell>
        </row>
        <row r="99">
          <cell r="B99" t="str">
            <v>B81A04701-16</v>
          </cell>
          <cell r="C99">
            <v>30.34</v>
          </cell>
        </row>
        <row r="100">
          <cell r="B100" t="str">
            <v>B81A04701-20</v>
          </cell>
          <cell r="C100">
            <v>29.92</v>
          </cell>
        </row>
        <row r="101">
          <cell r="B101" t="str">
            <v>B81A04702-16</v>
          </cell>
          <cell r="C101">
            <v>30.51</v>
          </cell>
        </row>
        <row r="102">
          <cell r="B102" t="str">
            <v>B81B03200-27</v>
          </cell>
          <cell r="C102">
            <v>23.32</v>
          </cell>
        </row>
        <row r="103">
          <cell r="B103" t="str">
            <v>B81B03300-27</v>
          </cell>
          <cell r="C103">
            <v>23.25</v>
          </cell>
        </row>
        <row r="104">
          <cell r="B104" t="str">
            <v>B81B04000-20</v>
          </cell>
          <cell r="C104">
            <v>26.81</v>
          </cell>
        </row>
        <row r="105">
          <cell r="B105" t="str">
            <v>B81B04100-20</v>
          </cell>
          <cell r="C105">
            <v>22.39</v>
          </cell>
        </row>
        <row r="106">
          <cell r="B106" t="str">
            <v>B81B04300-20</v>
          </cell>
          <cell r="C106">
            <v>21.03</v>
          </cell>
        </row>
        <row r="107">
          <cell r="B107" t="str">
            <v>B81B04300-27</v>
          </cell>
          <cell r="C107">
            <v>21.14</v>
          </cell>
        </row>
        <row r="108">
          <cell r="B108" t="str">
            <v>B81C04400-20</v>
          </cell>
          <cell r="C108">
            <v>45.92</v>
          </cell>
        </row>
        <row r="109">
          <cell r="B109" t="str">
            <v>B81H03200-27</v>
          </cell>
          <cell r="C109">
            <v>26.17</v>
          </cell>
        </row>
        <row r="110">
          <cell r="B110" t="str">
            <v>B81H03700-27</v>
          </cell>
          <cell r="C110">
            <v>45.47</v>
          </cell>
        </row>
        <row r="111">
          <cell r="B111" t="str">
            <v>B81H03800-20</v>
          </cell>
          <cell r="C111">
            <v>31.44</v>
          </cell>
        </row>
        <row r="112">
          <cell r="B112" t="str">
            <v>B81H03800-27</v>
          </cell>
          <cell r="C112">
            <v>31.13</v>
          </cell>
        </row>
        <row r="113">
          <cell r="B113" t="str">
            <v>B81H04000-20</v>
          </cell>
          <cell r="C113">
            <v>27.61</v>
          </cell>
        </row>
        <row r="114">
          <cell r="B114" t="str">
            <v>B81L03800-27</v>
          </cell>
          <cell r="C114">
            <v>31.36</v>
          </cell>
        </row>
        <row r="115">
          <cell r="B115" t="str">
            <v>B81R04100-20</v>
          </cell>
          <cell r="C115">
            <v>24.08</v>
          </cell>
        </row>
        <row r="116">
          <cell r="B116" t="str">
            <v>B81R04700-16</v>
          </cell>
          <cell r="C116">
            <v>30.99</v>
          </cell>
        </row>
        <row r="117">
          <cell r="B117" t="str">
            <v>B81S04300-20</v>
          </cell>
          <cell r="C117">
            <v>22.08</v>
          </cell>
        </row>
        <row r="118">
          <cell r="B118" t="str">
            <v>B81S04300-27</v>
          </cell>
          <cell r="C118">
            <v>22.13</v>
          </cell>
        </row>
        <row r="119">
          <cell r="B119" t="str">
            <v>B81V03200-20</v>
          </cell>
          <cell r="C119">
            <v>18.52</v>
          </cell>
        </row>
        <row r="120">
          <cell r="B120" t="str">
            <v>B81V03200-27</v>
          </cell>
          <cell r="C120">
            <v>18.53</v>
          </cell>
        </row>
        <row r="121">
          <cell r="B121" t="str">
            <v>B81V03300-27</v>
          </cell>
          <cell r="C121">
            <v>19.75</v>
          </cell>
        </row>
        <row r="122">
          <cell r="B122" t="str">
            <v>B81V03500-20</v>
          </cell>
          <cell r="C122">
            <v>18.52</v>
          </cell>
        </row>
        <row r="123">
          <cell r="B123" t="str">
            <v>B81V03500-27</v>
          </cell>
          <cell r="C123">
            <v>18.63</v>
          </cell>
        </row>
        <row r="124">
          <cell r="B124" t="str">
            <v>B81V03700-20</v>
          </cell>
          <cell r="C124">
            <v>24.71</v>
          </cell>
        </row>
        <row r="125">
          <cell r="B125" t="str">
            <v>B81V03700-27</v>
          </cell>
          <cell r="C125">
            <v>24.68</v>
          </cell>
        </row>
        <row r="126">
          <cell r="B126" t="str">
            <v>B81V03800-20</v>
          </cell>
          <cell r="C126">
            <v>18.940000000000001</v>
          </cell>
        </row>
        <row r="127">
          <cell r="B127" t="str">
            <v>B81V03800-27</v>
          </cell>
          <cell r="C127">
            <v>18.63</v>
          </cell>
        </row>
        <row r="128">
          <cell r="B128" t="str">
            <v>B81V04000-20</v>
          </cell>
          <cell r="C128">
            <v>18.52</v>
          </cell>
        </row>
        <row r="129">
          <cell r="B129" t="str">
            <v>B81V04100-20</v>
          </cell>
          <cell r="C129">
            <v>24.09</v>
          </cell>
        </row>
        <row r="130">
          <cell r="B130" t="str">
            <v>B81V04200-27</v>
          </cell>
          <cell r="C130">
            <v>18.63</v>
          </cell>
        </row>
        <row r="131">
          <cell r="B131" t="str">
            <v>B81V04300-20</v>
          </cell>
          <cell r="C131">
            <v>18.52</v>
          </cell>
        </row>
        <row r="132">
          <cell r="B132" t="str">
            <v>B81V04300-27</v>
          </cell>
          <cell r="C132">
            <v>18.62</v>
          </cell>
        </row>
        <row r="133">
          <cell r="B133" t="str">
            <v>B81V04400-16</v>
          </cell>
          <cell r="C133">
            <v>43.88</v>
          </cell>
        </row>
        <row r="134">
          <cell r="B134" t="str">
            <v>B81V04400-20</v>
          </cell>
          <cell r="C134">
            <v>43.7</v>
          </cell>
        </row>
        <row r="135">
          <cell r="B135" t="str">
            <v>B81V04700-16</v>
          </cell>
          <cell r="C135">
            <v>35.81</v>
          </cell>
        </row>
        <row r="136">
          <cell r="B136" t="str">
            <v>B81V04700-20</v>
          </cell>
          <cell r="C136">
            <v>35.340000000000003</v>
          </cell>
        </row>
        <row r="137">
          <cell r="B137" t="str">
            <v>B81W03200-27</v>
          </cell>
          <cell r="C137">
            <v>26.12</v>
          </cell>
        </row>
        <row r="138">
          <cell r="B138" t="str">
            <v>B81W03201-20</v>
          </cell>
          <cell r="C138">
            <v>26.69</v>
          </cell>
        </row>
        <row r="139">
          <cell r="B139" t="str">
            <v>B81W03201-27</v>
          </cell>
          <cell r="C139">
            <v>26.38</v>
          </cell>
        </row>
        <row r="140">
          <cell r="B140" t="str">
            <v>B81W03700-20</v>
          </cell>
          <cell r="C140">
            <v>44.92</v>
          </cell>
        </row>
        <row r="141">
          <cell r="B141" t="str">
            <v>B81W03700-27</v>
          </cell>
          <cell r="C141">
            <v>43.09</v>
          </cell>
        </row>
        <row r="142">
          <cell r="B142" t="str">
            <v>B81W04100-20</v>
          </cell>
          <cell r="C142">
            <v>24.59</v>
          </cell>
        </row>
        <row r="143">
          <cell r="B143" t="str">
            <v>B81W04200-27</v>
          </cell>
          <cell r="C143">
            <v>23.27</v>
          </cell>
        </row>
        <row r="144">
          <cell r="B144" t="str">
            <v>B81W04400-16</v>
          </cell>
          <cell r="C144">
            <v>48.06</v>
          </cell>
        </row>
        <row r="145">
          <cell r="B145" t="str">
            <v>B81W04400-20</v>
          </cell>
          <cell r="C145">
            <v>47.86</v>
          </cell>
        </row>
        <row r="146">
          <cell r="B146" t="str">
            <v>B81W04700-16</v>
          </cell>
          <cell r="C146">
            <v>30.41</v>
          </cell>
        </row>
        <row r="147">
          <cell r="B147" t="str">
            <v>B81W04700-20</v>
          </cell>
          <cell r="C147">
            <v>29.91</v>
          </cell>
        </row>
        <row r="148">
          <cell r="B148" t="str">
            <v>B88A00020-20</v>
          </cell>
          <cell r="C148">
            <v>26.81</v>
          </cell>
        </row>
        <row r="149">
          <cell r="B149" t="str">
            <v>B88A00025-16</v>
          </cell>
          <cell r="C149">
            <v>31</v>
          </cell>
        </row>
        <row r="150">
          <cell r="B150" t="str">
            <v>B88A00025-20</v>
          </cell>
          <cell r="C150">
            <v>30.51</v>
          </cell>
        </row>
        <row r="151">
          <cell r="B151" t="str">
            <v>B88A00030-16</v>
          </cell>
          <cell r="C151">
            <v>28.84</v>
          </cell>
        </row>
        <row r="152">
          <cell r="B152" t="str">
            <v>B88A00030-20</v>
          </cell>
          <cell r="C152">
            <v>28.34</v>
          </cell>
        </row>
        <row r="153">
          <cell r="B153" t="str">
            <v>B88B00015-16</v>
          </cell>
          <cell r="C153">
            <v>26.28</v>
          </cell>
        </row>
        <row r="154">
          <cell r="B154" t="str">
            <v>B88B00015-20</v>
          </cell>
          <cell r="C154">
            <v>25.79</v>
          </cell>
        </row>
        <row r="155">
          <cell r="B155" t="str">
            <v>B88C00010-16</v>
          </cell>
          <cell r="C155">
            <v>24.48</v>
          </cell>
        </row>
        <row r="156">
          <cell r="B156" t="str">
            <v>B88C00010-20</v>
          </cell>
          <cell r="C156">
            <v>23.99</v>
          </cell>
        </row>
        <row r="157">
          <cell r="B157" t="str">
            <v>B88C00011-16</v>
          </cell>
          <cell r="C157">
            <v>24.53</v>
          </cell>
        </row>
        <row r="158">
          <cell r="B158" t="str">
            <v>B88C00011-20</v>
          </cell>
          <cell r="C158">
            <v>24.05</v>
          </cell>
        </row>
        <row r="159">
          <cell r="B159" t="str">
            <v>B88C00020-16</v>
          </cell>
          <cell r="C159">
            <v>24.37</v>
          </cell>
        </row>
        <row r="160">
          <cell r="B160" t="str">
            <v>B88C00020-20</v>
          </cell>
          <cell r="C160">
            <v>23.8</v>
          </cell>
        </row>
        <row r="161">
          <cell r="B161" t="str">
            <v>B88R00020-16</v>
          </cell>
          <cell r="C161">
            <v>27.47</v>
          </cell>
        </row>
        <row r="162">
          <cell r="B162" t="str">
            <v>B88R00020-20</v>
          </cell>
          <cell r="C162">
            <v>26.98</v>
          </cell>
        </row>
        <row r="163">
          <cell r="B163" t="str">
            <v>B88R00025-16</v>
          </cell>
          <cell r="C163">
            <v>31.19</v>
          </cell>
        </row>
        <row r="164">
          <cell r="B164" t="str">
            <v>B88R00025-20</v>
          </cell>
          <cell r="C164">
            <v>30.7</v>
          </cell>
        </row>
        <row r="165">
          <cell r="B165" t="str">
            <v>CK921W304-20</v>
          </cell>
          <cell r="C165">
            <v>21.88</v>
          </cell>
        </row>
        <row r="166">
          <cell r="B166" t="str">
            <v>CK939C308-27</v>
          </cell>
          <cell r="C166">
            <v>19.57</v>
          </cell>
        </row>
        <row r="167">
          <cell r="B167" t="str">
            <v>CK939X465-27</v>
          </cell>
          <cell r="C167">
            <v>24.71</v>
          </cell>
        </row>
        <row r="168">
          <cell r="B168" t="str">
            <v>GP0261A01-27</v>
          </cell>
          <cell r="C168">
            <v>21.59</v>
          </cell>
        </row>
        <row r="169">
          <cell r="B169" t="str">
            <v>GP0261B01-27</v>
          </cell>
          <cell r="C169">
            <v>11.99</v>
          </cell>
        </row>
        <row r="170">
          <cell r="B170" t="str">
            <v>GP0318A01-20</v>
          </cell>
          <cell r="C170">
            <v>22.16</v>
          </cell>
        </row>
        <row r="171">
          <cell r="B171" t="str">
            <v>GP0318B01-20</v>
          </cell>
          <cell r="C171">
            <v>14</v>
          </cell>
        </row>
        <row r="172">
          <cell r="B172" t="str">
            <v>GP0904A01-27</v>
          </cell>
          <cell r="C172">
            <v>20.100000000000001</v>
          </cell>
        </row>
        <row r="173">
          <cell r="B173" t="str">
            <v>GP0910A01-30</v>
          </cell>
          <cell r="C173">
            <v>64.05</v>
          </cell>
        </row>
        <row r="174">
          <cell r="B174" t="str">
            <v>GP1060A01-20</v>
          </cell>
          <cell r="C174">
            <v>12.64</v>
          </cell>
        </row>
        <row r="175">
          <cell r="B175" t="str">
            <v>GP1106A01-20</v>
          </cell>
          <cell r="C175">
            <v>21.35</v>
          </cell>
        </row>
        <row r="176">
          <cell r="B176" t="str">
            <v>GP1106B01-20</v>
          </cell>
          <cell r="C176">
            <v>28.57</v>
          </cell>
        </row>
        <row r="177">
          <cell r="B177" t="str">
            <v>GP1231A56-16</v>
          </cell>
          <cell r="C177">
            <v>27.31</v>
          </cell>
        </row>
        <row r="178">
          <cell r="B178" t="str">
            <v>GP1231B01-16</v>
          </cell>
          <cell r="C178">
            <v>28.36</v>
          </cell>
        </row>
        <row r="179">
          <cell r="B179" t="str">
            <v>GP2300T01-20</v>
          </cell>
          <cell r="C179">
            <v>12.52</v>
          </cell>
        </row>
        <row r="180">
          <cell r="B180" t="str">
            <v>GP3273A01-27</v>
          </cell>
          <cell r="C180">
            <v>38.6</v>
          </cell>
        </row>
        <row r="181">
          <cell r="B181" t="str">
            <v>GP3460A01-14</v>
          </cell>
          <cell r="C181">
            <v>5.09</v>
          </cell>
        </row>
        <row r="182">
          <cell r="B182" t="str">
            <v>GP3460B01-16</v>
          </cell>
          <cell r="C182">
            <v>20.2</v>
          </cell>
        </row>
        <row r="183">
          <cell r="B183" t="str">
            <v>GP3460B02-16</v>
          </cell>
          <cell r="C183">
            <v>22.64</v>
          </cell>
        </row>
        <row r="184">
          <cell r="B184" t="str">
            <v>GP3460B50-16</v>
          </cell>
          <cell r="C184">
            <v>22.6</v>
          </cell>
        </row>
        <row r="185">
          <cell r="B185" t="str">
            <v>GP3460B59-16</v>
          </cell>
          <cell r="C185">
            <v>20.46</v>
          </cell>
        </row>
        <row r="186">
          <cell r="B186" t="str">
            <v>GP3477A01-16</v>
          </cell>
          <cell r="C186">
            <v>15.8</v>
          </cell>
        </row>
        <row r="187">
          <cell r="B187" t="str">
            <v>GP3477A01-20</v>
          </cell>
          <cell r="C187">
            <v>17.3</v>
          </cell>
        </row>
        <row r="188">
          <cell r="B188" t="str">
            <v>GP3477B01-16</v>
          </cell>
          <cell r="C188">
            <v>14.86</v>
          </cell>
        </row>
        <row r="189">
          <cell r="B189" t="str">
            <v>GP3477B01-20</v>
          </cell>
          <cell r="C189">
            <v>16.04</v>
          </cell>
        </row>
        <row r="190">
          <cell r="B190" t="str">
            <v>GP3478A01-16</v>
          </cell>
          <cell r="C190">
            <v>11.56</v>
          </cell>
        </row>
        <row r="191">
          <cell r="B191" t="str">
            <v>GP3478A01-20</v>
          </cell>
          <cell r="C191">
            <v>11.25</v>
          </cell>
        </row>
        <row r="192">
          <cell r="B192" t="str">
            <v>GP3478B50-16</v>
          </cell>
          <cell r="C192">
            <v>17.73</v>
          </cell>
        </row>
        <row r="193">
          <cell r="B193" t="str">
            <v>GP3478B50-20</v>
          </cell>
          <cell r="C193">
            <v>17.41</v>
          </cell>
        </row>
        <row r="194">
          <cell r="B194" t="str">
            <v>GP3479A01-16</v>
          </cell>
          <cell r="C194">
            <v>21.52</v>
          </cell>
        </row>
        <row r="195">
          <cell r="B195" t="str">
            <v>GP3479A59-16</v>
          </cell>
          <cell r="C195">
            <v>25.04</v>
          </cell>
        </row>
        <row r="196">
          <cell r="B196" t="str">
            <v>GP3479A59-20</v>
          </cell>
          <cell r="C196">
            <v>20.2</v>
          </cell>
        </row>
        <row r="197">
          <cell r="B197" t="str">
            <v>GP3479B01-16</v>
          </cell>
          <cell r="C197">
            <v>19.48</v>
          </cell>
        </row>
        <row r="198">
          <cell r="B198" t="str">
            <v>GP3479B01-20</v>
          </cell>
          <cell r="C198">
            <v>17.72</v>
          </cell>
        </row>
        <row r="199">
          <cell r="B199" t="str">
            <v>GP3500A61-14</v>
          </cell>
          <cell r="C199">
            <v>6.7</v>
          </cell>
        </row>
        <row r="200">
          <cell r="B200" t="str">
            <v>GP3500B59-14</v>
          </cell>
          <cell r="C200">
            <v>4.45</v>
          </cell>
        </row>
        <row r="201">
          <cell r="B201" t="str">
            <v>GP3501A01-19</v>
          </cell>
          <cell r="C201">
            <v>61.38</v>
          </cell>
        </row>
        <row r="202">
          <cell r="B202" t="str">
            <v>GP3501B01-16</v>
          </cell>
          <cell r="C202">
            <v>23.92</v>
          </cell>
        </row>
        <row r="203">
          <cell r="B203" t="str">
            <v>GP3504A01-16</v>
          </cell>
          <cell r="C203">
            <v>18.149999999999999</v>
          </cell>
        </row>
        <row r="204">
          <cell r="B204" t="str">
            <v>GP3504A01-20</v>
          </cell>
          <cell r="C204">
            <v>19.309999999999999</v>
          </cell>
        </row>
        <row r="205">
          <cell r="B205" t="str">
            <v>GP3504B01-16</v>
          </cell>
          <cell r="C205">
            <v>24.94</v>
          </cell>
        </row>
        <row r="206">
          <cell r="B206" t="str">
            <v>GP3504B01-20</v>
          </cell>
          <cell r="C206">
            <v>26.1</v>
          </cell>
        </row>
        <row r="207">
          <cell r="B207" t="str">
            <v>GP3504B50-16</v>
          </cell>
          <cell r="C207">
            <v>25.87</v>
          </cell>
        </row>
        <row r="208">
          <cell r="B208" t="str">
            <v>GP3504B50-20</v>
          </cell>
          <cell r="C208">
            <v>27.03</v>
          </cell>
        </row>
        <row r="209">
          <cell r="B209" t="str">
            <v>GP3504B59-20</v>
          </cell>
          <cell r="C209">
            <v>27.03</v>
          </cell>
        </row>
        <row r="210">
          <cell r="B210" t="str">
            <v>GP3505A01-16</v>
          </cell>
          <cell r="C210">
            <v>26.8</v>
          </cell>
        </row>
        <row r="211">
          <cell r="B211" t="str">
            <v>GP3505A01-19</v>
          </cell>
          <cell r="C211">
            <v>112.29</v>
          </cell>
        </row>
        <row r="212">
          <cell r="B212" t="str">
            <v>GP3505A02-16</v>
          </cell>
          <cell r="C212">
            <v>27.18</v>
          </cell>
        </row>
        <row r="213">
          <cell r="B213" t="str">
            <v>GP3505A02-19</v>
          </cell>
          <cell r="C213">
            <v>108.06</v>
          </cell>
        </row>
        <row r="214">
          <cell r="B214" t="str">
            <v>GP3505A53-16</v>
          </cell>
          <cell r="C214">
            <v>28.72</v>
          </cell>
        </row>
        <row r="215">
          <cell r="B215" t="str">
            <v>GP3505A53-19</v>
          </cell>
          <cell r="C215">
            <v>119.96</v>
          </cell>
        </row>
        <row r="216">
          <cell r="B216" t="str">
            <v>GP3505A54-16</v>
          </cell>
          <cell r="C216">
            <v>28.64</v>
          </cell>
        </row>
        <row r="217">
          <cell r="B217" t="str">
            <v>GP3505A54-19</v>
          </cell>
          <cell r="C217">
            <v>119.63</v>
          </cell>
        </row>
        <row r="218">
          <cell r="B218" t="str">
            <v>GP3505A55-19</v>
          </cell>
          <cell r="C218">
            <v>123.43</v>
          </cell>
        </row>
        <row r="219">
          <cell r="B219" t="str">
            <v>GP3505A55-20</v>
          </cell>
          <cell r="C219">
            <v>30.71</v>
          </cell>
        </row>
        <row r="220">
          <cell r="B220" t="str">
            <v>GP3505A56-16</v>
          </cell>
          <cell r="C220">
            <v>28.64</v>
          </cell>
        </row>
        <row r="221">
          <cell r="B221" t="str">
            <v>GP3505A56-19</v>
          </cell>
          <cell r="C221">
            <v>119.73</v>
          </cell>
        </row>
        <row r="222">
          <cell r="B222" t="str">
            <v>GP3505A59-16</v>
          </cell>
          <cell r="C222">
            <v>26.62</v>
          </cell>
        </row>
        <row r="223">
          <cell r="B223" t="str">
            <v>GP3505A59-19</v>
          </cell>
          <cell r="C223">
            <v>111.58</v>
          </cell>
        </row>
        <row r="224">
          <cell r="B224" t="str">
            <v>GP3505A62-16</v>
          </cell>
          <cell r="C224">
            <v>29.3</v>
          </cell>
        </row>
        <row r="225">
          <cell r="B225" t="str">
            <v>GP3505A71-19</v>
          </cell>
          <cell r="C225">
            <v>115.71</v>
          </cell>
        </row>
        <row r="226">
          <cell r="B226" t="str">
            <v>GP3505A74-19</v>
          </cell>
          <cell r="C226">
            <v>124.9</v>
          </cell>
        </row>
        <row r="227">
          <cell r="B227" t="str">
            <v>GP3505A75-16</v>
          </cell>
          <cell r="C227">
            <v>29.57</v>
          </cell>
        </row>
        <row r="228">
          <cell r="B228" t="str">
            <v>GP3505B01-14</v>
          </cell>
          <cell r="C228">
            <v>8.94</v>
          </cell>
        </row>
        <row r="229">
          <cell r="B229" t="str">
            <v>GP3505B01-16</v>
          </cell>
          <cell r="C229">
            <v>33.380000000000003</v>
          </cell>
        </row>
        <row r="230">
          <cell r="B230" t="str">
            <v>GP3505B01-20</v>
          </cell>
          <cell r="C230">
            <v>25.92</v>
          </cell>
        </row>
        <row r="231">
          <cell r="B231" t="str">
            <v>GP3506A54-17</v>
          </cell>
          <cell r="C231">
            <v>29.68</v>
          </cell>
        </row>
        <row r="232">
          <cell r="B232" t="str">
            <v>GP3506A56-20</v>
          </cell>
          <cell r="C232">
            <v>28.58</v>
          </cell>
        </row>
        <row r="233">
          <cell r="B233" t="str">
            <v>GP3513A59-17</v>
          </cell>
          <cell r="C233">
            <v>21.39</v>
          </cell>
        </row>
        <row r="234">
          <cell r="B234" t="str">
            <v>GP3513B01-15</v>
          </cell>
          <cell r="C234">
            <v>13.51</v>
          </cell>
        </row>
        <row r="235">
          <cell r="B235" t="str">
            <v>GP3513B61-15</v>
          </cell>
          <cell r="C235">
            <v>13.39</v>
          </cell>
        </row>
        <row r="236">
          <cell r="B236" t="str">
            <v>GP3520A01-20</v>
          </cell>
          <cell r="C236">
            <v>20.079999999999998</v>
          </cell>
        </row>
        <row r="237">
          <cell r="B237" t="str">
            <v>GP3520A02-19</v>
          </cell>
          <cell r="C237">
            <v>85</v>
          </cell>
        </row>
        <row r="238">
          <cell r="B238" t="str">
            <v>GP3520A02-27</v>
          </cell>
          <cell r="C238">
            <v>18.63</v>
          </cell>
        </row>
        <row r="239">
          <cell r="B239" t="str">
            <v>GP3520A53-19</v>
          </cell>
          <cell r="C239">
            <v>91.65</v>
          </cell>
        </row>
        <row r="240">
          <cell r="B240" t="str">
            <v>GP3520A53-27</v>
          </cell>
          <cell r="C240">
            <v>20.63</v>
          </cell>
        </row>
        <row r="241">
          <cell r="B241" t="str">
            <v>GP3520A54-19</v>
          </cell>
          <cell r="C241">
            <v>90.71</v>
          </cell>
        </row>
        <row r="242">
          <cell r="B242" t="str">
            <v>GP3520A54-27</v>
          </cell>
          <cell r="C242">
            <v>20.39</v>
          </cell>
        </row>
        <row r="243">
          <cell r="B243" t="str">
            <v>GP3520A56-16</v>
          </cell>
          <cell r="C243">
            <v>21.4</v>
          </cell>
        </row>
        <row r="244">
          <cell r="B244" t="str">
            <v>GP3520A56-19</v>
          </cell>
          <cell r="C244">
            <v>90.77</v>
          </cell>
        </row>
        <row r="245">
          <cell r="B245" t="str">
            <v>GP3520A57-19</v>
          </cell>
          <cell r="C245">
            <v>82.51</v>
          </cell>
        </row>
        <row r="246">
          <cell r="B246" t="str">
            <v>GP3520A59-19</v>
          </cell>
          <cell r="C246">
            <v>78.62</v>
          </cell>
        </row>
        <row r="247">
          <cell r="B247" t="str">
            <v>GP3520A59-27</v>
          </cell>
          <cell r="C247">
            <v>17.600000000000001</v>
          </cell>
        </row>
        <row r="248">
          <cell r="B248" t="str">
            <v>GP3520A61-16</v>
          </cell>
          <cell r="C248">
            <v>19.940000000000001</v>
          </cell>
        </row>
        <row r="249">
          <cell r="B249" t="str">
            <v>GP3520A61-19</v>
          </cell>
          <cell r="C249">
            <v>83.86</v>
          </cell>
        </row>
        <row r="250">
          <cell r="B250" t="str">
            <v>GP3520A61-27</v>
          </cell>
          <cell r="C250">
            <v>18.95</v>
          </cell>
        </row>
        <row r="251">
          <cell r="B251" t="str">
            <v>GP3520A62-19</v>
          </cell>
          <cell r="C251">
            <v>93.02</v>
          </cell>
        </row>
        <row r="252">
          <cell r="B252" t="str">
            <v>GP3520A69-19</v>
          </cell>
          <cell r="C252">
            <v>96.08</v>
          </cell>
        </row>
        <row r="253">
          <cell r="B253" t="str">
            <v>GP3520A70-19</v>
          </cell>
          <cell r="C253">
            <v>82.5</v>
          </cell>
        </row>
        <row r="254">
          <cell r="B254" t="str">
            <v>GP3520A71-19</v>
          </cell>
          <cell r="C254">
            <v>86.55</v>
          </cell>
        </row>
        <row r="255">
          <cell r="B255" t="str">
            <v>GP3520B01-14</v>
          </cell>
          <cell r="C255">
            <v>5.27</v>
          </cell>
        </row>
        <row r="256">
          <cell r="B256" t="str">
            <v>GP3520B01-16</v>
          </cell>
          <cell r="C256">
            <v>16.420000000000002</v>
          </cell>
        </row>
        <row r="257">
          <cell r="B257" t="str">
            <v>GP3520B01-20</v>
          </cell>
          <cell r="C257">
            <v>17.579999999999998</v>
          </cell>
        </row>
        <row r="258">
          <cell r="B258" t="str">
            <v>GP3520B01-27</v>
          </cell>
          <cell r="C258">
            <v>15.43</v>
          </cell>
        </row>
        <row r="259">
          <cell r="B259" t="str">
            <v>GP3520B02-16</v>
          </cell>
          <cell r="C259">
            <v>16.440000000000001</v>
          </cell>
        </row>
        <row r="260">
          <cell r="B260" t="str">
            <v>GP3520B02-20</v>
          </cell>
          <cell r="C260">
            <v>17.600000000000001</v>
          </cell>
        </row>
        <row r="261">
          <cell r="B261" t="str">
            <v>GP3520B02-27</v>
          </cell>
          <cell r="C261">
            <v>15.45</v>
          </cell>
        </row>
        <row r="262">
          <cell r="B262" t="str">
            <v>GP3520B03-16</v>
          </cell>
          <cell r="C262">
            <v>15.11</v>
          </cell>
        </row>
        <row r="263">
          <cell r="B263" t="str">
            <v>GP3520B03-27</v>
          </cell>
          <cell r="C263">
            <v>13.72</v>
          </cell>
        </row>
        <row r="264">
          <cell r="B264" t="str">
            <v>GP3520RB1-16</v>
          </cell>
          <cell r="C264">
            <v>18.54</v>
          </cell>
        </row>
        <row r="265">
          <cell r="B265" t="str">
            <v>GP3520RB1-20</v>
          </cell>
          <cell r="C265">
            <v>19.7</v>
          </cell>
        </row>
        <row r="266">
          <cell r="B266" t="str">
            <v>GP3520RB1-27</v>
          </cell>
          <cell r="C266">
            <v>17.55</v>
          </cell>
        </row>
        <row r="267">
          <cell r="B267" t="str">
            <v>GP3524A01-16</v>
          </cell>
          <cell r="C267">
            <v>21.19</v>
          </cell>
        </row>
        <row r="268">
          <cell r="B268" t="str">
            <v>GP3524A01-20</v>
          </cell>
          <cell r="C268">
            <v>22.35</v>
          </cell>
        </row>
        <row r="269">
          <cell r="B269" t="str">
            <v>GP3524B01-16</v>
          </cell>
          <cell r="C269">
            <v>17.29</v>
          </cell>
        </row>
        <row r="270">
          <cell r="B270" t="str">
            <v>GP3524B01-20</v>
          </cell>
          <cell r="C270">
            <v>18.46</v>
          </cell>
        </row>
        <row r="271">
          <cell r="B271" t="str">
            <v>GP3525A54-16</v>
          </cell>
          <cell r="C271">
            <v>88.93</v>
          </cell>
        </row>
        <row r="272">
          <cell r="B272" t="str">
            <v>GP3525A54-20</v>
          </cell>
          <cell r="C272">
            <v>90.11</v>
          </cell>
        </row>
        <row r="273">
          <cell r="B273" t="str">
            <v>GP3525B01-16</v>
          </cell>
          <cell r="C273">
            <v>74.33</v>
          </cell>
        </row>
        <row r="274">
          <cell r="B274" t="str">
            <v>GP3525B01-20</v>
          </cell>
          <cell r="C274">
            <v>75.489999999999995</v>
          </cell>
        </row>
        <row r="275">
          <cell r="B275" t="str">
            <v>GP3525E01-16</v>
          </cell>
          <cell r="C275">
            <v>88.86</v>
          </cell>
        </row>
        <row r="276">
          <cell r="B276" t="str">
            <v>GP3525E01-20</v>
          </cell>
          <cell r="C276">
            <v>90.07</v>
          </cell>
        </row>
        <row r="277">
          <cell r="B277" t="str">
            <v>GP3525EB1-20</v>
          </cell>
          <cell r="C277">
            <v>90.07</v>
          </cell>
        </row>
        <row r="278">
          <cell r="B278" t="str">
            <v>GP3526A01-20</v>
          </cell>
          <cell r="C278">
            <v>21.74</v>
          </cell>
        </row>
        <row r="279">
          <cell r="B279" t="str">
            <v>GP3526A01-30</v>
          </cell>
          <cell r="C279">
            <v>67.81</v>
          </cell>
        </row>
        <row r="280">
          <cell r="B280" t="str">
            <v>GP3526A53-30</v>
          </cell>
          <cell r="C280">
            <v>76.78</v>
          </cell>
        </row>
        <row r="281">
          <cell r="B281" t="str">
            <v>GP3526A54-30</v>
          </cell>
          <cell r="C281">
            <v>76.16</v>
          </cell>
        </row>
        <row r="282">
          <cell r="B282" t="str">
            <v>GP3526A56-20</v>
          </cell>
          <cell r="C282">
            <v>24.54</v>
          </cell>
        </row>
        <row r="283">
          <cell r="B283" t="str">
            <v>GP3526A56-30</v>
          </cell>
          <cell r="C283">
            <v>76.209999999999994</v>
          </cell>
        </row>
        <row r="284">
          <cell r="B284" t="str">
            <v>GP3526A74-30</v>
          </cell>
          <cell r="C284">
            <v>78.05</v>
          </cell>
        </row>
        <row r="285">
          <cell r="B285" t="str">
            <v>GP3526B01-16</v>
          </cell>
          <cell r="C285">
            <v>40.58</v>
          </cell>
        </row>
        <row r="286">
          <cell r="B286" t="str">
            <v>GP3526B01-20</v>
          </cell>
          <cell r="C286">
            <v>31.99</v>
          </cell>
        </row>
        <row r="287">
          <cell r="B287" t="str">
            <v>GP3543A01-16</v>
          </cell>
          <cell r="C287">
            <v>21.69</v>
          </cell>
        </row>
        <row r="288">
          <cell r="B288" t="str">
            <v>GP3543A54-16</v>
          </cell>
          <cell r="C288">
            <v>26.09</v>
          </cell>
        </row>
        <row r="289">
          <cell r="B289" t="str">
            <v>GP3543A54-20</v>
          </cell>
          <cell r="C289">
            <v>27.25</v>
          </cell>
        </row>
        <row r="290">
          <cell r="B290" t="str">
            <v>GP3543A69-20</v>
          </cell>
          <cell r="C290">
            <v>25.24</v>
          </cell>
        </row>
        <row r="291">
          <cell r="B291" t="str">
            <v>GP3543B01-16</v>
          </cell>
          <cell r="C291">
            <v>13.78</v>
          </cell>
        </row>
        <row r="292">
          <cell r="B292" t="str">
            <v>GP3543B01-20</v>
          </cell>
          <cell r="C292">
            <v>14.94</v>
          </cell>
        </row>
        <row r="293">
          <cell r="B293" t="str">
            <v>GP3548A01-16</v>
          </cell>
          <cell r="C293">
            <v>23.29</v>
          </cell>
        </row>
        <row r="294">
          <cell r="B294" t="str">
            <v>GP3548A01-20</v>
          </cell>
          <cell r="C294">
            <v>21.71</v>
          </cell>
        </row>
        <row r="295">
          <cell r="B295" t="str">
            <v>GP3548A02-30</v>
          </cell>
          <cell r="C295">
            <v>73.5</v>
          </cell>
        </row>
        <row r="296">
          <cell r="B296" t="str">
            <v>GP3548A59-20</v>
          </cell>
          <cell r="C296">
            <v>25.05</v>
          </cell>
        </row>
        <row r="297">
          <cell r="B297" t="str">
            <v>GP3548A59-30</v>
          </cell>
          <cell r="C297">
            <v>77.739999999999995</v>
          </cell>
        </row>
        <row r="298">
          <cell r="B298" t="str">
            <v>GP3548B01-16</v>
          </cell>
          <cell r="C298">
            <v>21.73</v>
          </cell>
        </row>
        <row r="299">
          <cell r="B299" t="str">
            <v>GP3548B01-20</v>
          </cell>
          <cell r="C299">
            <v>22.89</v>
          </cell>
        </row>
        <row r="300">
          <cell r="B300" t="str">
            <v>GP3552A50-16</v>
          </cell>
          <cell r="C300">
            <v>19.760000000000002</v>
          </cell>
        </row>
        <row r="301">
          <cell r="B301" t="str">
            <v>GP3552A50-20</v>
          </cell>
          <cell r="C301">
            <v>20.94</v>
          </cell>
        </row>
        <row r="302">
          <cell r="B302" t="str">
            <v>GP3552B01-16</v>
          </cell>
          <cell r="C302">
            <v>29.79</v>
          </cell>
        </row>
        <row r="303">
          <cell r="B303" t="str">
            <v>GP3552B01-20</v>
          </cell>
          <cell r="C303">
            <v>29.35</v>
          </cell>
        </row>
        <row r="304">
          <cell r="B304" t="str">
            <v>GP3552W59-16</v>
          </cell>
          <cell r="C304">
            <v>24.09</v>
          </cell>
        </row>
        <row r="305">
          <cell r="B305" t="str">
            <v>GP3552W59-20</v>
          </cell>
          <cell r="C305">
            <v>25.27</v>
          </cell>
        </row>
        <row r="306">
          <cell r="B306" t="str">
            <v>GP3554A01-30</v>
          </cell>
          <cell r="C306">
            <v>87.05</v>
          </cell>
        </row>
        <row r="307">
          <cell r="B307" t="str">
            <v>GP3554B01-16</v>
          </cell>
          <cell r="C307">
            <v>22.24</v>
          </cell>
        </row>
        <row r="308">
          <cell r="B308" t="str">
            <v>GP3555A50-16</v>
          </cell>
          <cell r="C308">
            <v>25.48</v>
          </cell>
        </row>
        <row r="309">
          <cell r="B309" t="str">
            <v>GP3555A50-20</v>
          </cell>
          <cell r="C309">
            <v>25.17</v>
          </cell>
        </row>
        <row r="310">
          <cell r="B310" t="str">
            <v>GP3555B01-16</v>
          </cell>
          <cell r="C310">
            <v>32.42</v>
          </cell>
        </row>
        <row r="311">
          <cell r="B311" t="str">
            <v>GP3555B01-20</v>
          </cell>
          <cell r="C311">
            <v>31.97</v>
          </cell>
        </row>
        <row r="312">
          <cell r="B312" t="str">
            <v>GP3555V50-16</v>
          </cell>
          <cell r="C312">
            <v>28.89</v>
          </cell>
        </row>
        <row r="313">
          <cell r="B313" t="str">
            <v>GP3555VB1-16</v>
          </cell>
          <cell r="C313">
            <v>30.62</v>
          </cell>
        </row>
        <row r="314">
          <cell r="B314" t="str">
            <v>GP3555VB1-20</v>
          </cell>
          <cell r="C314">
            <v>31.78</v>
          </cell>
        </row>
        <row r="315">
          <cell r="B315" t="str">
            <v>GP3556A02-20</v>
          </cell>
          <cell r="C315">
            <v>21.92</v>
          </cell>
        </row>
        <row r="316">
          <cell r="B316" t="str">
            <v>GP3556A50-16</v>
          </cell>
          <cell r="C316">
            <v>19.760000000000002</v>
          </cell>
        </row>
        <row r="317">
          <cell r="B317" t="str">
            <v>GP3556A50-20</v>
          </cell>
          <cell r="C317">
            <v>20.94</v>
          </cell>
        </row>
        <row r="318">
          <cell r="B318" t="str">
            <v>GP3556B01-16</v>
          </cell>
          <cell r="C318">
            <v>29.71</v>
          </cell>
        </row>
        <row r="319">
          <cell r="B319" t="str">
            <v>GP3556B01-20</v>
          </cell>
          <cell r="C319">
            <v>29.27</v>
          </cell>
        </row>
        <row r="320">
          <cell r="B320" t="str">
            <v>GP3557A02-19</v>
          </cell>
          <cell r="C320">
            <v>83.85</v>
          </cell>
        </row>
        <row r="321">
          <cell r="B321" t="str">
            <v>GP3557A54-19</v>
          </cell>
          <cell r="C321">
            <v>90.51</v>
          </cell>
        </row>
        <row r="322">
          <cell r="B322" t="str">
            <v>GP3557A59-19</v>
          </cell>
          <cell r="C322">
            <v>83.85</v>
          </cell>
        </row>
        <row r="323">
          <cell r="B323" t="str">
            <v>GP3557A62-19</v>
          </cell>
          <cell r="C323">
            <v>92.68</v>
          </cell>
        </row>
        <row r="324">
          <cell r="B324" t="str">
            <v>GP3557B01-16</v>
          </cell>
          <cell r="C324">
            <v>18.77</v>
          </cell>
        </row>
        <row r="325">
          <cell r="B325" t="str">
            <v>GP3561A01-16</v>
          </cell>
          <cell r="C325">
            <v>19.72</v>
          </cell>
        </row>
        <row r="326">
          <cell r="B326" t="str">
            <v>GP3561A01-19</v>
          </cell>
          <cell r="C326">
            <v>84.06</v>
          </cell>
        </row>
        <row r="327">
          <cell r="B327" t="str">
            <v>GP3561A01-27</v>
          </cell>
          <cell r="C327">
            <v>18.73</v>
          </cell>
        </row>
        <row r="328">
          <cell r="B328" t="str">
            <v>GP3561A02-16</v>
          </cell>
          <cell r="C328">
            <v>20.87</v>
          </cell>
        </row>
        <row r="329">
          <cell r="B329" t="str">
            <v>GP3561A02-19</v>
          </cell>
          <cell r="C329">
            <v>88.56</v>
          </cell>
        </row>
        <row r="330">
          <cell r="B330" t="str">
            <v>GP3561A54-16</v>
          </cell>
          <cell r="C330">
            <v>22.27</v>
          </cell>
        </row>
        <row r="331">
          <cell r="B331" t="str">
            <v>GP3561A54-19</v>
          </cell>
          <cell r="C331">
            <v>94.16</v>
          </cell>
        </row>
        <row r="332">
          <cell r="B332" t="str">
            <v>GP3561A59-16</v>
          </cell>
          <cell r="C332">
            <v>20.85</v>
          </cell>
        </row>
        <row r="333">
          <cell r="B333" t="str">
            <v>GP3561A59-19</v>
          </cell>
          <cell r="C333">
            <v>85.18</v>
          </cell>
        </row>
        <row r="334">
          <cell r="B334" t="str">
            <v>GP3561A61-19</v>
          </cell>
          <cell r="C334">
            <v>90.03</v>
          </cell>
        </row>
        <row r="335">
          <cell r="B335" t="str">
            <v>GP3561A74-16</v>
          </cell>
          <cell r="C335">
            <v>23.45</v>
          </cell>
        </row>
        <row r="336">
          <cell r="B336" t="str">
            <v>GP3561A74-19</v>
          </cell>
          <cell r="C336">
            <v>92.84</v>
          </cell>
        </row>
        <row r="337">
          <cell r="B337" t="str">
            <v>GP3561AXX-20</v>
          </cell>
          <cell r="C337">
            <v>20.41</v>
          </cell>
        </row>
        <row r="338">
          <cell r="B338" t="str">
            <v>GP3561AXX-27</v>
          </cell>
          <cell r="C338">
            <v>18.25</v>
          </cell>
        </row>
        <row r="339">
          <cell r="B339" t="str">
            <v>GP3561B01-14</v>
          </cell>
          <cell r="C339">
            <v>4.37</v>
          </cell>
        </row>
        <row r="340">
          <cell r="B340" t="str">
            <v>GP3561B01-16</v>
          </cell>
          <cell r="C340">
            <v>18.260000000000002</v>
          </cell>
        </row>
        <row r="341">
          <cell r="B341" t="str">
            <v>GP3561B01-20</v>
          </cell>
          <cell r="C341">
            <v>19.420000000000002</v>
          </cell>
        </row>
        <row r="342">
          <cell r="B342" t="str">
            <v>GP3561B01-27</v>
          </cell>
          <cell r="C342">
            <v>17.260000000000002</v>
          </cell>
        </row>
        <row r="343">
          <cell r="B343" t="str">
            <v>GP3561B02-14</v>
          </cell>
          <cell r="C343">
            <v>7.34</v>
          </cell>
        </row>
        <row r="344">
          <cell r="B344" t="str">
            <v>GP3561B02-16</v>
          </cell>
          <cell r="C344">
            <v>30.14</v>
          </cell>
        </row>
        <row r="345">
          <cell r="B345" t="str">
            <v>GP3561B02-20</v>
          </cell>
          <cell r="C345">
            <v>31.3</v>
          </cell>
        </row>
        <row r="346">
          <cell r="B346" t="str">
            <v>GP3561CA1-19</v>
          </cell>
          <cell r="C346">
            <v>76.5</v>
          </cell>
        </row>
        <row r="347">
          <cell r="B347" t="str">
            <v>GP3561V01-16</v>
          </cell>
          <cell r="C347">
            <v>20.71</v>
          </cell>
        </row>
        <row r="348">
          <cell r="B348" t="str">
            <v>GP3561V01-19</v>
          </cell>
          <cell r="C348">
            <v>87.94</v>
          </cell>
        </row>
        <row r="349">
          <cell r="B349" t="str">
            <v>GP3561V50-16</v>
          </cell>
          <cell r="C349">
            <v>21.88</v>
          </cell>
        </row>
        <row r="350">
          <cell r="B350" t="str">
            <v>GP3561V50-19</v>
          </cell>
          <cell r="C350">
            <v>99.43</v>
          </cell>
        </row>
        <row r="351">
          <cell r="B351" t="str">
            <v>GP3561V59-16</v>
          </cell>
          <cell r="C351">
            <v>23.08</v>
          </cell>
        </row>
        <row r="352">
          <cell r="B352" t="str">
            <v>GP3561V59-19</v>
          </cell>
          <cell r="C352">
            <v>93.34</v>
          </cell>
        </row>
        <row r="353">
          <cell r="B353" t="str">
            <v>GP3561V74-16</v>
          </cell>
          <cell r="C353">
            <v>24.53</v>
          </cell>
        </row>
        <row r="354">
          <cell r="B354" t="str">
            <v>GP3562A01-19</v>
          </cell>
          <cell r="C354">
            <v>78.36</v>
          </cell>
        </row>
        <row r="355">
          <cell r="B355" t="str">
            <v>GP3562B01-16</v>
          </cell>
          <cell r="C355">
            <v>18.260000000000002</v>
          </cell>
        </row>
        <row r="356">
          <cell r="B356" t="str">
            <v>GP3563A01-16</v>
          </cell>
          <cell r="C356">
            <v>19.920000000000002</v>
          </cell>
        </row>
        <row r="357">
          <cell r="B357" t="str">
            <v>GP3563A01-20</v>
          </cell>
          <cell r="C357">
            <v>21.1</v>
          </cell>
        </row>
        <row r="358">
          <cell r="B358" t="str">
            <v>GP3563A74-20</v>
          </cell>
          <cell r="C358">
            <v>26.83</v>
          </cell>
        </row>
        <row r="359">
          <cell r="B359" t="str">
            <v>GP3563B01-16</v>
          </cell>
          <cell r="C359">
            <v>16.64</v>
          </cell>
        </row>
        <row r="360">
          <cell r="B360" t="str">
            <v>GP3563B01-20</v>
          </cell>
          <cell r="C360">
            <v>17.8</v>
          </cell>
        </row>
        <row r="361">
          <cell r="B361" t="str">
            <v>GP3579A01-16</v>
          </cell>
          <cell r="C361">
            <v>20.51</v>
          </cell>
        </row>
        <row r="362">
          <cell r="B362" t="str">
            <v>GP3579A01-20</v>
          </cell>
          <cell r="C362">
            <v>21.69</v>
          </cell>
        </row>
        <row r="363">
          <cell r="B363" t="str">
            <v>GP3579A01-27</v>
          </cell>
          <cell r="C363">
            <v>19.52</v>
          </cell>
        </row>
        <row r="364">
          <cell r="B364" t="str">
            <v>GP3579A50-16</v>
          </cell>
          <cell r="C364">
            <v>25.1</v>
          </cell>
        </row>
        <row r="365">
          <cell r="B365" t="str">
            <v>GP3579A50-20</v>
          </cell>
          <cell r="C365">
            <v>26.28</v>
          </cell>
        </row>
        <row r="366">
          <cell r="B366" t="str">
            <v>GP3579A50-27</v>
          </cell>
          <cell r="C366">
            <v>24.1</v>
          </cell>
        </row>
        <row r="367">
          <cell r="B367" t="str">
            <v>GP3579A59-16</v>
          </cell>
          <cell r="C367">
            <v>22.93</v>
          </cell>
        </row>
        <row r="368">
          <cell r="B368" t="str">
            <v>GP3579A59-20</v>
          </cell>
          <cell r="C368">
            <v>23.52</v>
          </cell>
        </row>
        <row r="369">
          <cell r="B369" t="str">
            <v>GP3579A74-16</v>
          </cell>
          <cell r="C369">
            <v>26.16</v>
          </cell>
        </row>
        <row r="370">
          <cell r="B370" t="str">
            <v>GP3579A74-20</v>
          </cell>
          <cell r="C370">
            <v>26.61</v>
          </cell>
        </row>
        <row r="371">
          <cell r="B371" t="str">
            <v>GP3579B01-16</v>
          </cell>
          <cell r="C371">
            <v>17.989999999999998</v>
          </cell>
        </row>
        <row r="372">
          <cell r="B372" t="str">
            <v>GP3579B01-20</v>
          </cell>
          <cell r="C372">
            <v>19.149999999999999</v>
          </cell>
        </row>
        <row r="373">
          <cell r="B373" t="str">
            <v>GP3579B01-27</v>
          </cell>
          <cell r="C373">
            <v>17.02</v>
          </cell>
        </row>
        <row r="374">
          <cell r="B374" t="str">
            <v>GP3580A01-16</v>
          </cell>
          <cell r="C374">
            <v>22.9</v>
          </cell>
        </row>
        <row r="375">
          <cell r="B375" t="str">
            <v>GP3580A01-20</v>
          </cell>
          <cell r="C375">
            <v>24.08</v>
          </cell>
        </row>
        <row r="376">
          <cell r="B376" t="str">
            <v>GP3580A02-16</v>
          </cell>
          <cell r="C376">
            <v>23.55</v>
          </cell>
        </row>
        <row r="377">
          <cell r="B377" t="str">
            <v>GP3580A54-16</v>
          </cell>
          <cell r="C377">
            <v>24.31</v>
          </cell>
        </row>
        <row r="378">
          <cell r="B378" t="str">
            <v>GP3580A54-20</v>
          </cell>
          <cell r="C378">
            <v>25.49</v>
          </cell>
        </row>
        <row r="379">
          <cell r="B379" t="str">
            <v>GP3580B01-16</v>
          </cell>
          <cell r="C379">
            <v>14.8</v>
          </cell>
        </row>
        <row r="380">
          <cell r="B380" t="str">
            <v>GP3580B01-20</v>
          </cell>
          <cell r="C380">
            <v>15.96</v>
          </cell>
        </row>
        <row r="381">
          <cell r="B381" t="str">
            <v>GP3589A01-16</v>
          </cell>
          <cell r="C381">
            <v>19.309999999999999</v>
          </cell>
        </row>
        <row r="382">
          <cell r="B382" t="str">
            <v>GP3589A01-19</v>
          </cell>
          <cell r="C382">
            <v>82.42</v>
          </cell>
        </row>
        <row r="383">
          <cell r="B383" t="str">
            <v>GP3589A01-27</v>
          </cell>
          <cell r="C383">
            <v>18.32</v>
          </cell>
        </row>
        <row r="384">
          <cell r="B384" t="str">
            <v>GP3589A02-16</v>
          </cell>
          <cell r="C384">
            <v>22.22</v>
          </cell>
        </row>
        <row r="385">
          <cell r="B385" t="str">
            <v>GP3589A02-19</v>
          </cell>
          <cell r="C385">
            <v>128.56</v>
          </cell>
        </row>
        <row r="386">
          <cell r="B386" t="str">
            <v>GP3589A53-16</v>
          </cell>
          <cell r="C386">
            <v>20.9</v>
          </cell>
        </row>
        <row r="387">
          <cell r="B387" t="str">
            <v>GP3589A53-19</v>
          </cell>
          <cell r="C387">
            <v>88.76</v>
          </cell>
        </row>
        <row r="388">
          <cell r="B388" t="str">
            <v>GP3589A54-16</v>
          </cell>
          <cell r="C388">
            <v>20.84</v>
          </cell>
        </row>
        <row r="389">
          <cell r="B389" t="str">
            <v>GP3589A54-19</v>
          </cell>
          <cell r="C389">
            <v>88.51</v>
          </cell>
        </row>
        <row r="390">
          <cell r="B390" t="str">
            <v>GP3589A55-16</v>
          </cell>
          <cell r="C390">
            <v>23.62</v>
          </cell>
        </row>
        <row r="391">
          <cell r="B391" t="str">
            <v>GP3589A55-19</v>
          </cell>
          <cell r="C391">
            <v>99.66</v>
          </cell>
        </row>
        <row r="392">
          <cell r="B392" t="str">
            <v>GP3589A56-16</v>
          </cell>
          <cell r="C392">
            <v>22.7</v>
          </cell>
        </row>
        <row r="393">
          <cell r="B393" t="str">
            <v>GP3589A56-19</v>
          </cell>
          <cell r="C393">
            <v>95.95</v>
          </cell>
        </row>
        <row r="394">
          <cell r="B394" t="str">
            <v>GP3589A59-16</v>
          </cell>
          <cell r="C394">
            <v>23.08</v>
          </cell>
        </row>
        <row r="395">
          <cell r="B395" t="str">
            <v>GP3589A59-19</v>
          </cell>
          <cell r="C395">
            <v>94.28</v>
          </cell>
        </row>
        <row r="396">
          <cell r="B396" t="str">
            <v>GP3589A61-16</v>
          </cell>
          <cell r="C396">
            <v>20.6</v>
          </cell>
        </row>
        <row r="397">
          <cell r="B397" t="str">
            <v>GP3589A61-19</v>
          </cell>
          <cell r="C397">
            <v>87.55</v>
          </cell>
        </row>
        <row r="398">
          <cell r="B398" t="str">
            <v>GP3589A62-16</v>
          </cell>
          <cell r="C398">
            <v>23.18</v>
          </cell>
        </row>
        <row r="399">
          <cell r="B399" t="str">
            <v>GP3589A62-19</v>
          </cell>
          <cell r="C399">
            <v>97.82</v>
          </cell>
        </row>
        <row r="400">
          <cell r="B400" t="str">
            <v>GP3589A69-16</v>
          </cell>
          <cell r="C400">
            <v>21.28</v>
          </cell>
        </row>
        <row r="401">
          <cell r="B401" t="str">
            <v>GP3589A69-19</v>
          </cell>
          <cell r="C401">
            <v>90.28</v>
          </cell>
        </row>
        <row r="402">
          <cell r="B402" t="str">
            <v>GP3589A71-16</v>
          </cell>
          <cell r="C402">
            <v>21.56</v>
          </cell>
        </row>
        <row r="403">
          <cell r="B403" t="str">
            <v>GP3589A71-19</v>
          </cell>
          <cell r="C403">
            <v>91.43</v>
          </cell>
        </row>
        <row r="404">
          <cell r="B404" t="str">
            <v>GP3589A74-16</v>
          </cell>
          <cell r="C404">
            <v>21.77</v>
          </cell>
        </row>
        <row r="405">
          <cell r="B405" t="str">
            <v>GP3589A74-19</v>
          </cell>
          <cell r="C405">
            <v>93.67</v>
          </cell>
        </row>
        <row r="406">
          <cell r="B406" t="str">
            <v>GP3589A75-16</v>
          </cell>
          <cell r="C406">
            <v>23.44</v>
          </cell>
        </row>
        <row r="407">
          <cell r="B407" t="str">
            <v>GP3589A75-19</v>
          </cell>
          <cell r="C407">
            <v>98.85</v>
          </cell>
        </row>
        <row r="408">
          <cell r="B408" t="str">
            <v>GP3589B01-14</v>
          </cell>
          <cell r="C408">
            <v>6</v>
          </cell>
        </row>
        <row r="409">
          <cell r="B409" t="str">
            <v>GP3589B01-16</v>
          </cell>
          <cell r="C409">
            <v>24.76</v>
          </cell>
        </row>
        <row r="410">
          <cell r="B410" t="str">
            <v>GP3589B01-20</v>
          </cell>
          <cell r="C410">
            <v>25.92</v>
          </cell>
        </row>
        <row r="411">
          <cell r="B411" t="str">
            <v>GP3589B01-27</v>
          </cell>
          <cell r="C411">
            <v>25.84</v>
          </cell>
        </row>
        <row r="412">
          <cell r="B412" t="str">
            <v>GP3594SA1-16</v>
          </cell>
          <cell r="C412">
            <v>24.02</v>
          </cell>
        </row>
        <row r="413">
          <cell r="B413" t="str">
            <v>GP3594SA1-20</v>
          </cell>
          <cell r="C413">
            <v>25.2</v>
          </cell>
        </row>
        <row r="414">
          <cell r="B414" t="str">
            <v>GP3594SB1-16</v>
          </cell>
          <cell r="C414">
            <v>29.51</v>
          </cell>
        </row>
        <row r="415">
          <cell r="B415" t="str">
            <v>GP3594SB1-20</v>
          </cell>
          <cell r="C415">
            <v>30.67</v>
          </cell>
        </row>
        <row r="416">
          <cell r="B416" t="str">
            <v>GP3599A56-20</v>
          </cell>
          <cell r="C416">
            <v>25.32</v>
          </cell>
        </row>
        <row r="417">
          <cell r="B417" t="str">
            <v>GP3599A67-30</v>
          </cell>
          <cell r="C417">
            <v>127.5</v>
          </cell>
        </row>
        <row r="418">
          <cell r="B418" t="str">
            <v>GP3644A01-20</v>
          </cell>
          <cell r="C418">
            <v>21.38</v>
          </cell>
        </row>
        <row r="419">
          <cell r="B419" t="str">
            <v>GP3712A01-16</v>
          </cell>
          <cell r="C419">
            <v>27.1</v>
          </cell>
        </row>
        <row r="420">
          <cell r="B420" t="str">
            <v>GP3712A50-16</v>
          </cell>
          <cell r="C420">
            <v>26.62</v>
          </cell>
        </row>
        <row r="421">
          <cell r="B421" t="str">
            <v>GP3712A50-19</v>
          </cell>
          <cell r="C421">
            <v>111.65</v>
          </cell>
        </row>
        <row r="422">
          <cell r="B422" t="str">
            <v>GP3712B01-14</v>
          </cell>
          <cell r="C422">
            <v>12.21</v>
          </cell>
        </row>
        <row r="423">
          <cell r="B423" t="str">
            <v>GP3712B01-16</v>
          </cell>
          <cell r="C423">
            <v>49.6</v>
          </cell>
        </row>
        <row r="424">
          <cell r="B424" t="str">
            <v>GP3712B01-20</v>
          </cell>
          <cell r="C424">
            <v>50.76</v>
          </cell>
        </row>
        <row r="425">
          <cell r="B425" t="str">
            <v>GP3740A01-20</v>
          </cell>
          <cell r="C425">
            <v>24.5</v>
          </cell>
        </row>
        <row r="426">
          <cell r="B426" t="str">
            <v>GP3740B01-16</v>
          </cell>
          <cell r="C426">
            <v>31.83</v>
          </cell>
        </row>
        <row r="427">
          <cell r="B427" t="str">
            <v>GP3741A01-16</v>
          </cell>
          <cell r="C427">
            <v>24.14</v>
          </cell>
        </row>
        <row r="428">
          <cell r="B428" t="str">
            <v>GP3741A53-16</v>
          </cell>
          <cell r="C428">
            <v>27.06</v>
          </cell>
        </row>
        <row r="429">
          <cell r="B429" t="str">
            <v>GP3741A53-20</v>
          </cell>
          <cell r="C429">
            <v>28.26</v>
          </cell>
        </row>
        <row r="430">
          <cell r="B430" t="str">
            <v>GP3741A54-16</v>
          </cell>
          <cell r="C430">
            <v>29.61</v>
          </cell>
        </row>
        <row r="431">
          <cell r="B431" t="str">
            <v>GP3741A54-20</v>
          </cell>
          <cell r="C431">
            <v>29.35</v>
          </cell>
        </row>
        <row r="432">
          <cell r="B432" t="str">
            <v>GP3741A56-16</v>
          </cell>
          <cell r="C432">
            <v>34.07</v>
          </cell>
        </row>
        <row r="433">
          <cell r="B433" t="str">
            <v>GP3741A56-20</v>
          </cell>
          <cell r="C433">
            <v>33.700000000000003</v>
          </cell>
        </row>
        <row r="434">
          <cell r="B434" t="str">
            <v>GP3741A71-16</v>
          </cell>
          <cell r="C434">
            <v>25.4</v>
          </cell>
        </row>
        <row r="435">
          <cell r="B435" t="str">
            <v>GP3741A74-16</v>
          </cell>
          <cell r="C435">
            <v>35.79</v>
          </cell>
        </row>
        <row r="436">
          <cell r="B436" t="str">
            <v>GP3741A74-20</v>
          </cell>
          <cell r="C436">
            <v>29.7</v>
          </cell>
        </row>
        <row r="437">
          <cell r="B437" t="str">
            <v>GP3741B01-16</v>
          </cell>
          <cell r="C437">
            <v>27.6</v>
          </cell>
        </row>
        <row r="438">
          <cell r="B438" t="str">
            <v>GP3741B01-20</v>
          </cell>
          <cell r="C438">
            <v>27.24</v>
          </cell>
        </row>
        <row r="439">
          <cell r="B439" t="str">
            <v>GP3744A01-16</v>
          </cell>
          <cell r="C439">
            <v>23.71</v>
          </cell>
        </row>
        <row r="440">
          <cell r="B440" t="str">
            <v>GP3744A01-20</v>
          </cell>
          <cell r="C440">
            <v>24.89</v>
          </cell>
        </row>
        <row r="441">
          <cell r="B441" t="str">
            <v>GP3744A01-27</v>
          </cell>
          <cell r="C441">
            <v>22.71</v>
          </cell>
        </row>
        <row r="442">
          <cell r="B442" t="str">
            <v>GP3744A02-16</v>
          </cell>
          <cell r="C442">
            <v>10.19</v>
          </cell>
        </row>
        <row r="443">
          <cell r="B443" t="str">
            <v>GP3744A02-20</v>
          </cell>
          <cell r="C443">
            <v>9.85</v>
          </cell>
        </row>
        <row r="444">
          <cell r="B444" t="str">
            <v>GP3744A53-16</v>
          </cell>
          <cell r="C444">
            <v>27.01</v>
          </cell>
        </row>
        <row r="445">
          <cell r="B445" t="str">
            <v>GP3744A53-20</v>
          </cell>
          <cell r="C445">
            <v>28.19</v>
          </cell>
        </row>
        <row r="446">
          <cell r="B446" t="str">
            <v>GP3744A54-16</v>
          </cell>
          <cell r="C446">
            <v>26.77</v>
          </cell>
        </row>
        <row r="447">
          <cell r="B447" t="str">
            <v>GP3744A54-20</v>
          </cell>
          <cell r="C447">
            <v>27.95</v>
          </cell>
        </row>
        <row r="448">
          <cell r="B448" t="str">
            <v>GP3744A55-16</v>
          </cell>
          <cell r="C448">
            <v>33.200000000000003</v>
          </cell>
        </row>
        <row r="449">
          <cell r="B449" t="str">
            <v>GP3744A55-20</v>
          </cell>
          <cell r="C449">
            <v>34.380000000000003</v>
          </cell>
        </row>
        <row r="450">
          <cell r="B450" t="str">
            <v>GP3744A56-16</v>
          </cell>
          <cell r="C450">
            <v>26.8</v>
          </cell>
        </row>
        <row r="451">
          <cell r="B451" t="str">
            <v>GP3744A56-20</v>
          </cell>
          <cell r="C451">
            <v>27.98</v>
          </cell>
        </row>
        <row r="452">
          <cell r="B452" t="str">
            <v>GP3744A57-16</v>
          </cell>
          <cell r="C452">
            <v>24.42</v>
          </cell>
        </row>
        <row r="453">
          <cell r="B453" t="str">
            <v>GP3744A57-20</v>
          </cell>
          <cell r="C453">
            <v>25.6</v>
          </cell>
        </row>
        <row r="454">
          <cell r="B454" t="str">
            <v>GP3744A59-16</v>
          </cell>
          <cell r="C454">
            <v>26.83</v>
          </cell>
        </row>
        <row r="455">
          <cell r="B455" t="str">
            <v>GP3744A59-20</v>
          </cell>
          <cell r="C455">
            <v>28.01</v>
          </cell>
        </row>
        <row r="456">
          <cell r="B456" t="str">
            <v>GP3744A61-16</v>
          </cell>
          <cell r="C456">
            <v>26.32</v>
          </cell>
        </row>
        <row r="457">
          <cell r="B457" t="str">
            <v>GP3744A61-20</v>
          </cell>
          <cell r="C457">
            <v>27.5</v>
          </cell>
        </row>
        <row r="458">
          <cell r="B458" t="str">
            <v>GP3744A62-16</v>
          </cell>
          <cell r="C458">
            <v>28.65</v>
          </cell>
        </row>
        <row r="459">
          <cell r="B459" t="str">
            <v>GP3744A62-20</v>
          </cell>
          <cell r="C459">
            <v>29.83</v>
          </cell>
        </row>
        <row r="460">
          <cell r="B460" t="str">
            <v>GP3744A67-16</v>
          </cell>
          <cell r="C460">
            <v>20.309999999999999</v>
          </cell>
        </row>
        <row r="461">
          <cell r="B461" t="str">
            <v>GP3744A67-20</v>
          </cell>
          <cell r="C461">
            <v>32.31</v>
          </cell>
        </row>
        <row r="462">
          <cell r="B462" t="str">
            <v>GP3744A69-16</v>
          </cell>
          <cell r="C462">
            <v>28.27</v>
          </cell>
        </row>
        <row r="463">
          <cell r="B463" t="str">
            <v>GP3744A69-20</v>
          </cell>
          <cell r="C463">
            <v>29.45</v>
          </cell>
        </row>
        <row r="464">
          <cell r="B464" t="str">
            <v>GP3744A71-16</v>
          </cell>
          <cell r="C464">
            <v>25.83</v>
          </cell>
        </row>
        <row r="465">
          <cell r="B465" t="str">
            <v>GP3744A71-20</v>
          </cell>
          <cell r="C465">
            <v>27.01</v>
          </cell>
        </row>
        <row r="466">
          <cell r="B466" t="str">
            <v>GP3744A74-16</v>
          </cell>
          <cell r="C466">
            <v>28.06</v>
          </cell>
        </row>
        <row r="467">
          <cell r="B467" t="str">
            <v>GP3744A74-20</v>
          </cell>
          <cell r="C467">
            <v>29.24</v>
          </cell>
        </row>
        <row r="468">
          <cell r="B468" t="str">
            <v>GP3744A75-16</v>
          </cell>
          <cell r="C468">
            <v>27.71</v>
          </cell>
        </row>
        <row r="469">
          <cell r="B469" t="str">
            <v>GP3744A75-20</v>
          </cell>
          <cell r="C469">
            <v>28.89</v>
          </cell>
        </row>
        <row r="470">
          <cell r="B470" t="str">
            <v>GP3744B01-16</v>
          </cell>
          <cell r="C470">
            <v>27.38</v>
          </cell>
        </row>
        <row r="471">
          <cell r="B471" t="str">
            <v>GP3744B01-20</v>
          </cell>
          <cell r="C471">
            <v>28.54</v>
          </cell>
        </row>
        <row r="472">
          <cell r="B472" t="str">
            <v>GP3744B01-27</v>
          </cell>
          <cell r="C472">
            <v>26.37</v>
          </cell>
        </row>
        <row r="473">
          <cell r="B473" t="str">
            <v>GP3744B02-16</v>
          </cell>
          <cell r="C473">
            <v>23.13</v>
          </cell>
        </row>
        <row r="474">
          <cell r="B474" t="str">
            <v>GP3744B02-20</v>
          </cell>
          <cell r="C474">
            <v>24.3</v>
          </cell>
        </row>
        <row r="475">
          <cell r="B475" t="str">
            <v>GP3744G01-16</v>
          </cell>
          <cell r="C475">
            <v>25.22</v>
          </cell>
        </row>
        <row r="476">
          <cell r="B476" t="str">
            <v>GP3744G01-20</v>
          </cell>
          <cell r="C476">
            <v>26.4</v>
          </cell>
        </row>
        <row r="477">
          <cell r="B477" t="str">
            <v>GP3744G54-16</v>
          </cell>
          <cell r="C477">
            <v>26.41</v>
          </cell>
        </row>
        <row r="478">
          <cell r="B478" t="str">
            <v>GP3744G54-20</v>
          </cell>
          <cell r="C478">
            <v>27.59</v>
          </cell>
        </row>
        <row r="479">
          <cell r="B479" t="str">
            <v>GP3744G56-16</v>
          </cell>
          <cell r="C479">
            <v>26.42</v>
          </cell>
        </row>
        <row r="480">
          <cell r="B480" t="str">
            <v>GP4040A01-16</v>
          </cell>
          <cell r="C480">
            <v>26.37</v>
          </cell>
        </row>
        <row r="481">
          <cell r="B481" t="str">
            <v>GP4040B01-15</v>
          </cell>
          <cell r="C481">
            <v>12.76</v>
          </cell>
        </row>
        <row r="482">
          <cell r="B482" t="str">
            <v>GP4050A01-16</v>
          </cell>
          <cell r="C482">
            <v>13.69</v>
          </cell>
        </row>
        <row r="483">
          <cell r="B483" t="str">
            <v>GP4050B01-16</v>
          </cell>
          <cell r="C483">
            <v>16.97</v>
          </cell>
        </row>
        <row r="484">
          <cell r="B484" t="str">
            <v>GP4060A01-14</v>
          </cell>
          <cell r="C484">
            <v>3.76</v>
          </cell>
        </row>
        <row r="485">
          <cell r="B485" t="str">
            <v>GP4060B01-14</v>
          </cell>
          <cell r="C485">
            <v>5.58</v>
          </cell>
        </row>
        <row r="486">
          <cell r="B486" t="str">
            <v>GP4070A01-15</v>
          </cell>
          <cell r="C486">
            <v>7.36</v>
          </cell>
        </row>
        <row r="487">
          <cell r="B487" t="str">
            <v>GP4070B01-15</v>
          </cell>
          <cell r="C487">
            <v>11.71</v>
          </cell>
        </row>
        <row r="488">
          <cell r="B488" t="str">
            <v>GP4401C01-16</v>
          </cell>
          <cell r="C488">
            <v>17.600000000000001</v>
          </cell>
        </row>
        <row r="489">
          <cell r="B489" t="str">
            <v>GP4401C01-20</v>
          </cell>
          <cell r="C489">
            <v>18.71</v>
          </cell>
        </row>
        <row r="490">
          <cell r="B490" t="str">
            <v>GP4402C01-16</v>
          </cell>
          <cell r="C490">
            <v>15.29</v>
          </cell>
        </row>
        <row r="491">
          <cell r="B491" t="str">
            <v>GP4402C01-20</v>
          </cell>
          <cell r="C491">
            <v>20.55</v>
          </cell>
        </row>
        <row r="492">
          <cell r="B492" t="str">
            <v>GP4618A01-16</v>
          </cell>
          <cell r="C492">
            <v>26.33</v>
          </cell>
        </row>
        <row r="493">
          <cell r="B493" t="str">
            <v>GP4618A01-20</v>
          </cell>
          <cell r="C493">
            <v>27.5</v>
          </cell>
        </row>
        <row r="494">
          <cell r="B494" t="str">
            <v>GP4618A02-16</v>
          </cell>
          <cell r="C494">
            <v>27.36</v>
          </cell>
        </row>
        <row r="495">
          <cell r="B495" t="str">
            <v>GP4618A02-20</v>
          </cell>
          <cell r="C495">
            <v>28.54</v>
          </cell>
        </row>
        <row r="496">
          <cell r="B496" t="str">
            <v>GP4618A53-16</v>
          </cell>
          <cell r="C496">
            <v>33.630000000000003</v>
          </cell>
        </row>
        <row r="497">
          <cell r="B497" t="str">
            <v>GP4618A54-16</v>
          </cell>
          <cell r="C497">
            <v>28.58</v>
          </cell>
        </row>
        <row r="498">
          <cell r="B498" t="str">
            <v>GP4618A54-20</v>
          </cell>
          <cell r="C498">
            <v>29.74</v>
          </cell>
        </row>
        <row r="499">
          <cell r="B499" t="str">
            <v>GP4618A55-16</v>
          </cell>
          <cell r="C499">
            <v>33.340000000000003</v>
          </cell>
        </row>
        <row r="500">
          <cell r="B500" t="str">
            <v>GP4618A55-20</v>
          </cell>
          <cell r="C500">
            <v>34.520000000000003</v>
          </cell>
        </row>
        <row r="501">
          <cell r="B501" t="str">
            <v>GP4618A56-16</v>
          </cell>
          <cell r="C501">
            <v>28.29</v>
          </cell>
        </row>
        <row r="502">
          <cell r="B502" t="str">
            <v>GP4618A56-20</v>
          </cell>
          <cell r="C502">
            <v>29.45</v>
          </cell>
        </row>
        <row r="503">
          <cell r="B503" t="str">
            <v>GP4618A59-16</v>
          </cell>
          <cell r="C503">
            <v>29.03</v>
          </cell>
        </row>
        <row r="504">
          <cell r="B504" t="str">
            <v>GP4618A59-20</v>
          </cell>
          <cell r="C504">
            <v>30.21</v>
          </cell>
        </row>
        <row r="505">
          <cell r="B505" t="str">
            <v>GP4618A61-16</v>
          </cell>
          <cell r="C505">
            <v>27.1</v>
          </cell>
        </row>
        <row r="506">
          <cell r="B506" t="str">
            <v>GP4618A62-20</v>
          </cell>
          <cell r="C506">
            <v>34.270000000000003</v>
          </cell>
        </row>
        <row r="507">
          <cell r="B507" t="str">
            <v>GP4618A67-16</v>
          </cell>
          <cell r="C507">
            <v>34.31</v>
          </cell>
        </row>
        <row r="508">
          <cell r="B508" t="str">
            <v>GP4618A69-16</v>
          </cell>
          <cell r="C508">
            <v>38.36</v>
          </cell>
        </row>
        <row r="509">
          <cell r="B509" t="str">
            <v>GP4618A69-20</v>
          </cell>
          <cell r="C509">
            <v>39.520000000000003</v>
          </cell>
        </row>
        <row r="510">
          <cell r="B510" t="str">
            <v>GP4618A71-16</v>
          </cell>
          <cell r="C510">
            <v>29.01</v>
          </cell>
        </row>
        <row r="511">
          <cell r="B511" t="str">
            <v>GP4618A71-20</v>
          </cell>
          <cell r="C511">
            <v>30.19</v>
          </cell>
        </row>
        <row r="512">
          <cell r="B512" t="str">
            <v>GP4618A74-16</v>
          </cell>
          <cell r="C512">
            <v>34.32</v>
          </cell>
        </row>
        <row r="513">
          <cell r="B513" t="str">
            <v>GP4618A74-20</v>
          </cell>
          <cell r="C513">
            <v>35.5</v>
          </cell>
        </row>
        <row r="514">
          <cell r="B514" t="str">
            <v>GP4618A75-20</v>
          </cell>
          <cell r="C514">
            <v>30.96</v>
          </cell>
        </row>
        <row r="515">
          <cell r="B515" t="str">
            <v>GP4618B01-16</v>
          </cell>
          <cell r="C515">
            <v>45.71</v>
          </cell>
        </row>
        <row r="516">
          <cell r="B516" t="str">
            <v>GP4618B01-20</v>
          </cell>
          <cell r="C516">
            <v>46.87</v>
          </cell>
        </row>
        <row r="517">
          <cell r="B517" t="str">
            <v>GP4618E01-16</v>
          </cell>
          <cell r="C517">
            <v>31.57</v>
          </cell>
        </row>
        <row r="518">
          <cell r="B518" t="str">
            <v>GP4618E54-16</v>
          </cell>
          <cell r="C518">
            <v>32.93</v>
          </cell>
        </row>
        <row r="519">
          <cell r="B519" t="str">
            <v>GP4618E56-16</v>
          </cell>
          <cell r="C519">
            <v>32.729999999999997</v>
          </cell>
        </row>
        <row r="520">
          <cell r="B520" t="str">
            <v>GP4618E56-20</v>
          </cell>
          <cell r="C520">
            <v>33.909999999999997</v>
          </cell>
        </row>
        <row r="521">
          <cell r="B521" t="str">
            <v>GP4618E71-20</v>
          </cell>
          <cell r="C521">
            <v>34.42</v>
          </cell>
        </row>
        <row r="522">
          <cell r="B522" t="str">
            <v>GP4618E74-16</v>
          </cell>
          <cell r="C522">
            <v>37.729999999999997</v>
          </cell>
        </row>
        <row r="523">
          <cell r="B523" t="str">
            <v>GP4685A01-16</v>
          </cell>
          <cell r="C523">
            <v>29.08</v>
          </cell>
        </row>
        <row r="524">
          <cell r="B524" t="str">
            <v>GP4685A01-20</v>
          </cell>
          <cell r="C524">
            <v>30.26</v>
          </cell>
        </row>
        <row r="525">
          <cell r="B525" t="str">
            <v>GP4685A02-16</v>
          </cell>
          <cell r="C525">
            <v>32.619999999999997</v>
          </cell>
        </row>
        <row r="526">
          <cell r="B526" t="str">
            <v>GP4685A02-20</v>
          </cell>
          <cell r="C526">
            <v>32.020000000000003</v>
          </cell>
        </row>
        <row r="527">
          <cell r="B527" t="str">
            <v>GP4685A53-16</v>
          </cell>
          <cell r="C527">
            <v>28.69</v>
          </cell>
        </row>
        <row r="528">
          <cell r="B528" t="str">
            <v>GP4685A53-20</v>
          </cell>
          <cell r="C528">
            <v>29.87</v>
          </cell>
        </row>
        <row r="529">
          <cell r="B529" t="str">
            <v>GP4685A54-16</v>
          </cell>
          <cell r="C529">
            <v>32.229999999999997</v>
          </cell>
        </row>
        <row r="530">
          <cell r="B530" t="str">
            <v>GP4685A54-20</v>
          </cell>
          <cell r="C530">
            <v>30.74</v>
          </cell>
        </row>
        <row r="531">
          <cell r="B531" t="str">
            <v>GP4685A56-16</v>
          </cell>
          <cell r="C531">
            <v>30.38</v>
          </cell>
        </row>
        <row r="532">
          <cell r="B532" t="str">
            <v>GP4685A56-20</v>
          </cell>
          <cell r="C532">
            <v>30.91</v>
          </cell>
        </row>
        <row r="533">
          <cell r="B533" t="str">
            <v>GP4685A59-16</v>
          </cell>
          <cell r="C533">
            <v>31.04</v>
          </cell>
        </row>
        <row r="534">
          <cell r="B534" t="str">
            <v>GP4685A59-20</v>
          </cell>
          <cell r="C534">
            <v>32.24</v>
          </cell>
        </row>
        <row r="535">
          <cell r="B535" t="str">
            <v>GP4685A61-16</v>
          </cell>
          <cell r="C535">
            <v>28.92</v>
          </cell>
        </row>
        <row r="536">
          <cell r="B536" t="str">
            <v>GP4685A62-16</v>
          </cell>
          <cell r="C536">
            <v>31.51</v>
          </cell>
        </row>
        <row r="537">
          <cell r="B537" t="str">
            <v>GP4685A74-16</v>
          </cell>
          <cell r="C537">
            <v>36.25</v>
          </cell>
        </row>
        <row r="538">
          <cell r="B538" t="str">
            <v>GP4685A74-20</v>
          </cell>
          <cell r="C538">
            <v>35.44</v>
          </cell>
        </row>
        <row r="539">
          <cell r="B539" t="str">
            <v>GP4685B01-16</v>
          </cell>
          <cell r="C539">
            <v>45.71</v>
          </cell>
        </row>
        <row r="540">
          <cell r="B540" t="str">
            <v>GP4685B01-20</v>
          </cell>
          <cell r="C540">
            <v>46.87</v>
          </cell>
        </row>
        <row r="541">
          <cell r="B541" t="str">
            <v>GP4685W01-16</v>
          </cell>
          <cell r="C541">
            <v>32.72</v>
          </cell>
        </row>
        <row r="542">
          <cell r="B542" t="str">
            <v>GP4685W01-20</v>
          </cell>
          <cell r="C542">
            <v>33.9</v>
          </cell>
        </row>
        <row r="543">
          <cell r="B543" t="str">
            <v>GP4685W02-16</v>
          </cell>
          <cell r="C543">
            <v>33.58</v>
          </cell>
        </row>
        <row r="544">
          <cell r="B544" t="str">
            <v>GP4685W02-20</v>
          </cell>
          <cell r="C544">
            <v>33.9</v>
          </cell>
        </row>
        <row r="545">
          <cell r="B545" t="str">
            <v>GP4685W55-16</v>
          </cell>
          <cell r="C545">
            <v>31.87</v>
          </cell>
        </row>
        <row r="546">
          <cell r="B546" t="str">
            <v>GP4685W55-20</v>
          </cell>
          <cell r="C546">
            <v>33.04</v>
          </cell>
        </row>
        <row r="547">
          <cell r="B547" t="str">
            <v>GP4685W59-16</v>
          </cell>
          <cell r="C547">
            <v>31.69</v>
          </cell>
        </row>
        <row r="548">
          <cell r="B548" t="str">
            <v>GP4685W59-20</v>
          </cell>
          <cell r="C548">
            <v>31.47</v>
          </cell>
        </row>
        <row r="549">
          <cell r="B549" t="str">
            <v>GP4700A01-16</v>
          </cell>
          <cell r="C549">
            <v>18.940000000000001</v>
          </cell>
        </row>
        <row r="550">
          <cell r="B550" t="str">
            <v>GP4700A01-20</v>
          </cell>
          <cell r="C550">
            <v>22.31</v>
          </cell>
        </row>
        <row r="551">
          <cell r="B551" t="str">
            <v>GP4772C01-20</v>
          </cell>
          <cell r="C551">
            <v>15.29</v>
          </cell>
        </row>
        <row r="552">
          <cell r="B552" t="str">
            <v>GP4844A01-16</v>
          </cell>
          <cell r="C552">
            <v>44.61</v>
          </cell>
        </row>
        <row r="553">
          <cell r="B553" t="str">
            <v>GP4844B01-16</v>
          </cell>
          <cell r="C553">
            <v>54.02</v>
          </cell>
        </row>
        <row r="554">
          <cell r="B554" t="str">
            <v>GP5190C01-16</v>
          </cell>
          <cell r="C554">
            <v>22.33</v>
          </cell>
        </row>
        <row r="555">
          <cell r="B555" t="str">
            <v>GP5190C01-20</v>
          </cell>
          <cell r="C555">
            <v>21.83</v>
          </cell>
        </row>
        <row r="556">
          <cell r="B556" t="str">
            <v>GP5191C01-16</v>
          </cell>
          <cell r="C556">
            <v>21.98</v>
          </cell>
        </row>
        <row r="557">
          <cell r="B557" t="str">
            <v>GP5531C01-14</v>
          </cell>
          <cell r="C557">
            <v>3.81</v>
          </cell>
        </row>
        <row r="558">
          <cell r="B558" t="str">
            <v>GP5555C01-16</v>
          </cell>
          <cell r="C558">
            <v>28.6</v>
          </cell>
        </row>
        <row r="559">
          <cell r="B559" t="str">
            <v>GP5555C01-20</v>
          </cell>
          <cell r="C559">
            <v>29.76</v>
          </cell>
        </row>
        <row r="560">
          <cell r="B560" t="str">
            <v>GP5677C01-16</v>
          </cell>
          <cell r="C560">
            <v>9.6999999999999993</v>
          </cell>
        </row>
        <row r="561">
          <cell r="B561" t="str">
            <v>GP5751C01-16</v>
          </cell>
          <cell r="C561">
            <v>10.24</v>
          </cell>
        </row>
        <row r="562">
          <cell r="B562" t="str">
            <v>GP8548A01-16</v>
          </cell>
          <cell r="C562">
            <v>36.549999999999997</v>
          </cell>
        </row>
        <row r="563">
          <cell r="B563" t="str">
            <v>GP8548B01-16</v>
          </cell>
          <cell r="C563">
            <v>24.76</v>
          </cell>
        </row>
        <row r="564">
          <cell r="B564" t="str">
            <v>GP8744A01-16</v>
          </cell>
          <cell r="C564">
            <v>24.57</v>
          </cell>
        </row>
        <row r="565">
          <cell r="B565" t="str">
            <v>GP8744A01-20</v>
          </cell>
          <cell r="C565">
            <v>23.76</v>
          </cell>
        </row>
        <row r="566">
          <cell r="B566" t="str">
            <v>GP8744A02-16</v>
          </cell>
          <cell r="C566">
            <v>26.79</v>
          </cell>
        </row>
        <row r="567">
          <cell r="B567" t="str">
            <v>GP8744A56-16</v>
          </cell>
          <cell r="C567">
            <v>27.89</v>
          </cell>
        </row>
        <row r="568">
          <cell r="B568" t="str">
            <v>GP8744A56-20</v>
          </cell>
          <cell r="C568">
            <v>29.07</v>
          </cell>
        </row>
        <row r="569">
          <cell r="B569" t="str">
            <v>GP8744A75-16</v>
          </cell>
          <cell r="C569">
            <v>28.8</v>
          </cell>
        </row>
        <row r="570">
          <cell r="B570" t="str">
            <v>GP8744A75-20</v>
          </cell>
          <cell r="C570">
            <v>29.98</v>
          </cell>
        </row>
        <row r="571">
          <cell r="B571" t="str">
            <v>GP8744B01-16</v>
          </cell>
          <cell r="C571">
            <v>27.74</v>
          </cell>
        </row>
        <row r="572">
          <cell r="B572" t="str">
            <v>GP8744B01-20</v>
          </cell>
          <cell r="C572">
            <v>27.38</v>
          </cell>
        </row>
        <row r="573">
          <cell r="B573" t="str">
            <v>GP9685A01-16</v>
          </cell>
          <cell r="C573">
            <v>30.54</v>
          </cell>
        </row>
        <row r="574">
          <cell r="B574" t="str">
            <v>GP9685B01-16</v>
          </cell>
          <cell r="C574">
            <v>60.89</v>
          </cell>
        </row>
        <row r="575">
          <cell r="B575" t="str">
            <v>GPL511A01-27</v>
          </cell>
          <cell r="C575">
            <v>22.4</v>
          </cell>
        </row>
        <row r="576">
          <cell r="B576" t="str">
            <v>GPL511B01-27</v>
          </cell>
          <cell r="C576">
            <v>32.47</v>
          </cell>
        </row>
        <row r="577">
          <cell r="B577" t="str">
            <v>GPP000105-20</v>
          </cell>
          <cell r="C577">
            <v>30.03</v>
          </cell>
        </row>
        <row r="578">
          <cell r="B578" t="str">
            <v>GPT763B01-16</v>
          </cell>
          <cell r="C578">
            <v>16.43</v>
          </cell>
        </row>
        <row r="579">
          <cell r="B579" t="str">
            <v>GPT763B01-20</v>
          </cell>
          <cell r="C579">
            <v>17.600000000000001</v>
          </cell>
        </row>
        <row r="580">
          <cell r="B580" t="str">
            <v>GPT867B01-16</v>
          </cell>
          <cell r="C580">
            <v>14.73</v>
          </cell>
        </row>
        <row r="581">
          <cell r="B581" t="str">
            <v>GPT867B01-27</v>
          </cell>
          <cell r="C581">
            <v>13.74</v>
          </cell>
        </row>
        <row r="582">
          <cell r="B582" t="str">
            <v>GPT910A01-17</v>
          </cell>
          <cell r="C582">
            <v>21.28</v>
          </cell>
        </row>
        <row r="583">
          <cell r="B583" t="str">
            <v>KB58AQ001-36</v>
          </cell>
          <cell r="C583">
            <v>52.53</v>
          </cell>
        </row>
        <row r="584">
          <cell r="B584" t="str">
            <v>KB58AQ002-36</v>
          </cell>
          <cell r="C584">
            <v>34.93</v>
          </cell>
        </row>
        <row r="585">
          <cell r="B585" t="str">
            <v>KB58AQ033-35</v>
          </cell>
          <cell r="C585">
            <v>43.73</v>
          </cell>
        </row>
        <row r="586">
          <cell r="B586" t="str">
            <v>KB58AQ655-35</v>
          </cell>
          <cell r="C586">
            <v>65.319999999999993</v>
          </cell>
        </row>
        <row r="587">
          <cell r="B587" t="str">
            <v>KB58AQ656-35</v>
          </cell>
          <cell r="C587">
            <v>64.42</v>
          </cell>
        </row>
        <row r="588">
          <cell r="B588" t="str">
            <v>KB58CQ033-35</v>
          </cell>
          <cell r="C588">
            <v>37.799999999999997</v>
          </cell>
        </row>
        <row r="589">
          <cell r="B589" t="str">
            <v>KB58HQ658-35</v>
          </cell>
          <cell r="C589">
            <v>63.78</v>
          </cell>
        </row>
        <row r="590">
          <cell r="B590" t="str">
            <v>KB58RQ657-35</v>
          </cell>
          <cell r="C590">
            <v>64.59</v>
          </cell>
        </row>
        <row r="591">
          <cell r="B591" t="str">
            <v>KB58VQ650-35</v>
          </cell>
          <cell r="C591">
            <v>59.79</v>
          </cell>
        </row>
        <row r="592">
          <cell r="B592" t="str">
            <v>KB58WQ651-35</v>
          </cell>
          <cell r="C592">
            <v>62.73</v>
          </cell>
        </row>
        <row r="593">
          <cell r="B593" t="str">
            <v>KB58YX650-35</v>
          </cell>
          <cell r="C593">
            <v>34.64</v>
          </cell>
        </row>
        <row r="594">
          <cell r="B594" t="str">
            <v>KB70AQ011-35</v>
          </cell>
          <cell r="C594">
            <v>29.21</v>
          </cell>
        </row>
        <row r="595">
          <cell r="B595" t="str">
            <v>KB70AQ021-35</v>
          </cell>
          <cell r="C595">
            <v>42.97</v>
          </cell>
        </row>
        <row r="596">
          <cell r="B596" t="str">
            <v>KB70CQ020-35</v>
          </cell>
          <cell r="C596">
            <v>45.79</v>
          </cell>
        </row>
        <row r="597">
          <cell r="B597" t="str">
            <v>KB70HQ023-35</v>
          </cell>
          <cell r="C597">
            <v>17.190000000000001</v>
          </cell>
        </row>
        <row r="598">
          <cell r="B598" t="str">
            <v>KB70TX020-35</v>
          </cell>
          <cell r="C598">
            <v>18.62</v>
          </cell>
        </row>
        <row r="599">
          <cell r="B599" t="str">
            <v>KB70VQ010-35</v>
          </cell>
          <cell r="C599">
            <v>19.93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nea Arquitectonica"/>
      <sheetName val="tinte Arq."/>
      <sheetName val="Linea Industria"/>
      <sheetName val="Tintes Industria"/>
      <sheetName val="Linea Importados"/>
      <sheetName val="Linea Madera "/>
      <sheetName val="Tintes Madera"/>
      <sheetName val="Linea Automotriz"/>
      <sheetName val="Linea Solventes"/>
      <sheetName val="Linea Asociados"/>
      <sheetName val="Linea Equipos Graco"/>
      <sheetName val="Promocionales"/>
      <sheetName val="lista completa"/>
    </sheetNames>
    <sheetDataSet>
      <sheetData sheetId="0">
        <row r="4">
          <cell r="A4" t="str">
            <v>A24W451-1</v>
          </cell>
          <cell r="B4" t="str">
            <v>LN</v>
          </cell>
          <cell r="C4" t="str">
            <v>LOXON XP MATE BASE EXTRA WHITE</v>
          </cell>
          <cell r="D4">
            <v>30.34</v>
          </cell>
          <cell r="E4">
            <v>34.28</v>
          </cell>
          <cell r="F4">
            <v>46.81</v>
          </cell>
          <cell r="G4">
            <v>52.9</v>
          </cell>
        </row>
        <row r="5">
          <cell r="A5" t="str">
            <v>A24W451-5</v>
          </cell>
          <cell r="B5" t="str">
            <v>LN</v>
          </cell>
          <cell r="C5" t="str">
            <v>LOXON XP MATE BASE EXTRA WHITE</v>
          </cell>
          <cell r="D5">
            <v>139.34</v>
          </cell>
          <cell r="E5">
            <v>157.44999999999999</v>
          </cell>
          <cell r="F5">
            <v>215.93</v>
          </cell>
          <cell r="G5">
            <v>244</v>
          </cell>
        </row>
        <row r="7">
          <cell r="A7" t="str">
            <v>A24W453-1</v>
          </cell>
          <cell r="B7" t="str">
            <v>LN</v>
          </cell>
          <cell r="C7" t="str">
            <v>LOXON XP MATE BASE DEEP</v>
          </cell>
          <cell r="D7">
            <v>26.83</v>
          </cell>
          <cell r="E7">
            <v>30.32</v>
          </cell>
          <cell r="F7">
            <v>46.81</v>
          </cell>
          <cell r="G7">
            <v>52.9</v>
          </cell>
        </row>
        <row r="8">
          <cell r="A8" t="str">
            <v>A24W453-5</v>
          </cell>
          <cell r="B8" t="str">
            <v>LN</v>
          </cell>
          <cell r="C8" t="str">
            <v>LOXON XP MATE BASE DEEP</v>
          </cell>
          <cell r="D8">
            <v>121.83</v>
          </cell>
          <cell r="E8">
            <v>137.66999999999999</v>
          </cell>
          <cell r="F8">
            <v>215.93</v>
          </cell>
          <cell r="G8">
            <v>244</v>
          </cell>
        </row>
        <row r="10">
          <cell r="A10" t="str">
            <v>A24T454-1</v>
          </cell>
          <cell r="B10" t="str">
            <v>LN</v>
          </cell>
          <cell r="C10" t="str">
            <v>LOXON XP MATE BASE ULTRA DEEP</v>
          </cell>
          <cell r="D10">
            <v>26.83</v>
          </cell>
          <cell r="E10">
            <v>30.32</v>
          </cell>
          <cell r="F10">
            <v>46.81</v>
          </cell>
          <cell r="G10">
            <v>52.9</v>
          </cell>
        </row>
        <row r="11">
          <cell r="A11" t="str">
            <v>A24T454-5</v>
          </cell>
          <cell r="B11" t="str">
            <v>LN</v>
          </cell>
          <cell r="C11" t="str">
            <v>LOXON XP MATE BASE ULTRA DEEP</v>
          </cell>
          <cell r="D11">
            <v>121.83</v>
          </cell>
          <cell r="E11">
            <v>137.66999999999999</v>
          </cell>
          <cell r="F11">
            <v>215.93</v>
          </cell>
          <cell r="G11">
            <v>244</v>
          </cell>
        </row>
        <row r="13">
          <cell r="A13" t="str">
            <v>A24W457-1</v>
          </cell>
          <cell r="B13" t="str">
            <v>LN</v>
          </cell>
          <cell r="C13" t="str">
            <v>LOXON XP MATE ULTRA BLANCO</v>
          </cell>
          <cell r="D13">
            <v>31.83</v>
          </cell>
          <cell r="E13">
            <v>35.97</v>
          </cell>
          <cell r="F13">
            <v>46.81</v>
          </cell>
          <cell r="G13">
            <v>52.9</v>
          </cell>
        </row>
        <row r="14">
          <cell r="A14" t="str">
            <v>A24W457-5</v>
          </cell>
          <cell r="B14" t="str">
            <v>LN</v>
          </cell>
          <cell r="C14" t="str">
            <v>LOXON XP MATE ULTRA BLANCO</v>
          </cell>
          <cell r="D14">
            <v>146.83000000000001</v>
          </cell>
          <cell r="E14">
            <v>165.92</v>
          </cell>
          <cell r="F14">
            <v>215.93</v>
          </cell>
          <cell r="G14">
            <v>244</v>
          </cell>
        </row>
        <row r="16">
          <cell r="C16" t="str">
            <v xml:space="preserve">EXTERIOR ACCENT LATEX MATE </v>
          </cell>
        </row>
        <row r="18">
          <cell r="A18" t="str">
            <v>Y4RSA58-1</v>
          </cell>
          <cell r="B18" t="str">
            <v>LN</v>
          </cell>
          <cell r="C18" t="str">
            <v>EXTERIOR ACCENT LATEX MATE BASE PRIMARY RED</v>
          </cell>
          <cell r="D18">
            <v>28.04</v>
          </cell>
          <cell r="E18">
            <v>31.68</v>
          </cell>
          <cell r="F18">
            <v>48.58</v>
          </cell>
          <cell r="G18">
            <v>54.9</v>
          </cell>
        </row>
        <row r="19">
          <cell r="A19" t="str">
            <v>Y4TSA54-1</v>
          </cell>
          <cell r="B19" t="str">
            <v>LN</v>
          </cell>
          <cell r="C19" t="str">
            <v>EXTERIOR ACCENT LATEX MATE BASE CHROMA</v>
          </cell>
          <cell r="D19">
            <v>28.04</v>
          </cell>
          <cell r="E19">
            <v>31.68</v>
          </cell>
          <cell r="F19">
            <v>48.58</v>
          </cell>
          <cell r="G19">
            <v>54.9</v>
          </cell>
        </row>
        <row r="20">
          <cell r="A20" t="str">
            <v>Y4YSA57-1</v>
          </cell>
          <cell r="B20" t="str">
            <v>LN</v>
          </cell>
          <cell r="C20" t="str">
            <v>EXTERIOR ACCENT LATEX MATE BASE VIVID YELLOW</v>
          </cell>
          <cell r="D20">
            <v>28.04</v>
          </cell>
          <cell r="E20">
            <v>31.68</v>
          </cell>
          <cell r="F20">
            <v>48.58</v>
          </cell>
          <cell r="G20">
            <v>54.9</v>
          </cell>
        </row>
        <row r="22">
          <cell r="A22" t="str">
            <v>Y4YSA57-5</v>
          </cell>
          <cell r="B22" t="str">
            <v>LN</v>
          </cell>
          <cell r="C22" t="str">
            <v>EXTERIOR ACCENT LATEX MATE BASE VIVID YELLOW</v>
          </cell>
          <cell r="D22">
            <v>123.64</v>
          </cell>
          <cell r="E22">
            <v>139.71</v>
          </cell>
          <cell r="F22">
            <v>218.58</v>
          </cell>
          <cell r="G22">
            <v>247</v>
          </cell>
        </row>
        <row r="24">
          <cell r="C24" t="str">
            <v>EXTERIOR ACCENT LATEX SATINADO</v>
          </cell>
        </row>
        <row r="26">
          <cell r="A26" t="str">
            <v>Y4RSA158-1</v>
          </cell>
          <cell r="B26" t="str">
            <v>LN</v>
          </cell>
          <cell r="C26" t="str">
            <v>EXTERIOR ACCENT LATEX SATINADO BASE PRIMARY RED</v>
          </cell>
          <cell r="D26">
            <v>29.6</v>
          </cell>
          <cell r="E26">
            <v>33.450000000000003</v>
          </cell>
          <cell r="F26">
            <v>50.88</v>
          </cell>
          <cell r="G26">
            <v>57.5</v>
          </cell>
        </row>
        <row r="27">
          <cell r="A27" t="str">
            <v>Y4TSA154-1</v>
          </cell>
          <cell r="B27" t="str">
            <v>LN</v>
          </cell>
          <cell r="C27" t="str">
            <v>EXTERIOR ACCENT LATEX SATINADO BASE CHROMA</v>
          </cell>
          <cell r="D27">
            <v>29.6</v>
          </cell>
          <cell r="E27">
            <v>33.450000000000003</v>
          </cell>
          <cell r="F27">
            <v>50.88</v>
          </cell>
          <cell r="G27">
            <v>57.5</v>
          </cell>
        </row>
        <row r="28">
          <cell r="A28" t="str">
            <v>Y4YSA157-1</v>
          </cell>
          <cell r="B28" t="str">
            <v>LN</v>
          </cell>
          <cell r="C28" t="str">
            <v>EXTERIOR ACCENT LATEX SATINADO BASE VIVID YELLOW</v>
          </cell>
          <cell r="D28">
            <v>29.6</v>
          </cell>
          <cell r="E28">
            <v>33.450000000000003</v>
          </cell>
          <cell r="F28">
            <v>50.88</v>
          </cell>
          <cell r="G28">
            <v>57.5</v>
          </cell>
        </row>
        <row r="30">
          <cell r="A30" t="str">
            <v>Y4YSA157-5</v>
          </cell>
          <cell r="B30" t="str">
            <v>LN</v>
          </cell>
          <cell r="C30" t="str">
            <v>EXTERIOR ACCENT LATEX SATINADO BASE VIVID YELLOW</v>
          </cell>
          <cell r="D30">
            <v>126.04</v>
          </cell>
          <cell r="E30">
            <v>142.43</v>
          </cell>
          <cell r="F30">
            <v>222.12</v>
          </cell>
          <cell r="G30">
            <v>251</v>
          </cell>
        </row>
        <row r="32">
          <cell r="C32" t="str">
            <v>COLORACCENTS LATEX MATE  INTERIOR</v>
          </cell>
        </row>
        <row r="34">
          <cell r="A34" t="str">
            <v>Y21YSA157-1/4</v>
          </cell>
          <cell r="B34" t="str">
            <v>LN</v>
          </cell>
          <cell r="C34" t="str">
            <v>COLORACCENTS LATEX INTERIOR MATE BASE BRIGHT YELLOW</v>
          </cell>
          <cell r="D34">
            <v>7.23</v>
          </cell>
          <cell r="E34">
            <v>8.17</v>
          </cell>
          <cell r="F34">
            <v>12.83</v>
          </cell>
          <cell r="G34">
            <v>14.5</v>
          </cell>
        </row>
        <row r="35">
          <cell r="A35" t="str">
            <v>Y21RSA158-1/4</v>
          </cell>
          <cell r="B35" t="str">
            <v>LN</v>
          </cell>
          <cell r="C35" t="str">
            <v>COLORACCENTS LATEX INTERIOR MATE BASE REAL RED</v>
          </cell>
          <cell r="D35">
            <v>7.23</v>
          </cell>
          <cell r="E35">
            <v>8.17</v>
          </cell>
          <cell r="F35">
            <v>12.83</v>
          </cell>
          <cell r="G35">
            <v>14.5</v>
          </cell>
        </row>
        <row r="36">
          <cell r="A36" t="str">
            <v>Y21TSA154-1/4</v>
          </cell>
          <cell r="B36" t="str">
            <v>LN</v>
          </cell>
          <cell r="C36" t="str">
            <v>COLORACCENTS LATEX INTERIOR MATE BASE ULTRA DEEP</v>
          </cell>
          <cell r="D36">
            <v>7.23</v>
          </cell>
          <cell r="E36">
            <v>8.17</v>
          </cell>
          <cell r="F36">
            <v>12.83</v>
          </cell>
          <cell r="G36">
            <v>14.5</v>
          </cell>
        </row>
        <row r="38">
          <cell r="A38" t="str">
            <v>Y21YSA157-1</v>
          </cell>
          <cell r="B38" t="str">
            <v>LN</v>
          </cell>
          <cell r="C38" t="str">
            <v>COLORACCENTS LATEX INTERIOR MATE BASE BRIGHT YELLOW</v>
          </cell>
          <cell r="D38">
            <v>24.79</v>
          </cell>
          <cell r="E38">
            <v>28.01</v>
          </cell>
          <cell r="F38">
            <v>43.81</v>
          </cell>
          <cell r="G38">
            <v>49.5</v>
          </cell>
        </row>
        <row r="39">
          <cell r="A39" t="str">
            <v>Y21RSA158-1</v>
          </cell>
          <cell r="B39" t="str">
            <v>LN</v>
          </cell>
          <cell r="C39" t="str">
            <v>COLORACCENTS LATEX INTERIOR MATE BASE REAL RED</v>
          </cell>
          <cell r="D39">
            <v>24.79</v>
          </cell>
          <cell r="E39">
            <v>28.01</v>
          </cell>
          <cell r="F39">
            <v>43.81</v>
          </cell>
          <cell r="G39">
            <v>49.5</v>
          </cell>
        </row>
        <row r="40">
          <cell r="A40" t="str">
            <v>Y21TSA154-1</v>
          </cell>
          <cell r="B40" t="str">
            <v>LN</v>
          </cell>
          <cell r="C40" t="str">
            <v>COLORACCENTS LATEX INTERIOR MATE BASE ULTRA DEEP</v>
          </cell>
          <cell r="D40">
            <v>24.79</v>
          </cell>
          <cell r="E40">
            <v>28.01</v>
          </cell>
          <cell r="F40">
            <v>43.81</v>
          </cell>
          <cell r="G40">
            <v>49.5</v>
          </cell>
        </row>
        <row r="42">
          <cell r="A42" t="str">
            <v>Y21TSA154-5</v>
          </cell>
          <cell r="B42" t="str">
            <v>LN</v>
          </cell>
          <cell r="C42" t="str">
            <v>COLORACCENTS LATEX INTERIOR MATE BASE ULTRA DEEP</v>
          </cell>
          <cell r="D42">
            <v>103.78</v>
          </cell>
          <cell r="E42">
            <v>117.27</v>
          </cell>
          <cell r="F42">
            <v>189.38</v>
          </cell>
          <cell r="G42">
            <v>214</v>
          </cell>
        </row>
        <row r="44">
          <cell r="C44" t="str">
            <v>COLORACCENTS LATEX SATINADO INTERIOR</v>
          </cell>
        </row>
        <row r="46">
          <cell r="A46" t="str">
            <v>Y38YSA157-1</v>
          </cell>
          <cell r="B46" t="str">
            <v>LN</v>
          </cell>
          <cell r="C46" t="str">
            <v>COLORACCENTS LATEX INTERIOR SATINADO BASE BRIGHT YELLOW</v>
          </cell>
          <cell r="D46">
            <v>25.39</v>
          </cell>
          <cell r="E46">
            <v>28.69</v>
          </cell>
          <cell r="F46">
            <v>44.69</v>
          </cell>
          <cell r="G46">
            <v>50.5</v>
          </cell>
        </row>
        <row r="47">
          <cell r="A47" t="str">
            <v>Y38RSA158-1</v>
          </cell>
          <cell r="B47" t="str">
            <v>LN</v>
          </cell>
          <cell r="C47" t="str">
            <v>COLORACCENTS LATEX INTERIOR SATINADO BASE REAL RED</v>
          </cell>
          <cell r="D47">
            <v>25.39</v>
          </cell>
          <cell r="E47">
            <v>28.69</v>
          </cell>
          <cell r="F47">
            <v>44.69</v>
          </cell>
          <cell r="G47">
            <v>50.5</v>
          </cell>
        </row>
        <row r="48">
          <cell r="A48" t="str">
            <v>Y38TSA154-1</v>
          </cell>
          <cell r="B48" t="str">
            <v>LN</v>
          </cell>
          <cell r="C48" t="str">
            <v>COLORACCENTS LATEX INTERIOR SATINADO BASE ULTRA DEEP</v>
          </cell>
          <cell r="D48">
            <v>25.39</v>
          </cell>
          <cell r="E48">
            <v>28.69</v>
          </cell>
          <cell r="F48">
            <v>44.69</v>
          </cell>
          <cell r="G48">
            <v>50.5</v>
          </cell>
        </row>
        <row r="50">
          <cell r="C50" t="str">
            <v>COLORACCENTS ESMALTE ALQUIDICO SEMIBRILLANTE INTERIOR</v>
          </cell>
        </row>
        <row r="52">
          <cell r="A52" t="str">
            <v>Y14TSA154-1</v>
          </cell>
          <cell r="B52" t="str">
            <v>LN</v>
          </cell>
          <cell r="C52" t="str">
            <v>COLORACCENTS ALKYD INTERIOR SEMI BRILLANTE BASE ULTRADEEP</v>
          </cell>
          <cell r="D52">
            <v>40.07</v>
          </cell>
          <cell r="E52">
            <v>45.28</v>
          </cell>
          <cell r="F52">
            <v>66.28</v>
          </cell>
          <cell r="G52">
            <v>74.900000000000006</v>
          </cell>
        </row>
        <row r="54">
          <cell r="C54" t="str">
            <v>SUPERPAINT INTERIOR MATE</v>
          </cell>
        </row>
        <row r="56">
          <cell r="A56" t="str">
            <v>A86WSA51-1/4</v>
          </cell>
          <cell r="B56" t="str">
            <v>PE</v>
          </cell>
          <cell r="C56" t="str">
            <v>SUPERPAINT INTERIOR MATE BASE EXTRA WHITE</v>
          </cell>
          <cell r="D56">
            <v>7.63</v>
          </cell>
          <cell r="E56">
            <v>8.6199999999999992</v>
          </cell>
          <cell r="F56">
            <v>11.95</v>
          </cell>
          <cell r="G56">
            <v>13.5</v>
          </cell>
        </row>
        <row r="57">
          <cell r="A57" t="str">
            <v>A86WSA53-1/4</v>
          </cell>
          <cell r="B57" t="str">
            <v>PE</v>
          </cell>
          <cell r="C57" t="str">
            <v>SUPERPAINT INTERIOR MATE BASE DEEP</v>
          </cell>
          <cell r="D57">
            <v>6.63</v>
          </cell>
          <cell r="E57">
            <v>7.49</v>
          </cell>
          <cell r="F57">
            <v>11.95</v>
          </cell>
          <cell r="G57">
            <v>13.5</v>
          </cell>
        </row>
        <row r="58">
          <cell r="A58" t="str">
            <v>A86TSA54-1/4</v>
          </cell>
          <cell r="B58" t="str">
            <v>PE</v>
          </cell>
          <cell r="C58" t="str">
            <v>SUPERPAINT INTERIOR MATE BASE ULTRA DEEP</v>
          </cell>
          <cell r="D58">
            <v>6.63</v>
          </cell>
          <cell r="E58">
            <v>7.49</v>
          </cell>
          <cell r="F58">
            <v>11.95</v>
          </cell>
          <cell r="G58">
            <v>13.5</v>
          </cell>
        </row>
        <row r="60">
          <cell r="A60" t="str">
            <v>A86W57-1</v>
          </cell>
          <cell r="B60" t="str">
            <v>LN</v>
          </cell>
          <cell r="C60" t="str">
            <v>SUPERPAINT INTERIOR MATE BLANCO</v>
          </cell>
          <cell r="D60">
            <v>28.58</v>
          </cell>
          <cell r="E60">
            <v>32.299999999999997</v>
          </cell>
          <cell r="F60">
            <v>42.04</v>
          </cell>
          <cell r="G60">
            <v>47.5</v>
          </cell>
        </row>
        <row r="61">
          <cell r="A61" t="str">
            <v>A86WSA51-1</v>
          </cell>
          <cell r="B61" t="str">
            <v>LN</v>
          </cell>
          <cell r="C61" t="str">
            <v>SUPERPAINT INTERIOR MATE BASE EXTRA WHITE</v>
          </cell>
          <cell r="D61">
            <v>27.09</v>
          </cell>
          <cell r="E61">
            <v>30.61</v>
          </cell>
          <cell r="F61">
            <v>42.04</v>
          </cell>
          <cell r="G61">
            <v>47.5</v>
          </cell>
        </row>
        <row r="62">
          <cell r="A62" t="str">
            <v>A86WSA53-1</v>
          </cell>
          <cell r="B62" t="str">
            <v>LN</v>
          </cell>
          <cell r="C62" t="str">
            <v>SUPERPAINT INTERIOR MATE BASE DEEP</v>
          </cell>
          <cell r="D62">
            <v>23.58</v>
          </cell>
          <cell r="E62">
            <v>26.65</v>
          </cell>
          <cell r="F62">
            <v>42.04</v>
          </cell>
          <cell r="G62">
            <v>47.5</v>
          </cell>
        </row>
        <row r="63">
          <cell r="A63" t="str">
            <v>A86TSA54-1</v>
          </cell>
          <cell r="B63" t="str">
            <v>LN</v>
          </cell>
          <cell r="C63" t="str">
            <v>SUPERPAINT INTERIOR MATE BASE ULTRA DEEP</v>
          </cell>
          <cell r="D63">
            <v>23.58</v>
          </cell>
          <cell r="E63">
            <v>26.65</v>
          </cell>
          <cell r="F63">
            <v>42.04</v>
          </cell>
          <cell r="G63">
            <v>47.5</v>
          </cell>
        </row>
        <row r="65">
          <cell r="A65" t="str">
            <v>A86W57-5</v>
          </cell>
          <cell r="B65" t="str">
            <v>LN</v>
          </cell>
          <cell r="C65" t="str">
            <v>SUPERPAINT INTERIOR MATE BLANCO</v>
          </cell>
          <cell r="D65">
            <v>136</v>
          </cell>
          <cell r="E65">
            <v>153.68</v>
          </cell>
          <cell r="F65">
            <v>200</v>
          </cell>
          <cell r="G65">
            <v>226</v>
          </cell>
        </row>
        <row r="66">
          <cell r="A66" t="str">
            <v>A86WSA51-5</v>
          </cell>
          <cell r="B66" t="str">
            <v>LN</v>
          </cell>
          <cell r="C66" t="str">
            <v>SUPERPAINT INTERIOR MATE BASE EXTRA WHITE</v>
          </cell>
          <cell r="D66">
            <v>128.5</v>
          </cell>
          <cell r="E66">
            <v>145.21</v>
          </cell>
          <cell r="F66">
            <v>200</v>
          </cell>
          <cell r="G66">
            <v>226</v>
          </cell>
        </row>
        <row r="67">
          <cell r="A67" t="str">
            <v>A86WSA53-5</v>
          </cell>
          <cell r="B67" t="str">
            <v>LN</v>
          </cell>
          <cell r="C67" t="str">
            <v>SUPERPAINT INTERIOR MATE BASE DEEP</v>
          </cell>
          <cell r="D67">
            <v>111</v>
          </cell>
          <cell r="E67">
            <v>125.43</v>
          </cell>
          <cell r="F67">
            <v>200</v>
          </cell>
          <cell r="G67">
            <v>226</v>
          </cell>
        </row>
        <row r="68">
          <cell r="A68" t="str">
            <v>A86TSA54-5</v>
          </cell>
          <cell r="B68" t="str">
            <v>LN</v>
          </cell>
          <cell r="C68" t="str">
            <v>SUPERPAINT INTERIOR MATE BASE ULTRA DEEP</v>
          </cell>
          <cell r="D68">
            <v>111</v>
          </cell>
          <cell r="E68">
            <v>125.43</v>
          </cell>
          <cell r="F68">
            <v>200</v>
          </cell>
          <cell r="G68">
            <v>226</v>
          </cell>
        </row>
        <row r="70">
          <cell r="C70" t="str">
            <v>SUPERPAINT INTERIOR SATINADO</v>
          </cell>
        </row>
        <row r="72">
          <cell r="A72" t="str">
            <v>A87WSA1-1</v>
          </cell>
          <cell r="B72" t="str">
            <v>LN</v>
          </cell>
          <cell r="C72" t="str">
            <v>SUPERPAINT INTERIOR LATEX SATINADO BLANCO</v>
          </cell>
          <cell r="D72">
            <v>29.79</v>
          </cell>
          <cell r="E72">
            <v>33.659999999999997</v>
          </cell>
          <cell r="F72">
            <v>43.81</v>
          </cell>
          <cell r="G72">
            <v>49.5</v>
          </cell>
        </row>
        <row r="73">
          <cell r="A73" t="str">
            <v>A87TSA54-1</v>
          </cell>
          <cell r="B73" t="str">
            <v>LN</v>
          </cell>
          <cell r="C73" t="str">
            <v>SUPERPAINT INTERIOR LATEX SATINADO ULTRA DEEP</v>
          </cell>
          <cell r="D73">
            <v>24.79</v>
          </cell>
          <cell r="E73">
            <v>28.01</v>
          </cell>
          <cell r="F73">
            <v>43.81</v>
          </cell>
          <cell r="G73">
            <v>49.5</v>
          </cell>
        </row>
        <row r="74">
          <cell r="A74" t="str">
            <v>A87WSA51-1</v>
          </cell>
          <cell r="B74" t="str">
            <v>LN</v>
          </cell>
          <cell r="C74" t="str">
            <v>SUPERPAINT INTERIOR LATEX SATINADO EXTRA WHITE</v>
          </cell>
          <cell r="D74">
            <v>28.29</v>
          </cell>
          <cell r="E74">
            <v>31.97</v>
          </cell>
          <cell r="F74">
            <v>43.81</v>
          </cell>
          <cell r="G74">
            <v>49.5</v>
          </cell>
        </row>
        <row r="75">
          <cell r="A75" t="str">
            <v>A87WSA53-1</v>
          </cell>
          <cell r="B75" t="str">
            <v>LN</v>
          </cell>
          <cell r="C75" t="str">
            <v>SUPERPAINT INTERIOR LATEX SATINADO DEEP</v>
          </cell>
          <cell r="D75">
            <v>24.79</v>
          </cell>
          <cell r="E75">
            <v>28.01</v>
          </cell>
          <cell r="F75">
            <v>43.81</v>
          </cell>
          <cell r="G75">
            <v>49.5</v>
          </cell>
        </row>
        <row r="77">
          <cell r="A77" t="str">
            <v>A87WSA1-5</v>
          </cell>
          <cell r="B77" t="str">
            <v>LN</v>
          </cell>
          <cell r="C77" t="str">
            <v>SUPERPAINT INTERIOR LATEX SATINADO BLANCO</v>
          </cell>
          <cell r="D77">
            <v>138.41</v>
          </cell>
          <cell r="E77">
            <v>156.4</v>
          </cell>
          <cell r="F77">
            <v>203.54</v>
          </cell>
          <cell r="G77">
            <v>230</v>
          </cell>
        </row>
        <row r="78">
          <cell r="A78" t="str">
            <v>A87TSA54-5</v>
          </cell>
          <cell r="B78" t="str">
            <v>LN</v>
          </cell>
          <cell r="C78" t="str">
            <v>SUPERPAINT INTERIOR LATEX SATINADO ULTRA DEEP</v>
          </cell>
          <cell r="D78">
            <v>113.41</v>
          </cell>
          <cell r="E78">
            <v>128.15</v>
          </cell>
          <cell r="F78">
            <v>203.54</v>
          </cell>
          <cell r="G78">
            <v>230</v>
          </cell>
        </row>
        <row r="79">
          <cell r="A79" t="str">
            <v>A87WSA51-5</v>
          </cell>
          <cell r="B79" t="str">
            <v>LN</v>
          </cell>
          <cell r="C79" t="str">
            <v>SUPERPAINT INTERIOR LATEX SATINADO EXTRA WHITE</v>
          </cell>
          <cell r="D79">
            <v>130.91</v>
          </cell>
          <cell r="E79">
            <v>147.93</v>
          </cell>
          <cell r="F79">
            <v>203.54</v>
          </cell>
          <cell r="G79">
            <v>230</v>
          </cell>
        </row>
        <row r="80">
          <cell r="A80" t="str">
            <v>A87WSA53-5</v>
          </cell>
          <cell r="B80" t="str">
            <v>LN</v>
          </cell>
          <cell r="C80" t="str">
            <v>SUPERPAINT INTERIOR LATEX SATINADO DEEP</v>
          </cell>
          <cell r="D80">
            <v>113.41</v>
          </cell>
          <cell r="E80">
            <v>128.15</v>
          </cell>
          <cell r="F80">
            <v>203.54</v>
          </cell>
          <cell r="G80">
            <v>230</v>
          </cell>
        </row>
        <row r="82">
          <cell r="C82" t="str">
            <v xml:space="preserve">SUPERPAINT EXTERIOR MATE </v>
          </cell>
        </row>
        <row r="84">
          <cell r="A84" t="str">
            <v>A80WSA1-1/4</v>
          </cell>
          <cell r="B84" t="str">
            <v>PE</v>
          </cell>
          <cell r="C84" t="str">
            <v>SUPERPAINT EXTERIOR LATEX MATE WHITE</v>
          </cell>
          <cell r="D84">
            <v>8.9600000000000009</v>
          </cell>
          <cell r="E84">
            <v>10.130000000000001</v>
          </cell>
          <cell r="F84">
            <v>13.19</v>
          </cell>
          <cell r="G84">
            <v>14.9</v>
          </cell>
        </row>
        <row r="85">
          <cell r="A85" t="str">
            <v>A80WSA51-1/4</v>
          </cell>
          <cell r="B85" t="str">
            <v>PE</v>
          </cell>
          <cell r="C85" t="str">
            <v>SUPERPAINT EXTERIOR MATE BASE EXTRA WHITE</v>
          </cell>
          <cell r="D85">
            <v>8.4700000000000006</v>
          </cell>
          <cell r="E85">
            <v>9.57</v>
          </cell>
          <cell r="F85">
            <v>13.19</v>
          </cell>
          <cell r="G85">
            <v>14.9</v>
          </cell>
        </row>
        <row r="86">
          <cell r="A86" t="str">
            <v>A80WSA53-1/4</v>
          </cell>
          <cell r="B86" t="str">
            <v>PE</v>
          </cell>
          <cell r="C86" t="str">
            <v>SUPERPAINT EXTERIOR MATE BASE DEEP</v>
          </cell>
          <cell r="D86">
            <v>7.47</v>
          </cell>
          <cell r="E86">
            <v>8.44</v>
          </cell>
          <cell r="F86">
            <v>13.19</v>
          </cell>
          <cell r="G86">
            <v>14.9</v>
          </cell>
        </row>
        <row r="87">
          <cell r="A87" t="str">
            <v>A80TSA54-1/4</v>
          </cell>
          <cell r="B87" t="str">
            <v>PE</v>
          </cell>
          <cell r="C87" t="str">
            <v>SUPERPAINT EXTERIOR MATE BASE ULTRA DEEP</v>
          </cell>
          <cell r="D87">
            <v>7.47</v>
          </cell>
          <cell r="E87">
            <v>8.44</v>
          </cell>
          <cell r="F87">
            <v>13.19</v>
          </cell>
          <cell r="G87">
            <v>14.9</v>
          </cell>
        </row>
        <row r="89">
          <cell r="A89" t="str">
            <v>A80TSA54-1</v>
          </cell>
          <cell r="B89" t="str">
            <v>LN</v>
          </cell>
          <cell r="C89" t="str">
            <v>SUPERPAINT EXTERIOR MATE BASE ULTRA DEEP</v>
          </cell>
          <cell r="D89">
            <v>25.39</v>
          </cell>
          <cell r="E89">
            <v>28.69</v>
          </cell>
          <cell r="F89">
            <v>44.69</v>
          </cell>
          <cell r="G89">
            <v>50.5</v>
          </cell>
        </row>
        <row r="90">
          <cell r="A90" t="str">
            <v>A80WSA51-1</v>
          </cell>
          <cell r="B90" t="str">
            <v>LN</v>
          </cell>
          <cell r="C90" t="str">
            <v>SUPERPAINT EXTERIOR MATE BASE EXTRA WHITE</v>
          </cell>
          <cell r="D90">
            <v>28.89</v>
          </cell>
          <cell r="E90">
            <v>32.65</v>
          </cell>
          <cell r="F90">
            <v>44.69</v>
          </cell>
          <cell r="G90">
            <v>50.5</v>
          </cell>
        </row>
        <row r="91">
          <cell r="A91" t="str">
            <v>A80WSA53-1</v>
          </cell>
          <cell r="B91" t="str">
            <v>LN</v>
          </cell>
          <cell r="C91" t="str">
            <v>SUPERPAINT EXTERIOR MATE BASE DEEP</v>
          </cell>
          <cell r="D91">
            <v>25.39</v>
          </cell>
          <cell r="E91">
            <v>28.69</v>
          </cell>
          <cell r="F91">
            <v>44.69</v>
          </cell>
          <cell r="G91">
            <v>50.5</v>
          </cell>
        </row>
        <row r="92">
          <cell r="A92" t="str">
            <v>A80YSA56-1</v>
          </cell>
          <cell r="B92" t="str">
            <v>LN</v>
          </cell>
          <cell r="C92" t="str">
            <v>SUPERPAINT EXTERIOR MATE BASE LIGHT YELLOW</v>
          </cell>
          <cell r="D92">
            <v>25.39</v>
          </cell>
          <cell r="E92">
            <v>28.69</v>
          </cell>
          <cell r="F92">
            <v>44.69</v>
          </cell>
          <cell r="G92">
            <v>50.5</v>
          </cell>
        </row>
        <row r="93">
          <cell r="A93" t="str">
            <v>A80WSA1-1</v>
          </cell>
          <cell r="B93" t="str">
            <v>LN</v>
          </cell>
          <cell r="C93" t="str">
            <v>SUPERPAINT EXTERIOR LATEX MATE WHITE</v>
          </cell>
          <cell r="D93">
            <v>30.39</v>
          </cell>
          <cell r="E93">
            <v>34.340000000000003</v>
          </cell>
          <cell r="F93">
            <v>44.69</v>
          </cell>
          <cell r="G93">
            <v>50.5</v>
          </cell>
        </row>
        <row r="95">
          <cell r="A95" t="str">
            <v>A80TSA54-5</v>
          </cell>
          <cell r="B95" t="str">
            <v>LN</v>
          </cell>
          <cell r="C95" t="str">
            <v>SUPERPAINT EXTERIOR MATE BASE ULTRA DEEP</v>
          </cell>
          <cell r="D95">
            <v>117.62</v>
          </cell>
          <cell r="E95">
            <v>132.91</v>
          </cell>
          <cell r="F95">
            <v>209.73</v>
          </cell>
          <cell r="G95">
            <v>237</v>
          </cell>
        </row>
        <row r="96">
          <cell r="A96" t="str">
            <v>A80WSA51-5</v>
          </cell>
          <cell r="B96" t="str">
            <v>LN</v>
          </cell>
          <cell r="C96" t="str">
            <v>SUPERPAINT EXTERIOR MATE BASE EXTRA WHITE</v>
          </cell>
          <cell r="D96">
            <v>135.12</v>
          </cell>
          <cell r="E96">
            <v>152.69</v>
          </cell>
          <cell r="F96">
            <v>209.73</v>
          </cell>
          <cell r="G96">
            <v>237</v>
          </cell>
        </row>
        <row r="97">
          <cell r="A97" t="str">
            <v>A80WSA53-5</v>
          </cell>
          <cell r="B97" t="str">
            <v>LN</v>
          </cell>
          <cell r="C97" t="str">
            <v>SUPERPAINT EXTERIOR MATE BASE DEEP</v>
          </cell>
          <cell r="D97">
            <v>117.62</v>
          </cell>
          <cell r="E97">
            <v>132.91</v>
          </cell>
          <cell r="F97">
            <v>209.73</v>
          </cell>
          <cell r="G97">
            <v>237</v>
          </cell>
        </row>
        <row r="98">
          <cell r="A98" t="str">
            <v>A80YSA56-5</v>
          </cell>
          <cell r="B98" t="str">
            <v>LN</v>
          </cell>
          <cell r="C98" t="str">
            <v>SUPERPAINT EXTERIOR MATE BASE LIGHT YELLOW</v>
          </cell>
          <cell r="D98">
            <v>117.62</v>
          </cell>
          <cell r="E98">
            <v>132.91</v>
          </cell>
          <cell r="F98">
            <v>209.73</v>
          </cell>
          <cell r="G98">
            <v>237</v>
          </cell>
        </row>
        <row r="99">
          <cell r="A99" t="str">
            <v>A80WSA1-5</v>
          </cell>
          <cell r="B99" t="str">
            <v>LN</v>
          </cell>
          <cell r="C99" t="str">
            <v>SUPERPAINT EXTERIOR LATEX MATE WHITE</v>
          </cell>
          <cell r="D99">
            <v>142.62</v>
          </cell>
          <cell r="E99">
            <v>161.16</v>
          </cell>
          <cell r="F99">
            <v>209.73</v>
          </cell>
          <cell r="G99">
            <v>237</v>
          </cell>
        </row>
        <row r="101">
          <cell r="C101" t="str">
            <v>SUPERPAINT EXTERIOR SATINADO</v>
          </cell>
        </row>
        <row r="103">
          <cell r="A103" t="str">
            <v>A89WSA51-1/4</v>
          </cell>
          <cell r="B103" t="str">
            <v>PE</v>
          </cell>
          <cell r="C103" t="str">
            <v>SUPERPAINT EXTERIOR SATINADO BASE EXTRA WHITE</v>
          </cell>
          <cell r="D103">
            <v>8.83</v>
          </cell>
          <cell r="E103">
            <v>9.98</v>
          </cell>
          <cell r="F103">
            <v>13.72</v>
          </cell>
          <cell r="G103">
            <v>15.5</v>
          </cell>
        </row>
        <row r="104">
          <cell r="A104" t="str">
            <v>A89WSA53-1/4</v>
          </cell>
          <cell r="B104" t="str">
            <v>PE</v>
          </cell>
          <cell r="C104" t="str">
            <v>SUPERPAINT EXTERIOR SATINADO BASE DEEP</v>
          </cell>
          <cell r="D104">
            <v>7.83</v>
          </cell>
          <cell r="E104">
            <v>8.85</v>
          </cell>
          <cell r="F104">
            <v>13.72</v>
          </cell>
          <cell r="G104">
            <v>15.5</v>
          </cell>
        </row>
        <row r="105">
          <cell r="A105" t="str">
            <v>A89TSA54-1/4</v>
          </cell>
          <cell r="B105" t="str">
            <v>PE</v>
          </cell>
          <cell r="C105" t="str">
            <v>SUPERPAINT EXTERIOR SATINADO BASE ULTRA DEEP</v>
          </cell>
          <cell r="D105">
            <v>7.83</v>
          </cell>
          <cell r="E105">
            <v>8.85</v>
          </cell>
          <cell r="F105">
            <v>13.72</v>
          </cell>
          <cell r="G105">
            <v>15.5</v>
          </cell>
        </row>
        <row r="107">
          <cell r="A107" t="str">
            <v>A89TSA54-1</v>
          </cell>
          <cell r="B107" t="str">
            <v>LN</v>
          </cell>
          <cell r="C107" t="str">
            <v>SUPERPAINT EXTERIOR SATINADO BASE ULTRA DEEP</v>
          </cell>
          <cell r="D107">
            <v>26.59</v>
          </cell>
          <cell r="E107">
            <v>30.05</v>
          </cell>
          <cell r="F107">
            <v>46.46</v>
          </cell>
          <cell r="G107">
            <v>52.5</v>
          </cell>
        </row>
        <row r="108">
          <cell r="A108" t="str">
            <v>A89WSA51-1</v>
          </cell>
          <cell r="B108" t="str">
            <v>LN</v>
          </cell>
          <cell r="C108" t="str">
            <v>SUPERPAINT EXTERIOR SATINADO BASE EXTRA WHITE</v>
          </cell>
          <cell r="D108">
            <v>30.1</v>
          </cell>
          <cell r="E108">
            <v>34.01</v>
          </cell>
          <cell r="F108">
            <v>46.46</v>
          </cell>
          <cell r="G108">
            <v>52.5</v>
          </cell>
        </row>
        <row r="109">
          <cell r="A109" t="str">
            <v>A89WSA53-1</v>
          </cell>
          <cell r="B109" t="str">
            <v>LN</v>
          </cell>
          <cell r="C109" t="str">
            <v>SUPERPAINT EXTERIOR SATINADO BASE DEEP</v>
          </cell>
          <cell r="D109">
            <v>26.59</v>
          </cell>
          <cell r="E109">
            <v>30.05</v>
          </cell>
          <cell r="F109">
            <v>46.46</v>
          </cell>
          <cell r="G109">
            <v>52.5</v>
          </cell>
        </row>
        <row r="110">
          <cell r="A110" t="str">
            <v>A89YSA56-1</v>
          </cell>
          <cell r="B110" t="str">
            <v>LN</v>
          </cell>
          <cell r="C110" t="str">
            <v>SUPERPAINT EXTERIOR SATINADO BASE LIGHT YELLOW</v>
          </cell>
          <cell r="D110">
            <v>26.59</v>
          </cell>
          <cell r="E110">
            <v>30.05</v>
          </cell>
          <cell r="F110">
            <v>46.46</v>
          </cell>
          <cell r="G110">
            <v>52.5</v>
          </cell>
        </row>
        <row r="111">
          <cell r="A111" t="str">
            <v>A89WSA1-1</v>
          </cell>
          <cell r="B111" t="str">
            <v>LN</v>
          </cell>
          <cell r="C111" t="str">
            <v>SUPERPAINT EXTERIOR SATINADO BLANCO</v>
          </cell>
          <cell r="D111">
            <v>31.59</v>
          </cell>
          <cell r="E111">
            <v>35.700000000000003</v>
          </cell>
          <cell r="F111">
            <v>46.46</v>
          </cell>
          <cell r="G111">
            <v>52.5</v>
          </cell>
        </row>
        <row r="113">
          <cell r="A113" t="str">
            <v>A89TSA54-5</v>
          </cell>
          <cell r="B113" t="str">
            <v>LN</v>
          </cell>
          <cell r="C113" t="str">
            <v>SUPERPAINT EXTERIOR SATINADO BASE ULTRA DEEP</v>
          </cell>
          <cell r="D113">
            <v>118.82</v>
          </cell>
          <cell r="E113">
            <v>134.27000000000001</v>
          </cell>
          <cell r="F113">
            <v>211.5</v>
          </cell>
          <cell r="G113">
            <v>239</v>
          </cell>
        </row>
        <row r="114">
          <cell r="A114" t="str">
            <v>A89WSA51-5</v>
          </cell>
          <cell r="B114" t="str">
            <v>LN</v>
          </cell>
          <cell r="C114" t="str">
            <v>SUPERPAINT EXTERIOR SATINADO BASE EXTRA WHITE</v>
          </cell>
          <cell r="D114">
            <v>136.33000000000001</v>
          </cell>
          <cell r="E114">
            <v>154.05000000000001</v>
          </cell>
          <cell r="F114">
            <v>211.5</v>
          </cell>
          <cell r="G114">
            <v>239</v>
          </cell>
        </row>
        <row r="115">
          <cell r="A115" t="str">
            <v>A89WSA53-5</v>
          </cell>
          <cell r="B115" t="str">
            <v>LN</v>
          </cell>
          <cell r="C115" t="str">
            <v>SUPERPAINT EXTERIOR SATINADO BASE DEEP</v>
          </cell>
          <cell r="D115">
            <v>118.82</v>
          </cell>
          <cell r="E115">
            <v>134.27000000000001</v>
          </cell>
          <cell r="F115">
            <v>211.5</v>
          </cell>
          <cell r="G115">
            <v>239</v>
          </cell>
        </row>
        <row r="116">
          <cell r="A116" t="str">
            <v>A89YSA56-5</v>
          </cell>
          <cell r="B116" t="str">
            <v>LN</v>
          </cell>
          <cell r="C116" t="str">
            <v>SUPERPAINT EXTERIOR SATINADO BASE LIGHT YELLOW</v>
          </cell>
          <cell r="D116">
            <v>118.82</v>
          </cell>
          <cell r="E116">
            <v>134.27000000000001</v>
          </cell>
          <cell r="F116">
            <v>211.5</v>
          </cell>
          <cell r="G116">
            <v>239</v>
          </cell>
        </row>
        <row r="117">
          <cell r="A117" t="str">
            <v>A89WSA1-5</v>
          </cell>
          <cell r="B117" t="str">
            <v>LN</v>
          </cell>
          <cell r="C117" t="str">
            <v>SUPERPAINT EXTERIOR SATINADO BLANCO</v>
          </cell>
          <cell r="D117">
            <v>143.82</v>
          </cell>
          <cell r="E117">
            <v>162.52000000000001</v>
          </cell>
          <cell r="F117">
            <v>211.5</v>
          </cell>
          <cell r="G117">
            <v>239</v>
          </cell>
        </row>
        <row r="119">
          <cell r="C119" t="str">
            <v>SHERTECH 6000 LATEX</v>
          </cell>
        </row>
        <row r="121">
          <cell r="A121" t="str">
            <v>B5WSA61-1</v>
          </cell>
          <cell r="B121" t="str">
            <v>LN</v>
          </cell>
          <cell r="C121" t="str">
            <v>SHERTECH 6000 LATEX ULTRA MATE BLANCO</v>
          </cell>
          <cell r="D121">
            <v>23.23</v>
          </cell>
          <cell r="E121">
            <v>26.25</v>
          </cell>
          <cell r="F121">
            <v>33.19</v>
          </cell>
          <cell r="G121">
            <v>37.5</v>
          </cell>
        </row>
        <row r="122">
          <cell r="A122" t="str">
            <v>B5WSA6051-1</v>
          </cell>
          <cell r="B122" t="str">
            <v>LN</v>
          </cell>
          <cell r="C122" t="str">
            <v>SHERTECH 6000 LATEX ULTRA MATE BASE EXTRA WHITE</v>
          </cell>
          <cell r="D122">
            <v>21.73</v>
          </cell>
          <cell r="E122">
            <v>24.56</v>
          </cell>
          <cell r="F122">
            <v>33.19</v>
          </cell>
          <cell r="G122">
            <v>37.5</v>
          </cell>
        </row>
        <row r="123">
          <cell r="A123" t="str">
            <v>B5WSA6053-1</v>
          </cell>
          <cell r="B123" t="str">
            <v>LN</v>
          </cell>
          <cell r="C123" t="str">
            <v>SHERTECH 6000 LATEX ULTRA MATE BASE DEEP</v>
          </cell>
          <cell r="D123">
            <v>18.23</v>
          </cell>
          <cell r="E123">
            <v>20.6</v>
          </cell>
          <cell r="F123">
            <v>33.19</v>
          </cell>
          <cell r="G123">
            <v>37.5</v>
          </cell>
        </row>
        <row r="124">
          <cell r="A124" t="str">
            <v>B5TSA6054-1</v>
          </cell>
          <cell r="B124" t="str">
            <v>LN</v>
          </cell>
          <cell r="C124" t="str">
            <v>SHERTECH 6000 LATEX ULTRA MATE BASE ULTRA DEEP</v>
          </cell>
          <cell r="D124">
            <v>18.23</v>
          </cell>
          <cell r="E124">
            <v>20.6</v>
          </cell>
          <cell r="F124">
            <v>33.19</v>
          </cell>
          <cell r="G124">
            <v>37.5</v>
          </cell>
        </row>
        <row r="126">
          <cell r="A126" t="str">
            <v>B5WSA61-5</v>
          </cell>
          <cell r="B126" t="str">
            <v>LN</v>
          </cell>
          <cell r="C126" t="str">
            <v>SHERTECH 6000 LATEX ULTRA MATE BLANCO</v>
          </cell>
          <cell r="D126">
            <v>100.35</v>
          </cell>
          <cell r="E126">
            <v>113.4</v>
          </cell>
          <cell r="F126">
            <v>143.36000000000001</v>
          </cell>
          <cell r="G126">
            <v>162</v>
          </cell>
        </row>
        <row r="127">
          <cell r="A127" t="str">
            <v>B5WSA6051-5</v>
          </cell>
          <cell r="B127" t="str">
            <v>LN</v>
          </cell>
          <cell r="C127" t="str">
            <v>SHERTECH 6000 LATEX ULTRA MATE BASE EXTRA WHITE</v>
          </cell>
          <cell r="D127">
            <v>92.86</v>
          </cell>
          <cell r="E127">
            <v>104.93</v>
          </cell>
          <cell r="F127">
            <v>143.36000000000001</v>
          </cell>
          <cell r="G127">
            <v>162</v>
          </cell>
        </row>
        <row r="128">
          <cell r="A128" t="str">
            <v>B5WSA6053-5</v>
          </cell>
          <cell r="B128" t="str">
            <v>LN</v>
          </cell>
          <cell r="C128" t="str">
            <v>SHERTECH 6000 LATEX ULTRA MATE BASE DEEP</v>
          </cell>
          <cell r="D128">
            <v>75.349999999999994</v>
          </cell>
          <cell r="E128">
            <v>85.15</v>
          </cell>
          <cell r="F128">
            <v>143.36000000000001</v>
          </cell>
          <cell r="G128">
            <v>162</v>
          </cell>
        </row>
        <row r="129">
          <cell r="A129" t="str">
            <v>B5TSA6054-5</v>
          </cell>
          <cell r="B129" t="str">
            <v>LN</v>
          </cell>
          <cell r="C129" t="str">
            <v>SHERTECH 6000 LATEX ULTRA MATE BASE ULTRA DEEP</v>
          </cell>
          <cell r="D129">
            <v>75.349999999999994</v>
          </cell>
          <cell r="E129">
            <v>85.15</v>
          </cell>
          <cell r="F129">
            <v>143.36000000000001</v>
          </cell>
          <cell r="G129">
            <v>162</v>
          </cell>
        </row>
        <row r="131">
          <cell r="C131" t="str">
            <v>SHERTECH 4000 LATEX</v>
          </cell>
        </row>
        <row r="133">
          <cell r="A133" t="str">
            <v>B79WSA28-1</v>
          </cell>
          <cell r="B133" t="str">
            <v>LN</v>
          </cell>
          <cell r="C133" t="str">
            <v>SHERTECH 4000 LATEX ULTRA MATE BLANCO</v>
          </cell>
          <cell r="D133">
            <v>21.62</v>
          </cell>
          <cell r="E133">
            <v>24.43</v>
          </cell>
          <cell r="F133">
            <v>30.88</v>
          </cell>
          <cell r="G133">
            <v>34.9</v>
          </cell>
        </row>
        <row r="134">
          <cell r="A134" t="str">
            <v>B79WSA4051-1</v>
          </cell>
          <cell r="B134" t="str">
            <v>LN</v>
          </cell>
          <cell r="C134" t="str">
            <v>SHERTECH 4000 LATEX ULTRA MATE BASE EXTRA WHITE</v>
          </cell>
          <cell r="D134">
            <v>20.12</v>
          </cell>
          <cell r="E134">
            <v>22.74</v>
          </cell>
          <cell r="F134">
            <v>30.88</v>
          </cell>
          <cell r="G134">
            <v>34.9</v>
          </cell>
        </row>
        <row r="135">
          <cell r="A135" t="str">
            <v>B79WSA4053-1</v>
          </cell>
          <cell r="B135" t="str">
            <v>LN</v>
          </cell>
          <cell r="C135" t="str">
            <v>SHERTECH 4000 LATEX ULTRA MATE BASE DEEP</v>
          </cell>
          <cell r="D135">
            <v>16.62</v>
          </cell>
          <cell r="E135">
            <v>18.78</v>
          </cell>
          <cell r="F135">
            <v>30.88</v>
          </cell>
          <cell r="G135">
            <v>34.9</v>
          </cell>
        </row>
        <row r="136">
          <cell r="A136" t="str">
            <v>B79TSA4054-1</v>
          </cell>
          <cell r="B136" t="str">
            <v>LN</v>
          </cell>
          <cell r="C136" t="str">
            <v>SHERTECH 4000 LATEX ULTRA MATE BASE ULTRA DEEP</v>
          </cell>
          <cell r="D136">
            <v>16.62</v>
          </cell>
          <cell r="E136">
            <v>18.78</v>
          </cell>
          <cell r="F136">
            <v>30.88</v>
          </cell>
          <cell r="G136">
            <v>34.9</v>
          </cell>
        </row>
        <row r="138">
          <cell r="A138" t="str">
            <v>B79WSA28-5</v>
          </cell>
          <cell r="B138" t="str">
            <v>LN</v>
          </cell>
          <cell r="C138" t="str">
            <v>SHERTECH 4000 LATEX ULTRA MATE BLANCO</v>
          </cell>
          <cell r="D138">
            <v>94.16</v>
          </cell>
          <cell r="E138">
            <v>106.4</v>
          </cell>
          <cell r="F138">
            <v>134.51</v>
          </cell>
          <cell r="G138">
            <v>152</v>
          </cell>
        </row>
        <row r="139">
          <cell r="A139" t="str">
            <v>B79WSA4051-5</v>
          </cell>
          <cell r="B139" t="str">
            <v>LN</v>
          </cell>
          <cell r="C139" t="str">
            <v>SHERTECH 4000 LATEX ULTRA MATE BASE EXTRA WHITE</v>
          </cell>
          <cell r="D139">
            <v>86.66</v>
          </cell>
          <cell r="E139">
            <v>97.93</v>
          </cell>
          <cell r="F139">
            <v>134.51</v>
          </cell>
          <cell r="G139">
            <v>152</v>
          </cell>
        </row>
        <row r="140">
          <cell r="A140" t="str">
            <v>B79WSA4053-5</v>
          </cell>
          <cell r="B140" t="str">
            <v>LN</v>
          </cell>
          <cell r="C140" t="str">
            <v>SHERTECH 4000 LATEX ULTRA MATE BASE DEEP</v>
          </cell>
          <cell r="D140">
            <v>69.16</v>
          </cell>
          <cell r="E140">
            <v>78.150000000000006</v>
          </cell>
          <cell r="F140">
            <v>134.51</v>
          </cell>
          <cell r="G140">
            <v>152</v>
          </cell>
        </row>
        <row r="141">
          <cell r="A141" t="str">
            <v>B79TSA4054-5</v>
          </cell>
          <cell r="B141" t="str">
            <v>LN</v>
          </cell>
          <cell r="C141" t="str">
            <v>SHERTECH 4000 LATEX ULTRA MATE BASE ULTRA DEEP</v>
          </cell>
          <cell r="D141">
            <v>69.16</v>
          </cell>
          <cell r="E141">
            <v>78.150000000000006</v>
          </cell>
          <cell r="F141">
            <v>134.51</v>
          </cell>
          <cell r="G141">
            <v>152</v>
          </cell>
        </row>
        <row r="143">
          <cell r="C143" t="str">
            <v>SHERTECH CONSTRUCCION</v>
          </cell>
        </row>
        <row r="145">
          <cell r="C145" t="str">
            <v>EXCELLO ONE COAT</v>
          </cell>
        </row>
        <row r="147">
          <cell r="A147" t="str">
            <v>A28W57-1</v>
          </cell>
          <cell r="B147" t="str">
            <v>LN</v>
          </cell>
          <cell r="C147" t="str">
            <v>EXCELLO ONE COAT BLANCO</v>
          </cell>
          <cell r="D147">
            <v>24.63</v>
          </cell>
          <cell r="E147">
            <v>27.83</v>
          </cell>
          <cell r="F147">
            <v>35.31</v>
          </cell>
          <cell r="G147">
            <v>39.9</v>
          </cell>
        </row>
        <row r="148">
          <cell r="A148" t="str">
            <v>A28W57-5</v>
          </cell>
          <cell r="B148" t="str">
            <v>LN</v>
          </cell>
          <cell r="C148" t="str">
            <v>EXCELLO ONE COAT BLANCO</v>
          </cell>
          <cell r="D148">
            <v>116.27</v>
          </cell>
          <cell r="E148">
            <v>131.38999999999999</v>
          </cell>
          <cell r="F148">
            <v>167.26</v>
          </cell>
          <cell r="G148">
            <v>189</v>
          </cell>
        </row>
        <row r="150">
          <cell r="C150" t="str">
            <v>EXCELLO LATEX ACRILICO MATE EXTERIOR / INTERIOR</v>
          </cell>
        </row>
        <row r="152">
          <cell r="A152" t="str">
            <v>B5RSA17-1/4</v>
          </cell>
          <cell r="B152" t="str">
            <v>PE</v>
          </cell>
          <cell r="C152" t="str">
            <v>EXCELLO LATEX MATE ROJO LADRILLO QUEMADO</v>
          </cell>
          <cell r="D152">
            <v>7.12</v>
          </cell>
          <cell r="E152">
            <v>8.0500000000000007</v>
          </cell>
          <cell r="F152">
            <v>10.18</v>
          </cell>
          <cell r="G152">
            <v>11.5</v>
          </cell>
        </row>
        <row r="153">
          <cell r="A153" t="str">
            <v>B5WSA7-1/4</v>
          </cell>
          <cell r="B153" t="str">
            <v>PE</v>
          </cell>
          <cell r="C153" t="str">
            <v>EXCELLO LATEX MATE BLANCO HUESO</v>
          </cell>
          <cell r="D153">
            <v>7.12</v>
          </cell>
          <cell r="E153">
            <v>8.0500000000000007</v>
          </cell>
          <cell r="F153">
            <v>10.18</v>
          </cell>
          <cell r="G153">
            <v>11.5</v>
          </cell>
        </row>
        <row r="154">
          <cell r="A154" t="str">
            <v>B5WSA10-1/4</v>
          </cell>
          <cell r="B154" t="str">
            <v>PE</v>
          </cell>
          <cell r="C154" t="str">
            <v>EXCELLO LATEX MATE BLANCO DOVER</v>
          </cell>
          <cell r="D154">
            <v>7.12</v>
          </cell>
          <cell r="E154">
            <v>8.0500000000000007</v>
          </cell>
          <cell r="F154">
            <v>10.18</v>
          </cell>
          <cell r="G154">
            <v>11.5</v>
          </cell>
        </row>
        <row r="155">
          <cell r="A155" t="str">
            <v>B5W57-1/4</v>
          </cell>
          <cell r="B155" t="str">
            <v>PE</v>
          </cell>
          <cell r="C155" t="str">
            <v>EXCELLO LATEX MATE BLANCO</v>
          </cell>
          <cell r="D155">
            <v>7.12</v>
          </cell>
          <cell r="E155">
            <v>8.0500000000000007</v>
          </cell>
          <cell r="F155">
            <v>10.18</v>
          </cell>
          <cell r="G155">
            <v>11.5</v>
          </cell>
        </row>
        <row r="157">
          <cell r="A157" t="str">
            <v>B5A36-1</v>
          </cell>
          <cell r="B157" t="str">
            <v>LN</v>
          </cell>
          <cell r="C157" t="str">
            <v>EXCELLO LATEX MATE GRIS PERLA</v>
          </cell>
          <cell r="D157">
            <v>22.24</v>
          </cell>
          <cell r="E157">
            <v>25.13</v>
          </cell>
          <cell r="F157">
            <v>31.77</v>
          </cell>
          <cell r="G157">
            <v>35.9</v>
          </cell>
        </row>
        <row r="158">
          <cell r="A158" t="str">
            <v>B5BSA1-1</v>
          </cell>
          <cell r="B158" t="str">
            <v>LN</v>
          </cell>
          <cell r="C158" t="str">
            <v>EXCELLO LATEX MATE NEGRO</v>
          </cell>
          <cell r="D158">
            <v>22.24</v>
          </cell>
          <cell r="E158">
            <v>25.13</v>
          </cell>
          <cell r="F158">
            <v>31.77</v>
          </cell>
          <cell r="G158">
            <v>35.9</v>
          </cell>
        </row>
        <row r="159">
          <cell r="A159" t="str">
            <v>B5ESA3-1</v>
          </cell>
          <cell r="B159" t="str">
            <v>LN</v>
          </cell>
          <cell r="C159" t="str">
            <v>EXCELLO LATEX MATE MELOCOTÓN</v>
          </cell>
          <cell r="D159">
            <v>22.24</v>
          </cell>
          <cell r="E159">
            <v>25.13</v>
          </cell>
          <cell r="F159">
            <v>31.77</v>
          </cell>
          <cell r="G159">
            <v>35.9</v>
          </cell>
        </row>
        <row r="160">
          <cell r="A160" t="str">
            <v>B5ESA11-1</v>
          </cell>
          <cell r="B160" t="str">
            <v>LN</v>
          </cell>
          <cell r="C160" t="str">
            <v>EXCELLO LATEX MATE MELON</v>
          </cell>
          <cell r="D160">
            <v>22.24</v>
          </cell>
          <cell r="E160">
            <v>25.13</v>
          </cell>
          <cell r="F160">
            <v>31.77</v>
          </cell>
          <cell r="G160">
            <v>35.9</v>
          </cell>
        </row>
        <row r="161">
          <cell r="A161" t="str">
            <v>B5G84-1</v>
          </cell>
          <cell r="B161" t="str">
            <v>LN</v>
          </cell>
          <cell r="C161" t="str">
            <v>EXCELLO LATEX MATE VERDE ALEGRE</v>
          </cell>
          <cell r="D161">
            <v>22.24</v>
          </cell>
          <cell r="E161">
            <v>25.13</v>
          </cell>
          <cell r="F161">
            <v>31.77</v>
          </cell>
          <cell r="G161">
            <v>35.9</v>
          </cell>
        </row>
        <row r="162">
          <cell r="A162" t="str">
            <v>B5GSA56-1</v>
          </cell>
          <cell r="B162" t="str">
            <v>LN</v>
          </cell>
          <cell r="C162" t="str">
            <v>EXCELLO LATEX MATE VERDE CARYMAR</v>
          </cell>
          <cell r="D162">
            <v>22.24</v>
          </cell>
          <cell r="E162">
            <v>25.13</v>
          </cell>
          <cell r="F162">
            <v>31.77</v>
          </cell>
          <cell r="G162">
            <v>35.9</v>
          </cell>
        </row>
        <row r="163">
          <cell r="A163" t="str">
            <v>B5H22-1</v>
          </cell>
          <cell r="B163" t="str">
            <v>LN</v>
          </cell>
          <cell r="C163" t="str">
            <v>EXCELLO LATEX MATE MARFIL</v>
          </cell>
          <cell r="D163">
            <v>22.24</v>
          </cell>
          <cell r="E163">
            <v>25.13</v>
          </cell>
          <cell r="F163">
            <v>31.77</v>
          </cell>
          <cell r="G163">
            <v>35.9</v>
          </cell>
        </row>
        <row r="164">
          <cell r="A164" t="str">
            <v>B5HSA6-1</v>
          </cell>
          <cell r="B164" t="str">
            <v>LN</v>
          </cell>
          <cell r="C164" t="str">
            <v>EXCELLO LATEX MATE MARFIL SUAVE</v>
          </cell>
          <cell r="D164">
            <v>22.24</v>
          </cell>
          <cell r="E164">
            <v>25.13</v>
          </cell>
          <cell r="F164">
            <v>31.77</v>
          </cell>
          <cell r="G164">
            <v>35.9</v>
          </cell>
        </row>
        <row r="165">
          <cell r="A165" t="str">
            <v>B5LSA5-1</v>
          </cell>
          <cell r="B165" t="str">
            <v>LN</v>
          </cell>
          <cell r="C165" t="str">
            <v>EXCELLO LATEX MATE AZUL CENICIENTA</v>
          </cell>
          <cell r="D165">
            <v>22.24</v>
          </cell>
          <cell r="E165">
            <v>25.13</v>
          </cell>
          <cell r="F165">
            <v>31.77</v>
          </cell>
          <cell r="G165">
            <v>35.9</v>
          </cell>
        </row>
        <row r="166">
          <cell r="A166" t="str">
            <v>B5LSA10-1</v>
          </cell>
          <cell r="B166" t="str">
            <v>LN</v>
          </cell>
          <cell r="C166" t="str">
            <v>EXCELLO LATEX MATE CELESTE INFINITO</v>
          </cell>
          <cell r="D166">
            <v>22.24</v>
          </cell>
          <cell r="E166">
            <v>25.13</v>
          </cell>
          <cell r="F166">
            <v>31.77</v>
          </cell>
          <cell r="G166">
            <v>35.9</v>
          </cell>
        </row>
        <row r="167">
          <cell r="A167" t="str">
            <v>B5LSA47-1</v>
          </cell>
          <cell r="B167" t="str">
            <v>LN</v>
          </cell>
          <cell r="C167" t="str">
            <v>EXCELLO LATEX MATE AZUL INFINITO</v>
          </cell>
          <cell r="D167">
            <v>22.24</v>
          </cell>
          <cell r="E167">
            <v>25.13</v>
          </cell>
          <cell r="F167">
            <v>31.77</v>
          </cell>
          <cell r="G167">
            <v>35.9</v>
          </cell>
        </row>
        <row r="168">
          <cell r="A168" t="str">
            <v>B5N62-1</v>
          </cell>
          <cell r="B168" t="str">
            <v>LN</v>
          </cell>
          <cell r="C168" t="str">
            <v>EXCELLO LATEX MATE BEIGE ARENA</v>
          </cell>
          <cell r="D168">
            <v>22.24</v>
          </cell>
          <cell r="E168">
            <v>25.13</v>
          </cell>
          <cell r="F168">
            <v>31.77</v>
          </cell>
          <cell r="G168">
            <v>35.9</v>
          </cell>
        </row>
        <row r="169">
          <cell r="A169" t="str">
            <v>B5RSA17-1</v>
          </cell>
          <cell r="B169" t="str">
            <v>LN</v>
          </cell>
          <cell r="C169" t="str">
            <v>EXCELLO LATEX MATE ROJO LADRILLO QUEMADO</v>
          </cell>
          <cell r="D169">
            <v>22.24</v>
          </cell>
          <cell r="E169">
            <v>25.13</v>
          </cell>
          <cell r="F169">
            <v>31.77</v>
          </cell>
          <cell r="G169">
            <v>35.9</v>
          </cell>
        </row>
        <row r="170">
          <cell r="A170" t="str">
            <v>B5WSA7-1</v>
          </cell>
          <cell r="B170" t="str">
            <v>LN</v>
          </cell>
          <cell r="C170" t="str">
            <v>EXCELLO LATEX MATE BLANCO HUESO</v>
          </cell>
          <cell r="D170">
            <v>22.24</v>
          </cell>
          <cell r="E170">
            <v>25.13</v>
          </cell>
          <cell r="F170">
            <v>31.77</v>
          </cell>
          <cell r="G170">
            <v>35.9</v>
          </cell>
        </row>
        <row r="171">
          <cell r="A171" t="str">
            <v>B5WSA10-1</v>
          </cell>
          <cell r="B171" t="str">
            <v>LN</v>
          </cell>
          <cell r="C171" t="str">
            <v>EXCELLO LATEX MATE BLANCO DOVER</v>
          </cell>
          <cell r="D171">
            <v>22.24</v>
          </cell>
          <cell r="E171">
            <v>25.13</v>
          </cell>
          <cell r="F171">
            <v>31.77</v>
          </cell>
          <cell r="G171">
            <v>35.9</v>
          </cell>
        </row>
        <row r="172">
          <cell r="A172" t="str">
            <v>B5WSA12-1</v>
          </cell>
          <cell r="B172" t="str">
            <v>LN</v>
          </cell>
          <cell r="C172" t="str">
            <v>EXCELLO LATEX MATE BLANCO NAVAJO</v>
          </cell>
          <cell r="D172">
            <v>22.24</v>
          </cell>
          <cell r="E172">
            <v>25.13</v>
          </cell>
          <cell r="F172">
            <v>31.77</v>
          </cell>
          <cell r="G172">
            <v>35.9</v>
          </cell>
        </row>
        <row r="173">
          <cell r="A173" t="str">
            <v>B5WSA47-1</v>
          </cell>
          <cell r="B173" t="str">
            <v>LN</v>
          </cell>
          <cell r="C173" t="str">
            <v xml:space="preserve">EXCELLO LATEX MATE BLANCO PORCELANA </v>
          </cell>
          <cell r="D173">
            <v>22.24</v>
          </cell>
          <cell r="E173">
            <v>25.13</v>
          </cell>
          <cell r="F173">
            <v>31.77</v>
          </cell>
          <cell r="G173">
            <v>35.9</v>
          </cell>
        </row>
        <row r="174">
          <cell r="A174" t="str">
            <v>B5W57-1</v>
          </cell>
          <cell r="B174" t="str">
            <v>LN</v>
          </cell>
          <cell r="C174" t="str">
            <v>EXCELLO LATEX MATE BLANCO</v>
          </cell>
          <cell r="D174">
            <v>22.24</v>
          </cell>
          <cell r="E174">
            <v>25.13</v>
          </cell>
          <cell r="F174">
            <v>31.77</v>
          </cell>
          <cell r="G174">
            <v>35.9</v>
          </cell>
        </row>
        <row r="175">
          <cell r="A175" t="str">
            <v>B5ASA41-1</v>
          </cell>
          <cell r="B175" t="str">
            <v>LN</v>
          </cell>
          <cell r="C175" t="str">
            <v>EXCELLO LATEX MATE GRIS METEORO</v>
          </cell>
          <cell r="D175">
            <v>22.24</v>
          </cell>
          <cell r="E175">
            <v>25.13</v>
          </cell>
          <cell r="F175">
            <v>31.77</v>
          </cell>
          <cell r="G175">
            <v>35.9</v>
          </cell>
        </row>
        <row r="176">
          <cell r="A176" t="str">
            <v>B5ESA33-1</v>
          </cell>
          <cell r="B176" t="str">
            <v>LN</v>
          </cell>
          <cell r="C176" t="str">
            <v>EXCELLO LATEX MATE NARANJA ENERGIA</v>
          </cell>
          <cell r="D176">
            <v>22.24</v>
          </cell>
          <cell r="E176">
            <v>25.13</v>
          </cell>
          <cell r="F176">
            <v>31.77</v>
          </cell>
          <cell r="G176">
            <v>35.9</v>
          </cell>
        </row>
        <row r="177">
          <cell r="A177" t="str">
            <v>B5GSA74-1</v>
          </cell>
          <cell r="B177" t="str">
            <v>LN</v>
          </cell>
          <cell r="C177" t="str">
            <v>EXCELLO LATEX MATE AQUA REFRESCANTE</v>
          </cell>
          <cell r="D177">
            <v>22.24</v>
          </cell>
          <cell r="E177">
            <v>25.13</v>
          </cell>
          <cell r="F177">
            <v>31.77</v>
          </cell>
          <cell r="G177">
            <v>35.9</v>
          </cell>
        </row>
        <row r="178">
          <cell r="A178" t="str">
            <v>B5YSA76-1</v>
          </cell>
          <cell r="B178" t="str">
            <v>LN</v>
          </cell>
          <cell r="C178" t="str">
            <v>EXCELLO LATEX MATE CRISANTEMO</v>
          </cell>
          <cell r="D178">
            <v>22.24</v>
          </cell>
          <cell r="E178">
            <v>25.13</v>
          </cell>
          <cell r="F178">
            <v>31.77</v>
          </cell>
          <cell r="G178">
            <v>35.9</v>
          </cell>
        </row>
        <row r="179">
          <cell r="A179" t="str">
            <v>B5ASA56-1</v>
          </cell>
          <cell r="B179" t="str">
            <v>LN</v>
          </cell>
          <cell r="C179" t="str">
            <v>EXCELLO LATEX MATE BRUMA DE BOSQUE</v>
          </cell>
          <cell r="D179">
            <v>22.24</v>
          </cell>
          <cell r="E179">
            <v>25.13</v>
          </cell>
          <cell r="F179">
            <v>31.77</v>
          </cell>
          <cell r="G179">
            <v>35.9</v>
          </cell>
        </row>
        <row r="180">
          <cell r="A180" t="str">
            <v>B5YSA81-1</v>
          </cell>
          <cell r="B180" t="str">
            <v>LN</v>
          </cell>
          <cell r="C180" t="str">
            <v>EXCELLO LATEX MATE SOLEADO</v>
          </cell>
          <cell r="D180">
            <v>22.24</v>
          </cell>
          <cell r="E180">
            <v>25.13</v>
          </cell>
          <cell r="F180">
            <v>31.77</v>
          </cell>
          <cell r="G180">
            <v>35.9</v>
          </cell>
        </row>
        <row r="181">
          <cell r="A181" t="str">
            <v>B5YSA82-1</v>
          </cell>
          <cell r="B181" t="str">
            <v>LN</v>
          </cell>
          <cell r="C181" t="str">
            <v>EXCELLO LATEX MATE COLMENA</v>
          </cell>
          <cell r="D181">
            <v>22.24</v>
          </cell>
          <cell r="E181">
            <v>25.13</v>
          </cell>
          <cell r="F181">
            <v>31.77</v>
          </cell>
          <cell r="G181">
            <v>35.9</v>
          </cell>
        </row>
        <row r="182">
          <cell r="A182" t="str">
            <v>B5RSA80-1</v>
          </cell>
          <cell r="B182" t="str">
            <v>LN</v>
          </cell>
          <cell r="C182" t="str">
            <v>EXCELLO LATEX MATE CORAL SUAVE</v>
          </cell>
          <cell r="D182">
            <v>22.24</v>
          </cell>
          <cell r="E182">
            <v>25.13</v>
          </cell>
          <cell r="F182">
            <v>31.77</v>
          </cell>
          <cell r="G182">
            <v>35.9</v>
          </cell>
        </row>
        <row r="183">
          <cell r="A183" t="str">
            <v>B5ASA57-1</v>
          </cell>
          <cell r="B183" t="str">
            <v>LN</v>
          </cell>
          <cell r="C183" t="str">
            <v>EXCELLO LATEX MATE GRIS ACERO</v>
          </cell>
          <cell r="D183">
            <v>22.24</v>
          </cell>
          <cell r="E183">
            <v>25.13</v>
          </cell>
          <cell r="F183">
            <v>31.77</v>
          </cell>
          <cell r="G183">
            <v>35.9</v>
          </cell>
        </row>
        <row r="184">
          <cell r="A184" t="str">
            <v>B5RSA81-1</v>
          </cell>
          <cell r="B184" t="str">
            <v>LN</v>
          </cell>
          <cell r="C184" t="str">
            <v>EXCELLO LATEX MATE ROJO HABANERO</v>
          </cell>
          <cell r="D184">
            <v>22.24</v>
          </cell>
          <cell r="E184">
            <v>25.13</v>
          </cell>
          <cell r="F184">
            <v>31.77</v>
          </cell>
          <cell r="G184">
            <v>35.9</v>
          </cell>
        </row>
        <row r="185">
          <cell r="A185" t="str">
            <v>B5GSA81-1</v>
          </cell>
          <cell r="B185" t="str">
            <v>LN</v>
          </cell>
          <cell r="C185" t="str">
            <v>EXCELLO LATEX MATE VERDE OLIVO</v>
          </cell>
          <cell r="D185">
            <v>22.24</v>
          </cell>
          <cell r="E185">
            <v>25.13</v>
          </cell>
          <cell r="F185">
            <v>31.77</v>
          </cell>
          <cell r="G185">
            <v>35.9</v>
          </cell>
        </row>
        <row r="186">
          <cell r="A186" t="str">
            <v>B5ASA58-1</v>
          </cell>
          <cell r="B186" t="str">
            <v>LN</v>
          </cell>
          <cell r="C186" t="str">
            <v>EXCELLO LATEX MATE PLATA</v>
          </cell>
          <cell r="D186">
            <v>22.24</v>
          </cell>
          <cell r="E186">
            <v>25.13</v>
          </cell>
          <cell r="F186">
            <v>31.77</v>
          </cell>
          <cell r="G186">
            <v>35.9</v>
          </cell>
        </row>
        <row r="187">
          <cell r="A187" t="str">
            <v>B5NSA73-1</v>
          </cell>
          <cell r="B187" t="str">
            <v>LN</v>
          </cell>
          <cell r="C187" t="str">
            <v>EXCELLO LATEX MATE MOCA FRIO</v>
          </cell>
          <cell r="D187">
            <v>22.24</v>
          </cell>
          <cell r="E187">
            <v>25.13</v>
          </cell>
          <cell r="F187">
            <v>31.77</v>
          </cell>
          <cell r="G187">
            <v>35.9</v>
          </cell>
        </row>
        <row r="188">
          <cell r="A188" t="str">
            <v>B5NSA74-1</v>
          </cell>
          <cell r="B188" t="str">
            <v>LN</v>
          </cell>
          <cell r="C188" t="str">
            <v>EXCELLO LATEX MATE MARRON</v>
          </cell>
          <cell r="D188">
            <v>22.24</v>
          </cell>
          <cell r="E188">
            <v>25.13</v>
          </cell>
          <cell r="F188">
            <v>31.77</v>
          </cell>
          <cell r="G188">
            <v>35.9</v>
          </cell>
        </row>
        <row r="189">
          <cell r="A189" t="str">
            <v>B5RSA82-1</v>
          </cell>
          <cell r="B189" t="str">
            <v>LN</v>
          </cell>
          <cell r="C189" t="str">
            <v>EXCELLO LATEX MATE ROSA PASTEL</v>
          </cell>
          <cell r="D189">
            <v>22.24</v>
          </cell>
          <cell r="E189">
            <v>25.13</v>
          </cell>
          <cell r="F189">
            <v>31.77</v>
          </cell>
          <cell r="G189">
            <v>35.9</v>
          </cell>
        </row>
        <row r="190">
          <cell r="A190" t="str">
            <v>B5LSA64-1</v>
          </cell>
          <cell r="B190" t="str">
            <v>LN</v>
          </cell>
          <cell r="C190" t="str">
            <v>EXCELLO LATEX MATE AZUL ZAFIRO</v>
          </cell>
          <cell r="D190">
            <v>22.24</v>
          </cell>
          <cell r="E190">
            <v>25.13</v>
          </cell>
          <cell r="F190">
            <v>31.77</v>
          </cell>
          <cell r="G190">
            <v>35.9</v>
          </cell>
        </row>
        <row r="191">
          <cell r="A191" t="str">
            <v>B5PSA14-1</v>
          </cell>
          <cell r="B191" t="str">
            <v>LN</v>
          </cell>
          <cell r="C191" t="str">
            <v>EXCELLO LATEX MATE CIELO DULCE</v>
          </cell>
          <cell r="D191">
            <v>22.24</v>
          </cell>
          <cell r="E191">
            <v>25.13</v>
          </cell>
          <cell r="F191">
            <v>31.77</v>
          </cell>
          <cell r="G191">
            <v>35.9</v>
          </cell>
        </row>
        <row r="193">
          <cell r="A193" t="str">
            <v>B5A36-5</v>
          </cell>
          <cell r="B193" t="str">
            <v>LN</v>
          </cell>
          <cell r="C193" t="str">
            <v>EXCELLO LATEX MATE GRIS PERLA</v>
          </cell>
          <cell r="D193">
            <v>97.88</v>
          </cell>
          <cell r="E193">
            <v>110.6</v>
          </cell>
          <cell r="F193">
            <v>139.82</v>
          </cell>
          <cell r="G193">
            <v>158</v>
          </cell>
        </row>
        <row r="194">
          <cell r="A194" t="str">
            <v>B5BSA1-5</v>
          </cell>
          <cell r="B194" t="str">
            <v>LN</v>
          </cell>
          <cell r="C194" t="str">
            <v>EXCELLO LATEX MATE NEGRO</v>
          </cell>
          <cell r="D194">
            <v>97.88</v>
          </cell>
          <cell r="E194">
            <v>110.6</v>
          </cell>
          <cell r="F194">
            <v>139.82</v>
          </cell>
          <cell r="G194">
            <v>158</v>
          </cell>
        </row>
        <row r="195">
          <cell r="A195" t="str">
            <v>B5ESA3-5</v>
          </cell>
          <cell r="B195" t="str">
            <v>LN</v>
          </cell>
          <cell r="C195" t="str">
            <v>EXCELLO LATEX MATE MELOCOTÓN</v>
          </cell>
          <cell r="D195">
            <v>97.88</v>
          </cell>
          <cell r="E195">
            <v>110.6</v>
          </cell>
          <cell r="F195">
            <v>139.82</v>
          </cell>
          <cell r="G195">
            <v>158</v>
          </cell>
        </row>
        <row r="196">
          <cell r="A196" t="str">
            <v>B5ESA11-5</v>
          </cell>
          <cell r="B196" t="str">
            <v>LN</v>
          </cell>
          <cell r="C196" t="str">
            <v>EXCELLO LATEX MATE MELON</v>
          </cell>
          <cell r="D196">
            <v>97.88</v>
          </cell>
          <cell r="E196">
            <v>110.6</v>
          </cell>
          <cell r="F196">
            <v>139.82</v>
          </cell>
          <cell r="G196">
            <v>158</v>
          </cell>
        </row>
        <row r="197">
          <cell r="A197" t="str">
            <v>B5G84-5</v>
          </cell>
          <cell r="B197" t="str">
            <v>LN</v>
          </cell>
          <cell r="C197" t="str">
            <v>EXCELLO LATEX MATE VERDE ALEGRE</v>
          </cell>
          <cell r="D197">
            <v>97.88</v>
          </cell>
          <cell r="E197">
            <v>110.6</v>
          </cell>
          <cell r="F197">
            <v>139.82</v>
          </cell>
          <cell r="G197">
            <v>158</v>
          </cell>
        </row>
        <row r="198">
          <cell r="A198" t="str">
            <v>B5GSA56-5</v>
          </cell>
          <cell r="B198" t="str">
            <v>LN</v>
          </cell>
          <cell r="C198" t="str">
            <v>EXCELLO LATEX MATE VERDE CARYMAR</v>
          </cell>
          <cell r="D198">
            <v>97.88</v>
          </cell>
          <cell r="E198">
            <v>110.6</v>
          </cell>
          <cell r="F198">
            <v>139.82</v>
          </cell>
          <cell r="G198">
            <v>158</v>
          </cell>
        </row>
        <row r="199">
          <cell r="A199" t="str">
            <v>B5H22-5</v>
          </cell>
          <cell r="B199" t="str">
            <v>LN</v>
          </cell>
          <cell r="C199" t="str">
            <v>EXCELLO LATEX MATE MARFIL</v>
          </cell>
          <cell r="D199">
            <v>97.88</v>
          </cell>
          <cell r="E199">
            <v>110.6</v>
          </cell>
          <cell r="F199">
            <v>139.82</v>
          </cell>
          <cell r="G199">
            <v>158</v>
          </cell>
        </row>
        <row r="200">
          <cell r="A200" t="str">
            <v>B5HSA6-5</v>
          </cell>
          <cell r="B200" t="str">
            <v>LN</v>
          </cell>
          <cell r="C200" t="str">
            <v>EXCELLO LATEX MATE MARFIL SUAVE</v>
          </cell>
          <cell r="D200">
            <v>97.88</v>
          </cell>
          <cell r="E200">
            <v>110.6</v>
          </cell>
          <cell r="F200">
            <v>139.82</v>
          </cell>
          <cell r="G200">
            <v>158</v>
          </cell>
        </row>
        <row r="201">
          <cell r="A201" t="str">
            <v>B5LSA5-5</v>
          </cell>
          <cell r="B201" t="str">
            <v>LN</v>
          </cell>
          <cell r="C201" t="str">
            <v>EXCELLO LATEX MATE AZUL CENICIENTA</v>
          </cell>
          <cell r="D201">
            <v>97.88</v>
          </cell>
          <cell r="E201">
            <v>110.6</v>
          </cell>
          <cell r="F201">
            <v>139.82</v>
          </cell>
          <cell r="G201">
            <v>158</v>
          </cell>
        </row>
        <row r="202">
          <cell r="A202" t="str">
            <v>B5LSA10-5</v>
          </cell>
          <cell r="B202" t="str">
            <v>LN</v>
          </cell>
          <cell r="C202" t="str">
            <v>EXCELLO LATEX MATE CELESTE INFINITO</v>
          </cell>
          <cell r="D202">
            <v>97.88</v>
          </cell>
          <cell r="E202">
            <v>110.6</v>
          </cell>
          <cell r="F202">
            <v>139.82</v>
          </cell>
          <cell r="G202">
            <v>158</v>
          </cell>
        </row>
        <row r="203">
          <cell r="A203" t="str">
            <v>B5LSA47-5</v>
          </cell>
          <cell r="B203" t="str">
            <v>LN</v>
          </cell>
          <cell r="C203" t="str">
            <v>EXCELLO LATEX MATE AZUL INFINITO</v>
          </cell>
          <cell r="D203">
            <v>97.88</v>
          </cell>
          <cell r="E203">
            <v>110.6</v>
          </cell>
          <cell r="F203">
            <v>139.82</v>
          </cell>
          <cell r="G203">
            <v>158</v>
          </cell>
        </row>
        <row r="204">
          <cell r="A204" t="str">
            <v>B5N62-5</v>
          </cell>
          <cell r="B204" t="str">
            <v>LN</v>
          </cell>
          <cell r="C204" t="str">
            <v>EXCELLO LATEX MATE BEIGE ARENA</v>
          </cell>
          <cell r="D204">
            <v>97.88</v>
          </cell>
          <cell r="E204">
            <v>110.6</v>
          </cell>
          <cell r="F204">
            <v>139.82</v>
          </cell>
          <cell r="G204">
            <v>158</v>
          </cell>
        </row>
        <row r="205">
          <cell r="A205" t="str">
            <v>B5RSA17-5</v>
          </cell>
          <cell r="B205" t="str">
            <v>LN</v>
          </cell>
          <cell r="C205" t="str">
            <v>EXCELLO LATEX MATE ROJO LADRILLO QUEMADO</v>
          </cell>
          <cell r="D205">
            <v>97.88</v>
          </cell>
          <cell r="E205">
            <v>110.6</v>
          </cell>
          <cell r="F205">
            <v>139.82</v>
          </cell>
          <cell r="G205">
            <v>158</v>
          </cell>
        </row>
        <row r="206">
          <cell r="A206" t="str">
            <v>B5WSA7-5</v>
          </cell>
          <cell r="B206" t="str">
            <v>LN</v>
          </cell>
          <cell r="C206" t="str">
            <v>EXCELLO LATEX MATE BLANCO HUESO</v>
          </cell>
          <cell r="D206">
            <v>97.88</v>
          </cell>
          <cell r="E206">
            <v>110.6</v>
          </cell>
          <cell r="F206">
            <v>139.82</v>
          </cell>
          <cell r="G206">
            <v>158</v>
          </cell>
        </row>
        <row r="207">
          <cell r="A207" t="str">
            <v>B5WSA10-5</v>
          </cell>
          <cell r="B207" t="str">
            <v>LN</v>
          </cell>
          <cell r="C207" t="str">
            <v>EXCELLO LATEX MATE BLANCO DOVER</v>
          </cell>
          <cell r="D207">
            <v>97.88</v>
          </cell>
          <cell r="E207">
            <v>110.6</v>
          </cell>
          <cell r="F207">
            <v>139.82</v>
          </cell>
          <cell r="G207">
            <v>158</v>
          </cell>
        </row>
        <row r="208">
          <cell r="A208" t="str">
            <v>B5WSA12-5</v>
          </cell>
          <cell r="B208" t="str">
            <v>LN</v>
          </cell>
          <cell r="C208" t="str">
            <v>EXCELLO LATEX MATE BLANCO NAVAJO</v>
          </cell>
          <cell r="D208">
            <v>97.88</v>
          </cell>
          <cell r="E208">
            <v>110.6</v>
          </cell>
          <cell r="F208">
            <v>139.82</v>
          </cell>
          <cell r="G208">
            <v>158</v>
          </cell>
        </row>
        <row r="209">
          <cell r="A209" t="str">
            <v>B5WSA47-5</v>
          </cell>
          <cell r="B209" t="str">
            <v>LN</v>
          </cell>
          <cell r="C209" t="str">
            <v xml:space="preserve">EXCELLO LATEX MATE BLANCO PORCELANA </v>
          </cell>
          <cell r="D209">
            <v>97.88</v>
          </cell>
          <cell r="E209">
            <v>110.6</v>
          </cell>
          <cell r="F209">
            <v>139.82</v>
          </cell>
          <cell r="G209">
            <v>158</v>
          </cell>
        </row>
        <row r="210">
          <cell r="A210" t="str">
            <v>B5W57-5</v>
          </cell>
          <cell r="B210" t="str">
            <v>LN</v>
          </cell>
          <cell r="C210" t="str">
            <v>EXCELLO LATEX MATE BLANCO</v>
          </cell>
          <cell r="D210">
            <v>97.88</v>
          </cell>
          <cell r="E210">
            <v>110.6</v>
          </cell>
          <cell r="F210">
            <v>139.82</v>
          </cell>
          <cell r="G210">
            <v>158</v>
          </cell>
        </row>
        <row r="211">
          <cell r="A211" t="str">
            <v>B5ASA41-5</v>
          </cell>
          <cell r="B211" t="str">
            <v>LN</v>
          </cell>
          <cell r="C211" t="str">
            <v>EXCELLO LATEX MATE GRIS METEORO</v>
          </cell>
          <cell r="D211">
            <v>97.88</v>
          </cell>
          <cell r="E211">
            <v>110.6</v>
          </cell>
          <cell r="F211">
            <v>139.82</v>
          </cell>
          <cell r="G211">
            <v>158</v>
          </cell>
        </row>
        <row r="212">
          <cell r="A212" t="str">
            <v>B5ESA33-5</v>
          </cell>
          <cell r="B212" t="str">
            <v>LN</v>
          </cell>
          <cell r="C212" t="str">
            <v>EXCELLO LATEX MATE NARANJA ENERGIA</v>
          </cell>
          <cell r="D212">
            <v>97.88</v>
          </cell>
          <cell r="E212">
            <v>110.6</v>
          </cell>
          <cell r="F212">
            <v>139.82</v>
          </cell>
          <cell r="G212">
            <v>158</v>
          </cell>
        </row>
        <row r="213">
          <cell r="A213" t="str">
            <v>B5GSA74-5</v>
          </cell>
          <cell r="B213" t="str">
            <v>LN</v>
          </cell>
          <cell r="C213" t="str">
            <v>EXCELLO LATEX MATE AQUA REFRESCANTE</v>
          </cell>
          <cell r="D213">
            <v>97.88</v>
          </cell>
          <cell r="E213">
            <v>110.6</v>
          </cell>
          <cell r="F213">
            <v>139.82</v>
          </cell>
          <cell r="G213">
            <v>158</v>
          </cell>
        </row>
        <row r="214">
          <cell r="A214" t="str">
            <v>B5YSA76-5</v>
          </cell>
          <cell r="B214" t="str">
            <v>LN</v>
          </cell>
          <cell r="C214" t="str">
            <v>EXCELLO LATEX MATE CRISANTEMO</v>
          </cell>
          <cell r="D214">
            <v>97.88</v>
          </cell>
          <cell r="E214">
            <v>110.6</v>
          </cell>
          <cell r="F214">
            <v>139.82</v>
          </cell>
          <cell r="G214">
            <v>158</v>
          </cell>
        </row>
        <row r="215">
          <cell r="A215" t="str">
            <v>B5ASA56-5</v>
          </cell>
          <cell r="B215" t="str">
            <v>LN</v>
          </cell>
          <cell r="C215" t="str">
            <v>EXCELLO LATEX MATE BRUMA DE BOSQUE</v>
          </cell>
          <cell r="D215">
            <v>97.88</v>
          </cell>
          <cell r="E215">
            <v>110.6</v>
          </cell>
          <cell r="F215">
            <v>139.82</v>
          </cell>
          <cell r="G215">
            <v>158</v>
          </cell>
        </row>
        <row r="216">
          <cell r="A216" t="str">
            <v>B5YSA81-5</v>
          </cell>
          <cell r="B216" t="str">
            <v>LN</v>
          </cell>
          <cell r="C216" t="str">
            <v>EXCELLO LATEX MATE SOLEADO</v>
          </cell>
          <cell r="D216">
            <v>97.88</v>
          </cell>
          <cell r="E216">
            <v>110.6</v>
          </cell>
          <cell r="F216">
            <v>139.82</v>
          </cell>
          <cell r="G216">
            <v>158</v>
          </cell>
        </row>
        <row r="217">
          <cell r="A217" t="str">
            <v>B5YSA82-5</v>
          </cell>
          <cell r="B217" t="str">
            <v>LN</v>
          </cell>
          <cell r="C217" t="str">
            <v>EXCELLO LATEX MATE COLMENA</v>
          </cell>
          <cell r="D217">
            <v>97.88</v>
          </cell>
          <cell r="E217">
            <v>110.6</v>
          </cell>
          <cell r="F217">
            <v>139.82</v>
          </cell>
          <cell r="G217">
            <v>158</v>
          </cell>
        </row>
        <row r="218">
          <cell r="A218" t="str">
            <v>B5RSA80-5</v>
          </cell>
          <cell r="B218" t="str">
            <v>LN</v>
          </cell>
          <cell r="C218" t="str">
            <v>EXCELLO LATEX MATE CORAL SUAVE</v>
          </cell>
          <cell r="D218">
            <v>97.88</v>
          </cell>
          <cell r="E218">
            <v>110.6</v>
          </cell>
          <cell r="F218">
            <v>139.82</v>
          </cell>
          <cell r="G218">
            <v>158</v>
          </cell>
        </row>
        <row r="219">
          <cell r="A219" t="str">
            <v>B5ASA57-5</v>
          </cell>
          <cell r="B219" t="str">
            <v>LN</v>
          </cell>
          <cell r="C219" t="str">
            <v>EXCELLO LATEX MATE GRIS ACERO</v>
          </cell>
          <cell r="D219">
            <v>97.88</v>
          </cell>
          <cell r="E219">
            <v>110.6</v>
          </cell>
          <cell r="F219">
            <v>139.82</v>
          </cell>
          <cell r="G219">
            <v>158</v>
          </cell>
        </row>
        <row r="220">
          <cell r="A220" t="str">
            <v>B5RSA81-5</v>
          </cell>
          <cell r="B220" t="str">
            <v>LN</v>
          </cell>
          <cell r="C220" t="str">
            <v>EXCELLO LATEX MATE ROJO HABANERO</v>
          </cell>
          <cell r="D220">
            <v>97.88</v>
          </cell>
          <cell r="E220">
            <v>110.6</v>
          </cell>
          <cell r="F220">
            <v>139.82</v>
          </cell>
          <cell r="G220">
            <v>158</v>
          </cell>
        </row>
        <row r="221">
          <cell r="A221" t="str">
            <v>B5GSA81-5</v>
          </cell>
          <cell r="B221" t="str">
            <v>LN</v>
          </cell>
          <cell r="C221" t="str">
            <v>EXCELLO LATEX MATE VERDE OLIVO</v>
          </cell>
          <cell r="D221">
            <v>97.88</v>
          </cell>
          <cell r="E221">
            <v>110.6</v>
          </cell>
          <cell r="F221">
            <v>139.82</v>
          </cell>
          <cell r="G221">
            <v>158</v>
          </cell>
        </row>
        <row r="222">
          <cell r="A222" t="str">
            <v>B5ASA58-5</v>
          </cell>
          <cell r="B222" t="str">
            <v>LN</v>
          </cell>
          <cell r="C222" t="str">
            <v>EXCELLO LATEX MATE PLATA</v>
          </cell>
          <cell r="D222">
            <v>97.88</v>
          </cell>
          <cell r="E222">
            <v>110.6</v>
          </cell>
          <cell r="F222">
            <v>139.82</v>
          </cell>
          <cell r="G222">
            <v>158</v>
          </cell>
        </row>
        <row r="223">
          <cell r="A223" t="str">
            <v>B5NSA73-5</v>
          </cell>
          <cell r="B223" t="str">
            <v>LN</v>
          </cell>
          <cell r="C223" t="str">
            <v>EXCELLO LATEX MATE MOCA FRIO</v>
          </cell>
          <cell r="D223">
            <v>97.88</v>
          </cell>
          <cell r="E223">
            <v>110.6</v>
          </cell>
          <cell r="F223">
            <v>139.82</v>
          </cell>
          <cell r="G223">
            <v>158</v>
          </cell>
        </row>
        <row r="224">
          <cell r="A224" t="str">
            <v>B5NSA74-5</v>
          </cell>
          <cell r="B224" t="str">
            <v>LN</v>
          </cell>
          <cell r="C224" t="str">
            <v>EXCELLO LATEX MATE MARRON</v>
          </cell>
          <cell r="D224">
            <v>97.88</v>
          </cell>
          <cell r="E224">
            <v>110.6</v>
          </cell>
          <cell r="F224">
            <v>139.82</v>
          </cell>
          <cell r="G224">
            <v>158</v>
          </cell>
        </row>
        <row r="225">
          <cell r="A225" t="str">
            <v>B5RSA82-5</v>
          </cell>
          <cell r="B225" t="str">
            <v>LN</v>
          </cell>
          <cell r="C225" t="str">
            <v>EXCELLO LATEX MATE ROSA PASTEL</v>
          </cell>
          <cell r="D225">
            <v>97.88</v>
          </cell>
          <cell r="E225">
            <v>110.6</v>
          </cell>
          <cell r="F225">
            <v>139.82</v>
          </cell>
          <cell r="G225">
            <v>158</v>
          </cell>
        </row>
        <row r="226">
          <cell r="A226" t="str">
            <v>B5LSA64-5</v>
          </cell>
          <cell r="B226" t="str">
            <v>LN</v>
          </cell>
          <cell r="C226" t="str">
            <v>EXCELLO LATEX MATE AZUL ZAFIRO</v>
          </cell>
          <cell r="D226">
            <v>97.88</v>
          </cell>
          <cell r="E226">
            <v>110.6</v>
          </cell>
          <cell r="F226">
            <v>139.82</v>
          </cell>
          <cell r="G226">
            <v>158</v>
          </cell>
        </row>
        <row r="227">
          <cell r="A227" t="str">
            <v>B5PSA14-5</v>
          </cell>
          <cell r="B227" t="str">
            <v>LN</v>
          </cell>
          <cell r="C227" t="str">
            <v>EXCELLO LATEX MATE CIELO DULCE</v>
          </cell>
          <cell r="D227">
            <v>97.88</v>
          </cell>
          <cell r="E227">
            <v>110.6</v>
          </cell>
          <cell r="F227">
            <v>139.82</v>
          </cell>
          <cell r="G227">
            <v>158</v>
          </cell>
        </row>
        <row r="229">
          <cell r="A229" t="str">
            <v>B5YSA41-1</v>
          </cell>
          <cell r="B229" t="str">
            <v>PE</v>
          </cell>
          <cell r="C229" t="str">
            <v>EXCELLO LATEX MATE YELLOW GOLD</v>
          </cell>
          <cell r="D229">
            <v>22.24</v>
          </cell>
          <cell r="E229">
            <v>25.13</v>
          </cell>
          <cell r="F229">
            <v>31.77</v>
          </cell>
          <cell r="G229">
            <v>35.9</v>
          </cell>
        </row>
        <row r="230">
          <cell r="A230" t="str">
            <v>B5YSA41-5</v>
          </cell>
          <cell r="B230" t="str">
            <v>PE</v>
          </cell>
          <cell r="C230" t="str">
            <v>EXCELLO LATEX MATE YELLOW GOLD</v>
          </cell>
          <cell r="D230">
            <v>97.88</v>
          </cell>
          <cell r="E230">
            <v>110.6</v>
          </cell>
          <cell r="F230">
            <v>139.82</v>
          </cell>
          <cell r="G230">
            <v>158</v>
          </cell>
        </row>
        <row r="232">
          <cell r="C232" t="str">
            <v>EXCELLO LATEX SEMI-BRILLANTE EXTERIOR / INTERIOR</v>
          </cell>
        </row>
        <row r="234">
          <cell r="A234" t="str">
            <v>A8W57-1</v>
          </cell>
          <cell r="B234" t="str">
            <v>LN</v>
          </cell>
          <cell r="C234" t="str">
            <v>EXCELLO LATEX SEMI BRILLANTE BLANCO</v>
          </cell>
          <cell r="D234">
            <v>25.34</v>
          </cell>
          <cell r="E234">
            <v>28.63</v>
          </cell>
          <cell r="F234">
            <v>36.19</v>
          </cell>
          <cell r="G234">
            <v>40.9</v>
          </cell>
        </row>
        <row r="235">
          <cell r="A235" t="str">
            <v>A8WSA7-1</v>
          </cell>
          <cell r="B235" t="str">
            <v>LN</v>
          </cell>
          <cell r="C235" t="str">
            <v>EXCELLO LATEX SEMI BRILLANTE BLANCO HUESO</v>
          </cell>
          <cell r="D235">
            <v>25.34</v>
          </cell>
          <cell r="E235">
            <v>28.63</v>
          </cell>
          <cell r="F235">
            <v>36.19</v>
          </cell>
          <cell r="G235">
            <v>40.9</v>
          </cell>
        </row>
        <row r="236">
          <cell r="A236" t="str">
            <v>A8WSA17-1</v>
          </cell>
          <cell r="B236" t="str">
            <v>LN</v>
          </cell>
          <cell r="C236" t="str">
            <v xml:space="preserve">EXCELLO LATEX SEMI BRILLANTE ULTRA BLANCO </v>
          </cell>
          <cell r="D236">
            <v>25.34</v>
          </cell>
          <cell r="E236">
            <v>28.63</v>
          </cell>
          <cell r="F236">
            <v>36.19</v>
          </cell>
          <cell r="G236">
            <v>40.9</v>
          </cell>
        </row>
        <row r="238">
          <cell r="A238" t="str">
            <v>A8W57-5</v>
          </cell>
          <cell r="B238" t="str">
            <v>LN</v>
          </cell>
          <cell r="C238" t="str">
            <v>EXCELLO LATEX SEMI BRILLANTE BLANCO</v>
          </cell>
          <cell r="D238">
            <v>118.94</v>
          </cell>
          <cell r="E238">
            <v>134.4</v>
          </cell>
          <cell r="F238">
            <v>169.91</v>
          </cell>
          <cell r="G238">
            <v>192</v>
          </cell>
        </row>
        <row r="239">
          <cell r="A239" t="str">
            <v>A8WSA7-5</v>
          </cell>
          <cell r="B239" t="str">
            <v>LN</v>
          </cell>
          <cell r="C239" t="str">
            <v>EXCELLO LATEX SEMI BRILLANTE BLANCO HUESO</v>
          </cell>
          <cell r="D239">
            <v>118.94</v>
          </cell>
          <cell r="E239">
            <v>134.4</v>
          </cell>
          <cell r="F239">
            <v>169.91</v>
          </cell>
          <cell r="G239">
            <v>192</v>
          </cell>
        </row>
        <row r="240">
          <cell r="A240" t="str">
            <v>A8WSA17-5</v>
          </cell>
          <cell r="B240" t="str">
            <v>LN</v>
          </cell>
          <cell r="C240" t="str">
            <v xml:space="preserve">EXCELLO LATEX SEMI BRILLANTE ULTRA BLANCO </v>
          </cell>
          <cell r="D240">
            <v>118.94</v>
          </cell>
          <cell r="E240">
            <v>134.4</v>
          </cell>
          <cell r="F240">
            <v>169.91</v>
          </cell>
          <cell r="G240">
            <v>192</v>
          </cell>
        </row>
        <row r="242">
          <cell r="C242" t="str">
            <v>STYLE PERFECT LATEX MATE INTERIOR</v>
          </cell>
        </row>
        <row r="244">
          <cell r="A244" t="str">
            <v>A21WSA51-1/4</v>
          </cell>
          <cell r="B244" t="str">
            <v>LN</v>
          </cell>
          <cell r="C244" t="str">
            <v>EXCELLO STYLE PERFECT LATEX MATE BASE EXTRA WHITE</v>
          </cell>
          <cell r="D244">
            <v>6.63</v>
          </cell>
          <cell r="E244">
            <v>7.49</v>
          </cell>
          <cell r="F244">
            <v>10.18</v>
          </cell>
          <cell r="G244">
            <v>11.5</v>
          </cell>
        </row>
        <row r="245">
          <cell r="A245" t="str">
            <v>A21WSA53-1/4</v>
          </cell>
          <cell r="B245" t="str">
            <v>LN</v>
          </cell>
          <cell r="C245" t="str">
            <v>EXCELLO STYLE PERFECT LATEX MATE BASE DEEP</v>
          </cell>
          <cell r="D245">
            <v>5.63</v>
          </cell>
          <cell r="E245">
            <v>6.36</v>
          </cell>
          <cell r="F245">
            <v>10.18</v>
          </cell>
          <cell r="G245">
            <v>11.5</v>
          </cell>
        </row>
        <row r="247">
          <cell r="A247" t="str">
            <v>A21WSA51-1</v>
          </cell>
          <cell r="B247" t="str">
            <v>LN</v>
          </cell>
          <cell r="C247" t="str">
            <v>EXCELLO STYLE PERFECT LATEX MATE BASE EXTRA WHITE</v>
          </cell>
          <cell r="D247">
            <v>20.74</v>
          </cell>
          <cell r="E247">
            <v>23.44</v>
          </cell>
          <cell r="F247">
            <v>31.77</v>
          </cell>
          <cell r="G247">
            <v>35.9</v>
          </cell>
        </row>
        <row r="248">
          <cell r="A248" t="str">
            <v>A21WSA53-1</v>
          </cell>
          <cell r="B248" t="str">
            <v>LN</v>
          </cell>
          <cell r="C248" t="str">
            <v>EXCELLO STYLE PERFECT LATEX MATE BASE DEEP</v>
          </cell>
          <cell r="D248">
            <v>17.239999999999998</v>
          </cell>
          <cell r="E248">
            <v>19.48</v>
          </cell>
          <cell r="F248">
            <v>31.77</v>
          </cell>
          <cell r="G248">
            <v>35.9</v>
          </cell>
        </row>
        <row r="249">
          <cell r="A249" t="str">
            <v>A21WSA17-1</v>
          </cell>
          <cell r="B249" t="str">
            <v>LN</v>
          </cell>
          <cell r="C249" t="str">
            <v>EXCELLO STYLE PERFECT LATEX MATE BASE LUMINIOUS WHITE</v>
          </cell>
          <cell r="D249">
            <v>17.239999999999998</v>
          </cell>
          <cell r="E249">
            <v>19.48</v>
          </cell>
          <cell r="F249">
            <v>31.77</v>
          </cell>
          <cell r="G249">
            <v>35.9</v>
          </cell>
        </row>
        <row r="251">
          <cell r="A251" t="str">
            <v>A21WSA51-5</v>
          </cell>
          <cell r="B251" t="str">
            <v>LN</v>
          </cell>
          <cell r="C251" t="str">
            <v>EXCELLO STYLE PERFECT LATEX MATE BASE EXTRA WHITE</v>
          </cell>
          <cell r="D251">
            <v>90.38</v>
          </cell>
          <cell r="E251">
            <v>102.13</v>
          </cell>
          <cell r="F251">
            <v>139.82</v>
          </cell>
          <cell r="G251">
            <v>158</v>
          </cell>
        </row>
        <row r="252">
          <cell r="A252" t="str">
            <v>A21WSA53-5</v>
          </cell>
          <cell r="B252" t="str">
            <v>LN</v>
          </cell>
          <cell r="C252" t="str">
            <v>EXCELLO STYLE PERFECT LATEX MATE BASE DEEP</v>
          </cell>
          <cell r="D252">
            <v>72.88</v>
          </cell>
          <cell r="E252">
            <v>82.35</v>
          </cell>
          <cell r="F252">
            <v>139.82</v>
          </cell>
          <cell r="G252">
            <v>158</v>
          </cell>
        </row>
        <row r="254">
          <cell r="C254" t="str">
            <v>STYLE PERFECT LATEX EG-SHEL INTERIOR</v>
          </cell>
        </row>
        <row r="256">
          <cell r="A256" t="str">
            <v>A22WSA51-1</v>
          </cell>
          <cell r="B256" t="str">
            <v>LN</v>
          </cell>
          <cell r="C256" t="str">
            <v>EXCELLO STYLE PERFECT LATEX EG-SHEL BASE EXTRA WHITE</v>
          </cell>
          <cell r="D256">
            <v>22.6</v>
          </cell>
          <cell r="E256">
            <v>25.54</v>
          </cell>
          <cell r="F256">
            <v>34.42</v>
          </cell>
          <cell r="G256">
            <v>38.9</v>
          </cell>
        </row>
        <row r="257">
          <cell r="A257" t="str">
            <v>A22WSA53-1</v>
          </cell>
          <cell r="B257" t="str">
            <v>LN</v>
          </cell>
          <cell r="C257" t="str">
            <v>EXCELLO STYLE PERFECT LATEX EG-SHEL BASE DEEP</v>
          </cell>
          <cell r="D257">
            <v>19.100000000000001</v>
          </cell>
          <cell r="E257">
            <v>21.58</v>
          </cell>
          <cell r="F257">
            <v>34.42</v>
          </cell>
          <cell r="G257">
            <v>38.9</v>
          </cell>
        </row>
        <row r="259">
          <cell r="A259" t="str">
            <v>A22WSA51-5</v>
          </cell>
          <cell r="B259" t="str">
            <v>LN</v>
          </cell>
          <cell r="C259" t="str">
            <v>EXCELLO STYLE PERFECT LATEX EG-SHEL BASE EXTRA WHITE</v>
          </cell>
          <cell r="D259">
            <v>107.11</v>
          </cell>
          <cell r="E259">
            <v>121.03</v>
          </cell>
          <cell r="F259">
            <v>163.72</v>
          </cell>
          <cell r="G259">
            <v>185</v>
          </cell>
        </row>
        <row r="260">
          <cell r="A260" t="str">
            <v>A22WSA53-5</v>
          </cell>
          <cell r="B260" t="str">
            <v>LN</v>
          </cell>
          <cell r="C260" t="str">
            <v>EXCELLO STYLE PERFECT LATEX EG-SHEL BASE DEEP</v>
          </cell>
          <cell r="D260">
            <v>89.6</v>
          </cell>
          <cell r="E260">
            <v>101.25</v>
          </cell>
          <cell r="F260">
            <v>163.72</v>
          </cell>
          <cell r="G260">
            <v>185</v>
          </cell>
        </row>
        <row r="262">
          <cell r="C262" t="str">
            <v>STYLE PERFECT LATEX SEMI-BRILLANTE INTERIOR</v>
          </cell>
        </row>
        <row r="264">
          <cell r="A264" t="str">
            <v>A20WSA51-1</v>
          </cell>
          <cell r="B264" t="str">
            <v>LN</v>
          </cell>
          <cell r="C264" t="str">
            <v>EXCELLO STYLE PERFECT LATEX SEMI BRILL BASE EXTRA WHITE</v>
          </cell>
          <cell r="D264">
            <v>22.6</v>
          </cell>
          <cell r="E264">
            <v>25.54</v>
          </cell>
          <cell r="F264">
            <v>34.42</v>
          </cell>
          <cell r="G264">
            <v>38.9</v>
          </cell>
        </row>
        <row r="265">
          <cell r="A265" t="str">
            <v>A20WSA53-1</v>
          </cell>
          <cell r="B265" t="str">
            <v>LN</v>
          </cell>
          <cell r="C265" t="str">
            <v>EXCELLO STYLE PERFECT LATEX SEMI BRILLANTE BASE DEEP</v>
          </cell>
          <cell r="D265">
            <v>19.100000000000001</v>
          </cell>
          <cell r="E265">
            <v>21.58</v>
          </cell>
          <cell r="F265">
            <v>34.42</v>
          </cell>
          <cell r="G265">
            <v>38.9</v>
          </cell>
        </row>
        <row r="267">
          <cell r="A267" t="str">
            <v>A20WSA51-5</v>
          </cell>
          <cell r="B267" t="str">
            <v>LN</v>
          </cell>
          <cell r="C267" t="str">
            <v>EXCELLO STYLE PERFECT LATEX SEMI BRILL BASE EXTRA WHITE</v>
          </cell>
          <cell r="D267">
            <v>107.11</v>
          </cell>
          <cell r="E267">
            <v>121.03</v>
          </cell>
          <cell r="F267">
            <v>163.72</v>
          </cell>
          <cell r="G267">
            <v>185</v>
          </cell>
        </row>
        <row r="268">
          <cell r="A268" t="str">
            <v>A20WSA53-5</v>
          </cell>
          <cell r="B268" t="str">
            <v>LN</v>
          </cell>
          <cell r="C268" t="str">
            <v>EXCELLO STYLE PERFECT LATEX SEMI BRILLANTE BASE DEEP</v>
          </cell>
          <cell r="D268">
            <v>89.6</v>
          </cell>
          <cell r="E268">
            <v>101.25</v>
          </cell>
          <cell r="F268">
            <v>163.72</v>
          </cell>
          <cell r="G268">
            <v>185</v>
          </cell>
        </row>
        <row r="270">
          <cell r="C270" t="str">
            <v xml:space="preserve">WEATHER PERFECT LATEX MATE EXTERIOR </v>
          </cell>
        </row>
        <row r="272">
          <cell r="A272" t="str">
            <v>B36WSA351-1/4</v>
          </cell>
          <cell r="B272" t="str">
            <v>LN</v>
          </cell>
          <cell r="C272" t="str">
            <v>EXCELLO WEATHER PERFECT LATEX MATE BASE EXTRA WHITE</v>
          </cell>
          <cell r="D272">
            <v>7.03</v>
          </cell>
          <cell r="E272">
            <v>7.94</v>
          </cell>
          <cell r="F272">
            <v>11.06</v>
          </cell>
          <cell r="G272">
            <v>12.5</v>
          </cell>
        </row>
        <row r="273">
          <cell r="A273" t="str">
            <v>B36WSA353-1/4</v>
          </cell>
          <cell r="B273" t="str">
            <v>LN</v>
          </cell>
          <cell r="C273" t="str">
            <v>EXCELLO WEATHER PERFECT LATEX MATE BASE DEEP</v>
          </cell>
          <cell r="D273">
            <v>6.03</v>
          </cell>
          <cell r="E273">
            <v>6.81</v>
          </cell>
          <cell r="F273">
            <v>11.06</v>
          </cell>
          <cell r="G273">
            <v>12.5</v>
          </cell>
        </row>
        <row r="274">
          <cell r="A274" t="str">
            <v>B36TSA354-1/4</v>
          </cell>
          <cell r="B274" t="str">
            <v>LN</v>
          </cell>
          <cell r="C274" t="str">
            <v>EXCELLO WEATHER PERFECT LATEX MATE BASE ULTRA DEEP</v>
          </cell>
          <cell r="D274">
            <v>6.03</v>
          </cell>
          <cell r="E274">
            <v>6.81</v>
          </cell>
          <cell r="F274">
            <v>11.06</v>
          </cell>
          <cell r="G274">
            <v>12.5</v>
          </cell>
        </row>
        <row r="276">
          <cell r="A276" t="str">
            <v>B36WSA351-1</v>
          </cell>
          <cell r="B276" t="str">
            <v>LN</v>
          </cell>
          <cell r="C276" t="str">
            <v>EXCELLO WEATHER PERFECT LATEX MATE BASE EXTRA WHITE</v>
          </cell>
          <cell r="D276">
            <v>23.12</v>
          </cell>
          <cell r="E276">
            <v>26.12</v>
          </cell>
          <cell r="F276">
            <v>36.19</v>
          </cell>
          <cell r="G276">
            <v>40.9</v>
          </cell>
        </row>
        <row r="277">
          <cell r="A277" t="str">
            <v>B36WSA353-1</v>
          </cell>
          <cell r="B277" t="str">
            <v>LN</v>
          </cell>
          <cell r="C277" t="str">
            <v>EXCELLO WEATHER PERFECT LATEX MATE BASE DEEP</v>
          </cell>
          <cell r="D277">
            <v>19.61</v>
          </cell>
          <cell r="E277">
            <v>22.16</v>
          </cell>
          <cell r="F277">
            <v>36.19</v>
          </cell>
          <cell r="G277">
            <v>40.9</v>
          </cell>
        </row>
        <row r="278">
          <cell r="A278" t="str">
            <v>B36TSA354-1</v>
          </cell>
          <cell r="B278" t="str">
            <v>LN</v>
          </cell>
          <cell r="C278" t="str">
            <v>EXCELLO WEATHER PERFECT LATEX MATE BASE ULTRA DEEP</v>
          </cell>
          <cell r="D278">
            <v>19.61</v>
          </cell>
          <cell r="E278">
            <v>22.16</v>
          </cell>
          <cell r="F278">
            <v>36.19</v>
          </cell>
          <cell r="G278">
            <v>40.9</v>
          </cell>
        </row>
        <row r="279">
          <cell r="A279" t="str">
            <v>B36YSA356-1</v>
          </cell>
          <cell r="B279" t="str">
            <v>LN</v>
          </cell>
          <cell r="C279" t="str">
            <v>EXCELLO WEATHER PERFECT LATEX MATE BASE LIGHT YELLOW</v>
          </cell>
          <cell r="D279">
            <v>19.61</v>
          </cell>
          <cell r="E279">
            <v>22.16</v>
          </cell>
          <cell r="F279">
            <v>36.19</v>
          </cell>
          <cell r="G279">
            <v>40.9</v>
          </cell>
        </row>
        <row r="280">
          <cell r="A280" t="str">
            <v>B36WSA357-1</v>
          </cell>
          <cell r="B280" t="str">
            <v>LN</v>
          </cell>
          <cell r="C280" t="str">
            <v>EXCELLO WEATHER PERFECT LATEX MATE BLANCO</v>
          </cell>
          <cell r="D280">
            <v>24.61</v>
          </cell>
          <cell r="E280">
            <v>27.81</v>
          </cell>
          <cell r="F280">
            <v>36.19</v>
          </cell>
          <cell r="G280">
            <v>40.9</v>
          </cell>
        </row>
        <row r="282">
          <cell r="A282" t="str">
            <v>B36WSA351-5</v>
          </cell>
          <cell r="B282" t="str">
            <v>LN</v>
          </cell>
          <cell r="C282" t="str">
            <v>EXCELLO WEATHER PERFECT LATEX MATE BASE EXTRA WHITE</v>
          </cell>
          <cell r="D282">
            <v>109.85</v>
          </cell>
          <cell r="E282">
            <v>124.13</v>
          </cell>
          <cell r="F282">
            <v>172.57</v>
          </cell>
          <cell r="G282">
            <v>195</v>
          </cell>
        </row>
        <row r="283">
          <cell r="A283" t="str">
            <v>B36WSA353-5</v>
          </cell>
          <cell r="B283" t="str">
            <v>LN</v>
          </cell>
          <cell r="C283" t="str">
            <v>EXCELLO WEATHER PERFECT LATEX MATE BASE DEEP</v>
          </cell>
          <cell r="D283">
            <v>92.35</v>
          </cell>
          <cell r="E283">
            <v>104.35</v>
          </cell>
          <cell r="F283">
            <v>172.57</v>
          </cell>
          <cell r="G283">
            <v>195</v>
          </cell>
        </row>
        <row r="284">
          <cell r="A284" t="str">
            <v>B36TSA354-5</v>
          </cell>
          <cell r="B284" t="str">
            <v>LN</v>
          </cell>
          <cell r="C284" t="str">
            <v>EXCELLO WEATHER PERFECT LATEX MATE BASE ULTRA DEEP</v>
          </cell>
          <cell r="D284">
            <v>92.35</v>
          </cell>
          <cell r="E284">
            <v>104.35</v>
          </cell>
          <cell r="F284">
            <v>172.57</v>
          </cell>
          <cell r="G284">
            <v>195</v>
          </cell>
        </row>
        <row r="285">
          <cell r="A285" t="str">
            <v>B36YSA356-5</v>
          </cell>
          <cell r="B285" t="str">
            <v>LN</v>
          </cell>
          <cell r="C285" t="str">
            <v>EXCELLO WEATHER PERFECT LATEX MATE BASE LIGHT YELLOW</v>
          </cell>
          <cell r="D285">
            <v>92.35</v>
          </cell>
          <cell r="E285">
            <v>104.35</v>
          </cell>
          <cell r="F285">
            <v>172.57</v>
          </cell>
          <cell r="G285">
            <v>195</v>
          </cell>
        </row>
        <row r="286">
          <cell r="A286" t="str">
            <v>B36WSA357-5</v>
          </cell>
          <cell r="B286" t="str">
            <v>LN</v>
          </cell>
          <cell r="C286" t="str">
            <v>EXCELLO WEATHER PERFECT LATEX MATE BLANCO</v>
          </cell>
          <cell r="D286">
            <v>117.35</v>
          </cell>
          <cell r="E286">
            <v>132.6</v>
          </cell>
          <cell r="F286">
            <v>172.57</v>
          </cell>
          <cell r="G286">
            <v>195</v>
          </cell>
        </row>
        <row r="288">
          <cell r="C288" t="str">
            <v xml:space="preserve">WEATHER PERFECT LATEX SATINADO EXTERIOR </v>
          </cell>
        </row>
        <row r="290">
          <cell r="A290" t="str">
            <v>B36WSA151-1/4</v>
          </cell>
          <cell r="B290" t="str">
            <v>LN</v>
          </cell>
          <cell r="C290" t="str">
            <v>EXCELLO WEATHER PERFECT LATEX SATINADO BASE EXTRA WHITE</v>
          </cell>
          <cell r="D290">
            <v>7.63</v>
          </cell>
          <cell r="E290">
            <v>8.6199999999999992</v>
          </cell>
          <cell r="F290">
            <v>11.95</v>
          </cell>
          <cell r="G290">
            <v>13.5</v>
          </cell>
        </row>
        <row r="291">
          <cell r="A291" t="str">
            <v>B36WSA153-1/4</v>
          </cell>
          <cell r="B291" t="str">
            <v>LN</v>
          </cell>
          <cell r="C291" t="str">
            <v>EXCELLO WEATHER PERFECT LATEX SATINADO BASE DEEP</v>
          </cell>
          <cell r="D291">
            <v>6.63</v>
          </cell>
          <cell r="E291">
            <v>7.49</v>
          </cell>
          <cell r="F291">
            <v>11.95</v>
          </cell>
          <cell r="G291">
            <v>13.5</v>
          </cell>
        </row>
        <row r="292">
          <cell r="A292" t="str">
            <v>B36TSA154-1/4</v>
          </cell>
          <cell r="B292" t="str">
            <v>LN</v>
          </cell>
          <cell r="C292" t="str">
            <v>EXCELLO WEATHER PERFECT LATEX SATINADO BASE ULTRADEEP</v>
          </cell>
          <cell r="D292">
            <v>6.63</v>
          </cell>
          <cell r="E292">
            <v>7.49</v>
          </cell>
          <cell r="F292">
            <v>11.95</v>
          </cell>
          <cell r="G292">
            <v>13.5</v>
          </cell>
        </row>
        <row r="294">
          <cell r="A294" t="str">
            <v>B36WSA151-1</v>
          </cell>
          <cell r="B294" t="str">
            <v>LN</v>
          </cell>
          <cell r="C294" t="str">
            <v>EXCELLO WEATHER PERFECT LATEX SATINADO BASE EXTRA WHITE</v>
          </cell>
          <cell r="D294">
            <v>26.12</v>
          </cell>
          <cell r="E294">
            <v>29.52</v>
          </cell>
          <cell r="F294">
            <v>40.619999999999997</v>
          </cell>
          <cell r="G294">
            <v>45.9</v>
          </cell>
        </row>
        <row r="295">
          <cell r="A295" t="str">
            <v>B36WSA153-1</v>
          </cell>
          <cell r="B295" t="str">
            <v>LN</v>
          </cell>
          <cell r="C295" t="str">
            <v>EXCELLO WEATHER PERFECT LATEX SATINADO BASE DEEP</v>
          </cell>
          <cell r="D295">
            <v>22.62</v>
          </cell>
          <cell r="E295">
            <v>25.56</v>
          </cell>
          <cell r="F295">
            <v>40.619999999999997</v>
          </cell>
          <cell r="G295">
            <v>45.9</v>
          </cell>
        </row>
        <row r="296">
          <cell r="A296" t="str">
            <v>B36TSA154-1</v>
          </cell>
          <cell r="B296" t="str">
            <v>LN</v>
          </cell>
          <cell r="C296" t="str">
            <v>EXCELLO WEATHER PERFECT LATEX SATINADO BASE ULTRADEEP</v>
          </cell>
          <cell r="D296">
            <v>22.62</v>
          </cell>
          <cell r="E296">
            <v>25.56</v>
          </cell>
          <cell r="F296">
            <v>40.619999999999997</v>
          </cell>
          <cell r="G296">
            <v>45.9</v>
          </cell>
        </row>
        <row r="297">
          <cell r="A297" t="str">
            <v>B36YSA156-1</v>
          </cell>
          <cell r="B297" t="str">
            <v>LN</v>
          </cell>
          <cell r="C297" t="str">
            <v>EXCELLO WEATHER PERFECT LATEX SATINADO BASE LIGHT YELLOW</v>
          </cell>
          <cell r="D297">
            <v>22.62</v>
          </cell>
          <cell r="E297">
            <v>25.56</v>
          </cell>
          <cell r="F297">
            <v>40.619999999999997</v>
          </cell>
          <cell r="G297">
            <v>45.9</v>
          </cell>
        </row>
        <row r="298">
          <cell r="A298" t="str">
            <v>B36WSA157-1</v>
          </cell>
          <cell r="B298" t="str">
            <v>LN</v>
          </cell>
          <cell r="C298" t="str">
            <v>EXCELLO WEATHER PERFECT LATEX SATINADO BLANCO</v>
          </cell>
          <cell r="D298">
            <v>27.62</v>
          </cell>
          <cell r="E298">
            <v>31.21</v>
          </cell>
          <cell r="F298">
            <v>40.619999999999997</v>
          </cell>
          <cell r="G298">
            <v>45.9</v>
          </cell>
        </row>
        <row r="300">
          <cell r="A300" t="str">
            <v>B36WSA151-5</v>
          </cell>
          <cell r="B300" t="str">
            <v>LN</v>
          </cell>
          <cell r="C300" t="str">
            <v>EXCELLO WEATHER PERFECT LATEX SATINADO BASE EXTRA WHITE</v>
          </cell>
          <cell r="D300">
            <v>118.27</v>
          </cell>
          <cell r="E300">
            <v>133.65</v>
          </cell>
          <cell r="F300">
            <v>184.96</v>
          </cell>
          <cell r="G300">
            <v>209</v>
          </cell>
        </row>
        <row r="301">
          <cell r="A301" t="str">
            <v>B36WSA153-5</v>
          </cell>
          <cell r="B301" t="str">
            <v>LN</v>
          </cell>
          <cell r="C301" t="str">
            <v>EXCELLO WEATHER PERFECT LATEX SATINADO BASE DEEP</v>
          </cell>
          <cell r="D301">
            <v>100.77</v>
          </cell>
          <cell r="E301">
            <v>113.87</v>
          </cell>
          <cell r="F301">
            <v>184.96</v>
          </cell>
          <cell r="G301">
            <v>209</v>
          </cell>
        </row>
        <row r="302">
          <cell r="A302" t="str">
            <v>B36TSA154-5</v>
          </cell>
          <cell r="B302" t="str">
            <v>LN</v>
          </cell>
          <cell r="C302" t="str">
            <v>EXCELLO WEATHER PERFECT LATEX SATINADO BASE ULTRADEEP</v>
          </cell>
          <cell r="D302">
            <v>100.77</v>
          </cell>
          <cell r="E302">
            <v>113.87</v>
          </cell>
          <cell r="F302">
            <v>184.96</v>
          </cell>
          <cell r="G302">
            <v>209</v>
          </cell>
        </row>
        <row r="303">
          <cell r="A303" t="str">
            <v>B36YSA156-5</v>
          </cell>
          <cell r="B303" t="str">
            <v>LN</v>
          </cell>
          <cell r="C303" t="str">
            <v>EXCELLO WEATHER PERFECT LATEX SATINADO BASE LIGHT YELLOW</v>
          </cell>
          <cell r="D303">
            <v>100.77</v>
          </cell>
          <cell r="E303">
            <v>113.87</v>
          </cell>
          <cell r="F303">
            <v>184.96</v>
          </cell>
          <cell r="G303">
            <v>209</v>
          </cell>
        </row>
        <row r="304">
          <cell r="A304" t="str">
            <v>B36WSA157-5</v>
          </cell>
          <cell r="B304" t="str">
            <v>LN</v>
          </cell>
          <cell r="C304" t="str">
            <v>EXCELLO WEATHER PERFECT LATEX SATINADO BLANCO</v>
          </cell>
          <cell r="D304">
            <v>125.77</v>
          </cell>
          <cell r="E304">
            <v>142.12</v>
          </cell>
          <cell r="F304">
            <v>184.96</v>
          </cell>
          <cell r="G304">
            <v>209</v>
          </cell>
        </row>
        <row r="306">
          <cell r="C306" t="str">
            <v xml:space="preserve">WEATHER PERFECT LATEX SEMIBRILLANTE EXTERIOR </v>
          </cell>
        </row>
        <row r="308">
          <cell r="A308" t="str">
            <v>B36TSA254-1</v>
          </cell>
          <cell r="B308" t="str">
            <v>LN</v>
          </cell>
          <cell r="C308" t="str">
            <v>EXCELLO WEATHER PERFECT LATEX SEMI BRILLANTE BASE ULTRADEEP</v>
          </cell>
          <cell r="D308">
            <v>22.62</v>
          </cell>
          <cell r="E308">
            <v>25.56</v>
          </cell>
          <cell r="F308">
            <v>40.619999999999997</v>
          </cell>
          <cell r="G308">
            <v>45.9</v>
          </cell>
        </row>
        <row r="309">
          <cell r="A309" t="str">
            <v>B36WSA251-1</v>
          </cell>
          <cell r="B309" t="str">
            <v>LN</v>
          </cell>
          <cell r="C309" t="str">
            <v>EXCELLO WEATHER PERFECT LATEX SEMI BRILLANT BASE EXTRA WHITE</v>
          </cell>
          <cell r="D309">
            <v>26.12</v>
          </cell>
          <cell r="E309">
            <v>29.52</v>
          </cell>
          <cell r="F309">
            <v>40.619999999999997</v>
          </cell>
          <cell r="G309">
            <v>45.9</v>
          </cell>
        </row>
        <row r="310">
          <cell r="A310" t="str">
            <v>B36WSA253-1</v>
          </cell>
          <cell r="B310" t="str">
            <v>LN</v>
          </cell>
          <cell r="C310" t="str">
            <v>EXCELLO WEATHER PERFECT LATEX SEMI BRILLANTE BASE DEEP</v>
          </cell>
          <cell r="D310">
            <v>22.62</v>
          </cell>
          <cell r="E310">
            <v>25.56</v>
          </cell>
          <cell r="F310">
            <v>40.619999999999997</v>
          </cell>
          <cell r="G310">
            <v>45.9</v>
          </cell>
        </row>
        <row r="311">
          <cell r="A311" t="str">
            <v>B36YSA256-1</v>
          </cell>
          <cell r="B311" t="str">
            <v>LN</v>
          </cell>
          <cell r="C311" t="str">
            <v>EXCELLO WEATHER PERFECT LATEX SEMI BRILLAN BASE LIGHT YELLOW</v>
          </cell>
          <cell r="D311">
            <v>22.62</v>
          </cell>
          <cell r="E311">
            <v>25.56</v>
          </cell>
          <cell r="F311">
            <v>40.619999999999997</v>
          </cell>
          <cell r="G311">
            <v>45.9</v>
          </cell>
        </row>
        <row r="313">
          <cell r="A313" t="str">
            <v>B36TSA254-5</v>
          </cell>
          <cell r="B313" t="str">
            <v>LN</v>
          </cell>
          <cell r="C313" t="str">
            <v>EXCELLO WEATHER PERFECT LATEX SEMI BRILLANTE BASE ULTRADEEP</v>
          </cell>
          <cell r="D313">
            <v>100.77</v>
          </cell>
          <cell r="E313">
            <v>113.87</v>
          </cell>
          <cell r="F313">
            <v>184.96</v>
          </cell>
          <cell r="G313">
            <v>209</v>
          </cell>
        </row>
        <row r="314">
          <cell r="A314" t="str">
            <v>B36WSA251-5</v>
          </cell>
          <cell r="B314" t="str">
            <v>LN</v>
          </cell>
          <cell r="C314" t="str">
            <v>EXCELLO WEATHER PERFECT LATEX SEMI BRILLANT BASE EXTRA WHITE</v>
          </cell>
          <cell r="D314">
            <v>118.27</v>
          </cell>
          <cell r="E314">
            <v>133.65</v>
          </cell>
          <cell r="F314">
            <v>184.96</v>
          </cell>
          <cell r="G314">
            <v>209</v>
          </cell>
        </row>
        <row r="315">
          <cell r="A315" t="str">
            <v>B36WSA253-5</v>
          </cell>
          <cell r="B315" t="str">
            <v>LN</v>
          </cell>
          <cell r="C315" t="str">
            <v>EXCELLO WEATHER PERFECT LATEX SEMI BRILLANTE BASE DEEP</v>
          </cell>
          <cell r="D315">
            <v>100.77</v>
          </cell>
          <cell r="E315">
            <v>113.87</v>
          </cell>
          <cell r="F315">
            <v>184.96</v>
          </cell>
          <cell r="G315">
            <v>209</v>
          </cell>
        </row>
        <row r="316">
          <cell r="A316" t="str">
            <v>B36YSA256-5</v>
          </cell>
          <cell r="B316" t="str">
            <v>LN</v>
          </cell>
          <cell r="C316" t="str">
            <v>EXCELLO WEATHER PERFECT LATEX SEMI BRILLAN BASE LIGHT YELLOW</v>
          </cell>
          <cell r="D316">
            <v>100.77</v>
          </cell>
          <cell r="E316">
            <v>113.87</v>
          </cell>
          <cell r="F316">
            <v>184.96</v>
          </cell>
          <cell r="G316">
            <v>209</v>
          </cell>
        </row>
        <row r="318">
          <cell r="C318" t="str">
            <v>EXCELLO LATEX LAVABLE MATE INTERIOR</v>
          </cell>
        </row>
        <row r="320">
          <cell r="A320" t="str">
            <v>A90WSA51-1/4</v>
          </cell>
          <cell r="B320" t="str">
            <v>LN</v>
          </cell>
          <cell r="C320" t="str">
            <v>EXCELLO LATEX LAVABLE MATE BASE EXTRA WHITE</v>
          </cell>
          <cell r="D320">
            <v>6.88</v>
          </cell>
          <cell r="E320">
            <v>7.77</v>
          </cell>
          <cell r="F320">
            <v>10.53</v>
          </cell>
          <cell r="G320">
            <v>11.9</v>
          </cell>
        </row>
        <row r="321">
          <cell r="A321" t="str">
            <v>A90WSA57-1/4</v>
          </cell>
          <cell r="B321" t="str">
            <v>LN</v>
          </cell>
          <cell r="C321" t="str">
            <v>EXCELLO LATEX LAVABLE MATE ULTRA BLANCO</v>
          </cell>
          <cell r="D321">
            <v>7.37</v>
          </cell>
          <cell r="E321">
            <v>8.33</v>
          </cell>
          <cell r="F321">
            <v>10.53</v>
          </cell>
          <cell r="G321">
            <v>11.9</v>
          </cell>
        </row>
        <row r="323">
          <cell r="A323" t="str">
            <v>A90WSA51-1</v>
          </cell>
          <cell r="B323" t="str">
            <v>LN</v>
          </cell>
          <cell r="C323" t="str">
            <v>EXCELLO LATEX LAVABLE MATE BASE EXTRA WHITE</v>
          </cell>
          <cell r="D323">
            <v>23.84</v>
          </cell>
          <cell r="E323">
            <v>26.94</v>
          </cell>
          <cell r="F323">
            <v>36.19</v>
          </cell>
          <cell r="G323">
            <v>40.9</v>
          </cell>
        </row>
        <row r="324">
          <cell r="A324" t="str">
            <v>A90WSA53-1</v>
          </cell>
          <cell r="B324" t="str">
            <v>LN</v>
          </cell>
          <cell r="C324" t="str">
            <v>EXCELLO LATEX LAVABLE MATE BASE DEEP</v>
          </cell>
          <cell r="D324">
            <v>20.34</v>
          </cell>
          <cell r="E324">
            <v>22.98</v>
          </cell>
          <cell r="F324">
            <v>36.19</v>
          </cell>
          <cell r="G324">
            <v>40.9</v>
          </cell>
        </row>
        <row r="325">
          <cell r="A325" t="str">
            <v>A90WSA57-1</v>
          </cell>
          <cell r="B325" t="str">
            <v>LN</v>
          </cell>
          <cell r="C325" t="str">
            <v>EXCELLO LATEX LAVABLE MATE ULTRA BLANCO</v>
          </cell>
          <cell r="D325">
            <v>25.34</v>
          </cell>
          <cell r="E325">
            <v>28.63</v>
          </cell>
          <cell r="F325">
            <v>36.19</v>
          </cell>
          <cell r="G325">
            <v>40.9</v>
          </cell>
        </row>
        <row r="327">
          <cell r="A327" t="str">
            <v>A90WSA51-5</v>
          </cell>
          <cell r="B327" t="str">
            <v>LN</v>
          </cell>
          <cell r="C327" t="str">
            <v>EXCELLO LATEX LAVABLE MATE BASE EXTRA WHITE</v>
          </cell>
          <cell r="D327">
            <v>113.3</v>
          </cell>
          <cell r="E327">
            <v>128.03</v>
          </cell>
          <cell r="F327">
            <v>172.57</v>
          </cell>
          <cell r="G327">
            <v>195</v>
          </cell>
        </row>
        <row r="328">
          <cell r="A328" t="str">
            <v>A90WSA53-5</v>
          </cell>
          <cell r="B328" t="str">
            <v>LN</v>
          </cell>
          <cell r="C328" t="str">
            <v>EXCELLO LATEX LAVABLE MATE BASE DEEP</v>
          </cell>
          <cell r="D328">
            <v>95.8</v>
          </cell>
          <cell r="E328">
            <v>108.25</v>
          </cell>
          <cell r="F328">
            <v>172.57</v>
          </cell>
          <cell r="G328">
            <v>195</v>
          </cell>
        </row>
        <row r="329">
          <cell r="A329" t="str">
            <v>A90WSA57-5</v>
          </cell>
          <cell r="B329" t="str">
            <v>LN</v>
          </cell>
          <cell r="C329" t="str">
            <v>EXCELLO LATEX LAVABLE MATE ULTRA BLANCO</v>
          </cell>
          <cell r="D329">
            <v>120.8</v>
          </cell>
          <cell r="E329">
            <v>136.5</v>
          </cell>
          <cell r="F329">
            <v>172.57</v>
          </cell>
          <cell r="G329">
            <v>195</v>
          </cell>
        </row>
        <row r="331">
          <cell r="C331" t="str">
            <v>EXCELLO LATEX LIBRE DE OLOR MATE INTERIOR</v>
          </cell>
        </row>
        <row r="333">
          <cell r="A333" t="str">
            <v>A23WSA51-1/4</v>
          </cell>
          <cell r="B333" t="str">
            <v>LN</v>
          </cell>
          <cell r="C333" t="str">
            <v>EXCELLO LATEX LIBRE DE OLOR MATE BASE EXTRA WHITE</v>
          </cell>
          <cell r="D333">
            <v>6.63</v>
          </cell>
          <cell r="E333">
            <v>7.49</v>
          </cell>
          <cell r="F333">
            <v>10.18</v>
          </cell>
          <cell r="G333">
            <v>11.5</v>
          </cell>
        </row>
        <row r="334">
          <cell r="A334" t="str">
            <v>A23WSA1-1/4</v>
          </cell>
          <cell r="B334" t="str">
            <v>LN</v>
          </cell>
          <cell r="C334" t="str">
            <v>EXCELLO LATEX LIBRE DE OLOR MATE BLANCO</v>
          </cell>
          <cell r="D334">
            <v>7.12</v>
          </cell>
          <cell r="E334">
            <v>8.0500000000000007</v>
          </cell>
          <cell r="F334">
            <v>10.18</v>
          </cell>
          <cell r="G334">
            <v>11.5</v>
          </cell>
        </row>
        <row r="336">
          <cell r="A336" t="str">
            <v>A23WSA51-1</v>
          </cell>
          <cell r="B336" t="str">
            <v>LN</v>
          </cell>
          <cell r="C336" t="str">
            <v>EXCELLO LATEX LIBRE DE OLOR MATE BASE EXTRA WHITE</v>
          </cell>
          <cell r="D336">
            <v>23.22</v>
          </cell>
          <cell r="E336">
            <v>26.24</v>
          </cell>
          <cell r="F336">
            <v>35.31</v>
          </cell>
          <cell r="G336">
            <v>39.9</v>
          </cell>
        </row>
        <row r="337">
          <cell r="A337" t="str">
            <v>A23WSA53-1</v>
          </cell>
          <cell r="B337" t="str">
            <v>LN</v>
          </cell>
          <cell r="C337" t="str">
            <v>EXCELLO LATEX LIBRE DE OLOR MATE BASE DEEP</v>
          </cell>
          <cell r="D337">
            <v>19.72</v>
          </cell>
          <cell r="E337">
            <v>22.28</v>
          </cell>
          <cell r="F337">
            <v>35.31</v>
          </cell>
          <cell r="G337">
            <v>39.9</v>
          </cell>
        </row>
        <row r="338">
          <cell r="A338" t="str">
            <v>A23TSA54-1</v>
          </cell>
          <cell r="B338" t="str">
            <v>LN</v>
          </cell>
          <cell r="C338" t="str">
            <v>EXCELLO LATEX LIBRE DE OLOR MATE BASE ULTRA DEEP</v>
          </cell>
          <cell r="D338">
            <v>19.72</v>
          </cell>
          <cell r="E338">
            <v>22.28</v>
          </cell>
          <cell r="F338">
            <v>35.31</v>
          </cell>
          <cell r="G338">
            <v>39.9</v>
          </cell>
        </row>
        <row r="339">
          <cell r="A339" t="str">
            <v>A23WSA1-1</v>
          </cell>
          <cell r="B339" t="str">
            <v>LN</v>
          </cell>
          <cell r="C339" t="str">
            <v>EXCELLO LATEX LIBRE DE OLOR MATE BLANCO</v>
          </cell>
          <cell r="D339">
            <v>24.72</v>
          </cell>
          <cell r="E339">
            <v>27.93</v>
          </cell>
          <cell r="F339">
            <v>35.31</v>
          </cell>
          <cell r="G339">
            <v>39.9</v>
          </cell>
        </row>
        <row r="341">
          <cell r="A341" t="str">
            <v>A23WSA51-5</v>
          </cell>
          <cell r="B341" t="str">
            <v>LN</v>
          </cell>
          <cell r="C341" t="str">
            <v>EXCELLO LATEX LIBRE DE OLOR MATE BASE EXTRA WHITE</v>
          </cell>
          <cell r="D341">
            <v>107.11</v>
          </cell>
          <cell r="E341">
            <v>121.03</v>
          </cell>
          <cell r="F341">
            <v>163.72</v>
          </cell>
          <cell r="G341">
            <v>185</v>
          </cell>
        </row>
        <row r="342">
          <cell r="A342" t="str">
            <v>A23WSA53-5</v>
          </cell>
          <cell r="B342" t="str">
            <v>LN</v>
          </cell>
          <cell r="C342" t="str">
            <v>EXCELLO LATEX LIBRE DE OLOR MATE BASE DEEP</v>
          </cell>
          <cell r="D342">
            <v>89.6</v>
          </cell>
          <cell r="E342">
            <v>101.25</v>
          </cell>
          <cell r="F342">
            <v>163.72</v>
          </cell>
          <cell r="G342">
            <v>185</v>
          </cell>
        </row>
        <row r="343">
          <cell r="A343" t="str">
            <v>A23TSA54-5</v>
          </cell>
          <cell r="B343" t="str">
            <v>LN</v>
          </cell>
          <cell r="C343" t="str">
            <v>EXCELLO LATEX LIBRE DE OLOR MATE BASE ULTRA DEEP</v>
          </cell>
          <cell r="D343">
            <v>89.6</v>
          </cell>
          <cell r="E343">
            <v>101.25</v>
          </cell>
          <cell r="F343">
            <v>163.72</v>
          </cell>
          <cell r="G343">
            <v>185</v>
          </cell>
        </row>
        <row r="344">
          <cell r="A344" t="str">
            <v>A23WSA1-5</v>
          </cell>
          <cell r="B344" t="str">
            <v>LN</v>
          </cell>
          <cell r="C344" t="str">
            <v>EXCELLO LATEX LIBRE DE OLOR MATE BLANCO</v>
          </cell>
          <cell r="D344">
            <v>114.6</v>
          </cell>
          <cell r="E344">
            <v>129.5</v>
          </cell>
          <cell r="F344">
            <v>163.72</v>
          </cell>
          <cell r="G344">
            <v>185</v>
          </cell>
        </row>
        <row r="346">
          <cell r="C346" t="str">
            <v>EXCELLO LATEX LIBRE DE OLOR SATINADO INTERIOR</v>
          </cell>
        </row>
        <row r="348">
          <cell r="A348" t="str">
            <v>A23WSA151-1/4</v>
          </cell>
          <cell r="B348" t="str">
            <v>LN</v>
          </cell>
          <cell r="C348" t="str">
            <v>EXCELLO LATEX LIBRE DE OLOR SATINADO BASE EXTRA WHITE</v>
          </cell>
          <cell r="D348">
            <v>8.1199999999999992</v>
          </cell>
          <cell r="E348">
            <v>9.17</v>
          </cell>
          <cell r="F348">
            <v>12.3</v>
          </cell>
          <cell r="G348">
            <v>13.9</v>
          </cell>
        </row>
        <row r="349">
          <cell r="A349" t="str">
            <v>A23WSA153-1/4</v>
          </cell>
          <cell r="B349" t="str">
            <v>LN</v>
          </cell>
          <cell r="C349" t="str">
            <v>EXCELLO LATEX LIBRE DE OLOR SATINADO BASE DEEP</v>
          </cell>
          <cell r="D349">
            <v>7.12</v>
          </cell>
          <cell r="E349">
            <v>8.0399999999999991</v>
          </cell>
          <cell r="F349">
            <v>12.3</v>
          </cell>
          <cell r="G349">
            <v>13.9</v>
          </cell>
        </row>
        <row r="350">
          <cell r="A350" t="str">
            <v>A23TSA154-1/4</v>
          </cell>
          <cell r="B350" t="str">
            <v>LN</v>
          </cell>
          <cell r="C350" t="str">
            <v>EXCELLO LATEX LIBRE DE OLOR SATINADO BASE ULTRA DEEP</v>
          </cell>
          <cell r="D350">
            <v>7.12</v>
          </cell>
          <cell r="E350">
            <v>8.0399999999999991</v>
          </cell>
          <cell r="F350">
            <v>12.3</v>
          </cell>
          <cell r="G350">
            <v>13.9</v>
          </cell>
        </row>
        <row r="351">
          <cell r="A351" t="str">
            <v>A23WSA2-1/4</v>
          </cell>
          <cell r="B351" t="str">
            <v>LN</v>
          </cell>
          <cell r="C351" t="str">
            <v>EXCELLO LATEX LIBRE DE OLOR SATINADO BLANCO</v>
          </cell>
          <cell r="D351">
            <v>8.61</v>
          </cell>
          <cell r="E351">
            <v>9.73</v>
          </cell>
          <cell r="F351">
            <v>12.3</v>
          </cell>
          <cell r="G351">
            <v>13.9</v>
          </cell>
        </row>
        <row r="353">
          <cell r="A353" t="str">
            <v>A23WSA151-1</v>
          </cell>
          <cell r="B353" t="str">
            <v>LN</v>
          </cell>
          <cell r="C353" t="str">
            <v>EXCELLO LATEX LIBRE DE OLOR SATINADO BASE EXTRA WHITE</v>
          </cell>
          <cell r="D353">
            <v>25.45</v>
          </cell>
          <cell r="E353">
            <v>28.76</v>
          </cell>
          <cell r="F353">
            <v>38.5</v>
          </cell>
          <cell r="G353">
            <v>43.5</v>
          </cell>
        </row>
        <row r="354">
          <cell r="A354" t="str">
            <v>A23WSA153-1</v>
          </cell>
          <cell r="B354" t="str">
            <v>LN</v>
          </cell>
          <cell r="C354" t="str">
            <v>EXCELLO LATEX LIBRE DE OLOR SATINADO BASE DEEP</v>
          </cell>
          <cell r="D354">
            <v>21.95</v>
          </cell>
          <cell r="E354">
            <v>24.8</v>
          </cell>
          <cell r="F354">
            <v>38.5</v>
          </cell>
          <cell r="G354">
            <v>43.5</v>
          </cell>
        </row>
        <row r="355">
          <cell r="A355" t="str">
            <v>A23TSA154-1</v>
          </cell>
          <cell r="B355" t="str">
            <v>LN</v>
          </cell>
          <cell r="C355" t="str">
            <v>EXCELLO LATEX LIBRE DE OLOR SATINADO BASE ULTRA DEEP</v>
          </cell>
          <cell r="D355">
            <v>21.95</v>
          </cell>
          <cell r="E355">
            <v>24.8</v>
          </cell>
          <cell r="F355">
            <v>38.5</v>
          </cell>
          <cell r="G355">
            <v>43.5</v>
          </cell>
        </row>
        <row r="356">
          <cell r="A356" t="str">
            <v>A23WSA2-1</v>
          </cell>
          <cell r="B356" t="str">
            <v>LN</v>
          </cell>
          <cell r="C356" t="str">
            <v>EXCELLO LATEX LIBRE DE OLOR SATINADO BLANCO</v>
          </cell>
          <cell r="D356">
            <v>26.95</v>
          </cell>
          <cell r="E356">
            <v>30.45</v>
          </cell>
          <cell r="F356">
            <v>38.5</v>
          </cell>
          <cell r="G356">
            <v>43.5</v>
          </cell>
        </row>
        <row r="358">
          <cell r="A358" t="str">
            <v>A23WSA151-5</v>
          </cell>
          <cell r="B358" t="str">
            <v>LN</v>
          </cell>
          <cell r="C358" t="str">
            <v>EXCELLO LATEX LIBRE DE OLOR SATINADO BASE EXTRA WHITE</v>
          </cell>
          <cell r="D358">
            <v>108.35</v>
          </cell>
          <cell r="E358">
            <v>122.43</v>
          </cell>
          <cell r="F358">
            <v>165.49</v>
          </cell>
          <cell r="G358">
            <v>187</v>
          </cell>
        </row>
        <row r="359">
          <cell r="A359" t="str">
            <v>A23WSA153-5</v>
          </cell>
          <cell r="B359" t="str">
            <v>LN</v>
          </cell>
          <cell r="C359" t="str">
            <v>EXCELLO LATEX LIBRE DE OLOR SATINADO BASE DEEP</v>
          </cell>
          <cell r="D359">
            <v>90.84</v>
          </cell>
          <cell r="E359">
            <v>102.65</v>
          </cell>
          <cell r="F359">
            <v>165.49</v>
          </cell>
          <cell r="G359">
            <v>187</v>
          </cell>
        </row>
        <row r="360">
          <cell r="A360" t="str">
            <v>A23TSA154-5</v>
          </cell>
          <cell r="B360" t="str">
            <v>LN</v>
          </cell>
          <cell r="C360" t="str">
            <v>EXCELLO LATEX LIBRE DE OLOR SATINADO BASE ULTRA DEEP</v>
          </cell>
          <cell r="D360">
            <v>90.84</v>
          </cell>
          <cell r="E360">
            <v>102.65</v>
          </cell>
          <cell r="F360">
            <v>165.49</v>
          </cell>
          <cell r="G360">
            <v>187</v>
          </cell>
        </row>
        <row r="361">
          <cell r="A361" t="str">
            <v>A23WSA2-5</v>
          </cell>
          <cell r="B361" t="str">
            <v>LN</v>
          </cell>
          <cell r="C361" t="str">
            <v>EXCELLO LATEX LIBRE DE OLOR SATINADO BLANCO</v>
          </cell>
          <cell r="D361">
            <v>115.84</v>
          </cell>
          <cell r="E361">
            <v>130.9</v>
          </cell>
          <cell r="F361">
            <v>165.49</v>
          </cell>
          <cell r="G361">
            <v>187</v>
          </cell>
        </row>
        <row r="363">
          <cell r="C363" t="str">
            <v>EXCELLO LATEX CLIMA EXTREMO MATE EXTERIOR / INTERIOR</v>
          </cell>
        </row>
        <row r="365">
          <cell r="A365" t="str">
            <v>B2WSA351-1/4</v>
          </cell>
          <cell r="B365" t="str">
            <v>LN</v>
          </cell>
          <cell r="C365" t="str">
            <v>EXCELLO LATEX CLIMA EXTREMO MATE BASE EXTRA WHITE</v>
          </cell>
          <cell r="D365">
            <v>7.25</v>
          </cell>
          <cell r="E365">
            <v>8.19</v>
          </cell>
          <cell r="F365">
            <v>11.06</v>
          </cell>
          <cell r="G365">
            <v>12.5</v>
          </cell>
        </row>
        <row r="366">
          <cell r="A366" t="str">
            <v>B2WSA1-1/4</v>
          </cell>
          <cell r="B366" t="str">
            <v>LN</v>
          </cell>
          <cell r="C366" t="str">
            <v>EXCELLO LATEX CLIMA EXTREMO MATE BLANCO</v>
          </cell>
          <cell r="D366">
            <v>7.74</v>
          </cell>
          <cell r="E366">
            <v>8.75</v>
          </cell>
          <cell r="F366">
            <v>11.06</v>
          </cell>
          <cell r="G366">
            <v>12.5</v>
          </cell>
        </row>
        <row r="368">
          <cell r="A368" t="str">
            <v>B2WSA1-1</v>
          </cell>
          <cell r="B368" t="str">
            <v>LN</v>
          </cell>
          <cell r="C368" t="str">
            <v>EXCELLO LATEX CLIMA EXTREMO MATE BLANCO</v>
          </cell>
          <cell r="D368">
            <v>24.47</v>
          </cell>
          <cell r="E368">
            <v>27.65</v>
          </cell>
          <cell r="F368">
            <v>34.96</v>
          </cell>
          <cell r="G368">
            <v>39.5</v>
          </cell>
        </row>
        <row r="369">
          <cell r="A369" t="str">
            <v>B2WSA3-1</v>
          </cell>
          <cell r="B369" t="str">
            <v>LN</v>
          </cell>
          <cell r="C369" t="str">
            <v>EXCELLO LATEX CLIMA EXTREMO MATE BLANCO HUESO</v>
          </cell>
          <cell r="D369">
            <v>24.47</v>
          </cell>
          <cell r="E369">
            <v>27.65</v>
          </cell>
          <cell r="F369">
            <v>34.96</v>
          </cell>
          <cell r="G369">
            <v>39.5</v>
          </cell>
        </row>
        <row r="370">
          <cell r="A370" t="str">
            <v>B2WSA351-1</v>
          </cell>
          <cell r="B370" t="str">
            <v>LN</v>
          </cell>
          <cell r="C370" t="str">
            <v>EXCELLO LATEX CLIMA EXTREMO MATE BASE EXTRA WHITE</v>
          </cell>
          <cell r="D370">
            <v>22.97</v>
          </cell>
          <cell r="E370">
            <v>25.96</v>
          </cell>
          <cell r="F370">
            <v>34.96</v>
          </cell>
          <cell r="G370">
            <v>39.5</v>
          </cell>
        </row>
        <row r="371">
          <cell r="A371" t="str">
            <v>B2WSA353-1</v>
          </cell>
          <cell r="B371" t="str">
            <v>LN</v>
          </cell>
          <cell r="C371" t="str">
            <v>EXCELLO LATEX CLIMA EXTREMO MATE BASE DEEP</v>
          </cell>
          <cell r="D371">
            <v>19.47</v>
          </cell>
          <cell r="E371">
            <v>22</v>
          </cell>
          <cell r="F371">
            <v>34.96</v>
          </cell>
          <cell r="G371">
            <v>39.5</v>
          </cell>
        </row>
        <row r="372">
          <cell r="A372" t="str">
            <v>B2TSA354-1</v>
          </cell>
          <cell r="B372" t="str">
            <v>LN</v>
          </cell>
          <cell r="C372" t="str">
            <v>EXCELLO LATEX CLIMA EXTREMO MATE BASE ULTRA DEEP</v>
          </cell>
          <cell r="D372">
            <v>19.47</v>
          </cell>
          <cell r="E372">
            <v>22</v>
          </cell>
          <cell r="F372">
            <v>34.96</v>
          </cell>
          <cell r="G372">
            <v>39.5</v>
          </cell>
        </row>
        <row r="374">
          <cell r="A374" t="str">
            <v>B2WSA1-5</v>
          </cell>
          <cell r="B374" t="str">
            <v>LN</v>
          </cell>
          <cell r="C374" t="str">
            <v>EXCELLO LATEX CLIMA EXTREMO MATE BLANCO</v>
          </cell>
          <cell r="D374">
            <v>105.93</v>
          </cell>
          <cell r="E374">
            <v>119.7</v>
          </cell>
          <cell r="F374">
            <v>151.33000000000001</v>
          </cell>
          <cell r="G374">
            <v>171</v>
          </cell>
        </row>
        <row r="375">
          <cell r="A375" t="str">
            <v>B2WSA3-5</v>
          </cell>
          <cell r="B375" t="str">
            <v>LN</v>
          </cell>
          <cell r="C375" t="str">
            <v>EXCELLO LATEX CLIMA EXTREMO MATE BLANCO HUESO</v>
          </cell>
          <cell r="D375">
            <v>105.93</v>
          </cell>
          <cell r="E375">
            <v>119.7</v>
          </cell>
          <cell r="F375">
            <v>151.33000000000001</v>
          </cell>
          <cell r="G375">
            <v>171</v>
          </cell>
        </row>
        <row r="376">
          <cell r="A376" t="str">
            <v>B2WSA351-5</v>
          </cell>
          <cell r="B376" t="str">
            <v>LN</v>
          </cell>
          <cell r="C376" t="str">
            <v>EXCELLO LATEX CLIMA EXTREMO MATE BASE EXTRA WHITE</v>
          </cell>
          <cell r="D376">
            <v>98.43</v>
          </cell>
          <cell r="E376">
            <v>111.23</v>
          </cell>
          <cell r="F376">
            <v>151.33000000000001</v>
          </cell>
          <cell r="G376">
            <v>171</v>
          </cell>
        </row>
        <row r="377">
          <cell r="A377" t="str">
            <v>B2WSA353-5</v>
          </cell>
          <cell r="B377" t="str">
            <v>LN</v>
          </cell>
          <cell r="C377" t="str">
            <v>EXCELLO LATEX CLIMA EXTREMO MATE BASE DEEP</v>
          </cell>
          <cell r="D377">
            <v>80.930000000000007</v>
          </cell>
          <cell r="E377">
            <v>91.45</v>
          </cell>
          <cell r="F377">
            <v>151.33000000000001</v>
          </cell>
          <cell r="G377">
            <v>171</v>
          </cell>
        </row>
        <row r="378">
          <cell r="A378" t="str">
            <v>B2TSA354-5</v>
          </cell>
          <cell r="B378" t="str">
            <v>LN</v>
          </cell>
          <cell r="C378" t="str">
            <v>EXCELLO LATEX CLIMA EXTREMO MATE BASE ULTRA DEEP</v>
          </cell>
          <cell r="D378">
            <v>80.930000000000007</v>
          </cell>
          <cell r="E378">
            <v>91.45</v>
          </cell>
          <cell r="F378">
            <v>151.33000000000001</v>
          </cell>
          <cell r="G378">
            <v>171</v>
          </cell>
        </row>
        <row r="380">
          <cell r="C380" t="str">
            <v>EXCELLO FLEXIBLE MATE EXTERIOR / INTERIOR</v>
          </cell>
        </row>
        <row r="382">
          <cell r="A382" t="str">
            <v>B40WSA51-1/4</v>
          </cell>
          <cell r="B382" t="str">
            <v>LN</v>
          </cell>
          <cell r="C382" t="str">
            <v>EXCELLO FLEXIBLE MATE BASE EXTRA WHITE</v>
          </cell>
          <cell r="D382">
            <v>8.49</v>
          </cell>
          <cell r="E382">
            <v>9.59</v>
          </cell>
          <cell r="F382">
            <v>12.83</v>
          </cell>
          <cell r="G382">
            <v>14.5</v>
          </cell>
        </row>
        <row r="383">
          <cell r="A383" t="str">
            <v>B40WSA57-1/4</v>
          </cell>
          <cell r="B383" t="str">
            <v>LN</v>
          </cell>
          <cell r="C383" t="str">
            <v>EXCELLO FLEXIBLE MATE ULTRA BLANCO</v>
          </cell>
          <cell r="D383">
            <v>8.98</v>
          </cell>
          <cell r="E383">
            <v>10.15</v>
          </cell>
          <cell r="F383">
            <v>12.83</v>
          </cell>
          <cell r="G383">
            <v>14.5</v>
          </cell>
        </row>
        <row r="385">
          <cell r="A385" t="str">
            <v>B40WSA51-1</v>
          </cell>
          <cell r="B385" t="str">
            <v>LN</v>
          </cell>
          <cell r="C385" t="str">
            <v>EXCELLO FLEXIBLE MATE BASE EXTRA WHITE</v>
          </cell>
          <cell r="D385">
            <v>25.45</v>
          </cell>
          <cell r="E385">
            <v>28.76</v>
          </cell>
          <cell r="F385">
            <v>38.5</v>
          </cell>
          <cell r="G385">
            <v>43.5</v>
          </cell>
        </row>
        <row r="386">
          <cell r="A386" t="str">
            <v>B40WSA53-1</v>
          </cell>
          <cell r="B386" t="str">
            <v>LN</v>
          </cell>
          <cell r="C386" t="str">
            <v>EXCELLO FLEXIBLE MATE BASE DEEP</v>
          </cell>
          <cell r="D386">
            <v>21.95</v>
          </cell>
          <cell r="E386">
            <v>24.8</v>
          </cell>
          <cell r="F386">
            <v>38.5</v>
          </cell>
          <cell r="G386">
            <v>43.5</v>
          </cell>
        </row>
        <row r="387">
          <cell r="A387" t="str">
            <v>B40TSA54-1</v>
          </cell>
          <cell r="B387" t="str">
            <v>LN</v>
          </cell>
          <cell r="C387" t="str">
            <v>EXCELLO FLEXIBLE MATE BASE ULTRADEEP</v>
          </cell>
          <cell r="D387">
            <v>21.95</v>
          </cell>
          <cell r="E387">
            <v>24.8</v>
          </cell>
          <cell r="F387">
            <v>38.5</v>
          </cell>
          <cell r="G387">
            <v>43.5</v>
          </cell>
        </row>
        <row r="388">
          <cell r="A388" t="str">
            <v>B40WSA57-1</v>
          </cell>
          <cell r="B388" t="str">
            <v>LN</v>
          </cell>
          <cell r="C388" t="str">
            <v>EXCELLO FLEXIBLE MATE ULTRA BLANCO</v>
          </cell>
          <cell r="D388">
            <v>26.95</v>
          </cell>
          <cell r="E388">
            <v>30.45</v>
          </cell>
          <cell r="F388">
            <v>38.5</v>
          </cell>
          <cell r="G388">
            <v>43.5</v>
          </cell>
        </row>
        <row r="390">
          <cell r="A390" t="str">
            <v>B40WSA51-5</v>
          </cell>
          <cell r="B390" t="str">
            <v>LN</v>
          </cell>
          <cell r="C390" t="str">
            <v>EXCELLO FLEXIBLE MATE BASE EXTRA WHITE</v>
          </cell>
          <cell r="D390">
            <v>119.5</v>
          </cell>
          <cell r="E390">
            <v>135.03</v>
          </cell>
          <cell r="F390">
            <v>181.42</v>
          </cell>
          <cell r="G390">
            <v>205</v>
          </cell>
        </row>
        <row r="391">
          <cell r="A391" t="str">
            <v>B40WSA53-5</v>
          </cell>
          <cell r="B391" t="str">
            <v>LN</v>
          </cell>
          <cell r="C391" t="str">
            <v>EXCELLO FLEXIBLE MATE BASE DEEP</v>
          </cell>
          <cell r="D391">
            <v>101.99</v>
          </cell>
          <cell r="E391">
            <v>115.25</v>
          </cell>
          <cell r="F391">
            <v>181.42</v>
          </cell>
          <cell r="G391">
            <v>205</v>
          </cell>
        </row>
        <row r="392">
          <cell r="A392" t="str">
            <v>B40TSA54-5</v>
          </cell>
          <cell r="B392" t="str">
            <v>LN</v>
          </cell>
          <cell r="C392" t="str">
            <v>EXCELLO FLEXIBLE MATE BASE ULTRADEEP</v>
          </cell>
          <cell r="D392">
            <v>101.99</v>
          </cell>
          <cell r="E392">
            <v>115.25</v>
          </cell>
          <cell r="F392">
            <v>181.42</v>
          </cell>
          <cell r="G392">
            <v>205</v>
          </cell>
        </row>
        <row r="393">
          <cell r="A393" t="str">
            <v>B40WSA57-5</v>
          </cell>
          <cell r="B393" t="str">
            <v>LN</v>
          </cell>
          <cell r="C393" t="str">
            <v>EXCELLO FLEXIBLE MATE ULTRA BLANCO</v>
          </cell>
          <cell r="D393">
            <v>126.99</v>
          </cell>
          <cell r="E393">
            <v>143.5</v>
          </cell>
          <cell r="F393">
            <v>181.42</v>
          </cell>
          <cell r="G393">
            <v>205</v>
          </cell>
        </row>
        <row r="395">
          <cell r="C395" t="str">
            <v>EXCELLO BARNIZ</v>
          </cell>
        </row>
        <row r="397">
          <cell r="A397" t="str">
            <v>V87CSA1-1/4</v>
          </cell>
          <cell r="B397" t="str">
            <v>LN</v>
          </cell>
          <cell r="C397" t="str">
            <v>EXCELLO BARNIZ WET-LOOK WET TRANSPARENTE</v>
          </cell>
          <cell r="D397">
            <v>9.23</v>
          </cell>
          <cell r="E397">
            <v>10.43</v>
          </cell>
          <cell r="F397">
            <v>13.19</v>
          </cell>
          <cell r="G397">
            <v>14.9</v>
          </cell>
        </row>
        <row r="398">
          <cell r="A398" t="str">
            <v>V87CSA1-1</v>
          </cell>
          <cell r="B398" t="str">
            <v>LN</v>
          </cell>
          <cell r="C398" t="str">
            <v>EXCELLO BARNIZ WET-LOOK WET TRANSPARENTE</v>
          </cell>
          <cell r="D398">
            <v>31.53</v>
          </cell>
          <cell r="E398">
            <v>35.630000000000003</v>
          </cell>
          <cell r="F398">
            <v>45.04</v>
          </cell>
          <cell r="G398">
            <v>50.9</v>
          </cell>
        </row>
        <row r="400">
          <cell r="A400" t="str">
            <v>B44VA4-1/4</v>
          </cell>
          <cell r="B400" t="str">
            <v>LN</v>
          </cell>
          <cell r="C400" t="str">
            <v>EXCELLO BARNIZ SATIN-LOOK SATINADO TRANSPARENTE</v>
          </cell>
          <cell r="D400">
            <v>7.99</v>
          </cell>
          <cell r="E400">
            <v>9.0299999999999994</v>
          </cell>
          <cell r="F400">
            <v>11.42</v>
          </cell>
          <cell r="G400">
            <v>12.9</v>
          </cell>
        </row>
        <row r="401">
          <cell r="A401" t="str">
            <v>B44VA4-1</v>
          </cell>
          <cell r="B401" t="str">
            <v>LN</v>
          </cell>
          <cell r="C401" t="str">
            <v>EXCELLO BARNIZ SATIN-LOOK SATINADO TRANSPARENTE</v>
          </cell>
          <cell r="D401">
            <v>25.34</v>
          </cell>
          <cell r="E401">
            <v>28.63</v>
          </cell>
          <cell r="F401">
            <v>36.19</v>
          </cell>
          <cell r="G401">
            <v>40.9</v>
          </cell>
        </row>
        <row r="403">
          <cell r="C403" t="str">
            <v>EXCELLO LATEX CIELO INTERIOR MATE INTERIOR</v>
          </cell>
        </row>
        <row r="405">
          <cell r="A405" t="str">
            <v>K64WSA1-1</v>
          </cell>
          <cell r="B405" t="str">
            <v>LN</v>
          </cell>
          <cell r="C405" t="str">
            <v>EXCELLO LATEX CIELO INTERIOR MATE BLANCO</v>
          </cell>
          <cell r="D405">
            <v>19.760000000000002</v>
          </cell>
          <cell r="E405">
            <v>22.33</v>
          </cell>
          <cell r="F405">
            <v>28.23</v>
          </cell>
          <cell r="G405">
            <v>31.9</v>
          </cell>
        </row>
        <row r="406">
          <cell r="A406" t="str">
            <v>K64WSA1-5</v>
          </cell>
          <cell r="B406" t="str">
            <v>LN</v>
          </cell>
          <cell r="C406" t="str">
            <v>EXCELLO LATEX CIELO INTERIOR MATE BLANCO</v>
          </cell>
          <cell r="D406">
            <v>83.63</v>
          </cell>
          <cell r="E406">
            <v>94.5</v>
          </cell>
          <cell r="F406">
            <v>119.47</v>
          </cell>
          <cell r="G406">
            <v>135</v>
          </cell>
        </row>
        <row r="408">
          <cell r="C408" t="str">
            <v>EXCELLO PISCINAS SATINADO EXTERIOR</v>
          </cell>
        </row>
        <row r="409">
          <cell r="A409" t="str">
            <v>A5L25-1/4</v>
          </cell>
          <cell r="B409" t="str">
            <v>LN</v>
          </cell>
          <cell r="C409" t="str">
            <v>EXCELLO PISCINAS SATINADO AZUL CRISTAL</v>
          </cell>
          <cell r="D409">
            <v>11.09</v>
          </cell>
          <cell r="E409">
            <v>12.53</v>
          </cell>
          <cell r="F409">
            <v>15.84</v>
          </cell>
          <cell r="G409">
            <v>17.899999999999999</v>
          </cell>
        </row>
        <row r="410">
          <cell r="A410" t="str">
            <v>A5LSA11-1/4</v>
          </cell>
          <cell r="B410" t="str">
            <v>LN</v>
          </cell>
          <cell r="C410" t="str">
            <v>EXCELLO PISCINAS SATINADO AZUL REAL</v>
          </cell>
          <cell r="D410">
            <v>11.09</v>
          </cell>
          <cell r="E410">
            <v>12.53</v>
          </cell>
          <cell r="F410">
            <v>15.84</v>
          </cell>
          <cell r="G410">
            <v>17.899999999999999</v>
          </cell>
        </row>
        <row r="411">
          <cell r="A411" t="str">
            <v>A5W41-1/4</v>
          </cell>
          <cell r="B411" t="str">
            <v>LN</v>
          </cell>
          <cell r="C411" t="str">
            <v>EXCELLO PISCINAS SATINADO BLANCO</v>
          </cell>
          <cell r="D411">
            <v>11.09</v>
          </cell>
          <cell r="E411">
            <v>12.53</v>
          </cell>
          <cell r="F411">
            <v>15.84</v>
          </cell>
          <cell r="G411">
            <v>17.899999999999999</v>
          </cell>
        </row>
        <row r="413">
          <cell r="A413" t="str">
            <v>A5G70-1</v>
          </cell>
          <cell r="B413" t="str">
            <v>LN</v>
          </cell>
          <cell r="C413" t="str">
            <v>EXCELLO PISCINAS SATINADO VERDE MAR</v>
          </cell>
          <cell r="D413">
            <v>36.49</v>
          </cell>
          <cell r="E413">
            <v>41.23</v>
          </cell>
          <cell r="F413">
            <v>52.12</v>
          </cell>
          <cell r="G413">
            <v>58.9</v>
          </cell>
        </row>
        <row r="414">
          <cell r="A414" t="str">
            <v>A5L25-1</v>
          </cell>
          <cell r="B414" t="str">
            <v>LN</v>
          </cell>
          <cell r="C414" t="str">
            <v>EXCELLO PISCINAS SATINADO AZUL CRISTAL</v>
          </cell>
          <cell r="D414">
            <v>36.49</v>
          </cell>
          <cell r="E414">
            <v>41.23</v>
          </cell>
          <cell r="F414">
            <v>52.12</v>
          </cell>
          <cell r="G414">
            <v>58.9</v>
          </cell>
        </row>
        <row r="415">
          <cell r="A415" t="str">
            <v>A5LSA11-1</v>
          </cell>
          <cell r="B415" t="str">
            <v>LN</v>
          </cell>
          <cell r="C415" t="str">
            <v>EXCELLO PISCINAS SATINADO AZUL REAL</v>
          </cell>
          <cell r="D415">
            <v>36.49</v>
          </cell>
          <cell r="E415">
            <v>41.23</v>
          </cell>
          <cell r="F415">
            <v>52.12</v>
          </cell>
          <cell r="G415">
            <v>58.9</v>
          </cell>
        </row>
        <row r="416">
          <cell r="A416" t="str">
            <v>A5W41-1</v>
          </cell>
          <cell r="B416" t="str">
            <v>LN</v>
          </cell>
          <cell r="C416" t="str">
            <v>EXCELLO PISCINAS SATINADO BLANCO</v>
          </cell>
          <cell r="D416">
            <v>36.49</v>
          </cell>
          <cell r="E416">
            <v>41.23</v>
          </cell>
          <cell r="F416">
            <v>52.12</v>
          </cell>
          <cell r="G416">
            <v>58.9</v>
          </cell>
        </row>
        <row r="418">
          <cell r="C418" t="str">
            <v>EXCELLO PISCINAS PILAS</v>
          </cell>
        </row>
        <row r="419">
          <cell r="A419" t="str">
            <v>A5PLL25-1/4</v>
          </cell>
          <cell r="B419" t="str">
            <v>LN</v>
          </cell>
          <cell r="C419" t="str">
            <v>EXCELLO PILAS SATINADO AZUL CIELO</v>
          </cell>
          <cell r="D419">
            <v>10.77</v>
          </cell>
          <cell r="E419">
            <v>12.17</v>
          </cell>
          <cell r="F419">
            <v>14.96</v>
          </cell>
          <cell r="G419">
            <v>16.899999999999999</v>
          </cell>
        </row>
        <row r="420">
          <cell r="A420" t="str">
            <v>A5PLLSA11-1/4</v>
          </cell>
          <cell r="B420" t="str">
            <v>LN</v>
          </cell>
          <cell r="C420" t="str">
            <v>EXCELLO PILAS SATINADO AZUL INTENSO</v>
          </cell>
          <cell r="D420">
            <v>10.77</v>
          </cell>
          <cell r="E420">
            <v>12.17</v>
          </cell>
          <cell r="F420">
            <v>14.96</v>
          </cell>
          <cell r="G420">
            <v>16.899999999999999</v>
          </cell>
        </row>
        <row r="421">
          <cell r="A421" t="str">
            <v>A5PLW41-1/4</v>
          </cell>
          <cell r="B421" t="str">
            <v>LN</v>
          </cell>
          <cell r="C421" t="str">
            <v>EXCELLO PILAS SATINADO BLANCO</v>
          </cell>
          <cell r="D421">
            <v>10.77</v>
          </cell>
          <cell r="E421">
            <v>12.17</v>
          </cell>
          <cell r="F421">
            <v>14.96</v>
          </cell>
          <cell r="G421">
            <v>16.899999999999999</v>
          </cell>
        </row>
        <row r="423">
          <cell r="C423" t="str">
            <v>EXCELLO CANCHAS DEPORTIVAS MATE EXTERIOR/INTERIOR</v>
          </cell>
        </row>
        <row r="424">
          <cell r="A424" t="str">
            <v>A24GSA1-1</v>
          </cell>
          <cell r="B424" t="str">
            <v>LN</v>
          </cell>
          <cell r="C424" t="str">
            <v>EXCELLO CANCHAS DEPORTIVAS MATE VERDE</v>
          </cell>
          <cell r="D424">
            <v>20.75</v>
          </cell>
          <cell r="E424">
            <v>23.45</v>
          </cell>
          <cell r="F424">
            <v>29.65</v>
          </cell>
          <cell r="G424">
            <v>33.5</v>
          </cell>
        </row>
        <row r="425">
          <cell r="A425" t="str">
            <v>A24RSA1-1</v>
          </cell>
          <cell r="B425" t="str">
            <v>LN</v>
          </cell>
          <cell r="C425" t="str">
            <v>EXCELLO CANCHAS DEPORTIVAS MATE ROJO</v>
          </cell>
          <cell r="D425">
            <v>20.75</v>
          </cell>
          <cell r="E425">
            <v>23.45</v>
          </cell>
          <cell r="F425">
            <v>29.65</v>
          </cell>
          <cell r="G425">
            <v>33.5</v>
          </cell>
        </row>
        <row r="426">
          <cell r="A426" t="str">
            <v>A24WSA1-1</v>
          </cell>
          <cell r="B426" t="str">
            <v>LN</v>
          </cell>
          <cell r="C426" t="str">
            <v>EXCELLO CANCHAS DEPORTIVAS MATE BLANCO</v>
          </cell>
          <cell r="D426">
            <v>20.75</v>
          </cell>
          <cell r="E426">
            <v>23.45</v>
          </cell>
          <cell r="F426">
            <v>29.65</v>
          </cell>
          <cell r="G426">
            <v>33.5</v>
          </cell>
        </row>
        <row r="427">
          <cell r="A427" t="str">
            <v>A24LSA1-1</v>
          </cell>
          <cell r="B427" t="str">
            <v>LN</v>
          </cell>
          <cell r="C427" t="str">
            <v>EXCELLO CANCHAS DEPORTIVAS MATE AZUL OSCURO SW 2419</v>
          </cell>
          <cell r="D427">
            <v>20.75</v>
          </cell>
          <cell r="E427">
            <v>23.45</v>
          </cell>
          <cell r="F427">
            <v>29.65</v>
          </cell>
          <cell r="G427">
            <v>33.5</v>
          </cell>
        </row>
        <row r="429">
          <cell r="C429" t="str">
            <v>EXCELLO PIZARRAS MATE INTERIOR</v>
          </cell>
        </row>
        <row r="431">
          <cell r="A431" t="str">
            <v>A51B8-1</v>
          </cell>
          <cell r="B431" t="str">
            <v>LN</v>
          </cell>
          <cell r="C431" t="str">
            <v>EXCELLO PIZARRAS MATE NEGRO</v>
          </cell>
          <cell r="D431">
            <v>23.05</v>
          </cell>
          <cell r="E431">
            <v>26.05</v>
          </cell>
          <cell r="F431">
            <v>31.15</v>
          </cell>
          <cell r="G431">
            <v>35.200000000000003</v>
          </cell>
        </row>
        <row r="432">
          <cell r="A432" t="str">
            <v>A51G67-1</v>
          </cell>
          <cell r="B432" t="str">
            <v>LN</v>
          </cell>
          <cell r="C432" t="str">
            <v>EXCELLO PIZARRAS MATE VERDE</v>
          </cell>
          <cell r="D432">
            <v>23.05</v>
          </cell>
          <cell r="E432">
            <v>26.05</v>
          </cell>
          <cell r="F432">
            <v>31.15</v>
          </cell>
          <cell r="G432">
            <v>35.200000000000003</v>
          </cell>
        </row>
        <row r="434">
          <cell r="C434" t="str">
            <v>TINTES BLEND A COLOR</v>
          </cell>
        </row>
        <row r="436">
          <cell r="A436" t="str">
            <v>A60G2-1/4</v>
          </cell>
          <cell r="B436" t="str">
            <v>IMPORTADO</v>
          </cell>
          <cell r="C436" t="str">
            <v>BLEND A COLOR COLORANT NEW GREEN</v>
          </cell>
          <cell r="D436">
            <v>16.04</v>
          </cell>
          <cell r="E436">
            <v>18.13</v>
          </cell>
          <cell r="F436">
            <v>22.92</v>
          </cell>
          <cell r="G436">
            <v>25.9</v>
          </cell>
        </row>
        <row r="437">
          <cell r="A437" t="str">
            <v>A60L1-1/4</v>
          </cell>
          <cell r="B437" t="str">
            <v>IMPORTADO</v>
          </cell>
          <cell r="C437" t="str">
            <v>BLEND A COLOR COLORANT BLUE</v>
          </cell>
          <cell r="D437">
            <v>16.04</v>
          </cell>
          <cell r="E437">
            <v>18.13</v>
          </cell>
          <cell r="F437">
            <v>22.92</v>
          </cell>
          <cell r="G437">
            <v>25.9</v>
          </cell>
        </row>
        <row r="438">
          <cell r="A438" t="str">
            <v>A60R3-1/4</v>
          </cell>
          <cell r="B438" t="str">
            <v>IMPORTADO</v>
          </cell>
          <cell r="C438" t="str">
            <v>BLEND A COLOR COLORANT MAGENTA</v>
          </cell>
          <cell r="D438">
            <v>16.04</v>
          </cell>
          <cell r="E438">
            <v>18.13</v>
          </cell>
          <cell r="F438">
            <v>22.92</v>
          </cell>
          <cell r="G438">
            <v>25.9</v>
          </cell>
        </row>
        <row r="439">
          <cell r="A439" t="str">
            <v>A60N1-1/4</v>
          </cell>
          <cell r="B439" t="str">
            <v>IMPORTADO</v>
          </cell>
          <cell r="C439" t="str">
            <v>BLEND A COLOR COLORANT RAW UMBER</v>
          </cell>
          <cell r="D439">
            <v>16.04</v>
          </cell>
          <cell r="E439">
            <v>18.13</v>
          </cell>
          <cell r="F439">
            <v>22.92</v>
          </cell>
          <cell r="G439">
            <v>25.9</v>
          </cell>
        </row>
        <row r="440">
          <cell r="A440" t="str">
            <v>A60R4-1/4</v>
          </cell>
          <cell r="B440" t="str">
            <v>IMPORTADO</v>
          </cell>
          <cell r="C440" t="str">
            <v>BLEND A COLOR COLORANT NEW RED</v>
          </cell>
          <cell r="D440">
            <v>16.04</v>
          </cell>
          <cell r="E440">
            <v>18.13</v>
          </cell>
          <cell r="F440">
            <v>22.92</v>
          </cell>
          <cell r="G440">
            <v>25.9</v>
          </cell>
        </row>
        <row r="441">
          <cell r="A441" t="str">
            <v>A60R2-1/4</v>
          </cell>
          <cell r="B441" t="str">
            <v>IMPORTADO</v>
          </cell>
          <cell r="C441" t="str">
            <v>BLEND A COLOR COLORANT RED OXIDE</v>
          </cell>
          <cell r="D441">
            <v>16.04</v>
          </cell>
          <cell r="E441">
            <v>18.13</v>
          </cell>
          <cell r="F441">
            <v>22.92</v>
          </cell>
          <cell r="G441">
            <v>25.9</v>
          </cell>
        </row>
        <row r="442">
          <cell r="A442" t="str">
            <v>A60Y1-1/4</v>
          </cell>
          <cell r="B442" t="str">
            <v>IMPORTADO</v>
          </cell>
          <cell r="C442" t="str">
            <v>BLEND A COLOR COLORANT YELLOW</v>
          </cell>
          <cell r="D442">
            <v>16.04</v>
          </cell>
          <cell r="E442">
            <v>18.13</v>
          </cell>
          <cell r="F442">
            <v>22.92</v>
          </cell>
          <cell r="G442">
            <v>25.9</v>
          </cell>
        </row>
        <row r="443">
          <cell r="A443" t="str">
            <v>A60Y3-1/4</v>
          </cell>
          <cell r="B443" t="str">
            <v>IMPORTADO</v>
          </cell>
          <cell r="C443" t="str">
            <v>BLEND A COLOR COLORANT YELLOW OXIDE</v>
          </cell>
          <cell r="D443">
            <v>16.04</v>
          </cell>
          <cell r="E443">
            <v>18.13</v>
          </cell>
          <cell r="F443">
            <v>22.92</v>
          </cell>
          <cell r="G443">
            <v>25.9</v>
          </cell>
        </row>
        <row r="444">
          <cell r="A444" t="str">
            <v>A60W1-1/4</v>
          </cell>
          <cell r="B444" t="str">
            <v>IMPORTADO</v>
          </cell>
          <cell r="C444" t="str">
            <v>BLEND A COLOR COLORANT WHITE</v>
          </cell>
          <cell r="D444">
            <v>16.04</v>
          </cell>
          <cell r="E444">
            <v>18.13</v>
          </cell>
          <cell r="F444">
            <v>22.92</v>
          </cell>
          <cell r="G444">
            <v>25.9</v>
          </cell>
        </row>
        <row r="445">
          <cell r="A445" t="str">
            <v>A60B1-1/4</v>
          </cell>
          <cell r="B445" t="str">
            <v>IMPORTADO</v>
          </cell>
          <cell r="C445" t="str">
            <v>BLEND A COLOR COLORANT BLACK</v>
          </cell>
          <cell r="D445">
            <v>16.04</v>
          </cell>
          <cell r="E445">
            <v>18.13</v>
          </cell>
          <cell r="F445">
            <v>22.92</v>
          </cell>
          <cell r="G445">
            <v>25.9</v>
          </cell>
        </row>
        <row r="447">
          <cell r="A447" t="str">
            <v>A60B1-1</v>
          </cell>
          <cell r="B447" t="str">
            <v>IMPORTADO</v>
          </cell>
          <cell r="C447" t="str">
            <v>BLEND A COLOR COLORANT BLACK</v>
          </cell>
          <cell r="D447">
            <v>61.33</v>
          </cell>
          <cell r="E447">
            <v>69.3</v>
          </cell>
          <cell r="F447">
            <v>87.61</v>
          </cell>
          <cell r="G447">
            <v>99</v>
          </cell>
        </row>
        <row r="448">
          <cell r="A448" t="str">
            <v>A60W1-1</v>
          </cell>
          <cell r="B448" t="str">
            <v>IMPORTADO</v>
          </cell>
          <cell r="C448" t="str">
            <v>BLEND A COLOR COLORANT WHITE</v>
          </cell>
          <cell r="D448">
            <v>61.33</v>
          </cell>
          <cell r="E448">
            <v>69.3</v>
          </cell>
          <cell r="F448">
            <v>87.61</v>
          </cell>
          <cell r="G448">
            <v>99</v>
          </cell>
        </row>
        <row r="450">
          <cell r="C450" t="str">
            <v xml:space="preserve">TINTE PARA USO INTERIOR UNICAMENTE. UTILIZADO AL EXTERIOR SE </v>
          </cell>
        </row>
        <row r="451">
          <cell r="C451" t="str">
            <v>DECOLORA.</v>
          </cell>
        </row>
        <row r="453">
          <cell r="C453" t="str">
            <v>COLONIAL STYLE LATEX MATE</v>
          </cell>
        </row>
        <row r="455">
          <cell r="A455" t="str">
            <v>B79WSA1-1/4</v>
          </cell>
          <cell r="B455" t="str">
            <v>PE</v>
          </cell>
          <cell r="C455" t="str">
            <v>COLONIAL STYLE LATEX MATE BLANCO</v>
          </cell>
          <cell r="D455">
            <v>5.51</v>
          </cell>
          <cell r="E455">
            <v>6.23</v>
          </cell>
          <cell r="F455">
            <v>7.88</v>
          </cell>
          <cell r="G455">
            <v>8.9</v>
          </cell>
        </row>
        <row r="456">
          <cell r="A456" t="str">
            <v>B79WSA9-1/4</v>
          </cell>
          <cell r="B456" t="str">
            <v>PE</v>
          </cell>
          <cell r="C456" t="str">
            <v>COLONIAL STYLE LATEX MATE BLANCO ANTIGUO AMERICANO</v>
          </cell>
          <cell r="D456">
            <v>5.51</v>
          </cell>
          <cell r="E456">
            <v>6.23</v>
          </cell>
          <cell r="F456">
            <v>7.88</v>
          </cell>
          <cell r="G456">
            <v>8.9</v>
          </cell>
        </row>
        <row r="457">
          <cell r="A457" t="str">
            <v>B79WSA10-1/4</v>
          </cell>
          <cell r="B457" t="str">
            <v>PE</v>
          </cell>
          <cell r="C457" t="str">
            <v>COLONIAL STYLE LATEX MATE NUEVO BLANCO HUESO</v>
          </cell>
          <cell r="D457">
            <v>5.51</v>
          </cell>
          <cell r="E457">
            <v>6.23</v>
          </cell>
          <cell r="F457">
            <v>7.88</v>
          </cell>
          <cell r="G457">
            <v>8.9</v>
          </cell>
        </row>
        <row r="459">
          <cell r="A459" t="str">
            <v>B79ASA17-1</v>
          </cell>
          <cell r="B459" t="str">
            <v>LN</v>
          </cell>
          <cell r="C459" t="str">
            <v>COLONIAL STYLE LATEX MATE GRIS CANTERA</v>
          </cell>
          <cell r="D459">
            <v>17.04</v>
          </cell>
          <cell r="E459">
            <v>19.25</v>
          </cell>
          <cell r="F459">
            <v>24.34</v>
          </cell>
          <cell r="G459">
            <v>27.5</v>
          </cell>
        </row>
        <row r="460">
          <cell r="A460" t="str">
            <v>B79ESA15-1</v>
          </cell>
          <cell r="B460" t="str">
            <v>LN</v>
          </cell>
          <cell r="C460" t="str">
            <v>COLONIAL STYLE LATEX MATE MANDARINA</v>
          </cell>
          <cell r="D460">
            <v>17.04</v>
          </cell>
          <cell r="E460">
            <v>19.25</v>
          </cell>
          <cell r="F460">
            <v>24.34</v>
          </cell>
          <cell r="G460">
            <v>27.5</v>
          </cell>
        </row>
        <row r="461">
          <cell r="A461" t="str">
            <v>B79ESA16-1</v>
          </cell>
          <cell r="B461" t="str">
            <v>LN</v>
          </cell>
          <cell r="C461" t="str">
            <v>COLONIAL STYLE LATEX MATE NARANJA MONARCA</v>
          </cell>
          <cell r="D461">
            <v>17.04</v>
          </cell>
          <cell r="E461">
            <v>19.25</v>
          </cell>
          <cell r="F461">
            <v>24.34</v>
          </cell>
          <cell r="G461">
            <v>27.5</v>
          </cell>
        </row>
        <row r="462">
          <cell r="A462" t="str">
            <v>B79ESA2-1</v>
          </cell>
          <cell r="B462" t="str">
            <v>LN</v>
          </cell>
          <cell r="C462" t="str">
            <v>COLONIAL STYLE LATEX MATE MELON</v>
          </cell>
          <cell r="D462">
            <v>17.04</v>
          </cell>
          <cell r="E462">
            <v>19.25</v>
          </cell>
          <cell r="F462">
            <v>24.34</v>
          </cell>
          <cell r="G462">
            <v>27.5</v>
          </cell>
        </row>
        <row r="463">
          <cell r="A463" t="str">
            <v>B79ESA7-1</v>
          </cell>
          <cell r="B463" t="str">
            <v>LN</v>
          </cell>
          <cell r="C463" t="str">
            <v>COLONIAL STYLE LATEX MATE MELOCOTON</v>
          </cell>
          <cell r="D463">
            <v>17.04</v>
          </cell>
          <cell r="E463">
            <v>19.25</v>
          </cell>
          <cell r="F463">
            <v>24.34</v>
          </cell>
          <cell r="G463">
            <v>27.5</v>
          </cell>
        </row>
        <row r="464">
          <cell r="A464" t="str">
            <v>B79GSA15-1</v>
          </cell>
          <cell r="B464" t="str">
            <v>LN</v>
          </cell>
          <cell r="C464" t="str">
            <v>COLONIAL STYLE LATEX MATE VERDE MENTA</v>
          </cell>
          <cell r="D464">
            <v>17.04</v>
          </cell>
          <cell r="E464">
            <v>19.25</v>
          </cell>
          <cell r="F464">
            <v>24.34</v>
          </cell>
          <cell r="G464">
            <v>27.5</v>
          </cell>
        </row>
        <row r="465">
          <cell r="A465" t="str">
            <v>B79GSA33-1</v>
          </cell>
          <cell r="B465" t="str">
            <v>LN</v>
          </cell>
          <cell r="C465" t="str">
            <v>COLONIAL STYLE LATEX MATE AQUA CALIPSO</v>
          </cell>
          <cell r="D465">
            <v>17.04</v>
          </cell>
          <cell r="E465">
            <v>19.25</v>
          </cell>
          <cell r="F465">
            <v>24.34</v>
          </cell>
          <cell r="G465">
            <v>27.5</v>
          </cell>
        </row>
        <row r="466">
          <cell r="A466" t="str">
            <v>B79GSA5-1</v>
          </cell>
          <cell r="B466" t="str">
            <v>LN</v>
          </cell>
          <cell r="C466" t="str">
            <v>COLONIAL STYLE LATEX MATE TURQUESA</v>
          </cell>
          <cell r="D466">
            <v>17.04</v>
          </cell>
          <cell r="E466">
            <v>19.25</v>
          </cell>
          <cell r="F466">
            <v>24.34</v>
          </cell>
          <cell r="G466">
            <v>27.5</v>
          </cell>
        </row>
        <row r="467">
          <cell r="A467" t="str">
            <v>B79NSA6-1</v>
          </cell>
          <cell r="B467" t="str">
            <v>LN</v>
          </cell>
          <cell r="C467" t="str">
            <v>COLONIAL STYLE LATEX MATE BEIGE</v>
          </cell>
          <cell r="D467">
            <v>17.04</v>
          </cell>
          <cell r="E467">
            <v>19.25</v>
          </cell>
          <cell r="F467">
            <v>24.34</v>
          </cell>
          <cell r="G467">
            <v>27.5</v>
          </cell>
        </row>
        <row r="468">
          <cell r="A468" t="str">
            <v>B79NSA7-1</v>
          </cell>
          <cell r="B468" t="str">
            <v>LN</v>
          </cell>
          <cell r="C468" t="str">
            <v>COLONIAL STYLE LATEX MATE CASTAÑO</v>
          </cell>
          <cell r="D468">
            <v>17.04</v>
          </cell>
          <cell r="E468">
            <v>19.25</v>
          </cell>
          <cell r="F468">
            <v>24.34</v>
          </cell>
          <cell r="G468">
            <v>27.5</v>
          </cell>
        </row>
        <row r="469">
          <cell r="A469" t="str">
            <v>B79RSA23-1</v>
          </cell>
          <cell r="B469" t="str">
            <v>LN</v>
          </cell>
          <cell r="C469" t="str">
            <v>COLONIAL STYLE LATEX MATE JALAPEÑO</v>
          </cell>
          <cell r="D469">
            <v>17.04</v>
          </cell>
          <cell r="E469">
            <v>19.25</v>
          </cell>
          <cell r="F469">
            <v>24.34</v>
          </cell>
          <cell r="G469">
            <v>27.5</v>
          </cell>
        </row>
        <row r="470">
          <cell r="A470" t="str">
            <v>B79WSA10-1</v>
          </cell>
          <cell r="B470" t="str">
            <v>LN</v>
          </cell>
          <cell r="C470" t="str">
            <v>COLONIAL STYLE LATEX MATE NUEVO BLANCO HUESO</v>
          </cell>
          <cell r="D470">
            <v>17.04</v>
          </cell>
          <cell r="E470">
            <v>19.25</v>
          </cell>
          <cell r="F470">
            <v>24.34</v>
          </cell>
          <cell r="G470">
            <v>27.5</v>
          </cell>
        </row>
        <row r="471">
          <cell r="A471" t="str">
            <v>B79WSA1-1</v>
          </cell>
          <cell r="B471" t="str">
            <v>LN</v>
          </cell>
          <cell r="C471" t="str">
            <v>COLONIAL STYLE LATEX MATE BLANCO</v>
          </cell>
          <cell r="D471">
            <v>17.04</v>
          </cell>
          <cell r="E471">
            <v>19.25</v>
          </cell>
          <cell r="F471">
            <v>24.34</v>
          </cell>
          <cell r="G471">
            <v>27.5</v>
          </cell>
        </row>
        <row r="472">
          <cell r="A472" t="str">
            <v>B79WSA31-1</v>
          </cell>
          <cell r="B472" t="str">
            <v>LN</v>
          </cell>
          <cell r="C472" t="str">
            <v>COLONIAL STYLE LATEX MATE BLANCO CUARZO</v>
          </cell>
          <cell r="D472">
            <v>17.04</v>
          </cell>
          <cell r="E472">
            <v>19.25</v>
          </cell>
          <cell r="F472">
            <v>24.34</v>
          </cell>
          <cell r="G472">
            <v>27.5</v>
          </cell>
        </row>
        <row r="473">
          <cell r="A473" t="str">
            <v>B79WSA9-1</v>
          </cell>
          <cell r="B473" t="str">
            <v>LN</v>
          </cell>
          <cell r="C473" t="str">
            <v>COLONIAL STYLE LATEX MATE BLANCO ANTIGUO AMERICANO</v>
          </cell>
          <cell r="D473">
            <v>17.04</v>
          </cell>
          <cell r="E473">
            <v>19.25</v>
          </cell>
          <cell r="F473">
            <v>24.34</v>
          </cell>
          <cell r="G473">
            <v>27.5</v>
          </cell>
        </row>
        <row r="474">
          <cell r="A474" t="str">
            <v>B79YSA16-1</v>
          </cell>
          <cell r="B474" t="str">
            <v>LN</v>
          </cell>
          <cell r="C474" t="str">
            <v>COLONIAL STYLE LATEX MATE AZAFRAN</v>
          </cell>
          <cell r="D474">
            <v>17.04</v>
          </cell>
          <cell r="E474">
            <v>19.25</v>
          </cell>
          <cell r="F474">
            <v>24.34</v>
          </cell>
          <cell r="G474">
            <v>27.5</v>
          </cell>
        </row>
        <row r="475">
          <cell r="A475" t="str">
            <v>B79RSA34-1</v>
          </cell>
          <cell r="B475" t="str">
            <v>LN</v>
          </cell>
          <cell r="C475" t="str">
            <v>COLONIAL STYLE LATEX MATE GARDENIA</v>
          </cell>
          <cell r="D475">
            <v>17.04</v>
          </cell>
          <cell r="E475">
            <v>19.25</v>
          </cell>
          <cell r="F475">
            <v>24.34</v>
          </cell>
          <cell r="G475">
            <v>27.5</v>
          </cell>
        </row>
        <row r="476">
          <cell r="A476" t="str">
            <v>B79PSA4-1</v>
          </cell>
          <cell r="B476" t="str">
            <v>LN</v>
          </cell>
          <cell r="C476" t="str">
            <v>COLONIAL STYLE LATEX MATE SUSPIRO VIOLETA</v>
          </cell>
          <cell r="D476">
            <v>17.04</v>
          </cell>
          <cell r="E476">
            <v>19.25</v>
          </cell>
          <cell r="F476">
            <v>24.34</v>
          </cell>
          <cell r="G476">
            <v>27.5</v>
          </cell>
        </row>
        <row r="477">
          <cell r="A477" t="str">
            <v>B79ASA20-1</v>
          </cell>
          <cell r="B477" t="str">
            <v>LN</v>
          </cell>
          <cell r="C477" t="str">
            <v>COLONIAL STYLE LATEX MATE ESCARCHA PLATEADA</v>
          </cell>
          <cell r="D477">
            <v>17.04</v>
          </cell>
          <cell r="E477">
            <v>19.25</v>
          </cell>
          <cell r="F477">
            <v>24.34</v>
          </cell>
          <cell r="G477">
            <v>27.5</v>
          </cell>
        </row>
        <row r="478">
          <cell r="A478" t="str">
            <v>B79GSA36-1</v>
          </cell>
          <cell r="B478" t="str">
            <v>LN</v>
          </cell>
          <cell r="C478" t="str">
            <v>COLONIAL STYLE LATEX MATE MELON VERDE</v>
          </cell>
          <cell r="D478">
            <v>17.04</v>
          </cell>
          <cell r="E478">
            <v>19.25</v>
          </cell>
          <cell r="F478">
            <v>24.34</v>
          </cell>
          <cell r="G478">
            <v>27.5</v>
          </cell>
        </row>
        <row r="479">
          <cell r="A479" t="str">
            <v>B79LSA30-1</v>
          </cell>
          <cell r="B479" t="str">
            <v>LN</v>
          </cell>
          <cell r="C479" t="str">
            <v>COLONIAL STYLE LATEX MATE PRINCIPE AZUL</v>
          </cell>
          <cell r="D479">
            <v>17.04</v>
          </cell>
          <cell r="E479">
            <v>19.25</v>
          </cell>
          <cell r="F479">
            <v>24.34</v>
          </cell>
          <cell r="G479">
            <v>27.5</v>
          </cell>
        </row>
        <row r="480">
          <cell r="A480" t="str">
            <v>B79LSA31-1</v>
          </cell>
          <cell r="B480" t="str">
            <v>LN</v>
          </cell>
          <cell r="C480" t="str">
            <v>COLONIAL STYLE LATEX MATE SUSPIRO BABY BLUE</v>
          </cell>
          <cell r="D480">
            <v>17.04</v>
          </cell>
          <cell r="E480">
            <v>19.25</v>
          </cell>
          <cell r="F480">
            <v>24.34</v>
          </cell>
          <cell r="G480">
            <v>27.5</v>
          </cell>
        </row>
        <row r="481">
          <cell r="A481" t="str">
            <v>B79GSA37-1</v>
          </cell>
          <cell r="B481" t="str">
            <v>LN</v>
          </cell>
          <cell r="C481" t="str">
            <v>COLONIAL STYLE LATEX MATE ALBAHACA</v>
          </cell>
          <cell r="D481">
            <v>17.04</v>
          </cell>
          <cell r="E481">
            <v>19.25</v>
          </cell>
          <cell r="F481">
            <v>24.34</v>
          </cell>
          <cell r="G481">
            <v>27.5</v>
          </cell>
        </row>
        <row r="482">
          <cell r="A482" t="str">
            <v>B79NSA28-1</v>
          </cell>
          <cell r="B482" t="str">
            <v>LN</v>
          </cell>
          <cell r="C482" t="str">
            <v>COLONIAL STYLE LATEX MATE CARAMELO</v>
          </cell>
          <cell r="D482">
            <v>17.04</v>
          </cell>
          <cell r="E482">
            <v>19.25</v>
          </cell>
          <cell r="F482">
            <v>24.34</v>
          </cell>
          <cell r="G482">
            <v>27.5</v>
          </cell>
        </row>
        <row r="483">
          <cell r="A483" t="str">
            <v>B79ASA19-1</v>
          </cell>
          <cell r="B483" t="str">
            <v>LN</v>
          </cell>
          <cell r="C483" t="str">
            <v>COLONIAL STYLE LATEX MATE TORMENTA</v>
          </cell>
          <cell r="D483">
            <v>17.04</v>
          </cell>
          <cell r="E483">
            <v>19.25</v>
          </cell>
          <cell r="F483">
            <v>24.34</v>
          </cell>
          <cell r="G483">
            <v>27.5</v>
          </cell>
        </row>
        <row r="485">
          <cell r="A485" t="str">
            <v>B79ASA17-5</v>
          </cell>
          <cell r="B485" t="str">
            <v>LN</v>
          </cell>
          <cell r="C485" t="str">
            <v>COLONIAL STYLE LATEX MATE GRIS CANTERA</v>
          </cell>
          <cell r="D485">
            <v>81.77</v>
          </cell>
          <cell r="E485">
            <v>92.4</v>
          </cell>
          <cell r="F485">
            <v>116.81</v>
          </cell>
          <cell r="G485">
            <v>132</v>
          </cell>
        </row>
        <row r="486">
          <cell r="A486" t="str">
            <v>B79ESA15-5</v>
          </cell>
          <cell r="B486" t="str">
            <v>LN</v>
          </cell>
          <cell r="C486" t="str">
            <v>COLONIAL STYLE LATEX MATE MANDARINA</v>
          </cell>
          <cell r="D486">
            <v>81.77</v>
          </cell>
          <cell r="E486">
            <v>92.4</v>
          </cell>
          <cell r="F486">
            <v>116.81</v>
          </cell>
          <cell r="G486">
            <v>132</v>
          </cell>
        </row>
        <row r="487">
          <cell r="A487" t="str">
            <v>B79ESA16-5</v>
          </cell>
          <cell r="B487" t="str">
            <v>LN</v>
          </cell>
          <cell r="C487" t="str">
            <v>COLONIAL STYLE LATEX MATE NARANJA MONARCA</v>
          </cell>
          <cell r="D487">
            <v>81.77</v>
          </cell>
          <cell r="E487">
            <v>92.4</v>
          </cell>
          <cell r="F487">
            <v>116.81</v>
          </cell>
          <cell r="G487">
            <v>132</v>
          </cell>
        </row>
        <row r="488">
          <cell r="A488" t="str">
            <v>B79ESA2-5</v>
          </cell>
          <cell r="B488" t="str">
            <v>LN</v>
          </cell>
          <cell r="C488" t="str">
            <v>COLONIAL STYLE LATEX MATE MELON</v>
          </cell>
          <cell r="D488">
            <v>81.77</v>
          </cell>
          <cell r="E488">
            <v>92.4</v>
          </cell>
          <cell r="F488">
            <v>116.81</v>
          </cell>
          <cell r="G488">
            <v>132</v>
          </cell>
        </row>
        <row r="489">
          <cell r="A489" t="str">
            <v>B79ESA7-5</v>
          </cell>
          <cell r="B489" t="str">
            <v>LN</v>
          </cell>
          <cell r="C489" t="str">
            <v>COLONIAL STYLE LATEX MATE MELOCOTON</v>
          </cell>
          <cell r="D489">
            <v>81.77</v>
          </cell>
          <cell r="E489">
            <v>92.4</v>
          </cell>
          <cell r="F489">
            <v>116.81</v>
          </cell>
          <cell r="G489">
            <v>132</v>
          </cell>
        </row>
        <row r="490">
          <cell r="A490" t="str">
            <v>B79GSA15-5</v>
          </cell>
          <cell r="B490" t="str">
            <v>LN</v>
          </cell>
          <cell r="C490" t="str">
            <v>COLONIAL STYLE LATEX MATE VERDE MENTA</v>
          </cell>
          <cell r="D490">
            <v>81.77</v>
          </cell>
          <cell r="E490">
            <v>92.4</v>
          </cell>
          <cell r="F490">
            <v>116.81</v>
          </cell>
          <cell r="G490">
            <v>132</v>
          </cell>
        </row>
        <row r="491">
          <cell r="A491" t="str">
            <v>B79GSA33-5</v>
          </cell>
          <cell r="B491" t="str">
            <v>LN</v>
          </cell>
          <cell r="C491" t="str">
            <v>COLONIAL STYLE LATEX MATE AQUA CALIPSO</v>
          </cell>
          <cell r="D491">
            <v>81.77</v>
          </cell>
          <cell r="E491">
            <v>92.4</v>
          </cell>
          <cell r="F491">
            <v>116.81</v>
          </cell>
          <cell r="G491">
            <v>132</v>
          </cell>
        </row>
        <row r="492">
          <cell r="A492" t="str">
            <v>B79GSA5-5</v>
          </cell>
          <cell r="B492" t="str">
            <v>LN</v>
          </cell>
          <cell r="C492" t="str">
            <v>COLONIAL STYLE LATEX MATE TURQUESA</v>
          </cell>
          <cell r="D492">
            <v>81.77</v>
          </cell>
          <cell r="E492">
            <v>92.4</v>
          </cell>
          <cell r="F492">
            <v>116.81</v>
          </cell>
          <cell r="G492">
            <v>132</v>
          </cell>
        </row>
        <row r="493">
          <cell r="A493" t="str">
            <v>B79NSA6-5</v>
          </cell>
          <cell r="B493" t="str">
            <v>LN</v>
          </cell>
          <cell r="C493" t="str">
            <v>COLONIAL STYLE LATEX MATE BEIGE</v>
          </cell>
          <cell r="D493">
            <v>81.77</v>
          </cell>
          <cell r="E493">
            <v>92.4</v>
          </cell>
          <cell r="F493">
            <v>116.81</v>
          </cell>
          <cell r="G493">
            <v>132</v>
          </cell>
        </row>
        <row r="494">
          <cell r="A494" t="str">
            <v>B79NSA7-5</v>
          </cell>
          <cell r="B494" t="str">
            <v>LN</v>
          </cell>
          <cell r="C494" t="str">
            <v>COLONIAL STYLE LATEX MATE CASTAÑO</v>
          </cell>
          <cell r="D494">
            <v>81.77</v>
          </cell>
          <cell r="E494">
            <v>92.4</v>
          </cell>
          <cell r="F494">
            <v>116.81</v>
          </cell>
          <cell r="G494">
            <v>132</v>
          </cell>
        </row>
        <row r="495">
          <cell r="A495" t="str">
            <v>B79RSA23-5</v>
          </cell>
          <cell r="B495" t="str">
            <v>LN</v>
          </cell>
          <cell r="C495" t="str">
            <v>COLONIAL STYLE LATEX MATE JALAPEÑO</v>
          </cell>
          <cell r="D495">
            <v>81.77</v>
          </cell>
          <cell r="E495">
            <v>92.4</v>
          </cell>
          <cell r="F495">
            <v>116.81</v>
          </cell>
          <cell r="G495">
            <v>132</v>
          </cell>
        </row>
        <row r="496">
          <cell r="A496" t="str">
            <v>B79WSA10-5</v>
          </cell>
          <cell r="B496" t="str">
            <v>LN</v>
          </cell>
          <cell r="C496" t="str">
            <v>COLONIAL STYLE LATEX MATE NUEVO BLANCO HUESO</v>
          </cell>
          <cell r="D496">
            <v>81.77</v>
          </cell>
          <cell r="E496">
            <v>92.4</v>
          </cell>
          <cell r="F496">
            <v>116.81</v>
          </cell>
          <cell r="G496">
            <v>132</v>
          </cell>
        </row>
        <row r="497">
          <cell r="A497" t="str">
            <v>B79WSA1-5</v>
          </cell>
          <cell r="B497" t="str">
            <v>LN</v>
          </cell>
          <cell r="C497" t="str">
            <v>COLONIAL STYLE LATEX MATE BLANCO</v>
          </cell>
          <cell r="D497">
            <v>81.77</v>
          </cell>
          <cell r="E497">
            <v>92.4</v>
          </cell>
          <cell r="F497">
            <v>116.81</v>
          </cell>
          <cell r="G497">
            <v>132</v>
          </cell>
        </row>
        <row r="498">
          <cell r="A498" t="str">
            <v>B79WSA31-5</v>
          </cell>
          <cell r="B498" t="str">
            <v>LN</v>
          </cell>
          <cell r="C498" t="str">
            <v>COLONIAL STYLE LATEX MATE BLANCO CUARZO</v>
          </cell>
          <cell r="D498">
            <v>81.77</v>
          </cell>
          <cell r="E498">
            <v>92.4</v>
          </cell>
          <cell r="F498">
            <v>116.81</v>
          </cell>
          <cell r="G498">
            <v>132</v>
          </cell>
        </row>
        <row r="499">
          <cell r="A499" t="str">
            <v>B79WSA9-5</v>
          </cell>
          <cell r="B499" t="str">
            <v>LN</v>
          </cell>
          <cell r="C499" t="str">
            <v>COLONIAL STYLE LATEX MATE BLANCO ANTIGUO AMERICANO</v>
          </cell>
          <cell r="D499">
            <v>81.77</v>
          </cell>
          <cell r="E499">
            <v>92.4</v>
          </cell>
          <cell r="F499">
            <v>116.81</v>
          </cell>
          <cell r="G499">
            <v>132</v>
          </cell>
        </row>
        <row r="500">
          <cell r="A500" t="str">
            <v>B79YSA16-5</v>
          </cell>
          <cell r="B500" t="str">
            <v>LN</v>
          </cell>
          <cell r="C500" t="str">
            <v>COLONIAL STYLE LATEX MATE AZAFRAN</v>
          </cell>
          <cell r="D500">
            <v>81.77</v>
          </cell>
          <cell r="E500">
            <v>92.4</v>
          </cell>
          <cell r="F500">
            <v>116.81</v>
          </cell>
          <cell r="G500">
            <v>132</v>
          </cell>
        </row>
        <row r="501">
          <cell r="A501" t="str">
            <v>B79RSA34-5</v>
          </cell>
          <cell r="B501" t="str">
            <v>LN</v>
          </cell>
          <cell r="C501" t="str">
            <v>COLONIAL STYLE LATEX MATE GARDENIA</v>
          </cell>
          <cell r="D501">
            <v>81.77</v>
          </cell>
          <cell r="E501">
            <v>92.4</v>
          </cell>
          <cell r="F501">
            <v>116.81</v>
          </cell>
          <cell r="G501">
            <v>132</v>
          </cell>
        </row>
        <row r="502">
          <cell r="A502" t="str">
            <v>B79PSA4-5</v>
          </cell>
          <cell r="B502" t="str">
            <v>LN</v>
          </cell>
          <cell r="C502" t="str">
            <v>COLONIAL STYLE LATEX MATE SUSPIRO VIOLETA</v>
          </cell>
          <cell r="D502">
            <v>81.77</v>
          </cell>
          <cell r="E502">
            <v>92.4</v>
          </cell>
          <cell r="F502">
            <v>116.81</v>
          </cell>
          <cell r="G502">
            <v>132</v>
          </cell>
        </row>
        <row r="503">
          <cell r="A503" t="str">
            <v>B79ASA20-5</v>
          </cell>
          <cell r="B503" t="str">
            <v>LN</v>
          </cell>
          <cell r="C503" t="str">
            <v>COLONIAL STYLE LATEX MATE ESCARCHA PLATEADA</v>
          </cell>
          <cell r="D503">
            <v>81.77</v>
          </cell>
          <cell r="E503">
            <v>92.4</v>
          </cell>
          <cell r="F503">
            <v>116.81</v>
          </cell>
          <cell r="G503">
            <v>132</v>
          </cell>
        </row>
        <row r="504">
          <cell r="A504" t="str">
            <v>B79GSA36-5</v>
          </cell>
          <cell r="B504" t="str">
            <v>LN</v>
          </cell>
          <cell r="C504" t="str">
            <v>COLONIAL STYLE LATEX MATE MELON VERDE</v>
          </cell>
          <cell r="D504">
            <v>81.77</v>
          </cell>
          <cell r="E504">
            <v>92.4</v>
          </cell>
          <cell r="F504">
            <v>116.81</v>
          </cell>
          <cell r="G504">
            <v>132</v>
          </cell>
        </row>
        <row r="505">
          <cell r="A505" t="str">
            <v>B79LSA30-5</v>
          </cell>
          <cell r="B505" t="str">
            <v>LN</v>
          </cell>
          <cell r="C505" t="str">
            <v>COLONIAL STYLE LATEX MATE PRINCIPE AZUL</v>
          </cell>
          <cell r="D505">
            <v>81.77</v>
          </cell>
          <cell r="E505">
            <v>92.4</v>
          </cell>
          <cell r="F505">
            <v>116.81</v>
          </cell>
          <cell r="G505">
            <v>132</v>
          </cell>
        </row>
        <row r="506">
          <cell r="A506" t="str">
            <v>B79LSA31-5</v>
          </cell>
          <cell r="B506" t="str">
            <v>LN</v>
          </cell>
          <cell r="C506" t="str">
            <v>COLONIAL STYLE LATEX MATE SUSPIRO BABY BLUE</v>
          </cell>
          <cell r="D506">
            <v>81.77</v>
          </cell>
          <cell r="E506">
            <v>92.4</v>
          </cell>
          <cell r="F506">
            <v>116.81</v>
          </cell>
          <cell r="G506">
            <v>132</v>
          </cell>
        </row>
        <row r="507">
          <cell r="A507" t="str">
            <v>B79GSA37-5</v>
          </cell>
          <cell r="B507" t="str">
            <v>LN</v>
          </cell>
          <cell r="C507" t="str">
            <v>COLONIAL STYLE LATEX MATE ALBAHACA</v>
          </cell>
          <cell r="D507">
            <v>81.77</v>
          </cell>
          <cell r="E507">
            <v>92.4</v>
          </cell>
          <cell r="F507">
            <v>116.81</v>
          </cell>
          <cell r="G507">
            <v>132</v>
          </cell>
        </row>
        <row r="508">
          <cell r="A508" t="str">
            <v>B79NSA28-5</v>
          </cell>
          <cell r="B508" t="str">
            <v>LN</v>
          </cell>
          <cell r="C508" t="str">
            <v>COLONIAL STYLE LATEX MATE CARAMELO</v>
          </cell>
          <cell r="D508">
            <v>81.77</v>
          </cell>
          <cell r="E508">
            <v>92.4</v>
          </cell>
          <cell r="F508">
            <v>116.81</v>
          </cell>
          <cell r="G508">
            <v>132</v>
          </cell>
        </row>
        <row r="509">
          <cell r="A509" t="str">
            <v>B79ASA19-5</v>
          </cell>
          <cell r="B509" t="str">
            <v>LN</v>
          </cell>
          <cell r="C509" t="str">
            <v>COLONIAL STYLE LATEX MATE TORMENTA</v>
          </cell>
          <cell r="D509">
            <v>81.77</v>
          </cell>
          <cell r="E509">
            <v>92.4</v>
          </cell>
          <cell r="F509">
            <v>116.81</v>
          </cell>
          <cell r="G509">
            <v>132</v>
          </cell>
        </row>
        <row r="511">
          <cell r="C511" t="str">
            <v>PENINSULAR LATEX MATE  EXTERIOR / INTERIOR</v>
          </cell>
        </row>
        <row r="513">
          <cell r="A513" t="str">
            <v>K53ESA6-1</v>
          </cell>
          <cell r="B513" t="str">
            <v>LN</v>
          </cell>
          <cell r="C513" t="str">
            <v>PENINSULAR LATEX MATE MELON</v>
          </cell>
          <cell r="D513">
            <v>12.33</v>
          </cell>
          <cell r="E513">
            <v>13.93</v>
          </cell>
          <cell r="F513">
            <v>17.61</v>
          </cell>
          <cell r="G513">
            <v>19.899999999999999</v>
          </cell>
        </row>
        <row r="514">
          <cell r="A514" t="str">
            <v>K53GSA8-1</v>
          </cell>
          <cell r="B514" t="str">
            <v>LN</v>
          </cell>
          <cell r="C514" t="str">
            <v>PENINSULAR LATEX MATE AQUA</v>
          </cell>
          <cell r="D514">
            <v>12.33</v>
          </cell>
          <cell r="E514">
            <v>13.93</v>
          </cell>
          <cell r="F514">
            <v>17.61</v>
          </cell>
          <cell r="G514">
            <v>19.899999999999999</v>
          </cell>
        </row>
        <row r="515">
          <cell r="A515" t="str">
            <v>K53GSA13-1</v>
          </cell>
          <cell r="B515" t="str">
            <v>LN</v>
          </cell>
          <cell r="C515" t="str">
            <v>PENINSULAR LATEX MATE VERDE COCKTAIL</v>
          </cell>
          <cell r="D515">
            <v>12.33</v>
          </cell>
          <cell r="E515">
            <v>13.93</v>
          </cell>
          <cell r="F515">
            <v>17.61</v>
          </cell>
          <cell r="G515">
            <v>19.899999999999999</v>
          </cell>
        </row>
        <row r="516">
          <cell r="A516" t="str">
            <v>K53HSA3-1</v>
          </cell>
          <cell r="B516" t="str">
            <v>LN</v>
          </cell>
          <cell r="C516" t="str">
            <v>PENINSULAR LATEX MATE MARFIL CREMA</v>
          </cell>
          <cell r="D516">
            <v>12.33</v>
          </cell>
          <cell r="E516">
            <v>13.93</v>
          </cell>
          <cell r="F516">
            <v>17.61</v>
          </cell>
          <cell r="G516">
            <v>19.899999999999999</v>
          </cell>
        </row>
        <row r="517">
          <cell r="A517" t="str">
            <v>K53LSA9-1</v>
          </cell>
          <cell r="B517" t="str">
            <v>LN</v>
          </cell>
          <cell r="C517" t="str">
            <v xml:space="preserve">PENINSULAR LATEX MATE CELESTE CLARO </v>
          </cell>
          <cell r="D517">
            <v>12.33</v>
          </cell>
          <cell r="E517">
            <v>13.93</v>
          </cell>
          <cell r="F517">
            <v>17.61</v>
          </cell>
          <cell r="G517">
            <v>19.899999999999999</v>
          </cell>
        </row>
        <row r="518">
          <cell r="A518" t="str">
            <v>K53LSA10-1</v>
          </cell>
          <cell r="B518" t="str">
            <v>LN</v>
          </cell>
          <cell r="C518" t="str">
            <v xml:space="preserve">PENINSULAR LATEX MATE CELESTE PRIMAVERA </v>
          </cell>
          <cell r="D518">
            <v>12.33</v>
          </cell>
          <cell r="E518">
            <v>13.93</v>
          </cell>
          <cell r="F518">
            <v>17.61</v>
          </cell>
          <cell r="G518">
            <v>19.899999999999999</v>
          </cell>
        </row>
        <row r="519">
          <cell r="A519" t="str">
            <v>K53NSA3-1</v>
          </cell>
          <cell r="B519" t="str">
            <v>LN</v>
          </cell>
          <cell r="C519" t="str">
            <v>PENINSULAR LATEX MATE BEIGE</v>
          </cell>
          <cell r="D519">
            <v>12.33</v>
          </cell>
          <cell r="E519">
            <v>13.93</v>
          </cell>
          <cell r="F519">
            <v>17.61</v>
          </cell>
          <cell r="G519">
            <v>19.899999999999999</v>
          </cell>
        </row>
        <row r="520">
          <cell r="A520" t="str">
            <v>K53WSA1-1</v>
          </cell>
          <cell r="B520" t="str">
            <v>LN</v>
          </cell>
          <cell r="C520" t="str">
            <v>PENINSULAR LATEX MATE BLANCO</v>
          </cell>
          <cell r="D520">
            <v>12.33</v>
          </cell>
          <cell r="E520">
            <v>13.93</v>
          </cell>
          <cell r="F520">
            <v>17.61</v>
          </cell>
          <cell r="G520">
            <v>19.899999999999999</v>
          </cell>
        </row>
        <row r="521">
          <cell r="A521" t="str">
            <v>K53WSA4-1</v>
          </cell>
          <cell r="B521" t="str">
            <v>LN</v>
          </cell>
          <cell r="C521" t="str">
            <v>PENINSULAR LATEX MATE NUEVO BLANCO HUESO</v>
          </cell>
          <cell r="D521">
            <v>12.33</v>
          </cell>
          <cell r="E521">
            <v>13.93</v>
          </cell>
          <cell r="F521">
            <v>17.61</v>
          </cell>
          <cell r="G521">
            <v>19.899999999999999</v>
          </cell>
        </row>
        <row r="522">
          <cell r="A522" t="str">
            <v>K53ESA10-1</v>
          </cell>
          <cell r="B522" t="str">
            <v>LN</v>
          </cell>
          <cell r="C522" t="str">
            <v>PENINSULAR LATEX MATE ZUMO DE NARANJA</v>
          </cell>
          <cell r="D522">
            <v>12.33</v>
          </cell>
          <cell r="E522">
            <v>13.93</v>
          </cell>
          <cell r="F522">
            <v>17.61</v>
          </cell>
          <cell r="G522">
            <v>19.899999999999999</v>
          </cell>
        </row>
        <row r="523">
          <cell r="A523" t="str">
            <v>K53ESA9-1</v>
          </cell>
          <cell r="B523" t="str">
            <v>LN</v>
          </cell>
          <cell r="C523" t="str">
            <v>PENINSULAR LATEX MATE ATARDECER</v>
          </cell>
          <cell r="D523">
            <v>12.33</v>
          </cell>
          <cell r="E523">
            <v>13.93</v>
          </cell>
          <cell r="F523">
            <v>17.61</v>
          </cell>
          <cell r="G523">
            <v>19.899999999999999</v>
          </cell>
        </row>
        <row r="524">
          <cell r="A524" t="str">
            <v>K53NSA9-1</v>
          </cell>
          <cell r="B524" t="str">
            <v>LN</v>
          </cell>
          <cell r="C524" t="str">
            <v>PENINSULAR LATEX MATE CORTEZA</v>
          </cell>
          <cell r="D524">
            <v>12.33</v>
          </cell>
          <cell r="E524">
            <v>13.93</v>
          </cell>
          <cell r="F524">
            <v>17.61</v>
          </cell>
          <cell r="G524">
            <v>19.899999999999999</v>
          </cell>
        </row>
        <row r="525">
          <cell r="A525" t="str">
            <v>K53RSA18-1</v>
          </cell>
          <cell r="B525" t="str">
            <v>LN</v>
          </cell>
          <cell r="C525" t="str">
            <v>PENINSULAR LATEX MATE FRAMBUESA</v>
          </cell>
          <cell r="D525">
            <v>12.33</v>
          </cell>
          <cell r="E525">
            <v>13.93</v>
          </cell>
          <cell r="F525">
            <v>17.61</v>
          </cell>
          <cell r="G525">
            <v>19.899999999999999</v>
          </cell>
        </row>
        <row r="526">
          <cell r="A526" t="str">
            <v>K53RSA17-1</v>
          </cell>
          <cell r="B526" t="str">
            <v>LN</v>
          </cell>
          <cell r="C526" t="str">
            <v>PENINSULAR LATEX MATE ROSA FLAMENCO</v>
          </cell>
          <cell r="D526">
            <v>12.33</v>
          </cell>
          <cell r="E526">
            <v>13.93</v>
          </cell>
          <cell r="F526">
            <v>17.61</v>
          </cell>
          <cell r="G526">
            <v>19.899999999999999</v>
          </cell>
        </row>
        <row r="527">
          <cell r="A527" t="str">
            <v>K53NSA8-1</v>
          </cell>
          <cell r="B527" t="str">
            <v>LN</v>
          </cell>
          <cell r="C527" t="str">
            <v>PENINSULAR LATEX MATE CAFE OXIDO</v>
          </cell>
          <cell r="D527">
            <v>12.33</v>
          </cell>
          <cell r="E527">
            <v>13.93</v>
          </cell>
          <cell r="F527">
            <v>17.61</v>
          </cell>
          <cell r="G527">
            <v>19.899999999999999</v>
          </cell>
        </row>
        <row r="528">
          <cell r="A528" t="str">
            <v>K53RSA20-1</v>
          </cell>
          <cell r="B528" t="str">
            <v>LN</v>
          </cell>
          <cell r="C528" t="str">
            <v>PENINSULAR LATEX MATE CARMESI</v>
          </cell>
          <cell r="D528">
            <v>12.33</v>
          </cell>
          <cell r="E528">
            <v>13.93</v>
          </cell>
          <cell r="F528">
            <v>17.61</v>
          </cell>
          <cell r="G528">
            <v>19.899999999999999</v>
          </cell>
        </row>
        <row r="529">
          <cell r="A529" t="str">
            <v>K53RSA19-1</v>
          </cell>
          <cell r="B529" t="str">
            <v>LN</v>
          </cell>
          <cell r="C529" t="str">
            <v>PENINSULAR LATEX MATE ROJO ATREVIDO</v>
          </cell>
          <cell r="D529">
            <v>12.33</v>
          </cell>
          <cell r="E529">
            <v>13.93</v>
          </cell>
          <cell r="F529">
            <v>17.61</v>
          </cell>
          <cell r="G529">
            <v>19.899999999999999</v>
          </cell>
        </row>
        <row r="530">
          <cell r="A530" t="str">
            <v>K53PSA3-1</v>
          </cell>
          <cell r="B530" t="str">
            <v>LN</v>
          </cell>
          <cell r="C530" t="str">
            <v>PENINSULAR LATEX MATE LILA</v>
          </cell>
          <cell r="D530">
            <v>12.33</v>
          </cell>
          <cell r="E530">
            <v>13.93</v>
          </cell>
          <cell r="F530">
            <v>17.61</v>
          </cell>
          <cell r="G530">
            <v>19.899999999999999</v>
          </cell>
        </row>
        <row r="531">
          <cell r="A531" t="str">
            <v>K53YSA18-1</v>
          </cell>
          <cell r="B531" t="str">
            <v>LN</v>
          </cell>
          <cell r="C531" t="str">
            <v>PENINSULAR LATEX MATE AMARILLO FIESTA</v>
          </cell>
          <cell r="D531">
            <v>12.33</v>
          </cell>
          <cell r="E531">
            <v>13.93</v>
          </cell>
          <cell r="F531">
            <v>17.61</v>
          </cell>
          <cell r="G531">
            <v>19.899999999999999</v>
          </cell>
        </row>
        <row r="532">
          <cell r="A532" t="str">
            <v>K53YSA17-1</v>
          </cell>
          <cell r="B532" t="str">
            <v>LN</v>
          </cell>
          <cell r="C532" t="str">
            <v>PENINSULAR LATEX MATE MIEL</v>
          </cell>
          <cell r="D532">
            <v>12.33</v>
          </cell>
          <cell r="E532">
            <v>13.93</v>
          </cell>
          <cell r="F532">
            <v>17.61</v>
          </cell>
          <cell r="G532">
            <v>19.899999999999999</v>
          </cell>
        </row>
        <row r="533">
          <cell r="A533" t="str">
            <v>K53LSA18-1</v>
          </cell>
          <cell r="B533" t="str">
            <v>LN</v>
          </cell>
          <cell r="C533" t="str">
            <v>PENINSULAR LATEX MATE OLA DE MAR</v>
          </cell>
          <cell r="D533">
            <v>12.33</v>
          </cell>
          <cell r="E533">
            <v>13.93</v>
          </cell>
          <cell r="F533">
            <v>17.61</v>
          </cell>
          <cell r="G533">
            <v>19.899999999999999</v>
          </cell>
        </row>
        <row r="534">
          <cell r="A534" t="str">
            <v>K53GSA21-1</v>
          </cell>
          <cell r="B534" t="str">
            <v>LN</v>
          </cell>
          <cell r="C534" t="str">
            <v>PENINSULAR LATEX MATE ESMERALDA</v>
          </cell>
          <cell r="D534">
            <v>12.33</v>
          </cell>
          <cell r="E534">
            <v>13.93</v>
          </cell>
          <cell r="F534">
            <v>17.61</v>
          </cell>
          <cell r="G534">
            <v>19.899999999999999</v>
          </cell>
        </row>
        <row r="535">
          <cell r="A535" t="str">
            <v>K53GSA22-1</v>
          </cell>
          <cell r="B535" t="str">
            <v>LN</v>
          </cell>
          <cell r="C535" t="str">
            <v>PENINSULAR LATEX MATE TREBOL DE LA SUERTE</v>
          </cell>
          <cell r="D535">
            <v>12.33</v>
          </cell>
          <cell r="E535">
            <v>13.93</v>
          </cell>
          <cell r="F535">
            <v>17.61</v>
          </cell>
          <cell r="G535">
            <v>19.899999999999999</v>
          </cell>
        </row>
        <row r="536">
          <cell r="A536" t="str">
            <v>K53ASA5-1</v>
          </cell>
          <cell r="B536" t="str">
            <v>LN</v>
          </cell>
          <cell r="C536" t="str">
            <v>PENINSULAR LATEX MATE GRIS CONCRETO</v>
          </cell>
          <cell r="D536">
            <v>12.33</v>
          </cell>
          <cell r="E536">
            <v>13.93</v>
          </cell>
          <cell r="F536">
            <v>17.61</v>
          </cell>
          <cell r="G536">
            <v>19.899999999999999</v>
          </cell>
        </row>
        <row r="537">
          <cell r="A537" t="str">
            <v>K53NSA10-1</v>
          </cell>
          <cell r="B537" t="str">
            <v>LN</v>
          </cell>
          <cell r="C537" t="str">
            <v>PENINSULAR LATEX MATE CHAMPAN</v>
          </cell>
          <cell r="D537">
            <v>12.33</v>
          </cell>
          <cell r="E537">
            <v>13.93</v>
          </cell>
          <cell r="F537">
            <v>17.61</v>
          </cell>
          <cell r="G537">
            <v>19.899999999999999</v>
          </cell>
        </row>
        <row r="538">
          <cell r="A538" t="str">
            <v>K53ASA6-1</v>
          </cell>
          <cell r="B538" t="str">
            <v>LN</v>
          </cell>
          <cell r="C538" t="str">
            <v>PENINSULAR LATEX MATE GRIS URBANO</v>
          </cell>
          <cell r="D538">
            <v>12.33</v>
          </cell>
          <cell r="E538">
            <v>13.93</v>
          </cell>
          <cell r="F538">
            <v>17.61</v>
          </cell>
          <cell r="G538">
            <v>19.899999999999999</v>
          </cell>
        </row>
        <row r="540">
          <cell r="A540" t="str">
            <v>K53ESA6-5</v>
          </cell>
          <cell r="B540" t="str">
            <v>LN</v>
          </cell>
          <cell r="C540" t="str">
            <v>PENINSULAR LATEX MATE MELON</v>
          </cell>
          <cell r="D540">
            <v>53.21</v>
          </cell>
          <cell r="E540">
            <v>60.13</v>
          </cell>
          <cell r="F540">
            <v>76.02</v>
          </cell>
          <cell r="G540">
            <v>85.9</v>
          </cell>
        </row>
        <row r="541">
          <cell r="A541" t="str">
            <v>K53GSA8-5</v>
          </cell>
          <cell r="B541" t="str">
            <v>LN</v>
          </cell>
          <cell r="C541" t="str">
            <v>PENINSULAR LATEX MATE AQUA</v>
          </cell>
          <cell r="D541">
            <v>53.21</v>
          </cell>
          <cell r="E541">
            <v>60.13</v>
          </cell>
          <cell r="F541">
            <v>76.02</v>
          </cell>
          <cell r="G541">
            <v>85.9</v>
          </cell>
        </row>
        <row r="542">
          <cell r="A542" t="str">
            <v>K53GSA13-5</v>
          </cell>
          <cell r="B542" t="str">
            <v>LN</v>
          </cell>
          <cell r="C542" t="str">
            <v>PENINSULAR LATEX MATE VERDE COCKTAIL</v>
          </cell>
          <cell r="D542">
            <v>53.21</v>
          </cell>
          <cell r="E542">
            <v>60.13</v>
          </cell>
          <cell r="F542">
            <v>76.02</v>
          </cell>
          <cell r="G542">
            <v>85.9</v>
          </cell>
        </row>
        <row r="543">
          <cell r="A543" t="str">
            <v>K53HSA3-5</v>
          </cell>
          <cell r="B543" t="str">
            <v>LN</v>
          </cell>
          <cell r="C543" t="str">
            <v>PENINSULAR LATEX MATE MARFIL CREMA</v>
          </cell>
          <cell r="D543">
            <v>53.21</v>
          </cell>
          <cell r="E543">
            <v>60.13</v>
          </cell>
          <cell r="F543">
            <v>76.02</v>
          </cell>
          <cell r="G543">
            <v>85.9</v>
          </cell>
        </row>
        <row r="544">
          <cell r="A544" t="str">
            <v>K53LSA9-5</v>
          </cell>
          <cell r="B544" t="str">
            <v>LN</v>
          </cell>
          <cell r="C544" t="str">
            <v xml:space="preserve">PENINSULAR LATEX MATE CELESTE CLARO </v>
          </cell>
          <cell r="D544">
            <v>53.21</v>
          </cell>
          <cell r="E544">
            <v>60.13</v>
          </cell>
          <cell r="F544">
            <v>76.02</v>
          </cell>
          <cell r="G544">
            <v>85.9</v>
          </cell>
        </row>
        <row r="545">
          <cell r="A545" t="str">
            <v>K53LSA10-5</v>
          </cell>
          <cell r="B545" t="str">
            <v>LN</v>
          </cell>
          <cell r="C545" t="str">
            <v xml:space="preserve">PENINSULAR LATEX MATE CELESTE PRIMAVERA </v>
          </cell>
          <cell r="D545">
            <v>53.21</v>
          </cell>
          <cell r="E545">
            <v>60.13</v>
          </cell>
          <cell r="F545">
            <v>76.02</v>
          </cell>
          <cell r="G545">
            <v>85.9</v>
          </cell>
        </row>
        <row r="546">
          <cell r="A546" t="str">
            <v>K53NSA3-5</v>
          </cell>
          <cell r="B546" t="str">
            <v>LN</v>
          </cell>
          <cell r="C546" t="str">
            <v>PENINSULAR LATEX MATE BEIGE</v>
          </cell>
          <cell r="D546">
            <v>53.21</v>
          </cell>
          <cell r="E546">
            <v>60.13</v>
          </cell>
          <cell r="F546">
            <v>76.02</v>
          </cell>
          <cell r="G546">
            <v>85.9</v>
          </cell>
        </row>
        <row r="547">
          <cell r="A547" t="str">
            <v>K53WSA1-5</v>
          </cell>
          <cell r="B547" t="str">
            <v>LN</v>
          </cell>
          <cell r="C547" t="str">
            <v>PENINSULAR LATEX MATE BLANCO</v>
          </cell>
          <cell r="D547">
            <v>53.21</v>
          </cell>
          <cell r="E547">
            <v>60.13</v>
          </cell>
          <cell r="F547">
            <v>76.02</v>
          </cell>
          <cell r="G547">
            <v>85.9</v>
          </cell>
        </row>
        <row r="548">
          <cell r="A548" t="str">
            <v>K53WSA4-5</v>
          </cell>
          <cell r="B548" t="str">
            <v>LN</v>
          </cell>
          <cell r="C548" t="str">
            <v>PENINSULAR LATEX MATE NUEVO BLANCO HUESO</v>
          </cell>
          <cell r="D548">
            <v>53.21</v>
          </cell>
          <cell r="E548">
            <v>60.13</v>
          </cell>
          <cell r="F548">
            <v>76.02</v>
          </cell>
          <cell r="G548">
            <v>85.9</v>
          </cell>
        </row>
        <row r="549">
          <cell r="A549" t="str">
            <v>K53ESA10-5</v>
          </cell>
          <cell r="B549" t="str">
            <v>LN</v>
          </cell>
          <cell r="C549" t="str">
            <v>PENINSULAR LATEX MATE ZUMO DE NARANJA</v>
          </cell>
          <cell r="D549">
            <v>53.21</v>
          </cell>
          <cell r="E549">
            <v>60.13</v>
          </cell>
          <cell r="F549">
            <v>76.02</v>
          </cell>
          <cell r="G549">
            <v>85.9</v>
          </cell>
        </row>
        <row r="550">
          <cell r="A550" t="str">
            <v>K53ESA9-5</v>
          </cell>
          <cell r="B550" t="str">
            <v>LN</v>
          </cell>
          <cell r="C550" t="str">
            <v>PENINSULAR LATEX MATE ATARDECER</v>
          </cell>
          <cell r="D550">
            <v>53.21</v>
          </cell>
          <cell r="E550">
            <v>60.13</v>
          </cell>
          <cell r="F550">
            <v>76.02</v>
          </cell>
          <cell r="G550">
            <v>85.9</v>
          </cell>
        </row>
        <row r="551">
          <cell r="A551" t="str">
            <v>K53NSA9-5</v>
          </cell>
          <cell r="B551" t="str">
            <v>LN</v>
          </cell>
          <cell r="C551" t="str">
            <v>PENINSULAR LATEX MATE CORTEZA</v>
          </cell>
          <cell r="D551">
            <v>53.21</v>
          </cell>
          <cell r="E551">
            <v>60.13</v>
          </cell>
          <cell r="F551">
            <v>76.02</v>
          </cell>
          <cell r="G551">
            <v>85.9</v>
          </cell>
        </row>
        <row r="552">
          <cell r="A552" t="str">
            <v>K53RSA18-5</v>
          </cell>
          <cell r="B552" t="str">
            <v>LN</v>
          </cell>
          <cell r="C552" t="str">
            <v>PENINSULAR LATEX MATE FRAMBUESA</v>
          </cell>
          <cell r="D552">
            <v>53.21</v>
          </cell>
          <cell r="E552">
            <v>60.13</v>
          </cell>
          <cell r="F552">
            <v>76.02</v>
          </cell>
          <cell r="G552">
            <v>85.9</v>
          </cell>
        </row>
        <row r="553">
          <cell r="A553" t="str">
            <v>K53RSA17-5</v>
          </cell>
          <cell r="B553" t="str">
            <v>LN</v>
          </cell>
          <cell r="C553" t="str">
            <v>PENINSULAR LATEX MATE ROSA FLAMENCO</v>
          </cell>
          <cell r="D553">
            <v>53.21</v>
          </cell>
          <cell r="E553">
            <v>60.13</v>
          </cell>
          <cell r="F553">
            <v>76.02</v>
          </cell>
          <cell r="G553">
            <v>85.9</v>
          </cell>
        </row>
        <row r="554">
          <cell r="A554" t="str">
            <v>K53NSA8-5</v>
          </cell>
          <cell r="B554" t="str">
            <v>LN</v>
          </cell>
          <cell r="C554" t="str">
            <v>PENINSULAR LATEX MATE CAFE OXIDO</v>
          </cell>
          <cell r="D554">
            <v>53.21</v>
          </cell>
          <cell r="E554">
            <v>60.13</v>
          </cell>
          <cell r="F554">
            <v>76.02</v>
          </cell>
          <cell r="G554">
            <v>85.9</v>
          </cell>
        </row>
        <row r="555">
          <cell r="A555" t="str">
            <v>K53RSA20-5</v>
          </cell>
          <cell r="B555" t="str">
            <v>LN</v>
          </cell>
          <cell r="C555" t="str">
            <v>PENINSULAR LATEX MATE CARMESI</v>
          </cell>
          <cell r="D555">
            <v>53.21</v>
          </cell>
          <cell r="E555">
            <v>60.13</v>
          </cell>
          <cell r="F555">
            <v>76.02</v>
          </cell>
          <cell r="G555">
            <v>85.9</v>
          </cell>
        </row>
        <row r="556">
          <cell r="A556" t="str">
            <v>K53RSA19-5</v>
          </cell>
          <cell r="B556" t="str">
            <v>LN</v>
          </cell>
          <cell r="C556" t="str">
            <v>PENINSULAR LATEX MATE ROJO ATREVIDO</v>
          </cell>
          <cell r="D556">
            <v>53.21</v>
          </cell>
          <cell r="E556">
            <v>60.13</v>
          </cell>
          <cell r="F556">
            <v>76.02</v>
          </cell>
          <cell r="G556">
            <v>85.9</v>
          </cell>
        </row>
        <row r="557">
          <cell r="A557" t="str">
            <v>K53PSA3-5</v>
          </cell>
          <cell r="B557" t="str">
            <v>LN</v>
          </cell>
          <cell r="C557" t="str">
            <v>PENINSULAR LATEX MATE LILA</v>
          </cell>
          <cell r="D557">
            <v>53.21</v>
          </cell>
          <cell r="E557">
            <v>60.13</v>
          </cell>
          <cell r="F557">
            <v>76.02</v>
          </cell>
          <cell r="G557">
            <v>85.9</v>
          </cell>
        </row>
        <row r="558">
          <cell r="A558" t="str">
            <v>K53YSA18-5</v>
          </cell>
          <cell r="B558" t="str">
            <v>LN</v>
          </cell>
          <cell r="C558" t="str">
            <v>PENINSULAR LATEX MATE AMARILLO FIESTA</v>
          </cell>
          <cell r="D558">
            <v>53.21</v>
          </cell>
          <cell r="E558">
            <v>60.13</v>
          </cell>
          <cell r="F558">
            <v>76.02</v>
          </cell>
          <cell r="G558">
            <v>85.9</v>
          </cell>
        </row>
        <row r="559">
          <cell r="A559" t="str">
            <v>K53YSA17-5</v>
          </cell>
          <cell r="B559" t="str">
            <v>LN</v>
          </cell>
          <cell r="C559" t="str">
            <v>PENINSULAR LATEX MATE MIEL</v>
          </cell>
          <cell r="D559">
            <v>53.21</v>
          </cell>
          <cell r="E559">
            <v>60.13</v>
          </cell>
          <cell r="F559">
            <v>76.02</v>
          </cell>
          <cell r="G559">
            <v>85.9</v>
          </cell>
        </row>
        <row r="560">
          <cell r="A560" t="str">
            <v>K53LSA18-5</v>
          </cell>
          <cell r="B560" t="str">
            <v>LN</v>
          </cell>
          <cell r="C560" t="str">
            <v>PENINSULAR LATEX MATE OLA DE MAR</v>
          </cell>
          <cell r="D560">
            <v>53.21</v>
          </cell>
          <cell r="E560">
            <v>60.13</v>
          </cell>
          <cell r="F560">
            <v>76.02</v>
          </cell>
          <cell r="G560">
            <v>85.9</v>
          </cell>
        </row>
        <row r="561">
          <cell r="A561" t="str">
            <v>K53GSA21-5</v>
          </cell>
          <cell r="B561" t="str">
            <v>LN</v>
          </cell>
          <cell r="C561" t="str">
            <v>PENINSULAR LATEX MATE ESMERALDA</v>
          </cell>
          <cell r="D561">
            <v>53.21</v>
          </cell>
          <cell r="E561">
            <v>60.13</v>
          </cell>
          <cell r="F561">
            <v>76.02</v>
          </cell>
          <cell r="G561">
            <v>85.9</v>
          </cell>
        </row>
        <row r="562">
          <cell r="A562" t="str">
            <v>K53GSA22-5</v>
          </cell>
          <cell r="B562" t="str">
            <v>LN</v>
          </cell>
          <cell r="C562" t="str">
            <v>PENINSULAR LATEX MATE TREBOL DE LA SUERTE</v>
          </cell>
          <cell r="D562">
            <v>53.21</v>
          </cell>
          <cell r="E562">
            <v>60.13</v>
          </cell>
          <cell r="F562">
            <v>76.02</v>
          </cell>
          <cell r="G562">
            <v>85.9</v>
          </cell>
        </row>
        <row r="563">
          <cell r="A563" t="str">
            <v>K53ASA5-5</v>
          </cell>
          <cell r="B563" t="str">
            <v>LN</v>
          </cell>
          <cell r="C563" t="str">
            <v>PENINSULAR LATEX MATE GRIS CONCRETO</v>
          </cell>
          <cell r="D563">
            <v>53.21</v>
          </cell>
          <cell r="E563">
            <v>60.13</v>
          </cell>
          <cell r="F563">
            <v>76.02</v>
          </cell>
          <cell r="G563">
            <v>85.9</v>
          </cell>
        </row>
        <row r="564">
          <cell r="A564" t="str">
            <v>K53NSA10-5</v>
          </cell>
          <cell r="B564" t="str">
            <v>LN</v>
          </cell>
          <cell r="C564" t="str">
            <v>PENINSULAR LATEX MATE CHAMPAN</v>
          </cell>
          <cell r="D564">
            <v>53.21</v>
          </cell>
          <cell r="E564">
            <v>60.13</v>
          </cell>
          <cell r="F564">
            <v>76.02</v>
          </cell>
          <cell r="G564">
            <v>85.9</v>
          </cell>
        </row>
        <row r="565">
          <cell r="A565" t="str">
            <v>K53ASA6-5</v>
          </cell>
          <cell r="B565" t="str">
            <v>LN</v>
          </cell>
          <cell r="C565" t="str">
            <v>PENINSULAR LATEX MATE GRIS URBANO</v>
          </cell>
          <cell r="D565">
            <v>53.21</v>
          </cell>
          <cell r="E565">
            <v>60.13</v>
          </cell>
          <cell r="F565">
            <v>76.02</v>
          </cell>
          <cell r="G565">
            <v>85.9</v>
          </cell>
        </row>
        <row r="567">
          <cell r="C567" t="str">
            <v>COLORAMICA LATEX MATE  EXTERIOR / INTERIOR</v>
          </cell>
        </row>
        <row r="569">
          <cell r="A569" t="str">
            <v>Y81ESA1-1</v>
          </cell>
          <cell r="B569" t="str">
            <v>LN</v>
          </cell>
          <cell r="C569" t="str">
            <v>COLORAMICA LATEX MATE MANGO</v>
          </cell>
          <cell r="D569">
            <v>7.96</v>
          </cell>
          <cell r="E569">
            <v>9</v>
          </cell>
          <cell r="F569">
            <v>11.06</v>
          </cell>
          <cell r="G569">
            <v>12.5</v>
          </cell>
        </row>
        <row r="570">
          <cell r="A570" t="str">
            <v>Y81ESA3-1</v>
          </cell>
          <cell r="B570" t="str">
            <v>LN</v>
          </cell>
          <cell r="C570" t="str">
            <v>COLORAMICA LATEX MATE NARANJA MANDARINA</v>
          </cell>
          <cell r="D570">
            <v>7.96</v>
          </cell>
          <cell r="E570">
            <v>9</v>
          </cell>
          <cell r="F570">
            <v>11.06</v>
          </cell>
          <cell r="G570">
            <v>12.5</v>
          </cell>
        </row>
        <row r="571">
          <cell r="A571" t="str">
            <v>Y81ESA4-1</v>
          </cell>
          <cell r="B571" t="str">
            <v>LN</v>
          </cell>
          <cell r="C571" t="str">
            <v>COLORAMICA LATEX MATE SALMON</v>
          </cell>
          <cell r="D571">
            <v>7.96</v>
          </cell>
          <cell r="E571">
            <v>9</v>
          </cell>
          <cell r="F571">
            <v>11.06</v>
          </cell>
          <cell r="G571">
            <v>12.5</v>
          </cell>
        </row>
        <row r="572">
          <cell r="A572" t="str">
            <v>Y81GSA3-1</v>
          </cell>
          <cell r="B572" t="str">
            <v>LN</v>
          </cell>
          <cell r="C572" t="str">
            <v>COLORAMICA LATEX MATE VERDE AQUA</v>
          </cell>
          <cell r="D572">
            <v>7.96</v>
          </cell>
          <cell r="E572">
            <v>9</v>
          </cell>
          <cell r="F572">
            <v>11.06</v>
          </cell>
          <cell r="G572">
            <v>12.5</v>
          </cell>
        </row>
        <row r="573">
          <cell r="A573" t="str">
            <v>Y81GSA2-1</v>
          </cell>
          <cell r="B573" t="str">
            <v>LN</v>
          </cell>
          <cell r="C573" t="str">
            <v>COLORAMICA LATEX MATE VERDE TROPICANA</v>
          </cell>
          <cell r="D573">
            <v>7.96</v>
          </cell>
          <cell r="E573">
            <v>9</v>
          </cell>
          <cell r="F573">
            <v>11.06</v>
          </cell>
          <cell r="G573">
            <v>12.5</v>
          </cell>
        </row>
        <row r="574">
          <cell r="A574" t="str">
            <v>Y81GSA1-1</v>
          </cell>
          <cell r="B574" t="str">
            <v>LN</v>
          </cell>
          <cell r="C574" t="str">
            <v>COLORAMICA LATEX MATE VERDE MENTA</v>
          </cell>
          <cell r="D574">
            <v>7.96</v>
          </cell>
          <cell r="E574">
            <v>9</v>
          </cell>
          <cell r="F574">
            <v>11.06</v>
          </cell>
          <cell r="G574">
            <v>12.5</v>
          </cell>
        </row>
        <row r="575">
          <cell r="A575" t="str">
            <v>Y81GSA4-1</v>
          </cell>
          <cell r="B575" t="str">
            <v>LN</v>
          </cell>
          <cell r="C575" t="str">
            <v>COLORAMICA LATEX MATE VERDE JARDIN</v>
          </cell>
          <cell r="D575">
            <v>7.96</v>
          </cell>
          <cell r="E575">
            <v>9</v>
          </cell>
          <cell r="F575">
            <v>11.06</v>
          </cell>
          <cell r="G575">
            <v>12.5</v>
          </cell>
        </row>
        <row r="576">
          <cell r="A576" t="str">
            <v>Y81GSA5-1</v>
          </cell>
          <cell r="B576" t="str">
            <v>LN</v>
          </cell>
          <cell r="C576" t="str">
            <v>COLORAMICA LATEX MATE VERDE LAGUNA</v>
          </cell>
          <cell r="D576">
            <v>7.96</v>
          </cell>
          <cell r="E576">
            <v>9</v>
          </cell>
          <cell r="F576">
            <v>11.06</v>
          </cell>
          <cell r="G576">
            <v>12.5</v>
          </cell>
        </row>
        <row r="577">
          <cell r="A577" t="str">
            <v>Y81HSA1-1</v>
          </cell>
          <cell r="B577" t="str">
            <v>LN</v>
          </cell>
          <cell r="C577" t="str">
            <v>COLORAMICA LATEX MATE MARFIL</v>
          </cell>
          <cell r="D577">
            <v>7.96</v>
          </cell>
          <cell r="E577">
            <v>9</v>
          </cell>
          <cell r="F577">
            <v>11.06</v>
          </cell>
          <cell r="G577">
            <v>12.5</v>
          </cell>
        </row>
        <row r="578">
          <cell r="A578" t="str">
            <v>Y81LSA4-1</v>
          </cell>
          <cell r="B578" t="str">
            <v>LN</v>
          </cell>
          <cell r="C578" t="str">
            <v>COLORAMICA LATEX MATE AZUL GEMA</v>
          </cell>
          <cell r="D578">
            <v>7.96</v>
          </cell>
          <cell r="E578">
            <v>9</v>
          </cell>
          <cell r="F578">
            <v>11.06</v>
          </cell>
          <cell r="G578">
            <v>12.5</v>
          </cell>
        </row>
        <row r="579">
          <cell r="A579" t="str">
            <v>Y81LSA6-1</v>
          </cell>
          <cell r="B579" t="str">
            <v>LN</v>
          </cell>
          <cell r="C579" t="str">
            <v>COLORAMICA LATEX MATE AZUL CLARO</v>
          </cell>
          <cell r="D579">
            <v>7.96</v>
          </cell>
          <cell r="E579">
            <v>9</v>
          </cell>
          <cell r="F579">
            <v>11.06</v>
          </cell>
          <cell r="G579">
            <v>12.5</v>
          </cell>
        </row>
        <row r="580">
          <cell r="A580" t="str">
            <v>Y81LSA7-1</v>
          </cell>
          <cell r="B580" t="str">
            <v>LN</v>
          </cell>
          <cell r="C580" t="str">
            <v>COLORAMICA LATEX MATE CELESTE OCEANO</v>
          </cell>
          <cell r="D580">
            <v>7.96</v>
          </cell>
          <cell r="E580">
            <v>9</v>
          </cell>
          <cell r="F580">
            <v>11.06</v>
          </cell>
          <cell r="G580">
            <v>12.5</v>
          </cell>
        </row>
        <row r="581">
          <cell r="A581" t="str">
            <v>Y81LSA2-1</v>
          </cell>
          <cell r="B581" t="str">
            <v>LN</v>
          </cell>
          <cell r="C581" t="str">
            <v>COLORAMICA LATEX MATE CELESTE</v>
          </cell>
          <cell r="D581">
            <v>7.96</v>
          </cell>
          <cell r="E581">
            <v>9</v>
          </cell>
          <cell r="F581">
            <v>11.06</v>
          </cell>
          <cell r="G581">
            <v>12.5</v>
          </cell>
        </row>
        <row r="582">
          <cell r="A582" t="str">
            <v>Y81NSA1-1</v>
          </cell>
          <cell r="B582" t="str">
            <v>LN</v>
          </cell>
          <cell r="C582" t="str">
            <v>COLORAMICA LATEX MATE BEIGE</v>
          </cell>
          <cell r="D582">
            <v>7.96</v>
          </cell>
          <cell r="E582">
            <v>9</v>
          </cell>
          <cell r="F582">
            <v>11.06</v>
          </cell>
          <cell r="G582">
            <v>12.5</v>
          </cell>
        </row>
        <row r="583">
          <cell r="A583" t="str">
            <v>Y81PSA2-1</v>
          </cell>
          <cell r="B583" t="str">
            <v>LN</v>
          </cell>
          <cell r="C583" t="str">
            <v>COLORAMICA LATEX MATE MORADO CLARO</v>
          </cell>
          <cell r="D583">
            <v>7.96</v>
          </cell>
          <cell r="E583">
            <v>9</v>
          </cell>
          <cell r="F583">
            <v>11.06</v>
          </cell>
          <cell r="G583">
            <v>12.5</v>
          </cell>
        </row>
        <row r="584">
          <cell r="A584" t="str">
            <v>Y81PSA3-1</v>
          </cell>
          <cell r="B584" t="str">
            <v>LN</v>
          </cell>
          <cell r="C584" t="str">
            <v>COLORAMICA LATEX MATE VIOLETA</v>
          </cell>
          <cell r="D584">
            <v>7.96</v>
          </cell>
          <cell r="E584">
            <v>9</v>
          </cell>
          <cell r="F584">
            <v>11.06</v>
          </cell>
          <cell r="G584">
            <v>12.5</v>
          </cell>
        </row>
        <row r="585">
          <cell r="A585" t="str">
            <v>Y81RSA1-1</v>
          </cell>
          <cell r="B585" t="str">
            <v>LN</v>
          </cell>
          <cell r="C585" t="str">
            <v>COLORAMICA LATEX MATE ROJO TROPICAL</v>
          </cell>
          <cell r="D585">
            <v>7.96</v>
          </cell>
          <cell r="E585">
            <v>9</v>
          </cell>
          <cell r="F585">
            <v>11.06</v>
          </cell>
          <cell r="G585">
            <v>12.5</v>
          </cell>
        </row>
        <row r="586">
          <cell r="A586" t="str">
            <v>Y81RSA2-1</v>
          </cell>
          <cell r="B586" t="str">
            <v>LN</v>
          </cell>
          <cell r="C586" t="str">
            <v>COLORAMICA LATEX MATE ROSADO</v>
          </cell>
          <cell r="D586">
            <v>7.96</v>
          </cell>
          <cell r="E586">
            <v>9</v>
          </cell>
          <cell r="F586">
            <v>11.06</v>
          </cell>
          <cell r="G586">
            <v>12.5</v>
          </cell>
        </row>
        <row r="587">
          <cell r="A587" t="str">
            <v>Y81RSA3-1</v>
          </cell>
          <cell r="B587" t="str">
            <v>LN</v>
          </cell>
          <cell r="C587" t="str">
            <v>COLORAMICA LATEX MATE ROJO LADRILLO</v>
          </cell>
          <cell r="D587">
            <v>7.96</v>
          </cell>
          <cell r="E587">
            <v>9</v>
          </cell>
          <cell r="F587">
            <v>11.06</v>
          </cell>
          <cell r="G587">
            <v>12.5</v>
          </cell>
        </row>
        <row r="588">
          <cell r="A588" t="str">
            <v>Y81RSA9-1</v>
          </cell>
          <cell r="B588" t="str">
            <v>LN</v>
          </cell>
          <cell r="C588" t="str">
            <v>COLORAMICA LATEX MATE ROSADO FESTIVAL</v>
          </cell>
          <cell r="D588">
            <v>7.96</v>
          </cell>
          <cell r="E588">
            <v>9</v>
          </cell>
          <cell r="F588">
            <v>11.06</v>
          </cell>
          <cell r="G588">
            <v>12.5</v>
          </cell>
        </row>
        <row r="589">
          <cell r="A589" t="str">
            <v>Y81RSA10-1</v>
          </cell>
          <cell r="B589" t="str">
            <v>LN</v>
          </cell>
          <cell r="C589" t="str">
            <v>COLORAMICA LATEX MATE ROSA TIERNO</v>
          </cell>
          <cell r="D589">
            <v>7.96</v>
          </cell>
          <cell r="E589">
            <v>9</v>
          </cell>
          <cell r="F589">
            <v>11.06</v>
          </cell>
          <cell r="G589">
            <v>12.5</v>
          </cell>
        </row>
        <row r="590">
          <cell r="A590" t="str">
            <v>Y81WSA1-1</v>
          </cell>
          <cell r="B590" t="str">
            <v>LN</v>
          </cell>
          <cell r="C590" t="str">
            <v>COLORAMICA LATEX MATE BLANCO</v>
          </cell>
          <cell r="D590">
            <v>7.96</v>
          </cell>
          <cell r="E590">
            <v>9</v>
          </cell>
          <cell r="F590">
            <v>11.06</v>
          </cell>
          <cell r="G590">
            <v>12.5</v>
          </cell>
        </row>
        <row r="591">
          <cell r="A591" t="str">
            <v>Y81WSA2-1</v>
          </cell>
          <cell r="B591" t="str">
            <v>LN</v>
          </cell>
          <cell r="C591" t="str">
            <v>COLORAMICA LATEX MATE BLANCO HUESO</v>
          </cell>
          <cell r="D591">
            <v>7.96</v>
          </cell>
          <cell r="E591">
            <v>9</v>
          </cell>
          <cell r="F591">
            <v>11.06</v>
          </cell>
          <cell r="G591">
            <v>12.5</v>
          </cell>
        </row>
        <row r="592">
          <cell r="A592" t="str">
            <v>Y81WSA3-1</v>
          </cell>
          <cell r="B592" t="str">
            <v>LN</v>
          </cell>
          <cell r="C592" t="str">
            <v>COLORAMICA LATEX MATE BLANCO ANTIGUO</v>
          </cell>
          <cell r="D592">
            <v>7.96</v>
          </cell>
          <cell r="E592">
            <v>9</v>
          </cell>
          <cell r="F592">
            <v>11.06</v>
          </cell>
          <cell r="G592">
            <v>12.5</v>
          </cell>
        </row>
        <row r="593">
          <cell r="A593" t="str">
            <v>Y81YSA1-1</v>
          </cell>
          <cell r="B593" t="str">
            <v>LN</v>
          </cell>
          <cell r="C593" t="str">
            <v>COLORAMICA LATEX MATE AMARILLO</v>
          </cell>
          <cell r="D593">
            <v>7.96</v>
          </cell>
          <cell r="E593">
            <v>9</v>
          </cell>
          <cell r="F593">
            <v>11.06</v>
          </cell>
          <cell r="G593">
            <v>12.5</v>
          </cell>
        </row>
        <row r="594">
          <cell r="A594" t="str">
            <v>Y81YSA3-1</v>
          </cell>
          <cell r="B594" t="str">
            <v>LN</v>
          </cell>
          <cell r="C594" t="str">
            <v>COLORAMICA LATEX MATE AMARILLO ORO</v>
          </cell>
          <cell r="D594">
            <v>7.96</v>
          </cell>
          <cell r="E594">
            <v>9</v>
          </cell>
          <cell r="F594">
            <v>11.06</v>
          </cell>
          <cell r="G594">
            <v>12.5</v>
          </cell>
        </row>
        <row r="595">
          <cell r="A595" t="str">
            <v>Y81YSA4-1</v>
          </cell>
          <cell r="B595" t="str">
            <v>LN</v>
          </cell>
          <cell r="C595" t="str">
            <v>COLORAMICA LATEX MATE AMARILLO INTENSO</v>
          </cell>
          <cell r="D595">
            <v>7.96</v>
          </cell>
          <cell r="E595">
            <v>9</v>
          </cell>
          <cell r="F595">
            <v>11.06</v>
          </cell>
          <cell r="G595">
            <v>12.5</v>
          </cell>
        </row>
        <row r="597">
          <cell r="A597" t="str">
            <v>Y81ESA1-5</v>
          </cell>
          <cell r="B597" t="str">
            <v>LN</v>
          </cell>
          <cell r="C597" t="str">
            <v>COLORAMICA LATEX MATE MANGO</v>
          </cell>
          <cell r="D597">
            <v>33.71</v>
          </cell>
          <cell r="E597">
            <v>38.090000000000003</v>
          </cell>
          <cell r="F597">
            <v>46.81</v>
          </cell>
          <cell r="G597">
            <v>52.9</v>
          </cell>
        </row>
        <row r="598">
          <cell r="A598" t="str">
            <v>Y81ESA3-5</v>
          </cell>
          <cell r="B598" t="str">
            <v>LN</v>
          </cell>
          <cell r="C598" t="str">
            <v>COLORAMICA LATEX MATE NARANJA MANDARINA</v>
          </cell>
          <cell r="D598">
            <v>33.71</v>
          </cell>
          <cell r="E598">
            <v>38.090000000000003</v>
          </cell>
          <cell r="F598">
            <v>46.81</v>
          </cell>
          <cell r="G598">
            <v>52.9</v>
          </cell>
        </row>
        <row r="599">
          <cell r="A599" t="str">
            <v>Y81ESA4-5</v>
          </cell>
          <cell r="B599" t="str">
            <v>LN</v>
          </cell>
          <cell r="C599" t="str">
            <v>COLORAMICA LATEX MATE SALMON</v>
          </cell>
          <cell r="D599">
            <v>33.71</v>
          </cell>
          <cell r="E599">
            <v>38.090000000000003</v>
          </cell>
          <cell r="F599">
            <v>46.81</v>
          </cell>
          <cell r="G599">
            <v>52.9</v>
          </cell>
        </row>
        <row r="600">
          <cell r="A600" t="str">
            <v>Y81GSA1-5</v>
          </cell>
          <cell r="B600" t="str">
            <v>LN</v>
          </cell>
          <cell r="C600" t="str">
            <v>COLORAMICA LATEX MATE VERDE MENTA</v>
          </cell>
          <cell r="D600">
            <v>33.71</v>
          </cell>
          <cell r="E600">
            <v>38.090000000000003</v>
          </cell>
          <cell r="F600">
            <v>46.81</v>
          </cell>
          <cell r="G600">
            <v>52.9</v>
          </cell>
        </row>
        <row r="601">
          <cell r="A601" t="str">
            <v>Y81GSA2-5</v>
          </cell>
          <cell r="B601" t="str">
            <v>LN</v>
          </cell>
          <cell r="C601" t="str">
            <v>COLORAMICA LATEX MATE VERDE TROPICANA</v>
          </cell>
          <cell r="D601">
            <v>33.71</v>
          </cell>
          <cell r="E601">
            <v>38.090000000000003</v>
          </cell>
          <cell r="F601">
            <v>46.81</v>
          </cell>
          <cell r="G601">
            <v>52.9</v>
          </cell>
        </row>
        <row r="602">
          <cell r="A602" t="str">
            <v>Y81GSA3-5</v>
          </cell>
          <cell r="B602" t="str">
            <v>LN</v>
          </cell>
          <cell r="C602" t="str">
            <v>COLORAMICA LATEX MATE VERDE AQUA</v>
          </cell>
          <cell r="D602">
            <v>33.71</v>
          </cell>
          <cell r="E602">
            <v>38.090000000000003</v>
          </cell>
          <cell r="F602">
            <v>46.81</v>
          </cell>
          <cell r="G602">
            <v>52.9</v>
          </cell>
        </row>
        <row r="603">
          <cell r="A603" t="str">
            <v>Y81GSA4-5</v>
          </cell>
          <cell r="B603" t="str">
            <v>LN</v>
          </cell>
          <cell r="C603" t="str">
            <v>COLORAMICA LATEX MATE VERDE JARDIN</v>
          </cell>
          <cell r="D603">
            <v>33.71</v>
          </cell>
          <cell r="E603">
            <v>38.090000000000003</v>
          </cell>
          <cell r="F603">
            <v>46.81</v>
          </cell>
          <cell r="G603">
            <v>52.9</v>
          </cell>
        </row>
        <row r="604">
          <cell r="A604" t="str">
            <v>Y81GSA5-5</v>
          </cell>
          <cell r="B604" t="str">
            <v>LN</v>
          </cell>
          <cell r="C604" t="str">
            <v>COLORAMICA LATEX MATE VERDE LAGUNA</v>
          </cell>
          <cell r="D604">
            <v>33.71</v>
          </cell>
          <cell r="E604">
            <v>38.090000000000003</v>
          </cell>
          <cell r="F604">
            <v>46.81</v>
          </cell>
          <cell r="G604">
            <v>52.9</v>
          </cell>
        </row>
        <row r="605">
          <cell r="A605" t="str">
            <v>Y81HSA1-5</v>
          </cell>
          <cell r="B605" t="str">
            <v>LN</v>
          </cell>
          <cell r="C605" t="str">
            <v>COLORAMICA LATEX MATE MARFIL</v>
          </cell>
          <cell r="D605">
            <v>33.71</v>
          </cell>
          <cell r="E605">
            <v>38.090000000000003</v>
          </cell>
          <cell r="F605">
            <v>46.81</v>
          </cell>
          <cell r="G605">
            <v>52.9</v>
          </cell>
        </row>
        <row r="606">
          <cell r="A606" t="str">
            <v>Y81LSA2-5</v>
          </cell>
          <cell r="B606" t="str">
            <v>LN</v>
          </cell>
          <cell r="C606" t="str">
            <v>COLORAMICA LATEX MATE CELESTE</v>
          </cell>
          <cell r="D606">
            <v>33.71</v>
          </cell>
          <cell r="E606">
            <v>38.090000000000003</v>
          </cell>
          <cell r="F606">
            <v>46.81</v>
          </cell>
          <cell r="G606">
            <v>52.9</v>
          </cell>
        </row>
        <row r="607">
          <cell r="A607" t="str">
            <v>Y81LSA4-5</v>
          </cell>
          <cell r="B607" t="str">
            <v>LN</v>
          </cell>
          <cell r="C607" t="str">
            <v>COLORAMICA LATEX MATE AZUL GEMA</v>
          </cell>
          <cell r="D607">
            <v>33.71</v>
          </cell>
          <cell r="E607">
            <v>38.090000000000003</v>
          </cell>
          <cell r="F607">
            <v>46.81</v>
          </cell>
          <cell r="G607">
            <v>52.9</v>
          </cell>
        </row>
        <row r="608">
          <cell r="A608" t="str">
            <v>Y81LSA6-5</v>
          </cell>
          <cell r="B608" t="str">
            <v>LN</v>
          </cell>
          <cell r="C608" t="str">
            <v>COLORAMICA LATEX MATE AZUL CLARO</v>
          </cell>
          <cell r="D608">
            <v>33.71</v>
          </cell>
          <cell r="E608">
            <v>38.090000000000003</v>
          </cell>
          <cell r="F608">
            <v>46.81</v>
          </cell>
          <cell r="G608">
            <v>52.9</v>
          </cell>
        </row>
        <row r="609">
          <cell r="A609" t="str">
            <v>Y81LSA7-5</v>
          </cell>
          <cell r="B609" t="str">
            <v>LN</v>
          </cell>
          <cell r="C609" t="str">
            <v>COLORAMICA LATEX MATE CELESTE OCEANO</v>
          </cell>
          <cell r="D609">
            <v>33.71</v>
          </cell>
          <cell r="E609">
            <v>38.090000000000003</v>
          </cell>
          <cell r="F609">
            <v>46.81</v>
          </cell>
          <cell r="G609">
            <v>52.9</v>
          </cell>
        </row>
        <row r="610">
          <cell r="A610" t="str">
            <v>Y81NSA1-5</v>
          </cell>
          <cell r="B610" t="str">
            <v>LN</v>
          </cell>
          <cell r="C610" t="str">
            <v>COLORAMICA LATEX MATE BEIGE</v>
          </cell>
          <cell r="D610">
            <v>33.71</v>
          </cell>
          <cell r="E610">
            <v>38.090000000000003</v>
          </cell>
          <cell r="F610">
            <v>46.81</v>
          </cell>
          <cell r="G610">
            <v>52.9</v>
          </cell>
        </row>
        <row r="611">
          <cell r="A611" t="str">
            <v>Y81PSA3-5</v>
          </cell>
          <cell r="B611" t="str">
            <v>LN</v>
          </cell>
          <cell r="C611" t="str">
            <v>COLORAMICA LATEX MATE VIOLETA</v>
          </cell>
          <cell r="D611">
            <v>33.71</v>
          </cell>
          <cell r="E611">
            <v>38.090000000000003</v>
          </cell>
          <cell r="F611">
            <v>46.81</v>
          </cell>
          <cell r="G611">
            <v>52.9</v>
          </cell>
        </row>
        <row r="612">
          <cell r="A612" t="str">
            <v>Y81RSA10-5</v>
          </cell>
          <cell r="B612" t="str">
            <v>LN</v>
          </cell>
          <cell r="C612" t="str">
            <v>COLORAMICA LATEX MATE ROSA TIERNO</v>
          </cell>
          <cell r="D612">
            <v>33.71</v>
          </cell>
          <cell r="E612">
            <v>38.090000000000003</v>
          </cell>
          <cell r="F612">
            <v>46.81</v>
          </cell>
          <cell r="G612">
            <v>52.9</v>
          </cell>
        </row>
        <row r="613">
          <cell r="A613" t="str">
            <v>Y81RSA1-5</v>
          </cell>
          <cell r="B613" t="str">
            <v>LN</v>
          </cell>
          <cell r="C613" t="str">
            <v>COLORAMICA LATEX MATE ROJO TROPICAL</v>
          </cell>
          <cell r="D613">
            <v>33.71</v>
          </cell>
          <cell r="E613">
            <v>38.090000000000003</v>
          </cell>
          <cell r="F613">
            <v>46.81</v>
          </cell>
          <cell r="G613">
            <v>52.9</v>
          </cell>
        </row>
        <row r="614">
          <cell r="A614" t="str">
            <v>Y81RSA2-5</v>
          </cell>
          <cell r="B614" t="str">
            <v>LN</v>
          </cell>
          <cell r="C614" t="str">
            <v>COLORAMICA LATEX MATE ROSADO</v>
          </cell>
          <cell r="D614">
            <v>33.71</v>
          </cell>
          <cell r="E614">
            <v>38.090000000000003</v>
          </cell>
          <cell r="F614">
            <v>46.81</v>
          </cell>
          <cell r="G614">
            <v>52.9</v>
          </cell>
        </row>
        <row r="615">
          <cell r="A615" t="str">
            <v>Y81RSA3-5</v>
          </cell>
          <cell r="B615" t="str">
            <v>LN</v>
          </cell>
          <cell r="C615" t="str">
            <v>COLORAMICA LATEX MATE ROJO LADRILLO</v>
          </cell>
          <cell r="D615">
            <v>33.71</v>
          </cell>
          <cell r="E615">
            <v>38.090000000000003</v>
          </cell>
          <cell r="F615">
            <v>46.81</v>
          </cell>
          <cell r="G615">
            <v>52.9</v>
          </cell>
        </row>
        <row r="616">
          <cell r="A616" t="str">
            <v>Y81RSA9-5</v>
          </cell>
          <cell r="B616" t="str">
            <v>LN</v>
          </cell>
          <cell r="C616" t="str">
            <v>COLORAMICA LATEX MATE ROSADO FESTIVAL</v>
          </cell>
          <cell r="D616">
            <v>33.71</v>
          </cell>
          <cell r="E616">
            <v>38.090000000000003</v>
          </cell>
          <cell r="F616">
            <v>46.81</v>
          </cell>
          <cell r="G616">
            <v>52.9</v>
          </cell>
        </row>
        <row r="617">
          <cell r="A617" t="str">
            <v>Y81WSA1-5</v>
          </cell>
          <cell r="B617" t="str">
            <v>LN</v>
          </cell>
          <cell r="C617" t="str">
            <v>COLORAMICA LATEX MATE BLANCO</v>
          </cell>
          <cell r="D617">
            <v>33.71</v>
          </cell>
          <cell r="E617">
            <v>38.090000000000003</v>
          </cell>
          <cell r="F617">
            <v>46.81</v>
          </cell>
          <cell r="G617">
            <v>52.9</v>
          </cell>
        </row>
        <row r="618">
          <cell r="A618" t="str">
            <v>Y81WSA2-5</v>
          </cell>
          <cell r="B618" t="str">
            <v>LN</v>
          </cell>
          <cell r="C618" t="str">
            <v>COLORAMICA LATEX MATE BLANCO HUESO</v>
          </cell>
          <cell r="D618">
            <v>33.71</v>
          </cell>
          <cell r="E618">
            <v>38.090000000000003</v>
          </cell>
          <cell r="F618">
            <v>46.81</v>
          </cell>
          <cell r="G618">
            <v>52.9</v>
          </cell>
        </row>
        <row r="619">
          <cell r="A619" t="str">
            <v>Y81WSA3-5</v>
          </cell>
          <cell r="B619" t="str">
            <v>LN</v>
          </cell>
          <cell r="C619" t="str">
            <v>COLORAMICA LATEX MATE BLANCO ANTIGUO</v>
          </cell>
          <cell r="D619">
            <v>33.71</v>
          </cell>
          <cell r="E619">
            <v>38.090000000000003</v>
          </cell>
          <cell r="F619">
            <v>46.81</v>
          </cell>
          <cell r="G619">
            <v>52.9</v>
          </cell>
        </row>
        <row r="620">
          <cell r="A620" t="str">
            <v>Y81YSA1-5</v>
          </cell>
          <cell r="B620" t="str">
            <v>LN</v>
          </cell>
          <cell r="C620" t="str">
            <v>COLORAMICA LATEX MATE AMARILLO</v>
          </cell>
          <cell r="D620">
            <v>33.71</v>
          </cell>
          <cell r="E620">
            <v>38.090000000000003</v>
          </cell>
          <cell r="F620">
            <v>46.81</v>
          </cell>
          <cell r="G620">
            <v>52.9</v>
          </cell>
        </row>
        <row r="621">
          <cell r="A621" t="str">
            <v>Y81YSA3-5</v>
          </cell>
          <cell r="B621" t="str">
            <v>LN</v>
          </cell>
          <cell r="C621" t="str">
            <v>COLORAMICA LATEX MATE AMARILLO ORO</v>
          </cell>
          <cell r="D621">
            <v>33.71</v>
          </cell>
          <cell r="E621">
            <v>38.090000000000003</v>
          </cell>
          <cell r="F621">
            <v>46.81</v>
          </cell>
          <cell r="G621">
            <v>52.9</v>
          </cell>
        </row>
        <row r="622">
          <cell r="A622" t="str">
            <v>Y81YSA4-5</v>
          </cell>
          <cell r="B622" t="str">
            <v>LN</v>
          </cell>
          <cell r="C622" t="str">
            <v>COLORAMICA LATEX MATE AMARILLO INTENSO</v>
          </cell>
          <cell r="D622">
            <v>33.71</v>
          </cell>
          <cell r="E622">
            <v>38.090000000000003</v>
          </cell>
          <cell r="F622">
            <v>46.81</v>
          </cell>
          <cell r="G622">
            <v>52.9</v>
          </cell>
        </row>
        <row r="624">
          <cell r="C624" t="str">
            <v>AQUALOCK</v>
          </cell>
        </row>
        <row r="626">
          <cell r="C626" t="str">
            <v>IMPERMEABILIZANTE Y TERMOREFLECTANTE 8000</v>
          </cell>
        </row>
        <row r="627">
          <cell r="A627" t="str">
            <v>A5ASA5-1/4</v>
          </cell>
          <cell r="B627" t="str">
            <v>LN</v>
          </cell>
          <cell r="C627" t="str">
            <v>AQUALOCK IMPERMEABILIZANT 8000 MATE GRIS</v>
          </cell>
          <cell r="D627">
            <v>7.16</v>
          </cell>
          <cell r="E627">
            <v>8.09</v>
          </cell>
          <cell r="F627">
            <v>10.53</v>
          </cell>
          <cell r="G627">
            <v>11.9</v>
          </cell>
        </row>
        <row r="628">
          <cell r="A628" t="str">
            <v>A5RSA8-1/4</v>
          </cell>
          <cell r="B628" t="str">
            <v>LN</v>
          </cell>
          <cell r="C628" t="str">
            <v>AQUALOCK IMPERMEABILIZANT 8000 MATE ROJO</v>
          </cell>
          <cell r="D628">
            <v>7.16</v>
          </cell>
          <cell r="E628">
            <v>8.09</v>
          </cell>
          <cell r="F628">
            <v>10.53</v>
          </cell>
          <cell r="G628">
            <v>11.9</v>
          </cell>
        </row>
        <row r="629">
          <cell r="A629" t="str">
            <v>A5WSA10-1/4</v>
          </cell>
          <cell r="B629" t="str">
            <v>LN</v>
          </cell>
          <cell r="C629" t="str">
            <v>AQUALOCK IMPERMEABILIZANT 8000 MATE BLANCO</v>
          </cell>
          <cell r="D629">
            <v>7.16</v>
          </cell>
          <cell r="E629">
            <v>8.09</v>
          </cell>
          <cell r="F629">
            <v>10.53</v>
          </cell>
          <cell r="G629">
            <v>11.9</v>
          </cell>
        </row>
        <row r="630">
          <cell r="A630" t="str">
            <v>A5LSA13-1/4</v>
          </cell>
          <cell r="B630" t="str">
            <v>LN</v>
          </cell>
          <cell r="C630" t="str">
            <v>AQUALOCK IMPERMEABILIZANT 8000 MATE AZUL</v>
          </cell>
          <cell r="D630">
            <v>7.16</v>
          </cell>
          <cell r="E630">
            <v>8.09</v>
          </cell>
          <cell r="F630">
            <v>10.53</v>
          </cell>
          <cell r="G630">
            <v>11.9</v>
          </cell>
        </row>
        <row r="631">
          <cell r="A631" t="str">
            <v>A5BSA4-1/4</v>
          </cell>
          <cell r="B631" t="str">
            <v>LN</v>
          </cell>
          <cell r="C631" t="str">
            <v>AQUALOCK IMPERMEABILIZANT 8000 MATE NEGRO</v>
          </cell>
          <cell r="D631">
            <v>7.16</v>
          </cell>
          <cell r="E631">
            <v>8.09</v>
          </cell>
          <cell r="F631">
            <v>10.53</v>
          </cell>
          <cell r="G631">
            <v>11.9</v>
          </cell>
        </row>
        <row r="633">
          <cell r="A633" t="str">
            <v>A5WSA10-1</v>
          </cell>
          <cell r="B633" t="str">
            <v>LN</v>
          </cell>
          <cell r="C633" t="str">
            <v>AQUALOCK IMPERMEABILIZANT 8000 MATE BLANCO</v>
          </cell>
          <cell r="D633">
            <v>24.61</v>
          </cell>
          <cell r="E633">
            <v>27.81</v>
          </cell>
          <cell r="F633">
            <v>36.19</v>
          </cell>
          <cell r="G633">
            <v>40.9</v>
          </cell>
        </row>
        <row r="634">
          <cell r="A634" t="str">
            <v>A5RSA8-1</v>
          </cell>
          <cell r="B634" t="str">
            <v>LN</v>
          </cell>
          <cell r="C634" t="str">
            <v>AQUALOCK IMPERMEABILIZANT 8000 MATE ROJO</v>
          </cell>
          <cell r="D634">
            <v>24.61</v>
          </cell>
          <cell r="E634">
            <v>27.81</v>
          </cell>
          <cell r="F634">
            <v>36.19</v>
          </cell>
          <cell r="G634">
            <v>40.9</v>
          </cell>
        </row>
        <row r="635">
          <cell r="A635" t="str">
            <v>A5RSA9-1</v>
          </cell>
          <cell r="B635" t="str">
            <v>LN</v>
          </cell>
          <cell r="C635" t="str">
            <v>AQUALOCK IMPERMEABILIZANT 8000 MATE ROJO TEJA</v>
          </cell>
          <cell r="D635">
            <v>24.61</v>
          </cell>
          <cell r="E635">
            <v>27.81</v>
          </cell>
          <cell r="F635">
            <v>36.19</v>
          </cell>
          <cell r="G635">
            <v>40.9</v>
          </cell>
        </row>
        <row r="636">
          <cell r="A636" t="str">
            <v>A5GSA11-1</v>
          </cell>
          <cell r="B636" t="str">
            <v>LN</v>
          </cell>
          <cell r="C636" t="str">
            <v>AQUALOCK IMPERMEABILIZANT 8000 MATE VERDE</v>
          </cell>
          <cell r="D636">
            <v>24.61</v>
          </cell>
          <cell r="E636">
            <v>27.81</v>
          </cell>
          <cell r="F636">
            <v>36.19</v>
          </cell>
          <cell r="G636">
            <v>40.9</v>
          </cell>
        </row>
        <row r="637">
          <cell r="A637" t="str">
            <v>A5ASA5-1</v>
          </cell>
          <cell r="B637" t="str">
            <v>LN</v>
          </cell>
          <cell r="C637" t="str">
            <v>AQUALOCK IMPERMEABILIZANT 8000 MATE GRIS</v>
          </cell>
          <cell r="D637">
            <v>24.61</v>
          </cell>
          <cell r="E637">
            <v>27.81</v>
          </cell>
          <cell r="F637">
            <v>36.19</v>
          </cell>
          <cell r="G637">
            <v>40.9</v>
          </cell>
        </row>
        <row r="638">
          <cell r="A638" t="str">
            <v>A5LSA13-1</v>
          </cell>
          <cell r="B638" t="str">
            <v>LN</v>
          </cell>
          <cell r="C638" t="str">
            <v>AQUALOCK IMPERMEABILIZANT 8000 MATE AZUL</v>
          </cell>
          <cell r="D638">
            <v>24.61</v>
          </cell>
          <cell r="E638">
            <v>27.81</v>
          </cell>
          <cell r="F638">
            <v>36.19</v>
          </cell>
          <cell r="G638">
            <v>40.9</v>
          </cell>
        </row>
        <row r="639">
          <cell r="A639" t="str">
            <v>A5BSA4-1</v>
          </cell>
          <cell r="B639" t="str">
            <v>LN</v>
          </cell>
          <cell r="C639" t="str">
            <v>AQUALOCK IMPERMEABILIZANT 8000 MATE NEGRO</v>
          </cell>
          <cell r="D639">
            <v>24.61</v>
          </cell>
          <cell r="E639">
            <v>27.81</v>
          </cell>
          <cell r="F639">
            <v>36.19</v>
          </cell>
          <cell r="G639">
            <v>40.9</v>
          </cell>
        </row>
        <row r="641">
          <cell r="A641" t="str">
            <v>A5WSA10-5</v>
          </cell>
          <cell r="B641" t="str">
            <v>LN</v>
          </cell>
          <cell r="C641" t="str">
            <v>AQUALOCK IMPERMEABILIZANT 8000 MATE BLANCO</v>
          </cell>
          <cell r="D641">
            <v>112.53</v>
          </cell>
          <cell r="E641">
            <v>127.16</v>
          </cell>
          <cell r="F641">
            <v>165.49</v>
          </cell>
          <cell r="G641">
            <v>187</v>
          </cell>
        </row>
        <row r="642">
          <cell r="A642" t="str">
            <v>A5RSA8-5</v>
          </cell>
          <cell r="B642" t="str">
            <v>LN</v>
          </cell>
          <cell r="C642" t="str">
            <v>AQUALOCK IMPERMEABILIZANT 8000 MATE ROJO</v>
          </cell>
          <cell r="D642">
            <v>112.53</v>
          </cell>
          <cell r="E642">
            <v>127.16</v>
          </cell>
          <cell r="F642">
            <v>165.49</v>
          </cell>
          <cell r="G642">
            <v>187</v>
          </cell>
        </row>
        <row r="643">
          <cell r="A643" t="str">
            <v>A5RSA9-5</v>
          </cell>
          <cell r="B643" t="str">
            <v>LN</v>
          </cell>
          <cell r="C643" t="str">
            <v>AQUALOCK IMPERMEABILIZANT 8000 MATE ROJO TEJA</v>
          </cell>
          <cell r="D643">
            <v>112.53</v>
          </cell>
          <cell r="E643">
            <v>127.16</v>
          </cell>
          <cell r="F643">
            <v>165.49</v>
          </cell>
          <cell r="G643">
            <v>187</v>
          </cell>
        </row>
        <row r="644">
          <cell r="A644" t="str">
            <v>A5GSA11-5</v>
          </cell>
          <cell r="B644" t="str">
            <v>LN</v>
          </cell>
          <cell r="C644" t="str">
            <v>AQUALOCK IMPERMEABILIZANT 8000 MATE VERDE</v>
          </cell>
          <cell r="D644">
            <v>112.53</v>
          </cell>
          <cell r="E644">
            <v>127.16</v>
          </cell>
          <cell r="F644">
            <v>165.49</v>
          </cell>
          <cell r="G644">
            <v>187</v>
          </cell>
        </row>
        <row r="645">
          <cell r="A645" t="str">
            <v>A5ASA5-5</v>
          </cell>
          <cell r="B645" t="str">
            <v>LN</v>
          </cell>
          <cell r="C645" t="str">
            <v>AQUALOCK IMPERMEABILIZANT 8000 MATE GRIS</v>
          </cell>
          <cell r="D645">
            <v>112.53</v>
          </cell>
          <cell r="E645">
            <v>127.16</v>
          </cell>
          <cell r="F645">
            <v>165.49</v>
          </cell>
          <cell r="G645">
            <v>187</v>
          </cell>
        </row>
        <row r="647">
          <cell r="C647" t="str">
            <v>IMPERMEABILIZANTE  AQUALOCK 8000 BASE ENTINTABLES</v>
          </cell>
        </row>
        <row r="649">
          <cell r="A649" t="str">
            <v>A5TSA854-1/4</v>
          </cell>
          <cell r="B649" t="str">
            <v>LN</v>
          </cell>
          <cell r="C649" t="str">
            <v>AQUALOCK IMPERMEABILIZANTE 8000 MATE BASE ULTRA DEEP</v>
          </cell>
          <cell r="D649">
            <v>5.42</v>
          </cell>
          <cell r="E649">
            <v>6.13</v>
          </cell>
          <cell r="F649">
            <v>10.18</v>
          </cell>
          <cell r="G649">
            <v>11.5</v>
          </cell>
        </row>
        <row r="650">
          <cell r="A650" t="str">
            <v>A5WSA853-1/4</v>
          </cell>
          <cell r="B650" t="str">
            <v>LN</v>
          </cell>
          <cell r="C650" t="str">
            <v>AQUALOCK IMPERMEABILIZANTE 8000 MATE BASE DEEP</v>
          </cell>
          <cell r="D650">
            <v>5.42</v>
          </cell>
          <cell r="E650">
            <v>6.13</v>
          </cell>
          <cell r="F650">
            <v>10.18</v>
          </cell>
          <cell r="G650">
            <v>11.5</v>
          </cell>
        </row>
        <row r="651">
          <cell r="A651" t="str">
            <v>A5WSA851-1/4</v>
          </cell>
          <cell r="B651" t="str">
            <v>LN</v>
          </cell>
          <cell r="C651" t="str">
            <v>AQUALOCK IMPERMEABILIZANTE 8000 MATE BASE EXTRA WHITE</v>
          </cell>
          <cell r="D651">
            <v>6.42</v>
          </cell>
          <cell r="E651">
            <v>7.26</v>
          </cell>
          <cell r="F651">
            <v>10.18</v>
          </cell>
          <cell r="G651">
            <v>11.5</v>
          </cell>
        </row>
        <row r="653">
          <cell r="A653" t="str">
            <v>A5WSA851-1</v>
          </cell>
          <cell r="B653" t="str">
            <v>LN</v>
          </cell>
          <cell r="C653" t="str">
            <v>AQUALOCK IMPERMEABILIZANTE 8000 MATE BASE EXTRA WHITE</v>
          </cell>
          <cell r="D653">
            <v>23.12</v>
          </cell>
          <cell r="E653">
            <v>26.12</v>
          </cell>
          <cell r="F653">
            <v>36.19</v>
          </cell>
          <cell r="G653">
            <v>40.9</v>
          </cell>
        </row>
        <row r="654">
          <cell r="A654" t="str">
            <v>A5WSA853-1</v>
          </cell>
          <cell r="B654" t="str">
            <v>LN</v>
          </cell>
          <cell r="C654" t="str">
            <v>AQUALOCK IMPERMEABILIZANTE 8000 MATE BASE DEEP</v>
          </cell>
          <cell r="D654">
            <v>19.61</v>
          </cell>
          <cell r="E654">
            <v>22.16</v>
          </cell>
          <cell r="F654">
            <v>36.19</v>
          </cell>
          <cell r="G654">
            <v>40.9</v>
          </cell>
        </row>
        <row r="655">
          <cell r="A655" t="str">
            <v>A5TSA854-1</v>
          </cell>
          <cell r="B655" t="str">
            <v>LN</v>
          </cell>
          <cell r="C655" t="str">
            <v>AQUALOCK IMPERMEABILIZANTE 8000 MATE BASE ULTRA DEEP</v>
          </cell>
          <cell r="D655">
            <v>19.61</v>
          </cell>
          <cell r="E655">
            <v>22.16</v>
          </cell>
          <cell r="F655">
            <v>36.19</v>
          </cell>
          <cell r="G655">
            <v>40.9</v>
          </cell>
        </row>
        <row r="657">
          <cell r="A657" t="str">
            <v>A5WSA851-5</v>
          </cell>
          <cell r="B657" t="str">
            <v>LN</v>
          </cell>
          <cell r="C657" t="str">
            <v>AQUALOCK IMPERMEABILIZANTE 8000 MATE BASE EXTRA WHITE</v>
          </cell>
          <cell r="D657">
            <v>105.04</v>
          </cell>
          <cell r="E657">
            <v>118.69</v>
          </cell>
          <cell r="F657">
            <v>165.49</v>
          </cell>
          <cell r="G657">
            <v>187</v>
          </cell>
        </row>
        <row r="658">
          <cell r="A658" t="str">
            <v>A5WSA853-5</v>
          </cell>
          <cell r="B658" t="str">
            <v>LN</v>
          </cell>
          <cell r="C658" t="str">
            <v>AQUALOCK IMPERMEABILIZANTE 8000 MATE BASE DEEP</v>
          </cell>
          <cell r="D658">
            <v>87.53</v>
          </cell>
          <cell r="E658">
            <v>98.91</v>
          </cell>
          <cell r="F658">
            <v>165.49</v>
          </cell>
          <cell r="G658">
            <v>187</v>
          </cell>
        </row>
        <row r="659">
          <cell r="A659" t="str">
            <v>A5TSA854-5</v>
          </cell>
          <cell r="B659" t="str">
            <v>LN</v>
          </cell>
          <cell r="C659" t="str">
            <v>AQUALOCK IMPERMEABILIZANTE 8000 MATE BASE ULTRA DEEP</v>
          </cell>
          <cell r="D659">
            <v>87.53</v>
          </cell>
          <cell r="E659">
            <v>98.91</v>
          </cell>
          <cell r="F659">
            <v>165.49</v>
          </cell>
          <cell r="G659">
            <v>187</v>
          </cell>
        </row>
        <row r="661">
          <cell r="C661" t="str">
            <v>IMPERMEABILIZANTE 6000 AR</v>
          </cell>
        </row>
        <row r="663">
          <cell r="A663" t="str">
            <v>A5GSA12-1/4</v>
          </cell>
          <cell r="B663" t="str">
            <v>LN</v>
          </cell>
          <cell r="C663" t="str">
            <v>AQUALOCK6000 IMPERMEABILIZANTE AR MATE VERDE</v>
          </cell>
          <cell r="D663">
            <v>6.5</v>
          </cell>
          <cell r="E663">
            <v>7.35</v>
          </cell>
          <cell r="F663">
            <v>9.2899999999999991</v>
          </cell>
          <cell r="G663">
            <v>10.5</v>
          </cell>
        </row>
        <row r="664">
          <cell r="A664" t="str">
            <v>A5RSA10-1/4</v>
          </cell>
          <cell r="B664" t="str">
            <v>LN</v>
          </cell>
          <cell r="C664" t="str">
            <v>AQUALOCK6000 IMPERMEABILIZANTE AR MATE ROJO</v>
          </cell>
          <cell r="D664">
            <v>6.5</v>
          </cell>
          <cell r="E664">
            <v>7.35</v>
          </cell>
          <cell r="F664">
            <v>9.2899999999999991</v>
          </cell>
          <cell r="G664">
            <v>10.5</v>
          </cell>
        </row>
        <row r="665">
          <cell r="A665" t="str">
            <v>A5RSA11-1/4</v>
          </cell>
          <cell r="B665" t="str">
            <v>LN</v>
          </cell>
          <cell r="C665" t="str">
            <v>AQUALOCK6000 IMPERMEABILIZANTE AR MATE ROJO TEJA</v>
          </cell>
          <cell r="D665">
            <v>6.5</v>
          </cell>
          <cell r="E665">
            <v>7.35</v>
          </cell>
          <cell r="F665">
            <v>9.2899999999999991</v>
          </cell>
          <cell r="G665">
            <v>10.5</v>
          </cell>
        </row>
        <row r="666">
          <cell r="A666" t="str">
            <v>A5ASA6-1/4</v>
          </cell>
          <cell r="B666" t="str">
            <v>LN</v>
          </cell>
          <cell r="C666" t="str">
            <v>AQUALOCK6000 IMPERMEABILIZANTE AR MATE GRIS</v>
          </cell>
          <cell r="D666">
            <v>6.5</v>
          </cell>
          <cell r="E666">
            <v>7.35</v>
          </cell>
          <cell r="F666">
            <v>9.2899999999999991</v>
          </cell>
          <cell r="G666">
            <v>10.5</v>
          </cell>
        </row>
        <row r="667">
          <cell r="A667" t="str">
            <v>A5WSA11-1/4</v>
          </cell>
          <cell r="B667" t="str">
            <v>LN</v>
          </cell>
          <cell r="C667" t="str">
            <v>AQUALOCK6000 IMPERMEABILIZANTE AR MATE BLANCO</v>
          </cell>
          <cell r="D667">
            <v>6.5</v>
          </cell>
          <cell r="E667">
            <v>7.35</v>
          </cell>
          <cell r="F667">
            <v>9.2899999999999991</v>
          </cell>
          <cell r="G667">
            <v>10.5</v>
          </cell>
        </row>
        <row r="669">
          <cell r="A669" t="str">
            <v>A5GSA12-1</v>
          </cell>
          <cell r="B669" t="str">
            <v>LN</v>
          </cell>
          <cell r="C669" t="str">
            <v>AQUALOCK6000 IMPERMEABILIZANTE AR MATE VERDE</v>
          </cell>
          <cell r="D669">
            <v>21.62</v>
          </cell>
          <cell r="E669">
            <v>24.43</v>
          </cell>
          <cell r="F669">
            <v>30.88</v>
          </cell>
          <cell r="G669">
            <v>34.9</v>
          </cell>
        </row>
        <row r="670">
          <cell r="A670" t="str">
            <v>A5RSA10-1</v>
          </cell>
          <cell r="B670" t="str">
            <v>LN</v>
          </cell>
          <cell r="C670" t="str">
            <v>AQUALOCK6000 IMPERMEABILIZANTE AR MATE ROJO</v>
          </cell>
          <cell r="D670">
            <v>21.62</v>
          </cell>
          <cell r="E670">
            <v>24.43</v>
          </cell>
          <cell r="F670">
            <v>30.88</v>
          </cell>
          <cell r="G670">
            <v>34.9</v>
          </cell>
        </row>
        <row r="671">
          <cell r="A671" t="str">
            <v>A5RSA11-1</v>
          </cell>
          <cell r="B671" t="str">
            <v>LN</v>
          </cell>
          <cell r="C671" t="str">
            <v>AQUALOCK6000 IMPERMEABILIZANTE AR MATE ROJO TEJA</v>
          </cell>
          <cell r="D671">
            <v>21.62</v>
          </cell>
          <cell r="E671">
            <v>24.43</v>
          </cell>
          <cell r="F671">
            <v>30.88</v>
          </cell>
          <cell r="G671">
            <v>34.9</v>
          </cell>
        </row>
        <row r="672">
          <cell r="A672" t="str">
            <v>A5ASA6-1</v>
          </cell>
          <cell r="B672" t="str">
            <v>LN</v>
          </cell>
          <cell r="C672" t="str">
            <v>AQUALOCK6000 IMPERMEABILIZANTE AR MATE GRIS</v>
          </cell>
          <cell r="D672">
            <v>21.62</v>
          </cell>
          <cell r="E672">
            <v>24.43</v>
          </cell>
          <cell r="F672">
            <v>30.88</v>
          </cell>
          <cell r="G672">
            <v>34.9</v>
          </cell>
        </row>
        <row r="673">
          <cell r="A673" t="str">
            <v>A5WSA11-1</v>
          </cell>
          <cell r="B673" t="str">
            <v>LN</v>
          </cell>
          <cell r="C673" t="str">
            <v>AQUALOCK6000 IMPERMEABILIZANTE AR MATE BLANCO</v>
          </cell>
          <cell r="D673">
            <v>21.62</v>
          </cell>
          <cell r="E673">
            <v>24.43</v>
          </cell>
          <cell r="F673">
            <v>30.88</v>
          </cell>
          <cell r="G673">
            <v>34.9</v>
          </cell>
        </row>
        <row r="675">
          <cell r="A675" t="str">
            <v>A5GSA12-5</v>
          </cell>
          <cell r="B675" t="str">
            <v>LN</v>
          </cell>
          <cell r="C675" t="str">
            <v>AQUALOCK6000 IMPERMEABILIZANTE AR MATE VERDE</v>
          </cell>
          <cell r="D675">
            <v>96.02</v>
          </cell>
          <cell r="E675">
            <v>108.5</v>
          </cell>
          <cell r="F675">
            <v>137.16999999999999</v>
          </cell>
          <cell r="G675">
            <v>155</v>
          </cell>
        </row>
        <row r="676">
          <cell r="A676" t="str">
            <v>A5RSA10-5</v>
          </cell>
          <cell r="B676" t="str">
            <v>LN</v>
          </cell>
          <cell r="C676" t="str">
            <v>AQUALOCK6000 IMPERMEABILIZANTE AR MATE ROJO</v>
          </cell>
          <cell r="D676">
            <v>96.02</v>
          </cell>
          <cell r="E676">
            <v>108.5</v>
          </cell>
          <cell r="F676">
            <v>137.16999999999999</v>
          </cell>
          <cell r="G676">
            <v>155</v>
          </cell>
        </row>
        <row r="677">
          <cell r="A677" t="str">
            <v>A5RSA11-5</v>
          </cell>
          <cell r="B677" t="str">
            <v>LN</v>
          </cell>
          <cell r="C677" t="str">
            <v>AQUALOCK6000 IMPERMEABILIZANTE AR MATE ROJO TEJA</v>
          </cell>
          <cell r="D677">
            <v>96.02</v>
          </cell>
          <cell r="E677">
            <v>108.5</v>
          </cell>
          <cell r="F677">
            <v>137.16999999999999</v>
          </cell>
          <cell r="G677">
            <v>155</v>
          </cell>
        </row>
        <row r="678">
          <cell r="A678" t="str">
            <v>A5ASA6-5</v>
          </cell>
          <cell r="B678" t="str">
            <v>LN</v>
          </cell>
          <cell r="C678" t="str">
            <v>AQUALOCK6000 IMPERMEABILIZANTE AR MATE GRIS</v>
          </cell>
          <cell r="D678">
            <v>96.02</v>
          </cell>
          <cell r="E678">
            <v>108.5</v>
          </cell>
          <cell r="F678">
            <v>137.16999999999999</v>
          </cell>
          <cell r="G678">
            <v>155</v>
          </cell>
        </row>
        <row r="679">
          <cell r="A679" t="str">
            <v>A5WSA11-5</v>
          </cell>
          <cell r="B679" t="str">
            <v>LN</v>
          </cell>
          <cell r="C679" t="str">
            <v>AQUALOCK6000 IMPERMEABILIZANTE AR MATE BLANCO</v>
          </cell>
          <cell r="D679">
            <v>96.02</v>
          </cell>
          <cell r="E679">
            <v>108.5</v>
          </cell>
          <cell r="F679">
            <v>137.16999999999999</v>
          </cell>
          <cell r="G679">
            <v>155</v>
          </cell>
        </row>
        <row r="681">
          <cell r="C681" t="str">
            <v>IMPERMEABILIZANTE  4000</v>
          </cell>
        </row>
        <row r="683">
          <cell r="A683" t="str">
            <v>A5GSA10-1</v>
          </cell>
          <cell r="B683" t="str">
            <v>LN</v>
          </cell>
          <cell r="C683" t="str">
            <v>AQUALOCK IMPERMEABILIZANT 4000 MATE VERDE</v>
          </cell>
          <cell r="D683">
            <v>17.78</v>
          </cell>
          <cell r="E683">
            <v>20.09</v>
          </cell>
          <cell r="F683">
            <v>24.69</v>
          </cell>
          <cell r="G683">
            <v>27.9</v>
          </cell>
        </row>
        <row r="684">
          <cell r="A684" t="str">
            <v>A5RSA6-1</v>
          </cell>
          <cell r="B684" t="str">
            <v>LN</v>
          </cell>
          <cell r="C684" t="str">
            <v>AQUALOCK IMPERMEABILIZANT 4000 MATE ROJO</v>
          </cell>
          <cell r="D684">
            <v>17.78</v>
          </cell>
          <cell r="E684">
            <v>20.09</v>
          </cell>
          <cell r="F684">
            <v>24.69</v>
          </cell>
          <cell r="G684">
            <v>27.9</v>
          </cell>
        </row>
        <row r="685">
          <cell r="A685" t="str">
            <v>A5WSA9-1</v>
          </cell>
          <cell r="B685" t="str">
            <v>LN</v>
          </cell>
          <cell r="C685" t="str">
            <v>AQUALOCK IMPERMEABILIZANT 4000 MATE BLANCO</v>
          </cell>
          <cell r="D685">
            <v>17.78</v>
          </cell>
          <cell r="E685">
            <v>20.09</v>
          </cell>
          <cell r="F685">
            <v>24.69</v>
          </cell>
          <cell r="G685">
            <v>27.9</v>
          </cell>
        </row>
        <row r="687">
          <cell r="A687" t="str">
            <v>A5GSA10-5</v>
          </cell>
          <cell r="B687" t="str">
            <v>LN</v>
          </cell>
          <cell r="C687" t="str">
            <v>AQUALOCK IMPERMEABILIZANT 4000 MATE VERDE</v>
          </cell>
          <cell r="D687">
            <v>76.459999999999994</v>
          </cell>
          <cell r="E687">
            <v>86.4</v>
          </cell>
          <cell r="F687">
            <v>106.19</v>
          </cell>
          <cell r="G687">
            <v>120</v>
          </cell>
        </row>
        <row r="688">
          <cell r="A688" t="str">
            <v>A5RSA6-5</v>
          </cell>
          <cell r="B688" t="str">
            <v>LN</v>
          </cell>
          <cell r="C688" t="str">
            <v>AQUALOCK IMPERMEABILIZANT 4000 MATE ROJO</v>
          </cell>
          <cell r="D688">
            <v>76.459999999999994</v>
          </cell>
          <cell r="E688">
            <v>86.4</v>
          </cell>
          <cell r="F688">
            <v>106.19</v>
          </cell>
          <cell r="G688">
            <v>120</v>
          </cell>
        </row>
        <row r="689">
          <cell r="A689" t="str">
            <v>A5WSA9-5</v>
          </cell>
          <cell r="B689" t="str">
            <v>LN</v>
          </cell>
          <cell r="C689" t="str">
            <v>AQUALOCK IMPERMEABILIZANT 4000 MATE BLANCO</v>
          </cell>
          <cell r="D689">
            <v>76.459999999999994</v>
          </cell>
          <cell r="E689">
            <v>86.4</v>
          </cell>
          <cell r="F689">
            <v>106.19</v>
          </cell>
          <cell r="G689">
            <v>120</v>
          </cell>
        </row>
        <row r="691">
          <cell r="C691" t="str">
            <v>REPELENTE DE AGUA BASE AGUA</v>
          </cell>
        </row>
        <row r="693">
          <cell r="A693" t="str">
            <v>A5VSA2-BOT</v>
          </cell>
          <cell r="B693" t="str">
            <v>LN</v>
          </cell>
          <cell r="C693" t="str">
            <v xml:space="preserve">AQUALOCK REPELENTE BASE AGUA </v>
          </cell>
          <cell r="D693">
            <v>3.41</v>
          </cell>
          <cell r="E693">
            <v>3.85</v>
          </cell>
          <cell r="F693">
            <v>4.87</v>
          </cell>
          <cell r="G693">
            <v>5.5</v>
          </cell>
        </row>
        <row r="694">
          <cell r="A694" t="str">
            <v>A5VSA2-1</v>
          </cell>
          <cell r="B694" t="str">
            <v>LN</v>
          </cell>
          <cell r="C694" t="str">
            <v xml:space="preserve">AQUALOCK REPELENTE BASE AGUA </v>
          </cell>
          <cell r="D694">
            <v>15.18</v>
          </cell>
          <cell r="E694">
            <v>17.149999999999999</v>
          </cell>
          <cell r="F694">
            <v>21.68</v>
          </cell>
          <cell r="G694">
            <v>24.5</v>
          </cell>
        </row>
        <row r="695">
          <cell r="A695" t="str">
            <v>A5VSA2-5</v>
          </cell>
          <cell r="B695" t="str">
            <v>LN</v>
          </cell>
          <cell r="C695" t="str">
            <v xml:space="preserve">AQUALOCK REPELENTE BASE AGUA </v>
          </cell>
          <cell r="D695">
            <v>68.760000000000005</v>
          </cell>
          <cell r="E695">
            <v>77.7</v>
          </cell>
          <cell r="F695">
            <v>98.23</v>
          </cell>
          <cell r="G695">
            <v>111</v>
          </cell>
        </row>
        <row r="697">
          <cell r="C697" t="str">
            <v>REPELENTE DE AGUA SATINADO</v>
          </cell>
        </row>
        <row r="699">
          <cell r="A699" t="str">
            <v>A5VSA1-1/4</v>
          </cell>
          <cell r="B699" t="str">
            <v>LN</v>
          </cell>
          <cell r="C699" t="str">
            <v>AQUALOCK REPELENTE DE AGUA SATINADO TRANSPARENTE</v>
          </cell>
          <cell r="D699">
            <v>5.88</v>
          </cell>
          <cell r="E699">
            <v>6.65</v>
          </cell>
          <cell r="F699">
            <v>8.41</v>
          </cell>
          <cell r="G699">
            <v>9.5</v>
          </cell>
        </row>
        <row r="700">
          <cell r="A700" t="str">
            <v>A5VSA1-1</v>
          </cell>
          <cell r="B700" t="str">
            <v>LN</v>
          </cell>
          <cell r="C700" t="str">
            <v>AQUALOCK REPELENTE DE AGUA SATINADO TRANSPARENTE</v>
          </cell>
          <cell r="D700">
            <v>21</v>
          </cell>
          <cell r="E700">
            <v>23.73</v>
          </cell>
          <cell r="F700">
            <v>30</v>
          </cell>
          <cell r="G700">
            <v>33.9</v>
          </cell>
        </row>
        <row r="701">
          <cell r="A701" t="str">
            <v>A5VSA1-5</v>
          </cell>
          <cell r="B701" t="str">
            <v>LN</v>
          </cell>
          <cell r="C701" t="str">
            <v>AQUALOCK REPELENTE DE AGUA SATINADO TRANSPARENTE</v>
          </cell>
          <cell r="D701">
            <v>94.78</v>
          </cell>
          <cell r="E701">
            <v>107.1</v>
          </cell>
          <cell r="F701">
            <v>135.4</v>
          </cell>
          <cell r="G701">
            <v>153</v>
          </cell>
        </row>
        <row r="703">
          <cell r="C703" t="str">
            <v>BLOQUEADOR DE AGUA</v>
          </cell>
        </row>
        <row r="705">
          <cell r="A705" t="str">
            <v>A5WSA8-1/4</v>
          </cell>
          <cell r="B705" t="str">
            <v>LN</v>
          </cell>
          <cell r="C705" t="str">
            <v>AQUALOCK BLOQUEADOR DE AGUA MATE BLANCO</v>
          </cell>
          <cell r="D705">
            <v>7.12</v>
          </cell>
          <cell r="E705">
            <v>8.0500000000000007</v>
          </cell>
          <cell r="F705">
            <v>10.18</v>
          </cell>
          <cell r="G705">
            <v>11.5</v>
          </cell>
        </row>
        <row r="706">
          <cell r="A706" t="str">
            <v>A5WSA51-1/4</v>
          </cell>
          <cell r="B706" t="str">
            <v>LN</v>
          </cell>
          <cell r="C706" t="str">
            <v>AQUALOCK BLOQUEADOR DE AGUA MATE EXTRA WHITE</v>
          </cell>
          <cell r="D706">
            <v>6.63</v>
          </cell>
          <cell r="E706">
            <v>7.49</v>
          </cell>
          <cell r="F706">
            <v>10.18</v>
          </cell>
          <cell r="G706">
            <v>11.5</v>
          </cell>
        </row>
        <row r="707">
          <cell r="A707" t="str">
            <v>A5WSA53-1/4</v>
          </cell>
          <cell r="B707" t="str">
            <v>LN</v>
          </cell>
          <cell r="C707" t="str">
            <v>AQUALOCK BLOQUEADOR DE AGUA MATE BASE DEEP</v>
          </cell>
          <cell r="D707">
            <v>5.63</v>
          </cell>
          <cell r="E707">
            <v>6.36</v>
          </cell>
          <cell r="F707">
            <v>10.18</v>
          </cell>
          <cell r="G707">
            <v>11.5</v>
          </cell>
        </row>
        <row r="708">
          <cell r="A708" t="str">
            <v>A5TSA54-1/4</v>
          </cell>
          <cell r="B708" t="str">
            <v>LN</v>
          </cell>
          <cell r="C708" t="str">
            <v>AQUALOCK BLOQUEADOR DE AGUA MATE BASE ULTRA DEEP</v>
          </cell>
          <cell r="D708">
            <v>5.63</v>
          </cell>
          <cell r="E708">
            <v>6.36</v>
          </cell>
          <cell r="F708">
            <v>10.18</v>
          </cell>
          <cell r="G708">
            <v>11.5</v>
          </cell>
        </row>
        <row r="710">
          <cell r="A710" t="str">
            <v>A5WSA8-1</v>
          </cell>
          <cell r="B710" t="str">
            <v>LN</v>
          </cell>
          <cell r="C710" t="str">
            <v>AQUALOCK BLOQUEADOR DE AGUA MATE BLANCO</v>
          </cell>
          <cell r="D710">
            <v>25.34</v>
          </cell>
          <cell r="E710">
            <v>28.63</v>
          </cell>
          <cell r="F710">
            <v>36.19</v>
          </cell>
          <cell r="G710">
            <v>40.9</v>
          </cell>
        </row>
        <row r="711">
          <cell r="A711" t="str">
            <v>A5WSA51-1</v>
          </cell>
          <cell r="B711" t="str">
            <v>LN</v>
          </cell>
          <cell r="C711" t="str">
            <v>AQUALOCK BLOQUEADOR DE AGUA MATE EXTRA WHITE</v>
          </cell>
          <cell r="D711">
            <v>23.84</v>
          </cell>
          <cell r="E711">
            <v>26.94</v>
          </cell>
          <cell r="F711">
            <v>36.19</v>
          </cell>
          <cell r="G711">
            <v>40.9</v>
          </cell>
        </row>
        <row r="712">
          <cell r="A712" t="str">
            <v>A5WSA53-1</v>
          </cell>
          <cell r="B712" t="str">
            <v>LN</v>
          </cell>
          <cell r="C712" t="str">
            <v>AQUALOCK BLOQUEADOR DE AGUA MATE BASE DEEP</v>
          </cell>
          <cell r="D712">
            <v>20.34</v>
          </cell>
          <cell r="E712">
            <v>22.98</v>
          </cell>
          <cell r="F712">
            <v>36.19</v>
          </cell>
          <cell r="G712">
            <v>40.9</v>
          </cell>
        </row>
        <row r="713">
          <cell r="A713" t="str">
            <v>A5TSA54-1</v>
          </cell>
          <cell r="B713" t="str">
            <v>LN</v>
          </cell>
          <cell r="C713" t="str">
            <v>AQUALOCK BLOQUEADOR DE AGUA MATE BASE ULTRA DEEP</v>
          </cell>
          <cell r="D713">
            <v>20.34</v>
          </cell>
          <cell r="E713">
            <v>22.98</v>
          </cell>
          <cell r="F713">
            <v>36.19</v>
          </cell>
          <cell r="G713">
            <v>40.9</v>
          </cell>
        </row>
        <row r="715">
          <cell r="A715" t="str">
            <v>A5WSA8-5</v>
          </cell>
          <cell r="B715" t="str">
            <v>LN</v>
          </cell>
          <cell r="C715" t="str">
            <v>AQUALOCK BLOQUEADOR DE AGUA MATE BLANCO</v>
          </cell>
          <cell r="D715">
            <v>115.84</v>
          </cell>
          <cell r="E715">
            <v>130.9</v>
          </cell>
          <cell r="F715">
            <v>165.49</v>
          </cell>
          <cell r="G715">
            <v>187</v>
          </cell>
        </row>
        <row r="716">
          <cell r="A716" t="str">
            <v>A5WSA51-5</v>
          </cell>
          <cell r="B716" t="str">
            <v>LN</v>
          </cell>
          <cell r="C716" t="str">
            <v>AQUALOCK BLOQUEADOR DE AGUA MATE EXTRA WHITE</v>
          </cell>
          <cell r="D716">
            <v>108.35</v>
          </cell>
          <cell r="E716">
            <v>122.43</v>
          </cell>
          <cell r="F716">
            <v>165.49</v>
          </cell>
          <cell r="G716">
            <v>187</v>
          </cell>
        </row>
        <row r="717">
          <cell r="A717" t="str">
            <v>A5WSA53-5</v>
          </cell>
          <cell r="B717" t="str">
            <v>LN</v>
          </cell>
          <cell r="C717" t="str">
            <v>AQUALOCK BLOQUEADOR DE AGUA MATE BASE DEEP</v>
          </cell>
          <cell r="D717">
            <v>90.84</v>
          </cell>
          <cell r="E717">
            <v>102.65</v>
          </cell>
          <cell r="F717">
            <v>165.49</v>
          </cell>
          <cell r="G717">
            <v>187</v>
          </cell>
        </row>
        <row r="718">
          <cell r="A718" t="str">
            <v>A5TSA54-5</v>
          </cell>
          <cell r="B718" t="str">
            <v>LN</v>
          </cell>
          <cell r="C718" t="str">
            <v>AQUALOCK BLOQUEADOR DE AGUA MATE BASE ULTRA DEEP</v>
          </cell>
          <cell r="D718">
            <v>90.84</v>
          </cell>
          <cell r="E718">
            <v>102.65</v>
          </cell>
          <cell r="F718">
            <v>165.49</v>
          </cell>
          <cell r="G718">
            <v>187</v>
          </cell>
        </row>
        <row r="720">
          <cell r="C720" t="str">
            <v>SELLADOR DE GOTERAS</v>
          </cell>
        </row>
        <row r="722">
          <cell r="A722" t="str">
            <v>A5ASA9-1</v>
          </cell>
          <cell r="B722" t="str">
            <v>LN</v>
          </cell>
          <cell r="C722" t="str">
            <v>AQUALOCK SELLADOR DE GOTERAS GRIS</v>
          </cell>
          <cell r="D722">
            <v>24.1</v>
          </cell>
          <cell r="E722">
            <v>27.23</v>
          </cell>
          <cell r="F722">
            <v>34.42</v>
          </cell>
          <cell r="G722">
            <v>38.9</v>
          </cell>
        </row>
        <row r="723">
          <cell r="A723" t="str">
            <v>A5WSA12-1</v>
          </cell>
          <cell r="B723" t="str">
            <v>LN</v>
          </cell>
          <cell r="C723" t="str">
            <v>AQUALOCK SELLADOR DE GOTERAS BLANCO</v>
          </cell>
          <cell r="D723">
            <v>24.1</v>
          </cell>
          <cell r="E723">
            <v>27.23</v>
          </cell>
          <cell r="F723">
            <v>34.42</v>
          </cell>
          <cell r="G723">
            <v>38.9</v>
          </cell>
        </row>
        <row r="724">
          <cell r="A724" t="str">
            <v>A5RSA14-1</v>
          </cell>
          <cell r="B724" t="str">
            <v>LN</v>
          </cell>
          <cell r="C724" t="str">
            <v>AQUALOCK SELLADOR DE GOTERAS ROJO</v>
          </cell>
          <cell r="D724">
            <v>24.1</v>
          </cell>
          <cell r="E724">
            <v>27.23</v>
          </cell>
          <cell r="F724">
            <v>34.42</v>
          </cell>
          <cell r="G724">
            <v>38.9</v>
          </cell>
        </row>
        <row r="725">
          <cell r="A725" t="str">
            <v>A5ASA9-1/4</v>
          </cell>
          <cell r="B725" t="str">
            <v>LN</v>
          </cell>
          <cell r="C725" t="str">
            <v>AQUALOCK SELLADOR DE GOTERAS GRIS</v>
          </cell>
          <cell r="D725">
            <v>6.75</v>
          </cell>
          <cell r="E725">
            <v>7.63</v>
          </cell>
          <cell r="F725">
            <v>9.65</v>
          </cell>
          <cell r="G725">
            <v>10.9</v>
          </cell>
        </row>
        <row r="726">
          <cell r="A726" t="str">
            <v>A5WSA12-1/4</v>
          </cell>
          <cell r="B726" t="str">
            <v>LN</v>
          </cell>
          <cell r="C726" t="str">
            <v>AQUALOCK SELLADOR DE GOTERAS BLANCO</v>
          </cell>
          <cell r="D726">
            <v>6.75</v>
          </cell>
          <cell r="E726">
            <v>7.63</v>
          </cell>
          <cell r="F726">
            <v>9.65</v>
          </cell>
          <cell r="G726">
            <v>10.9</v>
          </cell>
        </row>
        <row r="727">
          <cell r="A727" t="str">
            <v>A5RSA14-1/4</v>
          </cell>
          <cell r="B727" t="str">
            <v>LN</v>
          </cell>
          <cell r="C727" t="str">
            <v>AQUALOCK SELLADOR DE GOTERAS ROJO</v>
          </cell>
          <cell r="D727">
            <v>6.75</v>
          </cell>
          <cell r="E727">
            <v>7.63</v>
          </cell>
          <cell r="F727">
            <v>9.65</v>
          </cell>
          <cell r="G727">
            <v>10.9</v>
          </cell>
        </row>
        <row r="728">
          <cell r="A728" t="str">
            <v>A5ASA9-750ML</v>
          </cell>
          <cell r="B728" t="str">
            <v>LN</v>
          </cell>
          <cell r="C728" t="str">
            <v>AQUALOCK SELLADOR DE GOTERAS GRIS</v>
          </cell>
          <cell r="D728">
            <v>6.38</v>
          </cell>
          <cell r="E728">
            <v>7.21</v>
          </cell>
          <cell r="F728">
            <v>9.1199999999999992</v>
          </cell>
          <cell r="G728">
            <v>10.3</v>
          </cell>
        </row>
        <row r="729">
          <cell r="A729" t="str">
            <v>A5WSA12-750ML</v>
          </cell>
          <cell r="B729" t="str">
            <v>LN</v>
          </cell>
          <cell r="C729" t="str">
            <v>AQUALOCK SELLADOR DE GOTERAS BLANCO</v>
          </cell>
          <cell r="D729">
            <v>6.38</v>
          </cell>
          <cell r="E729">
            <v>7.21</v>
          </cell>
          <cell r="F729">
            <v>9.1199999999999992</v>
          </cell>
          <cell r="G729">
            <v>10.3</v>
          </cell>
        </row>
        <row r="730">
          <cell r="A730" t="str">
            <v>A5RSA14-750ML</v>
          </cell>
          <cell r="B730" t="str">
            <v>LN</v>
          </cell>
          <cell r="C730" t="str">
            <v>AQUALOCK SELLADOR DE GOTERAS ROJO</v>
          </cell>
          <cell r="D730">
            <v>6.38</v>
          </cell>
          <cell r="E730">
            <v>7.21</v>
          </cell>
          <cell r="F730">
            <v>9.1199999999999992</v>
          </cell>
          <cell r="G730">
            <v>10.3</v>
          </cell>
        </row>
        <row r="731">
          <cell r="A731" t="str">
            <v>A5WSA12-4ONZ</v>
          </cell>
          <cell r="B731" t="str">
            <v>LN</v>
          </cell>
          <cell r="C731" t="str">
            <v>AQUALOCK SELLADOR DE GOTERAS BLANCO</v>
          </cell>
          <cell r="D731">
            <v>3.04</v>
          </cell>
          <cell r="E731">
            <v>3.43</v>
          </cell>
          <cell r="F731">
            <v>4.34</v>
          </cell>
          <cell r="G731">
            <v>4.9000000000000004</v>
          </cell>
        </row>
        <row r="733">
          <cell r="C733" t="str">
            <v>SELLADOR PARA BLOQUES DE CONCRETO</v>
          </cell>
        </row>
        <row r="735">
          <cell r="A735" t="str">
            <v>B42W1-1</v>
          </cell>
          <cell r="B735" t="str">
            <v>LN</v>
          </cell>
          <cell r="C735" t="str">
            <v>BB SELLADOR BLOQUES D CONCRETO MATE BLANCO</v>
          </cell>
          <cell r="D735">
            <v>13.04</v>
          </cell>
          <cell r="E735">
            <v>14.73</v>
          </cell>
          <cell r="F735">
            <v>17.61</v>
          </cell>
          <cell r="G735">
            <v>19.899999999999999</v>
          </cell>
        </row>
        <row r="736">
          <cell r="A736" t="str">
            <v>B42W1-5</v>
          </cell>
          <cell r="B736" t="str">
            <v>LN</v>
          </cell>
          <cell r="C736" t="str">
            <v>BB SELLADOR BLOQUES D CONCRETO MATE BLANCO</v>
          </cell>
          <cell r="D736">
            <v>59.27</v>
          </cell>
          <cell r="E736">
            <v>66.97</v>
          </cell>
          <cell r="F736">
            <v>80.09</v>
          </cell>
          <cell r="G736">
            <v>90.5</v>
          </cell>
        </row>
        <row r="738">
          <cell r="C738" t="str">
            <v>SELLADOR PARA TABLA YESO INTERIOR</v>
          </cell>
        </row>
        <row r="740">
          <cell r="A740" t="str">
            <v>B45WSA1-1</v>
          </cell>
          <cell r="B740" t="str">
            <v>LN</v>
          </cell>
          <cell r="C740" t="str">
            <v>BB SELLADOR PARA TABLAYESO MATE BLANCO</v>
          </cell>
          <cell r="D740">
            <v>19.32</v>
          </cell>
          <cell r="E740">
            <v>21.83</v>
          </cell>
          <cell r="F740">
            <v>26.11</v>
          </cell>
          <cell r="G740">
            <v>29.5</v>
          </cell>
        </row>
        <row r="741">
          <cell r="A741" t="str">
            <v>B45WSA1-5</v>
          </cell>
          <cell r="B741" t="str">
            <v>LN</v>
          </cell>
          <cell r="C741" t="str">
            <v>BB SELLADOR PARA TABLAYESO MATE BLANCO</v>
          </cell>
          <cell r="D741">
            <v>89.72</v>
          </cell>
          <cell r="E741">
            <v>101.38</v>
          </cell>
          <cell r="F741">
            <v>121.24</v>
          </cell>
          <cell r="G741">
            <v>137</v>
          </cell>
        </row>
        <row r="743">
          <cell r="C743" t="str">
            <v>SELLADOR MULTIFUNCIONAL 6000 EXTERIOR / INTERIOR</v>
          </cell>
        </row>
        <row r="745">
          <cell r="A745" t="str">
            <v>B45ASA1-1</v>
          </cell>
          <cell r="B745" t="str">
            <v>LN</v>
          </cell>
          <cell r="C745" t="str">
            <v>BB SELLADOR MULTIFUNCIONAL 6000 MATE GRIS</v>
          </cell>
          <cell r="D745">
            <v>17.28</v>
          </cell>
          <cell r="E745">
            <v>19.53</v>
          </cell>
          <cell r="F745">
            <v>24.69</v>
          </cell>
          <cell r="G745">
            <v>27.9</v>
          </cell>
        </row>
        <row r="746">
          <cell r="A746" t="str">
            <v>B45WSA3-1</v>
          </cell>
          <cell r="B746" t="str">
            <v>LN</v>
          </cell>
          <cell r="C746" t="str">
            <v>BB SELLADOR MULTIFUNCIONAL 6000 MATE BLANCO</v>
          </cell>
          <cell r="D746">
            <v>17.28</v>
          </cell>
          <cell r="E746">
            <v>19.53</v>
          </cell>
          <cell r="F746">
            <v>24.69</v>
          </cell>
          <cell r="G746">
            <v>27.9</v>
          </cell>
        </row>
        <row r="748">
          <cell r="A748" t="str">
            <v>B45ASA1-5</v>
          </cell>
          <cell r="B748" t="str">
            <v>LN</v>
          </cell>
          <cell r="C748" t="str">
            <v>BB SELLADOR MULTIFUNCIONAL 6000 MATE GRIS</v>
          </cell>
          <cell r="D748">
            <v>77.430000000000007</v>
          </cell>
          <cell r="E748">
            <v>87.5</v>
          </cell>
          <cell r="F748">
            <v>110.62</v>
          </cell>
          <cell r="G748">
            <v>125</v>
          </cell>
        </row>
        <row r="749">
          <cell r="A749" t="str">
            <v>B45WSA3-5</v>
          </cell>
          <cell r="B749" t="str">
            <v>LN</v>
          </cell>
          <cell r="C749" t="str">
            <v>BB SELLADOR MULTIFUNCIONAL  6000 MATE BLANCO</v>
          </cell>
          <cell r="D749">
            <v>77.430000000000007</v>
          </cell>
          <cell r="E749">
            <v>87.5</v>
          </cell>
          <cell r="F749">
            <v>110.62</v>
          </cell>
          <cell r="G749">
            <v>125</v>
          </cell>
        </row>
        <row r="751">
          <cell r="C751" t="str">
            <v>SELLADOR MULTIFUNCIONAL 4000 EXTERIOR / INTERIOR</v>
          </cell>
        </row>
        <row r="753">
          <cell r="A753" t="str">
            <v>B24WSA2-1</v>
          </cell>
          <cell r="B753" t="str">
            <v>LN</v>
          </cell>
          <cell r="C753" t="str">
            <v>BB SELLADOR MULTIFUNCIONAL 4000 MATE BLANCO</v>
          </cell>
          <cell r="D753">
            <v>13.57</v>
          </cell>
          <cell r="E753">
            <v>15.33</v>
          </cell>
          <cell r="F753">
            <v>19.38</v>
          </cell>
          <cell r="G753">
            <v>21.9</v>
          </cell>
        </row>
        <row r="754">
          <cell r="A754" t="str">
            <v>B24WSA2-5</v>
          </cell>
          <cell r="B754" t="str">
            <v>LN</v>
          </cell>
          <cell r="C754" t="str">
            <v>BB SELLADOR MULTIFUNCIONAL 4000 MATE BLANCO</v>
          </cell>
          <cell r="D754">
            <v>58.85</v>
          </cell>
          <cell r="E754">
            <v>66.5</v>
          </cell>
          <cell r="F754">
            <v>84.07</v>
          </cell>
          <cell r="G754">
            <v>95</v>
          </cell>
        </row>
        <row r="756">
          <cell r="C756" t="str">
            <v>SELLADOR MULTIFUNCIONAL 2000 EXTERIOR / INTERIOR</v>
          </cell>
        </row>
        <row r="758">
          <cell r="A758" t="str">
            <v>B22WSA1-1</v>
          </cell>
          <cell r="B758" t="str">
            <v>LN</v>
          </cell>
          <cell r="C758" t="str">
            <v>BB SELLADOR MULTIFUNCIONAL 2000 MATE BLANCO</v>
          </cell>
          <cell r="D758">
            <v>11.73</v>
          </cell>
          <cell r="E758">
            <v>13.25</v>
          </cell>
          <cell r="F758">
            <v>15.84</v>
          </cell>
          <cell r="G758">
            <v>17.899999999999999</v>
          </cell>
        </row>
        <row r="759">
          <cell r="A759" t="str">
            <v>B22WSA1-5</v>
          </cell>
          <cell r="B759" t="str">
            <v>LN</v>
          </cell>
          <cell r="C759" t="str">
            <v>BB SELLADOR MULTIFUNCIONAL 2000 MATE BLANCO</v>
          </cell>
          <cell r="D759">
            <v>45.12</v>
          </cell>
          <cell r="E759">
            <v>50.99</v>
          </cell>
          <cell r="F759">
            <v>60.97</v>
          </cell>
          <cell r="G759">
            <v>68.900000000000006</v>
          </cell>
        </row>
        <row r="761">
          <cell r="C761" t="str">
            <v>SELLADOR CONCENTRADO MÁXIMO RENDIMIENTO</v>
          </cell>
        </row>
        <row r="763">
          <cell r="A763" t="str">
            <v>A34CSA2-1</v>
          </cell>
          <cell r="B763" t="str">
            <v>LN</v>
          </cell>
          <cell r="C763" t="str">
            <v>BB SELLADOR CONCENTRADO MR MATE TRANSPARENTE</v>
          </cell>
          <cell r="D763">
            <v>15.61</v>
          </cell>
          <cell r="E763">
            <v>17.64</v>
          </cell>
          <cell r="F763">
            <v>21.68</v>
          </cell>
          <cell r="G763">
            <v>24.5</v>
          </cell>
        </row>
        <row r="764">
          <cell r="A764" t="str">
            <v>A34CSA2-5</v>
          </cell>
          <cell r="B764" t="str">
            <v>LN</v>
          </cell>
          <cell r="C764" t="str">
            <v>BB SELLADOR CONCENTRADO MR MATE TRANSPARENTE</v>
          </cell>
          <cell r="D764">
            <v>68.81</v>
          </cell>
          <cell r="E764">
            <v>77.760000000000005</v>
          </cell>
          <cell r="F764">
            <v>95.58</v>
          </cell>
          <cell r="G764">
            <v>108</v>
          </cell>
        </row>
        <row r="766">
          <cell r="C766" t="str">
            <v>SELLADOR PARA SUPERFICIES ALCALINAS</v>
          </cell>
        </row>
        <row r="768">
          <cell r="A768" t="str">
            <v>A34WSA1-1</v>
          </cell>
          <cell r="B768" t="str">
            <v>LN</v>
          </cell>
          <cell r="C768" t="str">
            <v>BB SELLADOR P/SUPERF ALCALINAS MATE BLANCO</v>
          </cell>
          <cell r="D768">
            <v>22.88</v>
          </cell>
          <cell r="E768">
            <v>25.85</v>
          </cell>
          <cell r="F768">
            <v>31.77</v>
          </cell>
          <cell r="G768">
            <v>35.9</v>
          </cell>
        </row>
        <row r="769">
          <cell r="A769" t="str">
            <v>A34WSA1-5</v>
          </cell>
          <cell r="B769" t="str">
            <v>LN</v>
          </cell>
          <cell r="C769" t="str">
            <v>BB SELLADOR P/SUPERF ALCALINAS MATE BLANCO</v>
          </cell>
          <cell r="D769">
            <v>104.5</v>
          </cell>
          <cell r="E769">
            <v>118.08</v>
          </cell>
          <cell r="F769">
            <v>145.13</v>
          </cell>
          <cell r="G769">
            <v>164</v>
          </cell>
        </row>
        <row r="771">
          <cell r="C771" t="str">
            <v>PRIMERA MANO PARA PAREDES</v>
          </cell>
        </row>
        <row r="773">
          <cell r="A773" t="str">
            <v>B51ASA2-1</v>
          </cell>
          <cell r="B773" t="str">
            <v>LN</v>
          </cell>
          <cell r="C773" t="str">
            <v>PRIMERA MANO PARA PAREDES MATE COLOR GRIS</v>
          </cell>
          <cell r="D773">
            <v>9.82</v>
          </cell>
          <cell r="E773">
            <v>11.1</v>
          </cell>
          <cell r="F773">
            <v>13.27</v>
          </cell>
          <cell r="G773">
            <v>15</v>
          </cell>
        </row>
        <row r="774">
          <cell r="A774" t="str">
            <v>B51ASA2-5</v>
          </cell>
          <cell r="B774" t="str">
            <v>LN</v>
          </cell>
          <cell r="C774" t="str">
            <v>PRIMERA MANO PARA PAREDES MATE COLOR GRIS</v>
          </cell>
          <cell r="D774">
            <v>43.88</v>
          </cell>
          <cell r="E774">
            <v>49.58</v>
          </cell>
          <cell r="F774">
            <v>59.29</v>
          </cell>
          <cell r="G774">
            <v>67</v>
          </cell>
        </row>
        <row r="776">
          <cell r="C776" t="str">
            <v>ACONDICIONADOR DE SUPERFICIES BASE AGUA</v>
          </cell>
        </row>
        <row r="777">
          <cell r="A777" t="str">
            <v>A34CSA1-BOT</v>
          </cell>
          <cell r="B777" t="str">
            <v>LN</v>
          </cell>
          <cell r="C777" t="str">
            <v>BS ACOND SUPERF BASE AGUA MATE TRANSPARENTE</v>
          </cell>
          <cell r="D777">
            <v>4.8899999999999997</v>
          </cell>
          <cell r="E777">
            <v>5.53</v>
          </cell>
          <cell r="F777">
            <v>6.99</v>
          </cell>
          <cell r="G777">
            <v>7.9</v>
          </cell>
        </row>
        <row r="778">
          <cell r="A778" t="str">
            <v>A34CSA1-1</v>
          </cell>
          <cell r="B778" t="str">
            <v>LN</v>
          </cell>
          <cell r="C778" t="str">
            <v>BS ACOND SUPERF BASE AGUA MATE TRANSPARENTE</v>
          </cell>
          <cell r="D778">
            <v>18.89</v>
          </cell>
          <cell r="E778">
            <v>21.35</v>
          </cell>
          <cell r="F778">
            <v>26.99</v>
          </cell>
          <cell r="G778">
            <v>30.5</v>
          </cell>
        </row>
        <row r="779">
          <cell r="A779" t="str">
            <v>A34CSA1-5</v>
          </cell>
          <cell r="B779" t="str">
            <v>LN</v>
          </cell>
          <cell r="C779" t="str">
            <v>BS ACOND SUPERF BASE AGUA MATE TRANSPARENTE</v>
          </cell>
          <cell r="D779">
            <v>88.58</v>
          </cell>
          <cell r="E779">
            <v>100.1</v>
          </cell>
          <cell r="F779">
            <v>126.55</v>
          </cell>
          <cell r="G779">
            <v>143</v>
          </cell>
        </row>
        <row r="781">
          <cell r="C781" t="str">
            <v>REMOVEDOR / INHIBIDOR DE HONGOS 2 EN 1</v>
          </cell>
        </row>
        <row r="783">
          <cell r="A783" t="str">
            <v>S45CSA1-BOT</v>
          </cell>
          <cell r="B783" t="str">
            <v>LN</v>
          </cell>
          <cell r="C783" t="str">
            <v>BS REMOVEDOR INHIBIDOR DE HONGOS MATE TRANSPARENTE</v>
          </cell>
          <cell r="D783">
            <v>3.28</v>
          </cell>
          <cell r="E783">
            <v>3.71</v>
          </cell>
          <cell r="F783">
            <v>4.6900000000000004</v>
          </cell>
          <cell r="G783">
            <v>5.3</v>
          </cell>
        </row>
        <row r="784">
          <cell r="A784" t="str">
            <v>S45CSA1-1</v>
          </cell>
          <cell r="B784" t="str">
            <v>LN</v>
          </cell>
          <cell r="C784" t="str">
            <v>BS REMOVEDOR INHIBIDOR DE HONGOS MATE TRANSPARENTE</v>
          </cell>
          <cell r="D784">
            <v>11.09</v>
          </cell>
          <cell r="E784">
            <v>12.53</v>
          </cell>
          <cell r="F784">
            <v>15.84</v>
          </cell>
          <cell r="G784">
            <v>17.899999999999999</v>
          </cell>
        </row>
        <row r="785">
          <cell r="A785" t="str">
            <v>S45CSA1-5</v>
          </cell>
          <cell r="B785" t="str">
            <v>LN</v>
          </cell>
          <cell r="C785" t="str">
            <v>BS REMOVEDOR INHIBIDOR DE HONGOS MATE TRANSPARENTE</v>
          </cell>
          <cell r="D785">
            <v>51.97</v>
          </cell>
          <cell r="E785">
            <v>58.73</v>
          </cell>
          <cell r="F785">
            <v>74.25</v>
          </cell>
          <cell r="G785">
            <v>83.9</v>
          </cell>
        </row>
        <row r="787">
          <cell r="C787" t="str">
            <v>MASILLA RELLENADORA PARA GRIETAS EXTERIOR</v>
          </cell>
        </row>
        <row r="789">
          <cell r="A789" t="str">
            <v>N81WP1-4ONZ</v>
          </cell>
          <cell r="B789" t="str">
            <v>LN</v>
          </cell>
          <cell r="C789" t="str">
            <v>BS MASILLA P/ GRIETAS EXTERIOR/INTERIOR MATE BLANCO</v>
          </cell>
          <cell r="D789">
            <v>2.04</v>
          </cell>
          <cell r="E789">
            <v>2.31</v>
          </cell>
          <cell r="F789">
            <v>2.92</v>
          </cell>
          <cell r="G789">
            <v>3.3000000000000003</v>
          </cell>
        </row>
        <row r="790">
          <cell r="A790" t="str">
            <v>N81WP1-7ONZ</v>
          </cell>
          <cell r="B790" t="str">
            <v>LN</v>
          </cell>
          <cell r="C790" t="str">
            <v>BS MASILLA P/ GRIETAS EXTERIOR/INTERIOR MATE BLANCO</v>
          </cell>
          <cell r="D790">
            <v>2.17</v>
          </cell>
          <cell r="E790">
            <v>2.4500000000000002</v>
          </cell>
          <cell r="F790">
            <v>3.1</v>
          </cell>
          <cell r="G790">
            <v>3.5</v>
          </cell>
        </row>
        <row r="791">
          <cell r="A791" t="str">
            <v>N81WP1-28ONZ</v>
          </cell>
          <cell r="B791" t="str">
            <v>LN</v>
          </cell>
          <cell r="C791" t="str">
            <v>BS MASILLA P/ GRIETAS EXTERIOR/INTERIOR MATE BLANCO</v>
          </cell>
          <cell r="D791">
            <v>4.8899999999999997</v>
          </cell>
          <cell r="E791">
            <v>5.53</v>
          </cell>
          <cell r="F791">
            <v>6.99</v>
          </cell>
          <cell r="G791">
            <v>7.9</v>
          </cell>
        </row>
        <row r="792">
          <cell r="A792" t="str">
            <v>N81WP1-1</v>
          </cell>
          <cell r="B792" t="str">
            <v>LN</v>
          </cell>
          <cell r="C792" t="str">
            <v>BS MASILLA P/ GRIETAS EXTERIOR/INTERIOR MATE BLANCO</v>
          </cell>
          <cell r="D792">
            <v>15.42</v>
          </cell>
          <cell r="E792">
            <v>17.43</v>
          </cell>
          <cell r="F792">
            <v>22.04</v>
          </cell>
          <cell r="G792">
            <v>24.9</v>
          </cell>
        </row>
        <row r="794">
          <cell r="C794" t="str">
            <v>APAREJO Y BLOQUEADOR DE MANCHAS</v>
          </cell>
        </row>
        <row r="796">
          <cell r="A796" t="str">
            <v>B23WSA1-1</v>
          </cell>
          <cell r="B796" t="str">
            <v>LN</v>
          </cell>
          <cell r="C796" t="str">
            <v>BS APAREJO/ BLOQUEADOR MANCHAS MATE BLANCO</v>
          </cell>
          <cell r="D796">
            <v>27.81</v>
          </cell>
          <cell r="E796">
            <v>31.43</v>
          </cell>
          <cell r="F796">
            <v>39.729999999999997</v>
          </cell>
          <cell r="G796">
            <v>44.9</v>
          </cell>
        </row>
        <row r="797">
          <cell r="A797" t="str">
            <v>B23WSA1-1/4</v>
          </cell>
          <cell r="B797" t="str">
            <v>LN</v>
          </cell>
          <cell r="C797" t="str">
            <v>BS APAREJO/ BLOQUEADOR MANCHAS MATE BLANCO</v>
          </cell>
          <cell r="D797">
            <v>8.36</v>
          </cell>
          <cell r="E797">
            <v>9.4499999999999993</v>
          </cell>
          <cell r="F797">
            <v>11.95</v>
          </cell>
          <cell r="G797">
            <v>13.5</v>
          </cell>
        </row>
        <row r="798">
          <cell r="A798" t="str">
            <v>B23ASA1-1</v>
          </cell>
          <cell r="B798" t="str">
            <v>LN</v>
          </cell>
          <cell r="C798" t="str">
            <v>BS APAREJO/ BLOQUEADOR MANCHAS MATE GRIS</v>
          </cell>
          <cell r="D798">
            <v>27.81</v>
          </cell>
          <cell r="E798">
            <v>31.43</v>
          </cell>
          <cell r="F798">
            <v>39.729999999999997</v>
          </cell>
          <cell r="G798">
            <v>44.9</v>
          </cell>
        </row>
        <row r="800">
          <cell r="C800" t="str">
            <v>REFLEX</v>
          </cell>
        </row>
        <row r="802">
          <cell r="A802" t="str">
            <v>A44WRF1-5</v>
          </cell>
          <cell r="B802" t="str">
            <v>LN</v>
          </cell>
          <cell r="C802" t="str">
            <v xml:space="preserve">TEXTURA ACRÍLICA FINA WHITE </v>
          </cell>
          <cell r="D802">
            <v>36.89</v>
          </cell>
          <cell r="E802">
            <v>41.69</v>
          </cell>
          <cell r="F802">
            <v>51.24</v>
          </cell>
          <cell r="G802">
            <v>57.9</v>
          </cell>
        </row>
        <row r="804">
          <cell r="C804" t="str">
            <v>SELLADORES Y SILICONES NUEVOS</v>
          </cell>
        </row>
        <row r="806">
          <cell r="A806" t="str">
            <v>SP8GRY-600ML</v>
          </cell>
          <cell r="B806" t="str">
            <v>IMPORTADO</v>
          </cell>
          <cell r="C806" t="str">
            <v>SELLADOR POLIURETANO 8000 GRIS</v>
          </cell>
          <cell r="D806">
            <v>8.86</v>
          </cell>
          <cell r="E806">
            <v>10.01</v>
          </cell>
          <cell r="F806">
            <v>12.3</v>
          </cell>
          <cell r="G806">
            <v>13.9</v>
          </cell>
        </row>
        <row r="807">
          <cell r="A807" t="str">
            <v>SP8WSA-600ML</v>
          </cell>
          <cell r="B807" t="str">
            <v>IMPORTADO</v>
          </cell>
          <cell r="C807" t="str">
            <v>SELLADOR POLIURETANO 8000 BLANCO</v>
          </cell>
          <cell r="D807">
            <v>8.86</v>
          </cell>
          <cell r="E807">
            <v>10.01</v>
          </cell>
          <cell r="F807">
            <v>12.3</v>
          </cell>
          <cell r="G807">
            <v>13.9</v>
          </cell>
        </row>
        <row r="808">
          <cell r="A808" t="str">
            <v>SH2GRY-300ML</v>
          </cell>
          <cell r="B808" t="str">
            <v>IMPORTADO</v>
          </cell>
          <cell r="C808" t="str">
            <v>SELLADOR H20 GRIS</v>
          </cell>
          <cell r="D808">
            <v>7.74</v>
          </cell>
          <cell r="E808">
            <v>8.75</v>
          </cell>
          <cell r="F808">
            <v>11.06</v>
          </cell>
          <cell r="G808">
            <v>12.5</v>
          </cell>
        </row>
        <row r="809">
          <cell r="A809" t="str">
            <v>SH2WSA-300ML</v>
          </cell>
          <cell r="B809" t="str">
            <v>IMPORTADO</v>
          </cell>
          <cell r="C809" t="str">
            <v>SELLADOR H20 BLANCO</v>
          </cell>
          <cell r="D809">
            <v>7.74</v>
          </cell>
          <cell r="E809">
            <v>8.75</v>
          </cell>
          <cell r="F809">
            <v>11.06</v>
          </cell>
          <cell r="G809">
            <v>12.5</v>
          </cell>
        </row>
        <row r="810">
          <cell r="A810" t="str">
            <v>SP8GRY-300ML</v>
          </cell>
          <cell r="B810" t="str">
            <v>IMPORTADO</v>
          </cell>
          <cell r="C810" t="str">
            <v>SELLADOR POLIURETANO 8000 GRIS</v>
          </cell>
          <cell r="D810">
            <v>5.04</v>
          </cell>
          <cell r="E810">
            <v>5.69</v>
          </cell>
          <cell r="F810">
            <v>6.99</v>
          </cell>
          <cell r="G810">
            <v>7.9</v>
          </cell>
        </row>
        <row r="811">
          <cell r="A811" t="str">
            <v>SP8WSA-300ML</v>
          </cell>
          <cell r="B811" t="str">
            <v>IMPORTADO</v>
          </cell>
          <cell r="C811" t="str">
            <v>SELLADOR POLIURETANO 8000 BLANCO</v>
          </cell>
          <cell r="D811">
            <v>5.04</v>
          </cell>
          <cell r="E811">
            <v>5.69</v>
          </cell>
          <cell r="F811">
            <v>6.99</v>
          </cell>
          <cell r="G811">
            <v>7.9</v>
          </cell>
        </row>
        <row r="812">
          <cell r="A812" t="str">
            <v>BC1WSA-280ML</v>
          </cell>
          <cell r="B812" t="str">
            <v>IMPORTADO</v>
          </cell>
          <cell r="C812" t="str">
            <v>SILICON COCINA Y BAÑOS BLANCO</v>
          </cell>
          <cell r="D812">
            <v>4.6500000000000004</v>
          </cell>
          <cell r="E812">
            <v>5.25</v>
          </cell>
          <cell r="F812">
            <v>6.64</v>
          </cell>
          <cell r="G812">
            <v>7.5</v>
          </cell>
        </row>
        <row r="813">
          <cell r="A813" t="str">
            <v>BC1CLR-280ML</v>
          </cell>
          <cell r="B813" t="str">
            <v>IMPORTADO</v>
          </cell>
          <cell r="C813" t="str">
            <v>SILICON COCINA Y BAÑOS TRANSPARENTE</v>
          </cell>
          <cell r="D813">
            <v>4.6500000000000004</v>
          </cell>
          <cell r="E813">
            <v>5.25</v>
          </cell>
          <cell r="F813">
            <v>6.64</v>
          </cell>
          <cell r="G813">
            <v>7.5</v>
          </cell>
        </row>
        <row r="814">
          <cell r="A814" t="str">
            <v>SS6CLR-280ML</v>
          </cell>
          <cell r="B814" t="str">
            <v>IMPORTADO</v>
          </cell>
          <cell r="C814" t="str">
            <v>SELLADOR DE SILICON 6000 TRANSPARENTE</v>
          </cell>
          <cell r="D814">
            <v>4.5199999999999996</v>
          </cell>
          <cell r="E814">
            <v>5.1100000000000003</v>
          </cell>
          <cell r="F814">
            <v>6.46</v>
          </cell>
          <cell r="G814">
            <v>7.3</v>
          </cell>
        </row>
        <row r="815">
          <cell r="A815" t="str">
            <v>SS6WSA-280ML</v>
          </cell>
          <cell r="B815" t="str">
            <v>IMPORTADO</v>
          </cell>
          <cell r="C815" t="str">
            <v>SELLADOR DE SILICON 6000 BLANCO</v>
          </cell>
          <cell r="D815">
            <v>4.5199999999999996</v>
          </cell>
          <cell r="E815">
            <v>5.1100000000000003</v>
          </cell>
          <cell r="F815">
            <v>6.46</v>
          </cell>
          <cell r="G815">
            <v>7.3</v>
          </cell>
        </row>
        <row r="816">
          <cell r="A816" t="str">
            <v>SS6BLK-280ML</v>
          </cell>
          <cell r="B816" t="str">
            <v>IMPORTADO</v>
          </cell>
          <cell r="C816" t="str">
            <v>SELLADOR DE SILICON 6000 NEGRO</v>
          </cell>
          <cell r="D816">
            <v>4.5199999999999996</v>
          </cell>
          <cell r="E816">
            <v>5.1100000000000003</v>
          </cell>
          <cell r="F816">
            <v>6.46</v>
          </cell>
          <cell r="G816">
            <v>7.3</v>
          </cell>
        </row>
        <row r="817">
          <cell r="A817" t="str">
            <v>SS4CLR-280ML</v>
          </cell>
          <cell r="B817" t="str">
            <v>IMPORTADO</v>
          </cell>
          <cell r="C817" t="str">
            <v>SELLADOR DE SILICON 4000 TRANSPARENTE</v>
          </cell>
          <cell r="D817">
            <v>3.9</v>
          </cell>
          <cell r="E817">
            <v>4.41</v>
          </cell>
          <cell r="F817">
            <v>5.58</v>
          </cell>
          <cell r="G817">
            <v>6.3</v>
          </cell>
        </row>
        <row r="818">
          <cell r="A818" t="str">
            <v>SS4WSA-280ML</v>
          </cell>
          <cell r="B818" t="str">
            <v>IMPORTADO</v>
          </cell>
          <cell r="C818" t="str">
            <v>SELLADOR DE SILICON 4000 BLANCO</v>
          </cell>
          <cell r="D818">
            <v>3.9</v>
          </cell>
          <cell r="E818">
            <v>4.41</v>
          </cell>
          <cell r="F818">
            <v>5.58</v>
          </cell>
          <cell r="G818">
            <v>6.3</v>
          </cell>
        </row>
        <row r="819">
          <cell r="A819" t="str">
            <v>SA6BLK-300ML</v>
          </cell>
          <cell r="B819" t="str">
            <v>IMPORTADO</v>
          </cell>
          <cell r="C819" t="str">
            <v>SELLADOR ACRÍLICO 6000 NEGRO</v>
          </cell>
          <cell r="D819">
            <v>4.03</v>
          </cell>
          <cell r="E819">
            <v>4.55</v>
          </cell>
          <cell r="F819">
            <v>5.75</v>
          </cell>
          <cell r="G819">
            <v>6.5</v>
          </cell>
        </row>
        <row r="820">
          <cell r="A820" t="str">
            <v>SA6WSA-300ML</v>
          </cell>
          <cell r="B820" t="str">
            <v>IMPORTADO</v>
          </cell>
          <cell r="C820" t="str">
            <v>SELLADOR ACRÍLICO 6000 BLANCO</v>
          </cell>
          <cell r="D820">
            <v>4.03</v>
          </cell>
          <cell r="E820">
            <v>4.55</v>
          </cell>
          <cell r="F820">
            <v>5.75</v>
          </cell>
          <cell r="G820">
            <v>6.5</v>
          </cell>
        </row>
        <row r="821">
          <cell r="A821" t="str">
            <v>SA4CLR-300ML</v>
          </cell>
          <cell r="B821" t="str">
            <v>IMPORTADO</v>
          </cell>
          <cell r="C821" t="str">
            <v>SELLADOR ACRÍLICO 4000 NEGRO</v>
          </cell>
          <cell r="D821">
            <v>3.04</v>
          </cell>
          <cell r="E821">
            <v>3.43</v>
          </cell>
          <cell r="F821">
            <v>4.34</v>
          </cell>
          <cell r="G821">
            <v>4.9000000000000004</v>
          </cell>
        </row>
        <row r="822">
          <cell r="A822" t="str">
            <v>SA4WSA-300ML</v>
          </cell>
          <cell r="B822" t="str">
            <v>IMPORTADO</v>
          </cell>
          <cell r="C822" t="str">
            <v>SELLADOR ACRÍLICO 4000 BLANCO</v>
          </cell>
          <cell r="D822">
            <v>3.04</v>
          </cell>
          <cell r="E822">
            <v>3.43</v>
          </cell>
          <cell r="F822">
            <v>4.34</v>
          </cell>
          <cell r="G822">
            <v>4.9000000000000004</v>
          </cell>
        </row>
        <row r="823">
          <cell r="A823" t="str">
            <v>SA2WSA-300ML</v>
          </cell>
          <cell r="B823" t="str">
            <v>IMPORTADO</v>
          </cell>
          <cell r="C823" t="str">
            <v>SELLADOR ACRÍLICO 2000 BLANCO</v>
          </cell>
          <cell r="D823">
            <v>2.04</v>
          </cell>
          <cell r="E823">
            <v>2.31</v>
          </cell>
          <cell r="F823">
            <v>2.92</v>
          </cell>
          <cell r="G823">
            <v>3.3</v>
          </cell>
        </row>
      </sheetData>
      <sheetData sheetId="1"/>
      <sheetData sheetId="2">
        <row r="6">
          <cell r="A6" t="str">
            <v>B69G31-1</v>
          </cell>
          <cell r="B6" t="str">
            <v>LN</v>
          </cell>
          <cell r="C6" t="str">
            <v>ANTICORROSIVO EPOXICO KEM CATI COAT BRILLANTE VERDE PARTE A</v>
          </cell>
          <cell r="D6">
            <v>53.58</v>
          </cell>
          <cell r="E6">
            <v>60.55</v>
          </cell>
          <cell r="F6">
            <v>76.55</v>
          </cell>
          <cell r="G6">
            <v>86.5</v>
          </cell>
        </row>
        <row r="7">
          <cell r="A7" t="str">
            <v>B69ASA21-1</v>
          </cell>
          <cell r="B7" t="str">
            <v>LN</v>
          </cell>
          <cell r="C7" t="str">
            <v>ANTICORROSIVO EPOXICO KEM CATI COAT BRILLANTE GRIS PARTE A</v>
          </cell>
          <cell r="D7">
            <v>53.58</v>
          </cell>
          <cell r="E7">
            <v>60.55</v>
          </cell>
          <cell r="F7">
            <v>76.55</v>
          </cell>
          <cell r="G7">
            <v>86.5</v>
          </cell>
        </row>
        <row r="8">
          <cell r="A8" t="str">
            <v>B69RSA7-1</v>
          </cell>
          <cell r="B8" t="str">
            <v>PE</v>
          </cell>
          <cell r="C8" t="str">
            <v>ANTICORROSIVO EPOXICO KEM CATI COAT BRILLANTE ROJO PARTE A</v>
          </cell>
          <cell r="D8">
            <v>53.58</v>
          </cell>
          <cell r="E8">
            <v>60.55</v>
          </cell>
          <cell r="F8">
            <v>76.55</v>
          </cell>
          <cell r="G8">
            <v>86.5</v>
          </cell>
        </row>
        <row r="9">
          <cell r="A9" t="str">
            <v>B69ASA23-1</v>
          </cell>
          <cell r="B9" t="str">
            <v>LN</v>
          </cell>
          <cell r="C9" t="str">
            <v xml:space="preserve">ANTICORROSIVO EPOXICO KEM CATI COAT BRILLANTE GRIS CLARO </v>
          </cell>
          <cell r="D9">
            <v>53.58</v>
          </cell>
          <cell r="E9">
            <v>60.55</v>
          </cell>
          <cell r="F9">
            <v>76.55</v>
          </cell>
          <cell r="G9">
            <v>86.5</v>
          </cell>
        </row>
        <row r="11">
          <cell r="B11" t="str">
            <v xml:space="preserve"> </v>
          </cell>
          <cell r="C11" t="str">
            <v>CATALIZADORES PARA ESMALTE EPÓXICO KEM CATI COAT</v>
          </cell>
        </row>
        <row r="12">
          <cell r="A12" t="str">
            <v>V66V19-1</v>
          </cell>
          <cell r="B12" t="str">
            <v>LN</v>
          </cell>
          <cell r="C12" t="str">
            <v>ESM IND EPOXICO KEM CATI COAT CATALIZADOR PARTE B</v>
          </cell>
          <cell r="D12">
            <v>33.76</v>
          </cell>
          <cell r="E12">
            <v>38.15</v>
          </cell>
          <cell r="F12">
            <v>48.23</v>
          </cell>
          <cell r="G12">
            <v>54.5</v>
          </cell>
        </row>
        <row r="13">
          <cell r="A13" t="str">
            <v>V66V20-1</v>
          </cell>
          <cell r="B13" t="str">
            <v>LN</v>
          </cell>
          <cell r="C13" t="str">
            <v>ESM IND EPOXICO KEM CATI COAT FAST CURE CATALIZADOR PARTE B</v>
          </cell>
          <cell r="D13">
            <v>33.76</v>
          </cell>
          <cell r="E13">
            <v>38.15</v>
          </cell>
          <cell r="F13">
            <v>48.23</v>
          </cell>
          <cell r="G13">
            <v>54.5</v>
          </cell>
        </row>
        <row r="15">
          <cell r="B15" t="str">
            <v xml:space="preserve"> </v>
          </cell>
          <cell r="C15" t="str">
            <v xml:space="preserve"> ANTICORROSIVO - KROMIK UNIVERSAL METAL PRIMER</v>
          </cell>
        </row>
        <row r="16">
          <cell r="B16" t="str">
            <v xml:space="preserve"> </v>
          </cell>
          <cell r="C16" t="str">
            <v>USO INTERIOR - EXTERIOR</v>
          </cell>
        </row>
        <row r="17">
          <cell r="A17" t="str">
            <v>B50ASA1-1</v>
          </cell>
          <cell r="B17" t="str">
            <v>LN</v>
          </cell>
          <cell r="C17" t="str">
            <v>KEM ANTICORROSIVO UNIVERSAL HS ALQ MATE GRIS</v>
          </cell>
          <cell r="D17">
            <v>33.14</v>
          </cell>
          <cell r="E17">
            <v>37.450000000000003</v>
          </cell>
          <cell r="F17">
            <v>47.35</v>
          </cell>
          <cell r="G17">
            <v>53.5</v>
          </cell>
        </row>
        <row r="18">
          <cell r="A18" t="str">
            <v>B50NSA1-1</v>
          </cell>
          <cell r="B18" t="str">
            <v>LN</v>
          </cell>
          <cell r="C18" t="str">
            <v>KEM ANTICORROSIVO UNIVERSAL HS ALQ MATE ROJO OXIDO</v>
          </cell>
          <cell r="D18">
            <v>33.14</v>
          </cell>
          <cell r="E18">
            <v>37.450000000000003</v>
          </cell>
          <cell r="F18">
            <v>47.35</v>
          </cell>
          <cell r="G18">
            <v>53.5</v>
          </cell>
        </row>
        <row r="19">
          <cell r="A19" t="str">
            <v>B50WSA4-1</v>
          </cell>
          <cell r="B19" t="str">
            <v>PE</v>
          </cell>
          <cell r="C19" t="str">
            <v>KEM ANTICORROSIVO UNIVERSAL HS ALQ MATE BLANCO</v>
          </cell>
          <cell r="D19">
            <v>33.14</v>
          </cell>
          <cell r="E19">
            <v>37.450000000000003</v>
          </cell>
          <cell r="F19">
            <v>47.35</v>
          </cell>
          <cell r="G19">
            <v>53.5</v>
          </cell>
        </row>
        <row r="20">
          <cell r="B20" t="str">
            <v xml:space="preserve"> </v>
          </cell>
        </row>
        <row r="21">
          <cell r="A21" t="str">
            <v>B50ASA1-5</v>
          </cell>
          <cell r="B21" t="str">
            <v>PE</v>
          </cell>
          <cell r="C21" t="str">
            <v>KEM ANTICORROSIVO UNIVERSAL HS ALQ MATE GRIS</v>
          </cell>
          <cell r="D21">
            <v>160.44</v>
          </cell>
          <cell r="E21">
            <v>181.3</v>
          </cell>
          <cell r="F21">
            <v>229.2</v>
          </cell>
          <cell r="G21">
            <v>259</v>
          </cell>
        </row>
        <row r="22">
          <cell r="A22" t="str">
            <v>B50NSA1-5</v>
          </cell>
          <cell r="B22" t="str">
            <v>PE</v>
          </cell>
          <cell r="C22" t="str">
            <v>KEM ANTICORROSIVO UNIVERSAL HS ALQ MATE ROJO OXIDO</v>
          </cell>
          <cell r="D22">
            <v>160.44</v>
          </cell>
          <cell r="E22">
            <v>181.3</v>
          </cell>
          <cell r="F22">
            <v>229.2</v>
          </cell>
          <cell r="G22">
            <v>259</v>
          </cell>
        </row>
        <row r="23">
          <cell r="A23" t="str">
            <v>B50WSA4-5</v>
          </cell>
          <cell r="B23" t="str">
            <v>PE</v>
          </cell>
          <cell r="C23" t="str">
            <v>KEM ANTICORROSIVO UNIVERSAL HS ALQ MATE BLANCO</v>
          </cell>
          <cell r="D23">
            <v>160.44</v>
          </cell>
          <cell r="E23">
            <v>181.3</v>
          </cell>
          <cell r="F23">
            <v>229.2</v>
          </cell>
          <cell r="G23">
            <v>259</v>
          </cell>
        </row>
        <row r="24">
          <cell r="B24" t="str">
            <v xml:space="preserve"> </v>
          </cell>
        </row>
        <row r="25">
          <cell r="B25" t="str">
            <v xml:space="preserve"> </v>
          </cell>
          <cell r="C25" t="str">
            <v xml:space="preserve"> ANTICORROSIVO FASTER DRY HS</v>
          </cell>
        </row>
        <row r="26">
          <cell r="A26" t="str">
            <v>Y24BSA1-1/4</v>
          </cell>
          <cell r="B26" t="str">
            <v>LN</v>
          </cell>
          <cell r="C26" t="str">
            <v>KEM ANTICOR ULTRA FAST DRY HS MATE NEGRO</v>
          </cell>
          <cell r="D26">
            <v>7.53</v>
          </cell>
          <cell r="E26">
            <v>8.51</v>
          </cell>
          <cell r="F26">
            <v>10.18</v>
          </cell>
          <cell r="G26">
            <v>11.5</v>
          </cell>
        </row>
        <row r="27">
          <cell r="A27" t="str">
            <v>Y24RSA1-1/4</v>
          </cell>
          <cell r="B27" t="str">
            <v>LN</v>
          </cell>
          <cell r="C27" t="str">
            <v>KEM ANTICOR ULTRA FAST DRY HS MATE ROJO</v>
          </cell>
          <cell r="D27">
            <v>7.53</v>
          </cell>
          <cell r="E27">
            <v>8.51</v>
          </cell>
          <cell r="F27">
            <v>10.18</v>
          </cell>
          <cell r="G27">
            <v>11.5</v>
          </cell>
        </row>
        <row r="28">
          <cell r="A28" t="str">
            <v>Y24ASA1-1/4</v>
          </cell>
          <cell r="B28" t="str">
            <v>LN</v>
          </cell>
          <cell r="C28" t="str">
            <v>KEM ANTICOR ULTRA FAST DRY HS MATE GRIS</v>
          </cell>
          <cell r="D28">
            <v>7.53</v>
          </cell>
          <cell r="E28">
            <v>8.51</v>
          </cell>
          <cell r="F28">
            <v>10.18</v>
          </cell>
          <cell r="G28">
            <v>11.5</v>
          </cell>
        </row>
        <row r="29">
          <cell r="A29" t="str">
            <v>Y24WSA1-1/4</v>
          </cell>
          <cell r="B29" t="str">
            <v>LN</v>
          </cell>
          <cell r="C29" t="str">
            <v>KEM ANTICOR ULTRA FAST DRY HS MATE BLANCO</v>
          </cell>
          <cell r="D29">
            <v>7.53</v>
          </cell>
          <cell r="E29">
            <v>8.51</v>
          </cell>
          <cell r="F29">
            <v>10.18</v>
          </cell>
          <cell r="G29">
            <v>11.5</v>
          </cell>
        </row>
        <row r="31">
          <cell r="A31" t="str">
            <v>Y24ASA1-1</v>
          </cell>
          <cell r="B31" t="str">
            <v>LN</v>
          </cell>
          <cell r="C31" t="str">
            <v>KEM ANTICOR ULTRA FAST DRY HS MATE GRIS</v>
          </cell>
          <cell r="D31">
            <v>24.23</v>
          </cell>
          <cell r="E31">
            <v>27.38</v>
          </cell>
          <cell r="F31">
            <v>32.74</v>
          </cell>
          <cell r="G31">
            <v>37</v>
          </cell>
        </row>
        <row r="32">
          <cell r="A32" t="str">
            <v>Y24BSA1-1</v>
          </cell>
          <cell r="B32" t="str">
            <v>LN</v>
          </cell>
          <cell r="C32" t="str">
            <v>KEM ANTICOR ULTRA FAST DRY HS MATE NEGRO</v>
          </cell>
          <cell r="D32">
            <v>24.23</v>
          </cell>
          <cell r="E32">
            <v>27.38</v>
          </cell>
          <cell r="F32">
            <v>32.74</v>
          </cell>
          <cell r="G32">
            <v>37</v>
          </cell>
        </row>
        <row r="33">
          <cell r="A33" t="str">
            <v>Y24GSA1-1</v>
          </cell>
          <cell r="B33" t="str">
            <v>LN</v>
          </cell>
          <cell r="C33" t="str">
            <v>KEM ANTICOR ULTRA FAST DRY HS MATE VERDE</v>
          </cell>
          <cell r="D33">
            <v>24.23</v>
          </cell>
          <cell r="E33">
            <v>27.38</v>
          </cell>
          <cell r="F33">
            <v>32.74</v>
          </cell>
          <cell r="G33">
            <v>37</v>
          </cell>
        </row>
        <row r="34">
          <cell r="A34" t="str">
            <v>Y24RSA1-1</v>
          </cell>
          <cell r="B34" t="str">
            <v>LN</v>
          </cell>
          <cell r="C34" t="str">
            <v>KEM ANTICOR ULTRA FAST DRY HS MATE ROJO</v>
          </cell>
          <cell r="D34">
            <v>24.23</v>
          </cell>
          <cell r="E34">
            <v>27.38</v>
          </cell>
          <cell r="F34">
            <v>32.74</v>
          </cell>
          <cell r="G34">
            <v>37</v>
          </cell>
        </row>
        <row r="35">
          <cell r="A35" t="str">
            <v>Y24WSA1-1</v>
          </cell>
          <cell r="B35" t="str">
            <v>LN</v>
          </cell>
          <cell r="C35" t="str">
            <v>KEM ANTICOR ULTRA FAST DRY HS MATE BLANCO</v>
          </cell>
          <cell r="D35">
            <v>24.23</v>
          </cell>
          <cell r="E35">
            <v>27.38</v>
          </cell>
          <cell r="F35">
            <v>32.74</v>
          </cell>
          <cell r="G35">
            <v>37</v>
          </cell>
        </row>
        <row r="36">
          <cell r="B36" t="str">
            <v xml:space="preserve"> </v>
          </cell>
        </row>
        <row r="37">
          <cell r="A37" t="str">
            <v>Y24ASA1-5</v>
          </cell>
          <cell r="B37" t="str">
            <v>LN</v>
          </cell>
          <cell r="C37" t="str">
            <v>KEM ANTICOR ULTRA FAST DRY HS MATE GRIS</v>
          </cell>
          <cell r="D37">
            <v>108.05</v>
          </cell>
          <cell r="E37">
            <v>122.1</v>
          </cell>
          <cell r="F37">
            <v>146.02000000000001</v>
          </cell>
          <cell r="G37">
            <v>165</v>
          </cell>
        </row>
        <row r="38">
          <cell r="A38" t="str">
            <v>Y24RSA1-5</v>
          </cell>
          <cell r="B38" t="str">
            <v>PE</v>
          </cell>
          <cell r="C38" t="str">
            <v>KEM ANTICOR ULTRA FAST DRY HS MATE ROJO</v>
          </cell>
          <cell r="D38">
            <v>108.05</v>
          </cell>
          <cell r="E38">
            <v>122.1</v>
          </cell>
          <cell r="F38">
            <v>146.02000000000001</v>
          </cell>
          <cell r="G38">
            <v>165</v>
          </cell>
        </row>
        <row r="39">
          <cell r="A39" t="str">
            <v>Y24GSA1-5</v>
          </cell>
          <cell r="B39" t="str">
            <v>PE</v>
          </cell>
          <cell r="C39" t="str">
            <v>KEM ANTICOR ULTRA FAST DRY HS MATE VERDE</v>
          </cell>
          <cell r="D39">
            <v>108.05</v>
          </cell>
          <cell r="E39">
            <v>122.1</v>
          </cell>
          <cell r="F39">
            <v>146.02000000000001</v>
          </cell>
          <cell r="G39">
            <v>165</v>
          </cell>
        </row>
        <row r="40">
          <cell r="A40" t="str">
            <v>Y24WSA1-5</v>
          </cell>
          <cell r="B40" t="str">
            <v>LN</v>
          </cell>
          <cell r="C40" t="str">
            <v>KEM ANTICOR ULTRA FAST DRY HS MATE BLANCO</v>
          </cell>
          <cell r="D40">
            <v>108.05</v>
          </cell>
          <cell r="E40">
            <v>122.1</v>
          </cell>
          <cell r="F40">
            <v>146.02000000000001</v>
          </cell>
          <cell r="G40">
            <v>165</v>
          </cell>
        </row>
        <row r="41">
          <cell r="A41" t="str">
            <v>Y24BSA1-5</v>
          </cell>
          <cell r="B41" t="str">
            <v>PE</v>
          </cell>
          <cell r="C41" t="str">
            <v>KEM ANTICOR ULTRA FAST DRY HS MATE NEGRO</v>
          </cell>
          <cell r="D41">
            <v>108.05</v>
          </cell>
          <cell r="E41">
            <v>122.1</v>
          </cell>
          <cell r="F41">
            <v>146.02000000000001</v>
          </cell>
          <cell r="G41">
            <v>165</v>
          </cell>
        </row>
        <row r="42">
          <cell r="B42" t="str">
            <v xml:space="preserve"> </v>
          </cell>
          <cell r="C42" t="str">
            <v xml:space="preserve"> ANTICORROSIVO CROMATO DE ZINC</v>
          </cell>
        </row>
        <row r="43">
          <cell r="B43" t="str">
            <v xml:space="preserve"> </v>
          </cell>
          <cell r="C43" t="str">
            <v>USO INTERIOR - EXTERIOR</v>
          </cell>
        </row>
        <row r="44">
          <cell r="A44" t="str">
            <v>E41G10-1</v>
          </cell>
          <cell r="B44" t="str">
            <v>LN</v>
          </cell>
          <cell r="C44" t="str">
            <v>KEM ANTICORROSIVO CROMATO DE ZINC ALQ MATE VERDE</v>
          </cell>
          <cell r="D44">
            <v>35.5</v>
          </cell>
          <cell r="E44">
            <v>40.11</v>
          </cell>
          <cell r="F44">
            <v>50.71</v>
          </cell>
          <cell r="G44">
            <v>57.3</v>
          </cell>
        </row>
        <row r="45">
          <cell r="A45" t="str">
            <v>E41Y10SP-1</v>
          </cell>
          <cell r="B45" t="str">
            <v>LN</v>
          </cell>
          <cell r="C45" t="str">
            <v>KEM ANTICORROSIVO CROMATO DE ZINC ALQ MATE AMARILLO</v>
          </cell>
          <cell r="D45">
            <v>35.5</v>
          </cell>
          <cell r="E45">
            <v>40.11</v>
          </cell>
          <cell r="F45">
            <v>50.71</v>
          </cell>
          <cell r="G45">
            <v>57.3</v>
          </cell>
        </row>
        <row r="46">
          <cell r="B46" t="str">
            <v xml:space="preserve"> </v>
          </cell>
        </row>
        <row r="47">
          <cell r="A47" t="str">
            <v>E41G10-5</v>
          </cell>
          <cell r="B47" t="str">
            <v>PE</v>
          </cell>
          <cell r="C47" t="str">
            <v>KEM ANTICORROSIVO CROMATO DE ZINC ALQ MATE VERDE</v>
          </cell>
          <cell r="D47">
            <v>169.12</v>
          </cell>
          <cell r="E47">
            <v>191.1</v>
          </cell>
          <cell r="F47">
            <v>241.59</v>
          </cell>
          <cell r="G47">
            <v>273</v>
          </cell>
        </row>
        <row r="48">
          <cell r="A48" t="str">
            <v>E41Y10SP-5</v>
          </cell>
          <cell r="B48" t="str">
            <v>PE</v>
          </cell>
          <cell r="C48" t="str">
            <v>KEM ANTICORROSIVO CROMATO DE ZINC ALQ MATE AMARILLO</v>
          </cell>
          <cell r="D48">
            <v>169.12</v>
          </cell>
          <cell r="E48">
            <v>191.1</v>
          </cell>
          <cell r="F48">
            <v>241.59</v>
          </cell>
          <cell r="G48">
            <v>273</v>
          </cell>
        </row>
        <row r="49">
          <cell r="B49" t="str">
            <v xml:space="preserve"> </v>
          </cell>
        </row>
        <row r="50">
          <cell r="B50" t="str">
            <v xml:space="preserve"> </v>
          </cell>
          <cell r="C50" t="str">
            <v xml:space="preserve"> ANTICORROSIVO KROMIK METAL PRIMER</v>
          </cell>
        </row>
        <row r="51">
          <cell r="B51" t="str">
            <v xml:space="preserve"> </v>
          </cell>
          <cell r="C51" t="str">
            <v>USO INTERIOR - EXTERIOR</v>
          </cell>
        </row>
        <row r="52">
          <cell r="A52" t="str">
            <v>E41N1SP-1</v>
          </cell>
          <cell r="B52" t="str">
            <v>LN</v>
          </cell>
          <cell r="C52" t="str">
            <v>KEM ANTICORROSIVO KROMIK METAL PRIMER ALK MATE MARRON</v>
          </cell>
          <cell r="D52">
            <v>43.65</v>
          </cell>
          <cell r="E52">
            <v>49.32</v>
          </cell>
          <cell r="F52">
            <v>60.62</v>
          </cell>
          <cell r="G52">
            <v>68.5</v>
          </cell>
        </row>
        <row r="53">
          <cell r="B53" t="str">
            <v xml:space="preserve"> </v>
          </cell>
        </row>
        <row r="54">
          <cell r="C54" t="str">
            <v>BUILDERS BASE ANTICORROSIVOS / CONVERTIDOR DE OXIDO</v>
          </cell>
        </row>
        <row r="56">
          <cell r="A56" t="str">
            <v>W4KSA1-1</v>
          </cell>
          <cell r="B56" t="str">
            <v>LN</v>
          </cell>
          <cell r="C56" t="str">
            <v>BUILDERS BASE CONVERTIDOR DE OXIDO</v>
          </cell>
          <cell r="D56">
            <v>26.79</v>
          </cell>
          <cell r="E56">
            <v>30.27</v>
          </cell>
          <cell r="F56">
            <v>36.19</v>
          </cell>
          <cell r="G56">
            <v>40.9</v>
          </cell>
        </row>
        <row r="57">
          <cell r="A57" t="str">
            <v>W4KSA1-BOT</v>
          </cell>
          <cell r="B57" t="str">
            <v>LN</v>
          </cell>
          <cell r="C57" t="str">
            <v>BUILDERS BASE CONVERTIDOR DE OXIDO</v>
          </cell>
          <cell r="D57">
            <v>7.14</v>
          </cell>
          <cell r="E57">
            <v>8.07</v>
          </cell>
          <cell r="F57">
            <v>9.65</v>
          </cell>
          <cell r="G57">
            <v>10.9</v>
          </cell>
        </row>
        <row r="59">
          <cell r="B59" t="str">
            <v xml:space="preserve"> </v>
          </cell>
          <cell r="C59" t="str">
            <v>BUILDERS BASE ANTICORROSIVOS</v>
          </cell>
        </row>
        <row r="61">
          <cell r="B61" t="str">
            <v xml:space="preserve"> </v>
          </cell>
          <cell r="C61" t="str">
            <v>BB ANTICORROSIVO 6000 RUSTOP</v>
          </cell>
        </row>
        <row r="63">
          <cell r="A63" t="str">
            <v>E61GSA1-1/4</v>
          </cell>
          <cell r="B63" t="str">
            <v>PE</v>
          </cell>
          <cell r="C63" t="str">
            <v>BB ANTICORROSIVO 6000 RUSTOP MATE CHROMATO VERDE</v>
          </cell>
          <cell r="D63">
            <v>6.95</v>
          </cell>
          <cell r="E63">
            <v>7.85</v>
          </cell>
          <cell r="F63">
            <v>9.65</v>
          </cell>
          <cell r="G63">
            <v>10.9</v>
          </cell>
        </row>
        <row r="64">
          <cell r="A64" t="str">
            <v>E61RSA4-1/4</v>
          </cell>
          <cell r="B64" t="str">
            <v>LN</v>
          </cell>
          <cell r="C64" t="str">
            <v>BB ANTICORROSIVO 6000 RUSTOP MATE OXIDO ROJO</v>
          </cell>
          <cell r="D64">
            <v>6.95</v>
          </cell>
          <cell r="E64">
            <v>7.85</v>
          </cell>
          <cell r="F64">
            <v>9.65</v>
          </cell>
          <cell r="G64">
            <v>10.9</v>
          </cell>
        </row>
        <row r="65">
          <cell r="A65" t="str">
            <v>E61ASA6-1/4</v>
          </cell>
          <cell r="B65" t="str">
            <v>PE</v>
          </cell>
          <cell r="C65" t="str">
            <v>BB ANTICORROSIVO 6000 RUSTOP MATE GRIS</v>
          </cell>
          <cell r="D65">
            <v>6.95</v>
          </cell>
          <cell r="E65">
            <v>7.85</v>
          </cell>
          <cell r="F65">
            <v>9.65</v>
          </cell>
          <cell r="G65">
            <v>10.9</v>
          </cell>
        </row>
        <row r="66">
          <cell r="A66" t="str">
            <v>E61WSA1-1/4</v>
          </cell>
          <cell r="B66" t="str">
            <v>PE</v>
          </cell>
          <cell r="C66" t="str">
            <v>BB ANTICORROSIVO 6000 RUSTOP MATE BLANCO</v>
          </cell>
          <cell r="D66">
            <v>6.95</v>
          </cell>
          <cell r="E66">
            <v>7.85</v>
          </cell>
          <cell r="F66">
            <v>9.65</v>
          </cell>
          <cell r="G66">
            <v>10.9</v>
          </cell>
        </row>
        <row r="67">
          <cell r="A67" t="str">
            <v>E61BSA1-1/4</v>
          </cell>
          <cell r="B67" t="str">
            <v>PE</v>
          </cell>
          <cell r="C67" t="str">
            <v>BB ANTICORROSIVO 6000 RUSTOP MATE NEGRO</v>
          </cell>
          <cell r="D67">
            <v>6.95</v>
          </cell>
          <cell r="E67">
            <v>7.85</v>
          </cell>
          <cell r="F67">
            <v>9.65</v>
          </cell>
          <cell r="G67">
            <v>10.9</v>
          </cell>
        </row>
        <row r="68">
          <cell r="B68" t="str">
            <v xml:space="preserve"> </v>
          </cell>
        </row>
        <row r="69">
          <cell r="A69" t="str">
            <v>E61GSA1-1</v>
          </cell>
          <cell r="B69" t="str">
            <v>LN</v>
          </cell>
          <cell r="C69" t="str">
            <v>BB ANTICORROSIVO 6000 RUSTOP MATE CHROMATO VERDE</v>
          </cell>
          <cell r="D69">
            <v>22.88</v>
          </cell>
          <cell r="E69">
            <v>25.85</v>
          </cell>
          <cell r="F69">
            <v>31.77</v>
          </cell>
          <cell r="G69">
            <v>35.9</v>
          </cell>
        </row>
        <row r="70">
          <cell r="A70" t="str">
            <v>E61RSA4-1</v>
          </cell>
          <cell r="B70" t="str">
            <v>LN</v>
          </cell>
          <cell r="C70" t="str">
            <v>BB ANTICORROSIVO 6000 RUSTOP MATE OXIDO ROJO</v>
          </cell>
          <cell r="D70">
            <v>22.88</v>
          </cell>
          <cell r="E70">
            <v>25.85</v>
          </cell>
          <cell r="F70">
            <v>31.77</v>
          </cell>
          <cell r="G70">
            <v>35.9</v>
          </cell>
        </row>
        <row r="71">
          <cell r="A71" t="str">
            <v>E61ASA6-1</v>
          </cell>
          <cell r="B71" t="str">
            <v>LN</v>
          </cell>
          <cell r="C71" t="str">
            <v>BB ANTICORROSIVO 6000 RUSTOP MATE GRIS</v>
          </cell>
          <cell r="D71">
            <v>22.88</v>
          </cell>
          <cell r="E71">
            <v>25.85</v>
          </cell>
          <cell r="F71">
            <v>31.77</v>
          </cell>
          <cell r="G71">
            <v>35.9</v>
          </cell>
        </row>
        <row r="72">
          <cell r="A72" t="str">
            <v>E61WSA1-1</v>
          </cell>
          <cell r="B72" t="str">
            <v>LN</v>
          </cell>
          <cell r="C72" t="str">
            <v>BB ANTICORROSIVO 6000 RUSTOP MATE BLANCO</v>
          </cell>
          <cell r="D72">
            <v>22.88</v>
          </cell>
          <cell r="E72">
            <v>25.85</v>
          </cell>
          <cell r="F72">
            <v>31.77</v>
          </cell>
          <cell r="G72">
            <v>35.9</v>
          </cell>
        </row>
        <row r="73">
          <cell r="A73" t="str">
            <v>E61BSA1-1</v>
          </cell>
          <cell r="B73" t="str">
            <v>LN</v>
          </cell>
          <cell r="C73" t="str">
            <v>BB ANTICORROSIVO 6000 RUSTOP MATE NEGRO</v>
          </cell>
          <cell r="D73">
            <v>22.88</v>
          </cell>
          <cell r="E73">
            <v>25.85</v>
          </cell>
          <cell r="F73">
            <v>31.77</v>
          </cell>
          <cell r="G73">
            <v>35.9</v>
          </cell>
        </row>
        <row r="75">
          <cell r="A75" t="str">
            <v>E61GSA1-5</v>
          </cell>
          <cell r="B75" t="str">
            <v>PE</v>
          </cell>
          <cell r="C75" t="str">
            <v>BB ANTICORROSIVO 6000 RUSTOP MATE CHROMATO VERDE</v>
          </cell>
          <cell r="D75">
            <v>101.95</v>
          </cell>
          <cell r="E75">
            <v>115.2</v>
          </cell>
          <cell r="F75">
            <v>141.59</v>
          </cell>
          <cell r="G75">
            <v>160</v>
          </cell>
        </row>
        <row r="76">
          <cell r="A76" t="str">
            <v>E61RSA4-5</v>
          </cell>
          <cell r="B76" t="str">
            <v>LN</v>
          </cell>
          <cell r="C76" t="str">
            <v>BB ANTICORROSIVO 6000 RUSTOP MATE OXIDO ROJO</v>
          </cell>
          <cell r="D76">
            <v>101.95</v>
          </cell>
          <cell r="E76">
            <v>115.2</v>
          </cell>
          <cell r="F76">
            <v>141.59</v>
          </cell>
          <cell r="G76">
            <v>160</v>
          </cell>
        </row>
        <row r="77">
          <cell r="A77" t="str">
            <v>E61ASA6-5</v>
          </cell>
          <cell r="B77" t="str">
            <v>LN</v>
          </cell>
          <cell r="C77" t="str">
            <v>BB ANTICORROSIVO 6000 RUSTOP MATE GRIS</v>
          </cell>
          <cell r="D77">
            <v>101.95</v>
          </cell>
          <cell r="E77">
            <v>115.2</v>
          </cell>
          <cell r="F77">
            <v>141.59</v>
          </cell>
          <cell r="G77">
            <v>160</v>
          </cell>
        </row>
        <row r="78">
          <cell r="A78" t="str">
            <v>E61WSA1-5</v>
          </cell>
          <cell r="B78" t="str">
            <v>PE</v>
          </cell>
          <cell r="C78" t="str">
            <v>BB ANTICORROSIVO 6000 RUSTOP MATE BLANCO</v>
          </cell>
          <cell r="D78">
            <v>101.95</v>
          </cell>
          <cell r="E78">
            <v>115.2</v>
          </cell>
          <cell r="F78">
            <v>141.59</v>
          </cell>
          <cell r="G78">
            <v>160</v>
          </cell>
        </row>
        <row r="80">
          <cell r="B80" t="str">
            <v xml:space="preserve"> </v>
          </cell>
          <cell r="C80" t="str">
            <v>BB ANTICORROSIVO 4000 COLONIAL</v>
          </cell>
        </row>
        <row r="81">
          <cell r="A81" t="str">
            <v>A99WSA3-1/4</v>
          </cell>
          <cell r="B81" t="str">
            <v>LN</v>
          </cell>
          <cell r="C81" t="str">
            <v>BB ANTICORROSIVO 4000 COLONIAL MATE BLANCO</v>
          </cell>
          <cell r="D81">
            <v>6.55</v>
          </cell>
          <cell r="E81">
            <v>7.4</v>
          </cell>
          <cell r="F81">
            <v>8.85</v>
          </cell>
          <cell r="G81">
            <v>10</v>
          </cell>
        </row>
        <row r="82">
          <cell r="A82" t="str">
            <v>A99ASA3-1/4</v>
          </cell>
          <cell r="B82" t="str">
            <v>LN</v>
          </cell>
          <cell r="C82" t="str">
            <v>BB ANTICORROSIVO 4000 COLONIAL MATE GRIS</v>
          </cell>
          <cell r="D82">
            <v>6.55</v>
          </cell>
          <cell r="E82">
            <v>7.4</v>
          </cell>
          <cell r="F82">
            <v>8.85</v>
          </cell>
          <cell r="G82">
            <v>10</v>
          </cell>
        </row>
        <row r="83">
          <cell r="A83" t="str">
            <v>A99BSA2-1/4</v>
          </cell>
          <cell r="B83" t="str">
            <v>LN</v>
          </cell>
          <cell r="C83" t="str">
            <v>BB ANTICORROSIVO 4000 COLONIAL MATE NEGRO</v>
          </cell>
          <cell r="D83">
            <v>6.55</v>
          </cell>
          <cell r="E83">
            <v>7.4</v>
          </cell>
          <cell r="F83">
            <v>8.85</v>
          </cell>
          <cell r="G83">
            <v>10</v>
          </cell>
        </row>
        <row r="84">
          <cell r="A84" t="str">
            <v>A99NSA11-1/4</v>
          </cell>
          <cell r="B84" t="str">
            <v>LN</v>
          </cell>
          <cell r="C84" t="str">
            <v>BB ANTICORROSIVO 4000 COLONIAL MATE ROJO</v>
          </cell>
          <cell r="D84">
            <v>6.55</v>
          </cell>
          <cell r="E84">
            <v>7.4</v>
          </cell>
          <cell r="F84">
            <v>8.85</v>
          </cell>
          <cell r="G84">
            <v>10</v>
          </cell>
        </row>
        <row r="85">
          <cell r="A85" t="str">
            <v>A99GSA5-1/4</v>
          </cell>
          <cell r="B85" t="str">
            <v>LN</v>
          </cell>
          <cell r="C85" t="str">
            <v xml:space="preserve">BB ANTICORROSIVO 4000 COLONIAL MATE VERDE </v>
          </cell>
          <cell r="D85">
            <v>6.55</v>
          </cell>
          <cell r="E85">
            <v>7.4</v>
          </cell>
          <cell r="F85">
            <v>8.85</v>
          </cell>
          <cell r="G85">
            <v>10</v>
          </cell>
        </row>
        <row r="86">
          <cell r="A86" t="str">
            <v>A99NSA17-1/4</v>
          </cell>
          <cell r="B86" t="str">
            <v>LN</v>
          </cell>
          <cell r="C86" t="str">
            <v>BB ANTICORROSIVO 4000 COLONIAL MATE CAFE</v>
          </cell>
          <cell r="D86">
            <v>6.55</v>
          </cell>
          <cell r="E86">
            <v>7.4</v>
          </cell>
          <cell r="F86">
            <v>8.85</v>
          </cell>
          <cell r="G86">
            <v>10</v>
          </cell>
        </row>
        <row r="87">
          <cell r="B87" t="str">
            <v xml:space="preserve"> </v>
          </cell>
        </row>
        <row r="88">
          <cell r="A88" t="str">
            <v>A99WSA3-1</v>
          </cell>
          <cell r="B88" t="str">
            <v>LN</v>
          </cell>
          <cell r="C88" t="str">
            <v>BB ANTICORROSIVO 4000 COLONIAL MATE BLANCO</v>
          </cell>
          <cell r="D88">
            <v>21.94</v>
          </cell>
          <cell r="E88">
            <v>24.79</v>
          </cell>
          <cell r="F88">
            <v>29.65</v>
          </cell>
          <cell r="G88">
            <v>33.5</v>
          </cell>
        </row>
        <row r="89">
          <cell r="A89" t="str">
            <v>A99ASA3-1</v>
          </cell>
          <cell r="B89" t="str">
            <v>LN</v>
          </cell>
          <cell r="C89" t="str">
            <v>BB ANTICORROSIVO 4000 COLONIAL MATE GRIS</v>
          </cell>
          <cell r="D89">
            <v>21.94</v>
          </cell>
          <cell r="E89">
            <v>24.79</v>
          </cell>
          <cell r="F89">
            <v>29.65</v>
          </cell>
          <cell r="G89">
            <v>33.5</v>
          </cell>
        </row>
        <row r="90">
          <cell r="A90" t="str">
            <v>A99BSA2-1</v>
          </cell>
          <cell r="B90" t="str">
            <v>LN</v>
          </cell>
          <cell r="C90" t="str">
            <v>BB ANTICORROSIVO 4000 COLONIAL MATE NEGRO</v>
          </cell>
          <cell r="D90">
            <v>21.94</v>
          </cell>
          <cell r="E90">
            <v>24.79</v>
          </cell>
          <cell r="F90">
            <v>29.65</v>
          </cell>
          <cell r="G90">
            <v>33.5</v>
          </cell>
        </row>
        <row r="91">
          <cell r="A91" t="str">
            <v>A99NSA11-1</v>
          </cell>
          <cell r="B91" t="str">
            <v>LN</v>
          </cell>
          <cell r="C91" t="str">
            <v>BB ANTICORROSIVO 4000 COLONIAL MATE ROJO</v>
          </cell>
          <cell r="D91">
            <v>21.94</v>
          </cell>
          <cell r="E91">
            <v>24.79</v>
          </cell>
          <cell r="F91">
            <v>29.65</v>
          </cell>
          <cell r="G91">
            <v>33.5</v>
          </cell>
        </row>
        <row r="92">
          <cell r="A92" t="str">
            <v>A99GSA5-1</v>
          </cell>
          <cell r="B92" t="str">
            <v>LN</v>
          </cell>
          <cell r="C92" t="str">
            <v xml:space="preserve">BB ANTICORROSIVO 4000 COLONIAL MATE VERDE </v>
          </cell>
          <cell r="D92">
            <v>21.94</v>
          </cell>
          <cell r="E92">
            <v>24.79</v>
          </cell>
          <cell r="F92">
            <v>29.65</v>
          </cell>
          <cell r="G92">
            <v>33.5</v>
          </cell>
        </row>
        <row r="93">
          <cell r="A93" t="str">
            <v>A99NSA17-1</v>
          </cell>
          <cell r="B93" t="str">
            <v>LN</v>
          </cell>
          <cell r="C93" t="str">
            <v>BB ANTICORROSIVO 4000 COLONIAL MATE CAFE</v>
          </cell>
          <cell r="D93">
            <v>21.94</v>
          </cell>
          <cell r="E93">
            <v>24.79</v>
          </cell>
          <cell r="F93">
            <v>29.65</v>
          </cell>
          <cell r="G93">
            <v>33.5</v>
          </cell>
        </row>
        <row r="94">
          <cell r="B94" t="str">
            <v xml:space="preserve"> </v>
          </cell>
        </row>
        <row r="95">
          <cell r="A95" t="str">
            <v>A99WSA3-5</v>
          </cell>
          <cell r="B95" t="str">
            <v>LN</v>
          </cell>
          <cell r="C95" t="str">
            <v>BB ANTICORROSIVO 4000 COLONIAL MATE BLANCO</v>
          </cell>
          <cell r="D95">
            <v>99.54</v>
          </cell>
          <cell r="E95">
            <v>112.48</v>
          </cell>
          <cell r="F95">
            <v>134.51</v>
          </cell>
          <cell r="G95">
            <v>152</v>
          </cell>
        </row>
        <row r="96">
          <cell r="A96" t="str">
            <v>A99ASA3-5</v>
          </cell>
          <cell r="B96" t="str">
            <v>LN</v>
          </cell>
          <cell r="C96" t="str">
            <v>BB ANTICORROSIVO 4000 COLONIAL MATE GRIS</v>
          </cell>
          <cell r="D96">
            <v>99.54</v>
          </cell>
          <cell r="E96">
            <v>112.48</v>
          </cell>
          <cell r="F96">
            <v>134.51</v>
          </cell>
          <cell r="G96">
            <v>152</v>
          </cell>
        </row>
        <row r="97">
          <cell r="A97" t="str">
            <v>A99BSA2-5</v>
          </cell>
          <cell r="B97" t="str">
            <v>LN</v>
          </cell>
          <cell r="C97" t="str">
            <v>BB ANTICORROSIVO 4000 COLONIAL MATE NEGRO</v>
          </cell>
          <cell r="D97">
            <v>99.54</v>
          </cell>
          <cell r="E97">
            <v>112.48</v>
          </cell>
          <cell r="F97">
            <v>134.51</v>
          </cell>
          <cell r="G97">
            <v>152</v>
          </cell>
        </row>
        <row r="98">
          <cell r="A98" t="str">
            <v>A99NSA11-5</v>
          </cell>
          <cell r="B98" t="str">
            <v>LN</v>
          </cell>
          <cell r="C98" t="str">
            <v>BB ANTICORROSIVO 4000 COLONIAL MATE ROJO</v>
          </cell>
          <cell r="D98">
            <v>99.54</v>
          </cell>
          <cell r="E98">
            <v>112.48</v>
          </cell>
          <cell r="F98">
            <v>134.51</v>
          </cell>
          <cell r="G98">
            <v>152</v>
          </cell>
        </row>
        <row r="99">
          <cell r="A99" t="str">
            <v>A99GSA5-5</v>
          </cell>
          <cell r="B99" t="str">
            <v>LN</v>
          </cell>
          <cell r="C99" t="str">
            <v xml:space="preserve">BB ANTICORROSIVO 4000 COLONIAL MATE VERDE </v>
          </cell>
          <cell r="D99">
            <v>99.54</v>
          </cell>
          <cell r="E99">
            <v>112.48</v>
          </cell>
          <cell r="F99">
            <v>134.51</v>
          </cell>
          <cell r="G99">
            <v>152</v>
          </cell>
        </row>
        <row r="100">
          <cell r="B100" t="str">
            <v xml:space="preserve"> </v>
          </cell>
        </row>
        <row r="101">
          <cell r="C101" t="str">
            <v>BB ANTICORROSIVO 4000 COLONIAL</v>
          </cell>
        </row>
        <row r="102">
          <cell r="A102" t="str">
            <v>A98WSA1-1/4</v>
          </cell>
          <cell r="B102" t="str">
            <v>LN</v>
          </cell>
          <cell r="C102" t="str">
            <v>BB ANTICORROSIVO 4000 COLONIAL BRILLANTE BLANCO</v>
          </cell>
          <cell r="D102">
            <v>6.55</v>
          </cell>
          <cell r="E102">
            <v>7.4</v>
          </cell>
          <cell r="F102">
            <v>8.85</v>
          </cell>
          <cell r="G102">
            <v>10</v>
          </cell>
        </row>
        <row r="103">
          <cell r="A103" t="str">
            <v>A98ASA1-1/4</v>
          </cell>
          <cell r="B103" t="str">
            <v>LN</v>
          </cell>
          <cell r="C103" t="str">
            <v>BB ANTICORROSIVO 4000 COLONIAL BRILLANTE GRIS</v>
          </cell>
          <cell r="D103">
            <v>6.55</v>
          </cell>
          <cell r="E103">
            <v>7.4</v>
          </cell>
          <cell r="F103">
            <v>8.85</v>
          </cell>
          <cell r="G103">
            <v>10</v>
          </cell>
        </row>
        <row r="104">
          <cell r="A104" t="str">
            <v>A98BSA1-1/4</v>
          </cell>
          <cell r="B104" t="str">
            <v>LN</v>
          </cell>
          <cell r="C104" t="str">
            <v>BB ANTICORROSIVO 4000 COLONIAL BRILLANTE NEGRO</v>
          </cell>
          <cell r="D104">
            <v>6.55</v>
          </cell>
          <cell r="E104">
            <v>7.4</v>
          </cell>
          <cell r="F104">
            <v>8.85</v>
          </cell>
          <cell r="G104">
            <v>10</v>
          </cell>
        </row>
        <row r="105">
          <cell r="A105" t="str">
            <v>A98RSA1-1/4</v>
          </cell>
          <cell r="B105" t="str">
            <v>LN</v>
          </cell>
          <cell r="C105" t="str">
            <v>BB ANTICORROSIVO 4000 COLONIAL BRILLANTE ROJO</v>
          </cell>
          <cell r="D105">
            <v>6.55</v>
          </cell>
          <cell r="E105">
            <v>7.4</v>
          </cell>
          <cell r="F105">
            <v>8.85</v>
          </cell>
          <cell r="G105">
            <v>10</v>
          </cell>
        </row>
        <row r="107">
          <cell r="A107" t="str">
            <v>A98WSA1-1</v>
          </cell>
          <cell r="B107" t="str">
            <v>LN</v>
          </cell>
          <cell r="C107" t="str">
            <v>BB ANTICORROSIVO 4000 COLONIAL BRILLANTE BLANCO</v>
          </cell>
          <cell r="D107">
            <v>21.94</v>
          </cell>
          <cell r="E107">
            <v>24.79</v>
          </cell>
          <cell r="F107">
            <v>29.65</v>
          </cell>
          <cell r="G107">
            <v>33.5</v>
          </cell>
        </row>
        <row r="108">
          <cell r="A108" t="str">
            <v>A98ASA1-1</v>
          </cell>
          <cell r="B108" t="str">
            <v>LN</v>
          </cell>
          <cell r="C108" t="str">
            <v>BB ANTICORROSIVO 4000 COLONIAL BRILLANTE GRIS</v>
          </cell>
          <cell r="D108">
            <v>21.94</v>
          </cell>
          <cell r="E108">
            <v>24.79</v>
          </cell>
          <cell r="F108">
            <v>29.65</v>
          </cell>
          <cell r="G108">
            <v>33.5</v>
          </cell>
        </row>
        <row r="109">
          <cell r="A109" t="str">
            <v>A98BSA1-1</v>
          </cell>
          <cell r="B109" t="str">
            <v>LN</v>
          </cell>
          <cell r="C109" t="str">
            <v>BB ANTICORROSIVO 4000 COLONIAL BRILLANTE NEGRO</v>
          </cell>
          <cell r="D109">
            <v>21.94</v>
          </cell>
          <cell r="E109">
            <v>24.79</v>
          </cell>
          <cell r="F109">
            <v>29.65</v>
          </cell>
          <cell r="G109">
            <v>33.5</v>
          </cell>
        </row>
        <row r="110">
          <cell r="A110" t="str">
            <v>A98RSA1-1</v>
          </cell>
          <cell r="B110" t="str">
            <v>LN</v>
          </cell>
          <cell r="C110" t="str">
            <v>BB ANTICORROSIVO 4000 COLONIAL BRILLANTE ROJO</v>
          </cell>
          <cell r="D110">
            <v>21.94</v>
          </cell>
          <cell r="E110">
            <v>24.79</v>
          </cell>
          <cell r="F110">
            <v>29.65</v>
          </cell>
          <cell r="G110">
            <v>33.5</v>
          </cell>
        </row>
        <row r="112">
          <cell r="A112" t="str">
            <v>A98WSA1-5</v>
          </cell>
          <cell r="B112" t="str">
            <v>PE</v>
          </cell>
          <cell r="C112" t="str">
            <v>BB ANTICORROSIVO 4000 COLONIAL BRILLANTE BLANCO</v>
          </cell>
          <cell r="D112">
            <v>99.54</v>
          </cell>
          <cell r="E112">
            <v>112.48</v>
          </cell>
          <cell r="F112">
            <v>134.51</v>
          </cell>
          <cell r="G112">
            <v>152</v>
          </cell>
        </row>
        <row r="113">
          <cell r="A113" t="str">
            <v>A98ASA1-5</v>
          </cell>
          <cell r="B113" t="str">
            <v>PE</v>
          </cell>
          <cell r="C113" t="str">
            <v>BB ANTICORROSIVO 4000 COLONIAL BRILLANTE GRIS</v>
          </cell>
          <cell r="D113">
            <v>99.54</v>
          </cell>
          <cell r="E113">
            <v>112.48</v>
          </cell>
          <cell r="F113">
            <v>134.51</v>
          </cell>
          <cell r="G113">
            <v>152</v>
          </cell>
        </row>
        <row r="114">
          <cell r="A114" t="str">
            <v>A98BSA1-5</v>
          </cell>
          <cell r="B114" t="str">
            <v>PE</v>
          </cell>
          <cell r="C114" t="str">
            <v>BB ANTICORROSIVO 4000 COLONIAL BRILLANTE NEGRO</v>
          </cell>
          <cell r="D114">
            <v>99.54</v>
          </cell>
          <cell r="E114">
            <v>112.48</v>
          </cell>
          <cell r="F114">
            <v>134.51</v>
          </cell>
          <cell r="G114">
            <v>152</v>
          </cell>
        </row>
        <row r="115">
          <cell r="A115" t="str">
            <v>A98RSA1-5</v>
          </cell>
          <cell r="B115" t="str">
            <v>PE</v>
          </cell>
          <cell r="C115" t="str">
            <v>BB ANTICORROSIVO 4000 COLONIAL BRILLANTE ROJO</v>
          </cell>
          <cell r="D115">
            <v>99.54</v>
          </cell>
          <cell r="E115">
            <v>112.48</v>
          </cell>
          <cell r="F115">
            <v>134.51</v>
          </cell>
          <cell r="G115">
            <v>152</v>
          </cell>
        </row>
        <row r="117">
          <cell r="C117" t="str">
            <v>BB ANTICORROSIVO 4000 COLONIAL</v>
          </cell>
        </row>
        <row r="118">
          <cell r="A118" t="str">
            <v>K65WSA1-1/4</v>
          </cell>
          <cell r="B118" t="str">
            <v>LN</v>
          </cell>
          <cell r="C118" t="str">
            <v>BB ANTICORROSIVO 4000 COLONIAL SATINADO BLANCO</v>
          </cell>
          <cell r="D118">
            <v>6.55</v>
          </cell>
          <cell r="E118">
            <v>7.4</v>
          </cell>
          <cell r="F118">
            <v>8.85</v>
          </cell>
          <cell r="G118">
            <v>10</v>
          </cell>
        </row>
        <row r="119">
          <cell r="A119" t="str">
            <v>K65ASA1-1/4</v>
          </cell>
          <cell r="B119" t="str">
            <v>LN</v>
          </cell>
          <cell r="C119" t="str">
            <v>BB ANTICORROSIVO 4000 COLONIAL SATINADO GRIS</v>
          </cell>
          <cell r="D119">
            <v>6.55</v>
          </cell>
          <cell r="E119">
            <v>7.4</v>
          </cell>
          <cell r="F119">
            <v>8.85</v>
          </cell>
          <cell r="G119">
            <v>10</v>
          </cell>
        </row>
        <row r="120">
          <cell r="A120" t="str">
            <v>K65BSA1-1/4</v>
          </cell>
          <cell r="B120" t="str">
            <v>LN</v>
          </cell>
          <cell r="C120" t="str">
            <v>BB ANTICORROSIVO 4000 COLONIAL SATINADO NEGRO</v>
          </cell>
          <cell r="D120">
            <v>6.55</v>
          </cell>
          <cell r="E120">
            <v>7.4</v>
          </cell>
          <cell r="F120">
            <v>8.85</v>
          </cell>
          <cell r="G120">
            <v>10</v>
          </cell>
        </row>
        <row r="121">
          <cell r="A121" t="str">
            <v>K65GSA1-1/4</v>
          </cell>
          <cell r="B121" t="str">
            <v>LN</v>
          </cell>
          <cell r="C121" t="str">
            <v>BB ANTICORROSIVO 4000 COLONIAL SATINADO VERDE</v>
          </cell>
          <cell r="D121">
            <v>6.55</v>
          </cell>
          <cell r="E121">
            <v>7.4</v>
          </cell>
          <cell r="F121">
            <v>8.85</v>
          </cell>
          <cell r="G121">
            <v>10</v>
          </cell>
        </row>
        <row r="122">
          <cell r="A122" t="str">
            <v>K65RSA1-1/4</v>
          </cell>
          <cell r="B122" t="str">
            <v>LN</v>
          </cell>
          <cell r="C122" t="str">
            <v>BB ANTICORROSIVO 4000 COLONIAL SATINADO ROJO</v>
          </cell>
          <cell r="D122">
            <v>6.55</v>
          </cell>
          <cell r="E122">
            <v>7.4</v>
          </cell>
          <cell r="F122">
            <v>8.85</v>
          </cell>
          <cell r="G122">
            <v>10</v>
          </cell>
        </row>
        <row r="124">
          <cell r="A124" t="str">
            <v>K65WSA1-1</v>
          </cell>
          <cell r="B124" t="str">
            <v>LN</v>
          </cell>
          <cell r="C124" t="str">
            <v>BB ANTICORROSIVO 4000 COLONIAL SATINADO BLANCO</v>
          </cell>
          <cell r="D124">
            <v>21.94</v>
          </cell>
          <cell r="E124">
            <v>24.79</v>
          </cell>
          <cell r="F124">
            <v>29.65</v>
          </cell>
          <cell r="G124">
            <v>33.5</v>
          </cell>
        </row>
        <row r="125">
          <cell r="A125" t="str">
            <v>K65ASA1-1</v>
          </cell>
          <cell r="B125" t="str">
            <v>LN</v>
          </cell>
          <cell r="C125" t="str">
            <v>BB ANTICORROSIVO 4000 COLONIAL SATINADO GRIS</v>
          </cell>
          <cell r="D125">
            <v>21.94</v>
          </cell>
          <cell r="E125">
            <v>24.79</v>
          </cell>
          <cell r="F125">
            <v>29.65</v>
          </cell>
          <cell r="G125">
            <v>33.5</v>
          </cell>
        </row>
        <row r="126">
          <cell r="A126" t="str">
            <v>K65BSA1-1</v>
          </cell>
          <cell r="B126" t="str">
            <v>LN</v>
          </cell>
          <cell r="C126" t="str">
            <v>BB ANTICORROSIVO 4000 COLONIAL SATINADO NEGRO</v>
          </cell>
          <cell r="D126">
            <v>21.94</v>
          </cell>
          <cell r="E126">
            <v>24.79</v>
          </cell>
          <cell r="F126">
            <v>29.65</v>
          </cell>
          <cell r="G126">
            <v>33.5</v>
          </cell>
        </row>
        <row r="127">
          <cell r="A127" t="str">
            <v>K65GSA1-1</v>
          </cell>
          <cell r="B127" t="str">
            <v>LN</v>
          </cell>
          <cell r="C127" t="str">
            <v>BB ANTICORROSIVO 4000 COLONIAL SATINADO VERDE</v>
          </cell>
          <cell r="D127">
            <v>21.94</v>
          </cell>
          <cell r="E127">
            <v>24.79</v>
          </cell>
          <cell r="F127">
            <v>29.65</v>
          </cell>
          <cell r="G127">
            <v>33.5</v>
          </cell>
        </row>
        <row r="128">
          <cell r="A128" t="str">
            <v>K65RSA1-1</v>
          </cell>
          <cell r="B128" t="str">
            <v>LN</v>
          </cell>
          <cell r="C128" t="str">
            <v>BB ANTICORROSIVO 4000 COLONIAL SATINADO ROJO</v>
          </cell>
          <cell r="D128">
            <v>21.94</v>
          </cell>
          <cell r="E128">
            <v>24.79</v>
          </cell>
          <cell r="F128">
            <v>29.65</v>
          </cell>
          <cell r="G128">
            <v>33.5</v>
          </cell>
        </row>
        <row r="130">
          <cell r="A130" t="str">
            <v>K65WSA1-5</v>
          </cell>
          <cell r="B130" t="str">
            <v>PE</v>
          </cell>
          <cell r="C130" t="str">
            <v>BB ANTICORROSIVO 4000 COLONIAL SATINADO BLANCO</v>
          </cell>
          <cell r="D130">
            <v>99.54</v>
          </cell>
          <cell r="E130">
            <v>112.48</v>
          </cell>
          <cell r="F130">
            <v>134.51</v>
          </cell>
          <cell r="G130">
            <v>152</v>
          </cell>
        </row>
        <row r="131">
          <cell r="A131" t="str">
            <v>K65ASA1-5</v>
          </cell>
          <cell r="B131" t="str">
            <v>PE</v>
          </cell>
          <cell r="C131" t="str">
            <v>BB ANTICORROSIVO 4000 COLONIAL SATINADO GRIS</v>
          </cell>
          <cell r="D131">
            <v>99.54</v>
          </cell>
          <cell r="E131">
            <v>112.48</v>
          </cell>
          <cell r="F131">
            <v>134.51</v>
          </cell>
          <cell r="G131">
            <v>152</v>
          </cell>
        </row>
        <row r="132">
          <cell r="A132" t="str">
            <v>K65BSA1-5</v>
          </cell>
          <cell r="B132" t="str">
            <v>PE</v>
          </cell>
          <cell r="C132" t="str">
            <v>BB ANTICORROSIVO 4000 COLONIAL SATINADO NEGRO</v>
          </cell>
          <cell r="D132">
            <v>99.54</v>
          </cell>
          <cell r="E132">
            <v>112.48</v>
          </cell>
          <cell r="F132">
            <v>134.51</v>
          </cell>
          <cell r="G132">
            <v>152</v>
          </cell>
        </row>
        <row r="133">
          <cell r="A133" t="str">
            <v>K65GSA1-5</v>
          </cell>
          <cell r="B133" t="str">
            <v>PE</v>
          </cell>
          <cell r="C133" t="str">
            <v>BB ANTICORROSIVO 4000 COLONIAL SATINADO VERDE</v>
          </cell>
          <cell r="D133">
            <v>99.54</v>
          </cell>
          <cell r="E133">
            <v>112.48</v>
          </cell>
          <cell r="F133">
            <v>134.51</v>
          </cell>
          <cell r="G133">
            <v>152</v>
          </cell>
        </row>
        <row r="134">
          <cell r="A134" t="str">
            <v>K65RSA1-5</v>
          </cell>
          <cell r="B134" t="str">
            <v>PE</v>
          </cell>
          <cell r="C134" t="str">
            <v>BB ANTICORROSIVO 4000 COLONIAL SATINADO ROJO</v>
          </cell>
          <cell r="D134">
            <v>99.54</v>
          </cell>
          <cell r="E134">
            <v>112.48</v>
          </cell>
          <cell r="F134">
            <v>134.51</v>
          </cell>
          <cell r="G134">
            <v>152</v>
          </cell>
        </row>
        <row r="136">
          <cell r="C136" t="str">
            <v>BB ANTICORROSIVO 2000 ESTRUCTURAL MATE</v>
          </cell>
        </row>
        <row r="138">
          <cell r="A138" t="str">
            <v>K67WSA1-1/4</v>
          </cell>
          <cell r="B138" t="str">
            <v>LN</v>
          </cell>
          <cell r="C138" t="str">
            <v>BB ANTICORROSIVO 2000 ESTRUCTU MATE BLANCO</v>
          </cell>
          <cell r="D138">
            <v>5.31</v>
          </cell>
          <cell r="E138">
            <v>6</v>
          </cell>
          <cell r="F138">
            <v>6.64</v>
          </cell>
          <cell r="G138">
            <v>7.5</v>
          </cell>
        </row>
        <row r="139">
          <cell r="A139" t="str">
            <v>K67RSA1-1/4</v>
          </cell>
          <cell r="B139" t="str">
            <v>LN</v>
          </cell>
          <cell r="C139" t="str">
            <v>BB ANTICORROSIVO 2000 ESTRUCTU MATE ROJO OXIDO</v>
          </cell>
          <cell r="D139">
            <v>5.31</v>
          </cell>
          <cell r="E139">
            <v>6</v>
          </cell>
          <cell r="F139">
            <v>6.64</v>
          </cell>
          <cell r="G139">
            <v>7.5</v>
          </cell>
        </row>
        <row r="140">
          <cell r="A140" t="str">
            <v>K67ASA1-1/4</v>
          </cell>
          <cell r="B140" t="str">
            <v>LN</v>
          </cell>
          <cell r="C140" t="str">
            <v>BB ANTICORROSIVO 2000 ESTRUCTU MATE GRIS RAL 7046</v>
          </cell>
          <cell r="D140">
            <v>5.31</v>
          </cell>
          <cell r="E140">
            <v>6</v>
          </cell>
          <cell r="F140">
            <v>6.64</v>
          </cell>
          <cell r="G140">
            <v>7.5</v>
          </cell>
        </row>
        <row r="141">
          <cell r="A141" t="str">
            <v>K67BSA1-1/4</v>
          </cell>
          <cell r="B141" t="str">
            <v>LN</v>
          </cell>
          <cell r="C141" t="str">
            <v>BB ANTICORROSIVO 2000 ESTRUCTU MATE NEGRO</v>
          </cell>
          <cell r="D141">
            <v>5.31</v>
          </cell>
          <cell r="E141">
            <v>6</v>
          </cell>
          <cell r="F141">
            <v>6.64</v>
          </cell>
          <cell r="G141">
            <v>7.5</v>
          </cell>
        </row>
        <row r="143">
          <cell r="A143" t="str">
            <v>K67WSA1-1</v>
          </cell>
          <cell r="B143" t="str">
            <v>LN</v>
          </cell>
          <cell r="C143" t="str">
            <v>BB ANTICORROSIVO 2000 ESTRUCTU MATE BLANCO</v>
          </cell>
          <cell r="D143">
            <v>17.63</v>
          </cell>
          <cell r="E143">
            <v>19.920000000000002</v>
          </cell>
          <cell r="F143">
            <v>22.04</v>
          </cell>
          <cell r="G143">
            <v>24.9</v>
          </cell>
        </row>
        <row r="144">
          <cell r="A144" t="str">
            <v>K67RSA1-1</v>
          </cell>
          <cell r="B144" t="str">
            <v>LN</v>
          </cell>
          <cell r="C144" t="str">
            <v>BB ANTICORROSIVO 2000 ESTRUCTU MATE ROJO OXIDO</v>
          </cell>
          <cell r="D144">
            <v>17.63</v>
          </cell>
          <cell r="E144">
            <v>19.920000000000002</v>
          </cell>
          <cell r="F144">
            <v>22.04</v>
          </cell>
          <cell r="G144">
            <v>24.9</v>
          </cell>
        </row>
        <row r="145">
          <cell r="A145" t="str">
            <v>K67ASA1-1</v>
          </cell>
          <cell r="B145" t="str">
            <v>LN</v>
          </cell>
          <cell r="C145" t="str">
            <v>BB ANTICORROSIVO 2000 ESTRUCTU MATE GRIS RAL 7046</v>
          </cell>
          <cell r="D145">
            <v>17.63</v>
          </cell>
          <cell r="E145">
            <v>19.920000000000002</v>
          </cell>
          <cell r="F145">
            <v>22.04</v>
          </cell>
          <cell r="G145">
            <v>24.9</v>
          </cell>
        </row>
        <row r="146">
          <cell r="A146" t="str">
            <v>K67BSA1-1</v>
          </cell>
          <cell r="B146" t="str">
            <v>LN</v>
          </cell>
          <cell r="C146" t="str">
            <v>BB ANTICORROSIVO 2000 ESTRUCTU MATE NEGRO</v>
          </cell>
          <cell r="D146">
            <v>17.63</v>
          </cell>
          <cell r="E146">
            <v>19.920000000000002</v>
          </cell>
          <cell r="F146">
            <v>22.04</v>
          </cell>
          <cell r="G146">
            <v>24.9</v>
          </cell>
        </row>
        <row r="148">
          <cell r="A148" t="str">
            <v>K67WSA1-5</v>
          </cell>
          <cell r="B148" t="str">
            <v>LN</v>
          </cell>
          <cell r="C148" t="str">
            <v>BB ANTICORROSIVO 2000 ESTRUCTU MATE BLANCO</v>
          </cell>
          <cell r="D148">
            <v>81.42</v>
          </cell>
          <cell r="E148">
            <v>92</v>
          </cell>
          <cell r="F148">
            <v>101.77</v>
          </cell>
          <cell r="G148">
            <v>115</v>
          </cell>
        </row>
        <row r="149">
          <cell r="A149" t="str">
            <v>K67ASA1-5</v>
          </cell>
          <cell r="B149" t="str">
            <v>LN</v>
          </cell>
          <cell r="C149" t="str">
            <v>BB ANTICORROSIVO 2000 ESTRUCTU MATE GRIS RAL 7046</v>
          </cell>
          <cell r="D149">
            <v>81.42</v>
          </cell>
          <cell r="E149">
            <v>92</v>
          </cell>
          <cell r="F149">
            <v>101.77</v>
          </cell>
          <cell r="G149">
            <v>115</v>
          </cell>
        </row>
        <row r="150">
          <cell r="A150" t="str">
            <v>K67RSA1-5</v>
          </cell>
          <cell r="B150" t="str">
            <v>PE</v>
          </cell>
          <cell r="C150" t="str">
            <v>BB ANTICORROSIVO 2000 ESTRUCTU MATE ROJO OXIDO</v>
          </cell>
          <cell r="D150">
            <v>81.42</v>
          </cell>
          <cell r="E150">
            <v>92</v>
          </cell>
          <cell r="F150">
            <v>101.77</v>
          </cell>
          <cell r="G150">
            <v>115</v>
          </cell>
        </row>
        <row r="151">
          <cell r="A151" t="str">
            <v>K67BSA1-5</v>
          </cell>
          <cell r="B151" t="str">
            <v>PE</v>
          </cell>
          <cell r="C151" t="str">
            <v>BB ANTICORROSIVO 2000 ESTRUCTU MATE NEGRO</v>
          </cell>
          <cell r="D151">
            <v>81.42</v>
          </cell>
          <cell r="E151">
            <v>92</v>
          </cell>
          <cell r="F151">
            <v>101.77</v>
          </cell>
          <cell r="G151">
            <v>115</v>
          </cell>
        </row>
        <row r="153">
          <cell r="C153" t="str">
            <v>BB ANTICORROSIVO 2000 ESTRUCTURAL BRILLANTE</v>
          </cell>
        </row>
        <row r="154">
          <cell r="A154" t="str">
            <v>C62LCR1-1/4</v>
          </cell>
          <cell r="B154" t="str">
            <v>LN</v>
          </cell>
          <cell r="C154" t="str">
            <v>BB ANTICORROSIVO 2000 ESTRUCTU BRILLANTE AZUL</v>
          </cell>
          <cell r="D154">
            <v>4.83</v>
          </cell>
          <cell r="E154">
            <v>5.46</v>
          </cell>
          <cell r="F154">
            <v>5.75</v>
          </cell>
          <cell r="G154">
            <v>6.5</v>
          </cell>
        </row>
        <row r="155">
          <cell r="A155" t="str">
            <v>C62LSA2-1/4</v>
          </cell>
          <cell r="B155" t="str">
            <v>LN</v>
          </cell>
          <cell r="C155" t="str">
            <v>BB ANTICORROSIVO 2000 ESTRUCTU BRILLANTE AZUL BANDERA</v>
          </cell>
          <cell r="D155">
            <v>4.83</v>
          </cell>
          <cell r="E155">
            <v>5.46</v>
          </cell>
          <cell r="F155">
            <v>5.75</v>
          </cell>
          <cell r="G155">
            <v>6.5</v>
          </cell>
        </row>
        <row r="156">
          <cell r="A156" t="str">
            <v>C62WCR1-1/4</v>
          </cell>
          <cell r="B156" t="str">
            <v>LN</v>
          </cell>
          <cell r="C156" t="str">
            <v>BB ANTICORROSIVO 2000 ESTRUCTU BRILLANTE BLANCO</v>
          </cell>
          <cell r="D156">
            <v>4.83</v>
          </cell>
          <cell r="E156">
            <v>5.46</v>
          </cell>
          <cell r="F156">
            <v>5.75</v>
          </cell>
          <cell r="G156">
            <v>6.5</v>
          </cell>
        </row>
        <row r="157">
          <cell r="A157" t="str">
            <v>C62ASA2-1/4</v>
          </cell>
          <cell r="B157" t="str">
            <v>LN</v>
          </cell>
          <cell r="C157" t="str">
            <v>BB ANTICORROSIVO 2000 ESTRUCTU BRILLANTE GRIS</v>
          </cell>
          <cell r="D157">
            <v>4.83</v>
          </cell>
          <cell r="E157">
            <v>5.46</v>
          </cell>
          <cell r="F157">
            <v>5.75</v>
          </cell>
          <cell r="G157">
            <v>6.5</v>
          </cell>
        </row>
        <row r="158">
          <cell r="A158" t="str">
            <v>C62BCR1-1/4</v>
          </cell>
          <cell r="B158" t="str">
            <v>LN</v>
          </cell>
          <cell r="C158" t="str">
            <v>BB ANTICORROSIVO 2000 ESTRUCTU BRILLANTE NEGRO</v>
          </cell>
          <cell r="D158">
            <v>4.83</v>
          </cell>
          <cell r="E158">
            <v>5.46</v>
          </cell>
          <cell r="F158">
            <v>5.75</v>
          </cell>
          <cell r="G158">
            <v>6.5</v>
          </cell>
        </row>
        <row r="159">
          <cell r="A159" t="str">
            <v>C62RCR1-1/4</v>
          </cell>
          <cell r="B159" t="str">
            <v>LN</v>
          </cell>
          <cell r="C159" t="str">
            <v>BB ANTICORROSIVO 2000 ESTRUCTU BRILLANTE ROJO</v>
          </cell>
          <cell r="D159">
            <v>4.83</v>
          </cell>
          <cell r="E159">
            <v>5.46</v>
          </cell>
          <cell r="F159">
            <v>5.75</v>
          </cell>
          <cell r="G159">
            <v>6.5</v>
          </cell>
        </row>
        <row r="160">
          <cell r="A160" t="str">
            <v>C62RSA2-1/4</v>
          </cell>
          <cell r="B160" t="str">
            <v>LN</v>
          </cell>
          <cell r="C160" t="str">
            <v>BB ANTICORROSIVO 2000 ESTRUCTU BRILLANTE ROJO TEJA</v>
          </cell>
          <cell r="D160">
            <v>4.83</v>
          </cell>
          <cell r="E160">
            <v>5.46</v>
          </cell>
          <cell r="F160">
            <v>5.75</v>
          </cell>
          <cell r="G160">
            <v>6.5</v>
          </cell>
        </row>
        <row r="161">
          <cell r="A161" t="str">
            <v>C62GCR1-1/4</v>
          </cell>
          <cell r="B161" t="str">
            <v>LN</v>
          </cell>
          <cell r="C161" t="str">
            <v>BB ANTICORROSIVO 2000 ESTRUCTU BRILLANTE VERDE</v>
          </cell>
          <cell r="D161">
            <v>4.83</v>
          </cell>
          <cell r="E161">
            <v>5.46</v>
          </cell>
          <cell r="F161">
            <v>5.75</v>
          </cell>
          <cell r="G161">
            <v>6.5</v>
          </cell>
        </row>
        <row r="163">
          <cell r="A163" t="str">
            <v>C62LCR1-1</v>
          </cell>
          <cell r="B163" t="str">
            <v>LN</v>
          </cell>
          <cell r="C163" t="str">
            <v>BB ANTICORROSIVO 2000 ESTRUCTU BRILLANTE AZUL</v>
          </cell>
          <cell r="D163">
            <v>15.98</v>
          </cell>
          <cell r="E163">
            <v>18.059999999999999</v>
          </cell>
          <cell r="F163">
            <v>19.03</v>
          </cell>
          <cell r="G163">
            <v>21.5</v>
          </cell>
        </row>
        <row r="164">
          <cell r="A164" t="str">
            <v>C62LSA2-1</v>
          </cell>
          <cell r="B164" t="str">
            <v>LN</v>
          </cell>
          <cell r="C164" t="str">
            <v>BB ANTICORROSIVO 2000 ESTRUCTU BRILLANTE AZUL BANDERA</v>
          </cell>
          <cell r="D164">
            <v>15.98</v>
          </cell>
          <cell r="E164">
            <v>18.059999999999999</v>
          </cell>
          <cell r="F164">
            <v>19.03</v>
          </cell>
          <cell r="G164">
            <v>21.5</v>
          </cell>
        </row>
        <row r="165">
          <cell r="A165" t="str">
            <v>C62WCR1-1</v>
          </cell>
          <cell r="B165" t="str">
            <v>LN</v>
          </cell>
          <cell r="C165" t="str">
            <v>BB ANTICORROSIVO 2000 ESTRUCTU BRILLANTE BLANCO</v>
          </cell>
          <cell r="D165">
            <v>15.98</v>
          </cell>
          <cell r="E165">
            <v>18.059999999999999</v>
          </cell>
          <cell r="F165">
            <v>19.03</v>
          </cell>
          <cell r="G165">
            <v>21.5</v>
          </cell>
        </row>
        <row r="166">
          <cell r="A166" t="str">
            <v>C62ASA2-1</v>
          </cell>
          <cell r="B166" t="str">
            <v>LN</v>
          </cell>
          <cell r="C166" t="str">
            <v>BB ANTICORROSIVO 2000 ESTRUCTU BRILLANTE GRIS</v>
          </cell>
          <cell r="D166">
            <v>15.98</v>
          </cell>
          <cell r="E166">
            <v>18.059999999999999</v>
          </cell>
          <cell r="F166">
            <v>19.03</v>
          </cell>
          <cell r="G166">
            <v>21.5</v>
          </cell>
        </row>
        <row r="167">
          <cell r="A167" t="str">
            <v>C62BCR1-1</v>
          </cell>
          <cell r="B167" t="str">
            <v>LN</v>
          </cell>
          <cell r="C167" t="str">
            <v>BB ANTICORROSIVO 2000 ESTRUCTU BRILLANTE NEGRO</v>
          </cell>
          <cell r="D167">
            <v>15.98</v>
          </cell>
          <cell r="E167">
            <v>18.059999999999999</v>
          </cell>
          <cell r="F167">
            <v>19.03</v>
          </cell>
          <cell r="G167">
            <v>21.5</v>
          </cell>
        </row>
        <row r="168">
          <cell r="A168" t="str">
            <v>C62RCR1-1</v>
          </cell>
          <cell r="B168" t="str">
            <v>LN</v>
          </cell>
          <cell r="C168" t="str">
            <v>BB ANTICORROSIVO 2000 ESTRUCTU BRILLANTE ROJO</v>
          </cell>
          <cell r="D168">
            <v>15.98</v>
          </cell>
          <cell r="E168">
            <v>18.059999999999999</v>
          </cell>
          <cell r="F168">
            <v>19.03</v>
          </cell>
          <cell r="G168">
            <v>21.5</v>
          </cell>
        </row>
        <row r="169">
          <cell r="A169" t="str">
            <v>C62RSA2-1</v>
          </cell>
          <cell r="B169" t="str">
            <v>LN</v>
          </cell>
          <cell r="C169" t="str">
            <v>BB ANTICORROSIVO 2000 ESTRUCTU BRILLANTE ROJO TEJA</v>
          </cell>
          <cell r="D169">
            <v>15.98</v>
          </cell>
          <cell r="E169">
            <v>18.059999999999999</v>
          </cell>
          <cell r="F169">
            <v>19.03</v>
          </cell>
          <cell r="G169">
            <v>21.5</v>
          </cell>
        </row>
        <row r="170">
          <cell r="A170" t="str">
            <v>C62GCR1-1</v>
          </cell>
          <cell r="B170" t="str">
            <v>LN</v>
          </cell>
          <cell r="C170" t="str">
            <v>BB ANTICORROSIVO 2000 ESTRUCTU BRILLANTE VERDE</v>
          </cell>
          <cell r="D170">
            <v>15.98</v>
          </cell>
          <cell r="E170">
            <v>18.059999999999999</v>
          </cell>
          <cell r="F170">
            <v>19.03</v>
          </cell>
          <cell r="G170">
            <v>21.5</v>
          </cell>
        </row>
        <row r="171">
          <cell r="B171" t="str">
            <v xml:space="preserve"> </v>
          </cell>
        </row>
        <row r="172">
          <cell r="A172" t="str">
            <v>C62LCR1-5</v>
          </cell>
          <cell r="B172" t="str">
            <v>LN</v>
          </cell>
          <cell r="C172" t="str">
            <v>BB ANTICORROSIVO 2000 ESTRUCTU BRILLANTE AZUL</v>
          </cell>
          <cell r="D172">
            <v>66.900000000000006</v>
          </cell>
          <cell r="E172">
            <v>75.599999999999994</v>
          </cell>
          <cell r="F172">
            <v>79.650000000000006</v>
          </cell>
          <cell r="G172">
            <v>90</v>
          </cell>
        </row>
        <row r="173">
          <cell r="A173" t="str">
            <v>C62LSA2-5</v>
          </cell>
          <cell r="B173" t="str">
            <v>LN</v>
          </cell>
          <cell r="C173" t="str">
            <v>BB ANTICORROSIVO 2000 ESTRUCTU BRILLANTE AZUL BANDERA</v>
          </cell>
          <cell r="D173">
            <v>66.900000000000006</v>
          </cell>
          <cell r="E173">
            <v>75.599999999999994</v>
          </cell>
          <cell r="F173">
            <v>79.650000000000006</v>
          </cell>
          <cell r="G173">
            <v>90</v>
          </cell>
        </row>
        <row r="174">
          <cell r="A174" t="str">
            <v>C62WCR1-5</v>
          </cell>
          <cell r="B174" t="str">
            <v>LN</v>
          </cell>
          <cell r="C174" t="str">
            <v>BB ANTICORROSIVO 2000 ESTRUCTU BRILLANTE BLANCO</v>
          </cell>
          <cell r="D174">
            <v>66.900000000000006</v>
          </cell>
          <cell r="E174">
            <v>75.599999999999994</v>
          </cell>
          <cell r="F174">
            <v>79.650000000000006</v>
          </cell>
          <cell r="G174">
            <v>90</v>
          </cell>
        </row>
        <row r="175">
          <cell r="A175" t="str">
            <v>C62ASA2-5</v>
          </cell>
          <cell r="B175" t="str">
            <v>LN</v>
          </cell>
          <cell r="C175" t="str">
            <v>BB ANTICORROSIVO 2000 ESTRUCTU BRILLANTE GRIS</v>
          </cell>
          <cell r="D175">
            <v>66.900000000000006</v>
          </cell>
          <cell r="E175">
            <v>75.599999999999994</v>
          </cell>
          <cell r="F175">
            <v>79.650000000000006</v>
          </cell>
          <cell r="G175">
            <v>90</v>
          </cell>
        </row>
        <row r="176">
          <cell r="A176" t="str">
            <v>C62BCR1-5</v>
          </cell>
          <cell r="B176" t="str">
            <v>LN</v>
          </cell>
          <cell r="C176" t="str">
            <v>BB ANTICORROSIVO 2000 ESTRUCTU BRILLANTE NEGRO</v>
          </cell>
          <cell r="D176">
            <v>66.900000000000006</v>
          </cell>
          <cell r="E176">
            <v>75.599999999999994</v>
          </cell>
          <cell r="F176">
            <v>79.650000000000006</v>
          </cell>
          <cell r="G176">
            <v>90</v>
          </cell>
        </row>
        <row r="177">
          <cell r="A177" t="str">
            <v>C62RCR1-5</v>
          </cell>
          <cell r="B177" t="str">
            <v>LN</v>
          </cell>
          <cell r="C177" t="str">
            <v>BB ANTICORROSIVO 2000 ESTRUCTU BRILLANTE ROJO</v>
          </cell>
          <cell r="D177">
            <v>66.900000000000006</v>
          </cell>
          <cell r="E177">
            <v>75.599999999999994</v>
          </cell>
          <cell r="F177">
            <v>79.650000000000006</v>
          </cell>
          <cell r="G177">
            <v>90</v>
          </cell>
        </row>
        <row r="178">
          <cell r="A178" t="str">
            <v>C62RSA2-5</v>
          </cell>
          <cell r="B178" t="str">
            <v>LN</v>
          </cell>
          <cell r="C178" t="str">
            <v>BB ANTICORROSIVO 2000 ESTRUCTU BRILLANTE ROJO TEJA</v>
          </cell>
          <cell r="D178">
            <v>66.900000000000006</v>
          </cell>
          <cell r="E178">
            <v>75.599999999999994</v>
          </cell>
          <cell r="F178">
            <v>79.650000000000006</v>
          </cell>
          <cell r="G178">
            <v>90</v>
          </cell>
        </row>
        <row r="179">
          <cell r="A179" t="str">
            <v>C62GCR1-5</v>
          </cell>
          <cell r="B179" t="str">
            <v>LN</v>
          </cell>
          <cell r="C179" t="str">
            <v>BB ANTICORROSIVO 2000 ESTRUCTU BRILLANTE VERDE</v>
          </cell>
          <cell r="D179">
            <v>66.900000000000006</v>
          </cell>
          <cell r="E179">
            <v>75.599999999999994</v>
          </cell>
          <cell r="F179">
            <v>79.650000000000006</v>
          </cell>
          <cell r="G179">
            <v>90</v>
          </cell>
        </row>
        <row r="181">
          <cell r="B181" t="str">
            <v xml:space="preserve"> </v>
          </cell>
          <cell r="C181" t="str">
            <v>BUILDERS BASE ANTICORROSIVO 2000 ESTRUCTURAL SATINADO</v>
          </cell>
        </row>
        <row r="182">
          <cell r="A182" t="str">
            <v>K62LSA1-1/4</v>
          </cell>
          <cell r="B182" t="str">
            <v>LN</v>
          </cell>
          <cell r="C182" t="str">
            <v>BB ANTICORROSIVO 2000 ESTRUCTU SATINADO AZUL</v>
          </cell>
          <cell r="D182">
            <v>4.83</v>
          </cell>
          <cell r="E182">
            <v>5.46</v>
          </cell>
          <cell r="F182">
            <v>5.75</v>
          </cell>
          <cell r="G182">
            <v>6.5</v>
          </cell>
        </row>
        <row r="183">
          <cell r="A183" t="str">
            <v>K62WSA1-1/4</v>
          </cell>
          <cell r="B183" t="str">
            <v>LN</v>
          </cell>
          <cell r="C183" t="str">
            <v>BB ANTICORROSIVO 2000 ESTRUCTU SATINADO BLANCO</v>
          </cell>
          <cell r="D183">
            <v>4.83</v>
          </cell>
          <cell r="E183">
            <v>5.46</v>
          </cell>
          <cell r="F183">
            <v>5.75</v>
          </cell>
          <cell r="G183">
            <v>6.5</v>
          </cell>
        </row>
        <row r="184">
          <cell r="A184" t="str">
            <v>K62ASA1-1/4</v>
          </cell>
          <cell r="B184" t="str">
            <v>LN</v>
          </cell>
          <cell r="C184" t="str">
            <v>BB ANTICORROSIVO 2000 ESTRUCTU SATINADO GRIS</v>
          </cell>
          <cell r="D184">
            <v>4.83</v>
          </cell>
          <cell r="E184">
            <v>5.46</v>
          </cell>
          <cell r="F184">
            <v>5.75</v>
          </cell>
          <cell r="G184">
            <v>6.5</v>
          </cell>
        </row>
        <row r="185">
          <cell r="A185" t="str">
            <v>K62BSA1-1/4</v>
          </cell>
          <cell r="B185" t="str">
            <v>LN</v>
          </cell>
          <cell r="C185" t="str">
            <v>BB ANTICORROSIVO 2000 ESTRUCTU SATINADO NEGRO</v>
          </cell>
          <cell r="D185">
            <v>4.83</v>
          </cell>
          <cell r="E185">
            <v>5.46</v>
          </cell>
          <cell r="F185">
            <v>5.75</v>
          </cell>
          <cell r="G185">
            <v>6.5</v>
          </cell>
        </row>
        <row r="186">
          <cell r="A186" t="str">
            <v>K62RSA1-1/4</v>
          </cell>
          <cell r="B186" t="str">
            <v>LN</v>
          </cell>
          <cell r="C186" t="str">
            <v>BB ANTICORROSIVO 2000 ESTRUCTU SATINADO ROJO</v>
          </cell>
          <cell r="D186">
            <v>4.83</v>
          </cell>
          <cell r="E186">
            <v>5.46</v>
          </cell>
          <cell r="F186">
            <v>5.75</v>
          </cell>
          <cell r="G186">
            <v>6.5</v>
          </cell>
        </row>
        <row r="187">
          <cell r="A187" t="str">
            <v>K62GSA1-1/4</v>
          </cell>
          <cell r="B187" t="str">
            <v>LN</v>
          </cell>
          <cell r="C187" t="str">
            <v>BB ANTICORROSIVO 2000 ESTRUCTU SATINADO VERDE</v>
          </cell>
          <cell r="D187">
            <v>4.83</v>
          </cell>
          <cell r="E187">
            <v>5.46</v>
          </cell>
          <cell r="F187">
            <v>5.75</v>
          </cell>
          <cell r="G187">
            <v>6.5</v>
          </cell>
        </row>
        <row r="188">
          <cell r="B188" t="str">
            <v xml:space="preserve"> </v>
          </cell>
        </row>
        <row r="189">
          <cell r="A189" t="str">
            <v>K62LSA1-1</v>
          </cell>
          <cell r="B189" t="str">
            <v>LN</v>
          </cell>
          <cell r="C189" t="str">
            <v>BB ANTICORROSIVO 2000 ESTRUCTU SATINADO AZUL</v>
          </cell>
          <cell r="D189">
            <v>15.98</v>
          </cell>
          <cell r="E189">
            <v>18.059999999999999</v>
          </cell>
          <cell r="F189">
            <v>19.03</v>
          </cell>
          <cell r="G189">
            <v>21.5</v>
          </cell>
        </row>
        <row r="190">
          <cell r="A190" t="str">
            <v>K62WSA1-1</v>
          </cell>
          <cell r="B190" t="str">
            <v>LN</v>
          </cell>
          <cell r="C190" t="str">
            <v>BB ANTICORROSIVO 2000 ESTRUCTU SATINADO BLANCO</v>
          </cell>
          <cell r="D190">
            <v>15.98</v>
          </cell>
          <cell r="E190">
            <v>18.059999999999999</v>
          </cell>
          <cell r="F190">
            <v>19.03</v>
          </cell>
          <cell r="G190">
            <v>21.5</v>
          </cell>
        </row>
        <row r="191">
          <cell r="A191" t="str">
            <v>K62ASA1-1</v>
          </cell>
          <cell r="B191" t="str">
            <v>LN</v>
          </cell>
          <cell r="C191" t="str">
            <v>BB ANTICORROSIVO 2000 ESTRUCTU SATINADO GRIS</v>
          </cell>
          <cell r="D191">
            <v>15.98</v>
          </cell>
          <cell r="E191">
            <v>18.059999999999999</v>
          </cell>
          <cell r="F191">
            <v>19.03</v>
          </cell>
          <cell r="G191">
            <v>21.5</v>
          </cell>
        </row>
        <row r="192">
          <cell r="A192" t="str">
            <v>K62BSA1-1</v>
          </cell>
          <cell r="B192" t="str">
            <v>LN</v>
          </cell>
          <cell r="C192" t="str">
            <v>BB ANTICORROSIVO 2000 ESTRUCTU SATINADO NEGRO</v>
          </cell>
          <cell r="D192">
            <v>15.98</v>
          </cell>
          <cell r="E192">
            <v>18.059999999999999</v>
          </cell>
          <cell r="F192">
            <v>19.03</v>
          </cell>
          <cell r="G192">
            <v>21.5</v>
          </cell>
        </row>
        <row r="193">
          <cell r="A193" t="str">
            <v>K62RSA1-1</v>
          </cell>
          <cell r="B193" t="str">
            <v>LN</v>
          </cell>
          <cell r="C193" t="str">
            <v>BB ANTICORROSIVO 2000 ESTRUCTU SATINADO ROJO</v>
          </cell>
          <cell r="D193">
            <v>15.98</v>
          </cell>
          <cell r="E193">
            <v>18.059999999999999</v>
          </cell>
          <cell r="F193">
            <v>19.03</v>
          </cell>
          <cell r="G193">
            <v>21.5</v>
          </cell>
        </row>
        <row r="194">
          <cell r="A194" t="str">
            <v>K62GSA1-1</v>
          </cell>
          <cell r="B194" t="str">
            <v>LN</v>
          </cell>
          <cell r="C194" t="str">
            <v>BB ANTICORROSIVO 2000 ESTRUCTU SATINADO VERDE</v>
          </cell>
          <cell r="D194">
            <v>15.98</v>
          </cell>
          <cell r="E194">
            <v>18.059999999999999</v>
          </cell>
          <cell r="F194">
            <v>19.03</v>
          </cell>
          <cell r="G194">
            <v>21.5</v>
          </cell>
        </row>
        <row r="195">
          <cell r="B195" t="str">
            <v xml:space="preserve"> </v>
          </cell>
        </row>
        <row r="196">
          <cell r="A196" t="str">
            <v>K62WSA1-5</v>
          </cell>
          <cell r="B196" t="str">
            <v>LN</v>
          </cell>
          <cell r="C196" t="str">
            <v>BB ANTICORROSIVO 2000 ESTRUCTU SATINADO BLANCO</v>
          </cell>
          <cell r="D196">
            <v>66.900000000000006</v>
          </cell>
          <cell r="E196">
            <v>75.599999999999994</v>
          </cell>
          <cell r="F196">
            <v>79.650000000000006</v>
          </cell>
          <cell r="G196">
            <v>90</v>
          </cell>
        </row>
        <row r="197">
          <cell r="A197" t="str">
            <v>K62ASA1-5</v>
          </cell>
          <cell r="B197" t="str">
            <v>LN</v>
          </cell>
          <cell r="C197" t="str">
            <v>BB ANTICORROSIVO 2000 ESTRUCTU SATINADO GRIS</v>
          </cell>
          <cell r="D197">
            <v>66.900000000000006</v>
          </cell>
          <cell r="E197">
            <v>75.599999999999994</v>
          </cell>
          <cell r="F197">
            <v>79.650000000000006</v>
          </cell>
          <cell r="G197">
            <v>90</v>
          </cell>
        </row>
        <row r="198">
          <cell r="A198" t="str">
            <v>K62BSA1-5</v>
          </cell>
          <cell r="B198" t="str">
            <v>LN</v>
          </cell>
          <cell r="C198" t="str">
            <v>BB ANTICORROSIVO 2000 ESTRUCTU SATINADO NEGRO</v>
          </cell>
          <cell r="D198">
            <v>66.900000000000006</v>
          </cell>
          <cell r="E198">
            <v>75.599999999999994</v>
          </cell>
          <cell r="F198">
            <v>79.650000000000006</v>
          </cell>
          <cell r="G198">
            <v>90</v>
          </cell>
        </row>
        <row r="199">
          <cell r="A199" t="str">
            <v>K62RSA1-5</v>
          </cell>
          <cell r="B199" t="str">
            <v>LN</v>
          </cell>
          <cell r="C199" t="str">
            <v>BB ANTICORROSIVO 2000 ESTRUCTU SATINADO ROJO</v>
          </cell>
          <cell r="D199">
            <v>66.900000000000006</v>
          </cell>
          <cell r="E199">
            <v>75.599999999999994</v>
          </cell>
          <cell r="F199">
            <v>79.650000000000006</v>
          </cell>
          <cell r="G199">
            <v>90</v>
          </cell>
        </row>
        <row r="200">
          <cell r="A200" t="str">
            <v>K62GSA1-5</v>
          </cell>
          <cell r="B200" t="str">
            <v>LN</v>
          </cell>
          <cell r="C200" t="str">
            <v>BB ANTICORROSIVO 2000 ESTRUCTU SATINADO VERDE</v>
          </cell>
          <cell r="D200">
            <v>66.900000000000006</v>
          </cell>
          <cell r="E200">
            <v>75.599999999999994</v>
          </cell>
          <cell r="F200">
            <v>79.650000000000006</v>
          </cell>
          <cell r="G200">
            <v>90</v>
          </cell>
        </row>
        <row r="202">
          <cell r="B202" t="str">
            <v xml:space="preserve"> </v>
          </cell>
          <cell r="C202" t="str">
            <v>ANTICORROSIVO COLORÁMICA</v>
          </cell>
        </row>
        <row r="203">
          <cell r="B203" t="str">
            <v xml:space="preserve"> </v>
          </cell>
          <cell r="C203" t="str">
            <v>ANTICORROSIVO COLORAMICA</v>
          </cell>
        </row>
        <row r="204">
          <cell r="A204" t="str">
            <v>N77ASA1-1/4</v>
          </cell>
          <cell r="B204" t="str">
            <v>LN</v>
          </cell>
          <cell r="C204" t="str">
            <v>ANTICORROSIVO COLORAMICA BRILLANTE GRIS</v>
          </cell>
          <cell r="D204">
            <v>3.94</v>
          </cell>
          <cell r="E204">
            <v>4.45</v>
          </cell>
          <cell r="F204">
            <v>4.6900000000000004</v>
          </cell>
          <cell r="G204">
            <v>5.3</v>
          </cell>
        </row>
        <row r="205">
          <cell r="A205" t="str">
            <v>N77BSA2-1/4</v>
          </cell>
          <cell r="B205" t="str">
            <v>LN</v>
          </cell>
          <cell r="C205" t="str">
            <v>ANTICORROSIVO COLORAMICA BRILLANTE NEGRO</v>
          </cell>
          <cell r="D205">
            <v>3.94</v>
          </cell>
          <cell r="E205">
            <v>4.45</v>
          </cell>
          <cell r="F205">
            <v>4.6900000000000004</v>
          </cell>
          <cell r="G205">
            <v>5.3</v>
          </cell>
        </row>
        <row r="206">
          <cell r="A206" t="str">
            <v>N77GSA2-1/4</v>
          </cell>
          <cell r="B206" t="str">
            <v>LN</v>
          </cell>
          <cell r="C206" t="str">
            <v>ANTICORROSIVO COLORAMICA BRILLANTE VERDE</v>
          </cell>
          <cell r="D206">
            <v>3.94</v>
          </cell>
          <cell r="E206">
            <v>4.45</v>
          </cell>
          <cell r="F206">
            <v>4.6900000000000004</v>
          </cell>
          <cell r="G206">
            <v>5.3</v>
          </cell>
        </row>
        <row r="207">
          <cell r="A207" t="str">
            <v>N77LSA1-1/4</v>
          </cell>
          <cell r="B207" t="str">
            <v>LN</v>
          </cell>
          <cell r="C207" t="str">
            <v>ANTICORROSIVO COLORAMICA BRILLANTE AZUL</v>
          </cell>
          <cell r="D207">
            <v>3.94</v>
          </cell>
          <cell r="E207">
            <v>4.45</v>
          </cell>
          <cell r="F207">
            <v>4.6900000000000004</v>
          </cell>
          <cell r="G207">
            <v>5.3</v>
          </cell>
        </row>
        <row r="208">
          <cell r="A208" t="str">
            <v>N77LSA2-1/4</v>
          </cell>
          <cell r="B208" t="str">
            <v>LN</v>
          </cell>
          <cell r="C208" t="str">
            <v>ANTICORROSIVO COLORAMICA BRILLANTE AZUL CORONA</v>
          </cell>
          <cell r="D208">
            <v>3.94</v>
          </cell>
          <cell r="E208">
            <v>4.45</v>
          </cell>
          <cell r="F208">
            <v>4.6900000000000004</v>
          </cell>
          <cell r="G208">
            <v>5.3</v>
          </cell>
        </row>
        <row r="209">
          <cell r="A209" t="str">
            <v>N77RSA3-1/4</v>
          </cell>
          <cell r="B209" t="str">
            <v>LN</v>
          </cell>
          <cell r="C209" t="str">
            <v>ANTICORROSIVO COLORAMICA BRILLANTE ROJO</v>
          </cell>
          <cell r="D209">
            <v>3.94</v>
          </cell>
          <cell r="E209">
            <v>4.45</v>
          </cell>
          <cell r="F209">
            <v>4.6900000000000004</v>
          </cell>
          <cell r="G209">
            <v>5.3</v>
          </cell>
        </row>
        <row r="210">
          <cell r="A210" t="str">
            <v>N77WSA1-1/4</v>
          </cell>
          <cell r="B210" t="str">
            <v>LN</v>
          </cell>
          <cell r="C210" t="str">
            <v>ANTICORROSIVO COLORAMICA BRILLANTE BLANCO</v>
          </cell>
          <cell r="D210">
            <v>3.94</v>
          </cell>
          <cell r="E210">
            <v>4.45</v>
          </cell>
          <cell r="F210">
            <v>4.6900000000000004</v>
          </cell>
          <cell r="G210">
            <v>5.3</v>
          </cell>
        </row>
        <row r="211">
          <cell r="A211" t="str">
            <v>N77YSA3-1/4</v>
          </cell>
          <cell r="B211" t="str">
            <v>LN</v>
          </cell>
          <cell r="C211" t="str">
            <v>ANTICORROSIVO COLORAMICA BRILLANTE AMARILLO</v>
          </cell>
          <cell r="D211">
            <v>3.94</v>
          </cell>
          <cell r="E211">
            <v>4.45</v>
          </cell>
          <cell r="F211">
            <v>4.6900000000000004</v>
          </cell>
          <cell r="G211">
            <v>5.3</v>
          </cell>
        </row>
        <row r="212">
          <cell r="B212" t="str">
            <v xml:space="preserve"> </v>
          </cell>
        </row>
        <row r="213">
          <cell r="A213" t="str">
            <v>N77ASA1-1</v>
          </cell>
          <cell r="B213" t="str">
            <v>LN</v>
          </cell>
          <cell r="C213" t="str">
            <v>ANTICORROSIVO COLORAMICA BRILLANTE GRIS</v>
          </cell>
          <cell r="D213">
            <v>13.01</v>
          </cell>
          <cell r="E213">
            <v>14.7</v>
          </cell>
          <cell r="F213">
            <v>15.49</v>
          </cell>
          <cell r="G213">
            <v>17.5</v>
          </cell>
        </row>
        <row r="214">
          <cell r="A214" t="str">
            <v>N77BSA2-1</v>
          </cell>
          <cell r="B214" t="str">
            <v>LN</v>
          </cell>
          <cell r="C214" t="str">
            <v>ANTICORROSIVO COLORAMICA BRILLANTE NEGRO</v>
          </cell>
          <cell r="D214">
            <v>13.01</v>
          </cell>
          <cell r="E214">
            <v>14.7</v>
          </cell>
          <cell r="F214">
            <v>15.49</v>
          </cell>
          <cell r="G214">
            <v>17.5</v>
          </cell>
        </row>
        <row r="215">
          <cell r="A215" t="str">
            <v>N77GSA2-1</v>
          </cell>
          <cell r="B215" t="str">
            <v>LN</v>
          </cell>
          <cell r="C215" t="str">
            <v>ANTICORROSIVO COLORAMICA BRILLANTE VERDE</v>
          </cell>
          <cell r="D215">
            <v>13.01</v>
          </cell>
          <cell r="E215">
            <v>14.7</v>
          </cell>
          <cell r="F215">
            <v>15.49</v>
          </cell>
          <cell r="G215">
            <v>17.5</v>
          </cell>
        </row>
        <row r="216">
          <cell r="A216" t="str">
            <v>N77LSA1-1</v>
          </cell>
          <cell r="B216" t="str">
            <v>LN</v>
          </cell>
          <cell r="C216" t="str">
            <v>ANTICORROSIVO COLORAMICA BRILLANTE AZUL</v>
          </cell>
          <cell r="D216">
            <v>13.01</v>
          </cell>
          <cell r="E216">
            <v>14.7</v>
          </cell>
          <cell r="F216">
            <v>15.49</v>
          </cell>
          <cell r="G216">
            <v>17.5</v>
          </cell>
        </row>
        <row r="217">
          <cell r="A217" t="str">
            <v>N77LSA2-1</v>
          </cell>
          <cell r="B217" t="str">
            <v>LN</v>
          </cell>
          <cell r="C217" t="str">
            <v>ANTICORROSIVO COLORAMICA BRILLANTE AZUL CORONA</v>
          </cell>
          <cell r="D217">
            <v>13.01</v>
          </cell>
          <cell r="E217">
            <v>14.7</v>
          </cell>
          <cell r="F217">
            <v>15.49</v>
          </cell>
          <cell r="G217">
            <v>17.5</v>
          </cell>
        </row>
        <row r="218">
          <cell r="A218" t="str">
            <v>N77RSA3-1</v>
          </cell>
          <cell r="B218" t="str">
            <v>LN</v>
          </cell>
          <cell r="C218" t="str">
            <v>ANTICORROSIVO COLORAMICA BRILLANTE ROJO</v>
          </cell>
          <cell r="D218">
            <v>13.01</v>
          </cell>
          <cell r="E218">
            <v>14.7</v>
          </cell>
          <cell r="F218">
            <v>15.49</v>
          </cell>
          <cell r="G218">
            <v>17.5</v>
          </cell>
        </row>
        <row r="219">
          <cell r="A219" t="str">
            <v>N77WSA1-1</v>
          </cell>
          <cell r="B219" t="str">
            <v>LN</v>
          </cell>
          <cell r="C219" t="str">
            <v>ANTICORROSIVO COLORAMICA BRILLANTE BLANCO</v>
          </cell>
          <cell r="D219">
            <v>13.01</v>
          </cell>
          <cell r="E219">
            <v>14.7</v>
          </cell>
          <cell r="F219">
            <v>15.49</v>
          </cell>
          <cell r="G219">
            <v>17.5</v>
          </cell>
        </row>
        <row r="220">
          <cell r="A220" t="str">
            <v>N77YSA3-1</v>
          </cell>
          <cell r="B220" t="str">
            <v>LN</v>
          </cell>
          <cell r="C220" t="str">
            <v>ANTICORROSIVO COLORAMICA BRILLANTE AMARILLO</v>
          </cell>
          <cell r="D220">
            <v>13.01</v>
          </cell>
          <cell r="E220">
            <v>14.7</v>
          </cell>
          <cell r="F220">
            <v>15.49</v>
          </cell>
          <cell r="G220">
            <v>17.5</v>
          </cell>
        </row>
        <row r="221">
          <cell r="B221" t="str">
            <v xml:space="preserve"> </v>
          </cell>
        </row>
        <row r="222">
          <cell r="A222" t="str">
            <v>N77ASA1-5</v>
          </cell>
          <cell r="B222" t="str">
            <v>LN</v>
          </cell>
          <cell r="C222" t="str">
            <v>ANTICORROSIVO COLORAMICA BRILLANTE GRIS</v>
          </cell>
          <cell r="D222">
            <v>56.42</v>
          </cell>
          <cell r="E222">
            <v>63.76</v>
          </cell>
          <cell r="F222">
            <v>67.17</v>
          </cell>
          <cell r="G222">
            <v>75.900000000000006</v>
          </cell>
        </row>
        <row r="223">
          <cell r="A223" t="str">
            <v>N77BSA2-5</v>
          </cell>
          <cell r="B223" t="str">
            <v>LN</v>
          </cell>
          <cell r="C223" t="str">
            <v>ANTICORROSIVO COLORAMICA BRILLANTE NEGRO</v>
          </cell>
          <cell r="D223">
            <v>56.42</v>
          </cell>
          <cell r="E223">
            <v>63.76</v>
          </cell>
          <cell r="F223">
            <v>67.17</v>
          </cell>
          <cell r="G223">
            <v>75.900000000000006</v>
          </cell>
        </row>
        <row r="224">
          <cell r="A224" t="str">
            <v>N77GSA2-5</v>
          </cell>
          <cell r="B224" t="str">
            <v>LN</v>
          </cell>
          <cell r="C224" t="str">
            <v>ANTICORROSIVO COLORAMICA BRILLANTE VERDE</v>
          </cell>
          <cell r="D224">
            <v>56.42</v>
          </cell>
          <cell r="E224">
            <v>63.76</v>
          </cell>
          <cell r="F224">
            <v>67.17</v>
          </cell>
          <cell r="G224">
            <v>75.900000000000006</v>
          </cell>
        </row>
        <row r="225">
          <cell r="A225" t="str">
            <v>N77RSA3-5</v>
          </cell>
          <cell r="B225" t="str">
            <v>LN</v>
          </cell>
          <cell r="C225" t="str">
            <v>ANTICORROSIVO COLORAMICA BRILLANTE ROJO</v>
          </cell>
          <cell r="D225">
            <v>56.42</v>
          </cell>
          <cell r="E225">
            <v>63.76</v>
          </cell>
          <cell r="F225">
            <v>67.17</v>
          </cell>
          <cell r="G225">
            <v>75.900000000000006</v>
          </cell>
        </row>
        <row r="226">
          <cell r="A226" t="str">
            <v>N77WSA1-5</v>
          </cell>
          <cell r="B226" t="str">
            <v>LN</v>
          </cell>
          <cell r="C226" t="str">
            <v>ANTICORROSIVO COLORAMICA BRILLANTE BLANCO</v>
          </cell>
          <cell r="D226">
            <v>56.42</v>
          </cell>
          <cell r="E226">
            <v>63.76</v>
          </cell>
          <cell r="F226">
            <v>67.17</v>
          </cell>
          <cell r="G226">
            <v>75.900000000000006</v>
          </cell>
        </row>
        <row r="227">
          <cell r="B227" t="str">
            <v xml:space="preserve"> </v>
          </cell>
        </row>
        <row r="228">
          <cell r="C228" t="str">
            <v>KEM INDUSTRIA DIRECT-TO-METAL</v>
          </cell>
        </row>
        <row r="230">
          <cell r="B230" t="str">
            <v xml:space="preserve"> </v>
          </cell>
          <cell r="C230" t="str">
            <v>KEM DIRECT-TO-METAL BASE AGUA</v>
          </cell>
        </row>
        <row r="231">
          <cell r="B231" t="str">
            <v xml:space="preserve"> </v>
          </cell>
          <cell r="C231" t="str">
            <v>USO INTERIOR - EXTERIOR</v>
          </cell>
        </row>
        <row r="232">
          <cell r="A232" t="str">
            <v>B66ASA3-1/4</v>
          </cell>
          <cell r="B232" t="str">
            <v>PE</v>
          </cell>
          <cell r="C232" t="str">
            <v>KEM DIRECT-TO-METAL BASE AGUA MATE GRIS</v>
          </cell>
          <cell r="D232">
            <v>8.2200000000000006</v>
          </cell>
          <cell r="E232">
            <v>9.2899999999999991</v>
          </cell>
          <cell r="F232">
            <v>11.42</v>
          </cell>
          <cell r="G232">
            <v>12.9</v>
          </cell>
        </row>
        <row r="233">
          <cell r="A233" t="str">
            <v>B66GSA2-1/4</v>
          </cell>
          <cell r="B233" t="str">
            <v>PE</v>
          </cell>
          <cell r="C233" t="str">
            <v>KEM DIRECT-TO-METAL BASE AGUA MATE VERDE OXIDO</v>
          </cell>
          <cell r="D233">
            <v>8.2200000000000006</v>
          </cell>
          <cell r="E233">
            <v>9.2899999999999991</v>
          </cell>
          <cell r="F233">
            <v>11.42</v>
          </cell>
          <cell r="G233">
            <v>12.9</v>
          </cell>
        </row>
        <row r="234">
          <cell r="A234" t="str">
            <v>B66RSA3-1/4</v>
          </cell>
          <cell r="B234" t="str">
            <v>LN</v>
          </cell>
          <cell r="C234" t="str">
            <v>KEM DIRECT-TO-METAL BASE AGUA MATE ROJO OXIDO</v>
          </cell>
          <cell r="D234">
            <v>8.2200000000000006</v>
          </cell>
          <cell r="E234">
            <v>9.2899999999999991</v>
          </cell>
          <cell r="F234">
            <v>11.42</v>
          </cell>
          <cell r="G234">
            <v>12.9</v>
          </cell>
        </row>
        <row r="235">
          <cell r="A235" t="str">
            <v>B66WSA4-1/4</v>
          </cell>
          <cell r="B235" t="str">
            <v>PE</v>
          </cell>
          <cell r="C235" t="str">
            <v>KEM DIRECT-TO-METAL BASE AGUA MATE BLANCO</v>
          </cell>
          <cell r="D235">
            <v>8.2200000000000006</v>
          </cell>
          <cell r="E235">
            <v>9.2899999999999991</v>
          </cell>
          <cell r="F235">
            <v>11.42</v>
          </cell>
          <cell r="G235">
            <v>12.9</v>
          </cell>
        </row>
        <row r="236">
          <cell r="A236" t="str">
            <v>B66RSA4-1/4</v>
          </cell>
          <cell r="B236" t="str">
            <v>LN</v>
          </cell>
          <cell r="C236" t="str">
            <v>KEM DIRECT-TO-METAL BASE AGUA MATE ROJO TEJA</v>
          </cell>
          <cell r="D236">
            <v>8.2200000000000006</v>
          </cell>
          <cell r="E236">
            <v>9.2899999999999991</v>
          </cell>
          <cell r="F236">
            <v>11.42</v>
          </cell>
          <cell r="G236">
            <v>12.9</v>
          </cell>
        </row>
        <row r="237">
          <cell r="A237" t="str">
            <v>B66BSA2-1/4</v>
          </cell>
          <cell r="B237" t="str">
            <v>PE</v>
          </cell>
          <cell r="C237" t="str">
            <v>KEM DIRECT-TO-METAL BASE AGUA MATE NEGRO</v>
          </cell>
          <cell r="D237">
            <v>8.2200000000000006</v>
          </cell>
          <cell r="E237">
            <v>9.2899999999999991</v>
          </cell>
          <cell r="F237">
            <v>11.42</v>
          </cell>
          <cell r="G237">
            <v>12.9</v>
          </cell>
        </row>
        <row r="238">
          <cell r="B238" t="str">
            <v xml:space="preserve"> </v>
          </cell>
        </row>
        <row r="239">
          <cell r="A239" t="str">
            <v>B66ASA3-1</v>
          </cell>
          <cell r="B239" t="str">
            <v>LN</v>
          </cell>
          <cell r="C239" t="str">
            <v>KEM DIRECT-TO-METAL BASE AGUA MATE GRIS</v>
          </cell>
          <cell r="D239">
            <v>27.34</v>
          </cell>
          <cell r="E239">
            <v>30.89</v>
          </cell>
          <cell r="F239">
            <v>37.96</v>
          </cell>
          <cell r="G239">
            <v>42.9</v>
          </cell>
        </row>
        <row r="240">
          <cell r="A240" t="str">
            <v>B66ASA6-1</v>
          </cell>
          <cell r="B240" t="str">
            <v>LN</v>
          </cell>
          <cell r="C240" t="str">
            <v>KEM DIRECT-TO-METAL BASE AGUA MATE GRIS RAL 7046</v>
          </cell>
          <cell r="D240">
            <v>27.34</v>
          </cell>
          <cell r="E240">
            <v>30.89</v>
          </cell>
          <cell r="F240">
            <v>37.96</v>
          </cell>
          <cell r="G240">
            <v>42.9</v>
          </cell>
        </row>
        <row r="241">
          <cell r="A241" t="str">
            <v>B66GSA2-1</v>
          </cell>
          <cell r="B241" t="str">
            <v>LN</v>
          </cell>
          <cell r="C241" t="str">
            <v>KEM DIRECT-TO-METAL BASE AGUA MATE VERDE OXIDO</v>
          </cell>
          <cell r="D241">
            <v>27.34</v>
          </cell>
          <cell r="E241">
            <v>30.89</v>
          </cell>
          <cell r="F241">
            <v>37.96</v>
          </cell>
          <cell r="G241">
            <v>42.9</v>
          </cell>
        </row>
        <row r="242">
          <cell r="A242" t="str">
            <v>B66RSA3-1</v>
          </cell>
          <cell r="B242" t="str">
            <v>LN</v>
          </cell>
          <cell r="C242" t="str">
            <v>KEM DIRECT-TO-METAL BASE AGUA MATE ROJO OXIDO</v>
          </cell>
          <cell r="D242">
            <v>27.34</v>
          </cell>
          <cell r="E242">
            <v>30.89</v>
          </cell>
          <cell r="F242">
            <v>37.96</v>
          </cell>
          <cell r="G242">
            <v>42.9</v>
          </cell>
        </row>
        <row r="243">
          <cell r="A243" t="str">
            <v>B66WSA4-1</v>
          </cell>
          <cell r="B243" t="str">
            <v>LN</v>
          </cell>
          <cell r="C243" t="str">
            <v>KEM DIRECT-TO-METAL BASE AGUA MATE BLANCO</v>
          </cell>
          <cell r="D243">
            <v>27.34</v>
          </cell>
          <cell r="E243">
            <v>30.89</v>
          </cell>
          <cell r="F243">
            <v>37.96</v>
          </cell>
          <cell r="G243">
            <v>42.9</v>
          </cell>
        </row>
        <row r="244">
          <cell r="A244" t="str">
            <v>B66RSA4-1</v>
          </cell>
          <cell r="B244" t="str">
            <v>LN</v>
          </cell>
          <cell r="C244" t="str">
            <v>KEM DIRECT-TO-METAL BASE AGUA MATE ROJO TEJA</v>
          </cell>
          <cell r="D244">
            <v>27.34</v>
          </cell>
          <cell r="E244">
            <v>30.89</v>
          </cell>
          <cell r="F244">
            <v>37.96</v>
          </cell>
          <cell r="G244">
            <v>42.9</v>
          </cell>
        </row>
        <row r="245">
          <cell r="A245" t="str">
            <v>B66BSA2-1</v>
          </cell>
          <cell r="B245" t="str">
            <v>LN</v>
          </cell>
          <cell r="C245" t="str">
            <v>KEM DIRECT-TO-METAL BASE AGUA MATE NEGRO</v>
          </cell>
          <cell r="D245">
            <v>27.34</v>
          </cell>
          <cell r="E245">
            <v>30.89</v>
          </cell>
          <cell r="F245">
            <v>37.96</v>
          </cell>
          <cell r="G245">
            <v>42.9</v>
          </cell>
        </row>
        <row r="247">
          <cell r="A247" t="str">
            <v>B66ASA3-5</v>
          </cell>
          <cell r="B247" t="str">
            <v>PE</v>
          </cell>
          <cell r="C247" t="str">
            <v>KEM DIRECT-TO-METAL BASE AGUA MATE GRIS</v>
          </cell>
          <cell r="D247">
            <v>132.53</v>
          </cell>
          <cell r="E247">
            <v>149.76</v>
          </cell>
          <cell r="F247">
            <v>184.07</v>
          </cell>
          <cell r="G247">
            <v>208</v>
          </cell>
        </row>
        <row r="248">
          <cell r="A248" t="str">
            <v>B66RSA3-5</v>
          </cell>
          <cell r="B248" t="str">
            <v>PE</v>
          </cell>
          <cell r="C248" t="str">
            <v>KEM DIRECT-TO-METAL BASE AGUA MATE ROJO OXIDO</v>
          </cell>
          <cell r="D248">
            <v>132.53</v>
          </cell>
          <cell r="E248">
            <v>149.76</v>
          </cell>
          <cell r="F248">
            <v>184.07</v>
          </cell>
          <cell r="G248">
            <v>208</v>
          </cell>
        </row>
        <row r="250">
          <cell r="B250" t="str">
            <v xml:space="preserve"> </v>
          </cell>
          <cell r="C250" t="str">
            <v>KEM DIRECT-TO-METAL BASE SOLVENTE MATE</v>
          </cell>
        </row>
        <row r="251">
          <cell r="B251" t="str">
            <v xml:space="preserve"> </v>
          </cell>
          <cell r="C251" t="str">
            <v>USO INTERIOR - EXTERIOR</v>
          </cell>
        </row>
        <row r="252">
          <cell r="A252" t="str">
            <v>E62ASA1-1/4</v>
          </cell>
          <cell r="B252" t="str">
            <v>LN</v>
          </cell>
          <cell r="C252" t="str">
            <v>KEM DIRECT-TO-METAL BASE SOLVENTE MATE GRIS RAL 7046</v>
          </cell>
          <cell r="D252">
            <v>6.69</v>
          </cell>
          <cell r="E252">
            <v>7.56</v>
          </cell>
          <cell r="F252">
            <v>9.2899999999999991</v>
          </cell>
          <cell r="G252">
            <v>10.5</v>
          </cell>
        </row>
        <row r="253">
          <cell r="A253" t="str">
            <v>E62GSA3-1/4</v>
          </cell>
          <cell r="B253" t="str">
            <v>PE</v>
          </cell>
          <cell r="C253" t="str">
            <v xml:space="preserve">KEM DIRECT-TO-METAL BASE SOLVENTE MATE VERDE </v>
          </cell>
          <cell r="D253">
            <v>6.69</v>
          </cell>
          <cell r="E253">
            <v>7.56</v>
          </cell>
          <cell r="F253">
            <v>9.2899999999999991</v>
          </cell>
          <cell r="G253">
            <v>10.5</v>
          </cell>
        </row>
        <row r="254">
          <cell r="A254" t="str">
            <v>E62WSA1-1/4</v>
          </cell>
          <cell r="B254" t="str">
            <v>LN</v>
          </cell>
          <cell r="C254" t="str">
            <v>KEM DIRECT-TO-METAL BASE SOLVENTE MATE BLANCO</v>
          </cell>
          <cell r="D254">
            <v>6.69</v>
          </cell>
          <cell r="E254">
            <v>7.56</v>
          </cell>
          <cell r="F254">
            <v>9.2899999999999991</v>
          </cell>
          <cell r="G254">
            <v>10.5</v>
          </cell>
        </row>
        <row r="255">
          <cell r="A255" t="str">
            <v>E62RSA1-1/4</v>
          </cell>
          <cell r="B255" t="str">
            <v>LN</v>
          </cell>
          <cell r="C255" t="str">
            <v>KEM DIRECT-TO-METAL BASE SOLVENTE MATE ROJO OXIDO</v>
          </cell>
          <cell r="D255">
            <v>6.69</v>
          </cell>
          <cell r="E255">
            <v>7.56</v>
          </cell>
          <cell r="F255">
            <v>9.2899999999999991</v>
          </cell>
          <cell r="G255">
            <v>10.5</v>
          </cell>
        </row>
        <row r="256">
          <cell r="A256" t="str">
            <v>E62BSA1-1/4</v>
          </cell>
          <cell r="B256" t="str">
            <v>LN</v>
          </cell>
          <cell r="C256" t="str">
            <v>KEM DIRECT-TO-METAL BASE SOLVENTE MATE NEGRO</v>
          </cell>
          <cell r="D256">
            <v>6.69</v>
          </cell>
          <cell r="E256">
            <v>7.56</v>
          </cell>
          <cell r="F256">
            <v>9.2899999999999991</v>
          </cell>
          <cell r="G256">
            <v>10.5</v>
          </cell>
        </row>
        <row r="258">
          <cell r="A258" t="str">
            <v>E62ASA1-1</v>
          </cell>
          <cell r="B258" t="str">
            <v>LN</v>
          </cell>
          <cell r="C258" t="str">
            <v>KEM DIRECT-TO-METAL BASE SOLVENTE MATE GRIS RAL 7046</v>
          </cell>
          <cell r="D258">
            <v>22.88</v>
          </cell>
          <cell r="E258">
            <v>25.85</v>
          </cell>
          <cell r="F258">
            <v>31.77</v>
          </cell>
          <cell r="G258">
            <v>35.9</v>
          </cell>
        </row>
        <row r="259">
          <cell r="A259" t="str">
            <v>E62ASA2-1</v>
          </cell>
          <cell r="B259" t="str">
            <v>LN</v>
          </cell>
          <cell r="C259" t="str">
            <v>KEM DIRECT-TO-METAL BASE SOLVENTE MATE GRIS RAL 7042</v>
          </cell>
          <cell r="D259">
            <v>22.88</v>
          </cell>
          <cell r="E259">
            <v>25.85</v>
          </cell>
          <cell r="F259">
            <v>31.77</v>
          </cell>
          <cell r="G259">
            <v>35.9</v>
          </cell>
        </row>
        <row r="260">
          <cell r="A260" t="str">
            <v>E62GSA3-1</v>
          </cell>
          <cell r="B260" t="str">
            <v>LN</v>
          </cell>
          <cell r="C260" t="str">
            <v xml:space="preserve">KEM DIRECT-TO-METAL BASE SOLVENTE MATE VERDE </v>
          </cell>
          <cell r="D260">
            <v>22.88</v>
          </cell>
          <cell r="E260">
            <v>25.85</v>
          </cell>
          <cell r="F260">
            <v>31.77</v>
          </cell>
          <cell r="G260">
            <v>35.9</v>
          </cell>
        </row>
        <row r="261">
          <cell r="A261" t="str">
            <v>E62WSA1-1</v>
          </cell>
          <cell r="B261" t="str">
            <v>LN</v>
          </cell>
          <cell r="C261" t="str">
            <v>KEM DIRECT-TO-METAL BASE SOLVENTE MATE BLANCO</v>
          </cell>
          <cell r="D261">
            <v>22.88</v>
          </cell>
          <cell r="E261">
            <v>25.85</v>
          </cell>
          <cell r="F261">
            <v>31.77</v>
          </cell>
          <cell r="G261">
            <v>35.9</v>
          </cell>
        </row>
        <row r="262">
          <cell r="A262" t="str">
            <v>E62LSA1-1</v>
          </cell>
          <cell r="B262" t="str">
            <v>PE</v>
          </cell>
          <cell r="C262" t="str">
            <v>KEM DIRECT-TO-METAL BASE SOLVENTE MATE AZUL</v>
          </cell>
          <cell r="D262">
            <v>22.88</v>
          </cell>
          <cell r="E262">
            <v>25.85</v>
          </cell>
          <cell r="F262">
            <v>31.77</v>
          </cell>
          <cell r="G262">
            <v>35.9</v>
          </cell>
        </row>
        <row r="263">
          <cell r="A263" t="str">
            <v>E62RSA1-1</v>
          </cell>
          <cell r="B263" t="str">
            <v>LN</v>
          </cell>
          <cell r="C263" t="str">
            <v>KEM DIRECT-TO-METAL BASE SOLVENTE MATE ROJO OXIDO</v>
          </cell>
          <cell r="D263">
            <v>22.88</v>
          </cell>
          <cell r="E263">
            <v>25.85</v>
          </cell>
          <cell r="F263">
            <v>31.77</v>
          </cell>
          <cell r="G263">
            <v>35.9</v>
          </cell>
        </row>
        <row r="264">
          <cell r="A264" t="str">
            <v>E62BSA1-1</v>
          </cell>
          <cell r="B264" t="str">
            <v>LN</v>
          </cell>
          <cell r="C264" t="str">
            <v>KEM DIRECT-TO-METAL BASE SOLVENTE MATE NEGRO</v>
          </cell>
          <cell r="D264">
            <v>22.88</v>
          </cell>
          <cell r="E264">
            <v>25.85</v>
          </cell>
          <cell r="F264">
            <v>31.77</v>
          </cell>
          <cell r="G264">
            <v>35.9</v>
          </cell>
        </row>
        <row r="266">
          <cell r="A266" t="str">
            <v>E62ASA1-5</v>
          </cell>
          <cell r="B266" t="str">
            <v>LN</v>
          </cell>
          <cell r="C266" t="str">
            <v>KEM DIRECT-TO-METAL BASE SOLVENTE MATE GRIS RAL 7046</v>
          </cell>
          <cell r="D266">
            <v>108.32</v>
          </cell>
          <cell r="E266">
            <v>122.4</v>
          </cell>
          <cell r="F266">
            <v>150.44</v>
          </cell>
          <cell r="G266">
            <v>170</v>
          </cell>
        </row>
        <row r="267">
          <cell r="A267" t="str">
            <v>E62ASA2-5</v>
          </cell>
          <cell r="B267" t="str">
            <v>PE</v>
          </cell>
          <cell r="C267" t="str">
            <v>KEM DIRECT-TO-METAL BASE SOLVENTE MATE GRIS RAL 7042</v>
          </cell>
          <cell r="D267">
            <v>108.32</v>
          </cell>
          <cell r="E267">
            <v>122.4</v>
          </cell>
          <cell r="F267">
            <v>150.44</v>
          </cell>
          <cell r="G267">
            <v>170</v>
          </cell>
        </row>
        <row r="268">
          <cell r="A268" t="str">
            <v>E62WSA1-5</v>
          </cell>
          <cell r="B268" t="str">
            <v>LN</v>
          </cell>
          <cell r="C268" t="str">
            <v>KEM DIRECT-TO-METAL BASE SOLVENTE MATE BLANCO</v>
          </cell>
          <cell r="D268">
            <v>108.32</v>
          </cell>
          <cell r="E268">
            <v>122.4</v>
          </cell>
          <cell r="F268">
            <v>150.44</v>
          </cell>
          <cell r="G268">
            <v>170</v>
          </cell>
        </row>
        <row r="269">
          <cell r="A269" t="str">
            <v>E62RSA1-5</v>
          </cell>
          <cell r="B269" t="str">
            <v>LN</v>
          </cell>
          <cell r="C269" t="str">
            <v>KEM DIRECT-TO-METAL BASE SOLVENTE MATE ROJO OXIDO</v>
          </cell>
          <cell r="D269">
            <v>108.32</v>
          </cell>
          <cell r="E269">
            <v>122.4</v>
          </cell>
          <cell r="F269">
            <v>150.44</v>
          </cell>
          <cell r="G269">
            <v>170</v>
          </cell>
        </row>
        <row r="270">
          <cell r="A270" t="str">
            <v>E62BSA1-5</v>
          </cell>
          <cell r="B270" t="str">
            <v>PE</v>
          </cell>
          <cell r="C270" t="str">
            <v>KEM DIRECT-TO-METAL BASE SOLVENTE MATE NEGRO</v>
          </cell>
          <cell r="D270">
            <v>108.32</v>
          </cell>
          <cell r="E270">
            <v>122.4</v>
          </cell>
          <cell r="F270">
            <v>150.44</v>
          </cell>
          <cell r="G270">
            <v>170</v>
          </cell>
        </row>
        <row r="271">
          <cell r="A271" t="str">
            <v>E62ASA11-5</v>
          </cell>
          <cell r="B271" t="str">
            <v>NUEVO</v>
          </cell>
          <cell r="C271" t="str">
            <v>KEM DIRECT-TO-METAL BASE SOLVENTE MATE GRIS MEDIANO</v>
          </cell>
          <cell r="D271">
            <v>108.32</v>
          </cell>
          <cell r="E271">
            <v>122.4</v>
          </cell>
          <cell r="F271">
            <v>150.44</v>
          </cell>
          <cell r="G271">
            <v>170</v>
          </cell>
        </row>
        <row r="272">
          <cell r="A272" t="str">
            <v>E62WSA11-5</v>
          </cell>
          <cell r="B272" t="str">
            <v>NUEVO</v>
          </cell>
          <cell r="C272" t="str">
            <v>KEM DIRECT-TO-METAL BASE SOLVENTE MATE BLANCO ESPECIAL</v>
          </cell>
          <cell r="D272">
            <v>108.32</v>
          </cell>
          <cell r="E272">
            <v>122.4</v>
          </cell>
          <cell r="F272">
            <v>150.44</v>
          </cell>
          <cell r="G272">
            <v>170</v>
          </cell>
        </row>
        <row r="273">
          <cell r="B273" t="str">
            <v xml:space="preserve"> </v>
          </cell>
        </row>
        <row r="274">
          <cell r="B274" t="str">
            <v xml:space="preserve"> </v>
          </cell>
          <cell r="C274" t="str">
            <v xml:space="preserve"> KEM DIRECT-TO-METAL BASE SOLVENTE BRILLANTE</v>
          </cell>
        </row>
        <row r="275">
          <cell r="C275" t="str">
            <v>USO INTERIOR - EXTERIOR</v>
          </cell>
        </row>
        <row r="276">
          <cell r="A276" t="str">
            <v>E67ASA1-1/4</v>
          </cell>
          <cell r="B276" t="str">
            <v>LN</v>
          </cell>
          <cell r="C276" t="str">
            <v>KEM DIRECT-TO-METAL BASE SOLVENTE BTE GRIS RAL 7046</v>
          </cell>
          <cell r="D276">
            <v>6.69</v>
          </cell>
          <cell r="E276">
            <v>7.56</v>
          </cell>
          <cell r="F276">
            <v>9.2899999999999991</v>
          </cell>
          <cell r="G276">
            <v>10.5</v>
          </cell>
        </row>
        <row r="277">
          <cell r="A277" t="str">
            <v>E67GSA1-1/4</v>
          </cell>
          <cell r="B277" t="str">
            <v>LN</v>
          </cell>
          <cell r="C277" t="str">
            <v xml:space="preserve">KEM DIRECT-TO-METAL BASE SOLVENTE BRILLANTE VERDE </v>
          </cell>
          <cell r="D277">
            <v>6.69</v>
          </cell>
          <cell r="E277">
            <v>7.56</v>
          </cell>
          <cell r="F277">
            <v>9.2899999999999991</v>
          </cell>
          <cell r="G277">
            <v>10.5</v>
          </cell>
        </row>
        <row r="278">
          <cell r="A278" t="str">
            <v>E67RSA1-1/4</v>
          </cell>
          <cell r="B278" t="str">
            <v>LN</v>
          </cell>
          <cell r="C278" t="str">
            <v>KEM DIRECT-TO-METAL BASE SOLVENTE BRILLANTE ROJO OXIDO</v>
          </cell>
          <cell r="D278">
            <v>6.69</v>
          </cell>
          <cell r="E278">
            <v>7.56</v>
          </cell>
          <cell r="F278">
            <v>9.2899999999999991</v>
          </cell>
          <cell r="G278">
            <v>10.5</v>
          </cell>
        </row>
        <row r="279">
          <cell r="A279" t="str">
            <v>E67WSA1-1/4</v>
          </cell>
          <cell r="B279" t="str">
            <v>LN</v>
          </cell>
          <cell r="C279" t="str">
            <v>KEM DIRECT-TO-METAL BASE SOLVENTE BRILLANTE BLANCO</v>
          </cell>
          <cell r="D279">
            <v>6.69</v>
          </cell>
          <cell r="E279">
            <v>7.56</v>
          </cell>
          <cell r="F279">
            <v>9.2899999999999991</v>
          </cell>
          <cell r="G279">
            <v>10.5</v>
          </cell>
        </row>
        <row r="280">
          <cell r="A280" t="str">
            <v>E67BSA1-1/4</v>
          </cell>
          <cell r="B280" t="str">
            <v>LN</v>
          </cell>
          <cell r="C280" t="str">
            <v>KEM DIRECT-TO-METAL BASE SOLVENTE BRILLANTE NEGRO</v>
          </cell>
          <cell r="D280">
            <v>6.69</v>
          </cell>
          <cell r="E280">
            <v>7.56</v>
          </cell>
          <cell r="F280">
            <v>9.2899999999999991</v>
          </cell>
          <cell r="G280">
            <v>10.5</v>
          </cell>
        </row>
        <row r="281">
          <cell r="A281" t="str">
            <v>E67WSA2-1/4</v>
          </cell>
          <cell r="B281" t="str">
            <v>NUEVO</v>
          </cell>
          <cell r="C281" t="str">
            <v>KEM DIRECT-TO-METAL BASE SOLVENTE BRILLANTE BLANCO PURO</v>
          </cell>
          <cell r="D281">
            <v>6.69</v>
          </cell>
          <cell r="E281">
            <v>7.56</v>
          </cell>
          <cell r="F281">
            <v>9.2899999999999991</v>
          </cell>
          <cell r="G281">
            <v>10.5</v>
          </cell>
        </row>
        <row r="282">
          <cell r="A282" t="str">
            <v>E67ASA3-1/4</v>
          </cell>
          <cell r="B282" t="str">
            <v>NUEVO</v>
          </cell>
          <cell r="C282" t="str">
            <v>KEM DIRECT-TO-METAL BASE SOLVENTE BRILLANTE HAZE GRAY</v>
          </cell>
          <cell r="D282">
            <v>6.69</v>
          </cell>
          <cell r="E282">
            <v>7.56</v>
          </cell>
          <cell r="F282">
            <v>9.2899999999999991</v>
          </cell>
          <cell r="G282">
            <v>10.5</v>
          </cell>
        </row>
        <row r="284">
          <cell r="A284" t="str">
            <v>E67ASA1-1</v>
          </cell>
          <cell r="B284" t="str">
            <v>LN</v>
          </cell>
          <cell r="C284" t="str">
            <v>KEM DIRECT-TO-METAL BASE SOLVENTE BTE GRIS RAL 7046</v>
          </cell>
          <cell r="D284">
            <v>22.88</v>
          </cell>
          <cell r="E284">
            <v>25.85</v>
          </cell>
          <cell r="F284">
            <v>31.77</v>
          </cell>
          <cell r="G284">
            <v>35.9</v>
          </cell>
        </row>
        <row r="285">
          <cell r="A285" t="str">
            <v>E67ASA3-1</v>
          </cell>
          <cell r="B285" t="str">
            <v>LN</v>
          </cell>
          <cell r="C285" t="str">
            <v>KEM DIRECT-TO-METAL BASE SOLVENTE BRILLANTE HAZE GRAY</v>
          </cell>
          <cell r="D285">
            <v>22.88</v>
          </cell>
          <cell r="E285">
            <v>25.85</v>
          </cell>
          <cell r="F285">
            <v>31.77</v>
          </cell>
          <cell r="G285">
            <v>35.9</v>
          </cell>
        </row>
        <row r="286">
          <cell r="A286" t="str">
            <v>E67BSA1-1</v>
          </cell>
          <cell r="B286" t="str">
            <v>LN</v>
          </cell>
          <cell r="C286" t="str">
            <v>KEM DIRECT-TO-METAL BASE SOLVENTE BRILLANTE NEGRO</v>
          </cell>
          <cell r="D286">
            <v>22.88</v>
          </cell>
          <cell r="E286">
            <v>25.85</v>
          </cell>
          <cell r="F286">
            <v>31.77</v>
          </cell>
          <cell r="G286">
            <v>35.9</v>
          </cell>
        </row>
        <row r="287">
          <cell r="A287" t="str">
            <v>E67BSA2-1</v>
          </cell>
          <cell r="B287" t="str">
            <v>LN</v>
          </cell>
          <cell r="C287" t="str">
            <v>KEM DIRECT-TO-METAL BASE SOLVENTE BTE. NEGRO CARBON</v>
          </cell>
          <cell r="D287">
            <v>22.88</v>
          </cell>
          <cell r="E287">
            <v>25.85</v>
          </cell>
          <cell r="F287">
            <v>31.77</v>
          </cell>
          <cell r="G287">
            <v>35.9</v>
          </cell>
        </row>
        <row r="288">
          <cell r="A288" t="str">
            <v>E67GSA1-1</v>
          </cell>
          <cell r="B288" t="str">
            <v>LN</v>
          </cell>
          <cell r="C288" t="str">
            <v xml:space="preserve">KEM DIRECT-TO-METAL BASE SOLVENTE BRILLANTE VERDE </v>
          </cell>
          <cell r="D288">
            <v>22.88</v>
          </cell>
          <cell r="E288">
            <v>25.85</v>
          </cell>
          <cell r="F288">
            <v>31.77</v>
          </cell>
          <cell r="G288">
            <v>35.9</v>
          </cell>
        </row>
        <row r="289">
          <cell r="A289" t="str">
            <v>E67GSA2-1</v>
          </cell>
          <cell r="B289" t="str">
            <v>LN</v>
          </cell>
          <cell r="C289" t="str">
            <v>KEM DIRECT-TO-METAL BASE SOLVENTE BRILLANTE VERDE MUSGO</v>
          </cell>
          <cell r="D289">
            <v>22.88</v>
          </cell>
          <cell r="E289">
            <v>25.85</v>
          </cell>
          <cell r="F289">
            <v>31.77</v>
          </cell>
          <cell r="G289">
            <v>35.9</v>
          </cell>
        </row>
        <row r="290">
          <cell r="A290" t="str">
            <v>E67GSA3-1</v>
          </cell>
          <cell r="B290" t="str">
            <v>PE</v>
          </cell>
          <cell r="C290" t="str">
            <v>KEM DIRECT-TO-METAL BASE SOLVENTE BRILLANTE VERDE OLIVO</v>
          </cell>
          <cell r="D290">
            <v>22.88</v>
          </cell>
          <cell r="E290">
            <v>25.85</v>
          </cell>
          <cell r="F290">
            <v>31.77</v>
          </cell>
          <cell r="G290">
            <v>35.9</v>
          </cell>
        </row>
        <row r="291">
          <cell r="A291" t="str">
            <v>E67LSA2-1</v>
          </cell>
          <cell r="B291" t="str">
            <v>LN</v>
          </cell>
          <cell r="C291" t="str">
            <v>KEM DIRECT-TO-METAL BASE SOLVENTE BTE. AZUL SEGURIDAD</v>
          </cell>
          <cell r="D291">
            <v>22.88</v>
          </cell>
          <cell r="E291">
            <v>25.85</v>
          </cell>
          <cell r="F291">
            <v>31.77</v>
          </cell>
          <cell r="G291">
            <v>35.9</v>
          </cell>
        </row>
        <row r="292">
          <cell r="A292" t="str">
            <v>E67LSA3-1</v>
          </cell>
          <cell r="B292" t="str">
            <v>LN</v>
          </cell>
          <cell r="C292" t="str">
            <v>KEM DIRECT-TO-METAL BASE SOLVENTE BRILLANTE AZUL TAPA</v>
          </cell>
          <cell r="D292">
            <v>22.88</v>
          </cell>
          <cell r="E292">
            <v>25.85</v>
          </cell>
          <cell r="F292">
            <v>31.77</v>
          </cell>
          <cell r="G292">
            <v>35.9</v>
          </cell>
        </row>
        <row r="293">
          <cell r="A293" t="str">
            <v>E67NSA2-1</v>
          </cell>
          <cell r="B293" t="str">
            <v>LN</v>
          </cell>
          <cell r="C293" t="str">
            <v>KEM DIRECT-TO-METAL BASE SOLVENTE BRILLANTE CAFE TABACO</v>
          </cell>
          <cell r="D293">
            <v>22.88</v>
          </cell>
          <cell r="E293">
            <v>25.85</v>
          </cell>
          <cell r="F293">
            <v>31.77</v>
          </cell>
          <cell r="G293">
            <v>35.9</v>
          </cell>
        </row>
        <row r="294">
          <cell r="A294" t="str">
            <v>E67RSA1-1</v>
          </cell>
          <cell r="B294" t="str">
            <v>LN</v>
          </cell>
          <cell r="C294" t="str">
            <v>KEM DIRECT-TO-METAL BASE SOLVENTE BRILLANTE ROJO OXIDO</v>
          </cell>
          <cell r="D294">
            <v>22.88</v>
          </cell>
          <cell r="E294">
            <v>25.85</v>
          </cell>
          <cell r="F294">
            <v>31.77</v>
          </cell>
          <cell r="G294">
            <v>35.9</v>
          </cell>
        </row>
        <row r="295">
          <cell r="A295" t="str">
            <v>E67RSA3-1</v>
          </cell>
          <cell r="B295" t="str">
            <v>LN</v>
          </cell>
          <cell r="C295" t="str">
            <v>KEM DIRECT-TO-METAL BASE SOLVENTE BTE ROJO BERMELLON</v>
          </cell>
          <cell r="D295">
            <v>22.88</v>
          </cell>
          <cell r="E295">
            <v>25.85</v>
          </cell>
          <cell r="F295">
            <v>31.77</v>
          </cell>
          <cell r="G295">
            <v>35.9</v>
          </cell>
        </row>
        <row r="296">
          <cell r="A296" t="str">
            <v>E67WSA1-1</v>
          </cell>
          <cell r="B296" t="str">
            <v>LN</v>
          </cell>
          <cell r="C296" t="str">
            <v>KEM DIRECT-TO-METAL BASE SOLVENTE BRILLANTE BLANCO</v>
          </cell>
          <cell r="D296">
            <v>22.88</v>
          </cell>
          <cell r="E296">
            <v>25.85</v>
          </cell>
          <cell r="F296">
            <v>31.77</v>
          </cell>
          <cell r="G296">
            <v>35.9</v>
          </cell>
        </row>
        <row r="297">
          <cell r="A297" t="str">
            <v>E67WSA2-1</v>
          </cell>
          <cell r="B297" t="str">
            <v>LN</v>
          </cell>
          <cell r="C297" t="str">
            <v>KEM DIRECT-TO-METAL BASE SOLVENTE BRILLANTE BLANCO PURO</v>
          </cell>
          <cell r="D297">
            <v>22.88</v>
          </cell>
          <cell r="E297">
            <v>25.85</v>
          </cell>
          <cell r="F297">
            <v>31.77</v>
          </cell>
          <cell r="G297">
            <v>35.9</v>
          </cell>
        </row>
        <row r="298">
          <cell r="A298" t="str">
            <v>E67YSA1-1</v>
          </cell>
          <cell r="B298" t="str">
            <v>PE</v>
          </cell>
          <cell r="C298" t="str">
            <v>KEM DIRECT-TO-METAL BASE SOLV BTE AMARILLO CATERPILLAR</v>
          </cell>
          <cell r="D298">
            <v>22.88</v>
          </cell>
          <cell r="E298">
            <v>25.85</v>
          </cell>
          <cell r="F298">
            <v>31.77</v>
          </cell>
          <cell r="G298">
            <v>35.9</v>
          </cell>
        </row>
        <row r="300">
          <cell r="A300" t="str">
            <v>E67ASA1-5</v>
          </cell>
          <cell r="B300" t="str">
            <v>LN</v>
          </cell>
          <cell r="C300" t="str">
            <v>KEM DIRECT-TO-METAL BASE SOLVENTE BTE GRIS RAL 7046</v>
          </cell>
          <cell r="D300">
            <v>109.59</v>
          </cell>
          <cell r="E300">
            <v>123.84</v>
          </cell>
          <cell r="F300">
            <v>152.21</v>
          </cell>
          <cell r="G300">
            <v>172</v>
          </cell>
        </row>
        <row r="301">
          <cell r="A301" t="str">
            <v>E67RSA1-5</v>
          </cell>
          <cell r="B301" t="str">
            <v>LN</v>
          </cell>
          <cell r="C301" t="str">
            <v>KEM DIRECT-TO-METAL BASE SOLVENTE BRILLANTE ROJO OXIDO</v>
          </cell>
          <cell r="D301">
            <v>109.59</v>
          </cell>
          <cell r="E301">
            <v>123.84</v>
          </cell>
          <cell r="F301">
            <v>152.21</v>
          </cell>
          <cell r="G301">
            <v>172</v>
          </cell>
        </row>
        <row r="302">
          <cell r="A302" t="str">
            <v>E67GSA1-5</v>
          </cell>
          <cell r="B302" t="str">
            <v>PE</v>
          </cell>
          <cell r="C302" t="str">
            <v xml:space="preserve">KEM DIRECT-TO-METAL BASE SOLVENTE BRILLANTE VERDE </v>
          </cell>
          <cell r="D302">
            <v>109.59</v>
          </cell>
          <cell r="E302">
            <v>123.84</v>
          </cell>
          <cell r="F302">
            <v>152.21</v>
          </cell>
          <cell r="G302">
            <v>172</v>
          </cell>
        </row>
        <row r="303">
          <cell r="A303" t="str">
            <v>E67ASA3-5</v>
          </cell>
          <cell r="B303" t="str">
            <v>LN</v>
          </cell>
          <cell r="C303" t="str">
            <v>KEM DIRECT-TO-METAL BASE SOLVENTE BRILLANTE HAZE GRAY</v>
          </cell>
          <cell r="D303">
            <v>109.59</v>
          </cell>
          <cell r="E303">
            <v>123.84</v>
          </cell>
          <cell r="F303">
            <v>152.21</v>
          </cell>
          <cell r="G303">
            <v>172</v>
          </cell>
        </row>
        <row r="304">
          <cell r="A304" t="str">
            <v>E67WSA1-5</v>
          </cell>
          <cell r="B304" t="str">
            <v>LN</v>
          </cell>
          <cell r="C304" t="str">
            <v>KEM DIRECT-TO-METAL BASE SOLVENTE BRILLANTE BLANCO</v>
          </cell>
          <cell r="D304">
            <v>109.59</v>
          </cell>
          <cell r="E304">
            <v>123.84</v>
          </cell>
          <cell r="F304">
            <v>152.21</v>
          </cell>
          <cell r="G304">
            <v>172</v>
          </cell>
        </row>
        <row r="305">
          <cell r="A305" t="str">
            <v>E67LSA2-5</v>
          </cell>
          <cell r="B305" t="str">
            <v>LN</v>
          </cell>
          <cell r="C305" t="str">
            <v>KEM DIRECT-TO-METAL BASE SOLVENTE BTE. AZUL SEGURIDAD</v>
          </cell>
          <cell r="D305">
            <v>109.59</v>
          </cell>
          <cell r="E305">
            <v>123.84</v>
          </cell>
          <cell r="F305">
            <v>152.21</v>
          </cell>
          <cell r="G305">
            <v>172</v>
          </cell>
        </row>
        <row r="307">
          <cell r="B307" t="str">
            <v xml:space="preserve"> </v>
          </cell>
          <cell r="C307" t="str">
            <v>KEM INDUSTRIA GALVITE</v>
          </cell>
        </row>
        <row r="308">
          <cell r="B308" t="str">
            <v xml:space="preserve"> </v>
          </cell>
        </row>
        <row r="309">
          <cell r="B309" t="str">
            <v xml:space="preserve"> </v>
          </cell>
          <cell r="C309" t="str">
            <v>GALVITE BASE SOLVENTE</v>
          </cell>
        </row>
        <row r="310">
          <cell r="B310" t="str">
            <v xml:space="preserve"> </v>
          </cell>
          <cell r="C310" t="str">
            <v>USO INTERIOR - EXTERIOR</v>
          </cell>
        </row>
        <row r="312">
          <cell r="A312" t="str">
            <v>A68WSA2-1/4</v>
          </cell>
          <cell r="B312" t="str">
            <v>LN</v>
          </cell>
          <cell r="C312" t="str">
            <v>KEM GALVITE BASE SOLVENTE ALQ SATINADO BLANCO PORCELANA</v>
          </cell>
          <cell r="D312">
            <v>12.04</v>
          </cell>
          <cell r="E312">
            <v>13.61</v>
          </cell>
          <cell r="F312">
            <v>16.73</v>
          </cell>
          <cell r="G312">
            <v>18.899999999999999</v>
          </cell>
        </row>
        <row r="314">
          <cell r="A314" t="str">
            <v>A68GSA1-1</v>
          </cell>
          <cell r="B314" t="str">
            <v>LN</v>
          </cell>
          <cell r="C314" t="str">
            <v>KEM GALVITE BASE SOLVENTE ALQ SATINADO VERDE</v>
          </cell>
          <cell r="D314">
            <v>40.08</v>
          </cell>
          <cell r="E314">
            <v>45.29</v>
          </cell>
          <cell r="F314">
            <v>55.66</v>
          </cell>
          <cell r="G314">
            <v>62.9</v>
          </cell>
        </row>
        <row r="315">
          <cell r="A315" t="str">
            <v>A68LSA3-1</v>
          </cell>
          <cell r="B315" t="str">
            <v>LN</v>
          </cell>
          <cell r="C315" t="str">
            <v>KEM GALVITE BASE SOLVENTE ALQ SATINADO AZUL</v>
          </cell>
          <cell r="D315">
            <v>40.08</v>
          </cell>
          <cell r="E315">
            <v>45.29</v>
          </cell>
          <cell r="F315">
            <v>55.66</v>
          </cell>
          <cell r="G315">
            <v>62.9</v>
          </cell>
        </row>
        <row r="316">
          <cell r="A316" t="str">
            <v>A68RSA1-1</v>
          </cell>
          <cell r="B316" t="str">
            <v>LN</v>
          </cell>
          <cell r="C316" t="str">
            <v>KEM GALVITE BASE SOLVENTE ALQ SATINADO ROJO</v>
          </cell>
          <cell r="D316">
            <v>40.08</v>
          </cell>
          <cell r="E316">
            <v>45.29</v>
          </cell>
          <cell r="F316">
            <v>55.66</v>
          </cell>
          <cell r="G316">
            <v>62.9</v>
          </cell>
        </row>
        <row r="317">
          <cell r="A317" t="str">
            <v>A68WSA2-1</v>
          </cell>
          <cell r="B317" t="str">
            <v>LN</v>
          </cell>
          <cell r="C317" t="str">
            <v>KEM GALVITE BASE SOLVENTE ALQ SATINADO BLANCO PORCELANA</v>
          </cell>
          <cell r="D317">
            <v>40.08</v>
          </cell>
          <cell r="E317">
            <v>45.29</v>
          </cell>
          <cell r="F317">
            <v>55.66</v>
          </cell>
          <cell r="G317">
            <v>62.9</v>
          </cell>
        </row>
        <row r="318">
          <cell r="B318" t="str">
            <v xml:space="preserve"> </v>
          </cell>
        </row>
        <row r="319">
          <cell r="B319" t="str">
            <v xml:space="preserve"> </v>
          </cell>
          <cell r="C319" t="str">
            <v>GALVITE BASE AGUA BRILLANTE</v>
          </cell>
        </row>
        <row r="320">
          <cell r="B320" t="str">
            <v xml:space="preserve"> </v>
          </cell>
          <cell r="C320" t="str">
            <v>USO INTERIOR - EXTERIOR</v>
          </cell>
        </row>
        <row r="321">
          <cell r="A321" t="str">
            <v>B50GSA2-1</v>
          </cell>
          <cell r="B321" t="str">
            <v>LN</v>
          </cell>
          <cell r="C321" t="str">
            <v>KEM GALVITE BASE AGUA ACRIL BRILLANTE VERDE</v>
          </cell>
          <cell r="D321">
            <v>23.51</v>
          </cell>
          <cell r="E321">
            <v>26.57</v>
          </cell>
          <cell r="F321">
            <v>32.65</v>
          </cell>
          <cell r="G321">
            <v>36.9</v>
          </cell>
        </row>
        <row r="322">
          <cell r="A322" t="str">
            <v>B50RSA3-1</v>
          </cell>
          <cell r="B322" t="str">
            <v>PE</v>
          </cell>
          <cell r="C322" t="str">
            <v>KEM GALVITE BASE AGUA ACRIL BRILLANTE ROJO OXIDO</v>
          </cell>
          <cell r="D322">
            <v>23.51</v>
          </cell>
          <cell r="E322">
            <v>26.57</v>
          </cell>
          <cell r="F322">
            <v>32.65</v>
          </cell>
          <cell r="G322">
            <v>36.9</v>
          </cell>
        </row>
        <row r="323">
          <cell r="A323" t="str">
            <v>B50WSA3-1</v>
          </cell>
          <cell r="B323" t="str">
            <v>LN</v>
          </cell>
          <cell r="C323" t="str">
            <v>KEM GALVITE BASE AGUA ACRIL BRILLANTE BLANCO</v>
          </cell>
          <cell r="D323">
            <v>23.51</v>
          </cell>
          <cell r="E323">
            <v>26.57</v>
          </cell>
          <cell r="F323">
            <v>32.65</v>
          </cell>
          <cell r="G323">
            <v>36.9</v>
          </cell>
        </row>
        <row r="325">
          <cell r="A325" t="str">
            <v>B50GSA2-5</v>
          </cell>
          <cell r="B325" t="str">
            <v>LN</v>
          </cell>
          <cell r="C325" t="str">
            <v>KEM GALVITE BASE AGUA ACRIL BRILLANTE VERDE</v>
          </cell>
          <cell r="D325">
            <v>107.04</v>
          </cell>
          <cell r="E325">
            <v>120.96</v>
          </cell>
          <cell r="F325">
            <v>148.66999999999999</v>
          </cell>
          <cell r="G325">
            <v>168</v>
          </cell>
        </row>
        <row r="326">
          <cell r="A326" t="str">
            <v>B50RSA3-5</v>
          </cell>
          <cell r="B326" t="str">
            <v>LN</v>
          </cell>
          <cell r="C326" t="str">
            <v>KEM GALVITE BASE AGUA ACRIL BRILLANTE ROJO OXIDO</v>
          </cell>
          <cell r="D326">
            <v>107.04</v>
          </cell>
          <cell r="E326">
            <v>120.96</v>
          </cell>
          <cell r="F326">
            <v>148.66999999999999</v>
          </cell>
          <cell r="G326">
            <v>168</v>
          </cell>
        </row>
        <row r="327">
          <cell r="A327" t="str">
            <v>B50WSA3-5</v>
          </cell>
          <cell r="B327" t="str">
            <v>LN</v>
          </cell>
          <cell r="C327" t="str">
            <v>KEM GALVITE BASE AGUA ACRIL BRILLANTE BLANCO</v>
          </cell>
          <cell r="D327">
            <v>107.04</v>
          </cell>
          <cell r="E327">
            <v>120.96</v>
          </cell>
          <cell r="F327">
            <v>148.66999999999999</v>
          </cell>
          <cell r="G327">
            <v>168</v>
          </cell>
        </row>
        <row r="329">
          <cell r="B329" t="str">
            <v/>
          </cell>
          <cell r="C329" t="str">
            <v>KEM GALVANIZADO BASE AGUA MATE</v>
          </cell>
        </row>
        <row r="330">
          <cell r="B330" t="str">
            <v/>
          </cell>
        </row>
        <row r="331">
          <cell r="A331" t="str">
            <v>B52BSA1-1/4</v>
          </cell>
          <cell r="B331" t="str">
            <v>LN</v>
          </cell>
          <cell r="C331" t="str">
            <v>KEM GALVANIZADO BASE AGUA MATE NEGRO</v>
          </cell>
          <cell r="D331">
            <v>5.51</v>
          </cell>
          <cell r="E331">
            <v>6.23</v>
          </cell>
          <cell r="F331">
            <v>7.88</v>
          </cell>
          <cell r="G331">
            <v>8.9</v>
          </cell>
        </row>
        <row r="332">
          <cell r="A332" t="str">
            <v>B52ASA5-1/4</v>
          </cell>
          <cell r="B332" t="str">
            <v>LN</v>
          </cell>
          <cell r="C332" t="str">
            <v>KEM GALVANIZADO BASE AGUA MATE GRIS ANSI #70</v>
          </cell>
          <cell r="D332">
            <v>5.51</v>
          </cell>
          <cell r="E332">
            <v>6.23</v>
          </cell>
          <cell r="F332">
            <v>7.88</v>
          </cell>
          <cell r="G332">
            <v>8.9</v>
          </cell>
        </row>
        <row r="333">
          <cell r="A333" t="str">
            <v>B52RSA3-1/4</v>
          </cell>
          <cell r="B333" t="str">
            <v>LN</v>
          </cell>
          <cell r="C333" t="str">
            <v>KEM GALVANIZADO BASE AGUA MATE ROJO TEJA</v>
          </cell>
          <cell r="D333">
            <v>5.51</v>
          </cell>
          <cell r="E333">
            <v>6.23</v>
          </cell>
          <cell r="F333">
            <v>7.88</v>
          </cell>
          <cell r="G333">
            <v>8.9</v>
          </cell>
        </row>
        <row r="334">
          <cell r="A334" t="str">
            <v>B52GSA1-1/4</v>
          </cell>
          <cell r="B334" t="str">
            <v>LN</v>
          </cell>
          <cell r="C334" t="str">
            <v>KEM GALVANIZADO BASE AGUA MATE VERDE OXIDO</v>
          </cell>
          <cell r="D334">
            <v>5.51</v>
          </cell>
          <cell r="E334">
            <v>6.23</v>
          </cell>
          <cell r="F334">
            <v>7.88</v>
          </cell>
          <cell r="G334">
            <v>8.9</v>
          </cell>
        </row>
        <row r="335">
          <cell r="A335" t="str">
            <v>B52NSA1-1/4</v>
          </cell>
          <cell r="B335" t="str">
            <v>LN</v>
          </cell>
          <cell r="C335" t="str">
            <v>KEM GALVANIZADO BASE AGUA MATE CAFE</v>
          </cell>
          <cell r="D335">
            <v>5.51</v>
          </cell>
          <cell r="E335">
            <v>6.23</v>
          </cell>
          <cell r="F335">
            <v>7.88</v>
          </cell>
          <cell r="G335">
            <v>8.9</v>
          </cell>
        </row>
        <row r="336">
          <cell r="A336" t="str">
            <v>B52RSA2-1/4</v>
          </cell>
          <cell r="B336" t="str">
            <v>LN</v>
          </cell>
          <cell r="C336" t="str">
            <v>KEM GALVANIZADO BASE AGUA MATE ROJO OXIDO</v>
          </cell>
          <cell r="D336">
            <v>5.51</v>
          </cell>
          <cell r="E336">
            <v>6.23</v>
          </cell>
          <cell r="F336">
            <v>7.88</v>
          </cell>
          <cell r="G336">
            <v>8.9</v>
          </cell>
        </row>
        <row r="337">
          <cell r="A337" t="str">
            <v>B52WSA1-1/4</v>
          </cell>
          <cell r="B337" t="str">
            <v>LN</v>
          </cell>
          <cell r="C337" t="str">
            <v>KEM GALVANIZADO BASE AGUA MATE BLANCO</v>
          </cell>
          <cell r="D337">
            <v>5.51</v>
          </cell>
          <cell r="E337">
            <v>6.23</v>
          </cell>
          <cell r="F337">
            <v>7.88</v>
          </cell>
          <cell r="G337">
            <v>8.9</v>
          </cell>
        </row>
        <row r="338">
          <cell r="B338" t="str">
            <v/>
          </cell>
        </row>
        <row r="339">
          <cell r="A339" t="str">
            <v>B52BSA1-1</v>
          </cell>
          <cell r="B339" t="str">
            <v>LN</v>
          </cell>
          <cell r="C339" t="str">
            <v>KEM GALVANIZADO BASE AGUA MATE NEGRO</v>
          </cell>
          <cell r="D339">
            <v>20.13</v>
          </cell>
          <cell r="E339">
            <v>22.75</v>
          </cell>
          <cell r="F339">
            <v>28.76</v>
          </cell>
          <cell r="G339">
            <v>32.5</v>
          </cell>
        </row>
        <row r="340">
          <cell r="A340" t="str">
            <v>B52ASA5-1</v>
          </cell>
          <cell r="B340" t="str">
            <v>LN</v>
          </cell>
          <cell r="C340" t="str">
            <v>KEM GALVANIZADO BASE AGUA MATE GRIS ANSI #70</v>
          </cell>
          <cell r="D340">
            <v>20.13</v>
          </cell>
          <cell r="E340">
            <v>22.75</v>
          </cell>
          <cell r="F340">
            <v>28.76</v>
          </cell>
          <cell r="G340">
            <v>32.5</v>
          </cell>
        </row>
        <row r="341">
          <cell r="A341" t="str">
            <v>B52RSA3-1</v>
          </cell>
          <cell r="B341" t="str">
            <v>LN</v>
          </cell>
          <cell r="C341" t="str">
            <v>KEM GALVANIZADO BASE AGUA MATE ROJO TEJA</v>
          </cell>
          <cell r="D341">
            <v>20.13</v>
          </cell>
          <cell r="E341">
            <v>22.75</v>
          </cell>
          <cell r="F341">
            <v>28.76</v>
          </cell>
          <cell r="G341">
            <v>32.5</v>
          </cell>
        </row>
        <row r="342">
          <cell r="A342" t="str">
            <v>B52GSA1-1</v>
          </cell>
          <cell r="B342" t="str">
            <v>LN</v>
          </cell>
          <cell r="C342" t="str">
            <v>KEM GALVANIZADO BASE AGUA MATE VERDE OXIDO</v>
          </cell>
          <cell r="D342">
            <v>20.13</v>
          </cell>
          <cell r="E342">
            <v>22.75</v>
          </cell>
          <cell r="F342">
            <v>28.76</v>
          </cell>
          <cell r="G342">
            <v>32.5</v>
          </cell>
        </row>
        <row r="343">
          <cell r="A343" t="str">
            <v>B52NSA1-1</v>
          </cell>
          <cell r="B343" t="str">
            <v>LN</v>
          </cell>
          <cell r="C343" t="str">
            <v>KEM GALVANIZADO BASE AGUA MATE CAFE</v>
          </cell>
          <cell r="D343">
            <v>20.13</v>
          </cell>
          <cell r="E343">
            <v>22.75</v>
          </cell>
          <cell r="F343">
            <v>28.76</v>
          </cell>
          <cell r="G343">
            <v>32.5</v>
          </cell>
        </row>
        <row r="344">
          <cell r="A344" t="str">
            <v>B52RSA2-1</v>
          </cell>
          <cell r="B344" t="str">
            <v>LN</v>
          </cell>
          <cell r="C344" t="str">
            <v>KEM GALVANIZADO BASE AGUA MATE ROJO OXIDO</v>
          </cell>
          <cell r="D344">
            <v>20.13</v>
          </cell>
          <cell r="E344">
            <v>22.75</v>
          </cell>
          <cell r="F344">
            <v>28.76</v>
          </cell>
          <cell r="G344">
            <v>32.5</v>
          </cell>
        </row>
        <row r="345">
          <cell r="A345" t="str">
            <v>B52WSA1-1</v>
          </cell>
          <cell r="B345" t="str">
            <v>LN</v>
          </cell>
          <cell r="C345" t="str">
            <v>KEM GALVANIZADO BASE AGUA MATE BLANCO</v>
          </cell>
          <cell r="D345">
            <v>20.13</v>
          </cell>
          <cell r="E345">
            <v>22.75</v>
          </cell>
          <cell r="F345">
            <v>28.76</v>
          </cell>
          <cell r="G345">
            <v>32.5</v>
          </cell>
        </row>
        <row r="346">
          <cell r="A346" t="str">
            <v>B52ASA6-1</v>
          </cell>
          <cell r="B346" t="str">
            <v>PE</v>
          </cell>
          <cell r="C346" t="str">
            <v>KEM GALVANIZADO BASE AGUA MATE GRIS SCREEN</v>
          </cell>
          <cell r="D346">
            <v>20.13</v>
          </cell>
          <cell r="E346">
            <v>22.75</v>
          </cell>
          <cell r="F346">
            <v>28.76</v>
          </cell>
          <cell r="G346">
            <v>32.5</v>
          </cell>
        </row>
        <row r="347">
          <cell r="B347" t="str">
            <v/>
          </cell>
        </row>
        <row r="348">
          <cell r="A348" t="str">
            <v>B52BSA1-5</v>
          </cell>
          <cell r="B348" t="str">
            <v>LN</v>
          </cell>
          <cell r="C348" t="str">
            <v>KEM GALVANIZADO BASE AGUA MATE NEGRO</v>
          </cell>
          <cell r="D348">
            <v>89.2</v>
          </cell>
          <cell r="E348">
            <v>100.8</v>
          </cell>
          <cell r="F348">
            <v>127.43</v>
          </cell>
          <cell r="G348">
            <v>144</v>
          </cell>
        </row>
        <row r="349">
          <cell r="A349" t="str">
            <v>B52ASA5-5</v>
          </cell>
          <cell r="B349" t="str">
            <v>LN</v>
          </cell>
          <cell r="C349" t="str">
            <v>KEM GALVANIZADO BASE AGUA MATE GRIS ANSI #70</v>
          </cell>
          <cell r="D349">
            <v>89.2</v>
          </cell>
          <cell r="E349">
            <v>100.8</v>
          </cell>
          <cell r="F349">
            <v>127.43</v>
          </cell>
          <cell r="G349">
            <v>144</v>
          </cell>
        </row>
        <row r="350">
          <cell r="A350" t="str">
            <v>B52RSA3-5</v>
          </cell>
          <cell r="B350" t="str">
            <v>PE</v>
          </cell>
          <cell r="C350" t="str">
            <v>KEM GALVANIZADO BASE AGUA MATE ROJO TEJA</v>
          </cell>
          <cell r="D350">
            <v>89.2</v>
          </cell>
          <cell r="E350">
            <v>100.8</v>
          </cell>
          <cell r="F350">
            <v>127.43</v>
          </cell>
          <cell r="G350">
            <v>144</v>
          </cell>
        </row>
        <row r="351">
          <cell r="A351" t="str">
            <v>B52GSA1-5</v>
          </cell>
          <cell r="B351" t="str">
            <v>PE</v>
          </cell>
          <cell r="C351" t="str">
            <v>KEM GALVANIZADO BASE AGUA MATE VERDE OXIDO</v>
          </cell>
          <cell r="D351">
            <v>89.2</v>
          </cell>
          <cell r="E351">
            <v>100.8</v>
          </cell>
          <cell r="F351">
            <v>127.43</v>
          </cell>
          <cell r="G351">
            <v>144</v>
          </cell>
        </row>
        <row r="352">
          <cell r="A352" t="str">
            <v>B52NSA1-5</v>
          </cell>
          <cell r="B352" t="str">
            <v>PE</v>
          </cell>
          <cell r="C352" t="str">
            <v>KEM GALVANIZADO BASE AGUA MATE CAFE</v>
          </cell>
          <cell r="D352">
            <v>89.2</v>
          </cell>
          <cell r="E352">
            <v>100.8</v>
          </cell>
          <cell r="F352">
            <v>127.43</v>
          </cell>
          <cell r="G352">
            <v>144</v>
          </cell>
        </row>
        <row r="353">
          <cell r="A353" t="str">
            <v>B52RSA2-5</v>
          </cell>
          <cell r="B353" t="str">
            <v>PE</v>
          </cell>
          <cell r="C353" t="str">
            <v>KEM GALVANIZADO BASE AGUA MATE ROJO OXIDO</v>
          </cell>
          <cell r="D353">
            <v>89.2</v>
          </cell>
          <cell r="E353">
            <v>100.8</v>
          </cell>
          <cell r="F353">
            <v>127.43</v>
          </cell>
          <cell r="G353">
            <v>144</v>
          </cell>
        </row>
        <row r="354">
          <cell r="A354" t="str">
            <v>B52WSA1-5</v>
          </cell>
          <cell r="B354" t="str">
            <v>LN</v>
          </cell>
          <cell r="C354" t="str">
            <v>KEM GALVANIZADO BASE AGUA MATE BLANCO</v>
          </cell>
          <cell r="D354">
            <v>89.2</v>
          </cell>
          <cell r="E354">
            <v>100.8</v>
          </cell>
          <cell r="F354">
            <v>127.43</v>
          </cell>
          <cell r="G354">
            <v>144</v>
          </cell>
        </row>
        <row r="355">
          <cell r="A355" t="str">
            <v>B52ASA6-5</v>
          </cell>
          <cell r="B355" t="str">
            <v>PE</v>
          </cell>
          <cell r="C355" t="str">
            <v>KEM GALVANIZADO BASE AGUA MATE GRIS SCREEN</v>
          </cell>
          <cell r="D355">
            <v>89.2</v>
          </cell>
          <cell r="E355">
            <v>100.8</v>
          </cell>
          <cell r="F355">
            <v>127.43</v>
          </cell>
          <cell r="G355">
            <v>144</v>
          </cell>
        </row>
        <row r="357">
          <cell r="B357" t="str">
            <v xml:space="preserve"> </v>
          </cell>
          <cell r="C357" t="str">
            <v>KEM INDUSTRIA ESMALTES</v>
          </cell>
        </row>
        <row r="358">
          <cell r="B358" t="str">
            <v xml:space="preserve"> </v>
          </cell>
        </row>
        <row r="359">
          <cell r="B359" t="str">
            <v xml:space="preserve"> </v>
          </cell>
          <cell r="C359" t="str">
            <v>ESMALTE POLIURETANO KEM ENAMEL</v>
          </cell>
        </row>
        <row r="360">
          <cell r="B360" t="str">
            <v xml:space="preserve"> </v>
          </cell>
          <cell r="C360" t="str">
            <v>USO INTERIOR - EXTERIOR</v>
          </cell>
        </row>
        <row r="361">
          <cell r="A361" t="str">
            <v>B65ASA1-1</v>
          </cell>
          <cell r="B361" t="str">
            <v>LN</v>
          </cell>
          <cell r="C361" t="str">
            <v xml:space="preserve">ESMALTE IND POLIURETANO BRILLANTE GRIS MEDIANO </v>
          </cell>
          <cell r="D361">
            <v>54.82</v>
          </cell>
          <cell r="E361">
            <v>61.95</v>
          </cell>
          <cell r="F361">
            <v>78.319999999999993</v>
          </cell>
          <cell r="G361">
            <v>88.5</v>
          </cell>
        </row>
        <row r="362">
          <cell r="A362" t="str">
            <v>B65ESA1-1</v>
          </cell>
          <cell r="B362" t="str">
            <v>LN</v>
          </cell>
          <cell r="C362" t="str">
            <v>ESMALTE IND POLIURETANO BRILLANTE NARANJA INT</v>
          </cell>
          <cell r="D362">
            <v>54.82</v>
          </cell>
          <cell r="E362">
            <v>61.95</v>
          </cell>
          <cell r="F362">
            <v>78.319999999999993</v>
          </cell>
          <cell r="G362">
            <v>88.5</v>
          </cell>
        </row>
        <row r="363">
          <cell r="A363" t="str">
            <v>B65GSA2-1</v>
          </cell>
          <cell r="B363" t="str">
            <v>LN</v>
          </cell>
          <cell r="C363" t="str">
            <v xml:space="preserve">ESMALTE IND POLIURETANO BRILLANTE VERDE JOHN DEERE </v>
          </cell>
          <cell r="D363">
            <v>54.82</v>
          </cell>
          <cell r="E363">
            <v>61.95</v>
          </cell>
          <cell r="F363">
            <v>78.319999999999993</v>
          </cell>
          <cell r="G363">
            <v>88.5</v>
          </cell>
        </row>
        <row r="364">
          <cell r="A364" t="str">
            <v>B65LSA2-1</v>
          </cell>
          <cell r="B364" t="str">
            <v>LN</v>
          </cell>
          <cell r="C364" t="str">
            <v xml:space="preserve">ESMALTE IND POLIURETANO BRILLANTE AZUL MARINO </v>
          </cell>
          <cell r="D364">
            <v>54.82</v>
          </cell>
          <cell r="E364">
            <v>61.95</v>
          </cell>
          <cell r="F364">
            <v>78.319999999999993</v>
          </cell>
          <cell r="G364">
            <v>88.5</v>
          </cell>
        </row>
        <row r="365">
          <cell r="A365" t="str">
            <v>B65RSA2-1</v>
          </cell>
          <cell r="B365" t="str">
            <v>LN</v>
          </cell>
          <cell r="C365" t="str">
            <v xml:space="preserve">ESMALTE IND POLIURETANO BRILLANTE ROJO BERMELLON </v>
          </cell>
          <cell r="D365">
            <v>54.82</v>
          </cell>
          <cell r="E365">
            <v>61.95</v>
          </cell>
          <cell r="F365">
            <v>78.319999999999993</v>
          </cell>
          <cell r="G365">
            <v>88.5</v>
          </cell>
        </row>
        <row r="366">
          <cell r="A366" t="str">
            <v>B65WSA1-1</v>
          </cell>
          <cell r="B366" t="str">
            <v>LN</v>
          </cell>
          <cell r="C366" t="str">
            <v>ESMALTE IND POLIURETANO BRILLANTE BLANCO PARTE A</v>
          </cell>
          <cell r="D366">
            <v>54.82</v>
          </cell>
          <cell r="E366">
            <v>61.95</v>
          </cell>
          <cell r="F366">
            <v>78.319999999999993</v>
          </cell>
          <cell r="G366">
            <v>88.5</v>
          </cell>
        </row>
        <row r="367">
          <cell r="A367" t="str">
            <v>B65YSA2-1</v>
          </cell>
          <cell r="B367" t="str">
            <v>LN</v>
          </cell>
          <cell r="C367" t="str">
            <v xml:space="preserve">ESMALTE IND POLIURETANO BRILLANTE AMARILLO CATERP </v>
          </cell>
          <cell r="D367">
            <v>54.82</v>
          </cell>
          <cell r="E367">
            <v>61.95</v>
          </cell>
          <cell r="F367">
            <v>78.319999999999993</v>
          </cell>
          <cell r="G367">
            <v>88.5</v>
          </cell>
        </row>
        <row r="368">
          <cell r="A368" t="str">
            <v>B65BSA1-1</v>
          </cell>
          <cell r="B368" t="str">
            <v>LN</v>
          </cell>
          <cell r="C368" t="str">
            <v xml:space="preserve">ESMALTE IND POLIURETANO BRILLANTE NEGRO </v>
          </cell>
          <cell r="D368">
            <v>54.82</v>
          </cell>
          <cell r="E368">
            <v>61.95</v>
          </cell>
          <cell r="F368">
            <v>78.319999999999993</v>
          </cell>
          <cell r="G368">
            <v>88.5</v>
          </cell>
        </row>
        <row r="369">
          <cell r="A369" t="str">
            <v>B65GSA4-1</v>
          </cell>
          <cell r="B369" t="str">
            <v>PE</v>
          </cell>
          <cell r="C369" t="str">
            <v xml:space="preserve">ESMALTE IND POLIURETANO BRILLANTE VERDE </v>
          </cell>
          <cell r="D369">
            <v>54.82</v>
          </cell>
          <cell r="E369">
            <v>61.95</v>
          </cell>
          <cell r="F369">
            <v>78.319999999999993</v>
          </cell>
          <cell r="G369">
            <v>88.5</v>
          </cell>
        </row>
        <row r="370">
          <cell r="A370" t="str">
            <v>B65YSA1-1</v>
          </cell>
          <cell r="B370" t="str">
            <v>LN</v>
          </cell>
          <cell r="C370" t="str">
            <v xml:space="preserve">ESMALTE IND POLIURETANO BRILLANTE AMARILLO SEG </v>
          </cell>
          <cell r="D370">
            <v>54.82</v>
          </cell>
          <cell r="E370">
            <v>61.95</v>
          </cell>
          <cell r="F370">
            <v>78.319999999999993</v>
          </cell>
          <cell r="G370">
            <v>88.5</v>
          </cell>
        </row>
        <row r="371">
          <cell r="A371" t="str">
            <v>B65LSA1-1</v>
          </cell>
          <cell r="B371" t="str">
            <v>LN</v>
          </cell>
          <cell r="C371" t="str">
            <v xml:space="preserve">ESMALTE IND POLIURETANO BRILLANTE AZUL SEG </v>
          </cell>
          <cell r="D371">
            <v>54.82</v>
          </cell>
          <cell r="E371">
            <v>61.95</v>
          </cell>
          <cell r="F371">
            <v>78.319999999999993</v>
          </cell>
          <cell r="G371">
            <v>88.5</v>
          </cell>
        </row>
        <row r="372">
          <cell r="A372" t="str">
            <v>B65SSA3-1</v>
          </cell>
          <cell r="B372" t="str">
            <v>LN</v>
          </cell>
          <cell r="C372" t="str">
            <v>ESMALTE IND POLIURETANO BRILLANTE ALUMINIO METALICO</v>
          </cell>
          <cell r="D372">
            <v>54.82</v>
          </cell>
          <cell r="E372">
            <v>61.95</v>
          </cell>
          <cell r="F372">
            <v>78.319999999999993</v>
          </cell>
          <cell r="G372">
            <v>88.5</v>
          </cell>
        </row>
        <row r="373">
          <cell r="A373" t="str">
            <v>B65ASA2-1</v>
          </cell>
          <cell r="B373" t="str">
            <v>LN</v>
          </cell>
          <cell r="C373" t="str">
            <v>ESMALTE IND POLIURETANO BRILLANTE GRIS ANSI #70</v>
          </cell>
          <cell r="D373">
            <v>54.82</v>
          </cell>
          <cell r="E373">
            <v>61.95</v>
          </cell>
          <cell r="F373">
            <v>78.319999999999993</v>
          </cell>
          <cell r="G373">
            <v>88.5</v>
          </cell>
        </row>
        <row r="374">
          <cell r="A374" t="str">
            <v>B65GSA1-1</v>
          </cell>
          <cell r="B374" t="str">
            <v>LN</v>
          </cell>
          <cell r="C374" t="str">
            <v xml:space="preserve">ESMALTE IND POLIURETANO BRILLANTE VERDE SEG </v>
          </cell>
          <cell r="D374">
            <v>54.82</v>
          </cell>
          <cell r="E374">
            <v>61.95</v>
          </cell>
          <cell r="F374">
            <v>78.319999999999993</v>
          </cell>
          <cell r="G374">
            <v>88.5</v>
          </cell>
        </row>
        <row r="375">
          <cell r="A375" t="str">
            <v>B65RSA1-1</v>
          </cell>
          <cell r="B375" t="str">
            <v>LN</v>
          </cell>
          <cell r="C375" t="str">
            <v>ESMALTE IND POLIURETANO BRILLANTE ROJO SEGURIDAD</v>
          </cell>
          <cell r="D375">
            <v>54.82</v>
          </cell>
          <cell r="E375">
            <v>61.95</v>
          </cell>
          <cell r="F375">
            <v>78.319999999999993</v>
          </cell>
          <cell r="G375">
            <v>88.5</v>
          </cell>
        </row>
        <row r="377">
          <cell r="C377" t="str">
            <v>CATALIZADOR PARA KEM POLIURETANO INDUSTRIAL (Mezcla 4A : 1B)</v>
          </cell>
        </row>
        <row r="378">
          <cell r="A378" t="str">
            <v>B65VSA1-1/4</v>
          </cell>
          <cell r="B378" t="str">
            <v>LN</v>
          </cell>
          <cell r="C378" t="str">
            <v>ESMALTE IND POLIURETANO PARTE B</v>
          </cell>
          <cell r="D378">
            <v>15.8</v>
          </cell>
          <cell r="E378">
            <v>17.850000000000001</v>
          </cell>
          <cell r="F378">
            <v>22.57</v>
          </cell>
          <cell r="G378">
            <v>25.5</v>
          </cell>
        </row>
        <row r="380">
          <cell r="C380" t="str">
            <v>BASES ENTINTABLES KEM ENAMEL POLIURETANO</v>
          </cell>
        </row>
        <row r="382">
          <cell r="A382" t="str">
            <v>B65WSA51-1</v>
          </cell>
          <cell r="B382" t="str">
            <v>LN</v>
          </cell>
          <cell r="C382" t="str">
            <v>ESMALTE IND POLIURETANO BRILLANTE BASE EW PARTE A</v>
          </cell>
          <cell r="D382">
            <v>53.33</v>
          </cell>
          <cell r="E382">
            <v>60.26</v>
          </cell>
          <cell r="F382">
            <v>78.319999999999993</v>
          </cell>
          <cell r="G382">
            <v>88.5</v>
          </cell>
        </row>
        <row r="383">
          <cell r="A383" t="str">
            <v>B65TSA54-1</v>
          </cell>
          <cell r="B383" t="str">
            <v>LN</v>
          </cell>
          <cell r="C383" t="str">
            <v>ESMALTE IND POLIURETANO BRILLANTE BASE ULTRA DEEP P-A</v>
          </cell>
          <cell r="D383">
            <v>49.82</v>
          </cell>
          <cell r="E383">
            <v>56.3</v>
          </cell>
          <cell r="F383">
            <v>78.319999999999993</v>
          </cell>
          <cell r="G383">
            <v>88.5</v>
          </cell>
        </row>
        <row r="385">
          <cell r="A385" t="str">
            <v>B65TSA54-4</v>
          </cell>
          <cell r="B385" t="str">
            <v>LN</v>
          </cell>
          <cell r="C385" t="str">
            <v>ESMALTE IND POLIURETANO BRILLANTE BASE ULTRA DEEP P-A</v>
          </cell>
          <cell r="D385">
            <v>183.14</v>
          </cell>
          <cell r="E385">
            <v>206.95</v>
          </cell>
          <cell r="F385">
            <v>297.35000000000002</v>
          </cell>
          <cell r="G385">
            <v>336</v>
          </cell>
        </row>
        <row r="386">
          <cell r="A386" t="str">
            <v>B65WSA51-4</v>
          </cell>
          <cell r="B386" t="str">
            <v>LN</v>
          </cell>
          <cell r="C386" t="str">
            <v>ESMALTE IND POLIURETANO BRILLANTE BASE EW PARTE A</v>
          </cell>
          <cell r="D386">
            <v>200.65</v>
          </cell>
          <cell r="E386">
            <v>226.73</v>
          </cell>
          <cell r="F386">
            <v>297.35000000000002</v>
          </cell>
          <cell r="G386">
            <v>336</v>
          </cell>
        </row>
        <row r="388">
          <cell r="B388" t="str">
            <v xml:space="preserve"> </v>
          </cell>
          <cell r="C388" t="str">
            <v>ESMALTE EPÓXICO KEM CATI-COAT</v>
          </cell>
        </row>
        <row r="389">
          <cell r="B389" t="str">
            <v xml:space="preserve"> </v>
          </cell>
          <cell r="C389" t="str">
            <v>USO INTERIOR</v>
          </cell>
        </row>
        <row r="390">
          <cell r="A390" t="str">
            <v>B69ASA18-1</v>
          </cell>
          <cell r="B390" t="str">
            <v>LN</v>
          </cell>
          <cell r="C390" t="str">
            <v>ESMALTE EPOXICO KEM CATI COAT BRILLANTE GRIS PARTE A</v>
          </cell>
          <cell r="D390">
            <v>55.69</v>
          </cell>
          <cell r="E390">
            <v>62.93</v>
          </cell>
          <cell r="F390">
            <v>79.56</v>
          </cell>
          <cell r="G390">
            <v>89.9</v>
          </cell>
        </row>
        <row r="391">
          <cell r="A391" t="str">
            <v>B69ASA22-1</v>
          </cell>
          <cell r="B391" t="str">
            <v>LN</v>
          </cell>
          <cell r="C391" t="str">
            <v xml:space="preserve">ESMALTE EPOXICO KEM CATI COAT BRILLANTE GRIS RAL 7000 </v>
          </cell>
          <cell r="D391">
            <v>55.69</v>
          </cell>
          <cell r="E391">
            <v>62.93</v>
          </cell>
          <cell r="F391">
            <v>79.56</v>
          </cell>
          <cell r="G391">
            <v>89.9</v>
          </cell>
        </row>
        <row r="392">
          <cell r="A392" t="str">
            <v>B69B31-1</v>
          </cell>
          <cell r="B392" t="str">
            <v>LN</v>
          </cell>
          <cell r="C392" t="str">
            <v>ESMALTE EPOXICO KEM CATI COAT BRILLANTE NEGRO PARTE A</v>
          </cell>
          <cell r="D392">
            <v>55.69</v>
          </cell>
          <cell r="E392">
            <v>62.93</v>
          </cell>
          <cell r="F392">
            <v>79.56</v>
          </cell>
          <cell r="G392">
            <v>89.9</v>
          </cell>
        </row>
        <row r="393">
          <cell r="A393" t="str">
            <v>B69G39-1</v>
          </cell>
          <cell r="B393" t="str">
            <v>LN</v>
          </cell>
          <cell r="C393" t="str">
            <v>ESMALTE EPOXICO KEM CATI COAT BRILLANTE VERDE PARTE A</v>
          </cell>
          <cell r="D393">
            <v>55.69</v>
          </cell>
          <cell r="E393">
            <v>62.93</v>
          </cell>
          <cell r="F393">
            <v>79.56</v>
          </cell>
          <cell r="G393">
            <v>89.9</v>
          </cell>
        </row>
        <row r="394">
          <cell r="A394" t="str">
            <v>B69L39-1</v>
          </cell>
          <cell r="B394" t="str">
            <v>LN</v>
          </cell>
          <cell r="C394" t="str">
            <v>ESMALTE EPOXICO KEM CATI COAT BRILLANTE AZUL PARTE A</v>
          </cell>
          <cell r="D394">
            <v>55.69</v>
          </cell>
          <cell r="E394">
            <v>62.93</v>
          </cell>
          <cell r="F394">
            <v>79.56</v>
          </cell>
          <cell r="G394">
            <v>89.9</v>
          </cell>
        </row>
        <row r="395">
          <cell r="A395" t="str">
            <v>B69RSA6-1</v>
          </cell>
          <cell r="B395" t="str">
            <v>PE</v>
          </cell>
          <cell r="C395" t="str">
            <v>ESMALTE EPOXICO KEM CATI COAT BRILLANTE ROJO SEGURIDAD</v>
          </cell>
          <cell r="D395">
            <v>55.69</v>
          </cell>
          <cell r="E395">
            <v>62.93</v>
          </cell>
          <cell r="F395">
            <v>79.56</v>
          </cell>
          <cell r="G395">
            <v>89.9</v>
          </cell>
        </row>
        <row r="396">
          <cell r="A396" t="str">
            <v>B69W36-1</v>
          </cell>
          <cell r="B396" t="str">
            <v>LN</v>
          </cell>
          <cell r="C396" t="str">
            <v>ESMALTE EPOXICO KEM CATI COAT BRILLANTE BLANCO PARTE A</v>
          </cell>
          <cell r="D396">
            <v>55.69</v>
          </cell>
          <cell r="E396">
            <v>62.93</v>
          </cell>
          <cell r="F396">
            <v>79.56</v>
          </cell>
          <cell r="G396">
            <v>89.9</v>
          </cell>
        </row>
        <row r="397">
          <cell r="A397" t="str">
            <v>B69YSA8-1</v>
          </cell>
          <cell r="B397" t="str">
            <v>LN</v>
          </cell>
          <cell r="C397" t="str">
            <v>ESMALTE EPOXICO KEM CATI COAT BRILLANTE AMARILLO SEG PARTE A</v>
          </cell>
          <cell r="D397">
            <v>55.69</v>
          </cell>
          <cell r="E397">
            <v>62.93</v>
          </cell>
          <cell r="F397">
            <v>79.56</v>
          </cell>
          <cell r="G397">
            <v>89.9</v>
          </cell>
        </row>
        <row r="398">
          <cell r="A398" t="str">
            <v>H81TSA1-1</v>
          </cell>
          <cell r="B398" t="str">
            <v>LN</v>
          </cell>
          <cell r="C398" t="str">
            <v>ESM IND EPOXICO KEM CATI COAT BRILLANTE CLEAR PART A</v>
          </cell>
          <cell r="D398">
            <v>43.3</v>
          </cell>
          <cell r="E398">
            <v>48.93</v>
          </cell>
          <cell r="F398">
            <v>61.86</v>
          </cell>
          <cell r="G398">
            <v>69.900000000000006</v>
          </cell>
        </row>
        <row r="400">
          <cell r="B400" t="str">
            <v xml:space="preserve"> </v>
          </cell>
          <cell r="C400" t="str">
            <v>CATALIZADORES PARA ESMALTE EPÓXICO KEM CATI COAT</v>
          </cell>
        </row>
        <row r="401">
          <cell r="A401" t="str">
            <v>V66V19-1</v>
          </cell>
          <cell r="B401" t="str">
            <v>LN</v>
          </cell>
          <cell r="C401" t="str">
            <v>ESM IND EPOXICO KEM CATI COAT CATALIZADOR PARTE B</v>
          </cell>
          <cell r="D401">
            <v>33.76</v>
          </cell>
          <cell r="E401">
            <v>38.15</v>
          </cell>
          <cell r="F401">
            <v>48.23</v>
          </cell>
          <cell r="G401">
            <v>54.5</v>
          </cell>
        </row>
        <row r="402">
          <cell r="A402" t="str">
            <v>V66V20-1</v>
          </cell>
          <cell r="B402" t="str">
            <v>LN</v>
          </cell>
          <cell r="C402" t="str">
            <v>ESM IND EPOXICO KEM CATI COAT FAST CURE CATALIZADOR PARTE B</v>
          </cell>
          <cell r="D402">
            <v>33.76</v>
          </cell>
          <cell r="E402">
            <v>38.15</v>
          </cell>
          <cell r="F402">
            <v>48.23</v>
          </cell>
          <cell r="G402">
            <v>54.5</v>
          </cell>
        </row>
        <row r="404">
          <cell r="C404" t="str">
            <v>CONVERTIDOR A POLIURETANO PARA ESMALTES ALQUÍDICOS</v>
          </cell>
        </row>
        <row r="405">
          <cell r="A405" t="str">
            <v>B65VSA2-1/16</v>
          </cell>
          <cell r="B405" t="str">
            <v>LN</v>
          </cell>
          <cell r="C405" t="str">
            <v>CONVERTIDOR A POLIURETANO INDUSTRIAL</v>
          </cell>
          <cell r="D405">
            <v>5.29</v>
          </cell>
          <cell r="E405">
            <v>5.98</v>
          </cell>
          <cell r="F405">
            <v>7.35</v>
          </cell>
          <cell r="G405">
            <v>8.2999999999999989</v>
          </cell>
        </row>
        <row r="407">
          <cell r="B407" t="str">
            <v xml:space="preserve"> </v>
          </cell>
          <cell r="C407" t="str">
            <v>ESMALTE INDUSTRIAL FASTER DRY</v>
          </cell>
        </row>
        <row r="408">
          <cell r="B408" t="str">
            <v xml:space="preserve"> </v>
          </cell>
        </row>
        <row r="409">
          <cell r="B409" t="str">
            <v xml:space="preserve"> </v>
          </cell>
          <cell r="C409" t="str">
            <v>ACABADO BRILLANTE</v>
          </cell>
        </row>
        <row r="410">
          <cell r="B410" t="str">
            <v xml:space="preserve"> </v>
          </cell>
          <cell r="C410" t="str">
            <v>USO INTERIOR - EXTERIOR</v>
          </cell>
        </row>
        <row r="411">
          <cell r="B411" t="str">
            <v xml:space="preserve"> </v>
          </cell>
        </row>
        <row r="412">
          <cell r="A412" t="str">
            <v>F85BSA1-1/4</v>
          </cell>
          <cell r="B412" t="str">
            <v>LN</v>
          </cell>
          <cell r="C412" t="str">
            <v>KEM ESM IND ULTRA FAST DRY BS ALQ BRILLANTE NEGRO</v>
          </cell>
          <cell r="D412">
            <v>7.96</v>
          </cell>
          <cell r="E412">
            <v>9</v>
          </cell>
          <cell r="F412">
            <v>11.06</v>
          </cell>
          <cell r="G412">
            <v>12.5</v>
          </cell>
        </row>
        <row r="413">
          <cell r="A413" t="str">
            <v>F85GSA1-1/4</v>
          </cell>
          <cell r="B413" t="str">
            <v>LN</v>
          </cell>
          <cell r="C413" t="str">
            <v>KEM ESM IND ULTRA FAST DRY BS ALQ BRILLANTE VERDE SEGURIDAD</v>
          </cell>
          <cell r="D413">
            <v>7.96</v>
          </cell>
          <cell r="E413">
            <v>9</v>
          </cell>
          <cell r="F413">
            <v>11.06</v>
          </cell>
          <cell r="G413">
            <v>12.5</v>
          </cell>
        </row>
        <row r="414">
          <cell r="A414" t="str">
            <v>F85GSA2-1/4</v>
          </cell>
          <cell r="B414" t="str">
            <v>LN</v>
          </cell>
          <cell r="C414" t="str">
            <v>KEM ESM IND ULTRA FAST DRY BS ALQ BRILLANT VERDE AGRICOLA JD</v>
          </cell>
          <cell r="D414">
            <v>7.96</v>
          </cell>
          <cell r="E414">
            <v>9</v>
          </cell>
          <cell r="F414">
            <v>11.06</v>
          </cell>
          <cell r="G414">
            <v>12.5</v>
          </cell>
        </row>
        <row r="415">
          <cell r="A415" t="str">
            <v>F85LSA1-1/4</v>
          </cell>
          <cell r="B415" t="str">
            <v>LN</v>
          </cell>
          <cell r="C415" t="str">
            <v>KEM ESM IND ULTRA FAST DRY BS ALQ BRILLANTE AZUL SEGURIDAD</v>
          </cell>
          <cell r="D415">
            <v>7.96</v>
          </cell>
          <cell r="E415">
            <v>9</v>
          </cell>
          <cell r="F415">
            <v>11.06</v>
          </cell>
          <cell r="G415">
            <v>12.5</v>
          </cell>
        </row>
        <row r="416">
          <cell r="A416" t="str">
            <v>F85WSA1-1/4</v>
          </cell>
          <cell r="B416" t="str">
            <v>LN</v>
          </cell>
          <cell r="C416" t="str">
            <v>KEM ESM IND ULTRA FAST DRY BS ALQ BRILLANTE BLANCO</v>
          </cell>
          <cell r="D416">
            <v>7.96</v>
          </cell>
          <cell r="E416">
            <v>9</v>
          </cell>
          <cell r="F416">
            <v>11.06</v>
          </cell>
          <cell r="G416">
            <v>12.5</v>
          </cell>
        </row>
        <row r="417">
          <cell r="A417" t="str">
            <v>F85YSA2-1/4</v>
          </cell>
          <cell r="B417" t="str">
            <v>LN</v>
          </cell>
          <cell r="C417" t="str">
            <v>KEM ESM IND ULTRA FAST DRY BS ALQ BRILL AMARILLO CATERPILLAR</v>
          </cell>
          <cell r="D417">
            <v>7.96</v>
          </cell>
          <cell r="E417">
            <v>9</v>
          </cell>
          <cell r="F417">
            <v>11.06</v>
          </cell>
          <cell r="G417">
            <v>12.5</v>
          </cell>
        </row>
        <row r="418">
          <cell r="A418" t="str">
            <v>F85YSA1-1/4</v>
          </cell>
          <cell r="B418" t="str">
            <v>LN</v>
          </cell>
          <cell r="C418" t="str">
            <v>KEM ESM IND ULTRA FAST DRY BS ALQ BRILLANTE AMARILLO SEGURID</v>
          </cell>
          <cell r="D418">
            <v>7.96</v>
          </cell>
          <cell r="E418">
            <v>9</v>
          </cell>
          <cell r="F418">
            <v>11.06</v>
          </cell>
          <cell r="G418">
            <v>12.5</v>
          </cell>
        </row>
        <row r="419">
          <cell r="A419" t="str">
            <v>F85LSA5-1/4</v>
          </cell>
          <cell r="B419" t="str">
            <v>PE</v>
          </cell>
          <cell r="C419" t="str">
            <v>KEM ESM IND ULTRA FAST DRY BS ALQ BRILLANTE AZUL MARINO</v>
          </cell>
          <cell r="D419">
            <v>7.96</v>
          </cell>
          <cell r="E419">
            <v>9</v>
          </cell>
          <cell r="F419">
            <v>11.06</v>
          </cell>
          <cell r="G419">
            <v>12.5</v>
          </cell>
        </row>
        <row r="420">
          <cell r="A420" t="str">
            <v>F85RSA1-1/4</v>
          </cell>
          <cell r="B420" t="str">
            <v>LN</v>
          </cell>
          <cell r="C420" t="str">
            <v>KEM ESM IND ULTRA FAST DRY BS ALQ BRILLANTE ROJO SEGURIDAD</v>
          </cell>
          <cell r="D420">
            <v>7.96</v>
          </cell>
          <cell r="E420">
            <v>9</v>
          </cell>
          <cell r="F420">
            <v>11.06</v>
          </cell>
          <cell r="G420">
            <v>12.5</v>
          </cell>
        </row>
        <row r="422">
          <cell r="A422" t="str">
            <v>F85ASA2-1</v>
          </cell>
          <cell r="B422" t="str">
            <v>LN</v>
          </cell>
          <cell r="C422" t="str">
            <v>KEM ESM IND ULTRA FAST DRY BS ALQ BRILLANTE GRIS</v>
          </cell>
          <cell r="D422">
            <v>30.52</v>
          </cell>
          <cell r="E422">
            <v>34.49</v>
          </cell>
          <cell r="F422">
            <v>42.39</v>
          </cell>
          <cell r="G422">
            <v>47.9</v>
          </cell>
        </row>
        <row r="423">
          <cell r="A423" t="str">
            <v>F85BSA1-1</v>
          </cell>
          <cell r="B423" t="str">
            <v>LN</v>
          </cell>
          <cell r="C423" t="str">
            <v>KEM ESM IND ULTRA FAST DRY BS ALQ BRILLANTE NEGRO</v>
          </cell>
          <cell r="D423">
            <v>30.52</v>
          </cell>
          <cell r="E423">
            <v>34.49</v>
          </cell>
          <cell r="F423">
            <v>42.39</v>
          </cell>
          <cell r="G423">
            <v>47.9</v>
          </cell>
        </row>
        <row r="424">
          <cell r="A424" t="str">
            <v>F85GSA1-1</v>
          </cell>
          <cell r="B424" t="str">
            <v>LN</v>
          </cell>
          <cell r="C424" t="str">
            <v>KEM ESM IND ULTRA FAST DRY BS ALQ BRILLANTE VERDE SEGURIDAD</v>
          </cell>
          <cell r="D424">
            <v>30.52</v>
          </cell>
          <cell r="E424">
            <v>34.49</v>
          </cell>
          <cell r="F424">
            <v>42.39</v>
          </cell>
          <cell r="G424">
            <v>47.9</v>
          </cell>
        </row>
        <row r="425">
          <cell r="A425" t="str">
            <v>F85GSA2-1</v>
          </cell>
          <cell r="B425" t="str">
            <v>LN</v>
          </cell>
          <cell r="C425" t="str">
            <v>KEM ESM IND ULTRA FAST DRY BS ALQ BRILLANT VERDE AGRICOLA JD</v>
          </cell>
          <cell r="D425">
            <v>30.52</v>
          </cell>
          <cell r="E425">
            <v>34.49</v>
          </cell>
          <cell r="F425">
            <v>42.39</v>
          </cell>
          <cell r="G425">
            <v>47.9</v>
          </cell>
        </row>
        <row r="426">
          <cell r="A426" t="str">
            <v>F85LSA1-1</v>
          </cell>
          <cell r="B426" t="str">
            <v>LN</v>
          </cell>
          <cell r="C426" t="str">
            <v>KEM ESM IND ULTRA FAST DRY BS ALQ BRILLANTE AZUL SEGURIDAD</v>
          </cell>
          <cell r="D426">
            <v>30.52</v>
          </cell>
          <cell r="E426">
            <v>34.49</v>
          </cell>
          <cell r="F426">
            <v>42.39</v>
          </cell>
          <cell r="G426">
            <v>47.9</v>
          </cell>
        </row>
        <row r="427">
          <cell r="A427" t="str">
            <v>F85LSA5-1</v>
          </cell>
          <cell r="B427" t="str">
            <v>LN</v>
          </cell>
          <cell r="C427" t="str">
            <v>KEM ESM IND ULTRA FAST DRY BS ALQ BTE AZUL MARINO</v>
          </cell>
          <cell r="D427">
            <v>30.52</v>
          </cell>
          <cell r="E427">
            <v>34.49</v>
          </cell>
          <cell r="F427">
            <v>42.39</v>
          </cell>
          <cell r="G427">
            <v>47.9</v>
          </cell>
        </row>
        <row r="428">
          <cell r="A428" t="str">
            <v>F85RSA1-1</v>
          </cell>
          <cell r="B428" t="str">
            <v>LN</v>
          </cell>
          <cell r="C428" t="str">
            <v>KEM ESM IND ULTRA FAST DRY BS ALQ BRILLANTE ROJO SEGURIDAD</v>
          </cell>
          <cell r="D428">
            <v>30.52</v>
          </cell>
          <cell r="E428">
            <v>34.49</v>
          </cell>
          <cell r="F428">
            <v>42.39</v>
          </cell>
          <cell r="G428">
            <v>47.9</v>
          </cell>
        </row>
        <row r="429">
          <cell r="A429" t="str">
            <v>F85WSA1-1</v>
          </cell>
          <cell r="B429" t="str">
            <v>LN</v>
          </cell>
          <cell r="C429" t="str">
            <v>KEM ESM IND ULTRA FAST DRY BS ALQ BRILLANTE BLANCO</v>
          </cell>
          <cell r="D429">
            <v>30.52</v>
          </cell>
          <cell r="E429">
            <v>34.49</v>
          </cell>
          <cell r="F429">
            <v>42.39</v>
          </cell>
          <cell r="G429">
            <v>47.9</v>
          </cell>
        </row>
        <row r="430">
          <cell r="A430" t="str">
            <v>F85YSA2-1</v>
          </cell>
          <cell r="B430" t="str">
            <v>LN</v>
          </cell>
          <cell r="C430" t="str">
            <v>KEM ESM IND ULTRA FAST DRY BS ALQ BRILL AMARILLO CATERPILLAR</v>
          </cell>
          <cell r="D430">
            <v>30.52</v>
          </cell>
          <cell r="E430">
            <v>34.49</v>
          </cell>
          <cell r="F430">
            <v>42.39</v>
          </cell>
          <cell r="G430">
            <v>47.9</v>
          </cell>
        </row>
        <row r="431">
          <cell r="A431" t="str">
            <v>F85SSA2-1</v>
          </cell>
          <cell r="B431" t="str">
            <v>LN</v>
          </cell>
          <cell r="C431" t="str">
            <v>KEM ESM IND ULTRA FAST DRY BS ALQ BRILLANTE ALUMINIO</v>
          </cell>
          <cell r="D431">
            <v>30.52</v>
          </cell>
          <cell r="E431">
            <v>34.49</v>
          </cell>
          <cell r="F431">
            <v>42.39</v>
          </cell>
          <cell r="G431">
            <v>47.9</v>
          </cell>
        </row>
        <row r="432">
          <cell r="A432" t="str">
            <v>F85YSA1-1</v>
          </cell>
          <cell r="B432" t="str">
            <v>LN</v>
          </cell>
          <cell r="C432" t="str">
            <v>KEM ESM IND ULTRA FAST DRY BS ALQ BRILLANTE AMARILLO SEGURID</v>
          </cell>
          <cell r="D432">
            <v>30.52</v>
          </cell>
          <cell r="E432">
            <v>34.49</v>
          </cell>
          <cell r="F432">
            <v>42.39</v>
          </cell>
          <cell r="G432">
            <v>47.9</v>
          </cell>
        </row>
        <row r="433">
          <cell r="B433" t="str">
            <v xml:space="preserve"> </v>
          </cell>
        </row>
        <row r="434">
          <cell r="A434" t="str">
            <v>F85BSA1-5</v>
          </cell>
          <cell r="B434" t="str">
            <v>PE</v>
          </cell>
          <cell r="C434" t="str">
            <v>KEM ESM IND ULTRA FAST DRY BS ALQ BRILLANTE NEGRO</v>
          </cell>
          <cell r="D434">
            <v>136.99</v>
          </cell>
          <cell r="E434">
            <v>154.80000000000001</v>
          </cell>
          <cell r="F434">
            <v>190.27</v>
          </cell>
          <cell r="G434">
            <v>215</v>
          </cell>
        </row>
        <row r="435">
          <cell r="A435" t="str">
            <v>F85GSA1-5</v>
          </cell>
          <cell r="B435" t="str">
            <v>PE</v>
          </cell>
          <cell r="C435" t="str">
            <v>KEM ESM IND ULTRA FAST DRY BS ALQ BRILLANTE VERDE SEGURIDAD</v>
          </cell>
          <cell r="D435">
            <v>136.99</v>
          </cell>
          <cell r="E435">
            <v>154.80000000000001</v>
          </cell>
          <cell r="F435">
            <v>190.27</v>
          </cell>
          <cell r="G435">
            <v>215</v>
          </cell>
        </row>
        <row r="436">
          <cell r="A436" t="str">
            <v>F85GSA2-5</v>
          </cell>
          <cell r="B436" t="str">
            <v>PE</v>
          </cell>
          <cell r="C436" t="str">
            <v>KEM ESM IND ULTRA FAST DRY BS ALQ BRILLANT VERDE AGRICOLA JD</v>
          </cell>
          <cell r="D436">
            <v>136.99</v>
          </cell>
          <cell r="E436">
            <v>154.80000000000001</v>
          </cell>
          <cell r="F436">
            <v>190.27</v>
          </cell>
          <cell r="G436">
            <v>215</v>
          </cell>
        </row>
        <row r="437">
          <cell r="A437" t="str">
            <v>F85LSA1-5</v>
          </cell>
          <cell r="B437" t="str">
            <v>PE</v>
          </cell>
          <cell r="C437" t="str">
            <v>KEM ESM IND FASTER DRY BA SOLV ALQ BRILLANTE AZUL SEGURIDAD</v>
          </cell>
          <cell r="D437">
            <v>136.99</v>
          </cell>
          <cell r="E437">
            <v>154.80000000000001</v>
          </cell>
          <cell r="F437">
            <v>190.27</v>
          </cell>
          <cell r="G437">
            <v>215</v>
          </cell>
        </row>
        <row r="438">
          <cell r="A438" t="str">
            <v>F85LSA5-5</v>
          </cell>
          <cell r="B438" t="str">
            <v>PE</v>
          </cell>
          <cell r="C438" t="str">
            <v>KEM ESM IND ULTRA FAST DRY BS ALQ BTE AZUL MARINO</v>
          </cell>
          <cell r="D438">
            <v>136.99</v>
          </cell>
          <cell r="E438">
            <v>154.80000000000001</v>
          </cell>
          <cell r="F438">
            <v>190.27</v>
          </cell>
          <cell r="G438">
            <v>215</v>
          </cell>
        </row>
        <row r="439">
          <cell r="A439" t="str">
            <v>F85RSA1-5</v>
          </cell>
          <cell r="B439" t="str">
            <v>PE</v>
          </cell>
          <cell r="C439" t="str">
            <v>KEM ESM IND ULTRA FAST DRY BS ALQ BRILLANTE ROJO SEGURIDAD</v>
          </cell>
          <cell r="D439">
            <v>136.99</v>
          </cell>
          <cell r="E439">
            <v>154.80000000000001</v>
          </cell>
          <cell r="F439">
            <v>190.27</v>
          </cell>
          <cell r="G439">
            <v>215</v>
          </cell>
        </row>
        <row r="440">
          <cell r="A440" t="str">
            <v>F85WSA1-5</v>
          </cell>
          <cell r="B440" t="str">
            <v>LN</v>
          </cell>
          <cell r="C440" t="str">
            <v>KEM ESM IND ULTRA FAST DRY BS ALQ BRILLANTE BLANCO</v>
          </cell>
          <cell r="D440">
            <v>136.99</v>
          </cell>
          <cell r="E440">
            <v>154.80000000000001</v>
          </cell>
          <cell r="F440">
            <v>190.27</v>
          </cell>
          <cell r="G440">
            <v>215</v>
          </cell>
        </row>
        <row r="441">
          <cell r="A441" t="str">
            <v>F85YSA2-5</v>
          </cell>
          <cell r="B441" t="str">
            <v>PE</v>
          </cell>
          <cell r="C441" t="str">
            <v>KEM ESM IND ULTRA FAST DRY BS ALQ BRILL AMARILLO CATERPILLAR</v>
          </cell>
          <cell r="D441">
            <v>136.99</v>
          </cell>
          <cell r="E441">
            <v>154.80000000000001</v>
          </cell>
          <cell r="F441">
            <v>190.27</v>
          </cell>
          <cell r="G441">
            <v>215</v>
          </cell>
        </row>
        <row r="442">
          <cell r="A442" t="str">
            <v>F85YSA1-5</v>
          </cell>
          <cell r="B442" t="str">
            <v>PE</v>
          </cell>
          <cell r="C442" t="str">
            <v>KEM ESM IND ULTRA FAST DRY BS ALQ BRILLANTE AMARILLO SEGURID</v>
          </cell>
          <cell r="D442">
            <v>136.99</v>
          </cell>
          <cell r="E442">
            <v>154.80000000000001</v>
          </cell>
          <cell r="F442">
            <v>190.27</v>
          </cell>
          <cell r="G442">
            <v>215</v>
          </cell>
        </row>
        <row r="443">
          <cell r="B443" t="str">
            <v xml:space="preserve"> </v>
          </cell>
        </row>
        <row r="445">
          <cell r="C445" t="str">
            <v>ESMALTE FAST DRY-SISTEMA ENTINTABLE</v>
          </cell>
        </row>
        <row r="446">
          <cell r="C446" t="str">
            <v>BASES ENTINTABLES FAST DRY, COLORES INDUSTRIALES, QUE PERMITEN DESARROLLAR MÁS</v>
          </cell>
        </row>
        <row r="447">
          <cell r="C447" t="str">
            <v>DE 6,000 COLORES DE RÁPIDO SECADO CON TINTES BLEND-A-COLOR</v>
          </cell>
        </row>
        <row r="448">
          <cell r="C448" t="str">
            <v>USO INTERIOR - EXTERIOR</v>
          </cell>
        </row>
        <row r="450">
          <cell r="C450" t="str">
            <v xml:space="preserve"> USO INTERIOR - EXTERIOR</v>
          </cell>
        </row>
        <row r="451">
          <cell r="A451" t="str">
            <v>F80WSA51-1/4</v>
          </cell>
          <cell r="B451" t="str">
            <v>LN</v>
          </cell>
          <cell r="C451" t="str">
            <v>KEM ESMALTE IND FAST DRY ENTINTABLE BTE BASE EW</v>
          </cell>
          <cell r="D451">
            <v>8.74</v>
          </cell>
          <cell r="E451">
            <v>9.8800000000000008</v>
          </cell>
          <cell r="F451">
            <v>12.83</v>
          </cell>
          <cell r="G451">
            <v>14.5</v>
          </cell>
        </row>
        <row r="452">
          <cell r="A452" t="str">
            <v>F80WSA53-1/4</v>
          </cell>
          <cell r="B452" t="str">
            <v>LN</v>
          </cell>
          <cell r="C452" t="str">
            <v>KEM ESMALTE IND FAST DRY ENTINTABLE BTE BASE DEEP</v>
          </cell>
          <cell r="D452">
            <v>7.74</v>
          </cell>
          <cell r="E452">
            <v>8.75</v>
          </cell>
          <cell r="F452">
            <v>12.83</v>
          </cell>
          <cell r="G452">
            <v>14.5</v>
          </cell>
        </row>
        <row r="453">
          <cell r="A453" t="str">
            <v>F80TSA54-1/4</v>
          </cell>
          <cell r="B453" t="str">
            <v>LN</v>
          </cell>
          <cell r="C453" t="str">
            <v>KEM ESMALTE IND FAST DRY ENTINTABLE BTE BASE ULTRA DEEP</v>
          </cell>
          <cell r="D453">
            <v>7.74</v>
          </cell>
          <cell r="E453">
            <v>8.75</v>
          </cell>
          <cell r="F453">
            <v>12.83</v>
          </cell>
          <cell r="G453">
            <v>14.5</v>
          </cell>
        </row>
        <row r="455">
          <cell r="A455" t="str">
            <v>F80WSA51-1</v>
          </cell>
          <cell r="B455" t="str">
            <v>LN</v>
          </cell>
          <cell r="C455" t="str">
            <v>KEM ESMALTE IND FAST DRY ENTINTABLE BTE BASE EW</v>
          </cell>
          <cell r="D455">
            <v>29.65</v>
          </cell>
          <cell r="E455">
            <v>33.51</v>
          </cell>
          <cell r="F455">
            <v>43.27</v>
          </cell>
          <cell r="G455">
            <v>48.9</v>
          </cell>
        </row>
        <row r="456">
          <cell r="A456" t="str">
            <v>F80WSA53-1</v>
          </cell>
          <cell r="B456" t="str">
            <v>LN</v>
          </cell>
          <cell r="C456" t="str">
            <v>KEM ESMALTE IND FAST DRY ENTINTABLE BTE BASE DEEP</v>
          </cell>
          <cell r="D456">
            <v>26.16</v>
          </cell>
          <cell r="E456">
            <v>29.56</v>
          </cell>
          <cell r="F456">
            <v>43.27</v>
          </cell>
          <cell r="G456">
            <v>48.9</v>
          </cell>
        </row>
        <row r="457">
          <cell r="A457" t="str">
            <v>F80TSA54-1</v>
          </cell>
          <cell r="B457" t="str">
            <v>LN</v>
          </cell>
          <cell r="C457" t="str">
            <v>KEM ESMALTE IND FAST DRY ENTINTABLE BTE BASE ULTRA DEEP</v>
          </cell>
          <cell r="D457">
            <v>26.16</v>
          </cell>
          <cell r="E457">
            <v>29.56</v>
          </cell>
          <cell r="F457">
            <v>43.27</v>
          </cell>
          <cell r="G457">
            <v>48.9</v>
          </cell>
        </row>
        <row r="459">
          <cell r="A459" t="str">
            <v>F80WSA51-5</v>
          </cell>
          <cell r="B459" t="str">
            <v>LN</v>
          </cell>
          <cell r="C459" t="str">
            <v>KEM ESMALTE IND FAST DRY ENTINTABLE BTE BASE EW</v>
          </cell>
          <cell r="D459">
            <v>132.68</v>
          </cell>
          <cell r="E459">
            <v>149.93</v>
          </cell>
          <cell r="F459">
            <v>194.69</v>
          </cell>
          <cell r="G459">
            <v>220</v>
          </cell>
        </row>
        <row r="460">
          <cell r="A460" t="str">
            <v>F80WSA53-5</v>
          </cell>
          <cell r="B460" t="str">
            <v>LN</v>
          </cell>
          <cell r="C460" t="str">
            <v>KEM ESMALTE IND FAST DRY ENTINTABLE BTE BASE DEEP</v>
          </cell>
          <cell r="D460">
            <v>115.18</v>
          </cell>
          <cell r="E460">
            <v>130.15</v>
          </cell>
          <cell r="F460">
            <v>194.69</v>
          </cell>
          <cell r="G460">
            <v>220</v>
          </cell>
        </row>
        <row r="461">
          <cell r="A461" t="str">
            <v>F80TSA54-5</v>
          </cell>
          <cell r="B461" t="str">
            <v>LN</v>
          </cell>
          <cell r="C461" t="str">
            <v>KEM ESMALTE IND FAST DRY ENTINTABLE BTE BASE ULTRA DEEP</v>
          </cell>
          <cell r="D461">
            <v>115.18</v>
          </cell>
          <cell r="E461">
            <v>130.15</v>
          </cell>
          <cell r="F461">
            <v>194.69</v>
          </cell>
          <cell r="G461">
            <v>220</v>
          </cell>
        </row>
        <row r="463">
          <cell r="B463" t="str">
            <v xml:space="preserve"> </v>
          </cell>
          <cell r="C463" t="str">
            <v>ESMALTE INDUSTRIAL KEM LUSTRAL</v>
          </cell>
        </row>
        <row r="464">
          <cell r="B464" t="str">
            <v xml:space="preserve"> </v>
          </cell>
          <cell r="C464" t="str">
            <v xml:space="preserve">USO INTERIOR </v>
          </cell>
        </row>
        <row r="465">
          <cell r="A465" t="str">
            <v>F65B2-1</v>
          </cell>
          <cell r="B465" t="str">
            <v>LN</v>
          </cell>
          <cell r="C465" t="str">
            <v>KEM ESMALTE IND KEM LUSTRAL ALQ MATE NEGRO</v>
          </cell>
          <cell r="D465">
            <v>27.97</v>
          </cell>
          <cell r="E465">
            <v>31.61</v>
          </cell>
          <cell r="F465">
            <v>38.85</v>
          </cell>
          <cell r="G465">
            <v>43.9</v>
          </cell>
        </row>
        <row r="466">
          <cell r="B466" t="str">
            <v xml:space="preserve"> </v>
          </cell>
        </row>
        <row r="467">
          <cell r="B467" t="str">
            <v xml:space="preserve"> </v>
          </cell>
          <cell r="C467" t="str">
            <v>USO INTERIOR - EXTERIOR</v>
          </cell>
        </row>
        <row r="468">
          <cell r="A468" t="str">
            <v>F65WSA8-1/4</v>
          </cell>
          <cell r="B468" t="str">
            <v>LN</v>
          </cell>
          <cell r="C468" t="str">
            <v>KEM ESMALTE IND KEM LUSTRAL ALQ BRILLANTE ULTRA BLANCO</v>
          </cell>
          <cell r="D468">
            <v>8.6</v>
          </cell>
          <cell r="E468">
            <v>9.7200000000000006</v>
          </cell>
          <cell r="F468">
            <v>11.95</v>
          </cell>
          <cell r="G468">
            <v>13.5</v>
          </cell>
        </row>
        <row r="470">
          <cell r="A470" t="str">
            <v>F65A2-1</v>
          </cell>
          <cell r="B470" t="str">
            <v>LN</v>
          </cell>
          <cell r="C470" t="str">
            <v>KEM ESMALTE IND KEM LUSTRAL ALQ BRILLANTE GRIS MEDIANO</v>
          </cell>
          <cell r="D470">
            <v>27.97</v>
          </cell>
          <cell r="E470">
            <v>31.61</v>
          </cell>
          <cell r="F470">
            <v>38.85</v>
          </cell>
          <cell r="G470">
            <v>43.9</v>
          </cell>
        </row>
        <row r="471">
          <cell r="A471" t="str">
            <v>F65ASA15-1</v>
          </cell>
          <cell r="B471" t="str">
            <v>LN</v>
          </cell>
          <cell r="C471" t="str">
            <v>KEM ESMALTE IND KEM LUSTRAL ALQ BRILLANTE HAZE GRAY</v>
          </cell>
          <cell r="D471">
            <v>27.97</v>
          </cell>
          <cell r="E471">
            <v>31.61</v>
          </cell>
          <cell r="F471">
            <v>38.85</v>
          </cell>
          <cell r="G471">
            <v>43.9</v>
          </cell>
        </row>
        <row r="472">
          <cell r="A472" t="str">
            <v>F65B1-1</v>
          </cell>
          <cell r="B472" t="str">
            <v>LN</v>
          </cell>
          <cell r="C472" t="str">
            <v>KEM ESMALTE IND KEM LUSTRAL ALQ BRILLANTE NEGRO</v>
          </cell>
          <cell r="D472">
            <v>27.97</v>
          </cell>
          <cell r="E472">
            <v>31.61</v>
          </cell>
          <cell r="F472">
            <v>38.85</v>
          </cell>
          <cell r="G472">
            <v>43.9</v>
          </cell>
        </row>
        <row r="473">
          <cell r="A473" t="str">
            <v>F65ESA5SP-1</v>
          </cell>
          <cell r="B473" t="str">
            <v>LN</v>
          </cell>
          <cell r="C473" t="str">
            <v>KEM ESMALTE IND KEM LUSTRAL ALQ BRILLANTE NARANJA</v>
          </cell>
          <cell r="D473">
            <v>27.97</v>
          </cell>
          <cell r="E473">
            <v>31.61</v>
          </cell>
          <cell r="F473">
            <v>38.85</v>
          </cell>
          <cell r="G473">
            <v>43.9</v>
          </cell>
        </row>
        <row r="474">
          <cell r="A474" t="str">
            <v>F65LSA12-1</v>
          </cell>
          <cell r="B474" t="str">
            <v>LN</v>
          </cell>
          <cell r="C474" t="str">
            <v>KEM ESMALTE IND KEM LUSTRAL ALQ BRILLANTE AZUL MARINO</v>
          </cell>
          <cell r="D474">
            <v>27.97</v>
          </cell>
          <cell r="E474">
            <v>31.61</v>
          </cell>
          <cell r="F474">
            <v>38.85</v>
          </cell>
          <cell r="G474">
            <v>43.9</v>
          </cell>
        </row>
        <row r="475">
          <cell r="A475" t="str">
            <v>F65LSA26-1</v>
          </cell>
          <cell r="B475" t="str">
            <v>LN</v>
          </cell>
          <cell r="C475" t="str">
            <v>KEM ESMALTE IND KEM LUSTRAL ALQ BRILLANTE AZUL DINAMICO</v>
          </cell>
          <cell r="D475">
            <v>27.97</v>
          </cell>
          <cell r="E475">
            <v>31.61</v>
          </cell>
          <cell r="F475">
            <v>38.85</v>
          </cell>
          <cell r="G475">
            <v>43.9</v>
          </cell>
        </row>
        <row r="476">
          <cell r="A476" t="str">
            <v>F65R1-1</v>
          </cell>
          <cell r="B476" t="str">
            <v>LN</v>
          </cell>
          <cell r="C476" t="str">
            <v>KEM ESMALTE IND KEM LUSTRAL ALQ BRILLANTE BERMELLON</v>
          </cell>
          <cell r="D476">
            <v>27.97</v>
          </cell>
          <cell r="E476">
            <v>31.61</v>
          </cell>
          <cell r="F476">
            <v>38.85</v>
          </cell>
          <cell r="G476">
            <v>43.9</v>
          </cell>
        </row>
        <row r="477">
          <cell r="A477" t="str">
            <v>F65RSA15SP-1</v>
          </cell>
          <cell r="B477" t="str">
            <v>LN</v>
          </cell>
          <cell r="C477" t="str">
            <v xml:space="preserve">KEM ESMALTE IND KEM LUSTRAL ALQ BRILLANTE ROJO </v>
          </cell>
          <cell r="D477">
            <v>27.97</v>
          </cell>
          <cell r="E477">
            <v>31.61</v>
          </cell>
          <cell r="F477">
            <v>38.85</v>
          </cell>
          <cell r="G477">
            <v>43.9</v>
          </cell>
        </row>
        <row r="478">
          <cell r="A478" t="str">
            <v>F65WSA8-1</v>
          </cell>
          <cell r="B478" t="str">
            <v>LN</v>
          </cell>
          <cell r="C478" t="str">
            <v>KEM ESMALTE IND KEM LUSTRAL ALQ BRILLANTE ULTRA BLANCO</v>
          </cell>
          <cell r="D478">
            <v>27.97</v>
          </cell>
          <cell r="E478">
            <v>31.61</v>
          </cell>
          <cell r="F478">
            <v>38.85</v>
          </cell>
          <cell r="G478">
            <v>43.9</v>
          </cell>
        </row>
        <row r="479">
          <cell r="A479" t="str">
            <v>F65Y100-1</v>
          </cell>
          <cell r="B479" t="str">
            <v>LN</v>
          </cell>
          <cell r="C479" t="str">
            <v>KEM ESMALTE IND KEM LUSTRAL ALQ BRILL AMARILLO CATERPILLAR</v>
          </cell>
          <cell r="D479">
            <v>27.97</v>
          </cell>
          <cell r="E479">
            <v>31.61</v>
          </cell>
          <cell r="F479">
            <v>38.85</v>
          </cell>
          <cell r="G479">
            <v>43.9</v>
          </cell>
        </row>
        <row r="480">
          <cell r="A480" t="str">
            <v>F65Y12-1</v>
          </cell>
          <cell r="B480" t="str">
            <v>LN</v>
          </cell>
          <cell r="C480" t="str">
            <v>KEM ESMALTE IND KEM LUSTRAL ALQ BTE AMARILLO SEGURIDAD</v>
          </cell>
          <cell r="D480">
            <v>27.97</v>
          </cell>
          <cell r="E480">
            <v>31.61</v>
          </cell>
          <cell r="F480">
            <v>38.85</v>
          </cell>
          <cell r="G480">
            <v>43.9</v>
          </cell>
        </row>
        <row r="482">
          <cell r="C482" t="str">
            <v xml:space="preserve"> ESMALTE INDUSTRIAL FAST DRY 20 MIN</v>
          </cell>
        </row>
        <row r="483">
          <cell r="C483" t="str">
            <v xml:space="preserve">Diseñado especialmente para la Industria Metalmecánica y Construcción. </v>
          </cell>
        </row>
        <row r="485">
          <cell r="C485" t="str">
            <v>USO INTERIOR - EXTERIOR</v>
          </cell>
        </row>
        <row r="486">
          <cell r="A486" t="str">
            <v>F80WSA1-1</v>
          </cell>
          <cell r="B486" t="str">
            <v>LN</v>
          </cell>
          <cell r="C486" t="str">
            <v>KEM ESMALTE INDUSTRIAL FAST DRY BRILLANTE BLANCO</v>
          </cell>
          <cell r="D486">
            <v>26.7</v>
          </cell>
          <cell r="E486">
            <v>30.17</v>
          </cell>
          <cell r="F486">
            <v>37.08</v>
          </cell>
          <cell r="G486">
            <v>41.9</v>
          </cell>
        </row>
        <row r="487">
          <cell r="A487" t="str">
            <v>F80ASA1-1</v>
          </cell>
          <cell r="B487" t="str">
            <v>LN</v>
          </cell>
          <cell r="C487" t="str">
            <v>KEM ESMALTE INDUSTRIAL FAST DRY BRILL GRIS RAL 7046</v>
          </cell>
          <cell r="D487">
            <v>26.7</v>
          </cell>
          <cell r="E487">
            <v>30.17</v>
          </cell>
          <cell r="F487">
            <v>37.08</v>
          </cell>
          <cell r="G487">
            <v>41.9</v>
          </cell>
        </row>
        <row r="488">
          <cell r="A488" t="str">
            <v>F80BSA1-1</v>
          </cell>
          <cell r="B488" t="str">
            <v>LN</v>
          </cell>
          <cell r="C488" t="str">
            <v>KEM ESMALTE INDUSTRIAL FAST DRY BRILLANTE NEGRO</v>
          </cell>
          <cell r="D488">
            <v>26.7</v>
          </cell>
          <cell r="E488">
            <v>30.17</v>
          </cell>
          <cell r="F488">
            <v>37.08</v>
          </cell>
          <cell r="G488">
            <v>41.9</v>
          </cell>
        </row>
        <row r="490">
          <cell r="A490" t="str">
            <v>F80WSA1-5</v>
          </cell>
          <cell r="B490" t="str">
            <v>LN</v>
          </cell>
          <cell r="C490" t="str">
            <v>KEM ESMALTE INDUSTRIAL FAST DRY BRILLANTE BLANCO</v>
          </cell>
          <cell r="D490">
            <v>128.71</v>
          </cell>
          <cell r="E490">
            <v>145.44</v>
          </cell>
          <cell r="F490">
            <v>178.76</v>
          </cell>
          <cell r="G490">
            <v>202</v>
          </cell>
        </row>
        <row r="491">
          <cell r="A491" t="str">
            <v>F80ASA1-5</v>
          </cell>
          <cell r="B491" t="str">
            <v>PE</v>
          </cell>
          <cell r="C491" t="str">
            <v>KEM ESMALTE INDUSTRIAL FAST DRY BRILL GRIS RAL 7046</v>
          </cell>
          <cell r="D491">
            <v>128.71</v>
          </cell>
          <cell r="E491">
            <v>145.44</v>
          </cell>
          <cell r="F491">
            <v>178.76</v>
          </cell>
          <cell r="G491">
            <v>202</v>
          </cell>
        </row>
        <row r="492">
          <cell r="A492" t="str">
            <v>F80BSA1-5</v>
          </cell>
          <cell r="B492" t="str">
            <v>PE</v>
          </cell>
          <cell r="C492" t="str">
            <v>KEM ESMALTE INDUSTRIAL FAST DRY BRILLANTE NEGRO</v>
          </cell>
          <cell r="D492">
            <v>128.71</v>
          </cell>
          <cell r="E492">
            <v>145.44</v>
          </cell>
          <cell r="F492">
            <v>178.76</v>
          </cell>
          <cell r="G492">
            <v>202</v>
          </cell>
        </row>
        <row r="494">
          <cell r="B494" t="str">
            <v xml:space="preserve"> </v>
          </cell>
          <cell r="C494" t="str">
            <v>EXCELLO ESMALTE BRILLANTE</v>
          </cell>
        </row>
        <row r="495">
          <cell r="B495" t="str">
            <v xml:space="preserve"> </v>
          </cell>
        </row>
        <row r="496">
          <cell r="C496" t="str">
            <v>EXCELLO ESMALTE COLORES METÁLICOS</v>
          </cell>
        </row>
        <row r="498">
          <cell r="A498" t="str">
            <v>B4SSA2-1</v>
          </cell>
          <cell r="B498" t="str">
            <v>LN</v>
          </cell>
          <cell r="C498" t="str">
            <v>EXCELLO ESMALTE BRILLANTE PLATA</v>
          </cell>
          <cell r="D498">
            <v>33.71</v>
          </cell>
          <cell r="E498">
            <v>38.090000000000003</v>
          </cell>
          <cell r="F498">
            <v>46.81</v>
          </cell>
          <cell r="G498">
            <v>52.9</v>
          </cell>
        </row>
        <row r="499">
          <cell r="A499" t="str">
            <v>B4SSA3-1</v>
          </cell>
          <cell r="B499" t="str">
            <v>LN</v>
          </cell>
          <cell r="C499" t="str">
            <v>EXCELLO ESMALTE BRILLANTE DORADO</v>
          </cell>
          <cell r="D499">
            <v>33.71</v>
          </cell>
          <cell r="E499">
            <v>38.090000000000003</v>
          </cell>
          <cell r="F499">
            <v>46.81</v>
          </cell>
          <cell r="G499">
            <v>52.9</v>
          </cell>
        </row>
        <row r="500">
          <cell r="A500" t="str">
            <v>B4SSA4-1</v>
          </cell>
          <cell r="B500" t="str">
            <v>LN</v>
          </cell>
          <cell r="C500" t="str">
            <v>EXCELLO ESMALTE BRILLANTE BRONCE</v>
          </cell>
          <cell r="D500">
            <v>33.71</v>
          </cell>
          <cell r="E500">
            <v>38.090000000000003</v>
          </cell>
          <cell r="F500">
            <v>46.81</v>
          </cell>
          <cell r="G500">
            <v>52.9</v>
          </cell>
        </row>
        <row r="501">
          <cell r="A501" t="str">
            <v>B4SSA5-1</v>
          </cell>
          <cell r="B501" t="str">
            <v>LN</v>
          </cell>
          <cell r="C501" t="str">
            <v>EXCELLO ESMALTE BRILLANTE COBRE</v>
          </cell>
          <cell r="D501">
            <v>33.71</v>
          </cell>
          <cell r="E501">
            <v>38.090000000000003</v>
          </cell>
          <cell r="F501">
            <v>46.81</v>
          </cell>
          <cell r="G501">
            <v>52.9</v>
          </cell>
        </row>
        <row r="503">
          <cell r="A503" t="str">
            <v>B4SSA2-1/4</v>
          </cell>
          <cell r="B503" t="str">
            <v>LN</v>
          </cell>
          <cell r="C503" t="str">
            <v>EXCELLO ESMALTE BRILLANTE PLATA</v>
          </cell>
          <cell r="D503">
            <v>10.130000000000001</v>
          </cell>
          <cell r="E503">
            <v>11.45</v>
          </cell>
          <cell r="F503">
            <v>14.07</v>
          </cell>
          <cell r="G503">
            <v>15.9</v>
          </cell>
        </row>
        <row r="504">
          <cell r="A504" t="str">
            <v>B4SSA3-1/4</v>
          </cell>
          <cell r="B504" t="str">
            <v>LN</v>
          </cell>
          <cell r="C504" t="str">
            <v>EXCELLO ESMALTE BRILLANTE DORADO</v>
          </cell>
          <cell r="D504">
            <v>10.130000000000001</v>
          </cell>
          <cell r="E504">
            <v>11.45</v>
          </cell>
          <cell r="F504">
            <v>14.07</v>
          </cell>
          <cell r="G504">
            <v>15.9</v>
          </cell>
        </row>
        <row r="505">
          <cell r="A505" t="str">
            <v>B4SSA4-1/4</v>
          </cell>
          <cell r="B505" t="str">
            <v>LN</v>
          </cell>
          <cell r="C505" t="str">
            <v>EXCELLO ESMALTE BRILLANTE BRONCE</v>
          </cell>
          <cell r="D505">
            <v>10.130000000000001</v>
          </cell>
          <cell r="E505">
            <v>11.45</v>
          </cell>
          <cell r="F505">
            <v>14.07</v>
          </cell>
          <cell r="G505">
            <v>15.9</v>
          </cell>
        </row>
        <row r="506">
          <cell r="A506" t="str">
            <v>B4SSA5-1/4</v>
          </cell>
          <cell r="B506" t="str">
            <v>LN</v>
          </cell>
          <cell r="C506" t="str">
            <v>EXCELLO ESMALTE BRILLANTE COBRE</v>
          </cell>
          <cell r="D506">
            <v>10.130000000000001</v>
          </cell>
          <cell r="E506">
            <v>11.45</v>
          </cell>
          <cell r="F506">
            <v>14.07</v>
          </cell>
          <cell r="G506">
            <v>15.9</v>
          </cell>
        </row>
        <row r="508">
          <cell r="B508" t="str">
            <v xml:space="preserve"> </v>
          </cell>
          <cell r="C508" t="str">
            <v>EXCELLO ESMALTE BRILLANTE EXTERIOR / INTERIOR</v>
          </cell>
        </row>
        <row r="509">
          <cell r="A509" t="str">
            <v>B4BSA3-1/4</v>
          </cell>
          <cell r="B509" t="str">
            <v>LN</v>
          </cell>
          <cell r="C509" t="str">
            <v xml:space="preserve">EXCELLO ESMALTE MATE NEGRO   </v>
          </cell>
          <cell r="D509">
            <v>8.2799999999999994</v>
          </cell>
          <cell r="E509">
            <v>9.36</v>
          </cell>
          <cell r="F509">
            <v>11.5</v>
          </cell>
          <cell r="G509">
            <v>13</v>
          </cell>
        </row>
        <row r="510">
          <cell r="A510" t="str">
            <v>B4WSA7-1/4</v>
          </cell>
          <cell r="B510" t="str">
            <v>LN</v>
          </cell>
          <cell r="C510" t="str">
            <v xml:space="preserve">EXCELLO ESMALTE MATE BLANCO </v>
          </cell>
          <cell r="D510">
            <v>8.2799999999999994</v>
          </cell>
          <cell r="E510">
            <v>9.36</v>
          </cell>
          <cell r="F510">
            <v>11.5</v>
          </cell>
          <cell r="G510">
            <v>13</v>
          </cell>
        </row>
        <row r="511">
          <cell r="A511" t="str">
            <v>B4BSA1-1/4</v>
          </cell>
          <cell r="B511" t="str">
            <v>LN</v>
          </cell>
          <cell r="C511" t="str">
            <v>EXCELLO ESMALTE BRILLANTE NEGRO</v>
          </cell>
          <cell r="D511">
            <v>8.2799999999999994</v>
          </cell>
          <cell r="E511">
            <v>9.36</v>
          </cell>
          <cell r="F511">
            <v>11.5</v>
          </cell>
          <cell r="G511">
            <v>13</v>
          </cell>
        </row>
        <row r="512">
          <cell r="A512" t="str">
            <v>B4LSA10-1/4</v>
          </cell>
          <cell r="B512" t="str">
            <v>LN</v>
          </cell>
          <cell r="C512" t="str">
            <v>EXCELLO ESMALTE BRILLANTE AZUL BANDERA</v>
          </cell>
          <cell r="D512">
            <v>8.2799999999999994</v>
          </cell>
          <cell r="E512">
            <v>9.36</v>
          </cell>
          <cell r="F512">
            <v>11.5</v>
          </cell>
          <cell r="G512">
            <v>13</v>
          </cell>
        </row>
        <row r="513">
          <cell r="A513" t="str">
            <v>B4NSA8-1/4</v>
          </cell>
          <cell r="B513" t="str">
            <v>LN</v>
          </cell>
          <cell r="C513" t="str">
            <v>EXCELLO ESMALTE BRILLANTE CAFE TABACO</v>
          </cell>
          <cell r="D513">
            <v>8.2799999999999994</v>
          </cell>
          <cell r="E513">
            <v>9.36</v>
          </cell>
          <cell r="F513">
            <v>11.5</v>
          </cell>
          <cell r="G513">
            <v>13</v>
          </cell>
        </row>
        <row r="514">
          <cell r="A514" t="str">
            <v>B4RSA6-1/4</v>
          </cell>
          <cell r="B514" t="str">
            <v>LN</v>
          </cell>
          <cell r="C514" t="str">
            <v>EXCELLO ESMALTE BRILLANTE ROJO VIVO</v>
          </cell>
          <cell r="D514">
            <v>8.2799999999999994</v>
          </cell>
          <cell r="E514">
            <v>9.36</v>
          </cell>
          <cell r="F514">
            <v>11.5</v>
          </cell>
          <cell r="G514">
            <v>13</v>
          </cell>
        </row>
        <row r="515">
          <cell r="A515" t="str">
            <v>B4SSA1-1/4</v>
          </cell>
          <cell r="B515" t="str">
            <v>LN</v>
          </cell>
          <cell r="C515" t="str">
            <v>EXCELLO ESMALTE BRILLANTE ALUMINIO</v>
          </cell>
          <cell r="D515">
            <v>8.2799999999999994</v>
          </cell>
          <cell r="E515">
            <v>9.36</v>
          </cell>
          <cell r="F515">
            <v>11.5</v>
          </cell>
          <cell r="G515">
            <v>13</v>
          </cell>
        </row>
        <row r="516">
          <cell r="A516" t="str">
            <v>B4W56-1/4</v>
          </cell>
          <cell r="B516" t="str">
            <v>LN</v>
          </cell>
          <cell r="C516" t="str">
            <v>EXCELLO ESMALTE BRILLANTE BLANCO</v>
          </cell>
          <cell r="D516">
            <v>8.2799999999999994</v>
          </cell>
          <cell r="E516">
            <v>9.36</v>
          </cell>
          <cell r="F516">
            <v>11.5</v>
          </cell>
          <cell r="G516">
            <v>13</v>
          </cell>
        </row>
        <row r="517">
          <cell r="A517" t="str">
            <v>B4WSA2-1/4</v>
          </cell>
          <cell r="B517" t="str">
            <v>LN</v>
          </cell>
          <cell r="C517" t="str">
            <v>EXCELLO ESMALTE BRILLANTE BLANCO HUESO</v>
          </cell>
          <cell r="D517">
            <v>8.2799999999999994</v>
          </cell>
          <cell r="E517">
            <v>9.36</v>
          </cell>
          <cell r="F517">
            <v>11.5</v>
          </cell>
          <cell r="G517">
            <v>13</v>
          </cell>
        </row>
        <row r="518">
          <cell r="A518" t="str">
            <v>B4LSA15-1/4</v>
          </cell>
          <cell r="B518" t="str">
            <v>LN</v>
          </cell>
          <cell r="C518" t="str">
            <v>EXCELLO ESMALTE BRILLANTE CELESTE GLACIAR</v>
          </cell>
          <cell r="D518">
            <v>8.2799999999999994</v>
          </cell>
          <cell r="E518">
            <v>9.36</v>
          </cell>
          <cell r="F518">
            <v>11.5</v>
          </cell>
          <cell r="G518">
            <v>13</v>
          </cell>
        </row>
        <row r="519">
          <cell r="A519" t="str">
            <v>B4LSA13-1/4</v>
          </cell>
          <cell r="B519" t="str">
            <v>LN</v>
          </cell>
          <cell r="C519" t="str">
            <v>EXCELLO ESMALTE BRILLANTE AZUL DELMARE</v>
          </cell>
          <cell r="D519">
            <v>8.2799999999999994</v>
          </cell>
          <cell r="E519">
            <v>9.36</v>
          </cell>
          <cell r="F519">
            <v>11.5</v>
          </cell>
          <cell r="G519">
            <v>13</v>
          </cell>
        </row>
        <row r="520">
          <cell r="A520" t="str">
            <v>B4LSA11-1/4</v>
          </cell>
          <cell r="B520" t="str">
            <v>LN</v>
          </cell>
          <cell r="C520" t="str">
            <v>EXCELLO ESMALTE BRILLANTE AZUL PROFUNDIDAD DEL OCEANO</v>
          </cell>
          <cell r="D520">
            <v>8.2799999999999994</v>
          </cell>
          <cell r="E520">
            <v>9.36</v>
          </cell>
          <cell r="F520">
            <v>11.5</v>
          </cell>
          <cell r="G520">
            <v>13</v>
          </cell>
        </row>
        <row r="521">
          <cell r="A521" t="str">
            <v>B4ASA1-1/4</v>
          </cell>
          <cell r="B521" t="str">
            <v>LN</v>
          </cell>
          <cell r="C521" t="str">
            <v>EXCELLO ESMALTE BRILLANTE GRIS PURO</v>
          </cell>
          <cell r="D521">
            <v>8.2799999999999994</v>
          </cell>
          <cell r="E521">
            <v>9.36</v>
          </cell>
          <cell r="F521">
            <v>11.5</v>
          </cell>
          <cell r="G521">
            <v>13</v>
          </cell>
        </row>
        <row r="523">
          <cell r="A523" t="str">
            <v>B4BSA3-1</v>
          </cell>
          <cell r="B523" t="str">
            <v>LN</v>
          </cell>
          <cell r="C523" t="str">
            <v xml:space="preserve">EXCELLO ESMALTE MATE NEGRO   </v>
          </cell>
          <cell r="D523">
            <v>27.34</v>
          </cell>
          <cell r="E523">
            <v>30.89</v>
          </cell>
          <cell r="F523">
            <v>37.96</v>
          </cell>
          <cell r="G523">
            <v>42.9</v>
          </cell>
        </row>
        <row r="524">
          <cell r="A524" t="str">
            <v>B4WSA7-1</v>
          </cell>
          <cell r="B524" t="str">
            <v>LN</v>
          </cell>
          <cell r="C524" t="str">
            <v xml:space="preserve">EXCELLO ESMALTE MATE BLANCO </v>
          </cell>
          <cell r="D524">
            <v>27.34</v>
          </cell>
          <cell r="E524">
            <v>30.89</v>
          </cell>
          <cell r="F524">
            <v>37.96</v>
          </cell>
          <cell r="G524">
            <v>42.9</v>
          </cell>
        </row>
        <row r="525">
          <cell r="A525" t="str">
            <v>B4A43-1</v>
          </cell>
          <cell r="B525" t="str">
            <v>LN</v>
          </cell>
          <cell r="C525" t="str">
            <v>EXCELLO ESMALTE BRILLANTE GRIS PERLA</v>
          </cell>
          <cell r="D525">
            <v>27.34</v>
          </cell>
          <cell r="E525">
            <v>30.89</v>
          </cell>
          <cell r="F525">
            <v>37.96</v>
          </cell>
          <cell r="G525">
            <v>42.9</v>
          </cell>
        </row>
        <row r="526">
          <cell r="A526" t="str">
            <v>B4BSA1-1</v>
          </cell>
          <cell r="B526" t="str">
            <v>LN</v>
          </cell>
          <cell r="C526" t="str">
            <v>EXCELLO ESMALTE BRILLANTE NEGRO</v>
          </cell>
          <cell r="D526">
            <v>27.34</v>
          </cell>
          <cell r="E526">
            <v>30.89</v>
          </cell>
          <cell r="F526">
            <v>37.96</v>
          </cell>
          <cell r="G526">
            <v>42.9</v>
          </cell>
        </row>
        <row r="527">
          <cell r="A527" t="str">
            <v>B4ESA3-1</v>
          </cell>
          <cell r="B527" t="str">
            <v>LN</v>
          </cell>
          <cell r="C527" t="str">
            <v>EXCELLO ESMALTE BRILLANTE NARANJA</v>
          </cell>
          <cell r="D527">
            <v>27.34</v>
          </cell>
          <cell r="E527">
            <v>30.89</v>
          </cell>
          <cell r="F527">
            <v>37.96</v>
          </cell>
          <cell r="G527">
            <v>42.9</v>
          </cell>
        </row>
        <row r="528">
          <cell r="A528" t="str">
            <v>B4ESA9-1</v>
          </cell>
          <cell r="B528" t="str">
            <v>LN</v>
          </cell>
          <cell r="C528" t="str">
            <v>EXCELLO ESMALTE BRILLANTE MELON</v>
          </cell>
          <cell r="D528">
            <v>27.34</v>
          </cell>
          <cell r="E528">
            <v>30.89</v>
          </cell>
          <cell r="F528">
            <v>37.96</v>
          </cell>
          <cell r="G528">
            <v>42.9</v>
          </cell>
        </row>
        <row r="529">
          <cell r="A529" t="str">
            <v>B4GSA9-1</v>
          </cell>
          <cell r="B529" t="str">
            <v>LN</v>
          </cell>
          <cell r="C529" t="str">
            <v>EXCELLO ESMALTE BRILLANTE VERDE AQUA</v>
          </cell>
          <cell r="D529">
            <v>27.34</v>
          </cell>
          <cell r="E529">
            <v>30.89</v>
          </cell>
          <cell r="F529">
            <v>37.96</v>
          </cell>
          <cell r="G529">
            <v>42.9</v>
          </cell>
        </row>
        <row r="530">
          <cell r="A530" t="str">
            <v>B4GSA11-1</v>
          </cell>
          <cell r="B530" t="str">
            <v>LN</v>
          </cell>
          <cell r="C530" t="str">
            <v>EXCELLO ESMALTE BRILLANTE VERDE AMAZONAS</v>
          </cell>
          <cell r="D530">
            <v>27.34</v>
          </cell>
          <cell r="E530">
            <v>30.89</v>
          </cell>
          <cell r="F530">
            <v>37.96</v>
          </cell>
          <cell r="G530">
            <v>42.9</v>
          </cell>
        </row>
        <row r="531">
          <cell r="A531" t="str">
            <v>B4GSA23-1</v>
          </cell>
          <cell r="B531" t="str">
            <v>LN</v>
          </cell>
          <cell r="C531" t="str">
            <v>EXCELLO ESMALTE BRILLANTE VERDE JOHN DEERE</v>
          </cell>
          <cell r="D531">
            <v>27.34</v>
          </cell>
          <cell r="E531">
            <v>30.89</v>
          </cell>
          <cell r="F531">
            <v>37.96</v>
          </cell>
          <cell r="G531">
            <v>42.9</v>
          </cell>
        </row>
        <row r="532">
          <cell r="A532" t="str">
            <v>B4GSA24-1</v>
          </cell>
          <cell r="B532" t="str">
            <v>LN</v>
          </cell>
          <cell r="C532" t="str">
            <v>EXCELLO ESMALTE BRILLANTE VERDE GRAMA</v>
          </cell>
          <cell r="D532">
            <v>27.34</v>
          </cell>
          <cell r="E532">
            <v>30.89</v>
          </cell>
          <cell r="F532">
            <v>37.96</v>
          </cell>
          <cell r="G532">
            <v>42.9</v>
          </cell>
        </row>
        <row r="533">
          <cell r="A533" t="str">
            <v>B4H25-1</v>
          </cell>
          <cell r="B533" t="str">
            <v>LN</v>
          </cell>
          <cell r="C533" t="str">
            <v>EXCELLO ESMALTE BRILLANTE MARFIL CONCHA</v>
          </cell>
          <cell r="D533">
            <v>27.34</v>
          </cell>
          <cell r="E533">
            <v>30.89</v>
          </cell>
          <cell r="F533">
            <v>37.96</v>
          </cell>
          <cell r="G533">
            <v>42.9</v>
          </cell>
        </row>
        <row r="534">
          <cell r="A534" t="str">
            <v>B4LSA10-1</v>
          </cell>
          <cell r="B534" t="str">
            <v>LN</v>
          </cell>
          <cell r="C534" t="str">
            <v>EXCELLO ESMALTE BRILLANTE AZUL BANDERA</v>
          </cell>
          <cell r="D534">
            <v>27.34</v>
          </cell>
          <cell r="E534">
            <v>30.89</v>
          </cell>
          <cell r="F534">
            <v>37.96</v>
          </cell>
          <cell r="G534">
            <v>42.9</v>
          </cell>
        </row>
        <row r="535">
          <cell r="A535" t="str">
            <v>B4NSA1-1</v>
          </cell>
          <cell r="B535" t="str">
            <v>LN</v>
          </cell>
          <cell r="C535" t="str">
            <v>EXCELLO ESMALTE BRILLANTE BEIGE SUAVE</v>
          </cell>
          <cell r="D535">
            <v>27.34</v>
          </cell>
          <cell r="E535">
            <v>30.89</v>
          </cell>
          <cell r="F535">
            <v>37.96</v>
          </cell>
          <cell r="G535">
            <v>42.9</v>
          </cell>
        </row>
        <row r="536">
          <cell r="A536" t="str">
            <v>B4NSA8-1</v>
          </cell>
          <cell r="B536" t="str">
            <v>LN</v>
          </cell>
          <cell r="C536" t="str">
            <v>EXCELLO ESMALTE BRILLANTE CAFE TABACO</v>
          </cell>
          <cell r="D536">
            <v>27.34</v>
          </cell>
          <cell r="E536">
            <v>30.89</v>
          </cell>
          <cell r="F536">
            <v>37.96</v>
          </cell>
          <cell r="G536">
            <v>42.9</v>
          </cell>
        </row>
        <row r="537">
          <cell r="A537" t="str">
            <v>B4RSA6-1</v>
          </cell>
          <cell r="B537" t="str">
            <v>LN</v>
          </cell>
          <cell r="C537" t="str">
            <v>EXCELLO ESMALTE BRILLANTE ROJO VIVO</v>
          </cell>
          <cell r="D537">
            <v>27.34</v>
          </cell>
          <cell r="E537">
            <v>30.89</v>
          </cell>
          <cell r="F537">
            <v>37.96</v>
          </cell>
          <cell r="G537">
            <v>42.9</v>
          </cell>
        </row>
        <row r="538">
          <cell r="A538" t="str">
            <v>B4RSA13-1</v>
          </cell>
          <cell r="B538" t="str">
            <v>LN</v>
          </cell>
          <cell r="C538" t="str">
            <v>EXCELLO ESMALTE BRILLANTE ROJO OXIDO</v>
          </cell>
          <cell r="D538">
            <v>27.34</v>
          </cell>
          <cell r="E538">
            <v>30.89</v>
          </cell>
          <cell r="F538">
            <v>37.96</v>
          </cell>
          <cell r="G538">
            <v>42.9</v>
          </cell>
        </row>
        <row r="539">
          <cell r="A539" t="str">
            <v>B4SSA1-1</v>
          </cell>
          <cell r="B539" t="str">
            <v>LN</v>
          </cell>
          <cell r="C539" t="str">
            <v>EXCELLO ESMALTE BRILLANTE ALUMINIO</v>
          </cell>
          <cell r="D539">
            <v>27.34</v>
          </cell>
          <cell r="E539">
            <v>30.89</v>
          </cell>
          <cell r="F539">
            <v>37.96</v>
          </cell>
          <cell r="G539">
            <v>42.9</v>
          </cell>
        </row>
        <row r="540">
          <cell r="A540" t="str">
            <v>B4W56-1</v>
          </cell>
          <cell r="B540" t="str">
            <v>LN</v>
          </cell>
          <cell r="C540" t="str">
            <v>EXCELLO ESMALTE BRILLANTE BLANCO</v>
          </cell>
          <cell r="D540">
            <v>27.34</v>
          </cell>
          <cell r="E540">
            <v>30.89</v>
          </cell>
          <cell r="F540">
            <v>37.96</v>
          </cell>
          <cell r="G540">
            <v>42.9</v>
          </cell>
        </row>
        <row r="541">
          <cell r="A541" t="str">
            <v>B4WSA2-1</v>
          </cell>
          <cell r="B541" t="str">
            <v>LN</v>
          </cell>
          <cell r="C541" t="str">
            <v>EXCELLO ESMALTE BRILLANTE BLANCO HUESO</v>
          </cell>
          <cell r="D541">
            <v>27.34</v>
          </cell>
          <cell r="E541">
            <v>30.89</v>
          </cell>
          <cell r="F541">
            <v>37.96</v>
          </cell>
          <cell r="G541">
            <v>42.9</v>
          </cell>
        </row>
        <row r="542">
          <cell r="A542" t="str">
            <v>B4WSA18-1</v>
          </cell>
          <cell r="B542" t="str">
            <v>LN</v>
          </cell>
          <cell r="C542" t="str">
            <v>EXCELLO ESMALTE BRILLANTE BLANCO PORCELANA</v>
          </cell>
          <cell r="D542">
            <v>27.34</v>
          </cell>
          <cell r="E542">
            <v>30.89</v>
          </cell>
          <cell r="F542">
            <v>37.96</v>
          </cell>
          <cell r="G542">
            <v>42.9</v>
          </cell>
        </row>
        <row r="543">
          <cell r="A543" t="str">
            <v>B4YSA10-1</v>
          </cell>
          <cell r="B543" t="str">
            <v>LN</v>
          </cell>
          <cell r="C543" t="str">
            <v>EXCELLO ESMALTE BRILLANTE AMARILLO</v>
          </cell>
          <cell r="D543">
            <v>27.34</v>
          </cell>
          <cell r="E543">
            <v>30.89</v>
          </cell>
          <cell r="F543">
            <v>37.96</v>
          </cell>
          <cell r="G543">
            <v>42.9</v>
          </cell>
        </row>
        <row r="544">
          <cell r="A544" t="str">
            <v>B4YSA22-1</v>
          </cell>
          <cell r="B544" t="str">
            <v>LN</v>
          </cell>
          <cell r="C544" t="str">
            <v>EXCELLO ESMALTE BRILLANTE AMARILLO CATERPILLAR</v>
          </cell>
          <cell r="D544">
            <v>27.34</v>
          </cell>
          <cell r="E544">
            <v>30.89</v>
          </cell>
          <cell r="F544">
            <v>37.96</v>
          </cell>
          <cell r="G544">
            <v>42.9</v>
          </cell>
        </row>
        <row r="545">
          <cell r="A545" t="str">
            <v>B4ASA1-1</v>
          </cell>
          <cell r="B545" t="str">
            <v>LN</v>
          </cell>
          <cell r="C545" t="str">
            <v>EXCELLO ESMALTE BRILLANTE GRIS PURO</v>
          </cell>
          <cell r="D545">
            <v>27.34</v>
          </cell>
          <cell r="E545">
            <v>30.89</v>
          </cell>
          <cell r="F545">
            <v>37.96</v>
          </cell>
          <cell r="G545">
            <v>42.9</v>
          </cell>
        </row>
        <row r="546">
          <cell r="A546" t="str">
            <v>B4LSA11-1</v>
          </cell>
          <cell r="B546" t="str">
            <v>LN</v>
          </cell>
          <cell r="C546" t="str">
            <v>EXCELLO ESMALTE BRILLANTE AZUL PROFUNDIDAD DEL OCEANO</v>
          </cell>
          <cell r="D546">
            <v>27.34</v>
          </cell>
          <cell r="E546">
            <v>30.89</v>
          </cell>
          <cell r="F546">
            <v>37.96</v>
          </cell>
          <cell r="G546">
            <v>42.9</v>
          </cell>
        </row>
        <row r="547">
          <cell r="A547" t="str">
            <v>B4LSA13-1</v>
          </cell>
          <cell r="B547" t="str">
            <v>LN</v>
          </cell>
          <cell r="C547" t="str">
            <v>EXCELLO ESMALTE BRILLANTE AZUL DELMARE</v>
          </cell>
          <cell r="D547">
            <v>27.34</v>
          </cell>
          <cell r="E547">
            <v>30.89</v>
          </cell>
          <cell r="F547">
            <v>37.96</v>
          </cell>
          <cell r="G547">
            <v>42.9</v>
          </cell>
        </row>
        <row r="548">
          <cell r="A548" t="str">
            <v>B4LSA15-1</v>
          </cell>
          <cell r="B548" t="str">
            <v>LN</v>
          </cell>
          <cell r="C548" t="str">
            <v>EXCELLO ESMALTE BRILLANTE CELESTE GLACIAR</v>
          </cell>
          <cell r="D548">
            <v>27.34</v>
          </cell>
          <cell r="E548">
            <v>30.89</v>
          </cell>
          <cell r="F548">
            <v>37.96</v>
          </cell>
          <cell r="G548">
            <v>42.9</v>
          </cell>
        </row>
        <row r="549">
          <cell r="B549" t="str">
            <v xml:space="preserve"> </v>
          </cell>
        </row>
        <row r="550">
          <cell r="A550" t="str">
            <v>B4WSA7-5</v>
          </cell>
          <cell r="B550" t="str">
            <v>LN</v>
          </cell>
          <cell r="C550" t="str">
            <v xml:space="preserve">EXCELLO ESMALTE MATE BLANCO </v>
          </cell>
          <cell r="D550">
            <v>129.35</v>
          </cell>
          <cell r="E550">
            <v>146.16</v>
          </cell>
          <cell r="F550">
            <v>179.65</v>
          </cell>
          <cell r="G550">
            <v>203</v>
          </cell>
        </row>
        <row r="551">
          <cell r="A551" t="str">
            <v>B4LSA10-5</v>
          </cell>
          <cell r="B551" t="str">
            <v>LN</v>
          </cell>
          <cell r="C551" t="str">
            <v>EXCELLO ESMALTE BRILLANTE AZUL BANDERA</v>
          </cell>
          <cell r="D551">
            <v>129.35</v>
          </cell>
          <cell r="E551">
            <v>146.16</v>
          </cell>
          <cell r="F551">
            <v>179.65</v>
          </cell>
          <cell r="G551">
            <v>203</v>
          </cell>
        </row>
        <row r="552">
          <cell r="A552" t="str">
            <v>B4W56-5</v>
          </cell>
          <cell r="B552" t="str">
            <v>LN</v>
          </cell>
          <cell r="C552" t="str">
            <v>EXCELLO ESMALTE BRILLANTE BLANCO</v>
          </cell>
          <cell r="D552">
            <v>129.35</v>
          </cell>
          <cell r="E552">
            <v>146.16</v>
          </cell>
          <cell r="F552">
            <v>179.65</v>
          </cell>
          <cell r="G552">
            <v>203</v>
          </cell>
        </row>
        <row r="553">
          <cell r="A553" t="str">
            <v>B4WSA2-5</v>
          </cell>
          <cell r="B553" t="str">
            <v>LN</v>
          </cell>
          <cell r="C553" t="str">
            <v>EXCELLO ESMALTE BRILLANTE BLANCO HUESO</v>
          </cell>
          <cell r="D553">
            <v>129.35</v>
          </cell>
          <cell r="E553">
            <v>146.16</v>
          </cell>
          <cell r="F553">
            <v>179.65</v>
          </cell>
          <cell r="G553">
            <v>203</v>
          </cell>
        </row>
        <row r="554">
          <cell r="A554" t="str">
            <v>B4ESA9-5</v>
          </cell>
          <cell r="B554" t="str">
            <v>PE</v>
          </cell>
          <cell r="C554" t="str">
            <v>EXCELLO ESMALTE BRILLANTE MELON</v>
          </cell>
          <cell r="D554">
            <v>129.35</v>
          </cell>
          <cell r="E554">
            <v>146.16</v>
          </cell>
          <cell r="F554">
            <v>179.65</v>
          </cell>
          <cell r="G554">
            <v>203</v>
          </cell>
        </row>
        <row r="555">
          <cell r="A555" t="str">
            <v>B4NSA1-5</v>
          </cell>
          <cell r="B555" t="str">
            <v>PE</v>
          </cell>
          <cell r="C555" t="str">
            <v>EXCELLO ESMALTE BRILLANTE BEIGE SUAVE</v>
          </cell>
          <cell r="D555">
            <v>129.35</v>
          </cell>
          <cell r="E555">
            <v>146.16</v>
          </cell>
          <cell r="F555">
            <v>179.65</v>
          </cell>
          <cell r="G555">
            <v>203</v>
          </cell>
        </row>
        <row r="556">
          <cell r="A556" t="str">
            <v>B4WSA18-5</v>
          </cell>
          <cell r="B556" t="str">
            <v>LN</v>
          </cell>
          <cell r="C556" t="str">
            <v>EXCELLO ESMALTE BRILLANTE BLANCO PORCELANA</v>
          </cell>
          <cell r="D556">
            <v>129.35</v>
          </cell>
          <cell r="E556">
            <v>146.16</v>
          </cell>
          <cell r="F556">
            <v>179.65</v>
          </cell>
          <cell r="G556">
            <v>203</v>
          </cell>
        </row>
        <row r="557">
          <cell r="B557" t="str">
            <v xml:space="preserve"> </v>
          </cell>
        </row>
        <row r="558">
          <cell r="B558" t="str">
            <v xml:space="preserve"> </v>
          </cell>
          <cell r="C558" t="str">
            <v>STYLE PERFECT ESMALTE ALQUIDICO MATE INTERIOR</v>
          </cell>
        </row>
        <row r="559">
          <cell r="A559" t="str">
            <v>B32WSA251-1</v>
          </cell>
          <cell r="B559" t="str">
            <v>LN</v>
          </cell>
          <cell r="C559" t="str">
            <v>EXCELLO STYLE PERFECT ALKYD MATE BASE EXTRA WHITE</v>
          </cell>
          <cell r="D559">
            <v>25.83</v>
          </cell>
          <cell r="E559">
            <v>29.19</v>
          </cell>
          <cell r="F559">
            <v>37.96</v>
          </cell>
          <cell r="G559">
            <v>42.9</v>
          </cell>
        </row>
        <row r="560">
          <cell r="A560" t="str">
            <v>B32WSA253-1</v>
          </cell>
          <cell r="B560" t="str">
            <v>LN</v>
          </cell>
          <cell r="C560" t="str">
            <v>EXCELLO STYLE PERFECT ALKYD MATE BASE DEEP</v>
          </cell>
          <cell r="D560">
            <v>22.34</v>
          </cell>
          <cell r="E560">
            <v>25.24</v>
          </cell>
          <cell r="F560">
            <v>37.96</v>
          </cell>
          <cell r="G560">
            <v>42.9</v>
          </cell>
        </row>
        <row r="561">
          <cell r="B561" t="str">
            <v xml:space="preserve"> </v>
          </cell>
        </row>
        <row r="562">
          <cell r="A562" t="str">
            <v>B32WSA251-5</v>
          </cell>
          <cell r="B562" t="str">
            <v>PE</v>
          </cell>
          <cell r="C562" t="str">
            <v>EXCELLO STYLE PERFECT ALKYD MATE BASE EXTRA WHITE</v>
          </cell>
          <cell r="D562">
            <v>121.85</v>
          </cell>
          <cell r="E562">
            <v>137.69</v>
          </cell>
          <cell r="F562">
            <v>179.65</v>
          </cell>
          <cell r="G562">
            <v>203</v>
          </cell>
        </row>
        <row r="563">
          <cell r="B563" t="str">
            <v xml:space="preserve"> </v>
          </cell>
        </row>
        <row r="564">
          <cell r="B564" t="str">
            <v xml:space="preserve"> </v>
          </cell>
          <cell r="C564" t="str">
            <v>WEATHER PERFECT ESMALTE ALQUIDICO BRILLANTE EXTERIOR/INTERIOR</v>
          </cell>
        </row>
        <row r="565">
          <cell r="B565" t="str">
            <v xml:space="preserve"> </v>
          </cell>
        </row>
        <row r="566">
          <cell r="A566" t="str">
            <v>B39TSA54-1</v>
          </cell>
          <cell r="B566" t="str">
            <v>LN</v>
          </cell>
          <cell r="C566" t="str">
            <v>EXCELLO WEATHER PERFECT ESMALT BRILLANTE BASE ULTRADEEP</v>
          </cell>
          <cell r="D566">
            <v>26.8</v>
          </cell>
          <cell r="E566">
            <v>30.28</v>
          </cell>
          <cell r="F566">
            <v>44.16</v>
          </cell>
          <cell r="G566">
            <v>49.9</v>
          </cell>
        </row>
        <row r="567">
          <cell r="A567" t="str">
            <v>B39WSA51-1</v>
          </cell>
          <cell r="B567" t="str">
            <v>LN</v>
          </cell>
          <cell r="C567" t="str">
            <v>EXCELLO WEATHER PERFECT ESMALT BRILLANTE BASE EXTRA WHITE</v>
          </cell>
          <cell r="D567">
            <v>30.29</v>
          </cell>
          <cell r="E567">
            <v>34.229999999999997</v>
          </cell>
          <cell r="F567">
            <v>44.16</v>
          </cell>
          <cell r="G567">
            <v>49.9</v>
          </cell>
        </row>
        <row r="568">
          <cell r="A568" t="str">
            <v>B39WSA53-1</v>
          </cell>
          <cell r="B568" t="str">
            <v>LN</v>
          </cell>
          <cell r="C568" t="str">
            <v>EXCELLO WEATHER PERFECT ESMALT BRILLANTE BASE DEEP</v>
          </cell>
          <cell r="D568">
            <v>26.8</v>
          </cell>
          <cell r="E568">
            <v>30.28</v>
          </cell>
          <cell r="F568">
            <v>44.16</v>
          </cell>
          <cell r="G568">
            <v>49.9</v>
          </cell>
        </row>
        <row r="569">
          <cell r="B569" t="str">
            <v xml:space="preserve"> </v>
          </cell>
        </row>
        <row r="570">
          <cell r="A570" t="str">
            <v>B39TSA54-5</v>
          </cell>
          <cell r="B570" t="str">
            <v>LN</v>
          </cell>
          <cell r="C570" t="str">
            <v>EXCELLO WEATHER PERFECT ESMALT BRILLANTE BASE ULTRADEEP</v>
          </cell>
          <cell r="D570">
            <v>119</v>
          </cell>
          <cell r="E570">
            <v>134.47</v>
          </cell>
          <cell r="F570">
            <v>200</v>
          </cell>
          <cell r="G570">
            <v>226</v>
          </cell>
        </row>
        <row r="571">
          <cell r="A571" t="str">
            <v>B39WSA51-5</v>
          </cell>
          <cell r="B571" t="str">
            <v>LN</v>
          </cell>
          <cell r="C571" t="str">
            <v>EXCELLO WEATHER PERFECT ESMALT BRILLANTE BASE EXTRA WHITE</v>
          </cell>
          <cell r="D571">
            <v>136.5</v>
          </cell>
          <cell r="E571">
            <v>154.25</v>
          </cell>
          <cell r="F571">
            <v>200</v>
          </cell>
          <cell r="G571">
            <v>226</v>
          </cell>
        </row>
        <row r="572">
          <cell r="A572" t="str">
            <v>B39WSA53-5</v>
          </cell>
          <cell r="B572" t="str">
            <v>LN</v>
          </cell>
          <cell r="C572" t="str">
            <v>EXCELLO WEATHER PERFECT ESMALT BRILLANTE BASE DEEP</v>
          </cell>
          <cell r="D572">
            <v>119</v>
          </cell>
          <cell r="E572">
            <v>134.47</v>
          </cell>
          <cell r="F572">
            <v>200</v>
          </cell>
          <cell r="G572">
            <v>226</v>
          </cell>
        </row>
        <row r="573">
          <cell r="B573" t="str">
            <v xml:space="preserve"> </v>
          </cell>
        </row>
        <row r="574">
          <cell r="B574" t="str">
            <v xml:space="preserve"> </v>
          </cell>
        </row>
        <row r="575">
          <cell r="B575" t="str">
            <v xml:space="preserve"> </v>
          </cell>
          <cell r="C575" t="str">
            <v>COLONIAL ESMALTE  BRILLANTE</v>
          </cell>
        </row>
        <row r="576">
          <cell r="B576" t="str">
            <v xml:space="preserve"> </v>
          </cell>
          <cell r="C576" t="str">
            <v>COLONIAL STYLE ESMALTE MATE INTERIOR</v>
          </cell>
        </row>
        <row r="577">
          <cell r="B577" t="str">
            <v xml:space="preserve"> </v>
          </cell>
        </row>
        <row r="578">
          <cell r="A578" t="str">
            <v>B82BSA3-1/4</v>
          </cell>
          <cell r="B578" t="str">
            <v>LN</v>
          </cell>
          <cell r="C578" t="str">
            <v>COLONIAL STYLE ESMALTE MATE NEGRO</v>
          </cell>
          <cell r="D578">
            <v>5.83</v>
          </cell>
          <cell r="E578">
            <v>6.59</v>
          </cell>
          <cell r="F578">
            <v>7.88</v>
          </cell>
          <cell r="G578">
            <v>8.9</v>
          </cell>
        </row>
        <row r="579">
          <cell r="A579" t="str">
            <v>B82WSA6-1/4</v>
          </cell>
          <cell r="B579" t="str">
            <v>LN</v>
          </cell>
          <cell r="C579" t="str">
            <v xml:space="preserve">COLONIAL STYLE ESMALTE MATE BLANCO </v>
          </cell>
          <cell r="D579">
            <v>5.83</v>
          </cell>
          <cell r="E579">
            <v>6.59</v>
          </cell>
          <cell r="F579">
            <v>7.88</v>
          </cell>
          <cell r="G579">
            <v>8.9</v>
          </cell>
        </row>
        <row r="580">
          <cell r="B580" t="str">
            <v xml:space="preserve"> </v>
          </cell>
        </row>
        <row r="581">
          <cell r="A581" t="str">
            <v>B82BSA3-1</v>
          </cell>
          <cell r="B581" t="str">
            <v>LN</v>
          </cell>
          <cell r="C581" t="str">
            <v>COLONIAL STYLE ESMALTE MATE NEGRO</v>
          </cell>
          <cell r="D581">
            <v>19.579999999999998</v>
          </cell>
          <cell r="E581">
            <v>22.13</v>
          </cell>
          <cell r="F581">
            <v>26.46</v>
          </cell>
          <cell r="G581">
            <v>29.9</v>
          </cell>
        </row>
        <row r="582">
          <cell r="A582" t="str">
            <v>B82WSA6-1</v>
          </cell>
          <cell r="B582" t="str">
            <v>LN</v>
          </cell>
          <cell r="C582" t="str">
            <v xml:space="preserve">COLONIAL STYLE ESMALTE MATE BLANCO </v>
          </cell>
          <cell r="D582">
            <v>19.579999999999998</v>
          </cell>
          <cell r="E582">
            <v>22.13</v>
          </cell>
          <cell r="F582">
            <v>26.46</v>
          </cell>
          <cell r="G582">
            <v>29.9</v>
          </cell>
        </row>
        <row r="583">
          <cell r="B583" t="str">
            <v xml:space="preserve"> </v>
          </cell>
        </row>
        <row r="584">
          <cell r="A584" t="str">
            <v>B82WSA6-5</v>
          </cell>
          <cell r="B584" t="str">
            <v>LN</v>
          </cell>
          <cell r="C584" t="str">
            <v xml:space="preserve">COLONIAL STYLE ESMALTE MATE BLANCO </v>
          </cell>
          <cell r="D584">
            <v>89.06</v>
          </cell>
          <cell r="E584">
            <v>100.64</v>
          </cell>
          <cell r="F584">
            <v>120.35</v>
          </cell>
          <cell r="G584">
            <v>136</v>
          </cell>
        </row>
        <row r="585">
          <cell r="B585" t="str">
            <v xml:space="preserve"> </v>
          </cell>
        </row>
        <row r="586">
          <cell r="B586" t="str">
            <v xml:space="preserve"> </v>
          </cell>
          <cell r="C586" t="str">
            <v>COLONIAL STYLE ESMALTE BRILLANTE EXTERIOR / INTERIOR</v>
          </cell>
        </row>
        <row r="587">
          <cell r="A587" t="str">
            <v>B82BSA1-1/4</v>
          </cell>
          <cell r="B587" t="str">
            <v>LN</v>
          </cell>
          <cell r="C587" t="str">
            <v>COLONIAL STYLE ESMALTE BRILLANTE NEGRO</v>
          </cell>
          <cell r="D587">
            <v>5.83</v>
          </cell>
          <cell r="E587">
            <v>6.59</v>
          </cell>
          <cell r="F587">
            <v>7.88</v>
          </cell>
          <cell r="G587">
            <v>8.9</v>
          </cell>
        </row>
        <row r="588">
          <cell r="A588" t="str">
            <v>B82GSA13-1/4</v>
          </cell>
          <cell r="B588" t="str">
            <v>LN</v>
          </cell>
          <cell r="C588" t="str">
            <v>COLONIAL STYLE ESMALTE BRILLANTE VERDE ESMERALDA</v>
          </cell>
          <cell r="D588">
            <v>5.83</v>
          </cell>
          <cell r="E588">
            <v>6.59</v>
          </cell>
          <cell r="F588">
            <v>7.88</v>
          </cell>
          <cell r="G588">
            <v>8.9</v>
          </cell>
        </row>
        <row r="589">
          <cell r="A589" t="str">
            <v>B82NSA3-1/4</v>
          </cell>
          <cell r="B589" t="str">
            <v>LN</v>
          </cell>
          <cell r="C589" t="str">
            <v xml:space="preserve">COLONIAL STYLE ESMALTE BRILLANTE CAFÉ       </v>
          </cell>
          <cell r="D589">
            <v>5.83</v>
          </cell>
          <cell r="E589">
            <v>6.59</v>
          </cell>
          <cell r="F589">
            <v>7.88</v>
          </cell>
          <cell r="G589">
            <v>8.9</v>
          </cell>
        </row>
        <row r="590">
          <cell r="A590" t="str">
            <v>B82RSA6-1/4</v>
          </cell>
          <cell r="B590" t="str">
            <v>LN</v>
          </cell>
          <cell r="C590" t="str">
            <v>COLONIAL STYLE ESMALTE BRILLANTE ROJO CHINO</v>
          </cell>
          <cell r="D590">
            <v>5.83</v>
          </cell>
          <cell r="E590">
            <v>6.59</v>
          </cell>
          <cell r="F590">
            <v>7.88</v>
          </cell>
          <cell r="G590">
            <v>8.9</v>
          </cell>
        </row>
        <row r="591">
          <cell r="A591" t="str">
            <v>B82RSA13-1/4</v>
          </cell>
          <cell r="B591" t="str">
            <v>LN</v>
          </cell>
          <cell r="C591" t="str">
            <v>COLONIAL STYLE ESMALTE BRILLANTE ROJO QUEMADO</v>
          </cell>
          <cell r="D591">
            <v>5.83</v>
          </cell>
          <cell r="E591">
            <v>6.59</v>
          </cell>
          <cell r="F591">
            <v>7.88</v>
          </cell>
          <cell r="G591">
            <v>8.9</v>
          </cell>
        </row>
        <row r="592">
          <cell r="A592" t="str">
            <v>B82WSA1-1/4</v>
          </cell>
          <cell r="B592" t="str">
            <v>LN</v>
          </cell>
          <cell r="C592" t="str">
            <v>COLONIAL STYLE ESMALTE BRILLANTE BLANCO</v>
          </cell>
          <cell r="D592">
            <v>5.83</v>
          </cell>
          <cell r="E592">
            <v>6.59</v>
          </cell>
          <cell r="F592">
            <v>7.88</v>
          </cell>
          <cell r="G592">
            <v>8.9</v>
          </cell>
        </row>
        <row r="593">
          <cell r="A593" t="str">
            <v>B82YSA12-1/4</v>
          </cell>
          <cell r="B593" t="str">
            <v>LN</v>
          </cell>
          <cell r="C593" t="str">
            <v xml:space="preserve">COLONIAL STYLE ESMALTE BRILLANTE AMARILLO CROMO </v>
          </cell>
          <cell r="D593">
            <v>5.83</v>
          </cell>
          <cell r="E593">
            <v>6.59</v>
          </cell>
          <cell r="F593">
            <v>7.88</v>
          </cell>
          <cell r="G593">
            <v>8.9</v>
          </cell>
        </row>
        <row r="594">
          <cell r="A594" t="str">
            <v>B82PSA3-1/4</v>
          </cell>
          <cell r="B594" t="str">
            <v>LN</v>
          </cell>
          <cell r="C594" t="str">
            <v>COLONIAL STYLE ESMALTE BRILLANTE VIOLETA SUAVE</v>
          </cell>
          <cell r="D594">
            <v>5.83</v>
          </cell>
          <cell r="E594">
            <v>6.59</v>
          </cell>
          <cell r="F594">
            <v>7.88</v>
          </cell>
          <cell r="G594">
            <v>8.9</v>
          </cell>
        </row>
        <row r="595">
          <cell r="A595" t="str">
            <v>B82ESA10-1/4</v>
          </cell>
          <cell r="B595" t="str">
            <v>LN</v>
          </cell>
          <cell r="C595" t="str">
            <v>COLONIAL STYLE ESMALTE BRILLANTE NARANJA CALABAZA</v>
          </cell>
          <cell r="D595">
            <v>5.83</v>
          </cell>
          <cell r="E595">
            <v>6.59</v>
          </cell>
          <cell r="F595">
            <v>7.88</v>
          </cell>
          <cell r="G595">
            <v>8.9</v>
          </cell>
        </row>
        <row r="597">
          <cell r="A597" t="str">
            <v>B82ASA8-1</v>
          </cell>
          <cell r="B597" t="str">
            <v>LN</v>
          </cell>
          <cell r="C597" t="str">
            <v>COLONIAL STYLE ESMALTE BRILLANTE GRIS CLARO</v>
          </cell>
          <cell r="D597">
            <v>19.579999999999998</v>
          </cell>
          <cell r="E597">
            <v>22.13</v>
          </cell>
          <cell r="F597">
            <v>26.46</v>
          </cell>
          <cell r="G597">
            <v>29.9</v>
          </cell>
        </row>
        <row r="598">
          <cell r="A598" t="str">
            <v>B82ASA12-1</v>
          </cell>
          <cell r="B598" t="str">
            <v>LN</v>
          </cell>
          <cell r="C598" t="str">
            <v>COLONIAL STYLE ESMALTE BRILLANTE GRIS OSCURO</v>
          </cell>
          <cell r="D598">
            <v>19.579999999999998</v>
          </cell>
          <cell r="E598">
            <v>22.13</v>
          </cell>
          <cell r="F598">
            <v>26.46</v>
          </cell>
          <cell r="G598">
            <v>29.9</v>
          </cell>
        </row>
        <row r="599">
          <cell r="A599" t="str">
            <v>B82BSA1-1</v>
          </cell>
          <cell r="B599" t="str">
            <v>LN</v>
          </cell>
          <cell r="C599" t="str">
            <v>COLONIAL STYLE ESMALTE BRILLANTE NEGRO</v>
          </cell>
          <cell r="D599">
            <v>19.579999999999998</v>
          </cell>
          <cell r="E599">
            <v>22.13</v>
          </cell>
          <cell r="F599">
            <v>26.46</v>
          </cell>
          <cell r="G599">
            <v>29.9</v>
          </cell>
        </row>
        <row r="600">
          <cell r="A600" t="str">
            <v>B82ESA6-1</v>
          </cell>
          <cell r="B600" t="str">
            <v>LN</v>
          </cell>
          <cell r="C600" t="str">
            <v>COLONIAL STYLE ESMALTE BRILLANTE MELON</v>
          </cell>
          <cell r="D600">
            <v>19.579999999999998</v>
          </cell>
          <cell r="E600">
            <v>22.13</v>
          </cell>
          <cell r="F600">
            <v>26.46</v>
          </cell>
          <cell r="G600">
            <v>29.9</v>
          </cell>
        </row>
        <row r="601">
          <cell r="A601" t="str">
            <v>B82GSA13-1</v>
          </cell>
          <cell r="B601" t="str">
            <v>LN</v>
          </cell>
          <cell r="C601" t="str">
            <v>COLONIAL STYLE ESMALTE BRILLANTE VERDE ESMERALDA</v>
          </cell>
          <cell r="D601">
            <v>19.579999999999998</v>
          </cell>
          <cell r="E601">
            <v>22.13</v>
          </cell>
          <cell r="F601">
            <v>26.46</v>
          </cell>
          <cell r="G601">
            <v>29.9</v>
          </cell>
        </row>
        <row r="602">
          <cell r="A602" t="str">
            <v>B82GSA15-1</v>
          </cell>
          <cell r="B602" t="str">
            <v>LN</v>
          </cell>
          <cell r="C602" t="str">
            <v>COLONIAL STYLE ESMALTE BRILLANTE VERDE MANZANO</v>
          </cell>
          <cell r="D602">
            <v>19.579999999999998</v>
          </cell>
          <cell r="E602">
            <v>22.13</v>
          </cell>
          <cell r="F602">
            <v>26.46</v>
          </cell>
          <cell r="G602">
            <v>29.9</v>
          </cell>
        </row>
        <row r="603">
          <cell r="A603" t="str">
            <v>B82GSA17-1</v>
          </cell>
          <cell r="B603" t="str">
            <v>LN</v>
          </cell>
          <cell r="C603" t="str">
            <v>COLONIAL STYLE ESMALTE BRILLANTE TURQUESA ALEGRE</v>
          </cell>
          <cell r="D603">
            <v>19.579999999999998</v>
          </cell>
          <cell r="E603">
            <v>22.13</v>
          </cell>
          <cell r="F603">
            <v>26.46</v>
          </cell>
          <cell r="G603">
            <v>29.9</v>
          </cell>
        </row>
        <row r="604">
          <cell r="A604" t="str">
            <v>B82GSA18-1</v>
          </cell>
          <cell r="B604" t="str">
            <v>LN</v>
          </cell>
          <cell r="C604" t="str">
            <v>COLONIAL STYLE ESMALTE BRILLANTE VERDE PALMERA</v>
          </cell>
          <cell r="D604">
            <v>19.579999999999998</v>
          </cell>
          <cell r="E604">
            <v>22.13</v>
          </cell>
          <cell r="F604">
            <v>26.46</v>
          </cell>
          <cell r="G604">
            <v>29.9</v>
          </cell>
        </row>
        <row r="605">
          <cell r="A605" t="str">
            <v>B82HSA6-1</v>
          </cell>
          <cell r="B605" t="str">
            <v>LN</v>
          </cell>
          <cell r="C605" t="str">
            <v>COLONIAL STYLE ESMALTE BRILLANTE CREMA</v>
          </cell>
          <cell r="D605">
            <v>19.579999999999998</v>
          </cell>
          <cell r="E605">
            <v>22.13</v>
          </cell>
          <cell r="F605">
            <v>26.46</v>
          </cell>
          <cell r="G605">
            <v>29.9</v>
          </cell>
        </row>
        <row r="606">
          <cell r="A606" t="str">
            <v>B82LSA7-1</v>
          </cell>
          <cell r="B606" t="str">
            <v>LN</v>
          </cell>
          <cell r="C606" t="str">
            <v>COLONIAL STYLE ESMALTE BRILLANTE AZUL MEDIANO</v>
          </cell>
          <cell r="D606">
            <v>19.579999999999998</v>
          </cell>
          <cell r="E606">
            <v>22.13</v>
          </cell>
          <cell r="F606">
            <v>26.46</v>
          </cell>
          <cell r="G606">
            <v>29.9</v>
          </cell>
        </row>
        <row r="607">
          <cell r="A607" t="str">
            <v>B82LSA13-1</v>
          </cell>
          <cell r="B607" t="str">
            <v>LN</v>
          </cell>
          <cell r="C607" t="str">
            <v>COLONIAL STYLE ESMALTE BRILLANTE AZUL CARIBE</v>
          </cell>
          <cell r="D607">
            <v>19.579999999999998</v>
          </cell>
          <cell r="E607">
            <v>22.13</v>
          </cell>
          <cell r="F607">
            <v>26.46</v>
          </cell>
          <cell r="G607">
            <v>29.9</v>
          </cell>
        </row>
        <row r="608">
          <cell r="A608" t="str">
            <v>B82LSA14-1</v>
          </cell>
          <cell r="B608" t="str">
            <v>LN</v>
          </cell>
          <cell r="C608" t="str">
            <v>COLONIAL STYLE ESMALTE BRILLANTE CELESTE CIELO</v>
          </cell>
          <cell r="D608">
            <v>19.579999999999998</v>
          </cell>
          <cell r="E608">
            <v>22.13</v>
          </cell>
          <cell r="F608">
            <v>26.46</v>
          </cell>
          <cell r="G608">
            <v>29.9</v>
          </cell>
        </row>
        <row r="609">
          <cell r="A609" t="str">
            <v>B82NSA3-1</v>
          </cell>
          <cell r="B609" t="str">
            <v>LN</v>
          </cell>
          <cell r="C609" t="str">
            <v xml:space="preserve">COLONIAL STYLE ESMALTE BRILLANTE CAFÉ       </v>
          </cell>
          <cell r="D609">
            <v>19.579999999999998</v>
          </cell>
          <cell r="E609">
            <v>22.13</v>
          </cell>
          <cell r="F609">
            <v>26.46</v>
          </cell>
          <cell r="G609">
            <v>29.9</v>
          </cell>
        </row>
        <row r="610">
          <cell r="A610" t="str">
            <v>B82NSA4-1</v>
          </cell>
          <cell r="B610" t="str">
            <v>LN</v>
          </cell>
          <cell r="C610" t="str">
            <v>COLONIAL STYLE ESMALTE BRILLANTE CAFÉ OSCURO</v>
          </cell>
          <cell r="D610">
            <v>19.579999999999998</v>
          </cell>
          <cell r="E610">
            <v>22.13</v>
          </cell>
          <cell r="F610">
            <v>26.46</v>
          </cell>
          <cell r="G610">
            <v>29.9</v>
          </cell>
        </row>
        <row r="611">
          <cell r="A611" t="str">
            <v>B82NSA9-1</v>
          </cell>
          <cell r="B611" t="str">
            <v>LN</v>
          </cell>
          <cell r="C611" t="str">
            <v>COLONIAL STYLE ESMALTE BRILLANTE CAFÉ TERRENAL</v>
          </cell>
          <cell r="D611">
            <v>19.579999999999998</v>
          </cell>
          <cell r="E611">
            <v>22.13</v>
          </cell>
          <cell r="F611">
            <v>26.46</v>
          </cell>
          <cell r="G611">
            <v>29.9</v>
          </cell>
        </row>
        <row r="612">
          <cell r="A612" t="str">
            <v>B82RSA6-1</v>
          </cell>
          <cell r="B612" t="str">
            <v>LN</v>
          </cell>
          <cell r="C612" t="str">
            <v>COLONIAL STYLE ESMALTE BRILLANTE ROJO CHINO</v>
          </cell>
          <cell r="D612">
            <v>19.579999999999998</v>
          </cell>
          <cell r="E612">
            <v>22.13</v>
          </cell>
          <cell r="F612">
            <v>26.46</v>
          </cell>
          <cell r="G612">
            <v>29.9</v>
          </cell>
        </row>
        <row r="613">
          <cell r="A613" t="str">
            <v>B82RSA19-1</v>
          </cell>
          <cell r="B613" t="str">
            <v>LN</v>
          </cell>
          <cell r="C613" t="str">
            <v>COLONIAL STYLE ESMALTE BRILLANTE JALAPEÑO</v>
          </cell>
          <cell r="D613">
            <v>19.579999999999998</v>
          </cell>
          <cell r="E613">
            <v>22.13</v>
          </cell>
          <cell r="F613">
            <v>26.46</v>
          </cell>
          <cell r="G613">
            <v>29.9</v>
          </cell>
        </row>
        <row r="614">
          <cell r="A614" t="str">
            <v>B82RSA13-1</v>
          </cell>
          <cell r="B614" t="str">
            <v>LN</v>
          </cell>
          <cell r="C614" t="str">
            <v>COLONIAL STYLE ESMALTE BRILLANTE ROJO QUEMADO</v>
          </cell>
          <cell r="D614">
            <v>19.579999999999998</v>
          </cell>
          <cell r="E614">
            <v>22.13</v>
          </cell>
          <cell r="F614">
            <v>26.46</v>
          </cell>
          <cell r="G614">
            <v>29.9</v>
          </cell>
        </row>
        <row r="615">
          <cell r="A615" t="str">
            <v>B82WSA1-1</v>
          </cell>
          <cell r="B615" t="str">
            <v>LN</v>
          </cell>
          <cell r="C615" t="str">
            <v>COLONIAL STYLE ESMALTE BRILLANTE BLANCO</v>
          </cell>
          <cell r="D615">
            <v>19.579999999999998</v>
          </cell>
          <cell r="E615">
            <v>22.13</v>
          </cell>
          <cell r="F615">
            <v>26.46</v>
          </cell>
          <cell r="G615">
            <v>29.9</v>
          </cell>
        </row>
        <row r="616">
          <cell r="A616" t="str">
            <v>B82WSA3-1</v>
          </cell>
          <cell r="B616" t="str">
            <v>LN</v>
          </cell>
          <cell r="C616" t="str">
            <v>COLONIAL STYLE ESMALTE BRILLANTE BLANCO HUESO</v>
          </cell>
          <cell r="D616">
            <v>19.579999999999998</v>
          </cell>
          <cell r="E616">
            <v>22.13</v>
          </cell>
          <cell r="F616">
            <v>26.46</v>
          </cell>
          <cell r="G616">
            <v>29.9</v>
          </cell>
        </row>
        <row r="617">
          <cell r="A617" t="str">
            <v>B82YSA14-1</v>
          </cell>
          <cell r="B617" t="str">
            <v>LN</v>
          </cell>
          <cell r="C617" t="str">
            <v>COLONIAL STYLE ESMALTE BRILLANTE AZAFRAN</v>
          </cell>
          <cell r="D617">
            <v>19.579999999999998</v>
          </cell>
          <cell r="E617">
            <v>22.13</v>
          </cell>
          <cell r="F617">
            <v>26.46</v>
          </cell>
          <cell r="G617">
            <v>29.9</v>
          </cell>
        </row>
        <row r="618">
          <cell r="A618" t="str">
            <v>B82YSA12-1</v>
          </cell>
          <cell r="B618" t="str">
            <v>LN</v>
          </cell>
          <cell r="C618" t="str">
            <v xml:space="preserve">COLONIAL STYLE ESMALTE BRILLANTE AMARILLO CROMO </v>
          </cell>
          <cell r="D618">
            <v>19.579999999999998</v>
          </cell>
          <cell r="E618">
            <v>22.13</v>
          </cell>
          <cell r="F618">
            <v>26.46</v>
          </cell>
          <cell r="G618">
            <v>29.9</v>
          </cell>
        </row>
        <row r="619">
          <cell r="A619" t="str">
            <v>B82ESA10-1</v>
          </cell>
          <cell r="B619" t="str">
            <v>LN</v>
          </cell>
          <cell r="C619" t="str">
            <v>COLONIAL STYLE ESMALTE BRILLANTE NARANJA CALABAZA</v>
          </cell>
          <cell r="D619">
            <v>19.579999999999998</v>
          </cell>
          <cell r="E619">
            <v>22.13</v>
          </cell>
          <cell r="F619">
            <v>26.46</v>
          </cell>
          <cell r="G619">
            <v>29.9</v>
          </cell>
        </row>
        <row r="620">
          <cell r="A620" t="str">
            <v>B82PSA3-1</v>
          </cell>
          <cell r="B620" t="str">
            <v>LN</v>
          </cell>
          <cell r="C620" t="str">
            <v>COLONIAL STYLE ESMALTE BRILLANTE VIOLETA SUAVE</v>
          </cell>
          <cell r="D620">
            <v>19.579999999999998</v>
          </cell>
          <cell r="E620">
            <v>22.13</v>
          </cell>
          <cell r="F620">
            <v>26.46</v>
          </cell>
          <cell r="G620">
            <v>29.9</v>
          </cell>
        </row>
        <row r="621">
          <cell r="B621" t="str">
            <v xml:space="preserve"> </v>
          </cell>
        </row>
        <row r="622">
          <cell r="A622" t="str">
            <v>B82ESA6-5</v>
          </cell>
          <cell r="B622" t="str">
            <v>LN</v>
          </cell>
          <cell r="C622" t="str">
            <v>COLONIAL STYLE ESMALTE BRILLANTE MELON</v>
          </cell>
          <cell r="D622">
            <v>89.06</v>
          </cell>
          <cell r="E622">
            <v>100.64</v>
          </cell>
          <cell r="F622">
            <v>120.35</v>
          </cell>
          <cell r="G622">
            <v>136</v>
          </cell>
        </row>
        <row r="623">
          <cell r="A623" t="str">
            <v>B82WSA1-5</v>
          </cell>
          <cell r="B623" t="str">
            <v>LN</v>
          </cell>
          <cell r="C623" t="str">
            <v>COLONIAL STYLE ESMALTE BRILLANTE BLANCO</v>
          </cell>
          <cell r="D623">
            <v>89.06</v>
          </cell>
          <cell r="E623">
            <v>100.64</v>
          </cell>
          <cell r="F623">
            <v>120.35</v>
          </cell>
          <cell r="G623">
            <v>136</v>
          </cell>
        </row>
        <row r="624">
          <cell r="A624" t="str">
            <v>B82WSA3-5</v>
          </cell>
          <cell r="B624" t="str">
            <v>LN</v>
          </cell>
          <cell r="C624" t="str">
            <v>COLONIAL STYLE ESMALTE BRILLANTE BLANCO HUESO</v>
          </cell>
          <cell r="D624">
            <v>89.06</v>
          </cell>
          <cell r="E624">
            <v>100.64</v>
          </cell>
          <cell r="F624">
            <v>120.35</v>
          </cell>
          <cell r="G624">
            <v>136</v>
          </cell>
        </row>
        <row r="625">
          <cell r="B625" t="str">
            <v xml:space="preserve"> </v>
          </cell>
        </row>
        <row r="626">
          <cell r="B626" t="str">
            <v xml:space="preserve"> </v>
          </cell>
          <cell r="C626" t="str">
            <v>PENINSULAR ESMALTE BRILLANTE</v>
          </cell>
        </row>
        <row r="627">
          <cell r="B627" t="str">
            <v xml:space="preserve"> </v>
          </cell>
          <cell r="C627" t="str">
            <v>PENINSULAR ESMALTE BRILLANTE EXTERIOR / INTERIOR</v>
          </cell>
        </row>
        <row r="628">
          <cell r="A628" t="str">
            <v>K58BSA2-1/4</v>
          </cell>
          <cell r="B628" t="str">
            <v>LN</v>
          </cell>
          <cell r="C628" t="str">
            <v>PENINSULAR ESMALTE BRILLANTE NEGRO</v>
          </cell>
          <cell r="D628">
            <v>5.04</v>
          </cell>
          <cell r="E628">
            <v>5.7</v>
          </cell>
          <cell r="F628">
            <v>6.64</v>
          </cell>
          <cell r="G628">
            <v>7.5</v>
          </cell>
        </row>
        <row r="629">
          <cell r="A629" t="str">
            <v>K58LSA6-1/4</v>
          </cell>
          <cell r="B629" t="str">
            <v>LN</v>
          </cell>
          <cell r="C629" t="str">
            <v xml:space="preserve">PENINSULAR ESMALTE BRILLANTE AZUL </v>
          </cell>
          <cell r="D629">
            <v>5.04</v>
          </cell>
          <cell r="E629">
            <v>5.7</v>
          </cell>
          <cell r="F629">
            <v>6.64</v>
          </cell>
          <cell r="G629">
            <v>7.5</v>
          </cell>
        </row>
        <row r="630">
          <cell r="A630" t="str">
            <v>K58MSA1-1/4</v>
          </cell>
          <cell r="B630" t="str">
            <v>LN</v>
          </cell>
          <cell r="C630" t="str">
            <v>PENINSULAR ESMALTE BRILLANTE VINO TINTO</v>
          </cell>
          <cell r="D630">
            <v>5.04</v>
          </cell>
          <cell r="E630">
            <v>5.7</v>
          </cell>
          <cell r="F630">
            <v>6.64</v>
          </cell>
          <cell r="G630">
            <v>7.5</v>
          </cell>
        </row>
        <row r="631">
          <cell r="A631" t="str">
            <v>K58NSA1-1/4</v>
          </cell>
          <cell r="B631" t="str">
            <v>LN</v>
          </cell>
          <cell r="C631" t="str">
            <v>PENINSULAR ESMALTE BRILLANTE CHOCOLATE</v>
          </cell>
          <cell r="D631">
            <v>5.04</v>
          </cell>
          <cell r="E631">
            <v>5.7</v>
          </cell>
          <cell r="F631">
            <v>6.64</v>
          </cell>
          <cell r="G631">
            <v>7.5</v>
          </cell>
        </row>
        <row r="632">
          <cell r="A632" t="str">
            <v>K58RSA2-1/4</v>
          </cell>
          <cell r="B632" t="str">
            <v>LN</v>
          </cell>
          <cell r="C632" t="str">
            <v>PENINSULAR ESMALTE BRILLANTE BERMELLON</v>
          </cell>
          <cell r="D632">
            <v>5.04</v>
          </cell>
          <cell r="E632">
            <v>5.7</v>
          </cell>
          <cell r="F632">
            <v>6.64</v>
          </cell>
          <cell r="G632">
            <v>7.5</v>
          </cell>
        </row>
        <row r="633">
          <cell r="A633" t="str">
            <v>K58LSA2-1/4</v>
          </cell>
          <cell r="B633" t="str">
            <v>LN</v>
          </cell>
          <cell r="C633" t="str">
            <v>PENINSULAR ESMALTE BRILLANTE CELESTE</v>
          </cell>
          <cell r="D633">
            <v>5.04</v>
          </cell>
          <cell r="E633">
            <v>5.7</v>
          </cell>
          <cell r="F633">
            <v>6.64</v>
          </cell>
          <cell r="G633">
            <v>7.5</v>
          </cell>
        </row>
        <row r="634">
          <cell r="A634" t="str">
            <v>K58WSA1-1/4</v>
          </cell>
          <cell r="B634" t="str">
            <v>LN</v>
          </cell>
          <cell r="C634" t="str">
            <v>PENINSULAR ESMALTE BRILLANTE BLANCO</v>
          </cell>
          <cell r="D634">
            <v>5.04</v>
          </cell>
          <cell r="E634">
            <v>5.7</v>
          </cell>
          <cell r="F634">
            <v>6.64</v>
          </cell>
          <cell r="G634">
            <v>7.5</v>
          </cell>
        </row>
        <row r="635">
          <cell r="A635" t="str">
            <v>K58HSA1-1/4</v>
          </cell>
          <cell r="B635" t="str">
            <v>LN</v>
          </cell>
          <cell r="C635" t="str">
            <v>PENINSULAR ESMALTE BRILLANTE MARFIL</v>
          </cell>
          <cell r="D635">
            <v>5.04</v>
          </cell>
          <cell r="E635">
            <v>5.7</v>
          </cell>
          <cell r="F635">
            <v>6.64</v>
          </cell>
          <cell r="G635">
            <v>7.5</v>
          </cell>
        </row>
        <row r="636">
          <cell r="A636" t="str">
            <v>K58WSA2-1/4</v>
          </cell>
          <cell r="B636" t="str">
            <v>LN</v>
          </cell>
          <cell r="C636" t="str">
            <v>PENINSULAR ESMALTE BRILLANTE BLANCO HUESO</v>
          </cell>
          <cell r="D636">
            <v>5.04</v>
          </cell>
          <cell r="E636">
            <v>5.7</v>
          </cell>
          <cell r="F636">
            <v>6.64</v>
          </cell>
          <cell r="G636">
            <v>7.5</v>
          </cell>
        </row>
        <row r="637">
          <cell r="A637" t="str">
            <v>K58YSA1-1/4</v>
          </cell>
          <cell r="B637" t="str">
            <v>LN</v>
          </cell>
          <cell r="C637" t="str">
            <v>PENINSULAR ESMALTE BRILLANTE AMARILLO</v>
          </cell>
          <cell r="D637">
            <v>5.04</v>
          </cell>
          <cell r="E637">
            <v>5.7</v>
          </cell>
          <cell r="F637">
            <v>6.64</v>
          </cell>
          <cell r="G637">
            <v>7.5</v>
          </cell>
        </row>
        <row r="638">
          <cell r="A638" t="str">
            <v>K58ESA1-1/4</v>
          </cell>
          <cell r="B638" t="str">
            <v>LN</v>
          </cell>
          <cell r="C638" t="str">
            <v>PENINSULAR ESMALTE BRILLANTE NARANJA REBELDE</v>
          </cell>
          <cell r="D638">
            <v>5.04</v>
          </cell>
          <cell r="E638">
            <v>5.7</v>
          </cell>
          <cell r="F638">
            <v>6.64</v>
          </cell>
          <cell r="G638">
            <v>7.5</v>
          </cell>
        </row>
        <row r="639">
          <cell r="A639" t="str">
            <v>K58LSA11-1/4</v>
          </cell>
          <cell r="B639" t="str">
            <v>LN</v>
          </cell>
          <cell r="C639" t="str">
            <v>PENINSULAR ESMALTE BRILLANTE VERDE AZULADO</v>
          </cell>
          <cell r="D639">
            <v>5.04</v>
          </cell>
          <cell r="E639">
            <v>5.7</v>
          </cell>
          <cell r="F639">
            <v>6.64</v>
          </cell>
          <cell r="G639">
            <v>7.5</v>
          </cell>
        </row>
        <row r="640">
          <cell r="A640" t="str">
            <v>K58ASA6-1/4</v>
          </cell>
          <cell r="B640" t="str">
            <v>LN</v>
          </cell>
          <cell r="C640" t="str">
            <v>PENINSULAR ESMALTE BRILLANTE GRIS CENIZO</v>
          </cell>
          <cell r="D640">
            <v>5.04</v>
          </cell>
          <cell r="E640">
            <v>5.7</v>
          </cell>
          <cell r="F640">
            <v>6.64</v>
          </cell>
          <cell r="G640">
            <v>7.5</v>
          </cell>
        </row>
        <row r="641">
          <cell r="A641" t="str">
            <v>K58RSA13-1/4</v>
          </cell>
          <cell r="B641" t="str">
            <v>LN</v>
          </cell>
          <cell r="C641" t="str">
            <v>PENINSULAR ESMALTE BRILLANTE ROJO FOGATA</v>
          </cell>
          <cell r="D641">
            <v>5.04</v>
          </cell>
          <cell r="E641">
            <v>5.7</v>
          </cell>
          <cell r="F641">
            <v>6.64</v>
          </cell>
          <cell r="G641">
            <v>7.5</v>
          </cell>
        </row>
        <row r="642">
          <cell r="B642" t="str">
            <v xml:space="preserve"> </v>
          </cell>
        </row>
        <row r="643">
          <cell r="A643" t="str">
            <v>K58ASA5-1</v>
          </cell>
          <cell r="B643" t="str">
            <v>LN</v>
          </cell>
          <cell r="C643" t="str">
            <v xml:space="preserve">PENINSULAR ESMALTE BRILLANTE GRIS PLATEADO </v>
          </cell>
          <cell r="D643">
            <v>16.739999999999998</v>
          </cell>
          <cell r="E643">
            <v>18.920000000000002</v>
          </cell>
          <cell r="F643">
            <v>22.04</v>
          </cell>
          <cell r="G643">
            <v>24.9</v>
          </cell>
        </row>
        <row r="644">
          <cell r="A644" t="str">
            <v>K58BSA2-1</v>
          </cell>
          <cell r="B644" t="str">
            <v>LN</v>
          </cell>
          <cell r="C644" t="str">
            <v>PENINSULAR ESMALTE BRILLANTE NEGRO</v>
          </cell>
          <cell r="D644">
            <v>16.739999999999998</v>
          </cell>
          <cell r="E644">
            <v>18.920000000000002</v>
          </cell>
          <cell r="F644">
            <v>22.04</v>
          </cell>
          <cell r="G644">
            <v>24.9</v>
          </cell>
        </row>
        <row r="645">
          <cell r="A645" t="str">
            <v>K58GSA2-1</v>
          </cell>
          <cell r="B645" t="str">
            <v>LN</v>
          </cell>
          <cell r="C645" t="str">
            <v>PENINSULAR ESMALTE BRILLANTE AQUA</v>
          </cell>
          <cell r="D645">
            <v>16.739999999999998</v>
          </cell>
          <cell r="E645">
            <v>18.920000000000002</v>
          </cell>
          <cell r="F645">
            <v>22.04</v>
          </cell>
          <cell r="G645">
            <v>24.9</v>
          </cell>
        </row>
        <row r="646">
          <cell r="A646" t="str">
            <v>K58GSA4-1</v>
          </cell>
          <cell r="B646" t="str">
            <v>LN</v>
          </cell>
          <cell r="C646" t="str">
            <v>PENINSULAR ESMALTE BRILLANTE VERDE INTENSO</v>
          </cell>
          <cell r="D646">
            <v>16.739999999999998</v>
          </cell>
          <cell r="E646">
            <v>18.920000000000002</v>
          </cell>
          <cell r="F646">
            <v>22.04</v>
          </cell>
          <cell r="G646">
            <v>24.9</v>
          </cell>
        </row>
        <row r="647">
          <cell r="A647" t="str">
            <v>K58GSA5-1</v>
          </cell>
          <cell r="B647" t="str">
            <v>LN</v>
          </cell>
          <cell r="C647" t="str">
            <v>PENINSULAR ESMALTE BRILLANTE VERDE COCKTAIL</v>
          </cell>
          <cell r="D647">
            <v>16.739999999999998</v>
          </cell>
          <cell r="E647">
            <v>18.920000000000002</v>
          </cell>
          <cell r="F647">
            <v>22.04</v>
          </cell>
          <cell r="G647">
            <v>24.9</v>
          </cell>
        </row>
        <row r="648">
          <cell r="A648" t="str">
            <v>K58GSA7-1</v>
          </cell>
          <cell r="B648" t="str">
            <v>LN</v>
          </cell>
          <cell r="C648" t="str">
            <v>PENINSULAR ESMALTE BRILLANTE VERDE MANZANA</v>
          </cell>
          <cell r="D648">
            <v>16.739999999999998</v>
          </cell>
          <cell r="E648">
            <v>18.920000000000002</v>
          </cell>
          <cell r="F648">
            <v>22.04</v>
          </cell>
          <cell r="G648">
            <v>24.9</v>
          </cell>
        </row>
        <row r="649">
          <cell r="A649" t="str">
            <v>K58HSA1-1</v>
          </cell>
          <cell r="B649" t="str">
            <v>LN</v>
          </cell>
          <cell r="C649" t="str">
            <v>PENINSULAR ESMALTE BRILLANTE MARFIL</v>
          </cell>
          <cell r="D649">
            <v>16.739999999999998</v>
          </cell>
          <cell r="E649">
            <v>18.920000000000002</v>
          </cell>
          <cell r="F649">
            <v>22.04</v>
          </cell>
          <cell r="G649">
            <v>24.9</v>
          </cell>
        </row>
        <row r="650">
          <cell r="A650" t="str">
            <v>K58LSA2-1</v>
          </cell>
          <cell r="B650" t="str">
            <v>LN</v>
          </cell>
          <cell r="C650" t="str">
            <v>PENINSULAR ESMALTE BRILLANTE CELESTE</v>
          </cell>
          <cell r="D650">
            <v>16.739999999999998</v>
          </cell>
          <cell r="E650">
            <v>18.920000000000002</v>
          </cell>
          <cell r="F650">
            <v>22.04</v>
          </cell>
          <cell r="G650">
            <v>24.9</v>
          </cell>
        </row>
        <row r="651">
          <cell r="A651" t="str">
            <v>K58LSA6-1</v>
          </cell>
          <cell r="B651" t="str">
            <v>LN</v>
          </cell>
          <cell r="C651" t="str">
            <v xml:space="preserve">PENINSULAR ESMALTE BRILLANTE AZUL </v>
          </cell>
          <cell r="D651">
            <v>16.739999999999998</v>
          </cell>
          <cell r="E651">
            <v>18.920000000000002</v>
          </cell>
          <cell r="F651">
            <v>22.04</v>
          </cell>
          <cell r="G651">
            <v>24.9</v>
          </cell>
        </row>
        <row r="652">
          <cell r="A652" t="str">
            <v>K58MSA1-1</v>
          </cell>
          <cell r="B652" t="str">
            <v>LN</v>
          </cell>
          <cell r="C652" t="str">
            <v>PENINSULAR ESMALTE BRILLANTE VINO TINTO</v>
          </cell>
          <cell r="D652">
            <v>16.739999999999998</v>
          </cell>
          <cell r="E652">
            <v>18.920000000000002</v>
          </cell>
          <cell r="F652">
            <v>22.04</v>
          </cell>
          <cell r="G652">
            <v>24.9</v>
          </cell>
        </row>
        <row r="653">
          <cell r="A653" t="str">
            <v>K58NSA1-1</v>
          </cell>
          <cell r="B653" t="str">
            <v>LN</v>
          </cell>
          <cell r="C653" t="str">
            <v>PENINSULAR ESMALTE BRILLANTE CHOCOLATE</v>
          </cell>
          <cell r="D653">
            <v>16.739999999999998</v>
          </cell>
          <cell r="E653">
            <v>18.920000000000002</v>
          </cell>
          <cell r="F653">
            <v>22.04</v>
          </cell>
          <cell r="G653">
            <v>24.9</v>
          </cell>
        </row>
        <row r="654">
          <cell r="A654" t="str">
            <v>K58NSA2-1</v>
          </cell>
          <cell r="B654" t="str">
            <v>LN</v>
          </cell>
          <cell r="C654" t="str">
            <v>PENINSULAR ESMALTE BRILLANTE CAFÉ COBRIZO</v>
          </cell>
          <cell r="D654">
            <v>16.739999999999998</v>
          </cell>
          <cell r="E654">
            <v>18.920000000000002</v>
          </cell>
          <cell r="F654">
            <v>22.04</v>
          </cell>
          <cell r="G654">
            <v>24.9</v>
          </cell>
        </row>
        <row r="655">
          <cell r="A655" t="str">
            <v>K58PSA2-1</v>
          </cell>
          <cell r="B655" t="str">
            <v>LN</v>
          </cell>
          <cell r="C655" t="str">
            <v>PENINSULAR ESMALTE BRILLANTE VIOLETA</v>
          </cell>
          <cell r="D655">
            <v>16.739999999999998</v>
          </cell>
          <cell r="E655">
            <v>18.920000000000002</v>
          </cell>
          <cell r="F655">
            <v>22.04</v>
          </cell>
          <cell r="G655">
            <v>24.9</v>
          </cell>
        </row>
        <row r="656">
          <cell r="A656" t="str">
            <v>K58RSA2-1</v>
          </cell>
          <cell r="B656" t="str">
            <v>LN</v>
          </cell>
          <cell r="C656" t="str">
            <v>PENINSULAR ESMALTE BRILLANTE BERMELLON</v>
          </cell>
          <cell r="D656">
            <v>16.739999999999998</v>
          </cell>
          <cell r="E656">
            <v>18.920000000000002</v>
          </cell>
          <cell r="F656">
            <v>22.04</v>
          </cell>
          <cell r="G656">
            <v>24.9</v>
          </cell>
        </row>
        <row r="657">
          <cell r="A657" t="str">
            <v>K58RSA6-1</v>
          </cell>
          <cell r="B657" t="str">
            <v>LN</v>
          </cell>
          <cell r="C657" t="str">
            <v>PENINSULAR ESMALTE BRILLANTE DECO-CORAL</v>
          </cell>
          <cell r="D657">
            <v>16.739999999999998</v>
          </cell>
          <cell r="E657">
            <v>18.920000000000002</v>
          </cell>
          <cell r="F657">
            <v>22.04</v>
          </cell>
          <cell r="G657">
            <v>24.9</v>
          </cell>
        </row>
        <row r="658">
          <cell r="A658" t="str">
            <v>K58RSA10-1</v>
          </cell>
          <cell r="B658" t="str">
            <v>LN</v>
          </cell>
          <cell r="C658" t="str">
            <v>PENINSULAR ESMALTE BRILLANTE ROSADO FUCSIA</v>
          </cell>
          <cell r="D658">
            <v>16.739999999999998</v>
          </cell>
          <cell r="E658">
            <v>18.920000000000002</v>
          </cell>
          <cell r="F658">
            <v>22.04</v>
          </cell>
          <cell r="G658">
            <v>24.9</v>
          </cell>
        </row>
        <row r="659">
          <cell r="A659" t="str">
            <v>K58WSA1-1</v>
          </cell>
          <cell r="B659" t="str">
            <v>LN</v>
          </cell>
          <cell r="C659" t="str">
            <v>PENINSULAR ESMALTE BRILLANTE BLANCO</v>
          </cell>
          <cell r="D659">
            <v>16.739999999999998</v>
          </cell>
          <cell r="E659">
            <v>18.920000000000002</v>
          </cell>
          <cell r="F659">
            <v>22.04</v>
          </cell>
          <cell r="G659">
            <v>24.9</v>
          </cell>
        </row>
        <row r="660">
          <cell r="A660" t="str">
            <v>K58WSA2-1</v>
          </cell>
          <cell r="B660" t="str">
            <v>LN</v>
          </cell>
          <cell r="C660" t="str">
            <v>PENINSULAR ESMALTE BRILLANTE BLANCO HUESO</v>
          </cell>
          <cell r="D660">
            <v>16.739999999999998</v>
          </cell>
          <cell r="E660">
            <v>18.920000000000002</v>
          </cell>
          <cell r="F660">
            <v>22.04</v>
          </cell>
          <cell r="G660">
            <v>24.9</v>
          </cell>
        </row>
        <row r="661">
          <cell r="A661" t="str">
            <v>K58YSA1-1</v>
          </cell>
          <cell r="B661" t="str">
            <v>LN</v>
          </cell>
          <cell r="C661" t="str">
            <v>PENINSULAR ESMALTE BRILLANTE AMARILLO</v>
          </cell>
          <cell r="D661">
            <v>16.739999999999998</v>
          </cell>
          <cell r="E661">
            <v>18.920000000000002</v>
          </cell>
          <cell r="F661">
            <v>22.04</v>
          </cell>
          <cell r="G661">
            <v>24.9</v>
          </cell>
        </row>
        <row r="662">
          <cell r="A662" t="str">
            <v>K58YSA6-1</v>
          </cell>
          <cell r="B662" t="str">
            <v>LN</v>
          </cell>
          <cell r="C662" t="str">
            <v>PENINSULAR ESMALTE BRILLANTE MOSTAZA</v>
          </cell>
          <cell r="D662">
            <v>16.739999999999998</v>
          </cell>
          <cell r="E662">
            <v>18.920000000000002</v>
          </cell>
          <cell r="F662">
            <v>22.04</v>
          </cell>
          <cell r="G662">
            <v>24.9</v>
          </cell>
        </row>
        <row r="663">
          <cell r="A663" t="str">
            <v>K58ASA6-1</v>
          </cell>
          <cell r="B663" t="str">
            <v>LN</v>
          </cell>
          <cell r="C663" t="str">
            <v>PENINSULAR ESMALTE BRILLANTE GRIS CENIZO</v>
          </cell>
          <cell r="D663">
            <v>16.739999999999998</v>
          </cell>
          <cell r="E663">
            <v>18.920000000000002</v>
          </cell>
          <cell r="F663">
            <v>22.04</v>
          </cell>
          <cell r="G663">
            <v>24.9</v>
          </cell>
        </row>
        <row r="664">
          <cell r="A664" t="str">
            <v>K58ESA1-1</v>
          </cell>
          <cell r="B664" t="str">
            <v>LN</v>
          </cell>
          <cell r="C664" t="str">
            <v>PENINSULAR ESMALTE BRILLANTE NARANJA REBELDE</v>
          </cell>
          <cell r="D664">
            <v>16.739999999999998</v>
          </cell>
          <cell r="E664">
            <v>18.920000000000002</v>
          </cell>
          <cell r="F664">
            <v>22.04</v>
          </cell>
          <cell r="G664">
            <v>24.9</v>
          </cell>
        </row>
        <row r="665">
          <cell r="A665" t="str">
            <v>K58LSA11-1</v>
          </cell>
          <cell r="B665" t="str">
            <v>LN</v>
          </cell>
          <cell r="C665" t="str">
            <v>PENINSULAR ESMALTE BRILLANTE VERDE AZULADO</v>
          </cell>
          <cell r="D665">
            <v>16.739999999999998</v>
          </cell>
          <cell r="E665">
            <v>18.920000000000002</v>
          </cell>
          <cell r="F665">
            <v>22.04</v>
          </cell>
          <cell r="G665">
            <v>24.9</v>
          </cell>
        </row>
        <row r="666">
          <cell r="A666" t="str">
            <v>K58RSA13-1</v>
          </cell>
          <cell r="B666" t="str">
            <v>LN</v>
          </cell>
          <cell r="C666" t="str">
            <v>PENINSULAR ESMALTE BRILLANTE ROJO FOGATA</v>
          </cell>
          <cell r="D666">
            <v>16.739999999999998</v>
          </cell>
          <cell r="E666">
            <v>18.920000000000002</v>
          </cell>
          <cell r="F666">
            <v>22.04</v>
          </cell>
          <cell r="G666">
            <v>24.9</v>
          </cell>
        </row>
        <row r="667">
          <cell r="B667" t="str">
            <v xml:space="preserve"> </v>
          </cell>
        </row>
        <row r="668">
          <cell r="A668" t="str">
            <v>K58ASA5-5</v>
          </cell>
          <cell r="B668" t="str">
            <v>LN</v>
          </cell>
          <cell r="C668" t="str">
            <v>PENINSULAR ESMALTE BRILLANTE GRIS PLATEADO</v>
          </cell>
          <cell r="D668">
            <v>77.349999999999994</v>
          </cell>
          <cell r="E668">
            <v>87.4</v>
          </cell>
          <cell r="F668">
            <v>101.77</v>
          </cell>
          <cell r="G668">
            <v>115</v>
          </cell>
        </row>
        <row r="669">
          <cell r="A669" t="str">
            <v>K58LSA6-5</v>
          </cell>
          <cell r="B669" t="str">
            <v>LN</v>
          </cell>
          <cell r="C669" t="str">
            <v xml:space="preserve">PENINSULAR ESMALTE BRILLANTE AZUL </v>
          </cell>
          <cell r="D669">
            <v>77.349999999999994</v>
          </cell>
          <cell r="E669">
            <v>87.4</v>
          </cell>
          <cell r="F669">
            <v>101.77</v>
          </cell>
          <cell r="G669">
            <v>115</v>
          </cell>
        </row>
        <row r="670">
          <cell r="A670" t="str">
            <v>K58WSA1-5</v>
          </cell>
          <cell r="B670" t="str">
            <v>LN</v>
          </cell>
          <cell r="C670" t="str">
            <v>PENINSULAR ESMALTE BRILLANTE BLANCO</v>
          </cell>
          <cell r="D670">
            <v>77.349999999999994</v>
          </cell>
          <cell r="E670">
            <v>87.4</v>
          </cell>
          <cell r="F670">
            <v>101.77</v>
          </cell>
          <cell r="G670">
            <v>115</v>
          </cell>
        </row>
        <row r="671">
          <cell r="A671" t="str">
            <v>K58WSA2-5</v>
          </cell>
          <cell r="B671" t="str">
            <v>LN</v>
          </cell>
          <cell r="C671" t="str">
            <v>PENINSULAR ESMALTE BRILLANTE BLANCO HUESO</v>
          </cell>
          <cell r="D671">
            <v>77.349999999999994</v>
          </cell>
          <cell r="E671">
            <v>87.4</v>
          </cell>
          <cell r="F671">
            <v>101.77</v>
          </cell>
          <cell r="G671">
            <v>115</v>
          </cell>
        </row>
        <row r="672">
          <cell r="A672" t="str">
            <v>K58HSA1-5</v>
          </cell>
          <cell r="B672" t="str">
            <v>LN</v>
          </cell>
          <cell r="C672" t="str">
            <v>PENINSULAR ESMALTE BRILLANTE MARFIL</v>
          </cell>
          <cell r="D672">
            <v>77.349999999999994</v>
          </cell>
          <cell r="E672">
            <v>87.4</v>
          </cell>
          <cell r="F672">
            <v>101.77</v>
          </cell>
          <cell r="G672">
            <v>115</v>
          </cell>
        </row>
        <row r="673">
          <cell r="B673" t="str">
            <v xml:space="preserve"> </v>
          </cell>
        </row>
        <row r="674">
          <cell r="B674" t="str">
            <v xml:space="preserve"> </v>
          </cell>
          <cell r="C674" t="str">
            <v>COLORÁMICA ESMALTE BRILLANTE</v>
          </cell>
        </row>
        <row r="675">
          <cell r="B675" t="str">
            <v xml:space="preserve"> </v>
          </cell>
          <cell r="C675" t="str">
            <v>COLORAMICA ESMALTE BRILLANTE  EXTERIOR / INTERIOR</v>
          </cell>
        </row>
        <row r="676">
          <cell r="A676" t="str">
            <v>Y82BSA1-1/4</v>
          </cell>
          <cell r="B676" t="str">
            <v>LN</v>
          </cell>
          <cell r="C676" t="str">
            <v>COLORAMICA ESMALTE BRILLANTE NEGRO</v>
          </cell>
          <cell r="D676">
            <v>3.96</v>
          </cell>
          <cell r="E676">
            <v>4.4800000000000004</v>
          </cell>
          <cell r="F676">
            <v>5.22</v>
          </cell>
          <cell r="G676">
            <v>5.9</v>
          </cell>
        </row>
        <row r="677">
          <cell r="A677" t="str">
            <v>Y82GSA3-1/4</v>
          </cell>
          <cell r="B677" t="str">
            <v>LN</v>
          </cell>
          <cell r="C677" t="str">
            <v>COLORAMICA ESMALTE BRILLANTE AQUA CRISTALINO</v>
          </cell>
          <cell r="D677">
            <v>3.96</v>
          </cell>
          <cell r="E677">
            <v>4.4800000000000004</v>
          </cell>
          <cell r="F677">
            <v>5.22</v>
          </cell>
          <cell r="G677">
            <v>5.9</v>
          </cell>
        </row>
        <row r="678">
          <cell r="A678" t="str">
            <v>Y82GSA4-1/4</v>
          </cell>
          <cell r="B678" t="str">
            <v>LN</v>
          </cell>
          <cell r="C678" t="str">
            <v>COLORAMICA ESMALTE BRILLANTE VERDE JARDIN</v>
          </cell>
          <cell r="D678">
            <v>3.96</v>
          </cell>
          <cell r="E678">
            <v>4.4800000000000004</v>
          </cell>
          <cell r="F678">
            <v>5.22</v>
          </cell>
          <cell r="G678">
            <v>5.9</v>
          </cell>
        </row>
        <row r="679">
          <cell r="A679" t="str">
            <v>Y82LSA1-1/4</v>
          </cell>
          <cell r="B679" t="str">
            <v>LN</v>
          </cell>
          <cell r="C679" t="str">
            <v>COLORAMICA ESMALTE BRILLANTE AZUL</v>
          </cell>
          <cell r="D679">
            <v>3.96</v>
          </cell>
          <cell r="E679">
            <v>4.4800000000000004</v>
          </cell>
          <cell r="F679">
            <v>5.22</v>
          </cell>
          <cell r="G679">
            <v>5.9</v>
          </cell>
        </row>
        <row r="680">
          <cell r="A680" t="str">
            <v>Y82LSA4-1/4</v>
          </cell>
          <cell r="B680" t="str">
            <v>LN</v>
          </cell>
          <cell r="C680" t="str">
            <v>COLORAMICA ESMALTE BRILLANTE CELESTE OCEANO</v>
          </cell>
          <cell r="D680">
            <v>3.96</v>
          </cell>
          <cell r="E680">
            <v>4.4800000000000004</v>
          </cell>
          <cell r="F680">
            <v>5.22</v>
          </cell>
          <cell r="G680">
            <v>5.9</v>
          </cell>
        </row>
        <row r="681">
          <cell r="A681" t="str">
            <v>Y82NSA1-1/4</v>
          </cell>
          <cell r="B681" t="str">
            <v>LN</v>
          </cell>
          <cell r="C681" t="str">
            <v>COLORAMICA ESMALTE BRILLANTE CHOCOLATE</v>
          </cell>
          <cell r="D681">
            <v>3.96</v>
          </cell>
          <cell r="E681">
            <v>4.4800000000000004</v>
          </cell>
          <cell r="F681">
            <v>5.22</v>
          </cell>
          <cell r="G681">
            <v>5.9</v>
          </cell>
        </row>
        <row r="682">
          <cell r="A682" t="str">
            <v>Y82NSA2-1/4</v>
          </cell>
          <cell r="B682" t="str">
            <v>LN</v>
          </cell>
          <cell r="C682" t="str">
            <v>COLORAMICA ESMALTE BRILLANTE BEIGE</v>
          </cell>
          <cell r="D682">
            <v>3.96</v>
          </cell>
          <cell r="E682">
            <v>4.4800000000000004</v>
          </cell>
          <cell r="F682">
            <v>5.22</v>
          </cell>
          <cell r="G682">
            <v>5.9</v>
          </cell>
        </row>
        <row r="683">
          <cell r="A683" t="str">
            <v>Y82WSA1-1/4</v>
          </cell>
          <cell r="B683" t="str">
            <v>LN</v>
          </cell>
          <cell r="C683" t="str">
            <v>COLORAMICA ESMALTE BRILLANTE BLANCO</v>
          </cell>
          <cell r="D683">
            <v>3.96</v>
          </cell>
          <cell r="E683">
            <v>4.4800000000000004</v>
          </cell>
          <cell r="F683">
            <v>5.22</v>
          </cell>
          <cell r="G683">
            <v>5.9</v>
          </cell>
        </row>
        <row r="684">
          <cell r="A684" t="str">
            <v>Y82ASA2-1/4</v>
          </cell>
          <cell r="B684" t="str">
            <v>NUEVO</v>
          </cell>
          <cell r="C684" t="str">
            <v>COLORÁMICA ESMALTE BRILLANTE GRIS CLARO</v>
          </cell>
          <cell r="D684">
            <v>3.96</v>
          </cell>
          <cell r="E684">
            <v>4.4800000000000004</v>
          </cell>
          <cell r="F684">
            <v>5.22</v>
          </cell>
          <cell r="G684">
            <v>5.9</v>
          </cell>
        </row>
        <row r="685">
          <cell r="A685" t="str">
            <v>Y82ESA6-1/4</v>
          </cell>
          <cell r="B685" t="str">
            <v>NUEVO</v>
          </cell>
          <cell r="C685" t="str">
            <v xml:space="preserve">COLORÁMICA ESMALTE BRILLANTE NARANJA MANDARIN </v>
          </cell>
          <cell r="D685">
            <v>3.96</v>
          </cell>
          <cell r="E685">
            <v>4.4800000000000004</v>
          </cell>
          <cell r="F685">
            <v>5.22</v>
          </cell>
          <cell r="G685">
            <v>5.9</v>
          </cell>
        </row>
        <row r="686">
          <cell r="A686" t="str">
            <v>Y82GSA2-1/4</v>
          </cell>
          <cell r="B686" t="str">
            <v>NUEVO</v>
          </cell>
          <cell r="C686" t="str">
            <v>COLORAMICA ESMALTE BRILLANTE VERDE AQUA</v>
          </cell>
          <cell r="D686">
            <v>3.96</v>
          </cell>
          <cell r="E686">
            <v>4.4800000000000004</v>
          </cell>
          <cell r="F686">
            <v>5.22</v>
          </cell>
          <cell r="G686">
            <v>5.9</v>
          </cell>
        </row>
        <row r="687">
          <cell r="A687" t="str">
            <v>Y82GSA9-1/4</v>
          </cell>
          <cell r="B687" t="str">
            <v>NUEVO</v>
          </cell>
          <cell r="C687" t="str">
            <v>COLORAMICA ESMALTE BRILLANTE VERDE MENTA</v>
          </cell>
          <cell r="D687">
            <v>3.96</v>
          </cell>
          <cell r="E687">
            <v>4.4800000000000004</v>
          </cell>
          <cell r="F687">
            <v>5.22</v>
          </cell>
          <cell r="G687">
            <v>5.9</v>
          </cell>
        </row>
        <row r="688">
          <cell r="A688" t="str">
            <v>Y82LSA2-1/4</v>
          </cell>
          <cell r="B688" t="str">
            <v>NUEVO</v>
          </cell>
          <cell r="C688" t="str">
            <v>COLORAMICA ESMALTE BRILLANTE CELESTE</v>
          </cell>
          <cell r="D688">
            <v>3.96</v>
          </cell>
          <cell r="E688">
            <v>4.4800000000000004</v>
          </cell>
          <cell r="F688">
            <v>5.22</v>
          </cell>
          <cell r="G688">
            <v>5.9</v>
          </cell>
        </row>
        <row r="689">
          <cell r="A689" t="str">
            <v>Y82RSA3-1/4</v>
          </cell>
          <cell r="B689" t="str">
            <v>NUEVO</v>
          </cell>
          <cell r="C689" t="str">
            <v>COLORAMICA ESMALTE BRILLANTE ROJO PASION</v>
          </cell>
          <cell r="D689">
            <v>3.96</v>
          </cell>
          <cell r="E689">
            <v>4.4800000000000004</v>
          </cell>
          <cell r="F689">
            <v>5.22</v>
          </cell>
          <cell r="G689">
            <v>5.9</v>
          </cell>
        </row>
        <row r="690">
          <cell r="A690" t="str">
            <v>Y82RSA4-1/4</v>
          </cell>
          <cell r="B690" t="str">
            <v>NUEVO</v>
          </cell>
          <cell r="C690" t="str">
            <v>COLORAMICA ESMALTE BRILLANTE MARRON</v>
          </cell>
          <cell r="D690">
            <v>3.96</v>
          </cell>
          <cell r="E690">
            <v>4.4800000000000004</v>
          </cell>
          <cell r="F690">
            <v>5.22</v>
          </cell>
          <cell r="G690">
            <v>5.9</v>
          </cell>
        </row>
        <row r="691">
          <cell r="A691" t="str">
            <v>Y82WSA2-1/4</v>
          </cell>
          <cell r="B691" t="str">
            <v>NUEVO</v>
          </cell>
          <cell r="C691" t="str">
            <v>COLORAMICA ESMALTE BRILLANTE BLANCO HUESO</v>
          </cell>
          <cell r="D691">
            <v>3.96</v>
          </cell>
          <cell r="E691">
            <v>4.4800000000000004</v>
          </cell>
          <cell r="F691">
            <v>5.22</v>
          </cell>
          <cell r="G691">
            <v>5.9</v>
          </cell>
        </row>
        <row r="692">
          <cell r="A692" t="str">
            <v>Y82YSA1-1/4</v>
          </cell>
          <cell r="B692" t="str">
            <v>NUEVO</v>
          </cell>
          <cell r="C692" t="str">
            <v>COLORAMICA ESMALTE BRILLANTE AMARILLO</v>
          </cell>
          <cell r="D692">
            <v>3.96</v>
          </cell>
          <cell r="E692">
            <v>4.4800000000000004</v>
          </cell>
          <cell r="F692">
            <v>5.22</v>
          </cell>
          <cell r="G692">
            <v>5.9</v>
          </cell>
        </row>
        <row r="695">
          <cell r="A695" t="str">
            <v>Y82ASA1-1</v>
          </cell>
          <cell r="B695" t="str">
            <v>LN</v>
          </cell>
          <cell r="C695" t="str">
            <v>COLORAMICA ESMALTE BRILLANTE GRIS OSCURO</v>
          </cell>
          <cell r="D695">
            <v>14.73</v>
          </cell>
          <cell r="E695">
            <v>16.64</v>
          </cell>
          <cell r="F695">
            <v>19.38</v>
          </cell>
          <cell r="G695">
            <v>21.9</v>
          </cell>
        </row>
        <row r="696">
          <cell r="A696" t="str">
            <v>Y82ASA2-1</v>
          </cell>
          <cell r="B696" t="str">
            <v>LN</v>
          </cell>
          <cell r="C696" t="str">
            <v>COLORAMICA ESMALTE BRILLANTE GRIS CLARO</v>
          </cell>
          <cell r="D696">
            <v>14.73</v>
          </cell>
          <cell r="E696">
            <v>16.64</v>
          </cell>
          <cell r="F696">
            <v>19.38</v>
          </cell>
          <cell r="G696">
            <v>21.9</v>
          </cell>
        </row>
        <row r="697">
          <cell r="A697" t="str">
            <v>Y82BSA1-1</v>
          </cell>
          <cell r="B697" t="str">
            <v>LN</v>
          </cell>
          <cell r="C697" t="str">
            <v>COLORAMICA ESMALTE BRILLANTE NEGRO</v>
          </cell>
          <cell r="D697">
            <v>14.73</v>
          </cell>
          <cell r="E697">
            <v>16.64</v>
          </cell>
          <cell r="F697">
            <v>19.38</v>
          </cell>
          <cell r="G697">
            <v>21.9</v>
          </cell>
        </row>
        <row r="698">
          <cell r="A698" t="str">
            <v>Y82ESA1-1</v>
          </cell>
          <cell r="B698" t="str">
            <v>LN</v>
          </cell>
          <cell r="C698" t="str">
            <v>COLORAMICA ESMALTE BRILLANTE MELOCOTON</v>
          </cell>
          <cell r="D698">
            <v>14.73</v>
          </cell>
          <cell r="E698">
            <v>16.64</v>
          </cell>
          <cell r="F698">
            <v>19.38</v>
          </cell>
          <cell r="G698">
            <v>21.9</v>
          </cell>
        </row>
        <row r="699">
          <cell r="A699" t="str">
            <v>Y82ESA2-1</v>
          </cell>
          <cell r="B699" t="str">
            <v>LN</v>
          </cell>
          <cell r="C699" t="str">
            <v>COLORAMICA ESMALTE BRILLANTE NARANJA INTENSO</v>
          </cell>
          <cell r="D699">
            <v>14.73</v>
          </cell>
          <cell r="E699">
            <v>16.64</v>
          </cell>
          <cell r="F699">
            <v>19.38</v>
          </cell>
          <cell r="G699">
            <v>21.9</v>
          </cell>
        </row>
        <row r="700">
          <cell r="A700" t="str">
            <v>Y82ESA6-1</v>
          </cell>
          <cell r="B700" t="str">
            <v>LN</v>
          </cell>
          <cell r="C700" t="str">
            <v>COLORAMICA ESMALTE BRILLANTE NARANJA MANDARINA</v>
          </cell>
          <cell r="D700">
            <v>14.73</v>
          </cell>
          <cell r="E700">
            <v>16.64</v>
          </cell>
          <cell r="F700">
            <v>19.38</v>
          </cell>
          <cell r="G700">
            <v>21.9</v>
          </cell>
        </row>
        <row r="701">
          <cell r="A701" t="str">
            <v>Y82GSA1-1</v>
          </cell>
          <cell r="B701" t="str">
            <v>LN</v>
          </cell>
          <cell r="C701" t="str">
            <v>COLORAMICA ESMALTE BRILLANTE VERDE OSCURO</v>
          </cell>
          <cell r="D701">
            <v>14.73</v>
          </cell>
          <cell r="E701">
            <v>16.64</v>
          </cell>
          <cell r="F701">
            <v>19.38</v>
          </cell>
          <cell r="G701">
            <v>21.9</v>
          </cell>
        </row>
        <row r="702">
          <cell r="A702" t="str">
            <v>Y82GSA2-1</v>
          </cell>
          <cell r="B702" t="str">
            <v>LN</v>
          </cell>
          <cell r="C702" t="str">
            <v>COLORAMICA ESMALTE BRILLANTE VERDE AQUA</v>
          </cell>
          <cell r="D702">
            <v>14.73</v>
          </cell>
          <cell r="E702">
            <v>16.64</v>
          </cell>
          <cell r="F702">
            <v>19.38</v>
          </cell>
          <cell r="G702">
            <v>21.9</v>
          </cell>
        </row>
        <row r="703">
          <cell r="A703" t="str">
            <v>Y82GSA3-1</v>
          </cell>
          <cell r="B703" t="str">
            <v>LN</v>
          </cell>
          <cell r="C703" t="str">
            <v>COLORAMICA ESMALTE BRILLANTE AQUA CRISTALINO</v>
          </cell>
          <cell r="D703">
            <v>14.73</v>
          </cell>
          <cell r="E703">
            <v>16.64</v>
          </cell>
          <cell r="F703">
            <v>19.38</v>
          </cell>
          <cell r="G703">
            <v>21.9</v>
          </cell>
        </row>
        <row r="704">
          <cell r="A704" t="str">
            <v>Y82GSA4-1</v>
          </cell>
          <cell r="B704" t="str">
            <v>LN</v>
          </cell>
          <cell r="C704" t="str">
            <v>COLORAMICA ESMALTE BRILLANTE VERDE JARDIN</v>
          </cell>
          <cell r="D704">
            <v>14.73</v>
          </cell>
          <cell r="E704">
            <v>16.64</v>
          </cell>
          <cell r="F704">
            <v>19.38</v>
          </cell>
          <cell r="G704">
            <v>21.9</v>
          </cell>
        </row>
        <row r="705">
          <cell r="A705" t="str">
            <v>Y82GSA5-1</v>
          </cell>
          <cell r="B705" t="str">
            <v>LN</v>
          </cell>
          <cell r="C705" t="str">
            <v>COLORAMICA ESMALTE BRILLANTE VERDE LIMA</v>
          </cell>
          <cell r="D705">
            <v>14.73</v>
          </cell>
          <cell r="E705">
            <v>16.64</v>
          </cell>
          <cell r="F705">
            <v>19.38</v>
          </cell>
          <cell r="G705">
            <v>21.9</v>
          </cell>
        </row>
        <row r="706">
          <cell r="A706" t="str">
            <v>Y82GSA9-1</v>
          </cell>
          <cell r="B706" t="str">
            <v>LN</v>
          </cell>
          <cell r="C706" t="str">
            <v>COLORAMICA ESMALTE BRILLANTE VERDE MENTA</v>
          </cell>
          <cell r="D706">
            <v>14.73</v>
          </cell>
          <cell r="E706">
            <v>16.64</v>
          </cell>
          <cell r="F706">
            <v>19.38</v>
          </cell>
          <cell r="G706">
            <v>21.9</v>
          </cell>
        </row>
        <row r="707">
          <cell r="A707" t="str">
            <v>Y82HSA2-1</v>
          </cell>
          <cell r="B707" t="str">
            <v>LN</v>
          </cell>
          <cell r="C707" t="str">
            <v>COLORAMICA ESMALTE BRILLANTE MARFIL CREMA</v>
          </cell>
          <cell r="D707">
            <v>14.73</v>
          </cell>
          <cell r="E707">
            <v>16.64</v>
          </cell>
          <cell r="F707">
            <v>19.38</v>
          </cell>
          <cell r="G707">
            <v>21.9</v>
          </cell>
        </row>
        <row r="708">
          <cell r="A708" t="str">
            <v>Y82HSA3-1</v>
          </cell>
          <cell r="B708" t="str">
            <v>LN</v>
          </cell>
          <cell r="C708" t="str">
            <v>COLORAMICA ESMALTE BRILLANTE MARFIL SUAVE</v>
          </cell>
          <cell r="D708">
            <v>14.73</v>
          </cell>
          <cell r="E708">
            <v>16.64</v>
          </cell>
          <cell r="F708">
            <v>19.38</v>
          </cell>
          <cell r="G708">
            <v>21.9</v>
          </cell>
        </row>
        <row r="709">
          <cell r="A709" t="str">
            <v>Y82HSA4-1</v>
          </cell>
          <cell r="B709" t="str">
            <v>LN</v>
          </cell>
          <cell r="C709" t="str">
            <v>COLORAMICA ESMALTE BRILLANTE MARFIL ESPECIAL</v>
          </cell>
          <cell r="D709">
            <v>14.73</v>
          </cell>
          <cell r="E709">
            <v>16.64</v>
          </cell>
          <cell r="F709">
            <v>19.38</v>
          </cell>
          <cell r="G709">
            <v>21.9</v>
          </cell>
        </row>
        <row r="710">
          <cell r="A710" t="str">
            <v>Y82LSA1-1</v>
          </cell>
          <cell r="B710" t="str">
            <v>LN</v>
          </cell>
          <cell r="C710" t="str">
            <v>COLORAMICA ESMALTE BRILLANTE AZUL</v>
          </cell>
          <cell r="D710">
            <v>14.73</v>
          </cell>
          <cell r="E710">
            <v>16.64</v>
          </cell>
          <cell r="F710">
            <v>19.38</v>
          </cell>
          <cell r="G710">
            <v>21.9</v>
          </cell>
        </row>
        <row r="711">
          <cell r="A711" t="str">
            <v>Y82LSA2-1</v>
          </cell>
          <cell r="B711" t="str">
            <v>LN</v>
          </cell>
          <cell r="C711" t="str">
            <v>COLORAMICA ESMALTE BRILLANTE CELESTE</v>
          </cell>
          <cell r="D711">
            <v>14.73</v>
          </cell>
          <cell r="E711">
            <v>16.64</v>
          </cell>
          <cell r="F711">
            <v>19.38</v>
          </cell>
          <cell r="G711">
            <v>21.9</v>
          </cell>
        </row>
        <row r="712">
          <cell r="A712" t="str">
            <v>Y82LSA4-1</v>
          </cell>
          <cell r="B712" t="str">
            <v>LN</v>
          </cell>
          <cell r="C712" t="str">
            <v>COLORAMICA ESMALTE BRILLANTE CELESTE OCEANO</v>
          </cell>
          <cell r="D712">
            <v>14.73</v>
          </cell>
          <cell r="E712">
            <v>16.64</v>
          </cell>
          <cell r="F712">
            <v>19.38</v>
          </cell>
          <cell r="G712">
            <v>21.9</v>
          </cell>
        </row>
        <row r="713">
          <cell r="A713" t="str">
            <v>Y82LSA5-1</v>
          </cell>
          <cell r="B713" t="str">
            <v>LN</v>
          </cell>
          <cell r="C713" t="str">
            <v>COLORAMICA ESMALTE BRILLANTE CELESTE SUAVE</v>
          </cell>
          <cell r="D713">
            <v>14.73</v>
          </cell>
          <cell r="E713">
            <v>16.64</v>
          </cell>
          <cell r="F713">
            <v>19.38</v>
          </cell>
          <cell r="G713">
            <v>21.9</v>
          </cell>
        </row>
        <row r="714">
          <cell r="A714" t="str">
            <v>Y82LSA6-1</v>
          </cell>
          <cell r="B714" t="str">
            <v>LN</v>
          </cell>
          <cell r="C714" t="str">
            <v>COLORAMICA ESMALTE BRILLANTE AZUL GEMA</v>
          </cell>
          <cell r="D714">
            <v>14.73</v>
          </cell>
          <cell r="E714">
            <v>16.64</v>
          </cell>
          <cell r="F714">
            <v>19.38</v>
          </cell>
          <cell r="G714">
            <v>21.9</v>
          </cell>
        </row>
        <row r="715">
          <cell r="A715" t="str">
            <v>Y82NSA1-1</v>
          </cell>
          <cell r="B715" t="str">
            <v>LN</v>
          </cell>
          <cell r="C715" t="str">
            <v>COLORAMICA ESMALTE BRILLANTE CHOCOLATE</v>
          </cell>
          <cell r="D715">
            <v>14.73</v>
          </cell>
          <cell r="E715">
            <v>16.64</v>
          </cell>
          <cell r="F715">
            <v>19.38</v>
          </cell>
          <cell r="G715">
            <v>21.9</v>
          </cell>
        </row>
        <row r="716">
          <cell r="A716" t="str">
            <v>Y82NSA2-1</v>
          </cell>
          <cell r="B716" t="str">
            <v>LN</v>
          </cell>
          <cell r="C716" t="str">
            <v>COLORAMICA ESMALTE BRILLANTE BEIGE</v>
          </cell>
          <cell r="D716">
            <v>14.73</v>
          </cell>
          <cell r="E716">
            <v>16.64</v>
          </cell>
          <cell r="F716">
            <v>19.38</v>
          </cell>
          <cell r="G716">
            <v>21.9</v>
          </cell>
        </row>
        <row r="717">
          <cell r="A717" t="str">
            <v>Y82PSA1-1</v>
          </cell>
          <cell r="B717" t="str">
            <v>LN</v>
          </cell>
          <cell r="C717" t="str">
            <v>COLORAMICA ESMALTE BRILLANTE MORADO</v>
          </cell>
          <cell r="D717">
            <v>14.73</v>
          </cell>
          <cell r="E717">
            <v>16.64</v>
          </cell>
          <cell r="F717">
            <v>19.38</v>
          </cell>
          <cell r="G717">
            <v>21.9</v>
          </cell>
        </row>
        <row r="718">
          <cell r="A718" t="str">
            <v>Y82RSA1-1</v>
          </cell>
          <cell r="B718" t="str">
            <v>LN</v>
          </cell>
          <cell r="C718" t="str">
            <v>COLORAMICA ESMALTE BRILLANTE ROSADO</v>
          </cell>
          <cell r="D718">
            <v>14.73</v>
          </cell>
          <cell r="E718">
            <v>16.64</v>
          </cell>
          <cell r="F718">
            <v>19.38</v>
          </cell>
          <cell r="G718">
            <v>21.9</v>
          </cell>
        </row>
        <row r="719">
          <cell r="A719" t="str">
            <v>Y82RSA3-1</v>
          </cell>
          <cell r="B719" t="str">
            <v>LN</v>
          </cell>
          <cell r="C719" t="str">
            <v>COLORAMICA ESMALTE BRILLANTE ROJO PASION</v>
          </cell>
          <cell r="D719">
            <v>14.73</v>
          </cell>
          <cell r="E719">
            <v>16.64</v>
          </cell>
          <cell r="F719">
            <v>19.38</v>
          </cell>
          <cell r="G719">
            <v>21.9</v>
          </cell>
        </row>
        <row r="720">
          <cell r="A720" t="str">
            <v>Y82RSA4-1</v>
          </cell>
          <cell r="B720" t="str">
            <v>LN</v>
          </cell>
          <cell r="C720" t="str">
            <v>COLORAMICA ESMALTE BRILLANTE MARRON</v>
          </cell>
          <cell r="D720">
            <v>14.73</v>
          </cell>
          <cell r="E720">
            <v>16.64</v>
          </cell>
          <cell r="F720">
            <v>19.38</v>
          </cell>
          <cell r="G720">
            <v>21.9</v>
          </cell>
        </row>
        <row r="721">
          <cell r="A721" t="str">
            <v>Y82YSA1-1</v>
          </cell>
          <cell r="B721" t="str">
            <v>LN</v>
          </cell>
          <cell r="C721" t="str">
            <v>COLORAMICA ESMALTE BRILLANTE AMARILLO</v>
          </cell>
          <cell r="D721">
            <v>14.73</v>
          </cell>
          <cell r="E721">
            <v>16.64</v>
          </cell>
          <cell r="F721">
            <v>19.38</v>
          </cell>
          <cell r="G721">
            <v>21.9</v>
          </cell>
        </row>
        <row r="722">
          <cell r="A722" t="str">
            <v>Y82YSA2-1</v>
          </cell>
          <cell r="B722" t="str">
            <v>LN</v>
          </cell>
          <cell r="C722" t="str">
            <v>COLORAMICA ESMALTE BRILLANTE AMARILLO TRIGO</v>
          </cell>
          <cell r="D722">
            <v>14.73</v>
          </cell>
          <cell r="E722">
            <v>16.64</v>
          </cell>
          <cell r="F722">
            <v>19.38</v>
          </cell>
          <cell r="G722">
            <v>21.9</v>
          </cell>
        </row>
        <row r="723">
          <cell r="A723" t="str">
            <v>Y82WSA1-1</v>
          </cell>
          <cell r="B723" t="str">
            <v>LN</v>
          </cell>
          <cell r="C723" t="str">
            <v>COLORAMICA ESMALTE BRILLANTE BLANCO</v>
          </cell>
          <cell r="D723">
            <v>14.73</v>
          </cell>
          <cell r="E723">
            <v>16.64</v>
          </cell>
          <cell r="F723">
            <v>19.38</v>
          </cell>
          <cell r="G723">
            <v>21.9</v>
          </cell>
        </row>
        <row r="724">
          <cell r="A724" t="str">
            <v>Y82WSA2-1</v>
          </cell>
          <cell r="B724" t="str">
            <v>LN</v>
          </cell>
          <cell r="C724" t="str">
            <v>COLORAMICA ESMALTE BRILLANTE BLANCO HUESO</v>
          </cell>
          <cell r="D724">
            <v>14.73</v>
          </cell>
          <cell r="E724">
            <v>16.64</v>
          </cell>
          <cell r="F724">
            <v>19.38</v>
          </cell>
          <cell r="G724">
            <v>21.9</v>
          </cell>
        </row>
        <row r="726">
          <cell r="A726" t="str">
            <v>Y82ESA1-5</v>
          </cell>
          <cell r="B726" t="str">
            <v>LN</v>
          </cell>
          <cell r="C726" t="str">
            <v>COLORAMICA ESMALTE BRILLANTE MELOCOTON</v>
          </cell>
          <cell r="D726">
            <v>63.15</v>
          </cell>
          <cell r="E726">
            <v>71.36</v>
          </cell>
          <cell r="F726">
            <v>83.1</v>
          </cell>
          <cell r="G726">
            <v>93.9</v>
          </cell>
        </row>
        <row r="727">
          <cell r="A727" t="str">
            <v>Y82ESA6-5</v>
          </cell>
          <cell r="B727" t="str">
            <v>LN</v>
          </cell>
          <cell r="C727" t="str">
            <v>COLORAMICA ESMALTE BRILLANTE NARANJA MANDARINA</v>
          </cell>
          <cell r="D727">
            <v>63.15</v>
          </cell>
          <cell r="E727">
            <v>71.36</v>
          </cell>
          <cell r="F727">
            <v>83.1</v>
          </cell>
          <cell r="G727">
            <v>93.9</v>
          </cell>
        </row>
        <row r="728">
          <cell r="A728" t="str">
            <v>Y82GSA9-5</v>
          </cell>
          <cell r="B728" t="str">
            <v>LN</v>
          </cell>
          <cell r="C728" t="str">
            <v>COLORAMICA ESMALTE BRILLANTE VERDE MENTA</v>
          </cell>
          <cell r="D728">
            <v>63.15</v>
          </cell>
          <cell r="E728">
            <v>71.36</v>
          </cell>
          <cell r="F728">
            <v>83.1</v>
          </cell>
          <cell r="G728">
            <v>93.9</v>
          </cell>
        </row>
        <row r="729">
          <cell r="A729" t="str">
            <v>Y82HSA2-5</v>
          </cell>
          <cell r="B729" t="str">
            <v>LN</v>
          </cell>
          <cell r="C729" t="str">
            <v>COLORAMICA ESMALTE BRILLANTE MARFIL CREMA</v>
          </cell>
          <cell r="D729">
            <v>63.15</v>
          </cell>
          <cell r="E729">
            <v>71.36</v>
          </cell>
          <cell r="F729">
            <v>83.1</v>
          </cell>
          <cell r="G729">
            <v>93.9</v>
          </cell>
        </row>
        <row r="730">
          <cell r="A730" t="str">
            <v>Y82HSA3-5</v>
          </cell>
          <cell r="B730" t="str">
            <v>LN</v>
          </cell>
          <cell r="C730" t="str">
            <v>COLORAMICA ESMALTE BRILLANTE MARFIL SUAVE</v>
          </cell>
          <cell r="D730">
            <v>63.15</v>
          </cell>
          <cell r="E730">
            <v>71.36</v>
          </cell>
          <cell r="F730">
            <v>83.1</v>
          </cell>
          <cell r="G730">
            <v>93.9</v>
          </cell>
        </row>
        <row r="731">
          <cell r="A731" t="str">
            <v>Y82HSA4-5</v>
          </cell>
          <cell r="B731" t="str">
            <v>LN</v>
          </cell>
          <cell r="C731" t="str">
            <v>COLORAMICA ESMALTE BRILLANTE MARFIL ESPECIAL</v>
          </cell>
          <cell r="D731">
            <v>63.15</v>
          </cell>
          <cell r="E731">
            <v>71.36</v>
          </cell>
          <cell r="F731">
            <v>83.1</v>
          </cell>
          <cell r="G731">
            <v>93.9</v>
          </cell>
        </row>
        <row r="732">
          <cell r="A732" t="str">
            <v>Y82LSA1-5</v>
          </cell>
          <cell r="B732" t="str">
            <v>LN</v>
          </cell>
          <cell r="C732" t="str">
            <v>COLORAMICA ESMALTE BRILLANTE AZUL</v>
          </cell>
          <cell r="D732">
            <v>63.15</v>
          </cell>
          <cell r="E732">
            <v>71.36</v>
          </cell>
          <cell r="F732">
            <v>83.1</v>
          </cell>
          <cell r="G732">
            <v>93.9</v>
          </cell>
        </row>
        <row r="733">
          <cell r="A733" t="str">
            <v>Y82LSA2-5</v>
          </cell>
          <cell r="B733" t="str">
            <v>LN</v>
          </cell>
          <cell r="C733" t="str">
            <v>COLORAMICA ESMALTE BRILLANTE CELESTE</v>
          </cell>
          <cell r="D733">
            <v>63.15</v>
          </cell>
          <cell r="E733">
            <v>71.36</v>
          </cell>
          <cell r="F733">
            <v>83.1</v>
          </cell>
          <cell r="G733">
            <v>93.9</v>
          </cell>
        </row>
        <row r="734">
          <cell r="A734" t="str">
            <v>Y82LSA4-5</v>
          </cell>
          <cell r="B734" t="str">
            <v>LN</v>
          </cell>
          <cell r="C734" t="str">
            <v>COLORAMICA ESMALTE BRILLANTE CELESTE OCEANO</v>
          </cell>
          <cell r="D734">
            <v>63.15</v>
          </cell>
          <cell r="E734">
            <v>71.36</v>
          </cell>
          <cell r="F734">
            <v>83.1</v>
          </cell>
          <cell r="G734">
            <v>93.9</v>
          </cell>
        </row>
        <row r="735">
          <cell r="A735" t="str">
            <v>Y82LSA5-5</v>
          </cell>
          <cell r="B735" t="str">
            <v>PE</v>
          </cell>
          <cell r="C735" t="str">
            <v>COLORAMICA ESMALTE BRILLANTE CELESTE SUAVE</v>
          </cell>
          <cell r="D735">
            <v>63.15</v>
          </cell>
          <cell r="E735">
            <v>71.36</v>
          </cell>
          <cell r="F735">
            <v>83.1</v>
          </cell>
          <cell r="G735">
            <v>93.9</v>
          </cell>
        </row>
        <row r="736">
          <cell r="A736" t="str">
            <v>Y82NSA1-5</v>
          </cell>
          <cell r="B736" t="str">
            <v>LN</v>
          </cell>
          <cell r="C736" t="str">
            <v>COLORAMICA ESMALTE BRILLANTE CHOCOLATE</v>
          </cell>
          <cell r="D736">
            <v>63.15</v>
          </cell>
          <cell r="E736">
            <v>71.36</v>
          </cell>
          <cell r="F736">
            <v>83.1</v>
          </cell>
          <cell r="G736">
            <v>93.9</v>
          </cell>
        </row>
        <row r="737">
          <cell r="A737" t="str">
            <v>Y82NSA2-5</v>
          </cell>
          <cell r="B737" t="str">
            <v>LN</v>
          </cell>
          <cell r="C737" t="str">
            <v>COLORAMICA ESMALTE BRILLANTE BEIGE</v>
          </cell>
          <cell r="D737">
            <v>63.15</v>
          </cell>
          <cell r="E737">
            <v>71.36</v>
          </cell>
          <cell r="F737">
            <v>83.1</v>
          </cell>
          <cell r="G737">
            <v>93.9</v>
          </cell>
        </row>
        <row r="738">
          <cell r="A738" t="str">
            <v>Y82RSA4-5</v>
          </cell>
          <cell r="B738" t="str">
            <v>LN</v>
          </cell>
          <cell r="C738" t="str">
            <v>COLORAMICA ESMALTE BRILLANTE MARRON</v>
          </cell>
          <cell r="D738">
            <v>63.15</v>
          </cell>
          <cell r="E738">
            <v>71.36</v>
          </cell>
          <cell r="F738">
            <v>83.1</v>
          </cell>
          <cell r="G738">
            <v>93.9</v>
          </cell>
        </row>
        <row r="739">
          <cell r="A739" t="str">
            <v>Y82WSA1-5</v>
          </cell>
          <cell r="B739" t="str">
            <v>LN</v>
          </cell>
          <cell r="C739" t="str">
            <v>COLORAMICA ESMALTE BRILLANTE BLANCO</v>
          </cell>
          <cell r="D739">
            <v>63.15</v>
          </cell>
          <cell r="E739">
            <v>71.36</v>
          </cell>
          <cell r="F739">
            <v>83.1</v>
          </cell>
          <cell r="G739">
            <v>93.9</v>
          </cell>
        </row>
        <row r="740">
          <cell r="A740" t="str">
            <v>Y82WSA2-5</v>
          </cell>
          <cell r="B740" t="str">
            <v>LN</v>
          </cell>
          <cell r="C740" t="str">
            <v>COLORAMICA ESMALTE BRILLANTE BLANCO HUESO</v>
          </cell>
          <cell r="D740">
            <v>63.15</v>
          </cell>
          <cell r="E740">
            <v>71.36</v>
          </cell>
          <cell r="F740">
            <v>83.1</v>
          </cell>
          <cell r="G740">
            <v>93.9</v>
          </cell>
        </row>
        <row r="741">
          <cell r="A741" t="str">
            <v>Y82YSA1-5</v>
          </cell>
          <cell r="B741" t="str">
            <v>LN</v>
          </cell>
          <cell r="C741" t="str">
            <v>COLORAMICA ESMALTE BRILLANTE AMARILLO</v>
          </cell>
          <cell r="D741">
            <v>63.15</v>
          </cell>
          <cell r="E741">
            <v>71.36</v>
          </cell>
          <cell r="F741">
            <v>83.1</v>
          </cell>
          <cell r="G741">
            <v>93.9</v>
          </cell>
        </row>
        <row r="742">
          <cell r="A742" t="str">
            <v>Y82YSA2-5</v>
          </cell>
          <cell r="B742" t="str">
            <v>LN</v>
          </cell>
          <cell r="C742" t="str">
            <v>COLORAMICA ESMALTE BRILLANTE AMARILLO TRIGO</v>
          </cell>
          <cell r="D742">
            <v>63.15</v>
          </cell>
          <cell r="E742">
            <v>71.36</v>
          </cell>
          <cell r="F742">
            <v>83.1</v>
          </cell>
          <cell r="G742">
            <v>93.9</v>
          </cell>
        </row>
        <row r="743">
          <cell r="A743" t="str">
            <v>Y82GSA1-5</v>
          </cell>
          <cell r="B743" t="str">
            <v>LN</v>
          </cell>
          <cell r="C743" t="str">
            <v>COLORAMICA ESMALTE BRILLANTE VERDE OSCURO</v>
          </cell>
          <cell r="D743">
            <v>63.15</v>
          </cell>
          <cell r="E743">
            <v>71.36</v>
          </cell>
          <cell r="F743">
            <v>83.1</v>
          </cell>
          <cell r="G743">
            <v>93.9</v>
          </cell>
        </row>
        <row r="744">
          <cell r="B744" t="str">
            <v xml:space="preserve"> </v>
          </cell>
        </row>
        <row r="745">
          <cell r="B745" t="str">
            <v xml:space="preserve"> </v>
          </cell>
        </row>
        <row r="746">
          <cell r="B746" t="str">
            <v xml:space="preserve"> </v>
          </cell>
          <cell r="C746" t="str">
            <v>TRAFICO SEÑALIZACIÓN PARA PARQUEOS</v>
          </cell>
        </row>
        <row r="748">
          <cell r="A748" t="str">
            <v>B96YSA1-1</v>
          </cell>
          <cell r="B748" t="str">
            <v>LN</v>
          </cell>
          <cell r="C748" t="str">
            <v>TRAFICO SEÑALIZACION PARA PARQUEOS SATINADO AMARILLO</v>
          </cell>
          <cell r="D748">
            <v>32.81</v>
          </cell>
          <cell r="E748">
            <v>37.08</v>
          </cell>
          <cell r="F748">
            <v>45.58</v>
          </cell>
          <cell r="G748">
            <v>51.5</v>
          </cell>
        </row>
        <row r="749">
          <cell r="A749" t="str">
            <v>B96WSA1-1</v>
          </cell>
          <cell r="B749" t="str">
            <v>LN</v>
          </cell>
          <cell r="C749" t="str">
            <v>TRAFICO SEÑALIZACION PARA PARQUEOS SATINADO BLANCO</v>
          </cell>
          <cell r="D749">
            <v>32.81</v>
          </cell>
          <cell r="E749">
            <v>37.08</v>
          </cell>
          <cell r="F749">
            <v>45.58</v>
          </cell>
          <cell r="G749">
            <v>51.5</v>
          </cell>
        </row>
        <row r="750">
          <cell r="A750" t="str">
            <v>B96RSA1-1</v>
          </cell>
          <cell r="B750" t="str">
            <v>LN</v>
          </cell>
          <cell r="C750" t="str">
            <v>TRAFICO SEÑALIZACION PARA PARQUEOS SATINADO ROJO</v>
          </cell>
          <cell r="D750">
            <v>32.81</v>
          </cell>
          <cell r="E750">
            <v>37.08</v>
          </cell>
          <cell r="F750">
            <v>45.58</v>
          </cell>
          <cell r="G750">
            <v>51.5</v>
          </cell>
        </row>
        <row r="751">
          <cell r="A751" t="str">
            <v>B96ASA1-1</v>
          </cell>
          <cell r="B751" t="str">
            <v>LN</v>
          </cell>
          <cell r="C751" t="str">
            <v>TRAFICO SEÑALIZACION PARA PARQUEOS SATINADO GRIS</v>
          </cell>
          <cell r="D751">
            <v>32.81</v>
          </cell>
          <cell r="E751">
            <v>37.08</v>
          </cell>
          <cell r="F751">
            <v>45.58</v>
          </cell>
          <cell r="G751">
            <v>51.5</v>
          </cell>
        </row>
        <row r="752">
          <cell r="A752" t="str">
            <v>B96LSA1-1</v>
          </cell>
          <cell r="B752" t="str">
            <v>LN</v>
          </cell>
          <cell r="C752" t="str">
            <v>TRAFICO SEÑALIZACION PARA PARQUEOS SATINADO AZUL</v>
          </cell>
          <cell r="D752">
            <v>32.81</v>
          </cell>
          <cell r="E752">
            <v>37.08</v>
          </cell>
          <cell r="F752">
            <v>45.58</v>
          </cell>
          <cell r="G752">
            <v>51.5</v>
          </cell>
        </row>
        <row r="753">
          <cell r="A753" t="str">
            <v>B96BSA1-1</v>
          </cell>
          <cell r="B753" t="str">
            <v>LN</v>
          </cell>
          <cell r="C753" t="str">
            <v>TRAFICO SEÑALIZACION PARA PARQUEOS SATINADO NEGRO</v>
          </cell>
          <cell r="D753">
            <v>32.81</v>
          </cell>
          <cell r="E753">
            <v>37.08</v>
          </cell>
          <cell r="F753">
            <v>45.58</v>
          </cell>
          <cell r="G753">
            <v>51.5</v>
          </cell>
        </row>
        <row r="754">
          <cell r="A754" t="str">
            <v>B96GSA1-1</v>
          </cell>
          <cell r="B754" t="str">
            <v>LN</v>
          </cell>
          <cell r="C754" t="str">
            <v>TRAFICO SEÑALIZACION PARA PARQUEOS SATINADO VERDE</v>
          </cell>
          <cell r="D754">
            <v>32.81</v>
          </cell>
          <cell r="E754">
            <v>37.08</v>
          </cell>
          <cell r="F754">
            <v>45.58</v>
          </cell>
          <cell r="G754">
            <v>51.5</v>
          </cell>
        </row>
        <row r="756">
          <cell r="A756" t="str">
            <v>B96YSA1-5</v>
          </cell>
          <cell r="B756" t="str">
            <v>LN</v>
          </cell>
          <cell r="C756" t="str">
            <v>TRAFICO SEÑALIZACION PARA PARQUEOS SATINADO AMARILLO</v>
          </cell>
          <cell r="D756">
            <v>157.38</v>
          </cell>
          <cell r="E756">
            <v>177.84</v>
          </cell>
          <cell r="F756">
            <v>218.58</v>
          </cell>
          <cell r="G756">
            <v>247</v>
          </cell>
        </row>
        <row r="757">
          <cell r="A757" t="str">
            <v>B96WSA1-5</v>
          </cell>
          <cell r="B757" t="str">
            <v>LN</v>
          </cell>
          <cell r="C757" t="str">
            <v>TRAFICO SEÑALIZACION PARA PARQUEOS SATINADO BLANCO</v>
          </cell>
          <cell r="D757">
            <v>157.38</v>
          </cell>
          <cell r="E757">
            <v>177.84</v>
          </cell>
          <cell r="F757">
            <v>218.58</v>
          </cell>
          <cell r="G757">
            <v>247</v>
          </cell>
        </row>
        <row r="759">
          <cell r="B759" t="str">
            <v xml:space="preserve"> </v>
          </cell>
          <cell r="C759" t="str">
            <v>TRÁFICO TTP</v>
          </cell>
        </row>
        <row r="761">
          <cell r="C761" t="str">
            <v>TRAFICO BASE AGUA MATE TT-P-1952F tipo I y II</v>
          </cell>
        </row>
        <row r="762">
          <cell r="C762" t="str">
            <v>USO INTERIOR - EXTERIOR</v>
          </cell>
        </row>
        <row r="763">
          <cell r="A763" t="str">
            <v>B97WSA1-1</v>
          </cell>
          <cell r="B763" t="str">
            <v>LN</v>
          </cell>
          <cell r="C763" t="str">
            <v>TRAFICO BASE AGUA MATE BLANCO TT-P-1952F</v>
          </cell>
          <cell r="D763">
            <v>33.07</v>
          </cell>
          <cell r="E763">
            <v>37.369999999999997</v>
          </cell>
          <cell r="F763">
            <v>45.93</v>
          </cell>
          <cell r="G763">
            <v>51.9</v>
          </cell>
        </row>
        <row r="764">
          <cell r="A764" t="str">
            <v>B97YSA1-1</v>
          </cell>
          <cell r="B764" t="str">
            <v>LN</v>
          </cell>
          <cell r="C764" t="str">
            <v>TRAFICO BASE AGUA MATE AMARILLO TT-P-1952F</v>
          </cell>
          <cell r="D764">
            <v>33.07</v>
          </cell>
          <cell r="E764">
            <v>37.369999999999997</v>
          </cell>
          <cell r="F764">
            <v>45.93</v>
          </cell>
          <cell r="G764">
            <v>51.9</v>
          </cell>
        </row>
        <row r="765">
          <cell r="A765" t="str">
            <v>B97BSA1-1</v>
          </cell>
          <cell r="B765" t="str">
            <v>LN</v>
          </cell>
          <cell r="C765" t="str">
            <v>TRAFICO BASE AGUA MATE NEGRO TT-P-1952F</v>
          </cell>
          <cell r="D765">
            <v>33.07</v>
          </cell>
          <cell r="E765">
            <v>37.369999999999997</v>
          </cell>
          <cell r="F765">
            <v>45.93</v>
          </cell>
          <cell r="G765">
            <v>51.9</v>
          </cell>
        </row>
        <row r="767">
          <cell r="A767" t="str">
            <v>B97WSA1-5</v>
          </cell>
          <cell r="B767" t="str">
            <v>LN</v>
          </cell>
          <cell r="C767" t="str">
            <v>TRAFICO BASE AGUA MATE BLANCO TT-P-1952F</v>
          </cell>
          <cell r="D767">
            <v>158.65</v>
          </cell>
          <cell r="E767">
            <v>179.28</v>
          </cell>
          <cell r="F767">
            <v>220.35</v>
          </cell>
          <cell r="G767">
            <v>249</v>
          </cell>
        </row>
        <row r="768">
          <cell r="A768" t="str">
            <v>B97YSA1-5</v>
          </cell>
          <cell r="B768" t="str">
            <v>LN</v>
          </cell>
          <cell r="C768" t="str">
            <v>TRAFICO BASE AGUA MATE AMARILLO TT-P-1952F</v>
          </cell>
          <cell r="D768">
            <v>158.65</v>
          </cell>
          <cell r="E768">
            <v>179.28</v>
          </cell>
          <cell r="F768">
            <v>220.35</v>
          </cell>
          <cell r="G768">
            <v>249</v>
          </cell>
        </row>
        <row r="769">
          <cell r="A769" t="str">
            <v>B97BSA1-5</v>
          </cell>
          <cell r="B769" t="str">
            <v>PE</v>
          </cell>
          <cell r="C769" t="str">
            <v>TRAFICO BASE AGUA MATE NEGRO TT-P-1952F</v>
          </cell>
          <cell r="D769">
            <v>158.65</v>
          </cell>
          <cell r="E769">
            <v>179.28</v>
          </cell>
          <cell r="F769">
            <v>220.35</v>
          </cell>
          <cell r="G769">
            <v>249</v>
          </cell>
        </row>
        <row r="771">
          <cell r="C771" t="str">
            <v>TRAFICO CAUCHO CLORADO MATE TT-P-1952F tipo I y II</v>
          </cell>
        </row>
        <row r="772">
          <cell r="C772" t="str">
            <v>USO INTERIOR - EXTERIOR</v>
          </cell>
        </row>
        <row r="773">
          <cell r="A773" t="str">
            <v>B99WSA1-1</v>
          </cell>
          <cell r="B773" t="str">
            <v>LN</v>
          </cell>
          <cell r="C773" t="str">
            <v>TRAFICO CAUCHO CLORADO MATE BLANCO TT-P-115F</v>
          </cell>
          <cell r="D773">
            <v>33.71</v>
          </cell>
          <cell r="E773">
            <v>38.090000000000003</v>
          </cell>
          <cell r="F773">
            <v>46.81</v>
          </cell>
          <cell r="G773">
            <v>52.9</v>
          </cell>
        </row>
        <row r="774">
          <cell r="A774" t="str">
            <v>B99YSA1-1</v>
          </cell>
          <cell r="B774" t="str">
            <v>LN</v>
          </cell>
          <cell r="C774" t="str">
            <v>TRAFICO CAUCHO CLORADO MATE AMARILLO TT-P-115F</v>
          </cell>
          <cell r="D774">
            <v>33.71</v>
          </cell>
          <cell r="E774">
            <v>38.090000000000003</v>
          </cell>
          <cell r="F774">
            <v>46.81</v>
          </cell>
          <cell r="G774">
            <v>52.9</v>
          </cell>
        </row>
        <row r="775">
          <cell r="A775" t="str">
            <v>B99BSA1-1</v>
          </cell>
          <cell r="B775" t="str">
            <v>LN</v>
          </cell>
          <cell r="C775" t="str">
            <v>TRAFICO CAUCHO CLORADO MATE NEGRO TT-P-115F</v>
          </cell>
          <cell r="D775">
            <v>33.71</v>
          </cell>
          <cell r="E775">
            <v>38.090000000000003</v>
          </cell>
          <cell r="F775">
            <v>46.81</v>
          </cell>
          <cell r="G775">
            <v>52.9</v>
          </cell>
        </row>
        <row r="776">
          <cell r="A776" t="str">
            <v>B99RSA1-1</v>
          </cell>
          <cell r="B776" t="str">
            <v>LN</v>
          </cell>
          <cell r="C776" t="str">
            <v>TRAFICO CAUCHO CLORADO MATE ROJO TT-P-115F</v>
          </cell>
          <cell r="D776">
            <v>33.71</v>
          </cell>
          <cell r="E776">
            <v>38.090000000000003</v>
          </cell>
          <cell r="F776">
            <v>46.81</v>
          </cell>
          <cell r="G776">
            <v>52.9</v>
          </cell>
        </row>
        <row r="778">
          <cell r="A778" t="str">
            <v>B99WSA1-5</v>
          </cell>
          <cell r="B778" t="str">
            <v>LN</v>
          </cell>
          <cell r="C778" t="str">
            <v>TRAFICO CAUCHO CLORADO MATE BLANCO TT-P-115F</v>
          </cell>
          <cell r="D778">
            <v>160.57</v>
          </cell>
          <cell r="E778">
            <v>181.44</v>
          </cell>
          <cell r="F778">
            <v>223.01</v>
          </cell>
          <cell r="G778">
            <v>252</v>
          </cell>
        </row>
        <row r="779">
          <cell r="A779" t="str">
            <v>B99YSA1-5</v>
          </cell>
          <cell r="B779" t="str">
            <v>LN</v>
          </cell>
          <cell r="C779" t="str">
            <v>TRAFICO CAUCHO CLORADO MATE AMARILLO TT-P-115F</v>
          </cell>
          <cell r="D779">
            <v>160.57</v>
          </cell>
          <cell r="E779">
            <v>181.44</v>
          </cell>
          <cell r="F779">
            <v>223.01</v>
          </cell>
          <cell r="G779">
            <v>252</v>
          </cell>
        </row>
        <row r="780">
          <cell r="A780" t="str">
            <v>B99BSA1-5</v>
          </cell>
          <cell r="B780" t="str">
            <v>LN</v>
          </cell>
          <cell r="C780" t="str">
            <v>TRAFICO CAUCHO CLORADO MATE NEGRO TT-P-115F</v>
          </cell>
          <cell r="D780">
            <v>160.57</v>
          </cell>
          <cell r="E780">
            <v>181.44</v>
          </cell>
          <cell r="F780">
            <v>223.01</v>
          </cell>
          <cell r="G780">
            <v>252</v>
          </cell>
        </row>
        <row r="781">
          <cell r="A781" t="str">
            <v>B99RSA1-5</v>
          </cell>
          <cell r="B781" t="str">
            <v>PE</v>
          </cell>
          <cell r="C781" t="str">
            <v>TRAFICO CAUCHO CLORADO MATE ROJO TT-P-115F</v>
          </cell>
          <cell r="D781">
            <v>160.57</v>
          </cell>
          <cell r="E781">
            <v>181.44</v>
          </cell>
          <cell r="F781">
            <v>223.01</v>
          </cell>
          <cell r="G781">
            <v>252</v>
          </cell>
        </row>
        <row r="783">
          <cell r="C783" t="str">
            <v>TRAFICO ALQUIDICO MATE TT-P-115F tipo I</v>
          </cell>
        </row>
        <row r="784">
          <cell r="C784" t="str">
            <v>USO INTERIOR - EXTERIOR</v>
          </cell>
        </row>
        <row r="785">
          <cell r="A785" t="str">
            <v>B98WSA1-1</v>
          </cell>
          <cell r="B785" t="str">
            <v>LN</v>
          </cell>
          <cell r="C785" t="str">
            <v>TRAFICO ALQUIDICO MATE BLANCO TT-P-115F</v>
          </cell>
          <cell r="D785">
            <v>28.99</v>
          </cell>
          <cell r="E785">
            <v>32.76</v>
          </cell>
          <cell r="F785">
            <v>40.270000000000003</v>
          </cell>
          <cell r="G785">
            <v>45.5</v>
          </cell>
        </row>
        <row r="786">
          <cell r="A786" t="str">
            <v>B98YSA1-1</v>
          </cell>
          <cell r="B786" t="str">
            <v>LN</v>
          </cell>
          <cell r="C786" t="str">
            <v>TRAFICO ALQUIDICO MATE AMARILLO TT-P-115F</v>
          </cell>
          <cell r="D786">
            <v>28.99</v>
          </cell>
          <cell r="E786">
            <v>32.76</v>
          </cell>
          <cell r="F786">
            <v>40.270000000000003</v>
          </cell>
          <cell r="G786">
            <v>45.5</v>
          </cell>
        </row>
        <row r="788">
          <cell r="A788" t="str">
            <v>B98WSA1-5</v>
          </cell>
          <cell r="B788" t="str">
            <v>LN</v>
          </cell>
          <cell r="C788" t="str">
            <v>TRAFICO ALQUIDICO MATE BLANCO TT-P-115F</v>
          </cell>
          <cell r="D788">
            <v>142.09</v>
          </cell>
          <cell r="E788">
            <v>160.56</v>
          </cell>
          <cell r="F788">
            <v>197.35</v>
          </cell>
          <cell r="G788">
            <v>223</v>
          </cell>
        </row>
        <row r="789">
          <cell r="A789" t="str">
            <v>B98YSA1-5</v>
          </cell>
          <cell r="B789" t="str">
            <v>LN</v>
          </cell>
          <cell r="C789" t="str">
            <v>TRAFICO ALQUIDICO MATE AMARILLO TT-P-115F</v>
          </cell>
          <cell r="D789">
            <v>142.09</v>
          </cell>
          <cell r="E789">
            <v>160.56</v>
          </cell>
          <cell r="F789">
            <v>197.35</v>
          </cell>
          <cell r="G789">
            <v>223</v>
          </cell>
        </row>
        <row r="791">
          <cell r="B791" t="str">
            <v xml:space="preserve"> </v>
          </cell>
          <cell r="C791" t="str">
            <v>TRÁFICO - ADITIVOS</v>
          </cell>
        </row>
        <row r="792">
          <cell r="B792" t="str">
            <v xml:space="preserve"> </v>
          </cell>
          <cell r="C792" t="str">
            <v>ADITIVO REFLECTORIZANTE</v>
          </cell>
        </row>
        <row r="793">
          <cell r="A793" t="str">
            <v>6290253-6LBS</v>
          </cell>
          <cell r="B793" t="str">
            <v>LN</v>
          </cell>
          <cell r="C793" t="str">
            <v>KEM ADITIVO REFLECTORIZANTE PERLA DE VIDRIO DROP ON</v>
          </cell>
          <cell r="D793">
            <v>15.65</v>
          </cell>
          <cell r="E793">
            <v>17.690000000000001</v>
          </cell>
          <cell r="F793">
            <v>21.15</v>
          </cell>
          <cell r="G793">
            <v>23.9</v>
          </cell>
        </row>
        <row r="795">
          <cell r="B795" t="str">
            <v xml:space="preserve"> </v>
          </cell>
          <cell r="C795" t="str">
            <v>ADITIVO ANTIDESLIZANTE</v>
          </cell>
        </row>
        <row r="796">
          <cell r="A796" t="str">
            <v>50.155004-3.2OZ</v>
          </cell>
          <cell r="B796" t="str">
            <v>LN</v>
          </cell>
          <cell r="C796" t="str">
            <v>H&amp;C SHARKGRIP ADITIVO ANTI DESLIZANTE</v>
          </cell>
          <cell r="D796">
            <v>4.5199999999999996</v>
          </cell>
          <cell r="E796">
            <v>5.1100000000000003</v>
          </cell>
          <cell r="F796">
            <v>6.11</v>
          </cell>
          <cell r="G796">
            <v>6.9</v>
          </cell>
        </row>
        <row r="797">
          <cell r="B797" t="str">
            <v xml:space="preserve"> </v>
          </cell>
        </row>
        <row r="798">
          <cell r="C798" t="str">
            <v>MACROPOXY 646 FC - FAST CURE EPOXY</v>
          </cell>
        </row>
        <row r="800">
          <cell r="C800" t="str">
            <v>PARTE A ( * )</v>
          </cell>
        </row>
        <row r="801">
          <cell r="A801" t="str">
            <v>B58B600-1</v>
          </cell>
          <cell r="B801" t="str">
            <v>LN</v>
          </cell>
          <cell r="C801" t="str">
            <v>MACROPOXY 646 FAST CURE EPOXY COATING (PART A) NEGRO</v>
          </cell>
          <cell r="D801">
            <v>79.290000000000006</v>
          </cell>
          <cell r="E801">
            <v>89.6</v>
          </cell>
          <cell r="F801">
            <v>113.27</v>
          </cell>
          <cell r="G801">
            <v>128</v>
          </cell>
        </row>
        <row r="802">
          <cell r="A802" t="str">
            <v>B58W610-1</v>
          </cell>
          <cell r="B802" t="str">
            <v>LN</v>
          </cell>
          <cell r="C802" t="str">
            <v>MACROPOXY 646 FAST CURE EPOXY COATING (PART A) MILL WHITE</v>
          </cell>
          <cell r="D802">
            <v>79.290000000000006</v>
          </cell>
          <cell r="E802">
            <v>89.6</v>
          </cell>
          <cell r="F802">
            <v>113.27</v>
          </cell>
          <cell r="G802">
            <v>128</v>
          </cell>
        </row>
        <row r="803">
          <cell r="A803" t="str">
            <v>B58A600-1</v>
          </cell>
          <cell r="B803" t="str">
            <v>LN</v>
          </cell>
          <cell r="C803" t="str">
            <v>MACROPOXY 646 FAST CURE EPOXY GRAY COLOR PART A</v>
          </cell>
          <cell r="D803">
            <v>79.290000000000006</v>
          </cell>
          <cell r="E803">
            <v>89.6</v>
          </cell>
          <cell r="F803">
            <v>113.27</v>
          </cell>
          <cell r="G803">
            <v>128</v>
          </cell>
        </row>
        <row r="804">
          <cell r="A804" t="str">
            <v>B58A604-1</v>
          </cell>
          <cell r="B804" t="str">
            <v>LN</v>
          </cell>
          <cell r="C804" t="str">
            <v>MACROPOXY 646 FLAKE FILLED EPOXY GRIS PARTE A</v>
          </cell>
          <cell r="D804">
            <v>79.290000000000006</v>
          </cell>
          <cell r="E804">
            <v>89.6</v>
          </cell>
          <cell r="F804">
            <v>113.27</v>
          </cell>
          <cell r="G804">
            <v>128</v>
          </cell>
        </row>
        <row r="805">
          <cell r="A805" t="str">
            <v>B58T604-1</v>
          </cell>
          <cell r="B805" t="str">
            <v>LN</v>
          </cell>
          <cell r="C805" t="str">
            <v>MACROPOXY 646 FAST CURE EPOXY SG ULTRADEEP BASE PART A</v>
          </cell>
          <cell r="D805">
            <v>60.09</v>
          </cell>
          <cell r="E805">
            <v>67.900000000000006</v>
          </cell>
          <cell r="F805">
            <v>113.27</v>
          </cell>
          <cell r="G805">
            <v>128</v>
          </cell>
        </row>
        <row r="806">
          <cell r="C806" t="str">
            <v>PARTE B ( * )</v>
          </cell>
        </row>
        <row r="807">
          <cell r="A807" t="str">
            <v>B58V600-1</v>
          </cell>
          <cell r="B807" t="str">
            <v>LN</v>
          </cell>
          <cell r="C807" t="str">
            <v>MACROPOXY 646 FAST CURE EPOXY COATING (PART B) HARDENER</v>
          </cell>
          <cell r="D807">
            <v>79.290000000000006</v>
          </cell>
          <cell r="E807">
            <v>89.6</v>
          </cell>
          <cell r="F807">
            <v>113.27</v>
          </cell>
          <cell r="G807">
            <v>128</v>
          </cell>
        </row>
        <row r="808">
          <cell r="B808" t="str">
            <v xml:space="preserve"> </v>
          </cell>
          <cell r="C808" t="str">
            <v>NOTA : ( * ) MEZCLAR EN PROPORCION 1:1.  1 GALON DE PARTE B CON</v>
          </cell>
        </row>
        <row r="809">
          <cell r="B809" t="str">
            <v xml:space="preserve"> </v>
          </cell>
          <cell r="C809" t="str">
            <v xml:space="preserve">                      1 GALON DE PARTE A</v>
          </cell>
        </row>
        <row r="811">
          <cell r="C811" t="str">
            <v xml:space="preserve">ARMORSEAL® 1000 HS EPOXY </v>
          </cell>
        </row>
        <row r="813">
          <cell r="C813" t="str">
            <v>PARTE A ( * )</v>
          </cell>
        </row>
        <row r="814">
          <cell r="A814" t="str">
            <v>B67W2001-1</v>
          </cell>
          <cell r="B814" t="str">
            <v>LN</v>
          </cell>
          <cell r="C814" t="str">
            <v>ARMORSEAL 1000 HS EPOXY GLOSS WHITE PART A</v>
          </cell>
          <cell r="D814">
            <v>150.97999999999999</v>
          </cell>
          <cell r="E814">
            <v>170.61</v>
          </cell>
          <cell r="F814">
            <v>218.58</v>
          </cell>
          <cell r="G814">
            <v>247</v>
          </cell>
        </row>
        <row r="815">
          <cell r="A815" t="str">
            <v>B67A2001-1</v>
          </cell>
          <cell r="B815" t="str">
            <v>LN</v>
          </cell>
          <cell r="C815" t="str">
            <v>ARMORSEAL 1000 HS EPOXY GLOSS GRAY PART A</v>
          </cell>
          <cell r="D815">
            <v>76.459999999999994</v>
          </cell>
          <cell r="E815">
            <v>86.4</v>
          </cell>
          <cell r="F815">
            <v>106.19</v>
          </cell>
          <cell r="G815">
            <v>120</v>
          </cell>
        </row>
        <row r="816">
          <cell r="A816" t="str">
            <v>B67T2004-1</v>
          </cell>
          <cell r="B816" t="str">
            <v>PE</v>
          </cell>
          <cell r="C816" t="str">
            <v>ARMORSEAL 1000 HS EPOXY GLOSS ULTRADEEP PART A</v>
          </cell>
          <cell r="D816">
            <v>138.18</v>
          </cell>
          <cell r="E816">
            <v>156.13999999999999</v>
          </cell>
          <cell r="F816">
            <v>218.58</v>
          </cell>
          <cell r="G816">
            <v>247</v>
          </cell>
        </row>
        <row r="817">
          <cell r="A817" t="str">
            <v>B67Y2000-1</v>
          </cell>
          <cell r="B817" t="str">
            <v>PE</v>
          </cell>
          <cell r="C817" t="str">
            <v>ARMORSEAL 1000 HS EPOXY GLOSS SAFETY YELLOW PART A</v>
          </cell>
          <cell r="D817">
            <v>157.38</v>
          </cell>
          <cell r="E817">
            <v>177.84</v>
          </cell>
          <cell r="F817">
            <v>218.58</v>
          </cell>
          <cell r="G817">
            <v>247</v>
          </cell>
        </row>
        <row r="818">
          <cell r="A818" t="str">
            <v>B67R2000-1</v>
          </cell>
          <cell r="B818" t="str">
            <v>PE</v>
          </cell>
          <cell r="C818" t="str">
            <v>ARMORSEAL 1000 HS EPOXY GLOSS TILE RED PART A</v>
          </cell>
          <cell r="D818">
            <v>157.38</v>
          </cell>
          <cell r="E818">
            <v>177.84</v>
          </cell>
          <cell r="F818">
            <v>218.58</v>
          </cell>
          <cell r="G818">
            <v>247</v>
          </cell>
        </row>
        <row r="820">
          <cell r="C820" t="str">
            <v>PARTE B ( * )</v>
          </cell>
        </row>
        <row r="821">
          <cell r="A821" t="str">
            <v>B67V2002-1</v>
          </cell>
          <cell r="B821" t="str">
            <v>LN</v>
          </cell>
          <cell r="C821" t="str">
            <v>ARMORSEAL 1000 HS EPOXY HARDENER PART B</v>
          </cell>
          <cell r="D821">
            <v>87.93</v>
          </cell>
          <cell r="E821">
            <v>99.36</v>
          </cell>
          <cell r="F821">
            <v>122.12</v>
          </cell>
          <cell r="G821">
            <v>138</v>
          </cell>
        </row>
        <row r="822">
          <cell r="C822" t="str">
            <v>( ** ) MEZCLAR EN PROPORCION 1:1.  1 GALON DE PARTE A CON 1 GAL DE PARTE B</v>
          </cell>
        </row>
        <row r="824">
          <cell r="C824" t="str">
            <v>PRIMARIO EPOXICO DE ZINC ORGANICO</v>
          </cell>
        </row>
        <row r="826">
          <cell r="A826" t="str">
            <v>B69A47K-1</v>
          </cell>
          <cell r="B826" t="str">
            <v>LN</v>
          </cell>
          <cell r="C826" t="str">
            <v>ZINC CLAD 7 PRIMER EPOXICO MATE GRIS KIT</v>
          </cell>
          <cell r="D826">
            <v>182.12</v>
          </cell>
          <cell r="E826">
            <v>205.8</v>
          </cell>
          <cell r="F826">
            <v>260.18</v>
          </cell>
          <cell r="G826">
            <v>294</v>
          </cell>
        </row>
        <row r="828">
          <cell r="B828" t="str">
            <v xml:space="preserve"> </v>
          </cell>
          <cell r="C828" t="str">
            <v>PRIMARIO ALQUIDICO UNIVERSAL</v>
          </cell>
        </row>
        <row r="829">
          <cell r="A829" t="str">
            <v>B50NZ6-1</v>
          </cell>
          <cell r="B829" t="str">
            <v>LN</v>
          </cell>
          <cell r="C829" t="str">
            <v>KEM KROMIK UNIV METAL PRIMER ALQ MATE BROWN</v>
          </cell>
          <cell r="D829">
            <v>35</v>
          </cell>
          <cell r="E829">
            <v>39.549999999999997</v>
          </cell>
          <cell r="F829">
            <v>50</v>
          </cell>
          <cell r="G829">
            <v>56.5</v>
          </cell>
        </row>
        <row r="830">
          <cell r="A830" t="str">
            <v>B50AZ6-1</v>
          </cell>
          <cell r="B830" t="str">
            <v>LN</v>
          </cell>
          <cell r="C830" t="str">
            <v>KEM KROMIK UNIV METAL PRIMER ALQ MATE GRAY</v>
          </cell>
          <cell r="D830">
            <v>35</v>
          </cell>
          <cell r="E830">
            <v>39.549999999999997</v>
          </cell>
          <cell r="F830">
            <v>50</v>
          </cell>
          <cell r="G830">
            <v>56.5</v>
          </cell>
        </row>
        <row r="831">
          <cell r="A831" t="str">
            <v>B50WZ1-1</v>
          </cell>
          <cell r="B831" t="str">
            <v>LN</v>
          </cell>
          <cell r="C831" t="str">
            <v>KEM KROMIK UNIV METAL PRIMER ALQ MATE BLANCO</v>
          </cell>
          <cell r="D831">
            <v>35</v>
          </cell>
          <cell r="E831">
            <v>39.549999999999997</v>
          </cell>
          <cell r="F831">
            <v>50</v>
          </cell>
          <cell r="G831">
            <v>56.5</v>
          </cell>
        </row>
        <row r="832">
          <cell r="B832" t="str">
            <v xml:space="preserve"> </v>
          </cell>
        </row>
        <row r="833">
          <cell r="A833" t="str">
            <v>B50NZ6-5</v>
          </cell>
          <cell r="B833" t="str">
            <v>PE</v>
          </cell>
          <cell r="C833" t="str">
            <v>KEM KROMIK UNIV METAL PRIMER ALQ MATE BROWN</v>
          </cell>
          <cell r="D833">
            <v>161.06</v>
          </cell>
          <cell r="E833">
            <v>182</v>
          </cell>
          <cell r="F833">
            <v>230.09</v>
          </cell>
          <cell r="G833">
            <v>260</v>
          </cell>
        </row>
        <row r="834">
          <cell r="A834" t="str">
            <v>B50AZ6-5</v>
          </cell>
          <cell r="B834" t="str">
            <v>PE</v>
          </cell>
          <cell r="C834" t="str">
            <v>KEM KROMIK UNIV METAL PRIMER ALQ MATE GRAY</v>
          </cell>
          <cell r="D834">
            <v>161.06</v>
          </cell>
          <cell r="E834">
            <v>182</v>
          </cell>
          <cell r="F834">
            <v>230.09</v>
          </cell>
          <cell r="G834">
            <v>260</v>
          </cell>
        </row>
        <row r="835">
          <cell r="A835" t="str">
            <v>B50WZ1-5</v>
          </cell>
          <cell r="B835" t="str">
            <v>PE</v>
          </cell>
          <cell r="C835" t="str">
            <v>KEM KROMIK UNIV METAL PRIMER ALQ MATE BLANCO</v>
          </cell>
          <cell r="D835">
            <v>161.06</v>
          </cell>
          <cell r="E835">
            <v>182</v>
          </cell>
          <cell r="F835">
            <v>230.09</v>
          </cell>
          <cell r="G835">
            <v>260</v>
          </cell>
        </row>
        <row r="836">
          <cell r="B836" t="str">
            <v xml:space="preserve"> </v>
          </cell>
        </row>
        <row r="837">
          <cell r="B837" t="str">
            <v xml:space="preserve"> </v>
          </cell>
          <cell r="C837" t="str">
            <v xml:space="preserve">SISTEMA CAUCHO CLORADO </v>
          </cell>
        </row>
        <row r="838">
          <cell r="B838" t="str">
            <v xml:space="preserve"> </v>
          </cell>
        </row>
        <row r="839">
          <cell r="B839" t="str">
            <v xml:space="preserve"> </v>
          </cell>
          <cell r="C839" t="str">
            <v>ESMALTE CHEMICAL &amp; MOISTURE</v>
          </cell>
        </row>
        <row r="840">
          <cell r="B840" t="str">
            <v xml:space="preserve"> </v>
          </cell>
          <cell r="C840" t="str">
            <v>USO INTERIOR - EXTERIOR</v>
          </cell>
        </row>
        <row r="841">
          <cell r="A841" t="str">
            <v>B69W16-1</v>
          </cell>
          <cell r="B841" t="str">
            <v>LN</v>
          </cell>
          <cell r="C841" t="str">
            <v>CHEMICAL &amp; MOISTURE ESMALTE SATINADO BLANCO</v>
          </cell>
          <cell r="D841">
            <v>46.45</v>
          </cell>
          <cell r="E841">
            <v>52.49</v>
          </cell>
          <cell r="F841">
            <v>64.510000000000005</v>
          </cell>
          <cell r="G841">
            <v>72.900000000000006</v>
          </cell>
        </row>
        <row r="842">
          <cell r="B842" t="str">
            <v xml:space="preserve"> </v>
          </cell>
        </row>
        <row r="843">
          <cell r="B843" t="str">
            <v xml:space="preserve"> </v>
          </cell>
          <cell r="C843" t="str">
            <v>PRIMARIO ACONDICIONADOR DE SUPERFICIES</v>
          </cell>
        </row>
        <row r="844">
          <cell r="B844" t="str">
            <v xml:space="preserve"> </v>
          </cell>
        </row>
        <row r="845">
          <cell r="B845" t="str">
            <v xml:space="preserve"> </v>
          </cell>
          <cell r="C845" t="str">
            <v>PARTE A (*)</v>
          </cell>
        </row>
        <row r="846">
          <cell r="A846" t="str">
            <v>P60G2-1</v>
          </cell>
          <cell r="B846" t="str">
            <v>LN</v>
          </cell>
          <cell r="C846" t="str">
            <v>ACONDIC P/SUPERF METALICAS WASH PRIMER GREEN.PART A</v>
          </cell>
          <cell r="D846">
            <v>44.54</v>
          </cell>
          <cell r="E846">
            <v>50.33</v>
          </cell>
          <cell r="F846">
            <v>61.86</v>
          </cell>
          <cell r="G846">
            <v>69.900000000000006</v>
          </cell>
        </row>
        <row r="847">
          <cell r="B847" t="str">
            <v xml:space="preserve"> </v>
          </cell>
        </row>
        <row r="848">
          <cell r="B848" t="str">
            <v xml:space="preserve"> </v>
          </cell>
          <cell r="C848" t="str">
            <v>PARTE B (*)</v>
          </cell>
        </row>
        <row r="849">
          <cell r="A849" t="str">
            <v>R7K242-1</v>
          </cell>
          <cell r="B849" t="str">
            <v>LN</v>
          </cell>
          <cell r="C849" t="str">
            <v>ACONDIC P/SUPERF METALICAS WASH PRIMER SOLV ACTIV PART B</v>
          </cell>
          <cell r="D849">
            <v>17.78</v>
          </cell>
          <cell r="E849">
            <v>20.09</v>
          </cell>
          <cell r="F849">
            <v>24.69</v>
          </cell>
          <cell r="G849">
            <v>27.9</v>
          </cell>
        </row>
        <row r="850">
          <cell r="B850" t="str">
            <v xml:space="preserve"> </v>
          </cell>
        </row>
        <row r="851">
          <cell r="B851" t="str">
            <v xml:space="preserve"> </v>
          </cell>
          <cell r="C851" t="str">
            <v>ALUMINIOS PARA ALTAS TEMPERATURAS</v>
          </cell>
        </row>
        <row r="852">
          <cell r="B852" t="str">
            <v xml:space="preserve"> </v>
          </cell>
          <cell r="C852" t="str">
            <v>TEMPERATURA HASTA 204°C (400°F)</v>
          </cell>
        </row>
        <row r="853">
          <cell r="B853" t="str">
            <v xml:space="preserve"> </v>
          </cell>
          <cell r="C853" t="str">
            <v xml:space="preserve">USO INTERIOR - EXTERIOR. </v>
          </cell>
        </row>
        <row r="854">
          <cell r="B854" t="str">
            <v xml:space="preserve"> </v>
          </cell>
        </row>
        <row r="855">
          <cell r="A855" t="str">
            <v>B59S1-1/4</v>
          </cell>
          <cell r="B855" t="str">
            <v>LN</v>
          </cell>
          <cell r="C855" t="str">
            <v>SILVER BRITE ALUMIN PAINT NO15 ALTA TEMP BRILLANTE ALUMINIO</v>
          </cell>
          <cell r="D855">
            <v>10.47</v>
          </cell>
          <cell r="E855">
            <v>11.83</v>
          </cell>
          <cell r="F855">
            <v>14.96</v>
          </cell>
          <cell r="G855">
            <v>16.899999999999999</v>
          </cell>
        </row>
        <row r="856">
          <cell r="A856" t="str">
            <v>B59S1-1</v>
          </cell>
          <cell r="B856" t="str">
            <v>LN</v>
          </cell>
          <cell r="C856" t="str">
            <v>SILVER BRITE ALUMIN PAINT NO15 ALTA TEMP BRILLANTE ALUMINIO</v>
          </cell>
          <cell r="D856">
            <v>35.619999999999997</v>
          </cell>
          <cell r="E856">
            <v>40.25</v>
          </cell>
          <cell r="F856">
            <v>50.88</v>
          </cell>
          <cell r="G856">
            <v>57.5</v>
          </cell>
        </row>
        <row r="857">
          <cell r="B857" t="str">
            <v xml:space="preserve"> </v>
          </cell>
        </row>
        <row r="858">
          <cell r="B858" t="str">
            <v xml:space="preserve"> </v>
          </cell>
          <cell r="C858" t="str">
            <v>TEMPERATURA ENTRE 204°C (400°F) y 371°C (700°F)</v>
          </cell>
        </row>
        <row r="859">
          <cell r="B859" t="str">
            <v xml:space="preserve"> </v>
          </cell>
          <cell r="C859" t="str">
            <v>USO INTERIOR - EXTERIOR</v>
          </cell>
        </row>
        <row r="860">
          <cell r="A860" t="str">
            <v>B59S3-1</v>
          </cell>
          <cell r="B860" t="str">
            <v>LN</v>
          </cell>
          <cell r="C860" t="str">
            <v>SILVER BRITE ALUMIN PAINT NO55 ALTA TEMP BRILLANTE ALUMINIO</v>
          </cell>
          <cell r="D860">
            <v>34.630000000000003</v>
          </cell>
          <cell r="E860">
            <v>39.130000000000003</v>
          </cell>
          <cell r="F860">
            <v>49.47</v>
          </cell>
          <cell r="G860">
            <v>55.9</v>
          </cell>
        </row>
        <row r="861">
          <cell r="B861" t="str">
            <v xml:space="preserve"> </v>
          </cell>
        </row>
        <row r="862">
          <cell r="B862" t="str">
            <v xml:space="preserve"> </v>
          </cell>
          <cell r="C862" t="str">
            <v>TEMPERATURA ENTRE 260°C (500°F) y 538°C (1000°F)</v>
          </cell>
        </row>
        <row r="863">
          <cell r="B863" t="str">
            <v xml:space="preserve"> </v>
          </cell>
          <cell r="C863" t="str">
            <v>USO INTERIOR - EXTERIOR</v>
          </cell>
        </row>
        <row r="864">
          <cell r="A864" t="str">
            <v>B59S8-1</v>
          </cell>
          <cell r="B864" t="str">
            <v>LN</v>
          </cell>
          <cell r="C864" t="str">
            <v>SILVER BRITE HI HEAT AL PAINT ALTA TEMP BRILLANTE ALUMINIO</v>
          </cell>
          <cell r="D864">
            <v>70.62</v>
          </cell>
          <cell r="E864">
            <v>79.8</v>
          </cell>
          <cell r="F864">
            <v>100.88</v>
          </cell>
          <cell r="G864">
            <v>114</v>
          </cell>
        </row>
        <row r="865">
          <cell r="B865" t="str">
            <v xml:space="preserve"> </v>
          </cell>
        </row>
        <row r="866">
          <cell r="B866" t="str">
            <v xml:space="preserve"> </v>
          </cell>
          <cell r="C866" t="str">
            <v>PRODUCTOS ASFALTICOS</v>
          </cell>
        </row>
        <row r="867">
          <cell r="B867" t="str">
            <v xml:space="preserve"> </v>
          </cell>
        </row>
        <row r="868">
          <cell r="B868" t="str">
            <v xml:space="preserve"> </v>
          </cell>
          <cell r="C868" t="str">
            <v>PINTURA PARA INTERIOR DE TANQUES DE AGUA</v>
          </cell>
        </row>
        <row r="869">
          <cell r="A869" t="str">
            <v>B61B2-1</v>
          </cell>
          <cell r="B869" t="str">
            <v>LN</v>
          </cell>
          <cell r="C869" t="str">
            <v>INTERIOR WATER TANK COATING ASFALTICO BRILLANTE NEGRO</v>
          </cell>
          <cell r="D869">
            <v>32.770000000000003</v>
          </cell>
          <cell r="E869">
            <v>37.03</v>
          </cell>
          <cell r="F869">
            <v>46.81</v>
          </cell>
          <cell r="G869">
            <v>52.9</v>
          </cell>
        </row>
        <row r="870">
          <cell r="B870" t="str">
            <v xml:space="preserve"> </v>
          </cell>
        </row>
        <row r="871">
          <cell r="B871" t="str">
            <v xml:space="preserve"> </v>
          </cell>
          <cell r="C871" t="str">
            <v>ANTICORROSIVO ASFALTICO PARA ESTAR BAJO TIERRA</v>
          </cell>
        </row>
        <row r="872">
          <cell r="A872" t="str">
            <v>B61BSA1-1</v>
          </cell>
          <cell r="B872" t="str">
            <v>LN</v>
          </cell>
          <cell r="C872" t="str">
            <v>EBONOL ASFALTICO BRILLANTE NEGRO</v>
          </cell>
          <cell r="D872">
            <v>29.05</v>
          </cell>
          <cell r="E872">
            <v>32.83</v>
          </cell>
          <cell r="F872">
            <v>41.5</v>
          </cell>
          <cell r="G872">
            <v>46.9</v>
          </cell>
        </row>
        <row r="873">
          <cell r="B873" t="str">
            <v xml:space="preserve"> </v>
          </cell>
        </row>
        <row r="874">
          <cell r="B874" t="str">
            <v xml:space="preserve"> </v>
          </cell>
          <cell r="C874" t="str">
            <v>SISTEMA DE PINTURA PARA TORRES DE TELECOMUNICACIONES</v>
          </cell>
        </row>
        <row r="875">
          <cell r="B875" t="str">
            <v xml:space="preserve"> </v>
          </cell>
          <cell r="C875" t="str">
            <v xml:space="preserve">PRIMARIO </v>
          </cell>
        </row>
        <row r="876">
          <cell r="A876" t="str">
            <v>B50WSA2-1</v>
          </cell>
          <cell r="B876" t="str">
            <v>PE</v>
          </cell>
          <cell r="C876" t="str">
            <v>PRIMER P/TORRES DE HIERRO GALV ACRIL MATE BLANCO</v>
          </cell>
          <cell r="D876">
            <v>33.76</v>
          </cell>
          <cell r="E876">
            <v>38.15</v>
          </cell>
          <cell r="F876">
            <v>48.23</v>
          </cell>
          <cell r="G876">
            <v>54.5</v>
          </cell>
        </row>
        <row r="877">
          <cell r="A877" t="str">
            <v>B50ESA2-1</v>
          </cell>
          <cell r="B877" t="str">
            <v>PE</v>
          </cell>
          <cell r="C877" t="str">
            <v>PRIMER P/TORRES DE HIERRO GALV ACRIL MATE NARANJA</v>
          </cell>
          <cell r="D877">
            <v>33.76</v>
          </cell>
          <cell r="E877">
            <v>38.15</v>
          </cell>
          <cell r="F877">
            <v>48.23</v>
          </cell>
          <cell r="G877">
            <v>54.5</v>
          </cell>
        </row>
        <row r="878">
          <cell r="B878" t="str">
            <v xml:space="preserve"> </v>
          </cell>
        </row>
        <row r="879">
          <cell r="A879" t="str">
            <v>B50WSA2-5</v>
          </cell>
          <cell r="B879" t="str">
            <v>PE</v>
          </cell>
          <cell r="C879" t="str">
            <v>PRIMER P/TORRES DE HIERRO GALV ACRIL MATE BLANCO</v>
          </cell>
          <cell r="D879">
            <v>151.77000000000001</v>
          </cell>
          <cell r="E879">
            <v>171.5</v>
          </cell>
          <cell r="F879">
            <v>216.81</v>
          </cell>
          <cell r="G879">
            <v>245</v>
          </cell>
        </row>
        <row r="880">
          <cell r="A880" t="str">
            <v>B50ESA2-5</v>
          </cell>
          <cell r="B880" t="str">
            <v>PE</v>
          </cell>
          <cell r="C880" t="str">
            <v>PRIMER P/TORRES DE HIERRO GALV ACRIL MATE NARANJA</v>
          </cell>
          <cell r="D880">
            <v>151.77000000000001</v>
          </cell>
          <cell r="E880">
            <v>171.5</v>
          </cell>
          <cell r="F880">
            <v>216.81</v>
          </cell>
          <cell r="G880">
            <v>245</v>
          </cell>
        </row>
        <row r="881">
          <cell r="B881" t="str">
            <v xml:space="preserve"> </v>
          </cell>
        </row>
        <row r="882">
          <cell r="B882" t="str">
            <v xml:space="preserve"> </v>
          </cell>
          <cell r="C882" t="str">
            <v>ACABADO FINAL</v>
          </cell>
        </row>
        <row r="883">
          <cell r="A883" t="str">
            <v>B50WSA1-1</v>
          </cell>
          <cell r="B883" t="str">
            <v>LN</v>
          </cell>
          <cell r="C883" t="str">
            <v>PINTURA PARA TORRES DE TELEC ACRIL BRILLAN BLANCO FS 17925</v>
          </cell>
          <cell r="D883">
            <v>28.19</v>
          </cell>
          <cell r="E883">
            <v>31.85</v>
          </cell>
          <cell r="F883">
            <v>40.270000000000003</v>
          </cell>
          <cell r="G883">
            <v>45.5</v>
          </cell>
        </row>
        <row r="884">
          <cell r="A884" t="str">
            <v>B50ESA1-1</v>
          </cell>
          <cell r="B884" t="str">
            <v>LN</v>
          </cell>
          <cell r="C884" t="str">
            <v>PINTURA PARA TORRES DE TELEC ACRIL BRILLAN NARANJA FS 12197</v>
          </cell>
          <cell r="D884">
            <v>28.19</v>
          </cell>
          <cell r="E884">
            <v>31.85</v>
          </cell>
          <cell r="F884">
            <v>40.270000000000003</v>
          </cell>
          <cell r="G884">
            <v>45.5</v>
          </cell>
        </row>
        <row r="885">
          <cell r="B885" t="str">
            <v xml:space="preserve"> </v>
          </cell>
        </row>
        <row r="886">
          <cell r="A886" t="str">
            <v>B50WSA1-5</v>
          </cell>
          <cell r="B886" t="str">
            <v>LN</v>
          </cell>
          <cell r="C886" t="str">
            <v>PINTURA PARA TORRES DE TELEC ACRIL BRILLAN BLANCO FS 17925</v>
          </cell>
          <cell r="D886">
            <v>126.99</v>
          </cell>
          <cell r="E886">
            <v>143.5</v>
          </cell>
          <cell r="F886">
            <v>181.42</v>
          </cell>
          <cell r="G886">
            <v>205</v>
          </cell>
        </row>
        <row r="887">
          <cell r="A887" t="str">
            <v>B50ESA1-5</v>
          </cell>
          <cell r="B887" t="str">
            <v>LN</v>
          </cell>
          <cell r="C887" t="str">
            <v>PINTURA PARA TORRES DE TELEC ACRIL BRILLAN NARANJA FS 12197</v>
          </cell>
          <cell r="D887">
            <v>126.99</v>
          </cell>
          <cell r="E887">
            <v>143.5</v>
          </cell>
          <cell r="F887">
            <v>181.42</v>
          </cell>
          <cell r="G887">
            <v>205</v>
          </cell>
        </row>
        <row r="888">
          <cell r="B888" t="str">
            <v xml:space="preserve"> </v>
          </cell>
        </row>
        <row r="889">
          <cell r="C889" t="str">
            <v>ADITIVO PARA CURVA SANITARIA</v>
          </cell>
        </row>
        <row r="890">
          <cell r="A890" t="str">
            <v>GPSA1-1</v>
          </cell>
          <cell r="B890" t="str">
            <v>PE</v>
          </cell>
          <cell r="C890" t="str">
            <v xml:space="preserve">ADITIVO PARA CURVA SANITARIA </v>
          </cell>
          <cell r="D890">
            <v>11.15</v>
          </cell>
          <cell r="E890">
            <v>12.6</v>
          </cell>
          <cell r="F890">
            <v>15.49</v>
          </cell>
          <cell r="G890">
            <v>17.5</v>
          </cell>
        </row>
        <row r="892">
          <cell r="C892" t="str">
            <v>DIRECT TO CONCRETE 4000</v>
          </cell>
        </row>
        <row r="894">
          <cell r="A894" t="str">
            <v>A33ASA4-1/4</v>
          </cell>
          <cell r="B894" t="str">
            <v>NUEVO</v>
          </cell>
          <cell r="C894" t="str">
            <v>DIRECT TO CONCRETE 4000 BS BRILLANTE GRIS RAL 7045</v>
          </cell>
          <cell r="D894">
            <v>6.69</v>
          </cell>
          <cell r="E894">
            <v>7.56</v>
          </cell>
          <cell r="F894">
            <v>9.2899999999999991</v>
          </cell>
          <cell r="G894">
            <v>10.5</v>
          </cell>
        </row>
        <row r="895">
          <cell r="A895" t="str">
            <v>A33BSA2-1/4</v>
          </cell>
          <cell r="B895" t="str">
            <v>NUEVO</v>
          </cell>
          <cell r="C895" t="str">
            <v>DIRECT TO CONCRETE 4000 BS BRILLANTE NEGRO</v>
          </cell>
          <cell r="D895">
            <v>6.69</v>
          </cell>
          <cell r="E895">
            <v>7.56</v>
          </cell>
          <cell r="F895">
            <v>9.2899999999999991</v>
          </cell>
          <cell r="G895">
            <v>10.5</v>
          </cell>
        </row>
        <row r="896">
          <cell r="A896" t="str">
            <v>A33RSA3-1/4</v>
          </cell>
          <cell r="B896" t="str">
            <v>NUEVO</v>
          </cell>
          <cell r="C896" t="str">
            <v>DIRECT TO CONCRETE 4000 BS BRILLANTE ROJO</v>
          </cell>
          <cell r="D896">
            <v>6.69</v>
          </cell>
          <cell r="E896">
            <v>7.56</v>
          </cell>
          <cell r="F896">
            <v>9.2899999999999991</v>
          </cell>
          <cell r="G896">
            <v>10.5</v>
          </cell>
        </row>
        <row r="897">
          <cell r="A897" t="str">
            <v>A33WSA2-1/4</v>
          </cell>
          <cell r="B897" t="str">
            <v>NUEVO</v>
          </cell>
          <cell r="C897" t="str">
            <v>DIRECT TO CONCRETE 4000 BS BRILLANTE BLANCO</v>
          </cell>
          <cell r="D897">
            <v>6.69</v>
          </cell>
          <cell r="E897">
            <v>7.56</v>
          </cell>
          <cell r="F897">
            <v>9.2899999999999991</v>
          </cell>
          <cell r="G897">
            <v>10.5</v>
          </cell>
        </row>
        <row r="899">
          <cell r="A899" t="str">
            <v>A33RSA3-1</v>
          </cell>
          <cell r="B899" t="str">
            <v>NUEVO</v>
          </cell>
          <cell r="C899" t="str">
            <v>DIRECT TO CONCRETE 4000 BS BRILLANTE ROJO</v>
          </cell>
          <cell r="D899">
            <v>25.17</v>
          </cell>
          <cell r="E899">
            <v>28.44</v>
          </cell>
          <cell r="F899">
            <v>34.96</v>
          </cell>
          <cell r="G899">
            <v>39.5</v>
          </cell>
        </row>
        <row r="900">
          <cell r="A900" t="str">
            <v>A33ASA4-1</v>
          </cell>
          <cell r="B900" t="str">
            <v>NUEVO</v>
          </cell>
          <cell r="C900" t="str">
            <v>DIRECT TO CONCRETE 4000 BS BRILLANTE GRIS RAL 7045</v>
          </cell>
          <cell r="D900">
            <v>25.17</v>
          </cell>
          <cell r="E900">
            <v>28.44</v>
          </cell>
          <cell r="F900">
            <v>34.96</v>
          </cell>
          <cell r="G900">
            <v>39.5</v>
          </cell>
        </row>
        <row r="901">
          <cell r="A901" t="str">
            <v>A33BSA2-1</v>
          </cell>
          <cell r="B901" t="str">
            <v>NUEVO</v>
          </cell>
          <cell r="C901" t="str">
            <v>DIRECT TO CONCRETE 4000 BS BRILLANTE NEGRO</v>
          </cell>
          <cell r="D901">
            <v>25.17</v>
          </cell>
          <cell r="E901">
            <v>28.44</v>
          </cell>
          <cell r="F901">
            <v>34.96</v>
          </cell>
          <cell r="G901">
            <v>39.5</v>
          </cell>
        </row>
        <row r="902">
          <cell r="A902" t="str">
            <v>A33LSA2-1</v>
          </cell>
          <cell r="B902" t="str">
            <v>NUEVO</v>
          </cell>
          <cell r="C902" t="str">
            <v>DIRECT TO CONCRETE 4000 BS BRILLANTE AZUL RAL 5015</v>
          </cell>
          <cell r="D902">
            <v>25.17</v>
          </cell>
          <cell r="E902">
            <v>28.44</v>
          </cell>
          <cell r="F902">
            <v>34.96</v>
          </cell>
          <cell r="G902">
            <v>39.5</v>
          </cell>
        </row>
        <row r="903">
          <cell r="A903" t="str">
            <v>A33WSA2-1</v>
          </cell>
          <cell r="B903" t="str">
            <v>NUEVO</v>
          </cell>
          <cell r="C903" t="str">
            <v>DIRECT TO CONCRETE 4000 BS BRILLANTE BLANCO</v>
          </cell>
          <cell r="D903">
            <v>25.17</v>
          </cell>
          <cell r="E903">
            <v>28.44</v>
          </cell>
          <cell r="F903">
            <v>34.96</v>
          </cell>
          <cell r="G903">
            <v>39.5</v>
          </cell>
        </row>
        <row r="904">
          <cell r="A904" t="str">
            <v>A33GSA3-1</v>
          </cell>
          <cell r="B904" t="str">
            <v>NUEVO</v>
          </cell>
          <cell r="C904" t="str">
            <v>DIRECT TO CONCRETE 4000 BS BRILLANTE VERDE RAL 6002</v>
          </cell>
          <cell r="D904">
            <v>25.17</v>
          </cell>
          <cell r="E904">
            <v>28.44</v>
          </cell>
          <cell r="F904">
            <v>34.96</v>
          </cell>
          <cell r="G904">
            <v>39.5</v>
          </cell>
        </row>
        <row r="905">
          <cell r="A905" t="str">
            <v>A33YSA2-1</v>
          </cell>
          <cell r="B905" t="str">
            <v>NUEVO</v>
          </cell>
          <cell r="C905" t="str">
            <v>DIRECT TO CONCRETE 4000 BS BRILLANTE AMARILLO RAL 1003</v>
          </cell>
          <cell r="D905">
            <v>25.17</v>
          </cell>
          <cell r="E905">
            <v>28.44</v>
          </cell>
          <cell r="F905">
            <v>34.96</v>
          </cell>
          <cell r="G905">
            <v>39.5</v>
          </cell>
        </row>
        <row r="907">
          <cell r="C907" t="str">
            <v>DIRECT TO CONCRETE 6000</v>
          </cell>
        </row>
        <row r="909">
          <cell r="A909" t="str">
            <v>A30CSA1-1/4</v>
          </cell>
          <cell r="B909" t="str">
            <v>NUEVO</v>
          </cell>
          <cell r="C909" t="str">
            <v>DIRECT TO CONCRETE 6000 BS BRILLANTE TRANSPARENTE</v>
          </cell>
          <cell r="D909">
            <v>9.5</v>
          </cell>
          <cell r="E909">
            <v>10.73</v>
          </cell>
          <cell r="F909">
            <v>13.19</v>
          </cell>
          <cell r="G909">
            <v>14.9</v>
          </cell>
        </row>
        <row r="910">
          <cell r="A910" t="str">
            <v>A30CSA1-1</v>
          </cell>
          <cell r="B910" t="str">
            <v>NUEVO</v>
          </cell>
          <cell r="C910" t="str">
            <v>DIRECT TO CONCRETE 6000 BS BRILLANTE TRANSPARENTE</v>
          </cell>
          <cell r="D910">
            <v>34.979999999999997</v>
          </cell>
          <cell r="E910">
            <v>39.53</v>
          </cell>
          <cell r="F910">
            <v>48.58</v>
          </cell>
          <cell r="G910">
            <v>54.9</v>
          </cell>
        </row>
        <row r="911">
          <cell r="A911" t="str">
            <v>A30CSA1-5</v>
          </cell>
          <cell r="B911" t="str">
            <v>NUEVO</v>
          </cell>
          <cell r="C911" t="str">
            <v>DIRECT TO CONCRETE 6000 BS BRILLANTE TRANSPARENTE</v>
          </cell>
          <cell r="D911">
            <v>166.3</v>
          </cell>
          <cell r="E911">
            <v>187.92</v>
          </cell>
          <cell r="F911">
            <v>230.97</v>
          </cell>
          <cell r="G911">
            <v>261</v>
          </cell>
        </row>
        <row r="913">
          <cell r="C913" t="str">
            <v>BASES DIRECT TO CONCRETE 6000 *</v>
          </cell>
        </row>
        <row r="915">
          <cell r="A915" t="str">
            <v>A30WSA51-1/4</v>
          </cell>
          <cell r="B915" t="str">
            <v>NUEVO</v>
          </cell>
          <cell r="C915" t="str">
            <v>DIRECT TO CONCRETE 6000 BS ENTINTABLE SATINADO EW</v>
          </cell>
          <cell r="D915">
            <v>8.99</v>
          </cell>
          <cell r="E915">
            <v>10.16</v>
          </cell>
          <cell r="F915">
            <v>13.19</v>
          </cell>
          <cell r="G915">
            <v>14.9</v>
          </cell>
        </row>
        <row r="916">
          <cell r="A916" t="str">
            <v>A30WSA51-1</v>
          </cell>
          <cell r="B916" t="str">
            <v>NUEVO</v>
          </cell>
          <cell r="C916" t="str">
            <v>DIRECT TO CONCRETE 6000 BS ENTINTABLE SATINADO EW</v>
          </cell>
          <cell r="D916">
            <v>33.479999999999997</v>
          </cell>
          <cell r="E916">
            <v>37.83</v>
          </cell>
          <cell r="F916">
            <v>48.58</v>
          </cell>
          <cell r="G916">
            <v>54.9</v>
          </cell>
        </row>
        <row r="917">
          <cell r="A917" t="str">
            <v>A30WSA51-5</v>
          </cell>
          <cell r="B917" t="str">
            <v>NUEVO</v>
          </cell>
          <cell r="C917" t="str">
            <v>DIRECT TO CONCRETE 6000 BS ENTINTABLE SATINADO EW</v>
          </cell>
          <cell r="D917">
            <v>158.81</v>
          </cell>
          <cell r="E917">
            <v>179.45</v>
          </cell>
          <cell r="F917">
            <v>230.97</v>
          </cell>
          <cell r="G917">
            <v>261</v>
          </cell>
        </row>
        <row r="919">
          <cell r="A919" t="str">
            <v>A30WSA53-1/4</v>
          </cell>
          <cell r="B919" t="str">
            <v>NUEVO</v>
          </cell>
          <cell r="C919" t="str">
            <v>DIRECT TO CONCRETE 6000 BS ENTINTABLE SATINADO DEEP</v>
          </cell>
          <cell r="D919">
            <v>7.99</v>
          </cell>
          <cell r="E919">
            <v>9.0299999999999994</v>
          </cell>
          <cell r="F919">
            <v>13.19</v>
          </cell>
          <cell r="G919">
            <v>14.9</v>
          </cell>
        </row>
        <row r="920">
          <cell r="A920" t="str">
            <v>A30WSA53-1</v>
          </cell>
          <cell r="B920" t="str">
            <v>NUEVO</v>
          </cell>
          <cell r="C920" t="str">
            <v>DIRECT TO CONCRETE 6000 BS ENTINTABLE SATINADO DEEP</v>
          </cell>
          <cell r="D920">
            <v>29.98</v>
          </cell>
          <cell r="E920">
            <v>33.880000000000003</v>
          </cell>
          <cell r="F920">
            <v>48.58</v>
          </cell>
          <cell r="G920">
            <v>54.9</v>
          </cell>
        </row>
        <row r="921">
          <cell r="A921" t="str">
            <v>A30WSA53-5</v>
          </cell>
          <cell r="B921" t="str">
            <v>NUEVO</v>
          </cell>
          <cell r="C921" t="str">
            <v>DIRECT TO CONCRETE 6000 BS ENTINTABLE SATINADO DEEP</v>
          </cell>
          <cell r="D921">
            <v>141.30000000000001</v>
          </cell>
          <cell r="E921">
            <v>159.66999999999999</v>
          </cell>
          <cell r="F921">
            <v>230.97</v>
          </cell>
          <cell r="G921">
            <v>261</v>
          </cell>
        </row>
        <row r="922">
          <cell r="C922" t="str">
            <v>*Entintado con BLEND A COLOR</v>
          </cell>
        </row>
        <row r="924">
          <cell r="C924" t="str">
            <v>DIRECT TO CONCRETE 8000 EPOXICO</v>
          </cell>
        </row>
        <row r="926">
          <cell r="A926" t="str">
            <v>B69ASA8001-1</v>
          </cell>
          <cell r="B926" t="str">
            <v>NUEVO</v>
          </cell>
          <cell r="C926" t="str">
            <v>DIRECT TO CONCRETE 8000 EPOXICO BRILLANTE GRIS PARTE A</v>
          </cell>
          <cell r="D926">
            <v>55.44</v>
          </cell>
          <cell r="E926">
            <v>62.65</v>
          </cell>
          <cell r="F926">
            <v>79.2</v>
          </cell>
          <cell r="G926">
            <v>89.5</v>
          </cell>
        </row>
        <row r="927">
          <cell r="A927" t="str">
            <v>B69BSA8001-1</v>
          </cell>
          <cell r="B927" t="str">
            <v>NUEVO</v>
          </cell>
          <cell r="C927" t="str">
            <v>DIRECT TO CONCRETE 8000 EPOXICO BRILLANTE NEGRO P-A</v>
          </cell>
          <cell r="D927">
            <v>55.44</v>
          </cell>
          <cell r="E927">
            <v>62.65</v>
          </cell>
          <cell r="F927">
            <v>79.2</v>
          </cell>
          <cell r="G927">
            <v>89.5</v>
          </cell>
        </row>
        <row r="928">
          <cell r="A928" t="str">
            <v>B69GSA8001-1</v>
          </cell>
          <cell r="B928" t="str">
            <v>NUEVO</v>
          </cell>
          <cell r="C928" t="str">
            <v xml:space="preserve">ESM IND EPOXICO KEM CATI COAT BRILLANTE VERDE </v>
          </cell>
          <cell r="D928">
            <v>55.44</v>
          </cell>
          <cell r="E928">
            <v>62.65</v>
          </cell>
          <cell r="F928">
            <v>79.2</v>
          </cell>
          <cell r="G928">
            <v>89.5</v>
          </cell>
        </row>
        <row r="929">
          <cell r="A929" t="str">
            <v>B69LSA8001-1</v>
          </cell>
          <cell r="B929" t="str">
            <v>NUEVO</v>
          </cell>
          <cell r="C929" t="str">
            <v>DIRECT TO CONCRETE 8000 EPOXICO BRILLANTE AZUL P- A</v>
          </cell>
          <cell r="D929">
            <v>55.44</v>
          </cell>
          <cell r="E929">
            <v>62.65</v>
          </cell>
          <cell r="F929">
            <v>79.2</v>
          </cell>
          <cell r="G929">
            <v>89.5</v>
          </cell>
        </row>
        <row r="930">
          <cell r="A930" t="str">
            <v>B69RSA8001-1</v>
          </cell>
          <cell r="B930" t="str">
            <v>NUEVO</v>
          </cell>
          <cell r="C930" t="str">
            <v>DIRECT TO CONCRETE 8000 EPOXICO BRILLANTE ROJO SEG P-A</v>
          </cell>
          <cell r="D930">
            <v>55.44</v>
          </cell>
          <cell r="E930">
            <v>62.65</v>
          </cell>
          <cell r="F930">
            <v>79.2</v>
          </cell>
          <cell r="G930">
            <v>89.5</v>
          </cell>
        </row>
        <row r="931">
          <cell r="A931" t="str">
            <v>B69WSA8001-1</v>
          </cell>
          <cell r="B931" t="str">
            <v>NUEVO</v>
          </cell>
          <cell r="C931" t="str">
            <v>DIRECT TO CONCRETE 8000 EPOXICO BRILLANTE BLANCO P-A</v>
          </cell>
          <cell r="D931">
            <v>55.44</v>
          </cell>
          <cell r="E931">
            <v>62.65</v>
          </cell>
          <cell r="F931">
            <v>79.2</v>
          </cell>
          <cell r="G931">
            <v>89.5</v>
          </cell>
        </row>
        <row r="932">
          <cell r="A932" t="str">
            <v>B69YSA8001-1</v>
          </cell>
          <cell r="B932" t="str">
            <v>NUEVO</v>
          </cell>
          <cell r="C932" t="str">
            <v>DIRECT TO CONCRETE 8000 EPOXICO BRILLANTE AMARILLO SEG P-A</v>
          </cell>
          <cell r="D932">
            <v>55.44</v>
          </cell>
          <cell r="E932">
            <v>62.65</v>
          </cell>
          <cell r="F932">
            <v>79.2</v>
          </cell>
          <cell r="G932">
            <v>89.5</v>
          </cell>
        </row>
        <row r="933">
          <cell r="A933" t="str">
            <v>B69VSA8001-1</v>
          </cell>
          <cell r="B933" t="str">
            <v>NUEVO</v>
          </cell>
          <cell r="C933" t="str">
            <v>DIRECT TO CONCRETE 8000 EPOXICO CATALIZADOR PARTE B</v>
          </cell>
          <cell r="D933">
            <v>33.450000000000003</v>
          </cell>
          <cell r="E933">
            <v>37.799999999999997</v>
          </cell>
          <cell r="F933">
            <v>47.79</v>
          </cell>
          <cell r="G933">
            <v>54</v>
          </cell>
        </row>
        <row r="935">
          <cell r="C935" t="str">
            <v xml:space="preserve">ESMALTE POLIURETANO 8000 </v>
          </cell>
        </row>
        <row r="937">
          <cell r="A937" t="str">
            <v>B65WSA8001-1</v>
          </cell>
          <cell r="B937" t="str">
            <v>NUEVO</v>
          </cell>
          <cell r="C937" t="str">
            <v>ESMALTE POLIURETANO 8000 BRILLANTE BLANCO P-A</v>
          </cell>
          <cell r="D937">
            <v>58.3</v>
          </cell>
          <cell r="E937">
            <v>65.88</v>
          </cell>
          <cell r="F937">
            <v>80.97</v>
          </cell>
          <cell r="G937">
            <v>91.5</v>
          </cell>
        </row>
        <row r="938">
          <cell r="A938" t="str">
            <v>B65BSA8001-1</v>
          </cell>
          <cell r="B938" t="str">
            <v>NUEVO</v>
          </cell>
          <cell r="C938" t="str">
            <v>ESMALTE POLIURETANO 8000 BRILLANTE NEGRO P-A</v>
          </cell>
          <cell r="D938">
            <v>58.3</v>
          </cell>
          <cell r="E938">
            <v>65.88</v>
          </cell>
          <cell r="F938">
            <v>80.97</v>
          </cell>
          <cell r="G938">
            <v>91.5</v>
          </cell>
        </row>
        <row r="939">
          <cell r="A939" t="str">
            <v>B65YSA8001-1</v>
          </cell>
          <cell r="B939" t="str">
            <v>NUEVO</v>
          </cell>
          <cell r="C939" t="str">
            <v>ESMALTE POLIURETANO 8000 BRILLANTE AMARILLO SEG P-A</v>
          </cell>
          <cell r="D939">
            <v>58.3</v>
          </cell>
          <cell r="E939">
            <v>65.88</v>
          </cell>
          <cell r="F939">
            <v>80.97</v>
          </cell>
          <cell r="G939">
            <v>91.5</v>
          </cell>
        </row>
        <row r="940">
          <cell r="A940" t="str">
            <v>B65ASA8002-1</v>
          </cell>
          <cell r="B940" t="str">
            <v>NUEVO</v>
          </cell>
          <cell r="C940" t="str">
            <v>ESMALTE POLIURETANO 8000 BRILLANTE GRIS</v>
          </cell>
          <cell r="D940">
            <v>58.3</v>
          </cell>
          <cell r="E940">
            <v>65.88</v>
          </cell>
          <cell r="F940">
            <v>80.97</v>
          </cell>
          <cell r="G940">
            <v>91.5</v>
          </cell>
        </row>
        <row r="941">
          <cell r="A941" t="str">
            <v>B65WSA8051-1</v>
          </cell>
          <cell r="B941" t="str">
            <v>NUEVO</v>
          </cell>
          <cell r="C941" t="str">
            <v>ESMALTE POLIURETANO 8000 BRILLANTE BASE EXTRA WHITE P-A</v>
          </cell>
          <cell r="D941">
            <v>51.9</v>
          </cell>
          <cell r="E941">
            <v>58.65</v>
          </cell>
          <cell r="F941">
            <v>80.97</v>
          </cell>
          <cell r="G941">
            <v>91.5</v>
          </cell>
        </row>
        <row r="942">
          <cell r="A942" t="str">
            <v>B65TSA8054-1</v>
          </cell>
          <cell r="B942" t="str">
            <v>NUEVO</v>
          </cell>
          <cell r="C942" t="str">
            <v>ESMALTE POLIURETANO 8000 BRILLANTE BASE ULTRA DEEP P-A</v>
          </cell>
          <cell r="D942">
            <v>39.1</v>
          </cell>
          <cell r="E942">
            <v>44.18</v>
          </cell>
          <cell r="F942">
            <v>80.97</v>
          </cell>
          <cell r="G942">
            <v>91.5</v>
          </cell>
        </row>
        <row r="943">
          <cell r="A943" t="str">
            <v>B65VSA8001-1/4</v>
          </cell>
          <cell r="B943" t="str">
            <v>NUEVO</v>
          </cell>
          <cell r="C943" t="str">
            <v>ESMALTE POLIURETANO 8000 ENDURECEDOR PARTE B</v>
          </cell>
          <cell r="D943">
            <v>13.96</v>
          </cell>
          <cell r="E943">
            <v>15.77</v>
          </cell>
          <cell r="F943">
            <v>19.38</v>
          </cell>
          <cell r="G943">
            <v>21.9</v>
          </cell>
        </row>
        <row r="944">
          <cell r="C944" t="str">
            <v>*Entintado con Tinte GIS</v>
          </cell>
        </row>
        <row r="946">
          <cell r="C946" t="str">
            <v>MATEANTE PARA ESMALTES ALQUIDICOS</v>
          </cell>
        </row>
        <row r="947">
          <cell r="A947" t="str">
            <v>T1F280-1/8</v>
          </cell>
          <cell r="B947" t="str">
            <v>LN</v>
          </cell>
          <cell r="C947" t="str">
            <v xml:space="preserve">ADITIVO MATEANTE PARA ALQUIDICOS </v>
          </cell>
          <cell r="D947">
            <v>4.4000000000000004</v>
          </cell>
          <cell r="E947">
            <v>4.97</v>
          </cell>
          <cell r="F947">
            <v>6.11</v>
          </cell>
          <cell r="G947">
            <v>6.9</v>
          </cell>
        </row>
        <row r="948">
          <cell r="A948" t="str">
            <v>T1F280-1/4</v>
          </cell>
          <cell r="B948" t="str">
            <v>LN</v>
          </cell>
          <cell r="C948" t="str">
            <v xml:space="preserve">ADITIVO MATEANTE PARA ALQUIDICOS </v>
          </cell>
          <cell r="D948">
            <v>8.2200000000000006</v>
          </cell>
          <cell r="E948">
            <v>9.2899999999999991</v>
          </cell>
          <cell r="F948">
            <v>11.42</v>
          </cell>
          <cell r="G948">
            <v>12.9</v>
          </cell>
        </row>
        <row r="949">
          <cell r="A949" t="str">
            <v>T1F280-1</v>
          </cell>
          <cell r="B949" t="str">
            <v>LN</v>
          </cell>
          <cell r="C949" t="str">
            <v xml:space="preserve">ADITIVO MATEANTE PARA ALQUIDICOS </v>
          </cell>
          <cell r="D949">
            <v>29.25</v>
          </cell>
          <cell r="E949">
            <v>33.049999999999997</v>
          </cell>
          <cell r="F949">
            <v>40.619999999999997</v>
          </cell>
          <cell r="G949">
            <v>45.9</v>
          </cell>
        </row>
        <row r="951">
          <cell r="C951" t="str">
            <v xml:space="preserve">MARINO </v>
          </cell>
        </row>
        <row r="953">
          <cell r="C953" t="str">
            <v>INMERSION - ANTIFOULINGS</v>
          </cell>
        </row>
        <row r="954">
          <cell r="A954" t="str">
            <v>N51R35-1</v>
          </cell>
          <cell r="B954" t="str">
            <v>PE</v>
          </cell>
          <cell r="C954" t="str">
            <v>MARINO ACABADO ANTIFOULING #35 MATE ROJO</v>
          </cell>
          <cell r="D954">
            <v>101.31</v>
          </cell>
          <cell r="E954">
            <v>114.48</v>
          </cell>
          <cell r="F954">
            <v>140.71</v>
          </cell>
          <cell r="G954">
            <v>159</v>
          </cell>
        </row>
        <row r="955">
          <cell r="A955" t="str">
            <v>N51B35-1</v>
          </cell>
          <cell r="B955" t="str">
            <v>PE</v>
          </cell>
          <cell r="C955" t="str">
            <v>MARINO ACABADO SUMERGIBLE ANTIFOULING #35 MATE NEGRO</v>
          </cell>
          <cell r="D955">
            <v>183.5</v>
          </cell>
          <cell r="E955">
            <v>207.36</v>
          </cell>
          <cell r="F955">
            <v>254.87</v>
          </cell>
          <cell r="G955">
            <v>288</v>
          </cell>
        </row>
        <row r="956">
          <cell r="A956" t="str">
            <v>N51L35-1</v>
          </cell>
          <cell r="B956" t="str">
            <v>PE</v>
          </cell>
          <cell r="C956" t="str">
            <v>MARINO ACABADO SUMERGIBLE ANTIFOULING #35 MATE AZUL</v>
          </cell>
          <cell r="D956">
            <v>101.31</v>
          </cell>
          <cell r="E956">
            <v>114.48</v>
          </cell>
          <cell r="F956">
            <v>140.71</v>
          </cell>
          <cell r="G956">
            <v>159</v>
          </cell>
        </row>
        <row r="957">
          <cell r="A957" t="str">
            <v>N51R21-1</v>
          </cell>
          <cell r="B957" t="str">
            <v>PE</v>
          </cell>
          <cell r="C957" t="str">
            <v>MARINO ACABADO SUMERGIBLE ANTIFOULING #21 MATE ROJO</v>
          </cell>
          <cell r="D957">
            <v>107.68</v>
          </cell>
          <cell r="E957">
            <v>121.68</v>
          </cell>
          <cell r="F957">
            <v>149.56</v>
          </cell>
          <cell r="G957">
            <v>169</v>
          </cell>
        </row>
        <row r="958">
          <cell r="A958" t="str">
            <v>N51B21-1</v>
          </cell>
          <cell r="B958" t="str">
            <v>PE</v>
          </cell>
          <cell r="C958" t="str">
            <v>MARINO ACABADO SUMERGIBLE ANTIFOULING #21 MATE NEGRO</v>
          </cell>
          <cell r="D958">
            <v>107.68</v>
          </cell>
          <cell r="E958">
            <v>121.68</v>
          </cell>
          <cell r="F958">
            <v>149.56</v>
          </cell>
          <cell r="G958">
            <v>169</v>
          </cell>
        </row>
        <row r="959">
          <cell r="A959" t="str">
            <v>N51L21-1</v>
          </cell>
          <cell r="B959" t="str">
            <v>PE</v>
          </cell>
          <cell r="C959" t="str">
            <v>MARINO ACABADO SUMERGIBLE ANTIFOULING #21 MATE AZUL</v>
          </cell>
          <cell r="D959">
            <v>107.68</v>
          </cell>
          <cell r="E959">
            <v>121.68</v>
          </cell>
          <cell r="F959">
            <v>149.56</v>
          </cell>
          <cell r="G959">
            <v>169</v>
          </cell>
        </row>
        <row r="960">
          <cell r="F960" t="str">
            <v xml:space="preserve"> </v>
          </cell>
        </row>
        <row r="961">
          <cell r="A961" t="str">
            <v>N51R35-5</v>
          </cell>
          <cell r="B961" t="str">
            <v>PE</v>
          </cell>
          <cell r="C961" t="str">
            <v>MARINO ACABADO ANTIFOULING #35 MATE ROJO</v>
          </cell>
          <cell r="D961">
            <v>519.92999999999995</v>
          </cell>
          <cell r="E961">
            <v>587.52</v>
          </cell>
          <cell r="F961">
            <v>722.12</v>
          </cell>
          <cell r="G961">
            <v>816</v>
          </cell>
        </row>
        <row r="962">
          <cell r="A962" t="str">
            <v>N51B35-5</v>
          </cell>
          <cell r="B962" t="str">
            <v>PE</v>
          </cell>
          <cell r="C962" t="str">
            <v>MARINO ACABADO SUMERGIBLE ANTIFOULING #35 MATE NEGRO</v>
          </cell>
          <cell r="D962">
            <v>1027.75</v>
          </cell>
          <cell r="E962">
            <v>1161.3599999999999</v>
          </cell>
          <cell r="F962">
            <v>1427.43</v>
          </cell>
          <cell r="G962">
            <v>1613</v>
          </cell>
        </row>
        <row r="963">
          <cell r="A963" t="str">
            <v>N51L35-5</v>
          </cell>
          <cell r="B963" t="str">
            <v>PE</v>
          </cell>
          <cell r="C963" t="str">
            <v>MARINO ACABADO SUMERGIBLE ANTIFOULING #35 MATE AZUL</v>
          </cell>
          <cell r="D963">
            <v>519.92999999999995</v>
          </cell>
          <cell r="E963">
            <v>587.52</v>
          </cell>
          <cell r="F963">
            <v>722.12</v>
          </cell>
          <cell r="G963">
            <v>816</v>
          </cell>
        </row>
        <row r="964">
          <cell r="A964" t="str">
            <v>N51R21-5</v>
          </cell>
          <cell r="B964" t="str">
            <v>PE</v>
          </cell>
          <cell r="C964" t="str">
            <v>MARINO ACABADO SUMERGIBLE ANTIFOULING #21 MATE ROJO</v>
          </cell>
          <cell r="D964">
            <v>538.41</v>
          </cell>
          <cell r="E964">
            <v>608.4</v>
          </cell>
          <cell r="F964">
            <v>747.79</v>
          </cell>
          <cell r="G964">
            <v>845</v>
          </cell>
        </row>
        <row r="965">
          <cell r="A965" t="str">
            <v>N51B21-5</v>
          </cell>
          <cell r="B965" t="str">
            <v>PE</v>
          </cell>
          <cell r="C965" t="str">
            <v>MARINO ACABADO SUMERGIBLE ANTIFOULING #21 MATE NEGRO</v>
          </cell>
          <cell r="D965">
            <v>538.41</v>
          </cell>
          <cell r="E965">
            <v>608.4</v>
          </cell>
          <cell r="F965">
            <v>747.79</v>
          </cell>
          <cell r="G965">
            <v>845</v>
          </cell>
        </row>
        <row r="966">
          <cell r="A966" t="str">
            <v>N51L21-5</v>
          </cell>
          <cell r="B966" t="str">
            <v>PE</v>
          </cell>
          <cell r="C966" t="str">
            <v>MARINO ACABADO SUMERGIBLE ANTIFOULING #21 MATE AZUL</v>
          </cell>
          <cell r="D966">
            <v>538.41</v>
          </cell>
          <cell r="E966">
            <v>608.4</v>
          </cell>
          <cell r="F966">
            <v>747.79</v>
          </cell>
          <cell r="G966">
            <v>845</v>
          </cell>
        </row>
        <row r="967">
          <cell r="F967" t="str">
            <v xml:space="preserve"> </v>
          </cell>
        </row>
        <row r="968">
          <cell r="C968" t="str">
            <v>INMERSION - EPOXICO INTERMEDIO</v>
          </cell>
          <cell r="F968" t="str">
            <v xml:space="preserve"> </v>
          </cell>
        </row>
        <row r="969">
          <cell r="F969" t="str">
            <v xml:space="preserve"> </v>
          </cell>
        </row>
        <row r="970">
          <cell r="A970" t="str">
            <v>N58WSA610-1</v>
          </cell>
          <cell r="B970" t="str">
            <v>PE</v>
          </cell>
          <cell r="C970" t="str">
            <v>MARINO PRIMARIO EPOXICO SUMERGIBLE PARTE A BLANCO</v>
          </cell>
          <cell r="D970">
            <v>63.02</v>
          </cell>
          <cell r="E970">
            <v>71.209999999999994</v>
          </cell>
          <cell r="F970">
            <v>87.52</v>
          </cell>
          <cell r="G970">
            <v>98.9</v>
          </cell>
        </row>
        <row r="971">
          <cell r="A971" t="str">
            <v>N58BSA600-1</v>
          </cell>
          <cell r="B971" t="str">
            <v>PE</v>
          </cell>
          <cell r="C971" t="str">
            <v>MARINO PRIMARIO EPOXICO SUMERGIBLE INMERSION P-A NEGRO</v>
          </cell>
          <cell r="D971">
            <v>63.02</v>
          </cell>
          <cell r="E971">
            <v>71.209999999999994</v>
          </cell>
          <cell r="F971">
            <v>87.52</v>
          </cell>
          <cell r="G971">
            <v>98.9</v>
          </cell>
        </row>
        <row r="972">
          <cell r="A972" t="str">
            <v>N58VSA600-1</v>
          </cell>
          <cell r="B972" t="str">
            <v>PE</v>
          </cell>
          <cell r="C972" t="str">
            <v>MARINO PRIMARIO EPOXICO SUMERGIBLE PARTE B ENDURECEDOR</v>
          </cell>
          <cell r="D972">
            <v>63.02</v>
          </cell>
          <cell r="E972">
            <v>71.209999999999994</v>
          </cell>
          <cell r="F972">
            <v>87.52</v>
          </cell>
          <cell r="G972">
            <v>98.9</v>
          </cell>
        </row>
        <row r="973">
          <cell r="F973" t="str">
            <v xml:space="preserve"> </v>
          </cell>
        </row>
        <row r="974">
          <cell r="A974" t="str">
            <v>N58WSA610-5</v>
          </cell>
          <cell r="B974" t="str">
            <v>PE</v>
          </cell>
          <cell r="C974" t="str">
            <v>MARINO PRIMARIO EPOXICO SUMERGIBLE PARTE A BLANCO</v>
          </cell>
          <cell r="D974">
            <v>382.3</v>
          </cell>
          <cell r="E974">
            <v>432</v>
          </cell>
          <cell r="F974">
            <v>530.97</v>
          </cell>
          <cell r="G974">
            <v>600</v>
          </cell>
        </row>
        <row r="975">
          <cell r="A975" t="str">
            <v>N58BSA600-5</v>
          </cell>
          <cell r="B975" t="str">
            <v>PE</v>
          </cell>
          <cell r="C975" t="str">
            <v>MARINO PRIMARIO EPOXICO SUMERGIBLE INMERSION P-A NEGRO</v>
          </cell>
          <cell r="D975">
            <v>382.3</v>
          </cell>
          <cell r="E975">
            <v>432</v>
          </cell>
          <cell r="F975">
            <v>530.97</v>
          </cell>
          <cell r="G975">
            <v>600</v>
          </cell>
        </row>
        <row r="976">
          <cell r="A976" t="str">
            <v>N58VSA600-5</v>
          </cell>
          <cell r="B976" t="str">
            <v>PE</v>
          </cell>
          <cell r="C976" t="str">
            <v>MARINO PRIMARIO EPOXICO SUMERGIBLE PARTE B ENDURECEDOR</v>
          </cell>
          <cell r="D976">
            <v>382.3</v>
          </cell>
          <cell r="E976">
            <v>432</v>
          </cell>
          <cell r="F976">
            <v>530.97</v>
          </cell>
          <cell r="G976">
            <v>600</v>
          </cell>
        </row>
        <row r="977">
          <cell r="F977" t="str">
            <v xml:space="preserve"> </v>
          </cell>
        </row>
        <row r="978">
          <cell r="C978" t="str">
            <v>ATMOSFERICO - EPOXI</v>
          </cell>
          <cell r="F978" t="str">
            <v xml:space="preserve"> </v>
          </cell>
        </row>
        <row r="979">
          <cell r="F979" t="str">
            <v xml:space="preserve"> </v>
          </cell>
        </row>
        <row r="980">
          <cell r="A980" t="str">
            <v>N69RSA1-1</v>
          </cell>
          <cell r="B980" t="str">
            <v>PE</v>
          </cell>
          <cell r="C980" t="str">
            <v>MARINO PRIMARIO EPOXICO ROJO PARTE A</v>
          </cell>
          <cell r="D980">
            <v>49.06</v>
          </cell>
          <cell r="E980">
            <v>55.44</v>
          </cell>
          <cell r="F980">
            <v>68.14</v>
          </cell>
          <cell r="G980">
            <v>77</v>
          </cell>
        </row>
        <row r="981">
          <cell r="A981" t="str">
            <v>N69ASA1-1</v>
          </cell>
          <cell r="B981" t="str">
            <v>PE</v>
          </cell>
          <cell r="C981" t="str">
            <v>MARINO PRIMARIO EPOXICO GRIS PARTE A</v>
          </cell>
          <cell r="D981">
            <v>49.06</v>
          </cell>
          <cell r="E981">
            <v>55.44</v>
          </cell>
          <cell r="F981">
            <v>68.14</v>
          </cell>
          <cell r="G981">
            <v>77</v>
          </cell>
        </row>
        <row r="982">
          <cell r="A982" t="str">
            <v>N69WSA1-1</v>
          </cell>
          <cell r="B982" t="str">
            <v>PE</v>
          </cell>
          <cell r="C982" t="str">
            <v>MARINO PRIMARIO EPOXICO BLANCO PARTE A</v>
          </cell>
          <cell r="D982">
            <v>49.06</v>
          </cell>
          <cell r="E982">
            <v>55.44</v>
          </cell>
          <cell r="F982">
            <v>68.14</v>
          </cell>
          <cell r="G982">
            <v>77</v>
          </cell>
        </row>
        <row r="983">
          <cell r="A983" t="str">
            <v>N69VSA1-1</v>
          </cell>
          <cell r="B983" t="str">
            <v>PE</v>
          </cell>
          <cell r="C983" t="str">
            <v>MARINO PRIMARIO EPOXICO ENDURECEDOR PARTE B</v>
          </cell>
          <cell r="D983">
            <v>49.06</v>
          </cell>
          <cell r="E983">
            <v>55.44</v>
          </cell>
          <cell r="F983">
            <v>68.14</v>
          </cell>
          <cell r="G983">
            <v>77</v>
          </cell>
        </row>
        <row r="984">
          <cell r="F984" t="str">
            <v xml:space="preserve"> </v>
          </cell>
        </row>
        <row r="985">
          <cell r="C985" t="str">
            <v>ATMOSFERICO - POLIURETANO</v>
          </cell>
          <cell r="F985" t="str">
            <v xml:space="preserve"> </v>
          </cell>
        </row>
        <row r="986">
          <cell r="F986" t="str">
            <v xml:space="preserve"> </v>
          </cell>
        </row>
        <row r="987">
          <cell r="A987" t="str">
            <v>N50NSA1-1</v>
          </cell>
          <cell r="B987" t="str">
            <v>PE</v>
          </cell>
          <cell r="C987" t="str">
            <v>MARINO PRIMARIO UNIVERSAL HS MATE ROJO OXIDO</v>
          </cell>
          <cell r="D987">
            <v>31.54</v>
          </cell>
          <cell r="E987">
            <v>35.64</v>
          </cell>
          <cell r="F987">
            <v>43.81</v>
          </cell>
          <cell r="G987">
            <v>49.5</v>
          </cell>
        </row>
        <row r="988">
          <cell r="A988" t="str">
            <v>N50ASA1-1</v>
          </cell>
          <cell r="B988" t="str">
            <v>PE</v>
          </cell>
          <cell r="C988" t="str">
            <v>MARINO PRIMARIO UNIVERSAL HS MATE GRIS</v>
          </cell>
          <cell r="D988">
            <v>31.54</v>
          </cell>
          <cell r="E988">
            <v>35.64</v>
          </cell>
          <cell r="F988">
            <v>43.81</v>
          </cell>
          <cell r="G988">
            <v>49.5</v>
          </cell>
        </row>
        <row r="989">
          <cell r="A989" t="str">
            <v>N50WSA1-1</v>
          </cell>
          <cell r="B989" t="str">
            <v>PE</v>
          </cell>
          <cell r="C989" t="str">
            <v>MARINO PRIMARIO UNIVERSAL HS MATE BLANCO</v>
          </cell>
          <cell r="D989">
            <v>31.54</v>
          </cell>
          <cell r="E989">
            <v>35.64</v>
          </cell>
          <cell r="F989">
            <v>43.81</v>
          </cell>
          <cell r="G989">
            <v>49.5</v>
          </cell>
        </row>
        <row r="990">
          <cell r="F990" t="str">
            <v xml:space="preserve"> </v>
          </cell>
        </row>
        <row r="991">
          <cell r="C991" t="str">
            <v>ATMOSFERICO - ESMALTE ALQUIDICO</v>
          </cell>
          <cell r="F991" t="str">
            <v xml:space="preserve"> </v>
          </cell>
        </row>
        <row r="992">
          <cell r="F992" t="str">
            <v xml:space="preserve"> </v>
          </cell>
        </row>
        <row r="993">
          <cell r="A993" t="str">
            <v>N85WSA1-1</v>
          </cell>
          <cell r="B993" t="str">
            <v>PE</v>
          </cell>
          <cell r="C993" t="str">
            <v>MARINO ESMALTE ULTRA FAST DRY BRILLANTE BLANCO</v>
          </cell>
          <cell r="D993">
            <v>31.16</v>
          </cell>
          <cell r="E993">
            <v>35.21</v>
          </cell>
          <cell r="F993">
            <v>43.27</v>
          </cell>
          <cell r="G993">
            <v>48.9</v>
          </cell>
        </row>
        <row r="994">
          <cell r="A994" t="str">
            <v>N85BSA1-1</v>
          </cell>
          <cell r="B994" t="str">
            <v>PE</v>
          </cell>
          <cell r="C994" t="str">
            <v>MARINO ESMALTE ULTRA FAST DRY BRILLANTE NEGRO</v>
          </cell>
          <cell r="D994">
            <v>31.16</v>
          </cell>
          <cell r="E994">
            <v>35.21</v>
          </cell>
          <cell r="F994">
            <v>43.27</v>
          </cell>
          <cell r="G994">
            <v>48.9</v>
          </cell>
        </row>
        <row r="995">
          <cell r="A995" t="str">
            <v>N85RSA1-1</v>
          </cell>
          <cell r="B995" t="str">
            <v>PE</v>
          </cell>
          <cell r="C995" t="str">
            <v>MARINO ESMALTE ULTRA FAST DRY BRILLANTE ROJO SEGURIDAD</v>
          </cell>
          <cell r="D995">
            <v>31.16</v>
          </cell>
          <cell r="E995">
            <v>35.21</v>
          </cell>
          <cell r="F995">
            <v>43.27</v>
          </cell>
          <cell r="G995">
            <v>48.9</v>
          </cell>
        </row>
        <row r="996">
          <cell r="A996" t="str">
            <v>N85YSA1-1</v>
          </cell>
          <cell r="B996" t="str">
            <v>PE</v>
          </cell>
          <cell r="C996" t="str">
            <v>MARINO ESMALTE ULTRA FAST DRY BTE AMARILLO SEGURIDAD P-A</v>
          </cell>
          <cell r="D996">
            <v>31.16</v>
          </cell>
          <cell r="E996">
            <v>35.21</v>
          </cell>
          <cell r="F996">
            <v>43.27</v>
          </cell>
          <cell r="G996">
            <v>48.9</v>
          </cell>
        </row>
        <row r="997">
          <cell r="A997" t="str">
            <v>N85GSA1-1</v>
          </cell>
          <cell r="B997" t="str">
            <v>PE</v>
          </cell>
          <cell r="C997" t="str">
            <v>MARINO ESMALTE ULTRA FAST DRY BTE VERDE SEGURIDAD P-A</v>
          </cell>
          <cell r="D997">
            <v>31.16</v>
          </cell>
          <cell r="E997">
            <v>35.21</v>
          </cell>
          <cell r="F997">
            <v>43.27</v>
          </cell>
          <cell r="G997">
            <v>48.9</v>
          </cell>
        </row>
        <row r="998">
          <cell r="A998" t="str">
            <v>N85LSA1-1</v>
          </cell>
          <cell r="B998" t="str">
            <v>PE</v>
          </cell>
          <cell r="C998" t="str">
            <v>MARINO ESMALTE ULTRA FAST DRY BTE AZUL SEGURIDAD P-A</v>
          </cell>
          <cell r="D998">
            <v>31.16</v>
          </cell>
          <cell r="E998">
            <v>35.21</v>
          </cell>
          <cell r="F998">
            <v>43.27</v>
          </cell>
          <cell r="G998">
            <v>48.9</v>
          </cell>
        </row>
        <row r="999">
          <cell r="A999" t="str">
            <v>N80WSA51-1</v>
          </cell>
          <cell r="B999" t="str">
            <v>PE</v>
          </cell>
          <cell r="C999" t="str">
            <v>MARINO ESMALTE FAST DRY ENTINTABLE EXTRA WHITE</v>
          </cell>
          <cell r="D999">
            <v>32.18</v>
          </cell>
          <cell r="E999">
            <v>36.36</v>
          </cell>
          <cell r="F999">
            <v>44.69</v>
          </cell>
          <cell r="G999">
            <v>50.5</v>
          </cell>
        </row>
        <row r="1000">
          <cell r="A1000" t="str">
            <v>N80WSA53-1</v>
          </cell>
          <cell r="B1000" t="str">
            <v>PE</v>
          </cell>
          <cell r="C1000" t="str">
            <v>MARINO ESMALTE FAST DRY ENTINTABLE DEEP</v>
          </cell>
          <cell r="D1000">
            <v>32.18</v>
          </cell>
          <cell r="E1000">
            <v>36.36</v>
          </cell>
          <cell r="F1000">
            <v>44.69</v>
          </cell>
          <cell r="G1000">
            <v>50.5</v>
          </cell>
        </row>
        <row r="1001">
          <cell r="A1001" t="str">
            <v>N80TSA54-1</v>
          </cell>
          <cell r="B1001" t="str">
            <v>PE</v>
          </cell>
          <cell r="C1001" t="str">
            <v>MARINO ESMALTE FAST DRY ENTINTABLE ULTRA DEEP</v>
          </cell>
          <cell r="D1001">
            <v>32.18</v>
          </cell>
          <cell r="E1001">
            <v>36.36</v>
          </cell>
          <cell r="F1001">
            <v>44.69</v>
          </cell>
          <cell r="G1001">
            <v>50.5</v>
          </cell>
        </row>
        <row r="1002">
          <cell r="F1002" t="str">
            <v xml:space="preserve"> </v>
          </cell>
        </row>
        <row r="1003">
          <cell r="A1003" t="str">
            <v>N85WSA1-5</v>
          </cell>
          <cell r="B1003" t="str">
            <v>PE</v>
          </cell>
          <cell r="C1003" t="str">
            <v>MARINO ESMALTE ULTRA FAST DRY BRILLANTE BLANCO</v>
          </cell>
          <cell r="D1003">
            <v>147.19</v>
          </cell>
          <cell r="E1003">
            <v>166.32</v>
          </cell>
          <cell r="F1003">
            <v>204.42</v>
          </cell>
          <cell r="G1003">
            <v>231</v>
          </cell>
        </row>
        <row r="1004">
          <cell r="A1004" t="str">
            <v>N80WSA51-5</v>
          </cell>
          <cell r="B1004" t="str">
            <v>PE</v>
          </cell>
          <cell r="C1004" t="str">
            <v>MARINO ESMALTE FAST DRY ENTINTABLE EXTRA WHITE</v>
          </cell>
          <cell r="D1004">
            <v>139.69</v>
          </cell>
          <cell r="E1004">
            <v>157.85</v>
          </cell>
          <cell r="F1004">
            <v>204.42</v>
          </cell>
          <cell r="G1004">
            <v>231</v>
          </cell>
        </row>
        <row r="1005">
          <cell r="A1005" t="str">
            <v>N80WSA53-5</v>
          </cell>
          <cell r="B1005" t="str">
            <v>PE</v>
          </cell>
          <cell r="C1005" t="str">
            <v>MARINO ESMALTE FAST DRY ENTINTABLE DEEP</v>
          </cell>
          <cell r="D1005">
            <v>125.37</v>
          </cell>
          <cell r="E1005">
            <v>141.66999999999999</v>
          </cell>
          <cell r="F1005">
            <v>208.85</v>
          </cell>
          <cell r="G1005">
            <v>236</v>
          </cell>
        </row>
        <row r="1006">
          <cell r="A1006" t="str">
            <v>N80TSA54-5</v>
          </cell>
          <cell r="B1006" t="str">
            <v>PE</v>
          </cell>
          <cell r="C1006" t="str">
            <v>MARINO ESMALTE FAST DRY ENTINTABLE ULTRA DEEP</v>
          </cell>
          <cell r="D1006">
            <v>125.37</v>
          </cell>
          <cell r="E1006">
            <v>141.66999999999999</v>
          </cell>
          <cell r="F1006">
            <v>208.85</v>
          </cell>
          <cell r="G1006">
            <v>236</v>
          </cell>
        </row>
        <row r="1007">
          <cell r="F1007" t="str">
            <v xml:space="preserve"> </v>
          </cell>
        </row>
        <row r="1008">
          <cell r="C1008" t="str">
            <v>ATMOSFERICO - POLIURETANO</v>
          </cell>
          <cell r="F1008" t="str">
            <v xml:space="preserve"> </v>
          </cell>
        </row>
        <row r="1009">
          <cell r="F1009" t="str">
            <v xml:space="preserve"> </v>
          </cell>
        </row>
        <row r="1010">
          <cell r="A1010" t="str">
            <v>N65WSA1-1</v>
          </cell>
          <cell r="B1010" t="str">
            <v>PE</v>
          </cell>
          <cell r="C1010" t="str">
            <v>MARINO ESMALTE POLIURETANO BTE BLANCO PARTE A</v>
          </cell>
          <cell r="D1010">
            <v>57.03</v>
          </cell>
          <cell r="E1010">
            <v>64.44</v>
          </cell>
          <cell r="F1010">
            <v>79.2</v>
          </cell>
          <cell r="G1010">
            <v>89.5</v>
          </cell>
        </row>
        <row r="1011">
          <cell r="A1011" t="str">
            <v>N65BSA1-1</v>
          </cell>
          <cell r="B1011" t="str">
            <v>PE</v>
          </cell>
          <cell r="C1011" t="str">
            <v>MARINO ESMALTE POLIURETANO BTE NEGRO PARTE A</v>
          </cell>
          <cell r="D1011">
            <v>57.03</v>
          </cell>
          <cell r="E1011">
            <v>64.44</v>
          </cell>
          <cell r="F1011">
            <v>79.2</v>
          </cell>
          <cell r="G1011">
            <v>89.5</v>
          </cell>
        </row>
        <row r="1012">
          <cell r="A1012" t="str">
            <v>N65RSA1-1</v>
          </cell>
          <cell r="B1012" t="str">
            <v>PE</v>
          </cell>
          <cell r="C1012" t="str">
            <v>MARINO ESMALTE POLIURETANO BTE ROJO SEGURIDAD P-A</v>
          </cell>
          <cell r="D1012">
            <v>57.03</v>
          </cell>
          <cell r="E1012">
            <v>64.44</v>
          </cell>
          <cell r="F1012">
            <v>79.2</v>
          </cell>
          <cell r="G1012">
            <v>89.5</v>
          </cell>
        </row>
        <row r="1013">
          <cell r="A1013" t="str">
            <v>N65ESA1-1</v>
          </cell>
          <cell r="B1013" t="str">
            <v>PE</v>
          </cell>
          <cell r="C1013" t="str">
            <v>MARINO ESMALTE POLIURETANO BTE NARANJA INTERNACIONAL P-A</v>
          </cell>
          <cell r="D1013">
            <v>57.03</v>
          </cell>
          <cell r="E1013">
            <v>64.44</v>
          </cell>
          <cell r="F1013">
            <v>79.2</v>
          </cell>
          <cell r="G1013">
            <v>89.5</v>
          </cell>
        </row>
        <row r="1014">
          <cell r="A1014" t="str">
            <v>N65YSA1-1</v>
          </cell>
          <cell r="B1014" t="str">
            <v>PE</v>
          </cell>
          <cell r="C1014" t="str">
            <v>MARINO ESMALTE POLIURETANO BTE AMARILLO SEGURIDAD P-A</v>
          </cell>
          <cell r="D1014">
            <v>57.03</v>
          </cell>
          <cell r="E1014">
            <v>64.44</v>
          </cell>
          <cell r="F1014">
            <v>79.2</v>
          </cell>
          <cell r="G1014">
            <v>89.5</v>
          </cell>
        </row>
        <row r="1015">
          <cell r="A1015" t="str">
            <v>N65GSA1-1</v>
          </cell>
          <cell r="B1015" t="str">
            <v>PE</v>
          </cell>
          <cell r="C1015" t="str">
            <v>MARINO ESMALTE POLIURETANO BTE VERDE SEGURIDAD P-A</v>
          </cell>
          <cell r="D1015">
            <v>57.03</v>
          </cell>
          <cell r="E1015">
            <v>64.44</v>
          </cell>
          <cell r="F1015">
            <v>79.2</v>
          </cell>
          <cell r="G1015">
            <v>89.5</v>
          </cell>
        </row>
        <row r="1016">
          <cell r="A1016" t="str">
            <v>N65LSA1-1</v>
          </cell>
          <cell r="B1016" t="str">
            <v>PE</v>
          </cell>
          <cell r="C1016" t="str">
            <v>MARINO ESMALTE POLIURETANO BTE AZUL SEGURIDAD P-A</v>
          </cell>
          <cell r="D1016">
            <v>57.03</v>
          </cell>
          <cell r="E1016">
            <v>64.44</v>
          </cell>
          <cell r="F1016">
            <v>79.2</v>
          </cell>
          <cell r="G1016">
            <v>89.5</v>
          </cell>
        </row>
        <row r="1017">
          <cell r="A1017" t="str">
            <v>N65ASA2-1</v>
          </cell>
          <cell r="B1017" t="str">
            <v>PE</v>
          </cell>
          <cell r="C1017" t="str">
            <v>MARINO ESMALTE POLIURETANO BTE GRIS ANSI 70 SEGURIDAD P-A</v>
          </cell>
          <cell r="D1017">
            <v>57.03</v>
          </cell>
          <cell r="E1017">
            <v>64.44</v>
          </cell>
          <cell r="F1017">
            <v>79.2</v>
          </cell>
          <cell r="G1017">
            <v>89.5</v>
          </cell>
        </row>
        <row r="1018">
          <cell r="A1018" t="str">
            <v>N65YSA2-1</v>
          </cell>
          <cell r="B1018" t="str">
            <v>PE</v>
          </cell>
          <cell r="C1018" t="str">
            <v>MARINO ESMALTE POLIURETANO BTE AMARILLO CATERPILLAR P-A</v>
          </cell>
          <cell r="D1018">
            <v>57.03</v>
          </cell>
          <cell r="E1018">
            <v>64.44</v>
          </cell>
          <cell r="F1018">
            <v>79.2</v>
          </cell>
          <cell r="G1018">
            <v>89.5</v>
          </cell>
        </row>
        <row r="1019">
          <cell r="A1019" t="str">
            <v>N65LSA2-1</v>
          </cell>
          <cell r="B1019" t="str">
            <v>PE</v>
          </cell>
          <cell r="C1019" t="str">
            <v>MARINO ESMALTE POLIURETANO BTE AZUL MARINO P-A</v>
          </cell>
          <cell r="D1019">
            <v>57.03</v>
          </cell>
          <cell r="E1019">
            <v>64.44</v>
          </cell>
          <cell r="F1019">
            <v>79.2</v>
          </cell>
          <cell r="G1019">
            <v>89.5</v>
          </cell>
        </row>
        <row r="1020">
          <cell r="A1020" t="str">
            <v>N65VSA1-1/4</v>
          </cell>
          <cell r="B1020" t="str">
            <v>PE</v>
          </cell>
          <cell r="C1020" t="str">
            <v>MARINO ESMALTE POLIURETANO PARTE B</v>
          </cell>
          <cell r="D1020">
            <v>24.79</v>
          </cell>
          <cell r="E1020">
            <v>28.01</v>
          </cell>
          <cell r="F1020">
            <v>34.42</v>
          </cell>
          <cell r="G1020">
            <v>38.9</v>
          </cell>
        </row>
      </sheetData>
      <sheetData sheetId="3"/>
      <sheetData sheetId="4">
        <row r="6">
          <cell r="A6" t="str">
            <v>B65W611-0.86</v>
          </cell>
          <cell r="B6" t="str">
            <v>PE</v>
          </cell>
          <cell r="C6" t="str">
            <v>ACROLON 218 HS ACRYLIC POLYURETHANE EXTRA WHITE</v>
          </cell>
          <cell r="D6">
            <v>98.12</v>
          </cell>
          <cell r="E6">
            <v>110.88</v>
          </cell>
          <cell r="F6">
            <v>136.28</v>
          </cell>
          <cell r="G6">
            <v>154</v>
          </cell>
        </row>
        <row r="7">
          <cell r="A7" t="str">
            <v>B65T604-0.86</v>
          </cell>
          <cell r="B7" t="str">
            <v>PE</v>
          </cell>
          <cell r="C7" t="str">
            <v>ACROLON 218 HS ACRYLIC POLYURETHANE ULTRA DEEP BASE</v>
          </cell>
          <cell r="D7">
            <v>98.12</v>
          </cell>
          <cell r="E7">
            <v>110.88</v>
          </cell>
          <cell r="F7">
            <v>136.28</v>
          </cell>
          <cell r="G7">
            <v>154</v>
          </cell>
        </row>
        <row r="8">
          <cell r="A8" t="str">
            <v>B65B600-0.86</v>
          </cell>
          <cell r="B8" t="str">
            <v>PE</v>
          </cell>
          <cell r="C8" t="str">
            <v>ACROLON 218 HS ACRYLIC POLYURETHANE BLACK</v>
          </cell>
          <cell r="D8">
            <v>98.12</v>
          </cell>
          <cell r="E8">
            <v>110.88</v>
          </cell>
          <cell r="F8">
            <v>136.28</v>
          </cell>
          <cell r="G8">
            <v>154</v>
          </cell>
        </row>
        <row r="9">
          <cell r="A9" t="str">
            <v>B65Y600-0.86</v>
          </cell>
          <cell r="B9" t="str">
            <v>PE</v>
          </cell>
          <cell r="C9" t="str">
            <v>ACROLON 218 HS ACRYLIC POLYURETHANE SAFETY YELLOW</v>
          </cell>
          <cell r="D9">
            <v>118.51</v>
          </cell>
          <cell r="E9">
            <v>133.91999999999999</v>
          </cell>
          <cell r="F9">
            <v>164.6</v>
          </cell>
          <cell r="G9">
            <v>186</v>
          </cell>
        </row>
        <row r="11">
          <cell r="B11" t="str">
            <v xml:space="preserve"> </v>
          </cell>
          <cell r="C11" t="str">
            <v>PARTE B ( * )</v>
          </cell>
        </row>
        <row r="12">
          <cell r="A12" t="str">
            <v>B65V600-0.14</v>
          </cell>
          <cell r="B12" t="str">
            <v>RF</v>
          </cell>
          <cell r="C12" t="str">
            <v>ACROLON 218 HS ACRYLIC POLYURETHANE HARDENER</v>
          </cell>
          <cell r="D12">
            <v>52.98</v>
          </cell>
          <cell r="E12">
            <v>59.87</v>
          </cell>
          <cell r="F12">
            <v>71.59</v>
          </cell>
          <cell r="G12">
            <v>80.899999999999991</v>
          </cell>
        </row>
        <row r="13">
          <cell r="B13" t="str">
            <v xml:space="preserve"> </v>
          </cell>
          <cell r="C13" t="str">
            <v>NOTA : ( * ) MEZCLAR EN PROPORCION 6:1.  6 PARTES A CON UNA PARTE DE B</v>
          </cell>
        </row>
        <row r="14">
          <cell r="B14" t="str">
            <v xml:space="preserve"> </v>
          </cell>
          <cell r="C14" t="str">
            <v>SOLVENTE REDUCTOR: R7K15</v>
          </cell>
        </row>
        <row r="15">
          <cell r="B15" t="str">
            <v xml:space="preserve"> </v>
          </cell>
        </row>
        <row r="16">
          <cell r="B16" t="str">
            <v xml:space="preserve"> </v>
          </cell>
          <cell r="C16" t="str">
            <v>ESPECIALIDAD - CUARTOS FRÍOS</v>
          </cell>
        </row>
        <row r="17">
          <cell r="B17" t="str">
            <v xml:space="preserve"> </v>
          </cell>
        </row>
        <row r="18">
          <cell r="B18" t="str">
            <v xml:space="preserve"> </v>
          </cell>
          <cell r="C18" t="str">
            <v>DURA-PLATE 235</v>
          </cell>
        </row>
        <row r="19">
          <cell r="B19" t="str">
            <v xml:space="preserve"> </v>
          </cell>
          <cell r="C19" t="str">
            <v>EPÓXICO FENALCAMINA PARA APLICACIONES DE BAJA TEMPERATURA 0°F (-18°C).</v>
          </cell>
        </row>
        <row r="20">
          <cell r="B20" t="str">
            <v xml:space="preserve"> </v>
          </cell>
          <cell r="C20" t="str">
            <v xml:space="preserve">TOLERANTE A PREPARACIÓN MARGINAL Y SUPERFICIES HUMEDAS. USDA. </v>
          </cell>
        </row>
        <row r="22">
          <cell r="C22" t="str">
            <v>PARTE A ( * )</v>
          </cell>
        </row>
        <row r="23">
          <cell r="A23" t="str">
            <v>B67W235-1</v>
          </cell>
          <cell r="B23" t="str">
            <v>PE</v>
          </cell>
          <cell r="C23" t="str">
            <v>DURA-PLATE 235 EPOXY MILL WHITE PART A</v>
          </cell>
          <cell r="D23">
            <v>103.22</v>
          </cell>
          <cell r="E23">
            <v>116.64</v>
          </cell>
          <cell r="F23">
            <v>143.36000000000001</v>
          </cell>
          <cell r="G23">
            <v>162</v>
          </cell>
        </row>
        <row r="24">
          <cell r="A24" t="str">
            <v>B67W235-4</v>
          </cell>
          <cell r="B24" t="str">
            <v>PE</v>
          </cell>
          <cell r="C24" t="str">
            <v>DURA-PLATE 235 EPOXY MILL WHITE PART A</v>
          </cell>
          <cell r="D24">
            <v>379.12</v>
          </cell>
          <cell r="E24">
            <v>428.4</v>
          </cell>
          <cell r="F24">
            <v>526.54999999999995</v>
          </cell>
          <cell r="G24">
            <v>595</v>
          </cell>
        </row>
        <row r="25">
          <cell r="C25" t="str">
            <v>PARTE B ( * )</v>
          </cell>
        </row>
        <row r="26">
          <cell r="A26" t="str">
            <v>B67V235-1/4</v>
          </cell>
          <cell r="B26" t="str">
            <v>PE</v>
          </cell>
          <cell r="C26" t="str">
            <v>DURA-PLATE 235 EPOXY HARDENER PART B</v>
          </cell>
          <cell r="D26">
            <v>29.88</v>
          </cell>
          <cell r="E26">
            <v>33.770000000000003</v>
          </cell>
          <cell r="F26">
            <v>41.5</v>
          </cell>
          <cell r="G26">
            <v>46.9</v>
          </cell>
        </row>
        <row r="27">
          <cell r="A27" t="str">
            <v>B67V235-1</v>
          </cell>
          <cell r="B27" t="str">
            <v>PE</v>
          </cell>
          <cell r="C27" t="str">
            <v>DURA-PLATE 235 EPOXY HARDENER PART B</v>
          </cell>
          <cell r="D27">
            <v>114.69</v>
          </cell>
          <cell r="E27">
            <v>129.6</v>
          </cell>
          <cell r="F27">
            <v>159.29</v>
          </cell>
          <cell r="G27">
            <v>180</v>
          </cell>
        </row>
        <row r="28">
          <cell r="B28" t="str">
            <v xml:space="preserve"> </v>
          </cell>
        </row>
        <row r="29">
          <cell r="B29" t="str">
            <v xml:space="preserve"> </v>
          </cell>
          <cell r="C29" t="str">
            <v>ESPECIALIDAD - ALTA TEMPERATURA (*)</v>
          </cell>
        </row>
        <row r="30">
          <cell r="B30" t="str">
            <v xml:space="preserve"> </v>
          </cell>
        </row>
        <row r="31">
          <cell r="B31" t="str">
            <v xml:space="preserve"> </v>
          </cell>
          <cell r="C31" t="str">
            <v>HEAT FLEX 1200 PLUS INORGANIC MULTIPOLIMERIC MATRIZ COATING</v>
          </cell>
        </row>
        <row r="32">
          <cell r="B32" t="str">
            <v xml:space="preserve"> </v>
          </cell>
          <cell r="C32" t="str">
            <v>SISTEMA  ULTIMA GENERACION MULTICOMPONENTE MATRICIAL PROTECTOR</v>
          </cell>
        </row>
        <row r="33">
          <cell r="C33" t="str">
            <v>CONTRA CORROSION BAJO INSULACION Y ALTA TEMPERATURA</v>
          </cell>
        </row>
        <row r="34">
          <cell r="A34" t="str">
            <v>B59A1200-1</v>
          </cell>
          <cell r="B34" t="str">
            <v>PE</v>
          </cell>
          <cell r="C34" t="str">
            <v>HEAT FLEX 1200 PLUS GRAY PART A</v>
          </cell>
          <cell r="D34">
            <v>296.92</v>
          </cell>
          <cell r="E34">
            <v>335.52</v>
          </cell>
          <cell r="F34">
            <v>412.39</v>
          </cell>
          <cell r="G34">
            <v>466</v>
          </cell>
        </row>
        <row r="35">
          <cell r="A35" t="str">
            <v>B59V1200-20NZ</v>
          </cell>
          <cell r="B35" t="str">
            <v>PE</v>
          </cell>
          <cell r="C35" t="str">
            <v>HEAT FLEX 1200 PLUS HARDENER PART B</v>
          </cell>
          <cell r="D35">
            <v>23.89</v>
          </cell>
          <cell r="E35">
            <v>27</v>
          </cell>
          <cell r="F35">
            <v>33.19</v>
          </cell>
          <cell r="G35">
            <v>37.5</v>
          </cell>
        </row>
        <row r="37">
          <cell r="B37" t="str">
            <v xml:space="preserve"> </v>
          </cell>
          <cell r="C37" t="str">
            <v>ESPECIALIDAD - RETARDANTE DE FUEGO</v>
          </cell>
        </row>
        <row r="38">
          <cell r="B38" t="str">
            <v xml:space="preserve"> </v>
          </cell>
        </row>
        <row r="39">
          <cell r="B39" t="str">
            <v xml:space="preserve"> </v>
          </cell>
          <cell r="C39" t="str">
            <v>FIRETEX FX5120 WATERBASED INTUMESCENT COATING</v>
          </cell>
        </row>
        <row r="40">
          <cell r="B40" t="str">
            <v xml:space="preserve"> </v>
          </cell>
          <cell r="C40" t="str">
            <v>INTUMESCENTE BASE AGUA DE USO INTERIOR QUE BRINDA</v>
          </cell>
        </row>
        <row r="41">
          <cell r="B41" t="str">
            <v xml:space="preserve"> </v>
          </cell>
          <cell r="C41" t="str">
            <v>PROTECCIÓN PASIVA CONTRA FUEGO</v>
          </cell>
        </row>
        <row r="42">
          <cell r="B42" t="str">
            <v xml:space="preserve"> </v>
          </cell>
        </row>
        <row r="43">
          <cell r="A43" t="str">
            <v>B59W5120-5</v>
          </cell>
          <cell r="B43" t="str">
            <v>RF</v>
          </cell>
          <cell r="C43" t="str">
            <v>FIRETEX FX5120 WATERBASED INTUMESCENT COATING WHITE</v>
          </cell>
          <cell r="D43">
            <v>605.30999999999995</v>
          </cell>
          <cell r="E43">
            <v>684</v>
          </cell>
          <cell r="F43">
            <v>840.71</v>
          </cell>
          <cell r="G43">
            <v>950</v>
          </cell>
        </row>
        <row r="44">
          <cell r="B44" t="str">
            <v xml:space="preserve"> </v>
          </cell>
        </row>
        <row r="45">
          <cell r="B45" t="str">
            <v xml:space="preserve"> </v>
          </cell>
          <cell r="C45" t="str">
            <v>ESPECIALIDAD - ALTA ABRASIÓN</v>
          </cell>
        </row>
        <row r="46">
          <cell r="B46" t="str">
            <v xml:space="preserve"> </v>
          </cell>
        </row>
        <row r="47">
          <cell r="B47" t="str">
            <v xml:space="preserve"> </v>
          </cell>
          <cell r="C47" t="str">
            <v>SHER-GLASS FF GLASS FLAKE REINFORCED EPOXY</v>
          </cell>
        </row>
        <row r="48">
          <cell r="B48" t="str">
            <v xml:space="preserve"> </v>
          </cell>
          <cell r="C48" t="str">
            <v xml:space="preserve">RECUBRIMIENTO EPOXICO AMINA REFORZADO CON HOJUELAS DE VIDRIO QUE </v>
          </cell>
        </row>
        <row r="49">
          <cell r="B49" t="str">
            <v xml:space="preserve"> </v>
          </cell>
          <cell r="C49" t="str">
            <v xml:space="preserve">GENERA EXCELENTE RESISTENCIA A LA ABRASIÓN </v>
          </cell>
        </row>
        <row r="50">
          <cell r="B50" t="str">
            <v xml:space="preserve"> </v>
          </cell>
        </row>
        <row r="51">
          <cell r="B51" t="str">
            <v xml:space="preserve"> </v>
          </cell>
          <cell r="C51" t="str">
            <v>PARTE A ( * )</v>
          </cell>
        </row>
        <row r="52">
          <cell r="A52" t="str">
            <v>B62A525-4</v>
          </cell>
          <cell r="B52" t="str">
            <v>PE</v>
          </cell>
          <cell r="C52" t="str">
            <v>SHER-GLASS FF GLASS FLAKE REINFORCED EPOXY HAZE GRAY</v>
          </cell>
          <cell r="D52">
            <v>856.99</v>
          </cell>
          <cell r="E52">
            <v>968.4</v>
          </cell>
          <cell r="F52">
            <v>1190.27</v>
          </cell>
          <cell r="G52">
            <v>1345</v>
          </cell>
        </row>
        <row r="53">
          <cell r="B53" t="str">
            <v xml:space="preserve"> </v>
          </cell>
        </row>
        <row r="54">
          <cell r="B54" t="str">
            <v xml:space="preserve"> </v>
          </cell>
          <cell r="C54" t="str">
            <v>PARTE B ( * )</v>
          </cell>
        </row>
        <row r="55">
          <cell r="A55" t="str">
            <v>B62V525-1</v>
          </cell>
          <cell r="B55" t="str">
            <v>PE</v>
          </cell>
          <cell r="C55" t="str">
            <v>SHER-GLASS FF GLASS FLAKE REINFORCED EPOXY HARDENER</v>
          </cell>
          <cell r="D55">
            <v>231.17</v>
          </cell>
          <cell r="E55">
            <v>261.22000000000003</v>
          </cell>
          <cell r="F55">
            <v>312.39</v>
          </cell>
          <cell r="G55">
            <v>353</v>
          </cell>
        </row>
        <row r="56">
          <cell r="B56" t="str">
            <v xml:space="preserve"> </v>
          </cell>
          <cell r="C56" t="str">
            <v>NOTA : ( * ) MEZCLAR EN PROPORCION 4:1.  4 PARTES A CON UNA PARTE DE B</v>
          </cell>
        </row>
        <row r="57">
          <cell r="B57" t="str">
            <v xml:space="preserve"> </v>
          </cell>
          <cell r="C57" t="str">
            <v>REDUCTOR: R2K4 INDUSTRIAL REDUCER</v>
          </cell>
        </row>
        <row r="58">
          <cell r="B58" t="str">
            <v xml:space="preserve"> </v>
          </cell>
        </row>
        <row r="59">
          <cell r="B59" t="str">
            <v xml:space="preserve"> </v>
          </cell>
          <cell r="C59" t="str">
            <v>ESPECIALIDAD - ESTRUCTURAS ENTERRADAS</v>
          </cell>
        </row>
        <row r="60">
          <cell r="B60" t="str">
            <v xml:space="preserve"> </v>
          </cell>
        </row>
        <row r="61">
          <cell r="B61" t="str">
            <v xml:space="preserve"> </v>
          </cell>
          <cell r="C61" t="str">
            <v>TARGUARD COAL TAR EPOXY</v>
          </cell>
        </row>
        <row r="62">
          <cell r="B62" t="str">
            <v xml:space="preserve"> </v>
          </cell>
          <cell r="C62" t="str">
            <v>REVESTIMIENTO DE ALQUITRÁN DE HULLA DE ALTO ESPESOR</v>
          </cell>
        </row>
        <row r="63">
          <cell r="B63" t="str">
            <v xml:space="preserve"> </v>
          </cell>
        </row>
        <row r="64">
          <cell r="B64" t="str">
            <v xml:space="preserve"> </v>
          </cell>
          <cell r="C64" t="str">
            <v>PARTE A ( * )</v>
          </cell>
        </row>
        <row r="65">
          <cell r="A65" t="str">
            <v>B69B60-4</v>
          </cell>
          <cell r="B65" t="str">
            <v>PE</v>
          </cell>
          <cell r="C65" t="str">
            <v>TARGUARD COAL TAR EPOXY PART A BLACK COLOR</v>
          </cell>
          <cell r="D65">
            <v>210.62</v>
          </cell>
          <cell r="E65">
            <v>238</v>
          </cell>
          <cell r="F65">
            <v>300.88</v>
          </cell>
          <cell r="G65">
            <v>340</v>
          </cell>
        </row>
        <row r="66">
          <cell r="B66" t="str">
            <v xml:space="preserve"> </v>
          </cell>
        </row>
        <row r="67">
          <cell r="B67" t="str">
            <v xml:space="preserve"> </v>
          </cell>
          <cell r="C67" t="str">
            <v>PARTE B ( * )</v>
          </cell>
        </row>
        <row r="68">
          <cell r="A68" t="str">
            <v>B69V60-1</v>
          </cell>
          <cell r="B68" t="str">
            <v>PE</v>
          </cell>
          <cell r="C68" t="str">
            <v>TARGUARD COAL TAR EPOXY PART B</v>
          </cell>
          <cell r="D68">
            <v>84.25</v>
          </cell>
          <cell r="E68">
            <v>95.2</v>
          </cell>
          <cell r="F68">
            <v>120.35</v>
          </cell>
          <cell r="G68">
            <v>136</v>
          </cell>
        </row>
        <row r="69">
          <cell r="B69" t="str">
            <v xml:space="preserve"> </v>
          </cell>
          <cell r="C69" t="str">
            <v xml:space="preserve">NOTA : ( * ) MEZCLAR EN PROPORCION 1:4.  1/4 DE GALON DE PARTE B </v>
          </cell>
        </row>
        <row r="70">
          <cell r="B70" t="str">
            <v xml:space="preserve"> </v>
          </cell>
          <cell r="C70" t="str">
            <v xml:space="preserve">CON 1 GALON DE PARTE A.  </v>
          </cell>
        </row>
        <row r="71">
          <cell r="B71" t="str">
            <v xml:space="preserve"> </v>
          </cell>
          <cell r="C71" t="str">
            <v>SOLVENTE REDUCTOR: INDUSTRIAL REDUCER R2K4</v>
          </cell>
        </row>
        <row r="72">
          <cell r="B72" t="str">
            <v xml:space="preserve"> </v>
          </cell>
        </row>
        <row r="73">
          <cell r="C73" t="str">
            <v>PRO INDUSTRIAL PRE-CATALYZED EPOXY SEMI-GLOSS</v>
          </cell>
        </row>
        <row r="74">
          <cell r="C74" t="str">
            <v xml:space="preserve">RECUBRIMIENTO EPÓXICO BASE AGUA DE UN SOLO COMPONENTES ADECUADO PARA </v>
          </cell>
        </row>
        <row r="75">
          <cell r="C75" t="str">
            <v>USARSE EN HOSPITALES Y LABORATORIOS FARMACÉUTICOS. BAJO OLOR Y BAJO VOC</v>
          </cell>
        </row>
        <row r="77">
          <cell r="A77" t="str">
            <v>K46W2151-1</v>
          </cell>
          <cell r="B77" t="str">
            <v>LN</v>
          </cell>
          <cell r="C77" t="str">
            <v>PRO INDUSTRIAL PRE-CATALYZED EPOXY SG EXTRA WHITE BASE</v>
          </cell>
          <cell r="D77">
            <v>65.66</v>
          </cell>
          <cell r="E77">
            <v>74.2</v>
          </cell>
          <cell r="F77">
            <v>93.81</v>
          </cell>
          <cell r="G77">
            <v>106</v>
          </cell>
        </row>
        <row r="79">
          <cell r="B79" t="str">
            <v xml:space="preserve"> </v>
          </cell>
          <cell r="C79" t="str">
            <v>TANK LINERS/MIDCOATS</v>
          </cell>
        </row>
        <row r="80">
          <cell r="B80" t="str">
            <v xml:space="preserve"> </v>
          </cell>
        </row>
        <row r="81">
          <cell r="B81" t="str">
            <v xml:space="preserve"> </v>
          </cell>
          <cell r="C81" t="str">
            <v>ESPECIALIDAD - ALTA TEMPERATURA Y ÁCIDO</v>
          </cell>
        </row>
        <row r="82">
          <cell r="B82" t="str">
            <v xml:space="preserve"> </v>
          </cell>
        </row>
        <row r="83">
          <cell r="B83" t="str">
            <v xml:space="preserve"> </v>
          </cell>
          <cell r="C83" t="str">
            <v>EPO-PHEN FF HI TEMP COATING</v>
          </cell>
        </row>
        <row r="84">
          <cell r="B84" t="str">
            <v xml:space="preserve"> </v>
          </cell>
          <cell r="C84" t="str">
            <v>EPÓXICO NOVALACA CARGADO CON HOJUELAS FORMULADO ESPECIFICAMENTE PARA SU USO</v>
          </cell>
        </row>
        <row r="85">
          <cell r="B85" t="str">
            <v xml:space="preserve"> </v>
          </cell>
          <cell r="C85" t="str">
            <v>BAJO AISLAMIENTO TÉRMICO A TEMPERATURAS ELEVADAS - INMERSIÓN 210°F(98°C).</v>
          </cell>
        </row>
        <row r="86">
          <cell r="B86" t="str">
            <v xml:space="preserve"> </v>
          </cell>
        </row>
        <row r="87">
          <cell r="B87" t="str">
            <v xml:space="preserve"> </v>
          </cell>
          <cell r="C87" t="str">
            <v>PARTE A ( ** )</v>
          </cell>
        </row>
        <row r="88">
          <cell r="A88" t="str">
            <v>B62A55-4</v>
          </cell>
          <cell r="B88" t="str">
            <v>RF</v>
          </cell>
          <cell r="C88" t="str">
            <v>EPO-PHEN HI TEMP COATING GRAY</v>
          </cell>
          <cell r="D88">
            <v>633.98</v>
          </cell>
          <cell r="E88">
            <v>716.4</v>
          </cell>
          <cell r="F88">
            <v>880.53</v>
          </cell>
          <cell r="G88">
            <v>995</v>
          </cell>
        </row>
        <row r="89">
          <cell r="B89" t="str">
            <v xml:space="preserve"> </v>
          </cell>
        </row>
        <row r="90">
          <cell r="B90" t="str">
            <v xml:space="preserve"> </v>
          </cell>
          <cell r="C90" t="str">
            <v>PARTE B ( ** )</v>
          </cell>
        </row>
        <row r="91">
          <cell r="A91" t="str">
            <v>B62V55-1</v>
          </cell>
          <cell r="B91" t="str">
            <v>RF</v>
          </cell>
          <cell r="C91" t="str">
            <v>EPO-PHEN HI TEMP COATING HARDENER</v>
          </cell>
          <cell r="D91">
            <v>233.2</v>
          </cell>
          <cell r="E91">
            <v>263.52</v>
          </cell>
          <cell r="F91">
            <v>323.89</v>
          </cell>
          <cell r="G91">
            <v>366</v>
          </cell>
        </row>
        <row r="92">
          <cell r="B92" t="str">
            <v xml:space="preserve"> </v>
          </cell>
          <cell r="C92" t="str">
            <v xml:space="preserve">NOTA : ( ** ) MEZCLAR EN PROPORCION 1 : 4  1 PARTE DE PARTE B CON  </v>
          </cell>
        </row>
        <row r="93">
          <cell r="B93" t="str">
            <v xml:space="preserve"> </v>
          </cell>
          <cell r="C93" t="str">
            <v xml:space="preserve">                      4 PARTE DE A</v>
          </cell>
        </row>
        <row r="94">
          <cell r="B94" t="str">
            <v xml:space="preserve"> </v>
          </cell>
        </row>
        <row r="95">
          <cell r="B95" t="str">
            <v xml:space="preserve"> </v>
          </cell>
          <cell r="C95" t="str">
            <v>ESPECIALIDAD - ALTO pH - ALCALINIDAD / DERIVADOS DE PETRÓLEO</v>
          </cell>
        </row>
        <row r="96">
          <cell r="B96" t="str">
            <v xml:space="preserve"> </v>
          </cell>
        </row>
        <row r="97">
          <cell r="B97" t="str">
            <v xml:space="preserve"> </v>
          </cell>
          <cell r="C97" t="str">
            <v>PHENICON HS</v>
          </cell>
        </row>
        <row r="98">
          <cell r="B98" t="str">
            <v xml:space="preserve"> </v>
          </cell>
          <cell r="C98" t="str">
            <v xml:space="preserve">RECUBRIMIENTO EPÓXICO NOVALACA-FENÓLICO QUE CUMPLE CON VOC FORMULADO PARA </v>
          </cell>
        </row>
        <row r="99">
          <cell r="B99" t="str">
            <v xml:space="preserve"> </v>
          </cell>
          <cell r="C99" t="str">
            <v>SU USO COMO REVESTIMIENTO INTERNO DE TANQUES DONDE SE ALMACENA PRODUCTOS</v>
          </cell>
        </row>
        <row r="100">
          <cell r="B100" t="str">
            <v xml:space="preserve"> </v>
          </cell>
          <cell r="C100" t="str">
            <v xml:space="preserve">DERIVADOS DEL PETRÓLEO </v>
          </cell>
        </row>
        <row r="101">
          <cell r="B101" t="str">
            <v xml:space="preserve"> </v>
          </cell>
        </row>
        <row r="102">
          <cell r="B102" t="str">
            <v xml:space="preserve"> </v>
          </cell>
          <cell r="C102" t="str">
            <v>PARTE A ( ** )</v>
          </cell>
        </row>
        <row r="103">
          <cell r="A103" t="str">
            <v>CK920WA11-4</v>
          </cell>
          <cell r="B103" t="str">
            <v>PE</v>
          </cell>
          <cell r="C103" t="str">
            <v>PHENICON HS OFF WHITE PART A</v>
          </cell>
          <cell r="D103">
            <v>477.24</v>
          </cell>
          <cell r="E103">
            <v>539.28</v>
          </cell>
          <cell r="F103">
            <v>662.83</v>
          </cell>
          <cell r="G103">
            <v>749</v>
          </cell>
        </row>
        <row r="104">
          <cell r="B104" t="str">
            <v xml:space="preserve"> </v>
          </cell>
        </row>
        <row r="105">
          <cell r="B105" t="str">
            <v xml:space="preserve"> </v>
          </cell>
          <cell r="C105" t="str">
            <v>PARTE B ( ** )</v>
          </cell>
        </row>
        <row r="106">
          <cell r="A106" t="str">
            <v>CK700C685-1</v>
          </cell>
          <cell r="B106" t="str">
            <v>PE</v>
          </cell>
          <cell r="C106" t="str">
            <v>PHENICON HS HARDENER PART B</v>
          </cell>
          <cell r="D106">
            <v>201.98</v>
          </cell>
          <cell r="E106">
            <v>228.24</v>
          </cell>
          <cell r="F106">
            <v>280.52999999999997</v>
          </cell>
          <cell r="G106">
            <v>317</v>
          </cell>
        </row>
        <row r="107">
          <cell r="B107" t="str">
            <v xml:space="preserve"> </v>
          </cell>
          <cell r="C107" t="str">
            <v xml:space="preserve">NOTA : ( ** ) MEZCLAR EN PROPORCION 1 : 4  1 PARTE DE PARTE B CON  </v>
          </cell>
        </row>
        <row r="108">
          <cell r="B108" t="str">
            <v xml:space="preserve"> </v>
          </cell>
          <cell r="C108" t="str">
            <v xml:space="preserve">                      4 PARTE DE A</v>
          </cell>
        </row>
        <row r="109">
          <cell r="C109" t="str">
            <v>DURAPLATE UHS - ULTRA HIGH SOLIDS EPOXY</v>
          </cell>
        </row>
        <row r="110">
          <cell r="C110" t="str">
            <v xml:space="preserve">EPÓXICO AMINA ULTRA ALTOS EN SÓLIDOS DISEÑADO PARA SERVICIO EN INMERSIÓN, </v>
          </cell>
        </row>
        <row r="111">
          <cell r="C111" t="str">
            <v>PARA SU USO EN SUPERFICIES PREVIAMENTE PREPARADAS DE ACERO Y CONCRETO.</v>
          </cell>
        </row>
        <row r="113">
          <cell r="C113" t="str">
            <v>PARTE A ( * )</v>
          </cell>
        </row>
        <row r="114">
          <cell r="A114" t="str">
            <v>B62W210-4</v>
          </cell>
          <cell r="C114" t="str">
            <v xml:space="preserve">DURAPLATE UHS WHITE
</v>
          </cell>
          <cell r="D114">
            <v>579.82000000000005</v>
          </cell>
          <cell r="E114">
            <v>655.20000000000005</v>
          </cell>
          <cell r="F114">
            <v>805.31</v>
          </cell>
          <cell r="G114">
            <v>910</v>
          </cell>
        </row>
        <row r="116">
          <cell r="C116" t="str">
            <v>PARTE B ( * )</v>
          </cell>
        </row>
        <row r="117">
          <cell r="A117" t="str">
            <v>B62V210-1</v>
          </cell>
          <cell r="C117" t="str">
            <v xml:space="preserve">DURAPLATE UHS HARDENER
</v>
          </cell>
          <cell r="D117">
            <v>132.53</v>
          </cell>
          <cell r="E117">
            <v>149.76</v>
          </cell>
          <cell r="F117">
            <v>184.07</v>
          </cell>
          <cell r="G117">
            <v>208</v>
          </cell>
        </row>
        <row r="118">
          <cell r="C118" t="str">
            <v xml:space="preserve">NOTA : ( * ) MEZCLAR EN PROPORCION 1 : 4  1 PARTE DE PARTE B CON  </v>
          </cell>
        </row>
        <row r="119">
          <cell r="C119" t="str">
            <v xml:space="preserve">                      4 PARTE DE A</v>
          </cell>
        </row>
        <row r="121">
          <cell r="B121" t="str">
            <v xml:space="preserve"> </v>
          </cell>
          <cell r="C121" t="str">
            <v>PRIMERS</v>
          </cell>
        </row>
        <row r="122">
          <cell r="B122" t="str">
            <v xml:space="preserve"> </v>
          </cell>
        </row>
        <row r="123">
          <cell r="B123" t="str">
            <v xml:space="preserve"> </v>
          </cell>
          <cell r="C123" t="str">
            <v>SEVERO - ANTICORROSIVOS DE SACRIFICIO</v>
          </cell>
        </row>
        <row r="124">
          <cell r="B124" t="str">
            <v xml:space="preserve"> </v>
          </cell>
        </row>
        <row r="125">
          <cell r="B125" t="str">
            <v xml:space="preserve"> </v>
          </cell>
          <cell r="C125" t="str">
            <v>PRIMER INORGANICO DE ZINC</v>
          </cell>
        </row>
        <row r="126">
          <cell r="B126" t="str">
            <v xml:space="preserve"> </v>
          </cell>
          <cell r="C126" t="str">
            <v>ZINC CLAD® II ETHYL SILICATE INORGANIC ZINC-RICH COATING</v>
          </cell>
        </row>
        <row r="127">
          <cell r="B127" t="str">
            <v xml:space="preserve"> </v>
          </cell>
          <cell r="C127" t="str">
            <v>PRIMARIO RICO EN ZINC QUE PROPORCIONA UNA PROTECCIÓN CATÓDICA PROTEGIENDO EL ACERO</v>
          </cell>
        </row>
        <row r="128">
          <cell r="B128" t="str">
            <v xml:space="preserve"> </v>
          </cell>
          <cell r="C128" t="str">
            <v>CON UN ALTO CONTENIDO DE ZINC DEL 85%. (APLICACION EN LAS INSTALACIONES DE ENSAMBLE)</v>
          </cell>
        </row>
        <row r="129">
          <cell r="B129" t="str">
            <v xml:space="preserve"> </v>
          </cell>
        </row>
        <row r="130">
          <cell r="B130" t="str">
            <v xml:space="preserve"> </v>
          </cell>
          <cell r="C130" t="str">
            <v>PARTE A ( * )</v>
          </cell>
        </row>
        <row r="131">
          <cell r="A131" t="str">
            <v>B69V3-3.75</v>
          </cell>
          <cell r="B131" t="str">
            <v>PE</v>
          </cell>
          <cell r="C131" t="str">
            <v xml:space="preserve">ZINC CLAD II ETHYL SILICATE BINDER </v>
          </cell>
          <cell r="D131">
            <v>219.91</v>
          </cell>
          <cell r="E131">
            <v>248.5</v>
          </cell>
          <cell r="F131">
            <v>314.16000000000003</v>
          </cell>
          <cell r="G131">
            <v>355</v>
          </cell>
        </row>
        <row r="132">
          <cell r="B132" t="str">
            <v xml:space="preserve"> </v>
          </cell>
          <cell r="C132" t="str">
            <v>NOTA : ( * ) MEZCLAR EN PROPORCION 1:1.  3.75 GALONES DE PARTE A</v>
          </cell>
        </row>
        <row r="133">
          <cell r="B133" t="str">
            <v xml:space="preserve"> </v>
          </cell>
          <cell r="C133" t="str">
            <v xml:space="preserve">                      CON 73 LBS DE PARTE B</v>
          </cell>
        </row>
        <row r="134">
          <cell r="B134" t="str">
            <v xml:space="preserve"> </v>
          </cell>
          <cell r="C134" t="str">
            <v>PARTE B ( * )</v>
          </cell>
        </row>
        <row r="135">
          <cell r="A135" t="str">
            <v>B69D11-73LBS</v>
          </cell>
          <cell r="B135" t="str">
            <v>PE</v>
          </cell>
          <cell r="C135" t="str">
            <v>ZINC CLAD II ETHYL SILICATE ZINC DUST (POLVO DE ZINC) (**)</v>
          </cell>
          <cell r="D135">
            <v>456.44</v>
          </cell>
          <cell r="E135">
            <v>515.78</v>
          </cell>
          <cell r="F135">
            <v>616.80999999999995</v>
          </cell>
          <cell r="G135">
            <v>697</v>
          </cell>
        </row>
        <row r="136">
          <cell r="B136" t="str">
            <v xml:space="preserve"> </v>
          </cell>
          <cell r="C136" t="str">
            <v xml:space="preserve">NOTA : ( * ) MEZCLAR EN PROPORCION 1:1.  73 LBS DE PARTE B CON  </v>
          </cell>
        </row>
        <row r="137">
          <cell r="B137" t="str">
            <v xml:space="preserve"> </v>
          </cell>
          <cell r="C137" t="str">
            <v xml:space="preserve">                      3.75 GALONES DE PARTE A</v>
          </cell>
        </row>
        <row r="138">
          <cell r="B138" t="str">
            <v xml:space="preserve"> </v>
          </cell>
          <cell r="C138" t="str">
            <v xml:space="preserve">SOLVENTE REDUCTOR: R7K54 EPOXY REDUCER </v>
          </cell>
        </row>
        <row r="139">
          <cell r="B139" t="str">
            <v xml:space="preserve"> </v>
          </cell>
        </row>
        <row r="140">
          <cell r="C140" t="str">
            <v>SEAGUARD 5000 HS EPOXY</v>
          </cell>
        </row>
        <row r="142">
          <cell r="A142" t="str">
            <v>N11A350-1</v>
          </cell>
          <cell r="B142" t="str">
            <v>LN</v>
          </cell>
          <cell r="C142" t="str">
            <v>SEAGUARD 5000 HS EPOXY GRAY PART A</v>
          </cell>
          <cell r="D142">
            <v>76.459999999999994</v>
          </cell>
          <cell r="E142">
            <v>86.4</v>
          </cell>
          <cell r="F142">
            <v>106.19</v>
          </cell>
          <cell r="G142">
            <v>120</v>
          </cell>
        </row>
        <row r="143">
          <cell r="A143" t="str">
            <v>N11V350-1</v>
          </cell>
          <cell r="B143" t="str">
            <v>LN</v>
          </cell>
          <cell r="C143" t="str">
            <v>SEAGUARD 5000 HS EPOXY GRAY PART B</v>
          </cell>
          <cell r="D143">
            <v>76.459999999999994</v>
          </cell>
          <cell r="E143">
            <v>86.4</v>
          </cell>
          <cell r="F143">
            <v>106.19</v>
          </cell>
          <cell r="G143">
            <v>120</v>
          </cell>
        </row>
        <row r="144">
          <cell r="B144" t="str">
            <v xml:space="preserve"> </v>
          </cell>
        </row>
        <row r="145">
          <cell r="B145" t="str">
            <v xml:space="preserve"> </v>
          </cell>
          <cell r="C145" t="str">
            <v>PISOS</v>
          </cell>
        </row>
        <row r="146">
          <cell r="B146" t="str">
            <v xml:space="preserve"> </v>
          </cell>
        </row>
        <row r="147">
          <cell r="C147" t="str">
            <v>TRAFFICOTE 105 SELF LEVELING SLURRY</v>
          </cell>
        </row>
        <row r="148">
          <cell r="A148" t="str">
            <v>GP3561A50-1</v>
          </cell>
          <cell r="B148" t="str">
            <v>RF</v>
          </cell>
          <cell r="C148" t="str">
            <v>EPOXY RESIN GLAZE GRAY PART A</v>
          </cell>
          <cell r="D148">
            <v>73.91</v>
          </cell>
          <cell r="E148">
            <v>83.52</v>
          </cell>
          <cell r="F148">
            <v>102.65</v>
          </cell>
          <cell r="G148">
            <v>116</v>
          </cell>
        </row>
        <row r="149">
          <cell r="A149" t="str">
            <v>GP3561B01-1/4</v>
          </cell>
          <cell r="B149" t="str">
            <v>RF</v>
          </cell>
          <cell r="C149" t="str">
            <v>EPOXY RESIN GLAZE PART B</v>
          </cell>
          <cell r="D149">
            <v>46.07</v>
          </cell>
          <cell r="E149">
            <v>52.06</v>
          </cell>
          <cell r="F149">
            <v>63.98</v>
          </cell>
          <cell r="G149">
            <v>72.3</v>
          </cell>
        </row>
        <row r="150">
          <cell r="A150" t="str">
            <v>GP5350C01-50LB</v>
          </cell>
          <cell r="B150" t="str">
            <v>RF</v>
          </cell>
          <cell r="C150" t="str">
            <v>TRAFFICOTE FILLER 325 SILICA FLOUR</v>
          </cell>
          <cell r="D150">
            <v>41.35</v>
          </cell>
          <cell r="E150">
            <v>46.73</v>
          </cell>
          <cell r="F150">
            <v>57.43</v>
          </cell>
          <cell r="G150">
            <v>64.900000000000006</v>
          </cell>
        </row>
        <row r="151">
          <cell r="C151" t="str">
            <v xml:space="preserve">NOTA: ( * ) UN KIT DE TRAFFICOTE 105 ESTÁ COMPUESTO DE 1 GALÓN DE PARTE A, 1 CUARTO DE PARTE B, 6 LB DE TRAFFICOTE FILLER 325 Y 17 LB DE DRY SILICA SAND. </v>
          </cell>
        </row>
        <row r="153">
          <cell r="C153" t="str">
            <v>AGREGADOS  (ARENAS CEMENTICIAS PARA EPOXICOS Y URETANOS)</v>
          </cell>
        </row>
        <row r="154">
          <cell r="A154" t="str">
            <v>GP5310C08-50LB</v>
          </cell>
          <cell r="B154" t="str">
            <v>RF</v>
          </cell>
          <cell r="C154" t="str">
            <v>5310 DRY SILICA SAND 20/40 MESH SAND</v>
          </cell>
          <cell r="D154">
            <v>19.690000000000001</v>
          </cell>
          <cell r="E154">
            <v>22.25</v>
          </cell>
          <cell r="F154">
            <v>27.35</v>
          </cell>
          <cell r="G154">
            <v>30.9</v>
          </cell>
        </row>
        <row r="155">
          <cell r="A155" t="str">
            <v xml:space="preserve">GP5310C03-50LB </v>
          </cell>
          <cell r="B155" t="str">
            <v>RF</v>
          </cell>
          <cell r="C155" t="str">
            <v>GP5310 DRY SILICA SAND 80-120</v>
          </cell>
          <cell r="D155">
            <v>30.78</v>
          </cell>
          <cell r="E155">
            <v>34.78</v>
          </cell>
          <cell r="F155">
            <v>42.74</v>
          </cell>
          <cell r="G155">
            <v>48.3</v>
          </cell>
        </row>
        <row r="156">
          <cell r="A156" t="str">
            <v xml:space="preserve">GP5310C07-50LB </v>
          </cell>
          <cell r="B156" t="str">
            <v>RF</v>
          </cell>
          <cell r="C156" t="str">
            <v>GP5310 DRY SILICA SAND 40-60</v>
          </cell>
          <cell r="D156">
            <v>22.24</v>
          </cell>
          <cell r="E156">
            <v>25.13</v>
          </cell>
          <cell r="F156">
            <v>30.88</v>
          </cell>
          <cell r="G156">
            <v>34.9</v>
          </cell>
        </row>
        <row r="158">
          <cell r="C158" t="str">
            <v>GP3746 HIGH PERFOMANCE SL EPOXY</v>
          </cell>
        </row>
        <row r="159">
          <cell r="A159" t="str">
            <v>GP3746A52-1</v>
          </cell>
          <cell r="B159" t="str">
            <v>LN</v>
          </cell>
          <cell r="C159" t="str">
            <v>HIGH PERFORMANCE EPOXY LIGHT GRAY PARTE A</v>
          </cell>
          <cell r="D159">
            <v>119.15</v>
          </cell>
          <cell r="E159">
            <v>134.63999999999999</v>
          </cell>
          <cell r="F159">
            <v>165.49</v>
          </cell>
          <cell r="G159">
            <v>187</v>
          </cell>
        </row>
        <row r="160">
          <cell r="A160" t="str">
            <v>GP3746A01-1</v>
          </cell>
          <cell r="B160" t="str">
            <v>LN</v>
          </cell>
          <cell r="C160" t="str">
            <v>HIGH PERFORMANCE SL EPOXY CLEAR PART A</v>
          </cell>
          <cell r="D160">
            <v>101.95</v>
          </cell>
          <cell r="E160">
            <v>115.2</v>
          </cell>
          <cell r="F160">
            <v>141.59</v>
          </cell>
          <cell r="G160">
            <v>160</v>
          </cell>
        </row>
        <row r="161">
          <cell r="A161" t="str">
            <v>GP3746W01-1</v>
          </cell>
          <cell r="B161" t="str">
            <v>RF</v>
          </cell>
          <cell r="C161" t="str">
            <v>GP3746   HIGH PERFORMANCE SL EPOXY   BASE EW PARTE A</v>
          </cell>
          <cell r="D161">
            <v>121.7</v>
          </cell>
          <cell r="E161">
            <v>137.52000000000001</v>
          </cell>
          <cell r="F161">
            <v>169.03</v>
          </cell>
          <cell r="G161">
            <v>191</v>
          </cell>
        </row>
        <row r="162">
          <cell r="A162" t="str">
            <v>GP3746B01-1</v>
          </cell>
          <cell r="B162" t="str">
            <v>LN</v>
          </cell>
          <cell r="C162" t="str">
            <v>HIGH PERFORMANCE SL EPOXY HARDENER PART B</v>
          </cell>
          <cell r="D162">
            <v>106.41</v>
          </cell>
          <cell r="E162">
            <v>120.24</v>
          </cell>
          <cell r="F162">
            <v>147.79</v>
          </cell>
          <cell r="G162">
            <v>167</v>
          </cell>
        </row>
        <row r="163">
          <cell r="C163" t="str">
            <v xml:space="preserve">NOTA : ( * ) MEZCLAR EN PROPORCION 2:1.  2 GALON DE PARTE A CON 1 </v>
          </cell>
        </row>
        <row r="164">
          <cell r="C164" t="str">
            <v xml:space="preserve">                      GALON DE PARTE B</v>
          </cell>
        </row>
        <row r="166">
          <cell r="B166" t="str">
            <v xml:space="preserve"> </v>
          </cell>
          <cell r="C166" t="str">
            <v>ARMORSEAL HS POLYURETHANE FLOOR ENAMEL</v>
          </cell>
        </row>
        <row r="167">
          <cell r="B167" t="str">
            <v xml:space="preserve"> </v>
          </cell>
          <cell r="C167" t="str">
            <v xml:space="preserve">RECUBRIMIENTO DE ALTO DESEMPEÑO PARA USO INTERIOR/EXTERIOR, EXCELENTE </v>
          </cell>
        </row>
        <row r="168">
          <cell r="B168" t="str">
            <v xml:space="preserve"> </v>
          </cell>
          <cell r="C168" t="str">
            <v>RESISTENCIA QUIMICA, RETENCIÓN DE BRILLO, COLOR Y RESISTENTE AL YESAMIENTO Y/O CALEO.</v>
          </cell>
        </row>
        <row r="169">
          <cell r="B169" t="str">
            <v xml:space="preserve"> </v>
          </cell>
        </row>
        <row r="170">
          <cell r="B170" t="str">
            <v xml:space="preserve"> </v>
          </cell>
          <cell r="C170" t="str">
            <v>PARTE A ( ** )</v>
          </cell>
        </row>
        <row r="171">
          <cell r="A171" t="str">
            <v>B65W220-1</v>
          </cell>
          <cell r="B171" t="str">
            <v>RF</v>
          </cell>
          <cell r="C171" t="str">
            <v>ARMORSEAL POLYURETHANE HS FLOOR ENAMEL EXTRA WHITE BASE PART A</v>
          </cell>
          <cell r="D171">
            <v>153.56</v>
          </cell>
          <cell r="E171">
            <v>173.52</v>
          </cell>
          <cell r="F171">
            <v>213.27</v>
          </cell>
          <cell r="G171">
            <v>241</v>
          </cell>
        </row>
        <row r="172">
          <cell r="A172" t="str">
            <v>B65A220-1</v>
          </cell>
          <cell r="B172" t="str">
            <v>RF</v>
          </cell>
          <cell r="C172" t="str">
            <v>ARMORSEAL POLYURETHANE HS FLOOR ENAMEL HAZA GRAY PART A</v>
          </cell>
          <cell r="D172">
            <v>147.82</v>
          </cell>
          <cell r="E172">
            <v>167.04</v>
          </cell>
          <cell r="F172">
            <v>205.31</v>
          </cell>
          <cell r="G172">
            <v>232</v>
          </cell>
        </row>
        <row r="173">
          <cell r="A173" t="str">
            <v>B65T220-1</v>
          </cell>
          <cell r="B173" t="str">
            <v>PE</v>
          </cell>
          <cell r="C173" t="str">
            <v xml:space="preserve">ARMORSEAL POLYURETHANE HS FLOOR ENAMEL ULTRADEEP BASE PART A </v>
          </cell>
          <cell r="D173">
            <v>165.66</v>
          </cell>
          <cell r="E173">
            <v>187.2</v>
          </cell>
          <cell r="F173">
            <v>230.09</v>
          </cell>
          <cell r="G173">
            <v>260</v>
          </cell>
        </row>
        <row r="174">
          <cell r="B174" t="str">
            <v xml:space="preserve"> </v>
          </cell>
          <cell r="C174" t="str">
            <v>NOTA : ( ** ) MEZCLAR EN PROPORCION 2:1.  2 PARTES A CON</v>
          </cell>
        </row>
        <row r="175">
          <cell r="B175" t="str">
            <v xml:space="preserve"> </v>
          </cell>
        </row>
        <row r="176">
          <cell r="B176" t="str">
            <v xml:space="preserve"> </v>
          </cell>
          <cell r="C176" t="str">
            <v>PARTE B</v>
          </cell>
        </row>
        <row r="177">
          <cell r="A177" t="str">
            <v>B65V220-1</v>
          </cell>
          <cell r="B177" t="str">
            <v>RF</v>
          </cell>
          <cell r="C177" t="str">
            <v>ARMORSEAL POLYURETHANE HS FLOOR ENAMEL HARDENER PART B</v>
          </cell>
          <cell r="D177">
            <v>132.94</v>
          </cell>
          <cell r="E177">
            <v>150.22</v>
          </cell>
          <cell r="F177">
            <v>179.65</v>
          </cell>
          <cell r="G177">
            <v>203</v>
          </cell>
        </row>
        <row r="179">
          <cell r="C179" t="str">
            <v>ARMORSEAL 8100 WATERBASED EPOXY</v>
          </cell>
        </row>
        <row r="181">
          <cell r="A181" t="str">
            <v>B70W8111-1</v>
          </cell>
          <cell r="B181" t="str">
            <v>RF</v>
          </cell>
          <cell r="C181" t="str">
            <v>ARMORSEAL 8100 WB EPOXY EXTRA WHITE PARTE A</v>
          </cell>
          <cell r="D181">
            <v>121.7</v>
          </cell>
          <cell r="E181">
            <v>137.52000000000001</v>
          </cell>
          <cell r="F181">
            <v>169.03</v>
          </cell>
          <cell r="G181">
            <v>191</v>
          </cell>
        </row>
        <row r="182">
          <cell r="A182" t="str">
            <v>B70W8113-1</v>
          </cell>
          <cell r="B182" t="str">
            <v>PE</v>
          </cell>
          <cell r="C182" t="str">
            <v>ARMORSEAL FLOOR-PLEX 8100 WB EPOXY - DEEP BASE, PARTE A</v>
          </cell>
          <cell r="D182">
            <v>121.7</v>
          </cell>
          <cell r="E182">
            <v>137.52000000000001</v>
          </cell>
          <cell r="F182">
            <v>169.03</v>
          </cell>
          <cell r="G182">
            <v>191</v>
          </cell>
        </row>
        <row r="183">
          <cell r="A183" t="str">
            <v>B70T8104-1</v>
          </cell>
          <cell r="B183" t="str">
            <v>PE</v>
          </cell>
          <cell r="C183" t="str">
            <v>ARMORSEAL FLOOR-PLEX 8100 WB EPOXY - GLOSS ULTRA DEEP, PARTE A</v>
          </cell>
          <cell r="D183">
            <v>121.7</v>
          </cell>
          <cell r="E183">
            <v>137.52000000000001</v>
          </cell>
          <cell r="F183">
            <v>169.03</v>
          </cell>
          <cell r="G183">
            <v>191</v>
          </cell>
        </row>
        <row r="184">
          <cell r="A184" t="str">
            <v>B70V8100-1/4</v>
          </cell>
          <cell r="B184" t="str">
            <v>RF</v>
          </cell>
          <cell r="C184" t="str">
            <v>ARMORSEAL 8100 WB EPOXY HARDENER PARTE B</v>
          </cell>
          <cell r="D184">
            <v>27.97</v>
          </cell>
          <cell r="E184">
            <v>31.61</v>
          </cell>
          <cell r="F184">
            <v>38.85</v>
          </cell>
          <cell r="G184">
            <v>43.9</v>
          </cell>
        </row>
        <row r="186">
          <cell r="C186" t="str">
            <v>MEZCLA 4:1     DILUYENTE AGUA POTABLE</v>
          </cell>
        </row>
        <row r="188">
          <cell r="C188" t="str">
            <v>SISTEMAS GENERAL POLYMERS</v>
          </cell>
        </row>
        <row r="190">
          <cell r="C190" t="str">
            <v xml:space="preserve">URETANOS CEMENTICIOS PARA PISOS DE BEBIDAS &amp; ALIMENTOS, 7/24 HUEMDOS, </v>
          </cell>
        </row>
        <row r="191">
          <cell r="C191" t="str">
            <v xml:space="preserve">CUARTOS FRIOS CON SANITIZACION CONSTANTE </v>
          </cell>
        </row>
        <row r="193">
          <cell r="A193" t="str">
            <v>GPDFPSLGY-1</v>
          </cell>
          <cell r="B193" t="str">
            <v>NUEVO</v>
          </cell>
          <cell r="C193" t="str">
            <v>POLYCRETE SL PART A LIGHT GRAY</v>
          </cell>
          <cell r="D193">
            <v>49.7</v>
          </cell>
          <cell r="E193">
            <v>56.16</v>
          </cell>
          <cell r="F193">
            <v>69.03</v>
          </cell>
          <cell r="G193">
            <v>78</v>
          </cell>
        </row>
        <row r="194">
          <cell r="A194" t="str">
            <v>GPDFPSLB1-1</v>
          </cell>
          <cell r="B194" t="str">
            <v>NUEVO</v>
          </cell>
          <cell r="C194" t="str">
            <v>POLYCRETE SL PART B HARDENER</v>
          </cell>
          <cell r="D194">
            <v>82.83</v>
          </cell>
          <cell r="E194">
            <v>93.6</v>
          </cell>
          <cell r="F194">
            <v>115.04</v>
          </cell>
          <cell r="G194">
            <v>130</v>
          </cell>
        </row>
        <row r="195">
          <cell r="A195" t="str">
            <v>GPDFPSLAG-27LB</v>
          </cell>
          <cell r="B195" t="str">
            <v>NUEVO</v>
          </cell>
          <cell r="C195" t="str">
            <v xml:space="preserve">POLYCRETE SL PART C AGGREGATE </v>
          </cell>
          <cell r="D195">
            <v>42.11</v>
          </cell>
          <cell r="E195">
            <v>47.58</v>
          </cell>
          <cell r="F195">
            <v>58.41</v>
          </cell>
          <cell r="G195">
            <v>66</v>
          </cell>
        </row>
        <row r="196">
          <cell r="C196" t="str">
            <v>MEZCLA DE LOS 3 COMPONENTES (kit) es 1:1:1 da un rendimiento de 5 m2/ kit @ 3 mm</v>
          </cell>
        </row>
        <row r="198">
          <cell r="C198" t="str">
            <v>ACABADO POLIURETANO BASE AGUA: ACROLON 100 WATERBASED POLYURETHANE</v>
          </cell>
        </row>
        <row r="199">
          <cell r="C199" t="str">
            <v>POLIURETANO ACRILICO ALIFATICO BASE AGUA DE BAJO OLOR Y VOC</v>
          </cell>
        </row>
        <row r="200">
          <cell r="C200" t="str">
            <v>PARA AREAS DE PAREDES, CIELOS, EQUIPOS , MAQUINARIAS, ETC. CUMPLE CERTIFICACION LEED V4.1</v>
          </cell>
        </row>
        <row r="201">
          <cell r="C201" t="str">
            <v>FABRICAS DE BEBIDAS y ALIMNETOS, SEGMENTO FARMACEUTICO Y CENTROS DE SALUD</v>
          </cell>
        </row>
        <row r="203">
          <cell r="A203" t="str">
            <v>B65W921-1</v>
          </cell>
          <cell r="B203" t="str">
            <v xml:space="preserve">NUEVO </v>
          </cell>
          <cell r="C203" t="str">
            <v>PRO INDUSTRIAL WATERBASED ACROLON  100 EXTRA WHITE PART A</v>
          </cell>
          <cell r="D203">
            <v>85.13</v>
          </cell>
          <cell r="E203">
            <v>96.2</v>
          </cell>
          <cell r="F203">
            <v>115.04</v>
          </cell>
          <cell r="G203">
            <v>130</v>
          </cell>
        </row>
        <row r="204">
          <cell r="A204" t="str">
            <v>B65T924-1</v>
          </cell>
          <cell r="B204" t="str">
            <v>PE</v>
          </cell>
          <cell r="C204" t="str">
            <v>PRO INDUSTRIAL WATERBASED ACROLON  100 BASE ULTRA DEEP PART A</v>
          </cell>
          <cell r="D204">
            <v>85.13</v>
          </cell>
          <cell r="E204">
            <v>96.2</v>
          </cell>
          <cell r="F204">
            <v>115.04</v>
          </cell>
          <cell r="G204">
            <v>130</v>
          </cell>
        </row>
        <row r="205">
          <cell r="A205" t="str">
            <v>B65V620-1/4</v>
          </cell>
          <cell r="B205" t="str">
            <v>NUEVO</v>
          </cell>
          <cell r="C205" t="str">
            <v>PRO INDUSTRIAL WATERBASED ACROLON 100EXTRA ENDURECEDOR PART B</v>
          </cell>
          <cell r="D205">
            <v>54.29</v>
          </cell>
          <cell r="E205">
            <v>61.35</v>
          </cell>
          <cell r="F205">
            <v>73.36</v>
          </cell>
          <cell r="G205">
            <v>82.9</v>
          </cell>
        </row>
        <row r="207">
          <cell r="C207" t="str">
            <v>ACABADO EPOXICO BASE AGUA</v>
          </cell>
        </row>
        <row r="208">
          <cell r="A208" t="str">
            <v>B73W311-1</v>
          </cell>
          <cell r="C208" t="str">
            <v>PRO-INDUSTRIAL WATERBASED CATALIZED EPOXY EXTRA WHITE PARTE A</v>
          </cell>
          <cell r="D208">
            <v>73.27</v>
          </cell>
          <cell r="E208">
            <v>82.8</v>
          </cell>
          <cell r="F208">
            <v>101.77</v>
          </cell>
          <cell r="G208">
            <v>115</v>
          </cell>
        </row>
        <row r="209">
          <cell r="A209" t="str">
            <v>B73V300-1/4</v>
          </cell>
          <cell r="C209" t="str">
            <v>PRO-INDUSTRIAL  WATERBASED CATALIZED EPOXY HARDENER PARTE B</v>
          </cell>
          <cell r="D209">
            <v>26.06</v>
          </cell>
          <cell r="E209">
            <v>29.45</v>
          </cell>
          <cell r="F209">
            <v>36.19</v>
          </cell>
          <cell r="G209">
            <v>40.9</v>
          </cell>
        </row>
        <row r="211">
          <cell r="C211" t="str">
            <v>MACROPOXI 5500 LT PARA AGUA POTABLE</v>
          </cell>
        </row>
        <row r="212">
          <cell r="C212" t="str">
            <v xml:space="preserve">PARA USO EN TANQUES DE ALMACENAMIENTO DE AGUA POTABLE Y PLANTAS DE TRATAMIENTO </v>
          </cell>
        </row>
        <row r="213">
          <cell r="C213" t="str">
            <v>DE AGUA POTABLE</v>
          </cell>
        </row>
        <row r="214">
          <cell r="A214" t="str">
            <v>B58WX745-1</v>
          </cell>
          <cell r="B214" t="str">
            <v>NUEVO</v>
          </cell>
          <cell r="C214" t="str">
            <v>MACROPOXY 5500LT EPOXY PARTE A BLANCO</v>
          </cell>
          <cell r="D214">
            <v>90.44</v>
          </cell>
          <cell r="E214">
            <v>102.2</v>
          </cell>
          <cell r="F214">
            <v>129.19999999999999</v>
          </cell>
          <cell r="G214">
            <v>146</v>
          </cell>
        </row>
        <row r="215">
          <cell r="A215" t="str">
            <v>B58VX740-1</v>
          </cell>
          <cell r="B215" t="str">
            <v>NUEVO</v>
          </cell>
          <cell r="C215" t="str">
            <v>MACROPOXY 5500LT EPOXY PARTE B ENDURECEDOR ESTANDAR</v>
          </cell>
          <cell r="D215">
            <v>90.44</v>
          </cell>
          <cell r="E215">
            <v>102.2</v>
          </cell>
          <cell r="F215">
            <v>129.19999999999999</v>
          </cell>
          <cell r="G215">
            <v>146</v>
          </cell>
        </row>
        <row r="217">
          <cell r="A217" t="str">
            <v>B58WX745-5</v>
          </cell>
          <cell r="B217" t="str">
            <v>NUEVO</v>
          </cell>
          <cell r="C217" t="str">
            <v>MACROPOXY 5500LT EPOXY PARTE A BLANCO</v>
          </cell>
          <cell r="D217">
            <v>446.02</v>
          </cell>
          <cell r="E217">
            <v>504</v>
          </cell>
          <cell r="F217">
            <v>637.16999999999996</v>
          </cell>
          <cell r="G217">
            <v>720</v>
          </cell>
        </row>
        <row r="218">
          <cell r="A218" t="str">
            <v>B58VX740-5</v>
          </cell>
          <cell r="B218" t="str">
            <v>NUEVO</v>
          </cell>
          <cell r="C218" t="str">
            <v>MACROPOXY 5500LT EPOXY PARTE B ENDURECEDOR ESTANDAR</v>
          </cell>
          <cell r="D218">
            <v>446.02</v>
          </cell>
          <cell r="E218">
            <v>504</v>
          </cell>
          <cell r="F218">
            <v>637.16999999999996</v>
          </cell>
          <cell r="G218">
            <v>720</v>
          </cell>
        </row>
        <row r="220">
          <cell r="C220" t="str">
            <v>TINTES INDUSTRIALES GIS</v>
          </cell>
        </row>
        <row r="222">
          <cell r="A222" t="str">
            <v>AC0070724-1/4</v>
          </cell>
          <cell r="B222" t="str">
            <v>NUEVO</v>
          </cell>
          <cell r="C222" t="str">
            <v xml:space="preserve">GIS RED-SHADE YELL            </v>
          </cell>
          <cell r="D222">
            <v>51.08</v>
          </cell>
          <cell r="E222">
            <v>57.72</v>
          </cell>
          <cell r="F222">
            <v>69.03</v>
          </cell>
          <cell r="G222">
            <v>78</v>
          </cell>
        </row>
        <row r="223">
          <cell r="A223" t="str">
            <v>AC0041675-1/4</v>
          </cell>
          <cell r="B223" t="str">
            <v>NUEVO</v>
          </cell>
          <cell r="C223" t="str">
            <v xml:space="preserve">GIS ORANGE                    </v>
          </cell>
          <cell r="D223">
            <v>51.08</v>
          </cell>
          <cell r="E223">
            <v>57.72</v>
          </cell>
          <cell r="F223">
            <v>69.03</v>
          </cell>
          <cell r="G223">
            <v>78</v>
          </cell>
        </row>
        <row r="224">
          <cell r="A224" t="str">
            <v>AC0041674-1/4</v>
          </cell>
          <cell r="B224" t="str">
            <v>NUEVO</v>
          </cell>
          <cell r="C224" t="str">
            <v xml:space="preserve">GIS MAGENTA                   </v>
          </cell>
          <cell r="D224">
            <v>51.08</v>
          </cell>
          <cell r="E224">
            <v>57.72</v>
          </cell>
          <cell r="F224">
            <v>69.03</v>
          </cell>
          <cell r="G224">
            <v>78</v>
          </cell>
        </row>
        <row r="225">
          <cell r="A225" t="str">
            <v>AC0041673-1/4</v>
          </cell>
          <cell r="B225" t="str">
            <v>NUEVO</v>
          </cell>
          <cell r="C225" t="str">
            <v xml:space="preserve">GIS DPP RED                   </v>
          </cell>
          <cell r="D225">
            <v>51.08</v>
          </cell>
          <cell r="E225">
            <v>57.72</v>
          </cell>
          <cell r="F225">
            <v>69.03</v>
          </cell>
          <cell r="G225">
            <v>78</v>
          </cell>
        </row>
        <row r="226">
          <cell r="A226" t="str">
            <v>AC0001741-1/4</v>
          </cell>
          <cell r="B226" t="str">
            <v>NUEVO</v>
          </cell>
          <cell r="C226" t="str">
            <v xml:space="preserve">GIS WHITE                     </v>
          </cell>
          <cell r="D226">
            <v>51.08</v>
          </cell>
          <cell r="E226">
            <v>57.72</v>
          </cell>
          <cell r="F226">
            <v>69.03</v>
          </cell>
          <cell r="G226">
            <v>78</v>
          </cell>
        </row>
        <row r="227">
          <cell r="A227" t="str">
            <v>AC0009736-1/4</v>
          </cell>
          <cell r="B227" t="str">
            <v>NUEVO</v>
          </cell>
          <cell r="C227" t="str">
            <v xml:space="preserve">GIS PHTHALO GREEN             </v>
          </cell>
          <cell r="D227">
            <v>51.08</v>
          </cell>
          <cell r="E227">
            <v>57.72</v>
          </cell>
          <cell r="F227">
            <v>69.03</v>
          </cell>
          <cell r="G227">
            <v>78</v>
          </cell>
        </row>
        <row r="228">
          <cell r="A228" t="str">
            <v>AC0008573-1/4</v>
          </cell>
          <cell r="B228" t="str">
            <v>NUEVO</v>
          </cell>
          <cell r="C228" t="str">
            <v xml:space="preserve">GIS BURNT UMBER               </v>
          </cell>
          <cell r="D228">
            <v>51.08</v>
          </cell>
          <cell r="E228">
            <v>57.72</v>
          </cell>
          <cell r="F228">
            <v>69.03</v>
          </cell>
          <cell r="G228">
            <v>78</v>
          </cell>
        </row>
        <row r="229">
          <cell r="A229" t="str">
            <v>AC0041683-1/4</v>
          </cell>
          <cell r="B229" t="str">
            <v>NUEVO</v>
          </cell>
          <cell r="C229" t="str">
            <v xml:space="preserve">GIS RED OXIDE                 </v>
          </cell>
          <cell r="D229">
            <v>51.08</v>
          </cell>
          <cell r="E229">
            <v>57.72</v>
          </cell>
          <cell r="F229">
            <v>69.03</v>
          </cell>
          <cell r="G229">
            <v>78</v>
          </cell>
        </row>
        <row r="230">
          <cell r="A230" t="str">
            <v>AC0070726-1/4</v>
          </cell>
          <cell r="B230" t="str">
            <v>NUEVO</v>
          </cell>
          <cell r="C230" t="str">
            <v xml:space="preserve">GIS YELLOW OXIDE              </v>
          </cell>
          <cell r="D230">
            <v>51.08</v>
          </cell>
          <cell r="E230">
            <v>57.72</v>
          </cell>
          <cell r="F230">
            <v>69.03</v>
          </cell>
          <cell r="G230">
            <v>78</v>
          </cell>
        </row>
        <row r="231">
          <cell r="A231" t="str">
            <v>AC0070725-1/4</v>
          </cell>
          <cell r="B231" t="str">
            <v>NUEVO</v>
          </cell>
          <cell r="C231" t="str">
            <v xml:space="preserve">GIS G/S YELLOW                </v>
          </cell>
          <cell r="D231">
            <v>51.08</v>
          </cell>
          <cell r="E231">
            <v>57.72</v>
          </cell>
          <cell r="F231">
            <v>69.03</v>
          </cell>
          <cell r="G231">
            <v>78</v>
          </cell>
        </row>
        <row r="232">
          <cell r="A232" t="str">
            <v>AC0030091-1/4</v>
          </cell>
          <cell r="B232" t="str">
            <v>NUEVO</v>
          </cell>
          <cell r="C232" t="str">
            <v xml:space="preserve">GIS BLACK                     </v>
          </cell>
          <cell r="D232">
            <v>51.08</v>
          </cell>
          <cell r="E232">
            <v>57.72</v>
          </cell>
          <cell r="F232">
            <v>69.03</v>
          </cell>
          <cell r="G232">
            <v>78</v>
          </cell>
        </row>
        <row r="233">
          <cell r="A233" t="str">
            <v>AC0050147-1/4</v>
          </cell>
          <cell r="B233" t="str">
            <v>NUEVO</v>
          </cell>
          <cell r="C233" t="str">
            <v xml:space="preserve">GIS PHTHALO BLUE              </v>
          </cell>
          <cell r="D233">
            <v>51.08</v>
          </cell>
          <cell r="E233">
            <v>57.72</v>
          </cell>
          <cell r="F233">
            <v>69.03</v>
          </cell>
          <cell r="G233">
            <v>78</v>
          </cell>
        </row>
      </sheetData>
      <sheetData sheetId="5">
        <row r="1">
          <cell r="C1" t="str">
            <v>LINEA MADERA - ABRIL 2026</v>
          </cell>
        </row>
        <row r="2">
          <cell r="A2" t="str">
            <v>CÓDIGO</v>
          </cell>
          <cell r="B2" t="str">
            <v>LN=LINEA
PE= ESPECIAL
DESC=DESCONTINUADO</v>
          </cell>
          <cell r="C2" t="str">
            <v>NOMBRE Y DESCRIPCION DEL PRODUCTO</v>
          </cell>
          <cell r="D2" t="str">
            <v>PAD 
ABRIL 2026 SIN IVA</v>
          </cell>
          <cell r="E2" t="str">
            <v>PAD 
ABRIL 2026 CON IVA</v>
          </cell>
          <cell r="F2" t="str">
            <v>PSM 
ABRIL 2026 SIN IVA</v>
          </cell>
          <cell r="G2" t="str">
            <v>PSM 
ABRIL 2026 CON IVA</v>
          </cell>
        </row>
        <row r="3">
          <cell r="C3" t="str">
            <v>TAPAPORO PARA MADERA</v>
          </cell>
        </row>
        <row r="4">
          <cell r="A4" t="str">
            <v>D70T1-1/4</v>
          </cell>
          <cell r="B4" t="str">
            <v>LN</v>
          </cell>
          <cell r="C4" t="str">
            <v>TAPAPORO PARA MADERA NATURAL</v>
          </cell>
          <cell r="D4">
            <v>6.56</v>
          </cell>
          <cell r="E4">
            <v>7.41</v>
          </cell>
          <cell r="F4">
            <v>8.41</v>
          </cell>
          <cell r="G4">
            <v>9.5</v>
          </cell>
        </row>
        <row r="5">
          <cell r="A5" t="str">
            <v>D70T1-1</v>
          </cell>
          <cell r="B5" t="str">
            <v>LN</v>
          </cell>
          <cell r="C5" t="str">
            <v>TAPAPORO PARA MADERA NATURAL</v>
          </cell>
          <cell r="D5">
            <v>21.05</v>
          </cell>
          <cell r="E5">
            <v>23.79</v>
          </cell>
          <cell r="F5">
            <v>26.99</v>
          </cell>
          <cell r="G5">
            <v>30.5</v>
          </cell>
        </row>
        <row r="6">
          <cell r="E6" t="str">
            <v/>
          </cell>
        </row>
        <row r="7">
          <cell r="C7" t="str">
            <v>MASILLA BASE AGUA EXTERIOR/INTERIOR</v>
          </cell>
          <cell r="E7" t="str">
            <v/>
          </cell>
        </row>
        <row r="8">
          <cell r="E8" t="str">
            <v/>
          </cell>
        </row>
        <row r="9">
          <cell r="A9" t="str">
            <v>D80NSA1-7ONZ</v>
          </cell>
          <cell r="B9" t="str">
            <v>LN</v>
          </cell>
          <cell r="C9" t="str">
            <v>MASILLA BASE AGUA PARA MADERA CAOBA</v>
          </cell>
          <cell r="D9">
            <v>2.23</v>
          </cell>
          <cell r="E9">
            <v>2.52</v>
          </cell>
          <cell r="F9">
            <v>3.1</v>
          </cell>
          <cell r="G9">
            <v>3.5</v>
          </cell>
        </row>
        <row r="10">
          <cell r="A10" t="str">
            <v>D80YSA1-7ONZ</v>
          </cell>
          <cell r="B10" t="str">
            <v>LN</v>
          </cell>
          <cell r="C10" t="str">
            <v>MASILLA BASE AGUA PARA MADERA PINO</v>
          </cell>
          <cell r="D10">
            <v>2.23</v>
          </cell>
          <cell r="E10">
            <v>2.52</v>
          </cell>
          <cell r="F10">
            <v>3.1</v>
          </cell>
          <cell r="G10">
            <v>3.5</v>
          </cell>
        </row>
        <row r="11">
          <cell r="E11" t="str">
            <v/>
          </cell>
        </row>
        <row r="12">
          <cell r="A12" t="str">
            <v>D80NSA1-28ONZ</v>
          </cell>
          <cell r="B12" t="str">
            <v>LN</v>
          </cell>
          <cell r="C12" t="str">
            <v>MASILLA BASE AGUA PARA MADERA CAOBA</v>
          </cell>
          <cell r="D12">
            <v>4.4000000000000004</v>
          </cell>
          <cell r="E12">
            <v>4.97</v>
          </cell>
          <cell r="F12">
            <v>6.11</v>
          </cell>
          <cell r="G12">
            <v>6.9</v>
          </cell>
        </row>
        <row r="13">
          <cell r="A13" t="str">
            <v>D80YSA1-28ONZ</v>
          </cell>
          <cell r="B13" t="str">
            <v>LN</v>
          </cell>
          <cell r="C13" t="str">
            <v>MASILLA BASE AGUA PARA MADERA PINO</v>
          </cell>
          <cell r="D13">
            <v>4.4000000000000004</v>
          </cell>
          <cell r="E13">
            <v>4.97</v>
          </cell>
          <cell r="F13">
            <v>6.11</v>
          </cell>
          <cell r="G13">
            <v>6.9</v>
          </cell>
        </row>
        <row r="14">
          <cell r="E14" t="str">
            <v/>
          </cell>
        </row>
        <row r="15">
          <cell r="C15" t="str">
            <v>PRESERVANTE PARA MADERA</v>
          </cell>
          <cell r="E15" t="str">
            <v/>
          </cell>
        </row>
        <row r="16">
          <cell r="E16" t="str">
            <v/>
          </cell>
        </row>
        <row r="17">
          <cell r="A17" t="str">
            <v>A17VSA3-1</v>
          </cell>
          <cell r="B17" t="str">
            <v>LN</v>
          </cell>
          <cell r="C17" t="str">
            <v>PRESERVANTE PARA MADERA TRANSPARENTE</v>
          </cell>
          <cell r="D17">
            <v>20.96</v>
          </cell>
          <cell r="E17">
            <v>23.69</v>
          </cell>
          <cell r="F17">
            <v>29.12</v>
          </cell>
          <cell r="G17">
            <v>32.9</v>
          </cell>
        </row>
        <row r="18">
          <cell r="A18" t="str">
            <v>A17VSA3-BOT</v>
          </cell>
          <cell r="B18" t="str">
            <v>LN</v>
          </cell>
          <cell r="C18" t="str">
            <v>PRESERVANTE PARA MADERA TRANSPARENTE</v>
          </cell>
          <cell r="D18">
            <v>5.73</v>
          </cell>
          <cell r="E18">
            <v>6.48</v>
          </cell>
          <cell r="F18">
            <v>7.96</v>
          </cell>
          <cell r="G18">
            <v>9</v>
          </cell>
        </row>
        <row r="19">
          <cell r="E19" t="str">
            <v/>
          </cell>
        </row>
        <row r="20">
          <cell r="C20" t="str">
            <v>LIMPIADORES PARA MUEBLES</v>
          </cell>
          <cell r="E20" t="str">
            <v/>
          </cell>
        </row>
        <row r="21">
          <cell r="E21" t="str">
            <v/>
          </cell>
        </row>
        <row r="22">
          <cell r="A22" t="str">
            <v>R99CSA1-BOT</v>
          </cell>
          <cell r="B22" t="str">
            <v>LN</v>
          </cell>
          <cell r="C22" t="str">
            <v>LIMPIADOR INDUSTRIAL PARA MADERA</v>
          </cell>
          <cell r="D22">
            <v>4.1399999999999997</v>
          </cell>
          <cell r="E22">
            <v>4.68</v>
          </cell>
          <cell r="F22">
            <v>5.75</v>
          </cell>
          <cell r="G22">
            <v>6.5</v>
          </cell>
        </row>
        <row r="23">
          <cell r="A23" t="str">
            <v>R99CSA1-1</v>
          </cell>
          <cell r="B23" t="str">
            <v>LN</v>
          </cell>
          <cell r="C23" t="str">
            <v>LIMPIADOR INDUSTRIAL PARA MADERA</v>
          </cell>
          <cell r="D23">
            <v>18.420000000000002</v>
          </cell>
          <cell r="E23">
            <v>20.81</v>
          </cell>
          <cell r="F23">
            <v>25.58</v>
          </cell>
          <cell r="G23">
            <v>28.9</v>
          </cell>
        </row>
        <row r="24">
          <cell r="E24" t="str">
            <v/>
          </cell>
        </row>
        <row r="25">
          <cell r="C25" t="str">
            <v>PEGAMENTO COLA BLANCA PARA MADERA</v>
          </cell>
          <cell r="E25" t="str">
            <v/>
          </cell>
        </row>
        <row r="26">
          <cell r="E26" t="str">
            <v/>
          </cell>
        </row>
        <row r="27">
          <cell r="A27" t="str">
            <v>B71TSA1-1</v>
          </cell>
          <cell r="B27" t="str">
            <v>LN</v>
          </cell>
          <cell r="C27" t="str">
            <v>COLA PARA MADERA BLANCA</v>
          </cell>
          <cell r="D27">
            <v>15.17</v>
          </cell>
          <cell r="E27">
            <v>17.14</v>
          </cell>
          <cell r="F27">
            <v>18.5</v>
          </cell>
          <cell r="G27">
            <v>20.9</v>
          </cell>
        </row>
        <row r="28">
          <cell r="A28" t="str">
            <v>B71TSA1-5</v>
          </cell>
          <cell r="B28" t="str">
            <v>LN</v>
          </cell>
          <cell r="C28" t="str">
            <v>COLA PARA MADERA BLANCA</v>
          </cell>
          <cell r="D28">
            <v>70.75</v>
          </cell>
          <cell r="E28">
            <v>79.95</v>
          </cell>
          <cell r="F28">
            <v>86.28</v>
          </cell>
          <cell r="G28">
            <v>97.5</v>
          </cell>
        </row>
        <row r="29">
          <cell r="A29" t="str">
            <v>B71TSA1-1/4</v>
          </cell>
          <cell r="B29" t="str">
            <v>LN</v>
          </cell>
          <cell r="C29" t="str">
            <v>COLA PARA MADERA BLANCA</v>
          </cell>
          <cell r="D29">
            <v>5.08</v>
          </cell>
          <cell r="E29">
            <v>5.74</v>
          </cell>
          <cell r="F29">
            <v>6.19</v>
          </cell>
          <cell r="G29">
            <v>7</v>
          </cell>
        </row>
        <row r="30">
          <cell r="A30" t="str">
            <v>B71TSA1-1/8</v>
          </cell>
          <cell r="B30" t="str">
            <v>LN</v>
          </cell>
          <cell r="C30" t="str">
            <v>COLA PARA MADERA BLANCA</v>
          </cell>
          <cell r="D30">
            <v>3.56</v>
          </cell>
          <cell r="E30">
            <v>4.0199999999999996</v>
          </cell>
          <cell r="F30">
            <v>4.34</v>
          </cell>
          <cell r="G30">
            <v>4.9000000000000004</v>
          </cell>
        </row>
        <row r="31">
          <cell r="A31" t="str">
            <v>B71TSA1-1/16</v>
          </cell>
          <cell r="B31" t="str">
            <v>LN</v>
          </cell>
          <cell r="C31" t="str">
            <v>COLA PARA MADERA BLANCA</v>
          </cell>
          <cell r="D31">
            <v>2.11</v>
          </cell>
          <cell r="E31">
            <v>2.38</v>
          </cell>
          <cell r="F31">
            <v>2.57</v>
          </cell>
          <cell r="G31">
            <v>2.9</v>
          </cell>
        </row>
        <row r="32">
          <cell r="E32" t="str">
            <v/>
          </cell>
        </row>
        <row r="33">
          <cell r="C33" t="str">
            <v>TINTES AL THINNER PARA MADERA INTERIOR</v>
          </cell>
          <cell r="E33" t="str">
            <v/>
          </cell>
        </row>
        <row r="34">
          <cell r="E34" t="str">
            <v/>
          </cell>
        </row>
        <row r="35">
          <cell r="A35" t="str">
            <v>S61B3-BOT</v>
          </cell>
          <cell r="B35" t="str">
            <v>LN</v>
          </cell>
          <cell r="C35" t="str">
            <v>TINTE AL THINNER (ALCOHOL) NEGRO</v>
          </cell>
          <cell r="D35">
            <v>6.5</v>
          </cell>
          <cell r="E35">
            <v>7.35</v>
          </cell>
          <cell r="F35">
            <v>9.2899999999999991</v>
          </cell>
          <cell r="G35">
            <v>10.5</v>
          </cell>
        </row>
        <row r="36">
          <cell r="A36" t="str">
            <v>S61N8-BOT</v>
          </cell>
          <cell r="B36" t="str">
            <v>LN</v>
          </cell>
          <cell r="C36" t="str">
            <v>TINTE AL THINNER (ALCOHOL) CAFÉ</v>
          </cell>
          <cell r="D36">
            <v>6.5</v>
          </cell>
          <cell r="E36">
            <v>7.35</v>
          </cell>
          <cell r="F36">
            <v>9.2899999999999991</v>
          </cell>
          <cell r="G36">
            <v>10.5</v>
          </cell>
        </row>
        <row r="37">
          <cell r="A37" t="str">
            <v>S61R3-BOT</v>
          </cell>
          <cell r="B37" t="str">
            <v>LN</v>
          </cell>
          <cell r="C37" t="str">
            <v>TINTE AL THINNER (ALCOHOL) ROJO</v>
          </cell>
          <cell r="D37">
            <v>6.5</v>
          </cell>
          <cell r="E37">
            <v>7.35</v>
          </cell>
          <cell r="F37">
            <v>9.2899999999999991</v>
          </cell>
          <cell r="G37">
            <v>10.5</v>
          </cell>
        </row>
        <row r="38">
          <cell r="A38" t="str">
            <v>S61Y3-BOT</v>
          </cell>
          <cell r="B38" t="str">
            <v>LN</v>
          </cell>
          <cell r="C38" t="str">
            <v>TINTE AL THINNER (ALCOHOL) AMARILLO</v>
          </cell>
          <cell r="D38">
            <v>6.5</v>
          </cell>
          <cell r="E38">
            <v>7.35</v>
          </cell>
          <cell r="F38">
            <v>9.2899999999999991</v>
          </cell>
          <cell r="G38">
            <v>10.5</v>
          </cell>
        </row>
        <row r="39">
          <cell r="A39" t="str">
            <v>S61NSA10-BOT</v>
          </cell>
          <cell r="B39" t="str">
            <v>LN</v>
          </cell>
          <cell r="C39" t="str">
            <v>TINTE AL THINNER (ALCOHOL) CAFÉ AMERICANO</v>
          </cell>
          <cell r="D39">
            <v>6.5</v>
          </cell>
          <cell r="E39">
            <v>7.35</v>
          </cell>
          <cell r="F39">
            <v>9.2899999999999991</v>
          </cell>
          <cell r="G39">
            <v>10.5</v>
          </cell>
        </row>
        <row r="40">
          <cell r="A40" t="str">
            <v>S61N9-BOT</v>
          </cell>
          <cell r="B40" t="str">
            <v>LN</v>
          </cell>
          <cell r="C40" t="str">
            <v>TINTE AL THINNER (ALCOHOL) NOGAL DANES</v>
          </cell>
          <cell r="D40">
            <v>6.5</v>
          </cell>
          <cell r="E40">
            <v>7.35</v>
          </cell>
          <cell r="F40">
            <v>9.2899999999999991</v>
          </cell>
          <cell r="G40">
            <v>10.5</v>
          </cell>
        </row>
        <row r="41">
          <cell r="A41" t="str">
            <v>S61N10-BOT</v>
          </cell>
          <cell r="B41" t="str">
            <v>LN</v>
          </cell>
          <cell r="C41" t="str">
            <v>TINTE AL THINNER (ALCOHOL) CANELA OSCURO</v>
          </cell>
          <cell r="D41">
            <v>6.5</v>
          </cell>
          <cell r="E41">
            <v>7.35</v>
          </cell>
          <cell r="F41">
            <v>9.2899999999999991</v>
          </cell>
          <cell r="G41">
            <v>10.5</v>
          </cell>
        </row>
        <row r="42">
          <cell r="A42" t="str">
            <v>S61N11-BOT</v>
          </cell>
          <cell r="B42" t="str">
            <v>LN</v>
          </cell>
          <cell r="C42" t="str">
            <v>TINTE AL THINNER (ALCOHOL) ARCE COLONIAL</v>
          </cell>
          <cell r="D42">
            <v>6.5</v>
          </cell>
          <cell r="E42">
            <v>7.35</v>
          </cell>
          <cell r="F42">
            <v>9.2899999999999991</v>
          </cell>
          <cell r="G42">
            <v>10.5</v>
          </cell>
        </row>
        <row r="43">
          <cell r="A43" t="str">
            <v>S61NSA15-BOT</v>
          </cell>
          <cell r="B43" t="str">
            <v>LN</v>
          </cell>
          <cell r="C43" t="str">
            <v>TINTE AL THINNER (ALCOHOL) MIEL</v>
          </cell>
          <cell r="D43">
            <v>6.5</v>
          </cell>
          <cell r="E43">
            <v>7.35</v>
          </cell>
          <cell r="F43">
            <v>9.2899999999999991</v>
          </cell>
          <cell r="G43">
            <v>10.5</v>
          </cell>
        </row>
        <row r="44">
          <cell r="A44" t="str">
            <v>S61YSA2-BOT</v>
          </cell>
          <cell r="B44" t="str">
            <v>LN</v>
          </cell>
          <cell r="C44" t="str">
            <v>TINTE AL THINNER (ALCOHOL) CENIZARO</v>
          </cell>
          <cell r="D44">
            <v>6.5</v>
          </cell>
          <cell r="E44">
            <v>7.35</v>
          </cell>
          <cell r="F44">
            <v>9.2899999999999991</v>
          </cell>
          <cell r="G44">
            <v>10.5</v>
          </cell>
        </row>
        <row r="45">
          <cell r="A45" t="str">
            <v>S61NSA20-BOT</v>
          </cell>
          <cell r="B45" t="str">
            <v>LN</v>
          </cell>
          <cell r="C45" t="str">
            <v xml:space="preserve">TINTE AL THINNER (ALCOHOL) CAOBA </v>
          </cell>
          <cell r="D45">
            <v>6.5</v>
          </cell>
          <cell r="E45">
            <v>7.35</v>
          </cell>
          <cell r="F45">
            <v>9.2899999999999991</v>
          </cell>
          <cell r="G45">
            <v>10.5</v>
          </cell>
        </row>
        <row r="46">
          <cell r="A46" t="str">
            <v>S61NSA16-BOT</v>
          </cell>
          <cell r="B46" t="str">
            <v>LN</v>
          </cell>
          <cell r="C46" t="str">
            <v>TINTE AL THINNER (ALCOHOL) CEDRO</v>
          </cell>
          <cell r="D46">
            <v>6.5</v>
          </cell>
          <cell r="E46">
            <v>7.35</v>
          </cell>
          <cell r="F46">
            <v>9.2899999999999991</v>
          </cell>
          <cell r="G46">
            <v>10.5</v>
          </cell>
        </row>
        <row r="47">
          <cell r="A47" t="str">
            <v>S61NSA17-BOT</v>
          </cell>
          <cell r="B47" t="str">
            <v>LN</v>
          </cell>
          <cell r="C47" t="str">
            <v>TINTE AL THINNER (ALCOHOL) CAFE MADERA</v>
          </cell>
          <cell r="D47">
            <v>6.5</v>
          </cell>
          <cell r="E47">
            <v>7.35</v>
          </cell>
          <cell r="F47">
            <v>9.2899999999999991</v>
          </cell>
          <cell r="G47">
            <v>10.5</v>
          </cell>
        </row>
        <row r="48">
          <cell r="A48" t="str">
            <v>S61NSA13-BOT</v>
          </cell>
          <cell r="B48" t="str">
            <v>LN</v>
          </cell>
          <cell r="C48" t="str">
            <v>TINTE AL THINNER (ALCOHOL) CASTAÑO</v>
          </cell>
          <cell r="D48">
            <v>6.5</v>
          </cell>
          <cell r="E48">
            <v>7.35</v>
          </cell>
          <cell r="F48">
            <v>9.2899999999999991</v>
          </cell>
          <cell r="G48">
            <v>10.5</v>
          </cell>
        </row>
        <row r="49">
          <cell r="A49" t="str">
            <v>S61NSA14-BOT</v>
          </cell>
          <cell r="B49" t="str">
            <v>LN</v>
          </cell>
          <cell r="C49" t="str">
            <v>TINTE AL THINNER (ALCOHOL) CORTEZ</v>
          </cell>
          <cell r="D49">
            <v>6.5</v>
          </cell>
          <cell r="E49">
            <v>7.35</v>
          </cell>
          <cell r="F49">
            <v>9.2899999999999991</v>
          </cell>
          <cell r="G49">
            <v>10.5</v>
          </cell>
        </row>
        <row r="50">
          <cell r="A50" t="str">
            <v>S61NSA21-BOT</v>
          </cell>
          <cell r="B50" t="str">
            <v>LN</v>
          </cell>
          <cell r="C50" t="str">
            <v>TINTE AL THINNER (ALCOHOL) TABACO</v>
          </cell>
          <cell r="D50">
            <v>6.5</v>
          </cell>
          <cell r="E50">
            <v>7.35</v>
          </cell>
          <cell r="F50">
            <v>9.2899999999999991</v>
          </cell>
          <cell r="G50">
            <v>10.5</v>
          </cell>
        </row>
        <row r="51">
          <cell r="E51" t="str">
            <v/>
          </cell>
        </row>
        <row r="52">
          <cell r="C52" t="str">
            <v>TINTES AL THINNER EN GALON</v>
          </cell>
          <cell r="E52" t="str">
            <v/>
          </cell>
        </row>
        <row r="53">
          <cell r="A53" t="str">
            <v>S61B3-1</v>
          </cell>
          <cell r="B53" t="str">
            <v>LN</v>
          </cell>
          <cell r="C53" t="str">
            <v>TINTE AL THINNER (ALCOHOL) NEGRO</v>
          </cell>
          <cell r="D53">
            <v>23.89</v>
          </cell>
          <cell r="E53">
            <v>27</v>
          </cell>
          <cell r="F53">
            <v>33.19</v>
          </cell>
          <cell r="G53">
            <v>37.5</v>
          </cell>
        </row>
        <row r="54">
          <cell r="A54" t="str">
            <v>S61N8-1</v>
          </cell>
          <cell r="B54" t="str">
            <v>LN</v>
          </cell>
          <cell r="C54" t="str">
            <v>TINTE AL THINNER (ALCOHOL) CAFÉ</v>
          </cell>
          <cell r="D54">
            <v>23.89</v>
          </cell>
          <cell r="E54">
            <v>27</v>
          </cell>
          <cell r="F54">
            <v>33.19</v>
          </cell>
          <cell r="G54">
            <v>37.5</v>
          </cell>
        </row>
        <row r="55">
          <cell r="A55" t="str">
            <v>S61R3-1</v>
          </cell>
          <cell r="B55" t="str">
            <v>LN</v>
          </cell>
          <cell r="C55" t="str">
            <v>TINTE AL THINNER (ALCOHOL) ROJO</v>
          </cell>
          <cell r="D55">
            <v>23.89</v>
          </cell>
          <cell r="E55">
            <v>27</v>
          </cell>
          <cell r="F55">
            <v>33.19</v>
          </cell>
          <cell r="G55">
            <v>37.5</v>
          </cell>
        </row>
        <row r="56">
          <cell r="A56" t="str">
            <v>S61R6-1</v>
          </cell>
          <cell r="B56" t="str">
            <v>PE</v>
          </cell>
          <cell r="C56" t="str">
            <v>TINTE AL THINNER (ALCOHOL) WINE SPECIALITY</v>
          </cell>
          <cell r="D56">
            <v>23.89</v>
          </cell>
          <cell r="E56">
            <v>27</v>
          </cell>
          <cell r="F56">
            <v>33.19</v>
          </cell>
          <cell r="G56">
            <v>37.5</v>
          </cell>
        </row>
        <row r="57">
          <cell r="A57" t="str">
            <v>S61Y3-1</v>
          </cell>
          <cell r="B57" t="str">
            <v>LN</v>
          </cell>
          <cell r="C57" t="str">
            <v>TINTE AL THINNER (ALCOHOL) AMARILLO</v>
          </cell>
          <cell r="D57">
            <v>23.89</v>
          </cell>
          <cell r="E57">
            <v>27</v>
          </cell>
          <cell r="F57">
            <v>33.19</v>
          </cell>
          <cell r="G57">
            <v>37.5</v>
          </cell>
        </row>
        <row r="58">
          <cell r="A58" t="str">
            <v>S61NSA10-1</v>
          </cell>
          <cell r="B58" t="str">
            <v>LN</v>
          </cell>
          <cell r="C58" t="str">
            <v>TINTE AL THINNER (ALCOHOL) CAFÉ AMERICANO</v>
          </cell>
          <cell r="D58">
            <v>23.89</v>
          </cell>
          <cell r="E58">
            <v>27</v>
          </cell>
          <cell r="F58">
            <v>33.19</v>
          </cell>
          <cell r="G58">
            <v>37.5</v>
          </cell>
        </row>
        <row r="59">
          <cell r="A59" t="str">
            <v>S61N9-1</v>
          </cell>
          <cell r="B59" t="str">
            <v>LN</v>
          </cell>
          <cell r="C59" t="str">
            <v>TINTE AL THINNER (ALCOHOL) NOGAL DANES</v>
          </cell>
          <cell r="D59">
            <v>23.89</v>
          </cell>
          <cell r="E59">
            <v>27</v>
          </cell>
          <cell r="F59">
            <v>33.19</v>
          </cell>
          <cell r="G59">
            <v>37.5</v>
          </cell>
        </row>
        <row r="60">
          <cell r="A60" t="str">
            <v>S61N10-1</v>
          </cell>
          <cell r="B60" t="str">
            <v>LN</v>
          </cell>
          <cell r="C60" t="str">
            <v>TINTE AL THINNER (ALCOHOL) CANELA OSCURO</v>
          </cell>
          <cell r="D60">
            <v>23.89</v>
          </cell>
          <cell r="E60">
            <v>27</v>
          </cell>
          <cell r="F60">
            <v>33.19</v>
          </cell>
          <cell r="G60">
            <v>37.5</v>
          </cell>
        </row>
        <row r="61">
          <cell r="A61" t="str">
            <v>S61N11-1</v>
          </cell>
          <cell r="B61" t="str">
            <v>LN</v>
          </cell>
          <cell r="C61" t="str">
            <v>TINTE AL THINNER (ALCOHOL) ARCE COLONIAL</v>
          </cell>
          <cell r="D61">
            <v>23.89</v>
          </cell>
          <cell r="E61">
            <v>27</v>
          </cell>
          <cell r="F61">
            <v>33.19</v>
          </cell>
          <cell r="G61">
            <v>37.5</v>
          </cell>
        </row>
        <row r="62">
          <cell r="A62" t="str">
            <v>S61NSA15-1</v>
          </cell>
          <cell r="B62" t="str">
            <v>LN</v>
          </cell>
          <cell r="C62" t="str">
            <v>TINTE AL THINNER (ALCOHOL) MIEL</v>
          </cell>
          <cell r="D62">
            <v>23.89</v>
          </cell>
          <cell r="E62">
            <v>27</v>
          </cell>
          <cell r="F62">
            <v>33.19</v>
          </cell>
          <cell r="G62">
            <v>37.5</v>
          </cell>
        </row>
        <row r="63">
          <cell r="A63" t="str">
            <v>S61YSA2-1</v>
          </cell>
          <cell r="B63" t="str">
            <v>LN</v>
          </cell>
          <cell r="C63" t="str">
            <v>TINTE AL THINNER (ALCOHOL) CENIZARO</v>
          </cell>
          <cell r="D63">
            <v>23.89</v>
          </cell>
          <cell r="E63">
            <v>27</v>
          </cell>
          <cell r="F63">
            <v>33.19</v>
          </cell>
          <cell r="G63">
            <v>37.5</v>
          </cell>
        </row>
        <row r="64">
          <cell r="A64" t="str">
            <v>S61NSA20-1</v>
          </cell>
          <cell r="B64" t="str">
            <v>LN</v>
          </cell>
          <cell r="C64" t="str">
            <v xml:space="preserve">TINTE AL THINNER (ALCOHOL) CAOBA </v>
          </cell>
          <cell r="D64">
            <v>23.89</v>
          </cell>
          <cell r="E64">
            <v>27</v>
          </cell>
          <cell r="F64">
            <v>33.19</v>
          </cell>
          <cell r="G64">
            <v>37.5</v>
          </cell>
        </row>
        <row r="65">
          <cell r="A65" t="str">
            <v>S61NSA16-1</v>
          </cell>
          <cell r="B65" t="str">
            <v>LN</v>
          </cell>
          <cell r="C65" t="str">
            <v>TINTE AL THINNER (ALCOHOL) CEDRO</v>
          </cell>
          <cell r="D65">
            <v>23.89</v>
          </cell>
          <cell r="E65">
            <v>27</v>
          </cell>
          <cell r="F65">
            <v>33.19</v>
          </cell>
          <cell r="G65">
            <v>37.5</v>
          </cell>
        </row>
        <row r="66">
          <cell r="A66" t="str">
            <v>S61NSA17-1</v>
          </cell>
          <cell r="B66" t="str">
            <v>LN</v>
          </cell>
          <cell r="C66" t="str">
            <v>TINTE AL THINNER (ALCOHOL) CAFE MADERA</v>
          </cell>
          <cell r="D66">
            <v>23.89</v>
          </cell>
          <cell r="E66">
            <v>27</v>
          </cell>
          <cell r="F66">
            <v>33.19</v>
          </cell>
          <cell r="G66">
            <v>37.5</v>
          </cell>
        </row>
        <row r="67">
          <cell r="A67" t="str">
            <v>S61NSA13-1</v>
          </cell>
          <cell r="B67" t="str">
            <v>LN</v>
          </cell>
          <cell r="C67" t="str">
            <v>TINTE AL THINNER (ALCOHOL) CASTAÑO</v>
          </cell>
          <cell r="D67">
            <v>23.89</v>
          </cell>
          <cell r="E67">
            <v>27</v>
          </cell>
          <cell r="F67">
            <v>33.19</v>
          </cell>
          <cell r="G67">
            <v>37.5</v>
          </cell>
        </row>
        <row r="68">
          <cell r="A68" t="str">
            <v>S61NSA14-1</v>
          </cell>
          <cell r="B68" t="str">
            <v>LN</v>
          </cell>
          <cell r="C68" t="str">
            <v>TINTE AL THINNER (ALCOHOL) CORTEZ</v>
          </cell>
          <cell r="D68">
            <v>23.89</v>
          </cell>
          <cell r="E68">
            <v>27</v>
          </cell>
          <cell r="F68">
            <v>33.19</v>
          </cell>
          <cell r="G68">
            <v>37.5</v>
          </cell>
        </row>
        <row r="69">
          <cell r="A69" t="str">
            <v>S61NSA21-1</v>
          </cell>
          <cell r="B69" t="str">
            <v>LN</v>
          </cell>
          <cell r="C69" t="str">
            <v>TINTE AL THINNER (ALCOHOL) TABACO</v>
          </cell>
          <cell r="D69">
            <v>23.89</v>
          </cell>
          <cell r="E69">
            <v>27</v>
          </cell>
          <cell r="F69">
            <v>33.19</v>
          </cell>
          <cell r="G69">
            <v>37.5</v>
          </cell>
        </row>
        <row r="70">
          <cell r="C70" t="str">
            <v>*PEDIDO ESPECIAL</v>
          </cell>
          <cell r="E70" t="str">
            <v/>
          </cell>
        </row>
        <row r="71">
          <cell r="E71" t="str">
            <v/>
          </cell>
        </row>
        <row r="72">
          <cell r="C72" t="str">
            <v>TINTES BASE DE ACEITE OIL STAIN</v>
          </cell>
          <cell r="E72" t="str">
            <v/>
          </cell>
        </row>
        <row r="73">
          <cell r="C73" t="str">
            <v xml:space="preserve">(SEMI-TRANSPARENTES)   </v>
          </cell>
          <cell r="E73" t="str">
            <v/>
          </cell>
        </row>
        <row r="74">
          <cell r="C74" t="str">
            <v>EXTERIOR/INTERIOR</v>
          </cell>
          <cell r="E74" t="str">
            <v/>
          </cell>
        </row>
        <row r="75">
          <cell r="A75" t="str">
            <v>A48BSA1-1/4</v>
          </cell>
          <cell r="B75" t="str">
            <v>LN</v>
          </cell>
          <cell r="C75" t="str">
            <v>TINTE EXT/INT PARA MADERA NEGRO</v>
          </cell>
          <cell r="D75">
            <v>7.12</v>
          </cell>
          <cell r="E75">
            <v>8.0500000000000007</v>
          </cell>
          <cell r="F75">
            <v>10.18</v>
          </cell>
          <cell r="G75">
            <v>11.5</v>
          </cell>
        </row>
        <row r="76">
          <cell r="A76" t="str">
            <v>A48N35-1/4</v>
          </cell>
          <cell r="B76" t="str">
            <v>LN</v>
          </cell>
          <cell r="C76" t="str">
            <v>TINTE EXT/INT PARA MADERA ARCE COLONIAL</v>
          </cell>
          <cell r="D76">
            <v>7.12</v>
          </cell>
          <cell r="E76">
            <v>8.0500000000000007</v>
          </cell>
          <cell r="F76">
            <v>10.18</v>
          </cell>
          <cell r="G76">
            <v>11.5</v>
          </cell>
        </row>
        <row r="77">
          <cell r="A77" t="str">
            <v>A48N36-1/4</v>
          </cell>
          <cell r="B77" t="str">
            <v>LN</v>
          </cell>
          <cell r="C77" t="str">
            <v>TINTE EXT/INT PARA MADERA NOGAL DANES</v>
          </cell>
          <cell r="D77">
            <v>7.12</v>
          </cell>
          <cell r="E77">
            <v>8.0500000000000007</v>
          </cell>
          <cell r="F77">
            <v>10.18</v>
          </cell>
          <cell r="G77">
            <v>11.5</v>
          </cell>
        </row>
        <row r="78">
          <cell r="A78" t="str">
            <v>A48N38-1/4</v>
          </cell>
          <cell r="B78" t="str">
            <v>LN</v>
          </cell>
          <cell r="C78" t="str">
            <v>TINTE EXT/INT PARA MADERA SANDALO OSCURO</v>
          </cell>
          <cell r="D78">
            <v>7.12</v>
          </cell>
          <cell r="E78">
            <v>8.0500000000000007</v>
          </cell>
          <cell r="F78">
            <v>10.18</v>
          </cell>
          <cell r="G78">
            <v>11.5</v>
          </cell>
        </row>
        <row r="79">
          <cell r="A79" t="str">
            <v>A48NSA1-1/4</v>
          </cell>
          <cell r="B79" t="str">
            <v>LN</v>
          </cell>
          <cell r="C79" t="str">
            <v>TINTE EXT/INT PARA MADERA CANELA OSCURO</v>
          </cell>
          <cell r="D79">
            <v>7.12</v>
          </cell>
          <cell r="E79">
            <v>8.0500000000000007</v>
          </cell>
          <cell r="F79">
            <v>10.18</v>
          </cell>
          <cell r="G79">
            <v>11.5</v>
          </cell>
        </row>
        <row r="80">
          <cell r="A80" t="str">
            <v>A48NSA4-1/4</v>
          </cell>
          <cell r="B80" t="str">
            <v>LN</v>
          </cell>
          <cell r="C80" t="str">
            <v>TINTE EXT/INT PARA MADERA NOGAL</v>
          </cell>
          <cell r="D80">
            <v>7.12</v>
          </cell>
          <cell r="E80">
            <v>8.0500000000000007</v>
          </cell>
          <cell r="F80">
            <v>10.18</v>
          </cell>
          <cell r="G80">
            <v>11.5</v>
          </cell>
        </row>
        <row r="81">
          <cell r="A81" t="str">
            <v>A48R56-1/4</v>
          </cell>
          <cell r="B81" t="str">
            <v>LN</v>
          </cell>
          <cell r="C81" t="str">
            <v>TINTE EXT/INT PARA MADERA CAOBA AFRICANO</v>
          </cell>
          <cell r="D81">
            <v>7.12</v>
          </cell>
          <cell r="E81">
            <v>8.0500000000000007</v>
          </cell>
          <cell r="F81">
            <v>10.18</v>
          </cell>
          <cell r="G81">
            <v>11.5</v>
          </cell>
        </row>
        <row r="82">
          <cell r="A82" t="str">
            <v>A48WSA2-1/4</v>
          </cell>
          <cell r="B82" t="str">
            <v>LN</v>
          </cell>
          <cell r="C82" t="str">
            <v>TINTE EXT/INT PARA MADERA BLANCO</v>
          </cell>
          <cell r="D82">
            <v>7.12</v>
          </cell>
          <cell r="E82">
            <v>8.0500000000000007</v>
          </cell>
          <cell r="F82">
            <v>10.18</v>
          </cell>
          <cell r="G82">
            <v>11.5</v>
          </cell>
        </row>
        <row r="83">
          <cell r="A83" t="str">
            <v>A48Y23-1/4</v>
          </cell>
          <cell r="B83" t="str">
            <v>LN</v>
          </cell>
          <cell r="C83" t="str">
            <v>TINTE EXT/INT PARA MADERA ROBLE CLARO</v>
          </cell>
          <cell r="D83">
            <v>7.12</v>
          </cell>
          <cell r="E83">
            <v>8.0500000000000007</v>
          </cell>
          <cell r="F83">
            <v>10.18</v>
          </cell>
          <cell r="G83">
            <v>11.5</v>
          </cell>
        </row>
        <row r="84">
          <cell r="A84" t="str">
            <v>A48NSA13-1/4</v>
          </cell>
          <cell r="B84" t="str">
            <v>LN</v>
          </cell>
          <cell r="C84" t="str">
            <v>TINTE EXT/INT PARA MADERA CAFE MADERA</v>
          </cell>
          <cell r="D84">
            <v>7.12</v>
          </cell>
          <cell r="E84">
            <v>8.0500000000000007</v>
          </cell>
          <cell r="F84">
            <v>10.18</v>
          </cell>
          <cell r="G84">
            <v>11.5</v>
          </cell>
        </row>
        <row r="85">
          <cell r="A85" t="str">
            <v>A48NSA15-1/4</v>
          </cell>
          <cell r="B85" t="str">
            <v>LN</v>
          </cell>
          <cell r="C85" t="str">
            <v>TINTE EXT/INT PARA MADERA CAOBA</v>
          </cell>
          <cell r="D85">
            <v>7.12</v>
          </cell>
          <cell r="E85">
            <v>8.0500000000000007</v>
          </cell>
          <cell r="F85">
            <v>10.18</v>
          </cell>
          <cell r="G85">
            <v>11.5</v>
          </cell>
        </row>
        <row r="86">
          <cell r="A86" t="str">
            <v>A48NSA16-1/4</v>
          </cell>
          <cell r="B86" t="str">
            <v>LN</v>
          </cell>
          <cell r="C86" t="str">
            <v>TINTE EXT/INT PARA MADERA LAPACHO</v>
          </cell>
          <cell r="D86">
            <v>7.12</v>
          </cell>
          <cell r="E86">
            <v>8.0500000000000007</v>
          </cell>
          <cell r="F86">
            <v>10.18</v>
          </cell>
          <cell r="G86">
            <v>11.5</v>
          </cell>
        </row>
        <row r="87">
          <cell r="A87" t="str">
            <v>A48NSA14-1/4</v>
          </cell>
          <cell r="B87" t="str">
            <v>LN</v>
          </cell>
          <cell r="C87" t="str">
            <v>TINTE EXT/INT PARA MADERA CEDRO</v>
          </cell>
          <cell r="D87">
            <v>7.12</v>
          </cell>
          <cell r="E87">
            <v>8.0500000000000007</v>
          </cell>
          <cell r="F87">
            <v>10.18</v>
          </cell>
          <cell r="G87">
            <v>11.5</v>
          </cell>
        </row>
        <row r="88">
          <cell r="A88" t="str">
            <v>A48NSA17-1/4</v>
          </cell>
          <cell r="B88" t="str">
            <v>LN</v>
          </cell>
          <cell r="C88" t="str">
            <v>TINTE EXT/INT PARA MADERA WENGUE</v>
          </cell>
          <cell r="D88">
            <v>7.12</v>
          </cell>
          <cell r="E88">
            <v>8.0500000000000007</v>
          </cell>
          <cell r="F88">
            <v>10.18</v>
          </cell>
          <cell r="G88">
            <v>11.5</v>
          </cell>
        </row>
        <row r="89">
          <cell r="E89" t="str">
            <v/>
          </cell>
        </row>
        <row r="90">
          <cell r="A90" t="str">
            <v>A48BSA1-1</v>
          </cell>
          <cell r="B90" t="str">
            <v>LN</v>
          </cell>
          <cell r="C90" t="str">
            <v>TINTE EXT/INT PARA MADERA NEGRO</v>
          </cell>
          <cell r="D90">
            <v>25.96</v>
          </cell>
          <cell r="E90">
            <v>29.33</v>
          </cell>
          <cell r="F90">
            <v>37.08</v>
          </cell>
          <cell r="G90">
            <v>41.9</v>
          </cell>
        </row>
        <row r="91">
          <cell r="A91" t="str">
            <v>A48N35-1</v>
          </cell>
          <cell r="B91" t="str">
            <v>LN</v>
          </cell>
          <cell r="C91" t="str">
            <v>TINTE EXT/INT PARA MADERA ARCE COLONIAL</v>
          </cell>
          <cell r="D91">
            <v>25.96</v>
          </cell>
          <cell r="E91">
            <v>29.33</v>
          </cell>
          <cell r="F91">
            <v>37.08</v>
          </cell>
          <cell r="G91">
            <v>41.9</v>
          </cell>
        </row>
        <row r="92">
          <cell r="A92" t="str">
            <v>A48N36-1</v>
          </cell>
          <cell r="B92" t="str">
            <v>LN</v>
          </cell>
          <cell r="C92" t="str">
            <v>TINTE EXT/INT PARA MADERA NOGAL DANES</v>
          </cell>
          <cell r="D92">
            <v>25.96</v>
          </cell>
          <cell r="E92">
            <v>29.33</v>
          </cell>
          <cell r="F92">
            <v>37.08</v>
          </cell>
          <cell r="G92">
            <v>41.9</v>
          </cell>
        </row>
        <row r="93">
          <cell r="A93" t="str">
            <v>A48N38-1</v>
          </cell>
          <cell r="B93" t="str">
            <v>LN</v>
          </cell>
          <cell r="C93" t="str">
            <v>TINTE EXT/INT PARA MADERA SANDALO OSCURO</v>
          </cell>
          <cell r="D93">
            <v>25.96</v>
          </cell>
          <cell r="E93">
            <v>29.33</v>
          </cell>
          <cell r="F93">
            <v>37.08</v>
          </cell>
          <cell r="G93">
            <v>41.9</v>
          </cell>
        </row>
        <row r="94">
          <cell r="A94" t="str">
            <v>A48NSA1-1</v>
          </cell>
          <cell r="B94" t="str">
            <v>LN</v>
          </cell>
          <cell r="C94" t="str">
            <v>TINTE EXT/INT PARA MADERA CANELA OSCURO</v>
          </cell>
          <cell r="D94">
            <v>25.96</v>
          </cell>
          <cell r="E94">
            <v>29.33</v>
          </cell>
          <cell r="F94">
            <v>37.08</v>
          </cell>
          <cell r="G94">
            <v>41.9</v>
          </cell>
        </row>
        <row r="95">
          <cell r="A95" t="str">
            <v>A48NSA4-1</v>
          </cell>
          <cell r="B95" t="str">
            <v>LN</v>
          </cell>
          <cell r="C95" t="str">
            <v>TINTE EXT/INT PARA MADERA NOGAL</v>
          </cell>
          <cell r="D95">
            <v>25.96</v>
          </cell>
          <cell r="E95">
            <v>29.33</v>
          </cell>
          <cell r="F95">
            <v>37.08</v>
          </cell>
          <cell r="G95">
            <v>41.9</v>
          </cell>
        </row>
        <row r="96">
          <cell r="A96" t="str">
            <v>A48R56-1</v>
          </cell>
          <cell r="B96" t="str">
            <v>LN</v>
          </cell>
          <cell r="C96" t="str">
            <v>TINTE EXT/INT PARA MADERA CAOBA AFRICANO</v>
          </cell>
          <cell r="D96">
            <v>25.96</v>
          </cell>
          <cell r="E96">
            <v>29.33</v>
          </cell>
          <cell r="F96">
            <v>37.08</v>
          </cell>
          <cell r="G96">
            <v>41.9</v>
          </cell>
        </row>
        <row r="97">
          <cell r="A97" t="str">
            <v>A48WSA2-1</v>
          </cell>
          <cell r="B97" t="str">
            <v>LN</v>
          </cell>
          <cell r="C97" t="str">
            <v>TINTE EXT/INT PARA MADERA BLANCO</v>
          </cell>
          <cell r="D97">
            <v>25.96</v>
          </cell>
          <cell r="E97">
            <v>29.33</v>
          </cell>
          <cell r="F97">
            <v>37.08</v>
          </cell>
          <cell r="G97">
            <v>41.9</v>
          </cell>
        </row>
        <row r="98">
          <cell r="A98" t="str">
            <v>A48Y23-1</v>
          </cell>
          <cell r="B98" t="str">
            <v>LN</v>
          </cell>
          <cell r="C98" t="str">
            <v>TINTE EXT/INT PARA MADERA ROBLE CLARO</v>
          </cell>
          <cell r="D98">
            <v>25.96</v>
          </cell>
          <cell r="E98">
            <v>29.33</v>
          </cell>
          <cell r="F98">
            <v>37.08</v>
          </cell>
          <cell r="G98">
            <v>41.9</v>
          </cell>
        </row>
        <row r="99">
          <cell r="A99" t="str">
            <v>A48NSA13-1</v>
          </cell>
          <cell r="B99" t="str">
            <v>LN</v>
          </cell>
          <cell r="C99" t="str">
            <v>TINTE EXT/INT PARA MADERA CAFE MADERA</v>
          </cell>
          <cell r="D99">
            <v>25.96</v>
          </cell>
          <cell r="E99">
            <v>29.33</v>
          </cell>
          <cell r="F99">
            <v>37.08</v>
          </cell>
          <cell r="G99">
            <v>41.9</v>
          </cell>
        </row>
        <row r="100">
          <cell r="A100" t="str">
            <v>A48NSA15-1</v>
          </cell>
          <cell r="B100" t="str">
            <v>LN</v>
          </cell>
          <cell r="C100" t="str">
            <v>TINTE EXT/INT PARA MADERA CAOBA</v>
          </cell>
          <cell r="D100">
            <v>25.96</v>
          </cell>
          <cell r="E100">
            <v>29.33</v>
          </cell>
          <cell r="F100">
            <v>37.08</v>
          </cell>
          <cell r="G100">
            <v>41.9</v>
          </cell>
        </row>
        <row r="101">
          <cell r="A101" t="str">
            <v>A48NSA16-1</v>
          </cell>
          <cell r="B101" t="str">
            <v>LN</v>
          </cell>
          <cell r="C101" t="str">
            <v>TINTE EXT/INT PARA MADERA LAPACHO</v>
          </cell>
          <cell r="D101">
            <v>25.96</v>
          </cell>
          <cell r="E101">
            <v>29.33</v>
          </cell>
          <cell r="F101">
            <v>37.08</v>
          </cell>
          <cell r="G101">
            <v>41.9</v>
          </cell>
        </row>
        <row r="102">
          <cell r="A102" t="str">
            <v>A48NSA14-1</v>
          </cell>
          <cell r="B102" t="str">
            <v>LN</v>
          </cell>
          <cell r="C102" t="str">
            <v>TINTE EXT/INT PARA MADERA CEDRO</v>
          </cell>
          <cell r="D102">
            <v>25.96</v>
          </cell>
          <cell r="E102">
            <v>29.33</v>
          </cell>
          <cell r="F102">
            <v>37.08</v>
          </cell>
          <cell r="G102">
            <v>41.9</v>
          </cell>
        </row>
        <row r="103">
          <cell r="A103" t="str">
            <v>A48NSA17-1</v>
          </cell>
          <cell r="B103" t="str">
            <v>LN</v>
          </cell>
          <cell r="C103" t="str">
            <v>TINTE EXT/INT PARA MADERA WENGUE</v>
          </cell>
          <cell r="D103">
            <v>25.96</v>
          </cell>
          <cell r="E103">
            <v>29.33</v>
          </cell>
          <cell r="F103">
            <v>37.08</v>
          </cell>
          <cell r="G103">
            <v>41.9</v>
          </cell>
        </row>
        <row r="104">
          <cell r="E104" t="str">
            <v/>
          </cell>
        </row>
        <row r="105">
          <cell r="C105" t="str">
            <v>TINTES AL ACEITE GLAZE</v>
          </cell>
          <cell r="E105" t="str">
            <v/>
          </cell>
        </row>
        <row r="106">
          <cell r="C106" t="str">
            <v>EFECTOS PARA CONTRASTAR Y/O RESALTAR VETAS</v>
          </cell>
          <cell r="E106" t="str">
            <v/>
          </cell>
        </row>
        <row r="107">
          <cell r="E107" t="str">
            <v/>
          </cell>
        </row>
        <row r="108">
          <cell r="A108" t="str">
            <v>S66NSA1-1</v>
          </cell>
          <cell r="B108" t="str">
            <v>V</v>
          </cell>
          <cell r="C108" t="str">
            <v>TINTE AL ACEITE GLAZE CAOBA (TIPO EBONOL)</v>
          </cell>
          <cell r="D108">
            <v>31.16</v>
          </cell>
          <cell r="E108">
            <v>35.21</v>
          </cell>
          <cell r="F108">
            <v>43.27</v>
          </cell>
          <cell r="G108">
            <v>48.9</v>
          </cell>
        </row>
        <row r="109">
          <cell r="A109" t="str">
            <v>S66NSA2-1</v>
          </cell>
          <cell r="B109" t="str">
            <v>PE</v>
          </cell>
          <cell r="C109" t="str">
            <v>TINTE AL ACEITE GLAZE NOGAL</v>
          </cell>
          <cell r="D109">
            <v>31.16</v>
          </cell>
          <cell r="E109">
            <v>35.21</v>
          </cell>
          <cell r="F109">
            <v>43.27</v>
          </cell>
          <cell r="G109">
            <v>48.9</v>
          </cell>
        </row>
        <row r="110">
          <cell r="A110" t="str">
            <v>S66NSA3-1</v>
          </cell>
          <cell r="B110" t="str">
            <v>LN</v>
          </cell>
          <cell r="C110" t="str">
            <v>TINTE AL ACEITE GLAZE CEREZA</v>
          </cell>
          <cell r="D110">
            <v>31.16</v>
          </cell>
          <cell r="E110">
            <v>35.21</v>
          </cell>
          <cell r="F110">
            <v>43.27</v>
          </cell>
          <cell r="G110">
            <v>48.9</v>
          </cell>
        </row>
        <row r="111">
          <cell r="A111" t="str">
            <v>S66BSA1-1</v>
          </cell>
          <cell r="B111" t="str">
            <v>LN</v>
          </cell>
          <cell r="C111" t="str">
            <v>TINTE AL ACEITE GLAZE NEGRO</v>
          </cell>
          <cell r="D111">
            <v>31.16</v>
          </cell>
          <cell r="E111">
            <v>35.21</v>
          </cell>
          <cell r="F111">
            <v>43.27</v>
          </cell>
          <cell r="G111">
            <v>48.9</v>
          </cell>
        </row>
        <row r="112">
          <cell r="A112" t="str">
            <v>S66NSA4-1</v>
          </cell>
          <cell r="B112" t="str">
            <v>LN</v>
          </cell>
          <cell r="C112" t="str">
            <v>TINTE AL ACEITE GLAZE CORTEZ</v>
          </cell>
          <cell r="D112">
            <v>31.16</v>
          </cell>
          <cell r="E112">
            <v>35.21</v>
          </cell>
          <cell r="F112">
            <v>43.27</v>
          </cell>
          <cell r="G112">
            <v>48.9</v>
          </cell>
        </row>
        <row r="113">
          <cell r="A113" t="str">
            <v>S66NSA6-1</v>
          </cell>
          <cell r="B113" t="str">
            <v>LN</v>
          </cell>
          <cell r="C113" t="str">
            <v>TINTE AL ACEITE GLAZE CAFÉ</v>
          </cell>
          <cell r="D113">
            <v>31.16</v>
          </cell>
          <cell r="E113">
            <v>35.21</v>
          </cell>
          <cell r="F113">
            <v>43.27</v>
          </cell>
          <cell r="G113">
            <v>48.9</v>
          </cell>
        </row>
        <row r="114">
          <cell r="A114" t="str">
            <v>S66NSA5-1</v>
          </cell>
          <cell r="B114" t="str">
            <v>LN</v>
          </cell>
          <cell r="C114" t="str">
            <v>TINTE AL ACEITE GLAZE ARCE COLONIAL</v>
          </cell>
          <cell r="D114">
            <v>31.16</v>
          </cell>
          <cell r="E114">
            <v>35.21</v>
          </cell>
          <cell r="F114">
            <v>43.27</v>
          </cell>
          <cell r="G114">
            <v>48.9</v>
          </cell>
        </row>
        <row r="115">
          <cell r="A115" t="str">
            <v>S66RSA1-1</v>
          </cell>
          <cell r="B115" t="str">
            <v>LN</v>
          </cell>
          <cell r="C115" t="str">
            <v>TINTE AL ACEITE GLAZE CAOBA AFRICANO</v>
          </cell>
          <cell r="D115">
            <v>31.16</v>
          </cell>
          <cell r="E115">
            <v>35.21</v>
          </cell>
          <cell r="F115">
            <v>43.27</v>
          </cell>
          <cell r="G115">
            <v>48.9</v>
          </cell>
        </row>
        <row r="116">
          <cell r="E116" t="str">
            <v/>
          </cell>
        </row>
        <row r="117">
          <cell r="A117" t="str">
            <v>S66NSA1-1/4</v>
          </cell>
          <cell r="B117" t="str">
            <v>LN</v>
          </cell>
          <cell r="C117" t="str">
            <v>TINTE AL ACEITE GLAZE CAOBA (TIPO EBONOL)</v>
          </cell>
          <cell r="D117">
            <v>8.6</v>
          </cell>
          <cell r="E117">
            <v>9.7200000000000006</v>
          </cell>
          <cell r="F117">
            <v>11.95</v>
          </cell>
          <cell r="G117">
            <v>13.5</v>
          </cell>
        </row>
        <row r="118">
          <cell r="A118" t="str">
            <v>S66NSA2-1/4</v>
          </cell>
          <cell r="B118" t="str">
            <v>LN</v>
          </cell>
          <cell r="C118" t="str">
            <v>TINTE AL ACEITE GLAZE NOGAL</v>
          </cell>
          <cell r="D118">
            <v>8.6</v>
          </cell>
          <cell r="E118">
            <v>9.7200000000000006</v>
          </cell>
          <cell r="F118">
            <v>11.95</v>
          </cell>
          <cell r="G118">
            <v>13.5</v>
          </cell>
        </row>
        <row r="119">
          <cell r="A119" t="str">
            <v>S66NSA3-1/4</v>
          </cell>
          <cell r="B119" t="str">
            <v>LN</v>
          </cell>
          <cell r="C119" t="str">
            <v>TINTE AL ACEITE GLAZE CEREZA</v>
          </cell>
          <cell r="D119">
            <v>8.6</v>
          </cell>
          <cell r="E119">
            <v>9.7200000000000006</v>
          </cell>
          <cell r="F119">
            <v>11.95</v>
          </cell>
          <cell r="G119">
            <v>13.5</v>
          </cell>
        </row>
        <row r="120">
          <cell r="A120" t="str">
            <v>S66BSA1-1/4</v>
          </cell>
          <cell r="B120" t="str">
            <v>LN</v>
          </cell>
          <cell r="C120" t="str">
            <v>TINTE AL ACEITE GLAZE NEGRO</v>
          </cell>
          <cell r="D120">
            <v>8.6</v>
          </cell>
          <cell r="E120">
            <v>9.7200000000000006</v>
          </cell>
          <cell r="F120">
            <v>11.95</v>
          </cell>
          <cell r="G120">
            <v>13.5</v>
          </cell>
        </row>
        <row r="121">
          <cell r="A121" t="str">
            <v>S66NSA4-1/4</v>
          </cell>
          <cell r="B121" t="str">
            <v>LN</v>
          </cell>
          <cell r="C121" t="str">
            <v>TINTE AL ACEITE GLAZE CORTEZ</v>
          </cell>
          <cell r="D121">
            <v>8.6</v>
          </cell>
          <cell r="E121">
            <v>9.7200000000000006</v>
          </cell>
          <cell r="F121">
            <v>11.95</v>
          </cell>
          <cell r="G121">
            <v>13.5</v>
          </cell>
        </row>
        <row r="122">
          <cell r="A122" t="str">
            <v>S66NSA6-1/4</v>
          </cell>
          <cell r="B122" t="str">
            <v>LN</v>
          </cell>
          <cell r="C122" t="str">
            <v>TINTE AL ACEITE GLAZE CAFÉ</v>
          </cell>
          <cell r="D122">
            <v>8.6</v>
          </cell>
          <cell r="E122">
            <v>9.7200000000000006</v>
          </cell>
          <cell r="F122">
            <v>11.95</v>
          </cell>
          <cell r="G122">
            <v>13.5</v>
          </cell>
        </row>
        <row r="123">
          <cell r="A123" t="str">
            <v>S66NSA5-1/4</v>
          </cell>
          <cell r="B123" t="str">
            <v>LN</v>
          </cell>
          <cell r="C123" t="str">
            <v>TINTE AL ACEITE GLAZE ARCE COLONIAL</v>
          </cell>
          <cell r="D123">
            <v>8.6</v>
          </cell>
          <cell r="E123">
            <v>9.7200000000000006</v>
          </cell>
          <cell r="F123">
            <v>11.95</v>
          </cell>
          <cell r="G123">
            <v>13.5</v>
          </cell>
        </row>
        <row r="124">
          <cell r="A124" t="str">
            <v>S66RSA1-1/4</v>
          </cell>
          <cell r="B124" t="str">
            <v>LN</v>
          </cell>
          <cell r="C124" t="str">
            <v>TINTE AL ACEITE GLAZE CAOBA AFRICANO</v>
          </cell>
          <cell r="D124">
            <v>8.6</v>
          </cell>
          <cell r="E124">
            <v>9.7200000000000006</v>
          </cell>
          <cell r="F124">
            <v>11.95</v>
          </cell>
          <cell r="G124">
            <v>13.5</v>
          </cell>
        </row>
        <row r="125">
          <cell r="E125" t="str">
            <v/>
          </cell>
        </row>
        <row r="126">
          <cell r="C126" t="str">
            <v xml:space="preserve">TINTES BASE AGUA PARA MADERA USO EXTERIOR/INTERIOR ENTINTABLE </v>
          </cell>
          <cell r="E126" t="str">
            <v/>
          </cell>
        </row>
        <row r="127">
          <cell r="C127" t="str">
            <v>ENTINTABLE CON TINTES  BLEND-A-COLOR(5-6 ONZAS MAXIMO)</v>
          </cell>
          <cell r="E127" t="str">
            <v/>
          </cell>
        </row>
        <row r="128">
          <cell r="E128" t="str">
            <v/>
          </cell>
        </row>
        <row r="129">
          <cell r="A129" t="str">
            <v>A13NSA4-1/4</v>
          </cell>
          <cell r="B129" t="str">
            <v>LN</v>
          </cell>
          <cell r="C129" t="str">
            <v>TINTE BASE AGUA PARA MADERA NOGAL</v>
          </cell>
          <cell r="D129">
            <v>4.1500000000000004</v>
          </cell>
          <cell r="E129">
            <v>4.6900000000000004</v>
          </cell>
          <cell r="F129">
            <v>6.11</v>
          </cell>
          <cell r="G129">
            <v>6.9</v>
          </cell>
        </row>
        <row r="130">
          <cell r="A130" t="str">
            <v>A13NSA5-1/4</v>
          </cell>
          <cell r="B130" t="str">
            <v>LN</v>
          </cell>
          <cell r="C130" t="str">
            <v>TINTE BASE AGUA PARA MADERA NOGAL ROJIZO</v>
          </cell>
          <cell r="D130">
            <v>4.1500000000000004</v>
          </cell>
          <cell r="E130">
            <v>4.6900000000000004</v>
          </cell>
          <cell r="F130">
            <v>6.11</v>
          </cell>
          <cell r="G130">
            <v>6.9</v>
          </cell>
        </row>
        <row r="131">
          <cell r="A131" t="str">
            <v>A13NSA6-1/4</v>
          </cell>
          <cell r="B131" t="str">
            <v>LN</v>
          </cell>
          <cell r="C131" t="str">
            <v>TINTE BASE AGUA PARA MADERA WENGUE</v>
          </cell>
          <cell r="D131">
            <v>4.1500000000000004</v>
          </cell>
          <cell r="E131">
            <v>4.6900000000000004</v>
          </cell>
          <cell r="F131">
            <v>6.11</v>
          </cell>
          <cell r="G131">
            <v>6.9</v>
          </cell>
        </row>
        <row r="132">
          <cell r="A132" t="str">
            <v>A13RSA2-1/4</v>
          </cell>
          <cell r="B132" t="str">
            <v>LN</v>
          </cell>
          <cell r="C132" t="str">
            <v>TINTE BASE AGUA PARA MADERA CAOBA AFRICANO</v>
          </cell>
          <cell r="D132">
            <v>4.1500000000000004</v>
          </cell>
          <cell r="E132">
            <v>4.6900000000000004</v>
          </cell>
          <cell r="F132">
            <v>6.11</v>
          </cell>
          <cell r="G132">
            <v>6.9</v>
          </cell>
        </row>
        <row r="133">
          <cell r="A133" t="str">
            <v>A13RSA3-1/4</v>
          </cell>
          <cell r="B133" t="str">
            <v>LN</v>
          </cell>
          <cell r="C133" t="str">
            <v>TINTE BASE AGUA PARA MADERA CAOBA</v>
          </cell>
          <cell r="D133">
            <v>4.1500000000000004</v>
          </cell>
          <cell r="E133">
            <v>4.6900000000000004</v>
          </cell>
          <cell r="F133">
            <v>6.11</v>
          </cell>
          <cell r="G133">
            <v>6.9</v>
          </cell>
        </row>
        <row r="134">
          <cell r="A134" t="str">
            <v>A13YSA2-1/4</v>
          </cell>
          <cell r="B134" t="str">
            <v>LN</v>
          </cell>
          <cell r="C134" t="str">
            <v>TINTE BASE AGUA PARA MADERA ROBLE CLARO</v>
          </cell>
          <cell r="D134">
            <v>4.1500000000000004</v>
          </cell>
          <cell r="E134">
            <v>4.6900000000000004</v>
          </cell>
          <cell r="F134">
            <v>6.11</v>
          </cell>
          <cell r="G134">
            <v>6.9</v>
          </cell>
        </row>
        <row r="135">
          <cell r="A135" t="str">
            <v>A13TSA2-1/4</v>
          </cell>
          <cell r="B135" t="str">
            <v>LN</v>
          </cell>
          <cell r="C135" t="str">
            <v>BASE DE ENTINTADO TRANSPARENTE</v>
          </cell>
          <cell r="D135">
            <v>3.15</v>
          </cell>
          <cell r="E135">
            <v>3.56</v>
          </cell>
          <cell r="F135">
            <v>6.64</v>
          </cell>
          <cell r="G135">
            <v>7.5</v>
          </cell>
        </row>
        <row r="136">
          <cell r="C136" t="str">
            <v>Base de entintado para reproducir colores, usar de 3 onzas por cuarto maximo</v>
          </cell>
        </row>
        <row r="138">
          <cell r="C138" t="str">
            <v>SELLADORES NITROCELULOSICOS</v>
          </cell>
          <cell r="E138" t="str">
            <v/>
          </cell>
        </row>
        <row r="139">
          <cell r="E139" t="str">
            <v/>
          </cell>
        </row>
        <row r="140">
          <cell r="A140" t="str">
            <v>T60F50-1/4</v>
          </cell>
          <cell r="B140" t="str">
            <v>LN</v>
          </cell>
          <cell r="C140" t="str">
            <v>SELLADOR NITRO PARA MADERA TRANSPARENTE NATURAL</v>
          </cell>
          <cell r="D140">
            <v>6.32</v>
          </cell>
          <cell r="E140">
            <v>7.14</v>
          </cell>
          <cell r="F140">
            <v>7.52</v>
          </cell>
          <cell r="G140">
            <v>8.5</v>
          </cell>
        </row>
        <row r="141">
          <cell r="A141" t="str">
            <v>T60F50-1</v>
          </cell>
          <cell r="B141" t="str">
            <v>LN</v>
          </cell>
          <cell r="C141" t="str">
            <v>SELLADOR NITRO PARA MADERA TRANSPARENTE NATURAL</v>
          </cell>
          <cell r="D141">
            <v>22.23</v>
          </cell>
          <cell r="E141">
            <v>25.12</v>
          </cell>
          <cell r="F141">
            <v>26.46</v>
          </cell>
          <cell r="G141">
            <v>29.9</v>
          </cell>
        </row>
        <row r="142">
          <cell r="E142" t="str">
            <v/>
          </cell>
        </row>
        <row r="143">
          <cell r="A143" t="str">
            <v>T60FSA10-1/4</v>
          </cell>
          <cell r="B143" t="str">
            <v>LN</v>
          </cell>
          <cell r="C143" t="str">
            <v>SELLADOR NITRO PARA MADERA SUPERCONCENTRADO</v>
          </cell>
          <cell r="D143">
            <v>6.01</v>
          </cell>
          <cell r="E143">
            <v>6.79</v>
          </cell>
          <cell r="F143">
            <v>6.99</v>
          </cell>
          <cell r="G143">
            <v>7.9</v>
          </cell>
        </row>
        <row r="144">
          <cell r="A144" t="str">
            <v>T60FSA10-1</v>
          </cell>
          <cell r="B144" t="str">
            <v>LN</v>
          </cell>
          <cell r="C144" t="str">
            <v>SELLADOR NITRO PARA MADERA SUPERCONCENTRADO</v>
          </cell>
          <cell r="D144">
            <v>20.47</v>
          </cell>
          <cell r="E144">
            <v>23.13</v>
          </cell>
          <cell r="F144">
            <v>23.81</v>
          </cell>
          <cell r="G144">
            <v>26.9</v>
          </cell>
        </row>
        <row r="145">
          <cell r="A145" t="str">
            <v>T60FSA10-5</v>
          </cell>
          <cell r="B145" t="str">
            <v>LN</v>
          </cell>
          <cell r="C145" t="str">
            <v>SELLADOR NITRO PARA MADERA SUPERCONCENTRADO</v>
          </cell>
          <cell r="D145">
            <v>97.42</v>
          </cell>
          <cell r="E145">
            <v>110.08</v>
          </cell>
          <cell r="F145">
            <v>113.27</v>
          </cell>
          <cell r="G145">
            <v>128</v>
          </cell>
        </row>
        <row r="146">
          <cell r="A146" t="str">
            <v>T60FSA10-50</v>
          </cell>
          <cell r="B146" t="str">
            <v>LN</v>
          </cell>
          <cell r="C146" t="str">
            <v>SELLADOR NITRO PARA MADERA SUPERCONCENTRADO</v>
          </cell>
          <cell r="D146">
            <v>926.97</v>
          </cell>
          <cell r="E146">
            <v>1047.48</v>
          </cell>
          <cell r="F146">
            <v>1077.8800000000001</v>
          </cell>
          <cell r="G146">
            <v>1218</v>
          </cell>
        </row>
        <row r="147">
          <cell r="E147" t="str">
            <v/>
          </cell>
        </row>
        <row r="148">
          <cell r="A148" t="str">
            <v>T60FSA28-1</v>
          </cell>
          <cell r="B148" t="str">
            <v>LN</v>
          </cell>
          <cell r="C148" t="str">
            <v>SELLADOR SUPER CONCENTRADO NITRO AMBAR</v>
          </cell>
          <cell r="D148">
            <v>22.75</v>
          </cell>
          <cell r="E148">
            <v>25.71</v>
          </cell>
          <cell r="F148">
            <v>26.46</v>
          </cell>
          <cell r="G148">
            <v>29.9</v>
          </cell>
        </row>
        <row r="149">
          <cell r="A149" t="str">
            <v>T60FSA28-1/4</v>
          </cell>
          <cell r="B149" t="str">
            <v>LN</v>
          </cell>
          <cell r="C149" t="str">
            <v>SELLADOR SUPER CONCENTRADO NITRO AMBAR</v>
          </cell>
          <cell r="D149">
            <v>6.47</v>
          </cell>
          <cell r="E149">
            <v>7.31</v>
          </cell>
          <cell r="F149">
            <v>7.52</v>
          </cell>
          <cell r="G149">
            <v>8.5</v>
          </cell>
        </row>
        <row r="150">
          <cell r="E150" t="str">
            <v/>
          </cell>
        </row>
        <row r="151">
          <cell r="A151" t="str">
            <v>T60FSA26-1</v>
          </cell>
          <cell r="B151" t="str">
            <v>PE</v>
          </cell>
          <cell r="C151" t="str">
            <v>SELLADOR NITRO PARA MADERA LISTO A USAR NATURAL</v>
          </cell>
          <cell r="D151">
            <v>19.260000000000002</v>
          </cell>
          <cell r="E151">
            <v>21.76</v>
          </cell>
          <cell r="F151">
            <v>22.92</v>
          </cell>
          <cell r="G151">
            <v>25.9</v>
          </cell>
        </row>
        <row r="152">
          <cell r="E152" t="str">
            <v/>
          </cell>
        </row>
        <row r="153">
          <cell r="C153" t="str">
            <v>SELLADOR BASE AGUA</v>
          </cell>
          <cell r="E153" t="str">
            <v/>
          </cell>
        </row>
        <row r="154">
          <cell r="E154" t="str">
            <v/>
          </cell>
        </row>
        <row r="155">
          <cell r="A155" t="str">
            <v>T65FSA1-1/4</v>
          </cell>
          <cell r="B155" t="str">
            <v>LN</v>
          </cell>
          <cell r="C155" t="str">
            <v>SELLADOR INDUSTRIAL P/MADERA BASE AGUA (TRANSPARENTE)</v>
          </cell>
          <cell r="D155">
            <v>3.5</v>
          </cell>
          <cell r="E155">
            <v>3.96</v>
          </cell>
          <cell r="F155">
            <v>4.87</v>
          </cell>
          <cell r="G155">
            <v>5.5</v>
          </cell>
        </row>
        <row r="156">
          <cell r="A156" t="str">
            <v>T65FSA1-1</v>
          </cell>
          <cell r="B156" t="str">
            <v>LN</v>
          </cell>
          <cell r="C156" t="str">
            <v>SELLADOR INDUSTRIAL P/MADERA BASE AGUA (TRANSPARENTE)</v>
          </cell>
          <cell r="D156">
            <v>10.130000000000001</v>
          </cell>
          <cell r="E156">
            <v>11.45</v>
          </cell>
          <cell r="F156">
            <v>14.07</v>
          </cell>
          <cell r="G156">
            <v>15.9</v>
          </cell>
        </row>
        <row r="157">
          <cell r="E157" t="str">
            <v/>
          </cell>
        </row>
        <row r="158">
          <cell r="C158" t="str">
            <v>LACAS TRANSPARENTES NITROCELULOSICAS</v>
          </cell>
          <cell r="E158" t="str">
            <v/>
          </cell>
        </row>
        <row r="159">
          <cell r="E159" t="str">
            <v/>
          </cell>
        </row>
        <row r="160">
          <cell r="A160" t="str">
            <v>T70C50-1/4</v>
          </cell>
          <cell r="B160" t="str">
            <v>LN</v>
          </cell>
          <cell r="C160" t="str">
            <v>LACA NITRO PARA MADERA BRILLANTE #45</v>
          </cell>
          <cell r="D160">
            <v>7.52</v>
          </cell>
          <cell r="E160">
            <v>8.5</v>
          </cell>
          <cell r="F160">
            <v>9.65</v>
          </cell>
          <cell r="G160">
            <v>10.9</v>
          </cell>
        </row>
        <row r="161">
          <cell r="A161" t="str">
            <v>T70C50-1</v>
          </cell>
          <cell r="B161" t="str">
            <v>LN</v>
          </cell>
          <cell r="C161" t="str">
            <v>LACA NITRO PARA MADERA BRILLANTE #45</v>
          </cell>
          <cell r="D161">
            <v>26.16</v>
          </cell>
          <cell r="E161">
            <v>29.56</v>
          </cell>
          <cell r="F161">
            <v>33.54</v>
          </cell>
          <cell r="G161">
            <v>37.9</v>
          </cell>
        </row>
        <row r="162">
          <cell r="A162" t="str">
            <v>T70C50-5</v>
          </cell>
          <cell r="B162" t="str">
            <v>LN</v>
          </cell>
          <cell r="C162" t="str">
            <v>LACA NITRO PARA MADERA BRILLANTE #45</v>
          </cell>
          <cell r="D162">
            <v>127.01</v>
          </cell>
          <cell r="E162">
            <v>143.52000000000001</v>
          </cell>
          <cell r="F162">
            <v>162.83000000000001</v>
          </cell>
          <cell r="G162">
            <v>184</v>
          </cell>
        </row>
        <row r="163">
          <cell r="E163" t="str">
            <v/>
          </cell>
        </row>
        <row r="164">
          <cell r="A164" t="str">
            <v>T70FSA1-1/4</v>
          </cell>
          <cell r="B164" t="str">
            <v>LN</v>
          </cell>
          <cell r="C164" t="str">
            <v>LACA NITRO PARA MADERA MATE #95</v>
          </cell>
          <cell r="D164">
            <v>9.1300000000000008</v>
          </cell>
          <cell r="E164">
            <v>10.32</v>
          </cell>
          <cell r="F164">
            <v>11.42</v>
          </cell>
          <cell r="G164">
            <v>12.9</v>
          </cell>
        </row>
        <row r="165">
          <cell r="A165" t="str">
            <v>T70FSA1-1</v>
          </cell>
          <cell r="B165" t="str">
            <v>LN</v>
          </cell>
          <cell r="C165" t="str">
            <v>LACA NITRO PARA MADERA MATE #95</v>
          </cell>
          <cell r="D165">
            <v>31.79</v>
          </cell>
          <cell r="E165">
            <v>35.92</v>
          </cell>
          <cell r="F165">
            <v>39.729999999999997</v>
          </cell>
          <cell r="G165">
            <v>44.9</v>
          </cell>
        </row>
        <row r="166">
          <cell r="A166" t="str">
            <v>T70FSA1-5</v>
          </cell>
          <cell r="B166" t="str">
            <v>LN</v>
          </cell>
          <cell r="C166" t="str">
            <v>LACA NITRO PARA MADERA MATE #95</v>
          </cell>
          <cell r="D166">
            <v>155.04</v>
          </cell>
          <cell r="E166">
            <v>175.2</v>
          </cell>
          <cell r="F166">
            <v>193.81</v>
          </cell>
          <cell r="G166">
            <v>219</v>
          </cell>
        </row>
        <row r="167">
          <cell r="E167" t="str">
            <v/>
          </cell>
        </row>
        <row r="168">
          <cell r="C168" t="str">
            <v>LACAS INDUSTRIALES PARA MADERA Y METAL</v>
          </cell>
          <cell r="E168" t="str">
            <v/>
          </cell>
        </row>
        <row r="169">
          <cell r="A169" t="str">
            <v>L61BSA1-1</v>
          </cell>
          <cell r="B169" t="str">
            <v>LN</v>
          </cell>
          <cell r="C169" t="str">
            <v>LACA PROFESIONAL PARA MADERA NEGRO</v>
          </cell>
          <cell r="D169">
            <v>26.12</v>
          </cell>
          <cell r="E169">
            <v>29.52</v>
          </cell>
          <cell r="F169">
            <v>32.65</v>
          </cell>
          <cell r="G169">
            <v>36.9</v>
          </cell>
        </row>
        <row r="170">
          <cell r="A170" t="str">
            <v>L61GSA1-1</v>
          </cell>
          <cell r="B170" t="str">
            <v>LN</v>
          </cell>
          <cell r="C170" t="str">
            <v>LACA PROFESIONAL PARA MADERA VERDE P.T</v>
          </cell>
          <cell r="D170">
            <v>26.12</v>
          </cell>
          <cell r="E170">
            <v>29.52</v>
          </cell>
          <cell r="F170">
            <v>32.65</v>
          </cell>
          <cell r="G170">
            <v>36.9</v>
          </cell>
        </row>
        <row r="171">
          <cell r="A171" t="str">
            <v>L61LSA3-1</v>
          </cell>
          <cell r="B171" t="str">
            <v>LN</v>
          </cell>
          <cell r="C171" t="str">
            <v>LACA PROFESIONAL PARA MADERA AZUL ROJIZO</v>
          </cell>
          <cell r="D171">
            <v>26.12</v>
          </cell>
          <cell r="E171">
            <v>29.52</v>
          </cell>
          <cell r="F171">
            <v>32.65</v>
          </cell>
          <cell r="G171">
            <v>36.9</v>
          </cell>
        </row>
        <row r="172">
          <cell r="A172" t="str">
            <v>L61LSA4-1</v>
          </cell>
          <cell r="B172" t="str">
            <v>LN</v>
          </cell>
          <cell r="C172" t="str">
            <v>LACA PROFESIONAL PARA MADERA AZUL VERDOSO</v>
          </cell>
          <cell r="D172">
            <v>26.12</v>
          </cell>
          <cell r="E172">
            <v>29.52</v>
          </cell>
          <cell r="F172">
            <v>32.65</v>
          </cell>
          <cell r="G172">
            <v>36.9</v>
          </cell>
        </row>
        <row r="173">
          <cell r="A173" t="str">
            <v>L61MSA1-1</v>
          </cell>
          <cell r="B173" t="str">
            <v>LN</v>
          </cell>
          <cell r="C173" t="str">
            <v>LACA PROFESIONAL PARA MADERA MARRON</v>
          </cell>
          <cell r="D173">
            <v>26.12</v>
          </cell>
          <cell r="E173">
            <v>29.52</v>
          </cell>
          <cell r="F173">
            <v>32.65</v>
          </cell>
          <cell r="G173">
            <v>36.9</v>
          </cell>
        </row>
        <row r="174">
          <cell r="A174" t="str">
            <v>L61NSA1-1</v>
          </cell>
          <cell r="B174" t="str">
            <v>LN</v>
          </cell>
          <cell r="C174" t="str">
            <v>LACA PROFESIONAL PARA MADERA DORADO ROJIZO</v>
          </cell>
          <cell r="D174">
            <v>26.12</v>
          </cell>
          <cell r="E174">
            <v>29.52</v>
          </cell>
          <cell r="F174">
            <v>32.65</v>
          </cell>
          <cell r="G174">
            <v>36.9</v>
          </cell>
        </row>
        <row r="175">
          <cell r="A175" t="str">
            <v>L61RSA1-1</v>
          </cell>
          <cell r="B175" t="str">
            <v>LN</v>
          </cell>
          <cell r="C175" t="str">
            <v>LACA PROFESIONAL PARA MADERA ROJO OXIDO</v>
          </cell>
          <cell r="D175">
            <v>26.12</v>
          </cell>
          <cell r="E175">
            <v>29.52</v>
          </cell>
          <cell r="F175">
            <v>32.65</v>
          </cell>
          <cell r="G175">
            <v>36.9</v>
          </cell>
        </row>
        <row r="176">
          <cell r="A176" t="str">
            <v>L61RSA2-1</v>
          </cell>
          <cell r="B176" t="str">
            <v>LN</v>
          </cell>
          <cell r="C176" t="str">
            <v>LACA PROFESIONAL PARA MADERA ROJO BRILLANTE</v>
          </cell>
          <cell r="D176">
            <v>26.12</v>
          </cell>
          <cell r="E176">
            <v>29.52</v>
          </cell>
          <cell r="F176">
            <v>32.65</v>
          </cell>
          <cell r="G176">
            <v>36.9</v>
          </cell>
        </row>
        <row r="177">
          <cell r="A177" t="str">
            <v>L61WSA2-1</v>
          </cell>
          <cell r="B177" t="str">
            <v>LN</v>
          </cell>
          <cell r="C177" t="str">
            <v>LACA PROFESIONAL PARA MADERA BLANCA</v>
          </cell>
          <cell r="D177">
            <v>26.12</v>
          </cell>
          <cell r="E177">
            <v>29.52</v>
          </cell>
          <cell r="F177">
            <v>32.65</v>
          </cell>
          <cell r="G177">
            <v>36.9</v>
          </cell>
        </row>
        <row r="178">
          <cell r="A178" t="str">
            <v>L61YSA1-1</v>
          </cell>
          <cell r="B178" t="str">
            <v>LN</v>
          </cell>
          <cell r="C178" t="str">
            <v>LACA PROFESIONAL PARA MADERA AMARILLO OXIDO</v>
          </cell>
          <cell r="D178">
            <v>26.12</v>
          </cell>
          <cell r="E178">
            <v>29.52</v>
          </cell>
          <cell r="F178">
            <v>32.65</v>
          </cell>
          <cell r="G178">
            <v>36.9</v>
          </cell>
        </row>
        <row r="179">
          <cell r="A179" t="str">
            <v>L61SSA1-1</v>
          </cell>
          <cell r="B179" t="str">
            <v>LN</v>
          </cell>
          <cell r="C179" t="str">
            <v>LACA PROFESIONAL PARA MADERA METALICO BRILLANTE</v>
          </cell>
          <cell r="D179">
            <v>26.12</v>
          </cell>
          <cell r="E179">
            <v>29.52</v>
          </cell>
          <cell r="F179">
            <v>32.65</v>
          </cell>
          <cell r="G179">
            <v>36.9</v>
          </cell>
        </row>
        <row r="180">
          <cell r="A180" t="str">
            <v>L61SSA2-1</v>
          </cell>
          <cell r="B180" t="str">
            <v>LN</v>
          </cell>
          <cell r="C180" t="str">
            <v>LACA PROFESIONAL PARA MADERA METALICO MEDIO GRUESO</v>
          </cell>
          <cell r="D180">
            <v>26.12</v>
          </cell>
          <cell r="E180">
            <v>29.52</v>
          </cell>
          <cell r="F180">
            <v>32.65</v>
          </cell>
          <cell r="G180">
            <v>36.9</v>
          </cell>
        </row>
        <row r="181">
          <cell r="A181" t="str">
            <v>L61NSA9-1</v>
          </cell>
          <cell r="B181" t="str">
            <v>LN</v>
          </cell>
          <cell r="C181" t="str">
            <v>LACA PROFESIONAL PARA MADERA NC DORADA</v>
          </cell>
          <cell r="D181">
            <v>26.12</v>
          </cell>
          <cell r="E181">
            <v>29.52</v>
          </cell>
          <cell r="F181">
            <v>32.65</v>
          </cell>
          <cell r="G181">
            <v>36.9</v>
          </cell>
        </row>
        <row r="182">
          <cell r="A182" t="str">
            <v>L61LSA8-1</v>
          </cell>
          <cell r="B182" t="str">
            <v>LN</v>
          </cell>
          <cell r="C182" t="str">
            <v>LACA PROFESIONAL PARA MADERA NC AZUL FTALO</v>
          </cell>
          <cell r="D182">
            <v>26.12</v>
          </cell>
          <cell r="E182">
            <v>29.52</v>
          </cell>
          <cell r="F182">
            <v>32.65</v>
          </cell>
          <cell r="G182">
            <v>36.9</v>
          </cell>
        </row>
        <row r="183">
          <cell r="A183" t="str">
            <v>L61SSA3-1</v>
          </cell>
          <cell r="B183" t="str">
            <v>LN</v>
          </cell>
          <cell r="C183" t="str">
            <v>LACA PROFESIONAL PARA MADERA NC METALICO ALUMINIO</v>
          </cell>
          <cell r="D183">
            <v>26.12</v>
          </cell>
          <cell r="E183">
            <v>29.52</v>
          </cell>
          <cell r="F183">
            <v>32.65</v>
          </cell>
          <cell r="G183">
            <v>36.9</v>
          </cell>
        </row>
        <row r="184">
          <cell r="A184" t="str">
            <v>L61RSA6-1</v>
          </cell>
          <cell r="B184" t="str">
            <v>LN</v>
          </cell>
          <cell r="C184" t="str">
            <v>LACA PROFESIONAL PARA MADERA NC MAGENTA</v>
          </cell>
          <cell r="D184">
            <v>26.12</v>
          </cell>
          <cell r="E184">
            <v>29.52</v>
          </cell>
          <cell r="F184">
            <v>32.65</v>
          </cell>
          <cell r="G184">
            <v>36.9</v>
          </cell>
        </row>
        <row r="185">
          <cell r="A185" t="str">
            <v>L61RSA5-1</v>
          </cell>
          <cell r="B185" t="str">
            <v>LN</v>
          </cell>
          <cell r="C185" t="str">
            <v>LACA PROFESIONAL PARA MADERA NC ROJO</v>
          </cell>
          <cell r="D185">
            <v>26.12</v>
          </cell>
          <cell r="E185">
            <v>29.52</v>
          </cell>
          <cell r="F185">
            <v>32.65</v>
          </cell>
          <cell r="G185">
            <v>36.9</v>
          </cell>
        </row>
        <row r="186">
          <cell r="E186" t="str">
            <v/>
          </cell>
        </row>
        <row r="187">
          <cell r="A187" t="str">
            <v>L61BSA1-1/4</v>
          </cell>
          <cell r="B187" t="str">
            <v>LN</v>
          </cell>
          <cell r="C187" t="str">
            <v>LACA PROFESIONAL PARA MADERA NEGRO</v>
          </cell>
          <cell r="D187">
            <v>8.42</v>
          </cell>
          <cell r="E187">
            <v>9.52</v>
          </cell>
          <cell r="F187">
            <v>10.53</v>
          </cell>
          <cell r="G187">
            <v>11.9</v>
          </cell>
        </row>
        <row r="188">
          <cell r="A188" t="str">
            <v>L61GSA1-1/4</v>
          </cell>
          <cell r="B188" t="str">
            <v>PE</v>
          </cell>
          <cell r="C188" t="str">
            <v>LACA PROFESIONAL PARA MADERA VERDE P.T</v>
          </cell>
          <cell r="D188">
            <v>8.42</v>
          </cell>
          <cell r="E188">
            <v>9.52</v>
          </cell>
          <cell r="F188">
            <v>10.53</v>
          </cell>
          <cell r="G188">
            <v>11.9</v>
          </cell>
        </row>
        <row r="189">
          <cell r="A189" t="str">
            <v>L61LSA3-1/4</v>
          </cell>
          <cell r="B189" t="str">
            <v>PE</v>
          </cell>
          <cell r="C189" t="str">
            <v>LACA PROFESIONAL PARA MADERA AZUL ROJIZO</v>
          </cell>
          <cell r="D189">
            <v>8.42</v>
          </cell>
          <cell r="E189">
            <v>9.52</v>
          </cell>
          <cell r="F189">
            <v>10.53</v>
          </cell>
          <cell r="G189">
            <v>11.9</v>
          </cell>
        </row>
        <row r="190">
          <cell r="A190" t="str">
            <v>L61LSA4-1/4</v>
          </cell>
          <cell r="B190" t="str">
            <v>PE</v>
          </cell>
          <cell r="C190" t="str">
            <v>LACA PROFESIONAL PARA MADERA AZUL VERDOZO</v>
          </cell>
          <cell r="D190">
            <v>8.42</v>
          </cell>
          <cell r="E190">
            <v>9.52</v>
          </cell>
          <cell r="F190">
            <v>10.53</v>
          </cell>
          <cell r="G190">
            <v>11.9</v>
          </cell>
        </row>
        <row r="191">
          <cell r="A191" t="str">
            <v>L61MSA1-1/4</v>
          </cell>
          <cell r="B191" t="str">
            <v>PE</v>
          </cell>
          <cell r="C191" t="str">
            <v>LACA PROFESIONAL PARA MADERA MARRON</v>
          </cell>
          <cell r="D191">
            <v>8.42</v>
          </cell>
          <cell r="E191">
            <v>9.52</v>
          </cell>
          <cell r="F191">
            <v>10.53</v>
          </cell>
          <cell r="G191">
            <v>11.9</v>
          </cell>
        </row>
        <row r="192">
          <cell r="A192" t="str">
            <v>L61NSA1-1/4</v>
          </cell>
          <cell r="B192" t="str">
            <v>PE</v>
          </cell>
          <cell r="C192" t="str">
            <v>LACA PROFESIONAL PARA MADERA DORADO ROJIZO</v>
          </cell>
          <cell r="D192">
            <v>8.42</v>
          </cell>
          <cell r="E192">
            <v>9.52</v>
          </cell>
          <cell r="F192">
            <v>10.53</v>
          </cell>
          <cell r="G192">
            <v>11.9</v>
          </cell>
        </row>
        <row r="193">
          <cell r="A193" t="str">
            <v>L61RSA1-1/4</v>
          </cell>
          <cell r="B193" t="str">
            <v>LN</v>
          </cell>
          <cell r="C193" t="str">
            <v>LACA PROFESIONAL PARA MADERA ROJO OXIDO</v>
          </cell>
          <cell r="D193">
            <v>8.42</v>
          </cell>
          <cell r="E193">
            <v>9.52</v>
          </cell>
          <cell r="F193">
            <v>10.53</v>
          </cell>
          <cell r="G193">
            <v>11.9</v>
          </cell>
        </row>
        <row r="194">
          <cell r="A194" t="str">
            <v>L61RSA2-1/4</v>
          </cell>
          <cell r="B194" t="str">
            <v>LN</v>
          </cell>
          <cell r="C194" t="str">
            <v>LACA PROFESIONAL PARA MADERA ROJO BRILLANTE</v>
          </cell>
          <cell r="D194">
            <v>8.42</v>
          </cell>
          <cell r="E194">
            <v>9.52</v>
          </cell>
          <cell r="F194">
            <v>10.53</v>
          </cell>
          <cell r="G194">
            <v>11.9</v>
          </cell>
        </row>
        <row r="195">
          <cell r="A195" t="str">
            <v>L61WSA2-1/4</v>
          </cell>
          <cell r="B195" t="str">
            <v>LN</v>
          </cell>
          <cell r="C195" t="str">
            <v>LACA PROFESIONAL PARA MADERA BLANCA</v>
          </cell>
          <cell r="D195">
            <v>8.42</v>
          </cell>
          <cell r="E195">
            <v>9.52</v>
          </cell>
          <cell r="F195">
            <v>10.53</v>
          </cell>
          <cell r="G195">
            <v>11.9</v>
          </cell>
        </row>
        <row r="196">
          <cell r="A196" t="str">
            <v>L61YSA1-1/4</v>
          </cell>
          <cell r="B196" t="str">
            <v>LN</v>
          </cell>
          <cell r="C196" t="str">
            <v>LACA PROFESIONAL PARA MADERA AMARILLO OXIDO</v>
          </cell>
          <cell r="D196">
            <v>8.42</v>
          </cell>
          <cell r="E196">
            <v>9.52</v>
          </cell>
          <cell r="F196">
            <v>10.53</v>
          </cell>
          <cell r="G196">
            <v>11.9</v>
          </cell>
        </row>
        <row r="197">
          <cell r="A197" t="str">
            <v>L61YSA2-1/4</v>
          </cell>
          <cell r="B197" t="str">
            <v>LN</v>
          </cell>
          <cell r="C197" t="str">
            <v>LACA PROFESIONAL PARA MADERA AMARILLO LIMON</v>
          </cell>
          <cell r="D197">
            <v>8.42</v>
          </cell>
          <cell r="E197">
            <v>9.52</v>
          </cell>
          <cell r="F197">
            <v>10.53</v>
          </cell>
          <cell r="G197">
            <v>11.9</v>
          </cell>
        </row>
        <row r="198">
          <cell r="A198" t="str">
            <v>L61YSA3-1/4</v>
          </cell>
          <cell r="B198" t="str">
            <v>LN</v>
          </cell>
          <cell r="C198" t="str">
            <v>LACA PROFESIONAL PARA MADERA AMARILLO MEDIO</v>
          </cell>
          <cell r="D198">
            <v>8.42</v>
          </cell>
          <cell r="E198">
            <v>9.52</v>
          </cell>
          <cell r="F198">
            <v>10.53</v>
          </cell>
          <cell r="G198">
            <v>11.9</v>
          </cell>
        </row>
        <row r="199">
          <cell r="A199" t="str">
            <v>L61ESA5-1/4</v>
          </cell>
          <cell r="B199" t="str">
            <v>LN</v>
          </cell>
          <cell r="C199" t="str">
            <v>LACA PROFESIONAL PARA MADERA NC NARANJA SP</v>
          </cell>
          <cell r="D199">
            <v>8.42</v>
          </cell>
          <cell r="E199">
            <v>9.52</v>
          </cell>
          <cell r="F199">
            <v>10.53</v>
          </cell>
          <cell r="G199">
            <v>11.9</v>
          </cell>
        </row>
        <row r="200">
          <cell r="A200" t="str">
            <v>L61LSA9-1/4</v>
          </cell>
          <cell r="B200" t="str">
            <v>LN</v>
          </cell>
          <cell r="C200" t="str">
            <v>LACA PROFESIONAL PARA MADERA NC VIOLETA CARBA</v>
          </cell>
          <cell r="D200">
            <v>8.42</v>
          </cell>
          <cell r="E200">
            <v>9.52</v>
          </cell>
          <cell r="F200">
            <v>10.53</v>
          </cell>
          <cell r="G200">
            <v>11.9</v>
          </cell>
        </row>
        <row r="201">
          <cell r="A201" t="str">
            <v>L61SSA1-1/4</v>
          </cell>
          <cell r="B201" t="str">
            <v>PE</v>
          </cell>
          <cell r="C201" t="str">
            <v>LACA PROFESIONAL PARA MADERA METALICO BRILLANTE</v>
          </cell>
          <cell r="D201">
            <v>8.42</v>
          </cell>
          <cell r="E201">
            <v>9.52</v>
          </cell>
          <cell r="F201">
            <v>10.53</v>
          </cell>
          <cell r="G201">
            <v>11.9</v>
          </cell>
        </row>
        <row r="202">
          <cell r="A202" t="str">
            <v>L61SSA2-1/4</v>
          </cell>
          <cell r="B202" t="str">
            <v>PE</v>
          </cell>
          <cell r="C202" t="str">
            <v>LACA PROFESIONAL PARA MADERA METALICO MEDIO GRUESO</v>
          </cell>
          <cell r="D202">
            <v>8.42</v>
          </cell>
          <cell r="E202">
            <v>9.52</v>
          </cell>
          <cell r="F202">
            <v>10.53</v>
          </cell>
          <cell r="G202">
            <v>11.9</v>
          </cell>
        </row>
        <row r="204">
          <cell r="C204" t="str">
            <v>LACAS COLORES DIRECTOS</v>
          </cell>
          <cell r="E204" t="str">
            <v/>
          </cell>
        </row>
        <row r="205">
          <cell r="E205" t="str">
            <v/>
          </cell>
        </row>
        <row r="206">
          <cell r="A206" t="str">
            <v>L61BSA2-1</v>
          </cell>
          <cell r="B206" t="str">
            <v>LN</v>
          </cell>
          <cell r="C206" t="str">
            <v>LACA PROFESIONAL PARA MADERA NEGRO DIRECTO</v>
          </cell>
          <cell r="D206">
            <v>27.83</v>
          </cell>
          <cell r="E206">
            <v>31.45</v>
          </cell>
          <cell r="F206">
            <v>37.61</v>
          </cell>
          <cell r="G206">
            <v>42.5</v>
          </cell>
        </row>
        <row r="207">
          <cell r="A207" t="str">
            <v>L61WSA3-1</v>
          </cell>
          <cell r="B207" t="str">
            <v>LN</v>
          </cell>
          <cell r="C207" t="str">
            <v>LACA PROFESIONAL PARA MADERA BLANCO DIRECTO</v>
          </cell>
          <cell r="D207">
            <v>27.83</v>
          </cell>
          <cell r="E207">
            <v>31.45</v>
          </cell>
          <cell r="F207">
            <v>37.61</v>
          </cell>
          <cell r="G207">
            <v>42.5</v>
          </cell>
        </row>
        <row r="208">
          <cell r="A208" t="str">
            <v>L61BSA2-1/4</v>
          </cell>
          <cell r="B208" t="str">
            <v>LN</v>
          </cell>
          <cell r="C208" t="str">
            <v>LACA PROFESIONAL PARA MADERA NEGRO DIRECTO</v>
          </cell>
          <cell r="D208">
            <v>8.19</v>
          </cell>
          <cell r="E208">
            <v>9.25</v>
          </cell>
          <cell r="F208">
            <v>11.06</v>
          </cell>
          <cell r="G208">
            <v>12.5</v>
          </cell>
        </row>
        <row r="209">
          <cell r="A209" t="str">
            <v>L61WSA3-1/4</v>
          </cell>
          <cell r="B209" t="str">
            <v>LN</v>
          </cell>
          <cell r="C209" t="str">
            <v>LACA PROFESIONAL PARA MADERA BLANCO DIRECTO</v>
          </cell>
          <cell r="D209">
            <v>8.19</v>
          </cell>
          <cell r="E209">
            <v>9.25</v>
          </cell>
          <cell r="F209">
            <v>11.06</v>
          </cell>
          <cell r="G209">
            <v>12.5</v>
          </cell>
        </row>
        <row r="210">
          <cell r="E210" t="str">
            <v/>
          </cell>
        </row>
        <row r="211">
          <cell r="C211" t="str">
            <v>PRIMERS PARA SISTEMA LACA</v>
          </cell>
          <cell r="E211" t="str">
            <v/>
          </cell>
        </row>
        <row r="212">
          <cell r="E212" t="str">
            <v/>
          </cell>
        </row>
        <row r="213">
          <cell r="A213" t="str">
            <v>P65ASA2-1/4</v>
          </cell>
          <cell r="B213" t="str">
            <v>LN</v>
          </cell>
          <cell r="C213" t="str">
            <v>PRIMER NITRO ESPECIAL GRIS</v>
          </cell>
          <cell r="D213">
            <v>7.72</v>
          </cell>
          <cell r="E213">
            <v>8.7200000000000006</v>
          </cell>
          <cell r="F213">
            <v>9.65</v>
          </cell>
          <cell r="G213">
            <v>10.9</v>
          </cell>
        </row>
        <row r="214">
          <cell r="A214" t="str">
            <v>P65WSA5-1/4</v>
          </cell>
          <cell r="B214" t="str">
            <v>LN</v>
          </cell>
          <cell r="C214" t="str">
            <v>PRIMER INDUSTRIAL BLANCO</v>
          </cell>
          <cell r="D214">
            <v>7.72</v>
          </cell>
          <cell r="E214">
            <v>8.7200000000000006</v>
          </cell>
          <cell r="F214">
            <v>9.65</v>
          </cell>
          <cell r="G214">
            <v>10.9</v>
          </cell>
        </row>
        <row r="215">
          <cell r="A215" t="str">
            <v>P65BSA7-1/4</v>
          </cell>
          <cell r="B215" t="str">
            <v>LN</v>
          </cell>
          <cell r="C215" t="str">
            <v>PRIMER PROFESIONAL NC NEGRO</v>
          </cell>
          <cell r="D215">
            <v>7.72</v>
          </cell>
          <cell r="E215">
            <v>8.7200000000000006</v>
          </cell>
          <cell r="F215">
            <v>9.65</v>
          </cell>
          <cell r="G215">
            <v>10.9</v>
          </cell>
        </row>
        <row r="217">
          <cell r="A217" t="str">
            <v>P65ASA2-1</v>
          </cell>
          <cell r="B217" t="str">
            <v>LN</v>
          </cell>
          <cell r="C217" t="str">
            <v>PRIMER NITRO ESPECIAL GRIS</v>
          </cell>
          <cell r="D217">
            <v>27.26</v>
          </cell>
          <cell r="E217">
            <v>30.8</v>
          </cell>
          <cell r="F217">
            <v>34.07</v>
          </cell>
          <cell r="G217">
            <v>38.5</v>
          </cell>
        </row>
        <row r="218">
          <cell r="A218" t="str">
            <v>P65WSA5-1</v>
          </cell>
          <cell r="B218" t="str">
            <v>LN</v>
          </cell>
          <cell r="C218" t="str">
            <v>PRIMER INDUSTRIAL BLANCO</v>
          </cell>
          <cell r="D218">
            <v>27.26</v>
          </cell>
          <cell r="E218">
            <v>30.8</v>
          </cell>
          <cell r="F218">
            <v>34.07</v>
          </cell>
          <cell r="G218">
            <v>38.5</v>
          </cell>
        </row>
        <row r="219">
          <cell r="A219" t="str">
            <v>P65BSA7-1</v>
          </cell>
          <cell r="B219" t="str">
            <v>LN</v>
          </cell>
          <cell r="C219" t="str">
            <v>PRIMER PROFESIONAL NC NEGRO</v>
          </cell>
          <cell r="D219">
            <v>27.26</v>
          </cell>
          <cell r="E219">
            <v>30.8</v>
          </cell>
          <cell r="F219">
            <v>34.07</v>
          </cell>
          <cell r="G219">
            <v>38.5</v>
          </cell>
        </row>
        <row r="220">
          <cell r="A220" t="str">
            <v>P65RSA4-1</v>
          </cell>
          <cell r="B220" t="str">
            <v>LN</v>
          </cell>
          <cell r="C220" t="str">
            <v>PRIMER PROFESIONAL NC ROJO OXIDO</v>
          </cell>
          <cell r="D220">
            <v>27.26</v>
          </cell>
          <cell r="E220">
            <v>30.8</v>
          </cell>
          <cell r="F220">
            <v>34.07</v>
          </cell>
          <cell r="G220">
            <v>38.5</v>
          </cell>
        </row>
        <row r="221">
          <cell r="E221" t="str">
            <v/>
          </cell>
        </row>
        <row r="222">
          <cell r="C222" t="str">
            <v>FONDOS LIJABLES BASE AGUA  LINEA E64</v>
          </cell>
          <cell r="E222" t="str">
            <v/>
          </cell>
        </row>
        <row r="223">
          <cell r="E223" t="str">
            <v/>
          </cell>
        </row>
        <row r="224">
          <cell r="A224" t="str">
            <v>E64RSA1-1</v>
          </cell>
          <cell r="B224" t="str">
            <v>LN</v>
          </cell>
          <cell r="C224" t="str">
            <v>PRIMER BASE AGUA PARA MADERA TERRACOTA</v>
          </cell>
          <cell r="D224">
            <v>15.23</v>
          </cell>
          <cell r="E224">
            <v>17.21</v>
          </cell>
          <cell r="F224">
            <v>21.15</v>
          </cell>
          <cell r="G224">
            <v>23.9</v>
          </cell>
        </row>
        <row r="225">
          <cell r="A225" t="str">
            <v>E64WSA1-1</v>
          </cell>
          <cell r="B225" t="str">
            <v>LN</v>
          </cell>
          <cell r="C225" t="str">
            <v>PRIMER B.A. P/MADERA BLANCO</v>
          </cell>
          <cell r="D225">
            <v>15.23</v>
          </cell>
          <cell r="E225">
            <v>17.21</v>
          </cell>
          <cell r="F225">
            <v>21.15</v>
          </cell>
          <cell r="G225">
            <v>23.9</v>
          </cell>
        </row>
        <row r="226">
          <cell r="E226" t="str">
            <v/>
          </cell>
        </row>
        <row r="227">
          <cell r="C227" t="str">
            <v>USO INTERIOR</v>
          </cell>
          <cell r="E227" t="str">
            <v/>
          </cell>
        </row>
        <row r="228">
          <cell r="A228" t="str">
            <v>V79FSA1-1/4</v>
          </cell>
          <cell r="B228" t="str">
            <v>LN</v>
          </cell>
          <cell r="C228" t="str">
            <v>BARNIZ COPAL SATIN</v>
          </cell>
          <cell r="D228">
            <v>5.83</v>
          </cell>
          <cell r="E228">
            <v>6.59</v>
          </cell>
          <cell r="F228">
            <v>7.88</v>
          </cell>
          <cell r="G228">
            <v>8.9</v>
          </cell>
        </row>
        <row r="229">
          <cell r="A229" t="str">
            <v>V79FSA2-1/4</v>
          </cell>
          <cell r="B229" t="str">
            <v>LN</v>
          </cell>
          <cell r="C229" t="str">
            <v>BARNIZ COPAL MATE</v>
          </cell>
          <cell r="D229">
            <v>5.83</v>
          </cell>
          <cell r="E229">
            <v>6.59</v>
          </cell>
          <cell r="F229">
            <v>7.88</v>
          </cell>
          <cell r="G229">
            <v>8.9</v>
          </cell>
        </row>
        <row r="230">
          <cell r="A230" t="str">
            <v>V79VSA1-1/4</v>
          </cell>
          <cell r="B230" t="str">
            <v>LN</v>
          </cell>
          <cell r="C230" t="str">
            <v>BARNIZ COPAL BRILLANTE</v>
          </cell>
          <cell r="D230">
            <v>5.83</v>
          </cell>
          <cell r="E230">
            <v>6.59</v>
          </cell>
          <cell r="F230">
            <v>7.88</v>
          </cell>
          <cell r="G230">
            <v>8.9</v>
          </cell>
        </row>
        <row r="231">
          <cell r="E231" t="str">
            <v/>
          </cell>
        </row>
        <row r="232">
          <cell r="A232" t="str">
            <v>V79FSA1-1</v>
          </cell>
          <cell r="B232" t="str">
            <v>LN</v>
          </cell>
          <cell r="C232" t="str">
            <v>BARNIZ COPAL SATIN</v>
          </cell>
          <cell r="D232">
            <v>18.66</v>
          </cell>
          <cell r="E232">
            <v>21.09</v>
          </cell>
          <cell r="F232">
            <v>25.22</v>
          </cell>
          <cell r="G232">
            <v>28.5</v>
          </cell>
        </row>
        <row r="233">
          <cell r="A233" t="str">
            <v>V79FSA2-1</v>
          </cell>
          <cell r="B233" t="str">
            <v>LN</v>
          </cell>
          <cell r="C233" t="str">
            <v>BARNIZ COPAL MATE</v>
          </cell>
          <cell r="D233">
            <v>18.66</v>
          </cell>
          <cell r="E233">
            <v>21.09</v>
          </cell>
          <cell r="F233">
            <v>25.22</v>
          </cell>
          <cell r="G233">
            <v>28.5</v>
          </cell>
        </row>
        <row r="234">
          <cell r="A234" t="str">
            <v>V79VSA1-1</v>
          </cell>
          <cell r="B234" t="str">
            <v>LN</v>
          </cell>
          <cell r="C234" t="str">
            <v>BARNIZ COPAL BRILLANTE</v>
          </cell>
          <cell r="D234">
            <v>18.66</v>
          </cell>
          <cell r="E234">
            <v>21.09</v>
          </cell>
          <cell r="F234">
            <v>25.22</v>
          </cell>
          <cell r="G234">
            <v>28.5</v>
          </cell>
        </row>
        <row r="235">
          <cell r="E235" t="str">
            <v/>
          </cell>
        </row>
        <row r="236">
          <cell r="A236" t="str">
            <v>A67V1-1</v>
          </cell>
          <cell r="B236" t="str">
            <v>LN</v>
          </cell>
          <cell r="C236" t="str">
            <v>BARNIZ INTERIOR PARA MADERA BRILLANTE PARA PISOS</v>
          </cell>
          <cell r="D236">
            <v>20.13</v>
          </cell>
          <cell r="E236">
            <v>22.75</v>
          </cell>
          <cell r="F236">
            <v>28.76</v>
          </cell>
          <cell r="G236">
            <v>32.5</v>
          </cell>
        </row>
        <row r="237">
          <cell r="A237" t="str">
            <v>A67V1-1/4</v>
          </cell>
          <cell r="B237" t="str">
            <v>LN</v>
          </cell>
          <cell r="C237" t="str">
            <v>BARNIZ INTERIOR PARA MADERA BRILLANTE PARA PISOS</v>
          </cell>
          <cell r="D237">
            <v>6.19</v>
          </cell>
          <cell r="E237">
            <v>7</v>
          </cell>
          <cell r="F237">
            <v>8.85</v>
          </cell>
          <cell r="G237">
            <v>10</v>
          </cell>
        </row>
        <row r="238">
          <cell r="A238" t="str">
            <v>V82VSA1SP-1/4</v>
          </cell>
          <cell r="B238" t="str">
            <v>LN</v>
          </cell>
          <cell r="C238" t="str">
            <v>BARNIZ POLIURETANO BRILLANTE PARA MUEBLES</v>
          </cell>
          <cell r="D238">
            <v>8.2100000000000009</v>
          </cell>
          <cell r="E238">
            <v>9.2799999999999994</v>
          </cell>
          <cell r="F238">
            <v>10.53</v>
          </cell>
          <cell r="G238">
            <v>11.9</v>
          </cell>
        </row>
        <row r="239">
          <cell r="A239" t="str">
            <v>V82VSA1SP-1</v>
          </cell>
          <cell r="B239" t="str">
            <v>LN</v>
          </cell>
          <cell r="C239" t="str">
            <v>BARNIZ POLIURETANO BRILLANTE PARA MUEBLES</v>
          </cell>
          <cell r="D239">
            <v>27.54</v>
          </cell>
          <cell r="E239">
            <v>31.12</v>
          </cell>
          <cell r="F239">
            <v>35.31</v>
          </cell>
          <cell r="G239">
            <v>39.9</v>
          </cell>
        </row>
        <row r="240">
          <cell r="E240" t="str">
            <v/>
          </cell>
        </row>
        <row r="241">
          <cell r="C241" t="str">
            <v>USO EXTERIOR/INTERIOR</v>
          </cell>
          <cell r="E241" t="str">
            <v/>
          </cell>
        </row>
        <row r="242">
          <cell r="A242" t="str">
            <v>V83CSA2-1/4</v>
          </cell>
          <cell r="B242" t="str">
            <v>LN</v>
          </cell>
          <cell r="C242" t="str">
            <v>BARNIZ ARTESANAL BRILLANTE</v>
          </cell>
          <cell r="D242">
            <v>7.58</v>
          </cell>
          <cell r="E242">
            <v>8.57</v>
          </cell>
          <cell r="F242">
            <v>10.53</v>
          </cell>
          <cell r="G242">
            <v>11.9</v>
          </cell>
        </row>
        <row r="243">
          <cell r="A243" t="str">
            <v>V83CSA2-1</v>
          </cell>
          <cell r="B243" t="str">
            <v>LN</v>
          </cell>
          <cell r="C243" t="str">
            <v>BARNIZ ARTESANAL BRILLANTE</v>
          </cell>
          <cell r="D243">
            <v>26.7</v>
          </cell>
          <cell r="E243">
            <v>30.17</v>
          </cell>
          <cell r="F243">
            <v>37.08</v>
          </cell>
          <cell r="G243">
            <v>41.9</v>
          </cell>
        </row>
        <row r="244">
          <cell r="A244" t="str">
            <v>V83FSA2-1</v>
          </cell>
          <cell r="B244" t="str">
            <v>LN</v>
          </cell>
          <cell r="C244" t="str">
            <v xml:space="preserve">BARNIZ ARTESANAL SATIN </v>
          </cell>
          <cell r="D244">
            <v>26.7</v>
          </cell>
          <cell r="E244">
            <v>30.17</v>
          </cell>
          <cell r="F244">
            <v>37.08</v>
          </cell>
          <cell r="G244">
            <v>41.9</v>
          </cell>
        </row>
        <row r="245">
          <cell r="A245" t="str">
            <v>V83FSA2-1/4</v>
          </cell>
          <cell r="B245" t="str">
            <v>LN</v>
          </cell>
          <cell r="C245" t="str">
            <v xml:space="preserve">BARNIZ ARTESANAL SATIN </v>
          </cell>
          <cell r="D245">
            <v>7.58</v>
          </cell>
          <cell r="E245">
            <v>8.57</v>
          </cell>
          <cell r="F245">
            <v>10.53</v>
          </cell>
          <cell r="G245">
            <v>11.9</v>
          </cell>
        </row>
        <row r="246">
          <cell r="A246" t="str">
            <v>V83FSA3-1</v>
          </cell>
          <cell r="B246" t="str">
            <v>LN</v>
          </cell>
          <cell r="C246" t="str">
            <v xml:space="preserve">BARNIZ ARTESANAL MATE </v>
          </cell>
          <cell r="D246">
            <v>26.7</v>
          </cell>
          <cell r="E246">
            <v>30.17</v>
          </cell>
          <cell r="F246">
            <v>37.08</v>
          </cell>
          <cell r="G246">
            <v>41.9</v>
          </cell>
        </row>
        <row r="247">
          <cell r="A247" t="str">
            <v>V83FSA3-1/4</v>
          </cell>
          <cell r="B247" t="str">
            <v>LN</v>
          </cell>
          <cell r="C247" t="str">
            <v xml:space="preserve">BARNIZ ARTESANAL MATE </v>
          </cell>
          <cell r="D247">
            <v>7.58</v>
          </cell>
          <cell r="E247">
            <v>8.57</v>
          </cell>
          <cell r="F247">
            <v>10.53</v>
          </cell>
          <cell r="G247">
            <v>11.9</v>
          </cell>
        </row>
        <row r="248">
          <cell r="E248" t="str">
            <v/>
          </cell>
        </row>
        <row r="249">
          <cell r="A249" t="str">
            <v>A67V4-1</v>
          </cell>
          <cell r="B249" t="str">
            <v>LN</v>
          </cell>
          <cell r="C249" t="str">
            <v>BARNIZ EXTERIOR PARA MADERA MARINO BRILLANTE</v>
          </cell>
          <cell r="D249">
            <v>27.83</v>
          </cell>
          <cell r="E249">
            <v>31.45</v>
          </cell>
          <cell r="F249">
            <v>37.61</v>
          </cell>
          <cell r="G249">
            <v>42.5</v>
          </cell>
        </row>
        <row r="250">
          <cell r="A250" t="str">
            <v>A67V4-1/4</v>
          </cell>
          <cell r="B250" t="str">
            <v>LN</v>
          </cell>
          <cell r="C250" t="str">
            <v>BARNIZ EXTERIOR PARA MADERA MARINO BRILLANTE</v>
          </cell>
          <cell r="D250">
            <v>8.19</v>
          </cell>
          <cell r="E250">
            <v>9.25</v>
          </cell>
          <cell r="F250">
            <v>11.06</v>
          </cell>
          <cell r="G250">
            <v>12.5</v>
          </cell>
        </row>
        <row r="251">
          <cell r="E251" t="str">
            <v/>
          </cell>
        </row>
        <row r="252">
          <cell r="C252" t="str">
            <v>BARNIZ POLIURETANO EXT/INT DE UN COMPONENTE</v>
          </cell>
          <cell r="E252" t="str">
            <v/>
          </cell>
        </row>
        <row r="253">
          <cell r="E253" t="str">
            <v/>
          </cell>
        </row>
        <row r="254">
          <cell r="A254" t="str">
            <v>V82VSA2-1</v>
          </cell>
          <cell r="B254" t="str">
            <v>LN</v>
          </cell>
          <cell r="C254" t="str">
            <v>BARNIZ POLIURETANO EXTERIOR BRILLANTE</v>
          </cell>
          <cell r="D254">
            <v>28.99</v>
          </cell>
          <cell r="E254">
            <v>32.76</v>
          </cell>
          <cell r="F254">
            <v>40.270000000000003</v>
          </cell>
          <cell r="G254">
            <v>45.5</v>
          </cell>
        </row>
        <row r="255">
          <cell r="A255" t="str">
            <v>V82FSA4-1</v>
          </cell>
          <cell r="B255" t="str">
            <v>LN</v>
          </cell>
          <cell r="C255" t="str">
            <v>BARNIZ POLIURETANO EXTERIOR MATE</v>
          </cell>
          <cell r="D255">
            <v>28.99</v>
          </cell>
          <cell r="E255">
            <v>32.76</v>
          </cell>
          <cell r="F255">
            <v>40.270000000000003</v>
          </cell>
          <cell r="G255">
            <v>45.5</v>
          </cell>
        </row>
        <row r="256">
          <cell r="A256" t="str">
            <v>V82FSA3-1</v>
          </cell>
          <cell r="B256" t="str">
            <v>LN</v>
          </cell>
          <cell r="C256" t="str">
            <v>BARNIZ POLIURETANO EXTERIOR SATINADO</v>
          </cell>
          <cell r="D256">
            <v>28.99</v>
          </cell>
          <cell r="E256">
            <v>32.76</v>
          </cell>
          <cell r="F256">
            <v>40.270000000000003</v>
          </cell>
          <cell r="G256">
            <v>45.5</v>
          </cell>
        </row>
        <row r="257">
          <cell r="A257" t="str">
            <v>V82VSA2-1/4</v>
          </cell>
          <cell r="B257" t="str">
            <v>LN</v>
          </cell>
          <cell r="C257" t="str">
            <v>BARNIZ POLIURETANO EXTERIOR BRILLANTE</v>
          </cell>
          <cell r="D257">
            <v>7.96</v>
          </cell>
          <cell r="E257">
            <v>9</v>
          </cell>
          <cell r="F257">
            <v>11.06</v>
          </cell>
          <cell r="G257">
            <v>12.5</v>
          </cell>
        </row>
        <row r="258">
          <cell r="A258" t="str">
            <v>V82FSA4-1/4</v>
          </cell>
          <cell r="B258" t="str">
            <v>LN</v>
          </cell>
          <cell r="C258" t="str">
            <v>BARNIZ POLIURETANO EXTERIOR MATE</v>
          </cell>
          <cell r="D258">
            <v>7.96</v>
          </cell>
          <cell r="E258">
            <v>9</v>
          </cell>
          <cell r="F258">
            <v>11.06</v>
          </cell>
          <cell r="G258">
            <v>12.5</v>
          </cell>
        </row>
        <row r="259">
          <cell r="A259" t="str">
            <v>V82FSA3-1/4</v>
          </cell>
          <cell r="B259" t="str">
            <v>LN</v>
          </cell>
          <cell r="C259" t="str">
            <v>BARNIZ POLIURETANO EXTERIOR SATINADO</v>
          </cell>
          <cell r="D259">
            <v>7.96</v>
          </cell>
          <cell r="E259">
            <v>9</v>
          </cell>
          <cell r="F259">
            <v>11.06</v>
          </cell>
          <cell r="G259">
            <v>12.5</v>
          </cell>
        </row>
        <row r="260">
          <cell r="E260" t="str">
            <v/>
          </cell>
        </row>
        <row r="261">
          <cell r="C261" t="str">
            <v>BARNIZ TINTE FLO LAC  EXTERIOR/INTERIOR</v>
          </cell>
          <cell r="E261" t="str">
            <v/>
          </cell>
        </row>
        <row r="262">
          <cell r="E262" t="str">
            <v/>
          </cell>
        </row>
        <row r="263">
          <cell r="A263" t="str">
            <v>A38M3-1/4</v>
          </cell>
          <cell r="B263" t="str">
            <v>LN</v>
          </cell>
          <cell r="C263" t="str">
            <v>BARNIZ TINTE PARA MADERA CAOBA</v>
          </cell>
          <cell r="D263">
            <v>7.12</v>
          </cell>
          <cell r="E263">
            <v>8.0500000000000007</v>
          </cell>
          <cell r="F263">
            <v>10.18</v>
          </cell>
          <cell r="G263">
            <v>11.5</v>
          </cell>
        </row>
        <row r="264">
          <cell r="A264" t="str">
            <v>A38N23-1/4</v>
          </cell>
          <cell r="B264" t="str">
            <v>LN</v>
          </cell>
          <cell r="C264" t="str">
            <v>BARNIZ TINTE PARA MADERA NOGAL</v>
          </cell>
          <cell r="D264">
            <v>7.12</v>
          </cell>
          <cell r="E264">
            <v>8.0500000000000007</v>
          </cell>
          <cell r="F264">
            <v>10.18</v>
          </cell>
          <cell r="G264">
            <v>11.5</v>
          </cell>
        </row>
        <row r="265">
          <cell r="A265" t="str">
            <v>A38N39-1/4</v>
          </cell>
          <cell r="B265" t="str">
            <v>LN</v>
          </cell>
          <cell r="C265" t="str">
            <v>BARNIZ TINTE PARA MADERA CANELA SUBIDO</v>
          </cell>
          <cell r="D265">
            <v>7.12</v>
          </cell>
          <cell r="E265">
            <v>8.0500000000000007</v>
          </cell>
          <cell r="F265">
            <v>10.18</v>
          </cell>
          <cell r="G265">
            <v>11.5</v>
          </cell>
        </row>
        <row r="266">
          <cell r="A266" t="str">
            <v>A38N40-1/4</v>
          </cell>
          <cell r="B266" t="str">
            <v>LN</v>
          </cell>
          <cell r="C266" t="str">
            <v>BARNIZ TINTE PARA MADERA ROBLE OSCURO</v>
          </cell>
          <cell r="D266">
            <v>7.12</v>
          </cell>
          <cell r="E266">
            <v>8.0500000000000007</v>
          </cell>
          <cell r="F266">
            <v>10.18</v>
          </cell>
          <cell r="G266">
            <v>11.5</v>
          </cell>
        </row>
        <row r="267">
          <cell r="A267" t="str">
            <v>A38N41-1/4</v>
          </cell>
          <cell r="B267" t="str">
            <v>LN</v>
          </cell>
          <cell r="C267" t="str">
            <v>BARNIZ TINTE PARA MADERA ROBLE CLARO</v>
          </cell>
          <cell r="D267">
            <v>7.12</v>
          </cell>
          <cell r="E267">
            <v>8.0500000000000007</v>
          </cell>
          <cell r="F267">
            <v>10.18</v>
          </cell>
          <cell r="G267">
            <v>11.5</v>
          </cell>
        </row>
        <row r="268">
          <cell r="A268" t="str">
            <v>A38MSA1-1/4</v>
          </cell>
          <cell r="B268" t="str">
            <v>LN</v>
          </cell>
          <cell r="C268" t="str">
            <v>BARNIZ TINTE PARA MADERA VINO</v>
          </cell>
          <cell r="D268">
            <v>7.12</v>
          </cell>
          <cell r="E268">
            <v>8.0500000000000007</v>
          </cell>
          <cell r="F268">
            <v>10.18</v>
          </cell>
          <cell r="G268">
            <v>11.5</v>
          </cell>
        </row>
        <row r="269">
          <cell r="A269" t="str">
            <v>A38MSA2-1/4</v>
          </cell>
          <cell r="B269" t="str">
            <v>LN</v>
          </cell>
          <cell r="C269" t="str">
            <v>BARNIZ TINTE PARA MADERA CAOBA INGLES</v>
          </cell>
          <cell r="D269">
            <v>7.12</v>
          </cell>
          <cell r="E269">
            <v>8.0500000000000007</v>
          </cell>
          <cell r="F269">
            <v>10.18</v>
          </cell>
          <cell r="G269">
            <v>11.5</v>
          </cell>
        </row>
        <row r="270">
          <cell r="A270" t="str">
            <v>A38RSA1-1/4</v>
          </cell>
          <cell r="B270" t="str">
            <v>LN</v>
          </cell>
          <cell r="C270" t="str">
            <v>BARNIZ TINTE PARA MADERA CAOBA AFRICANO</v>
          </cell>
          <cell r="D270">
            <v>7.12</v>
          </cell>
          <cell r="E270">
            <v>8.0500000000000007</v>
          </cell>
          <cell r="F270">
            <v>10.18</v>
          </cell>
          <cell r="G270">
            <v>11.5</v>
          </cell>
        </row>
        <row r="271">
          <cell r="A271" t="str">
            <v>A38YSA1-1/4</v>
          </cell>
          <cell r="B271" t="str">
            <v>LN</v>
          </cell>
          <cell r="C271" t="str">
            <v>BARNIZ TINTE PARA MADERA NOGAL CLARO</v>
          </cell>
          <cell r="D271">
            <v>7.12</v>
          </cell>
          <cell r="E271">
            <v>8.0500000000000007</v>
          </cell>
          <cell r="F271">
            <v>10.18</v>
          </cell>
          <cell r="G271">
            <v>11.5</v>
          </cell>
        </row>
        <row r="272">
          <cell r="A272" t="str">
            <v>A38YSA1-1</v>
          </cell>
          <cell r="B272" t="str">
            <v>LN</v>
          </cell>
          <cell r="C272" t="str">
            <v>BARNIZ TINTE PARA MADERA NOGAL CLARO</v>
          </cell>
          <cell r="D272">
            <v>25.34</v>
          </cell>
          <cell r="E272">
            <v>28.63</v>
          </cell>
          <cell r="F272">
            <v>36.19</v>
          </cell>
          <cell r="G272">
            <v>40.9</v>
          </cell>
        </row>
        <row r="273">
          <cell r="A273" t="str">
            <v>A38M3-1</v>
          </cell>
          <cell r="B273" t="str">
            <v>LN</v>
          </cell>
          <cell r="C273" t="str">
            <v>BARNIZ TINTE PARA MADERA CAOBA</v>
          </cell>
          <cell r="D273">
            <v>25.34</v>
          </cell>
          <cell r="E273">
            <v>28.63</v>
          </cell>
          <cell r="F273">
            <v>36.19</v>
          </cell>
          <cell r="G273">
            <v>40.9</v>
          </cell>
        </row>
        <row r="274">
          <cell r="A274" t="str">
            <v>A38N23-1</v>
          </cell>
          <cell r="B274" t="str">
            <v>LN</v>
          </cell>
          <cell r="C274" t="str">
            <v>BARNIZ TINTE PARA MADERA NOGAL</v>
          </cell>
          <cell r="D274">
            <v>25.34</v>
          </cell>
          <cell r="E274">
            <v>28.63</v>
          </cell>
          <cell r="F274">
            <v>36.19</v>
          </cell>
          <cell r="G274">
            <v>40.9</v>
          </cell>
        </row>
        <row r="275">
          <cell r="A275" t="str">
            <v>A38N39-1</v>
          </cell>
          <cell r="B275" t="str">
            <v>LN</v>
          </cell>
          <cell r="C275" t="str">
            <v>BARNIZ TINTE PARA MADERA CANELA SUBIDO</v>
          </cell>
          <cell r="D275">
            <v>25.34</v>
          </cell>
          <cell r="E275">
            <v>28.63</v>
          </cell>
          <cell r="F275">
            <v>36.19</v>
          </cell>
          <cell r="G275">
            <v>40.9</v>
          </cell>
        </row>
        <row r="276">
          <cell r="A276" t="str">
            <v>A38N40-1</v>
          </cell>
          <cell r="B276" t="str">
            <v>LN</v>
          </cell>
          <cell r="C276" t="str">
            <v>BARNIZ TINTE PARA MADERA ROBLE OSCURO</v>
          </cell>
          <cell r="D276">
            <v>25.34</v>
          </cell>
          <cell r="E276">
            <v>28.63</v>
          </cell>
          <cell r="F276">
            <v>36.19</v>
          </cell>
          <cell r="G276">
            <v>40.9</v>
          </cell>
        </row>
        <row r="277">
          <cell r="A277" t="str">
            <v>A38N41-1</v>
          </cell>
          <cell r="B277" t="str">
            <v>LN</v>
          </cell>
          <cell r="C277" t="str">
            <v>BARNIZ TINTE PARA MADERA ROBLE CLARO</v>
          </cell>
          <cell r="D277">
            <v>25.34</v>
          </cell>
          <cell r="E277">
            <v>28.63</v>
          </cell>
          <cell r="F277">
            <v>36.19</v>
          </cell>
          <cell r="G277">
            <v>40.9</v>
          </cell>
        </row>
        <row r="278">
          <cell r="A278" t="str">
            <v>A38MSA1-1</v>
          </cell>
          <cell r="B278" t="str">
            <v>LN</v>
          </cell>
          <cell r="C278" t="str">
            <v>BARNIZ TINTE PARA MADERA VINO</v>
          </cell>
          <cell r="D278">
            <v>25.34</v>
          </cell>
          <cell r="E278">
            <v>28.63</v>
          </cell>
          <cell r="F278">
            <v>36.19</v>
          </cell>
          <cell r="G278">
            <v>40.9</v>
          </cell>
        </row>
        <row r="279">
          <cell r="A279" t="str">
            <v>A38MSA2-1</v>
          </cell>
          <cell r="B279" t="str">
            <v>LN</v>
          </cell>
          <cell r="C279" t="str">
            <v>BARNIZ TINTE PARA MADERA CAOBA INGLES</v>
          </cell>
          <cell r="D279">
            <v>25.34</v>
          </cell>
          <cell r="E279">
            <v>28.63</v>
          </cell>
          <cell r="F279">
            <v>36.19</v>
          </cell>
          <cell r="G279">
            <v>40.9</v>
          </cell>
        </row>
        <row r="280">
          <cell r="A280" t="str">
            <v>A38RSA1-1</v>
          </cell>
          <cell r="B280" t="str">
            <v>LN</v>
          </cell>
          <cell r="C280" t="str">
            <v>BARNIZ TINTE PARA MADERA CAOBA AFRICANO</v>
          </cell>
          <cell r="D280">
            <v>25.34</v>
          </cell>
          <cell r="E280">
            <v>28.63</v>
          </cell>
          <cell r="F280">
            <v>36.19</v>
          </cell>
          <cell r="G280">
            <v>40.9</v>
          </cell>
        </row>
        <row r="281">
          <cell r="E281" t="str">
            <v/>
          </cell>
        </row>
        <row r="282">
          <cell r="C282" t="str">
            <v>BARNIZ BASE AGUA EXTERIOR/INTERIOR</v>
          </cell>
          <cell r="E282" t="str">
            <v/>
          </cell>
        </row>
        <row r="283">
          <cell r="A283" t="str">
            <v>T75CSA1-1</v>
          </cell>
          <cell r="B283" t="str">
            <v>LN</v>
          </cell>
          <cell r="C283" t="str">
            <v>BARNIZ BASE AGUA BRILLANTE</v>
          </cell>
          <cell r="D283">
            <v>29.34</v>
          </cell>
          <cell r="E283">
            <v>33.15</v>
          </cell>
          <cell r="F283">
            <v>37.61</v>
          </cell>
          <cell r="G283">
            <v>42.5</v>
          </cell>
        </row>
        <row r="284">
          <cell r="A284" t="str">
            <v>T75CSA1-1/4</v>
          </cell>
          <cell r="B284" t="str">
            <v>LN</v>
          </cell>
          <cell r="C284" t="str">
            <v>BARNIZ BASE AGUA BRILLANTE</v>
          </cell>
          <cell r="D284">
            <v>8.2100000000000009</v>
          </cell>
          <cell r="E284">
            <v>9.2799999999999994</v>
          </cell>
          <cell r="F284">
            <v>10.53</v>
          </cell>
          <cell r="G284">
            <v>11.9</v>
          </cell>
        </row>
        <row r="285">
          <cell r="A285" t="str">
            <v>T75FSA2-1</v>
          </cell>
          <cell r="B285" t="str">
            <v>LN</v>
          </cell>
          <cell r="C285" t="str">
            <v>BARNIZ BASE AGUA PARA MADERA SATINADO</v>
          </cell>
          <cell r="D285">
            <v>29.34</v>
          </cell>
          <cell r="E285">
            <v>33.15</v>
          </cell>
          <cell r="F285">
            <v>37.61</v>
          </cell>
          <cell r="G285">
            <v>42.5</v>
          </cell>
        </row>
        <row r="286">
          <cell r="A286" t="str">
            <v>T75FSA2-1/4</v>
          </cell>
          <cell r="B286" t="str">
            <v>LN</v>
          </cell>
          <cell r="C286" t="str">
            <v>BARNIZ BASE AGUA PARA MADERA SATINADO</v>
          </cell>
          <cell r="D286">
            <v>8.2100000000000009</v>
          </cell>
          <cell r="E286">
            <v>9.2799999999999994</v>
          </cell>
          <cell r="F286">
            <v>10.53</v>
          </cell>
          <cell r="G286">
            <v>11.9</v>
          </cell>
        </row>
        <row r="287">
          <cell r="A287" t="str">
            <v>A69VSA2-1</v>
          </cell>
          <cell r="B287" t="str">
            <v>LN</v>
          </cell>
          <cell r="C287" t="str">
            <v>BARNIZ POLIURETANO BASE AGUA BRILLANTE EXTERIOR</v>
          </cell>
          <cell r="D287">
            <v>44.11</v>
          </cell>
          <cell r="E287">
            <v>49.84</v>
          </cell>
          <cell r="F287">
            <v>56.55</v>
          </cell>
          <cell r="G287">
            <v>63.9</v>
          </cell>
        </row>
        <row r="288">
          <cell r="A288" t="str">
            <v>A69VSA2-1/4</v>
          </cell>
          <cell r="B288" t="str">
            <v>LN</v>
          </cell>
          <cell r="C288" t="str">
            <v>BARNIZ POLIURETANO BASE AGUA BRILLANTE EXTERIOR</v>
          </cell>
          <cell r="D288">
            <v>13.46</v>
          </cell>
          <cell r="E288">
            <v>15.21</v>
          </cell>
          <cell r="F288">
            <v>17.260000000000002</v>
          </cell>
          <cell r="G288">
            <v>19.5</v>
          </cell>
        </row>
        <row r="289">
          <cell r="A289" t="str">
            <v>A69FSA2-1</v>
          </cell>
          <cell r="B289" t="str">
            <v>LN</v>
          </cell>
          <cell r="C289" t="str">
            <v>BARNIZ POLIURETANO BASE AGUA SATINADO EXTERIOR</v>
          </cell>
          <cell r="D289">
            <v>46.18</v>
          </cell>
          <cell r="E289">
            <v>52.18</v>
          </cell>
          <cell r="F289">
            <v>59.2</v>
          </cell>
          <cell r="G289">
            <v>66.900000000000006</v>
          </cell>
        </row>
        <row r="290">
          <cell r="A290" t="str">
            <v>A69FSA2-1/4</v>
          </cell>
          <cell r="B290" t="str">
            <v>LN</v>
          </cell>
          <cell r="C290" t="str">
            <v>BARNIZ POLIURETANO BASE AGUA SATINADO EXTERIOR</v>
          </cell>
          <cell r="D290">
            <v>13.73</v>
          </cell>
          <cell r="E290">
            <v>15.52</v>
          </cell>
          <cell r="F290">
            <v>17.61</v>
          </cell>
          <cell r="G290">
            <v>19.899999999999999</v>
          </cell>
        </row>
        <row r="291">
          <cell r="E291" t="str">
            <v/>
          </cell>
        </row>
        <row r="292">
          <cell r="A292" t="str">
            <v>A39NSA1-1</v>
          </cell>
          <cell r="B292" t="str">
            <v>LN</v>
          </cell>
          <cell r="C292" t="str">
            <v>BARNIZ BASE AGUA PARA MADERA 3 EN 1 NOGAL</v>
          </cell>
          <cell r="D292">
            <v>29.05</v>
          </cell>
          <cell r="E292">
            <v>32.83</v>
          </cell>
          <cell r="F292">
            <v>41.5</v>
          </cell>
          <cell r="G292">
            <v>46.9</v>
          </cell>
        </row>
        <row r="293">
          <cell r="A293" t="str">
            <v>A39NSA3-1</v>
          </cell>
          <cell r="B293" t="str">
            <v>LN</v>
          </cell>
          <cell r="C293" t="str">
            <v>BARNIZ BASE AGUA PARA MADERA 3 EN 1 NOGAL ROJIZO</v>
          </cell>
          <cell r="D293">
            <v>29.05</v>
          </cell>
          <cell r="E293">
            <v>32.83</v>
          </cell>
          <cell r="F293">
            <v>41.5</v>
          </cell>
          <cell r="G293">
            <v>46.9</v>
          </cell>
        </row>
        <row r="294">
          <cell r="A294" t="str">
            <v>A39NSA4-1</v>
          </cell>
          <cell r="B294" t="str">
            <v>LN</v>
          </cell>
          <cell r="C294" t="str">
            <v>BARNIZ BASE AGUA PARA MADERA 3 EN 1 WENGUE</v>
          </cell>
          <cell r="D294">
            <v>29.05</v>
          </cell>
          <cell r="E294">
            <v>32.83</v>
          </cell>
          <cell r="F294">
            <v>41.5</v>
          </cell>
          <cell r="G294">
            <v>46.9</v>
          </cell>
        </row>
        <row r="295">
          <cell r="A295" t="str">
            <v>A39RSA1-1</v>
          </cell>
          <cell r="B295" t="str">
            <v>LN</v>
          </cell>
          <cell r="C295" t="str">
            <v>BARNIZ BASE AGUA PARA MADERA 3 EN 1 CAOBA</v>
          </cell>
          <cell r="D295">
            <v>29.05</v>
          </cell>
          <cell r="E295">
            <v>32.83</v>
          </cell>
          <cell r="F295">
            <v>41.5</v>
          </cell>
          <cell r="G295">
            <v>46.9</v>
          </cell>
        </row>
        <row r="296">
          <cell r="A296" t="str">
            <v>A39RSA2-1</v>
          </cell>
          <cell r="B296" t="str">
            <v>LN</v>
          </cell>
          <cell r="C296" t="str">
            <v>BARNIZ BASE AGUA PARA MADERA 3 EN 1 CAOBA AFRICANO</v>
          </cell>
          <cell r="D296">
            <v>29.05</v>
          </cell>
          <cell r="E296">
            <v>32.83</v>
          </cell>
          <cell r="F296">
            <v>41.5</v>
          </cell>
          <cell r="G296">
            <v>46.9</v>
          </cell>
        </row>
        <row r="297">
          <cell r="A297" t="str">
            <v>A39YSA1-1</v>
          </cell>
          <cell r="B297" t="str">
            <v>LN</v>
          </cell>
          <cell r="C297" t="str">
            <v>BARNIZ BASE AGUA PARA MADERA 3 EN 1 ROBLE CLARO</v>
          </cell>
          <cell r="D297">
            <v>29.05</v>
          </cell>
          <cell r="E297">
            <v>32.83</v>
          </cell>
          <cell r="F297">
            <v>41.5</v>
          </cell>
          <cell r="G297">
            <v>46.9</v>
          </cell>
        </row>
        <row r="298">
          <cell r="A298" t="str">
            <v>A39NSA1-1/4</v>
          </cell>
          <cell r="B298" t="str">
            <v>LN</v>
          </cell>
          <cell r="C298" t="str">
            <v>BARNIZ BASE AGUA PARA MADERA 3 EN 1 NOGAL</v>
          </cell>
          <cell r="D298">
            <v>8.36</v>
          </cell>
          <cell r="E298">
            <v>9.4499999999999993</v>
          </cell>
          <cell r="F298">
            <v>11.95</v>
          </cell>
          <cell r="G298">
            <v>13.5</v>
          </cell>
        </row>
        <row r="299">
          <cell r="A299" t="str">
            <v>A39NSA3-1/4</v>
          </cell>
          <cell r="B299" t="str">
            <v>LN</v>
          </cell>
          <cell r="C299" t="str">
            <v>BARNIZ BASE AGUA PARA MADERA 3 EN 1 NOGAL ROJIZO</v>
          </cell>
          <cell r="D299">
            <v>8.36</v>
          </cell>
          <cell r="E299">
            <v>9.4499999999999993</v>
          </cell>
          <cell r="F299">
            <v>11.95</v>
          </cell>
          <cell r="G299">
            <v>13.5</v>
          </cell>
        </row>
        <row r="300">
          <cell r="A300" t="str">
            <v>A39NSA4-1/4</v>
          </cell>
          <cell r="B300" t="str">
            <v>LN</v>
          </cell>
          <cell r="C300" t="str">
            <v>BARNIZ BASE AGUA PARA MADERA 3 EN 1 WENGUE</v>
          </cell>
          <cell r="D300">
            <v>8.36</v>
          </cell>
          <cell r="E300">
            <v>9.4499999999999993</v>
          </cell>
          <cell r="F300">
            <v>11.95</v>
          </cell>
          <cell r="G300">
            <v>13.5</v>
          </cell>
        </row>
        <row r="301">
          <cell r="A301" t="str">
            <v>A39RSA1-1/4</v>
          </cell>
          <cell r="B301" t="str">
            <v>LN</v>
          </cell>
          <cell r="C301" t="str">
            <v>BARNIZ BASE AGUA PARA MADERA 3 EN 1 CAOBA</v>
          </cell>
          <cell r="D301">
            <v>8.36</v>
          </cell>
          <cell r="E301">
            <v>9.4499999999999993</v>
          </cell>
          <cell r="F301">
            <v>11.95</v>
          </cell>
          <cell r="G301">
            <v>13.5</v>
          </cell>
        </row>
        <row r="302">
          <cell r="A302" t="str">
            <v>A39RSA2-1/4</v>
          </cell>
          <cell r="B302" t="str">
            <v>LN</v>
          </cell>
          <cell r="C302" t="str">
            <v>BARNIZ BASE AGUA PARA MADERA 3 EN 1 CAOBA AFRICANO</v>
          </cell>
          <cell r="D302">
            <v>8.36</v>
          </cell>
          <cell r="E302">
            <v>9.4499999999999993</v>
          </cell>
          <cell r="F302">
            <v>11.95</v>
          </cell>
          <cell r="G302">
            <v>13.5</v>
          </cell>
        </row>
        <row r="303">
          <cell r="A303" t="str">
            <v>A39YSA1-1/4</v>
          </cell>
          <cell r="B303" t="str">
            <v>LN</v>
          </cell>
          <cell r="C303" t="str">
            <v>BARNIZ BASE AGUA PARA MADERA 3 EN 1 ROBLE CLARO</v>
          </cell>
          <cell r="D303">
            <v>8.36</v>
          </cell>
          <cell r="E303">
            <v>9.4499999999999993</v>
          </cell>
          <cell r="F303">
            <v>11.95</v>
          </cell>
          <cell r="G303">
            <v>13.5</v>
          </cell>
        </row>
        <row r="304">
          <cell r="E304" t="str">
            <v/>
          </cell>
        </row>
        <row r="305">
          <cell r="C305" t="str">
            <v>PROTECTOR IMPREGNANTE</v>
          </cell>
        </row>
        <row r="306">
          <cell r="A306" t="str">
            <v>A18RSA1-1/4</v>
          </cell>
          <cell r="B306" t="str">
            <v>LN</v>
          </cell>
          <cell r="C306" t="str">
            <v>KEMVAR IMPREGNANTE CEDRO</v>
          </cell>
          <cell r="D306">
            <v>9.5</v>
          </cell>
          <cell r="E306">
            <v>10.73</v>
          </cell>
          <cell r="F306">
            <v>12.83</v>
          </cell>
          <cell r="G306">
            <v>14.5</v>
          </cell>
        </row>
        <row r="307">
          <cell r="A307" t="str">
            <v>A18NSA2-1/4</v>
          </cell>
          <cell r="B307" t="str">
            <v>LN</v>
          </cell>
          <cell r="C307" t="str">
            <v>KEMVAR IMPREGNANTE NOGAL</v>
          </cell>
          <cell r="D307">
            <v>9.5</v>
          </cell>
          <cell r="E307">
            <v>10.73</v>
          </cell>
          <cell r="F307">
            <v>12.83</v>
          </cell>
          <cell r="G307">
            <v>14.5</v>
          </cell>
        </row>
        <row r="308">
          <cell r="A308" t="str">
            <v>A18NSA3-1/4</v>
          </cell>
          <cell r="B308" t="str">
            <v>LN</v>
          </cell>
          <cell r="C308" t="str">
            <v>KEMVAR IMPREGNANTE WENGUE</v>
          </cell>
          <cell r="D308">
            <v>9.5</v>
          </cell>
          <cell r="E308">
            <v>10.73</v>
          </cell>
          <cell r="F308">
            <v>12.83</v>
          </cell>
          <cell r="G308">
            <v>14.5</v>
          </cell>
        </row>
        <row r="309">
          <cell r="A309" t="str">
            <v>A18YSA1-1/4</v>
          </cell>
          <cell r="B309" t="str">
            <v>LN</v>
          </cell>
          <cell r="C309" t="str">
            <v>KEMVAR IMPREGNANTE TECA</v>
          </cell>
          <cell r="D309">
            <v>9.5</v>
          </cell>
          <cell r="E309">
            <v>10.73</v>
          </cell>
          <cell r="F309">
            <v>12.83</v>
          </cell>
          <cell r="G309">
            <v>14.5</v>
          </cell>
        </row>
        <row r="310">
          <cell r="A310" t="str">
            <v>A18TSA1-1/4</v>
          </cell>
          <cell r="B310" t="str">
            <v>PE</v>
          </cell>
          <cell r="C310" t="str">
            <v>KEMVAR IMPREGNANTE TRANSPARENTE</v>
          </cell>
          <cell r="D310">
            <v>9.5</v>
          </cell>
          <cell r="E310">
            <v>10.73</v>
          </cell>
          <cell r="F310">
            <v>12.83</v>
          </cell>
          <cell r="G310">
            <v>14.5</v>
          </cell>
        </row>
        <row r="312">
          <cell r="A312" t="str">
            <v>A18RSA1-1</v>
          </cell>
          <cell r="B312" t="str">
            <v>LN</v>
          </cell>
          <cell r="C312" t="str">
            <v>KEMVAR IMPREGNANTE CEDRO</v>
          </cell>
          <cell r="D312">
            <v>32.42</v>
          </cell>
          <cell r="E312">
            <v>36.630000000000003</v>
          </cell>
          <cell r="F312">
            <v>43.81</v>
          </cell>
          <cell r="G312">
            <v>49.5</v>
          </cell>
        </row>
        <row r="313">
          <cell r="A313" t="str">
            <v>A18NSA2-1</v>
          </cell>
          <cell r="B313" t="str">
            <v>LN</v>
          </cell>
          <cell r="C313" t="str">
            <v>KEMVAR IMPREGNANTE NOGAL</v>
          </cell>
          <cell r="D313">
            <v>32.42</v>
          </cell>
          <cell r="E313">
            <v>36.630000000000003</v>
          </cell>
          <cell r="F313">
            <v>43.81</v>
          </cell>
          <cell r="G313">
            <v>49.5</v>
          </cell>
        </row>
        <row r="314">
          <cell r="A314" t="str">
            <v>A18NSA3-1</v>
          </cell>
          <cell r="B314" t="str">
            <v>LN</v>
          </cell>
          <cell r="C314" t="str">
            <v>KEMVAR IMPREGNANTE WENGUE</v>
          </cell>
          <cell r="D314">
            <v>32.42</v>
          </cell>
          <cell r="E314">
            <v>36.630000000000003</v>
          </cell>
          <cell r="F314">
            <v>43.81</v>
          </cell>
          <cell r="G314">
            <v>49.5</v>
          </cell>
        </row>
        <row r="315">
          <cell r="A315" t="str">
            <v>A18YSA1-1</v>
          </cell>
          <cell r="B315" t="str">
            <v>LN</v>
          </cell>
          <cell r="C315" t="str">
            <v>KEMVAR IMPREGNANTE TECA</v>
          </cell>
          <cell r="D315">
            <v>32.42</v>
          </cell>
          <cell r="E315">
            <v>36.630000000000003</v>
          </cell>
          <cell r="F315">
            <v>43.81</v>
          </cell>
          <cell r="G315">
            <v>49.5</v>
          </cell>
        </row>
        <row r="316">
          <cell r="A316" t="str">
            <v>A18TSA1-1</v>
          </cell>
          <cell r="B316" t="str">
            <v>LN</v>
          </cell>
          <cell r="C316" t="str">
            <v>KEMVAR IMPREGNANTE TRANSPARENTE</v>
          </cell>
          <cell r="D316">
            <v>32.42</v>
          </cell>
          <cell r="E316">
            <v>36.630000000000003</v>
          </cell>
          <cell r="F316">
            <v>43.81</v>
          </cell>
          <cell r="G316">
            <v>49.5</v>
          </cell>
        </row>
        <row r="318">
          <cell r="C318" t="str">
            <v>FONDO PU ALTO RENDIMIENTO INTERIOR</v>
          </cell>
          <cell r="E318" t="str">
            <v/>
          </cell>
        </row>
        <row r="319">
          <cell r="A319" t="str">
            <v>E65FSA3-1</v>
          </cell>
          <cell r="B319" t="str">
            <v>LN</v>
          </cell>
          <cell r="C319" t="str">
            <v>FONDO POLIURETANO CATALIZADO ALTA PRODUCTIVIDAD</v>
          </cell>
          <cell r="D319">
            <v>23.25</v>
          </cell>
          <cell r="E319">
            <v>26.27</v>
          </cell>
          <cell r="F319">
            <v>31.42</v>
          </cell>
          <cell r="G319">
            <v>35.5</v>
          </cell>
        </row>
        <row r="320">
          <cell r="A320" t="str">
            <v>E65FSA3-1/4</v>
          </cell>
          <cell r="B320" t="str">
            <v>LN</v>
          </cell>
          <cell r="C320" t="str">
            <v>FONDO POLIURETANO CATALIZADO ALTA PRODUCTIVIDAD</v>
          </cell>
          <cell r="D320">
            <v>6.88</v>
          </cell>
          <cell r="E320">
            <v>7.77</v>
          </cell>
          <cell r="F320">
            <v>9.2899999999999991</v>
          </cell>
          <cell r="G320">
            <v>10.5</v>
          </cell>
        </row>
        <row r="321">
          <cell r="A321" t="str">
            <v>V54VSA1-1</v>
          </cell>
          <cell r="B321" t="str">
            <v>LN</v>
          </cell>
          <cell r="C321" t="str">
            <v xml:space="preserve">CATALIZADOR PARA SELLADOR POLIURETANO </v>
          </cell>
          <cell r="D321">
            <v>38.31</v>
          </cell>
          <cell r="E321">
            <v>43.29</v>
          </cell>
          <cell r="F321">
            <v>49.12</v>
          </cell>
          <cell r="G321">
            <v>55.5</v>
          </cell>
        </row>
        <row r="322">
          <cell r="A322" t="str">
            <v>V54VSA1-1/4</v>
          </cell>
          <cell r="B322" t="str">
            <v>LN</v>
          </cell>
          <cell r="C322" t="str">
            <v xml:space="preserve">CATALIZADOR PARA SELLADOR POLIURETANO </v>
          </cell>
          <cell r="D322">
            <v>10.97</v>
          </cell>
          <cell r="E322">
            <v>12.4</v>
          </cell>
          <cell r="F322">
            <v>14.07</v>
          </cell>
          <cell r="G322">
            <v>15.9</v>
          </cell>
        </row>
        <row r="323">
          <cell r="A323" t="str">
            <v>V54VSA1-1/8</v>
          </cell>
          <cell r="B323" t="str">
            <v>PE</v>
          </cell>
          <cell r="C323" t="str">
            <v xml:space="preserve">CATALIZADOR PARA SELLADOR POLIURETANO </v>
          </cell>
          <cell r="D323">
            <v>5.87</v>
          </cell>
          <cell r="E323">
            <v>6.63</v>
          </cell>
          <cell r="F323">
            <v>7.52</v>
          </cell>
          <cell r="G323">
            <v>8.5</v>
          </cell>
        </row>
        <row r="325">
          <cell r="C325" t="str">
            <v>ACABADO POLIURETANO 2K INTERIOR</v>
          </cell>
        </row>
        <row r="326">
          <cell r="A326" t="str">
            <v>F63CSA7-1</v>
          </cell>
          <cell r="B326" t="str">
            <v>LN</v>
          </cell>
          <cell r="C326" t="str">
            <v>ACABADO POLIURETANO 2K AS BRILLANTE MADERA</v>
          </cell>
          <cell r="D326">
            <v>25.21</v>
          </cell>
          <cell r="E326">
            <v>28.49</v>
          </cell>
          <cell r="F326">
            <v>34.07</v>
          </cell>
          <cell r="G326">
            <v>38.5</v>
          </cell>
        </row>
        <row r="327">
          <cell r="A327" t="str">
            <v>F63CSA7-1/4</v>
          </cell>
          <cell r="B327" t="str">
            <v>LN</v>
          </cell>
          <cell r="C327" t="str">
            <v>ACABADO POLIURETANO 2K AS BRILLANTE MADERA</v>
          </cell>
          <cell r="D327">
            <v>7.14</v>
          </cell>
          <cell r="E327">
            <v>8.07</v>
          </cell>
          <cell r="F327">
            <v>9.65</v>
          </cell>
          <cell r="G327">
            <v>10.9</v>
          </cell>
        </row>
        <row r="328">
          <cell r="A328" t="str">
            <v>F63FSA11-1</v>
          </cell>
          <cell r="B328" t="str">
            <v>LN</v>
          </cell>
          <cell r="C328" t="str">
            <v>ACABADO POLIURETANO 2K AS SATINADO MADERA</v>
          </cell>
          <cell r="D328">
            <v>25.21</v>
          </cell>
          <cell r="E328">
            <v>28.49</v>
          </cell>
          <cell r="F328">
            <v>34.07</v>
          </cell>
          <cell r="G328">
            <v>38.5</v>
          </cell>
        </row>
        <row r="329">
          <cell r="A329" t="str">
            <v>F63FSA11-1/4</v>
          </cell>
          <cell r="B329" t="str">
            <v>LN</v>
          </cell>
          <cell r="C329" t="str">
            <v>ACABADO POLIURETANO 2K AS SATINADO MADERA</v>
          </cell>
          <cell r="D329">
            <v>7.14</v>
          </cell>
          <cell r="E329">
            <v>8.07</v>
          </cell>
          <cell r="F329">
            <v>9.65</v>
          </cell>
          <cell r="G329">
            <v>10.9</v>
          </cell>
        </row>
        <row r="330">
          <cell r="A330" t="str">
            <v>F63FSA12-1</v>
          </cell>
          <cell r="B330" t="str">
            <v>LN</v>
          </cell>
          <cell r="C330" t="str">
            <v>ACABADO POLIURETANO 2K AS MATE MADERA</v>
          </cell>
          <cell r="D330">
            <v>25.21</v>
          </cell>
          <cell r="E330">
            <v>28.49</v>
          </cell>
          <cell r="F330">
            <v>34.07</v>
          </cell>
          <cell r="G330">
            <v>38.5</v>
          </cell>
        </row>
        <row r="331">
          <cell r="A331" t="str">
            <v>F63FSA12-1/4</v>
          </cell>
          <cell r="B331" t="str">
            <v>LN</v>
          </cell>
          <cell r="C331" t="str">
            <v>ACABADO POLIURETANO 2K AS MATE MADERA</v>
          </cell>
          <cell r="D331">
            <v>7.14</v>
          </cell>
          <cell r="E331">
            <v>8.07</v>
          </cell>
          <cell r="F331">
            <v>9.65</v>
          </cell>
          <cell r="G331">
            <v>10.9</v>
          </cell>
        </row>
        <row r="332">
          <cell r="A332" t="str">
            <v>V54VSA2-1/4</v>
          </cell>
          <cell r="B332" t="str">
            <v>LN</v>
          </cell>
          <cell r="C332" t="str">
            <v xml:space="preserve">CATALIZADOR PARA INTERIOR POLIURETANO </v>
          </cell>
          <cell r="D332">
            <v>11.26</v>
          </cell>
          <cell r="E332">
            <v>12.72</v>
          </cell>
          <cell r="F332">
            <v>14.07</v>
          </cell>
          <cell r="G332">
            <v>15.9</v>
          </cell>
        </row>
        <row r="333">
          <cell r="C333" t="str">
            <v>USO EXTERIOR</v>
          </cell>
          <cell r="E333" t="str">
            <v/>
          </cell>
        </row>
        <row r="334">
          <cell r="A334" t="str">
            <v>E65FSA5-1</v>
          </cell>
          <cell r="B334" t="str">
            <v>LN</v>
          </cell>
          <cell r="C334" t="str">
            <v>FONDO POLIURETANO CATALIZADO EXTERIOR/INTERIOR</v>
          </cell>
          <cell r="D334">
            <v>24.82</v>
          </cell>
          <cell r="E334">
            <v>28.05</v>
          </cell>
          <cell r="F334">
            <v>33.54</v>
          </cell>
          <cell r="G334">
            <v>37.9</v>
          </cell>
        </row>
        <row r="335">
          <cell r="A335" t="str">
            <v>V54VSA1-1/4</v>
          </cell>
          <cell r="B335" t="str">
            <v>LN</v>
          </cell>
          <cell r="C335" t="str">
            <v xml:space="preserve">CATALIZADOR PARA SELLADOR POLIURETANO </v>
          </cell>
          <cell r="D335">
            <v>10.97</v>
          </cell>
          <cell r="E335">
            <v>12.4</v>
          </cell>
          <cell r="F335">
            <v>14.07</v>
          </cell>
          <cell r="G335">
            <v>15.9</v>
          </cell>
        </row>
        <row r="336">
          <cell r="A336" t="str">
            <v>F63FSA6-1</v>
          </cell>
          <cell r="B336" t="str">
            <v>LN</v>
          </cell>
          <cell r="C336" t="str">
            <v>ACABADO POLIURETANO CATALIZADO EXTERIOR SATINADO</v>
          </cell>
          <cell r="D336">
            <v>27.54</v>
          </cell>
          <cell r="E336">
            <v>31.12</v>
          </cell>
          <cell r="F336">
            <v>35.31</v>
          </cell>
          <cell r="G336">
            <v>39.9</v>
          </cell>
        </row>
        <row r="337">
          <cell r="A337" t="str">
            <v>F63FSA7-1</v>
          </cell>
          <cell r="B337" t="str">
            <v>LN</v>
          </cell>
          <cell r="C337" t="str">
            <v>ACABADO POLIURETANO CATALIZADO EXTERIOR MATE</v>
          </cell>
          <cell r="D337">
            <v>27.54</v>
          </cell>
          <cell r="E337">
            <v>31.12</v>
          </cell>
          <cell r="F337">
            <v>35.31</v>
          </cell>
          <cell r="G337">
            <v>39.9</v>
          </cell>
        </row>
        <row r="338">
          <cell r="A338" t="str">
            <v>V54VSA3-1/8</v>
          </cell>
          <cell r="B338" t="str">
            <v>LN</v>
          </cell>
          <cell r="C338" t="str">
            <v xml:space="preserve">CATALIZADOR MULTIUSOS POLIURETANO </v>
          </cell>
          <cell r="D338">
            <v>10.28</v>
          </cell>
          <cell r="E338">
            <v>11.62</v>
          </cell>
          <cell r="F338">
            <v>13.19</v>
          </cell>
          <cell r="G338">
            <v>14.9</v>
          </cell>
        </row>
        <row r="339">
          <cell r="A339" t="str">
            <v>F63CSA4-1</v>
          </cell>
          <cell r="B339" t="str">
            <v>LN</v>
          </cell>
          <cell r="C339" t="str">
            <v>ACABADO POLIURETANO CATALIZADO EXTERIOR</v>
          </cell>
          <cell r="D339">
            <v>25.42</v>
          </cell>
          <cell r="E339">
            <v>28.73</v>
          </cell>
          <cell r="F339">
            <v>35.31</v>
          </cell>
          <cell r="G339">
            <v>39.9</v>
          </cell>
        </row>
        <row r="340">
          <cell r="E340" t="str">
            <v/>
          </cell>
        </row>
        <row r="341">
          <cell r="C341" t="str">
            <v>SISTEMA POLIURETANO COLOR</v>
          </cell>
          <cell r="E341" t="str">
            <v/>
          </cell>
        </row>
        <row r="342">
          <cell r="E342" t="str">
            <v/>
          </cell>
        </row>
        <row r="343">
          <cell r="A343" t="str">
            <v>E65WSA1-1</v>
          </cell>
          <cell r="B343" t="str">
            <v>PE</v>
          </cell>
          <cell r="C343" t="str">
            <v>FONDO POLIURETANO CATALIZADO BLANCO</v>
          </cell>
          <cell r="D343">
            <v>28.61</v>
          </cell>
          <cell r="E343">
            <v>32.33</v>
          </cell>
          <cell r="F343">
            <v>39.729999999999997</v>
          </cell>
          <cell r="G343">
            <v>44.9</v>
          </cell>
        </row>
        <row r="344">
          <cell r="E344" t="str">
            <v/>
          </cell>
        </row>
        <row r="345">
          <cell r="A345" t="str">
            <v>F63WSA1-1</v>
          </cell>
          <cell r="B345" t="str">
            <v>PE</v>
          </cell>
          <cell r="C345" t="str">
            <v>ACABADO POLIURETANO CATALIZADO BLANCO</v>
          </cell>
          <cell r="D345">
            <v>31.54</v>
          </cell>
          <cell r="E345">
            <v>35.64</v>
          </cell>
          <cell r="F345">
            <v>43.81</v>
          </cell>
          <cell r="G345">
            <v>49.5</v>
          </cell>
        </row>
        <row r="346">
          <cell r="E346" t="str">
            <v/>
          </cell>
        </row>
        <row r="347">
          <cell r="C347" t="str">
            <v>ACABADO POLIESTER HS INTERIOR</v>
          </cell>
          <cell r="E347" t="str">
            <v/>
          </cell>
        </row>
        <row r="348">
          <cell r="A348" t="str">
            <v>F64CSA1-1/4</v>
          </cell>
          <cell r="B348" t="str">
            <v>LN</v>
          </cell>
          <cell r="C348" t="str">
            <v>ACABADO POLIESTER HS BRILLANTE</v>
          </cell>
          <cell r="D348">
            <v>9.9700000000000006</v>
          </cell>
          <cell r="E348">
            <v>11.27</v>
          </cell>
          <cell r="F348">
            <v>14.25</v>
          </cell>
          <cell r="G348">
            <v>16.100000000000001</v>
          </cell>
        </row>
        <row r="349">
          <cell r="A349" t="str">
            <v>F64FSA1-1/4</v>
          </cell>
          <cell r="B349" t="str">
            <v>LN</v>
          </cell>
          <cell r="C349" t="str">
            <v>ACABADO POLIESTER HS SATINADO</v>
          </cell>
          <cell r="D349">
            <v>9.9700000000000006</v>
          </cell>
          <cell r="E349">
            <v>11.27</v>
          </cell>
          <cell r="F349">
            <v>14.25</v>
          </cell>
          <cell r="G349">
            <v>16.100000000000001</v>
          </cell>
        </row>
        <row r="350">
          <cell r="A350" t="str">
            <v>F64FSA2-1/4</v>
          </cell>
          <cell r="B350" t="str">
            <v>LN</v>
          </cell>
          <cell r="C350" t="str">
            <v>ACABADO POLIESTER HS MATE</v>
          </cell>
          <cell r="D350">
            <v>9.9700000000000006</v>
          </cell>
          <cell r="E350">
            <v>11.27</v>
          </cell>
          <cell r="F350">
            <v>14.25</v>
          </cell>
          <cell r="G350">
            <v>16.100000000000001</v>
          </cell>
        </row>
        <row r="351">
          <cell r="A351" t="str">
            <v>F64FSA5-1</v>
          </cell>
          <cell r="B351" t="str">
            <v>LN</v>
          </cell>
          <cell r="C351" t="str">
            <v>ACABADO POLIESTER HS ULTRA MATE</v>
          </cell>
          <cell r="D351">
            <v>37.11</v>
          </cell>
          <cell r="E351">
            <v>41.93</v>
          </cell>
          <cell r="F351">
            <v>53.01</v>
          </cell>
          <cell r="G351">
            <v>59.9</v>
          </cell>
        </row>
        <row r="352">
          <cell r="A352" t="str">
            <v>F64CSA1-1</v>
          </cell>
          <cell r="B352" t="str">
            <v>LN</v>
          </cell>
          <cell r="C352" t="str">
            <v>ACABADO POLIESTER HS BRILLANTE</v>
          </cell>
          <cell r="D352">
            <v>37.11</v>
          </cell>
          <cell r="E352">
            <v>41.93</v>
          </cell>
          <cell r="F352">
            <v>53.01</v>
          </cell>
          <cell r="G352">
            <v>59.9</v>
          </cell>
        </row>
        <row r="353">
          <cell r="A353" t="str">
            <v>F64FSA2-1</v>
          </cell>
          <cell r="B353" t="str">
            <v>LN</v>
          </cell>
          <cell r="C353" t="str">
            <v>ACABADO POLIESTER HS MATE</v>
          </cell>
          <cell r="D353">
            <v>37.11</v>
          </cell>
          <cell r="E353">
            <v>41.93</v>
          </cell>
          <cell r="F353">
            <v>53.01</v>
          </cell>
          <cell r="G353">
            <v>59.9</v>
          </cell>
        </row>
        <row r="354">
          <cell r="A354" t="str">
            <v>F64FSA1-1</v>
          </cell>
          <cell r="B354" t="str">
            <v>LN</v>
          </cell>
          <cell r="C354" t="str">
            <v>ACABADO POLIESTER HS SATINADO</v>
          </cell>
          <cell r="D354">
            <v>37.11</v>
          </cell>
          <cell r="E354">
            <v>41.93</v>
          </cell>
          <cell r="F354">
            <v>53.01</v>
          </cell>
          <cell r="G354">
            <v>59.9</v>
          </cell>
        </row>
        <row r="355">
          <cell r="E355" t="str">
            <v/>
          </cell>
        </row>
        <row r="356">
          <cell r="A356" t="str">
            <v>V54VSA4-1</v>
          </cell>
          <cell r="B356" t="str">
            <v>LN</v>
          </cell>
          <cell r="C356" t="str">
            <v>CATALIZADOR P/ACABADO POLIESTER HS INTERIOR</v>
          </cell>
          <cell r="D356">
            <v>36.61</v>
          </cell>
          <cell r="E356">
            <v>41.37</v>
          </cell>
          <cell r="F356">
            <v>49.47</v>
          </cell>
          <cell r="G356">
            <v>55.9</v>
          </cell>
        </row>
        <row r="357">
          <cell r="A357" t="str">
            <v>V54VSA4-1/4</v>
          </cell>
          <cell r="B357" t="str">
            <v>LN</v>
          </cell>
          <cell r="C357" t="str">
            <v>CATALIZADORP/ACABADO POLIESTER HS INTERIOR</v>
          </cell>
          <cell r="D357">
            <v>10.81</v>
          </cell>
          <cell r="E357">
            <v>12.21</v>
          </cell>
          <cell r="F357">
            <v>14.6</v>
          </cell>
          <cell r="G357">
            <v>16.5</v>
          </cell>
        </row>
        <row r="358">
          <cell r="E358" t="str">
            <v/>
          </cell>
        </row>
        <row r="359">
          <cell r="C359" t="str">
            <v>FONDO ACABADO POLIESTER HS DE COLOR</v>
          </cell>
        </row>
        <row r="361">
          <cell r="A361" t="str">
            <v>E66TSA1-1/4</v>
          </cell>
          <cell r="B361" t="str">
            <v>LN</v>
          </cell>
          <cell r="C361" t="str">
            <v>FONDO POLIESTER TRANSPARENTE INTERIOR</v>
          </cell>
          <cell r="D361">
            <v>9.23</v>
          </cell>
          <cell r="E361">
            <v>10.43</v>
          </cell>
          <cell r="F361">
            <v>13.19</v>
          </cell>
          <cell r="G361">
            <v>14.9</v>
          </cell>
        </row>
        <row r="362">
          <cell r="A362" t="str">
            <v>E66TSA1-1</v>
          </cell>
          <cell r="B362" t="str">
            <v>LN</v>
          </cell>
          <cell r="C362" t="str">
            <v>FONDO POLIESTER TRANSPARENTE INTERIOR</v>
          </cell>
          <cell r="D362">
            <v>31.9</v>
          </cell>
          <cell r="E362">
            <v>36.049999999999997</v>
          </cell>
          <cell r="F362">
            <v>45.58</v>
          </cell>
          <cell r="G362">
            <v>51.5</v>
          </cell>
        </row>
        <row r="363">
          <cell r="A363" t="str">
            <v>F64WSA1-1</v>
          </cell>
          <cell r="B363" t="str">
            <v>LN</v>
          </cell>
          <cell r="C363" t="str">
            <v>ACABADO POLiESTER BLANCO BRILLANTE</v>
          </cell>
          <cell r="D363">
            <v>43.67</v>
          </cell>
          <cell r="E363">
            <v>49.35</v>
          </cell>
          <cell r="F363">
            <v>62.39</v>
          </cell>
          <cell r="G363">
            <v>70.5</v>
          </cell>
        </row>
        <row r="364">
          <cell r="A364" t="str">
            <v>F64WSA1-1/4</v>
          </cell>
          <cell r="B364" t="str">
            <v>LN</v>
          </cell>
          <cell r="C364" t="str">
            <v>ACABADO POLiESTER BLANCO BRILLANTE</v>
          </cell>
          <cell r="D364">
            <v>11.46</v>
          </cell>
          <cell r="E364">
            <v>12.95</v>
          </cell>
          <cell r="F364">
            <v>16.37</v>
          </cell>
          <cell r="G364">
            <v>18.5</v>
          </cell>
        </row>
        <row r="365">
          <cell r="A365" t="str">
            <v>F64WSA4-1</v>
          </cell>
          <cell r="B365" t="str">
            <v>LN</v>
          </cell>
          <cell r="C365" t="str">
            <v>FONDO ACABADO POLIESTER SATINADO BLANCO</v>
          </cell>
          <cell r="D365">
            <v>43.67</v>
          </cell>
          <cell r="E365">
            <v>49.35</v>
          </cell>
          <cell r="F365">
            <v>62.39</v>
          </cell>
          <cell r="G365">
            <v>70.5</v>
          </cell>
        </row>
        <row r="366">
          <cell r="A366" t="str">
            <v>F64WSA4-1/4</v>
          </cell>
          <cell r="B366" t="str">
            <v>LN</v>
          </cell>
          <cell r="C366" t="str">
            <v>FONDO ACABADO POLIESTER SATINADO BLANCO</v>
          </cell>
          <cell r="D366">
            <v>11.46</v>
          </cell>
          <cell r="E366">
            <v>12.95</v>
          </cell>
          <cell r="F366">
            <v>16.37</v>
          </cell>
          <cell r="G366">
            <v>18.5</v>
          </cell>
        </row>
        <row r="367">
          <cell r="A367" t="str">
            <v>F64BSA1-1</v>
          </cell>
          <cell r="B367" t="str">
            <v>LN</v>
          </cell>
          <cell r="C367" t="str">
            <v>ACABADO POLiESTER NEGRO BRILLANTE</v>
          </cell>
          <cell r="D367">
            <v>43.67</v>
          </cell>
          <cell r="E367">
            <v>49.35</v>
          </cell>
          <cell r="F367">
            <v>62.39</v>
          </cell>
          <cell r="G367">
            <v>70.5</v>
          </cell>
        </row>
        <row r="368">
          <cell r="A368" t="str">
            <v>F64BSA1-1/4</v>
          </cell>
          <cell r="B368" t="str">
            <v>LN</v>
          </cell>
          <cell r="C368" t="str">
            <v>ACABADO POLiESTER NEGRO BRILLANTE</v>
          </cell>
          <cell r="D368">
            <v>11.46</v>
          </cell>
          <cell r="E368">
            <v>12.95</v>
          </cell>
          <cell r="F368">
            <v>16.37</v>
          </cell>
          <cell r="G368">
            <v>18.5</v>
          </cell>
        </row>
        <row r="369">
          <cell r="A369" t="str">
            <v>F64BSA2-1</v>
          </cell>
          <cell r="B369" t="str">
            <v>LN</v>
          </cell>
          <cell r="C369" t="str">
            <v>FONDO ACABADO POLIESTER SATINADO NEGRO</v>
          </cell>
          <cell r="D369">
            <v>43.67</v>
          </cell>
          <cell r="E369">
            <v>49.35</v>
          </cell>
          <cell r="F369">
            <v>62.39</v>
          </cell>
          <cell r="G369">
            <v>70.5</v>
          </cell>
        </row>
        <row r="370">
          <cell r="A370" t="str">
            <v>F64BSA2-1/4</v>
          </cell>
          <cell r="B370" t="str">
            <v>LN</v>
          </cell>
          <cell r="C370" t="str">
            <v>FONDO ACABADO POLIESTER SATINADO NEGRO</v>
          </cell>
          <cell r="D370">
            <v>11.46</v>
          </cell>
          <cell r="E370">
            <v>12.95</v>
          </cell>
          <cell r="F370">
            <v>16.37</v>
          </cell>
          <cell r="G370">
            <v>18.5</v>
          </cell>
        </row>
        <row r="371">
          <cell r="A371" t="str">
            <v>F64WSA5-1</v>
          </cell>
          <cell r="B371" t="str">
            <v>LN</v>
          </cell>
          <cell r="C371" t="str">
            <v>FONDO ACABADO POLIESTER MATE BLANCO</v>
          </cell>
          <cell r="D371">
            <v>43.67</v>
          </cell>
          <cell r="E371">
            <v>49.35</v>
          </cell>
          <cell r="F371">
            <v>62.39</v>
          </cell>
          <cell r="G371">
            <v>70.5</v>
          </cell>
        </row>
        <row r="372">
          <cell r="A372" t="str">
            <v>F64WSA5-1/4</v>
          </cell>
          <cell r="B372" t="str">
            <v>LN</v>
          </cell>
          <cell r="C372" t="str">
            <v>FONDO ACABADO POLIESTER MATE BLANCO</v>
          </cell>
          <cell r="D372">
            <v>11.46</v>
          </cell>
          <cell r="E372">
            <v>12.95</v>
          </cell>
          <cell r="F372">
            <v>16.37</v>
          </cell>
          <cell r="G372">
            <v>18.5</v>
          </cell>
        </row>
        <row r="373">
          <cell r="A373" t="str">
            <v>F64BSA3-1</v>
          </cell>
          <cell r="B373" t="str">
            <v>LN</v>
          </cell>
          <cell r="C373" t="str">
            <v>FONDO ACABADO POLIESTER MATE NEGRO</v>
          </cell>
          <cell r="D373">
            <v>43.67</v>
          </cell>
          <cell r="E373">
            <v>49.35</v>
          </cell>
          <cell r="F373">
            <v>62.39</v>
          </cell>
          <cell r="G373">
            <v>70.5</v>
          </cell>
        </row>
        <row r="374">
          <cell r="A374" t="str">
            <v>F64BSA3-1/4</v>
          </cell>
          <cell r="B374" t="str">
            <v>LN</v>
          </cell>
          <cell r="C374" t="str">
            <v>FONDO ACABADO POLIESTER MATE NEGRO</v>
          </cell>
          <cell r="D374">
            <v>11.46</v>
          </cell>
          <cell r="E374">
            <v>12.95</v>
          </cell>
          <cell r="F374">
            <v>16.37</v>
          </cell>
          <cell r="G374">
            <v>18.5</v>
          </cell>
        </row>
        <row r="376">
          <cell r="C376" t="str">
            <v>BARNIZ PROTECTOR PARA DECK TRANSPARENTE</v>
          </cell>
          <cell r="E376" t="str">
            <v/>
          </cell>
        </row>
        <row r="377">
          <cell r="A377" t="str">
            <v>A14TSA1-1/4</v>
          </cell>
          <cell r="B377" t="str">
            <v>LN</v>
          </cell>
          <cell r="C377" t="str">
            <v>BARNIZ PROTECTOR PARA DECK TRANSPARENTE</v>
          </cell>
          <cell r="D377">
            <v>9.5</v>
          </cell>
          <cell r="E377">
            <v>10.73</v>
          </cell>
          <cell r="F377">
            <v>13.19</v>
          </cell>
          <cell r="G377">
            <v>14.9</v>
          </cell>
        </row>
        <row r="378">
          <cell r="A378" t="str">
            <v>A14TSA1-1</v>
          </cell>
          <cell r="B378" t="str">
            <v>LN</v>
          </cell>
          <cell r="C378" t="str">
            <v>BARNIZ PROTECTOR PARA DECK TRANSPARENTE</v>
          </cell>
          <cell r="D378">
            <v>35.619999999999997</v>
          </cell>
          <cell r="E378">
            <v>40.25</v>
          </cell>
          <cell r="F378">
            <v>49.47</v>
          </cell>
          <cell r="G378">
            <v>55.9</v>
          </cell>
        </row>
        <row r="379">
          <cell r="E379" t="str">
            <v/>
          </cell>
        </row>
        <row r="380">
          <cell r="C380" t="str">
            <v>REDUCTOR POLIURETANO INDUSTRIAL</v>
          </cell>
          <cell r="E380" t="str">
            <v/>
          </cell>
        </row>
        <row r="381">
          <cell r="A381" t="str">
            <v>R8KSA5-1</v>
          </cell>
          <cell r="B381" t="str">
            <v>LN</v>
          </cell>
          <cell r="C381" t="str">
            <v>THINNER POLIURETANO PARA MADERA (ver precios en lista Solventes)</v>
          </cell>
        </row>
        <row r="382">
          <cell r="A382" t="str">
            <v>R8KSA6-1</v>
          </cell>
          <cell r="B382" t="str">
            <v>LN</v>
          </cell>
          <cell r="C382" t="str">
            <v>THINNER POLIURETANO INDUSTRIAL 6040 (ver precios en lista Solventes)</v>
          </cell>
        </row>
        <row r="383">
          <cell r="A383" t="str">
            <v>R8KSA6-1/4</v>
          </cell>
          <cell r="B383" t="str">
            <v>LN</v>
          </cell>
          <cell r="C383" t="str">
            <v>THINNER POLIURETANO INDUSTRIAL 6040 (ver precios en lista Solventes)</v>
          </cell>
        </row>
        <row r="384">
          <cell r="A384" t="str">
            <v>R8KSA5-1/4</v>
          </cell>
          <cell r="B384" t="str">
            <v>LN</v>
          </cell>
          <cell r="C384" t="str">
            <v>THINNER POLIURETANO PARA MADERA  (ver precios en lista Solventes)</v>
          </cell>
        </row>
        <row r="386">
          <cell r="E386" t="str">
            <v/>
          </cell>
        </row>
        <row r="387">
          <cell r="C387" t="str">
            <v>BARNIZ MARNOT</v>
          </cell>
          <cell r="E387" t="str">
            <v/>
          </cell>
        </row>
        <row r="388">
          <cell r="A388" t="str">
            <v>K59NSA1-1/4</v>
          </cell>
          <cell r="B388" t="str">
            <v>LN</v>
          </cell>
          <cell r="C388" t="str">
            <v>MAR-NOT BARNIZ TINTE ALQUIDICO NOGAL</v>
          </cell>
          <cell r="D388">
            <v>5.87</v>
          </cell>
          <cell r="E388">
            <v>6.63</v>
          </cell>
          <cell r="F388">
            <v>7.52</v>
          </cell>
          <cell r="G388">
            <v>8.5</v>
          </cell>
        </row>
        <row r="389">
          <cell r="A389" t="str">
            <v>K59RSA1-1/4</v>
          </cell>
          <cell r="B389" t="str">
            <v>LN</v>
          </cell>
          <cell r="C389" t="str">
            <v>MAR-NOT BARNIZ TINTE ALQUIDICO CAOBA</v>
          </cell>
          <cell r="D389">
            <v>5.87</v>
          </cell>
          <cell r="E389">
            <v>6.63</v>
          </cell>
          <cell r="F389">
            <v>7.52</v>
          </cell>
          <cell r="G389">
            <v>8.5</v>
          </cell>
        </row>
        <row r="390">
          <cell r="A390" t="str">
            <v>K59RSA3-1/4</v>
          </cell>
          <cell r="B390" t="str">
            <v>LN</v>
          </cell>
          <cell r="C390" t="str">
            <v>MAR-NOT BARNIZ TINTE ALQUIDICO CANELA SUBIDO</v>
          </cell>
          <cell r="D390">
            <v>5.87</v>
          </cell>
          <cell r="E390">
            <v>6.63</v>
          </cell>
          <cell r="F390">
            <v>7.52</v>
          </cell>
          <cell r="G390">
            <v>8.5</v>
          </cell>
        </row>
        <row r="391">
          <cell r="A391" t="str">
            <v>K59VSA1-1/4</v>
          </cell>
          <cell r="B391" t="str">
            <v>LN</v>
          </cell>
          <cell r="C391" t="str">
            <v xml:space="preserve">MAR-NOT BARNIZ ALQUIDICO </v>
          </cell>
          <cell r="D391">
            <v>5.87</v>
          </cell>
          <cell r="E391">
            <v>6.63</v>
          </cell>
          <cell r="F391">
            <v>7.52</v>
          </cell>
          <cell r="G391">
            <v>8.5</v>
          </cell>
        </row>
        <row r="392">
          <cell r="A392" t="str">
            <v>K59YSA2-1/4</v>
          </cell>
          <cell r="B392" t="str">
            <v>LN</v>
          </cell>
          <cell r="C392" t="str">
            <v>MAR-NOT BARNIZ TINTE ALQUIDICO ROBLE CLARO</v>
          </cell>
          <cell r="D392">
            <v>5.87</v>
          </cell>
          <cell r="E392">
            <v>6.63</v>
          </cell>
          <cell r="F392">
            <v>7.52</v>
          </cell>
          <cell r="G392">
            <v>8.5</v>
          </cell>
        </row>
        <row r="393">
          <cell r="A393" t="str">
            <v>K59YSA3-1/4</v>
          </cell>
          <cell r="B393" t="str">
            <v>LN</v>
          </cell>
          <cell r="C393" t="str">
            <v>MAR-NOT BARNIZ TINTE ALQUIDICO ROBLE OSCURO</v>
          </cell>
          <cell r="D393">
            <v>5.87</v>
          </cell>
          <cell r="E393">
            <v>6.63</v>
          </cell>
          <cell r="F393">
            <v>7.52</v>
          </cell>
          <cell r="G393">
            <v>8.5</v>
          </cell>
        </row>
        <row r="394">
          <cell r="E394" t="str">
            <v/>
          </cell>
        </row>
        <row r="395">
          <cell r="A395" t="str">
            <v>K59NSA1-1</v>
          </cell>
          <cell r="B395" t="str">
            <v>LN</v>
          </cell>
          <cell r="C395" t="str">
            <v>MAR-NOT BARNIZ TINTE ALQUIDICO NOGAL</v>
          </cell>
          <cell r="D395">
            <v>20.64</v>
          </cell>
          <cell r="E395">
            <v>23.32</v>
          </cell>
          <cell r="F395">
            <v>26.46</v>
          </cell>
          <cell r="G395">
            <v>29.9</v>
          </cell>
        </row>
        <row r="396">
          <cell r="A396" t="str">
            <v>K59RSA1-1</v>
          </cell>
          <cell r="B396" t="str">
            <v>LN</v>
          </cell>
          <cell r="C396" t="str">
            <v>MAR-NOT BARNIZ TINTE ALQUIDICO CAOBA</v>
          </cell>
          <cell r="D396">
            <v>20.64</v>
          </cell>
          <cell r="E396">
            <v>23.32</v>
          </cell>
          <cell r="F396">
            <v>26.46</v>
          </cell>
          <cell r="G396">
            <v>29.9</v>
          </cell>
        </row>
        <row r="397">
          <cell r="A397" t="str">
            <v>K59RSA3-1</v>
          </cell>
          <cell r="B397" t="str">
            <v>LN</v>
          </cell>
          <cell r="C397" t="str">
            <v>MAR-NOT BARNIZ TINTE ALQUIDICO CANELA SUBIDO</v>
          </cell>
          <cell r="D397">
            <v>20.64</v>
          </cell>
          <cell r="E397">
            <v>23.32</v>
          </cell>
          <cell r="F397">
            <v>26.46</v>
          </cell>
          <cell r="G397">
            <v>29.9</v>
          </cell>
        </row>
        <row r="398">
          <cell r="A398" t="str">
            <v>K59VSA1-1</v>
          </cell>
          <cell r="B398" t="str">
            <v>LN</v>
          </cell>
          <cell r="C398" t="str">
            <v xml:space="preserve">MAR-NOT BARNIZ ALQUIDICO </v>
          </cell>
          <cell r="D398">
            <v>20.64</v>
          </cell>
          <cell r="E398">
            <v>23.32</v>
          </cell>
          <cell r="F398">
            <v>26.46</v>
          </cell>
          <cell r="G398">
            <v>29.9</v>
          </cell>
        </row>
        <row r="399">
          <cell r="A399" t="str">
            <v>K59YSA2-1</v>
          </cell>
          <cell r="B399" t="str">
            <v>LN</v>
          </cell>
          <cell r="C399" t="str">
            <v>MAR-NOT BARNIZ TINTE ALQUIDICO ROBLE CLARO</v>
          </cell>
          <cell r="D399">
            <v>20.64</v>
          </cell>
          <cell r="E399">
            <v>23.32</v>
          </cell>
          <cell r="F399">
            <v>26.46</v>
          </cell>
          <cell r="G399">
            <v>29.9</v>
          </cell>
        </row>
        <row r="400">
          <cell r="A400" t="str">
            <v>K59YSA3-1</v>
          </cell>
          <cell r="B400" t="str">
            <v>LN</v>
          </cell>
          <cell r="C400" t="str">
            <v>MAR-NOT BARNIZ TINTE ALQUIDICO ROBLE OSCURO</v>
          </cell>
          <cell r="D400">
            <v>20.64</v>
          </cell>
          <cell r="E400">
            <v>23.32</v>
          </cell>
          <cell r="F400">
            <v>26.46</v>
          </cell>
          <cell r="G400">
            <v>29.9</v>
          </cell>
        </row>
        <row r="401">
          <cell r="E401" t="str">
            <v/>
          </cell>
        </row>
        <row r="402">
          <cell r="C402" t="str">
            <v>POLIESTER EXTERIOR</v>
          </cell>
          <cell r="E402" t="str">
            <v/>
          </cell>
        </row>
        <row r="403">
          <cell r="A403" t="str">
            <v>F64CSA2-1</v>
          </cell>
          <cell r="B403" t="str">
            <v>LN</v>
          </cell>
          <cell r="C403" t="str">
            <v>ACABADO POLIESTER HS BRILLANTE EXTERIOR</v>
          </cell>
          <cell r="D403">
            <v>40.58</v>
          </cell>
          <cell r="E403">
            <v>45.85</v>
          </cell>
          <cell r="F403">
            <v>57.96</v>
          </cell>
          <cell r="G403">
            <v>65.5</v>
          </cell>
        </row>
        <row r="404">
          <cell r="A404" t="str">
            <v>F64CSA2-1/4</v>
          </cell>
          <cell r="B404" t="str">
            <v>LN</v>
          </cell>
          <cell r="C404" t="str">
            <v>ACABADO POLIESTER HS BRILLANTE EXTERIOR</v>
          </cell>
          <cell r="D404">
            <v>10.84</v>
          </cell>
          <cell r="E404">
            <v>12.25</v>
          </cell>
          <cell r="F404">
            <v>15.49</v>
          </cell>
          <cell r="G404">
            <v>17.5</v>
          </cell>
        </row>
        <row r="405">
          <cell r="A405" t="str">
            <v>F64FSA3-1</v>
          </cell>
          <cell r="B405" t="str">
            <v>LN</v>
          </cell>
          <cell r="C405" t="str">
            <v>ACABADO POLIESTER HS SATINADO EXTERIOR</v>
          </cell>
          <cell r="D405">
            <v>40.58</v>
          </cell>
          <cell r="E405">
            <v>45.85</v>
          </cell>
          <cell r="F405">
            <v>57.96</v>
          </cell>
          <cell r="G405">
            <v>65.5</v>
          </cell>
        </row>
        <row r="406">
          <cell r="A406" t="str">
            <v>F64FSA3-1/4</v>
          </cell>
          <cell r="B406" t="str">
            <v>LN</v>
          </cell>
          <cell r="C406" t="str">
            <v>ACABADO POLIESTER HS SATINADO EXTERIOR</v>
          </cell>
          <cell r="D406">
            <v>10.84</v>
          </cell>
          <cell r="E406">
            <v>12.25</v>
          </cell>
          <cell r="F406">
            <v>15.49</v>
          </cell>
          <cell r="G406">
            <v>17.5</v>
          </cell>
        </row>
        <row r="407">
          <cell r="A407" t="str">
            <v>F64FSA4-1</v>
          </cell>
          <cell r="B407" t="str">
            <v>LN</v>
          </cell>
          <cell r="C407" t="str">
            <v>ACABADO POLIESTER HS MATE EXTERIOR</v>
          </cell>
          <cell r="D407">
            <v>40.58</v>
          </cell>
          <cell r="E407">
            <v>45.85</v>
          </cell>
          <cell r="F407">
            <v>57.96</v>
          </cell>
          <cell r="G407">
            <v>65.5</v>
          </cell>
        </row>
        <row r="408">
          <cell r="A408" t="str">
            <v>F64FSA4-1/4</v>
          </cell>
          <cell r="B408" t="str">
            <v>LN</v>
          </cell>
          <cell r="C408" t="str">
            <v>ACABADO POLIESTER HS MATE EXTERIOR</v>
          </cell>
          <cell r="D408">
            <v>10.84</v>
          </cell>
          <cell r="E408">
            <v>12.25</v>
          </cell>
          <cell r="F408">
            <v>15.49</v>
          </cell>
          <cell r="G408">
            <v>17.5</v>
          </cell>
        </row>
        <row r="409">
          <cell r="A409" t="str">
            <v>V54VSA8-1</v>
          </cell>
          <cell r="B409" t="str">
            <v>LN</v>
          </cell>
          <cell r="C409" t="str">
            <v>CATALIZADOR P/ACABADO POLIESTER HS EXTERIOR</v>
          </cell>
          <cell r="D409">
            <v>44.29</v>
          </cell>
          <cell r="E409">
            <v>50.05</v>
          </cell>
          <cell r="F409">
            <v>63.27</v>
          </cell>
          <cell r="G409">
            <v>71.5</v>
          </cell>
        </row>
        <row r="410">
          <cell r="A410" t="str">
            <v>V54VSA8-1/4</v>
          </cell>
          <cell r="B410" t="str">
            <v>LN</v>
          </cell>
          <cell r="C410" t="str">
            <v>CATALIZADOR P/ACABADO POLIESTER HS EXTERIOR</v>
          </cell>
          <cell r="D410">
            <v>12.95</v>
          </cell>
          <cell r="E410">
            <v>14.63</v>
          </cell>
          <cell r="F410">
            <v>18.5</v>
          </cell>
          <cell r="G410">
            <v>20.9</v>
          </cell>
        </row>
        <row r="411">
          <cell r="E411" t="str">
            <v/>
          </cell>
        </row>
        <row r="412">
          <cell r="C412" t="str">
            <v>ACABADO POLIESTER -BASES</v>
          </cell>
        </row>
        <row r="414">
          <cell r="A414" t="str">
            <v>F64TSA154-1/4</v>
          </cell>
          <cell r="B414" t="str">
            <v>NUEVO</v>
          </cell>
          <cell r="C414" t="str">
            <v>BASE ULTRA DEEP POLIESTER BRILLANTE INTERIOR</v>
          </cell>
          <cell r="D414">
            <v>12.24</v>
          </cell>
          <cell r="E414">
            <v>13.83</v>
          </cell>
          <cell r="F414">
            <v>24.34</v>
          </cell>
          <cell r="G414">
            <v>27.5</v>
          </cell>
        </row>
        <row r="415">
          <cell r="A415" t="str">
            <v>F64TSA254-1/4</v>
          </cell>
          <cell r="B415" t="str">
            <v>NUEVO</v>
          </cell>
          <cell r="C415" t="str">
            <v>BASE ULTRA DEEP POLIESTER SATINADO INTERIOR</v>
          </cell>
          <cell r="D415">
            <v>12.24</v>
          </cell>
          <cell r="E415">
            <v>13.83</v>
          </cell>
          <cell r="F415">
            <v>24.34</v>
          </cell>
          <cell r="G415">
            <v>27.5</v>
          </cell>
        </row>
        <row r="416">
          <cell r="A416" t="str">
            <v>F64TSA354-1/4</v>
          </cell>
          <cell r="B416" t="str">
            <v>NUEVO</v>
          </cell>
          <cell r="C416" t="str">
            <v>BASE ULTRA DEEP POLIESTER MATE INTERIOR</v>
          </cell>
          <cell r="D416">
            <v>12.24</v>
          </cell>
          <cell r="E416">
            <v>13.83</v>
          </cell>
          <cell r="F416">
            <v>24.34</v>
          </cell>
          <cell r="G416">
            <v>27.5</v>
          </cell>
        </row>
        <row r="417">
          <cell r="A417" t="str">
            <v>F64WSA151-1/4</v>
          </cell>
          <cell r="B417" t="str">
            <v>NUEVO</v>
          </cell>
          <cell r="C417" t="str">
            <v>BASE EXTRA WHITE POLIESTER BRILLANTE INTERIOR</v>
          </cell>
          <cell r="D417">
            <v>11.96</v>
          </cell>
          <cell r="E417">
            <v>13.52</v>
          </cell>
          <cell r="F417">
            <v>19.38</v>
          </cell>
          <cell r="G417">
            <v>21.9</v>
          </cell>
        </row>
        <row r="418">
          <cell r="A418" t="str">
            <v>F64WSA251-1/4</v>
          </cell>
          <cell r="B418" t="str">
            <v>NUEVO</v>
          </cell>
          <cell r="C418" t="str">
            <v>BASE EXTRA WHITE POLIESTER SATINADO INTERIOR</v>
          </cell>
          <cell r="D418">
            <v>11.96</v>
          </cell>
          <cell r="E418">
            <v>13.52</v>
          </cell>
          <cell r="F418">
            <v>19.38</v>
          </cell>
          <cell r="G418">
            <v>21.9</v>
          </cell>
        </row>
        <row r="419">
          <cell r="A419" t="str">
            <v>F64WSA351-1/4</v>
          </cell>
          <cell r="B419" t="str">
            <v>NUEVO</v>
          </cell>
          <cell r="C419" t="str">
            <v>BASE EXTRA WHITE POLIESTER MATE INTERIOR</v>
          </cell>
          <cell r="D419">
            <v>11.96</v>
          </cell>
          <cell r="E419">
            <v>13.52</v>
          </cell>
          <cell r="F419">
            <v>19.38</v>
          </cell>
          <cell r="G419">
            <v>21.9</v>
          </cell>
        </row>
        <row r="420">
          <cell r="A420" t="str">
            <v>F64TSA154-1</v>
          </cell>
          <cell r="B420" t="str">
            <v>NUEVO</v>
          </cell>
          <cell r="C420" t="str">
            <v>BASE ULTRA DEEP POLIESTER BRILLANTE INTERIOR</v>
          </cell>
          <cell r="D420">
            <v>45.84</v>
          </cell>
          <cell r="E420">
            <v>51.8</v>
          </cell>
          <cell r="F420">
            <v>92.92</v>
          </cell>
          <cell r="G420">
            <v>105</v>
          </cell>
        </row>
        <row r="421">
          <cell r="A421" t="str">
            <v>F64TSA254-1</v>
          </cell>
          <cell r="B421" t="str">
            <v>NUEVO</v>
          </cell>
          <cell r="C421" t="str">
            <v>BASE ULTRA DEEP POLIESTER SATINADO INTERIOR</v>
          </cell>
          <cell r="D421">
            <v>45.84</v>
          </cell>
          <cell r="E421">
            <v>51.8</v>
          </cell>
          <cell r="F421">
            <v>92.92</v>
          </cell>
          <cell r="G421">
            <v>105</v>
          </cell>
        </row>
        <row r="422">
          <cell r="A422" t="str">
            <v>F64TSA354-1</v>
          </cell>
          <cell r="B422" t="str">
            <v>NUEVO</v>
          </cell>
          <cell r="C422" t="str">
            <v>BASE ULTRA DEEP POLIESTER MATE INTERIOR</v>
          </cell>
          <cell r="D422">
            <v>45.84</v>
          </cell>
          <cell r="E422">
            <v>51.8</v>
          </cell>
          <cell r="F422">
            <v>92.92</v>
          </cell>
          <cell r="G422">
            <v>105</v>
          </cell>
        </row>
        <row r="423">
          <cell r="A423" t="str">
            <v>F64WSA151-1</v>
          </cell>
          <cell r="B423" t="str">
            <v>NUEVO</v>
          </cell>
          <cell r="C423" t="str">
            <v>BASE EXTRA WHITE POLIESTER BRILLANTE INTERIOR</v>
          </cell>
          <cell r="D423">
            <v>42.23</v>
          </cell>
          <cell r="E423">
            <v>47.72</v>
          </cell>
          <cell r="F423">
            <v>69.47</v>
          </cell>
          <cell r="G423">
            <v>78.5</v>
          </cell>
        </row>
        <row r="424">
          <cell r="A424" t="str">
            <v>F64WSA251-1</v>
          </cell>
          <cell r="B424" t="str">
            <v>NUEVO</v>
          </cell>
          <cell r="C424" t="str">
            <v>BASE EXTRA WHITE POLIESTER SATINADO INTERIOR</v>
          </cell>
          <cell r="D424">
            <v>42.23</v>
          </cell>
          <cell r="E424">
            <v>47.72</v>
          </cell>
          <cell r="F424">
            <v>69.47</v>
          </cell>
          <cell r="G424">
            <v>78.5</v>
          </cell>
        </row>
        <row r="425">
          <cell r="A425" t="str">
            <v>F64WSA351-1</v>
          </cell>
          <cell r="B425" t="str">
            <v>NUEVO</v>
          </cell>
          <cell r="C425" t="str">
            <v>BASE EXTRA WHITE POLIESTER MATE INTERIOR</v>
          </cell>
          <cell r="D425">
            <v>42.23</v>
          </cell>
          <cell r="E425">
            <v>47.72</v>
          </cell>
          <cell r="F425">
            <v>69.47</v>
          </cell>
          <cell r="G425">
            <v>78.5</v>
          </cell>
        </row>
        <row r="427">
          <cell r="C427" t="str">
            <v>BARNIZ GRADO ALIMENTICIO ALIMENTICIO</v>
          </cell>
          <cell r="E427" t="str">
            <v/>
          </cell>
        </row>
        <row r="428">
          <cell r="A428" t="str">
            <v>T75CSA3-1</v>
          </cell>
          <cell r="B428" t="str">
            <v>LN</v>
          </cell>
          <cell r="C428" t="str">
            <v>BARNIZ BASE AGUA PARA CONTACTO DE ALIMENTOS</v>
          </cell>
          <cell r="D428">
            <v>28.81</v>
          </cell>
          <cell r="E428">
            <v>32.549999999999997</v>
          </cell>
          <cell r="F428">
            <v>41.15</v>
          </cell>
          <cell r="G428">
            <v>46.5</v>
          </cell>
        </row>
        <row r="429">
          <cell r="A429" t="str">
            <v>T75CSA3-1.1LT</v>
          </cell>
          <cell r="B429" t="str">
            <v>LN</v>
          </cell>
          <cell r="C429" t="str">
            <v>BARNIZ BASE AGUA PARA CONTACTO DE ALIMENTOS</v>
          </cell>
          <cell r="D429">
            <v>9.85</v>
          </cell>
          <cell r="E429">
            <v>11.13</v>
          </cell>
          <cell r="F429">
            <v>14.07</v>
          </cell>
          <cell r="G429">
            <v>15.9</v>
          </cell>
        </row>
        <row r="430">
          <cell r="A430" t="str">
            <v>A15TSA1-1</v>
          </cell>
          <cell r="B430" t="str">
            <v>LN</v>
          </cell>
          <cell r="C430" t="str">
            <v>OIL FINISH ACEITE TECA</v>
          </cell>
          <cell r="D430">
            <v>33.07</v>
          </cell>
          <cell r="E430">
            <v>37.369999999999997</v>
          </cell>
          <cell r="F430">
            <v>44.69</v>
          </cell>
          <cell r="G430">
            <v>50.5</v>
          </cell>
        </row>
        <row r="431">
          <cell r="A431" t="str">
            <v>A15TSA1-BOT</v>
          </cell>
          <cell r="B431" t="str">
            <v>LN</v>
          </cell>
          <cell r="C431" t="str">
            <v>OIL FINISH ACEITE TECA</v>
          </cell>
          <cell r="D431">
            <v>8.19</v>
          </cell>
          <cell r="E431">
            <v>9.25</v>
          </cell>
          <cell r="F431">
            <v>11.06</v>
          </cell>
          <cell r="G431">
            <v>12.5</v>
          </cell>
        </row>
        <row r="432">
          <cell r="A432" t="str">
            <v>A18CSA1-1</v>
          </cell>
          <cell r="B432" t="str">
            <v>LN</v>
          </cell>
          <cell r="C432" t="str">
            <v>KEMVAR RENOVADOR DE MADERA EXTERIOR</v>
          </cell>
          <cell r="D432">
            <v>6.49</v>
          </cell>
          <cell r="E432">
            <v>7.33</v>
          </cell>
          <cell r="F432">
            <v>8.76</v>
          </cell>
          <cell r="G432">
            <v>9.9</v>
          </cell>
        </row>
        <row r="433">
          <cell r="A433" t="str">
            <v>A18CSA1-1.1LT</v>
          </cell>
          <cell r="B433" t="str">
            <v>LN</v>
          </cell>
          <cell r="C433" t="str">
            <v>KEMVAR RENOVADOR DE MADERA EXTERIOR</v>
          </cell>
          <cell r="D433">
            <v>2.95</v>
          </cell>
          <cell r="E433">
            <v>3.33</v>
          </cell>
          <cell r="F433">
            <v>3.98</v>
          </cell>
          <cell r="G433">
            <v>4.5</v>
          </cell>
        </row>
      </sheetData>
      <sheetData sheetId="6"/>
      <sheetData sheetId="7">
        <row r="1">
          <cell r="C1" t="str">
            <v>LINEA AUTOMOTRIZ - ABRIL 2026</v>
          </cell>
        </row>
        <row r="2">
          <cell r="A2" t="str">
            <v>CÓDIGO</v>
          </cell>
          <cell r="B2" t="str">
            <v xml:space="preserve">
V=Vigente 
D=Descontinuado
NP=Nuevo Producto
NC=Nuevo Color
</v>
          </cell>
          <cell r="C2" t="str">
            <v>NOMBRE  DEL PRODUCTO</v>
          </cell>
          <cell r="D2" t="str">
            <v>PAD        ABRIL 2026 SIN IVA</v>
          </cell>
          <cell r="E2" t="str">
            <v>PAD    ABRIL 2026 CON IVA</v>
          </cell>
          <cell r="F2" t="str">
            <v>PSM 
ABRIL 2026 SIN IVA</v>
          </cell>
          <cell r="G2" t="str">
            <v>PSM 
ABRIL 2026 CON IVA</v>
          </cell>
        </row>
        <row r="3">
          <cell r="C3" t="str">
            <v>LIMPIADORES  Y  DESENGRASANTES</v>
          </cell>
        </row>
        <row r="5">
          <cell r="A5" t="str">
            <v>R7K158-1</v>
          </cell>
          <cell r="B5" t="str">
            <v>LN</v>
          </cell>
          <cell r="C5" t="str">
            <v>DESENGRASANTE AUTOMOTRIZ  (ver precios en lista solventes)</v>
          </cell>
        </row>
        <row r="6">
          <cell r="A6" t="str">
            <v>SC155-1/4</v>
          </cell>
          <cell r="B6" t="str">
            <v>LN</v>
          </cell>
          <cell r="C6" t="str">
            <v>DESENGRASANTE AUTOMOTRIZ PARA SUPERFICIES PLASTICAS</v>
          </cell>
          <cell r="D6">
            <v>21.6</v>
          </cell>
          <cell r="E6">
            <v>24.41</v>
          </cell>
          <cell r="F6">
            <v>30</v>
          </cell>
          <cell r="G6">
            <v>33.9</v>
          </cell>
        </row>
        <row r="7">
          <cell r="A7" t="str">
            <v>SC159-1</v>
          </cell>
          <cell r="B7" t="str">
            <v>LN</v>
          </cell>
          <cell r="C7" t="str">
            <v>PLASTIC SURFACE CLEANER ANTI-STATIC</v>
          </cell>
          <cell r="D7">
            <v>31.8</v>
          </cell>
          <cell r="E7">
            <v>35.93</v>
          </cell>
          <cell r="F7">
            <v>44.16</v>
          </cell>
          <cell r="G7">
            <v>49.9</v>
          </cell>
        </row>
        <row r="8">
          <cell r="A8" t="str">
            <v>USP90-21.ONZAS</v>
          </cell>
          <cell r="B8" t="str">
            <v>LN</v>
          </cell>
          <cell r="C8" t="str">
            <v xml:space="preserve">PASTA PARA MATIZAR </v>
          </cell>
          <cell r="D8">
            <v>16.04</v>
          </cell>
          <cell r="E8">
            <v>18.13</v>
          </cell>
          <cell r="F8">
            <v>22.92</v>
          </cell>
          <cell r="G8">
            <v>25.9</v>
          </cell>
        </row>
        <row r="10">
          <cell r="A10" t="str">
            <v>R21KSA1-1/8</v>
          </cell>
          <cell r="B10" t="str">
            <v>LN</v>
          </cell>
          <cell r="C10" t="str">
            <v xml:space="preserve">REMOVEDOR DE PINTURA </v>
          </cell>
          <cell r="D10">
            <v>6.14</v>
          </cell>
          <cell r="E10">
            <v>6.94</v>
          </cell>
          <cell r="F10">
            <v>7.88</v>
          </cell>
          <cell r="G10">
            <v>8.9</v>
          </cell>
        </row>
        <row r="11">
          <cell r="A11" t="str">
            <v>R21KSA1-1/4</v>
          </cell>
          <cell r="B11" t="str">
            <v>LN</v>
          </cell>
          <cell r="C11" t="str">
            <v xml:space="preserve">REMOVEDOR DE PINTURA </v>
          </cell>
          <cell r="D11">
            <v>9.59</v>
          </cell>
          <cell r="E11">
            <v>10.84</v>
          </cell>
          <cell r="F11">
            <v>12.3</v>
          </cell>
          <cell r="G11">
            <v>13.9</v>
          </cell>
        </row>
        <row r="12">
          <cell r="A12" t="str">
            <v>R21KSA1-1</v>
          </cell>
          <cell r="B12" t="str">
            <v>LN</v>
          </cell>
          <cell r="C12" t="str">
            <v xml:space="preserve">REMOVEDOR DE PINTURA </v>
          </cell>
          <cell r="D12">
            <v>33.75</v>
          </cell>
          <cell r="E12">
            <v>38.14</v>
          </cell>
          <cell r="F12">
            <v>43.27</v>
          </cell>
          <cell r="G12">
            <v>48.9</v>
          </cell>
        </row>
        <row r="14">
          <cell r="C14" t="str">
            <v>MASILLAS PLASTICAS</v>
          </cell>
        </row>
        <row r="16">
          <cell r="A16" t="str">
            <v>D2A123-1/4</v>
          </cell>
          <cell r="B16" t="str">
            <v>LN</v>
          </cell>
          <cell r="C16" t="str">
            <v>MASILLA PLASTICA FLEXIBLE JET BOND PESADO + CATALIZA V2VSA1</v>
          </cell>
          <cell r="D16">
            <v>5.01</v>
          </cell>
          <cell r="E16">
            <v>5.66</v>
          </cell>
          <cell r="F16">
            <v>6.11</v>
          </cell>
          <cell r="G16">
            <v>6.9</v>
          </cell>
        </row>
        <row r="17">
          <cell r="A17" t="str">
            <v>D2A123-1</v>
          </cell>
          <cell r="B17" t="str">
            <v>LN</v>
          </cell>
          <cell r="C17" t="str">
            <v>MASILLA PLASTICA FLEXIBLE JET BOND PESADO + CATALIZA V2VSA1</v>
          </cell>
          <cell r="D17">
            <v>17.350000000000001</v>
          </cell>
          <cell r="E17">
            <v>19.600000000000001</v>
          </cell>
          <cell r="F17">
            <v>21.15</v>
          </cell>
          <cell r="G17">
            <v>23.9</v>
          </cell>
        </row>
        <row r="18">
          <cell r="A18" t="str">
            <v>D2A140-1/4</v>
          </cell>
          <cell r="B18" t="str">
            <v>LN</v>
          </cell>
          <cell r="C18" t="str">
            <v>JET BOND SUPER LIJABLE INCLUYE CATALIZADOR V2VSA1</v>
          </cell>
          <cell r="D18">
            <v>5.01</v>
          </cell>
          <cell r="E18">
            <v>5.66</v>
          </cell>
          <cell r="F18">
            <v>6.11</v>
          </cell>
          <cell r="G18">
            <v>6.9</v>
          </cell>
        </row>
        <row r="19">
          <cell r="A19" t="str">
            <v>D2A140-1</v>
          </cell>
          <cell r="B19" t="str">
            <v>LN</v>
          </cell>
          <cell r="C19" t="str">
            <v>JET BOND SUPER LIJABLE INCLUYE CATALIZADOR V2VSA1</v>
          </cell>
          <cell r="D19">
            <v>17.350000000000001</v>
          </cell>
          <cell r="E19">
            <v>19.600000000000001</v>
          </cell>
          <cell r="F19">
            <v>21.15</v>
          </cell>
          <cell r="G19">
            <v>23.9</v>
          </cell>
        </row>
        <row r="20">
          <cell r="A20" t="str">
            <v>D2A145-1/4</v>
          </cell>
          <cell r="B20" t="str">
            <v>LN</v>
          </cell>
          <cell r="C20" t="str">
            <v>JET BOND MASILLAS PLASTICA FUNCIONAL</v>
          </cell>
          <cell r="D20">
            <v>5.01</v>
          </cell>
          <cell r="E20">
            <v>5.66</v>
          </cell>
          <cell r="F20">
            <v>6.11</v>
          </cell>
          <cell r="G20">
            <v>6.9</v>
          </cell>
        </row>
        <row r="21">
          <cell r="A21" t="str">
            <v>D2A145-1</v>
          </cell>
          <cell r="B21" t="str">
            <v>LN</v>
          </cell>
          <cell r="C21" t="str">
            <v>JET BOND MASILLAS PLASTICA FUNCIONAL</v>
          </cell>
          <cell r="D21">
            <v>17.350000000000001</v>
          </cell>
          <cell r="E21">
            <v>19.600000000000001</v>
          </cell>
          <cell r="F21">
            <v>21.15</v>
          </cell>
          <cell r="G21">
            <v>23.9</v>
          </cell>
        </row>
        <row r="22">
          <cell r="A22" t="str">
            <v>D2A146-0.75LT</v>
          </cell>
          <cell r="B22" t="str">
            <v>LN</v>
          </cell>
          <cell r="C22" t="str">
            <v>JET BOND MASILLA PLASTICA FUNCIONAL</v>
          </cell>
          <cell r="D22">
            <v>4.72</v>
          </cell>
          <cell r="E22">
            <v>5.33</v>
          </cell>
          <cell r="F22">
            <v>5.75</v>
          </cell>
          <cell r="G22">
            <v>6.5</v>
          </cell>
        </row>
        <row r="23">
          <cell r="A23" t="str">
            <v>D2A146-3LT</v>
          </cell>
          <cell r="B23" t="str">
            <v>LN</v>
          </cell>
          <cell r="C23" t="str">
            <v>JET BOND MASILLAS PLASTICA FUNCIONAL</v>
          </cell>
          <cell r="D23">
            <v>14.88</v>
          </cell>
          <cell r="E23">
            <v>16.809999999999999</v>
          </cell>
          <cell r="F23">
            <v>18.14</v>
          </cell>
          <cell r="G23">
            <v>20.5</v>
          </cell>
        </row>
        <row r="25">
          <cell r="C25" t="str">
            <v>MASILLAS PLASTICAS TROTON</v>
          </cell>
        </row>
        <row r="27">
          <cell r="A27" t="str">
            <v>7662-3LT</v>
          </cell>
          <cell r="B27" t="str">
            <v>LN</v>
          </cell>
          <cell r="C27" t="str">
            <v xml:space="preserve">MASILLA PLASTICA AMBER </v>
          </cell>
          <cell r="D27">
            <v>40.200000000000003</v>
          </cell>
          <cell r="E27">
            <v>45.43</v>
          </cell>
          <cell r="F27">
            <v>57.43</v>
          </cell>
          <cell r="G27">
            <v>64.900000000000006</v>
          </cell>
        </row>
        <row r="28">
          <cell r="A28">
            <v>2380</v>
          </cell>
          <cell r="B28" t="str">
            <v>LN</v>
          </cell>
          <cell r="C28" t="str">
            <v xml:space="preserve">MASILLA PLASTICA 0.4KG     </v>
          </cell>
          <cell r="D28">
            <v>4.8899999999999997</v>
          </cell>
          <cell r="E28">
            <v>5.53</v>
          </cell>
          <cell r="F28">
            <v>6.99</v>
          </cell>
          <cell r="G28">
            <v>7.9</v>
          </cell>
        </row>
        <row r="29">
          <cell r="A29" t="str">
            <v>10186T</v>
          </cell>
          <cell r="B29" t="str">
            <v>LN</v>
          </cell>
          <cell r="C29" t="str">
            <v xml:space="preserve">MASILLA GLAZE TURBO T  </v>
          </cell>
          <cell r="D29">
            <v>9.23</v>
          </cell>
          <cell r="E29">
            <v>10.43</v>
          </cell>
          <cell r="F29">
            <v>13.19</v>
          </cell>
          <cell r="G29">
            <v>14.9</v>
          </cell>
        </row>
        <row r="31">
          <cell r="A31" t="str">
            <v>V2VSA1-1.ONZ</v>
          </cell>
          <cell r="B31" t="str">
            <v>LN</v>
          </cell>
          <cell r="C31" t="str">
            <v xml:space="preserve">CATALIZADOR PARA JET BOND </v>
          </cell>
          <cell r="D31">
            <v>1.21</v>
          </cell>
          <cell r="E31">
            <v>1.37</v>
          </cell>
          <cell r="F31">
            <v>1.68</v>
          </cell>
          <cell r="G31">
            <v>1.9</v>
          </cell>
        </row>
        <row r="32">
          <cell r="A32" t="str">
            <v>V2VSA1-4.ONZ</v>
          </cell>
          <cell r="B32" t="str">
            <v>LN</v>
          </cell>
          <cell r="C32" t="str">
            <v xml:space="preserve">CATALIZADOR PARA JET BOND </v>
          </cell>
          <cell r="D32">
            <v>2.4900000000000002</v>
          </cell>
          <cell r="E32">
            <v>2.81</v>
          </cell>
          <cell r="F32">
            <v>3.45</v>
          </cell>
          <cell r="G32">
            <v>3.9</v>
          </cell>
        </row>
        <row r="34">
          <cell r="A34" t="str">
            <v>D3A2737-1/4</v>
          </cell>
          <cell r="B34" t="str">
            <v>LN</v>
          </cell>
          <cell r="C34" t="str">
            <v>MASILLA NITROCELULOSICA NEGRO</v>
          </cell>
          <cell r="D34">
            <v>7.25</v>
          </cell>
          <cell r="E34">
            <v>8.19</v>
          </cell>
          <cell r="F34">
            <v>9.2899999999999991</v>
          </cell>
          <cell r="G34">
            <v>10.5</v>
          </cell>
        </row>
        <row r="35">
          <cell r="A35" t="str">
            <v>D3A2747-1/4</v>
          </cell>
          <cell r="B35" t="str">
            <v>LN</v>
          </cell>
          <cell r="C35" t="str">
            <v>MASILLA NITROCELULOSICA GRIS</v>
          </cell>
          <cell r="D35">
            <v>7.25</v>
          </cell>
          <cell r="E35">
            <v>8.19</v>
          </cell>
          <cell r="F35">
            <v>9.2899999999999991</v>
          </cell>
          <cell r="G35">
            <v>10.5</v>
          </cell>
        </row>
        <row r="36">
          <cell r="A36" t="str">
            <v>D3R7-1/4</v>
          </cell>
          <cell r="B36" t="str">
            <v>LN</v>
          </cell>
          <cell r="C36" t="str">
            <v>MASILLA NITROCELULOSICA ROJO</v>
          </cell>
          <cell r="D36">
            <v>7.25</v>
          </cell>
          <cell r="E36">
            <v>8.19</v>
          </cell>
          <cell r="F36">
            <v>9.2899999999999991</v>
          </cell>
          <cell r="G36">
            <v>10.5</v>
          </cell>
        </row>
        <row r="38">
          <cell r="A38" t="str">
            <v>D3A2737-1</v>
          </cell>
          <cell r="B38" t="str">
            <v>LN</v>
          </cell>
          <cell r="C38" t="str">
            <v>MASILLA NITROCELULOSICA NEGRO</v>
          </cell>
          <cell r="D38">
            <v>25.47</v>
          </cell>
          <cell r="E38">
            <v>28.78</v>
          </cell>
          <cell r="F38">
            <v>32.65</v>
          </cell>
          <cell r="G38">
            <v>36.9</v>
          </cell>
        </row>
        <row r="39">
          <cell r="A39" t="str">
            <v>D3A2747-1</v>
          </cell>
          <cell r="B39" t="str">
            <v>LN</v>
          </cell>
          <cell r="C39" t="str">
            <v>MASILLA NITROCELULOSICA GRIS</v>
          </cell>
          <cell r="D39">
            <v>25.47</v>
          </cell>
          <cell r="E39">
            <v>28.78</v>
          </cell>
          <cell r="F39">
            <v>32.65</v>
          </cell>
          <cell r="G39">
            <v>36.9</v>
          </cell>
        </row>
        <row r="40">
          <cell r="A40" t="str">
            <v>D3R7-1</v>
          </cell>
          <cell r="B40" t="str">
            <v>LN</v>
          </cell>
          <cell r="C40" t="str">
            <v>MASILLA NITROCELULOSICA ROJO</v>
          </cell>
          <cell r="D40">
            <v>25.47</v>
          </cell>
          <cell r="E40">
            <v>28.78</v>
          </cell>
          <cell r="F40">
            <v>32.65</v>
          </cell>
          <cell r="G40">
            <v>36.9</v>
          </cell>
        </row>
        <row r="42">
          <cell r="A42" t="str">
            <v>E2G980-1</v>
          </cell>
          <cell r="B42" t="str">
            <v>LN</v>
          </cell>
          <cell r="C42" t="str">
            <v>ANTICORROSIVO AUTOMOTRIZ VERDE</v>
          </cell>
          <cell r="D42">
            <v>55.69</v>
          </cell>
          <cell r="E42">
            <v>62.93</v>
          </cell>
          <cell r="F42">
            <v>79.56</v>
          </cell>
          <cell r="G42">
            <v>89.9</v>
          </cell>
        </row>
        <row r="43">
          <cell r="A43" t="str">
            <v>R7K981-1</v>
          </cell>
          <cell r="B43" t="str">
            <v>LN</v>
          </cell>
          <cell r="C43" t="str">
            <v>REDUCTOR ACTIVADOR PARA GBP PARTE B PARA E2G980</v>
          </cell>
          <cell r="D43">
            <v>22.86</v>
          </cell>
          <cell r="E43">
            <v>25.83</v>
          </cell>
          <cell r="F43">
            <v>32.65</v>
          </cell>
          <cell r="G43">
            <v>36.9</v>
          </cell>
        </row>
        <row r="44">
          <cell r="A44">
            <v>300009245</v>
          </cell>
          <cell r="B44" t="str">
            <v>LN</v>
          </cell>
          <cell r="C44" t="str">
            <v>PRIMARIO ANTICORROSIVO EPOXICO GRIS OSCURO</v>
          </cell>
          <cell r="D44">
            <v>11.46</v>
          </cell>
          <cell r="E44">
            <v>12.95</v>
          </cell>
          <cell r="F44">
            <v>16.37</v>
          </cell>
          <cell r="G44">
            <v>18.5</v>
          </cell>
        </row>
        <row r="46">
          <cell r="A46" t="str">
            <v>UPO7229-1/4</v>
          </cell>
          <cell r="B46" t="str">
            <v>LN</v>
          </cell>
          <cell r="C46" t="str">
            <v>PROMOTOR DE ADHERENCIA PARA PLASTICOS</v>
          </cell>
          <cell r="D46">
            <v>29.42</v>
          </cell>
          <cell r="E46">
            <v>33.25</v>
          </cell>
          <cell r="F46">
            <v>42.04</v>
          </cell>
          <cell r="G46">
            <v>47.5</v>
          </cell>
        </row>
        <row r="47">
          <cell r="A47" t="str">
            <v>UPO25000-1/4</v>
          </cell>
          <cell r="B47" t="str">
            <v>LN</v>
          </cell>
          <cell r="C47" t="str">
            <v>PROMOTOR DE ADHERENCIA PARA PLASTICO</v>
          </cell>
          <cell r="D47">
            <v>12.68</v>
          </cell>
          <cell r="E47">
            <v>14.33</v>
          </cell>
          <cell r="F47">
            <v>17.61</v>
          </cell>
          <cell r="G47">
            <v>19.899999999999999</v>
          </cell>
        </row>
        <row r="49">
          <cell r="A49" t="str">
            <v>V6V299-1/16</v>
          </cell>
          <cell r="B49" t="str">
            <v>LN</v>
          </cell>
          <cell r="C49" t="str">
            <v xml:space="preserve">ADITIVO AUTOMOTRIZ </v>
          </cell>
          <cell r="D49">
            <v>5.51</v>
          </cell>
          <cell r="E49">
            <v>6.23</v>
          </cell>
          <cell r="F49">
            <v>7.88</v>
          </cell>
          <cell r="G49">
            <v>8.9</v>
          </cell>
        </row>
        <row r="50">
          <cell r="A50" t="str">
            <v>T1F270-1</v>
          </cell>
          <cell r="B50" t="str">
            <v>LN</v>
          </cell>
          <cell r="C50" t="str">
            <v xml:space="preserve">ADITIVO MATEANTE UNIVERSAL </v>
          </cell>
          <cell r="D50">
            <v>26.58</v>
          </cell>
          <cell r="E50">
            <v>30.03</v>
          </cell>
          <cell r="F50">
            <v>37.96</v>
          </cell>
          <cell r="G50">
            <v>42.9</v>
          </cell>
        </row>
        <row r="51">
          <cell r="A51" t="str">
            <v>V3K780-1/8</v>
          </cell>
          <cell r="B51" t="str">
            <v>NUEVO</v>
          </cell>
          <cell r="C51" t="str">
            <v xml:space="preserve">ADITIVO AUTOMOTRIZ </v>
          </cell>
          <cell r="D51">
            <v>35.619999999999997</v>
          </cell>
          <cell r="E51">
            <v>40.25</v>
          </cell>
          <cell r="F51">
            <v>50.88</v>
          </cell>
          <cell r="G51">
            <v>57.5</v>
          </cell>
        </row>
        <row r="52">
          <cell r="C52" t="str">
            <v>PULIMENTOS FASTLINE</v>
          </cell>
        </row>
        <row r="54">
          <cell r="A54" t="str">
            <v>FFC1-1</v>
          </cell>
          <cell r="B54" t="str">
            <v>LN</v>
          </cell>
          <cell r="C54" t="str">
            <v xml:space="preserve">RUBBING DE CORTE RAPIDO </v>
          </cell>
          <cell r="D54">
            <v>48.13</v>
          </cell>
          <cell r="E54">
            <v>54.39</v>
          </cell>
          <cell r="F54">
            <v>65.040000000000006</v>
          </cell>
          <cell r="G54">
            <v>73.5</v>
          </cell>
        </row>
        <row r="55">
          <cell r="A55" t="str">
            <v>FFC1-1/4</v>
          </cell>
          <cell r="B55" t="str">
            <v>LN</v>
          </cell>
          <cell r="C55" t="str">
            <v xml:space="preserve">RUBBING DE CORTE RAPIDO </v>
          </cell>
          <cell r="D55">
            <v>13.04</v>
          </cell>
          <cell r="E55">
            <v>14.73</v>
          </cell>
          <cell r="F55">
            <v>17.61</v>
          </cell>
          <cell r="G55">
            <v>19.900000000000002</v>
          </cell>
        </row>
        <row r="57">
          <cell r="A57" t="str">
            <v>FMP2-1</v>
          </cell>
          <cell r="B57" t="str">
            <v>LN</v>
          </cell>
          <cell r="C57" t="str">
            <v xml:space="preserve">PULIDOR PARA USO A MAQUINA </v>
          </cell>
          <cell r="D57">
            <v>41.19</v>
          </cell>
          <cell r="E57">
            <v>46.55</v>
          </cell>
          <cell r="F57">
            <v>55.66</v>
          </cell>
          <cell r="G57">
            <v>62.9</v>
          </cell>
        </row>
        <row r="58">
          <cell r="A58" t="str">
            <v>FMP2-1/4</v>
          </cell>
          <cell r="B58" t="str">
            <v>LN</v>
          </cell>
          <cell r="C58" t="str">
            <v xml:space="preserve">PULIDOR PARA USO A MAQUINA </v>
          </cell>
          <cell r="D58">
            <v>12.12</v>
          </cell>
          <cell r="E58">
            <v>13.69</v>
          </cell>
          <cell r="F58">
            <v>16.37</v>
          </cell>
          <cell r="G58">
            <v>18.5</v>
          </cell>
        </row>
        <row r="60">
          <cell r="A60" t="str">
            <v>FTD1-1</v>
          </cell>
          <cell r="B60" t="str">
            <v>LN</v>
          </cell>
          <cell r="C60" t="str">
            <v xml:space="preserve">ABRILLANTADOR DE LLANTAS </v>
          </cell>
          <cell r="D60">
            <v>32.520000000000003</v>
          </cell>
          <cell r="E60">
            <v>36.75</v>
          </cell>
          <cell r="F60">
            <v>46.46</v>
          </cell>
          <cell r="G60">
            <v>52.5</v>
          </cell>
        </row>
        <row r="62">
          <cell r="C62" t="str">
            <v>SISTEMA DE PULIDO TROTON</v>
          </cell>
        </row>
        <row r="63">
          <cell r="A63" t="str">
            <v>10091-1LT</v>
          </cell>
          <cell r="B63" t="str">
            <v>LN</v>
          </cell>
          <cell r="C63" t="str">
            <v xml:space="preserve">PASTA DE PULIDO T1 STRONG   </v>
          </cell>
          <cell r="D63">
            <v>22.24</v>
          </cell>
          <cell r="E63">
            <v>25.13</v>
          </cell>
          <cell r="F63">
            <v>31.77</v>
          </cell>
          <cell r="G63">
            <v>35.9</v>
          </cell>
        </row>
        <row r="64">
          <cell r="A64" t="str">
            <v>11734-1LT</v>
          </cell>
          <cell r="B64" t="str">
            <v>LN</v>
          </cell>
          <cell r="C64" t="str">
            <v>REMOVEDOR DE HOLOGRAMAS    Y MICRORAYAS</v>
          </cell>
          <cell r="D64">
            <v>24.47</v>
          </cell>
          <cell r="E64">
            <v>27.65</v>
          </cell>
          <cell r="F64">
            <v>34.96</v>
          </cell>
          <cell r="G64">
            <v>39.5</v>
          </cell>
        </row>
        <row r="66">
          <cell r="C66" t="str">
            <v>PASTAS PARA PULIR SPECIALTY</v>
          </cell>
        </row>
        <row r="68">
          <cell r="A68" t="str">
            <v>D1T13-1/4</v>
          </cell>
          <cell r="B68" t="str">
            <v>LN</v>
          </cell>
          <cell r="C68" t="str">
            <v>PASTA PARA PULIR BLANCO</v>
          </cell>
          <cell r="D68">
            <v>6.75</v>
          </cell>
          <cell r="E68">
            <v>7.63</v>
          </cell>
          <cell r="F68">
            <v>9.65</v>
          </cell>
          <cell r="G68">
            <v>10.9</v>
          </cell>
        </row>
        <row r="69">
          <cell r="A69" t="str">
            <v>D1T2551-1/4</v>
          </cell>
          <cell r="B69" t="str">
            <v>LN</v>
          </cell>
          <cell r="C69" t="str">
            <v>PASTA PARA PULIR ROJO</v>
          </cell>
          <cell r="D69">
            <v>6.75</v>
          </cell>
          <cell r="E69">
            <v>7.63</v>
          </cell>
          <cell r="F69">
            <v>9.65</v>
          </cell>
          <cell r="G69">
            <v>10.9</v>
          </cell>
        </row>
        <row r="71">
          <cell r="A71" t="str">
            <v>D1T13-1</v>
          </cell>
          <cell r="B71" t="str">
            <v>LN</v>
          </cell>
          <cell r="C71" t="str">
            <v>PASTA PARA PULIR BLANCO</v>
          </cell>
          <cell r="D71">
            <v>23.85</v>
          </cell>
          <cell r="E71">
            <v>26.95</v>
          </cell>
          <cell r="F71">
            <v>34.07</v>
          </cell>
          <cell r="G71">
            <v>38.5</v>
          </cell>
        </row>
        <row r="72">
          <cell r="A72" t="str">
            <v>D1T2551-1</v>
          </cell>
          <cell r="B72" t="str">
            <v>LN</v>
          </cell>
          <cell r="C72" t="str">
            <v>PASTA PARA PULIR ROJO</v>
          </cell>
          <cell r="D72">
            <v>23.85</v>
          </cell>
          <cell r="E72">
            <v>26.95</v>
          </cell>
          <cell r="F72">
            <v>34.07</v>
          </cell>
          <cell r="G72">
            <v>38.5</v>
          </cell>
        </row>
        <row r="74">
          <cell r="A74" t="str">
            <v>D1T13-5</v>
          </cell>
          <cell r="B74" t="str">
            <v>LN</v>
          </cell>
          <cell r="C74" t="str">
            <v>PASTA PARA PULIR BLANCO</v>
          </cell>
          <cell r="D74">
            <v>106.55</v>
          </cell>
          <cell r="E74">
            <v>120.4</v>
          </cell>
          <cell r="F74">
            <v>152.21</v>
          </cell>
          <cell r="G74">
            <v>172</v>
          </cell>
        </row>
        <row r="75">
          <cell r="A75" t="str">
            <v>D1T2551-5</v>
          </cell>
          <cell r="B75" t="str">
            <v>LN</v>
          </cell>
          <cell r="C75" t="str">
            <v>PASTA PARA PULIR ROJO</v>
          </cell>
          <cell r="D75">
            <v>106.55</v>
          </cell>
          <cell r="E75">
            <v>120.4</v>
          </cell>
          <cell r="F75">
            <v>152.21</v>
          </cell>
          <cell r="G75">
            <v>172</v>
          </cell>
        </row>
        <row r="77">
          <cell r="C77" t="str">
            <v>RECUBRIMIENTOS ESPECIALES</v>
          </cell>
        </row>
        <row r="79">
          <cell r="A79" t="str">
            <v>V74B155-1</v>
          </cell>
          <cell r="B79" t="str">
            <v>LN</v>
          </cell>
          <cell r="C79" t="str">
            <v xml:space="preserve">PINTURA PARA CHASIS NEGRO </v>
          </cell>
          <cell r="D79">
            <v>30.04</v>
          </cell>
          <cell r="E79">
            <v>33.950000000000003</v>
          </cell>
          <cell r="F79">
            <v>42.92</v>
          </cell>
          <cell r="G79">
            <v>48.5</v>
          </cell>
        </row>
        <row r="80">
          <cell r="A80" t="str">
            <v>V74BSA1-1/4</v>
          </cell>
          <cell r="B80" t="str">
            <v>LN</v>
          </cell>
          <cell r="C80" t="str">
            <v xml:space="preserve">PINTURA NEGRA PARA CHASIS </v>
          </cell>
          <cell r="D80">
            <v>6.5</v>
          </cell>
          <cell r="E80">
            <v>7.35</v>
          </cell>
          <cell r="F80">
            <v>9.2899999999999991</v>
          </cell>
          <cell r="G80">
            <v>10.5</v>
          </cell>
        </row>
        <row r="81">
          <cell r="A81" t="str">
            <v>V74BSA1-1</v>
          </cell>
          <cell r="B81" t="str">
            <v>LN</v>
          </cell>
          <cell r="C81" t="str">
            <v xml:space="preserve">PINTURA NEGRA PARA CHASIS </v>
          </cell>
          <cell r="D81">
            <v>23.97</v>
          </cell>
          <cell r="E81">
            <v>27.09</v>
          </cell>
          <cell r="F81">
            <v>34.25</v>
          </cell>
          <cell r="G81">
            <v>38.700000000000003</v>
          </cell>
        </row>
        <row r="82">
          <cell r="A82" t="str">
            <v>V74BSA2-1</v>
          </cell>
          <cell r="B82" t="str">
            <v>LN</v>
          </cell>
          <cell r="C82" t="str">
            <v xml:space="preserve">PROTECTOR ANTIGRAVA NEGRO </v>
          </cell>
          <cell r="D82">
            <v>31.41</v>
          </cell>
          <cell r="E82">
            <v>35.49</v>
          </cell>
          <cell r="F82">
            <v>40.270000000000003</v>
          </cell>
          <cell r="G82">
            <v>45.5</v>
          </cell>
        </row>
        <row r="83">
          <cell r="A83" t="str">
            <v>V74BSA2-1/4</v>
          </cell>
          <cell r="B83" t="str">
            <v>LN</v>
          </cell>
          <cell r="C83" t="str">
            <v xml:space="preserve">PROTECTOR ANTIGRAVA NEGRO </v>
          </cell>
          <cell r="D83">
            <v>8.6300000000000008</v>
          </cell>
          <cell r="E83">
            <v>9.75</v>
          </cell>
          <cell r="F83">
            <v>11.06</v>
          </cell>
          <cell r="G83">
            <v>12.5</v>
          </cell>
        </row>
        <row r="84">
          <cell r="A84">
            <v>6954</v>
          </cell>
          <cell r="B84" t="str">
            <v>LN</v>
          </cell>
          <cell r="C84" t="str">
            <v>PINTURA PARA BUMPERS NEGRO TEXTURIZADO</v>
          </cell>
          <cell r="D84">
            <v>20.36</v>
          </cell>
          <cell r="E84">
            <v>23.01</v>
          </cell>
          <cell r="F84">
            <v>26.11</v>
          </cell>
          <cell r="G84">
            <v>29.5</v>
          </cell>
        </row>
        <row r="86">
          <cell r="C86" t="str">
            <v>POLIURETANO PREMIUM ULTRA 7000</v>
          </cell>
        </row>
        <row r="87">
          <cell r="C87" t="str">
            <v>BASES DE RELLENO U7000</v>
          </cell>
        </row>
        <row r="88">
          <cell r="C88" t="str">
            <v>ULTRA FILL II PRIMER SURFACER</v>
          </cell>
        </row>
        <row r="90">
          <cell r="A90" t="str">
            <v>P6A47-1</v>
          </cell>
          <cell r="B90" t="str">
            <v>LN</v>
          </cell>
          <cell r="C90" t="str">
            <v>PRIMARIO AUTOMOTRIZ 2K ULTRA GRIS NEUTRAL</v>
          </cell>
          <cell r="D90">
            <v>52.96</v>
          </cell>
          <cell r="E90">
            <v>59.85</v>
          </cell>
          <cell r="F90">
            <v>75.66</v>
          </cell>
          <cell r="G90">
            <v>85.5</v>
          </cell>
        </row>
        <row r="91">
          <cell r="A91" t="str">
            <v>P6A48-1/4</v>
          </cell>
          <cell r="B91" t="str">
            <v>LN</v>
          </cell>
          <cell r="C91" t="str">
            <v>PRIMARIO AUTOMOTRIZ 2K ULTRA GRIS CLARO</v>
          </cell>
          <cell r="D91">
            <v>15.18</v>
          </cell>
          <cell r="E91">
            <v>17.149999999999999</v>
          </cell>
          <cell r="F91">
            <v>21.68</v>
          </cell>
          <cell r="G91">
            <v>24.5</v>
          </cell>
        </row>
        <row r="92">
          <cell r="A92" t="str">
            <v>P6A48-1</v>
          </cell>
          <cell r="B92" t="str">
            <v>LN</v>
          </cell>
          <cell r="C92" t="str">
            <v>PRIMARIO AUTOMOTRIZ 2K ULTRA GRIS CLARO</v>
          </cell>
          <cell r="D92">
            <v>55.07</v>
          </cell>
          <cell r="E92">
            <v>62.23</v>
          </cell>
          <cell r="F92">
            <v>78.67</v>
          </cell>
          <cell r="G92">
            <v>88.9</v>
          </cell>
        </row>
        <row r="93">
          <cell r="C93" t="str">
            <v>SPECTRA PRIMER SURFACER</v>
          </cell>
        </row>
        <row r="95">
          <cell r="A95" t="str">
            <v>P30B-1</v>
          </cell>
          <cell r="B95" t="str">
            <v>LN</v>
          </cell>
          <cell r="C95" t="str">
            <v>PRIMARIO AUTOMOTRIZ 2K SPECTRA NEGRO (PARTE A)</v>
          </cell>
          <cell r="D95">
            <v>70.73</v>
          </cell>
          <cell r="E95">
            <v>79.92</v>
          </cell>
          <cell r="F95">
            <v>98.23</v>
          </cell>
          <cell r="G95">
            <v>111</v>
          </cell>
        </row>
        <row r="96">
          <cell r="A96" t="str">
            <v>P30W-1</v>
          </cell>
          <cell r="B96" t="str">
            <v>LN</v>
          </cell>
          <cell r="C96" t="str">
            <v>PRIMARIO AUTOMOTRIZ 2K SPECTRA BLANCO (PARTE A)</v>
          </cell>
          <cell r="D96">
            <v>70.73</v>
          </cell>
          <cell r="E96">
            <v>79.92</v>
          </cell>
          <cell r="F96">
            <v>98.23</v>
          </cell>
          <cell r="G96">
            <v>111</v>
          </cell>
        </row>
        <row r="98">
          <cell r="C98" t="str">
            <v>SELLADORES ULTRA 7000</v>
          </cell>
        </row>
        <row r="100">
          <cell r="A100" t="str">
            <v>S66-1</v>
          </cell>
          <cell r="B100" t="str">
            <v>LN</v>
          </cell>
          <cell r="C100" t="str">
            <v>PROMOTOR DE ADHERENCIA 2K TRANSPARENTE</v>
          </cell>
          <cell r="D100">
            <v>135.08000000000001</v>
          </cell>
          <cell r="E100">
            <v>152.63999999999999</v>
          </cell>
          <cell r="F100">
            <v>187.61</v>
          </cell>
          <cell r="G100">
            <v>212</v>
          </cell>
        </row>
        <row r="101">
          <cell r="A101" t="str">
            <v>S41-1</v>
          </cell>
          <cell r="B101" t="str">
            <v>LN</v>
          </cell>
          <cell r="C101" t="str">
            <v>CONVERTIDOR SELLADOR AUTOMOTRI TRANSPARENTE</v>
          </cell>
          <cell r="D101">
            <v>198.42</v>
          </cell>
          <cell r="E101">
            <v>224.22</v>
          </cell>
          <cell r="F101">
            <v>268.14</v>
          </cell>
          <cell r="G101">
            <v>303</v>
          </cell>
        </row>
        <row r="103">
          <cell r="C103" t="str">
            <v>TINTES PARA ENTREMEZCLAS ULTRA 7000</v>
          </cell>
        </row>
        <row r="104">
          <cell r="C104" t="str">
            <v>GRUPO DE PONDERACION U7000 1</v>
          </cell>
        </row>
        <row r="106">
          <cell r="A106" t="str">
            <v>U7106-0.5LT</v>
          </cell>
          <cell r="B106" t="str">
            <v>LN</v>
          </cell>
          <cell r="C106" t="str">
            <v>TINTE ULTRA 7000 ROJO OXIDO</v>
          </cell>
          <cell r="D106">
            <v>9.82</v>
          </cell>
          <cell r="E106">
            <v>11.1</v>
          </cell>
          <cell r="F106">
            <v>16.37</v>
          </cell>
          <cell r="G106">
            <v>18.5</v>
          </cell>
        </row>
        <row r="107">
          <cell r="A107" t="str">
            <v>U7140-0.5LT</v>
          </cell>
          <cell r="B107" t="str">
            <v>LN</v>
          </cell>
          <cell r="C107" t="str">
            <v>TINTE ULTRA 7000 AMARILLO OXIDO</v>
          </cell>
          <cell r="D107">
            <v>9.82</v>
          </cell>
          <cell r="E107">
            <v>11.1</v>
          </cell>
          <cell r="F107">
            <v>16.37</v>
          </cell>
          <cell r="G107">
            <v>18.5</v>
          </cell>
        </row>
        <row r="108">
          <cell r="A108" t="str">
            <v>U7209-1</v>
          </cell>
          <cell r="B108" t="str">
            <v>LN</v>
          </cell>
          <cell r="C108" t="str">
            <v>TINTE ULTRA 7000 TRANSPARENTE DE MEZCLA</v>
          </cell>
          <cell r="D108">
            <v>74.87</v>
          </cell>
          <cell r="E108">
            <v>84.6</v>
          </cell>
          <cell r="F108">
            <v>124.78</v>
          </cell>
          <cell r="G108">
            <v>141</v>
          </cell>
        </row>
        <row r="109">
          <cell r="A109" t="str">
            <v>U7215-1/4</v>
          </cell>
          <cell r="B109" t="str">
            <v>LN</v>
          </cell>
          <cell r="C109" t="str">
            <v>TINTE ULTRA 7000 TRANSPARENTE DE MEZCLA</v>
          </cell>
          <cell r="D109">
            <v>18.739999999999998</v>
          </cell>
          <cell r="E109">
            <v>21.18</v>
          </cell>
          <cell r="F109">
            <v>31.24</v>
          </cell>
          <cell r="G109">
            <v>35.300000000000004</v>
          </cell>
        </row>
        <row r="110">
          <cell r="A110" t="str">
            <v>U7218-1</v>
          </cell>
          <cell r="B110" t="str">
            <v>LN</v>
          </cell>
          <cell r="C110" t="str">
            <v>TINTE ULTRA 7000 NEGRO</v>
          </cell>
          <cell r="D110">
            <v>74.87</v>
          </cell>
          <cell r="E110">
            <v>84.6</v>
          </cell>
          <cell r="F110">
            <v>124.78</v>
          </cell>
          <cell r="G110">
            <v>141</v>
          </cell>
        </row>
        <row r="111">
          <cell r="A111" t="str">
            <v>U7281-1</v>
          </cell>
          <cell r="B111" t="str">
            <v>LN</v>
          </cell>
          <cell r="C111" t="str">
            <v>TINTE ULTRA 7000 NEGRO INTENSO</v>
          </cell>
          <cell r="D111">
            <v>74.87</v>
          </cell>
          <cell r="E111">
            <v>84.6</v>
          </cell>
          <cell r="F111">
            <v>124.78</v>
          </cell>
          <cell r="G111">
            <v>141</v>
          </cell>
        </row>
        <row r="112">
          <cell r="A112" t="str">
            <v>U7282-1</v>
          </cell>
          <cell r="B112" t="str">
            <v>LN</v>
          </cell>
          <cell r="C112" t="str">
            <v>TINTE ULTRA 7000 BLANCO</v>
          </cell>
          <cell r="D112">
            <v>74.87</v>
          </cell>
          <cell r="E112">
            <v>84.6</v>
          </cell>
          <cell r="F112">
            <v>124.78</v>
          </cell>
          <cell r="G112">
            <v>141</v>
          </cell>
        </row>
        <row r="113">
          <cell r="A113" t="str">
            <v>U7400-1</v>
          </cell>
          <cell r="B113" t="str">
            <v>LN</v>
          </cell>
          <cell r="C113" t="str">
            <v>TINTE ULTRA 7000 TRANSPARENTE MEZCLA MONOCAPAS</v>
          </cell>
          <cell r="D113">
            <v>74.87</v>
          </cell>
          <cell r="E113">
            <v>84.6</v>
          </cell>
          <cell r="F113">
            <v>124.78</v>
          </cell>
          <cell r="G113">
            <v>141</v>
          </cell>
        </row>
        <row r="114">
          <cell r="A114" t="str">
            <v>U7303-1</v>
          </cell>
          <cell r="B114" t="str">
            <v>LN</v>
          </cell>
          <cell r="C114" t="str">
            <v>TINTE ULTRA 7000 SECANTE PARA MONOCAPA</v>
          </cell>
          <cell r="D114">
            <v>74.87</v>
          </cell>
          <cell r="E114">
            <v>84.6</v>
          </cell>
          <cell r="F114">
            <v>124.78</v>
          </cell>
          <cell r="G114">
            <v>141</v>
          </cell>
        </row>
        <row r="115">
          <cell r="C115" t="str">
            <v>GRUPO DE PONDERACION U7000 2</v>
          </cell>
        </row>
        <row r="116">
          <cell r="A116" t="str">
            <v>U7030-0.5LT</v>
          </cell>
          <cell r="B116" t="str">
            <v>LN</v>
          </cell>
          <cell r="C116" t="str">
            <v>TINTE ULTRA 7000 ROJO MONASTRAL HS</v>
          </cell>
          <cell r="D116">
            <v>21.72</v>
          </cell>
          <cell r="E116">
            <v>24.54</v>
          </cell>
          <cell r="F116">
            <v>36.19</v>
          </cell>
          <cell r="G116">
            <v>40.9</v>
          </cell>
        </row>
        <row r="117">
          <cell r="A117" t="str">
            <v>U7031-1/4</v>
          </cell>
          <cell r="B117" t="str">
            <v>LN</v>
          </cell>
          <cell r="C117" t="str">
            <v>TINTE ULTRA 7000 ROJO BRILLANTE HS</v>
          </cell>
          <cell r="D117">
            <v>41.42</v>
          </cell>
          <cell r="E117">
            <v>46.8</v>
          </cell>
          <cell r="F117">
            <v>69.03</v>
          </cell>
          <cell r="G117">
            <v>78</v>
          </cell>
        </row>
        <row r="118">
          <cell r="A118" t="str">
            <v>U7034-1/4</v>
          </cell>
          <cell r="B118" t="str">
            <v>LN</v>
          </cell>
          <cell r="C118" t="str">
            <v>TINTE ULTRA 7000 MARRON PERILENE HS</v>
          </cell>
          <cell r="D118">
            <v>41.42</v>
          </cell>
          <cell r="E118">
            <v>46.8</v>
          </cell>
          <cell r="F118">
            <v>69.03</v>
          </cell>
          <cell r="G118">
            <v>78</v>
          </cell>
        </row>
        <row r="119">
          <cell r="A119" t="str">
            <v>U7037-0.5LT</v>
          </cell>
          <cell r="B119" t="str">
            <v>LN</v>
          </cell>
          <cell r="C119" t="str">
            <v>TINTE ULTRA 7000 MAGENTA AZULOSO</v>
          </cell>
          <cell r="D119">
            <v>21.72</v>
          </cell>
          <cell r="E119">
            <v>24.54</v>
          </cell>
          <cell r="F119">
            <v>36.19</v>
          </cell>
          <cell r="G119">
            <v>40.9</v>
          </cell>
        </row>
        <row r="120">
          <cell r="A120" t="str">
            <v>U7107-0.5LT</v>
          </cell>
          <cell r="B120" t="str">
            <v>LN</v>
          </cell>
          <cell r="C120" t="str">
            <v>TINTE ULTRA 7000 AMARILLO ORGANICO</v>
          </cell>
          <cell r="D120">
            <v>21.72</v>
          </cell>
          <cell r="E120">
            <v>24.54</v>
          </cell>
          <cell r="F120">
            <v>36.19</v>
          </cell>
          <cell r="G120">
            <v>40.9</v>
          </cell>
        </row>
        <row r="121">
          <cell r="A121" t="str">
            <v>U7124-0.5LT</v>
          </cell>
          <cell r="B121" t="str">
            <v>LN</v>
          </cell>
          <cell r="C121" t="str">
            <v>TINTE ULTRA 7000 NARANJA LF</v>
          </cell>
          <cell r="D121">
            <v>21.72</v>
          </cell>
          <cell r="E121">
            <v>24.54</v>
          </cell>
          <cell r="F121">
            <v>36.19</v>
          </cell>
          <cell r="G121">
            <v>40.9</v>
          </cell>
        </row>
        <row r="122">
          <cell r="A122" t="str">
            <v>U7128-1/4</v>
          </cell>
          <cell r="B122" t="str">
            <v>LN</v>
          </cell>
          <cell r="C122" t="str">
            <v>TINTE ULTRA 7000 AMARILLO VANADATO</v>
          </cell>
          <cell r="D122">
            <v>41.42</v>
          </cell>
          <cell r="E122">
            <v>46.8</v>
          </cell>
          <cell r="F122">
            <v>69.03</v>
          </cell>
          <cell r="G122">
            <v>78</v>
          </cell>
        </row>
        <row r="123">
          <cell r="A123" t="str">
            <v>U7134-0.5LT</v>
          </cell>
          <cell r="B123" t="str">
            <v>LN</v>
          </cell>
          <cell r="C123" t="str">
            <v>TINTE ULTRA 7000 AMARILLO DE BAJA OPACIDAD</v>
          </cell>
          <cell r="D123">
            <v>21.72</v>
          </cell>
          <cell r="E123">
            <v>24.54</v>
          </cell>
          <cell r="F123">
            <v>36.19</v>
          </cell>
          <cell r="G123">
            <v>40.9</v>
          </cell>
        </row>
        <row r="124">
          <cell r="A124" t="str">
            <v>U7137-0.5LT</v>
          </cell>
          <cell r="B124" t="str">
            <v>LN</v>
          </cell>
          <cell r="C124" t="str">
            <v>TINTE ULTRA 7000 VERDE AMARILLENTO</v>
          </cell>
          <cell r="D124">
            <v>21.72</v>
          </cell>
          <cell r="E124">
            <v>24.54</v>
          </cell>
          <cell r="F124">
            <v>36.19</v>
          </cell>
          <cell r="G124">
            <v>40.9</v>
          </cell>
        </row>
        <row r="125">
          <cell r="A125" t="str">
            <v>U7139-0.5LT</v>
          </cell>
          <cell r="B125" t="str">
            <v>LN</v>
          </cell>
          <cell r="C125" t="str">
            <v>TINTE ULTRA 7000 VIOLETA PT</v>
          </cell>
          <cell r="D125">
            <v>21.72</v>
          </cell>
          <cell r="E125">
            <v>24.54</v>
          </cell>
          <cell r="F125">
            <v>36.19</v>
          </cell>
          <cell r="G125">
            <v>40.9</v>
          </cell>
        </row>
        <row r="126">
          <cell r="A126" t="str">
            <v>U7146-0.5LT</v>
          </cell>
          <cell r="B126" t="str">
            <v>LN</v>
          </cell>
          <cell r="C126" t="str">
            <v>TINTE ULTRA 7000 BLANCO MICRONIZADO</v>
          </cell>
          <cell r="D126">
            <v>21.72</v>
          </cell>
          <cell r="E126">
            <v>24.54</v>
          </cell>
          <cell r="F126">
            <v>36.19</v>
          </cell>
          <cell r="G126">
            <v>40.9</v>
          </cell>
        </row>
        <row r="127">
          <cell r="A127" t="str">
            <v>U7151-0.5LT</v>
          </cell>
          <cell r="B127" t="str">
            <v>LN</v>
          </cell>
          <cell r="C127" t="str">
            <v>TINTE ULTRA 7000 CAFÉ COBRE</v>
          </cell>
          <cell r="D127">
            <v>21.72</v>
          </cell>
          <cell r="E127">
            <v>24.54</v>
          </cell>
          <cell r="F127">
            <v>36.19</v>
          </cell>
          <cell r="G127">
            <v>40.9</v>
          </cell>
        </row>
        <row r="128">
          <cell r="A128" t="str">
            <v>U7201-1/4</v>
          </cell>
          <cell r="B128" t="str">
            <v>LN</v>
          </cell>
          <cell r="C128" t="str">
            <v>TINTE ULTRA 7000 METALICO FINO</v>
          </cell>
          <cell r="D128">
            <v>41.42</v>
          </cell>
          <cell r="E128">
            <v>46.8</v>
          </cell>
          <cell r="F128">
            <v>69.03</v>
          </cell>
          <cell r="G128">
            <v>78</v>
          </cell>
        </row>
        <row r="129">
          <cell r="A129" t="str">
            <v>U7202-1/4</v>
          </cell>
          <cell r="B129" t="str">
            <v>LN</v>
          </cell>
          <cell r="C129" t="str">
            <v>TINTE ULTRA 7000 METALICO MEDIANO</v>
          </cell>
          <cell r="D129">
            <v>41.42</v>
          </cell>
          <cell r="E129">
            <v>46.8</v>
          </cell>
          <cell r="F129">
            <v>69.03</v>
          </cell>
          <cell r="G129">
            <v>78</v>
          </cell>
        </row>
        <row r="130">
          <cell r="A130" t="str">
            <v>U7203-1/4</v>
          </cell>
          <cell r="B130" t="str">
            <v>LN</v>
          </cell>
          <cell r="C130" t="str">
            <v>TINTE ULTRA 7000 METALICO GRANDE</v>
          </cell>
          <cell r="D130">
            <v>41.42</v>
          </cell>
          <cell r="E130">
            <v>46.8</v>
          </cell>
          <cell r="F130">
            <v>69.03</v>
          </cell>
          <cell r="G130">
            <v>78</v>
          </cell>
        </row>
        <row r="131">
          <cell r="A131" t="str">
            <v>U7204-1/4</v>
          </cell>
          <cell r="B131" t="str">
            <v>LN</v>
          </cell>
          <cell r="C131" t="str">
            <v>TINTE ULTRA 7000 METALICO GRUESO</v>
          </cell>
          <cell r="D131">
            <v>41.42</v>
          </cell>
          <cell r="E131">
            <v>46.8</v>
          </cell>
          <cell r="F131">
            <v>69.03</v>
          </cell>
          <cell r="G131">
            <v>78</v>
          </cell>
        </row>
        <row r="132">
          <cell r="A132" t="str">
            <v>U7205-0.5LT</v>
          </cell>
          <cell r="B132" t="str">
            <v>LN</v>
          </cell>
          <cell r="C132" t="str">
            <v>TINTE ULTRA 7000 PALIOCROMO ORO</v>
          </cell>
          <cell r="D132">
            <v>21.72</v>
          </cell>
          <cell r="E132">
            <v>24.54</v>
          </cell>
          <cell r="F132">
            <v>36.19</v>
          </cell>
          <cell r="G132">
            <v>40.9</v>
          </cell>
        </row>
        <row r="133">
          <cell r="A133" t="str">
            <v>U7206-1/4</v>
          </cell>
          <cell r="B133" t="str">
            <v>LN</v>
          </cell>
          <cell r="C133" t="str">
            <v>TINTE ULTRA 7000 METALICO FINO BRILLANTE</v>
          </cell>
          <cell r="D133">
            <v>41.42</v>
          </cell>
          <cell r="E133">
            <v>46.8</v>
          </cell>
          <cell r="F133">
            <v>69.03</v>
          </cell>
          <cell r="G133">
            <v>78</v>
          </cell>
        </row>
        <row r="134">
          <cell r="A134" t="str">
            <v>U7213-0.5LT</v>
          </cell>
          <cell r="B134" t="str">
            <v>LN</v>
          </cell>
          <cell r="C134" t="str">
            <v>TINTE ULTRA 7000 GRAFITO</v>
          </cell>
          <cell r="D134">
            <v>21.72</v>
          </cell>
          <cell r="E134">
            <v>24.54</v>
          </cell>
          <cell r="F134">
            <v>36.19</v>
          </cell>
          <cell r="G134">
            <v>40.9</v>
          </cell>
        </row>
        <row r="135">
          <cell r="A135" t="str">
            <v>U7214-1/4</v>
          </cell>
          <cell r="B135" t="str">
            <v>LN</v>
          </cell>
          <cell r="C135" t="str">
            <v>ULTRA VEHICLE REFINISH METALICO ULTRA FINO</v>
          </cell>
          <cell r="D135">
            <v>21.72</v>
          </cell>
          <cell r="E135">
            <v>24.54</v>
          </cell>
          <cell r="F135">
            <v>36.19</v>
          </cell>
          <cell r="G135">
            <v>40.9</v>
          </cell>
        </row>
        <row r="136">
          <cell r="A136" t="str">
            <v>U7217-1</v>
          </cell>
          <cell r="B136" t="str">
            <v>LN</v>
          </cell>
          <cell r="C136" t="str">
            <v>TINTE ULTRA 7000 METALICO MEDIANO BRILLANTE</v>
          </cell>
          <cell r="D136">
            <v>165.66</v>
          </cell>
          <cell r="E136">
            <v>187.2</v>
          </cell>
          <cell r="F136">
            <v>276.11</v>
          </cell>
          <cell r="G136">
            <v>312</v>
          </cell>
        </row>
        <row r="137">
          <cell r="A137" t="str">
            <v>U7221-0.5LT</v>
          </cell>
          <cell r="B137" t="str">
            <v>LN</v>
          </cell>
          <cell r="C137" t="str">
            <v>TINTE ULTRA 7000 NARANJA PALIOCROMO</v>
          </cell>
          <cell r="D137">
            <v>21.72</v>
          </cell>
          <cell r="E137">
            <v>24.54</v>
          </cell>
          <cell r="F137">
            <v>36.19</v>
          </cell>
          <cell r="G137">
            <v>40.9</v>
          </cell>
        </row>
        <row r="138">
          <cell r="A138" t="str">
            <v>U7222-0.5LT</v>
          </cell>
          <cell r="B138" t="str">
            <v>LN</v>
          </cell>
          <cell r="C138" t="str">
            <v>TINTE ULTRA 7000 DORADO ROJIZO</v>
          </cell>
          <cell r="D138">
            <v>21.72</v>
          </cell>
          <cell r="E138">
            <v>24.54</v>
          </cell>
          <cell r="F138">
            <v>36.19</v>
          </cell>
          <cell r="G138">
            <v>40.9</v>
          </cell>
        </row>
        <row r="139">
          <cell r="A139" t="str">
            <v>U7231-1/4</v>
          </cell>
          <cell r="B139" t="str">
            <v>LN</v>
          </cell>
          <cell r="C139" t="str">
            <v>TINTE ULTRA 7000 AMARILLO ROJIZO</v>
          </cell>
          <cell r="D139">
            <v>41.42</v>
          </cell>
          <cell r="E139">
            <v>46.8</v>
          </cell>
          <cell r="F139">
            <v>69.03</v>
          </cell>
          <cell r="G139">
            <v>78</v>
          </cell>
        </row>
        <row r="140">
          <cell r="A140" t="str">
            <v>U7233-1/4</v>
          </cell>
          <cell r="B140" t="str">
            <v>LN</v>
          </cell>
          <cell r="C140" t="str">
            <v>TINTE ULTRA 7000 AZUL VERDOSO</v>
          </cell>
          <cell r="D140">
            <v>41.42</v>
          </cell>
          <cell r="E140">
            <v>46.8</v>
          </cell>
          <cell r="F140">
            <v>69.03</v>
          </cell>
          <cell r="G140">
            <v>78</v>
          </cell>
        </row>
        <row r="141">
          <cell r="A141" t="str">
            <v>U7235-1/4</v>
          </cell>
          <cell r="B141" t="str">
            <v>LN</v>
          </cell>
          <cell r="C141" t="str">
            <v>TINTE ULTRA 7000 AZUL INDO</v>
          </cell>
          <cell r="D141">
            <v>41.42</v>
          </cell>
          <cell r="E141">
            <v>46.8</v>
          </cell>
          <cell r="F141">
            <v>69.03</v>
          </cell>
          <cell r="G141">
            <v>78</v>
          </cell>
        </row>
        <row r="142">
          <cell r="A142" t="str">
            <v>U7236-0.5LT</v>
          </cell>
          <cell r="B142" t="str">
            <v>LN</v>
          </cell>
          <cell r="C142" t="str">
            <v>TINTE ULTRA 7000 MAGENTA H.S.</v>
          </cell>
          <cell r="D142">
            <v>41.42</v>
          </cell>
          <cell r="E142">
            <v>46.8</v>
          </cell>
          <cell r="F142">
            <v>69.03</v>
          </cell>
          <cell r="G142">
            <v>78</v>
          </cell>
        </row>
        <row r="143">
          <cell r="A143" t="str">
            <v>U7237-1/4</v>
          </cell>
          <cell r="B143" t="str">
            <v>LN</v>
          </cell>
          <cell r="C143" t="str">
            <v>TINTE ULTRA 7000 AZUL OCEANICO</v>
          </cell>
          <cell r="D143">
            <v>41.42</v>
          </cell>
          <cell r="E143">
            <v>46.8</v>
          </cell>
          <cell r="F143">
            <v>69.03</v>
          </cell>
          <cell r="G143">
            <v>78</v>
          </cell>
        </row>
        <row r="144">
          <cell r="A144" t="str">
            <v>U7238-0.5LT</v>
          </cell>
          <cell r="B144" t="str">
            <v>LN</v>
          </cell>
          <cell r="C144" t="str">
            <v>TINTE ULTRA 7000 VERDE AZULOSO</v>
          </cell>
          <cell r="D144">
            <v>21.72</v>
          </cell>
          <cell r="E144">
            <v>24.54</v>
          </cell>
          <cell r="F144">
            <v>36.19</v>
          </cell>
          <cell r="G144">
            <v>40.9</v>
          </cell>
        </row>
        <row r="145">
          <cell r="A145" t="str">
            <v>U7240-0.5LT</v>
          </cell>
          <cell r="B145" t="str">
            <v>LN</v>
          </cell>
          <cell r="C145" t="str">
            <v>TINTE ULTRA 7000 VIOLETA CARBA</v>
          </cell>
          <cell r="D145">
            <v>21.72</v>
          </cell>
          <cell r="E145">
            <v>24.54</v>
          </cell>
          <cell r="F145">
            <v>36.19</v>
          </cell>
          <cell r="G145">
            <v>40.9</v>
          </cell>
        </row>
        <row r="146">
          <cell r="A146" t="str">
            <v>U7271-1/4</v>
          </cell>
          <cell r="B146" t="str">
            <v>LN</v>
          </cell>
          <cell r="C146" t="str">
            <v>TINTE ULTRA 7000 MATEANTE</v>
          </cell>
          <cell r="D146">
            <v>41.42</v>
          </cell>
          <cell r="E146">
            <v>46.8</v>
          </cell>
          <cell r="F146">
            <v>69.03</v>
          </cell>
          <cell r="G146">
            <v>78</v>
          </cell>
        </row>
        <row r="147">
          <cell r="A147" t="str">
            <v>U7272-0.5LT</v>
          </cell>
          <cell r="B147" t="str">
            <v>LN</v>
          </cell>
          <cell r="C147" t="str">
            <v>TINTE ULTRA 7000 VIOLETA LS</v>
          </cell>
          <cell r="D147">
            <v>21.72</v>
          </cell>
          <cell r="E147">
            <v>24.54</v>
          </cell>
          <cell r="F147">
            <v>36.19</v>
          </cell>
          <cell r="G147">
            <v>40.9</v>
          </cell>
        </row>
        <row r="148">
          <cell r="A148" t="str">
            <v>U7273-0.5LT</v>
          </cell>
          <cell r="B148" t="str">
            <v>LN</v>
          </cell>
          <cell r="C148" t="str">
            <v>TINTE ULTRA 7000 ROJO LS</v>
          </cell>
          <cell r="D148">
            <v>21.72</v>
          </cell>
          <cell r="E148">
            <v>24.54</v>
          </cell>
          <cell r="F148">
            <v>36.19</v>
          </cell>
          <cell r="G148">
            <v>40.9</v>
          </cell>
        </row>
        <row r="149">
          <cell r="A149" t="str">
            <v>U7275-1/4</v>
          </cell>
          <cell r="B149" t="str">
            <v>LN</v>
          </cell>
          <cell r="C149" t="str">
            <v>TINTE ULTRA 7000 AMARILLO LS</v>
          </cell>
          <cell r="D149">
            <v>41.42</v>
          </cell>
          <cell r="E149">
            <v>46.8</v>
          </cell>
          <cell r="F149">
            <v>69.03</v>
          </cell>
          <cell r="G149">
            <v>78</v>
          </cell>
        </row>
        <row r="150">
          <cell r="A150" t="str">
            <v>U7276-0.5LT</v>
          </cell>
          <cell r="B150" t="str">
            <v>LN</v>
          </cell>
          <cell r="C150" t="str">
            <v>TINTE ULTRA 7000 AZUL LS</v>
          </cell>
          <cell r="D150">
            <v>21.72</v>
          </cell>
          <cell r="E150">
            <v>24.54</v>
          </cell>
          <cell r="F150">
            <v>36.19</v>
          </cell>
          <cell r="G150">
            <v>40.9</v>
          </cell>
        </row>
        <row r="151">
          <cell r="A151" t="str">
            <v>U7278-1/4</v>
          </cell>
          <cell r="B151" t="str">
            <v>LN</v>
          </cell>
          <cell r="C151" t="str">
            <v>TINTE ULTRA 7000 ROJO RUBI</v>
          </cell>
          <cell r="D151">
            <v>41.42</v>
          </cell>
          <cell r="E151">
            <v>46.8</v>
          </cell>
          <cell r="F151">
            <v>69.03</v>
          </cell>
          <cell r="G151">
            <v>78</v>
          </cell>
        </row>
        <row r="152">
          <cell r="A152" t="str">
            <v>U7279-0.5LT</v>
          </cell>
          <cell r="B152" t="str">
            <v>LN</v>
          </cell>
          <cell r="C152" t="str">
            <v>TINTE ULTA 7000 AZUL TRANSPARENTE</v>
          </cell>
          <cell r="D152">
            <v>21.72</v>
          </cell>
          <cell r="E152">
            <v>24.54</v>
          </cell>
          <cell r="F152">
            <v>36.19</v>
          </cell>
          <cell r="G152">
            <v>40.9</v>
          </cell>
        </row>
        <row r="153">
          <cell r="A153" t="str">
            <v>U7280-0.5LT</v>
          </cell>
          <cell r="B153" t="str">
            <v>LN</v>
          </cell>
          <cell r="C153" t="str">
            <v>TINTE ULTRA 7000 AZUL ROJIZO HS</v>
          </cell>
          <cell r="D153">
            <v>21.72</v>
          </cell>
          <cell r="E153">
            <v>24.54</v>
          </cell>
          <cell r="F153">
            <v>36.19</v>
          </cell>
          <cell r="G153">
            <v>40.9</v>
          </cell>
        </row>
        <row r="154">
          <cell r="A154" t="str">
            <v>U7286-1/4</v>
          </cell>
          <cell r="B154" t="str">
            <v>LN</v>
          </cell>
          <cell r="C154" t="str">
            <v>TINTE ULTRA 7000 METALICO AZUL</v>
          </cell>
          <cell r="D154">
            <v>41.42</v>
          </cell>
          <cell r="E154">
            <v>46.8</v>
          </cell>
          <cell r="F154">
            <v>69.03</v>
          </cell>
          <cell r="G154">
            <v>78</v>
          </cell>
        </row>
        <row r="155">
          <cell r="A155" t="str">
            <v>U7287-0.5LT</v>
          </cell>
          <cell r="B155" t="str">
            <v>LN</v>
          </cell>
          <cell r="C155" t="str">
            <v>TINTE ULTA 7000 ROJO TRANSPARENTE</v>
          </cell>
          <cell r="D155">
            <v>21.72</v>
          </cell>
          <cell r="E155">
            <v>24.54</v>
          </cell>
          <cell r="F155">
            <v>36.19</v>
          </cell>
          <cell r="G155">
            <v>40.9</v>
          </cell>
        </row>
        <row r="156">
          <cell r="A156" t="str">
            <v>U7288-0.5LT</v>
          </cell>
          <cell r="B156" t="str">
            <v>LN</v>
          </cell>
          <cell r="C156" t="str">
            <v>TINTE ULTRA 7000 AMARILLO RAPIDO</v>
          </cell>
          <cell r="D156">
            <v>21.72</v>
          </cell>
          <cell r="E156">
            <v>24.54</v>
          </cell>
          <cell r="F156">
            <v>36.19</v>
          </cell>
          <cell r="G156">
            <v>40.9</v>
          </cell>
        </row>
        <row r="157">
          <cell r="A157" t="str">
            <v>U7289-0.5LT</v>
          </cell>
          <cell r="B157" t="str">
            <v>LN</v>
          </cell>
          <cell r="C157" t="str">
            <v>TINTE ULTRA 7000 AMARILLO ROJIZO</v>
          </cell>
          <cell r="D157">
            <v>21.72</v>
          </cell>
          <cell r="E157">
            <v>24.54</v>
          </cell>
          <cell r="F157">
            <v>36.19</v>
          </cell>
          <cell r="G157">
            <v>40.9</v>
          </cell>
        </row>
        <row r="159">
          <cell r="C159" t="str">
            <v>PERLAS EN POLVO ULTRA 7000</v>
          </cell>
        </row>
        <row r="161">
          <cell r="A161" t="str">
            <v>PT7-150GRS</v>
          </cell>
          <cell r="B161" t="str">
            <v>LN</v>
          </cell>
          <cell r="C161" t="str">
            <v>TINTE ULTRA 7000 EN POLVO PERLA VERDE</v>
          </cell>
          <cell r="D161">
            <v>70.78</v>
          </cell>
          <cell r="E161">
            <v>79.98</v>
          </cell>
          <cell r="F161">
            <v>114.16</v>
          </cell>
          <cell r="G161">
            <v>129</v>
          </cell>
        </row>
        <row r="162">
          <cell r="A162" t="str">
            <v>PT9-150GRS</v>
          </cell>
          <cell r="B162" t="str">
            <v>LN</v>
          </cell>
          <cell r="C162" t="str">
            <v>TINTE ULTRA 7000 EN POLVO PERLA BLANCA FINA</v>
          </cell>
          <cell r="D162">
            <v>70.78</v>
          </cell>
          <cell r="E162">
            <v>79.98</v>
          </cell>
          <cell r="F162">
            <v>114.16</v>
          </cell>
          <cell r="G162">
            <v>129</v>
          </cell>
        </row>
        <row r="163">
          <cell r="A163" t="str">
            <v>PT10-1/32</v>
          </cell>
          <cell r="B163" t="str">
            <v>LN</v>
          </cell>
          <cell r="C163" t="str">
            <v>TINTE ULTRA 7000 EN POLVO PERLA BRONCE</v>
          </cell>
          <cell r="D163">
            <v>35.39</v>
          </cell>
          <cell r="E163">
            <v>39.99</v>
          </cell>
          <cell r="F163">
            <v>57.08</v>
          </cell>
          <cell r="G163">
            <v>64.5</v>
          </cell>
        </row>
        <row r="164">
          <cell r="A164" t="str">
            <v>PT11-150GRS</v>
          </cell>
          <cell r="B164" t="str">
            <v>LN</v>
          </cell>
          <cell r="C164" t="str">
            <v>TINTE ULTRA 7000 EN POLVO PERLA ROJA</v>
          </cell>
          <cell r="D164">
            <v>70.78</v>
          </cell>
          <cell r="E164">
            <v>79.98</v>
          </cell>
          <cell r="F164">
            <v>114.16</v>
          </cell>
          <cell r="G164">
            <v>129</v>
          </cell>
        </row>
        <row r="165">
          <cell r="A165" t="str">
            <v>PT12-150GRS</v>
          </cell>
          <cell r="B165" t="str">
            <v>LN</v>
          </cell>
          <cell r="C165" t="str">
            <v>TINTE ULTRA 7000 EN POLVO PERLA ROJA FINO</v>
          </cell>
          <cell r="D165">
            <v>70.78</v>
          </cell>
          <cell r="E165">
            <v>79.98</v>
          </cell>
          <cell r="F165">
            <v>114.16</v>
          </cell>
          <cell r="G165">
            <v>129</v>
          </cell>
        </row>
        <row r="166">
          <cell r="A166" t="str">
            <v>PT13-150GRS</v>
          </cell>
          <cell r="B166" t="str">
            <v>LN</v>
          </cell>
          <cell r="C166" t="str">
            <v>TINTE ULTRA 7000 EN POLVO PERLA AZUL</v>
          </cell>
          <cell r="D166">
            <v>70.78</v>
          </cell>
          <cell r="E166">
            <v>79.98</v>
          </cell>
          <cell r="F166">
            <v>114.16</v>
          </cell>
          <cell r="G166">
            <v>129</v>
          </cell>
        </row>
        <row r="167">
          <cell r="A167" t="str">
            <v>PT14-1/32</v>
          </cell>
          <cell r="B167" t="str">
            <v>LN</v>
          </cell>
          <cell r="C167" t="str">
            <v>TINTE ULTRA 7000 EN POLVO PERLA NARANJA</v>
          </cell>
          <cell r="D167">
            <v>35.39</v>
          </cell>
          <cell r="E167">
            <v>39.99</v>
          </cell>
          <cell r="F167">
            <v>57.08</v>
          </cell>
          <cell r="G167">
            <v>64.5</v>
          </cell>
        </row>
        <row r="168">
          <cell r="A168" t="str">
            <v>PT15-150GRS</v>
          </cell>
          <cell r="B168" t="str">
            <v>LN</v>
          </cell>
          <cell r="C168" t="str">
            <v>TINTE ULTRA 7000 EN POLVO PERLA LILA</v>
          </cell>
          <cell r="D168">
            <v>70.78</v>
          </cell>
          <cell r="E168">
            <v>79.98</v>
          </cell>
          <cell r="F168">
            <v>114.16</v>
          </cell>
          <cell r="G168">
            <v>129</v>
          </cell>
        </row>
        <row r="169">
          <cell r="A169" t="str">
            <v>PT16-150GRS</v>
          </cell>
          <cell r="B169" t="str">
            <v>LN</v>
          </cell>
          <cell r="C169" t="str">
            <v>TINTE ULTRA 7000 EN POLVO PERLA DORADO</v>
          </cell>
          <cell r="D169">
            <v>70.78</v>
          </cell>
          <cell r="E169">
            <v>79.98</v>
          </cell>
          <cell r="F169">
            <v>114.16</v>
          </cell>
          <cell r="G169">
            <v>129</v>
          </cell>
        </row>
        <row r="170">
          <cell r="A170" t="str">
            <v>PT17-1/32</v>
          </cell>
          <cell r="B170" t="str">
            <v>LN</v>
          </cell>
          <cell r="C170" t="str">
            <v>TINTE ULTRA 7000 EN POLVO PERLA COBRE</v>
          </cell>
          <cell r="D170">
            <v>35.39</v>
          </cell>
          <cell r="E170">
            <v>39.99</v>
          </cell>
          <cell r="F170">
            <v>57.08</v>
          </cell>
          <cell r="G170">
            <v>64.5</v>
          </cell>
        </row>
        <row r="171">
          <cell r="A171" t="str">
            <v>PT18-150GRS</v>
          </cell>
          <cell r="B171" t="str">
            <v>LN</v>
          </cell>
          <cell r="C171" t="str">
            <v>TINTE ULTRA 7000 EN POLVO PERLA ROJO INTERFERENCIA</v>
          </cell>
          <cell r="D171">
            <v>70.78</v>
          </cell>
          <cell r="E171">
            <v>79.98</v>
          </cell>
          <cell r="F171">
            <v>114.16</v>
          </cell>
          <cell r="G171">
            <v>129</v>
          </cell>
        </row>
        <row r="172">
          <cell r="A172" t="str">
            <v>PT19-150GRS</v>
          </cell>
          <cell r="B172" t="str">
            <v>LN</v>
          </cell>
          <cell r="C172" t="str">
            <v>TINTE ULTRA 7000 EN POLVO PERLA VERDE MUSGO</v>
          </cell>
          <cell r="D172">
            <v>70.78</v>
          </cell>
          <cell r="E172">
            <v>79.98</v>
          </cell>
          <cell r="F172">
            <v>114.16</v>
          </cell>
          <cell r="G172">
            <v>129</v>
          </cell>
        </row>
        <row r="173">
          <cell r="A173" t="str">
            <v>PT20-1/32</v>
          </cell>
          <cell r="B173" t="str">
            <v>LN</v>
          </cell>
          <cell r="C173" t="str">
            <v>TINTE ULTRA 7000 EN POLVO PERLA BLANCO FINO</v>
          </cell>
          <cell r="D173">
            <v>35.39</v>
          </cell>
          <cell r="E173">
            <v>39.99</v>
          </cell>
          <cell r="F173">
            <v>57.08</v>
          </cell>
          <cell r="G173">
            <v>64.5</v>
          </cell>
        </row>
        <row r="174">
          <cell r="A174" t="str">
            <v>PT22-1/32</v>
          </cell>
          <cell r="B174" t="str">
            <v>LN</v>
          </cell>
          <cell r="C174" t="str">
            <v>TINTE ULTRA 7000 EN POLVO VERDE AQUA</v>
          </cell>
          <cell r="D174">
            <v>70.78</v>
          </cell>
          <cell r="E174">
            <v>79.98</v>
          </cell>
          <cell r="F174">
            <v>114.16</v>
          </cell>
          <cell r="G174">
            <v>129</v>
          </cell>
        </row>
        <row r="175">
          <cell r="A175" t="str">
            <v>PT23-150GRS</v>
          </cell>
          <cell r="B175" t="str">
            <v>LN</v>
          </cell>
          <cell r="C175" t="str">
            <v>TINTE ULTRA 7000 EN POLVO PERLA AZUL FINO</v>
          </cell>
          <cell r="D175">
            <v>70.78</v>
          </cell>
          <cell r="E175">
            <v>79.98</v>
          </cell>
          <cell r="F175">
            <v>114.16</v>
          </cell>
          <cell r="G175">
            <v>129</v>
          </cell>
        </row>
        <row r="176">
          <cell r="A176" t="str">
            <v>PT24-1/32</v>
          </cell>
          <cell r="B176" t="str">
            <v>LN</v>
          </cell>
          <cell r="C176" t="str">
            <v>TINTE ULTRA 7000 EN POLVO PERLA VERDE FINO</v>
          </cell>
          <cell r="D176">
            <v>35.39</v>
          </cell>
          <cell r="E176">
            <v>39.99</v>
          </cell>
          <cell r="F176">
            <v>57.08</v>
          </cell>
          <cell r="G176">
            <v>64.5</v>
          </cell>
        </row>
        <row r="177">
          <cell r="A177" t="str">
            <v>PT25-150GRS</v>
          </cell>
          <cell r="B177" t="str">
            <v>LN</v>
          </cell>
          <cell r="C177" t="str">
            <v>TINTE ULTRA 7000 EN POLVO PERLA VIOLETA FINO</v>
          </cell>
          <cell r="D177">
            <v>70.78</v>
          </cell>
          <cell r="E177">
            <v>79.98</v>
          </cell>
          <cell r="F177">
            <v>114.16</v>
          </cell>
          <cell r="G177">
            <v>129</v>
          </cell>
        </row>
        <row r="178">
          <cell r="A178" t="str">
            <v>PT26-1/32</v>
          </cell>
          <cell r="B178" t="str">
            <v>LN</v>
          </cell>
          <cell r="C178" t="str">
            <v>TINTE ULTRA 7000 EN POLVO PERLA ROJO ESCARABAJO</v>
          </cell>
          <cell r="D178">
            <v>35.39</v>
          </cell>
          <cell r="E178">
            <v>39.99</v>
          </cell>
          <cell r="F178">
            <v>57.08</v>
          </cell>
          <cell r="G178">
            <v>64.5</v>
          </cell>
        </row>
        <row r="179">
          <cell r="A179" t="str">
            <v>PT27-1/32</v>
          </cell>
          <cell r="B179" t="str">
            <v>LN</v>
          </cell>
          <cell r="C179" t="str">
            <v>TINTE ULTRA 7000 EN POLVO PERLA COBRE FINO</v>
          </cell>
          <cell r="D179">
            <v>35.39</v>
          </cell>
          <cell r="E179">
            <v>39.99</v>
          </cell>
          <cell r="F179">
            <v>57.08</v>
          </cell>
          <cell r="G179">
            <v>64.5</v>
          </cell>
        </row>
        <row r="180">
          <cell r="A180" t="str">
            <v>PT28-1/32</v>
          </cell>
          <cell r="B180" t="str">
            <v>LN</v>
          </cell>
          <cell r="C180" t="str">
            <v>TINTE ULTRA 7000 EN POLVO PERLA DORADO FINO</v>
          </cell>
          <cell r="D180">
            <v>35.39</v>
          </cell>
          <cell r="E180">
            <v>39.99</v>
          </cell>
          <cell r="F180">
            <v>57.08</v>
          </cell>
          <cell r="G180">
            <v>64.5</v>
          </cell>
        </row>
        <row r="181">
          <cell r="A181" t="str">
            <v>PT29-150GRS</v>
          </cell>
          <cell r="B181" t="str">
            <v>LN</v>
          </cell>
          <cell r="C181" t="str">
            <v>TINTE ULTRA 7000 EN POLVO PERLA BLANCO</v>
          </cell>
          <cell r="D181">
            <v>70.78</v>
          </cell>
          <cell r="E181">
            <v>79.98</v>
          </cell>
          <cell r="F181">
            <v>114.16</v>
          </cell>
          <cell r="G181">
            <v>129</v>
          </cell>
        </row>
        <row r="182">
          <cell r="A182" t="str">
            <v>PT30-150GRS</v>
          </cell>
          <cell r="B182" t="str">
            <v>LN</v>
          </cell>
          <cell r="C182" t="str">
            <v>TINTE ULTRA 7000 EN POLVO PERLA BLANCO CRISTAL</v>
          </cell>
          <cell r="D182">
            <v>70.78</v>
          </cell>
          <cell r="E182">
            <v>79.98</v>
          </cell>
          <cell r="F182">
            <v>114.16</v>
          </cell>
          <cell r="G182">
            <v>129</v>
          </cell>
        </row>
        <row r="183">
          <cell r="A183" t="str">
            <v>PT31-1/32</v>
          </cell>
          <cell r="B183" t="str">
            <v>LN</v>
          </cell>
          <cell r="C183" t="str">
            <v>TINTE ULTRA 7000 EN POLVO PERLA COBRE</v>
          </cell>
          <cell r="D183">
            <v>35.39</v>
          </cell>
          <cell r="E183">
            <v>39.99</v>
          </cell>
          <cell r="F183">
            <v>57.08</v>
          </cell>
          <cell r="G183">
            <v>64.5</v>
          </cell>
        </row>
        <row r="184">
          <cell r="A184" t="str">
            <v>PT32-1/32</v>
          </cell>
          <cell r="B184" t="str">
            <v>LN</v>
          </cell>
          <cell r="C184" t="str">
            <v>PEARL TONE SUNBEAM GOLD MICA</v>
          </cell>
          <cell r="D184">
            <v>35.39</v>
          </cell>
          <cell r="E184">
            <v>39.99</v>
          </cell>
          <cell r="F184">
            <v>57.08</v>
          </cell>
          <cell r="G184">
            <v>64.5</v>
          </cell>
        </row>
        <row r="185">
          <cell r="A185" t="str">
            <v>PT33-150GRS</v>
          </cell>
          <cell r="B185" t="str">
            <v>LN</v>
          </cell>
          <cell r="C185" t="str">
            <v>TINTE ULTRA 7000 EN POLVO PERLA ROJO RADIANTE</v>
          </cell>
          <cell r="D185">
            <v>70.78</v>
          </cell>
          <cell r="E185">
            <v>79.98</v>
          </cell>
          <cell r="F185">
            <v>114.16</v>
          </cell>
          <cell r="G185">
            <v>129</v>
          </cell>
        </row>
        <row r="186">
          <cell r="A186" t="str">
            <v>PT34-150GRS</v>
          </cell>
          <cell r="B186" t="str">
            <v>LN</v>
          </cell>
          <cell r="C186" t="str">
            <v>TINTE ULTRA 7000 EN POLVO PERLA AZUL GALAXIA</v>
          </cell>
          <cell r="D186">
            <v>70.78</v>
          </cell>
          <cell r="E186">
            <v>79.98</v>
          </cell>
          <cell r="F186">
            <v>114.16</v>
          </cell>
          <cell r="G186">
            <v>129</v>
          </cell>
        </row>
        <row r="187">
          <cell r="A187" t="str">
            <v>PT35-150GRS</v>
          </cell>
          <cell r="B187" t="str">
            <v>LN</v>
          </cell>
          <cell r="C187" t="str">
            <v>TINTE ULTRA 7000 EN POLVO PERLA VERDE ESTELAR</v>
          </cell>
          <cell r="D187">
            <v>70.78</v>
          </cell>
          <cell r="E187">
            <v>79.98</v>
          </cell>
          <cell r="F187">
            <v>114.16</v>
          </cell>
          <cell r="G187">
            <v>129</v>
          </cell>
        </row>
        <row r="189">
          <cell r="C189" t="str">
            <v>PERLAS PLANET COLOR</v>
          </cell>
        </row>
        <row r="190">
          <cell r="A190" t="str">
            <v>PCFX5</v>
          </cell>
          <cell r="B190" t="str">
            <v>LN</v>
          </cell>
          <cell r="C190" t="str">
            <v>PIGMENTO FX PLANET COLOR GALAXI CRISTAL</v>
          </cell>
          <cell r="D190">
            <v>122.9</v>
          </cell>
          <cell r="E190">
            <v>138.88</v>
          </cell>
          <cell r="F190">
            <v>198.23</v>
          </cell>
          <cell r="G190">
            <v>224</v>
          </cell>
        </row>
        <row r="191">
          <cell r="A191" t="str">
            <v>PCFX16</v>
          </cell>
          <cell r="B191" t="str">
            <v>LN</v>
          </cell>
          <cell r="C191" t="str">
            <v>PIGMENTO DE EFECTO PCF CRISTAL REFLECTIVO VIOLETA</v>
          </cell>
          <cell r="D191">
            <v>122.9</v>
          </cell>
          <cell r="E191">
            <v>138.88</v>
          </cell>
          <cell r="F191">
            <v>198.23</v>
          </cell>
          <cell r="G191">
            <v>224</v>
          </cell>
        </row>
        <row r="192">
          <cell r="A192" t="str">
            <v>PCFX17</v>
          </cell>
          <cell r="B192" t="str">
            <v>LN</v>
          </cell>
          <cell r="C192" t="str">
            <v>PIGMENTO FX PLANET COLOR GOLD CRISTAL</v>
          </cell>
          <cell r="D192">
            <v>122.9</v>
          </cell>
          <cell r="E192">
            <v>138.88</v>
          </cell>
          <cell r="F192">
            <v>198.23</v>
          </cell>
          <cell r="G192">
            <v>224</v>
          </cell>
        </row>
        <row r="193">
          <cell r="A193" t="str">
            <v>PCFX18</v>
          </cell>
          <cell r="B193" t="str">
            <v>LN</v>
          </cell>
          <cell r="C193" t="str">
            <v>PIGMENTO DE EFECTO PCF CRISTAL REFLECTIVO AZUL</v>
          </cell>
          <cell r="D193">
            <v>122.9</v>
          </cell>
          <cell r="E193">
            <v>138.88</v>
          </cell>
          <cell r="F193">
            <v>198.23</v>
          </cell>
          <cell r="G193">
            <v>224</v>
          </cell>
        </row>
        <row r="194">
          <cell r="A194" t="str">
            <v>PCFX19</v>
          </cell>
          <cell r="B194" t="str">
            <v>LN</v>
          </cell>
          <cell r="C194" t="str">
            <v>PIGMENTO DE EFECTO PCF CRISTAL REFLECTIVO VERDE</v>
          </cell>
          <cell r="D194">
            <v>122.9</v>
          </cell>
          <cell r="E194">
            <v>138.88</v>
          </cell>
          <cell r="F194">
            <v>198.23</v>
          </cell>
          <cell r="G194">
            <v>224</v>
          </cell>
        </row>
        <row r="195">
          <cell r="A195" t="str">
            <v>PCFX20</v>
          </cell>
          <cell r="B195" t="str">
            <v>LN</v>
          </cell>
          <cell r="C195" t="str">
            <v>PIGMENTO DE EFECTO PCF CRISTAL REFLECTIVO ROJO</v>
          </cell>
          <cell r="D195">
            <v>122.9</v>
          </cell>
          <cell r="E195">
            <v>138.88</v>
          </cell>
          <cell r="F195">
            <v>198.23</v>
          </cell>
          <cell r="G195">
            <v>224</v>
          </cell>
        </row>
        <row r="196">
          <cell r="A196" t="str">
            <v>PCFX21</v>
          </cell>
          <cell r="B196" t="str">
            <v>LN</v>
          </cell>
          <cell r="C196" t="str">
            <v>PIGMENTO DE EFECTO PCF CRISTAL REFLECTIVO OTOÑO</v>
          </cell>
          <cell r="D196">
            <v>122.9</v>
          </cell>
          <cell r="E196">
            <v>138.88</v>
          </cell>
          <cell r="F196">
            <v>198.23</v>
          </cell>
          <cell r="G196">
            <v>224</v>
          </cell>
        </row>
        <row r="197">
          <cell r="A197" t="str">
            <v>PCFX22</v>
          </cell>
          <cell r="B197" t="str">
            <v>LN</v>
          </cell>
          <cell r="C197" t="str">
            <v xml:space="preserve">PERLA CRISTAL ARCTIC FIRE </v>
          </cell>
          <cell r="D197">
            <v>122.9</v>
          </cell>
          <cell r="E197">
            <v>138.88</v>
          </cell>
          <cell r="F197">
            <v>198.23</v>
          </cell>
          <cell r="G197">
            <v>224</v>
          </cell>
        </row>
        <row r="198">
          <cell r="A198" t="str">
            <v>PCFX23</v>
          </cell>
          <cell r="B198" t="str">
            <v>LN</v>
          </cell>
          <cell r="C198" t="str">
            <v>PIGMENTO DE EFECTO PCF CRISTAL REFLECTIVO AZUL MAGICO</v>
          </cell>
          <cell r="D198">
            <v>122.9</v>
          </cell>
          <cell r="E198">
            <v>138.88</v>
          </cell>
          <cell r="F198">
            <v>198.23</v>
          </cell>
          <cell r="G198">
            <v>224</v>
          </cell>
        </row>
        <row r="199">
          <cell r="A199" t="str">
            <v>PCFX24</v>
          </cell>
          <cell r="B199" t="str">
            <v>LN</v>
          </cell>
          <cell r="C199" t="str">
            <v xml:space="preserve">PERLA CRISTAL TROPICAL SUN </v>
          </cell>
          <cell r="D199">
            <v>122.9</v>
          </cell>
          <cell r="E199">
            <v>138.88</v>
          </cell>
          <cell r="F199">
            <v>198.23</v>
          </cell>
          <cell r="G199">
            <v>224</v>
          </cell>
        </row>
        <row r="200">
          <cell r="A200" t="str">
            <v>PCFX25</v>
          </cell>
          <cell r="B200" t="str">
            <v>LN</v>
          </cell>
          <cell r="C200" t="str">
            <v>PIGMENTO FX PLANET COLOR VIOLA FANTASY EFECTO CRISTAL</v>
          </cell>
          <cell r="D200">
            <v>122.9</v>
          </cell>
          <cell r="E200">
            <v>138.88</v>
          </cell>
          <cell r="F200">
            <v>198.23</v>
          </cell>
          <cell r="G200">
            <v>224</v>
          </cell>
        </row>
        <row r="201">
          <cell r="A201" t="str">
            <v>PCFX26</v>
          </cell>
          <cell r="B201" t="str">
            <v>LN</v>
          </cell>
          <cell r="C201" t="str">
            <v>PIGMENTO DE EFECTO PCF CRISTAL DE EFECTO LAPIS LAZULI</v>
          </cell>
          <cell r="D201">
            <v>122.9</v>
          </cell>
          <cell r="E201">
            <v>138.88</v>
          </cell>
          <cell r="F201">
            <v>198.23</v>
          </cell>
          <cell r="G201">
            <v>224</v>
          </cell>
        </row>
        <row r="202">
          <cell r="A202" t="str">
            <v>PCFX27</v>
          </cell>
          <cell r="B202" t="str">
            <v>LN</v>
          </cell>
          <cell r="C202" t="str">
            <v>PIGMENTO DE EFECTO PCF CRISTAL DE EFECTO ROJO LAVA</v>
          </cell>
          <cell r="D202">
            <v>122.9</v>
          </cell>
          <cell r="E202">
            <v>138.88</v>
          </cell>
          <cell r="F202">
            <v>198.23</v>
          </cell>
          <cell r="G202">
            <v>224</v>
          </cell>
        </row>
        <row r="204">
          <cell r="C204" t="str">
            <v>CLEARCOATS ULTRA 7000</v>
          </cell>
        </row>
        <row r="205">
          <cell r="A205" t="str">
            <v>CC645-1/4</v>
          </cell>
          <cell r="B205" t="str">
            <v>LN</v>
          </cell>
          <cell r="C205" t="str">
            <v>CLEAR ULTRA 7000 UNIVERSAL URETANO</v>
          </cell>
          <cell r="D205">
            <v>13.99</v>
          </cell>
          <cell r="E205">
            <v>15.81</v>
          </cell>
          <cell r="F205">
            <v>22.57</v>
          </cell>
          <cell r="G205">
            <v>25.5</v>
          </cell>
        </row>
        <row r="206">
          <cell r="A206" t="str">
            <v>CC645-1</v>
          </cell>
          <cell r="B206" t="str">
            <v>LN</v>
          </cell>
          <cell r="C206" t="str">
            <v>CLEAR ULTRA 7000 UNIVERSAL URETANO</v>
          </cell>
          <cell r="D206">
            <v>53.5</v>
          </cell>
          <cell r="E206">
            <v>60.45</v>
          </cell>
          <cell r="F206">
            <v>86.28</v>
          </cell>
          <cell r="G206">
            <v>97.5</v>
          </cell>
        </row>
        <row r="207">
          <cell r="A207" t="str">
            <v>CC939-1/4</v>
          </cell>
          <cell r="B207" t="str">
            <v>LN</v>
          </cell>
          <cell r="C207" t="str">
            <v>CLEAR ULTRA 7000 PERFORMANCE PLUS</v>
          </cell>
          <cell r="D207">
            <v>15.8</v>
          </cell>
          <cell r="E207">
            <v>17.850000000000001</v>
          </cell>
          <cell r="F207">
            <v>22.57</v>
          </cell>
          <cell r="G207">
            <v>25.5</v>
          </cell>
        </row>
        <row r="208">
          <cell r="A208" t="str">
            <v>CC939-1</v>
          </cell>
          <cell r="B208" t="str">
            <v>LN</v>
          </cell>
          <cell r="C208" t="str">
            <v>CLEAR ULTRA 7000 PERFORMANCE PLUS</v>
          </cell>
          <cell r="D208">
            <v>57.92</v>
          </cell>
          <cell r="E208">
            <v>65.45</v>
          </cell>
          <cell r="F208">
            <v>82.74</v>
          </cell>
          <cell r="G208">
            <v>93.5</v>
          </cell>
        </row>
        <row r="209">
          <cell r="A209" t="str">
            <v>HPC15-1</v>
          </cell>
          <cell r="B209" t="str">
            <v>LN</v>
          </cell>
          <cell r="C209" t="str">
            <v xml:space="preserve">HP PROCESS CLEARCOAT (PART A) </v>
          </cell>
          <cell r="D209">
            <v>125.75</v>
          </cell>
          <cell r="E209">
            <v>142.1</v>
          </cell>
          <cell r="F209">
            <v>179.65</v>
          </cell>
          <cell r="G209">
            <v>203</v>
          </cell>
        </row>
        <row r="210">
          <cell r="A210" t="str">
            <v>CC200-1</v>
          </cell>
          <cell r="B210" t="str">
            <v>LN</v>
          </cell>
          <cell r="C210" t="str">
            <v xml:space="preserve">PREMIUM CLEAR </v>
          </cell>
          <cell r="D210">
            <v>180.88</v>
          </cell>
          <cell r="E210">
            <v>204.4</v>
          </cell>
          <cell r="F210">
            <v>258.41000000000003</v>
          </cell>
          <cell r="G210">
            <v>292</v>
          </cell>
        </row>
        <row r="211">
          <cell r="A211" t="str">
            <v>1100727-1/4</v>
          </cell>
          <cell r="B211" t="str">
            <v>LN</v>
          </cell>
          <cell r="C211" t="str">
            <v>CLEAR ULTRA 7000 MATE</v>
          </cell>
          <cell r="D211">
            <v>50.49</v>
          </cell>
          <cell r="E211">
            <v>57.05</v>
          </cell>
          <cell r="F211">
            <v>72.12</v>
          </cell>
          <cell r="G211">
            <v>81.5</v>
          </cell>
        </row>
        <row r="213">
          <cell r="C213" t="str">
            <v>COLORES EMPACADOS ULTRA 7000</v>
          </cell>
        </row>
        <row r="214">
          <cell r="A214" t="str">
            <v>U12739-1/4</v>
          </cell>
          <cell r="B214" t="str">
            <v>LN</v>
          </cell>
          <cell r="C214" t="str">
            <v>TINTE ULTRA 7000 NEGRO MATE MONOCAPA</v>
          </cell>
          <cell r="D214">
            <v>59.58</v>
          </cell>
          <cell r="E214">
            <v>67.319999999999993</v>
          </cell>
          <cell r="F214">
            <v>90.27</v>
          </cell>
          <cell r="G214">
            <v>102</v>
          </cell>
        </row>
        <row r="215">
          <cell r="A215" t="str">
            <v>B72746-1/4</v>
          </cell>
          <cell r="B215" t="str">
            <v>LN</v>
          </cell>
          <cell r="C215" t="str">
            <v>ULTRA FINE MACHINE GREY METALLIC</v>
          </cell>
          <cell r="D215">
            <v>49.58</v>
          </cell>
          <cell r="E215">
            <v>56.03</v>
          </cell>
          <cell r="F215">
            <v>75.13</v>
          </cell>
          <cell r="G215">
            <v>84.9</v>
          </cell>
        </row>
        <row r="217">
          <cell r="C217" t="str">
            <v>REDUCTORES ULTRA 7000</v>
          </cell>
        </row>
        <row r="219">
          <cell r="A219" t="str">
            <v>SR15-1/4</v>
          </cell>
          <cell r="B219" t="str">
            <v>LN</v>
          </cell>
          <cell r="C219" t="str">
            <v xml:space="preserve">REDUCTOR SUPER ACELERADO </v>
          </cell>
          <cell r="D219">
            <v>17.809999999999999</v>
          </cell>
          <cell r="E219">
            <v>20.13</v>
          </cell>
          <cell r="F219">
            <v>26.99</v>
          </cell>
          <cell r="G219">
            <v>30.5</v>
          </cell>
        </row>
        <row r="220">
          <cell r="A220" t="str">
            <v>AS8-1</v>
          </cell>
          <cell r="B220" t="str">
            <v>LN</v>
          </cell>
          <cell r="C220" t="str">
            <v xml:space="preserve">REDUCTOR ACELERADO U7000 </v>
          </cell>
          <cell r="D220">
            <v>30.66</v>
          </cell>
          <cell r="E220">
            <v>34.65</v>
          </cell>
          <cell r="F220">
            <v>46.46</v>
          </cell>
          <cell r="G220">
            <v>52.5</v>
          </cell>
        </row>
        <row r="221">
          <cell r="A221" t="str">
            <v>US7590-1</v>
          </cell>
          <cell r="B221" t="str">
            <v>LN</v>
          </cell>
          <cell r="C221" t="str">
            <v xml:space="preserve">REDUCTOR ULTRASOLV #3 </v>
          </cell>
          <cell r="D221">
            <v>30.66</v>
          </cell>
          <cell r="E221">
            <v>34.65</v>
          </cell>
          <cell r="F221">
            <v>46.46</v>
          </cell>
          <cell r="G221">
            <v>52.5</v>
          </cell>
        </row>
        <row r="222">
          <cell r="A222" t="str">
            <v>US5-1</v>
          </cell>
          <cell r="B222" t="str">
            <v>LN</v>
          </cell>
          <cell r="C222" t="str">
            <v xml:space="preserve">REDUCTOR ULTRASOLV #5 </v>
          </cell>
          <cell r="D222">
            <v>47.83</v>
          </cell>
          <cell r="E222">
            <v>54.05</v>
          </cell>
          <cell r="F222">
            <v>72.48</v>
          </cell>
          <cell r="G222">
            <v>81.900000000000006</v>
          </cell>
        </row>
        <row r="224">
          <cell r="C224" t="str">
            <v>ESTABILIZADORES  DE COLOR ULTRA 7000</v>
          </cell>
        </row>
        <row r="226">
          <cell r="A226" t="str">
            <v>BCS75-1</v>
          </cell>
          <cell r="B226" t="str">
            <v>LN</v>
          </cell>
          <cell r="C226" t="str">
            <v>ESTABILIZADOR DE COLOR U7000 MEDIANO</v>
          </cell>
          <cell r="D226">
            <v>37.090000000000003</v>
          </cell>
          <cell r="E226">
            <v>41.91</v>
          </cell>
          <cell r="F226">
            <v>56.19</v>
          </cell>
          <cell r="G226">
            <v>63.5</v>
          </cell>
        </row>
        <row r="227">
          <cell r="A227" t="str">
            <v>BCS85-1</v>
          </cell>
          <cell r="B227" t="str">
            <v>LN</v>
          </cell>
          <cell r="C227" t="str">
            <v>ESTABILIZADOR DE COLOR U7000 LENTO</v>
          </cell>
          <cell r="D227">
            <v>37.090000000000003</v>
          </cell>
          <cell r="E227">
            <v>41.91</v>
          </cell>
          <cell r="F227">
            <v>56.19</v>
          </cell>
          <cell r="G227">
            <v>63.5</v>
          </cell>
        </row>
        <row r="228">
          <cell r="A228" t="str">
            <v>BCS95-1</v>
          </cell>
          <cell r="B228" t="str">
            <v>LN</v>
          </cell>
          <cell r="C228" t="str">
            <v>ESTABILIZADOR DE COLOR U7000 SUPER LENTO</v>
          </cell>
          <cell r="D228">
            <v>37.090000000000003</v>
          </cell>
          <cell r="E228">
            <v>41.91</v>
          </cell>
          <cell r="F228">
            <v>56.19</v>
          </cell>
          <cell r="G228">
            <v>63.5</v>
          </cell>
        </row>
        <row r="230">
          <cell r="A230" t="str">
            <v>BS10-1</v>
          </cell>
          <cell r="B230" t="str">
            <v>LN</v>
          </cell>
          <cell r="C230" t="str">
            <v xml:space="preserve">FUNDENTE DE ACABADO AUTOMOTRIZ </v>
          </cell>
          <cell r="D230">
            <v>30.89</v>
          </cell>
          <cell r="E230">
            <v>34.909999999999997</v>
          </cell>
          <cell r="F230">
            <v>46.81</v>
          </cell>
          <cell r="G230">
            <v>52.9</v>
          </cell>
        </row>
        <row r="232">
          <cell r="C232" t="str">
            <v>CATALIZADORES ULTRA 7000</v>
          </cell>
        </row>
        <row r="234">
          <cell r="A234" t="str">
            <v>CCH690-1/4</v>
          </cell>
          <cell r="B234" t="str">
            <v>LN</v>
          </cell>
          <cell r="C234" t="str">
            <v>CATALIZADOR ULTRA 7000 (PARTE B PARA CC645)</v>
          </cell>
          <cell r="D234">
            <v>19.59</v>
          </cell>
          <cell r="E234">
            <v>22.14</v>
          </cell>
          <cell r="F234">
            <v>30.62</v>
          </cell>
          <cell r="G234">
            <v>34.6</v>
          </cell>
        </row>
        <row r="235">
          <cell r="A235" t="str">
            <v>CCH690-1/8</v>
          </cell>
          <cell r="B235" t="str">
            <v>LN</v>
          </cell>
          <cell r="C235" t="str">
            <v>CATALIZADOR ULTRA 7000 (PARTE B PARA CC645)</v>
          </cell>
          <cell r="D235">
            <v>10.71</v>
          </cell>
          <cell r="E235">
            <v>12.1</v>
          </cell>
          <cell r="F235">
            <v>16.73</v>
          </cell>
          <cell r="G235">
            <v>18.899999999999999</v>
          </cell>
        </row>
        <row r="236">
          <cell r="A236" t="str">
            <v>CCH690-1/16</v>
          </cell>
          <cell r="B236" t="str">
            <v>LN</v>
          </cell>
          <cell r="C236" t="str">
            <v>CATALIZADOR ULTRA 7000 (PARTE B PARA CC645)</v>
          </cell>
          <cell r="D236">
            <v>5.38</v>
          </cell>
          <cell r="E236">
            <v>6.08</v>
          </cell>
          <cell r="F236">
            <v>8.41</v>
          </cell>
          <cell r="G236">
            <v>9.5</v>
          </cell>
        </row>
        <row r="237">
          <cell r="A237" t="str">
            <v>H38-1/4</v>
          </cell>
          <cell r="B237" t="str">
            <v>LN</v>
          </cell>
          <cell r="C237" t="str">
            <v>CATALIZADOR ULTRA 7000 (PARTE B PARA PRIMER P30)</v>
          </cell>
          <cell r="D237">
            <v>14.89</v>
          </cell>
          <cell r="E237">
            <v>16.829999999999998</v>
          </cell>
          <cell r="F237">
            <v>22.57</v>
          </cell>
          <cell r="G237">
            <v>25.5</v>
          </cell>
        </row>
        <row r="238">
          <cell r="A238" t="str">
            <v>UH70-1/8</v>
          </cell>
          <cell r="B238" t="str">
            <v>LN</v>
          </cell>
          <cell r="C238" t="str">
            <v>ENDURECEDOR DE SECADO AL AIRE HORNEO CORTO</v>
          </cell>
          <cell r="D238">
            <v>11.71</v>
          </cell>
          <cell r="E238">
            <v>13.23</v>
          </cell>
          <cell r="F238">
            <v>16.73</v>
          </cell>
          <cell r="G238">
            <v>18.899999999999999</v>
          </cell>
        </row>
        <row r="239">
          <cell r="A239" t="str">
            <v>UH80-1/4</v>
          </cell>
          <cell r="B239" t="str">
            <v>LN</v>
          </cell>
          <cell r="C239" t="str">
            <v>ENDURECEDOR DE SECADO AL AIRE HORNEO COMPLETO</v>
          </cell>
          <cell r="D239">
            <v>22.04</v>
          </cell>
          <cell r="E239">
            <v>24.9</v>
          </cell>
          <cell r="F239">
            <v>34.42</v>
          </cell>
          <cell r="G239">
            <v>38.9</v>
          </cell>
        </row>
        <row r="240">
          <cell r="A240" t="str">
            <v>UH80-1/8</v>
          </cell>
          <cell r="B240" t="str">
            <v>LN</v>
          </cell>
          <cell r="C240" t="str">
            <v>ENDURECEDOR DE SECADO AL AIRE HORNEO COMPLETO</v>
          </cell>
          <cell r="D240">
            <v>11.97</v>
          </cell>
          <cell r="E240">
            <v>13.53</v>
          </cell>
          <cell r="F240">
            <v>18.14</v>
          </cell>
          <cell r="G240">
            <v>20.5</v>
          </cell>
        </row>
        <row r="241">
          <cell r="A241" t="str">
            <v>UH80-1/16</v>
          </cell>
          <cell r="B241" t="str">
            <v>LN</v>
          </cell>
          <cell r="C241" t="str">
            <v>ENDURECEDOR DE SECADO AL AIRE HORNEO COMPLETO</v>
          </cell>
          <cell r="D241">
            <v>7.3</v>
          </cell>
          <cell r="E241">
            <v>8.25</v>
          </cell>
          <cell r="F241">
            <v>11.06</v>
          </cell>
          <cell r="G241">
            <v>12.5</v>
          </cell>
        </row>
        <row r="242">
          <cell r="A242" t="str">
            <v>V6V79-1/8</v>
          </cell>
          <cell r="B242" t="str">
            <v>LN</v>
          </cell>
          <cell r="C242" t="str">
            <v>CATALIZADOR ULTRA 7000 (PARTE B PARA PRIMER P6A47)</v>
          </cell>
          <cell r="D242">
            <v>10.45</v>
          </cell>
          <cell r="E242">
            <v>11.81</v>
          </cell>
          <cell r="F242">
            <v>15.84</v>
          </cell>
          <cell r="G242">
            <v>17.899999999999999</v>
          </cell>
        </row>
        <row r="244">
          <cell r="C244" t="str">
            <v>PRIMARIO EXCELBASE</v>
          </cell>
        </row>
        <row r="246">
          <cell r="A246" t="str">
            <v>EBP7210-1</v>
          </cell>
          <cell r="B246" t="str">
            <v>LN</v>
          </cell>
          <cell r="C246" t="str">
            <v>BASE DE RELLENO POLIURETANO 2K GRIS CLARO (PARTE A)</v>
          </cell>
          <cell r="D246">
            <v>29.67</v>
          </cell>
          <cell r="E246">
            <v>33.53</v>
          </cell>
          <cell r="F246">
            <v>42.39</v>
          </cell>
          <cell r="G246">
            <v>47.9</v>
          </cell>
        </row>
        <row r="247">
          <cell r="A247" t="str">
            <v>EBP7210-1/4</v>
          </cell>
          <cell r="B247" t="str">
            <v>LN</v>
          </cell>
          <cell r="C247" t="str">
            <v>BASE DE RELLENO POLIURETANO 2K GRIS CLARO (PARTE A)</v>
          </cell>
          <cell r="D247">
            <v>8.36</v>
          </cell>
          <cell r="E247">
            <v>9.4499999999999993</v>
          </cell>
          <cell r="F247">
            <v>11.95</v>
          </cell>
          <cell r="G247">
            <v>13.5</v>
          </cell>
        </row>
        <row r="248">
          <cell r="A248" t="str">
            <v>EBP7210B-1</v>
          </cell>
          <cell r="B248" t="str">
            <v>LN</v>
          </cell>
          <cell r="C248" t="str">
            <v>BASE DE RELLENO POLIURETANO 2K GRIS OSCURO</v>
          </cell>
          <cell r="D248">
            <v>29.67</v>
          </cell>
          <cell r="E248">
            <v>33.53</v>
          </cell>
          <cell r="F248">
            <v>42.39</v>
          </cell>
          <cell r="G248">
            <v>47.9</v>
          </cell>
        </row>
        <row r="249">
          <cell r="A249" t="str">
            <v>EBP7210B-1/4</v>
          </cell>
          <cell r="B249" t="str">
            <v>LN</v>
          </cell>
          <cell r="C249" t="str">
            <v>BASE DE RELLENO POLIURETANO 2K GRIS OSCURO</v>
          </cell>
          <cell r="D249">
            <v>8.36</v>
          </cell>
          <cell r="E249">
            <v>9.4499999999999993</v>
          </cell>
          <cell r="F249">
            <v>11.95</v>
          </cell>
          <cell r="G249">
            <v>13.5</v>
          </cell>
        </row>
        <row r="251">
          <cell r="A251" t="str">
            <v>EBP7220-1</v>
          </cell>
          <cell r="B251" t="str">
            <v>LN</v>
          </cell>
          <cell r="C251" t="str">
            <v>BASE DE RELLENO POLIURETANO 2K NEGRO (PARTE A)</v>
          </cell>
          <cell r="D251">
            <v>35</v>
          </cell>
          <cell r="E251">
            <v>39.549999999999997</v>
          </cell>
          <cell r="F251">
            <v>50</v>
          </cell>
          <cell r="G251">
            <v>56.5</v>
          </cell>
        </row>
        <row r="252">
          <cell r="A252" t="str">
            <v>EBP7220-1/4</v>
          </cell>
          <cell r="B252" t="str">
            <v>LN</v>
          </cell>
          <cell r="C252" t="str">
            <v>BASE DE RELLENO POLIURETANO 2K NEGRO (PARTE A)</v>
          </cell>
          <cell r="D252">
            <v>10.47</v>
          </cell>
          <cell r="E252">
            <v>11.83</v>
          </cell>
          <cell r="F252">
            <v>14.96</v>
          </cell>
          <cell r="G252">
            <v>16.899999999999999</v>
          </cell>
        </row>
        <row r="253">
          <cell r="A253" t="str">
            <v>EBP7225-1</v>
          </cell>
          <cell r="B253" t="str">
            <v>LN</v>
          </cell>
          <cell r="C253" t="str">
            <v>PRIMER POLIURETANO 2K GRIS</v>
          </cell>
          <cell r="D253">
            <v>35</v>
          </cell>
          <cell r="E253">
            <v>39.549999999999997</v>
          </cell>
          <cell r="F253">
            <v>50</v>
          </cell>
          <cell r="G253">
            <v>56.5</v>
          </cell>
        </row>
        <row r="254">
          <cell r="A254" t="str">
            <v>EBP7225-1/4</v>
          </cell>
          <cell r="B254" t="str">
            <v>LN</v>
          </cell>
          <cell r="C254" t="str">
            <v>PRIMER POLIURETANO 2K GRIS</v>
          </cell>
          <cell r="D254">
            <v>10.47</v>
          </cell>
          <cell r="E254">
            <v>11.83</v>
          </cell>
          <cell r="F254">
            <v>14.96</v>
          </cell>
          <cell r="G254">
            <v>16.899999999999999</v>
          </cell>
        </row>
        <row r="255">
          <cell r="A255" t="str">
            <v>EBP7230-1</v>
          </cell>
          <cell r="B255" t="str">
            <v>LN</v>
          </cell>
          <cell r="C255" t="str">
            <v>BASE DE RELLENO POLIURETANO 2K BLANCO (PARTE A)</v>
          </cell>
          <cell r="D255">
            <v>35</v>
          </cell>
          <cell r="E255">
            <v>39.549999999999997</v>
          </cell>
          <cell r="F255">
            <v>50</v>
          </cell>
          <cell r="G255">
            <v>56.5</v>
          </cell>
        </row>
        <row r="256">
          <cell r="A256" t="str">
            <v>EBP7230-1/4</v>
          </cell>
          <cell r="B256" t="str">
            <v>LN</v>
          </cell>
          <cell r="C256" t="str">
            <v>BASE DE RELLENO POLIURETANO 2K BLANCO (PARTE A)</v>
          </cell>
          <cell r="D256">
            <v>10.47</v>
          </cell>
          <cell r="E256">
            <v>11.83</v>
          </cell>
          <cell r="F256">
            <v>14.96</v>
          </cell>
          <cell r="G256">
            <v>16.899999999999999</v>
          </cell>
        </row>
        <row r="258">
          <cell r="A258" t="str">
            <v>EBPC1-1</v>
          </cell>
          <cell r="B258" t="str">
            <v>LN</v>
          </cell>
          <cell r="C258" t="str">
            <v xml:space="preserve">EXCELBASE PRIMER CONVERTER </v>
          </cell>
          <cell r="D258">
            <v>35</v>
          </cell>
          <cell r="E258">
            <v>39.549999999999997</v>
          </cell>
          <cell r="F258">
            <v>50</v>
          </cell>
          <cell r="G258">
            <v>56.5</v>
          </cell>
        </row>
        <row r="260">
          <cell r="C260" t="str">
            <v>TINTES BICAPA EXCELBASE</v>
          </cell>
        </row>
        <row r="261">
          <cell r="A261" t="str">
            <v>EB25106-1/4</v>
          </cell>
          <cell r="B261" t="str">
            <v>LN</v>
          </cell>
          <cell r="C261" t="str">
            <v>TINTE EXCELBASE BICAPA ROJO OXIDO</v>
          </cell>
          <cell r="D261">
            <v>11.84</v>
          </cell>
          <cell r="E261">
            <v>13.38</v>
          </cell>
          <cell r="F261">
            <v>19.73</v>
          </cell>
          <cell r="G261">
            <v>22.3</v>
          </cell>
        </row>
        <row r="262">
          <cell r="A262" t="str">
            <v>EB25140-1/4</v>
          </cell>
          <cell r="B262" t="str">
            <v>LN</v>
          </cell>
          <cell r="C262" t="str">
            <v>TINTE EXCELBASE BICAPA AMARILLO OXIDO</v>
          </cell>
          <cell r="D262">
            <v>11.84</v>
          </cell>
          <cell r="E262">
            <v>13.38</v>
          </cell>
          <cell r="F262">
            <v>19.73</v>
          </cell>
          <cell r="G262">
            <v>22.3</v>
          </cell>
        </row>
        <row r="263">
          <cell r="A263" t="str">
            <v>EB25209-1</v>
          </cell>
          <cell r="B263" t="str">
            <v>LN</v>
          </cell>
          <cell r="C263" t="str">
            <v>TINTE EXCELBASE BICAPA TRANSPARENTE DE MEZCLA</v>
          </cell>
          <cell r="D263">
            <v>47.26</v>
          </cell>
          <cell r="E263">
            <v>53.4</v>
          </cell>
          <cell r="F263">
            <v>78.760000000000005</v>
          </cell>
          <cell r="G263">
            <v>89</v>
          </cell>
        </row>
        <row r="264">
          <cell r="A264" t="str">
            <v>EB25215-1/4</v>
          </cell>
          <cell r="B264" t="str">
            <v>LN</v>
          </cell>
          <cell r="C264" t="str">
            <v>TINTE EXCELBASE BICAPA CLEAR DE MEZCLA PARA TRICAPAS</v>
          </cell>
          <cell r="D264">
            <v>11.84</v>
          </cell>
          <cell r="E264">
            <v>13.38</v>
          </cell>
          <cell r="F264">
            <v>19.73</v>
          </cell>
          <cell r="G264">
            <v>22.3</v>
          </cell>
        </row>
        <row r="265">
          <cell r="A265" t="str">
            <v>EB25218-1</v>
          </cell>
          <cell r="B265" t="str">
            <v>LN</v>
          </cell>
          <cell r="C265" t="str">
            <v>TINTE EXCELBASE BICAPA NEGRO</v>
          </cell>
          <cell r="D265">
            <v>47.26</v>
          </cell>
          <cell r="E265">
            <v>53.4</v>
          </cell>
          <cell r="F265">
            <v>78.760000000000005</v>
          </cell>
          <cell r="G265">
            <v>89</v>
          </cell>
        </row>
        <row r="266">
          <cell r="A266" t="str">
            <v>EB25281-1</v>
          </cell>
          <cell r="B266" t="str">
            <v>LN</v>
          </cell>
          <cell r="C266" t="str">
            <v>TINTE EXCELBASE BICAPA NEGRO HS</v>
          </cell>
          <cell r="D266">
            <v>47.26</v>
          </cell>
          <cell r="E266">
            <v>53.4</v>
          </cell>
          <cell r="F266">
            <v>78.760000000000005</v>
          </cell>
          <cell r="G266">
            <v>89</v>
          </cell>
        </row>
        <row r="267">
          <cell r="A267" t="str">
            <v>EB25282-1</v>
          </cell>
          <cell r="B267" t="str">
            <v>LN</v>
          </cell>
          <cell r="C267" t="str">
            <v>TINTE EXCELBASE BICAPA BLANCO HS</v>
          </cell>
          <cell r="D267">
            <v>47.26</v>
          </cell>
          <cell r="E267">
            <v>53.4</v>
          </cell>
          <cell r="F267">
            <v>78.760000000000005</v>
          </cell>
          <cell r="G267">
            <v>89</v>
          </cell>
        </row>
        <row r="269">
          <cell r="A269" t="str">
            <v>EB25030-1/4</v>
          </cell>
          <cell r="B269" t="str">
            <v>LN</v>
          </cell>
          <cell r="C269" t="str">
            <v>TINTE EXCELBASE BICAPA ROJO MONASTRAL</v>
          </cell>
          <cell r="D269">
            <v>16.73</v>
          </cell>
          <cell r="E269">
            <v>18.899999999999999</v>
          </cell>
          <cell r="F269">
            <v>27.88</v>
          </cell>
          <cell r="G269">
            <v>31.5</v>
          </cell>
        </row>
        <row r="270">
          <cell r="A270" t="str">
            <v>EB25031-1/4</v>
          </cell>
          <cell r="B270" t="str">
            <v>LN</v>
          </cell>
          <cell r="C270" t="str">
            <v>TINTE EXCELBASE BICAPA ROJO BRILL HS</v>
          </cell>
          <cell r="D270">
            <v>16.73</v>
          </cell>
          <cell r="E270">
            <v>18.899999999999999</v>
          </cell>
          <cell r="F270">
            <v>27.88</v>
          </cell>
          <cell r="G270">
            <v>31.5</v>
          </cell>
        </row>
        <row r="271">
          <cell r="A271" t="str">
            <v>EB25034-1/4</v>
          </cell>
          <cell r="B271" t="str">
            <v>LN</v>
          </cell>
          <cell r="C271" t="str">
            <v>TINTE EXCELBASE BICAPA MARRON PERYLENE</v>
          </cell>
          <cell r="D271">
            <v>16.73</v>
          </cell>
          <cell r="E271">
            <v>18.899999999999999</v>
          </cell>
          <cell r="F271">
            <v>27.88</v>
          </cell>
          <cell r="G271">
            <v>31.5</v>
          </cell>
        </row>
        <row r="272">
          <cell r="A272" t="str">
            <v>EB25036-1/4</v>
          </cell>
          <cell r="B272" t="str">
            <v>LN</v>
          </cell>
          <cell r="C272" t="str">
            <v>TINTE EXCELBASE BICAPA MAGENTA AZULOSO HS</v>
          </cell>
          <cell r="D272">
            <v>16.73</v>
          </cell>
          <cell r="E272">
            <v>18.899999999999999</v>
          </cell>
          <cell r="F272">
            <v>27.88</v>
          </cell>
          <cell r="G272">
            <v>31.5</v>
          </cell>
        </row>
        <row r="273">
          <cell r="A273" t="str">
            <v>EB25107-1/4</v>
          </cell>
          <cell r="B273" t="str">
            <v>LN</v>
          </cell>
          <cell r="C273" t="str">
            <v>TINTE EXCELBASE AMARILLO ORG</v>
          </cell>
          <cell r="D273">
            <v>16.73</v>
          </cell>
          <cell r="E273">
            <v>18.899999999999999</v>
          </cell>
          <cell r="F273">
            <v>27.88</v>
          </cell>
          <cell r="G273">
            <v>31.5</v>
          </cell>
        </row>
        <row r="274">
          <cell r="A274" t="str">
            <v>EB25124-1/4</v>
          </cell>
          <cell r="B274" t="str">
            <v>LN</v>
          </cell>
          <cell r="C274" t="str">
            <v>TINTE EXCELBASE NARANJA</v>
          </cell>
          <cell r="D274">
            <v>16.73</v>
          </cell>
          <cell r="E274">
            <v>18.899999999999999</v>
          </cell>
          <cell r="F274">
            <v>27.88</v>
          </cell>
          <cell r="G274">
            <v>31.5</v>
          </cell>
        </row>
        <row r="275">
          <cell r="A275" t="str">
            <v>EB25128-1/4</v>
          </cell>
          <cell r="B275" t="str">
            <v>LN</v>
          </cell>
          <cell r="C275" t="str">
            <v>TINTE EXCELBASE AMARILLO VAN</v>
          </cell>
          <cell r="D275">
            <v>16.73</v>
          </cell>
          <cell r="E275">
            <v>18.899999999999999</v>
          </cell>
          <cell r="F275">
            <v>27.88</v>
          </cell>
          <cell r="G275">
            <v>31.5</v>
          </cell>
        </row>
        <row r="276">
          <cell r="A276" t="str">
            <v>EB25134-1/4</v>
          </cell>
          <cell r="B276" t="str">
            <v>LN</v>
          </cell>
          <cell r="C276" t="str">
            <v>TINTE EXCELBASE OCRE TRANSP</v>
          </cell>
          <cell r="D276">
            <v>16.73</v>
          </cell>
          <cell r="E276">
            <v>18.899999999999999</v>
          </cell>
          <cell r="F276">
            <v>27.88</v>
          </cell>
          <cell r="G276">
            <v>31.5</v>
          </cell>
        </row>
        <row r="277">
          <cell r="A277" t="str">
            <v>EB25137-1/4</v>
          </cell>
          <cell r="B277" t="str">
            <v>LN</v>
          </cell>
          <cell r="C277" t="str">
            <v>TINTE EXCELBASE BICAPA VERDE AMARILLO</v>
          </cell>
          <cell r="D277">
            <v>16.73</v>
          </cell>
          <cell r="E277">
            <v>18.899999999999999</v>
          </cell>
          <cell r="F277">
            <v>27.88</v>
          </cell>
          <cell r="G277">
            <v>31.5</v>
          </cell>
        </row>
        <row r="278">
          <cell r="A278" t="str">
            <v>EB25139-1/4</v>
          </cell>
          <cell r="B278" t="str">
            <v>LN</v>
          </cell>
          <cell r="C278" t="str">
            <v>TINTE EXCELBASE BICAPA VIOLETA HS</v>
          </cell>
          <cell r="D278">
            <v>16.73</v>
          </cell>
          <cell r="E278">
            <v>18.899999999999999</v>
          </cell>
          <cell r="F278">
            <v>27.88</v>
          </cell>
          <cell r="G278">
            <v>31.5</v>
          </cell>
        </row>
        <row r="279">
          <cell r="A279" t="str">
            <v>EB25146-1/4</v>
          </cell>
          <cell r="B279" t="str">
            <v>LN</v>
          </cell>
          <cell r="C279" t="str">
            <v>TINTE EXCELBASE BICAPA BLANCO MICRONIZADO</v>
          </cell>
          <cell r="D279">
            <v>16.73</v>
          </cell>
          <cell r="E279">
            <v>18.899999999999999</v>
          </cell>
          <cell r="F279">
            <v>27.88</v>
          </cell>
          <cell r="G279">
            <v>31.5</v>
          </cell>
        </row>
        <row r="280">
          <cell r="A280" t="str">
            <v>EB25205-1/4</v>
          </cell>
          <cell r="B280" t="str">
            <v>LN</v>
          </cell>
          <cell r="C280" t="str">
            <v>TINTE EXCELBASE BICAPA PALIOCROMO</v>
          </cell>
          <cell r="D280">
            <v>16.73</v>
          </cell>
          <cell r="E280">
            <v>18.899999999999999</v>
          </cell>
          <cell r="F280">
            <v>27.88</v>
          </cell>
          <cell r="G280">
            <v>31.5</v>
          </cell>
        </row>
        <row r="281">
          <cell r="A281" t="str">
            <v>EB25213-1/4</v>
          </cell>
          <cell r="B281" t="str">
            <v>LN</v>
          </cell>
          <cell r="C281" t="str">
            <v>TINTE EXCELBASE BICAPA GRAFITO</v>
          </cell>
          <cell r="D281">
            <v>16.73</v>
          </cell>
          <cell r="E281">
            <v>18.899999999999999</v>
          </cell>
          <cell r="F281">
            <v>27.88</v>
          </cell>
          <cell r="G281">
            <v>31.5</v>
          </cell>
        </row>
        <row r="282">
          <cell r="A282" t="str">
            <v>EB25214-1/4</v>
          </cell>
          <cell r="B282" t="str">
            <v>LN</v>
          </cell>
          <cell r="C282" t="str">
            <v>TINTE EXCELBASE BICAPA METALICO BRILLANTE SUPER FINO</v>
          </cell>
          <cell r="D282">
            <v>16.73</v>
          </cell>
          <cell r="E282">
            <v>18.899999999999999</v>
          </cell>
          <cell r="F282">
            <v>27.88</v>
          </cell>
          <cell r="G282">
            <v>31.5</v>
          </cell>
        </row>
        <row r="283">
          <cell r="A283" t="str">
            <v>EB25221-1/4</v>
          </cell>
          <cell r="B283" t="str">
            <v>LN</v>
          </cell>
          <cell r="C283" t="str">
            <v>TINTE EXCELBASE BICAPA PALIOCROMO NARANJA</v>
          </cell>
          <cell r="D283">
            <v>16.73</v>
          </cell>
          <cell r="E283">
            <v>18.899999999999999</v>
          </cell>
          <cell r="F283">
            <v>27.88</v>
          </cell>
          <cell r="G283">
            <v>31.5</v>
          </cell>
        </row>
        <row r="284">
          <cell r="A284" t="str">
            <v>EB25222-1/4</v>
          </cell>
          <cell r="B284" t="str">
            <v>LN</v>
          </cell>
          <cell r="C284" t="str">
            <v>TINTE EXCELBASE BICAPA DORADO ROJIZO</v>
          </cell>
          <cell r="D284">
            <v>16.73</v>
          </cell>
          <cell r="E284">
            <v>18.899999999999999</v>
          </cell>
          <cell r="F284">
            <v>27.88</v>
          </cell>
          <cell r="G284">
            <v>31.5</v>
          </cell>
        </row>
        <row r="285">
          <cell r="A285" t="str">
            <v>EB25231-1/4</v>
          </cell>
          <cell r="B285" t="str">
            <v>LN</v>
          </cell>
          <cell r="C285" t="str">
            <v>TINTE EXCELBASE BICAPA AMARILLO ROJIZO</v>
          </cell>
          <cell r="D285">
            <v>16.73</v>
          </cell>
          <cell r="E285">
            <v>18.899999999999999</v>
          </cell>
          <cell r="F285">
            <v>27.88</v>
          </cell>
          <cell r="G285">
            <v>31.5</v>
          </cell>
        </row>
        <row r="286">
          <cell r="A286" t="str">
            <v>EB25233-1/4</v>
          </cell>
          <cell r="B286" t="str">
            <v>LN</v>
          </cell>
          <cell r="C286" t="str">
            <v>TINTE EXCELBASE BICAPA AZUL VERDOSO</v>
          </cell>
          <cell r="D286">
            <v>16.73</v>
          </cell>
          <cell r="E286">
            <v>18.899999999999999</v>
          </cell>
          <cell r="F286">
            <v>27.88</v>
          </cell>
          <cell r="G286">
            <v>31.5</v>
          </cell>
        </row>
        <row r="287">
          <cell r="A287" t="str">
            <v>EB25235-1/4</v>
          </cell>
          <cell r="B287" t="str">
            <v>LN</v>
          </cell>
          <cell r="C287" t="str">
            <v>TINTE EXCELBASE BICAPA AZUL INDO</v>
          </cell>
          <cell r="D287">
            <v>16.73</v>
          </cell>
          <cell r="E287">
            <v>18.899999999999999</v>
          </cell>
          <cell r="F287">
            <v>27.88</v>
          </cell>
          <cell r="G287">
            <v>31.5</v>
          </cell>
        </row>
        <row r="288">
          <cell r="A288" t="str">
            <v>EB25236-1/4</v>
          </cell>
          <cell r="B288" t="str">
            <v>LN</v>
          </cell>
          <cell r="C288" t="str">
            <v>TINTE EXCELBASE BICAPA MAGENTA H.S.</v>
          </cell>
          <cell r="D288">
            <v>16.73</v>
          </cell>
          <cell r="E288">
            <v>18.899999999999999</v>
          </cell>
          <cell r="F288">
            <v>27.88</v>
          </cell>
          <cell r="G288">
            <v>31.5</v>
          </cell>
        </row>
        <row r="289">
          <cell r="A289" t="str">
            <v>EB25237-1/4</v>
          </cell>
          <cell r="B289" t="str">
            <v>LN</v>
          </cell>
          <cell r="C289" t="str">
            <v>TINTE EXCELBASE BICAPA AZUL OCEANICO</v>
          </cell>
          <cell r="D289">
            <v>16.73</v>
          </cell>
          <cell r="E289">
            <v>18.899999999999999</v>
          </cell>
          <cell r="F289">
            <v>27.88</v>
          </cell>
          <cell r="G289">
            <v>31.5</v>
          </cell>
        </row>
        <row r="290">
          <cell r="A290" t="str">
            <v>EB25238-1/4</v>
          </cell>
          <cell r="B290" t="str">
            <v>LN</v>
          </cell>
          <cell r="C290" t="str">
            <v>TINTE EXCELBASE BICAPA VERDE AZULOSO</v>
          </cell>
          <cell r="D290">
            <v>16.73</v>
          </cell>
          <cell r="E290">
            <v>18.899999999999999</v>
          </cell>
          <cell r="F290">
            <v>27.88</v>
          </cell>
          <cell r="G290">
            <v>31.5</v>
          </cell>
        </row>
        <row r="291">
          <cell r="A291" t="str">
            <v>EB25240-1/4</v>
          </cell>
          <cell r="B291" t="str">
            <v>LN</v>
          </cell>
          <cell r="C291" t="str">
            <v>TINTE EXCELBASE BICAPA VIOLETA CARBA</v>
          </cell>
          <cell r="D291">
            <v>16.73</v>
          </cell>
          <cell r="E291">
            <v>18.899999999999999</v>
          </cell>
          <cell r="F291">
            <v>27.88</v>
          </cell>
          <cell r="G291">
            <v>31.5</v>
          </cell>
        </row>
        <row r="292">
          <cell r="A292" t="str">
            <v>EB25271-1/4</v>
          </cell>
          <cell r="B292" t="str">
            <v>LN</v>
          </cell>
          <cell r="C292" t="str">
            <v>TINTE EXCELBASE BICAPA MATEANTE</v>
          </cell>
          <cell r="D292">
            <v>16.73</v>
          </cell>
          <cell r="E292">
            <v>18.899999999999999</v>
          </cell>
          <cell r="F292">
            <v>27.88</v>
          </cell>
          <cell r="G292">
            <v>31.5</v>
          </cell>
        </row>
        <row r="293">
          <cell r="A293" t="str">
            <v>EB25272-1/4</v>
          </cell>
          <cell r="B293" t="str">
            <v>LN</v>
          </cell>
          <cell r="C293" t="str">
            <v>TINTE EXCELBASE BICAPA VIOLETA LS</v>
          </cell>
          <cell r="D293">
            <v>16.73</v>
          </cell>
          <cell r="E293">
            <v>18.899999999999999</v>
          </cell>
          <cell r="F293">
            <v>27.88</v>
          </cell>
          <cell r="G293">
            <v>31.5</v>
          </cell>
        </row>
        <row r="294">
          <cell r="A294" t="str">
            <v>EB25273-1/4</v>
          </cell>
          <cell r="B294" t="str">
            <v>LN</v>
          </cell>
          <cell r="C294" t="str">
            <v>TINTE EXCELBASE BICAPA ROJO LS</v>
          </cell>
          <cell r="D294">
            <v>16.73</v>
          </cell>
          <cell r="E294">
            <v>18.899999999999999</v>
          </cell>
          <cell r="F294">
            <v>27.88</v>
          </cell>
          <cell r="G294">
            <v>31.5</v>
          </cell>
        </row>
        <row r="295">
          <cell r="A295" t="str">
            <v>EB25275-1/4</v>
          </cell>
          <cell r="B295" t="str">
            <v>LN</v>
          </cell>
          <cell r="C295" t="str">
            <v>TINTE EXCELBASE BICAPA AMARILLO LS</v>
          </cell>
          <cell r="D295">
            <v>16.73</v>
          </cell>
          <cell r="E295">
            <v>18.899999999999999</v>
          </cell>
          <cell r="F295">
            <v>27.88</v>
          </cell>
          <cell r="G295">
            <v>31.5</v>
          </cell>
        </row>
        <row r="296">
          <cell r="A296" t="str">
            <v>EB25276-1/4</v>
          </cell>
          <cell r="B296" t="str">
            <v>LN</v>
          </cell>
          <cell r="C296" t="str">
            <v>TINTE EXCELBASE BICAPA AZUL LS</v>
          </cell>
          <cell r="D296">
            <v>16.73</v>
          </cell>
          <cell r="E296">
            <v>18.899999999999999</v>
          </cell>
          <cell r="F296">
            <v>27.88</v>
          </cell>
          <cell r="G296">
            <v>31.5</v>
          </cell>
        </row>
        <row r="297">
          <cell r="A297" t="str">
            <v>EB25278-1/4</v>
          </cell>
          <cell r="B297" t="str">
            <v>LN</v>
          </cell>
          <cell r="C297" t="str">
            <v>TINTE EXCELBASE BICAPA ROJO RUBI</v>
          </cell>
          <cell r="D297">
            <v>16.73</v>
          </cell>
          <cell r="E297">
            <v>18.899999999999999</v>
          </cell>
          <cell r="F297">
            <v>27.88</v>
          </cell>
          <cell r="G297">
            <v>31.5</v>
          </cell>
        </row>
        <row r="298">
          <cell r="A298" t="str">
            <v>EB25279-1/4</v>
          </cell>
          <cell r="B298" t="str">
            <v>LN</v>
          </cell>
          <cell r="C298" t="str">
            <v>TINTE EXCELBASE BICAPA AZUL TRANSPARENTE</v>
          </cell>
          <cell r="D298">
            <v>16.73</v>
          </cell>
          <cell r="E298">
            <v>18.899999999999999</v>
          </cell>
          <cell r="F298">
            <v>27.88</v>
          </cell>
          <cell r="G298">
            <v>31.5</v>
          </cell>
        </row>
        <row r="299">
          <cell r="A299" t="str">
            <v>EB25280-1/4</v>
          </cell>
          <cell r="B299" t="str">
            <v>LN</v>
          </cell>
          <cell r="C299" t="str">
            <v>TINTE EXCELBASE BICAPA AZUL ROJIZO HS</v>
          </cell>
          <cell r="D299">
            <v>16.73</v>
          </cell>
          <cell r="E299">
            <v>18.899999999999999</v>
          </cell>
          <cell r="F299">
            <v>27.88</v>
          </cell>
          <cell r="G299">
            <v>31.5</v>
          </cell>
        </row>
        <row r="300">
          <cell r="A300" t="str">
            <v>EB25283-1/4</v>
          </cell>
          <cell r="B300" t="str">
            <v>LN</v>
          </cell>
          <cell r="C300" t="str">
            <v>TINTE EXCELBASE BICAPA ROJO BRILLANTE TRANSP</v>
          </cell>
          <cell r="D300">
            <v>16.73</v>
          </cell>
          <cell r="E300">
            <v>18.899999999999999</v>
          </cell>
          <cell r="F300">
            <v>27.88</v>
          </cell>
          <cell r="G300">
            <v>31.5</v>
          </cell>
        </row>
        <row r="301">
          <cell r="A301" t="str">
            <v>EB25287-1/4</v>
          </cell>
          <cell r="B301" t="str">
            <v>LN</v>
          </cell>
          <cell r="C301" t="str">
            <v>TINTE EXCELBASE BICAPA ROJO TRANSPARENTE</v>
          </cell>
          <cell r="D301">
            <v>16.73</v>
          </cell>
          <cell r="E301">
            <v>18.899999999999999</v>
          </cell>
          <cell r="F301">
            <v>27.88</v>
          </cell>
          <cell r="G301">
            <v>31.5</v>
          </cell>
        </row>
        <row r="302">
          <cell r="A302" t="str">
            <v>EB25288-1/4</v>
          </cell>
          <cell r="B302" t="str">
            <v>LN</v>
          </cell>
          <cell r="C302" t="str">
            <v>TINTE EXCELBASE BICAPA AMARILLO RAPIDO</v>
          </cell>
          <cell r="D302">
            <v>16.73</v>
          </cell>
          <cell r="E302">
            <v>18.899999999999999</v>
          </cell>
          <cell r="F302">
            <v>27.88</v>
          </cell>
          <cell r="G302">
            <v>31.5</v>
          </cell>
        </row>
        <row r="303">
          <cell r="A303" t="str">
            <v>EB25289-1/4</v>
          </cell>
          <cell r="B303" t="str">
            <v>LN</v>
          </cell>
          <cell r="C303" t="str">
            <v>TINTE EXCELBASE BICAPA AMARILLO ROJIZO</v>
          </cell>
          <cell r="D303">
            <v>16.73</v>
          </cell>
          <cell r="E303">
            <v>18.899999999999999</v>
          </cell>
          <cell r="F303">
            <v>27.88</v>
          </cell>
          <cell r="G303">
            <v>31.5</v>
          </cell>
        </row>
        <row r="304">
          <cell r="A304" t="str">
            <v>EB25201-1</v>
          </cell>
          <cell r="B304" t="str">
            <v>LN</v>
          </cell>
          <cell r="C304" t="str">
            <v>TINTE EXCELBASE BICAPA METALICO FINO</v>
          </cell>
          <cell r="D304">
            <v>66.900000000000006</v>
          </cell>
          <cell r="E304">
            <v>75.599999999999994</v>
          </cell>
          <cell r="F304">
            <v>111.5</v>
          </cell>
          <cell r="G304">
            <v>126</v>
          </cell>
        </row>
        <row r="305">
          <cell r="A305" t="str">
            <v>EB25202-1</v>
          </cell>
          <cell r="B305" t="str">
            <v>LN</v>
          </cell>
          <cell r="C305" t="str">
            <v>TINTE EXCELBASE BICAPA METALICO MEDIANO</v>
          </cell>
          <cell r="D305">
            <v>66.900000000000006</v>
          </cell>
          <cell r="E305">
            <v>75.599999999999994</v>
          </cell>
          <cell r="F305">
            <v>111.5</v>
          </cell>
          <cell r="G305">
            <v>126</v>
          </cell>
        </row>
        <row r="306">
          <cell r="A306" t="str">
            <v>EB25203-1</v>
          </cell>
          <cell r="B306" t="str">
            <v>LN</v>
          </cell>
          <cell r="C306" t="str">
            <v>TINTE EXCELBASE BICAPA METALICO GRANDE</v>
          </cell>
          <cell r="D306">
            <v>66.900000000000006</v>
          </cell>
          <cell r="E306">
            <v>75.599999999999994</v>
          </cell>
          <cell r="F306">
            <v>111.5</v>
          </cell>
          <cell r="G306">
            <v>126</v>
          </cell>
        </row>
        <row r="307">
          <cell r="A307" t="str">
            <v>EB25204-1</v>
          </cell>
          <cell r="B307" t="str">
            <v>LN</v>
          </cell>
          <cell r="C307" t="str">
            <v>TINTE EXCELBASE BICAPA METALICO GRUES0</v>
          </cell>
          <cell r="D307">
            <v>66.900000000000006</v>
          </cell>
          <cell r="E307">
            <v>75.599999999999994</v>
          </cell>
          <cell r="F307">
            <v>111.5</v>
          </cell>
          <cell r="G307">
            <v>126</v>
          </cell>
        </row>
        <row r="308">
          <cell r="A308" t="str">
            <v>EB25206-1</v>
          </cell>
          <cell r="B308" t="str">
            <v>LN</v>
          </cell>
          <cell r="C308" t="str">
            <v>TINTE EXCELBASE BICAPA METAL BRTE FINO</v>
          </cell>
          <cell r="D308">
            <v>66.900000000000006</v>
          </cell>
          <cell r="E308">
            <v>75.599999999999994</v>
          </cell>
          <cell r="F308">
            <v>111.5</v>
          </cell>
          <cell r="G308">
            <v>126</v>
          </cell>
        </row>
        <row r="309">
          <cell r="A309" t="str">
            <v>EB25217-1</v>
          </cell>
          <cell r="B309" t="str">
            <v>LN</v>
          </cell>
          <cell r="C309" t="str">
            <v>TINTE EXCELBASE BICAPA METALICO MEDIANO BRILLANTE</v>
          </cell>
          <cell r="D309">
            <v>66.900000000000006</v>
          </cell>
          <cell r="E309">
            <v>75.599999999999994</v>
          </cell>
          <cell r="F309">
            <v>111.5</v>
          </cell>
          <cell r="G309">
            <v>126</v>
          </cell>
        </row>
        <row r="310">
          <cell r="A310" t="str">
            <v>EB25SSA1-1</v>
          </cell>
          <cell r="B310" t="str">
            <v>LN</v>
          </cell>
          <cell r="C310" t="str">
            <v>TINTE EXCELBASE BICAPA ALUMINIO EXTRA GRUESO</v>
          </cell>
          <cell r="D310">
            <v>66.900000000000006</v>
          </cell>
          <cell r="E310">
            <v>75.599999999999994</v>
          </cell>
          <cell r="F310">
            <v>111.5</v>
          </cell>
          <cell r="G310">
            <v>126</v>
          </cell>
        </row>
        <row r="312">
          <cell r="A312" t="str">
            <v>EB25PT7-1/4</v>
          </cell>
          <cell r="B312" t="str">
            <v>LN</v>
          </cell>
          <cell r="C312" t="str">
            <v>TINTE EXCELBASE MICA VERDE</v>
          </cell>
          <cell r="D312">
            <v>16.73</v>
          </cell>
          <cell r="E312">
            <v>18.899999999999999</v>
          </cell>
          <cell r="F312">
            <v>27.88</v>
          </cell>
          <cell r="G312">
            <v>31.5</v>
          </cell>
        </row>
        <row r="313">
          <cell r="A313" t="str">
            <v>EB25PT8-1/4</v>
          </cell>
          <cell r="B313" t="str">
            <v>LN</v>
          </cell>
          <cell r="C313" t="str">
            <v>TINTE EXCELBASE MICA BLANCA</v>
          </cell>
          <cell r="D313">
            <v>16.73</v>
          </cell>
          <cell r="E313">
            <v>18.899999999999999</v>
          </cell>
          <cell r="F313">
            <v>27.88</v>
          </cell>
          <cell r="G313">
            <v>31.5</v>
          </cell>
        </row>
        <row r="314">
          <cell r="A314" t="str">
            <v>EB25PT9-1/4</v>
          </cell>
          <cell r="B314" t="str">
            <v>LN</v>
          </cell>
          <cell r="C314" t="str">
            <v>TINTE EXCELBASE BICAPA MICA BLANCA FINA</v>
          </cell>
          <cell r="D314">
            <v>16.73</v>
          </cell>
          <cell r="E314">
            <v>18.899999999999999</v>
          </cell>
          <cell r="F314">
            <v>27.88</v>
          </cell>
          <cell r="G314">
            <v>31.5</v>
          </cell>
        </row>
        <row r="315">
          <cell r="A315" t="str">
            <v>EB25PT10-1/4</v>
          </cell>
          <cell r="B315" t="str">
            <v>LN</v>
          </cell>
          <cell r="C315" t="str">
            <v>TINTE EXCELBASE BICAPA MICA BRONCE</v>
          </cell>
          <cell r="D315">
            <v>16.73</v>
          </cell>
          <cell r="E315">
            <v>18.899999999999999</v>
          </cell>
          <cell r="F315">
            <v>27.88</v>
          </cell>
          <cell r="G315">
            <v>31.5</v>
          </cell>
        </row>
        <row r="316">
          <cell r="A316" t="str">
            <v>EB25PT11-1/4</v>
          </cell>
          <cell r="B316" t="str">
            <v>LN</v>
          </cell>
          <cell r="C316" t="str">
            <v>TINTE EXCELBASE MICA RUSSET</v>
          </cell>
          <cell r="D316">
            <v>16.73</v>
          </cell>
          <cell r="E316">
            <v>18.899999999999999</v>
          </cell>
          <cell r="F316">
            <v>27.88</v>
          </cell>
          <cell r="G316">
            <v>31.5</v>
          </cell>
        </row>
        <row r="317">
          <cell r="A317" t="str">
            <v>EB25PT12-1/4</v>
          </cell>
          <cell r="B317" t="str">
            <v>LN</v>
          </cell>
          <cell r="C317" t="str">
            <v>TINTE EXCELBASE MICA RUSSET FINA</v>
          </cell>
          <cell r="D317">
            <v>16.73</v>
          </cell>
          <cell r="E317">
            <v>18.899999999999999</v>
          </cell>
          <cell r="F317">
            <v>27.88</v>
          </cell>
          <cell r="G317">
            <v>31.5</v>
          </cell>
        </row>
        <row r="318">
          <cell r="A318" t="str">
            <v>EB25PT13-1/4</v>
          </cell>
          <cell r="B318" t="str">
            <v>LN</v>
          </cell>
          <cell r="C318" t="str">
            <v>TINTE EXCELBASE MICA AZUL</v>
          </cell>
          <cell r="D318">
            <v>16.73</v>
          </cell>
          <cell r="E318">
            <v>18.899999999999999</v>
          </cell>
          <cell r="F318">
            <v>27.88</v>
          </cell>
          <cell r="G318">
            <v>31.5</v>
          </cell>
        </row>
        <row r="319">
          <cell r="A319" t="str">
            <v>EB25PT14-1/4</v>
          </cell>
          <cell r="B319" t="str">
            <v>LN</v>
          </cell>
          <cell r="C319" t="str">
            <v>TINTE EXCELBASE BICAPA PERLA NARANJA</v>
          </cell>
          <cell r="D319">
            <v>16.73</v>
          </cell>
          <cell r="E319">
            <v>18.899999999999999</v>
          </cell>
          <cell r="F319">
            <v>27.88</v>
          </cell>
          <cell r="G319">
            <v>31.5</v>
          </cell>
        </row>
        <row r="320">
          <cell r="A320" t="str">
            <v>EB25PT15-1/4</v>
          </cell>
          <cell r="B320" t="str">
            <v>LN</v>
          </cell>
          <cell r="C320" t="str">
            <v>TINTE EXCELBASE BICAPA MICA LILA</v>
          </cell>
          <cell r="D320">
            <v>16.73</v>
          </cell>
          <cell r="E320">
            <v>18.899999999999999</v>
          </cell>
          <cell r="F320">
            <v>27.88</v>
          </cell>
          <cell r="G320">
            <v>31.5</v>
          </cell>
        </row>
        <row r="321">
          <cell r="A321" t="str">
            <v>EB25PT16-1/4</v>
          </cell>
          <cell r="B321" t="str">
            <v>LN</v>
          </cell>
          <cell r="C321" t="str">
            <v>TINTE EXCELBASE MICA DORADA</v>
          </cell>
          <cell r="D321">
            <v>16.73</v>
          </cell>
          <cell r="E321">
            <v>18.899999999999999</v>
          </cell>
          <cell r="F321">
            <v>27.88</v>
          </cell>
          <cell r="G321">
            <v>31.5</v>
          </cell>
        </row>
        <row r="322">
          <cell r="A322" t="str">
            <v>EB25PT17-1/4</v>
          </cell>
          <cell r="B322" t="str">
            <v>LN</v>
          </cell>
          <cell r="C322" t="str">
            <v>TINTE EXCELBASE MICA COBRE</v>
          </cell>
          <cell r="D322">
            <v>16.73</v>
          </cell>
          <cell r="E322">
            <v>18.899999999999999</v>
          </cell>
          <cell r="F322">
            <v>27.88</v>
          </cell>
          <cell r="G322">
            <v>31.5</v>
          </cell>
        </row>
        <row r="323">
          <cell r="A323" t="str">
            <v>EB25PT18-1/4</v>
          </cell>
          <cell r="B323" t="str">
            <v>LN</v>
          </cell>
          <cell r="C323" t="str">
            <v>TINTE EXCELBASE ROJO INTER</v>
          </cell>
          <cell r="D323">
            <v>16.73</v>
          </cell>
          <cell r="E323">
            <v>18.899999999999999</v>
          </cell>
          <cell r="F323">
            <v>27.88</v>
          </cell>
          <cell r="G323">
            <v>31.5</v>
          </cell>
        </row>
        <row r="324">
          <cell r="A324" t="str">
            <v>EB25PT19-1/4</v>
          </cell>
          <cell r="B324" t="str">
            <v>LN</v>
          </cell>
          <cell r="C324" t="str">
            <v>TINTE EXCELBASE PERLA VERDE M</v>
          </cell>
          <cell r="D324">
            <v>16.73</v>
          </cell>
          <cell r="E324">
            <v>18.899999999999999</v>
          </cell>
          <cell r="F324">
            <v>27.88</v>
          </cell>
          <cell r="G324">
            <v>31.5</v>
          </cell>
        </row>
        <row r="325">
          <cell r="A325" t="str">
            <v>EB25PT20-1/4</v>
          </cell>
          <cell r="B325" t="str">
            <v>LN</v>
          </cell>
          <cell r="C325" t="str">
            <v>TINTE EXCELBASE BICAPA PERLA BLANCO FINO</v>
          </cell>
          <cell r="D325">
            <v>16.73</v>
          </cell>
          <cell r="E325">
            <v>18.899999999999999</v>
          </cell>
          <cell r="F325">
            <v>27.88</v>
          </cell>
          <cell r="G325">
            <v>31.5</v>
          </cell>
        </row>
        <row r="326">
          <cell r="A326" t="str">
            <v>EB25PT22-1/4</v>
          </cell>
          <cell r="B326" t="str">
            <v>LN</v>
          </cell>
          <cell r="C326" t="str">
            <v>TINTE EXCELBASE BICAPA PERLA VERDE AQUA</v>
          </cell>
          <cell r="D326">
            <v>16.73</v>
          </cell>
          <cell r="E326">
            <v>18.899999999999999</v>
          </cell>
          <cell r="F326">
            <v>27.88</v>
          </cell>
          <cell r="G326">
            <v>31.5</v>
          </cell>
        </row>
        <row r="327">
          <cell r="A327" t="str">
            <v>EB25PT23-1/4</v>
          </cell>
          <cell r="B327" t="str">
            <v>LN</v>
          </cell>
          <cell r="C327" t="str">
            <v>TINTE EXCELBASE BICAPA MICA AZUL FINO</v>
          </cell>
          <cell r="D327">
            <v>16.73</v>
          </cell>
          <cell r="E327">
            <v>18.899999999999999</v>
          </cell>
          <cell r="F327">
            <v>27.88</v>
          </cell>
          <cell r="G327">
            <v>31.5</v>
          </cell>
        </row>
        <row r="328">
          <cell r="A328" t="str">
            <v>EB25PT24-1/4</v>
          </cell>
          <cell r="B328" t="str">
            <v>LN</v>
          </cell>
          <cell r="C328" t="str">
            <v>TINTE EXCELBASE BICAPA PERLA VERDE FINO</v>
          </cell>
          <cell r="D328">
            <v>16.73</v>
          </cell>
          <cell r="E328">
            <v>18.899999999999999</v>
          </cell>
          <cell r="F328">
            <v>27.88</v>
          </cell>
          <cell r="G328">
            <v>31.5</v>
          </cell>
        </row>
        <row r="329">
          <cell r="A329" t="str">
            <v>EB25PT25-1/4</v>
          </cell>
          <cell r="B329" t="str">
            <v>LN</v>
          </cell>
          <cell r="C329" t="str">
            <v>TINTE EXCELBASE BICAPA PERLA VIOLETA FINO</v>
          </cell>
          <cell r="D329">
            <v>16.73</v>
          </cell>
          <cell r="E329">
            <v>18.899999999999999</v>
          </cell>
          <cell r="F329">
            <v>27.88</v>
          </cell>
          <cell r="G329">
            <v>31.5</v>
          </cell>
        </row>
        <row r="330">
          <cell r="A330" t="str">
            <v>EB25PT26-1/4</v>
          </cell>
          <cell r="B330" t="str">
            <v>LN</v>
          </cell>
          <cell r="C330" t="str">
            <v>TINTE EXCELBASE BICAPA PERLA ROJO ESCARABAJO</v>
          </cell>
          <cell r="D330">
            <v>16.73</v>
          </cell>
          <cell r="E330">
            <v>18.899999999999999</v>
          </cell>
          <cell r="F330">
            <v>27.88</v>
          </cell>
          <cell r="G330">
            <v>31.5</v>
          </cell>
        </row>
        <row r="331">
          <cell r="A331" t="str">
            <v>EB25PT29-1/4</v>
          </cell>
          <cell r="B331" t="str">
            <v>LN</v>
          </cell>
          <cell r="C331" t="str">
            <v>TINTE EXCELBASE PERLA BLANCA FINA</v>
          </cell>
          <cell r="D331">
            <v>16.73</v>
          </cell>
          <cell r="E331">
            <v>18.899999999999999</v>
          </cell>
          <cell r="F331">
            <v>27.88</v>
          </cell>
          <cell r="G331">
            <v>31.5</v>
          </cell>
        </row>
        <row r="332">
          <cell r="A332" t="str">
            <v>EB25PT30-1/4</v>
          </cell>
          <cell r="B332" t="str">
            <v>LN</v>
          </cell>
          <cell r="C332" t="str">
            <v>TINTE EXCELBASE MICA BLANCO CRISTAL</v>
          </cell>
          <cell r="D332">
            <v>32.92</v>
          </cell>
          <cell r="E332">
            <v>37.200000000000003</v>
          </cell>
          <cell r="F332">
            <v>54.87</v>
          </cell>
          <cell r="G332">
            <v>62</v>
          </cell>
        </row>
        <row r="333">
          <cell r="A333" t="str">
            <v>EB25PT31-1/4</v>
          </cell>
          <cell r="B333" t="str">
            <v>LN</v>
          </cell>
          <cell r="C333" t="str">
            <v>TINTE EXCELBASE BICAPA PERLA COBRE</v>
          </cell>
          <cell r="D333">
            <v>32.92</v>
          </cell>
          <cell r="E333">
            <v>37.200000000000003</v>
          </cell>
          <cell r="F333">
            <v>54.87</v>
          </cell>
          <cell r="G333">
            <v>62</v>
          </cell>
        </row>
        <row r="334">
          <cell r="A334" t="str">
            <v>EB25PT32-1/4</v>
          </cell>
          <cell r="B334" t="str">
            <v>LN</v>
          </cell>
          <cell r="C334" t="str">
            <v>TINTE EXCELBASE BICAPA PERLA DORADO RAYO DE SOL</v>
          </cell>
          <cell r="D334">
            <v>32.92</v>
          </cell>
          <cell r="E334">
            <v>37.200000000000003</v>
          </cell>
          <cell r="F334">
            <v>54.87</v>
          </cell>
          <cell r="G334">
            <v>62</v>
          </cell>
        </row>
        <row r="335">
          <cell r="A335" t="str">
            <v>EB25PT33-1/4</v>
          </cell>
          <cell r="B335" t="str">
            <v>LN</v>
          </cell>
          <cell r="C335" t="str">
            <v>TINTE EXCELBASE MICA ROJO RADIANTE</v>
          </cell>
          <cell r="D335">
            <v>32.92</v>
          </cell>
          <cell r="E335">
            <v>37.200000000000003</v>
          </cell>
          <cell r="F335">
            <v>54.87</v>
          </cell>
          <cell r="G335">
            <v>62</v>
          </cell>
        </row>
        <row r="336">
          <cell r="A336" t="str">
            <v>EB25PT34-1/4</v>
          </cell>
          <cell r="B336" t="str">
            <v>LN</v>
          </cell>
          <cell r="C336" t="str">
            <v>TINTE EXCELBASE AZUL GALAXIA</v>
          </cell>
          <cell r="D336">
            <v>32.92</v>
          </cell>
          <cell r="E336">
            <v>37.200000000000003</v>
          </cell>
          <cell r="F336">
            <v>54.87</v>
          </cell>
          <cell r="G336">
            <v>62</v>
          </cell>
        </row>
        <row r="337">
          <cell r="A337" t="str">
            <v>EB25PT35-1/4</v>
          </cell>
          <cell r="B337" t="str">
            <v>LN</v>
          </cell>
          <cell r="C337" t="str">
            <v>TINTE EXCELBASE BICAPA VERDE</v>
          </cell>
          <cell r="D337">
            <v>32.92</v>
          </cell>
          <cell r="E337">
            <v>37.200000000000003</v>
          </cell>
          <cell r="F337">
            <v>54.87</v>
          </cell>
          <cell r="G337">
            <v>62</v>
          </cell>
        </row>
        <row r="339">
          <cell r="C339" t="str">
            <v>CLEARCOATS EXCELBASE</v>
          </cell>
        </row>
        <row r="341">
          <cell r="A341" t="str">
            <v>EBT2000-1</v>
          </cell>
          <cell r="B341" t="str">
            <v>LN</v>
          </cell>
          <cell r="C341" t="str">
            <v>CLEARCOAT EXCELBASE 2K UNIVERSAL (PARTE A)</v>
          </cell>
          <cell r="D341">
            <v>25.34</v>
          </cell>
          <cell r="E341">
            <v>28.63</v>
          </cell>
          <cell r="F341">
            <v>36.19</v>
          </cell>
          <cell r="G341">
            <v>40.9</v>
          </cell>
        </row>
        <row r="342">
          <cell r="A342" t="str">
            <v>EBT2000-1/4</v>
          </cell>
          <cell r="B342" t="str">
            <v>LN</v>
          </cell>
          <cell r="C342" t="str">
            <v>CLEARCOAT EXCELBASE 2K UNIVERSAL (PARTE A)</v>
          </cell>
          <cell r="D342">
            <v>7.12</v>
          </cell>
          <cell r="E342">
            <v>8.0500000000000007</v>
          </cell>
          <cell r="F342">
            <v>10.18</v>
          </cell>
          <cell r="G342">
            <v>11.5</v>
          </cell>
        </row>
        <row r="343">
          <cell r="A343" t="str">
            <v>EBT4000-1</v>
          </cell>
          <cell r="B343" t="str">
            <v>LN</v>
          </cell>
          <cell r="C343" t="str">
            <v>CLEAR COAT EXCELBASE 2K ULTRA HIGH SOLIDS (Parte A)</v>
          </cell>
          <cell r="D343">
            <v>43.92</v>
          </cell>
          <cell r="E343">
            <v>49.63</v>
          </cell>
          <cell r="F343">
            <v>62.74</v>
          </cell>
          <cell r="G343">
            <v>70.900000000000006</v>
          </cell>
        </row>
        <row r="344">
          <cell r="A344" t="str">
            <v>EBT4000-1/4</v>
          </cell>
          <cell r="B344" t="str">
            <v>LN</v>
          </cell>
          <cell r="C344" t="str">
            <v>CLEAR COAT EXCELBASE 2K ULTRA HIGH SOLIDS PARTE A</v>
          </cell>
          <cell r="D344">
            <v>12.33</v>
          </cell>
          <cell r="E344">
            <v>13.93</v>
          </cell>
          <cell r="F344">
            <v>17.61</v>
          </cell>
          <cell r="G344">
            <v>19.899999999999999</v>
          </cell>
        </row>
        <row r="346">
          <cell r="A346" t="str">
            <v>EBRC1-1/4</v>
          </cell>
          <cell r="B346" t="str">
            <v>LN</v>
          </cell>
          <cell r="C346" t="str">
            <v xml:space="preserve">EXCELBASE RAPID CLEAR </v>
          </cell>
          <cell r="D346">
            <v>13.57</v>
          </cell>
          <cell r="E346">
            <v>15.33</v>
          </cell>
          <cell r="F346">
            <v>19.38</v>
          </cell>
          <cell r="G346">
            <v>21.9</v>
          </cell>
        </row>
        <row r="347">
          <cell r="A347" t="str">
            <v>EBRC1-1</v>
          </cell>
          <cell r="B347" t="str">
            <v>LN</v>
          </cell>
          <cell r="C347" t="str">
            <v xml:space="preserve">EXCELBASE RAPID CLEAR </v>
          </cell>
          <cell r="D347">
            <v>47.64</v>
          </cell>
          <cell r="E347">
            <v>53.83</v>
          </cell>
          <cell r="F347">
            <v>68.05</v>
          </cell>
          <cell r="G347">
            <v>76.900000000000006</v>
          </cell>
        </row>
        <row r="349">
          <cell r="C349" t="str">
            <v>ADITIVOS EXCELBASE</v>
          </cell>
        </row>
        <row r="350">
          <cell r="C350" t="str">
            <v>CATALIZADORES  EXCELBASE</v>
          </cell>
        </row>
        <row r="352">
          <cell r="A352" t="str">
            <v>EBH7211-1/16</v>
          </cell>
          <cell r="B352" t="str">
            <v>LN</v>
          </cell>
          <cell r="C352" t="str">
            <v>CATALIZADOR EXCELBASE PARTE B UNIVERSAL</v>
          </cell>
          <cell r="D352">
            <v>5.04</v>
          </cell>
          <cell r="E352">
            <v>5.69</v>
          </cell>
          <cell r="F352">
            <v>6.99</v>
          </cell>
          <cell r="G352">
            <v>7.9</v>
          </cell>
        </row>
        <row r="353">
          <cell r="A353" t="str">
            <v>EBH7211-1/8</v>
          </cell>
          <cell r="B353" t="str">
            <v>LN</v>
          </cell>
          <cell r="C353" t="str">
            <v>CATALIZADOR EXCELBASE PARTE B UNIVERSAL</v>
          </cell>
          <cell r="D353">
            <v>7.96</v>
          </cell>
          <cell r="E353">
            <v>9</v>
          </cell>
          <cell r="F353">
            <v>11.06</v>
          </cell>
          <cell r="G353">
            <v>12.5</v>
          </cell>
        </row>
        <row r="354">
          <cell r="A354" t="str">
            <v>EBH7211-1/4</v>
          </cell>
          <cell r="B354" t="str">
            <v>LN</v>
          </cell>
          <cell r="C354" t="str">
            <v>CATALIZADOR EXCELBASE PARTE B UNIVERSAL</v>
          </cell>
          <cell r="D354">
            <v>14.65</v>
          </cell>
          <cell r="E354">
            <v>16.559999999999999</v>
          </cell>
          <cell r="F354">
            <v>20.350000000000001</v>
          </cell>
          <cell r="G354">
            <v>23</v>
          </cell>
        </row>
        <row r="356">
          <cell r="A356" t="str">
            <v>EBH7215-1/16</v>
          </cell>
          <cell r="B356" t="str">
            <v>LN</v>
          </cell>
          <cell r="C356" t="str">
            <v>CATALIZADOR EXCELBASE ACELERADO</v>
          </cell>
          <cell r="D356">
            <v>4.1399999999999997</v>
          </cell>
          <cell r="E356">
            <v>4.68</v>
          </cell>
          <cell r="F356">
            <v>5.75</v>
          </cell>
          <cell r="G356">
            <v>6.5</v>
          </cell>
        </row>
        <row r="357">
          <cell r="A357" t="str">
            <v>EBH7215-1/8</v>
          </cell>
          <cell r="B357" t="str">
            <v>LN</v>
          </cell>
          <cell r="C357" t="str">
            <v>CATALIZADOR EXCELBASE ACELERADO</v>
          </cell>
          <cell r="D357">
            <v>7.33</v>
          </cell>
          <cell r="E357">
            <v>8.2799999999999994</v>
          </cell>
          <cell r="F357">
            <v>10.18</v>
          </cell>
          <cell r="G357">
            <v>11.5</v>
          </cell>
        </row>
        <row r="358">
          <cell r="A358" t="str">
            <v>EBH7215-1/4</v>
          </cell>
          <cell r="B358" t="str">
            <v>LN</v>
          </cell>
          <cell r="C358" t="str">
            <v>CATALIZADOR EXCELBASE ACELERADO</v>
          </cell>
          <cell r="D358">
            <v>13.32</v>
          </cell>
          <cell r="E358">
            <v>15.05</v>
          </cell>
          <cell r="F358">
            <v>18.5</v>
          </cell>
          <cell r="G358">
            <v>20.9</v>
          </cell>
        </row>
        <row r="359">
          <cell r="C359" t="str">
            <v>REDUCTORES EXCELBASE</v>
          </cell>
        </row>
        <row r="361">
          <cell r="A361" t="str">
            <v>R8KSA1-1</v>
          </cell>
          <cell r="B361" t="str">
            <v>LN</v>
          </cell>
          <cell r="C361" t="str">
            <v>REDUCTOR EXCELBASE UNIVERSAL CLIMA FRESCO (ver precios en lista solventes)</v>
          </cell>
        </row>
        <row r="362">
          <cell r="A362" t="str">
            <v>R8KSA2-1</v>
          </cell>
          <cell r="B362" t="str">
            <v>LN</v>
          </cell>
          <cell r="C362" t="str">
            <v>REDUCTOR EXCELBASE UNIVERSAL CLIMA CALIDO (ver precios en lista solventes)</v>
          </cell>
        </row>
        <row r="364">
          <cell r="C364" t="str">
            <v>TINTES MONOCAPA EXCELBASE</v>
          </cell>
        </row>
        <row r="365">
          <cell r="C365" t="str">
            <v>GRUPO PONDERADO EBM1</v>
          </cell>
        </row>
        <row r="366">
          <cell r="A366" t="str">
            <v>EBBSA1-1</v>
          </cell>
          <cell r="B366" t="str">
            <v>LN</v>
          </cell>
          <cell r="C366" t="str">
            <v>TINTE EXCELBASE MONOCAPA NEGRO</v>
          </cell>
          <cell r="D366">
            <v>46.15</v>
          </cell>
          <cell r="E366">
            <v>52.15</v>
          </cell>
          <cell r="F366">
            <v>65.930000000000007</v>
          </cell>
          <cell r="G366">
            <v>74.5</v>
          </cell>
        </row>
        <row r="367">
          <cell r="A367" t="str">
            <v>EBBSA3-1</v>
          </cell>
          <cell r="B367" t="str">
            <v>LN</v>
          </cell>
          <cell r="C367" t="str">
            <v>TINTE EXCELBASE MONOCAPA NEGRO MATE</v>
          </cell>
          <cell r="D367">
            <v>46.15</v>
          </cell>
          <cell r="E367">
            <v>52.15</v>
          </cell>
          <cell r="F367">
            <v>65.930000000000007</v>
          </cell>
          <cell r="G367">
            <v>74.5</v>
          </cell>
        </row>
        <row r="368">
          <cell r="A368" t="str">
            <v>EBRSA5-1/4</v>
          </cell>
          <cell r="B368" t="str">
            <v>LN</v>
          </cell>
          <cell r="C368" t="str">
            <v>TINTE EXCELBASE MONOCAPA ROJO OXIDO</v>
          </cell>
          <cell r="D368">
            <v>12.95</v>
          </cell>
          <cell r="E368">
            <v>14.63</v>
          </cell>
          <cell r="F368">
            <v>18.5</v>
          </cell>
          <cell r="G368">
            <v>20.9</v>
          </cell>
        </row>
        <row r="369">
          <cell r="A369" t="str">
            <v>EBTSA1-1</v>
          </cell>
          <cell r="B369" t="str">
            <v>LN</v>
          </cell>
          <cell r="C369" t="str">
            <v>TINTE EXCELBASE MONOCAPA TRANSPARENTE DE MEZCLA</v>
          </cell>
          <cell r="D369">
            <v>46.15</v>
          </cell>
          <cell r="E369">
            <v>52.15</v>
          </cell>
          <cell r="F369">
            <v>65.930000000000007</v>
          </cell>
          <cell r="G369">
            <v>74.5</v>
          </cell>
        </row>
        <row r="370">
          <cell r="A370" t="str">
            <v>EBWSA1-1</v>
          </cell>
          <cell r="B370" t="str">
            <v>LN</v>
          </cell>
          <cell r="C370" t="str">
            <v>TINTE EXCELBASE MONOCAPA BLANCO</v>
          </cell>
          <cell r="D370">
            <v>46.15</v>
          </cell>
          <cell r="E370">
            <v>52.15</v>
          </cell>
          <cell r="F370">
            <v>65.930000000000007</v>
          </cell>
          <cell r="G370">
            <v>74.5</v>
          </cell>
        </row>
        <row r="371">
          <cell r="A371" t="str">
            <v>EBYSA4-1/4</v>
          </cell>
          <cell r="B371" t="str">
            <v>LN</v>
          </cell>
          <cell r="C371" t="str">
            <v>TINTE EXCELBASE MONOCAPA AMARILLO OXIDO</v>
          </cell>
          <cell r="D371">
            <v>12.95</v>
          </cell>
          <cell r="E371">
            <v>14.63</v>
          </cell>
          <cell r="F371">
            <v>18.5</v>
          </cell>
          <cell r="G371">
            <v>20.9</v>
          </cell>
        </row>
        <row r="373">
          <cell r="A373" t="str">
            <v>EBESA1-1</v>
          </cell>
          <cell r="B373" t="str">
            <v>LN</v>
          </cell>
          <cell r="C373" t="str">
            <v>TINTE EXCELBASE MONOCAPA NARANJA</v>
          </cell>
          <cell r="D373">
            <v>56.68</v>
          </cell>
          <cell r="E373">
            <v>64.05</v>
          </cell>
          <cell r="F373">
            <v>80.97</v>
          </cell>
          <cell r="G373">
            <v>91.5</v>
          </cell>
        </row>
        <row r="374">
          <cell r="A374" t="str">
            <v>EBGSA1-1</v>
          </cell>
          <cell r="B374" t="str">
            <v>LN</v>
          </cell>
          <cell r="C374" t="str">
            <v>TINTE EXCELBASE MONOCAPA VERDE AMARILLENTO</v>
          </cell>
          <cell r="D374">
            <v>56.68</v>
          </cell>
          <cell r="E374">
            <v>64.05</v>
          </cell>
          <cell r="F374">
            <v>80.97</v>
          </cell>
          <cell r="G374">
            <v>91.5</v>
          </cell>
        </row>
        <row r="375">
          <cell r="A375" t="str">
            <v>EBGSA2-1</v>
          </cell>
          <cell r="B375" t="str">
            <v>LN</v>
          </cell>
          <cell r="C375" t="str">
            <v>TINTE EXCELBASE MONOCAPA VERDE AZULOSO</v>
          </cell>
          <cell r="D375">
            <v>56.68</v>
          </cell>
          <cell r="E375">
            <v>64.05</v>
          </cell>
          <cell r="F375">
            <v>80.97</v>
          </cell>
          <cell r="G375">
            <v>91.5</v>
          </cell>
        </row>
        <row r="376">
          <cell r="A376" t="str">
            <v>EBLSA1-1</v>
          </cell>
          <cell r="B376" t="str">
            <v>LN</v>
          </cell>
          <cell r="C376" t="str">
            <v>TINTE EXCELBASE MONOCAPA AZUL VERDOSO</v>
          </cell>
          <cell r="D376">
            <v>56.68</v>
          </cell>
          <cell r="E376">
            <v>64.05</v>
          </cell>
          <cell r="F376">
            <v>80.97</v>
          </cell>
          <cell r="G376">
            <v>91.5</v>
          </cell>
        </row>
        <row r="377">
          <cell r="A377" t="str">
            <v>EBLSA2-1</v>
          </cell>
          <cell r="B377" t="str">
            <v>LN</v>
          </cell>
          <cell r="C377" t="str">
            <v>TINTE EXCELBASE MONOCAPA AZUL ROJIZO</v>
          </cell>
          <cell r="D377">
            <v>56.68</v>
          </cell>
          <cell r="E377">
            <v>64.05</v>
          </cell>
          <cell r="F377">
            <v>80.97</v>
          </cell>
          <cell r="G377">
            <v>91.5</v>
          </cell>
        </row>
        <row r="378">
          <cell r="A378" t="str">
            <v>EBMSA1-1</v>
          </cell>
          <cell r="B378" t="str">
            <v>LN</v>
          </cell>
          <cell r="C378" t="str">
            <v>TINTE EXCELBASE MONOCAPA MAGENTA</v>
          </cell>
          <cell r="D378">
            <v>56.68</v>
          </cell>
          <cell r="E378">
            <v>64.05</v>
          </cell>
          <cell r="F378">
            <v>80.97</v>
          </cell>
          <cell r="G378">
            <v>91.5</v>
          </cell>
        </row>
        <row r="379">
          <cell r="A379" t="str">
            <v>EBMSA2-1</v>
          </cell>
          <cell r="B379" t="str">
            <v>LN</v>
          </cell>
          <cell r="C379" t="str">
            <v>TINTE EXCELBASE MONOCAPA MARRON</v>
          </cell>
          <cell r="D379">
            <v>56.68</v>
          </cell>
          <cell r="E379">
            <v>64.05</v>
          </cell>
          <cell r="F379">
            <v>80.97</v>
          </cell>
          <cell r="G379">
            <v>91.5</v>
          </cell>
        </row>
        <row r="380">
          <cell r="A380" t="str">
            <v>EBNSA1-1/4</v>
          </cell>
          <cell r="B380" t="str">
            <v>LN</v>
          </cell>
          <cell r="C380" t="str">
            <v>TINTE EXCELBASE MONOCAPA DORADO</v>
          </cell>
          <cell r="D380">
            <v>14.25</v>
          </cell>
          <cell r="E380">
            <v>16.100000000000001</v>
          </cell>
          <cell r="F380">
            <v>20.350000000000001</v>
          </cell>
          <cell r="G380">
            <v>23</v>
          </cell>
        </row>
        <row r="381">
          <cell r="A381" t="str">
            <v>EBPSA1-1/4</v>
          </cell>
          <cell r="B381" t="str">
            <v>LN</v>
          </cell>
          <cell r="C381" t="str">
            <v>TINTE EXCELBASE MONOCAPA VIOLETA CARBA</v>
          </cell>
          <cell r="D381">
            <v>14.25</v>
          </cell>
          <cell r="E381">
            <v>16.100000000000001</v>
          </cell>
          <cell r="F381">
            <v>20.350000000000001</v>
          </cell>
          <cell r="G381">
            <v>23</v>
          </cell>
        </row>
        <row r="382">
          <cell r="A382" t="str">
            <v>EBRSA4-1</v>
          </cell>
          <cell r="B382" t="str">
            <v>LN</v>
          </cell>
          <cell r="C382" t="str">
            <v>TINTE EXCELBASE MONOCAPA ROJO BRILLANTE</v>
          </cell>
          <cell r="D382">
            <v>56.68</v>
          </cell>
          <cell r="E382">
            <v>64.05</v>
          </cell>
          <cell r="F382">
            <v>80.97</v>
          </cell>
          <cell r="G382">
            <v>91.5</v>
          </cell>
        </row>
        <row r="383">
          <cell r="A383" t="str">
            <v>EBSSA1-1</v>
          </cell>
          <cell r="B383" t="str">
            <v>LN</v>
          </cell>
          <cell r="C383" t="str">
            <v>TINTE EXCELBASE MONOCAPA METALICO BRILLANTE</v>
          </cell>
          <cell r="D383">
            <v>56.68</v>
          </cell>
          <cell r="E383">
            <v>64.05</v>
          </cell>
          <cell r="F383">
            <v>80.97</v>
          </cell>
          <cell r="G383">
            <v>91.5</v>
          </cell>
        </row>
        <row r="384">
          <cell r="A384" t="str">
            <v>EBYSA3-1</v>
          </cell>
          <cell r="B384" t="str">
            <v>LN</v>
          </cell>
          <cell r="C384" t="str">
            <v>TINTE EXCELBASE MONOCAPA AMARILLO VANADATO</v>
          </cell>
          <cell r="D384">
            <v>56.68</v>
          </cell>
          <cell r="E384">
            <v>64.05</v>
          </cell>
          <cell r="F384">
            <v>80.97</v>
          </cell>
          <cell r="G384">
            <v>91.5</v>
          </cell>
        </row>
        <row r="385">
          <cell r="A385" t="str">
            <v>EBYSA5-1</v>
          </cell>
          <cell r="B385" t="str">
            <v>LN</v>
          </cell>
          <cell r="C385" t="str">
            <v>TINTE EXCELBASE MONOCAPA AMARILLO LIMON SP</v>
          </cell>
          <cell r="D385">
            <v>56.68</v>
          </cell>
          <cell r="E385">
            <v>64.05</v>
          </cell>
          <cell r="F385">
            <v>80.97</v>
          </cell>
          <cell r="G385">
            <v>91.5</v>
          </cell>
        </row>
        <row r="386">
          <cell r="A386" t="str">
            <v>EBYSA6-1</v>
          </cell>
          <cell r="B386" t="str">
            <v>LN</v>
          </cell>
          <cell r="C386" t="str">
            <v>TINTE EXCELBASE MONOCAPA AMARILLO MEDIO SP</v>
          </cell>
          <cell r="D386">
            <v>56.68</v>
          </cell>
          <cell r="E386">
            <v>64.05</v>
          </cell>
          <cell r="F386">
            <v>80.97</v>
          </cell>
          <cell r="G386">
            <v>91.5</v>
          </cell>
        </row>
        <row r="388">
          <cell r="A388" t="str">
            <v>P2A43-1/4</v>
          </cell>
          <cell r="B388" t="str">
            <v>LN</v>
          </cell>
          <cell r="C388" t="str">
            <v>PRIMARIO AUTOMOTRIZ ACRILICO GRIS CLARO</v>
          </cell>
          <cell r="D388">
            <v>12.33</v>
          </cell>
          <cell r="E388">
            <v>13.93</v>
          </cell>
          <cell r="F388">
            <v>17.61</v>
          </cell>
          <cell r="G388">
            <v>19.899999999999999</v>
          </cell>
        </row>
        <row r="389">
          <cell r="A389" t="str">
            <v>P2A43-1</v>
          </cell>
          <cell r="B389" t="str">
            <v>LN</v>
          </cell>
          <cell r="C389" t="str">
            <v>PRIMARIO AUTOMOTRIZ ACRILICO GRIS CLARO</v>
          </cell>
          <cell r="D389">
            <v>47.7</v>
          </cell>
          <cell r="E389">
            <v>53.9</v>
          </cell>
          <cell r="F389">
            <v>68.14</v>
          </cell>
          <cell r="G389">
            <v>77</v>
          </cell>
        </row>
        <row r="391">
          <cell r="C391" t="str">
            <v>TINTES PARA ENTREMEZCLAS  SHER LAC</v>
          </cell>
        </row>
        <row r="393">
          <cell r="A393" t="str">
            <v>L4W301-1</v>
          </cell>
          <cell r="B393" t="str">
            <v>LN</v>
          </cell>
          <cell r="C393" t="str">
            <v>TINTE LACA ACRILICA BLANCO</v>
          </cell>
          <cell r="D393">
            <v>40.93</v>
          </cell>
          <cell r="E393">
            <v>46.25</v>
          </cell>
          <cell r="F393">
            <v>55.31</v>
          </cell>
          <cell r="G393">
            <v>62.5</v>
          </cell>
        </row>
        <row r="394">
          <cell r="A394" t="str">
            <v>L4Y303-1</v>
          </cell>
          <cell r="B394" t="str">
            <v>LN</v>
          </cell>
          <cell r="C394" t="str">
            <v>TINTE LACA ACRILICA AMARILLO OXIDO</v>
          </cell>
          <cell r="D394">
            <v>40.93</v>
          </cell>
          <cell r="E394">
            <v>46.25</v>
          </cell>
          <cell r="F394">
            <v>55.31</v>
          </cell>
          <cell r="G394">
            <v>62.5</v>
          </cell>
        </row>
        <row r="395">
          <cell r="A395" t="str">
            <v>L4R304-1</v>
          </cell>
          <cell r="B395" t="str">
            <v>LN</v>
          </cell>
          <cell r="C395" t="str">
            <v>TINTE LACA ACRILICA ROJO OXIDO</v>
          </cell>
          <cell r="D395">
            <v>40.93</v>
          </cell>
          <cell r="E395">
            <v>46.25</v>
          </cell>
          <cell r="F395">
            <v>55.31</v>
          </cell>
          <cell r="G395">
            <v>62.5</v>
          </cell>
        </row>
        <row r="396">
          <cell r="A396" t="str">
            <v>L4B320-1</v>
          </cell>
          <cell r="B396" t="str">
            <v>LN</v>
          </cell>
          <cell r="C396" t="str">
            <v>TINTE LACA ACRILICA EBANO</v>
          </cell>
          <cell r="D396">
            <v>40.93</v>
          </cell>
          <cell r="E396">
            <v>46.25</v>
          </cell>
          <cell r="F396">
            <v>55.31</v>
          </cell>
          <cell r="G396">
            <v>62.5</v>
          </cell>
        </row>
        <row r="397">
          <cell r="A397" t="str">
            <v>T1C323-1</v>
          </cell>
          <cell r="B397" t="str">
            <v>LN</v>
          </cell>
          <cell r="C397" t="str">
            <v>TINTE LACA ACRILICA TRANSPARENTE DE MEZCLA</v>
          </cell>
          <cell r="D397">
            <v>40.93</v>
          </cell>
          <cell r="E397">
            <v>46.25</v>
          </cell>
          <cell r="F397">
            <v>55.31</v>
          </cell>
          <cell r="G397">
            <v>62.5</v>
          </cell>
        </row>
        <row r="399">
          <cell r="A399" t="str">
            <v>L4L309-1</v>
          </cell>
          <cell r="B399" t="str">
            <v>LN</v>
          </cell>
          <cell r="C399" t="str">
            <v>TINTE LACA ACRILICA AZUL VERDOSO</v>
          </cell>
          <cell r="D399">
            <v>50.73</v>
          </cell>
          <cell r="E399">
            <v>57.33</v>
          </cell>
          <cell r="F399">
            <v>72.48</v>
          </cell>
          <cell r="G399">
            <v>81.900000000000006</v>
          </cell>
        </row>
        <row r="400">
          <cell r="A400" t="str">
            <v>L4G311-1</v>
          </cell>
          <cell r="B400" t="str">
            <v>LN</v>
          </cell>
          <cell r="C400" t="str">
            <v>TINTE LACA ACRILICA VERDE AZULOSO</v>
          </cell>
          <cell r="D400">
            <v>50.73</v>
          </cell>
          <cell r="E400">
            <v>57.33</v>
          </cell>
          <cell r="F400">
            <v>72.48</v>
          </cell>
          <cell r="G400">
            <v>81.900000000000006</v>
          </cell>
        </row>
        <row r="401">
          <cell r="A401" t="str">
            <v>L4N314-1</v>
          </cell>
          <cell r="B401" t="str">
            <v>LN</v>
          </cell>
          <cell r="C401" t="str">
            <v>TINTE LACA ACRILICA DORADO</v>
          </cell>
          <cell r="D401">
            <v>50.73</v>
          </cell>
          <cell r="E401">
            <v>57.33</v>
          </cell>
          <cell r="F401">
            <v>72.48</v>
          </cell>
          <cell r="G401">
            <v>81.900000000000006</v>
          </cell>
        </row>
        <row r="402">
          <cell r="A402" t="str">
            <v>L4E317SP-1</v>
          </cell>
          <cell r="B402" t="str">
            <v>LN</v>
          </cell>
          <cell r="C402" t="str">
            <v>TINTE LACA ACRILICA NARANJA SP</v>
          </cell>
          <cell r="D402">
            <v>50.73</v>
          </cell>
          <cell r="E402">
            <v>57.33</v>
          </cell>
          <cell r="F402">
            <v>72.48</v>
          </cell>
          <cell r="G402">
            <v>81.900000000000006</v>
          </cell>
        </row>
        <row r="403">
          <cell r="A403" t="str">
            <v>L4R330-1</v>
          </cell>
          <cell r="B403" t="str">
            <v>LN</v>
          </cell>
          <cell r="C403" t="str">
            <v>TINTE LACA ACRILICA ROJO BRILLANTE</v>
          </cell>
          <cell r="D403">
            <v>50.73</v>
          </cell>
          <cell r="E403">
            <v>57.33</v>
          </cell>
          <cell r="F403">
            <v>72.48</v>
          </cell>
          <cell r="G403">
            <v>81.900000000000006</v>
          </cell>
        </row>
        <row r="404">
          <cell r="A404" t="str">
            <v>L4Y332SP-1</v>
          </cell>
          <cell r="B404" t="str">
            <v>LN</v>
          </cell>
          <cell r="C404" t="str">
            <v>TINTE LACA ACRILICA AMARILLO LIMON SP</v>
          </cell>
          <cell r="D404">
            <v>50.73</v>
          </cell>
          <cell r="E404">
            <v>57.33</v>
          </cell>
          <cell r="F404">
            <v>72.48</v>
          </cell>
          <cell r="G404">
            <v>81.900000000000006</v>
          </cell>
        </row>
        <row r="405">
          <cell r="A405" t="str">
            <v>L4Y333SP-1</v>
          </cell>
          <cell r="B405" t="str">
            <v>LN</v>
          </cell>
          <cell r="C405" t="str">
            <v>TINTE LACA ACRILICA AMARILLO CROMO MEDIO SP</v>
          </cell>
          <cell r="D405">
            <v>50.73</v>
          </cell>
          <cell r="E405">
            <v>57.33</v>
          </cell>
          <cell r="F405">
            <v>72.48</v>
          </cell>
          <cell r="G405">
            <v>81.900000000000006</v>
          </cell>
        </row>
        <row r="406">
          <cell r="A406" t="str">
            <v>L4S335-1</v>
          </cell>
          <cell r="B406" t="str">
            <v>LN</v>
          </cell>
          <cell r="C406" t="str">
            <v>TINTE LACA ACRILICA ALUMINIO BRILLANTE</v>
          </cell>
          <cell r="D406">
            <v>50.73</v>
          </cell>
          <cell r="E406">
            <v>57.33</v>
          </cell>
          <cell r="F406">
            <v>72.48</v>
          </cell>
          <cell r="G406">
            <v>81.900000000000006</v>
          </cell>
        </row>
        <row r="407">
          <cell r="A407" t="str">
            <v>L4S352-1</v>
          </cell>
          <cell r="B407" t="str">
            <v>LN</v>
          </cell>
          <cell r="C407" t="str">
            <v>TINTE LACA ACRILICA METALICO MEDIO GRUESO</v>
          </cell>
          <cell r="D407">
            <v>50.73</v>
          </cell>
          <cell r="E407">
            <v>57.33</v>
          </cell>
          <cell r="F407">
            <v>72.48</v>
          </cell>
          <cell r="G407">
            <v>81.900000000000006</v>
          </cell>
        </row>
        <row r="408">
          <cell r="A408" t="str">
            <v>L4R355-1</v>
          </cell>
          <cell r="B408" t="str">
            <v>LN</v>
          </cell>
          <cell r="C408" t="str">
            <v>TINTE LACA ACRILICA MAGENTA</v>
          </cell>
          <cell r="D408">
            <v>50.73</v>
          </cell>
          <cell r="E408">
            <v>57.33</v>
          </cell>
          <cell r="F408">
            <v>72.48</v>
          </cell>
          <cell r="G408">
            <v>81.900000000000006</v>
          </cell>
        </row>
        <row r="410">
          <cell r="C410" t="str">
            <v xml:space="preserve">LACAS ACRILICAS - APLICACIÓN DIRECTA </v>
          </cell>
        </row>
        <row r="412">
          <cell r="A412" t="str">
            <v>L10B1738-1</v>
          </cell>
          <cell r="B412" t="str">
            <v>LN</v>
          </cell>
          <cell r="C412" t="str">
            <v>TINTE LACA ACRILICA NEGRO</v>
          </cell>
          <cell r="D412">
            <v>47.08</v>
          </cell>
          <cell r="E412">
            <v>53.2</v>
          </cell>
          <cell r="F412">
            <v>67.260000000000005</v>
          </cell>
          <cell r="G412">
            <v>76</v>
          </cell>
        </row>
        <row r="413">
          <cell r="A413" t="str">
            <v>L10W4148-1</v>
          </cell>
          <cell r="B413" t="str">
            <v>LN</v>
          </cell>
          <cell r="C413" t="str">
            <v>TINTE LACA ACRILICA SUPER BLANCO</v>
          </cell>
          <cell r="D413">
            <v>42.68</v>
          </cell>
          <cell r="E413">
            <v>48.23</v>
          </cell>
          <cell r="F413">
            <v>60.97</v>
          </cell>
          <cell r="G413">
            <v>68.900000000000006</v>
          </cell>
        </row>
        <row r="415">
          <cell r="C415" t="str">
            <v>CLEARCOATS SHER LAC</v>
          </cell>
        </row>
        <row r="417">
          <cell r="A417" t="str">
            <v>T1C276-1</v>
          </cell>
          <cell r="B417" t="str">
            <v>LN</v>
          </cell>
          <cell r="C417" t="str">
            <v xml:space="preserve">BARNIZ ACRILICO URETANO 2K </v>
          </cell>
          <cell r="D417">
            <v>41.58</v>
          </cell>
          <cell r="E417">
            <v>46.99</v>
          </cell>
          <cell r="F417">
            <v>56.19</v>
          </cell>
          <cell r="G417">
            <v>63.5</v>
          </cell>
        </row>
        <row r="418">
          <cell r="A418" t="str">
            <v>V6V376-1/16</v>
          </cell>
          <cell r="B418" t="str">
            <v>LN</v>
          </cell>
          <cell r="C418" t="str">
            <v>CATALIZADOR PARA BARNIZ (PARTE B PARA T1C276)</v>
          </cell>
          <cell r="D418">
            <v>7.74</v>
          </cell>
          <cell r="E418">
            <v>8.75</v>
          </cell>
          <cell r="F418">
            <v>11.06</v>
          </cell>
          <cell r="G418">
            <v>12.5</v>
          </cell>
        </row>
        <row r="419">
          <cell r="A419" t="str">
            <v>T1C285-1</v>
          </cell>
          <cell r="B419" t="str">
            <v>LN</v>
          </cell>
          <cell r="C419" t="str">
            <v xml:space="preserve">BARNIZ ACRILICO </v>
          </cell>
          <cell r="D419">
            <v>35.619999999999997</v>
          </cell>
          <cell r="E419">
            <v>40.25</v>
          </cell>
          <cell r="F419">
            <v>49.47</v>
          </cell>
          <cell r="G419">
            <v>55.9</v>
          </cell>
        </row>
        <row r="420">
          <cell r="A420" t="str">
            <v>T1C285-1/4</v>
          </cell>
          <cell r="B420" t="str">
            <v>LN</v>
          </cell>
          <cell r="C420" t="str">
            <v xml:space="preserve">BARNIZ ACRILICO </v>
          </cell>
          <cell r="D420">
            <v>9.8800000000000008</v>
          </cell>
          <cell r="E420">
            <v>11.16</v>
          </cell>
          <cell r="F420">
            <v>13.72</v>
          </cell>
          <cell r="G420">
            <v>15.5</v>
          </cell>
        </row>
        <row r="421">
          <cell r="A421" t="str">
            <v>T1CSA285-1</v>
          </cell>
          <cell r="B421" t="str">
            <v>LN</v>
          </cell>
          <cell r="C421" t="str">
            <v xml:space="preserve">BARNIZ ACRILICO </v>
          </cell>
          <cell r="D421">
            <v>38.04</v>
          </cell>
          <cell r="E421">
            <v>42.98</v>
          </cell>
          <cell r="F421">
            <v>52.83</v>
          </cell>
          <cell r="G421">
            <v>59.7</v>
          </cell>
        </row>
        <row r="423">
          <cell r="C423" t="str">
            <v>PRIMARIOS NITRO</v>
          </cell>
        </row>
        <row r="424">
          <cell r="C424" t="str">
            <v>COMBO PRIMER</v>
          </cell>
        </row>
        <row r="426">
          <cell r="A426" t="str">
            <v>P2A32-1/4</v>
          </cell>
          <cell r="B426" t="str">
            <v>LN</v>
          </cell>
          <cell r="C426" t="str">
            <v>BASE AUTOMOTRIZ NITRO GRIS CLARO</v>
          </cell>
          <cell r="D426">
            <v>10.01</v>
          </cell>
          <cell r="E426">
            <v>11.31</v>
          </cell>
          <cell r="F426">
            <v>12.83</v>
          </cell>
          <cell r="G426">
            <v>14.5</v>
          </cell>
        </row>
        <row r="427">
          <cell r="A427" t="str">
            <v>P2A40-1/4</v>
          </cell>
          <cell r="B427" t="str">
            <v>LN</v>
          </cell>
          <cell r="C427" t="str">
            <v>BASE AUTOMOTRIZ NITRO GRIS OSCURO</v>
          </cell>
          <cell r="D427">
            <v>10.01</v>
          </cell>
          <cell r="E427">
            <v>11.31</v>
          </cell>
          <cell r="F427">
            <v>12.83</v>
          </cell>
          <cell r="G427">
            <v>14.5</v>
          </cell>
        </row>
        <row r="428">
          <cell r="A428" t="str">
            <v>P2N39-1/4</v>
          </cell>
          <cell r="B428" t="str">
            <v>LN</v>
          </cell>
          <cell r="C428" t="str">
            <v>BASE AUTOMOTRIZ NITRO ROJO OXIDO</v>
          </cell>
          <cell r="D428">
            <v>10.01</v>
          </cell>
          <cell r="E428">
            <v>11.31</v>
          </cell>
          <cell r="F428">
            <v>12.83</v>
          </cell>
          <cell r="G428">
            <v>14.5</v>
          </cell>
        </row>
        <row r="429">
          <cell r="A429" t="str">
            <v>P2W38-1/4</v>
          </cell>
          <cell r="B429" t="str">
            <v>LN</v>
          </cell>
          <cell r="C429" t="str">
            <v>BASE AUTOMOTRIZ NITRO BLANCO</v>
          </cell>
          <cell r="D429">
            <v>10.01</v>
          </cell>
          <cell r="E429">
            <v>11.31</v>
          </cell>
          <cell r="F429">
            <v>12.83</v>
          </cell>
          <cell r="G429">
            <v>14.5</v>
          </cell>
        </row>
        <row r="431">
          <cell r="A431" t="str">
            <v>P2A32-1</v>
          </cell>
          <cell r="B431" t="str">
            <v>LN</v>
          </cell>
          <cell r="C431" t="str">
            <v>BASE AUTOMOTRIZ NITRO GRIS CLARO</v>
          </cell>
          <cell r="D431">
            <v>32.1</v>
          </cell>
          <cell r="E431">
            <v>36.270000000000003</v>
          </cell>
          <cell r="F431">
            <v>41.15</v>
          </cell>
          <cell r="G431">
            <v>46.5</v>
          </cell>
        </row>
        <row r="432">
          <cell r="A432" t="str">
            <v>P2A40-1</v>
          </cell>
          <cell r="B432" t="str">
            <v>LN</v>
          </cell>
          <cell r="C432" t="str">
            <v>BASE AUTOMOTRIZ NITRO GRIS OSCURO</v>
          </cell>
          <cell r="D432">
            <v>32.1</v>
          </cell>
          <cell r="E432">
            <v>36.270000000000003</v>
          </cell>
          <cell r="F432">
            <v>41.15</v>
          </cell>
          <cell r="G432">
            <v>46.5</v>
          </cell>
        </row>
        <row r="433">
          <cell r="A433" t="str">
            <v>P2N39-1</v>
          </cell>
          <cell r="B433" t="str">
            <v>LN</v>
          </cell>
          <cell r="C433" t="str">
            <v>BASE AUTOMOTRIZ NITRO ROJO OXIDO</v>
          </cell>
          <cell r="D433">
            <v>32.1</v>
          </cell>
          <cell r="E433">
            <v>36.270000000000003</v>
          </cell>
          <cell r="F433">
            <v>41.15</v>
          </cell>
          <cell r="G433">
            <v>46.5</v>
          </cell>
        </row>
        <row r="434">
          <cell r="A434" t="str">
            <v>P2W38-1</v>
          </cell>
          <cell r="B434" t="str">
            <v>LN</v>
          </cell>
          <cell r="C434" t="str">
            <v>BASE AUTOMOTRIZ NITRO BLANCO</v>
          </cell>
          <cell r="D434">
            <v>32.1</v>
          </cell>
          <cell r="E434">
            <v>36.270000000000003</v>
          </cell>
          <cell r="F434">
            <v>41.15</v>
          </cell>
          <cell r="G434">
            <v>46.5</v>
          </cell>
        </row>
        <row r="436">
          <cell r="C436" t="str">
            <v>TINTES PARA ENTREMEZCLAS OPEX</v>
          </cell>
        </row>
        <row r="438">
          <cell r="A438" t="str">
            <v>L3W301-1</v>
          </cell>
          <cell r="B438" t="str">
            <v>LN</v>
          </cell>
          <cell r="C438" t="str">
            <v>LACA NITROCELULOSICA BLANCO</v>
          </cell>
          <cell r="D438">
            <v>28.49</v>
          </cell>
          <cell r="E438">
            <v>32.19</v>
          </cell>
          <cell r="F438">
            <v>38.5</v>
          </cell>
          <cell r="G438">
            <v>43.5</v>
          </cell>
        </row>
        <row r="439">
          <cell r="A439" t="str">
            <v>L3Y303-1</v>
          </cell>
          <cell r="B439" t="str">
            <v>LN</v>
          </cell>
          <cell r="C439" t="str">
            <v>LACA NITROCELULOSICA AMARILLO OXIDO</v>
          </cell>
          <cell r="D439">
            <v>28.49</v>
          </cell>
          <cell r="E439">
            <v>32.19</v>
          </cell>
          <cell r="F439">
            <v>38.5</v>
          </cell>
          <cell r="G439">
            <v>43.5</v>
          </cell>
        </row>
        <row r="440">
          <cell r="A440" t="str">
            <v>L3R304-1</v>
          </cell>
          <cell r="B440" t="str">
            <v>LN</v>
          </cell>
          <cell r="C440" t="str">
            <v>LACA NITROCELULOSICA ROJO OXIDO</v>
          </cell>
          <cell r="D440">
            <v>28.49</v>
          </cell>
          <cell r="E440">
            <v>32.19</v>
          </cell>
          <cell r="F440">
            <v>38.5</v>
          </cell>
          <cell r="G440">
            <v>43.5</v>
          </cell>
        </row>
        <row r="441">
          <cell r="A441" t="str">
            <v>L3B320-1</v>
          </cell>
          <cell r="B441" t="str">
            <v>LN</v>
          </cell>
          <cell r="C441" t="str">
            <v>LACA NITROCELULOSICA EBANO</v>
          </cell>
          <cell r="D441">
            <v>28.49</v>
          </cell>
          <cell r="E441">
            <v>32.19</v>
          </cell>
          <cell r="F441">
            <v>38.5</v>
          </cell>
          <cell r="G441">
            <v>43.5</v>
          </cell>
        </row>
        <row r="442">
          <cell r="A442" t="str">
            <v>T1C187-1</v>
          </cell>
          <cell r="B442" t="str">
            <v>LN</v>
          </cell>
          <cell r="C442" t="str">
            <v>LACA NITROCELULOSICA TRANSPARENTE DE MEZCLA</v>
          </cell>
          <cell r="D442">
            <v>28.49</v>
          </cell>
          <cell r="E442">
            <v>32.19</v>
          </cell>
          <cell r="F442">
            <v>38.5</v>
          </cell>
          <cell r="G442">
            <v>43.5</v>
          </cell>
        </row>
        <row r="444">
          <cell r="A444" t="str">
            <v>L3L305-1</v>
          </cell>
          <cell r="B444" t="str">
            <v>LN</v>
          </cell>
          <cell r="C444" t="str">
            <v>LACA NITROCELULOSICA AZUL ROJIZO</v>
          </cell>
          <cell r="D444">
            <v>45.78</v>
          </cell>
          <cell r="E444">
            <v>51.73</v>
          </cell>
          <cell r="F444">
            <v>61.86</v>
          </cell>
          <cell r="G444">
            <v>69.900000000000006</v>
          </cell>
        </row>
        <row r="445">
          <cell r="A445" t="str">
            <v>L3L309-1</v>
          </cell>
          <cell r="B445" t="str">
            <v>LN</v>
          </cell>
          <cell r="C445" t="str">
            <v>LACA NITROCELULOSICA AZUL VERDOSO</v>
          </cell>
          <cell r="D445">
            <v>45.78</v>
          </cell>
          <cell r="E445">
            <v>51.73</v>
          </cell>
          <cell r="F445">
            <v>61.86</v>
          </cell>
          <cell r="G445">
            <v>69.900000000000006</v>
          </cell>
        </row>
        <row r="446">
          <cell r="A446" t="str">
            <v>L3G311-1</v>
          </cell>
          <cell r="B446" t="str">
            <v>LN</v>
          </cell>
          <cell r="C446" t="str">
            <v>LACA NITROCELULOSICA VERDE</v>
          </cell>
          <cell r="D446">
            <v>45.78</v>
          </cell>
          <cell r="E446">
            <v>51.73</v>
          </cell>
          <cell r="F446">
            <v>61.86</v>
          </cell>
          <cell r="G446">
            <v>69.900000000000006</v>
          </cell>
        </row>
        <row r="447">
          <cell r="A447" t="str">
            <v>L3N314-1</v>
          </cell>
          <cell r="B447" t="str">
            <v>LN</v>
          </cell>
          <cell r="C447" t="str">
            <v>LACA NITROCELULOSICA DORADO</v>
          </cell>
          <cell r="D447">
            <v>45.78</v>
          </cell>
          <cell r="E447">
            <v>51.73</v>
          </cell>
          <cell r="F447">
            <v>61.86</v>
          </cell>
          <cell r="G447">
            <v>69.900000000000006</v>
          </cell>
        </row>
        <row r="448">
          <cell r="A448" t="str">
            <v>L3E317SP-1</v>
          </cell>
          <cell r="B448" t="str">
            <v>LN</v>
          </cell>
          <cell r="C448" t="str">
            <v>LACA NITROCELULOSICA NARANJA SP</v>
          </cell>
          <cell r="D448">
            <v>45.78</v>
          </cell>
          <cell r="E448">
            <v>51.73</v>
          </cell>
          <cell r="F448">
            <v>61.86</v>
          </cell>
          <cell r="G448">
            <v>69.900000000000006</v>
          </cell>
        </row>
        <row r="449">
          <cell r="A449" t="str">
            <v>L3R330-1</v>
          </cell>
          <cell r="B449" t="str">
            <v>LN</v>
          </cell>
          <cell r="C449" t="str">
            <v>LACA NITROCELULOSICA ROJO BRILLANTE</v>
          </cell>
          <cell r="D449">
            <v>45.78</v>
          </cell>
          <cell r="E449">
            <v>51.73</v>
          </cell>
          <cell r="F449">
            <v>61.86</v>
          </cell>
          <cell r="G449">
            <v>69.900000000000006</v>
          </cell>
        </row>
        <row r="450">
          <cell r="A450" t="str">
            <v>L3Y332SP-1</v>
          </cell>
          <cell r="B450" t="str">
            <v>LN</v>
          </cell>
          <cell r="C450" t="str">
            <v>LACA NITROCELULOSICA AMARILLO LIMON SP</v>
          </cell>
          <cell r="D450">
            <v>45.78</v>
          </cell>
          <cell r="E450">
            <v>51.73</v>
          </cell>
          <cell r="F450">
            <v>61.86</v>
          </cell>
          <cell r="G450">
            <v>69.900000000000006</v>
          </cell>
        </row>
        <row r="451">
          <cell r="A451" t="str">
            <v>L3Y333SP-1</v>
          </cell>
          <cell r="B451" t="str">
            <v>LN</v>
          </cell>
          <cell r="C451" t="str">
            <v>LACA NITROCELULOSICA AMARILLO CROMO MEDIO SP</v>
          </cell>
          <cell r="D451">
            <v>45.78</v>
          </cell>
          <cell r="E451">
            <v>51.73</v>
          </cell>
          <cell r="F451">
            <v>61.86</v>
          </cell>
          <cell r="G451">
            <v>69.900000000000006</v>
          </cell>
        </row>
        <row r="452">
          <cell r="A452" t="str">
            <v>L3S335-1</v>
          </cell>
          <cell r="B452" t="str">
            <v>LN</v>
          </cell>
          <cell r="C452" t="str">
            <v>LACA NITROCELULOSICA METALICO BRILLANTE</v>
          </cell>
          <cell r="D452">
            <v>45.78</v>
          </cell>
          <cell r="E452">
            <v>51.73</v>
          </cell>
          <cell r="F452">
            <v>61.86</v>
          </cell>
          <cell r="G452">
            <v>69.900000000000006</v>
          </cell>
        </row>
        <row r="453">
          <cell r="A453" t="str">
            <v>L3N342-1</v>
          </cell>
          <cell r="B453" t="str">
            <v>LN</v>
          </cell>
          <cell r="C453" t="str">
            <v>LACA NITROCELULOSICA DORADO INTENSO</v>
          </cell>
          <cell r="D453">
            <v>45.78</v>
          </cell>
          <cell r="E453">
            <v>51.73</v>
          </cell>
          <cell r="F453">
            <v>61.86</v>
          </cell>
          <cell r="G453">
            <v>69.900000000000006</v>
          </cell>
        </row>
        <row r="454">
          <cell r="A454" t="str">
            <v>L3M341-1</v>
          </cell>
          <cell r="B454" t="str">
            <v>LN</v>
          </cell>
          <cell r="C454" t="str">
            <v>LACA NITROCELULOSICA MARRON BRILLANTE</v>
          </cell>
          <cell r="D454">
            <v>45.78</v>
          </cell>
          <cell r="E454">
            <v>51.73</v>
          </cell>
          <cell r="F454">
            <v>61.86</v>
          </cell>
          <cell r="G454">
            <v>69.900000000000006</v>
          </cell>
        </row>
        <row r="455">
          <cell r="A455" t="str">
            <v>L3L346-1</v>
          </cell>
          <cell r="B455" t="str">
            <v>LN</v>
          </cell>
          <cell r="C455" t="str">
            <v>LACA NITROCELULOSICA P.T. BLUE</v>
          </cell>
          <cell r="D455">
            <v>45.78</v>
          </cell>
          <cell r="E455">
            <v>51.73</v>
          </cell>
          <cell r="F455">
            <v>61.86</v>
          </cell>
          <cell r="G455">
            <v>69.900000000000006</v>
          </cell>
        </row>
        <row r="456">
          <cell r="A456" t="str">
            <v>L3S350-1</v>
          </cell>
          <cell r="B456" t="str">
            <v>LN</v>
          </cell>
          <cell r="C456" t="str">
            <v>LACA NITROCELULOSICA METALICO MEDIO</v>
          </cell>
          <cell r="D456">
            <v>45.78</v>
          </cell>
          <cell r="E456">
            <v>51.73</v>
          </cell>
          <cell r="F456">
            <v>61.86</v>
          </cell>
          <cell r="G456">
            <v>69.900000000000006</v>
          </cell>
        </row>
        <row r="457">
          <cell r="A457" t="str">
            <v>L3S352-1</v>
          </cell>
          <cell r="B457" t="str">
            <v>LN</v>
          </cell>
          <cell r="C457" t="str">
            <v>LACA NITROCELULOSICA METALICO MEDIO GRUESO</v>
          </cell>
          <cell r="D457">
            <v>45.78</v>
          </cell>
          <cell r="E457">
            <v>51.73</v>
          </cell>
          <cell r="F457">
            <v>61.86</v>
          </cell>
          <cell r="G457">
            <v>69.900000000000006</v>
          </cell>
        </row>
        <row r="458">
          <cell r="A458" t="str">
            <v>L3L353-1/4</v>
          </cell>
          <cell r="B458" t="str">
            <v>LN</v>
          </cell>
          <cell r="C458" t="str">
            <v>LACA NITROCELULOSICA CARBAZOLE VIOLETA</v>
          </cell>
          <cell r="D458">
            <v>12.77</v>
          </cell>
          <cell r="E458">
            <v>14.43</v>
          </cell>
          <cell r="F458">
            <v>16.37</v>
          </cell>
          <cell r="G458">
            <v>18.5</v>
          </cell>
        </row>
        <row r="459">
          <cell r="A459" t="str">
            <v>L3R355-1</v>
          </cell>
          <cell r="B459" t="str">
            <v>LN</v>
          </cell>
          <cell r="C459" t="str">
            <v>LACA NITROCELULOSICA MAGENTA</v>
          </cell>
          <cell r="D459">
            <v>45.78</v>
          </cell>
          <cell r="E459">
            <v>51.73</v>
          </cell>
          <cell r="F459">
            <v>61.86</v>
          </cell>
          <cell r="G459">
            <v>69.900000000000006</v>
          </cell>
        </row>
        <row r="460">
          <cell r="A460" t="str">
            <v>L3RSA4-1</v>
          </cell>
          <cell r="B460" t="str">
            <v>LN</v>
          </cell>
          <cell r="C460" t="str">
            <v>LACA NITROCELULOSICA ROJO DE MEZCLA</v>
          </cell>
          <cell r="D460">
            <v>45.78</v>
          </cell>
          <cell r="E460">
            <v>51.73</v>
          </cell>
          <cell r="F460">
            <v>61.86</v>
          </cell>
          <cell r="G460">
            <v>69.900000000000006</v>
          </cell>
        </row>
        <row r="461">
          <cell r="A461" t="str">
            <v>L3UM7003-1/4</v>
          </cell>
          <cell r="B461" t="str">
            <v>LN</v>
          </cell>
          <cell r="C461" t="str">
            <v>LACA NITROCELULOSICA PERLA BLANCO</v>
          </cell>
          <cell r="D461">
            <v>12.77</v>
          </cell>
          <cell r="E461">
            <v>14.43</v>
          </cell>
          <cell r="F461">
            <v>16.37</v>
          </cell>
          <cell r="G461">
            <v>18.5</v>
          </cell>
        </row>
        <row r="462">
          <cell r="A462" t="str">
            <v>L3UM7004-1/4</v>
          </cell>
          <cell r="B462" t="str">
            <v>LN</v>
          </cell>
          <cell r="C462" t="str">
            <v>LACA NITROCELULOSICA PERLA ROJO</v>
          </cell>
          <cell r="D462">
            <v>12.77</v>
          </cell>
          <cell r="E462">
            <v>14.43</v>
          </cell>
          <cell r="F462">
            <v>16.37</v>
          </cell>
          <cell r="G462">
            <v>18.5</v>
          </cell>
        </row>
        <row r="463">
          <cell r="A463" t="str">
            <v>L3UM7009-1/4</v>
          </cell>
          <cell r="B463" t="str">
            <v>LN</v>
          </cell>
          <cell r="C463" t="str">
            <v>LACA NITROCELULOSICA PERLA AZUL</v>
          </cell>
          <cell r="D463">
            <v>12.77</v>
          </cell>
          <cell r="E463">
            <v>14.43</v>
          </cell>
          <cell r="F463">
            <v>16.37</v>
          </cell>
          <cell r="G463">
            <v>18.5</v>
          </cell>
        </row>
        <row r="464">
          <cell r="A464" t="str">
            <v>L3UM7010-1/4</v>
          </cell>
          <cell r="B464" t="str">
            <v>LN</v>
          </cell>
          <cell r="C464" t="str">
            <v>LACA NITROCELULOSICA PERLA VERDE</v>
          </cell>
          <cell r="D464">
            <v>12.77</v>
          </cell>
          <cell r="E464">
            <v>14.43</v>
          </cell>
          <cell r="F464">
            <v>16.37</v>
          </cell>
          <cell r="G464">
            <v>18.5</v>
          </cell>
        </row>
        <row r="466">
          <cell r="C466" t="str">
            <v>LACAS DE APLICACION DIRECTA</v>
          </cell>
        </row>
        <row r="468">
          <cell r="A468" t="str">
            <v>L1B3137-1</v>
          </cell>
          <cell r="B468" t="str">
            <v>LN</v>
          </cell>
          <cell r="C468" t="str">
            <v>LACA NITROCELULOSICA NEGRO INTENSO</v>
          </cell>
          <cell r="D468">
            <v>35.69</v>
          </cell>
          <cell r="E468">
            <v>40.33</v>
          </cell>
          <cell r="F468">
            <v>48.23</v>
          </cell>
          <cell r="G468">
            <v>54.5</v>
          </cell>
        </row>
        <row r="469">
          <cell r="A469" t="str">
            <v>L1R40SP-1</v>
          </cell>
          <cell r="B469" t="str">
            <v>LN</v>
          </cell>
          <cell r="C469" t="str">
            <v>LACA NITROCELULOSICA ROJO TOLUIDINE SP</v>
          </cell>
          <cell r="D469">
            <v>35.69</v>
          </cell>
          <cell r="E469">
            <v>40.33</v>
          </cell>
          <cell r="F469">
            <v>48.23</v>
          </cell>
          <cell r="G469">
            <v>54.5</v>
          </cell>
        </row>
        <row r="470">
          <cell r="A470" t="str">
            <v>L1W3252-1</v>
          </cell>
          <cell r="B470" t="str">
            <v>LN</v>
          </cell>
          <cell r="C470" t="str">
            <v>LACA NITROCELULOSICA BLANCO</v>
          </cell>
          <cell r="D470">
            <v>35.96</v>
          </cell>
          <cell r="E470">
            <v>40.630000000000003</v>
          </cell>
          <cell r="F470">
            <v>48.58</v>
          </cell>
          <cell r="G470">
            <v>54.9</v>
          </cell>
        </row>
        <row r="472">
          <cell r="A472" t="str">
            <v>T1C290-1</v>
          </cell>
          <cell r="B472" t="str">
            <v>LN</v>
          </cell>
          <cell r="C472" t="str">
            <v xml:space="preserve">OPEX CLEARCOAT 2K </v>
          </cell>
          <cell r="D472">
            <v>26.58</v>
          </cell>
          <cell r="E472">
            <v>30.03</v>
          </cell>
          <cell r="F472">
            <v>37.96</v>
          </cell>
          <cell r="G472">
            <v>42.9</v>
          </cell>
        </row>
        <row r="473">
          <cell r="A473" t="str">
            <v>T1C290-1/4</v>
          </cell>
          <cell r="B473" t="str">
            <v>LN</v>
          </cell>
          <cell r="C473" t="str">
            <v xml:space="preserve">OPEX CLEARCOAT 2K </v>
          </cell>
          <cell r="D473">
            <v>7.74</v>
          </cell>
          <cell r="E473">
            <v>8.75</v>
          </cell>
          <cell r="F473">
            <v>11.06</v>
          </cell>
          <cell r="G473">
            <v>12.5</v>
          </cell>
        </row>
        <row r="475">
          <cell r="A475" t="str">
            <v>V6V291-1/4</v>
          </cell>
          <cell r="B475" t="str">
            <v>LN</v>
          </cell>
          <cell r="C475" t="str">
            <v xml:space="preserve">CATALIZADOR PARA CLEAR OPEX </v>
          </cell>
          <cell r="D475">
            <v>14.25</v>
          </cell>
          <cell r="E475">
            <v>16.100000000000001</v>
          </cell>
          <cell r="F475">
            <v>20.350000000000001</v>
          </cell>
          <cell r="G475">
            <v>23</v>
          </cell>
        </row>
        <row r="476">
          <cell r="A476" t="str">
            <v>V6V291-1/8</v>
          </cell>
          <cell r="B476" t="str">
            <v>LN</v>
          </cell>
          <cell r="C476" t="str">
            <v xml:space="preserve">CATALIZADOR PARA CLEAR OPEX </v>
          </cell>
          <cell r="D476">
            <v>7.74</v>
          </cell>
          <cell r="E476">
            <v>8.75</v>
          </cell>
          <cell r="F476">
            <v>11.06</v>
          </cell>
          <cell r="G476">
            <v>12.5</v>
          </cell>
        </row>
        <row r="477">
          <cell r="A477" t="str">
            <v>V6V291-1/16</v>
          </cell>
          <cell r="B477" t="str">
            <v>LN</v>
          </cell>
          <cell r="C477" t="str">
            <v xml:space="preserve">CATALIZADOR PARA CLEAR OPEX </v>
          </cell>
          <cell r="D477">
            <v>4.8899999999999997</v>
          </cell>
          <cell r="E477">
            <v>5.53</v>
          </cell>
          <cell r="F477">
            <v>6.99</v>
          </cell>
          <cell r="G477">
            <v>7.9</v>
          </cell>
        </row>
        <row r="479">
          <cell r="C479" t="str">
            <v>PRIMARIOS</v>
          </cell>
        </row>
        <row r="481">
          <cell r="A481" t="str">
            <v>E2R27-1</v>
          </cell>
          <cell r="B481" t="str">
            <v>LN</v>
          </cell>
          <cell r="C481" t="str">
            <v>SELLADOR KEM TRANSPORT ROJO OXIDO</v>
          </cell>
          <cell r="D481">
            <v>39.19</v>
          </cell>
          <cell r="E481">
            <v>44.28</v>
          </cell>
          <cell r="F481">
            <v>54.42</v>
          </cell>
          <cell r="G481">
            <v>61.5</v>
          </cell>
        </row>
        <row r="482">
          <cell r="A482" t="str">
            <v>E3A4801-1/4</v>
          </cell>
          <cell r="B482" t="str">
            <v>LN</v>
          </cell>
          <cell r="C482" t="str">
            <v>BASE SINTETICA KEM TRANSPORT GRIS</v>
          </cell>
          <cell r="D482">
            <v>10.51</v>
          </cell>
          <cell r="E482">
            <v>11.88</v>
          </cell>
          <cell r="F482">
            <v>14.6</v>
          </cell>
          <cell r="G482">
            <v>16.5</v>
          </cell>
        </row>
        <row r="483">
          <cell r="A483" t="str">
            <v>E3A4801-1</v>
          </cell>
          <cell r="B483" t="str">
            <v>LN</v>
          </cell>
          <cell r="C483" t="str">
            <v>BASE SINTETICA KEM TRANSPORT GRIS</v>
          </cell>
          <cell r="D483">
            <v>37.53</v>
          </cell>
          <cell r="E483">
            <v>42.41</v>
          </cell>
          <cell r="F483">
            <v>52.12</v>
          </cell>
          <cell r="G483">
            <v>58.9</v>
          </cell>
        </row>
        <row r="485">
          <cell r="C485" t="str">
            <v>TINTES DE ENTREMEZCLA</v>
          </cell>
        </row>
        <row r="487">
          <cell r="A487" t="str">
            <v>F3W301-1</v>
          </cell>
          <cell r="B487" t="str">
            <v>LN</v>
          </cell>
          <cell r="C487" t="str">
            <v>ESMALTE SINTETICO AUTOMOTRIZ BLANCO</v>
          </cell>
          <cell r="D487">
            <v>31.11</v>
          </cell>
          <cell r="E487">
            <v>35.15</v>
          </cell>
          <cell r="F487">
            <v>42.04</v>
          </cell>
          <cell r="G487">
            <v>47.5</v>
          </cell>
        </row>
        <row r="488">
          <cell r="A488" t="str">
            <v>F3Y303-1</v>
          </cell>
          <cell r="B488" t="str">
            <v>LN</v>
          </cell>
          <cell r="C488" t="str">
            <v>ESMALTE SINTETICO AUTOMOTRIZ AMARILLO OXIDO</v>
          </cell>
          <cell r="D488">
            <v>31.11</v>
          </cell>
          <cell r="E488">
            <v>35.15</v>
          </cell>
          <cell r="F488">
            <v>42.04</v>
          </cell>
          <cell r="G488">
            <v>47.5</v>
          </cell>
        </row>
        <row r="489">
          <cell r="A489" t="str">
            <v>F3R304-1</v>
          </cell>
          <cell r="B489" t="str">
            <v>LN</v>
          </cell>
          <cell r="C489" t="str">
            <v>ESMALTE SINTETICO AUTOMOTRIZ ROJO OXIDO</v>
          </cell>
          <cell r="D489">
            <v>31.11</v>
          </cell>
          <cell r="E489">
            <v>35.15</v>
          </cell>
          <cell r="F489">
            <v>42.04</v>
          </cell>
          <cell r="G489">
            <v>47.5</v>
          </cell>
        </row>
        <row r="490">
          <cell r="A490" t="str">
            <v>F3B320-1</v>
          </cell>
          <cell r="B490" t="str">
            <v>LN</v>
          </cell>
          <cell r="C490" t="str">
            <v>ESMALTE SINTETICO AUTOMOTRIZ EBANO</v>
          </cell>
          <cell r="D490">
            <v>31.11</v>
          </cell>
          <cell r="E490">
            <v>35.15</v>
          </cell>
          <cell r="F490">
            <v>42.04</v>
          </cell>
          <cell r="G490">
            <v>47.5</v>
          </cell>
        </row>
        <row r="491">
          <cell r="A491" t="str">
            <v>V2V173-1</v>
          </cell>
          <cell r="B491" t="str">
            <v>LN</v>
          </cell>
          <cell r="C491" t="str">
            <v>ESMALTE SINTETICO AUTOMOTRIZ TRANSPARENTE DE MEZCLA</v>
          </cell>
          <cell r="D491">
            <v>31.11</v>
          </cell>
          <cell r="E491">
            <v>35.15</v>
          </cell>
          <cell r="F491">
            <v>42.04</v>
          </cell>
          <cell r="G491">
            <v>47.5</v>
          </cell>
        </row>
        <row r="492">
          <cell r="A492" t="str">
            <v>V6V5SP-1</v>
          </cell>
          <cell r="B492" t="str">
            <v>LN</v>
          </cell>
          <cell r="C492" t="str">
            <v>ESMALTE SINTETICO AUTOMOTRIZ SECANTE KEM MIX</v>
          </cell>
          <cell r="D492">
            <v>31.11</v>
          </cell>
          <cell r="E492">
            <v>35.15</v>
          </cell>
          <cell r="F492">
            <v>42.04</v>
          </cell>
          <cell r="G492">
            <v>47.5</v>
          </cell>
        </row>
        <row r="494">
          <cell r="A494" t="str">
            <v>F3L305-1</v>
          </cell>
          <cell r="B494" t="str">
            <v>LN</v>
          </cell>
          <cell r="C494" t="str">
            <v>ESMALTE SINTETICO AUTOMOTRIZ AZUL ROJIZO</v>
          </cell>
          <cell r="D494">
            <v>46.82</v>
          </cell>
          <cell r="E494">
            <v>52.91</v>
          </cell>
          <cell r="F494">
            <v>63.27</v>
          </cell>
          <cell r="G494">
            <v>71.5</v>
          </cell>
        </row>
        <row r="495">
          <cell r="A495" t="str">
            <v>F3L309-1</v>
          </cell>
          <cell r="B495" t="str">
            <v>LN</v>
          </cell>
          <cell r="C495" t="str">
            <v>ESMALTE SINTETICO AUTOMOTRIZ AZUL VERDOSO</v>
          </cell>
          <cell r="D495">
            <v>46.82</v>
          </cell>
          <cell r="E495">
            <v>52.91</v>
          </cell>
          <cell r="F495">
            <v>63.27</v>
          </cell>
          <cell r="G495">
            <v>71.5</v>
          </cell>
        </row>
        <row r="496">
          <cell r="A496" t="str">
            <v>F3G311-1</v>
          </cell>
          <cell r="B496" t="str">
            <v>LN</v>
          </cell>
          <cell r="C496" t="str">
            <v>ESMALTE SINTETICO AUTOMOTRIZ VERDE</v>
          </cell>
          <cell r="D496">
            <v>46.82</v>
          </cell>
          <cell r="E496">
            <v>52.91</v>
          </cell>
          <cell r="F496">
            <v>63.27</v>
          </cell>
          <cell r="G496">
            <v>71.5</v>
          </cell>
        </row>
        <row r="497">
          <cell r="A497" t="str">
            <v>F3N314-1</v>
          </cell>
          <cell r="B497" t="str">
            <v>LN</v>
          </cell>
          <cell r="C497" t="str">
            <v>ESMALTE SINTETICO AUTOMOTRIZ DORADO</v>
          </cell>
          <cell r="D497">
            <v>46.82</v>
          </cell>
          <cell r="E497">
            <v>52.91</v>
          </cell>
          <cell r="F497">
            <v>63.27</v>
          </cell>
          <cell r="G497">
            <v>71.5</v>
          </cell>
        </row>
        <row r="498">
          <cell r="A498" t="str">
            <v>F3E317SP-1</v>
          </cell>
          <cell r="B498" t="str">
            <v>LN</v>
          </cell>
          <cell r="C498" t="str">
            <v>ESMALTE SINTETICO AUTOMOTRIZ NARANJA SP</v>
          </cell>
          <cell r="D498">
            <v>46.82</v>
          </cell>
          <cell r="E498">
            <v>52.91</v>
          </cell>
          <cell r="F498">
            <v>63.27</v>
          </cell>
          <cell r="G498">
            <v>71.5</v>
          </cell>
        </row>
        <row r="499">
          <cell r="A499" t="str">
            <v>F3M318-1</v>
          </cell>
          <cell r="B499" t="str">
            <v>LN</v>
          </cell>
          <cell r="C499" t="str">
            <v>ESMALTE SINTETICO AUTOMOTRIZ MARRON</v>
          </cell>
          <cell r="D499">
            <v>46.82</v>
          </cell>
          <cell r="E499">
            <v>52.91</v>
          </cell>
          <cell r="F499">
            <v>63.27</v>
          </cell>
          <cell r="G499">
            <v>71.5</v>
          </cell>
        </row>
        <row r="500">
          <cell r="A500" t="str">
            <v>F3R330-1</v>
          </cell>
          <cell r="B500" t="str">
            <v>LN</v>
          </cell>
          <cell r="C500" t="str">
            <v>ESMALTE SINTETICO AUTOMOTRIZ ROJO BRILLANTE</v>
          </cell>
          <cell r="D500">
            <v>46.82</v>
          </cell>
          <cell r="E500">
            <v>52.91</v>
          </cell>
          <cell r="F500">
            <v>63.27</v>
          </cell>
          <cell r="G500">
            <v>71.5</v>
          </cell>
        </row>
        <row r="501">
          <cell r="A501" t="str">
            <v>F3Y332SP-1</v>
          </cell>
          <cell r="B501" t="str">
            <v>LN</v>
          </cell>
          <cell r="C501" t="str">
            <v>ESMALTE SINTETICO AUTOMOTRIZ AMARILLO LIMON SP</v>
          </cell>
          <cell r="D501">
            <v>46.82</v>
          </cell>
          <cell r="E501">
            <v>52.91</v>
          </cell>
          <cell r="F501">
            <v>63.27</v>
          </cell>
          <cell r="G501">
            <v>71.5</v>
          </cell>
        </row>
        <row r="502">
          <cell r="A502" t="str">
            <v>F3Y333SP-1</v>
          </cell>
          <cell r="B502" t="str">
            <v>LN</v>
          </cell>
          <cell r="C502" t="str">
            <v>ESMALTE SINTETICO AUTOMOTRIZ AMARILLO CROMO MEDIO SP</v>
          </cell>
          <cell r="D502">
            <v>46.82</v>
          </cell>
          <cell r="E502">
            <v>52.91</v>
          </cell>
          <cell r="F502">
            <v>63.27</v>
          </cell>
          <cell r="G502">
            <v>71.5</v>
          </cell>
        </row>
        <row r="503">
          <cell r="A503" t="str">
            <v>F3S335-1</v>
          </cell>
          <cell r="B503" t="str">
            <v>LN</v>
          </cell>
          <cell r="C503" t="str">
            <v>ESMALTE SINTETICO AUTOMOTRIZ METALICO BRILLANTE</v>
          </cell>
          <cell r="D503">
            <v>46.82</v>
          </cell>
          <cell r="E503">
            <v>52.91</v>
          </cell>
          <cell r="F503">
            <v>63.27</v>
          </cell>
          <cell r="G503">
            <v>71.5</v>
          </cell>
        </row>
        <row r="504">
          <cell r="A504" t="str">
            <v>F3N342-1</v>
          </cell>
          <cell r="B504" t="str">
            <v>LN</v>
          </cell>
          <cell r="C504" t="str">
            <v>ESMALTE SINTETICO AUTOMOTRIZ DORADO INTENSO</v>
          </cell>
          <cell r="D504">
            <v>46.82</v>
          </cell>
          <cell r="E504">
            <v>52.91</v>
          </cell>
          <cell r="F504">
            <v>63.27</v>
          </cell>
          <cell r="G504">
            <v>71.5</v>
          </cell>
        </row>
        <row r="505">
          <cell r="A505" t="str">
            <v>F3S350-1</v>
          </cell>
          <cell r="B505" t="str">
            <v>LN</v>
          </cell>
          <cell r="C505" t="str">
            <v>ESMALTE SINTETICO AUTOMOTRIZ METALICO MEDIO</v>
          </cell>
          <cell r="D505">
            <v>46.82</v>
          </cell>
          <cell r="E505">
            <v>52.91</v>
          </cell>
          <cell r="F505">
            <v>63.27</v>
          </cell>
          <cell r="G505">
            <v>71.5</v>
          </cell>
        </row>
        <row r="506">
          <cell r="A506" t="str">
            <v>F3S352-1</v>
          </cell>
          <cell r="B506" t="str">
            <v>LN</v>
          </cell>
          <cell r="C506" t="str">
            <v>ESMALTE SINTETICO AUTOMOTRIZ METALICO MEDIO GRUESO</v>
          </cell>
          <cell r="D506">
            <v>46.82</v>
          </cell>
          <cell r="E506">
            <v>52.91</v>
          </cell>
          <cell r="F506">
            <v>63.27</v>
          </cell>
          <cell r="G506">
            <v>71.5</v>
          </cell>
        </row>
        <row r="507">
          <cell r="A507" t="str">
            <v>F3RSA4-1</v>
          </cell>
          <cell r="B507" t="str">
            <v>LN</v>
          </cell>
          <cell r="C507" t="str">
            <v>ESMALTE SINTETICO AUTOMOTRIZ ROJO PARA MEZCLAS</v>
          </cell>
          <cell r="D507">
            <v>46.82</v>
          </cell>
          <cell r="E507">
            <v>52.91</v>
          </cell>
          <cell r="F507">
            <v>63.27</v>
          </cell>
          <cell r="G507">
            <v>71.5</v>
          </cell>
        </row>
        <row r="509">
          <cell r="C509" t="str">
            <v>KEM TRANSPORT CUSTOM COLORS "F1"</v>
          </cell>
        </row>
        <row r="511">
          <cell r="A511" t="str">
            <v>F1B4009SP-1</v>
          </cell>
          <cell r="B511" t="str">
            <v>LN</v>
          </cell>
          <cell r="C511" t="str">
            <v>ESMALTE SINTETICO AUTOMOTRIZ NEGRO INTENSO SP</v>
          </cell>
          <cell r="D511">
            <v>33.450000000000003</v>
          </cell>
          <cell r="E511">
            <v>37.799999999999997</v>
          </cell>
          <cell r="F511">
            <v>46.46</v>
          </cell>
          <cell r="G511">
            <v>52.5</v>
          </cell>
        </row>
        <row r="512">
          <cell r="A512" t="str">
            <v>F1R4953SP-1</v>
          </cell>
          <cell r="B512" t="str">
            <v>LN</v>
          </cell>
          <cell r="C512" t="str">
            <v>ESMALTE SINTETICO AUTOMOTRIZ ROJO TOLUIDINE SP</v>
          </cell>
          <cell r="D512">
            <v>55.37</v>
          </cell>
          <cell r="E512">
            <v>62.57</v>
          </cell>
          <cell r="F512">
            <v>76.900000000000006</v>
          </cell>
          <cell r="G512">
            <v>86.9</v>
          </cell>
        </row>
        <row r="513">
          <cell r="A513" t="str">
            <v>F1W4000SP-1</v>
          </cell>
          <cell r="B513" t="str">
            <v>LN</v>
          </cell>
          <cell r="C513" t="str">
            <v>ESMALTE SINTETICO AUTOMOTRIZ BLANCO SP</v>
          </cell>
          <cell r="D513">
            <v>32.18</v>
          </cell>
          <cell r="E513">
            <v>36.36</v>
          </cell>
          <cell r="F513">
            <v>44.69</v>
          </cell>
          <cell r="G513">
            <v>50.5</v>
          </cell>
        </row>
        <row r="515">
          <cell r="C515" t="str">
            <v>ADITIVOS KEM TRANSPORT</v>
          </cell>
        </row>
        <row r="517">
          <cell r="A517" t="str">
            <v>V6V253-1/16</v>
          </cell>
          <cell r="B517" t="str">
            <v>LN</v>
          </cell>
          <cell r="C517" t="str">
            <v xml:space="preserve">CATALIZADOR KEM TRANSPORT </v>
          </cell>
          <cell r="D517">
            <v>7.12</v>
          </cell>
          <cell r="E517">
            <v>8.0500000000000007</v>
          </cell>
          <cell r="F517">
            <v>10.18</v>
          </cell>
          <cell r="G517">
            <v>11.5</v>
          </cell>
        </row>
        <row r="519">
          <cell r="C519" t="str">
            <v xml:space="preserve">SOLVENTE PARA PRIMARIOS Y ESMALTES </v>
          </cell>
        </row>
        <row r="520">
          <cell r="C520" t="str">
            <v xml:space="preserve">SINTÉTICOS  "F1" y  "F3" </v>
          </cell>
        </row>
        <row r="521">
          <cell r="A521" t="str">
            <v>R4K183-1</v>
          </cell>
          <cell r="B521" t="str">
            <v>LN</v>
          </cell>
          <cell r="C521" t="str">
            <v>REDUCTOR SINTETICO KEM FLO-GLO (ver precios en lista Solventes)</v>
          </cell>
        </row>
      </sheetData>
      <sheetData sheetId="8">
        <row r="1">
          <cell r="B1" t="str">
            <v>LINEA SOLVENTES - ABRIL 2026</v>
          </cell>
        </row>
        <row r="2">
          <cell r="A2" t="str">
            <v>CÓDIGO</v>
          </cell>
          <cell r="B2" t="str">
            <v>NOMBRE  DEL PRODUCTO</v>
          </cell>
          <cell r="C2" t="str">
            <v>PAD 
ABRIL 2026 SIN IVA</v>
          </cell>
          <cell r="D2" t="str">
            <v>PAD 
ABRIL 2026 CON IVA</v>
          </cell>
          <cell r="E2" t="str">
            <v>PSM 
ABRIL 2026 SIN IVA</v>
          </cell>
          <cell r="F2" t="str">
            <v>PSM 
ABRIL 2026 CON IVA</v>
          </cell>
        </row>
        <row r="3">
          <cell r="B3" t="str">
            <v>REDUCTORES</v>
          </cell>
        </row>
        <row r="4">
          <cell r="B4" t="str">
            <v xml:space="preserve">DILUYENTE RÁPIDO PARA PINTURAS DE ACEITE, </v>
          </cell>
        </row>
        <row r="5">
          <cell r="B5" t="str">
            <v xml:space="preserve">ESMALTES, BARNICES Y TRAFICO ALQUIDICO </v>
          </cell>
        </row>
        <row r="6">
          <cell r="B6" t="str">
            <v xml:space="preserve"> ( APLICACION CON PISTOLA )</v>
          </cell>
        </row>
        <row r="7">
          <cell r="A7" t="str">
            <v>R1K3-1</v>
          </cell>
          <cell r="B7" t="str">
            <v>V.M. &amp; P. NAPHTHA</v>
          </cell>
          <cell r="C7">
            <v>13.1</v>
          </cell>
          <cell r="D7">
            <v>14.8</v>
          </cell>
          <cell r="E7">
            <v>16.37</v>
          </cell>
          <cell r="F7">
            <v>18.5</v>
          </cell>
        </row>
        <row r="8">
          <cell r="A8" t="str">
            <v>R1K3-BOT</v>
          </cell>
          <cell r="B8" t="str">
            <v>V.M. &amp; P. NAPHTHA</v>
          </cell>
          <cell r="C8">
            <v>3.47</v>
          </cell>
          <cell r="D8">
            <v>3.92</v>
          </cell>
          <cell r="E8">
            <v>4.34</v>
          </cell>
          <cell r="F8">
            <v>4.8999999999999995</v>
          </cell>
        </row>
        <row r="10">
          <cell r="B10" t="str">
            <v>DILUYENTE STD. PARA PINTURAS DE ACEITE,</v>
          </cell>
        </row>
        <row r="11">
          <cell r="B11" t="str">
            <v>ESMALTES, BARNICES Y TRAFICO ALQUIDICO</v>
          </cell>
        </row>
        <row r="12">
          <cell r="B12" t="str">
            <v xml:space="preserve"> ( APLICACION CON BROCHA  y / o RODILLO )</v>
          </cell>
        </row>
        <row r="13">
          <cell r="A13" t="str">
            <v>R6K191-1</v>
          </cell>
          <cell r="B13" t="str">
            <v>RETARDADOR PARA LACAS</v>
          </cell>
          <cell r="C13">
            <v>13.81</v>
          </cell>
          <cell r="D13">
            <v>15.6</v>
          </cell>
          <cell r="E13">
            <v>17.260000000000002</v>
          </cell>
          <cell r="F13">
            <v>19.5</v>
          </cell>
        </row>
        <row r="14">
          <cell r="A14" t="str">
            <v>R6K191-BOT</v>
          </cell>
          <cell r="B14" t="str">
            <v>RETARDADOR PARA LACAS</v>
          </cell>
          <cell r="C14">
            <v>3.19</v>
          </cell>
          <cell r="D14">
            <v>3.6</v>
          </cell>
          <cell r="E14">
            <v>3.98</v>
          </cell>
          <cell r="F14">
            <v>4.5</v>
          </cell>
        </row>
        <row r="15">
          <cell r="A15" t="str">
            <v>R2K4-54</v>
          </cell>
          <cell r="B15" t="str">
            <v>INDUSTRIAL REDUCER</v>
          </cell>
          <cell r="C15">
            <v>472.21</v>
          </cell>
          <cell r="D15">
            <v>533.6</v>
          </cell>
          <cell r="E15">
            <v>590.27</v>
          </cell>
          <cell r="F15">
            <v>667</v>
          </cell>
        </row>
        <row r="16">
          <cell r="A16" t="str">
            <v>R2K4-1</v>
          </cell>
          <cell r="B16" t="str">
            <v>INDUSTRIAL REDUCER</v>
          </cell>
          <cell r="C16">
            <v>10.55</v>
          </cell>
          <cell r="D16">
            <v>11.92</v>
          </cell>
          <cell r="E16">
            <v>13.19</v>
          </cell>
          <cell r="F16">
            <v>14.9</v>
          </cell>
        </row>
        <row r="17">
          <cell r="A17" t="str">
            <v>R2K4-BOT</v>
          </cell>
          <cell r="B17" t="str">
            <v>INDUSTRIAL REDUCER</v>
          </cell>
          <cell r="C17">
            <v>3.47</v>
          </cell>
          <cell r="D17">
            <v>3.92</v>
          </cell>
          <cell r="E17">
            <v>4.34</v>
          </cell>
          <cell r="F17">
            <v>4.9000000000000004</v>
          </cell>
        </row>
        <row r="19">
          <cell r="B19" t="str">
            <v>SOLVENTE PARA PINTURA DE PISCINAS, ESMALTES</v>
          </cell>
        </row>
        <row r="20">
          <cell r="B20" t="str">
            <v>HORNEABLES Y TRAFICO CAUCHO CLORADO</v>
          </cell>
        </row>
        <row r="22">
          <cell r="A22" t="str">
            <v>R7K193-54</v>
          </cell>
          <cell r="B22" t="str">
            <v>OPEX RETARDER THINNER 11</v>
          </cell>
          <cell r="C22">
            <v>656.99</v>
          </cell>
          <cell r="D22">
            <v>742.4</v>
          </cell>
          <cell r="E22">
            <v>821.24</v>
          </cell>
          <cell r="F22">
            <v>928</v>
          </cell>
        </row>
        <row r="23">
          <cell r="A23" t="str">
            <v>R7K193-1</v>
          </cell>
          <cell r="B23" t="str">
            <v>OPEX RETARDER THINNER 11</v>
          </cell>
          <cell r="C23">
            <v>14.09</v>
          </cell>
          <cell r="D23">
            <v>15.92</v>
          </cell>
          <cell r="E23">
            <v>17.61</v>
          </cell>
          <cell r="F23">
            <v>19.899999999999999</v>
          </cell>
        </row>
        <row r="24">
          <cell r="A24" t="str">
            <v>R7K193-BOT</v>
          </cell>
          <cell r="B24" t="str">
            <v>OPEX RETARDER THINNER 11</v>
          </cell>
          <cell r="C24">
            <v>4.5999999999999996</v>
          </cell>
          <cell r="D24">
            <v>5.2</v>
          </cell>
          <cell r="E24">
            <v>5.75</v>
          </cell>
          <cell r="F24">
            <v>6.5</v>
          </cell>
        </row>
        <row r="25">
          <cell r="A25" t="str">
            <v>R4K183-1</v>
          </cell>
          <cell r="B25" t="str">
            <v>REDUCTOR SINTETICO KEM FLO-GLO -</v>
          </cell>
          <cell r="C25">
            <v>11.96</v>
          </cell>
          <cell r="D25">
            <v>13.52</v>
          </cell>
          <cell r="E25">
            <v>14.96</v>
          </cell>
          <cell r="F25">
            <v>16.899999999999999</v>
          </cell>
        </row>
        <row r="27">
          <cell r="B27" t="str">
            <v>THINNER Y RETARDADORES</v>
          </cell>
        </row>
        <row r="29">
          <cell r="B29" t="str">
            <v>THINNER PARA SELLADORES Y PRIMARIOS NITROCELULOSICOS</v>
          </cell>
        </row>
        <row r="31">
          <cell r="A31" t="str">
            <v>R7K203-BOT</v>
          </cell>
          <cell r="B31" t="str">
            <v>OPEX "DUAL" LACQUER THINNER  (ACRILICO)</v>
          </cell>
          <cell r="C31">
            <v>3.19</v>
          </cell>
          <cell r="D31">
            <v>3.6</v>
          </cell>
          <cell r="E31">
            <v>3.98</v>
          </cell>
          <cell r="F31">
            <v>4.5</v>
          </cell>
        </row>
        <row r="32">
          <cell r="A32" t="str">
            <v>R7K203-1</v>
          </cell>
          <cell r="B32" t="str">
            <v>OPEX "DUAL" LACQUER THINNER  (ACRILICO)</v>
          </cell>
          <cell r="C32">
            <v>10.27</v>
          </cell>
          <cell r="D32">
            <v>11.6</v>
          </cell>
          <cell r="E32">
            <v>12.83</v>
          </cell>
          <cell r="F32">
            <v>14.5</v>
          </cell>
        </row>
        <row r="33">
          <cell r="A33" t="str">
            <v>R7K203-54</v>
          </cell>
          <cell r="B33" t="str">
            <v>OPEX "DUAL" LACQUER THINNER  (ACRILICO)</v>
          </cell>
          <cell r="C33">
            <v>470.09</v>
          </cell>
          <cell r="D33">
            <v>531.20000000000005</v>
          </cell>
          <cell r="E33">
            <v>587.61</v>
          </cell>
          <cell r="F33">
            <v>664</v>
          </cell>
        </row>
        <row r="34">
          <cell r="A34" t="str">
            <v>R8KSA4-1</v>
          </cell>
          <cell r="B34" t="str">
            <v>REDUCTOR P/POLIURETANO INDUSTR P/CLIMA CALIDO</v>
          </cell>
          <cell r="C34">
            <v>20.46</v>
          </cell>
          <cell r="D34">
            <v>23.12</v>
          </cell>
          <cell r="E34">
            <v>25.58</v>
          </cell>
          <cell r="F34">
            <v>28.9</v>
          </cell>
        </row>
        <row r="36">
          <cell r="B36" t="str">
            <v>SOLVENTE ACRÍLICO PARA LACAS ACRILICAS Y LACAS OPEX</v>
          </cell>
        </row>
        <row r="37">
          <cell r="B37" t="str">
            <v>RETARDADORES</v>
          </cell>
        </row>
        <row r="38">
          <cell r="A38" t="str">
            <v>R7K128-54</v>
          </cell>
          <cell r="B38" t="str">
            <v>OPEX LACQUER THINNER 128</v>
          </cell>
          <cell r="C38">
            <v>447.43</v>
          </cell>
          <cell r="D38">
            <v>505.6</v>
          </cell>
          <cell r="E38">
            <v>559.29</v>
          </cell>
          <cell r="F38">
            <v>632</v>
          </cell>
        </row>
        <row r="39">
          <cell r="A39" t="str">
            <v>R7K128-1</v>
          </cell>
          <cell r="B39" t="str">
            <v>OPEX LACQUER THINNER 128</v>
          </cell>
          <cell r="C39">
            <v>9.84</v>
          </cell>
          <cell r="D39">
            <v>11.12</v>
          </cell>
          <cell r="E39">
            <v>12.3</v>
          </cell>
          <cell r="F39">
            <v>13.9</v>
          </cell>
        </row>
        <row r="40">
          <cell r="A40" t="str">
            <v>R7K128-BOT</v>
          </cell>
          <cell r="B40" t="str">
            <v>OPEX LACQUER THINNER 128</v>
          </cell>
          <cell r="C40">
            <v>2.76</v>
          </cell>
          <cell r="D40">
            <v>3.12</v>
          </cell>
          <cell r="E40">
            <v>3.45</v>
          </cell>
          <cell r="F40">
            <v>3.9</v>
          </cell>
        </row>
        <row r="41">
          <cell r="A41" t="str">
            <v>R6K30-1</v>
          </cell>
          <cell r="B41" t="str">
            <v>SOLVENTE METIL AMIL KETONA</v>
          </cell>
          <cell r="C41">
            <v>27.26</v>
          </cell>
          <cell r="D41">
            <v>30.8</v>
          </cell>
          <cell r="E41">
            <v>34.07</v>
          </cell>
          <cell r="F41">
            <v>38.5</v>
          </cell>
        </row>
        <row r="43">
          <cell r="A43" t="str">
            <v>R7K15-1</v>
          </cell>
          <cell r="B43" t="str">
            <v>SOLVENTE PARA COROTHANE -</v>
          </cell>
          <cell r="C43">
            <v>13.38</v>
          </cell>
          <cell r="D43">
            <v>15.12</v>
          </cell>
          <cell r="E43">
            <v>16.73</v>
          </cell>
          <cell r="F43">
            <v>18.899999999999999</v>
          </cell>
        </row>
        <row r="44">
          <cell r="A44" t="str">
            <v>R8KSA3-1</v>
          </cell>
          <cell r="B44" t="str">
            <v>REDUCTOR P/POLIURETANO INDUSTR P/CLIMA NORMALES</v>
          </cell>
          <cell r="C44">
            <v>18.05</v>
          </cell>
          <cell r="D44">
            <v>20.399999999999999</v>
          </cell>
          <cell r="E44">
            <v>22.57</v>
          </cell>
          <cell r="F44">
            <v>25.5</v>
          </cell>
        </row>
        <row r="45">
          <cell r="A45" t="str">
            <v>R8KSA3-BOT</v>
          </cell>
          <cell r="B45" t="str">
            <v>REDUCTOR P/POLIURETANO INDUSTR P/CLIMA NORMALES</v>
          </cell>
          <cell r="C45">
            <v>4.5999999999999996</v>
          </cell>
          <cell r="D45">
            <v>5.2</v>
          </cell>
          <cell r="E45">
            <v>5.75</v>
          </cell>
          <cell r="F45">
            <v>6.5</v>
          </cell>
        </row>
        <row r="47">
          <cell r="B47" t="str">
            <v>REDUCTOR EXCELBASE</v>
          </cell>
        </row>
        <row r="48">
          <cell r="A48" t="str">
            <v>R7K54-1</v>
          </cell>
          <cell r="B48" t="str">
            <v>REDUCTOR EPOXICO #54 -</v>
          </cell>
          <cell r="C48">
            <v>13.38</v>
          </cell>
          <cell r="D48">
            <v>15.12</v>
          </cell>
          <cell r="E48">
            <v>16.73</v>
          </cell>
          <cell r="F48">
            <v>18.899999999999999</v>
          </cell>
        </row>
        <row r="50">
          <cell r="B50" t="str">
            <v>SOLVENTES LINEA INDUSTRIAL</v>
          </cell>
        </row>
        <row r="51">
          <cell r="A51" t="str">
            <v>R1K4-BOT</v>
          </cell>
          <cell r="B51" t="str">
            <v>MINERAL SPIRITS</v>
          </cell>
          <cell r="C51">
            <v>2.48</v>
          </cell>
          <cell r="D51">
            <v>2.8</v>
          </cell>
          <cell r="E51">
            <v>3.1</v>
          </cell>
          <cell r="F51">
            <v>3.5</v>
          </cell>
        </row>
        <row r="52">
          <cell r="A52" t="str">
            <v>R1K4-1</v>
          </cell>
          <cell r="B52" t="str">
            <v>MINERAL SPIRITS</v>
          </cell>
          <cell r="C52">
            <v>8.42</v>
          </cell>
          <cell r="D52">
            <v>9.52</v>
          </cell>
          <cell r="E52">
            <v>10.53</v>
          </cell>
          <cell r="F52">
            <v>11.9</v>
          </cell>
        </row>
        <row r="53">
          <cell r="A53" t="str">
            <v>R1K4-54</v>
          </cell>
          <cell r="B53" t="str">
            <v>MINERAL SPIRITS</v>
          </cell>
          <cell r="C53">
            <v>410.62</v>
          </cell>
          <cell r="D53">
            <v>464</v>
          </cell>
          <cell r="E53">
            <v>513.27</v>
          </cell>
          <cell r="F53">
            <v>580</v>
          </cell>
        </row>
        <row r="54">
          <cell r="A54" t="str">
            <v>R8KSA1-1</v>
          </cell>
          <cell r="B54" t="str">
            <v>REDUCTOR EXCELBASE UNIVERSAL CLIMA FRESCO</v>
          </cell>
          <cell r="C54">
            <v>21.17</v>
          </cell>
          <cell r="D54">
            <v>23.92</v>
          </cell>
          <cell r="E54">
            <v>26.46</v>
          </cell>
          <cell r="F54">
            <v>29.9</v>
          </cell>
        </row>
        <row r="55">
          <cell r="A55" t="str">
            <v>R8KSA2-1</v>
          </cell>
          <cell r="B55" t="str">
            <v>REDUCTOR EXCELBASE UNIVERSAL CLIMA CALIDO</v>
          </cell>
          <cell r="C55">
            <v>21.17</v>
          </cell>
          <cell r="D55">
            <v>23.92</v>
          </cell>
          <cell r="E55">
            <v>26.46</v>
          </cell>
          <cell r="F55">
            <v>29.9</v>
          </cell>
        </row>
        <row r="56">
          <cell r="A56" t="str">
            <v>W4K263-1</v>
          </cell>
          <cell r="B56" t="str">
            <v>DUAL ETCH METAL CLEANER</v>
          </cell>
          <cell r="C56">
            <v>13.38</v>
          </cell>
          <cell r="D56">
            <v>15.12</v>
          </cell>
          <cell r="E56">
            <v>16.73</v>
          </cell>
          <cell r="F56">
            <v>18.899999999999999</v>
          </cell>
        </row>
        <row r="58">
          <cell r="B58" t="str">
            <v>SOLVENTE PARA PRIMARIOS Y ESMALTES SINTETICOS F1/F3</v>
          </cell>
        </row>
        <row r="59">
          <cell r="A59" t="str">
            <v>R8KSA6-1/4</v>
          </cell>
          <cell r="B59" t="str">
            <v>THINNER POLIURETANO INDUSTRIAL 6040</v>
          </cell>
          <cell r="C59">
            <v>6.3</v>
          </cell>
          <cell r="D59">
            <v>7.12</v>
          </cell>
          <cell r="E59">
            <v>7.88</v>
          </cell>
          <cell r="F59">
            <v>8.9</v>
          </cell>
        </row>
        <row r="60">
          <cell r="A60" t="str">
            <v>R8KSA6-1</v>
          </cell>
          <cell r="B60" t="str">
            <v>THINNER POLIURETANO INDUSTRIAL 6040</v>
          </cell>
          <cell r="C60">
            <v>19.04</v>
          </cell>
          <cell r="D60">
            <v>21.52</v>
          </cell>
          <cell r="E60">
            <v>23.81</v>
          </cell>
          <cell r="F60">
            <v>26.9</v>
          </cell>
        </row>
        <row r="61">
          <cell r="A61" t="str">
            <v>R7K158-1</v>
          </cell>
          <cell r="B61" t="str">
            <v>ULTRA CLEAN  FAST SURFACER  (DESENGRASANTE AUTOMOTRIZ)</v>
          </cell>
          <cell r="C61">
            <v>16.21</v>
          </cell>
          <cell r="D61">
            <v>18.32</v>
          </cell>
          <cell r="E61">
            <v>20.27</v>
          </cell>
          <cell r="F61">
            <v>22.9</v>
          </cell>
        </row>
        <row r="63">
          <cell r="B63" t="str">
            <v>LIMPIADOR DE METALES Y REMOVEDOR DE OXIDOS, LIMPIADOR Y DESENGRASANTE  PARA  ACRILICOS,</v>
          </cell>
        </row>
        <row r="64">
          <cell r="A64" t="str">
            <v>R8KSA5-1</v>
          </cell>
          <cell r="B64" t="str">
            <v>REDUCTOR POLIURETANO INDUSTRIAL</v>
          </cell>
          <cell r="C64">
            <v>19.75</v>
          </cell>
          <cell r="D64">
            <v>22.32</v>
          </cell>
          <cell r="E64">
            <v>24.69</v>
          </cell>
          <cell r="F64">
            <v>27.9</v>
          </cell>
        </row>
        <row r="65">
          <cell r="A65" t="str">
            <v>R8KSA5-1/4</v>
          </cell>
          <cell r="B65" t="str">
            <v>REDUCTOR POLIURETANO INDUSTRIAL</v>
          </cell>
          <cell r="C65">
            <v>7.01</v>
          </cell>
          <cell r="D65">
            <v>7.92</v>
          </cell>
          <cell r="E65">
            <v>8.76</v>
          </cell>
          <cell r="F65">
            <v>9.9</v>
          </cell>
        </row>
      </sheetData>
      <sheetData sheetId="9">
        <row r="1">
          <cell r="B1" t="str">
            <v>LINEA ASOCIADOS ABRIL 2026</v>
          </cell>
        </row>
        <row r="2">
          <cell r="A2" t="str">
            <v>CÓDIGO</v>
          </cell>
          <cell r="B2" t="str">
            <v>NOMBRE DEL PRODUCTO</v>
          </cell>
          <cell r="C2" t="str">
            <v>PAD     ABRIL 2026 SIN IVA</v>
          </cell>
          <cell r="D2" t="str">
            <v>PAD 
ABRIL 2026 CON IVA</v>
          </cell>
          <cell r="E2" t="str">
            <v>PSM 
ABRIL 2026 SIN IVA</v>
          </cell>
          <cell r="F2" t="str">
            <v>PSM 
ABRIL 2026 CON IVA</v>
          </cell>
        </row>
        <row r="3">
          <cell r="B3" t="str">
            <v>BROCHAS SINTETICAS</v>
          </cell>
        </row>
        <row r="5">
          <cell r="B5" t="str">
            <v xml:space="preserve">BROCHAS PROFESIONALES - PURDY </v>
          </cell>
        </row>
        <row r="6">
          <cell r="A6">
            <v>144152320</v>
          </cell>
          <cell r="B6" t="str">
            <v>BROCHA ANGULAR 2PLG POLIESTER PURDY</v>
          </cell>
          <cell r="C6">
            <v>12.39</v>
          </cell>
          <cell r="D6">
            <v>14</v>
          </cell>
          <cell r="E6">
            <v>15.49</v>
          </cell>
          <cell r="F6">
            <v>17.5</v>
          </cell>
        </row>
        <row r="7">
          <cell r="A7">
            <v>144152330</v>
          </cell>
          <cell r="B7" t="str">
            <v>BROCHA ANGULAR 3PLG POLIESTER PURDY</v>
          </cell>
          <cell r="C7">
            <v>18.760000000000002</v>
          </cell>
          <cell r="D7">
            <v>21.2</v>
          </cell>
          <cell r="E7">
            <v>23.45</v>
          </cell>
          <cell r="F7">
            <v>26.5</v>
          </cell>
        </row>
        <row r="8">
          <cell r="A8">
            <v>144380320</v>
          </cell>
          <cell r="B8" t="str">
            <v>BROCHA PROFESIONAL  2PLG POLIESTER PURDY</v>
          </cell>
          <cell r="C8">
            <v>11.96</v>
          </cell>
          <cell r="D8">
            <v>13.52</v>
          </cell>
          <cell r="E8">
            <v>14.96</v>
          </cell>
          <cell r="F8">
            <v>16.899999999999999</v>
          </cell>
        </row>
        <row r="9">
          <cell r="A9">
            <v>144380330</v>
          </cell>
          <cell r="B9" t="str">
            <v>BROCHA PROFESIONAL 3PLG POLIESTER PURDY</v>
          </cell>
          <cell r="C9">
            <v>16.21</v>
          </cell>
          <cell r="D9">
            <v>18.32</v>
          </cell>
          <cell r="E9">
            <v>20.27</v>
          </cell>
          <cell r="F9">
            <v>22.9</v>
          </cell>
        </row>
        <row r="10">
          <cell r="D10" t="str">
            <v/>
          </cell>
        </row>
        <row r="11">
          <cell r="B11" t="str">
            <v>BROCHAS PROFESIONALES - GBS</v>
          </cell>
          <cell r="D11" t="str">
            <v/>
          </cell>
        </row>
        <row r="12">
          <cell r="A12" t="str">
            <v>GBSY2200</v>
          </cell>
          <cell r="B12" t="str">
            <v xml:space="preserve">BROCHA CERDA BLANCA SINTETICA POLIESTER PAINTER ELITE 2" </v>
          </cell>
          <cell r="C12">
            <v>2.27</v>
          </cell>
          <cell r="D12">
            <v>2.57</v>
          </cell>
          <cell r="E12">
            <v>2.92</v>
          </cell>
          <cell r="F12">
            <v>3.3</v>
          </cell>
        </row>
        <row r="13">
          <cell r="A13" t="str">
            <v>GBSY2280</v>
          </cell>
          <cell r="B13" t="str">
            <v xml:space="preserve">BROCHA CERDA BLANCA SINTETICA ANGULAR  POLIESTER PAINTER ELITE 2 1/2" </v>
          </cell>
          <cell r="C13">
            <v>3.8</v>
          </cell>
          <cell r="D13">
            <v>4.29</v>
          </cell>
          <cell r="E13">
            <v>4.87</v>
          </cell>
          <cell r="F13">
            <v>5.5</v>
          </cell>
        </row>
        <row r="14">
          <cell r="A14" t="str">
            <v>GBSY2300</v>
          </cell>
          <cell r="B14" t="str">
            <v xml:space="preserve">BROCHA CERDA BLANCA SINTETICA POLIESTER PAINTER ELITE 3" </v>
          </cell>
          <cell r="C14">
            <v>3.8</v>
          </cell>
          <cell r="D14">
            <v>4.29</v>
          </cell>
          <cell r="E14">
            <v>4.87</v>
          </cell>
          <cell r="F14">
            <v>5.5</v>
          </cell>
        </row>
        <row r="15">
          <cell r="A15" t="str">
            <v>GBSY2400</v>
          </cell>
          <cell r="B15" t="str">
            <v xml:space="preserve">BROCHA CERDA BLANCA SINTETICA POLIESTER PAINTER ELITE 4" </v>
          </cell>
          <cell r="C15">
            <v>4.49</v>
          </cell>
          <cell r="D15">
            <v>5.07</v>
          </cell>
          <cell r="E15">
            <v>5.75</v>
          </cell>
          <cell r="F15">
            <v>6.5</v>
          </cell>
        </row>
        <row r="16">
          <cell r="A16" t="str">
            <v>GBSY2330</v>
          </cell>
          <cell r="B16" t="str">
            <v>BROCHA ANGULAR PAINTER ELITESINTETICA 76.2 mm (3 pulg)</v>
          </cell>
          <cell r="C16">
            <v>3.11</v>
          </cell>
          <cell r="D16">
            <v>3.51</v>
          </cell>
          <cell r="E16">
            <v>3.98</v>
          </cell>
          <cell r="F16">
            <v>4.5</v>
          </cell>
        </row>
        <row r="17">
          <cell r="A17" t="str">
            <v>GBSY2230</v>
          </cell>
          <cell r="B17" t="str">
            <v>BROCHA ANGULAR PAINTER ELITESINTETICA 50.8 mm (2 pulg)</v>
          </cell>
          <cell r="C17">
            <v>2</v>
          </cell>
          <cell r="D17">
            <v>2.2599999999999998</v>
          </cell>
          <cell r="E17">
            <v>2.57</v>
          </cell>
          <cell r="F17">
            <v>2.9</v>
          </cell>
        </row>
        <row r="19">
          <cell r="D19" t="str">
            <v/>
          </cell>
        </row>
        <row r="20">
          <cell r="B20" t="str">
            <v>BROCHAS ESTANDAR - GBS</v>
          </cell>
          <cell r="D20" t="str">
            <v/>
          </cell>
        </row>
        <row r="21">
          <cell r="A21">
            <v>44068</v>
          </cell>
          <cell r="B21" t="str">
            <v>BROCHA CERDA SINTETICA POLIESTER PAINTER PLUS 2"</v>
          </cell>
          <cell r="C21">
            <v>1.93</v>
          </cell>
          <cell r="D21">
            <v>2.1800000000000002</v>
          </cell>
          <cell r="E21">
            <v>2.48</v>
          </cell>
          <cell r="F21">
            <v>2.8</v>
          </cell>
        </row>
        <row r="22">
          <cell r="A22">
            <v>44069</v>
          </cell>
          <cell r="B22" t="str">
            <v>BROCHA CERDA SINTETICA POLIESTER PAINTER PLUS 3"</v>
          </cell>
          <cell r="C22">
            <v>3.11</v>
          </cell>
          <cell r="D22">
            <v>3.51</v>
          </cell>
          <cell r="E22">
            <v>3.98</v>
          </cell>
          <cell r="F22">
            <v>4.5</v>
          </cell>
        </row>
        <row r="23">
          <cell r="A23">
            <v>44070</v>
          </cell>
          <cell r="B23" t="str">
            <v>BROCHA CERDA SINTETICA POLIESTER PAINTER PLUS 4"</v>
          </cell>
          <cell r="C23">
            <v>3.52</v>
          </cell>
          <cell r="D23">
            <v>3.98</v>
          </cell>
          <cell r="E23">
            <v>4.51</v>
          </cell>
          <cell r="F23">
            <v>5.0999999999999996</v>
          </cell>
        </row>
        <row r="24">
          <cell r="A24" t="str">
            <v>44068A</v>
          </cell>
          <cell r="B24" t="str">
            <v>BROCHA CERDA SINTETICA ANGULAR POLIESTER PAINTER PLUS 2"</v>
          </cell>
          <cell r="C24">
            <v>1.8</v>
          </cell>
          <cell r="D24">
            <v>2.0299999999999998</v>
          </cell>
          <cell r="E24">
            <v>2.2999999999999998</v>
          </cell>
          <cell r="F24">
            <v>2.6</v>
          </cell>
        </row>
        <row r="25">
          <cell r="D25" t="str">
            <v/>
          </cell>
        </row>
        <row r="26">
          <cell r="B26" t="str">
            <v>BROCHAS DE CERDA NATURAL</v>
          </cell>
          <cell r="D26" t="str">
            <v/>
          </cell>
        </row>
        <row r="27">
          <cell r="B27" t="str">
            <v>BROCHAS ESTANDAR - GBS</v>
          </cell>
          <cell r="D27" t="str">
            <v/>
          </cell>
        </row>
        <row r="28">
          <cell r="A28">
            <v>44058</v>
          </cell>
          <cell r="B28" t="str">
            <v>BROCHA CERDA NATURAL ESTANDAR PAINTER PLUS 1"</v>
          </cell>
          <cell r="C28">
            <v>1.31</v>
          </cell>
          <cell r="D28">
            <v>1.48</v>
          </cell>
          <cell r="E28">
            <v>1.68</v>
          </cell>
          <cell r="F28">
            <v>1.9</v>
          </cell>
        </row>
        <row r="29">
          <cell r="A29">
            <v>44060</v>
          </cell>
          <cell r="B29" t="str">
            <v>BROCHA CERDA NATURAL ESTANDAR PAINTER PLUS 2"</v>
          </cell>
          <cell r="C29">
            <v>1.73</v>
          </cell>
          <cell r="D29">
            <v>1.95</v>
          </cell>
          <cell r="E29">
            <v>2.21</v>
          </cell>
          <cell r="F29">
            <v>2.5</v>
          </cell>
        </row>
        <row r="30">
          <cell r="A30">
            <v>44062</v>
          </cell>
          <cell r="B30" t="str">
            <v>BROCHA CERDA NATURAL ESTANDAR PAINTER PLUS 3"</v>
          </cell>
          <cell r="C30">
            <v>3.8</v>
          </cell>
          <cell r="D30">
            <v>4.29</v>
          </cell>
          <cell r="E30">
            <v>4.87</v>
          </cell>
          <cell r="F30">
            <v>5.5</v>
          </cell>
        </row>
        <row r="31">
          <cell r="A31">
            <v>44063</v>
          </cell>
          <cell r="B31" t="str">
            <v>BROCHA CERDA NATURAL ESTANDAR PAINTER PLUS 4"</v>
          </cell>
          <cell r="C31">
            <v>4.9800000000000004</v>
          </cell>
          <cell r="D31">
            <v>5.63</v>
          </cell>
          <cell r="E31">
            <v>5.93</v>
          </cell>
          <cell r="F31">
            <v>6.6999999999999993</v>
          </cell>
        </row>
        <row r="32">
          <cell r="A32" t="str">
            <v>44060A</v>
          </cell>
          <cell r="B32" t="str">
            <v>BROCHA CERDA NATURAL ANGULAR ESTÁNDAR PAINTER PLUS 2"</v>
          </cell>
          <cell r="C32">
            <v>2.42</v>
          </cell>
          <cell r="D32">
            <v>2.73</v>
          </cell>
          <cell r="E32">
            <v>3.1</v>
          </cell>
          <cell r="F32">
            <v>3.5</v>
          </cell>
        </row>
        <row r="33">
          <cell r="D33" t="str">
            <v/>
          </cell>
        </row>
        <row r="34">
          <cell r="B34" t="str">
            <v>BROCHAS ECONOMICAS - GBS</v>
          </cell>
          <cell r="D34" t="str">
            <v/>
          </cell>
        </row>
        <row r="35">
          <cell r="A35">
            <v>44043</v>
          </cell>
          <cell r="B35" t="str">
            <v>BROCHA CERDA NATURAL ECONOMICA  PAINTER PLASTIC 1"</v>
          </cell>
          <cell r="C35">
            <v>1.18</v>
          </cell>
          <cell r="D35">
            <v>1.33</v>
          </cell>
          <cell r="E35">
            <v>1.68</v>
          </cell>
          <cell r="F35">
            <v>1.9</v>
          </cell>
        </row>
        <row r="36">
          <cell r="A36">
            <v>44046</v>
          </cell>
          <cell r="B36" t="str">
            <v>BROCHA CERDA NATURAL ECONOMICA  PAINTER PLASTIC 2"</v>
          </cell>
          <cell r="C36">
            <v>1.3</v>
          </cell>
          <cell r="D36">
            <v>1.47</v>
          </cell>
          <cell r="E36">
            <v>1.86</v>
          </cell>
          <cell r="F36">
            <v>2.1</v>
          </cell>
        </row>
        <row r="37">
          <cell r="A37">
            <v>44048</v>
          </cell>
          <cell r="B37" t="str">
            <v>BROCHA CERDA NATURAL ECONOMICA  PAINTER PLASTIC 3"</v>
          </cell>
          <cell r="C37">
            <v>1.87</v>
          </cell>
          <cell r="D37">
            <v>2.11</v>
          </cell>
          <cell r="E37">
            <v>2.39</v>
          </cell>
          <cell r="F37">
            <v>2.7</v>
          </cell>
        </row>
        <row r="38">
          <cell r="A38">
            <v>44049</v>
          </cell>
          <cell r="B38" t="str">
            <v>BROCHA CERDA NATURAL ECONOMICA  PAINTER PLASTIC 4"</v>
          </cell>
          <cell r="C38">
            <v>2</v>
          </cell>
          <cell r="D38">
            <v>2.2599999999999998</v>
          </cell>
          <cell r="E38">
            <v>2.57</v>
          </cell>
          <cell r="F38">
            <v>2.9</v>
          </cell>
        </row>
        <row r="39">
          <cell r="D39" t="str">
            <v/>
          </cell>
        </row>
        <row r="40">
          <cell r="B40" t="str">
            <v xml:space="preserve">SETS DE BROCHAS </v>
          </cell>
          <cell r="D40" t="str">
            <v/>
          </cell>
        </row>
        <row r="41">
          <cell r="A41" t="str">
            <v>JGSY2400</v>
          </cell>
          <cell r="B41" t="str">
            <v>SET 2 BROCHA P ELITE 4''</v>
          </cell>
          <cell r="C41">
            <v>8.6300000000000008</v>
          </cell>
          <cell r="D41">
            <v>9.75</v>
          </cell>
          <cell r="E41">
            <v>11.06</v>
          </cell>
          <cell r="F41">
            <v>12.5</v>
          </cell>
        </row>
        <row r="42">
          <cell r="A42" t="str">
            <v>JGSY2740</v>
          </cell>
          <cell r="B42" t="str">
            <v>SET 2 BROCHAS P ELITE 3" Y  2.5'' ANGULAR</v>
          </cell>
          <cell r="C42">
            <v>5.45</v>
          </cell>
          <cell r="D42">
            <v>6.16</v>
          </cell>
          <cell r="E42">
            <v>6.99</v>
          </cell>
          <cell r="F42">
            <v>7.9</v>
          </cell>
        </row>
        <row r="43">
          <cell r="A43" t="str">
            <v>JGST8200</v>
          </cell>
          <cell r="B43" t="str">
            <v>SET 2 BROCHAS P ELITE 2" Y NATURAL 2"</v>
          </cell>
          <cell r="C43">
            <v>3.41</v>
          </cell>
          <cell r="D43">
            <v>3.85</v>
          </cell>
          <cell r="E43">
            <v>4.87</v>
          </cell>
          <cell r="F43">
            <v>5.5</v>
          </cell>
        </row>
        <row r="44">
          <cell r="A44" t="str">
            <v>CGJ99120</v>
          </cell>
          <cell r="B44" t="str">
            <v>SET RODILLO MICROFIBRA BANDEJAY MANERAL STD</v>
          </cell>
          <cell r="C44">
            <v>4.49</v>
          </cell>
          <cell r="D44">
            <v>5.07</v>
          </cell>
          <cell r="E44">
            <v>5.75</v>
          </cell>
          <cell r="F44">
            <v>6.5</v>
          </cell>
        </row>
        <row r="45">
          <cell r="D45" t="str">
            <v/>
          </cell>
        </row>
        <row r="46">
          <cell r="B46" t="str">
            <v>RODILLOS, BANDEJAS Y ACCESORIOS</v>
          </cell>
          <cell r="D46" t="str">
            <v/>
          </cell>
        </row>
        <row r="47">
          <cell r="D47" t="str">
            <v/>
          </cell>
        </row>
        <row r="48">
          <cell r="B48" t="str">
            <v xml:space="preserve">RODILLOS PURDY </v>
          </cell>
          <cell r="D48" t="str">
            <v/>
          </cell>
        </row>
        <row r="49">
          <cell r="A49" t="str">
            <v>14B670092</v>
          </cell>
          <cell r="B49" t="str">
            <v xml:space="preserve">RODILLO POLIESTER PURDY WHITE DOVE 9X3/8 </v>
          </cell>
          <cell r="C49">
            <v>4.18</v>
          </cell>
          <cell r="D49">
            <v>4.72</v>
          </cell>
          <cell r="E49">
            <v>5.22</v>
          </cell>
          <cell r="F49">
            <v>5.9</v>
          </cell>
        </row>
        <row r="50">
          <cell r="A50" t="str">
            <v>14B863000</v>
          </cell>
          <cell r="B50" t="str">
            <v xml:space="preserve">RODILLO POLIESTER PURDY WHITE DOVE 3PACK 9X3/8 </v>
          </cell>
          <cell r="C50">
            <v>10.119999999999999</v>
          </cell>
          <cell r="D50">
            <v>11.44</v>
          </cell>
          <cell r="E50">
            <v>12.65</v>
          </cell>
          <cell r="F50">
            <v>14.3</v>
          </cell>
        </row>
        <row r="51">
          <cell r="A51">
            <v>140624010</v>
          </cell>
          <cell r="B51" t="str">
            <v>RODILLO POLIESTER PURDY WHITE DOVE 4.5x1/4 2PACK</v>
          </cell>
          <cell r="C51">
            <v>4.88</v>
          </cell>
          <cell r="D51">
            <v>5.52</v>
          </cell>
          <cell r="E51">
            <v>6.11</v>
          </cell>
          <cell r="F51">
            <v>6.9</v>
          </cell>
        </row>
        <row r="52">
          <cell r="A52">
            <v>144688092</v>
          </cell>
          <cell r="B52" t="str">
            <v xml:space="preserve">RODILLO PROFESIONAL CONTRACTOR PURDY 9X3/8 </v>
          </cell>
          <cell r="C52">
            <v>2.76</v>
          </cell>
          <cell r="D52">
            <v>3.12</v>
          </cell>
          <cell r="E52">
            <v>3.45</v>
          </cell>
          <cell r="F52">
            <v>3.9</v>
          </cell>
        </row>
        <row r="53">
          <cell r="A53">
            <v>140867000</v>
          </cell>
          <cell r="B53" t="str">
            <v xml:space="preserve">RODILLO PROFESIONAL CONTRACTOR PURDY 3PACK 9X3/8 </v>
          </cell>
          <cell r="C53">
            <v>7.43</v>
          </cell>
          <cell r="D53">
            <v>8.4</v>
          </cell>
          <cell r="E53">
            <v>9.2899999999999991</v>
          </cell>
          <cell r="F53">
            <v>10.5</v>
          </cell>
        </row>
        <row r="54">
          <cell r="A54">
            <v>140624040</v>
          </cell>
          <cell r="B54" t="str">
            <v xml:space="preserve">RODILLO PARROT ESMALTE 4.5X1/4 2PACK </v>
          </cell>
          <cell r="C54">
            <v>4.8099999999999996</v>
          </cell>
          <cell r="D54">
            <v>5.44</v>
          </cell>
          <cell r="E54">
            <v>6.02</v>
          </cell>
          <cell r="F54">
            <v>6.8</v>
          </cell>
        </row>
        <row r="55">
          <cell r="A55">
            <v>144644091</v>
          </cell>
          <cell r="B55" t="str">
            <v>RODILLO PARROT ESMALTE 9X1/4</v>
          </cell>
          <cell r="C55">
            <v>5.31</v>
          </cell>
          <cell r="D55">
            <v>6</v>
          </cell>
          <cell r="E55">
            <v>6.64</v>
          </cell>
          <cell r="F55">
            <v>7.5</v>
          </cell>
        </row>
        <row r="56">
          <cell r="A56">
            <v>144630094</v>
          </cell>
          <cell r="B56" t="str">
            <v>RODILLO COLOSSUS MICROFIBRA 9 x 3/4</v>
          </cell>
          <cell r="C56">
            <v>6.3</v>
          </cell>
          <cell r="D56">
            <v>7.12</v>
          </cell>
          <cell r="E56">
            <v>7.88</v>
          </cell>
          <cell r="F56">
            <v>8.9</v>
          </cell>
        </row>
        <row r="57">
          <cell r="B57" t="str">
            <v>RODILLO MICROFIBRA</v>
          </cell>
          <cell r="D57" t="str">
            <v/>
          </cell>
        </row>
        <row r="58">
          <cell r="A58" t="str">
            <v>GR99020</v>
          </cell>
          <cell r="B58" t="str">
            <v>RODILLO DE MICROFIBRA GBS 3/8x 9"</v>
          </cell>
          <cell r="C58">
            <v>2.0699999999999998</v>
          </cell>
          <cell r="D58">
            <v>2.34</v>
          </cell>
          <cell r="E58">
            <v>3.45</v>
          </cell>
          <cell r="F58">
            <v>3.9</v>
          </cell>
        </row>
        <row r="59">
          <cell r="A59" t="str">
            <v>GR99021</v>
          </cell>
          <cell r="B59" t="str">
            <v>RODILLO DE MICROFIBRA GBS 3/4x 9"</v>
          </cell>
          <cell r="C59">
            <v>2.2799999999999998</v>
          </cell>
          <cell r="D59">
            <v>2.58</v>
          </cell>
          <cell r="E59">
            <v>3.81</v>
          </cell>
          <cell r="F59">
            <v>4.3</v>
          </cell>
        </row>
        <row r="60">
          <cell r="A60" t="str">
            <v>GR38010</v>
          </cell>
          <cell r="B60" t="str">
            <v>RODILLO DE MICROFIBRA GBS 3"</v>
          </cell>
          <cell r="C60">
            <v>1.1200000000000001</v>
          </cell>
          <cell r="D60">
            <v>1.26</v>
          </cell>
          <cell r="E60">
            <v>1.86</v>
          </cell>
          <cell r="F60">
            <v>2.1</v>
          </cell>
        </row>
        <row r="61">
          <cell r="A61" t="str">
            <v>GK38000</v>
          </cell>
          <cell r="B61" t="str">
            <v>SET DE RODILLO DE MICROFIBRA 3" CON MANERAL</v>
          </cell>
          <cell r="C61">
            <v>2.17</v>
          </cell>
          <cell r="D61">
            <v>2.4500000000000002</v>
          </cell>
          <cell r="E61">
            <v>3.1</v>
          </cell>
          <cell r="F61">
            <v>3.5</v>
          </cell>
        </row>
        <row r="62">
          <cell r="A62" t="str">
            <v>CGJ9900</v>
          </cell>
          <cell r="B62" t="str">
            <v>SET DE 3 RODILLOS DE MICROFIBRA GBS 3/8x 9"</v>
          </cell>
          <cell r="C62">
            <v>4.6500000000000004</v>
          </cell>
          <cell r="D62">
            <v>5.25</v>
          </cell>
          <cell r="E62">
            <v>6.64</v>
          </cell>
          <cell r="F62">
            <v>7.5</v>
          </cell>
        </row>
        <row r="63">
          <cell r="D63" t="str">
            <v/>
          </cell>
        </row>
        <row r="64">
          <cell r="B64" t="str">
            <v>RODILLOS DE POLIESTER</v>
          </cell>
          <cell r="D64" t="str">
            <v/>
          </cell>
        </row>
        <row r="65">
          <cell r="A65" t="str">
            <v>MX-44029</v>
          </cell>
          <cell r="B65" t="str">
            <v>RODILLO PROFESIONAL 3/8"X9"</v>
          </cell>
          <cell r="C65">
            <v>1.33</v>
          </cell>
          <cell r="D65">
            <v>1.5</v>
          </cell>
          <cell r="E65">
            <v>2.21</v>
          </cell>
          <cell r="F65">
            <v>2.5</v>
          </cell>
        </row>
        <row r="66">
          <cell r="A66" t="str">
            <v>MX-44030</v>
          </cell>
          <cell r="B66" t="str">
            <v>RODILLO PROFESIONAL 3/4"X9"</v>
          </cell>
          <cell r="C66">
            <v>1.49</v>
          </cell>
          <cell r="D66">
            <v>1.68</v>
          </cell>
          <cell r="E66">
            <v>2.48</v>
          </cell>
          <cell r="F66">
            <v>2.8</v>
          </cell>
        </row>
        <row r="67">
          <cell r="A67" t="str">
            <v>MX-44031</v>
          </cell>
          <cell r="B67" t="str">
            <v>RODILLO PROFESIONAL 1.1/4"X9"</v>
          </cell>
          <cell r="C67">
            <v>1.54</v>
          </cell>
          <cell r="D67">
            <v>1.74</v>
          </cell>
          <cell r="E67">
            <v>2.57</v>
          </cell>
          <cell r="F67">
            <v>2.9</v>
          </cell>
        </row>
        <row r="68">
          <cell r="A68">
            <v>44025</v>
          </cell>
          <cell r="B68" t="str">
            <v>RODILLO ECONOMICO 3/8'X9"</v>
          </cell>
          <cell r="C68">
            <v>0.99</v>
          </cell>
          <cell r="D68">
            <v>1.1200000000000001</v>
          </cell>
          <cell r="E68">
            <v>1.42</v>
          </cell>
          <cell r="F68">
            <v>1.6</v>
          </cell>
        </row>
        <row r="69">
          <cell r="D69" t="str">
            <v/>
          </cell>
        </row>
        <row r="70">
          <cell r="B70" t="str">
            <v>RODILLOS DE ESPECIALIDADES</v>
          </cell>
          <cell r="D70" t="str">
            <v/>
          </cell>
        </row>
        <row r="71">
          <cell r="A71">
            <v>44033</v>
          </cell>
          <cell r="B71" t="str">
            <v>RODILLO MOHAIR EPOXICO 3/8"X9"</v>
          </cell>
          <cell r="C71">
            <v>2.17</v>
          </cell>
          <cell r="D71">
            <v>2.4500000000000002</v>
          </cell>
          <cell r="E71">
            <v>3.1</v>
          </cell>
          <cell r="F71">
            <v>3.5</v>
          </cell>
        </row>
        <row r="72">
          <cell r="A72">
            <v>44034</v>
          </cell>
          <cell r="B72" t="str">
            <v>RODILLO ESMALTE ENAMEL 3/8"X9"</v>
          </cell>
          <cell r="C72">
            <v>1.8</v>
          </cell>
          <cell r="D72">
            <v>2.0299999999999998</v>
          </cell>
          <cell r="E72">
            <v>2.57</v>
          </cell>
          <cell r="F72">
            <v>2.9</v>
          </cell>
        </row>
        <row r="73">
          <cell r="D73" t="str">
            <v/>
          </cell>
        </row>
        <row r="74">
          <cell r="B74" t="str">
            <v>BANDEJAS</v>
          </cell>
          <cell r="D74" t="str">
            <v/>
          </cell>
        </row>
        <row r="75">
          <cell r="D75" t="str">
            <v/>
          </cell>
        </row>
        <row r="76">
          <cell r="B76" t="str">
            <v>SET DE BANDEJA PURDY</v>
          </cell>
          <cell r="D76" t="str">
            <v/>
          </cell>
        </row>
        <row r="77">
          <cell r="A77" t="str">
            <v>14C810600</v>
          </cell>
          <cell r="B77" t="str">
            <v>MINI SET WHITE DOVE PURDY 4 PIEZAS</v>
          </cell>
          <cell r="C77">
            <v>11.96</v>
          </cell>
          <cell r="D77">
            <v>13.52</v>
          </cell>
          <cell r="E77">
            <v>14.96</v>
          </cell>
          <cell r="F77">
            <v>16.899999999999999</v>
          </cell>
        </row>
        <row r="78">
          <cell r="A78">
            <v>140810200</v>
          </cell>
          <cell r="B78" t="str">
            <v>SET CONTRACTOR PURDY 4 PIEZAS</v>
          </cell>
          <cell r="C78">
            <v>10.55</v>
          </cell>
          <cell r="D78">
            <v>11.92</v>
          </cell>
          <cell r="E78">
            <v>13.19</v>
          </cell>
          <cell r="F78">
            <v>14.9</v>
          </cell>
        </row>
        <row r="79">
          <cell r="A79" t="str">
            <v>GK80010</v>
          </cell>
          <cell r="B79" t="str">
            <v>SUPER KIT GBS 8 PIEZAS</v>
          </cell>
          <cell r="C79">
            <v>9.59</v>
          </cell>
          <cell r="D79">
            <v>10.84</v>
          </cell>
          <cell r="E79">
            <v>12.3</v>
          </cell>
          <cell r="F79">
            <v>13.9</v>
          </cell>
        </row>
        <row r="80">
          <cell r="D80" t="str">
            <v/>
          </cell>
        </row>
        <row r="81">
          <cell r="B81" t="str">
            <v>SET DE BANDEJA GBS</v>
          </cell>
          <cell r="D81" t="str">
            <v/>
          </cell>
        </row>
        <row r="82">
          <cell r="A82" t="str">
            <v>MX-CGJ8499</v>
          </cell>
          <cell r="B82" t="str">
            <v xml:space="preserve">SET DE BANDEJA CON RODILLO MICROFIBRA 3/8' Y MANERAL PROFESIONAL </v>
          </cell>
          <cell r="C82">
            <v>5.18</v>
          </cell>
          <cell r="D82">
            <v>5.85</v>
          </cell>
          <cell r="E82">
            <v>6.64</v>
          </cell>
          <cell r="F82">
            <v>7.5</v>
          </cell>
        </row>
        <row r="83">
          <cell r="A83">
            <v>44041</v>
          </cell>
          <cell r="B83" t="str">
            <v>JUEGO POPULAR RODILLO ECO 3/8" CON BANDEJA Y MANERAL PROFESIONAL</v>
          </cell>
          <cell r="C83">
            <v>5.45</v>
          </cell>
          <cell r="D83">
            <v>6.16</v>
          </cell>
          <cell r="E83">
            <v>6.99</v>
          </cell>
          <cell r="F83">
            <v>7.9</v>
          </cell>
        </row>
        <row r="84">
          <cell r="A84" t="str">
            <v>CGJ8408</v>
          </cell>
          <cell r="B84" t="str">
            <v xml:space="preserve">JUEGO POPULAR ECONOMICO DE BANDEJA CON RODILLO Y MANERAL ECONOMICO </v>
          </cell>
          <cell r="C84">
            <v>4</v>
          </cell>
          <cell r="D84">
            <v>4.5199999999999996</v>
          </cell>
          <cell r="E84">
            <v>5.13</v>
          </cell>
          <cell r="F84">
            <v>5.8</v>
          </cell>
        </row>
        <row r="85">
          <cell r="A85">
            <v>44023</v>
          </cell>
          <cell r="B85" t="str">
            <v>SET DE 2 RODILLITOS DE NYLON ARMAZON Y BANDEJA</v>
          </cell>
          <cell r="C85">
            <v>3.8</v>
          </cell>
          <cell r="D85">
            <v>4.29</v>
          </cell>
          <cell r="E85">
            <v>4.87</v>
          </cell>
          <cell r="F85">
            <v>5.5</v>
          </cell>
        </row>
        <row r="86">
          <cell r="A86" t="str">
            <v>MX-44021</v>
          </cell>
          <cell r="B86" t="str">
            <v>SET DE 5 RODILLITOS DE NYLON  Y ARMAZON</v>
          </cell>
          <cell r="C86">
            <v>4.18</v>
          </cell>
          <cell r="D86">
            <v>4.72</v>
          </cell>
          <cell r="E86">
            <v>5.22</v>
          </cell>
          <cell r="F86">
            <v>5.9</v>
          </cell>
        </row>
        <row r="87">
          <cell r="A87" t="str">
            <v>MX-44040</v>
          </cell>
          <cell r="B87" t="str">
            <v>BANDEJA ECONOMICA PLASTICA 9"</v>
          </cell>
          <cell r="C87">
            <v>2.14</v>
          </cell>
          <cell r="D87">
            <v>2.42</v>
          </cell>
          <cell r="E87">
            <v>2.74</v>
          </cell>
          <cell r="F87">
            <v>3.1</v>
          </cell>
        </row>
        <row r="88">
          <cell r="A88" t="str">
            <v>GBC2400</v>
          </cell>
          <cell r="B88" t="str">
            <v xml:space="preserve">BANDEJITA DE PLASTICO 4" </v>
          </cell>
          <cell r="C88">
            <v>1.73</v>
          </cell>
          <cell r="D88">
            <v>1.95</v>
          </cell>
          <cell r="E88">
            <v>2.21</v>
          </cell>
          <cell r="F88">
            <v>2.5</v>
          </cell>
        </row>
        <row r="89">
          <cell r="D89" t="str">
            <v/>
          </cell>
        </row>
        <row r="90">
          <cell r="B90" t="str">
            <v>MANERALES</v>
          </cell>
          <cell r="D90" t="str">
            <v/>
          </cell>
        </row>
        <row r="91">
          <cell r="D91" t="str">
            <v/>
          </cell>
        </row>
        <row r="92">
          <cell r="A92" t="str">
            <v>14A751129</v>
          </cell>
          <cell r="B92" t="str">
            <v>MANERAL PROFESIONAL PURDY 9"</v>
          </cell>
          <cell r="C92">
            <v>11.66</v>
          </cell>
          <cell r="D92">
            <v>13.18</v>
          </cell>
          <cell r="E92">
            <v>14.96</v>
          </cell>
          <cell r="F92">
            <v>16.899999999999999</v>
          </cell>
        </row>
        <row r="93">
          <cell r="A93" t="str">
            <v>14A770014</v>
          </cell>
          <cell r="B93" t="str">
            <v xml:space="preserve">MANERAL PARA RODILLO PURDY  4-6" </v>
          </cell>
          <cell r="C93">
            <v>5.45</v>
          </cell>
          <cell r="D93">
            <v>6.16</v>
          </cell>
          <cell r="E93">
            <v>6.99</v>
          </cell>
          <cell r="F93">
            <v>7.9</v>
          </cell>
        </row>
        <row r="94">
          <cell r="A94">
            <v>44037</v>
          </cell>
          <cell r="B94" t="str">
            <v>MANERAL PROFESIONAL 9"</v>
          </cell>
          <cell r="C94">
            <v>2.69</v>
          </cell>
          <cell r="D94">
            <v>3.04</v>
          </cell>
          <cell r="E94">
            <v>3.45</v>
          </cell>
          <cell r="F94">
            <v>3.9</v>
          </cell>
        </row>
        <row r="95">
          <cell r="A95">
            <v>44039</v>
          </cell>
          <cell r="B95" t="str">
            <v>MANERAL PROROLL 4"</v>
          </cell>
          <cell r="C95">
            <v>1.04</v>
          </cell>
          <cell r="D95">
            <v>1.17</v>
          </cell>
          <cell r="E95">
            <v>1.33</v>
          </cell>
          <cell r="F95">
            <v>1.5</v>
          </cell>
        </row>
        <row r="96">
          <cell r="A96" t="str">
            <v>GF38000</v>
          </cell>
          <cell r="B96" t="str">
            <v xml:space="preserve">MANERAL MINI 3" </v>
          </cell>
          <cell r="C96">
            <v>1.31</v>
          </cell>
          <cell r="D96">
            <v>1.48</v>
          </cell>
          <cell r="E96">
            <v>1.68</v>
          </cell>
          <cell r="F96">
            <v>1.9</v>
          </cell>
        </row>
        <row r="97">
          <cell r="D97" t="str">
            <v/>
          </cell>
        </row>
        <row r="98">
          <cell r="B98" t="str">
            <v>EXTENSIONES</v>
          </cell>
          <cell r="D98" t="str">
            <v/>
          </cell>
        </row>
        <row r="99">
          <cell r="D99" t="str">
            <v/>
          </cell>
        </row>
        <row r="100">
          <cell r="A100" t="str">
            <v>14P240024</v>
          </cell>
          <cell r="B100" t="str">
            <v>VARA FIBRA EXTENSIBLE PURDY   (1.22 - 2.44 MTS)</v>
          </cell>
          <cell r="C100">
            <v>20.64</v>
          </cell>
          <cell r="D100">
            <v>23.32</v>
          </cell>
          <cell r="E100">
            <v>26.46</v>
          </cell>
          <cell r="F100">
            <v>29.9</v>
          </cell>
        </row>
        <row r="101">
          <cell r="A101" t="str">
            <v>14P240048</v>
          </cell>
          <cell r="B101" t="str">
            <v>VARA FIBRA EXTENSIBLE PURDY   (0.60 - 1.2 MTS)</v>
          </cell>
          <cell r="C101">
            <v>27.43</v>
          </cell>
          <cell r="D101">
            <v>31</v>
          </cell>
          <cell r="E101">
            <v>32.65</v>
          </cell>
          <cell r="F101">
            <v>36.9</v>
          </cell>
        </row>
        <row r="102">
          <cell r="A102" t="str">
            <v>14P240061</v>
          </cell>
          <cell r="B102" t="str">
            <v>VARA FIBRA EXTENSIBLE PURDY (1.83 - 3.66)</v>
          </cell>
          <cell r="C102">
            <v>35.92</v>
          </cell>
          <cell r="D102">
            <v>40.590000000000003</v>
          </cell>
          <cell r="E102">
            <v>43.81</v>
          </cell>
          <cell r="F102">
            <v>49.5</v>
          </cell>
        </row>
        <row r="103">
          <cell r="A103" t="str">
            <v>14P240081</v>
          </cell>
          <cell r="B103" t="str">
            <v>VARA FIBRA EXTENSIBLE PURDY  (2.4 m - 4.9 MTS)</v>
          </cell>
          <cell r="C103">
            <v>43.47</v>
          </cell>
          <cell r="D103">
            <v>49.12</v>
          </cell>
          <cell r="E103">
            <v>53.01</v>
          </cell>
          <cell r="F103">
            <v>59.9</v>
          </cell>
        </row>
        <row r="104">
          <cell r="A104">
            <v>140855681</v>
          </cell>
          <cell r="B104" t="str">
            <v>VARA EXTENSIBLE PURDY 8 - 16 PIES|- (2.40 - 4.80 MTS)</v>
          </cell>
          <cell r="C104">
            <v>37.520000000000003</v>
          </cell>
          <cell r="D104">
            <v>42.4</v>
          </cell>
          <cell r="E104">
            <v>46.9</v>
          </cell>
          <cell r="F104">
            <v>53</v>
          </cell>
        </row>
        <row r="105">
          <cell r="A105" t="str">
            <v>EEA1002</v>
          </cell>
          <cell r="B105" t="str">
            <v>VARA ALUMINIO EXTENSIBLE GBS 2 MT.</v>
          </cell>
          <cell r="C105">
            <v>7.01</v>
          </cell>
          <cell r="D105">
            <v>7.92</v>
          </cell>
          <cell r="E105">
            <v>8.76</v>
          </cell>
          <cell r="F105">
            <v>9.9</v>
          </cell>
        </row>
        <row r="106">
          <cell r="A106" t="str">
            <v>EEA1003</v>
          </cell>
          <cell r="B106" t="str">
            <v>VARA ALUMINIO EXTENSIBLE GBS 3 MT.</v>
          </cell>
          <cell r="C106">
            <v>7.72</v>
          </cell>
          <cell r="D106">
            <v>8.7200000000000006</v>
          </cell>
          <cell r="E106">
            <v>9.65</v>
          </cell>
          <cell r="F106">
            <v>10.9</v>
          </cell>
        </row>
        <row r="107">
          <cell r="D107" t="str">
            <v/>
          </cell>
        </row>
        <row r="108">
          <cell r="B108" t="str">
            <v>HERRAMIENTAS PURDY</v>
          </cell>
          <cell r="D108" t="str">
            <v/>
          </cell>
        </row>
        <row r="109">
          <cell r="D109" t="str">
            <v/>
          </cell>
        </row>
        <row r="110">
          <cell r="A110" t="str">
            <v>14A900520</v>
          </cell>
          <cell r="B110" t="str">
            <v xml:space="preserve">HERRAMIENTA LIMPIADOR PARA BROCHA Y RODILLO PURDY </v>
          </cell>
          <cell r="C110">
            <v>3.08</v>
          </cell>
          <cell r="D110">
            <v>3.48</v>
          </cell>
          <cell r="E110">
            <v>4.16</v>
          </cell>
          <cell r="F110">
            <v>4.6999999999999993</v>
          </cell>
        </row>
        <row r="111">
          <cell r="A111" t="str">
            <v>14A900510</v>
          </cell>
          <cell r="B111" t="str">
            <v xml:space="preserve">HERRAMIENTA PURDY 5 EN 1 </v>
          </cell>
          <cell r="C111">
            <v>3.45</v>
          </cell>
          <cell r="D111">
            <v>3.9</v>
          </cell>
          <cell r="E111">
            <v>4.42</v>
          </cell>
          <cell r="F111">
            <v>5</v>
          </cell>
        </row>
        <row r="112">
          <cell r="A112" t="str">
            <v>14A900360</v>
          </cell>
          <cell r="B112" t="str">
            <v>ESPATULA PURDY JOINT KNIFE 6</v>
          </cell>
          <cell r="C112">
            <v>7.01</v>
          </cell>
          <cell r="D112">
            <v>7.92</v>
          </cell>
          <cell r="E112">
            <v>8.76</v>
          </cell>
          <cell r="F112">
            <v>9.9</v>
          </cell>
        </row>
        <row r="113">
          <cell r="A113" t="str">
            <v>14T921000</v>
          </cell>
          <cell r="B113" t="str">
            <v xml:space="preserve">CUBETA PARA PINTOR PURDY </v>
          </cell>
          <cell r="C113">
            <v>11.08</v>
          </cell>
          <cell r="D113">
            <v>12.52</v>
          </cell>
          <cell r="E113">
            <v>13.19</v>
          </cell>
          <cell r="F113">
            <v>14.9</v>
          </cell>
        </row>
        <row r="114">
          <cell r="D114" t="str">
            <v/>
          </cell>
        </row>
        <row r="115">
          <cell r="B115" t="str">
            <v>ESPATULA Y CEPILLO ALAMBRE</v>
          </cell>
          <cell r="D115" t="str">
            <v/>
          </cell>
        </row>
        <row r="116">
          <cell r="D116" t="str">
            <v/>
          </cell>
        </row>
        <row r="117">
          <cell r="A117" t="str">
            <v>AR20457</v>
          </cell>
          <cell r="B117" t="str">
            <v>CEPILLO DE ALAMBRE CON MANGO</v>
          </cell>
          <cell r="C117">
            <v>1.35</v>
          </cell>
          <cell r="D117">
            <v>1.52</v>
          </cell>
          <cell r="E117">
            <v>1.68</v>
          </cell>
          <cell r="F117">
            <v>1.9</v>
          </cell>
        </row>
        <row r="118">
          <cell r="A118">
            <v>140900660</v>
          </cell>
          <cell r="B118" t="str">
            <v>ESPATULA FLEXIBLE 6 (HASTA AGOTAR EXISTENCIAS)</v>
          </cell>
          <cell r="C118">
            <v>2.0499999999999998</v>
          </cell>
          <cell r="D118">
            <v>2.3199999999999998</v>
          </cell>
          <cell r="E118">
            <v>2.57</v>
          </cell>
          <cell r="F118">
            <v>2.9</v>
          </cell>
        </row>
        <row r="119">
          <cell r="A119">
            <v>140900715</v>
          </cell>
          <cell r="B119" t="str">
            <v>ESPATULA RIGIDA 1.5 (HASTA AGOTAR EXISTENCIAS)</v>
          </cell>
          <cell r="C119">
            <v>1.35</v>
          </cell>
          <cell r="D119">
            <v>1.52</v>
          </cell>
          <cell r="E119">
            <v>1.68</v>
          </cell>
          <cell r="F119">
            <v>1.9</v>
          </cell>
        </row>
        <row r="121">
          <cell r="B121" t="str">
            <v xml:space="preserve">AEROSOLES </v>
          </cell>
          <cell r="D121" t="str">
            <v/>
          </cell>
        </row>
        <row r="122">
          <cell r="D122" t="str">
            <v/>
          </cell>
        </row>
        <row r="123">
          <cell r="B123" t="str">
            <v xml:space="preserve">COLORES ESMALTE - ABRO </v>
          </cell>
          <cell r="D123" t="str">
            <v/>
          </cell>
        </row>
        <row r="124">
          <cell r="A124" t="str">
            <v>SP-011</v>
          </cell>
          <cell r="B124" t="str">
            <v xml:space="preserve">SPRAY ABRO NEGRO BRILLANTE </v>
          </cell>
          <cell r="C124">
            <v>1.71</v>
          </cell>
          <cell r="D124">
            <v>1.93</v>
          </cell>
          <cell r="E124">
            <v>2.04</v>
          </cell>
          <cell r="F124">
            <v>2.2999999999999998</v>
          </cell>
        </row>
        <row r="125">
          <cell r="A125" t="str">
            <v>SP-012</v>
          </cell>
          <cell r="B125" t="str">
            <v xml:space="preserve">SPRAY ABRO NEGRO MATE </v>
          </cell>
          <cell r="C125">
            <v>1.71</v>
          </cell>
          <cell r="D125">
            <v>1.93</v>
          </cell>
          <cell r="E125">
            <v>2.04</v>
          </cell>
          <cell r="F125">
            <v>2.2999999999999998</v>
          </cell>
        </row>
        <row r="126">
          <cell r="A126" t="str">
            <v>SP-016</v>
          </cell>
          <cell r="B126" t="str">
            <v xml:space="preserve">SPRAY ABRO BLANCO BRILLANTE </v>
          </cell>
          <cell r="C126">
            <v>1.71</v>
          </cell>
          <cell r="D126">
            <v>1.93</v>
          </cell>
          <cell r="E126">
            <v>2.04</v>
          </cell>
          <cell r="F126">
            <v>2.2999999999999998</v>
          </cell>
        </row>
        <row r="127">
          <cell r="A127" t="str">
            <v>SP-020</v>
          </cell>
          <cell r="B127" t="str">
            <v xml:space="preserve">SPRAY ABRO BLANCO MATE </v>
          </cell>
          <cell r="C127">
            <v>1.71</v>
          </cell>
          <cell r="D127">
            <v>1.93</v>
          </cell>
          <cell r="E127">
            <v>2.04</v>
          </cell>
          <cell r="F127">
            <v>2.2999999999999998</v>
          </cell>
        </row>
        <row r="128">
          <cell r="A128" t="str">
            <v>SP-031</v>
          </cell>
          <cell r="B128" t="str">
            <v xml:space="preserve">SPRAY ABRO TRANSPARENTE </v>
          </cell>
          <cell r="C128">
            <v>1.71</v>
          </cell>
          <cell r="D128">
            <v>1.93</v>
          </cell>
          <cell r="E128">
            <v>2.04</v>
          </cell>
          <cell r="F128">
            <v>2.2999999999999998</v>
          </cell>
        </row>
        <row r="129">
          <cell r="A129" t="str">
            <v>SP-073</v>
          </cell>
          <cell r="B129" t="str">
            <v xml:space="preserve">SPRAY ABRO ROJO FUEGO </v>
          </cell>
          <cell r="C129">
            <v>1.71</v>
          </cell>
          <cell r="D129">
            <v>1.93</v>
          </cell>
          <cell r="E129">
            <v>2.04</v>
          </cell>
          <cell r="F129">
            <v>2.2999999999999998</v>
          </cell>
        </row>
        <row r="130">
          <cell r="A130" t="str">
            <v>SP-032</v>
          </cell>
          <cell r="B130" t="str">
            <v xml:space="preserve">SPRAY ABRO CELESTE </v>
          </cell>
          <cell r="C130">
            <v>1.71</v>
          </cell>
          <cell r="D130">
            <v>1.93</v>
          </cell>
          <cell r="E130">
            <v>2.04</v>
          </cell>
          <cell r="F130">
            <v>2.2999999999999998</v>
          </cell>
        </row>
        <row r="131">
          <cell r="A131" t="str">
            <v>SP-048</v>
          </cell>
          <cell r="B131" t="str">
            <v>SPRAY ABRO VERDE</v>
          </cell>
          <cell r="C131">
            <v>1.71</v>
          </cell>
          <cell r="D131">
            <v>1.93</v>
          </cell>
          <cell r="E131">
            <v>2.04</v>
          </cell>
          <cell r="F131">
            <v>2.2999999999999998</v>
          </cell>
        </row>
        <row r="132">
          <cell r="A132" t="str">
            <v>SP-053</v>
          </cell>
          <cell r="B132" t="str">
            <v xml:space="preserve">SPRAY  ABRO AMARILLO </v>
          </cell>
          <cell r="C132">
            <v>1.71</v>
          </cell>
          <cell r="D132">
            <v>1.93</v>
          </cell>
          <cell r="E132">
            <v>2.04</v>
          </cell>
          <cell r="F132">
            <v>2.2999999999999998</v>
          </cell>
        </row>
        <row r="133">
          <cell r="A133" t="str">
            <v>SP-067</v>
          </cell>
          <cell r="B133" t="str">
            <v>SPRAY ABRO CAFÉ</v>
          </cell>
          <cell r="C133">
            <v>1.71</v>
          </cell>
          <cell r="D133">
            <v>1.93</v>
          </cell>
          <cell r="E133">
            <v>2.04</v>
          </cell>
          <cell r="F133">
            <v>2.2999999999999998</v>
          </cell>
        </row>
        <row r="134">
          <cell r="A134" t="str">
            <v>SP-084</v>
          </cell>
          <cell r="B134" t="str">
            <v>SPRAY ABRO GRIS</v>
          </cell>
          <cell r="C134">
            <v>1.71</v>
          </cell>
          <cell r="D134">
            <v>1.93</v>
          </cell>
          <cell r="E134">
            <v>2.04</v>
          </cell>
          <cell r="F134">
            <v>2.2999999999999998</v>
          </cell>
        </row>
        <row r="135">
          <cell r="A135" t="str">
            <v>SP-045</v>
          </cell>
          <cell r="B135" t="str">
            <v>SPRAY ABRO VERDE CLARO</v>
          </cell>
          <cell r="C135">
            <v>1.71</v>
          </cell>
          <cell r="D135">
            <v>1.93</v>
          </cell>
          <cell r="E135">
            <v>2.04</v>
          </cell>
          <cell r="F135">
            <v>2.2999999999999998</v>
          </cell>
        </row>
        <row r="136">
          <cell r="D136" t="str">
            <v/>
          </cell>
        </row>
        <row r="137">
          <cell r="B137" t="str">
            <v>AEROSOLES NOW - COLORES</v>
          </cell>
          <cell r="D137" t="str">
            <v/>
          </cell>
        </row>
        <row r="138">
          <cell r="D138" t="str">
            <v/>
          </cell>
        </row>
        <row r="139">
          <cell r="B139" t="str">
            <v>METALICOS</v>
          </cell>
          <cell r="D139" t="str">
            <v/>
          </cell>
        </row>
        <row r="140">
          <cell r="A140" t="str">
            <v>SP-417</v>
          </cell>
          <cell r="B140" t="str">
            <v xml:space="preserve">SPRAY ABRO CROMADO </v>
          </cell>
          <cell r="C140">
            <v>3.12</v>
          </cell>
          <cell r="D140">
            <v>3.53</v>
          </cell>
          <cell r="E140">
            <v>3.72</v>
          </cell>
          <cell r="F140">
            <v>4.2</v>
          </cell>
        </row>
        <row r="141">
          <cell r="A141" t="str">
            <v>SP-418</v>
          </cell>
          <cell r="B141" t="str">
            <v xml:space="preserve">SPRAY ABRO DORADO 18 KT </v>
          </cell>
          <cell r="C141">
            <v>3.12</v>
          </cell>
          <cell r="D141">
            <v>3.53</v>
          </cell>
          <cell r="E141">
            <v>3.72</v>
          </cell>
          <cell r="F141">
            <v>4.2</v>
          </cell>
        </row>
        <row r="142">
          <cell r="A142" t="str">
            <v>SP-026</v>
          </cell>
          <cell r="B142" t="str">
            <v xml:space="preserve">SPRAY ABRO ALUMINIO </v>
          </cell>
          <cell r="C142">
            <v>2.2999999999999998</v>
          </cell>
          <cell r="D142">
            <v>2.6</v>
          </cell>
          <cell r="E142">
            <v>2.74</v>
          </cell>
          <cell r="F142">
            <v>3.1</v>
          </cell>
        </row>
        <row r="143">
          <cell r="D143" t="str">
            <v/>
          </cell>
        </row>
        <row r="144">
          <cell r="B144" t="str">
            <v>SPRAY 6000 FAST DRY</v>
          </cell>
        </row>
        <row r="145">
          <cell r="A145" t="str">
            <v>SW0200BB</v>
          </cell>
          <cell r="B145" t="str">
            <v>SPRAY 6000 FAST DRY BLANCO BRILLANTE</v>
          </cell>
          <cell r="C145">
            <v>4.6500000000000004</v>
          </cell>
          <cell r="D145">
            <v>5.25</v>
          </cell>
          <cell r="E145">
            <v>6.64</v>
          </cell>
          <cell r="F145">
            <v>7.5</v>
          </cell>
        </row>
        <row r="146">
          <cell r="A146" t="str">
            <v>SW0100NB</v>
          </cell>
          <cell r="B146" t="str">
            <v>SPRAY 6000 FAST DRY NEGRO BRILLANTE</v>
          </cell>
          <cell r="C146">
            <v>4.6500000000000004</v>
          </cell>
          <cell r="D146">
            <v>5.25</v>
          </cell>
          <cell r="E146">
            <v>6.64</v>
          </cell>
          <cell r="F146">
            <v>7.5</v>
          </cell>
        </row>
        <row r="147">
          <cell r="A147" t="str">
            <v>SW1100NM</v>
          </cell>
          <cell r="B147" t="str">
            <v>SPRAY 6000 FAST DRY NEGRO MATE</v>
          </cell>
          <cell r="C147">
            <v>4.6500000000000004</v>
          </cell>
          <cell r="D147">
            <v>5.25</v>
          </cell>
          <cell r="E147">
            <v>6.64</v>
          </cell>
          <cell r="F147">
            <v>7.5</v>
          </cell>
        </row>
        <row r="148">
          <cell r="A148" t="str">
            <v>SW1200BM</v>
          </cell>
          <cell r="B148" t="str">
            <v>SPRAY 6000 FAST DRY BLANCO MATE</v>
          </cell>
          <cell r="C148">
            <v>4.6500000000000004</v>
          </cell>
          <cell r="D148">
            <v>5.25</v>
          </cell>
          <cell r="E148">
            <v>6.64</v>
          </cell>
          <cell r="F148">
            <v>7.5</v>
          </cell>
        </row>
        <row r="149">
          <cell r="A149" t="str">
            <v>SW0113GP</v>
          </cell>
          <cell r="B149" t="str">
            <v>SPRAY 6000 FAST DRY GRIS PERLA</v>
          </cell>
          <cell r="C149">
            <v>4.6500000000000004</v>
          </cell>
          <cell r="D149">
            <v>5.25</v>
          </cell>
          <cell r="E149">
            <v>6.64</v>
          </cell>
          <cell r="F149">
            <v>7.5</v>
          </cell>
        </row>
        <row r="150">
          <cell r="A150" t="str">
            <v>SW0500RC</v>
          </cell>
          <cell r="B150" t="str">
            <v>SPRAY 6000 FAST DRY ROJO CHINO</v>
          </cell>
          <cell r="C150">
            <v>4.6500000000000004</v>
          </cell>
          <cell r="D150">
            <v>5.25</v>
          </cell>
          <cell r="E150">
            <v>6.64</v>
          </cell>
          <cell r="F150">
            <v>7.5</v>
          </cell>
        </row>
        <row r="151">
          <cell r="A151" t="str">
            <v>SW0001TR</v>
          </cell>
          <cell r="B151" t="str">
            <v>SPRAY 6000 FAST DRY TRANSPARENTE</v>
          </cell>
          <cell r="C151">
            <v>4.6500000000000004</v>
          </cell>
          <cell r="D151">
            <v>5.25</v>
          </cell>
          <cell r="E151">
            <v>6.64</v>
          </cell>
          <cell r="F151">
            <v>7.5</v>
          </cell>
        </row>
        <row r="152">
          <cell r="A152" t="str">
            <v>SW0300AT</v>
          </cell>
          <cell r="B152" t="str">
            <v>SPRAY 6000 FAST DRY AZUL TRAFALGAR</v>
          </cell>
          <cell r="C152">
            <v>4.6500000000000004</v>
          </cell>
          <cell r="D152">
            <v>5.25</v>
          </cell>
          <cell r="E152">
            <v>6.64</v>
          </cell>
          <cell r="F152">
            <v>7.5</v>
          </cell>
        </row>
        <row r="153">
          <cell r="A153" t="str">
            <v>SW0700AL</v>
          </cell>
          <cell r="B153" t="str">
            <v>SPRAY 6000 FAST DRY AMARILLO LIMON</v>
          </cell>
          <cell r="C153">
            <v>4.6500000000000004</v>
          </cell>
          <cell r="D153">
            <v>5.25</v>
          </cell>
          <cell r="E153">
            <v>6.64</v>
          </cell>
          <cell r="F153">
            <v>7.5</v>
          </cell>
        </row>
        <row r="154">
          <cell r="A154" t="str">
            <v>SW0957CA</v>
          </cell>
          <cell r="B154" t="str">
            <v>SPRAY 6000 FAST DRY CAFE ANODIZADO</v>
          </cell>
          <cell r="C154">
            <v>4.6500000000000004</v>
          </cell>
          <cell r="D154">
            <v>5.25</v>
          </cell>
          <cell r="E154">
            <v>6.64</v>
          </cell>
          <cell r="F154">
            <v>7.5</v>
          </cell>
        </row>
        <row r="155">
          <cell r="A155" t="str">
            <v>SW0407VB</v>
          </cell>
          <cell r="B155" t="str">
            <v>SPRAY 6000 FAST DRY VERDE BOSQUE</v>
          </cell>
          <cell r="C155">
            <v>4.6500000000000004</v>
          </cell>
          <cell r="D155">
            <v>5.25</v>
          </cell>
          <cell r="E155">
            <v>6.64</v>
          </cell>
          <cell r="F155">
            <v>7.5</v>
          </cell>
        </row>
        <row r="156">
          <cell r="A156" t="str">
            <v>SWPA5103G</v>
          </cell>
          <cell r="B156" t="str">
            <v>SPRAY 6000 FAST DRY PRIMER ACRILICO GRIS</v>
          </cell>
          <cell r="C156">
            <v>4.6500000000000004</v>
          </cell>
          <cell r="D156">
            <v>5.25</v>
          </cell>
          <cell r="E156">
            <v>6.64</v>
          </cell>
          <cell r="F156">
            <v>7.5</v>
          </cell>
        </row>
        <row r="157">
          <cell r="A157" t="str">
            <v>SW0990CR</v>
          </cell>
          <cell r="B157" t="str">
            <v>SPRAY 6000 FAST DRY CROMO</v>
          </cell>
          <cell r="C157">
            <v>4.6500000000000004</v>
          </cell>
          <cell r="D157">
            <v>5.25</v>
          </cell>
          <cell r="E157">
            <v>6.64</v>
          </cell>
          <cell r="F157">
            <v>7.5</v>
          </cell>
        </row>
        <row r="158">
          <cell r="A158" t="str">
            <v>SW0970OR</v>
          </cell>
          <cell r="B158" t="str">
            <v>SPRAY 6000 FAST DRY ORO</v>
          </cell>
          <cell r="C158">
            <v>4.6500000000000004</v>
          </cell>
          <cell r="D158">
            <v>5.25</v>
          </cell>
          <cell r="E158">
            <v>6.64</v>
          </cell>
          <cell r="F158">
            <v>7.5</v>
          </cell>
        </row>
        <row r="159">
          <cell r="A159" t="str">
            <v>SW0950CB</v>
          </cell>
          <cell r="B159" t="str">
            <v>SPRAY 6000 FAST DRY COBRE</v>
          </cell>
          <cell r="C159">
            <v>4.6500000000000004</v>
          </cell>
          <cell r="D159">
            <v>5.25</v>
          </cell>
          <cell r="E159">
            <v>6.64</v>
          </cell>
          <cell r="F159">
            <v>7.5</v>
          </cell>
        </row>
        <row r="160">
          <cell r="A160" t="str">
            <v>SW0900AL</v>
          </cell>
          <cell r="B160" t="str">
            <v>SPRAY 6000 FAST DRY ALUMINIO</v>
          </cell>
          <cell r="C160">
            <v>4.6500000000000004</v>
          </cell>
          <cell r="D160">
            <v>5.25</v>
          </cell>
          <cell r="E160">
            <v>6.64</v>
          </cell>
          <cell r="F160">
            <v>7.5</v>
          </cell>
        </row>
        <row r="161">
          <cell r="A161" t="str">
            <v>SWAT5610NP</v>
          </cell>
          <cell r="B161" t="str">
            <v>SPRAY 6000 FAST DRY NEGRO PARDO ALTA TEMPERATURA</v>
          </cell>
          <cell r="C161">
            <v>5.88</v>
          </cell>
          <cell r="D161">
            <v>6.65</v>
          </cell>
          <cell r="E161">
            <v>8.41</v>
          </cell>
          <cell r="F161">
            <v>9.5</v>
          </cell>
        </row>
        <row r="162">
          <cell r="A162" t="str">
            <v>SWAT5690AL</v>
          </cell>
          <cell r="B162" t="str">
            <v>SPRAY 6000 FAST DRY ALUMINIO ALTA TEMPERATURA</v>
          </cell>
          <cell r="C162">
            <v>5.88</v>
          </cell>
          <cell r="D162">
            <v>6.65</v>
          </cell>
          <cell r="E162">
            <v>8.41</v>
          </cell>
          <cell r="F162">
            <v>9.5</v>
          </cell>
        </row>
        <row r="165">
          <cell r="B165" t="str">
            <v xml:space="preserve">LIJADO EN SECO FINKAT EAGLE </v>
          </cell>
          <cell r="D165" t="str">
            <v/>
          </cell>
        </row>
        <row r="166">
          <cell r="B166" t="str">
            <v>PLIEGOS 9X11"</v>
          </cell>
          <cell r="D166" t="str">
            <v/>
          </cell>
        </row>
        <row r="167">
          <cell r="A167" t="str">
            <v>ULDAM40</v>
          </cell>
          <cell r="B167" t="str">
            <v>LIJA EN SECO KOVAX FINKAT EAGLE P40</v>
          </cell>
          <cell r="C167">
            <v>0.73</v>
          </cell>
          <cell r="D167">
            <v>0.83</v>
          </cell>
          <cell r="E167">
            <v>1.1499999999999999</v>
          </cell>
          <cell r="F167">
            <v>1.3</v>
          </cell>
        </row>
        <row r="168">
          <cell r="A168" t="str">
            <v>ULCAM60</v>
          </cell>
          <cell r="B168" t="str">
            <v>LIJA EN SECO KOVAX FINKAT EAGLE P60</v>
          </cell>
          <cell r="C168">
            <v>0.73</v>
          </cell>
          <cell r="D168">
            <v>0.83</v>
          </cell>
          <cell r="E168">
            <v>1.1499999999999999</v>
          </cell>
          <cell r="F168">
            <v>1.3</v>
          </cell>
        </row>
        <row r="169">
          <cell r="A169" t="str">
            <v>ULCAM80</v>
          </cell>
          <cell r="B169" t="str">
            <v>LIJA EN SECO KOVAX FINKAT EAGLE P80</v>
          </cell>
          <cell r="C169">
            <v>0.73</v>
          </cell>
          <cell r="D169">
            <v>0.83</v>
          </cell>
          <cell r="E169">
            <v>1.1499999999999999</v>
          </cell>
          <cell r="F169">
            <v>1.3</v>
          </cell>
        </row>
        <row r="170">
          <cell r="A170" t="str">
            <v>ULCAM100</v>
          </cell>
          <cell r="B170" t="str">
            <v>LIJA EN SECO KOVAX FINKAT EAGLE P100</v>
          </cell>
          <cell r="C170">
            <v>0.73</v>
          </cell>
          <cell r="D170">
            <v>0.83</v>
          </cell>
          <cell r="E170">
            <v>1.1499999999999999</v>
          </cell>
          <cell r="F170">
            <v>1.3</v>
          </cell>
        </row>
        <row r="171">
          <cell r="A171" t="str">
            <v>KLAAM600</v>
          </cell>
          <cell r="B171" t="str">
            <v>LIJA EN SECO KOVAX FINKAT EAGLE P600</v>
          </cell>
          <cell r="C171">
            <v>0.62</v>
          </cell>
          <cell r="D171">
            <v>0.7</v>
          </cell>
          <cell r="E171">
            <v>0.97</v>
          </cell>
          <cell r="F171">
            <v>1.1000000000000001</v>
          </cell>
        </row>
        <row r="172">
          <cell r="A172" t="str">
            <v>KLAAM400</v>
          </cell>
          <cell r="B172" t="str">
            <v>LIJA EN SECO KOVAX FINKAT EAGLE P400</v>
          </cell>
          <cell r="C172">
            <v>0.62</v>
          </cell>
          <cell r="D172">
            <v>0.7</v>
          </cell>
          <cell r="E172">
            <v>0.97</v>
          </cell>
          <cell r="F172">
            <v>1.1000000000000001</v>
          </cell>
        </row>
        <row r="173">
          <cell r="A173" t="str">
            <v>KLAAM320</v>
          </cell>
          <cell r="B173" t="str">
            <v>LIJA EN SECO KOVAX FINKAT EAGLE P320</v>
          </cell>
          <cell r="C173">
            <v>0.62</v>
          </cell>
          <cell r="D173">
            <v>0.7</v>
          </cell>
          <cell r="E173">
            <v>0.97</v>
          </cell>
          <cell r="F173">
            <v>1.1000000000000001</v>
          </cell>
        </row>
        <row r="174">
          <cell r="A174" t="str">
            <v>KLAAM220</v>
          </cell>
          <cell r="B174" t="str">
            <v>LIJA EN SECO KOVAX FINKAT EAGLE P220</v>
          </cell>
          <cell r="C174">
            <v>0.62</v>
          </cell>
          <cell r="D174">
            <v>0.7</v>
          </cell>
          <cell r="E174">
            <v>0.97</v>
          </cell>
          <cell r="F174">
            <v>1.1000000000000001</v>
          </cell>
        </row>
        <row r="175">
          <cell r="A175" t="str">
            <v>KLAAM180</v>
          </cell>
          <cell r="B175" t="str">
            <v>LIJA EN SECO KOVAX FINKAT EAGLE P180</v>
          </cell>
          <cell r="C175">
            <v>0.62</v>
          </cell>
          <cell r="D175">
            <v>0.7</v>
          </cell>
          <cell r="E175">
            <v>0.97</v>
          </cell>
          <cell r="F175">
            <v>1.1000000000000001</v>
          </cell>
        </row>
        <row r="176">
          <cell r="A176" t="str">
            <v>KLAAM150</v>
          </cell>
          <cell r="B176" t="str">
            <v>LIJA EN SECO KOVAX FINKAT EAGLE P150</v>
          </cell>
          <cell r="C176">
            <v>0.62</v>
          </cell>
          <cell r="D176">
            <v>0.7</v>
          </cell>
          <cell r="E176">
            <v>0.97</v>
          </cell>
          <cell r="F176">
            <v>1.1000000000000001</v>
          </cell>
        </row>
        <row r="177">
          <cell r="A177" t="str">
            <v>KLAAM120</v>
          </cell>
          <cell r="B177" t="str">
            <v>LIJA EN SECO KOVAX FINKAT EAGLE P120</v>
          </cell>
          <cell r="C177">
            <v>0.62</v>
          </cell>
          <cell r="D177">
            <v>0.7</v>
          </cell>
          <cell r="E177">
            <v>0.97</v>
          </cell>
          <cell r="F177">
            <v>1.1000000000000001</v>
          </cell>
        </row>
        <row r="178">
          <cell r="D178" t="str">
            <v/>
          </cell>
        </row>
        <row r="179">
          <cell r="B179" t="str">
            <v>LIJADO EN SECO BELL STAR CLOTH HIERRO</v>
          </cell>
          <cell r="D179" t="str">
            <v/>
          </cell>
        </row>
        <row r="180">
          <cell r="B180" t="str">
            <v>PLIEGOS 9X11"</v>
          </cell>
          <cell r="D180" t="str">
            <v/>
          </cell>
        </row>
        <row r="181">
          <cell r="A181" t="str">
            <v>CLOTH36</v>
          </cell>
          <cell r="B181" t="str">
            <v>LIJA PARA HIERRO BELLSTAR CLOTH #36</v>
          </cell>
          <cell r="C181">
            <v>0.73</v>
          </cell>
          <cell r="D181">
            <v>0.83</v>
          </cell>
          <cell r="E181">
            <v>1.1499999999999999</v>
          </cell>
          <cell r="F181">
            <v>1.3</v>
          </cell>
        </row>
        <row r="182">
          <cell r="A182" t="str">
            <v>CLOTH50</v>
          </cell>
          <cell r="B182" t="str">
            <v>LIJA PARA HIERRO BELLSTAR CLOTH #50</v>
          </cell>
          <cell r="C182">
            <v>0.56999999999999995</v>
          </cell>
          <cell r="D182">
            <v>0.64</v>
          </cell>
          <cell r="E182">
            <v>0.88</v>
          </cell>
          <cell r="F182">
            <v>1</v>
          </cell>
        </row>
        <row r="183">
          <cell r="A183" t="str">
            <v>CLOTH60</v>
          </cell>
          <cell r="B183" t="str">
            <v>LIJA PARA HIERRO BELLSTAR CLOTH #60</v>
          </cell>
          <cell r="C183">
            <v>0.62</v>
          </cell>
          <cell r="D183">
            <v>0.7</v>
          </cell>
          <cell r="E183">
            <v>0.97</v>
          </cell>
          <cell r="F183">
            <v>1.1000000000000001</v>
          </cell>
        </row>
        <row r="184">
          <cell r="A184" t="str">
            <v>CLOTH80</v>
          </cell>
          <cell r="B184" t="str">
            <v>LIJA PARA HIERRO BELLSTAR CLOTH #80</v>
          </cell>
          <cell r="C184">
            <v>0.62</v>
          </cell>
          <cell r="D184">
            <v>0.7</v>
          </cell>
          <cell r="E184">
            <v>0.97</v>
          </cell>
          <cell r="F184">
            <v>1.1000000000000001</v>
          </cell>
        </row>
        <row r="185">
          <cell r="A185" t="str">
            <v>CLOTH100</v>
          </cell>
          <cell r="B185" t="str">
            <v>LIJA PARA HIERRO BELLSTAR CLOTH #100</v>
          </cell>
          <cell r="C185">
            <v>0.62</v>
          </cell>
          <cell r="D185">
            <v>0.7</v>
          </cell>
          <cell r="E185">
            <v>0.97</v>
          </cell>
          <cell r="F185">
            <v>1.1000000000000001</v>
          </cell>
        </row>
        <row r="186">
          <cell r="A186" t="str">
            <v>CLOTH120</v>
          </cell>
          <cell r="B186" t="str">
            <v>LIJA PARA HIERRO BELLSTAR CLOTH #120</v>
          </cell>
          <cell r="C186">
            <v>0.62</v>
          </cell>
          <cell r="D186">
            <v>0.7</v>
          </cell>
          <cell r="E186">
            <v>0.97</v>
          </cell>
          <cell r="F186">
            <v>1.1000000000000001</v>
          </cell>
        </row>
        <row r="187">
          <cell r="A187" t="str">
            <v>CLOTH150</v>
          </cell>
          <cell r="B187" t="str">
            <v>LIJA PARA HIERRO BELLSTAR CLOTH #150</v>
          </cell>
          <cell r="C187">
            <v>0.62</v>
          </cell>
          <cell r="D187">
            <v>0.7</v>
          </cell>
          <cell r="E187">
            <v>0.97</v>
          </cell>
          <cell r="F187">
            <v>1.1000000000000001</v>
          </cell>
        </row>
        <row r="188">
          <cell r="A188" t="str">
            <v>CLOTH220</v>
          </cell>
          <cell r="B188" t="str">
            <v>LIJA PARA HIERRO BELLSTAR CLOTH #220</v>
          </cell>
          <cell r="C188">
            <v>0.62</v>
          </cell>
          <cell r="D188">
            <v>0.7</v>
          </cell>
          <cell r="E188">
            <v>0.97</v>
          </cell>
          <cell r="F188">
            <v>1.1000000000000001</v>
          </cell>
        </row>
        <row r="189">
          <cell r="D189" t="str">
            <v/>
          </cell>
        </row>
        <row r="190">
          <cell r="B190" t="str">
            <v>LIJADO EN HUMEDO NEXT</v>
          </cell>
          <cell r="D190" t="str">
            <v/>
          </cell>
        </row>
        <row r="191">
          <cell r="B191" t="str">
            <v>PLIEGOS 9X11"</v>
          </cell>
          <cell r="D191" t="str">
            <v/>
          </cell>
        </row>
        <row r="192">
          <cell r="A192" t="str">
            <v>NEXT2000</v>
          </cell>
          <cell r="B192" t="str">
            <v>LIJA DE AGUA KOVAX NEXT P2000</v>
          </cell>
          <cell r="C192">
            <v>0.68</v>
          </cell>
          <cell r="D192">
            <v>0.77</v>
          </cell>
          <cell r="E192">
            <v>1.06</v>
          </cell>
          <cell r="F192">
            <v>1.2</v>
          </cell>
        </row>
        <row r="193">
          <cell r="A193" t="str">
            <v>NEXT1500</v>
          </cell>
          <cell r="B193" t="str">
            <v>LIJA DE AGUA KOVAX NEXT P1500</v>
          </cell>
          <cell r="C193">
            <v>0.68</v>
          </cell>
          <cell r="D193">
            <v>0.77</v>
          </cell>
          <cell r="E193">
            <v>1.06</v>
          </cell>
          <cell r="F193">
            <v>1.2</v>
          </cell>
        </row>
        <row r="194">
          <cell r="A194" t="str">
            <v>NEXT1200</v>
          </cell>
          <cell r="B194" t="str">
            <v>LIJA DE AGUA KOVAX NEXT P1200</v>
          </cell>
          <cell r="C194">
            <v>0.68</v>
          </cell>
          <cell r="D194">
            <v>0.77</v>
          </cell>
          <cell r="E194">
            <v>1.06</v>
          </cell>
          <cell r="F194">
            <v>1.2000000000000002</v>
          </cell>
        </row>
        <row r="195">
          <cell r="A195" t="str">
            <v>NEXT1000</v>
          </cell>
          <cell r="B195" t="str">
            <v>LIJA DE AGUA KOVAX NEXT P1000</v>
          </cell>
          <cell r="C195">
            <v>0.62</v>
          </cell>
          <cell r="D195">
            <v>0.7</v>
          </cell>
          <cell r="E195">
            <v>0.97</v>
          </cell>
          <cell r="F195">
            <v>1.1000000000000001</v>
          </cell>
        </row>
        <row r="196">
          <cell r="A196" t="str">
            <v>NEXT600</v>
          </cell>
          <cell r="B196" t="str">
            <v>LIJA DE AGUA KOVAX NEXT P600</v>
          </cell>
          <cell r="C196">
            <v>0.56999999999999995</v>
          </cell>
          <cell r="D196">
            <v>0.64</v>
          </cell>
          <cell r="E196">
            <v>0.88</v>
          </cell>
          <cell r="F196">
            <v>1</v>
          </cell>
        </row>
        <row r="197">
          <cell r="A197" t="str">
            <v>NEXT400</v>
          </cell>
          <cell r="B197" t="str">
            <v>LIJA DE AGUA KOVAX NEXT P400</v>
          </cell>
          <cell r="C197">
            <v>0.56999999999999995</v>
          </cell>
          <cell r="D197">
            <v>0.64</v>
          </cell>
          <cell r="E197">
            <v>0.88</v>
          </cell>
          <cell r="F197">
            <v>1</v>
          </cell>
        </row>
        <row r="198">
          <cell r="A198" t="str">
            <v>NEXT320</v>
          </cell>
          <cell r="B198" t="str">
            <v>LIJA DE AGUA KOVAX NEXT P320</v>
          </cell>
          <cell r="C198">
            <v>0.56999999999999995</v>
          </cell>
          <cell r="D198">
            <v>0.64</v>
          </cell>
          <cell r="E198">
            <v>0.88</v>
          </cell>
          <cell r="F198">
            <v>1</v>
          </cell>
        </row>
        <row r="199">
          <cell r="A199" t="str">
            <v>NEXT220</v>
          </cell>
          <cell r="B199" t="str">
            <v>LIJA DE AGUA KOVAX NEXT P220</v>
          </cell>
          <cell r="C199">
            <v>0.56999999999999995</v>
          </cell>
          <cell r="D199">
            <v>0.64</v>
          </cell>
          <cell r="E199">
            <v>0.88</v>
          </cell>
          <cell r="F199">
            <v>1</v>
          </cell>
        </row>
        <row r="200">
          <cell r="A200" t="str">
            <v>NEXT180</v>
          </cell>
          <cell r="B200" t="str">
            <v>LIJA DE AGUA KOVAX NEXT P180</v>
          </cell>
          <cell r="C200">
            <v>0.56999999999999995</v>
          </cell>
          <cell r="D200">
            <v>0.64</v>
          </cell>
          <cell r="E200">
            <v>0.88</v>
          </cell>
          <cell r="F200">
            <v>1</v>
          </cell>
        </row>
        <row r="201">
          <cell r="A201" t="str">
            <v>NEXT150</v>
          </cell>
          <cell r="B201" t="str">
            <v>LIJA DE AGUA KOVAX NEXT P150</v>
          </cell>
          <cell r="C201">
            <v>0.68</v>
          </cell>
          <cell r="D201">
            <v>0.77</v>
          </cell>
          <cell r="E201">
            <v>1.06</v>
          </cell>
          <cell r="F201">
            <v>1.2</v>
          </cell>
        </row>
        <row r="202">
          <cell r="A202" t="str">
            <v>NEXT120</v>
          </cell>
          <cell r="B202" t="str">
            <v>LIJA DE AGUA KOVAX NEXT P120</v>
          </cell>
          <cell r="C202">
            <v>0.68</v>
          </cell>
          <cell r="D202">
            <v>0.77</v>
          </cell>
          <cell r="E202">
            <v>1.06</v>
          </cell>
          <cell r="F202">
            <v>1.2</v>
          </cell>
        </row>
        <row r="203">
          <cell r="A203" t="str">
            <v>NEXT100</v>
          </cell>
          <cell r="B203" t="str">
            <v>LIJA DE AGUA KOVAX NEXT P100</v>
          </cell>
          <cell r="C203">
            <v>0.68</v>
          </cell>
          <cell r="D203">
            <v>0.77</v>
          </cell>
          <cell r="E203">
            <v>1.06</v>
          </cell>
          <cell r="F203">
            <v>1.2000000000000002</v>
          </cell>
        </row>
        <row r="204">
          <cell r="D204" t="str">
            <v/>
          </cell>
        </row>
        <row r="205">
          <cell r="B205" t="str">
            <v xml:space="preserve">LIJADO EN HUMEDO / SECO </v>
          </cell>
          <cell r="D205" t="str">
            <v/>
          </cell>
        </row>
        <row r="206">
          <cell r="A206" t="str">
            <v>KMAAMP600</v>
          </cell>
          <cell r="B206" t="str">
            <v>LIJA HIBRIDA WET OR DRY  KMAAM P600</v>
          </cell>
          <cell r="C206">
            <v>0.4</v>
          </cell>
          <cell r="D206">
            <v>0.45</v>
          </cell>
          <cell r="E206">
            <v>0.62</v>
          </cell>
          <cell r="F206">
            <v>0.7</v>
          </cell>
        </row>
        <row r="207">
          <cell r="A207" t="str">
            <v>KMAAMP400</v>
          </cell>
          <cell r="B207" t="str">
            <v>LIJA HIBRIDA WET OR DRY  KMAAM P400</v>
          </cell>
          <cell r="C207">
            <v>0.4</v>
          </cell>
          <cell r="D207">
            <v>0.45</v>
          </cell>
          <cell r="E207">
            <v>0.62</v>
          </cell>
          <cell r="F207">
            <v>0.7</v>
          </cell>
        </row>
        <row r="208">
          <cell r="A208" t="str">
            <v>KMAAMP320</v>
          </cell>
          <cell r="B208" t="str">
            <v>LIJA HIBRIDA WET OR DRY  KMAAM P320</v>
          </cell>
          <cell r="C208">
            <v>0.4</v>
          </cell>
          <cell r="D208">
            <v>0.45</v>
          </cell>
          <cell r="E208">
            <v>0.62</v>
          </cell>
          <cell r="F208">
            <v>0.7</v>
          </cell>
        </row>
        <row r="209">
          <cell r="A209" t="str">
            <v>KMAAMP220</v>
          </cell>
          <cell r="B209" t="str">
            <v>LIJA HIBRIDA WET OR DRY  KMAAM P220</v>
          </cell>
          <cell r="C209">
            <v>0.4</v>
          </cell>
          <cell r="D209">
            <v>0.45</v>
          </cell>
          <cell r="E209">
            <v>0.62</v>
          </cell>
          <cell r="F209">
            <v>0.7</v>
          </cell>
        </row>
        <row r="210">
          <cell r="A210" t="str">
            <v>KMAAMP180</v>
          </cell>
          <cell r="B210" t="str">
            <v>LIJA HIBRIDA WET OR DRY  KMAAM P180</v>
          </cell>
          <cell r="C210">
            <v>0.4</v>
          </cell>
          <cell r="D210">
            <v>0.45</v>
          </cell>
          <cell r="E210">
            <v>0.62</v>
          </cell>
          <cell r="F210">
            <v>0.7</v>
          </cell>
        </row>
        <row r="211">
          <cell r="A211" t="str">
            <v>KMAAMP150</v>
          </cell>
          <cell r="B211" t="str">
            <v>LIJA HIBRIDA WET OR DRY  KMAAM P150</v>
          </cell>
          <cell r="C211">
            <v>0.4</v>
          </cell>
          <cell r="D211">
            <v>0.45</v>
          </cell>
          <cell r="E211">
            <v>0.62</v>
          </cell>
          <cell r="F211">
            <v>0.7</v>
          </cell>
        </row>
        <row r="212">
          <cell r="A212" t="str">
            <v>KMAAMP120</v>
          </cell>
          <cell r="B212" t="str">
            <v>LIJA HIBRIDA WET OR DRY  KMAAM P120</v>
          </cell>
          <cell r="C212">
            <v>0.4</v>
          </cell>
          <cell r="D212">
            <v>0.45</v>
          </cell>
          <cell r="E212">
            <v>0.62</v>
          </cell>
          <cell r="F212">
            <v>0.7</v>
          </cell>
        </row>
        <row r="213">
          <cell r="D213" t="str">
            <v/>
          </cell>
        </row>
        <row r="214">
          <cell r="B214" t="str">
            <v>LIJADO EN HUMEDO EAGLE SG</v>
          </cell>
          <cell r="D214" t="str">
            <v/>
          </cell>
        </row>
        <row r="215">
          <cell r="B215" t="str">
            <v>PLIEGOS 9X11"</v>
          </cell>
          <cell r="D215" t="str">
            <v/>
          </cell>
        </row>
        <row r="216">
          <cell r="A216" t="str">
            <v>SGFAC1200</v>
          </cell>
          <cell r="B216" t="str">
            <v>LIJA DE AGUA KOVAX EAGLE SG P1200</v>
          </cell>
          <cell r="C216">
            <v>0.45</v>
          </cell>
          <cell r="D216">
            <v>0.51</v>
          </cell>
          <cell r="E216">
            <v>0.71</v>
          </cell>
          <cell r="F216">
            <v>0.8</v>
          </cell>
        </row>
        <row r="217">
          <cell r="A217" t="str">
            <v>SGFAC1000</v>
          </cell>
          <cell r="B217" t="str">
            <v>LIJA DE AGUA KOVAX EAGLE SG P1000</v>
          </cell>
          <cell r="C217">
            <v>0.45</v>
          </cell>
          <cell r="D217">
            <v>0.51</v>
          </cell>
          <cell r="E217">
            <v>0.71</v>
          </cell>
          <cell r="F217">
            <v>0.8</v>
          </cell>
        </row>
        <row r="218">
          <cell r="A218" t="str">
            <v>SGFAC800</v>
          </cell>
          <cell r="B218" t="str">
            <v>LIJA DE AGUA KOVAX EAGLE SG P800</v>
          </cell>
          <cell r="C218">
            <v>0.34</v>
          </cell>
          <cell r="D218">
            <v>0.38</v>
          </cell>
          <cell r="E218">
            <v>0.53</v>
          </cell>
          <cell r="F218">
            <v>0.6</v>
          </cell>
        </row>
        <row r="219">
          <cell r="A219" t="str">
            <v>SGFAC600</v>
          </cell>
          <cell r="B219" t="str">
            <v>LIJA DE AGUA KOVAX EAGLE SG P600</v>
          </cell>
          <cell r="C219">
            <v>0.34</v>
          </cell>
          <cell r="D219">
            <v>0.38</v>
          </cell>
          <cell r="E219">
            <v>0.53</v>
          </cell>
          <cell r="F219">
            <v>0.6</v>
          </cell>
        </row>
        <row r="220">
          <cell r="A220" t="str">
            <v>SGFAC400</v>
          </cell>
          <cell r="B220" t="str">
            <v>LIJA DE AGUA KOVAX EAGLE SG P400</v>
          </cell>
          <cell r="C220">
            <v>0.34</v>
          </cell>
          <cell r="D220">
            <v>0.38</v>
          </cell>
          <cell r="E220">
            <v>0.53</v>
          </cell>
          <cell r="F220">
            <v>0.6</v>
          </cell>
        </row>
        <row r="221">
          <cell r="A221" t="str">
            <v>SGFAC320</v>
          </cell>
          <cell r="B221" t="str">
            <v>LIJA DE AGUA KOVAX EAGLE SG P320</v>
          </cell>
          <cell r="C221">
            <v>0.34</v>
          </cell>
          <cell r="D221">
            <v>0.38</v>
          </cell>
          <cell r="E221">
            <v>0.53</v>
          </cell>
          <cell r="F221">
            <v>0.6</v>
          </cell>
        </row>
        <row r="222">
          <cell r="A222" t="str">
            <v>SGFAC220</v>
          </cell>
          <cell r="B222" t="str">
            <v>LIJA DE AGUA KOVAX EAGLE SG P220</v>
          </cell>
          <cell r="C222">
            <v>0.34</v>
          </cell>
          <cell r="D222">
            <v>0.38</v>
          </cell>
          <cell r="E222">
            <v>0.53</v>
          </cell>
          <cell r="F222">
            <v>0.6</v>
          </cell>
        </row>
        <row r="223">
          <cell r="A223" t="str">
            <v>SGFAC180</v>
          </cell>
          <cell r="B223" t="str">
            <v>LIJA DE AGUA KOVAX EAGLE SG P180</v>
          </cell>
          <cell r="C223">
            <v>0.34</v>
          </cell>
          <cell r="D223">
            <v>0.38</v>
          </cell>
          <cell r="E223">
            <v>0.53</v>
          </cell>
          <cell r="F223">
            <v>0.6</v>
          </cell>
        </row>
        <row r="224">
          <cell r="A224" t="str">
            <v>SGFAC150</v>
          </cell>
          <cell r="B224" t="str">
            <v>LIJA DE AGUA KOVAX EAGLE SG P150</v>
          </cell>
          <cell r="C224">
            <v>0.34</v>
          </cell>
          <cell r="D224">
            <v>0.38</v>
          </cell>
          <cell r="E224">
            <v>0.53</v>
          </cell>
          <cell r="F224">
            <v>0.6</v>
          </cell>
        </row>
        <row r="225">
          <cell r="A225" t="str">
            <v>SGFAC120</v>
          </cell>
          <cell r="B225" t="str">
            <v>LIJA DE AGUA KOVAX EAGLE SG P120</v>
          </cell>
          <cell r="C225">
            <v>0.34</v>
          </cell>
          <cell r="D225">
            <v>0.38</v>
          </cell>
          <cell r="E225">
            <v>0.53</v>
          </cell>
          <cell r="F225">
            <v>0.6</v>
          </cell>
        </row>
        <row r="226">
          <cell r="A226" t="str">
            <v>SGFCC100</v>
          </cell>
          <cell r="B226" t="str">
            <v>LIJA DE AGUA KOVAX EAGLE SG P100</v>
          </cell>
          <cell r="C226">
            <v>0.34</v>
          </cell>
          <cell r="D226">
            <v>0.38</v>
          </cell>
          <cell r="E226">
            <v>0.53</v>
          </cell>
          <cell r="F226">
            <v>0.6</v>
          </cell>
        </row>
        <row r="227">
          <cell r="A227" t="str">
            <v>SGFCC80</v>
          </cell>
          <cell r="B227" t="str">
            <v>LIJA DE AGUA KOVAX EAGLE SG P80</v>
          </cell>
          <cell r="C227">
            <v>0.51</v>
          </cell>
          <cell r="D227">
            <v>0.57999999999999996</v>
          </cell>
          <cell r="E227">
            <v>0.8</v>
          </cell>
          <cell r="F227">
            <v>0.9</v>
          </cell>
        </row>
        <row r="228">
          <cell r="A228" t="str">
            <v>SGFCC60</v>
          </cell>
          <cell r="B228" t="str">
            <v>LIJA DE AGUA KOVAX EAGLE SG P60</v>
          </cell>
          <cell r="C228">
            <v>0.51</v>
          </cell>
          <cell r="D228">
            <v>0.57999999999999996</v>
          </cell>
          <cell r="E228">
            <v>0.8</v>
          </cell>
          <cell r="F228">
            <v>0.9</v>
          </cell>
        </row>
        <row r="229">
          <cell r="D229" t="str">
            <v/>
          </cell>
        </row>
        <row r="230">
          <cell r="B230" t="str">
            <v>HANDPAD</v>
          </cell>
          <cell r="D230" t="str">
            <v/>
          </cell>
        </row>
        <row r="231">
          <cell r="A231" t="str">
            <v>HANDPAD01</v>
          </cell>
          <cell r="B231" t="str">
            <v xml:space="preserve">HAND PAD VF MARRON  </v>
          </cell>
          <cell r="C231">
            <v>1.25</v>
          </cell>
          <cell r="D231">
            <v>1.41</v>
          </cell>
          <cell r="E231">
            <v>1.68</v>
          </cell>
          <cell r="F231">
            <v>1.9</v>
          </cell>
        </row>
        <row r="232">
          <cell r="A232" t="str">
            <v>HANDPAD02</v>
          </cell>
          <cell r="B232" t="str">
            <v xml:space="preserve">HAND PAD UF GRIS  </v>
          </cell>
          <cell r="C232">
            <v>1.25</v>
          </cell>
          <cell r="D232">
            <v>1.41</v>
          </cell>
          <cell r="E232">
            <v>1.68</v>
          </cell>
          <cell r="F232">
            <v>1.9000000000000001</v>
          </cell>
        </row>
        <row r="233">
          <cell r="A233" t="str">
            <v>HANDPAD03</v>
          </cell>
          <cell r="B233" t="str">
            <v>KOVAX HAND PAD NARANJA 3000</v>
          </cell>
          <cell r="C233">
            <v>1.77</v>
          </cell>
          <cell r="D233">
            <v>2</v>
          </cell>
          <cell r="E233">
            <v>2.39</v>
          </cell>
          <cell r="F233">
            <v>2.7</v>
          </cell>
        </row>
        <row r="234">
          <cell r="A234" t="str">
            <v>HANDPAD04</v>
          </cell>
          <cell r="B234" t="str">
            <v>KOVAX HAND PAD AZUL 1000</v>
          </cell>
          <cell r="C234">
            <v>1.77</v>
          </cell>
          <cell r="D234">
            <v>2</v>
          </cell>
          <cell r="E234">
            <v>2.39</v>
          </cell>
          <cell r="F234">
            <v>2.7</v>
          </cell>
        </row>
        <row r="235">
          <cell r="A235" t="str">
            <v>HANDPAD05</v>
          </cell>
          <cell r="B235" t="str">
            <v>KOVAX HANDPAD GRIS OSCURO 1500</v>
          </cell>
          <cell r="C235">
            <v>1.77</v>
          </cell>
          <cell r="D235">
            <v>2</v>
          </cell>
          <cell r="E235">
            <v>2.39</v>
          </cell>
          <cell r="F235">
            <v>2.7</v>
          </cell>
        </row>
        <row r="236">
          <cell r="D236" t="str">
            <v/>
          </cell>
        </row>
        <row r="237">
          <cell r="B237" t="str">
            <v>LIJADO EN SECO MAXCUT/MAXFILM</v>
          </cell>
          <cell r="D237" t="str">
            <v/>
          </cell>
        </row>
        <row r="238">
          <cell r="B238" t="str">
            <v>BANDAS ABIERTAS 70X419mm</v>
          </cell>
          <cell r="D238" t="str">
            <v/>
          </cell>
        </row>
        <row r="239">
          <cell r="A239">
            <v>7490050</v>
          </cell>
          <cell r="B239" t="str">
            <v>BANDA ABIERTA EN SECO KOVAX MAXCUT P50</v>
          </cell>
          <cell r="C239">
            <v>1.19</v>
          </cell>
          <cell r="D239">
            <v>1.34</v>
          </cell>
          <cell r="E239">
            <v>1.86</v>
          </cell>
          <cell r="F239">
            <v>2.1</v>
          </cell>
        </row>
        <row r="240">
          <cell r="A240">
            <v>7490060</v>
          </cell>
          <cell r="B240" t="str">
            <v>BANDA ABIERTA EN SECO KOVAX MAXCUT P60</v>
          </cell>
          <cell r="C240">
            <v>1.19</v>
          </cell>
          <cell r="D240">
            <v>1.34</v>
          </cell>
          <cell r="E240">
            <v>1.86</v>
          </cell>
          <cell r="F240">
            <v>2.1</v>
          </cell>
        </row>
        <row r="241">
          <cell r="A241">
            <v>7490080</v>
          </cell>
          <cell r="B241" t="str">
            <v>BANDA ABIERTA EN SECO KOVAX MAXCUT P80</v>
          </cell>
          <cell r="C241">
            <v>1.19</v>
          </cell>
          <cell r="D241">
            <v>1.34</v>
          </cell>
          <cell r="E241">
            <v>1.86</v>
          </cell>
          <cell r="F241">
            <v>2.1</v>
          </cell>
        </row>
        <row r="242">
          <cell r="A242">
            <v>7490120</v>
          </cell>
          <cell r="B242" t="str">
            <v>BANDA ABIERTA EN SECO KOVAX MAXCUT P120 (Nueva)</v>
          </cell>
          <cell r="C242">
            <v>1.19</v>
          </cell>
          <cell r="D242">
            <v>1.34</v>
          </cell>
          <cell r="E242">
            <v>1.86</v>
          </cell>
          <cell r="F242">
            <v>2.1</v>
          </cell>
        </row>
        <row r="243">
          <cell r="A243">
            <v>7490180</v>
          </cell>
          <cell r="B243" t="str">
            <v>BANDA ABIERTA EN SECO KOVAX MAXCUT P180 (Nueva)</v>
          </cell>
          <cell r="C243">
            <v>1.19</v>
          </cell>
          <cell r="D243">
            <v>1.34</v>
          </cell>
          <cell r="E243">
            <v>1.86</v>
          </cell>
          <cell r="F243">
            <v>2.1</v>
          </cell>
        </row>
        <row r="244">
          <cell r="A244">
            <v>5410080</v>
          </cell>
          <cell r="B244" t="str">
            <v>BANDA ABIERTA EN SECO KOVAX MAXFILM P80</v>
          </cell>
          <cell r="C244">
            <v>1.19</v>
          </cell>
          <cell r="D244">
            <v>1.34</v>
          </cell>
          <cell r="E244">
            <v>1.86</v>
          </cell>
          <cell r="F244">
            <v>2.1</v>
          </cell>
        </row>
        <row r="245">
          <cell r="A245">
            <v>5410100</v>
          </cell>
          <cell r="B245" t="str">
            <v>BANDA ABIERTA EN SECO KOVAX MAXFILM P100</v>
          </cell>
          <cell r="C245">
            <v>1.08</v>
          </cell>
          <cell r="D245">
            <v>1.22</v>
          </cell>
          <cell r="E245">
            <v>1.68</v>
          </cell>
          <cell r="F245">
            <v>1.9</v>
          </cell>
        </row>
        <row r="246">
          <cell r="A246">
            <v>5410120</v>
          </cell>
          <cell r="B246" t="str">
            <v>BANDA ABIERTA EN SECO KOVAX MAXFILM P120</v>
          </cell>
          <cell r="C246">
            <v>1.08</v>
          </cell>
          <cell r="D246">
            <v>1.22</v>
          </cell>
          <cell r="E246">
            <v>1.68</v>
          </cell>
          <cell r="F246">
            <v>1.9</v>
          </cell>
        </row>
        <row r="247">
          <cell r="A247">
            <v>5410150</v>
          </cell>
          <cell r="B247" t="str">
            <v>BANDA ABIERTA EN SECO KOVAX MAXFILM P150</v>
          </cell>
          <cell r="C247">
            <v>1.08</v>
          </cell>
          <cell r="D247">
            <v>1.22</v>
          </cell>
          <cell r="E247">
            <v>1.68</v>
          </cell>
          <cell r="F247">
            <v>1.9</v>
          </cell>
        </row>
        <row r="248">
          <cell r="A248">
            <v>5410180</v>
          </cell>
          <cell r="B248" t="str">
            <v>BANDA ABIERTA EN SECO KOVAX MAXFILM P180</v>
          </cell>
          <cell r="C248">
            <v>1.08</v>
          </cell>
          <cell r="D248">
            <v>1.22</v>
          </cell>
          <cell r="E248">
            <v>1.68</v>
          </cell>
          <cell r="F248">
            <v>1.9</v>
          </cell>
        </row>
        <row r="249">
          <cell r="A249">
            <v>5410220</v>
          </cell>
          <cell r="B249" t="str">
            <v>BANDA ABIERTA EN SECO KOVAX MAXFILM P220</v>
          </cell>
          <cell r="C249">
            <v>1.08</v>
          </cell>
          <cell r="D249">
            <v>1.22</v>
          </cell>
          <cell r="E249">
            <v>1.68</v>
          </cell>
          <cell r="F249">
            <v>1.9</v>
          </cell>
        </row>
        <row r="250">
          <cell r="A250">
            <v>5410320</v>
          </cell>
          <cell r="B250" t="str">
            <v>BANDA ABIERTA EN SECO KOVAX MAXFILM P320</v>
          </cell>
          <cell r="C250">
            <v>1.08</v>
          </cell>
          <cell r="D250">
            <v>1.22</v>
          </cell>
          <cell r="E250">
            <v>1.68</v>
          </cell>
          <cell r="F250">
            <v>1.9</v>
          </cell>
        </row>
        <row r="251">
          <cell r="A251">
            <v>5410400</v>
          </cell>
          <cell r="B251" t="str">
            <v>BANDA ABIERTA EN SECO KOVAX MAXFILM P400</v>
          </cell>
          <cell r="C251">
            <v>1.08</v>
          </cell>
          <cell r="D251">
            <v>1.22</v>
          </cell>
          <cell r="E251">
            <v>1.68</v>
          </cell>
          <cell r="F251">
            <v>1.9</v>
          </cell>
        </row>
        <row r="252">
          <cell r="D252" t="str">
            <v/>
          </cell>
        </row>
        <row r="253">
          <cell r="B253" t="str">
            <v>DISCOS 6" CON AGUJEROS</v>
          </cell>
          <cell r="D253" t="str">
            <v/>
          </cell>
        </row>
        <row r="254">
          <cell r="A254" t="str">
            <v>PFST40</v>
          </cell>
          <cell r="B254" t="str">
            <v>DISCO 6" EN SECO KOVAX PF P40</v>
          </cell>
          <cell r="C254">
            <v>1.25</v>
          </cell>
          <cell r="D254">
            <v>1.41</v>
          </cell>
          <cell r="E254">
            <v>1.95</v>
          </cell>
          <cell r="F254">
            <v>2.2000000000000002</v>
          </cell>
        </row>
        <row r="255">
          <cell r="A255" t="str">
            <v>MAXCUT50</v>
          </cell>
          <cell r="B255" t="str">
            <v>DISCO 6" EN SECO KOVAX MAXCUT P50</v>
          </cell>
          <cell r="C255">
            <v>1.25</v>
          </cell>
          <cell r="D255">
            <v>1.41</v>
          </cell>
          <cell r="E255">
            <v>1.95</v>
          </cell>
          <cell r="F255">
            <v>2.2000000000000002</v>
          </cell>
        </row>
        <row r="256">
          <cell r="A256" t="str">
            <v>MAXCUT60</v>
          </cell>
          <cell r="B256" t="str">
            <v>DISCO 6" EN SECO KOVAX MAXCUT P60</v>
          </cell>
          <cell r="C256">
            <v>1.08</v>
          </cell>
          <cell r="D256">
            <v>1.22</v>
          </cell>
          <cell r="E256">
            <v>1.68</v>
          </cell>
          <cell r="F256">
            <v>1.9</v>
          </cell>
        </row>
        <row r="257">
          <cell r="A257" t="str">
            <v>MAXCUT80</v>
          </cell>
          <cell r="B257" t="str">
            <v>DISCO 6" EN SECO KOVAX MAXCUT P80</v>
          </cell>
          <cell r="C257">
            <v>1.08</v>
          </cell>
          <cell r="D257">
            <v>1.22</v>
          </cell>
          <cell r="E257">
            <v>1.68</v>
          </cell>
          <cell r="F257">
            <v>1.9</v>
          </cell>
        </row>
        <row r="258">
          <cell r="A258" t="str">
            <v>MAXCUT120</v>
          </cell>
          <cell r="B258" t="str">
            <v>DISCO 6" EN SECO KOVAX MAXCUT P120</v>
          </cell>
          <cell r="C258">
            <v>1.08</v>
          </cell>
          <cell r="D258">
            <v>1.22</v>
          </cell>
          <cell r="E258">
            <v>1.68</v>
          </cell>
          <cell r="F258">
            <v>1.9</v>
          </cell>
        </row>
        <row r="259">
          <cell r="A259" t="str">
            <v>MAXCUT180</v>
          </cell>
          <cell r="B259" t="str">
            <v>KOVAX MAXCUTP180 DISCO EN SECO152 mm(6 pulg) LIJADO MASILLA</v>
          </cell>
          <cell r="C259">
            <v>1.08</v>
          </cell>
          <cell r="D259">
            <v>1.22</v>
          </cell>
          <cell r="E259">
            <v>1.68</v>
          </cell>
          <cell r="F259">
            <v>1.9</v>
          </cell>
        </row>
        <row r="260">
          <cell r="A260" t="str">
            <v>MAXFILM100</v>
          </cell>
          <cell r="B260" t="str">
            <v>DISCO 6" EN SECO KOVAX MAXFILM P100</v>
          </cell>
          <cell r="C260">
            <v>0.85</v>
          </cell>
          <cell r="D260">
            <v>0.96</v>
          </cell>
          <cell r="E260">
            <v>1.33</v>
          </cell>
          <cell r="F260">
            <v>1.5</v>
          </cell>
        </row>
        <row r="261">
          <cell r="A261" t="str">
            <v>MAXFILM120</v>
          </cell>
          <cell r="B261" t="str">
            <v>DISCO 6" EN SECO KOVAX MAXFILM P120</v>
          </cell>
          <cell r="C261">
            <v>0.85</v>
          </cell>
          <cell r="D261">
            <v>0.96</v>
          </cell>
          <cell r="E261">
            <v>1.33</v>
          </cell>
          <cell r="F261">
            <v>1.5</v>
          </cell>
        </row>
        <row r="262">
          <cell r="A262" t="str">
            <v>MAXFILM150</v>
          </cell>
          <cell r="B262" t="str">
            <v>DISCO 6" EN SECO KOVAX MAXFILM P150</v>
          </cell>
          <cell r="C262">
            <v>0.85</v>
          </cell>
          <cell r="D262">
            <v>0.96</v>
          </cell>
          <cell r="E262">
            <v>1.33</v>
          </cell>
          <cell r="F262">
            <v>1.5</v>
          </cell>
        </row>
        <row r="263">
          <cell r="A263" t="str">
            <v>MAXFILM180</v>
          </cell>
          <cell r="B263" t="str">
            <v>DISCO 6" EN SECO KOVAX MAXFILM P180</v>
          </cell>
          <cell r="C263">
            <v>0.85</v>
          </cell>
          <cell r="D263">
            <v>0.96</v>
          </cell>
          <cell r="E263">
            <v>1.33</v>
          </cell>
          <cell r="F263">
            <v>1.5</v>
          </cell>
        </row>
        <row r="264">
          <cell r="A264" t="str">
            <v>MAXFILM220</v>
          </cell>
          <cell r="B264" t="str">
            <v>DISCO 6" EN SECO KOVAX MAXFILM P220</v>
          </cell>
          <cell r="C264">
            <v>0.85</v>
          </cell>
          <cell r="D264">
            <v>0.96</v>
          </cell>
          <cell r="E264">
            <v>1.33</v>
          </cell>
          <cell r="F264">
            <v>1.5</v>
          </cell>
        </row>
        <row r="265">
          <cell r="A265" t="str">
            <v>MAXFILM320</v>
          </cell>
          <cell r="B265" t="str">
            <v>DISCO 6" EN SECO KOVAX MAXFILM P320</v>
          </cell>
          <cell r="C265">
            <v>0.85</v>
          </cell>
          <cell r="D265">
            <v>0.96</v>
          </cell>
          <cell r="E265">
            <v>1.33</v>
          </cell>
          <cell r="F265">
            <v>1.5</v>
          </cell>
        </row>
        <row r="266">
          <cell r="A266" t="str">
            <v>MAXFILM400</v>
          </cell>
          <cell r="B266" t="str">
            <v>DISCO 6" EN SECO KOVAX MAXFILM P400</v>
          </cell>
          <cell r="C266">
            <v>0.85</v>
          </cell>
          <cell r="D266">
            <v>0.96</v>
          </cell>
          <cell r="E266">
            <v>1.33</v>
          </cell>
          <cell r="F266">
            <v>1.5</v>
          </cell>
        </row>
        <row r="267">
          <cell r="A267" t="str">
            <v>MAXFILM600</v>
          </cell>
          <cell r="B267" t="str">
            <v>DISCO 6" EN SECO KOVAX MAXFILM P600</v>
          </cell>
          <cell r="C267">
            <v>0.85</v>
          </cell>
          <cell r="D267">
            <v>0.96</v>
          </cell>
          <cell r="E267">
            <v>1.33</v>
          </cell>
          <cell r="F267">
            <v>1.5</v>
          </cell>
        </row>
        <row r="268">
          <cell r="D268" t="str">
            <v/>
          </cell>
        </row>
        <row r="269">
          <cell r="B269" t="str">
            <v>LIJADO EN SECO DISCOS</v>
          </cell>
          <cell r="D269" t="str">
            <v/>
          </cell>
        </row>
        <row r="270">
          <cell r="B270" t="str">
            <v>DISCOS ABRASIVOS PCAWM 5" SIN AGUJEROS</v>
          </cell>
          <cell r="D270" t="str">
            <v/>
          </cell>
        </row>
        <row r="271">
          <cell r="A271" t="str">
            <v>PCAWM400</v>
          </cell>
          <cell r="B271" t="str">
            <v>DISCO 5" KOVAX PCAWM P400 SIN AGUJEROS (Nuevo)</v>
          </cell>
          <cell r="C271">
            <v>0.45</v>
          </cell>
          <cell r="D271">
            <v>0.51</v>
          </cell>
          <cell r="E271">
            <v>0.71</v>
          </cell>
          <cell r="F271">
            <v>0.8</v>
          </cell>
        </row>
        <row r="272">
          <cell r="A272" t="str">
            <v>PCAWM320</v>
          </cell>
          <cell r="B272" t="str">
            <v>DISCO 5" KOVAX PCAWM P320 SIN AGUJEROS (Nuevo)</v>
          </cell>
          <cell r="C272">
            <v>0.45</v>
          </cell>
          <cell r="D272">
            <v>0.51</v>
          </cell>
          <cell r="E272">
            <v>0.71</v>
          </cell>
          <cell r="F272">
            <v>0.8</v>
          </cell>
        </row>
        <row r="273">
          <cell r="A273" t="str">
            <v>PCAWM180</v>
          </cell>
          <cell r="B273" t="str">
            <v>DISCO 5" KOVAX PCAWM P180 SIN AGUJEROS (Nuevo)</v>
          </cell>
          <cell r="C273">
            <v>0.45</v>
          </cell>
          <cell r="D273">
            <v>0.51</v>
          </cell>
          <cell r="E273">
            <v>0.71</v>
          </cell>
          <cell r="F273">
            <v>0.8</v>
          </cell>
        </row>
        <row r="274">
          <cell r="A274" t="str">
            <v>PCAWM100</v>
          </cell>
          <cell r="B274" t="str">
            <v>DISCO 5" KOVAX PCAWM P100 SIN AGUJEROS (Nuevo)</v>
          </cell>
          <cell r="C274">
            <v>0.45</v>
          </cell>
          <cell r="D274">
            <v>0.51</v>
          </cell>
          <cell r="E274">
            <v>0.71</v>
          </cell>
          <cell r="F274">
            <v>0.8</v>
          </cell>
        </row>
        <row r="275">
          <cell r="A275" t="str">
            <v>PCAWM120</v>
          </cell>
          <cell r="B275" t="str">
            <v>DISCO 5" KOVAX PCAWM P120 SIN AGUJEROS (Nuevo)</v>
          </cell>
          <cell r="C275">
            <v>0.45</v>
          </cell>
          <cell r="D275">
            <v>0.51</v>
          </cell>
          <cell r="E275">
            <v>0.71</v>
          </cell>
          <cell r="F275">
            <v>0.8</v>
          </cell>
        </row>
        <row r="276">
          <cell r="A276" t="str">
            <v>PCAWM150</v>
          </cell>
          <cell r="B276" t="str">
            <v>DISCO 5" KOVAX PCAWM P150 SIN AGUJEROS (Nuevo)</v>
          </cell>
          <cell r="C276">
            <v>0.45</v>
          </cell>
          <cell r="D276">
            <v>0.51</v>
          </cell>
          <cell r="E276">
            <v>0.71</v>
          </cell>
          <cell r="F276">
            <v>0.8</v>
          </cell>
        </row>
        <row r="277">
          <cell r="A277" t="str">
            <v>PCAWM220</v>
          </cell>
          <cell r="B277" t="str">
            <v>DISCO 5" KOVAX PCAWM P220 SIN AGUJEROS (Nuevo)</v>
          </cell>
          <cell r="C277">
            <v>0.45</v>
          </cell>
          <cell r="D277">
            <v>0.51</v>
          </cell>
          <cell r="E277">
            <v>0.71</v>
          </cell>
          <cell r="F277">
            <v>0.8</v>
          </cell>
        </row>
        <row r="278">
          <cell r="A278" t="str">
            <v>PCAWM40</v>
          </cell>
          <cell r="B278" t="str">
            <v>DISCO 5" KOVAX PCAWM P40 SIN AGUJEROS (Nuevo)</v>
          </cell>
          <cell r="C278">
            <v>0.45</v>
          </cell>
          <cell r="D278">
            <v>0.51</v>
          </cell>
          <cell r="E278">
            <v>0.71</v>
          </cell>
          <cell r="F278">
            <v>0.8</v>
          </cell>
        </row>
        <row r="279">
          <cell r="A279" t="str">
            <v>PCAWM60</v>
          </cell>
          <cell r="B279" t="str">
            <v>DISCO 5" KOVAX PCAWM P60 SIN AGUJEROS (Nuevo)</v>
          </cell>
          <cell r="C279">
            <v>0.45</v>
          </cell>
          <cell r="D279">
            <v>0.51</v>
          </cell>
          <cell r="E279">
            <v>0.71</v>
          </cell>
          <cell r="F279">
            <v>0.8</v>
          </cell>
        </row>
        <row r="280">
          <cell r="A280" t="str">
            <v>PCAWM80</v>
          </cell>
          <cell r="B280" t="str">
            <v>DISCO 5" KOVAX PCAWM P80 SIN AGUJEROS (Nuevo)</v>
          </cell>
          <cell r="C280">
            <v>0.45</v>
          </cell>
          <cell r="D280">
            <v>0.51</v>
          </cell>
          <cell r="E280">
            <v>0.71</v>
          </cell>
          <cell r="F280">
            <v>0.79999999999999993</v>
          </cell>
        </row>
        <row r="281">
          <cell r="D281" t="str">
            <v/>
          </cell>
        </row>
        <row r="282">
          <cell r="B282" t="str">
            <v>X25W BANDAS CERRADAS PARA MADERA</v>
          </cell>
          <cell r="D282" t="str">
            <v/>
          </cell>
        </row>
        <row r="283">
          <cell r="A283" t="str">
            <v>X25W0040</v>
          </cell>
          <cell r="B283" t="str">
            <v>LIJA BANDA CERRADA 3X21 40</v>
          </cell>
          <cell r="C283">
            <v>1.65</v>
          </cell>
          <cell r="D283">
            <v>1.86</v>
          </cell>
          <cell r="E283">
            <v>2.57</v>
          </cell>
          <cell r="F283">
            <v>2.9</v>
          </cell>
        </row>
        <row r="284">
          <cell r="A284" t="str">
            <v>X25W0060</v>
          </cell>
          <cell r="B284" t="str">
            <v>LIJA BANDA CERRADA 3X21 60</v>
          </cell>
          <cell r="C284">
            <v>1.65</v>
          </cell>
          <cell r="D284">
            <v>1.86</v>
          </cell>
          <cell r="E284">
            <v>2.57</v>
          </cell>
          <cell r="F284">
            <v>2.9</v>
          </cell>
        </row>
        <row r="285">
          <cell r="A285" t="str">
            <v>X25W0080</v>
          </cell>
          <cell r="B285" t="str">
            <v>LIJA BANDA CERRADA 3X21 80</v>
          </cell>
          <cell r="C285">
            <v>1.65</v>
          </cell>
          <cell r="D285">
            <v>1.86</v>
          </cell>
          <cell r="E285">
            <v>2.57</v>
          </cell>
          <cell r="F285">
            <v>2.9</v>
          </cell>
        </row>
        <row r="286">
          <cell r="A286" t="str">
            <v>X25W0100</v>
          </cell>
          <cell r="B286" t="str">
            <v>LIJA BANDA CERRADA 3X21 100</v>
          </cell>
          <cell r="C286">
            <v>1.65</v>
          </cell>
          <cell r="D286">
            <v>1.86</v>
          </cell>
          <cell r="E286">
            <v>2.57</v>
          </cell>
          <cell r="F286">
            <v>2.9</v>
          </cell>
        </row>
        <row r="287">
          <cell r="A287" t="str">
            <v>X25W0120</v>
          </cell>
          <cell r="B287" t="str">
            <v>LIJA BANDA CERRADA 3X21 120</v>
          </cell>
          <cell r="C287">
            <v>1.65</v>
          </cell>
          <cell r="D287">
            <v>1.86</v>
          </cell>
          <cell r="E287">
            <v>2.57</v>
          </cell>
          <cell r="F287">
            <v>2.9</v>
          </cell>
        </row>
        <row r="288">
          <cell r="D288" t="str">
            <v/>
          </cell>
        </row>
        <row r="289">
          <cell r="B289" t="str">
            <v xml:space="preserve">JR15A - RESPALDO FLEXIBLE </v>
          </cell>
          <cell r="D289" t="str">
            <v/>
          </cell>
        </row>
        <row r="290">
          <cell r="A290" t="str">
            <v>JR-15A400</v>
          </cell>
          <cell r="B290" t="str">
            <v>ROLLO EN SECO P400 4.5X15MTS LIJA DE LONA MULTIPROPOSITO</v>
          </cell>
          <cell r="C290">
            <v>12.12</v>
          </cell>
          <cell r="D290">
            <v>13.7</v>
          </cell>
          <cell r="E290">
            <v>18.940000000000001</v>
          </cell>
          <cell r="F290">
            <v>21.4</v>
          </cell>
        </row>
        <row r="291">
          <cell r="A291" t="str">
            <v>JR-15A320</v>
          </cell>
          <cell r="B291" t="str">
            <v>ROLLO EN SECO P320 4.5X15MTS LIJA DE LONA MULTIPROPOSITO</v>
          </cell>
          <cell r="C291">
            <v>12.12</v>
          </cell>
          <cell r="D291">
            <v>13.7</v>
          </cell>
          <cell r="E291">
            <v>18.940000000000001</v>
          </cell>
          <cell r="F291">
            <v>21.4</v>
          </cell>
        </row>
        <row r="292">
          <cell r="A292" t="str">
            <v>JR-15A220</v>
          </cell>
          <cell r="B292" t="str">
            <v>ROLLO EN SECO P220 4.5X15MTS LIJA DE LONA MULTIPROPOSITO</v>
          </cell>
          <cell r="C292">
            <v>12.12</v>
          </cell>
          <cell r="D292">
            <v>13.7</v>
          </cell>
          <cell r="E292">
            <v>18.940000000000001</v>
          </cell>
          <cell r="F292">
            <v>21.4</v>
          </cell>
        </row>
        <row r="293">
          <cell r="A293" t="str">
            <v>JR-15A180</v>
          </cell>
          <cell r="B293" t="str">
            <v>ROLLO EN SECO P180 4.5X15MTS LIJA DE LONA MULTIPROPOSITO</v>
          </cell>
          <cell r="C293">
            <v>12.12</v>
          </cell>
          <cell r="D293">
            <v>13.7</v>
          </cell>
          <cell r="E293">
            <v>18.940000000000001</v>
          </cell>
          <cell r="F293">
            <v>21.4</v>
          </cell>
        </row>
        <row r="294">
          <cell r="A294" t="str">
            <v>JR-15A150</v>
          </cell>
          <cell r="B294" t="str">
            <v>ROLLO EN SECO P150 4.5X15MTS LIJA DE LONA MULTIPROPOSITO</v>
          </cell>
          <cell r="C294">
            <v>12.12</v>
          </cell>
          <cell r="D294">
            <v>13.7</v>
          </cell>
          <cell r="E294">
            <v>18.940000000000001</v>
          </cell>
          <cell r="F294">
            <v>21.4</v>
          </cell>
        </row>
        <row r="295">
          <cell r="A295" t="str">
            <v>JR-15A120</v>
          </cell>
          <cell r="B295" t="str">
            <v>ROLLO EN SECO P120 4.5X15MTS LIJA DE LONA MULTIPROPOSITO</v>
          </cell>
          <cell r="C295">
            <v>12.12</v>
          </cell>
          <cell r="D295">
            <v>13.7</v>
          </cell>
          <cell r="E295">
            <v>18.940000000000001</v>
          </cell>
          <cell r="F295">
            <v>21.4</v>
          </cell>
        </row>
        <row r="296">
          <cell r="A296" t="str">
            <v>JR-15A100</v>
          </cell>
          <cell r="B296" t="str">
            <v>ROLLO EN SECO P100 4.5X15MTS LIJA DE LONA MULTIPROPOSITO</v>
          </cell>
          <cell r="C296">
            <v>12.12</v>
          </cell>
          <cell r="D296">
            <v>13.7</v>
          </cell>
          <cell r="E296">
            <v>18.940000000000001</v>
          </cell>
          <cell r="F296">
            <v>21.4</v>
          </cell>
        </row>
        <row r="297">
          <cell r="A297" t="str">
            <v>JR-15A80</v>
          </cell>
          <cell r="B297" t="str">
            <v>ROLLO EN SECO P80 4.5X15MTS LIJA DE LONA MULTIPROPOSITO</v>
          </cell>
          <cell r="C297">
            <v>12.12</v>
          </cell>
          <cell r="D297">
            <v>13.7</v>
          </cell>
          <cell r="E297">
            <v>18.940000000000001</v>
          </cell>
          <cell r="F297">
            <v>21.4</v>
          </cell>
        </row>
        <row r="298">
          <cell r="A298" t="str">
            <v>JR-15A60</v>
          </cell>
          <cell r="B298" t="str">
            <v>ROLLO EN SECO P60 4.5X15MTS LIJA DE LONA MULTIPROPOSITO</v>
          </cell>
          <cell r="C298">
            <v>12.12</v>
          </cell>
          <cell r="D298">
            <v>13.7</v>
          </cell>
          <cell r="E298">
            <v>18.940000000000001</v>
          </cell>
          <cell r="F298">
            <v>21.4</v>
          </cell>
        </row>
        <row r="299">
          <cell r="D299" t="str">
            <v/>
          </cell>
        </row>
        <row r="300">
          <cell r="B300" t="str">
            <v>LIJADO EN SECO SUPER BUFLEX</v>
          </cell>
          <cell r="D300" t="str">
            <v/>
          </cell>
        </row>
        <row r="301">
          <cell r="B301" t="str">
            <v>PLIEGOS 170x130mm</v>
          </cell>
          <cell r="D301" t="str">
            <v/>
          </cell>
        </row>
        <row r="302">
          <cell r="A302">
            <v>1911531</v>
          </cell>
          <cell r="B302" t="str">
            <v>PLIEGO EN SECO KOVAX SUPER BUFLEX NEGRO 3000</v>
          </cell>
          <cell r="C302">
            <v>1.18</v>
          </cell>
          <cell r="D302">
            <v>1.33</v>
          </cell>
          <cell r="E302">
            <v>1.68</v>
          </cell>
          <cell r="F302">
            <v>1.9000000000000001</v>
          </cell>
        </row>
        <row r="303">
          <cell r="A303">
            <v>1911532</v>
          </cell>
          <cell r="B303" t="str">
            <v>PLIEGO EN SECO KOVAX SUPER BUFLEX VERDE 2000</v>
          </cell>
          <cell r="C303">
            <v>1.18</v>
          </cell>
          <cell r="D303">
            <v>1.33</v>
          </cell>
          <cell r="E303">
            <v>1.68</v>
          </cell>
          <cell r="F303">
            <v>1.9</v>
          </cell>
        </row>
        <row r="304">
          <cell r="D304" t="str">
            <v/>
          </cell>
        </row>
        <row r="305">
          <cell r="B305" t="str">
            <v>DISCOS</v>
          </cell>
          <cell r="D305" t="str">
            <v/>
          </cell>
        </row>
        <row r="306">
          <cell r="A306">
            <v>1931534</v>
          </cell>
          <cell r="B306" t="str">
            <v>DISCO 6" EN SECO KOVAX SUPER BUFLEX NEGRO 3000</v>
          </cell>
          <cell r="C306">
            <v>1.05</v>
          </cell>
          <cell r="D306">
            <v>1.19</v>
          </cell>
          <cell r="E306">
            <v>1.5</v>
          </cell>
          <cell r="F306">
            <v>1.7000000000000002</v>
          </cell>
        </row>
        <row r="307">
          <cell r="A307">
            <v>1931535</v>
          </cell>
          <cell r="B307" t="str">
            <v>DISCO 6" EN SECO KOVAX SUPER BUFLEX VERDE 2000</v>
          </cell>
          <cell r="C307">
            <v>1.05</v>
          </cell>
          <cell r="D307">
            <v>1.19</v>
          </cell>
          <cell r="E307">
            <v>1.5</v>
          </cell>
          <cell r="F307">
            <v>1.7000000000000002</v>
          </cell>
        </row>
        <row r="308">
          <cell r="B308" t="str">
            <v/>
          </cell>
          <cell r="D308" t="str">
            <v/>
          </cell>
        </row>
        <row r="309">
          <cell r="B309" t="str">
            <v>LIJADO EN SECO SUPER ASSILEX</v>
          </cell>
          <cell r="D309" t="str">
            <v/>
          </cell>
        </row>
        <row r="310">
          <cell r="B310" t="str">
            <v>PLIEGOS 170x130mm</v>
          </cell>
          <cell r="D310" t="str">
            <v/>
          </cell>
        </row>
        <row r="311">
          <cell r="A311">
            <v>1912515</v>
          </cell>
          <cell r="B311" t="str">
            <v>PLIEGO EN SECO SUPER ASSILEX KOVAX 320</v>
          </cell>
          <cell r="C311">
            <v>1.05</v>
          </cell>
          <cell r="D311">
            <v>1.19</v>
          </cell>
          <cell r="E311">
            <v>1.5</v>
          </cell>
          <cell r="F311">
            <v>1.7</v>
          </cell>
        </row>
        <row r="312">
          <cell r="A312">
            <v>1912513</v>
          </cell>
          <cell r="B312" t="str">
            <v>PLIEGO EN SECO SUPER ASSILEX KOVAX 400</v>
          </cell>
          <cell r="C312">
            <v>1.18</v>
          </cell>
          <cell r="D312">
            <v>1.33</v>
          </cell>
          <cell r="E312">
            <v>1.68</v>
          </cell>
          <cell r="F312">
            <v>1.9</v>
          </cell>
        </row>
        <row r="313">
          <cell r="A313">
            <v>1911508</v>
          </cell>
          <cell r="B313" t="str">
            <v>PLIEGO EN SECO KOVAX SUPER ASSILEX CELESTE 600</v>
          </cell>
          <cell r="C313">
            <v>1.18</v>
          </cell>
          <cell r="D313">
            <v>1.33</v>
          </cell>
          <cell r="E313">
            <v>1.68</v>
          </cell>
          <cell r="F313">
            <v>1.9</v>
          </cell>
        </row>
        <row r="314">
          <cell r="A314">
            <v>1911509</v>
          </cell>
          <cell r="B314" t="str">
            <v>PLIEGO EN SECO KOVAX SUPER ASSILEX AMARILLO 800</v>
          </cell>
          <cell r="C314">
            <v>1.18</v>
          </cell>
          <cell r="D314">
            <v>1.33</v>
          </cell>
          <cell r="E314">
            <v>1.68</v>
          </cell>
          <cell r="F314">
            <v>1.9</v>
          </cell>
        </row>
        <row r="315">
          <cell r="A315">
            <v>1911510</v>
          </cell>
          <cell r="B315" t="str">
            <v>PLIEGO EN SECO KOVAX SUPER ASSILEX NARANJA 1200</v>
          </cell>
          <cell r="C315">
            <v>1.18</v>
          </cell>
          <cell r="D315">
            <v>1.33</v>
          </cell>
          <cell r="E315">
            <v>1.68</v>
          </cell>
          <cell r="F315">
            <v>1.9</v>
          </cell>
        </row>
        <row r="316">
          <cell r="D316" t="str">
            <v/>
          </cell>
        </row>
        <row r="317">
          <cell r="B317" t="str">
            <v>DISCOS 6" CON AGUJEROS</v>
          </cell>
          <cell r="D317" t="str">
            <v/>
          </cell>
        </row>
        <row r="318">
          <cell r="A318">
            <v>1932553</v>
          </cell>
          <cell r="B318" t="str">
            <v>DISCO 6" EN SECO KOVAX SUPER ASSILEX 400</v>
          </cell>
          <cell r="C318">
            <v>1.02</v>
          </cell>
          <cell r="D318">
            <v>1.1499999999999999</v>
          </cell>
          <cell r="E318">
            <v>1.59</v>
          </cell>
          <cell r="F318">
            <v>1.8</v>
          </cell>
        </row>
        <row r="319">
          <cell r="A319">
            <v>1931538</v>
          </cell>
          <cell r="B319" t="str">
            <v>DISCO 6" EN SECO KOVAX SUPER ASSILEX CELESTE 600</v>
          </cell>
          <cell r="C319">
            <v>1.02</v>
          </cell>
          <cell r="D319">
            <v>1.1499999999999999</v>
          </cell>
          <cell r="E319">
            <v>1.59</v>
          </cell>
          <cell r="F319">
            <v>1.8</v>
          </cell>
        </row>
        <row r="320">
          <cell r="A320">
            <v>1931539</v>
          </cell>
          <cell r="B320" t="str">
            <v>DISCO 6" EN SECO KOVAX SUPER ASSILEX AMARILLO 800</v>
          </cell>
          <cell r="C320">
            <v>1.02</v>
          </cell>
          <cell r="D320">
            <v>1.1499999999999999</v>
          </cell>
          <cell r="E320">
            <v>1.59</v>
          </cell>
          <cell r="F320">
            <v>1.8</v>
          </cell>
        </row>
        <row r="321">
          <cell r="A321">
            <v>1931540</v>
          </cell>
          <cell r="B321" t="str">
            <v>DISCO 6" EN SECO KOVAX SUPER ASSILEX NARANJA 1200</v>
          </cell>
          <cell r="C321">
            <v>1.02</v>
          </cell>
          <cell r="D321">
            <v>1.1499999999999999</v>
          </cell>
          <cell r="E321">
            <v>1.59</v>
          </cell>
          <cell r="F321">
            <v>1.8</v>
          </cell>
        </row>
        <row r="322">
          <cell r="A322">
            <v>1932545</v>
          </cell>
          <cell r="B322" t="str">
            <v xml:space="preserve">DISCO 6" EN SECO KOVAX SUPER ASSILEX ROSADO 1500 </v>
          </cell>
          <cell r="C322">
            <v>1.02</v>
          </cell>
          <cell r="D322">
            <v>1.1499999999999999</v>
          </cell>
          <cell r="E322">
            <v>1.59</v>
          </cell>
          <cell r="F322">
            <v>1.8</v>
          </cell>
        </row>
        <row r="323">
          <cell r="D323" t="str">
            <v/>
          </cell>
        </row>
        <row r="324">
          <cell r="B324" t="str">
            <v>LIJADORAS ORBITALES Y ACCESORIOS DE LIJADO</v>
          </cell>
          <cell r="D324" t="str">
            <v/>
          </cell>
        </row>
        <row r="325">
          <cell r="B325" t="str">
            <v>LIJADORA 6  Y PAD KOVAX (6 PULG) NUEVO</v>
          </cell>
          <cell r="D325" t="str">
            <v/>
          </cell>
        </row>
        <row r="326">
          <cell r="A326">
            <v>31048</v>
          </cell>
          <cell r="B326" t="str">
            <v>LIJADORA ORBITAL 6" VELCRO ASTRO</v>
          </cell>
          <cell r="C326">
            <v>91.81</v>
          </cell>
          <cell r="D326">
            <v>103.74</v>
          </cell>
          <cell r="E326">
            <v>117.7</v>
          </cell>
          <cell r="F326">
            <v>133</v>
          </cell>
        </row>
        <row r="327">
          <cell r="A327" t="str">
            <v>PT225</v>
          </cell>
          <cell r="B327" t="str">
            <v xml:space="preserve">LIJADORA ORBITAL BOER TOOLS </v>
          </cell>
          <cell r="C327">
            <v>41.58</v>
          </cell>
          <cell r="D327">
            <v>46.99</v>
          </cell>
          <cell r="E327">
            <v>56.19</v>
          </cell>
          <cell r="F327">
            <v>63.5</v>
          </cell>
        </row>
        <row r="328">
          <cell r="D328" t="str">
            <v/>
          </cell>
        </row>
        <row r="329">
          <cell r="B329" t="str">
            <v>ACCESORIOS PARA LIJADO MECANICO PARA BANDAS Y DISCOS</v>
          </cell>
          <cell r="D329" t="str">
            <v/>
          </cell>
        </row>
        <row r="330">
          <cell r="A330">
            <v>9720006</v>
          </cell>
          <cell r="B330" t="str">
            <v>RESPALDO PAD 6" KOVAX  CON AGUJEROS</v>
          </cell>
          <cell r="C330">
            <v>24.85</v>
          </cell>
          <cell r="D330">
            <v>28.08</v>
          </cell>
          <cell r="E330">
            <v>31.06</v>
          </cell>
          <cell r="F330">
            <v>35.1</v>
          </cell>
        </row>
        <row r="331">
          <cell r="A331">
            <v>9710063</v>
          </cell>
          <cell r="B331" t="str">
            <v>RESPALDO REDONDO DRY BUFLEX PAD 6"</v>
          </cell>
          <cell r="C331">
            <v>10.97</v>
          </cell>
          <cell r="D331">
            <v>12.4</v>
          </cell>
          <cell r="E331">
            <v>14.07</v>
          </cell>
          <cell r="F331">
            <v>15.9</v>
          </cell>
        </row>
        <row r="332">
          <cell r="A332">
            <v>9710070</v>
          </cell>
          <cell r="B332" t="str">
            <v>INTERFACE RIGIDO 5' SIN AGUJEROS</v>
          </cell>
          <cell r="C332">
            <v>9.84</v>
          </cell>
          <cell r="D332">
            <v>11.12</v>
          </cell>
          <cell r="E332">
            <v>12.3</v>
          </cell>
          <cell r="F332">
            <v>13.9</v>
          </cell>
        </row>
        <row r="333">
          <cell r="A333">
            <v>9720001</v>
          </cell>
          <cell r="B333" t="str">
            <v>RESPALDO PAD RIGIDO DE 5"</v>
          </cell>
          <cell r="C333">
            <v>21.59</v>
          </cell>
          <cell r="D333">
            <v>24.4</v>
          </cell>
          <cell r="E333">
            <v>26.99</v>
          </cell>
          <cell r="F333">
            <v>30.5</v>
          </cell>
        </row>
        <row r="334">
          <cell r="A334">
            <v>9720110</v>
          </cell>
          <cell r="B334" t="str">
            <v>RESPALDO PAD VP 5" CON AGUJEROS</v>
          </cell>
          <cell r="C334">
            <v>16.64</v>
          </cell>
          <cell r="D334">
            <v>18.8</v>
          </cell>
          <cell r="E334">
            <v>20.8</v>
          </cell>
          <cell r="F334">
            <v>23.5</v>
          </cell>
        </row>
        <row r="335">
          <cell r="D335" t="str">
            <v/>
          </cell>
        </row>
        <row r="336">
          <cell r="B336" t="str">
            <v>ACCESORIOS PARA LIJADO MANUAL PARA BANDAS Y DISCOS</v>
          </cell>
          <cell r="D336" t="str">
            <v/>
          </cell>
        </row>
        <row r="337">
          <cell r="A337" t="str">
            <v>BLD6</v>
          </cell>
          <cell r="B337" t="str">
            <v>BLOQUE PARA LIJAR DISCOS DE 6"</v>
          </cell>
          <cell r="C337">
            <v>2.68</v>
          </cell>
          <cell r="D337">
            <v>3.03</v>
          </cell>
          <cell r="E337">
            <v>3.63</v>
          </cell>
          <cell r="F337">
            <v>4.0999999999999996</v>
          </cell>
        </row>
        <row r="338">
          <cell r="A338">
            <v>44015</v>
          </cell>
          <cell r="B338" t="str">
            <v>BLOQUE DE MADERA DE LIJAR BANDAS ABIERTAS GRANDE</v>
          </cell>
          <cell r="C338">
            <v>6.49</v>
          </cell>
          <cell r="D338">
            <v>7.33</v>
          </cell>
          <cell r="E338">
            <v>8.76</v>
          </cell>
          <cell r="F338">
            <v>9.9</v>
          </cell>
        </row>
        <row r="339">
          <cell r="A339">
            <v>44014</v>
          </cell>
          <cell r="B339" t="str">
            <v>BLOQUE DE MADERA DE LIJAR BANDAS ABIERTAS PEQUENO</v>
          </cell>
          <cell r="C339">
            <v>2.4900000000000002</v>
          </cell>
          <cell r="D339">
            <v>2.81</v>
          </cell>
          <cell r="E339">
            <v>3.36</v>
          </cell>
          <cell r="F339">
            <v>3.8000000000000003</v>
          </cell>
        </row>
        <row r="340">
          <cell r="A340">
            <v>44013</v>
          </cell>
          <cell r="B340" t="str">
            <v>BLOQUE DE MADERA DE LIJAR BANDAS ABIERTAS MEDIANO</v>
          </cell>
          <cell r="C340">
            <v>3.87</v>
          </cell>
          <cell r="D340">
            <v>4.37</v>
          </cell>
          <cell r="E340">
            <v>5.22</v>
          </cell>
          <cell r="F340">
            <v>5.8999999999999995</v>
          </cell>
        </row>
        <row r="341">
          <cell r="A341" t="str">
            <v>AR00212</v>
          </cell>
          <cell r="B341" t="str">
            <v>SANDING BLOCK SUPER ASSILEX</v>
          </cell>
          <cell r="C341">
            <v>8.65</v>
          </cell>
          <cell r="D341">
            <v>9.77</v>
          </cell>
          <cell r="E341">
            <v>11.68</v>
          </cell>
          <cell r="F341">
            <v>13.2</v>
          </cell>
        </row>
        <row r="342">
          <cell r="D342" t="str">
            <v/>
          </cell>
        </row>
        <row r="343">
          <cell r="B343" t="str">
            <v>RESPALDOS DE USO MANUAL Y MECANICO</v>
          </cell>
          <cell r="D343" t="str">
            <v/>
          </cell>
        </row>
        <row r="344">
          <cell r="A344">
            <v>9710061</v>
          </cell>
          <cell r="B344" t="str">
            <v xml:space="preserve">INTERFACE DE ALMOHADILLA DRY BUFLEX PAD M </v>
          </cell>
          <cell r="C344">
            <v>7.52</v>
          </cell>
          <cell r="D344">
            <v>8.5</v>
          </cell>
          <cell r="E344">
            <v>9.65</v>
          </cell>
          <cell r="F344">
            <v>10.9</v>
          </cell>
        </row>
        <row r="345">
          <cell r="A345">
            <v>9710026</v>
          </cell>
          <cell r="B345" t="str">
            <v>INTERFACE DE ALMOHADILLA MANUAL ASSILEX PAD L</v>
          </cell>
          <cell r="C345">
            <v>6.28</v>
          </cell>
          <cell r="D345">
            <v>7.1</v>
          </cell>
          <cell r="E345">
            <v>8.0500000000000007</v>
          </cell>
          <cell r="F345">
            <v>9.1</v>
          </cell>
        </row>
        <row r="346">
          <cell r="A346">
            <v>9710035</v>
          </cell>
          <cell r="B346" t="str">
            <v>INTERFACE DE ALMOHADILLA ASSILEX PAD M</v>
          </cell>
          <cell r="C346">
            <v>4.07</v>
          </cell>
          <cell r="D346">
            <v>4.5999999999999996</v>
          </cell>
          <cell r="E346">
            <v>5.22</v>
          </cell>
          <cell r="F346">
            <v>5.9</v>
          </cell>
        </row>
        <row r="347">
          <cell r="A347">
            <v>9710025</v>
          </cell>
          <cell r="B347" t="str">
            <v>INTERFACE DE ALMOHADILLA MANUAL ASSILEX PAD M</v>
          </cell>
          <cell r="C347">
            <v>17.190000000000001</v>
          </cell>
          <cell r="D347">
            <v>19.420000000000002</v>
          </cell>
          <cell r="E347">
            <v>22.04</v>
          </cell>
          <cell r="F347">
            <v>24.9</v>
          </cell>
        </row>
        <row r="348">
          <cell r="A348">
            <v>9710039</v>
          </cell>
          <cell r="B348" t="str">
            <v>INTERFACE REDONDO FLEXIBLE ASSILEX PAD 6"</v>
          </cell>
          <cell r="C348">
            <v>10.84</v>
          </cell>
          <cell r="D348">
            <v>12.25</v>
          </cell>
          <cell r="E348">
            <v>13.89</v>
          </cell>
          <cell r="F348">
            <v>15.7</v>
          </cell>
        </row>
        <row r="349">
          <cell r="A349">
            <v>9710049</v>
          </cell>
          <cell r="B349" t="str">
            <v>INTERFACE REDONDO RIGIDO ASSILEX PAD 6"</v>
          </cell>
          <cell r="C349">
            <v>10.84</v>
          </cell>
          <cell r="D349">
            <v>12.25</v>
          </cell>
          <cell r="E349">
            <v>13.89</v>
          </cell>
          <cell r="F349">
            <v>15.7</v>
          </cell>
        </row>
        <row r="350">
          <cell r="D350" t="str">
            <v/>
          </cell>
        </row>
        <row r="351">
          <cell r="B351" t="str">
            <v xml:space="preserve">CUBOS DE LIJADO </v>
          </cell>
          <cell r="D351" t="str">
            <v/>
          </cell>
        </row>
        <row r="352">
          <cell r="D352" t="str">
            <v/>
          </cell>
        </row>
        <row r="353">
          <cell r="B353" t="str">
            <v>SISTEMAS DE ENMASCARADO</v>
          </cell>
          <cell r="D353" t="str">
            <v/>
          </cell>
        </row>
        <row r="354">
          <cell r="D354" t="str">
            <v/>
          </cell>
        </row>
        <row r="355">
          <cell r="B355" t="str">
            <v>MASKING TAPE</v>
          </cell>
          <cell r="D355" t="str">
            <v/>
          </cell>
        </row>
        <row r="356">
          <cell r="D356" t="str">
            <v/>
          </cell>
        </row>
        <row r="357">
          <cell r="B357" t="str">
            <v xml:space="preserve">CINTAS ARQUITECTONICAS PROFESIONAL HYSTIK </v>
          </cell>
          <cell r="D357" t="str">
            <v/>
          </cell>
        </row>
        <row r="358">
          <cell r="A358" t="str">
            <v>AR835-1.5</v>
          </cell>
          <cell r="B358" t="str">
            <v>MASKING TAPE 835 PROF 1.5X60YDS</v>
          </cell>
          <cell r="C358">
            <v>3.42</v>
          </cell>
          <cell r="D358">
            <v>3.87</v>
          </cell>
          <cell r="E358">
            <v>3.98</v>
          </cell>
          <cell r="F358">
            <v>4.5</v>
          </cell>
        </row>
        <row r="359">
          <cell r="A359" t="str">
            <v>AR835-1</v>
          </cell>
          <cell r="B359" t="str">
            <v>MASKING TAPE 835 PROF 1X60YDS</v>
          </cell>
          <cell r="C359">
            <v>2.5099999999999998</v>
          </cell>
          <cell r="D359">
            <v>2.84</v>
          </cell>
          <cell r="E359">
            <v>2.92</v>
          </cell>
          <cell r="F359">
            <v>3.3</v>
          </cell>
        </row>
        <row r="360">
          <cell r="A360" t="str">
            <v>AR835-3/4</v>
          </cell>
          <cell r="B360" t="str">
            <v>MASKING TAPE 835 PROF 3/4X60YDS</v>
          </cell>
          <cell r="C360">
            <v>1.9</v>
          </cell>
          <cell r="D360">
            <v>2.15</v>
          </cell>
          <cell r="E360">
            <v>2.21</v>
          </cell>
          <cell r="F360">
            <v>2.5</v>
          </cell>
        </row>
        <row r="361">
          <cell r="D361" t="str">
            <v/>
          </cell>
        </row>
        <row r="362">
          <cell r="B362" t="str">
            <v xml:space="preserve">CINTAS ARQUITECTONICAS SUPERFICIES RUGOSAS HYSTIK </v>
          </cell>
          <cell r="D362" t="str">
            <v/>
          </cell>
        </row>
        <row r="363">
          <cell r="A363" t="str">
            <v>AR833-3/4</v>
          </cell>
          <cell r="B363" t="str">
            <v>Masking Tape Arquitectonico 833 Superficies Rugosas 3/4X60 YDS</v>
          </cell>
          <cell r="C363">
            <v>2.19</v>
          </cell>
          <cell r="D363">
            <v>2.48</v>
          </cell>
          <cell r="E363">
            <v>2.74</v>
          </cell>
          <cell r="F363">
            <v>3.1</v>
          </cell>
        </row>
        <row r="364">
          <cell r="A364" t="str">
            <v>AR833-1</v>
          </cell>
          <cell r="B364" t="str">
            <v>Masking Tape Arquitectonico 833 Superficies Rugosas 1X60 YDS</v>
          </cell>
          <cell r="C364">
            <v>2.48</v>
          </cell>
          <cell r="D364">
            <v>2.8</v>
          </cell>
          <cell r="E364">
            <v>3.1</v>
          </cell>
          <cell r="F364">
            <v>3.5</v>
          </cell>
        </row>
        <row r="365">
          <cell r="A365" t="str">
            <v>AR833-1.5</v>
          </cell>
          <cell r="B365" t="str">
            <v>Masking Tape Arquitectonico 833 Superficies Rugosas 1.5X60 YDS</v>
          </cell>
          <cell r="C365">
            <v>3.75</v>
          </cell>
          <cell r="D365">
            <v>4.24</v>
          </cell>
          <cell r="E365">
            <v>4.6900000000000004</v>
          </cell>
          <cell r="F365">
            <v>5.3</v>
          </cell>
        </row>
        <row r="366">
          <cell r="A366" t="str">
            <v>AR833-2</v>
          </cell>
          <cell r="B366" t="str">
            <v>Masking Tape Arquitectonico 833 Superficies Rugosas 2X60 YDS</v>
          </cell>
          <cell r="C366">
            <v>4.67</v>
          </cell>
          <cell r="D366">
            <v>5.28</v>
          </cell>
          <cell r="E366">
            <v>5.84</v>
          </cell>
          <cell r="F366">
            <v>6.6</v>
          </cell>
        </row>
        <row r="367">
          <cell r="D367" t="str">
            <v/>
          </cell>
        </row>
        <row r="368">
          <cell r="B368" t="str">
            <v>CINTAS MULTIUSO HYSTIK 803</v>
          </cell>
          <cell r="D368" t="str">
            <v/>
          </cell>
        </row>
        <row r="369">
          <cell r="A369" t="str">
            <v>AR20363</v>
          </cell>
          <cell r="B369" t="str">
            <v>Hystik 803 Masking Tape Multiusos 1"</v>
          </cell>
          <cell r="C369">
            <v>0.92</v>
          </cell>
          <cell r="D369">
            <v>1.04</v>
          </cell>
          <cell r="E369">
            <v>1.24</v>
          </cell>
          <cell r="F369">
            <v>1.4000000000000001</v>
          </cell>
        </row>
        <row r="370">
          <cell r="A370" t="str">
            <v>AR803-3/4</v>
          </cell>
          <cell r="B370" t="str">
            <v>Masking Tape 803  Multiuso 3/4X36</v>
          </cell>
          <cell r="C370">
            <v>0.65</v>
          </cell>
          <cell r="D370">
            <v>0.74</v>
          </cell>
          <cell r="E370">
            <v>0.88</v>
          </cell>
          <cell r="F370">
            <v>1</v>
          </cell>
        </row>
        <row r="371">
          <cell r="D371" t="str">
            <v/>
          </cell>
        </row>
        <row r="372">
          <cell r="B372" t="str">
            <v>HYSTIK 832 PREMIUM AUTOMOTRIZ</v>
          </cell>
          <cell r="D372" t="str">
            <v/>
          </cell>
        </row>
        <row r="373">
          <cell r="A373" t="str">
            <v>AR832-3/4</v>
          </cell>
          <cell r="B373" t="str">
            <v>MASKING TAPE 832 AUT 3/4X60YDS</v>
          </cell>
          <cell r="C373">
            <v>1.77</v>
          </cell>
          <cell r="D373">
            <v>2</v>
          </cell>
          <cell r="E373">
            <v>2.39</v>
          </cell>
          <cell r="F373">
            <v>2.7</v>
          </cell>
        </row>
        <row r="374">
          <cell r="A374" t="str">
            <v>AR832-2</v>
          </cell>
          <cell r="B374" t="str">
            <v>MASKING TAPE 832 AUT 2X60YDS</v>
          </cell>
          <cell r="C374">
            <v>4.04</v>
          </cell>
          <cell r="D374">
            <v>4.5599999999999996</v>
          </cell>
          <cell r="E374">
            <v>4.6900000000000004</v>
          </cell>
          <cell r="F374">
            <v>5.3</v>
          </cell>
        </row>
        <row r="375">
          <cell r="D375" t="str">
            <v/>
          </cell>
        </row>
        <row r="376">
          <cell r="B376" t="str">
            <v>HYSTIK 815 ESTANDAR AUTOMOTRIZ</v>
          </cell>
          <cell r="D376" t="str">
            <v/>
          </cell>
        </row>
        <row r="377">
          <cell r="A377" t="str">
            <v>AR815-3436</v>
          </cell>
          <cell r="B377" t="str">
            <v>Masking Tape Automotriz 815 3/4X36 YDS</v>
          </cell>
          <cell r="C377">
            <v>0.98</v>
          </cell>
          <cell r="D377">
            <v>1.1100000000000001</v>
          </cell>
          <cell r="E377">
            <v>1.33</v>
          </cell>
          <cell r="F377">
            <v>1.5</v>
          </cell>
        </row>
        <row r="378">
          <cell r="A378" t="str">
            <v>AR815-3/4</v>
          </cell>
          <cell r="B378" t="str">
            <v>Masking Tape Automotriz 815 3/4X60 YDS</v>
          </cell>
          <cell r="C378">
            <v>1.5</v>
          </cell>
          <cell r="D378">
            <v>1.7</v>
          </cell>
          <cell r="E378">
            <v>2.04</v>
          </cell>
          <cell r="F378">
            <v>2.2999999999999998</v>
          </cell>
        </row>
        <row r="379">
          <cell r="A379" t="str">
            <v>AR815-2</v>
          </cell>
          <cell r="B379" t="str">
            <v xml:space="preserve">Masking Tape Automotriz 815 2X36 YDS </v>
          </cell>
          <cell r="C379">
            <v>2.81</v>
          </cell>
          <cell r="D379">
            <v>3.18</v>
          </cell>
          <cell r="E379">
            <v>3.81</v>
          </cell>
          <cell r="F379">
            <v>4.3</v>
          </cell>
        </row>
        <row r="380">
          <cell r="D380" t="str">
            <v/>
          </cell>
        </row>
        <row r="381">
          <cell r="B381" t="str">
            <v>HYSTIK 810 ECONOMICO  AUTOMOTRIZ</v>
          </cell>
          <cell r="D381" t="str">
            <v/>
          </cell>
        </row>
        <row r="382">
          <cell r="A382" t="str">
            <v>AR810-2</v>
          </cell>
          <cell r="B382" t="str">
            <v>MASKING TAPE 810 2x36</v>
          </cell>
          <cell r="C382">
            <v>2.42</v>
          </cell>
          <cell r="D382">
            <v>2.74</v>
          </cell>
          <cell r="E382">
            <v>3.27</v>
          </cell>
          <cell r="F382">
            <v>3.7</v>
          </cell>
        </row>
        <row r="383">
          <cell r="A383" t="str">
            <v>AR810-3436</v>
          </cell>
          <cell r="B383" t="str">
            <v>MASKING TAPE 810 3/4x36</v>
          </cell>
          <cell r="C383">
            <v>0.85</v>
          </cell>
          <cell r="D383">
            <v>0.96</v>
          </cell>
          <cell r="E383">
            <v>1.1499999999999999</v>
          </cell>
          <cell r="F383">
            <v>1.3</v>
          </cell>
        </row>
        <row r="384">
          <cell r="A384" t="str">
            <v>AR810-3/4</v>
          </cell>
          <cell r="B384" t="str">
            <v>MASKING TAPE 810 3/4x60</v>
          </cell>
          <cell r="C384">
            <v>1.44</v>
          </cell>
          <cell r="D384">
            <v>1.63</v>
          </cell>
          <cell r="E384">
            <v>1.95</v>
          </cell>
          <cell r="F384">
            <v>2.2000000000000002</v>
          </cell>
        </row>
        <row r="385">
          <cell r="D385" t="str">
            <v/>
          </cell>
        </row>
        <row r="386">
          <cell r="D386" t="str">
            <v/>
          </cell>
        </row>
        <row r="387">
          <cell r="B387" t="str">
            <v>CINTAS ESPECIALIZADAS</v>
          </cell>
          <cell r="D387" t="str">
            <v/>
          </cell>
        </row>
        <row r="388">
          <cell r="A388" t="str">
            <v>AR145-3</v>
          </cell>
          <cell r="B388" t="str">
            <v>CINTA DE FRANJEADO 145 3MMX33M</v>
          </cell>
          <cell r="C388">
            <v>1.44</v>
          </cell>
          <cell r="D388">
            <v>1.63</v>
          </cell>
          <cell r="E388">
            <v>1.95</v>
          </cell>
          <cell r="F388">
            <v>2.2000000000000002</v>
          </cell>
        </row>
        <row r="389">
          <cell r="A389" t="str">
            <v>AR145-6</v>
          </cell>
          <cell r="B389" t="str">
            <v>CINTA DE FRANJEADO 145 6MMX33M</v>
          </cell>
          <cell r="C389">
            <v>1.7</v>
          </cell>
          <cell r="D389">
            <v>1.92</v>
          </cell>
          <cell r="E389">
            <v>2.2999999999999998</v>
          </cell>
          <cell r="F389">
            <v>2.6</v>
          </cell>
        </row>
        <row r="390">
          <cell r="A390" t="str">
            <v>AR945-1218</v>
          </cell>
          <cell r="B390" t="str">
            <v>CINTA DOBLE CARA 945 12MMX18M</v>
          </cell>
          <cell r="C390">
            <v>11.79</v>
          </cell>
          <cell r="D390">
            <v>13.32</v>
          </cell>
          <cell r="E390">
            <v>15.93</v>
          </cell>
          <cell r="F390">
            <v>18</v>
          </cell>
        </row>
        <row r="391">
          <cell r="A391" t="str">
            <v>CD90010</v>
          </cell>
          <cell r="B391" t="str">
            <v>CINTA DUCTO 48MMX10M</v>
          </cell>
          <cell r="C391">
            <v>3.6</v>
          </cell>
          <cell r="D391">
            <v>4.07</v>
          </cell>
          <cell r="E391">
            <v>4.87</v>
          </cell>
          <cell r="F391">
            <v>5.5</v>
          </cell>
        </row>
        <row r="392">
          <cell r="A392" t="str">
            <v>CD90027</v>
          </cell>
          <cell r="B392" t="str">
            <v>CINTA DUCTO 48MMX27.4M</v>
          </cell>
          <cell r="C392">
            <v>6.22</v>
          </cell>
          <cell r="D392">
            <v>7.03</v>
          </cell>
          <cell r="E392">
            <v>8.41</v>
          </cell>
          <cell r="F392">
            <v>9.5</v>
          </cell>
        </row>
        <row r="393">
          <cell r="A393" t="str">
            <v>REF7852</v>
          </cell>
          <cell r="B393" t="str">
            <v>CINTA REFLECTIVA 50MMX45.7M</v>
          </cell>
          <cell r="C393">
            <v>84.48</v>
          </cell>
          <cell r="D393">
            <v>95.46</v>
          </cell>
          <cell r="E393">
            <v>114.16</v>
          </cell>
          <cell r="F393">
            <v>129</v>
          </cell>
        </row>
        <row r="394">
          <cell r="A394" t="str">
            <v>AR895-12</v>
          </cell>
          <cell r="B394" t="str">
            <v xml:space="preserve">EMBLEMSTIK 895 </v>
          </cell>
          <cell r="C394">
            <v>5.3</v>
          </cell>
          <cell r="D394">
            <v>5.99</v>
          </cell>
          <cell r="E394">
            <v>7.17</v>
          </cell>
          <cell r="F394">
            <v>8.1</v>
          </cell>
        </row>
        <row r="395">
          <cell r="A395" t="str">
            <v>AR895-22</v>
          </cell>
          <cell r="B395" t="str">
            <v xml:space="preserve">EMBLEMSTIK 895 </v>
          </cell>
          <cell r="C395">
            <v>8.4499999999999993</v>
          </cell>
          <cell r="D395">
            <v>9.5500000000000007</v>
          </cell>
          <cell r="E395">
            <v>11.42</v>
          </cell>
          <cell r="F395">
            <v>12.9</v>
          </cell>
        </row>
        <row r="396">
          <cell r="D396" t="str">
            <v/>
          </cell>
        </row>
        <row r="397">
          <cell r="B397" t="str">
            <v>PAPEL Y PLASTICO PARA ENMASCARAR</v>
          </cell>
          <cell r="D397" t="str">
            <v/>
          </cell>
        </row>
        <row r="398">
          <cell r="A398" t="str">
            <v>MP90907HD</v>
          </cell>
          <cell r="B398" t="str">
            <v>PLASTICO PINTABLE FASTLINE 16" X 350 -</v>
          </cell>
          <cell r="C398">
            <v>43.35</v>
          </cell>
          <cell r="D398">
            <v>48.99</v>
          </cell>
          <cell r="E398">
            <v>58.58</v>
          </cell>
          <cell r="F398">
            <v>66.2</v>
          </cell>
        </row>
        <row r="399">
          <cell r="A399" t="str">
            <v>AR500</v>
          </cell>
          <cell r="B399" t="str">
            <v>PLASTICO PINTABLE 500 4.88X106M</v>
          </cell>
          <cell r="C399">
            <v>44.01</v>
          </cell>
          <cell r="D399">
            <v>49.73</v>
          </cell>
          <cell r="E399">
            <v>59.47</v>
          </cell>
          <cell r="F399">
            <v>67.2</v>
          </cell>
        </row>
        <row r="400">
          <cell r="A400" t="str">
            <v>AR840-152</v>
          </cell>
          <cell r="B400" t="str">
            <v>PAPEL P/ ENMASCARAR 152MMX230M, NUEVO</v>
          </cell>
          <cell r="C400">
            <v>10.94</v>
          </cell>
          <cell r="D400">
            <v>12.36</v>
          </cell>
          <cell r="E400">
            <v>14.78</v>
          </cell>
          <cell r="F400">
            <v>16.700000000000003</v>
          </cell>
        </row>
        <row r="401">
          <cell r="A401" t="str">
            <v>AR840-457</v>
          </cell>
          <cell r="B401" t="str">
            <v>PAPEL P/ ENMASCARAR 457MMX230M, NUEVO</v>
          </cell>
          <cell r="C401">
            <v>32.42</v>
          </cell>
          <cell r="D401">
            <v>36.630000000000003</v>
          </cell>
          <cell r="E401">
            <v>43.81</v>
          </cell>
          <cell r="F401">
            <v>49.5</v>
          </cell>
        </row>
        <row r="402">
          <cell r="A402" t="str">
            <v>CV21X27</v>
          </cell>
          <cell r="B402" t="str">
            <v>COVERSTIK 550MMX25M, NUEVO</v>
          </cell>
          <cell r="C402">
            <v>5.57</v>
          </cell>
          <cell r="D402">
            <v>6.29</v>
          </cell>
          <cell r="E402">
            <v>7.52</v>
          </cell>
          <cell r="F402">
            <v>8.5</v>
          </cell>
        </row>
        <row r="403">
          <cell r="A403" t="str">
            <v>CV55X27</v>
          </cell>
          <cell r="B403" t="str">
            <v>COVERSTIK 1400MMX25M,NUEVO</v>
          </cell>
          <cell r="C403">
            <v>6.42</v>
          </cell>
          <cell r="D403">
            <v>7.25</v>
          </cell>
          <cell r="E403">
            <v>8.67</v>
          </cell>
          <cell r="F403">
            <v>9.8000000000000007</v>
          </cell>
        </row>
        <row r="405">
          <cell r="B405" t="str">
            <v>ASOCIADOS AUTOMOTRICES</v>
          </cell>
          <cell r="D405" t="str">
            <v/>
          </cell>
        </row>
        <row r="406">
          <cell r="B406" t="str">
            <v>ACCESORIOS FASTLINE</v>
          </cell>
          <cell r="D406" t="str">
            <v/>
          </cell>
        </row>
        <row r="407">
          <cell r="A407" t="str">
            <v>FBBP7</v>
          </cell>
          <cell r="B407" t="str">
            <v>RESPALDO HUEVERA 7.125 ROSCA H 5/8-11</v>
          </cell>
          <cell r="C407">
            <v>24.71</v>
          </cell>
          <cell r="D407">
            <v>27.92</v>
          </cell>
          <cell r="E407">
            <v>30.88</v>
          </cell>
          <cell r="F407">
            <v>34.9</v>
          </cell>
        </row>
        <row r="408">
          <cell r="A408" t="str">
            <v>FCWP8</v>
          </cell>
          <cell r="B408" t="str">
            <v>PELUSA 8 PULIR DE LANA 4 CAPAS</v>
          </cell>
          <cell r="C408">
            <v>11.4</v>
          </cell>
          <cell r="D408">
            <v>12.88</v>
          </cell>
          <cell r="E408">
            <v>14.25</v>
          </cell>
          <cell r="F408">
            <v>16.100000000000001</v>
          </cell>
        </row>
        <row r="409">
          <cell r="A409" t="str">
            <v>FMFP8</v>
          </cell>
          <cell r="B409" t="str">
            <v>HUEVERA ESPUMA 8 WAFFLE NEGRA</v>
          </cell>
          <cell r="C409">
            <v>18.05</v>
          </cell>
          <cell r="D409">
            <v>20.399999999999999</v>
          </cell>
          <cell r="E409">
            <v>22.57</v>
          </cell>
          <cell r="F409">
            <v>25.5</v>
          </cell>
        </row>
        <row r="410">
          <cell r="A410" t="str">
            <v>FUFP8</v>
          </cell>
          <cell r="B410" t="str">
            <v xml:space="preserve">HUEVERA ESPUMA 8 WAFFLE AZUL </v>
          </cell>
          <cell r="C410">
            <v>17.350000000000001</v>
          </cell>
          <cell r="D410">
            <v>19.600000000000001</v>
          </cell>
          <cell r="E410">
            <v>21.68</v>
          </cell>
          <cell r="F410">
            <v>24.5</v>
          </cell>
        </row>
        <row r="411">
          <cell r="D411" t="str">
            <v/>
          </cell>
        </row>
        <row r="412">
          <cell r="B412" t="str">
            <v>ACCESORIOS SISTEMA DE PULIDO SHINE MATE</v>
          </cell>
          <cell r="D412" t="str">
            <v/>
          </cell>
        </row>
        <row r="413">
          <cell r="D413" t="str">
            <v/>
          </cell>
        </row>
        <row r="414">
          <cell r="B414" t="str">
            <v>PISTOLAS DE PINTAR Y ACCESORIOS ASTRO</v>
          </cell>
          <cell r="D414" t="str">
            <v/>
          </cell>
        </row>
        <row r="415">
          <cell r="A415">
            <v>31014</v>
          </cell>
          <cell r="B415" t="str">
            <v>PISTOLA ASTRO EURO HE 1.3 MM</v>
          </cell>
          <cell r="C415">
            <v>124.6</v>
          </cell>
          <cell r="D415">
            <v>140.80000000000001</v>
          </cell>
          <cell r="E415">
            <v>155.75</v>
          </cell>
          <cell r="F415">
            <v>176</v>
          </cell>
        </row>
        <row r="416">
          <cell r="A416">
            <v>31055</v>
          </cell>
          <cell r="B416" t="str">
            <v>PISTOLA ASTRO EURO HE 1.5 MM</v>
          </cell>
          <cell r="C416">
            <v>124.6</v>
          </cell>
          <cell r="D416">
            <v>140.80000000000001</v>
          </cell>
          <cell r="E416">
            <v>155.75</v>
          </cell>
          <cell r="F416">
            <v>176</v>
          </cell>
        </row>
        <row r="417">
          <cell r="A417">
            <v>31057</v>
          </cell>
          <cell r="B417" t="str">
            <v>PISTOLA ASTRO EURO HE 1.7 MM</v>
          </cell>
          <cell r="C417">
            <v>124.6</v>
          </cell>
          <cell r="D417">
            <v>140.80000000000001</v>
          </cell>
          <cell r="E417">
            <v>155.75</v>
          </cell>
          <cell r="F417">
            <v>176</v>
          </cell>
        </row>
        <row r="418">
          <cell r="A418">
            <v>31058</v>
          </cell>
          <cell r="B418" t="str">
            <v>PISTOLA ASTRO EURO HE 1.9 MM</v>
          </cell>
          <cell r="C418">
            <v>124.6</v>
          </cell>
          <cell r="D418">
            <v>140.80000000000001</v>
          </cell>
          <cell r="E418">
            <v>155.75</v>
          </cell>
          <cell r="F418">
            <v>176</v>
          </cell>
        </row>
        <row r="419">
          <cell r="A419">
            <v>4538</v>
          </cell>
          <cell r="B419" t="str">
            <v>PISTOLA PARA ANTIGRAVA</v>
          </cell>
          <cell r="C419">
            <v>13.31</v>
          </cell>
          <cell r="D419">
            <v>15.04</v>
          </cell>
          <cell r="E419">
            <v>16.64</v>
          </cell>
          <cell r="F419">
            <v>18.8</v>
          </cell>
        </row>
        <row r="420">
          <cell r="D420" t="str">
            <v/>
          </cell>
        </row>
        <row r="421">
          <cell r="B421" t="str">
            <v xml:space="preserve">REPUESTOS PARA PISTOLAS ASTRO </v>
          </cell>
          <cell r="D421" t="str">
            <v/>
          </cell>
        </row>
        <row r="422">
          <cell r="A422">
            <v>31096</v>
          </cell>
          <cell r="B422" t="str">
            <v>SET DE BOQUILLA 1.3 PISTOLA ASTRO EURO  (Pedido Especial)</v>
          </cell>
          <cell r="C422">
            <v>55.86</v>
          </cell>
          <cell r="D422">
            <v>63.12</v>
          </cell>
          <cell r="E422">
            <v>69.819999999999993</v>
          </cell>
          <cell r="F422">
            <v>78.900000000000006</v>
          </cell>
        </row>
        <row r="423">
          <cell r="A423">
            <v>31095</v>
          </cell>
          <cell r="B423" t="str">
            <v>SET DE BOQUILLA 1.5 P/PISTOLA ASTRO EURO  (Pedido Especial)</v>
          </cell>
          <cell r="C423">
            <v>55.86</v>
          </cell>
          <cell r="D423">
            <v>63.12</v>
          </cell>
          <cell r="E423">
            <v>69.819999999999993</v>
          </cell>
          <cell r="F423">
            <v>78.900000000000006</v>
          </cell>
        </row>
        <row r="424">
          <cell r="A424">
            <v>31298</v>
          </cell>
          <cell r="B424" t="str">
            <v>SET DE BOQUILLA 1.9 PISTOLA ASTRO EURO  (Pedido Especial)</v>
          </cell>
          <cell r="C424">
            <v>55.86</v>
          </cell>
          <cell r="D424">
            <v>63.12</v>
          </cell>
          <cell r="E424">
            <v>69.819999999999993</v>
          </cell>
          <cell r="F424">
            <v>78.900000000000006</v>
          </cell>
        </row>
        <row r="425">
          <cell r="D425" t="str">
            <v/>
          </cell>
        </row>
        <row r="426">
          <cell r="B426" t="str">
            <v>PISTOLAS ECONOMICAS BOER TOOLS</v>
          </cell>
          <cell r="D426" t="str">
            <v/>
          </cell>
        </row>
        <row r="427">
          <cell r="A427" t="str">
            <v>H-827B14</v>
          </cell>
          <cell r="B427" t="str">
            <v>PISTOLA HPLV 1.4 MM AZUL ACABADO (NUEVA)</v>
          </cell>
          <cell r="C427">
            <v>11.26</v>
          </cell>
          <cell r="D427">
            <v>12.72</v>
          </cell>
          <cell r="E427">
            <v>14.07</v>
          </cell>
          <cell r="F427">
            <v>15.9</v>
          </cell>
        </row>
        <row r="428">
          <cell r="A428" t="str">
            <v>H-827B20</v>
          </cell>
          <cell r="B428" t="str">
            <v>PISTOLA HPLV 2.0 MM ROJA PRIMER (NUEVA)</v>
          </cell>
          <cell r="C428">
            <v>11.26</v>
          </cell>
          <cell r="D428">
            <v>12.72</v>
          </cell>
          <cell r="E428">
            <v>14.07</v>
          </cell>
          <cell r="F428">
            <v>15.9</v>
          </cell>
        </row>
        <row r="429">
          <cell r="D429" t="str">
            <v/>
          </cell>
        </row>
        <row r="430">
          <cell r="B430" t="str">
            <v>COLADORES - PANOS DE LIMPIEZA</v>
          </cell>
          <cell r="D430" t="str">
            <v/>
          </cell>
        </row>
        <row r="431">
          <cell r="A431">
            <v>31063</v>
          </cell>
          <cell r="B431" t="str">
            <v>TAC RAGS FASTLINE ( PAÑO ANTI-ESTATICO )</v>
          </cell>
          <cell r="C431">
            <v>1.35</v>
          </cell>
          <cell r="D431">
            <v>1.52</v>
          </cell>
          <cell r="E431">
            <v>1.68</v>
          </cell>
          <cell r="F431">
            <v>1.9</v>
          </cell>
        </row>
        <row r="432">
          <cell r="A432" t="str">
            <v>CT-210</v>
          </cell>
          <cell r="B432" t="str">
            <v>ABRO TOALLA MICROFIBRA</v>
          </cell>
          <cell r="C432">
            <v>1.35</v>
          </cell>
          <cell r="D432">
            <v>1.52</v>
          </cell>
          <cell r="E432">
            <v>1.68</v>
          </cell>
          <cell r="F432">
            <v>1.9</v>
          </cell>
        </row>
        <row r="433">
          <cell r="A433" t="str">
            <v>FWD100W</v>
          </cell>
          <cell r="B433" t="str">
            <v xml:space="preserve">PAÑO DE LIMPIEZA FASTLINE BLANCO ESTANDAR TIPO WYPALL 9" x 16.5" (Nuevo) </v>
          </cell>
          <cell r="C433">
            <v>0.14000000000000001</v>
          </cell>
          <cell r="D433">
            <v>0.16</v>
          </cell>
          <cell r="E433">
            <v>0.18</v>
          </cell>
          <cell r="F433">
            <v>0.2</v>
          </cell>
        </row>
        <row r="434">
          <cell r="A434" t="str">
            <v>FWN125B</v>
          </cell>
          <cell r="B434" t="str">
            <v>PAÑO DE LIMPIEZA FASTLINE AZUL DE ALTO RENDIMIENTO TIPO WYPALL  9" x 16.5"  (Nuevo)</v>
          </cell>
          <cell r="C434">
            <v>0.35</v>
          </cell>
          <cell r="D434">
            <v>0.4</v>
          </cell>
          <cell r="E434">
            <v>0.44</v>
          </cell>
          <cell r="F434">
            <v>0.5</v>
          </cell>
        </row>
        <row r="435">
          <cell r="D435" t="str">
            <v/>
          </cell>
        </row>
        <row r="436">
          <cell r="B436" t="str">
            <v>MARCADORES AUTOMOTRICES</v>
          </cell>
          <cell r="D436" t="str">
            <v/>
          </cell>
        </row>
        <row r="437">
          <cell r="A437">
            <v>3800</v>
          </cell>
          <cell r="B437" t="str">
            <v>MARCADOR AUTOMOTRIZ ROSADO -</v>
          </cell>
          <cell r="C437">
            <v>8.14</v>
          </cell>
          <cell r="D437">
            <v>9.1999999999999993</v>
          </cell>
          <cell r="E437">
            <v>10.18</v>
          </cell>
          <cell r="F437">
            <v>11.5</v>
          </cell>
        </row>
        <row r="438">
          <cell r="A438">
            <v>3801</v>
          </cell>
          <cell r="B438" t="str">
            <v>MARCADOR AUTOMOTRIZ VERDE</v>
          </cell>
          <cell r="C438">
            <v>8.14</v>
          </cell>
          <cell r="D438">
            <v>9.1999999999999993</v>
          </cell>
          <cell r="E438">
            <v>10.18</v>
          </cell>
          <cell r="F438">
            <v>11.5</v>
          </cell>
        </row>
        <row r="439">
          <cell r="A439">
            <v>3802</v>
          </cell>
          <cell r="B439" t="str">
            <v>MARCADOR AUTOMOTRIZ AMARILLO  (Pedido Especial)</v>
          </cell>
          <cell r="C439">
            <v>8.14</v>
          </cell>
          <cell r="D439">
            <v>9.1999999999999993</v>
          </cell>
          <cell r="E439">
            <v>10.18</v>
          </cell>
          <cell r="F439">
            <v>11.5</v>
          </cell>
        </row>
        <row r="440">
          <cell r="D440" t="str">
            <v/>
          </cell>
        </row>
        <row r="441">
          <cell r="B441" t="str">
            <v>FIBRA DE VIDRIO Y RESINA DE POLIESTER</v>
          </cell>
          <cell r="D441" t="str">
            <v/>
          </cell>
        </row>
        <row r="442">
          <cell r="A442" t="str">
            <v>AR20288</v>
          </cell>
          <cell r="B442" t="str">
            <v xml:space="preserve">FIBRA DE VIDRIO MT/YARDA </v>
          </cell>
          <cell r="C442">
            <v>2.69</v>
          </cell>
          <cell r="D442">
            <v>3.04</v>
          </cell>
          <cell r="E442">
            <v>3.36</v>
          </cell>
          <cell r="F442">
            <v>3.8</v>
          </cell>
        </row>
        <row r="443">
          <cell r="A443" t="str">
            <v>AR20249</v>
          </cell>
          <cell r="B443" t="str">
            <v xml:space="preserve">FIBRA DE VIDRIO 1/2 LBA/YDA </v>
          </cell>
          <cell r="C443">
            <v>1.7</v>
          </cell>
          <cell r="D443">
            <v>1.92</v>
          </cell>
          <cell r="E443">
            <v>2.12</v>
          </cell>
          <cell r="F443">
            <v>2.4</v>
          </cell>
        </row>
        <row r="444">
          <cell r="A444" t="str">
            <v>AR20240</v>
          </cell>
          <cell r="B444" t="str">
            <v>RESINA POLIESTER  CON CATALIZADOR 1/8'</v>
          </cell>
          <cell r="C444">
            <v>4.46</v>
          </cell>
          <cell r="D444">
            <v>5.04</v>
          </cell>
          <cell r="E444">
            <v>5.58</v>
          </cell>
          <cell r="F444">
            <v>6.3</v>
          </cell>
        </row>
        <row r="445">
          <cell r="A445" t="str">
            <v>AR20287</v>
          </cell>
          <cell r="B445" t="str">
            <v>RESINA POLIESTER CON CATALIZADOR 1/4'</v>
          </cell>
          <cell r="C445">
            <v>7.29</v>
          </cell>
          <cell r="D445">
            <v>8.24</v>
          </cell>
          <cell r="E445">
            <v>9.1199999999999992</v>
          </cell>
          <cell r="F445">
            <v>10.3</v>
          </cell>
        </row>
        <row r="446">
          <cell r="A446" t="str">
            <v>AR20293</v>
          </cell>
          <cell r="B446" t="str">
            <v>RESINA DE POLIESTER CON CATALIZADOR (GALON)  (Pedido Especial)</v>
          </cell>
          <cell r="C446">
            <v>22.65</v>
          </cell>
          <cell r="D446">
            <v>25.6</v>
          </cell>
          <cell r="E446">
            <v>28.32</v>
          </cell>
          <cell r="F446">
            <v>32</v>
          </cell>
        </row>
        <row r="447">
          <cell r="D447" t="str">
            <v/>
          </cell>
        </row>
        <row r="448">
          <cell r="B448" t="str">
            <v xml:space="preserve">VASOS GRADUADOS FASTLINE </v>
          </cell>
          <cell r="D448" t="str">
            <v/>
          </cell>
        </row>
        <row r="449">
          <cell r="A449">
            <v>43021</v>
          </cell>
          <cell r="B449" t="str">
            <v>VASO PLÁSTICO GRADUADO 1/16'</v>
          </cell>
          <cell r="C449">
            <v>0.5</v>
          </cell>
          <cell r="D449">
            <v>0.56000000000000005</v>
          </cell>
          <cell r="E449">
            <v>0.62</v>
          </cell>
          <cell r="F449">
            <v>0.7</v>
          </cell>
        </row>
        <row r="450">
          <cell r="A450">
            <v>43022</v>
          </cell>
          <cell r="B450" t="str">
            <v>VASO PLÁSTICO GRADUADO 1/8'</v>
          </cell>
          <cell r="C450">
            <v>0.64</v>
          </cell>
          <cell r="D450">
            <v>0.72</v>
          </cell>
          <cell r="E450">
            <v>0.8</v>
          </cell>
          <cell r="F450">
            <v>0.9</v>
          </cell>
        </row>
        <row r="451">
          <cell r="A451">
            <v>43023</v>
          </cell>
          <cell r="B451" t="str">
            <v>VASO PLÁSTICO GRADUADO 1/4'</v>
          </cell>
          <cell r="C451">
            <v>0.78</v>
          </cell>
          <cell r="D451">
            <v>0.88</v>
          </cell>
          <cell r="E451">
            <v>0.97</v>
          </cell>
          <cell r="F451">
            <v>1.1000000000000001</v>
          </cell>
        </row>
        <row r="452">
          <cell r="D452" t="str">
            <v/>
          </cell>
        </row>
        <row r="453">
          <cell r="B453" t="str">
            <v>ABRASIVOS SOFTMASTER</v>
          </cell>
        </row>
        <row r="454">
          <cell r="A454" t="str">
            <v>286FINA</v>
          </cell>
          <cell r="B454" t="str">
            <v>286 SOFTMASTER ESPONJA LIJADO FINA 114mmx139mm</v>
          </cell>
          <cell r="C454">
            <v>2.29</v>
          </cell>
          <cell r="D454">
            <v>2.59</v>
          </cell>
          <cell r="E454">
            <v>3.1</v>
          </cell>
          <cell r="F454">
            <v>3.5</v>
          </cell>
        </row>
        <row r="455">
          <cell r="A455" t="str">
            <v>286SUPERFINA</v>
          </cell>
          <cell r="B455" t="str">
            <v>286 SOFTMASTER ESPONJA LIJADO SUPER FINA 114mmx139mm</v>
          </cell>
          <cell r="C455">
            <v>2.29</v>
          </cell>
          <cell r="D455">
            <v>2.59</v>
          </cell>
          <cell r="E455">
            <v>3.1</v>
          </cell>
          <cell r="F455">
            <v>3.5</v>
          </cell>
        </row>
        <row r="457">
          <cell r="B457" t="str">
            <v>DISCOS DE CORTE Y DESBASTE</v>
          </cell>
          <cell r="D457" t="str">
            <v/>
          </cell>
        </row>
        <row r="458">
          <cell r="A458" t="str">
            <v>FGD336C</v>
          </cell>
          <cell r="B458" t="str">
            <v>DISCOS 3" FASTLINE TIPO R P36 DE CERAMICA  (Nuevo)</v>
          </cell>
          <cell r="C458">
            <v>2.0499999999999998</v>
          </cell>
          <cell r="D458">
            <v>2.3199999999999998</v>
          </cell>
          <cell r="E458">
            <v>2.57</v>
          </cell>
          <cell r="F458">
            <v>2.9</v>
          </cell>
        </row>
        <row r="459">
          <cell r="A459" t="str">
            <v>FGD336</v>
          </cell>
          <cell r="B459" t="str">
            <v>DISCOS 3" FASTLINE TIPO R P36 DE ZIRCONIA (Nuevo)</v>
          </cell>
          <cell r="C459">
            <v>1.06</v>
          </cell>
          <cell r="D459">
            <v>1.2</v>
          </cell>
          <cell r="E459">
            <v>1.33</v>
          </cell>
          <cell r="F459">
            <v>1.5</v>
          </cell>
        </row>
        <row r="460">
          <cell r="A460" t="str">
            <v>FSD3</v>
          </cell>
          <cell r="B460" t="str">
            <v>DISCOS DE DESBASTE 3"  (Nuevo)</v>
          </cell>
          <cell r="C460">
            <v>8</v>
          </cell>
          <cell r="D460">
            <v>9.0399999999999991</v>
          </cell>
          <cell r="E460">
            <v>10</v>
          </cell>
          <cell r="F460">
            <v>11.3</v>
          </cell>
        </row>
        <row r="461">
          <cell r="A461" t="str">
            <v>FCW3116</v>
          </cell>
          <cell r="B461" t="str">
            <v>DISCO DE CORTE DE  3" x 1/16 (Nuevo)</v>
          </cell>
          <cell r="C461">
            <v>4.18</v>
          </cell>
          <cell r="D461">
            <v>4.72</v>
          </cell>
          <cell r="E461">
            <v>5.22</v>
          </cell>
          <cell r="F461">
            <v>5.9</v>
          </cell>
        </row>
        <row r="462">
          <cell r="D462" t="str">
            <v/>
          </cell>
        </row>
        <row r="463">
          <cell r="B463" t="str">
            <v xml:space="preserve">PRODUCTOS FASTLINE </v>
          </cell>
          <cell r="D463" t="str">
            <v/>
          </cell>
        </row>
        <row r="464">
          <cell r="D464" t="str">
            <v/>
          </cell>
        </row>
        <row r="465">
          <cell r="B465" t="str">
            <v xml:space="preserve">APLICADORES DE MASILLA FASTLINE </v>
          </cell>
          <cell r="D465" t="str">
            <v/>
          </cell>
        </row>
        <row r="466">
          <cell r="A466" t="str">
            <v>FS3X4</v>
          </cell>
          <cell r="B466" t="str">
            <v>APLICADOR DE MASILLA FASTLINE 4" (NUEVO)</v>
          </cell>
          <cell r="C466">
            <v>0.92</v>
          </cell>
          <cell r="D466">
            <v>1.04</v>
          </cell>
          <cell r="E466">
            <v>1.1499999999999999</v>
          </cell>
          <cell r="F466">
            <v>1.3</v>
          </cell>
        </row>
        <row r="467">
          <cell r="A467" t="str">
            <v>FS3X5</v>
          </cell>
          <cell r="B467" t="str">
            <v>APLICADOR DE MASILLA FASTLINE 5" (NUEVO)</v>
          </cell>
          <cell r="C467">
            <v>0.92</v>
          </cell>
          <cell r="D467">
            <v>1.04</v>
          </cell>
          <cell r="E467">
            <v>1.1499999999999999</v>
          </cell>
          <cell r="F467">
            <v>1.3</v>
          </cell>
        </row>
        <row r="468">
          <cell r="A468" t="str">
            <v>FS3X6</v>
          </cell>
          <cell r="B468" t="str">
            <v>APLICADOR DE MASILLA FASTLINE 6" (NUEVO)</v>
          </cell>
          <cell r="C468">
            <v>0.92</v>
          </cell>
          <cell r="D468">
            <v>1.04</v>
          </cell>
          <cell r="E468">
            <v>1.1499999999999999</v>
          </cell>
          <cell r="F468">
            <v>1.3</v>
          </cell>
        </row>
        <row r="470">
          <cell r="B470" t="str">
            <v>PRODUCTOS DE LA MARCA PHOENIX</v>
          </cell>
        </row>
        <row r="471">
          <cell r="A471" t="str">
            <v>APPS01</v>
          </cell>
          <cell r="B471" t="str">
            <v>ADAPTADOR DE PPS PARA PSH6125 PARA PISTOLA SATA</v>
          </cell>
          <cell r="C471">
            <v>6.75</v>
          </cell>
          <cell r="D471">
            <v>7.63</v>
          </cell>
          <cell r="E471">
            <v>9.65</v>
          </cell>
          <cell r="F471">
            <v>10.9</v>
          </cell>
        </row>
        <row r="472">
          <cell r="A472" t="str">
            <v>APPS05</v>
          </cell>
          <cell r="B472" t="str">
            <v>ADAPTADOR DE PPS PARA PSH6125 PARA PISTOLA ASTRO/WARWIK</v>
          </cell>
          <cell r="C472">
            <v>6.75</v>
          </cell>
          <cell r="D472">
            <v>7.63</v>
          </cell>
          <cell r="E472">
            <v>9.65</v>
          </cell>
          <cell r="F472">
            <v>10.9</v>
          </cell>
        </row>
        <row r="473">
          <cell r="A473" t="str">
            <v>APPS12</v>
          </cell>
          <cell r="B473" t="str">
            <v>ADAPTADOR DE PPS PARA PSH6125 PARA PISTOLA SAGOLA</v>
          </cell>
          <cell r="C473">
            <v>6.75</v>
          </cell>
          <cell r="D473">
            <v>7.63</v>
          </cell>
          <cell r="E473">
            <v>9.65</v>
          </cell>
          <cell r="F473">
            <v>10.9</v>
          </cell>
        </row>
        <row r="474">
          <cell r="A474" t="str">
            <v>PHS6125</v>
          </cell>
          <cell r="B474" t="str">
            <v>VASO DESECHABLE DE MEZCLA STD (Solicitar en multiplos de 50)</v>
          </cell>
          <cell r="C474">
            <v>0.62</v>
          </cell>
          <cell r="D474">
            <v>0.7</v>
          </cell>
          <cell r="E474">
            <v>0.88</v>
          </cell>
          <cell r="F474">
            <v>1</v>
          </cell>
        </row>
        <row r="475">
          <cell r="D475" t="str">
            <v/>
          </cell>
        </row>
      </sheetData>
      <sheetData sheetId="10">
        <row r="4">
          <cell r="A4" t="str">
            <v>GRACO-826223</v>
          </cell>
          <cell r="B4" t="str">
            <v>ULTIMATE MX II 695 SERIE ESTANDAR (HASTA AGOTAR EXISTENCIAS)</v>
          </cell>
          <cell r="C4">
            <v>4944.25</v>
          </cell>
          <cell r="D4">
            <v>5587</v>
          </cell>
          <cell r="E4">
            <v>6681.42</v>
          </cell>
          <cell r="F4">
            <v>7550</v>
          </cell>
        </row>
        <row r="5">
          <cell r="A5" t="str">
            <v>GRACO-826284</v>
          </cell>
          <cell r="B5" t="str">
            <v xml:space="preserve">ULTIMATE XT 490 STAND </v>
          </cell>
          <cell r="C5">
            <v>2315.08</v>
          </cell>
          <cell r="D5">
            <v>2616.04</v>
          </cell>
          <cell r="E5">
            <v>2723.63</v>
          </cell>
          <cell r="F5">
            <v>3077.7</v>
          </cell>
        </row>
        <row r="6">
          <cell r="A6" t="str">
            <v>GRACO-826311</v>
          </cell>
          <cell r="B6" t="str">
            <v xml:space="preserve">ULTIMATE 390 PC STAND </v>
          </cell>
          <cell r="C6">
            <v>1307.72</v>
          </cell>
          <cell r="D6">
            <v>1477.72</v>
          </cell>
          <cell r="E6">
            <v>1538.5</v>
          </cell>
          <cell r="F6">
            <v>1738.5</v>
          </cell>
        </row>
        <row r="8">
          <cell r="B8" t="str">
            <v>ACCESORIOS - 190 EXPRESS PC</v>
          </cell>
        </row>
        <row r="9">
          <cell r="A9" t="str">
            <v>GRACO-826121</v>
          </cell>
          <cell r="B9" t="str">
            <v>MANGUERA 1/4" x 25'</v>
          </cell>
          <cell r="C9">
            <v>87.66</v>
          </cell>
          <cell r="D9">
            <v>99.06</v>
          </cell>
          <cell r="E9">
            <v>112.39</v>
          </cell>
          <cell r="F9">
            <v>127</v>
          </cell>
        </row>
        <row r="11">
          <cell r="B11" t="str">
            <v>ACCESORIOS - NOVA 390, ULTIMATE MX II 490 HI-BOY (TAMBIEN APLICA MODELOS PC)</v>
          </cell>
        </row>
        <row r="12">
          <cell r="A12" t="str">
            <v>GRACO-18B260</v>
          </cell>
          <cell r="B12" t="str">
            <v xml:space="preserve">KIT DE REPARACION BOMBA </v>
          </cell>
          <cell r="C12">
            <v>95.58</v>
          </cell>
          <cell r="D12">
            <v>108</v>
          </cell>
          <cell r="E12">
            <v>119.47</v>
          </cell>
          <cell r="F12">
            <v>135</v>
          </cell>
        </row>
        <row r="13">
          <cell r="A13" t="str">
            <v>GRACO-246384</v>
          </cell>
          <cell r="B13" t="str">
            <v>FILTRO EASY OUT #60 GRIS</v>
          </cell>
          <cell r="C13">
            <v>7.86</v>
          </cell>
          <cell r="D13">
            <v>8.8800000000000008</v>
          </cell>
          <cell r="E13">
            <v>9.82</v>
          </cell>
          <cell r="F13">
            <v>11.1</v>
          </cell>
        </row>
        <row r="14">
          <cell r="A14" t="str">
            <v>GRACO-246382</v>
          </cell>
          <cell r="B14" t="str">
            <v>FILTRO EASY OUT #100 GRIS</v>
          </cell>
          <cell r="C14">
            <v>11.96</v>
          </cell>
          <cell r="D14">
            <v>13.52</v>
          </cell>
          <cell r="E14">
            <v>14.96</v>
          </cell>
          <cell r="F14">
            <v>16.899999999999999</v>
          </cell>
        </row>
        <row r="15">
          <cell r="A15" t="str">
            <v>GRACO-246385</v>
          </cell>
          <cell r="B15" t="str">
            <v>FILTRO DE SUCCION -</v>
          </cell>
          <cell r="C15">
            <v>11.33</v>
          </cell>
          <cell r="D15">
            <v>12.8</v>
          </cell>
          <cell r="E15">
            <v>14.16</v>
          </cell>
          <cell r="F15">
            <v>16</v>
          </cell>
        </row>
        <row r="16">
          <cell r="A16" t="str">
            <v>GRACO-17C487</v>
          </cell>
          <cell r="B16" t="str">
            <v>BOMBA PARA AIRLESS PROCONNECT -</v>
          </cell>
          <cell r="C16">
            <v>411.33</v>
          </cell>
          <cell r="D16">
            <v>464.8</v>
          </cell>
          <cell r="E16">
            <v>514.16</v>
          </cell>
          <cell r="F16">
            <v>581</v>
          </cell>
        </row>
        <row r="18">
          <cell r="B18" t="str">
            <v>ACCESORIOS - ULTIMATE MX II 695 PROCONTRACTOR</v>
          </cell>
        </row>
        <row r="19">
          <cell r="A19" t="str">
            <v>GRACO-248212</v>
          </cell>
          <cell r="B19" t="str">
            <v>KIT REPARACION BOMBA 695 -</v>
          </cell>
          <cell r="C19">
            <v>187.61</v>
          </cell>
          <cell r="D19">
            <v>212</v>
          </cell>
          <cell r="E19">
            <v>234.51</v>
          </cell>
          <cell r="F19">
            <v>265</v>
          </cell>
        </row>
        <row r="20">
          <cell r="A20" t="str">
            <v>GRACO-244067</v>
          </cell>
          <cell r="B20" t="str">
            <v>FILTRO MESH 60 AIRLESS 695 -</v>
          </cell>
          <cell r="C20">
            <v>13.24</v>
          </cell>
          <cell r="D20">
            <v>14.96</v>
          </cell>
          <cell r="E20">
            <v>16.55</v>
          </cell>
          <cell r="F20">
            <v>18.7</v>
          </cell>
        </row>
        <row r="21">
          <cell r="A21" t="str">
            <v>GRACO-244068</v>
          </cell>
          <cell r="B21" t="str">
            <v>FILTRO EASY OUT MALLA 100 -</v>
          </cell>
          <cell r="C21">
            <v>14.84</v>
          </cell>
          <cell r="D21">
            <v>16.77</v>
          </cell>
          <cell r="E21">
            <v>19.03</v>
          </cell>
          <cell r="F21">
            <v>21.5</v>
          </cell>
        </row>
        <row r="23">
          <cell r="B23" t="str">
            <v>ACCESORIOS PARA MODELOS NOVA 390, ULTIMATE MX II 490, 695 PROCONTRACTOR</v>
          </cell>
        </row>
        <row r="24">
          <cell r="B24" t="str">
            <v>BOQUILLAS Y PORTABOQUILLAS</v>
          </cell>
        </row>
        <row r="25">
          <cell r="A25" t="str">
            <v>GRACO-286515</v>
          </cell>
          <cell r="B25" t="str">
            <v>BOQUILLA 515 RAC5 -</v>
          </cell>
          <cell r="C25">
            <v>44.8</v>
          </cell>
          <cell r="D25">
            <v>50.62</v>
          </cell>
          <cell r="E25">
            <v>57.43</v>
          </cell>
          <cell r="F25">
            <v>64.900000000000006</v>
          </cell>
        </row>
        <row r="26">
          <cell r="A26" t="str">
            <v>GRACO-243161</v>
          </cell>
          <cell r="B26" t="str">
            <v>PORTABOQUILLA RAC 5 -</v>
          </cell>
          <cell r="C26">
            <v>43.42</v>
          </cell>
          <cell r="D26">
            <v>49.06</v>
          </cell>
          <cell r="E26">
            <v>55.66</v>
          </cell>
          <cell r="F26">
            <v>62.9</v>
          </cell>
        </row>
        <row r="27">
          <cell r="A27" t="str">
            <v>GRACO-246215</v>
          </cell>
          <cell r="B27" t="str">
            <v>PORTABOQUILLA RAC X</v>
          </cell>
          <cell r="C27">
            <v>45.9</v>
          </cell>
          <cell r="D27">
            <v>51.87</v>
          </cell>
          <cell r="E27">
            <v>58.85</v>
          </cell>
          <cell r="F27">
            <v>66.5</v>
          </cell>
        </row>
        <row r="28">
          <cell r="A28" t="str">
            <v>GRACO-LP421</v>
          </cell>
          <cell r="B28" t="str">
            <v>BOQUILLA LP421 BAJA PRESION VERDE HASTA AGOTAR EXISTENCIAS</v>
          </cell>
          <cell r="C28">
            <v>59.02</v>
          </cell>
          <cell r="D28">
            <v>66.69</v>
          </cell>
          <cell r="E28">
            <v>75.66</v>
          </cell>
          <cell r="F28">
            <v>85.5</v>
          </cell>
        </row>
        <row r="29">
          <cell r="A29" t="str">
            <v>GRACO-LP517</v>
          </cell>
          <cell r="B29" t="str">
            <v>BOQUILLA LP517 BAJA PRESION VERDE</v>
          </cell>
          <cell r="C29">
            <v>59.02</v>
          </cell>
          <cell r="D29">
            <v>66.69</v>
          </cell>
          <cell r="E29">
            <v>75.66</v>
          </cell>
          <cell r="F29">
            <v>85.5</v>
          </cell>
        </row>
        <row r="30">
          <cell r="A30" t="str">
            <v>GRACO-LP519</v>
          </cell>
          <cell r="B30" t="str">
            <v>BOQUILLA LP519 BAJA PRESION VERDE</v>
          </cell>
          <cell r="C30">
            <v>59.02</v>
          </cell>
          <cell r="D30">
            <v>66.69</v>
          </cell>
          <cell r="E30">
            <v>75.66</v>
          </cell>
          <cell r="F30">
            <v>85.5</v>
          </cell>
        </row>
        <row r="31">
          <cell r="A31" t="str">
            <v>GRACO-LTX313</v>
          </cell>
          <cell r="B31" t="str">
            <v xml:space="preserve">BOQUILLA LTX313 -                                                                                   </v>
          </cell>
          <cell r="C31">
            <v>59.16</v>
          </cell>
          <cell r="D31">
            <v>66.849999999999994</v>
          </cell>
          <cell r="E31">
            <v>75.84</v>
          </cell>
          <cell r="F31">
            <v>85.7</v>
          </cell>
        </row>
        <row r="32">
          <cell r="A32" t="str">
            <v>GRACO-LTX317</v>
          </cell>
          <cell r="B32" t="str">
            <v xml:space="preserve">BOQUILLA LTX317 -                                                                                   </v>
          </cell>
          <cell r="C32">
            <v>59.16</v>
          </cell>
          <cell r="D32">
            <v>66.849999999999994</v>
          </cell>
          <cell r="E32">
            <v>75.84</v>
          </cell>
          <cell r="F32">
            <v>85.7</v>
          </cell>
        </row>
        <row r="33">
          <cell r="A33" t="str">
            <v>GRACO-LTX511</v>
          </cell>
          <cell r="B33" t="str">
            <v xml:space="preserve">BOQUILLAS LTX 511 </v>
          </cell>
          <cell r="C33">
            <v>59.16</v>
          </cell>
          <cell r="D33">
            <v>66.849999999999994</v>
          </cell>
          <cell r="E33">
            <v>75.84</v>
          </cell>
          <cell r="F33">
            <v>85.699999999999989</v>
          </cell>
        </row>
        <row r="34">
          <cell r="A34" t="str">
            <v>GRACO-LTX515</v>
          </cell>
          <cell r="B34" t="str">
            <v xml:space="preserve">BOQUILLA LTX515 -                                                                                   </v>
          </cell>
          <cell r="C34">
            <v>59.16</v>
          </cell>
          <cell r="D34">
            <v>66.849999999999994</v>
          </cell>
          <cell r="E34">
            <v>75.84</v>
          </cell>
          <cell r="F34">
            <v>85.7</v>
          </cell>
        </row>
        <row r="35">
          <cell r="A35" t="str">
            <v>GRACO-LTX517</v>
          </cell>
          <cell r="B35" t="str">
            <v>BOQUILLA LTX517 -</v>
          </cell>
          <cell r="C35">
            <v>59.16</v>
          </cell>
          <cell r="D35">
            <v>66.849999999999994</v>
          </cell>
          <cell r="E35">
            <v>75.84</v>
          </cell>
          <cell r="F35">
            <v>85.7</v>
          </cell>
        </row>
        <row r="36">
          <cell r="A36" t="str">
            <v>GRACO-287020</v>
          </cell>
          <cell r="B36" t="str">
            <v xml:space="preserve"> EXTENCION DE 15 RAC X -</v>
          </cell>
          <cell r="C36">
            <v>58.6</v>
          </cell>
          <cell r="D36">
            <v>66.22</v>
          </cell>
          <cell r="E36">
            <v>75.13</v>
          </cell>
          <cell r="F36">
            <v>84.899999999999991</v>
          </cell>
        </row>
        <row r="37">
          <cell r="A37" t="str">
            <v>GRACO-287022</v>
          </cell>
          <cell r="B37" t="str">
            <v>EXTENCION DE 30 RAC X -</v>
          </cell>
          <cell r="C37">
            <v>66.19</v>
          </cell>
          <cell r="D37">
            <v>74.8</v>
          </cell>
          <cell r="E37">
            <v>84.87</v>
          </cell>
          <cell r="F37">
            <v>95.9</v>
          </cell>
        </row>
        <row r="39">
          <cell r="B39" t="str">
            <v>PISTOLAS Y ACCESORIOS DE PISTOLA</v>
          </cell>
        </row>
        <row r="40">
          <cell r="A40" t="str">
            <v>GRACO-288431</v>
          </cell>
          <cell r="B40" t="str">
            <v>PISTOLA FTX RAC 5 -</v>
          </cell>
          <cell r="C40">
            <v>303.02999999999997</v>
          </cell>
          <cell r="D40">
            <v>342.42</v>
          </cell>
          <cell r="E40">
            <v>388.5</v>
          </cell>
          <cell r="F40">
            <v>439</v>
          </cell>
        </row>
        <row r="41">
          <cell r="A41" t="str">
            <v>GRACO-288420</v>
          </cell>
          <cell r="B41" t="str">
            <v>PISTOLA CONTRACTOR RAC X -</v>
          </cell>
          <cell r="C41">
            <v>398.28</v>
          </cell>
          <cell r="D41">
            <v>450.06</v>
          </cell>
          <cell r="E41">
            <v>510.62</v>
          </cell>
          <cell r="F41">
            <v>577</v>
          </cell>
        </row>
        <row r="42">
          <cell r="A42" t="str">
            <v>GRACO-288488</v>
          </cell>
          <cell r="B42" t="str">
            <v>KIT REPARACION DE  PISTOLA</v>
          </cell>
          <cell r="C42">
            <v>110.44</v>
          </cell>
          <cell r="D42">
            <v>124.8</v>
          </cell>
          <cell r="E42">
            <v>141.59</v>
          </cell>
          <cell r="F42">
            <v>160</v>
          </cell>
        </row>
        <row r="43">
          <cell r="A43" t="str">
            <v>GRACO-287032</v>
          </cell>
          <cell r="B43" t="str">
            <v xml:space="preserve">FILTRO DE PISTOLA MALLA 60 </v>
          </cell>
          <cell r="C43">
            <v>9.32</v>
          </cell>
          <cell r="D43">
            <v>10.53</v>
          </cell>
          <cell r="E43">
            <v>11.95</v>
          </cell>
          <cell r="F43">
            <v>13.5</v>
          </cell>
        </row>
        <row r="44">
          <cell r="A44" t="str">
            <v>GRACO-287033</v>
          </cell>
          <cell r="B44" t="str">
            <v xml:space="preserve">FILTRO DE PISTOLA MALLA 100 </v>
          </cell>
          <cell r="C44">
            <v>9.32</v>
          </cell>
          <cell r="D44">
            <v>10.53</v>
          </cell>
          <cell r="E44">
            <v>11.95</v>
          </cell>
          <cell r="F44">
            <v>13.5</v>
          </cell>
        </row>
        <row r="45">
          <cell r="A45" t="str">
            <v>GRACO-246453</v>
          </cell>
          <cell r="B45" t="str">
            <v xml:space="preserve">RAC X ONESEALS (5 PACK) </v>
          </cell>
          <cell r="C45">
            <v>29.48</v>
          </cell>
          <cell r="D45">
            <v>33.31</v>
          </cell>
          <cell r="E45">
            <v>37.79</v>
          </cell>
          <cell r="F45">
            <v>42.7</v>
          </cell>
        </row>
        <row r="47">
          <cell r="B47" t="str">
            <v xml:space="preserve">MANGUERA, ACCESORIOS Y UNIONES PARA MANGUERA </v>
          </cell>
        </row>
        <row r="48">
          <cell r="A48" t="str">
            <v>GRACO-240794</v>
          </cell>
          <cell r="B48" t="str">
            <v>MANGUERA BLUE MAX II 1/4" x 50' -</v>
          </cell>
          <cell r="C48">
            <v>105.61</v>
          </cell>
          <cell r="D48">
            <v>119.34</v>
          </cell>
          <cell r="E48">
            <v>135.4</v>
          </cell>
          <cell r="F48">
            <v>153</v>
          </cell>
        </row>
        <row r="49">
          <cell r="A49" t="str">
            <v>GRACO-156823</v>
          </cell>
          <cell r="B49" t="str">
            <v xml:space="preserve">UNION PARA MANGUERA 1/4"X1/4" </v>
          </cell>
          <cell r="C49">
            <v>10.56</v>
          </cell>
          <cell r="D49">
            <v>11.93</v>
          </cell>
          <cell r="E49">
            <v>13.54</v>
          </cell>
          <cell r="F49">
            <v>15.299999999999999</v>
          </cell>
        </row>
        <row r="50">
          <cell r="A50" t="str">
            <v>GRACO-157705</v>
          </cell>
          <cell r="B50" t="str">
            <v>UNION PARA MANGUERA 1/4"(M) X 3/8" (H)  HASTA AGOTAR EXISTENCIAS</v>
          </cell>
          <cell r="C50">
            <v>14.84</v>
          </cell>
          <cell r="D50">
            <v>16.77</v>
          </cell>
          <cell r="E50">
            <v>19.03</v>
          </cell>
          <cell r="F50">
            <v>21.5</v>
          </cell>
        </row>
        <row r="52">
          <cell r="B52" t="str">
            <v>HERRAMIENTAS Y ACCESORIOS DE ALCANCE EXTENDIDO</v>
          </cell>
        </row>
        <row r="54">
          <cell r="B54" t="str">
            <v xml:space="preserve">FLUIDOS DE BOMBA </v>
          </cell>
        </row>
        <row r="55">
          <cell r="A55" t="str">
            <v>GRACO-206995</v>
          </cell>
          <cell r="B55" t="str">
            <v>LIQUIDO SELLADOR TSL 1/4' -</v>
          </cell>
          <cell r="C55">
            <v>65.23</v>
          </cell>
          <cell r="D55">
            <v>73.709999999999994</v>
          </cell>
          <cell r="E55">
            <v>83.63</v>
          </cell>
          <cell r="F55">
            <v>94.5</v>
          </cell>
        </row>
        <row r="56">
          <cell r="A56" t="str">
            <v>GRACO-243104</v>
          </cell>
          <cell r="B56" t="str">
            <v xml:space="preserve">PUMP ARMOR                    </v>
          </cell>
          <cell r="C56">
            <v>20.64</v>
          </cell>
          <cell r="D56">
            <v>23.32</v>
          </cell>
          <cell r="E56">
            <v>26.46</v>
          </cell>
          <cell r="F56">
            <v>29.9</v>
          </cell>
        </row>
        <row r="58">
          <cell r="A58" t="str">
            <v>GRACO-206994</v>
          </cell>
          <cell r="B58" t="str">
            <v xml:space="preserve">LIQUIDO SELLADOR TSL 8ONZ </v>
          </cell>
          <cell r="C58">
            <v>16.5</v>
          </cell>
          <cell r="D58">
            <v>18.64</v>
          </cell>
          <cell r="E58">
            <v>21.15</v>
          </cell>
          <cell r="F58">
            <v>23.9</v>
          </cell>
        </row>
        <row r="59">
          <cell r="A59" t="str">
            <v>GRACO-288749</v>
          </cell>
          <cell r="B59" t="str">
            <v xml:space="preserve">FILTRO 60 MESH PARA PISTOLA  SG3 </v>
          </cell>
          <cell r="C59">
            <v>11.25</v>
          </cell>
          <cell r="D59">
            <v>12.71</v>
          </cell>
          <cell r="E59">
            <v>14.42</v>
          </cell>
          <cell r="F59">
            <v>16.3</v>
          </cell>
        </row>
        <row r="60">
          <cell r="A60" t="str">
            <v>GRACO-FFLP312</v>
          </cell>
          <cell r="B60" t="str">
            <v xml:space="preserve">BOQUILLA BAJA PRESION  FFLP312 </v>
          </cell>
          <cell r="C60">
            <v>67.989999999999995</v>
          </cell>
          <cell r="D60">
            <v>76.83</v>
          </cell>
          <cell r="E60">
            <v>87.17</v>
          </cell>
          <cell r="F60">
            <v>98.5</v>
          </cell>
        </row>
        <row r="61">
          <cell r="A61" t="str">
            <v>GRACO-LP515</v>
          </cell>
          <cell r="B61" t="str">
            <v xml:space="preserve">BOQUILLA LP515 </v>
          </cell>
          <cell r="C61">
            <v>59.78</v>
          </cell>
          <cell r="D61">
            <v>67.55</v>
          </cell>
          <cell r="E61">
            <v>76.64</v>
          </cell>
          <cell r="F61">
            <v>86.6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0"/>
  <sheetViews>
    <sheetView tabSelected="1" topLeftCell="A4" workbookViewId="0">
      <selection activeCell="I12" sqref="I12"/>
    </sheetView>
  </sheetViews>
  <sheetFormatPr baseColWidth="10" defaultColWidth="9.109375" defaultRowHeight="14.4" x14ac:dyDescent="0.3"/>
  <cols>
    <col min="1" max="1" width="8.88671875" style="1"/>
    <col min="2" max="2" width="8.88671875" style="5"/>
    <col min="3" max="3" width="16.44140625" style="17" customWidth="1"/>
    <col min="4" max="4" width="59.109375" style="6" bestFit="1" customWidth="1"/>
    <col min="5" max="5" width="14.109375" style="3" customWidth="1"/>
    <col min="6" max="6" width="19.33203125" style="11" bestFit="1" customWidth="1"/>
    <col min="7" max="7" width="13" style="3" bestFit="1" customWidth="1"/>
    <col min="8" max="8" width="12.6640625" style="1" bestFit="1" customWidth="1"/>
    <col min="9" max="26" width="8.88671875" style="1"/>
  </cols>
  <sheetData>
    <row r="1" spans="2:7" ht="14.4" customHeight="1" x14ac:dyDescent="0.3">
      <c r="B1" s="104" t="s">
        <v>3015</v>
      </c>
      <c r="C1" s="104"/>
      <c r="D1" s="104"/>
      <c r="E1" s="104"/>
      <c r="F1" s="104"/>
      <c r="G1" s="104"/>
    </row>
    <row r="2" spans="2:7" ht="14.4" customHeight="1" x14ac:dyDescent="0.3">
      <c r="B2" s="104"/>
      <c r="C2" s="104"/>
      <c r="D2" s="104"/>
      <c r="E2" s="104"/>
      <c r="F2" s="104"/>
      <c r="G2" s="104"/>
    </row>
    <row r="3" spans="2:7" x14ac:dyDescent="0.3">
      <c r="B3" s="101" t="s">
        <v>3008</v>
      </c>
      <c r="C3" s="102"/>
      <c r="D3" s="103" t="s">
        <v>3221</v>
      </c>
      <c r="E3" s="103"/>
      <c r="F3" s="2" t="s">
        <v>3018</v>
      </c>
      <c r="G3" s="13">
        <f>SUM(G8:G107)</f>
        <v>0</v>
      </c>
    </row>
    <row r="4" spans="2:7" x14ac:dyDescent="0.3">
      <c r="B4" s="101" t="s">
        <v>3017</v>
      </c>
      <c r="C4" s="102"/>
      <c r="D4" s="103" t="s">
        <v>3222</v>
      </c>
      <c r="E4" s="103"/>
      <c r="F4" s="2" t="s">
        <v>3019</v>
      </c>
      <c r="G4" s="13">
        <f>G3*14%</f>
        <v>0</v>
      </c>
    </row>
    <row r="5" spans="2:7" x14ac:dyDescent="0.3">
      <c r="B5" s="101" t="s">
        <v>3009</v>
      </c>
      <c r="C5" s="102"/>
      <c r="D5" s="103">
        <f ca="1">TODAY()</f>
        <v>46141</v>
      </c>
      <c r="E5" s="103"/>
      <c r="F5" s="2" t="s">
        <v>3020</v>
      </c>
      <c r="G5" s="13">
        <f>G3+G4</f>
        <v>0</v>
      </c>
    </row>
    <row r="6" spans="2:7" x14ac:dyDescent="0.3">
      <c r="B6" s="7"/>
      <c r="C6" s="14"/>
      <c r="D6" s="8"/>
      <c r="E6" s="8"/>
      <c r="F6" s="9"/>
      <c r="G6" s="8"/>
    </row>
    <row r="7" spans="2:7" x14ac:dyDescent="0.3">
      <c r="B7" s="4" t="s">
        <v>3010</v>
      </c>
      <c r="C7" s="15" t="s">
        <v>3011</v>
      </c>
      <c r="D7" s="4" t="s">
        <v>3012</v>
      </c>
      <c r="E7" s="4" t="s">
        <v>3016</v>
      </c>
      <c r="F7" s="10" t="s">
        <v>3013</v>
      </c>
      <c r="G7" s="4" t="s">
        <v>3014</v>
      </c>
    </row>
    <row r="8" spans="2:7" x14ac:dyDescent="0.3">
      <c r="B8" s="5">
        <v>1</v>
      </c>
      <c r="C8" s="16"/>
      <c r="F8" s="11" t="str">
        <f>IF(C8="","",IFERROR(VLOOKUP(C8,LISTA_COMPLETA!$A$1:$F$2388,3,FALSE),"ERROR"))</f>
        <v/>
      </c>
      <c r="G8" s="12" t="str">
        <f>IF(C8="","",IFERROR(F8*E8,"ERROR"))</f>
        <v/>
      </c>
    </row>
    <row r="9" spans="2:7" x14ac:dyDescent="0.3">
      <c r="B9" s="5">
        <f>B8+1</f>
        <v>2</v>
      </c>
      <c r="C9" s="16"/>
      <c r="F9" s="11" t="str">
        <f>IF(C9="","",IFERROR(VLOOKUP(C9,LISTA_COMPLETA!$A$1:$F$2388,3,FALSE),"ERROR"))</f>
        <v/>
      </c>
      <c r="G9" s="12" t="str">
        <f t="shared" ref="G9:G72" si="0">IF(C9="","",IFERROR(F9*E9,"ERROR"))</f>
        <v/>
      </c>
    </row>
    <row r="10" spans="2:7" x14ac:dyDescent="0.3">
      <c r="B10" s="5">
        <f t="shared" ref="B10:B73" si="1">B9+1</f>
        <v>3</v>
      </c>
      <c r="C10" s="16"/>
      <c r="F10" s="11" t="str">
        <f>IF(C10="","",IFERROR(VLOOKUP(C10,LISTA_COMPLETA!$A$1:$F$2388,3,FALSE),"ERROR"))</f>
        <v/>
      </c>
      <c r="G10" s="12" t="str">
        <f t="shared" si="0"/>
        <v/>
      </c>
    </row>
    <row r="11" spans="2:7" x14ac:dyDescent="0.3">
      <c r="B11" s="5">
        <f t="shared" si="1"/>
        <v>4</v>
      </c>
      <c r="C11" s="16"/>
      <c r="F11" s="11" t="str">
        <f>IF(C11="","",IFERROR(VLOOKUP(C11,LISTA_COMPLETA!$A$1:$F$2388,3,FALSE),"ERROR"))</f>
        <v/>
      </c>
      <c r="G11" s="12" t="str">
        <f t="shared" si="0"/>
        <v/>
      </c>
    </row>
    <row r="12" spans="2:7" x14ac:dyDescent="0.3">
      <c r="B12" s="5">
        <f t="shared" si="1"/>
        <v>5</v>
      </c>
      <c r="C12" s="16"/>
      <c r="F12" s="11" t="str">
        <f>IF(C12="","",IFERROR(VLOOKUP(C12,LISTA_COMPLETA!$A$1:$F$2388,3,FALSE),"ERROR"))</f>
        <v/>
      </c>
      <c r="G12" s="12" t="str">
        <f t="shared" si="0"/>
        <v/>
      </c>
    </row>
    <row r="13" spans="2:7" x14ac:dyDescent="0.3">
      <c r="B13" s="5">
        <f t="shared" si="1"/>
        <v>6</v>
      </c>
      <c r="C13" s="16"/>
      <c r="F13" s="11" t="str">
        <f>IF(C13="","",IFERROR(VLOOKUP(C13,LISTA_COMPLETA!$A$1:$F$2388,3,FALSE),"ERROR"))</f>
        <v/>
      </c>
      <c r="G13" s="12" t="str">
        <f t="shared" si="0"/>
        <v/>
      </c>
    </row>
    <row r="14" spans="2:7" x14ac:dyDescent="0.3">
      <c r="B14" s="5">
        <f t="shared" si="1"/>
        <v>7</v>
      </c>
      <c r="C14" s="16"/>
      <c r="F14" s="11" t="str">
        <f>IF(C14="","",IFERROR(VLOOKUP(C14,LISTA_COMPLETA!$A$1:$F$2388,3,FALSE),"ERROR"))</f>
        <v/>
      </c>
      <c r="G14" s="12" t="str">
        <f t="shared" si="0"/>
        <v/>
      </c>
    </row>
    <row r="15" spans="2:7" x14ac:dyDescent="0.3">
      <c r="B15" s="5">
        <f t="shared" si="1"/>
        <v>8</v>
      </c>
      <c r="C15" s="16"/>
      <c r="F15" s="11" t="str">
        <f>IF(C15="","",IFERROR(VLOOKUP(C15,LISTA_COMPLETA!$A$1:$F$2388,3,FALSE),"ERROR"))</f>
        <v/>
      </c>
      <c r="G15" s="12" t="str">
        <f t="shared" si="0"/>
        <v/>
      </c>
    </row>
    <row r="16" spans="2:7" x14ac:dyDescent="0.3">
      <c r="B16" s="5">
        <f t="shared" si="1"/>
        <v>9</v>
      </c>
      <c r="C16" s="16"/>
      <c r="F16" s="11" t="str">
        <f>IF(C16="","",IFERROR(VLOOKUP(C16,LISTA_COMPLETA!$A$1:$F$2388,3,FALSE),"ERROR"))</f>
        <v/>
      </c>
      <c r="G16" s="12" t="str">
        <f t="shared" si="0"/>
        <v/>
      </c>
    </row>
    <row r="17" spans="2:7" x14ac:dyDescent="0.3">
      <c r="B17" s="5">
        <f t="shared" si="1"/>
        <v>10</v>
      </c>
      <c r="C17" s="16"/>
      <c r="F17" s="11" t="str">
        <f>IF(C17="","",IFERROR(VLOOKUP(C17,LISTA_COMPLETA!$A$1:$F$2388,3,FALSE),"ERROR"))</f>
        <v/>
      </c>
      <c r="G17" s="12" t="str">
        <f t="shared" si="0"/>
        <v/>
      </c>
    </row>
    <row r="18" spans="2:7" x14ac:dyDescent="0.3">
      <c r="B18" s="5">
        <f t="shared" si="1"/>
        <v>11</v>
      </c>
      <c r="C18" s="16"/>
      <c r="F18" s="11" t="str">
        <f>IF(C18="","",IFERROR(VLOOKUP(C18,LISTA_COMPLETA!$A$1:$F$2388,3,FALSE),"ERROR"))</f>
        <v/>
      </c>
      <c r="G18" s="12" t="str">
        <f t="shared" si="0"/>
        <v/>
      </c>
    </row>
    <row r="19" spans="2:7" x14ac:dyDescent="0.3">
      <c r="B19" s="5">
        <f t="shared" si="1"/>
        <v>12</v>
      </c>
      <c r="C19" s="16"/>
      <c r="F19" s="11" t="str">
        <f>IF(C19="","",IFERROR(VLOOKUP(C19,LISTA_COMPLETA!$A$1:$F$2388,3,FALSE),"ERROR"))</f>
        <v/>
      </c>
      <c r="G19" s="12" t="str">
        <f t="shared" si="0"/>
        <v/>
      </c>
    </row>
    <row r="20" spans="2:7" x14ac:dyDescent="0.3">
      <c r="B20" s="5">
        <f t="shared" si="1"/>
        <v>13</v>
      </c>
      <c r="C20" s="16"/>
      <c r="F20" s="11" t="str">
        <f>IF(C20="","",IFERROR(VLOOKUP(C20,LISTA_COMPLETA!$A$1:$F$2388,3,FALSE),"ERROR"))</f>
        <v/>
      </c>
      <c r="G20" s="12" t="str">
        <f t="shared" si="0"/>
        <v/>
      </c>
    </row>
    <row r="21" spans="2:7" x14ac:dyDescent="0.3">
      <c r="B21" s="5">
        <f t="shared" si="1"/>
        <v>14</v>
      </c>
      <c r="C21" s="16"/>
      <c r="F21" s="11" t="str">
        <f>IF(C21="","",IFERROR(VLOOKUP(C21,LISTA_COMPLETA!$A$1:$F$2388,3,FALSE),"ERROR"))</f>
        <v/>
      </c>
      <c r="G21" s="12" t="str">
        <f t="shared" si="0"/>
        <v/>
      </c>
    </row>
    <row r="22" spans="2:7" x14ac:dyDescent="0.3">
      <c r="B22" s="5">
        <f t="shared" si="1"/>
        <v>15</v>
      </c>
      <c r="C22" s="16"/>
      <c r="F22" s="11" t="str">
        <f>IF(C22="","",IFERROR(VLOOKUP(C22,LISTA_COMPLETA!$A$1:$F$2388,3,FALSE),"ERROR"))</f>
        <v/>
      </c>
      <c r="G22" s="12" t="str">
        <f t="shared" si="0"/>
        <v/>
      </c>
    </row>
    <row r="23" spans="2:7" x14ac:dyDescent="0.3">
      <c r="B23" s="5">
        <f t="shared" si="1"/>
        <v>16</v>
      </c>
      <c r="C23" s="16"/>
      <c r="F23" s="11" t="str">
        <f>IF(C23="","",IFERROR(VLOOKUP(C23,LISTA_COMPLETA!$A$1:$F$2388,3,FALSE),"ERROR"))</f>
        <v/>
      </c>
      <c r="G23" s="12" t="str">
        <f t="shared" si="0"/>
        <v/>
      </c>
    </row>
    <row r="24" spans="2:7" x14ac:dyDescent="0.3">
      <c r="B24" s="5">
        <f t="shared" si="1"/>
        <v>17</v>
      </c>
      <c r="C24" s="16"/>
      <c r="F24" s="11" t="str">
        <f>IF(C24="","",IFERROR(VLOOKUP(C24,LISTA_COMPLETA!$A$1:$F$2388,3,FALSE),"ERROR"))</f>
        <v/>
      </c>
      <c r="G24" s="12" t="str">
        <f t="shared" si="0"/>
        <v/>
      </c>
    </row>
    <row r="25" spans="2:7" x14ac:dyDescent="0.3">
      <c r="B25" s="5">
        <f t="shared" si="1"/>
        <v>18</v>
      </c>
      <c r="C25" s="16"/>
      <c r="D25" s="6" t="str">
        <f>IF(C25="","",IFERROR(VLOOKUP(C25,LISTA_COMPLETA!$A$1:$F$2388,2,FALSE),"ESCRIBA CODIGO CORRECTO"))</f>
        <v/>
      </c>
      <c r="F25" s="11" t="str">
        <f>IF(C25="","",IFERROR(VLOOKUP(C25,LISTA_COMPLETA!$A$1:$F$2388,3,FALSE),"ERROR"))</f>
        <v/>
      </c>
      <c r="G25" s="12" t="str">
        <f t="shared" si="0"/>
        <v/>
      </c>
    </row>
    <row r="26" spans="2:7" x14ac:dyDescent="0.3">
      <c r="B26" s="5">
        <f t="shared" si="1"/>
        <v>19</v>
      </c>
      <c r="C26" s="16"/>
      <c r="D26" s="6" t="str">
        <f>IF(C26="","",IFERROR(VLOOKUP(C26,LISTA_COMPLETA!$A$1:$F$2388,2,FALSE),"ESCRIBA CODIGO CORRECTO"))</f>
        <v/>
      </c>
      <c r="F26" s="11" t="str">
        <f>IF(C26="","",IFERROR(VLOOKUP(C26,LISTA_COMPLETA!$A$1:$F$2388,3,FALSE),"ERROR"))</f>
        <v/>
      </c>
      <c r="G26" s="12" t="str">
        <f t="shared" si="0"/>
        <v/>
      </c>
    </row>
    <row r="27" spans="2:7" x14ac:dyDescent="0.3">
      <c r="B27" s="5">
        <f t="shared" si="1"/>
        <v>20</v>
      </c>
      <c r="C27" s="16"/>
      <c r="D27" s="6" t="str">
        <f>IF(C27="","",IFERROR(VLOOKUP(C27,LISTA_COMPLETA!$A$1:$F$2388,2,FALSE),"ESCRIBA CODIGO CORRECTO"))</f>
        <v/>
      </c>
      <c r="F27" s="11" t="str">
        <f>IF(C27="","",IFERROR(VLOOKUP(C27,LISTA_COMPLETA!$A$1:$F$2388,3,FALSE),"ERROR"))</f>
        <v/>
      </c>
      <c r="G27" s="12" t="str">
        <f t="shared" si="0"/>
        <v/>
      </c>
    </row>
    <row r="28" spans="2:7" x14ac:dyDescent="0.3">
      <c r="B28" s="5">
        <f t="shared" si="1"/>
        <v>21</v>
      </c>
      <c r="C28" s="16"/>
      <c r="D28" s="6" t="str">
        <f>IF(C28="","",IFERROR(VLOOKUP(C28,LISTA_COMPLETA!$A$1:$F$2388,2,FALSE),"ESCRIBA CODIGO CORRECTO"))</f>
        <v/>
      </c>
      <c r="F28" s="11" t="str">
        <f>IF(C28="","",IFERROR(VLOOKUP(C28,LISTA_COMPLETA!$A$1:$F$2388,3,FALSE),"ERROR"))</f>
        <v/>
      </c>
      <c r="G28" s="12" t="str">
        <f t="shared" si="0"/>
        <v/>
      </c>
    </row>
    <row r="29" spans="2:7" x14ac:dyDescent="0.3">
      <c r="B29" s="5">
        <f t="shared" si="1"/>
        <v>22</v>
      </c>
      <c r="C29" s="16"/>
      <c r="D29" s="6" t="str">
        <f>IF(C29="","",IFERROR(VLOOKUP(C29,LISTA_COMPLETA!$A$1:$F$2388,2,FALSE),"ESCRIBA CODIGO CORRECTO"))</f>
        <v/>
      </c>
      <c r="F29" s="11" t="str">
        <f>IF(C29="","",IFERROR(VLOOKUP(C29,LISTA_COMPLETA!$A$1:$F$2388,3,FALSE),"ERROR"))</f>
        <v/>
      </c>
      <c r="G29" s="12" t="str">
        <f t="shared" si="0"/>
        <v/>
      </c>
    </row>
    <row r="30" spans="2:7" x14ac:dyDescent="0.3">
      <c r="B30" s="5">
        <f t="shared" si="1"/>
        <v>23</v>
      </c>
      <c r="C30" s="16"/>
      <c r="D30" s="6" t="str">
        <f>IF(C30="","",IFERROR(VLOOKUP(C30,LISTA_COMPLETA!$A$1:$F$2388,2,FALSE),"ESCRIBA CODIGO CORRECTO"))</f>
        <v/>
      </c>
      <c r="F30" s="11" t="str">
        <f>IF(C30="","",IFERROR(VLOOKUP(C30,LISTA_COMPLETA!$A$1:$F$2388,3,FALSE),"ERROR"))</f>
        <v/>
      </c>
      <c r="G30" s="12" t="str">
        <f t="shared" si="0"/>
        <v/>
      </c>
    </row>
    <row r="31" spans="2:7" x14ac:dyDescent="0.3">
      <c r="B31" s="5">
        <f t="shared" si="1"/>
        <v>24</v>
      </c>
      <c r="C31" s="16"/>
      <c r="D31" s="6" t="str">
        <f>IF(C31="","",IFERROR(VLOOKUP(C31,LISTA_COMPLETA!$A$1:$F$2388,2,FALSE),"ESCRIBA CODIGO CORRECTO"))</f>
        <v/>
      </c>
      <c r="F31" s="11" t="str">
        <f>IF(C31="","",IFERROR(VLOOKUP(C31,LISTA_COMPLETA!$A$1:$F$2388,3,FALSE),"ERROR"))</f>
        <v/>
      </c>
      <c r="G31" s="12" t="str">
        <f t="shared" si="0"/>
        <v/>
      </c>
    </row>
    <row r="32" spans="2:7" x14ac:dyDescent="0.3">
      <c r="B32" s="5">
        <f t="shared" si="1"/>
        <v>25</v>
      </c>
      <c r="C32" s="16"/>
      <c r="D32" s="6" t="str">
        <f>IF(C32="","",IFERROR(VLOOKUP(C32,LISTA_COMPLETA!$A$1:$F$2388,2,FALSE),"ESCRIBA CODIGO CORRECTO"))</f>
        <v/>
      </c>
      <c r="F32" s="11" t="str">
        <f>IF(C32="","",IFERROR(VLOOKUP(C32,LISTA_COMPLETA!$A$1:$F$2388,3,FALSE),"ERROR"))</f>
        <v/>
      </c>
      <c r="G32" s="12" t="str">
        <f t="shared" si="0"/>
        <v/>
      </c>
    </row>
    <row r="33" spans="2:7" x14ac:dyDescent="0.3">
      <c r="B33" s="5">
        <f t="shared" si="1"/>
        <v>26</v>
      </c>
      <c r="C33" s="16"/>
      <c r="D33" s="6" t="str">
        <f>IF(C33="","",IFERROR(VLOOKUP(C33,LISTA_COMPLETA!$A$1:$F$2388,2,FALSE),"ESCRIBA CODIGO CORRECTO"))</f>
        <v/>
      </c>
      <c r="F33" s="11" t="str">
        <f>IF(C33="","",IFERROR(VLOOKUP(C33,LISTA_COMPLETA!$A$1:$F$2388,3,FALSE),"ERROR"))</f>
        <v/>
      </c>
      <c r="G33" s="12" t="str">
        <f t="shared" si="0"/>
        <v/>
      </c>
    </row>
    <row r="34" spans="2:7" x14ac:dyDescent="0.3">
      <c r="B34" s="5">
        <f t="shared" si="1"/>
        <v>27</v>
      </c>
      <c r="C34" s="16"/>
      <c r="D34" s="6" t="str">
        <f>IF(C34="","",IFERROR(VLOOKUP(C34,LISTA_COMPLETA!$A$1:$F$2388,2,FALSE),"ESCRIBA CODIGO CORRECTO"))</f>
        <v/>
      </c>
      <c r="F34" s="11" t="str">
        <f>IF(C34="","",IFERROR(VLOOKUP(C34,LISTA_COMPLETA!$A$1:$F$2388,3,FALSE),"ERROR"))</f>
        <v/>
      </c>
      <c r="G34" s="12" t="str">
        <f t="shared" si="0"/>
        <v/>
      </c>
    </row>
    <row r="35" spans="2:7" x14ac:dyDescent="0.3">
      <c r="B35" s="5">
        <f t="shared" si="1"/>
        <v>28</v>
      </c>
      <c r="C35" s="16"/>
      <c r="D35" s="6" t="str">
        <f>IF(C35="","",IFERROR(VLOOKUP(C35,LISTA_COMPLETA!$A$1:$F$2388,2,FALSE),"ESCRIBA CODIGO CORRECTO"))</f>
        <v/>
      </c>
      <c r="F35" s="11" t="str">
        <f>IF(C35="","",IFERROR(VLOOKUP(C35,LISTA_COMPLETA!$A$1:$F$2388,3,FALSE),"ERROR"))</f>
        <v/>
      </c>
      <c r="G35" s="12" t="str">
        <f t="shared" si="0"/>
        <v/>
      </c>
    </row>
    <row r="36" spans="2:7" x14ac:dyDescent="0.3">
      <c r="B36" s="5">
        <f t="shared" si="1"/>
        <v>29</v>
      </c>
      <c r="C36" s="16"/>
      <c r="D36" s="6" t="str">
        <f>IF(C36="","",IFERROR(VLOOKUP(C36,LISTA_COMPLETA!$A$1:$F$2388,2,FALSE),"ESCRIBA CODIGO CORRECTO"))</f>
        <v/>
      </c>
      <c r="F36" s="11" t="str">
        <f>IF(C36="","",IFERROR(VLOOKUP(C36,LISTA_COMPLETA!$A$1:$F$2388,3,FALSE),"ERROR"))</f>
        <v/>
      </c>
      <c r="G36" s="12" t="str">
        <f t="shared" si="0"/>
        <v/>
      </c>
    </row>
    <row r="37" spans="2:7" x14ac:dyDescent="0.3">
      <c r="B37" s="5">
        <f t="shared" si="1"/>
        <v>30</v>
      </c>
      <c r="C37" s="16"/>
      <c r="D37" s="6" t="str">
        <f>IF(C37="","",IFERROR(VLOOKUP(C37,LISTA_COMPLETA!$A$1:$F$2388,2,FALSE),"ESCRIBA CODIGO CORRECTO"))</f>
        <v/>
      </c>
      <c r="F37" s="11" t="str">
        <f>IF(C37="","",IFERROR(VLOOKUP(C37,LISTA_COMPLETA!$A$1:$F$2388,3,FALSE),"ERROR"))</f>
        <v/>
      </c>
      <c r="G37" s="12" t="str">
        <f t="shared" si="0"/>
        <v/>
      </c>
    </row>
    <row r="38" spans="2:7" x14ac:dyDescent="0.3">
      <c r="B38" s="5">
        <f t="shared" si="1"/>
        <v>31</v>
      </c>
      <c r="C38" s="16"/>
      <c r="D38" s="6" t="str">
        <f>IF(C38="","",IFERROR(VLOOKUP(C38,LISTA_COMPLETA!$A$1:$F$2388,2,FALSE),"ESCRIBA CODIGO CORRECTO"))</f>
        <v/>
      </c>
      <c r="F38" s="11" t="str">
        <f>IF(C38="","",IFERROR(VLOOKUP(C38,LISTA_COMPLETA!$A$1:$F$2388,3,FALSE),"ERROR"))</f>
        <v/>
      </c>
      <c r="G38" s="12" t="str">
        <f t="shared" si="0"/>
        <v/>
      </c>
    </row>
    <row r="39" spans="2:7" x14ac:dyDescent="0.3">
      <c r="B39" s="5">
        <f t="shared" si="1"/>
        <v>32</v>
      </c>
      <c r="C39" s="16"/>
      <c r="D39" s="6" t="str">
        <f>IF(C39="","",IFERROR(VLOOKUP(C39,LISTA_COMPLETA!$A$1:$F$2388,2,FALSE),"ESCRIBA CODIGO CORRECTO"))</f>
        <v/>
      </c>
      <c r="F39" s="11" t="str">
        <f>IF(C39="","",IFERROR(VLOOKUP(C39,LISTA_COMPLETA!$A$1:$F$2388,3,FALSE),"ERROR"))</f>
        <v/>
      </c>
      <c r="G39" s="12" t="str">
        <f t="shared" si="0"/>
        <v/>
      </c>
    </row>
    <row r="40" spans="2:7" x14ac:dyDescent="0.3">
      <c r="B40" s="5">
        <f t="shared" si="1"/>
        <v>33</v>
      </c>
      <c r="C40" s="16"/>
      <c r="D40" s="6" t="str">
        <f>IF(C40="","",IFERROR(VLOOKUP(C40,LISTA_COMPLETA!$A$1:$F$2388,2,FALSE),"ESCRIBA CODIGO CORRECTO"))</f>
        <v/>
      </c>
      <c r="F40" s="11" t="str">
        <f>IF(C40="","",IFERROR(VLOOKUP(C40,LISTA_COMPLETA!$A$1:$F$2388,3,FALSE),"ERROR"))</f>
        <v/>
      </c>
      <c r="G40" s="12" t="str">
        <f t="shared" si="0"/>
        <v/>
      </c>
    </row>
    <row r="41" spans="2:7" x14ac:dyDescent="0.3">
      <c r="B41" s="5">
        <f t="shared" si="1"/>
        <v>34</v>
      </c>
      <c r="C41" s="16"/>
      <c r="D41" s="6" t="str">
        <f>IF(C41="","",IFERROR(VLOOKUP(C41,LISTA_COMPLETA!$A$1:$F$2388,2,FALSE),"ESCRIBA CODIGO CORRECTO"))</f>
        <v/>
      </c>
      <c r="F41" s="11" t="str">
        <f>IF(C41="","",IFERROR(VLOOKUP(C41,LISTA_COMPLETA!$A$1:$F$2388,3,FALSE),"ERROR"))</f>
        <v/>
      </c>
      <c r="G41" s="12" t="str">
        <f t="shared" si="0"/>
        <v/>
      </c>
    </row>
    <row r="42" spans="2:7" x14ac:dyDescent="0.3">
      <c r="B42" s="5">
        <f t="shared" si="1"/>
        <v>35</v>
      </c>
      <c r="C42" s="16"/>
      <c r="D42" s="6" t="str">
        <f>IF(C42="","",IFERROR(VLOOKUP(C42,LISTA_COMPLETA!$A$1:$F$2388,2,FALSE),"ESCRIBA CODIGO CORRECTO"))</f>
        <v/>
      </c>
      <c r="F42" s="11" t="str">
        <f>IF(C42="","",IFERROR(VLOOKUP(C42,LISTA_COMPLETA!$A$1:$F$2388,3,FALSE),"ERROR"))</f>
        <v/>
      </c>
      <c r="G42" s="12" t="str">
        <f t="shared" si="0"/>
        <v/>
      </c>
    </row>
    <row r="43" spans="2:7" x14ac:dyDescent="0.3">
      <c r="B43" s="5">
        <f t="shared" si="1"/>
        <v>36</v>
      </c>
      <c r="C43" s="16"/>
      <c r="D43" s="6" t="str">
        <f>IF(C43="","",IFERROR(VLOOKUP(C43,LISTA_COMPLETA!$A$1:$F$2388,2,FALSE),"ESCRIBA CODIGO CORRECTO"))</f>
        <v/>
      </c>
      <c r="F43" s="11" t="str">
        <f>IF(C43="","",IFERROR(VLOOKUP(C43,LISTA_COMPLETA!$A$1:$F$2388,3,FALSE),"ERROR"))</f>
        <v/>
      </c>
      <c r="G43" s="12" t="str">
        <f t="shared" si="0"/>
        <v/>
      </c>
    </row>
    <row r="44" spans="2:7" x14ac:dyDescent="0.3">
      <c r="B44" s="5">
        <f t="shared" si="1"/>
        <v>37</v>
      </c>
      <c r="C44" s="16"/>
      <c r="D44" s="6" t="str">
        <f>IF(C44="","",IFERROR(VLOOKUP(C44,LISTA_COMPLETA!$A$1:$F$2388,2,FALSE),"ESCRIBA CODIGO CORRECTO"))</f>
        <v/>
      </c>
      <c r="F44" s="11" t="str">
        <f>IF(C44="","",IFERROR(VLOOKUP(C44,LISTA_COMPLETA!$A$1:$F$2388,3,FALSE),"ERROR"))</f>
        <v/>
      </c>
      <c r="G44" s="12" t="str">
        <f t="shared" si="0"/>
        <v/>
      </c>
    </row>
    <row r="45" spans="2:7" x14ac:dyDescent="0.3">
      <c r="B45" s="5">
        <f t="shared" si="1"/>
        <v>38</v>
      </c>
      <c r="C45" s="16"/>
      <c r="D45" s="6" t="str">
        <f>IF(C45="","",IFERROR(VLOOKUP(C45,LISTA_COMPLETA!$A$1:$F$2388,2,FALSE),"ESCRIBA CODIGO CORRECTO"))</f>
        <v/>
      </c>
      <c r="F45" s="11" t="str">
        <f>IF(C45="","",IFERROR(VLOOKUP(C45,LISTA_COMPLETA!$A$1:$F$2388,3,FALSE),"ERROR"))</f>
        <v/>
      </c>
      <c r="G45" s="12" t="str">
        <f t="shared" si="0"/>
        <v/>
      </c>
    </row>
    <row r="46" spans="2:7" x14ac:dyDescent="0.3">
      <c r="B46" s="5">
        <f t="shared" si="1"/>
        <v>39</v>
      </c>
      <c r="C46" s="16"/>
      <c r="D46" s="6" t="str">
        <f>IF(C46="","",IFERROR(VLOOKUP(C46,LISTA_COMPLETA!$A$1:$F$2388,2,FALSE),"ESCRIBA CODIGO CORRECTO"))</f>
        <v/>
      </c>
      <c r="F46" s="11" t="str">
        <f>IF(C46="","",IFERROR(VLOOKUP(C46,LISTA_COMPLETA!$A$1:$F$2388,3,FALSE),"ERROR"))</f>
        <v/>
      </c>
      <c r="G46" s="12" t="str">
        <f t="shared" si="0"/>
        <v/>
      </c>
    </row>
    <row r="47" spans="2:7" x14ac:dyDescent="0.3">
      <c r="B47" s="5">
        <f t="shared" si="1"/>
        <v>40</v>
      </c>
      <c r="C47" s="16"/>
      <c r="D47" s="6" t="str">
        <f>IF(C47="","",IFERROR(VLOOKUP(C47,LISTA_COMPLETA!$A$1:$F$2388,2,FALSE),"ESCRIBA CODIGO CORRECTO"))</f>
        <v/>
      </c>
      <c r="F47" s="11" t="str">
        <f>IF(C47="","",IFERROR(VLOOKUP(C47,LISTA_COMPLETA!$A$1:$F$2388,3,FALSE),"ERROR"))</f>
        <v/>
      </c>
      <c r="G47" s="12" t="str">
        <f t="shared" si="0"/>
        <v/>
      </c>
    </row>
    <row r="48" spans="2:7" x14ac:dyDescent="0.3">
      <c r="B48" s="5">
        <f t="shared" si="1"/>
        <v>41</v>
      </c>
      <c r="C48" s="16"/>
      <c r="D48" s="6" t="str">
        <f>IF(C48="","",IFERROR(VLOOKUP(C48,LISTA_COMPLETA!$A$1:$F$2388,2,FALSE),"ESCRIBA CODIGO CORRECTO"))</f>
        <v/>
      </c>
      <c r="F48" s="11" t="str">
        <f>IF(C48="","",IFERROR(VLOOKUP(C48,LISTA_COMPLETA!$A$1:$F$2388,3,FALSE),"ERROR"))</f>
        <v/>
      </c>
      <c r="G48" s="12" t="str">
        <f t="shared" si="0"/>
        <v/>
      </c>
    </row>
    <row r="49" spans="2:7" x14ac:dyDescent="0.3">
      <c r="B49" s="5">
        <f t="shared" si="1"/>
        <v>42</v>
      </c>
      <c r="C49" s="16"/>
      <c r="D49" s="6" t="str">
        <f>IF(C49="","",IFERROR(VLOOKUP(C49,LISTA_COMPLETA!$A$1:$F$2388,2,FALSE),"ESCRIBA CODIGO CORRECTO"))</f>
        <v/>
      </c>
      <c r="F49" s="11" t="str">
        <f>IF(C49="","",IFERROR(VLOOKUP(C49,LISTA_COMPLETA!$A$1:$F$2388,3,FALSE),"ERROR"))</f>
        <v/>
      </c>
      <c r="G49" s="12" t="str">
        <f t="shared" si="0"/>
        <v/>
      </c>
    </row>
    <row r="50" spans="2:7" x14ac:dyDescent="0.3">
      <c r="B50" s="5">
        <f t="shared" si="1"/>
        <v>43</v>
      </c>
      <c r="C50" s="16"/>
      <c r="D50" s="6" t="str">
        <f>IF(C50="","",IFERROR(VLOOKUP(C50,LISTA_COMPLETA!$A$1:$F$2388,2,FALSE),"ESCRIBA CODIGO CORRECTO"))</f>
        <v/>
      </c>
      <c r="F50" s="11" t="str">
        <f>IF(C50="","",IFERROR(VLOOKUP(C50,LISTA_COMPLETA!$A$1:$F$2388,3,FALSE),"ERROR"))</f>
        <v/>
      </c>
      <c r="G50" s="12" t="str">
        <f t="shared" si="0"/>
        <v/>
      </c>
    </row>
    <row r="51" spans="2:7" x14ac:dyDescent="0.3">
      <c r="B51" s="5">
        <f t="shared" si="1"/>
        <v>44</v>
      </c>
      <c r="C51" s="16"/>
      <c r="D51" s="6" t="str">
        <f>IF(C51="","",IFERROR(VLOOKUP(C51,LISTA_COMPLETA!$A$1:$F$2388,2,FALSE),"ESCRIBA CODIGO CORRECTO"))</f>
        <v/>
      </c>
      <c r="F51" s="11" t="str">
        <f>IF(C51="","",IFERROR(VLOOKUP(C51,LISTA_COMPLETA!$A$1:$F$2388,3,FALSE),"ERROR"))</f>
        <v/>
      </c>
      <c r="G51" s="12" t="str">
        <f t="shared" si="0"/>
        <v/>
      </c>
    </row>
    <row r="52" spans="2:7" x14ac:dyDescent="0.3">
      <c r="B52" s="5">
        <f t="shared" si="1"/>
        <v>45</v>
      </c>
      <c r="C52" s="16"/>
      <c r="D52" s="6" t="str">
        <f>IF(C52="","",IFERROR(VLOOKUP(C52,LISTA_COMPLETA!$A$1:$F$2388,2,FALSE),"ESCRIBA CODIGO CORRECTO"))</f>
        <v/>
      </c>
      <c r="F52" s="11" t="str">
        <f>IF(C52="","",IFERROR(VLOOKUP(C52,LISTA_COMPLETA!$A$1:$F$2388,3,FALSE),"ERROR"))</f>
        <v/>
      </c>
      <c r="G52" s="12" t="str">
        <f t="shared" si="0"/>
        <v/>
      </c>
    </row>
    <row r="53" spans="2:7" x14ac:dyDescent="0.3">
      <c r="B53" s="5">
        <f t="shared" si="1"/>
        <v>46</v>
      </c>
      <c r="C53" s="16"/>
      <c r="D53" s="6" t="str">
        <f>IF(C53="","",IFERROR(VLOOKUP(C53,LISTA_COMPLETA!$A$1:$F$2388,2,FALSE),"ESCRIBA CODIGO CORRECTO"))</f>
        <v/>
      </c>
      <c r="F53" s="11" t="str">
        <f>IF(C53="","",IFERROR(VLOOKUP(C53,LISTA_COMPLETA!$A$1:$F$2388,3,FALSE),"ERROR"))</f>
        <v/>
      </c>
      <c r="G53" s="12" t="str">
        <f t="shared" si="0"/>
        <v/>
      </c>
    </row>
    <row r="54" spans="2:7" x14ac:dyDescent="0.3">
      <c r="B54" s="5">
        <f t="shared" si="1"/>
        <v>47</v>
      </c>
      <c r="C54" s="16"/>
      <c r="D54" s="6" t="str">
        <f>IF(C54="","",IFERROR(VLOOKUP(C54,LISTA_COMPLETA!$A$1:$F$2388,2,FALSE),"ESCRIBA CODIGO CORRECTO"))</f>
        <v/>
      </c>
      <c r="F54" s="11" t="str">
        <f>IF(C54="","",IFERROR(VLOOKUP(C54,LISTA_COMPLETA!$A$1:$F$2388,3,FALSE),"ERROR"))</f>
        <v/>
      </c>
      <c r="G54" s="12" t="str">
        <f t="shared" si="0"/>
        <v/>
      </c>
    </row>
    <row r="55" spans="2:7" x14ac:dyDescent="0.3">
      <c r="B55" s="5">
        <f t="shared" si="1"/>
        <v>48</v>
      </c>
      <c r="C55" s="16"/>
      <c r="D55" s="6" t="str">
        <f>IF(C55="","",IFERROR(VLOOKUP(C55,LISTA_COMPLETA!$A$1:$F$2388,2,FALSE),"ESCRIBA CODIGO CORRECTO"))</f>
        <v/>
      </c>
      <c r="F55" s="11" t="str">
        <f>IF(C55="","",IFERROR(VLOOKUP(C55,LISTA_COMPLETA!$A$1:$F$2388,3,FALSE),"ERROR"))</f>
        <v/>
      </c>
      <c r="G55" s="12" t="str">
        <f t="shared" si="0"/>
        <v/>
      </c>
    </row>
    <row r="56" spans="2:7" x14ac:dyDescent="0.3">
      <c r="B56" s="5">
        <f t="shared" si="1"/>
        <v>49</v>
      </c>
      <c r="C56" s="16"/>
      <c r="D56" s="6" t="str">
        <f>IF(C56="","",IFERROR(VLOOKUP(C56,LISTA_COMPLETA!$A$1:$F$2388,2,FALSE),"ESCRIBA CODIGO CORRECTO"))</f>
        <v/>
      </c>
      <c r="F56" s="11" t="str">
        <f>IF(C56="","",IFERROR(VLOOKUP(C56,LISTA_COMPLETA!$A$1:$F$2388,3,FALSE),"ERROR"))</f>
        <v/>
      </c>
      <c r="G56" s="12" t="str">
        <f t="shared" si="0"/>
        <v/>
      </c>
    </row>
    <row r="57" spans="2:7" x14ac:dyDescent="0.3">
      <c r="B57" s="5">
        <f t="shared" si="1"/>
        <v>50</v>
      </c>
      <c r="C57" s="16"/>
      <c r="D57" s="6" t="str">
        <f>IF(C57="","",IFERROR(VLOOKUP(C57,LISTA_COMPLETA!$A$1:$F$2388,2,FALSE),"ESCRIBA CODIGO CORRECTO"))</f>
        <v/>
      </c>
      <c r="F57" s="11" t="str">
        <f>IF(C57="","",IFERROR(VLOOKUP(C57,LISTA_COMPLETA!$A$1:$F$2388,3,FALSE),"ERROR"))</f>
        <v/>
      </c>
      <c r="G57" s="12" t="str">
        <f t="shared" si="0"/>
        <v/>
      </c>
    </row>
    <row r="58" spans="2:7" x14ac:dyDescent="0.3">
      <c r="B58" s="5">
        <f t="shared" si="1"/>
        <v>51</v>
      </c>
      <c r="C58" s="16"/>
      <c r="D58" s="6" t="str">
        <f>IF(C58="","",IFERROR(VLOOKUP(C58,LISTA_COMPLETA!$A$1:$F$2388,2,FALSE),"ESCRIBA CODIGO CORRECTO"))</f>
        <v/>
      </c>
      <c r="F58" s="11" t="str">
        <f>IF(C58="","",IFERROR(VLOOKUP(C58,LISTA_COMPLETA!$A$1:$F$2388,3,FALSE),"ERROR"))</f>
        <v/>
      </c>
      <c r="G58" s="12" t="str">
        <f t="shared" si="0"/>
        <v/>
      </c>
    </row>
    <row r="59" spans="2:7" x14ac:dyDescent="0.3">
      <c r="B59" s="5">
        <f t="shared" si="1"/>
        <v>52</v>
      </c>
      <c r="C59" s="16"/>
      <c r="D59" s="6" t="str">
        <f>IF(C59="","",IFERROR(VLOOKUP(C59,LISTA_COMPLETA!$A$1:$F$2388,2,FALSE),"ESCRIBA CODIGO CORRECTO"))</f>
        <v/>
      </c>
      <c r="F59" s="11" t="str">
        <f>IF(C59="","",IFERROR(VLOOKUP(C59,LISTA_COMPLETA!$A$1:$F$2388,3,FALSE),"ERROR"))</f>
        <v/>
      </c>
      <c r="G59" s="12" t="str">
        <f t="shared" si="0"/>
        <v/>
      </c>
    </row>
    <row r="60" spans="2:7" x14ac:dyDescent="0.3">
      <c r="B60" s="5">
        <f t="shared" si="1"/>
        <v>53</v>
      </c>
      <c r="C60" s="16"/>
      <c r="D60" s="6" t="str">
        <f>IF(C60="","",IFERROR(VLOOKUP(C60,LISTA_COMPLETA!$A$1:$F$2388,2,FALSE),"ESCRIBA CODIGO CORRECTO"))</f>
        <v/>
      </c>
      <c r="F60" s="11" t="str">
        <f>IF(C60="","",IFERROR(VLOOKUP(C60,LISTA_COMPLETA!$A$1:$F$2388,3,FALSE),"ERROR"))</f>
        <v/>
      </c>
      <c r="G60" s="12" t="str">
        <f t="shared" si="0"/>
        <v/>
      </c>
    </row>
    <row r="61" spans="2:7" x14ac:dyDescent="0.3">
      <c r="B61" s="5">
        <f t="shared" si="1"/>
        <v>54</v>
      </c>
      <c r="C61" s="16"/>
      <c r="D61" s="6" t="str">
        <f>IF(C61="","",IFERROR(VLOOKUP(C61,LISTA_COMPLETA!$A$1:$F$2388,2,FALSE),"ESCRIBA CODIGO CORRECTO"))</f>
        <v/>
      </c>
      <c r="F61" s="11" t="str">
        <f>IF(C61="","",IFERROR(VLOOKUP(C61,LISTA_COMPLETA!$A$1:$F$2388,3,FALSE),"ERROR"))</f>
        <v/>
      </c>
      <c r="G61" s="12" t="str">
        <f t="shared" si="0"/>
        <v/>
      </c>
    </row>
    <row r="62" spans="2:7" x14ac:dyDescent="0.3">
      <c r="B62" s="5">
        <f t="shared" si="1"/>
        <v>55</v>
      </c>
      <c r="C62" s="16"/>
      <c r="D62" s="6" t="str">
        <f>IF(C62="","",IFERROR(VLOOKUP(C62,LISTA_COMPLETA!$A$1:$F$2388,2,FALSE),"ESCRIBA CODIGO CORRECTO"))</f>
        <v/>
      </c>
      <c r="F62" s="11" t="str">
        <f>IF(C62="","",IFERROR(VLOOKUP(C62,LISTA_COMPLETA!$A$1:$F$2388,3,FALSE),"ERROR"))</f>
        <v/>
      </c>
      <c r="G62" s="12" t="str">
        <f t="shared" si="0"/>
        <v/>
      </c>
    </row>
    <row r="63" spans="2:7" x14ac:dyDescent="0.3">
      <c r="B63" s="5">
        <f t="shared" si="1"/>
        <v>56</v>
      </c>
      <c r="C63" s="16"/>
      <c r="D63" s="6" t="str">
        <f>IF(C63="","",IFERROR(VLOOKUP(C63,LISTA_COMPLETA!$A$1:$F$2388,2,FALSE),"ESCRIBA CODIGO CORRECTO"))</f>
        <v/>
      </c>
      <c r="F63" s="11" t="str">
        <f>IF(C63="","",IFERROR(VLOOKUP(C63,LISTA_COMPLETA!$A$1:$F$2388,3,FALSE),"ERROR"))</f>
        <v/>
      </c>
      <c r="G63" s="12" t="str">
        <f t="shared" si="0"/>
        <v/>
      </c>
    </row>
    <row r="64" spans="2:7" x14ac:dyDescent="0.3">
      <c r="B64" s="5">
        <f t="shared" si="1"/>
        <v>57</v>
      </c>
      <c r="C64" s="16"/>
      <c r="D64" s="6" t="str">
        <f>IF(C64="","",IFERROR(VLOOKUP(C64,LISTA_COMPLETA!$A$1:$F$2388,2,FALSE),"ESCRIBA CODIGO CORRECTO"))</f>
        <v/>
      </c>
      <c r="F64" s="11" t="str">
        <f>IF(C64="","",IFERROR(VLOOKUP(C64,LISTA_COMPLETA!$A$1:$F$2388,3,FALSE),"ERROR"))</f>
        <v/>
      </c>
      <c r="G64" s="12" t="str">
        <f t="shared" si="0"/>
        <v/>
      </c>
    </row>
    <row r="65" spans="2:7" x14ac:dyDescent="0.3">
      <c r="B65" s="5">
        <f t="shared" si="1"/>
        <v>58</v>
      </c>
      <c r="C65" s="16"/>
      <c r="D65" s="6" t="str">
        <f>IF(C65="","",IFERROR(VLOOKUP(C65,LISTA_COMPLETA!$A$1:$F$2388,2,FALSE),"ESCRIBA CODIGO CORRECTO"))</f>
        <v/>
      </c>
      <c r="F65" s="11" t="str">
        <f>IF(C65="","",IFERROR(VLOOKUP(C65,LISTA_COMPLETA!$A$1:$F$2388,3,FALSE),"ERROR"))</f>
        <v/>
      </c>
      <c r="G65" s="12" t="str">
        <f t="shared" si="0"/>
        <v/>
      </c>
    </row>
    <row r="66" spans="2:7" x14ac:dyDescent="0.3">
      <c r="B66" s="5">
        <f t="shared" si="1"/>
        <v>59</v>
      </c>
      <c r="C66" s="16"/>
      <c r="D66" s="6" t="str">
        <f>IF(C66="","",IFERROR(VLOOKUP(C66,LISTA_COMPLETA!$A$1:$F$2388,2,FALSE),"ESCRIBA CODIGO CORRECTO"))</f>
        <v/>
      </c>
      <c r="F66" s="11" t="str">
        <f>IF(C66="","",IFERROR(VLOOKUP(C66,LISTA_COMPLETA!$A$1:$F$2388,3,FALSE),"ERROR"))</f>
        <v/>
      </c>
      <c r="G66" s="12" t="str">
        <f t="shared" si="0"/>
        <v/>
      </c>
    </row>
    <row r="67" spans="2:7" x14ac:dyDescent="0.3">
      <c r="B67" s="5">
        <f t="shared" si="1"/>
        <v>60</v>
      </c>
      <c r="C67" s="16"/>
      <c r="D67" s="6" t="str">
        <f>IF(C67="","",IFERROR(VLOOKUP(C67,LISTA_COMPLETA!$A$1:$F$2388,2,FALSE),"ESCRIBA CODIGO CORRECTO"))</f>
        <v/>
      </c>
      <c r="F67" s="11" t="str">
        <f>IF(C67="","",IFERROR(VLOOKUP(C67,LISTA_COMPLETA!$A$1:$F$2388,3,FALSE),"ERROR"))</f>
        <v/>
      </c>
      <c r="G67" s="12" t="str">
        <f t="shared" si="0"/>
        <v/>
      </c>
    </row>
    <row r="68" spans="2:7" x14ac:dyDescent="0.3">
      <c r="B68" s="5">
        <f t="shared" si="1"/>
        <v>61</v>
      </c>
      <c r="C68" s="16"/>
      <c r="D68" s="6" t="str">
        <f>IF(C68="","",IFERROR(VLOOKUP(C68,LISTA_COMPLETA!$A$1:$F$2388,2,FALSE),"ESCRIBA CODIGO CORRECTO"))</f>
        <v/>
      </c>
      <c r="F68" s="11" t="str">
        <f>IF(C68="","",IFERROR(VLOOKUP(C68,LISTA_COMPLETA!$A$1:$F$2388,3,FALSE),"ERROR"))</f>
        <v/>
      </c>
      <c r="G68" s="12" t="str">
        <f t="shared" si="0"/>
        <v/>
      </c>
    </row>
    <row r="69" spans="2:7" x14ac:dyDescent="0.3">
      <c r="B69" s="5">
        <f t="shared" si="1"/>
        <v>62</v>
      </c>
      <c r="C69" s="16"/>
      <c r="D69" s="6" t="str">
        <f>IF(C69="","",IFERROR(VLOOKUP(C69,LISTA_COMPLETA!$A$1:$F$2388,2,FALSE),"ESCRIBA CODIGO CORRECTO"))</f>
        <v/>
      </c>
      <c r="F69" s="11" t="str">
        <f>IF(C69="","",IFERROR(VLOOKUP(C69,LISTA_COMPLETA!$A$1:$F$2388,3,FALSE),"ERROR"))</f>
        <v/>
      </c>
      <c r="G69" s="12" t="str">
        <f t="shared" si="0"/>
        <v/>
      </c>
    </row>
    <row r="70" spans="2:7" x14ac:dyDescent="0.3">
      <c r="B70" s="5">
        <f t="shared" si="1"/>
        <v>63</v>
      </c>
      <c r="C70" s="16"/>
      <c r="D70" s="6" t="str">
        <f>IF(C70="","",IFERROR(VLOOKUP(C70,LISTA_COMPLETA!$A$1:$F$2388,2,FALSE),"ESCRIBA CODIGO CORRECTO"))</f>
        <v/>
      </c>
      <c r="F70" s="11" t="str">
        <f>IF(C70="","",IFERROR(VLOOKUP(C70,LISTA_COMPLETA!$A$1:$F$2388,3,FALSE),"ERROR"))</f>
        <v/>
      </c>
      <c r="G70" s="12" t="str">
        <f t="shared" si="0"/>
        <v/>
      </c>
    </row>
    <row r="71" spans="2:7" x14ac:dyDescent="0.3">
      <c r="B71" s="5">
        <f t="shared" si="1"/>
        <v>64</v>
      </c>
      <c r="C71" s="16"/>
      <c r="D71" s="6" t="str">
        <f>IF(C71="","",IFERROR(VLOOKUP(C71,LISTA_COMPLETA!$A$1:$F$2388,2,FALSE),"ESCRIBA CODIGO CORRECTO"))</f>
        <v/>
      </c>
      <c r="F71" s="11" t="str">
        <f>IF(C71="","",IFERROR(VLOOKUP(C71,LISTA_COMPLETA!$A$1:$F$2388,3,FALSE),"ERROR"))</f>
        <v/>
      </c>
      <c r="G71" s="12" t="str">
        <f t="shared" si="0"/>
        <v/>
      </c>
    </row>
    <row r="72" spans="2:7" x14ac:dyDescent="0.3">
      <c r="B72" s="5">
        <f t="shared" si="1"/>
        <v>65</v>
      </c>
      <c r="C72" s="16"/>
      <c r="D72" s="6" t="str">
        <f>IF(C72="","",IFERROR(VLOOKUP(C72,LISTA_COMPLETA!$A$1:$F$2388,2,FALSE),"ESCRIBA CODIGO CORRECTO"))</f>
        <v/>
      </c>
      <c r="F72" s="11" t="str">
        <f>IF(C72="","",IFERROR(VLOOKUP(C72,LISTA_COMPLETA!$A$1:$F$2388,3,FALSE),"ERROR"))</f>
        <v/>
      </c>
      <c r="G72" s="12" t="str">
        <f t="shared" si="0"/>
        <v/>
      </c>
    </row>
    <row r="73" spans="2:7" x14ac:dyDescent="0.3">
      <c r="B73" s="5">
        <f t="shared" si="1"/>
        <v>66</v>
      </c>
      <c r="C73" s="16"/>
      <c r="D73" s="6" t="str">
        <f>IF(C73="","",IFERROR(VLOOKUP(C73,LISTA_COMPLETA!$A$1:$F$2388,2,FALSE),"ESCRIBA CODIGO CORRECTO"))</f>
        <v/>
      </c>
      <c r="F73" s="11" t="str">
        <f>IF(C73="","",IFERROR(VLOOKUP(C73,LISTA_COMPLETA!$A$1:$F$2388,3,FALSE),"ERROR"))</f>
        <v/>
      </c>
      <c r="G73" s="12" t="str">
        <f t="shared" ref="G73:G107" si="2">IF(C73="","",IFERROR(F73*E73,"ERROR"))</f>
        <v/>
      </c>
    </row>
    <row r="74" spans="2:7" x14ac:dyDescent="0.3">
      <c r="B74" s="5">
        <f t="shared" ref="B74:B107" si="3">B73+1</f>
        <v>67</v>
      </c>
      <c r="C74" s="16"/>
      <c r="D74" s="6" t="str">
        <f>IF(C74="","",IFERROR(VLOOKUP(C74,LISTA_COMPLETA!$A$1:$F$2388,2,FALSE),"ESCRIBA CODIGO CORRECTO"))</f>
        <v/>
      </c>
      <c r="F74" s="11" t="str">
        <f>IF(C74="","",IFERROR(VLOOKUP(C74,LISTA_COMPLETA!$A$1:$F$2388,3,FALSE),"ERROR"))</f>
        <v/>
      </c>
      <c r="G74" s="12" t="str">
        <f t="shared" si="2"/>
        <v/>
      </c>
    </row>
    <row r="75" spans="2:7" x14ac:dyDescent="0.3">
      <c r="B75" s="5">
        <f t="shared" si="3"/>
        <v>68</v>
      </c>
      <c r="C75" s="16"/>
      <c r="D75" s="6" t="str">
        <f>IF(C75="","",IFERROR(VLOOKUP(C75,LISTA_COMPLETA!$A$1:$F$2388,2,FALSE),"ESCRIBA CODIGO CORRECTO"))</f>
        <v/>
      </c>
      <c r="F75" s="11" t="str">
        <f>IF(C75="","",IFERROR(VLOOKUP(C75,LISTA_COMPLETA!$A$1:$F$2388,3,FALSE),"ERROR"))</f>
        <v/>
      </c>
      <c r="G75" s="12" t="str">
        <f t="shared" si="2"/>
        <v/>
      </c>
    </row>
    <row r="76" spans="2:7" x14ac:dyDescent="0.3">
      <c r="B76" s="5">
        <f t="shared" si="3"/>
        <v>69</v>
      </c>
      <c r="C76" s="16"/>
      <c r="D76" s="6" t="str">
        <f>IF(C76="","",IFERROR(VLOOKUP(C76,LISTA_COMPLETA!$A$1:$F$2388,2,FALSE),"ESCRIBA CODIGO CORRECTO"))</f>
        <v/>
      </c>
      <c r="F76" s="11" t="str">
        <f>IF(C76="","",IFERROR(VLOOKUP(C76,LISTA_COMPLETA!$A$1:$F$2388,3,FALSE),"ERROR"))</f>
        <v/>
      </c>
      <c r="G76" s="12" t="str">
        <f t="shared" si="2"/>
        <v/>
      </c>
    </row>
    <row r="77" spans="2:7" x14ac:dyDescent="0.3">
      <c r="B77" s="5">
        <f t="shared" si="3"/>
        <v>70</v>
      </c>
      <c r="C77" s="16"/>
      <c r="D77" s="6" t="str">
        <f>IF(C77="","",IFERROR(VLOOKUP(C77,LISTA_COMPLETA!$A$1:$F$2388,2,FALSE),"ESCRIBA CODIGO CORRECTO"))</f>
        <v/>
      </c>
      <c r="F77" s="11" t="str">
        <f>IF(C77="","",IFERROR(VLOOKUP(C77,LISTA_COMPLETA!$A$1:$F$2388,3,FALSE),"ERROR"))</f>
        <v/>
      </c>
      <c r="G77" s="12" t="str">
        <f t="shared" si="2"/>
        <v/>
      </c>
    </row>
    <row r="78" spans="2:7" x14ac:dyDescent="0.3">
      <c r="B78" s="5">
        <f t="shared" si="3"/>
        <v>71</v>
      </c>
      <c r="C78" s="16"/>
      <c r="D78" s="6" t="str">
        <f>IF(C78="","",IFERROR(VLOOKUP(C78,LISTA_COMPLETA!$A$1:$F$2388,2,FALSE),"ESCRIBA CODIGO CORRECTO"))</f>
        <v/>
      </c>
      <c r="F78" s="11" t="str">
        <f>IF(C78="","",IFERROR(VLOOKUP(C78,LISTA_COMPLETA!$A$1:$F$2388,3,FALSE),"ERROR"))</f>
        <v/>
      </c>
      <c r="G78" s="12" t="str">
        <f t="shared" si="2"/>
        <v/>
      </c>
    </row>
    <row r="79" spans="2:7" x14ac:dyDescent="0.3">
      <c r="B79" s="5">
        <f t="shared" si="3"/>
        <v>72</v>
      </c>
      <c r="C79" s="16"/>
      <c r="D79" s="6" t="str">
        <f>IF(C79="","",IFERROR(VLOOKUP(C79,LISTA_COMPLETA!$A$1:$F$2388,2,FALSE),"ESCRIBA CODIGO CORRECTO"))</f>
        <v/>
      </c>
      <c r="F79" s="11" t="str">
        <f>IF(C79="","",IFERROR(VLOOKUP(C79,LISTA_COMPLETA!$A$1:$F$2388,3,FALSE),"ERROR"))</f>
        <v/>
      </c>
      <c r="G79" s="12" t="str">
        <f t="shared" si="2"/>
        <v/>
      </c>
    </row>
    <row r="80" spans="2:7" x14ac:dyDescent="0.3">
      <c r="B80" s="5">
        <f t="shared" si="3"/>
        <v>73</v>
      </c>
      <c r="C80" s="16"/>
      <c r="D80" s="6" t="str">
        <f>IF(C80="","",IFERROR(VLOOKUP(C80,LISTA_COMPLETA!$A$1:$F$2388,2,FALSE),"ESCRIBA CODIGO CORRECTO"))</f>
        <v/>
      </c>
      <c r="F80" s="11" t="str">
        <f>IF(C80="","",IFERROR(VLOOKUP(C80,LISTA_COMPLETA!$A$1:$F$2388,3,FALSE),"ERROR"))</f>
        <v/>
      </c>
      <c r="G80" s="12" t="str">
        <f t="shared" si="2"/>
        <v/>
      </c>
    </row>
    <row r="81" spans="2:7" x14ac:dyDescent="0.3">
      <c r="B81" s="5">
        <f t="shared" si="3"/>
        <v>74</v>
      </c>
      <c r="C81" s="16"/>
      <c r="D81" s="6" t="str">
        <f>IF(C81="","",IFERROR(VLOOKUP(C81,LISTA_COMPLETA!$A$1:$F$2388,2,FALSE),"ESCRIBA CODIGO CORRECTO"))</f>
        <v/>
      </c>
      <c r="F81" s="11" t="str">
        <f>IF(C81="","",IFERROR(VLOOKUP(C81,LISTA_COMPLETA!$A$1:$F$2388,3,FALSE),"ERROR"))</f>
        <v/>
      </c>
      <c r="G81" s="12" t="str">
        <f t="shared" si="2"/>
        <v/>
      </c>
    </row>
    <row r="82" spans="2:7" x14ac:dyDescent="0.3">
      <c r="B82" s="5">
        <f t="shared" si="3"/>
        <v>75</v>
      </c>
      <c r="C82" s="16"/>
      <c r="D82" s="6" t="str">
        <f>IF(C82="","",IFERROR(VLOOKUP(C82,LISTA_COMPLETA!$A$1:$F$2388,2,FALSE),"ESCRIBA CODIGO CORRECTO"))</f>
        <v/>
      </c>
      <c r="F82" s="11" t="str">
        <f>IF(C82="","",IFERROR(VLOOKUP(C82,LISTA_COMPLETA!$A$1:$F$2388,3,FALSE),"ERROR"))</f>
        <v/>
      </c>
      <c r="G82" s="12" t="str">
        <f t="shared" si="2"/>
        <v/>
      </c>
    </row>
    <row r="83" spans="2:7" x14ac:dyDescent="0.3">
      <c r="B83" s="5">
        <f t="shared" si="3"/>
        <v>76</v>
      </c>
      <c r="C83" s="16"/>
      <c r="D83" s="6" t="str">
        <f>IF(C83="","",IFERROR(VLOOKUP(C83,LISTA_COMPLETA!$A$1:$F$2388,2,FALSE),"ESCRIBA CODIGO CORRECTO"))</f>
        <v/>
      </c>
      <c r="F83" s="11" t="str">
        <f>IF(C83="","",IFERROR(VLOOKUP(C83,LISTA_COMPLETA!$A$1:$F$2388,3,FALSE),"ERROR"))</f>
        <v/>
      </c>
      <c r="G83" s="12" t="str">
        <f t="shared" si="2"/>
        <v/>
      </c>
    </row>
    <row r="84" spans="2:7" x14ac:dyDescent="0.3">
      <c r="B84" s="5">
        <f t="shared" si="3"/>
        <v>77</v>
      </c>
      <c r="C84" s="16"/>
      <c r="D84" s="6" t="str">
        <f>IF(C84="","",IFERROR(VLOOKUP(C84,LISTA_COMPLETA!$A$1:$F$2388,2,FALSE),"ESCRIBA CODIGO CORRECTO"))</f>
        <v/>
      </c>
      <c r="F84" s="11" t="str">
        <f>IF(C84="","",IFERROR(VLOOKUP(C84,LISTA_COMPLETA!$A$1:$F$2388,3,FALSE),"ERROR"))</f>
        <v/>
      </c>
      <c r="G84" s="12" t="str">
        <f t="shared" si="2"/>
        <v/>
      </c>
    </row>
    <row r="85" spans="2:7" x14ac:dyDescent="0.3">
      <c r="B85" s="5">
        <f t="shared" si="3"/>
        <v>78</v>
      </c>
      <c r="C85" s="16"/>
      <c r="D85" s="6" t="str">
        <f>IF(C85="","",IFERROR(VLOOKUP(C85,LISTA_COMPLETA!$A$1:$F$2388,2,FALSE),"ESCRIBA CODIGO CORRECTO"))</f>
        <v/>
      </c>
      <c r="F85" s="11" t="str">
        <f>IF(C85="","",IFERROR(VLOOKUP(C85,LISTA_COMPLETA!$A$1:$F$2388,3,FALSE),"ERROR"))</f>
        <v/>
      </c>
      <c r="G85" s="12" t="str">
        <f t="shared" si="2"/>
        <v/>
      </c>
    </row>
    <row r="86" spans="2:7" x14ac:dyDescent="0.3">
      <c r="B86" s="5">
        <f t="shared" si="3"/>
        <v>79</v>
      </c>
      <c r="C86" s="16"/>
      <c r="D86" s="6" t="str">
        <f>IF(C86="","",IFERROR(VLOOKUP(C86,LISTA_COMPLETA!$A$1:$F$2388,2,FALSE),"ESCRIBA CODIGO CORRECTO"))</f>
        <v/>
      </c>
      <c r="F86" s="11" t="str">
        <f>IF(C86="","",IFERROR(VLOOKUP(C86,LISTA_COMPLETA!$A$1:$F$2388,3,FALSE),"ERROR"))</f>
        <v/>
      </c>
      <c r="G86" s="12" t="str">
        <f t="shared" si="2"/>
        <v/>
      </c>
    </row>
    <row r="87" spans="2:7" x14ac:dyDescent="0.3">
      <c r="B87" s="5">
        <f t="shared" si="3"/>
        <v>80</v>
      </c>
      <c r="C87" s="16"/>
      <c r="D87" s="6" t="str">
        <f>IF(C87="","",IFERROR(VLOOKUP(C87,LISTA_COMPLETA!$A$1:$F$2388,2,FALSE),"ESCRIBA CODIGO CORRECTO"))</f>
        <v/>
      </c>
      <c r="F87" s="11" t="str">
        <f>IF(C87="","",IFERROR(VLOOKUP(C87,LISTA_COMPLETA!$A$1:$F$2388,3,FALSE),"ERROR"))</f>
        <v/>
      </c>
      <c r="G87" s="12" t="str">
        <f t="shared" si="2"/>
        <v/>
      </c>
    </row>
    <row r="88" spans="2:7" x14ac:dyDescent="0.3">
      <c r="B88" s="5">
        <f t="shared" si="3"/>
        <v>81</v>
      </c>
      <c r="C88" s="16"/>
      <c r="D88" s="6" t="str">
        <f>IF(C88="","",IFERROR(VLOOKUP(C88,LISTA_COMPLETA!$A$1:$F$2388,2,FALSE),"ESCRIBA CODIGO CORRECTO"))</f>
        <v/>
      </c>
      <c r="F88" s="11" t="str">
        <f>IF(C88="","",IFERROR(VLOOKUP(C88,LISTA_COMPLETA!$A$1:$F$2388,3,FALSE),"ERROR"))</f>
        <v/>
      </c>
      <c r="G88" s="12" t="str">
        <f t="shared" si="2"/>
        <v/>
      </c>
    </row>
    <row r="89" spans="2:7" x14ac:dyDescent="0.3">
      <c r="B89" s="5">
        <f t="shared" si="3"/>
        <v>82</v>
      </c>
      <c r="C89" s="16"/>
      <c r="D89" s="6" t="str">
        <f>IF(C89="","",IFERROR(VLOOKUP(C89,LISTA_COMPLETA!$A$1:$F$2388,2,FALSE),"ESCRIBA CODIGO CORRECTO"))</f>
        <v/>
      </c>
      <c r="F89" s="11" t="str">
        <f>IF(C89="","",IFERROR(VLOOKUP(C89,LISTA_COMPLETA!$A$1:$F$2388,3,FALSE),"ERROR"))</f>
        <v/>
      </c>
      <c r="G89" s="12" t="str">
        <f t="shared" si="2"/>
        <v/>
      </c>
    </row>
    <row r="90" spans="2:7" x14ac:dyDescent="0.3">
      <c r="B90" s="5">
        <f t="shared" si="3"/>
        <v>83</v>
      </c>
      <c r="C90" s="16"/>
      <c r="D90" s="6" t="str">
        <f>IF(C90="","",IFERROR(VLOOKUP(C90,LISTA_COMPLETA!$A$1:$F$2388,2,FALSE),"ESCRIBA CODIGO CORRECTO"))</f>
        <v/>
      </c>
      <c r="F90" s="11" t="str">
        <f>IF(C90="","",IFERROR(VLOOKUP(C90,LISTA_COMPLETA!$A$1:$F$2388,3,FALSE),"ERROR"))</f>
        <v/>
      </c>
      <c r="G90" s="12" t="str">
        <f t="shared" si="2"/>
        <v/>
      </c>
    </row>
    <row r="91" spans="2:7" x14ac:dyDescent="0.3">
      <c r="B91" s="5">
        <f t="shared" si="3"/>
        <v>84</v>
      </c>
      <c r="C91" s="16"/>
      <c r="D91" s="6" t="str">
        <f>IF(C91="","",IFERROR(VLOOKUP(C91,LISTA_COMPLETA!$A$1:$F$2388,2,FALSE),"ESCRIBA CODIGO CORRECTO"))</f>
        <v/>
      </c>
      <c r="F91" s="11" t="str">
        <f>IF(C91="","",IFERROR(VLOOKUP(C91,LISTA_COMPLETA!$A$1:$F$2388,3,FALSE),"ERROR"))</f>
        <v/>
      </c>
      <c r="G91" s="12" t="str">
        <f t="shared" si="2"/>
        <v/>
      </c>
    </row>
    <row r="92" spans="2:7" x14ac:dyDescent="0.3">
      <c r="B92" s="5">
        <f t="shared" si="3"/>
        <v>85</v>
      </c>
      <c r="C92" s="16"/>
      <c r="D92" s="6" t="str">
        <f>IF(C92="","",IFERROR(VLOOKUP(C92,LISTA_COMPLETA!$A$1:$F$2388,2,FALSE),"ESCRIBA CODIGO CORRECTO"))</f>
        <v/>
      </c>
      <c r="F92" s="11" t="str">
        <f>IF(C92="","",IFERROR(VLOOKUP(C92,LISTA_COMPLETA!$A$1:$F$2388,3,FALSE),"ERROR"))</f>
        <v/>
      </c>
      <c r="G92" s="12" t="str">
        <f t="shared" si="2"/>
        <v/>
      </c>
    </row>
    <row r="93" spans="2:7" x14ac:dyDescent="0.3">
      <c r="B93" s="5">
        <f t="shared" si="3"/>
        <v>86</v>
      </c>
      <c r="C93" s="16"/>
      <c r="D93" s="6" t="str">
        <f>IF(C93="","",IFERROR(VLOOKUP(C93,LISTA_COMPLETA!$A$1:$F$2388,2,FALSE),"ESCRIBA CODIGO CORRECTO"))</f>
        <v/>
      </c>
      <c r="F93" s="11" t="str">
        <f>IF(C93="","",IFERROR(VLOOKUP(C93,LISTA_COMPLETA!$A$1:$F$2388,3,FALSE),"ERROR"))</f>
        <v/>
      </c>
      <c r="G93" s="12" t="str">
        <f t="shared" si="2"/>
        <v/>
      </c>
    </row>
    <row r="94" spans="2:7" x14ac:dyDescent="0.3">
      <c r="B94" s="5">
        <f t="shared" si="3"/>
        <v>87</v>
      </c>
      <c r="C94" s="16"/>
      <c r="D94" s="6" t="str">
        <f>IF(C94="","",IFERROR(VLOOKUP(C94,LISTA_COMPLETA!$A$1:$F$2388,2,FALSE),"ESCRIBA CODIGO CORRECTO"))</f>
        <v/>
      </c>
      <c r="F94" s="11" t="str">
        <f>IF(C94="","",IFERROR(VLOOKUP(C94,LISTA_COMPLETA!$A$1:$F$2388,3,FALSE),"ERROR"))</f>
        <v/>
      </c>
      <c r="G94" s="12" t="str">
        <f t="shared" si="2"/>
        <v/>
      </c>
    </row>
    <row r="95" spans="2:7" x14ac:dyDescent="0.3">
      <c r="B95" s="5">
        <f t="shared" si="3"/>
        <v>88</v>
      </c>
      <c r="C95" s="16"/>
      <c r="D95" s="6" t="str">
        <f>IF(C95="","",IFERROR(VLOOKUP(C95,LISTA_COMPLETA!$A$1:$F$2388,2,FALSE),"ESCRIBA CODIGO CORRECTO"))</f>
        <v/>
      </c>
      <c r="F95" s="11" t="str">
        <f>IF(C95="","",IFERROR(VLOOKUP(C95,LISTA_COMPLETA!$A$1:$F$2388,3,FALSE),"ERROR"))</f>
        <v/>
      </c>
      <c r="G95" s="12" t="str">
        <f t="shared" si="2"/>
        <v/>
      </c>
    </row>
    <row r="96" spans="2:7" x14ac:dyDescent="0.3">
      <c r="B96" s="5">
        <f t="shared" si="3"/>
        <v>89</v>
      </c>
      <c r="C96" s="16"/>
      <c r="D96" s="6" t="str">
        <f>IF(C96="","",IFERROR(VLOOKUP(C96,LISTA_COMPLETA!$A$1:$F$2388,2,FALSE),"ESCRIBA CODIGO CORRECTO"))</f>
        <v/>
      </c>
      <c r="F96" s="11" t="str">
        <f>IF(C96="","",IFERROR(VLOOKUP(C96,LISTA_COMPLETA!$A$1:$F$2388,3,FALSE),"ERROR"))</f>
        <v/>
      </c>
      <c r="G96" s="12" t="str">
        <f t="shared" si="2"/>
        <v/>
      </c>
    </row>
    <row r="97" spans="2:7" x14ac:dyDescent="0.3">
      <c r="B97" s="5">
        <f t="shared" si="3"/>
        <v>90</v>
      </c>
      <c r="C97" s="16"/>
      <c r="D97" s="6" t="str">
        <f>IF(C97="","",IFERROR(VLOOKUP(C97,LISTA_COMPLETA!$A$1:$F$2388,2,FALSE),"ESCRIBA CODIGO CORRECTO"))</f>
        <v/>
      </c>
      <c r="F97" s="11" t="str">
        <f>IF(C97="","",IFERROR(VLOOKUP(C97,LISTA_COMPLETA!$A$1:$F$2388,3,FALSE),"ERROR"))</f>
        <v/>
      </c>
      <c r="G97" s="12" t="str">
        <f t="shared" si="2"/>
        <v/>
      </c>
    </row>
    <row r="98" spans="2:7" x14ac:dyDescent="0.3">
      <c r="B98" s="5">
        <f t="shared" si="3"/>
        <v>91</v>
      </c>
      <c r="C98" s="16"/>
      <c r="D98" s="6" t="str">
        <f>IF(C98="","",IFERROR(VLOOKUP(C98,LISTA_COMPLETA!$A$1:$F$2388,2,FALSE),"ESCRIBA CODIGO CORRECTO"))</f>
        <v/>
      </c>
      <c r="F98" s="11" t="str">
        <f>IF(C98="","",IFERROR(VLOOKUP(C98,LISTA_COMPLETA!$A$1:$F$2388,3,FALSE),"ERROR"))</f>
        <v/>
      </c>
      <c r="G98" s="12" t="str">
        <f t="shared" si="2"/>
        <v/>
      </c>
    </row>
    <row r="99" spans="2:7" x14ac:dyDescent="0.3">
      <c r="B99" s="5">
        <f t="shared" si="3"/>
        <v>92</v>
      </c>
      <c r="C99" s="16"/>
      <c r="D99" s="6" t="str">
        <f>IF(C99="","",IFERROR(VLOOKUP(C99,LISTA_COMPLETA!$A$1:$F$2388,2,FALSE),"ESCRIBA CODIGO CORRECTO"))</f>
        <v/>
      </c>
      <c r="F99" s="11" t="str">
        <f>IF(C99="","",IFERROR(VLOOKUP(C99,LISTA_COMPLETA!$A$1:$F$2388,3,FALSE),"ERROR"))</f>
        <v/>
      </c>
      <c r="G99" s="12" t="str">
        <f t="shared" si="2"/>
        <v/>
      </c>
    </row>
    <row r="100" spans="2:7" x14ac:dyDescent="0.3">
      <c r="B100" s="5">
        <f t="shared" si="3"/>
        <v>93</v>
      </c>
      <c r="C100" s="16"/>
      <c r="D100" s="6" t="str">
        <f>IF(C100="","",IFERROR(VLOOKUP(C100,LISTA_COMPLETA!$A$1:$F$2388,2,FALSE),"ESCRIBA CODIGO CORRECTO"))</f>
        <v/>
      </c>
      <c r="F100" s="11" t="str">
        <f>IF(C100="","",IFERROR(VLOOKUP(C100,LISTA_COMPLETA!$A$1:$F$2388,3,FALSE),"ERROR"))</f>
        <v/>
      </c>
      <c r="G100" s="12" t="str">
        <f t="shared" si="2"/>
        <v/>
      </c>
    </row>
    <row r="101" spans="2:7" x14ac:dyDescent="0.3">
      <c r="B101" s="5">
        <f t="shared" si="3"/>
        <v>94</v>
      </c>
      <c r="C101" s="16"/>
      <c r="D101" s="6" t="str">
        <f>IF(C101="","",IFERROR(VLOOKUP(C101,LISTA_COMPLETA!$A$1:$F$2388,2,FALSE),"ESCRIBA CODIGO CORRECTO"))</f>
        <v/>
      </c>
      <c r="F101" s="11" t="str">
        <f>IF(C101="","",IFERROR(VLOOKUP(C101,LISTA_COMPLETA!$A$1:$F$2388,3,FALSE),"ERROR"))</f>
        <v/>
      </c>
      <c r="G101" s="12" t="str">
        <f t="shared" si="2"/>
        <v/>
      </c>
    </row>
    <row r="102" spans="2:7" x14ac:dyDescent="0.3">
      <c r="B102" s="5">
        <f t="shared" si="3"/>
        <v>95</v>
      </c>
      <c r="C102" s="16"/>
      <c r="D102" s="6" t="str">
        <f>IF(C102="","",IFERROR(VLOOKUP(C102,LISTA_COMPLETA!$A$1:$F$2388,2,FALSE),"ESCRIBA CODIGO CORRECTO"))</f>
        <v/>
      </c>
      <c r="F102" s="11" t="str">
        <f>IF(C102="","",IFERROR(VLOOKUP(C102,LISTA_COMPLETA!$A$1:$F$2388,3,FALSE),"ERROR"))</f>
        <v/>
      </c>
      <c r="G102" s="12" t="str">
        <f t="shared" si="2"/>
        <v/>
      </c>
    </row>
    <row r="103" spans="2:7" x14ac:dyDescent="0.3">
      <c r="B103" s="5">
        <f t="shared" si="3"/>
        <v>96</v>
      </c>
      <c r="C103" s="16"/>
      <c r="D103" s="6" t="str">
        <f>IF(C103="","",IFERROR(VLOOKUP(C103,LISTA_COMPLETA!$A$1:$F$2388,2,FALSE),"ESCRIBA CODIGO CORRECTO"))</f>
        <v/>
      </c>
      <c r="F103" s="11" t="str">
        <f>IF(C103="","",IFERROR(VLOOKUP(C103,LISTA_COMPLETA!$A$1:$F$2388,3,FALSE),"ERROR"))</f>
        <v/>
      </c>
      <c r="G103" s="12" t="str">
        <f t="shared" si="2"/>
        <v/>
      </c>
    </row>
    <row r="104" spans="2:7" x14ac:dyDescent="0.3">
      <c r="B104" s="5">
        <f t="shared" si="3"/>
        <v>97</v>
      </c>
      <c r="C104" s="16"/>
      <c r="D104" s="6" t="str">
        <f>IF(C104="","",IFERROR(VLOOKUP(C104,LISTA_COMPLETA!$A$1:$F$2388,2,FALSE),"ESCRIBA CODIGO CORRECTO"))</f>
        <v/>
      </c>
      <c r="F104" s="11" t="str">
        <f>IF(C104="","",IFERROR(VLOOKUP(C104,LISTA_COMPLETA!$A$1:$F$2388,3,FALSE),"ERROR"))</f>
        <v/>
      </c>
      <c r="G104" s="12" t="str">
        <f t="shared" si="2"/>
        <v/>
      </c>
    </row>
    <row r="105" spans="2:7" x14ac:dyDescent="0.3">
      <c r="B105" s="5">
        <f t="shared" si="3"/>
        <v>98</v>
      </c>
      <c r="C105" s="16"/>
      <c r="D105" s="6" t="str">
        <f>IF(C105="","",IFERROR(VLOOKUP(C105,LISTA_COMPLETA!$A$1:$F$2388,2,FALSE),"ESCRIBA CODIGO CORRECTO"))</f>
        <v/>
      </c>
      <c r="F105" s="11" t="str">
        <f>IF(C105="","",IFERROR(VLOOKUP(C105,LISTA_COMPLETA!$A$1:$F$2388,3,FALSE),"ERROR"))</f>
        <v/>
      </c>
      <c r="G105" s="12" t="str">
        <f t="shared" si="2"/>
        <v/>
      </c>
    </row>
    <row r="106" spans="2:7" x14ac:dyDescent="0.3">
      <c r="B106" s="5">
        <f t="shared" si="3"/>
        <v>99</v>
      </c>
      <c r="C106" s="16"/>
      <c r="D106" s="6" t="str">
        <f>IF(C106="","",IFERROR(VLOOKUP(C106,LISTA_COMPLETA!$A$1:$F$2388,2,FALSE),"ESCRIBA CODIGO CORRECTO"))</f>
        <v/>
      </c>
      <c r="F106" s="11" t="str">
        <f>IF(C106="","",IFERROR(VLOOKUP(C106,LISTA_COMPLETA!$A$1:$F$2388,3,FALSE),"ERROR"))</f>
        <v/>
      </c>
      <c r="G106" s="12" t="str">
        <f t="shared" si="2"/>
        <v/>
      </c>
    </row>
    <row r="107" spans="2:7" x14ac:dyDescent="0.3">
      <c r="B107" s="5">
        <f t="shared" si="3"/>
        <v>100</v>
      </c>
      <c r="C107" s="16"/>
      <c r="D107" s="6" t="str">
        <f>IF(C107="","",IFERROR(VLOOKUP(C107,LISTA_COMPLETA!$A$1:$F$2388,2,FALSE),"ESCRIBA CODIGO CORRECTO"))</f>
        <v/>
      </c>
      <c r="F107" s="11" t="str">
        <f>IF(C107="","",IFERROR(VLOOKUP(C107,LISTA_COMPLETA!$A$1:$F$2388,3,FALSE),"ERROR"))</f>
        <v/>
      </c>
      <c r="G107" s="12" t="str">
        <f t="shared" si="2"/>
        <v/>
      </c>
    </row>
    <row r="108" spans="2:7" x14ac:dyDescent="0.3">
      <c r="C108" s="16"/>
      <c r="F108" s="11" t="str">
        <f>IF(C108="","",IFERROR(VLOOKUP(C108,LISTA_COMPLETA!$A$1:$F$2388,3,FALSE),"ERROR"))</f>
        <v/>
      </c>
    </row>
    <row r="109" spans="2:7" x14ac:dyDescent="0.3">
      <c r="C109" s="16"/>
    </row>
    <row r="110" spans="2:7" x14ac:dyDescent="0.3">
      <c r="C110" s="16"/>
    </row>
    <row r="111" spans="2:7" x14ac:dyDescent="0.3">
      <c r="C111" s="16"/>
    </row>
    <row r="112" spans="2:7" x14ac:dyDescent="0.3">
      <c r="C112" s="16"/>
    </row>
    <row r="113" spans="3:3" x14ac:dyDescent="0.3">
      <c r="C113" s="16"/>
    </row>
    <row r="114" spans="3:3" x14ac:dyDescent="0.3">
      <c r="C114" s="16"/>
    </row>
    <row r="115" spans="3:3" x14ac:dyDescent="0.3">
      <c r="C115" s="16"/>
    </row>
    <row r="116" spans="3:3" x14ac:dyDescent="0.3">
      <c r="C116" s="16"/>
    </row>
    <row r="117" spans="3:3" x14ac:dyDescent="0.3">
      <c r="C117" s="16"/>
    </row>
    <row r="118" spans="3:3" x14ac:dyDescent="0.3">
      <c r="C118" s="16"/>
    </row>
    <row r="119" spans="3:3" x14ac:dyDescent="0.3">
      <c r="C119" s="16"/>
    </row>
    <row r="120" spans="3:3" x14ac:dyDescent="0.3">
      <c r="C120" s="16"/>
    </row>
    <row r="121" spans="3:3" x14ac:dyDescent="0.3">
      <c r="C121" s="16"/>
    </row>
    <row r="122" spans="3:3" x14ac:dyDescent="0.3">
      <c r="C122" s="16"/>
    </row>
    <row r="123" spans="3:3" x14ac:dyDescent="0.3">
      <c r="C123" s="16"/>
    </row>
    <row r="124" spans="3:3" x14ac:dyDescent="0.3">
      <c r="C124" s="16"/>
    </row>
    <row r="125" spans="3:3" x14ac:dyDescent="0.3">
      <c r="C125" s="16"/>
    </row>
    <row r="126" spans="3:3" x14ac:dyDescent="0.3">
      <c r="C126" s="16"/>
    </row>
    <row r="127" spans="3:3" x14ac:dyDescent="0.3">
      <c r="C127" s="16"/>
    </row>
    <row r="128" spans="3:3" x14ac:dyDescent="0.3">
      <c r="C128" s="16"/>
    </row>
    <row r="129" spans="3:3" x14ac:dyDescent="0.3">
      <c r="C129" s="16"/>
    </row>
    <row r="130" spans="3:3" x14ac:dyDescent="0.3">
      <c r="C130" s="16"/>
    </row>
    <row r="131" spans="3:3" x14ac:dyDescent="0.3">
      <c r="C131" s="16"/>
    </row>
    <row r="132" spans="3:3" x14ac:dyDescent="0.3">
      <c r="C132" s="16"/>
    </row>
    <row r="133" spans="3:3" x14ac:dyDescent="0.3">
      <c r="C133" s="16"/>
    </row>
    <row r="134" spans="3:3" x14ac:dyDescent="0.3">
      <c r="C134" s="16"/>
    </row>
    <row r="135" spans="3:3" x14ac:dyDescent="0.3">
      <c r="C135" s="16"/>
    </row>
    <row r="136" spans="3:3" x14ac:dyDescent="0.3">
      <c r="C136" s="16"/>
    </row>
    <row r="137" spans="3:3" x14ac:dyDescent="0.3">
      <c r="C137" s="16"/>
    </row>
    <row r="138" spans="3:3" x14ac:dyDescent="0.3">
      <c r="C138" s="16"/>
    </row>
    <row r="139" spans="3:3" x14ac:dyDescent="0.3">
      <c r="C139" s="16"/>
    </row>
    <row r="140" spans="3:3" x14ac:dyDescent="0.3">
      <c r="C140" s="16"/>
    </row>
    <row r="141" spans="3:3" x14ac:dyDescent="0.3">
      <c r="C141" s="16"/>
    </row>
    <row r="142" spans="3:3" x14ac:dyDescent="0.3">
      <c r="C142" s="16"/>
    </row>
    <row r="143" spans="3:3" x14ac:dyDescent="0.3">
      <c r="C143" s="16"/>
    </row>
    <row r="144" spans="3:3" x14ac:dyDescent="0.3">
      <c r="C144" s="16"/>
    </row>
    <row r="145" spans="3:3" x14ac:dyDescent="0.3">
      <c r="C145" s="16"/>
    </row>
    <row r="146" spans="3:3" x14ac:dyDescent="0.3">
      <c r="C146" s="16"/>
    </row>
    <row r="147" spans="3:3" x14ac:dyDescent="0.3">
      <c r="C147" s="16"/>
    </row>
    <row r="148" spans="3:3" x14ac:dyDescent="0.3">
      <c r="C148" s="16"/>
    </row>
    <row r="149" spans="3:3" x14ac:dyDescent="0.3">
      <c r="C149" s="16"/>
    </row>
    <row r="150" spans="3:3" x14ac:dyDescent="0.3">
      <c r="C150" s="16"/>
    </row>
    <row r="151" spans="3:3" x14ac:dyDescent="0.3">
      <c r="C151" s="16"/>
    </row>
    <row r="152" spans="3:3" x14ac:dyDescent="0.3">
      <c r="C152" s="16"/>
    </row>
    <row r="153" spans="3:3" x14ac:dyDescent="0.3">
      <c r="C153" s="16"/>
    </row>
    <row r="154" spans="3:3" x14ac:dyDescent="0.3">
      <c r="C154" s="16"/>
    </row>
    <row r="155" spans="3:3" x14ac:dyDescent="0.3">
      <c r="C155" s="16"/>
    </row>
    <row r="156" spans="3:3" x14ac:dyDescent="0.3">
      <c r="C156" s="16"/>
    </row>
    <row r="157" spans="3:3" x14ac:dyDescent="0.3">
      <c r="C157" s="16"/>
    </row>
    <row r="158" spans="3:3" x14ac:dyDescent="0.3">
      <c r="C158" s="16"/>
    </row>
    <row r="159" spans="3:3" x14ac:dyDescent="0.3">
      <c r="C159" s="16"/>
    </row>
    <row r="160" spans="3:3" x14ac:dyDescent="0.3">
      <c r="C160" s="16"/>
    </row>
    <row r="161" spans="3:3" x14ac:dyDescent="0.3">
      <c r="C161" s="16"/>
    </row>
    <row r="162" spans="3:3" x14ac:dyDescent="0.3">
      <c r="C162" s="16"/>
    </row>
    <row r="163" spans="3:3" x14ac:dyDescent="0.3">
      <c r="C163" s="16"/>
    </row>
    <row r="164" spans="3:3" x14ac:dyDescent="0.3">
      <c r="C164" s="16"/>
    </row>
    <row r="165" spans="3:3" x14ac:dyDescent="0.3">
      <c r="C165" s="16"/>
    </row>
    <row r="166" spans="3:3" x14ac:dyDescent="0.3">
      <c r="C166" s="16"/>
    </row>
    <row r="167" spans="3:3" x14ac:dyDescent="0.3">
      <c r="C167" s="16"/>
    </row>
    <row r="168" spans="3:3" x14ac:dyDescent="0.3">
      <c r="C168" s="16"/>
    </row>
    <row r="169" spans="3:3" x14ac:dyDescent="0.3">
      <c r="C169" s="16"/>
    </row>
    <row r="170" spans="3:3" x14ac:dyDescent="0.3">
      <c r="C170" s="16"/>
    </row>
    <row r="171" spans="3:3" x14ac:dyDescent="0.3">
      <c r="C171" s="16"/>
    </row>
    <row r="172" spans="3:3" x14ac:dyDescent="0.3">
      <c r="C172" s="16"/>
    </row>
    <row r="173" spans="3:3" x14ac:dyDescent="0.3">
      <c r="C173" s="16"/>
    </row>
    <row r="174" spans="3:3" x14ac:dyDescent="0.3">
      <c r="C174" s="16"/>
    </row>
    <row r="175" spans="3:3" x14ac:dyDescent="0.3">
      <c r="C175" s="16"/>
    </row>
    <row r="176" spans="3:3" x14ac:dyDescent="0.3">
      <c r="C176" s="16"/>
    </row>
    <row r="177" spans="3:3" x14ac:dyDescent="0.3">
      <c r="C177" s="16"/>
    </row>
    <row r="178" spans="3:3" x14ac:dyDescent="0.3">
      <c r="C178" s="16"/>
    </row>
    <row r="179" spans="3:3" x14ac:dyDescent="0.3">
      <c r="C179" s="16"/>
    </row>
    <row r="180" spans="3:3" x14ac:dyDescent="0.3">
      <c r="C180" s="16"/>
    </row>
  </sheetData>
  <mergeCells count="7">
    <mergeCell ref="B5:C5"/>
    <mergeCell ref="D5:E5"/>
    <mergeCell ref="B1:G2"/>
    <mergeCell ref="B3:C3"/>
    <mergeCell ref="D3:E3"/>
    <mergeCell ref="B4:C4"/>
    <mergeCell ref="D4:E4"/>
  </mergeCells>
  <phoneticPr fontId="1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7FAC35-5396-42C2-BAD3-361EA208DEF4}">
          <x14:formula1>
            <xm:f>LISTA_COMPLETA!$A$3:$A$2475</xm:f>
          </x14:formula1>
          <xm:sqref>C8:C108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C63BC-B6E8-42DC-9097-B60F45A67060}">
  <dimension ref="A1:H2475"/>
  <sheetViews>
    <sheetView topLeftCell="A2" workbookViewId="0">
      <pane xSplit="1" ySplit="1" topLeftCell="B3" activePane="bottomRight" state="frozen"/>
      <selection activeCell="A2" sqref="A2"/>
      <selection pane="topRight" activeCell="F2" sqref="F2"/>
      <selection pane="bottomLeft" activeCell="A3" sqref="A3"/>
      <selection pane="bottomRight" activeCell="A551" sqref="A551"/>
    </sheetView>
  </sheetViews>
  <sheetFormatPr baseColWidth="10" defaultRowHeight="14.4" x14ac:dyDescent="0.3"/>
  <cols>
    <col min="1" max="1" width="16" style="100" customWidth="1"/>
    <col min="2" max="2" width="92.44140625" customWidth="1"/>
    <col min="3" max="3" width="12.44140625" customWidth="1"/>
    <col min="4" max="4" width="12" customWidth="1"/>
    <col min="5" max="5" width="13.88671875" customWidth="1"/>
    <col min="6" max="6" width="13.44140625" customWidth="1"/>
    <col min="7" max="254" width="8.88671875" customWidth="1"/>
    <col min="255" max="255" width="17.33203125" customWidth="1"/>
    <col min="256" max="256" width="16" customWidth="1"/>
    <col min="257" max="257" width="12" customWidth="1"/>
    <col min="258" max="258" width="92.44140625" customWidth="1"/>
    <col min="259" max="259" width="12.44140625" customWidth="1"/>
    <col min="260" max="260" width="12" customWidth="1"/>
    <col min="261" max="261" width="13.88671875" customWidth="1"/>
    <col min="262" max="262" width="13.44140625" customWidth="1"/>
    <col min="263" max="510" width="8.88671875" customWidth="1"/>
    <col min="511" max="511" width="17.33203125" customWidth="1"/>
    <col min="512" max="512" width="16" customWidth="1"/>
    <col min="513" max="513" width="12" customWidth="1"/>
    <col min="514" max="514" width="92.44140625" customWidth="1"/>
    <col min="515" max="515" width="12.44140625" customWidth="1"/>
    <col min="516" max="516" width="12" customWidth="1"/>
    <col min="517" max="517" width="13.88671875" customWidth="1"/>
    <col min="518" max="518" width="13.44140625" customWidth="1"/>
    <col min="519" max="766" width="8.88671875" customWidth="1"/>
    <col min="767" max="767" width="17.33203125" customWidth="1"/>
    <col min="768" max="768" width="16" customWidth="1"/>
    <col min="769" max="769" width="12" customWidth="1"/>
    <col min="770" max="770" width="92.44140625" customWidth="1"/>
    <col min="771" max="771" width="12.44140625" customWidth="1"/>
    <col min="772" max="772" width="12" customWidth="1"/>
    <col min="773" max="773" width="13.88671875" customWidth="1"/>
    <col min="774" max="774" width="13.44140625" customWidth="1"/>
    <col min="775" max="1022" width="8.88671875" customWidth="1"/>
    <col min="1023" max="1023" width="17.33203125" customWidth="1"/>
    <col min="1024" max="1024" width="16" customWidth="1"/>
    <col min="1025" max="1025" width="12" customWidth="1"/>
    <col min="1026" max="1026" width="92.44140625" customWidth="1"/>
    <col min="1027" max="1027" width="12.44140625" customWidth="1"/>
    <col min="1028" max="1028" width="12" customWidth="1"/>
    <col min="1029" max="1029" width="13.88671875" customWidth="1"/>
    <col min="1030" max="1030" width="13.44140625" customWidth="1"/>
    <col min="1031" max="1278" width="8.88671875" customWidth="1"/>
    <col min="1279" max="1279" width="17.33203125" customWidth="1"/>
    <col min="1280" max="1280" width="16" customWidth="1"/>
    <col min="1281" max="1281" width="12" customWidth="1"/>
    <col min="1282" max="1282" width="92.44140625" customWidth="1"/>
    <col min="1283" max="1283" width="12.44140625" customWidth="1"/>
    <col min="1284" max="1284" width="12" customWidth="1"/>
    <col min="1285" max="1285" width="13.88671875" customWidth="1"/>
    <col min="1286" max="1286" width="13.44140625" customWidth="1"/>
    <col min="1287" max="1534" width="8.88671875" customWidth="1"/>
    <col min="1535" max="1535" width="17.33203125" customWidth="1"/>
    <col min="1536" max="1536" width="16" customWidth="1"/>
    <col min="1537" max="1537" width="12" customWidth="1"/>
    <col min="1538" max="1538" width="92.44140625" customWidth="1"/>
    <col min="1539" max="1539" width="12.44140625" customWidth="1"/>
    <col min="1540" max="1540" width="12" customWidth="1"/>
    <col min="1541" max="1541" width="13.88671875" customWidth="1"/>
    <col min="1542" max="1542" width="13.44140625" customWidth="1"/>
    <col min="1543" max="1790" width="8.88671875" customWidth="1"/>
    <col min="1791" max="1791" width="17.33203125" customWidth="1"/>
    <col min="1792" max="1792" width="16" customWidth="1"/>
    <col min="1793" max="1793" width="12" customWidth="1"/>
    <col min="1794" max="1794" width="92.44140625" customWidth="1"/>
    <col min="1795" max="1795" width="12.44140625" customWidth="1"/>
    <col min="1796" max="1796" width="12" customWidth="1"/>
    <col min="1797" max="1797" width="13.88671875" customWidth="1"/>
    <col min="1798" max="1798" width="13.44140625" customWidth="1"/>
    <col min="1799" max="2046" width="8.88671875" customWidth="1"/>
    <col min="2047" max="2047" width="17.33203125" customWidth="1"/>
    <col min="2048" max="2048" width="16" customWidth="1"/>
    <col min="2049" max="2049" width="12" customWidth="1"/>
    <col min="2050" max="2050" width="92.44140625" customWidth="1"/>
    <col min="2051" max="2051" width="12.44140625" customWidth="1"/>
    <col min="2052" max="2052" width="12" customWidth="1"/>
    <col min="2053" max="2053" width="13.88671875" customWidth="1"/>
    <col min="2054" max="2054" width="13.44140625" customWidth="1"/>
    <col min="2055" max="2302" width="8.88671875" customWidth="1"/>
    <col min="2303" max="2303" width="17.33203125" customWidth="1"/>
    <col min="2304" max="2304" width="16" customWidth="1"/>
    <col min="2305" max="2305" width="12" customWidth="1"/>
    <col min="2306" max="2306" width="92.44140625" customWidth="1"/>
    <col min="2307" max="2307" width="12.44140625" customWidth="1"/>
    <col min="2308" max="2308" width="12" customWidth="1"/>
    <col min="2309" max="2309" width="13.88671875" customWidth="1"/>
    <col min="2310" max="2310" width="13.44140625" customWidth="1"/>
    <col min="2311" max="2558" width="8.88671875" customWidth="1"/>
    <col min="2559" max="2559" width="17.33203125" customWidth="1"/>
    <col min="2560" max="2560" width="16" customWidth="1"/>
    <col min="2561" max="2561" width="12" customWidth="1"/>
    <col min="2562" max="2562" width="92.44140625" customWidth="1"/>
    <col min="2563" max="2563" width="12.44140625" customWidth="1"/>
    <col min="2564" max="2564" width="12" customWidth="1"/>
    <col min="2565" max="2565" width="13.88671875" customWidth="1"/>
    <col min="2566" max="2566" width="13.44140625" customWidth="1"/>
    <col min="2567" max="2814" width="8.88671875" customWidth="1"/>
    <col min="2815" max="2815" width="17.33203125" customWidth="1"/>
    <col min="2816" max="2816" width="16" customWidth="1"/>
    <col min="2817" max="2817" width="12" customWidth="1"/>
    <col min="2818" max="2818" width="92.44140625" customWidth="1"/>
    <col min="2819" max="2819" width="12.44140625" customWidth="1"/>
    <col min="2820" max="2820" width="12" customWidth="1"/>
    <col min="2821" max="2821" width="13.88671875" customWidth="1"/>
    <col min="2822" max="2822" width="13.44140625" customWidth="1"/>
    <col min="2823" max="3070" width="8.88671875" customWidth="1"/>
    <col min="3071" max="3071" width="17.33203125" customWidth="1"/>
    <col min="3072" max="3072" width="16" customWidth="1"/>
    <col min="3073" max="3073" width="12" customWidth="1"/>
    <col min="3074" max="3074" width="92.44140625" customWidth="1"/>
    <col min="3075" max="3075" width="12.44140625" customWidth="1"/>
    <col min="3076" max="3076" width="12" customWidth="1"/>
    <col min="3077" max="3077" width="13.88671875" customWidth="1"/>
    <col min="3078" max="3078" width="13.44140625" customWidth="1"/>
    <col min="3079" max="3326" width="8.88671875" customWidth="1"/>
    <col min="3327" max="3327" width="17.33203125" customWidth="1"/>
    <col min="3328" max="3328" width="16" customWidth="1"/>
    <col min="3329" max="3329" width="12" customWidth="1"/>
    <col min="3330" max="3330" width="92.44140625" customWidth="1"/>
    <col min="3331" max="3331" width="12.44140625" customWidth="1"/>
    <col min="3332" max="3332" width="12" customWidth="1"/>
    <col min="3333" max="3333" width="13.88671875" customWidth="1"/>
    <col min="3334" max="3334" width="13.44140625" customWidth="1"/>
    <col min="3335" max="3582" width="8.88671875" customWidth="1"/>
    <col min="3583" max="3583" width="17.33203125" customWidth="1"/>
    <col min="3584" max="3584" width="16" customWidth="1"/>
    <col min="3585" max="3585" width="12" customWidth="1"/>
    <col min="3586" max="3586" width="92.44140625" customWidth="1"/>
    <col min="3587" max="3587" width="12.44140625" customWidth="1"/>
    <col min="3588" max="3588" width="12" customWidth="1"/>
    <col min="3589" max="3589" width="13.88671875" customWidth="1"/>
    <col min="3590" max="3590" width="13.44140625" customWidth="1"/>
    <col min="3591" max="3838" width="8.88671875" customWidth="1"/>
    <col min="3839" max="3839" width="17.33203125" customWidth="1"/>
    <col min="3840" max="3840" width="16" customWidth="1"/>
    <col min="3841" max="3841" width="12" customWidth="1"/>
    <col min="3842" max="3842" width="92.44140625" customWidth="1"/>
    <col min="3843" max="3843" width="12.44140625" customWidth="1"/>
    <col min="3844" max="3844" width="12" customWidth="1"/>
    <col min="3845" max="3845" width="13.88671875" customWidth="1"/>
    <col min="3846" max="3846" width="13.44140625" customWidth="1"/>
    <col min="3847" max="4094" width="8.88671875" customWidth="1"/>
    <col min="4095" max="4095" width="17.33203125" customWidth="1"/>
    <col min="4096" max="4096" width="16" customWidth="1"/>
    <col min="4097" max="4097" width="12" customWidth="1"/>
    <col min="4098" max="4098" width="92.44140625" customWidth="1"/>
    <col min="4099" max="4099" width="12.44140625" customWidth="1"/>
    <col min="4100" max="4100" width="12" customWidth="1"/>
    <col min="4101" max="4101" width="13.88671875" customWidth="1"/>
    <col min="4102" max="4102" width="13.44140625" customWidth="1"/>
    <col min="4103" max="4350" width="8.88671875" customWidth="1"/>
    <col min="4351" max="4351" width="17.33203125" customWidth="1"/>
    <col min="4352" max="4352" width="16" customWidth="1"/>
    <col min="4353" max="4353" width="12" customWidth="1"/>
    <col min="4354" max="4354" width="92.44140625" customWidth="1"/>
    <col min="4355" max="4355" width="12.44140625" customWidth="1"/>
    <col min="4356" max="4356" width="12" customWidth="1"/>
    <col min="4357" max="4357" width="13.88671875" customWidth="1"/>
    <col min="4358" max="4358" width="13.44140625" customWidth="1"/>
    <col min="4359" max="4606" width="8.88671875" customWidth="1"/>
    <col min="4607" max="4607" width="17.33203125" customWidth="1"/>
    <col min="4608" max="4608" width="16" customWidth="1"/>
    <col min="4609" max="4609" width="12" customWidth="1"/>
    <col min="4610" max="4610" width="92.44140625" customWidth="1"/>
    <col min="4611" max="4611" width="12.44140625" customWidth="1"/>
    <col min="4612" max="4612" width="12" customWidth="1"/>
    <col min="4613" max="4613" width="13.88671875" customWidth="1"/>
    <col min="4614" max="4614" width="13.44140625" customWidth="1"/>
    <col min="4615" max="4862" width="8.88671875" customWidth="1"/>
    <col min="4863" max="4863" width="17.33203125" customWidth="1"/>
    <col min="4864" max="4864" width="16" customWidth="1"/>
    <col min="4865" max="4865" width="12" customWidth="1"/>
    <col min="4866" max="4866" width="92.44140625" customWidth="1"/>
    <col min="4867" max="4867" width="12.44140625" customWidth="1"/>
    <col min="4868" max="4868" width="12" customWidth="1"/>
    <col min="4869" max="4869" width="13.88671875" customWidth="1"/>
    <col min="4870" max="4870" width="13.44140625" customWidth="1"/>
    <col min="4871" max="5118" width="8.88671875" customWidth="1"/>
    <col min="5119" max="5119" width="17.33203125" customWidth="1"/>
    <col min="5120" max="5120" width="16" customWidth="1"/>
    <col min="5121" max="5121" width="12" customWidth="1"/>
    <col min="5122" max="5122" width="92.44140625" customWidth="1"/>
    <col min="5123" max="5123" width="12.44140625" customWidth="1"/>
    <col min="5124" max="5124" width="12" customWidth="1"/>
    <col min="5125" max="5125" width="13.88671875" customWidth="1"/>
    <col min="5126" max="5126" width="13.44140625" customWidth="1"/>
    <col min="5127" max="5374" width="8.88671875" customWidth="1"/>
    <col min="5375" max="5375" width="17.33203125" customWidth="1"/>
    <col min="5376" max="5376" width="16" customWidth="1"/>
    <col min="5377" max="5377" width="12" customWidth="1"/>
    <col min="5378" max="5378" width="92.44140625" customWidth="1"/>
    <col min="5379" max="5379" width="12.44140625" customWidth="1"/>
    <col min="5380" max="5380" width="12" customWidth="1"/>
    <col min="5381" max="5381" width="13.88671875" customWidth="1"/>
    <col min="5382" max="5382" width="13.44140625" customWidth="1"/>
    <col min="5383" max="5630" width="8.88671875" customWidth="1"/>
    <col min="5631" max="5631" width="17.33203125" customWidth="1"/>
    <col min="5632" max="5632" width="16" customWidth="1"/>
    <col min="5633" max="5633" width="12" customWidth="1"/>
    <col min="5634" max="5634" width="92.44140625" customWidth="1"/>
    <col min="5635" max="5635" width="12.44140625" customWidth="1"/>
    <col min="5636" max="5636" width="12" customWidth="1"/>
    <col min="5637" max="5637" width="13.88671875" customWidth="1"/>
    <col min="5638" max="5638" width="13.44140625" customWidth="1"/>
    <col min="5639" max="5886" width="8.88671875" customWidth="1"/>
    <col min="5887" max="5887" width="17.33203125" customWidth="1"/>
    <col min="5888" max="5888" width="16" customWidth="1"/>
    <col min="5889" max="5889" width="12" customWidth="1"/>
    <col min="5890" max="5890" width="92.44140625" customWidth="1"/>
    <col min="5891" max="5891" width="12.44140625" customWidth="1"/>
    <col min="5892" max="5892" width="12" customWidth="1"/>
    <col min="5893" max="5893" width="13.88671875" customWidth="1"/>
    <col min="5894" max="5894" width="13.44140625" customWidth="1"/>
    <col min="5895" max="6142" width="8.88671875" customWidth="1"/>
    <col min="6143" max="6143" width="17.33203125" customWidth="1"/>
    <col min="6144" max="6144" width="16" customWidth="1"/>
    <col min="6145" max="6145" width="12" customWidth="1"/>
    <col min="6146" max="6146" width="92.44140625" customWidth="1"/>
    <col min="6147" max="6147" width="12.44140625" customWidth="1"/>
    <col min="6148" max="6148" width="12" customWidth="1"/>
    <col min="6149" max="6149" width="13.88671875" customWidth="1"/>
    <col min="6150" max="6150" width="13.44140625" customWidth="1"/>
    <col min="6151" max="6398" width="8.88671875" customWidth="1"/>
    <col min="6399" max="6399" width="17.33203125" customWidth="1"/>
    <col min="6400" max="6400" width="16" customWidth="1"/>
    <col min="6401" max="6401" width="12" customWidth="1"/>
    <col min="6402" max="6402" width="92.44140625" customWidth="1"/>
    <col min="6403" max="6403" width="12.44140625" customWidth="1"/>
    <col min="6404" max="6404" width="12" customWidth="1"/>
    <col min="6405" max="6405" width="13.88671875" customWidth="1"/>
    <col min="6406" max="6406" width="13.44140625" customWidth="1"/>
    <col min="6407" max="6654" width="8.88671875" customWidth="1"/>
    <col min="6655" max="6655" width="17.33203125" customWidth="1"/>
    <col min="6656" max="6656" width="16" customWidth="1"/>
    <col min="6657" max="6657" width="12" customWidth="1"/>
    <col min="6658" max="6658" width="92.44140625" customWidth="1"/>
    <col min="6659" max="6659" width="12.44140625" customWidth="1"/>
    <col min="6660" max="6660" width="12" customWidth="1"/>
    <col min="6661" max="6661" width="13.88671875" customWidth="1"/>
    <col min="6662" max="6662" width="13.44140625" customWidth="1"/>
    <col min="6663" max="6910" width="8.88671875" customWidth="1"/>
    <col min="6911" max="6911" width="17.33203125" customWidth="1"/>
    <col min="6912" max="6912" width="16" customWidth="1"/>
    <col min="6913" max="6913" width="12" customWidth="1"/>
    <col min="6914" max="6914" width="92.44140625" customWidth="1"/>
    <col min="6915" max="6915" width="12.44140625" customWidth="1"/>
    <col min="6916" max="6916" width="12" customWidth="1"/>
    <col min="6917" max="6917" width="13.88671875" customWidth="1"/>
    <col min="6918" max="6918" width="13.44140625" customWidth="1"/>
    <col min="6919" max="7166" width="8.88671875" customWidth="1"/>
    <col min="7167" max="7167" width="17.33203125" customWidth="1"/>
    <col min="7168" max="7168" width="16" customWidth="1"/>
    <col min="7169" max="7169" width="12" customWidth="1"/>
    <col min="7170" max="7170" width="92.44140625" customWidth="1"/>
    <col min="7171" max="7171" width="12.44140625" customWidth="1"/>
    <col min="7172" max="7172" width="12" customWidth="1"/>
    <col min="7173" max="7173" width="13.88671875" customWidth="1"/>
    <col min="7174" max="7174" width="13.44140625" customWidth="1"/>
    <col min="7175" max="7422" width="8.88671875" customWidth="1"/>
    <col min="7423" max="7423" width="17.33203125" customWidth="1"/>
    <col min="7424" max="7424" width="16" customWidth="1"/>
    <col min="7425" max="7425" width="12" customWidth="1"/>
    <col min="7426" max="7426" width="92.44140625" customWidth="1"/>
    <col min="7427" max="7427" width="12.44140625" customWidth="1"/>
    <col min="7428" max="7428" width="12" customWidth="1"/>
    <col min="7429" max="7429" width="13.88671875" customWidth="1"/>
    <col min="7430" max="7430" width="13.44140625" customWidth="1"/>
    <col min="7431" max="7678" width="8.88671875" customWidth="1"/>
    <col min="7679" max="7679" width="17.33203125" customWidth="1"/>
    <col min="7680" max="7680" width="16" customWidth="1"/>
    <col min="7681" max="7681" width="12" customWidth="1"/>
    <col min="7682" max="7682" width="92.44140625" customWidth="1"/>
    <col min="7683" max="7683" width="12.44140625" customWidth="1"/>
    <col min="7684" max="7684" width="12" customWidth="1"/>
    <col min="7685" max="7685" width="13.88671875" customWidth="1"/>
    <col min="7686" max="7686" width="13.44140625" customWidth="1"/>
    <col min="7687" max="7934" width="8.88671875" customWidth="1"/>
    <col min="7935" max="7935" width="17.33203125" customWidth="1"/>
    <col min="7936" max="7936" width="16" customWidth="1"/>
    <col min="7937" max="7937" width="12" customWidth="1"/>
    <col min="7938" max="7938" width="92.44140625" customWidth="1"/>
    <col min="7939" max="7939" width="12.44140625" customWidth="1"/>
    <col min="7940" max="7940" width="12" customWidth="1"/>
    <col min="7941" max="7941" width="13.88671875" customWidth="1"/>
    <col min="7942" max="7942" width="13.44140625" customWidth="1"/>
    <col min="7943" max="8190" width="8.88671875" customWidth="1"/>
    <col min="8191" max="8191" width="17.33203125" customWidth="1"/>
    <col min="8192" max="8192" width="16" customWidth="1"/>
    <col min="8193" max="8193" width="12" customWidth="1"/>
    <col min="8194" max="8194" width="92.44140625" customWidth="1"/>
    <col min="8195" max="8195" width="12.44140625" customWidth="1"/>
    <col min="8196" max="8196" width="12" customWidth="1"/>
    <col min="8197" max="8197" width="13.88671875" customWidth="1"/>
    <col min="8198" max="8198" width="13.44140625" customWidth="1"/>
    <col min="8199" max="8446" width="8.88671875" customWidth="1"/>
    <col min="8447" max="8447" width="17.33203125" customWidth="1"/>
    <col min="8448" max="8448" width="16" customWidth="1"/>
    <col min="8449" max="8449" width="12" customWidth="1"/>
    <col min="8450" max="8450" width="92.44140625" customWidth="1"/>
    <col min="8451" max="8451" width="12.44140625" customWidth="1"/>
    <col min="8452" max="8452" width="12" customWidth="1"/>
    <col min="8453" max="8453" width="13.88671875" customWidth="1"/>
    <col min="8454" max="8454" width="13.44140625" customWidth="1"/>
    <col min="8455" max="8702" width="8.88671875" customWidth="1"/>
    <col min="8703" max="8703" width="17.33203125" customWidth="1"/>
    <col min="8704" max="8704" width="16" customWidth="1"/>
    <col min="8705" max="8705" width="12" customWidth="1"/>
    <col min="8706" max="8706" width="92.44140625" customWidth="1"/>
    <col min="8707" max="8707" width="12.44140625" customWidth="1"/>
    <col min="8708" max="8708" width="12" customWidth="1"/>
    <col min="8709" max="8709" width="13.88671875" customWidth="1"/>
    <col min="8710" max="8710" width="13.44140625" customWidth="1"/>
    <col min="8711" max="8958" width="8.88671875" customWidth="1"/>
    <col min="8959" max="8959" width="17.33203125" customWidth="1"/>
    <col min="8960" max="8960" width="16" customWidth="1"/>
    <col min="8961" max="8961" width="12" customWidth="1"/>
    <col min="8962" max="8962" width="92.44140625" customWidth="1"/>
    <col min="8963" max="8963" width="12.44140625" customWidth="1"/>
    <col min="8964" max="8964" width="12" customWidth="1"/>
    <col min="8965" max="8965" width="13.88671875" customWidth="1"/>
    <col min="8966" max="8966" width="13.44140625" customWidth="1"/>
    <col min="8967" max="9214" width="8.88671875" customWidth="1"/>
    <col min="9215" max="9215" width="17.33203125" customWidth="1"/>
    <col min="9216" max="9216" width="16" customWidth="1"/>
    <col min="9217" max="9217" width="12" customWidth="1"/>
    <col min="9218" max="9218" width="92.44140625" customWidth="1"/>
    <col min="9219" max="9219" width="12.44140625" customWidth="1"/>
    <col min="9220" max="9220" width="12" customWidth="1"/>
    <col min="9221" max="9221" width="13.88671875" customWidth="1"/>
    <col min="9222" max="9222" width="13.44140625" customWidth="1"/>
    <col min="9223" max="9470" width="8.88671875" customWidth="1"/>
    <col min="9471" max="9471" width="17.33203125" customWidth="1"/>
    <col min="9472" max="9472" width="16" customWidth="1"/>
    <col min="9473" max="9473" width="12" customWidth="1"/>
    <col min="9474" max="9474" width="92.44140625" customWidth="1"/>
    <col min="9475" max="9475" width="12.44140625" customWidth="1"/>
    <col min="9476" max="9476" width="12" customWidth="1"/>
    <col min="9477" max="9477" width="13.88671875" customWidth="1"/>
    <col min="9478" max="9478" width="13.44140625" customWidth="1"/>
    <col min="9479" max="9726" width="8.88671875" customWidth="1"/>
    <col min="9727" max="9727" width="17.33203125" customWidth="1"/>
    <col min="9728" max="9728" width="16" customWidth="1"/>
    <col min="9729" max="9729" width="12" customWidth="1"/>
    <col min="9730" max="9730" width="92.44140625" customWidth="1"/>
    <col min="9731" max="9731" width="12.44140625" customWidth="1"/>
    <col min="9732" max="9732" width="12" customWidth="1"/>
    <col min="9733" max="9733" width="13.88671875" customWidth="1"/>
    <col min="9734" max="9734" width="13.44140625" customWidth="1"/>
    <col min="9735" max="9982" width="8.88671875" customWidth="1"/>
    <col min="9983" max="9983" width="17.33203125" customWidth="1"/>
    <col min="9984" max="9984" width="16" customWidth="1"/>
    <col min="9985" max="9985" width="12" customWidth="1"/>
    <col min="9986" max="9986" width="92.44140625" customWidth="1"/>
    <col min="9987" max="9987" width="12.44140625" customWidth="1"/>
    <col min="9988" max="9988" width="12" customWidth="1"/>
    <col min="9989" max="9989" width="13.88671875" customWidth="1"/>
    <col min="9990" max="9990" width="13.44140625" customWidth="1"/>
    <col min="9991" max="10238" width="8.88671875" customWidth="1"/>
    <col min="10239" max="10239" width="17.33203125" customWidth="1"/>
    <col min="10240" max="10240" width="16" customWidth="1"/>
    <col min="10241" max="10241" width="12" customWidth="1"/>
    <col min="10242" max="10242" width="92.44140625" customWidth="1"/>
    <col min="10243" max="10243" width="12.44140625" customWidth="1"/>
    <col min="10244" max="10244" width="12" customWidth="1"/>
    <col min="10245" max="10245" width="13.88671875" customWidth="1"/>
    <col min="10246" max="10246" width="13.44140625" customWidth="1"/>
    <col min="10247" max="10494" width="8.88671875" customWidth="1"/>
    <col min="10495" max="10495" width="17.33203125" customWidth="1"/>
    <col min="10496" max="10496" width="16" customWidth="1"/>
    <col min="10497" max="10497" width="12" customWidth="1"/>
    <col min="10498" max="10498" width="92.44140625" customWidth="1"/>
    <col min="10499" max="10499" width="12.44140625" customWidth="1"/>
    <col min="10500" max="10500" width="12" customWidth="1"/>
    <col min="10501" max="10501" width="13.88671875" customWidth="1"/>
    <col min="10502" max="10502" width="13.44140625" customWidth="1"/>
    <col min="10503" max="10750" width="8.88671875" customWidth="1"/>
    <col min="10751" max="10751" width="17.33203125" customWidth="1"/>
    <col min="10752" max="10752" width="16" customWidth="1"/>
    <col min="10753" max="10753" width="12" customWidth="1"/>
    <col min="10754" max="10754" width="92.44140625" customWidth="1"/>
    <col min="10755" max="10755" width="12.44140625" customWidth="1"/>
    <col min="10756" max="10756" width="12" customWidth="1"/>
    <col min="10757" max="10757" width="13.88671875" customWidth="1"/>
    <col min="10758" max="10758" width="13.44140625" customWidth="1"/>
    <col min="10759" max="11006" width="8.88671875" customWidth="1"/>
    <col min="11007" max="11007" width="17.33203125" customWidth="1"/>
    <col min="11008" max="11008" width="16" customWidth="1"/>
    <col min="11009" max="11009" width="12" customWidth="1"/>
    <col min="11010" max="11010" width="92.44140625" customWidth="1"/>
    <col min="11011" max="11011" width="12.44140625" customWidth="1"/>
    <col min="11012" max="11012" width="12" customWidth="1"/>
    <col min="11013" max="11013" width="13.88671875" customWidth="1"/>
    <col min="11014" max="11014" width="13.44140625" customWidth="1"/>
    <col min="11015" max="11262" width="8.88671875" customWidth="1"/>
    <col min="11263" max="11263" width="17.33203125" customWidth="1"/>
    <col min="11264" max="11264" width="16" customWidth="1"/>
    <col min="11265" max="11265" width="12" customWidth="1"/>
    <col min="11266" max="11266" width="92.44140625" customWidth="1"/>
    <col min="11267" max="11267" width="12.44140625" customWidth="1"/>
    <col min="11268" max="11268" width="12" customWidth="1"/>
    <col min="11269" max="11269" width="13.88671875" customWidth="1"/>
    <col min="11270" max="11270" width="13.44140625" customWidth="1"/>
    <col min="11271" max="11518" width="8.88671875" customWidth="1"/>
    <col min="11519" max="11519" width="17.33203125" customWidth="1"/>
    <col min="11520" max="11520" width="16" customWidth="1"/>
    <col min="11521" max="11521" width="12" customWidth="1"/>
    <col min="11522" max="11522" width="92.44140625" customWidth="1"/>
    <col min="11523" max="11523" width="12.44140625" customWidth="1"/>
    <col min="11524" max="11524" width="12" customWidth="1"/>
    <col min="11525" max="11525" width="13.88671875" customWidth="1"/>
    <col min="11526" max="11526" width="13.44140625" customWidth="1"/>
    <col min="11527" max="11774" width="8.88671875" customWidth="1"/>
    <col min="11775" max="11775" width="17.33203125" customWidth="1"/>
    <col min="11776" max="11776" width="16" customWidth="1"/>
    <col min="11777" max="11777" width="12" customWidth="1"/>
    <col min="11778" max="11778" width="92.44140625" customWidth="1"/>
    <col min="11779" max="11779" width="12.44140625" customWidth="1"/>
    <col min="11780" max="11780" width="12" customWidth="1"/>
    <col min="11781" max="11781" width="13.88671875" customWidth="1"/>
    <col min="11782" max="11782" width="13.44140625" customWidth="1"/>
    <col min="11783" max="12030" width="8.88671875" customWidth="1"/>
    <col min="12031" max="12031" width="17.33203125" customWidth="1"/>
    <col min="12032" max="12032" width="16" customWidth="1"/>
    <col min="12033" max="12033" width="12" customWidth="1"/>
    <col min="12034" max="12034" width="92.44140625" customWidth="1"/>
    <col min="12035" max="12035" width="12.44140625" customWidth="1"/>
    <col min="12036" max="12036" width="12" customWidth="1"/>
    <col min="12037" max="12037" width="13.88671875" customWidth="1"/>
    <col min="12038" max="12038" width="13.44140625" customWidth="1"/>
    <col min="12039" max="12286" width="8.88671875" customWidth="1"/>
    <col min="12287" max="12287" width="17.33203125" customWidth="1"/>
    <col min="12288" max="12288" width="16" customWidth="1"/>
    <col min="12289" max="12289" width="12" customWidth="1"/>
    <col min="12290" max="12290" width="92.44140625" customWidth="1"/>
    <col min="12291" max="12291" width="12.44140625" customWidth="1"/>
    <col min="12292" max="12292" width="12" customWidth="1"/>
    <col min="12293" max="12293" width="13.88671875" customWidth="1"/>
    <col min="12294" max="12294" width="13.44140625" customWidth="1"/>
    <col min="12295" max="12542" width="8.88671875" customWidth="1"/>
    <col min="12543" max="12543" width="17.33203125" customWidth="1"/>
    <col min="12544" max="12544" width="16" customWidth="1"/>
    <col min="12545" max="12545" width="12" customWidth="1"/>
    <col min="12546" max="12546" width="92.44140625" customWidth="1"/>
    <col min="12547" max="12547" width="12.44140625" customWidth="1"/>
    <col min="12548" max="12548" width="12" customWidth="1"/>
    <col min="12549" max="12549" width="13.88671875" customWidth="1"/>
    <col min="12550" max="12550" width="13.44140625" customWidth="1"/>
    <col min="12551" max="12798" width="8.88671875" customWidth="1"/>
    <col min="12799" max="12799" width="17.33203125" customWidth="1"/>
    <col min="12800" max="12800" width="16" customWidth="1"/>
    <col min="12801" max="12801" width="12" customWidth="1"/>
    <col min="12802" max="12802" width="92.44140625" customWidth="1"/>
    <col min="12803" max="12803" width="12.44140625" customWidth="1"/>
    <col min="12804" max="12804" width="12" customWidth="1"/>
    <col min="12805" max="12805" width="13.88671875" customWidth="1"/>
    <col min="12806" max="12806" width="13.44140625" customWidth="1"/>
    <col min="12807" max="13054" width="8.88671875" customWidth="1"/>
    <col min="13055" max="13055" width="17.33203125" customWidth="1"/>
    <col min="13056" max="13056" width="16" customWidth="1"/>
    <col min="13057" max="13057" width="12" customWidth="1"/>
    <col min="13058" max="13058" width="92.44140625" customWidth="1"/>
    <col min="13059" max="13059" width="12.44140625" customWidth="1"/>
    <col min="13060" max="13060" width="12" customWidth="1"/>
    <col min="13061" max="13061" width="13.88671875" customWidth="1"/>
    <col min="13062" max="13062" width="13.44140625" customWidth="1"/>
    <col min="13063" max="13310" width="8.88671875" customWidth="1"/>
    <col min="13311" max="13311" width="17.33203125" customWidth="1"/>
    <col min="13312" max="13312" width="16" customWidth="1"/>
    <col min="13313" max="13313" width="12" customWidth="1"/>
    <col min="13314" max="13314" width="92.44140625" customWidth="1"/>
    <col min="13315" max="13315" width="12.44140625" customWidth="1"/>
    <col min="13316" max="13316" width="12" customWidth="1"/>
    <col min="13317" max="13317" width="13.88671875" customWidth="1"/>
    <col min="13318" max="13318" width="13.44140625" customWidth="1"/>
    <col min="13319" max="13566" width="8.88671875" customWidth="1"/>
    <col min="13567" max="13567" width="17.33203125" customWidth="1"/>
    <col min="13568" max="13568" width="16" customWidth="1"/>
    <col min="13569" max="13569" width="12" customWidth="1"/>
    <col min="13570" max="13570" width="92.44140625" customWidth="1"/>
    <col min="13571" max="13571" width="12.44140625" customWidth="1"/>
    <col min="13572" max="13572" width="12" customWidth="1"/>
    <col min="13573" max="13573" width="13.88671875" customWidth="1"/>
    <col min="13574" max="13574" width="13.44140625" customWidth="1"/>
    <col min="13575" max="13822" width="8.88671875" customWidth="1"/>
    <col min="13823" max="13823" width="17.33203125" customWidth="1"/>
    <col min="13824" max="13824" width="16" customWidth="1"/>
    <col min="13825" max="13825" width="12" customWidth="1"/>
    <col min="13826" max="13826" width="92.44140625" customWidth="1"/>
    <col min="13827" max="13827" width="12.44140625" customWidth="1"/>
    <col min="13828" max="13828" width="12" customWidth="1"/>
    <col min="13829" max="13829" width="13.88671875" customWidth="1"/>
    <col min="13830" max="13830" width="13.44140625" customWidth="1"/>
    <col min="13831" max="14078" width="8.88671875" customWidth="1"/>
    <col min="14079" max="14079" width="17.33203125" customWidth="1"/>
    <col min="14080" max="14080" width="16" customWidth="1"/>
    <col min="14081" max="14081" width="12" customWidth="1"/>
    <col min="14082" max="14082" width="92.44140625" customWidth="1"/>
    <col min="14083" max="14083" width="12.44140625" customWidth="1"/>
    <col min="14084" max="14084" width="12" customWidth="1"/>
    <col min="14085" max="14085" width="13.88671875" customWidth="1"/>
    <col min="14086" max="14086" width="13.44140625" customWidth="1"/>
    <col min="14087" max="14334" width="8.88671875" customWidth="1"/>
    <col min="14335" max="14335" width="17.33203125" customWidth="1"/>
    <col min="14336" max="14336" width="16" customWidth="1"/>
    <col min="14337" max="14337" width="12" customWidth="1"/>
    <col min="14338" max="14338" width="92.44140625" customWidth="1"/>
    <col min="14339" max="14339" width="12.44140625" customWidth="1"/>
    <col min="14340" max="14340" width="12" customWidth="1"/>
    <col min="14341" max="14341" width="13.88671875" customWidth="1"/>
    <col min="14342" max="14342" width="13.44140625" customWidth="1"/>
    <col min="14343" max="14590" width="8.88671875" customWidth="1"/>
    <col min="14591" max="14591" width="17.33203125" customWidth="1"/>
    <col min="14592" max="14592" width="16" customWidth="1"/>
    <col min="14593" max="14593" width="12" customWidth="1"/>
    <col min="14594" max="14594" width="92.44140625" customWidth="1"/>
    <col min="14595" max="14595" width="12.44140625" customWidth="1"/>
    <col min="14596" max="14596" width="12" customWidth="1"/>
    <col min="14597" max="14597" width="13.88671875" customWidth="1"/>
    <col min="14598" max="14598" width="13.44140625" customWidth="1"/>
    <col min="14599" max="14846" width="8.88671875" customWidth="1"/>
    <col min="14847" max="14847" width="17.33203125" customWidth="1"/>
    <col min="14848" max="14848" width="16" customWidth="1"/>
    <col min="14849" max="14849" width="12" customWidth="1"/>
    <col min="14850" max="14850" width="92.44140625" customWidth="1"/>
    <col min="14851" max="14851" width="12.44140625" customWidth="1"/>
    <col min="14852" max="14852" width="12" customWidth="1"/>
    <col min="14853" max="14853" width="13.88671875" customWidth="1"/>
    <col min="14854" max="14854" width="13.44140625" customWidth="1"/>
    <col min="14855" max="15102" width="8.88671875" customWidth="1"/>
    <col min="15103" max="15103" width="17.33203125" customWidth="1"/>
    <col min="15104" max="15104" width="16" customWidth="1"/>
    <col min="15105" max="15105" width="12" customWidth="1"/>
    <col min="15106" max="15106" width="92.44140625" customWidth="1"/>
    <col min="15107" max="15107" width="12.44140625" customWidth="1"/>
    <col min="15108" max="15108" width="12" customWidth="1"/>
    <col min="15109" max="15109" width="13.88671875" customWidth="1"/>
    <col min="15110" max="15110" width="13.44140625" customWidth="1"/>
    <col min="15111" max="15358" width="8.88671875" customWidth="1"/>
    <col min="15359" max="15359" width="17.33203125" customWidth="1"/>
    <col min="15360" max="15360" width="16" customWidth="1"/>
    <col min="15361" max="15361" width="12" customWidth="1"/>
    <col min="15362" max="15362" width="92.44140625" customWidth="1"/>
    <col min="15363" max="15363" width="12.44140625" customWidth="1"/>
    <col min="15364" max="15364" width="12" customWidth="1"/>
    <col min="15365" max="15365" width="13.88671875" customWidth="1"/>
    <col min="15366" max="15366" width="13.44140625" customWidth="1"/>
    <col min="15367" max="15614" width="8.88671875" customWidth="1"/>
    <col min="15615" max="15615" width="17.33203125" customWidth="1"/>
    <col min="15616" max="15616" width="16" customWidth="1"/>
    <col min="15617" max="15617" width="12" customWidth="1"/>
    <col min="15618" max="15618" width="92.44140625" customWidth="1"/>
    <col min="15619" max="15619" width="12.44140625" customWidth="1"/>
    <col min="15620" max="15620" width="12" customWidth="1"/>
    <col min="15621" max="15621" width="13.88671875" customWidth="1"/>
    <col min="15622" max="15622" width="13.44140625" customWidth="1"/>
    <col min="15623" max="15870" width="8.88671875" customWidth="1"/>
    <col min="15871" max="15871" width="17.33203125" customWidth="1"/>
    <col min="15872" max="15872" width="16" customWidth="1"/>
    <col min="15873" max="15873" width="12" customWidth="1"/>
    <col min="15874" max="15874" width="92.44140625" customWidth="1"/>
    <col min="15875" max="15875" width="12.44140625" customWidth="1"/>
    <col min="15876" max="15876" width="12" customWidth="1"/>
    <col min="15877" max="15877" width="13.88671875" customWidth="1"/>
    <col min="15878" max="15878" width="13.44140625" customWidth="1"/>
    <col min="15879" max="16126" width="8.88671875" customWidth="1"/>
    <col min="16127" max="16127" width="17.33203125" customWidth="1"/>
    <col min="16128" max="16128" width="16" customWidth="1"/>
    <col min="16129" max="16129" width="12" customWidth="1"/>
    <col min="16130" max="16130" width="92.44140625" customWidth="1"/>
    <col min="16131" max="16131" width="12.44140625" customWidth="1"/>
    <col min="16132" max="16132" width="12" customWidth="1"/>
    <col min="16133" max="16133" width="13.88671875" customWidth="1"/>
    <col min="16134" max="16134" width="13.44140625" customWidth="1"/>
    <col min="16135" max="16384" width="8.88671875" customWidth="1"/>
  </cols>
  <sheetData>
    <row r="1" spans="1:6" ht="16.8" customHeight="1" thickBot="1" x14ac:dyDescent="0.35">
      <c r="A1" s="105"/>
      <c r="B1" s="105"/>
      <c r="C1" s="105"/>
      <c r="D1" s="105"/>
      <c r="E1" s="105"/>
      <c r="F1" s="105"/>
    </row>
    <row r="2" spans="1:6" ht="30.6" customHeight="1" thickBot="1" x14ac:dyDescent="0.35">
      <c r="A2" s="36" t="s">
        <v>0</v>
      </c>
      <c r="B2" s="19" t="s">
        <v>1</v>
      </c>
      <c r="C2" s="20" t="s">
        <v>3223</v>
      </c>
      <c r="D2" s="18" t="s">
        <v>3224</v>
      </c>
      <c r="E2" s="18" t="s">
        <v>3225</v>
      </c>
      <c r="F2" s="20" t="s">
        <v>3226</v>
      </c>
    </row>
    <row r="3" spans="1:6" x14ac:dyDescent="0.3">
      <c r="A3" s="21" t="s">
        <v>2</v>
      </c>
      <c r="B3" s="37" t="s">
        <v>3</v>
      </c>
      <c r="C3" s="22">
        <f>VLOOKUP(A3,'[11]Linea Arquitectonica'!$A$4:$G$823,4,FALSE)</f>
        <v>30.34</v>
      </c>
      <c r="D3" s="22">
        <f>VLOOKUP(A3,'[11]Linea Arquitectonica'!A4:E823,5,FALSE)</f>
        <v>34.28</v>
      </c>
      <c r="E3" s="22">
        <f>VLOOKUP(A3,'[11]Linea Arquitectonica'!A4:F823,6,FALSE)</f>
        <v>46.81</v>
      </c>
      <c r="F3" s="22">
        <f>VLOOKUP(A3,'[11]Linea Arquitectonica'!A4:G823,7,FALSE)</f>
        <v>52.9</v>
      </c>
    </row>
    <row r="4" spans="1:6" x14ac:dyDescent="0.3">
      <c r="A4" s="21" t="s">
        <v>4</v>
      </c>
      <c r="B4" s="37" t="s">
        <v>3</v>
      </c>
      <c r="C4" s="22">
        <f>VLOOKUP(A4,'[11]Linea Arquitectonica'!$A$4:$G$823,4,FALSE)</f>
        <v>139.34</v>
      </c>
      <c r="D4" s="22">
        <f>VLOOKUP(A4,'[11]Linea Arquitectonica'!A5:E824,5,FALSE)</f>
        <v>157.44999999999999</v>
      </c>
      <c r="E4" s="22">
        <f>VLOOKUP(A4,'[11]Linea Arquitectonica'!A5:F824,6,FALSE)</f>
        <v>215.93</v>
      </c>
      <c r="F4" s="22">
        <f>VLOOKUP(A4,'[11]Linea Arquitectonica'!A5:G824,7,FALSE)</f>
        <v>244</v>
      </c>
    </row>
    <row r="5" spans="1:6" x14ac:dyDescent="0.3">
      <c r="A5" s="21" t="s">
        <v>5</v>
      </c>
      <c r="B5" s="37" t="s">
        <v>6</v>
      </c>
      <c r="C5" s="22">
        <f>VLOOKUP(A5,'[11]Linea Arquitectonica'!$A$4:$G$823,4,FALSE)</f>
        <v>26.83</v>
      </c>
      <c r="D5" s="22">
        <f>VLOOKUP(A5,'[11]Linea Arquitectonica'!A6:E825,5,FALSE)</f>
        <v>30.32</v>
      </c>
      <c r="E5" s="22">
        <f>VLOOKUP(A5,'[11]Linea Arquitectonica'!A6:F825,6,FALSE)</f>
        <v>46.81</v>
      </c>
      <c r="F5" s="22">
        <f>VLOOKUP(A5,'[11]Linea Arquitectonica'!A6:G825,7,FALSE)</f>
        <v>52.9</v>
      </c>
    </row>
    <row r="6" spans="1:6" x14ac:dyDescent="0.3">
      <c r="A6" s="21" t="s">
        <v>7</v>
      </c>
      <c r="B6" s="37" t="s">
        <v>6</v>
      </c>
      <c r="C6" s="22">
        <f>VLOOKUP(A6,'[11]Linea Arquitectonica'!$A$4:$G$823,4,FALSE)</f>
        <v>121.83</v>
      </c>
      <c r="D6" s="22">
        <f>VLOOKUP(A6,'[11]Linea Arquitectonica'!A7:E826,5,FALSE)</f>
        <v>137.66999999999999</v>
      </c>
      <c r="E6" s="22">
        <f>VLOOKUP(A6,'[11]Linea Arquitectonica'!A7:F826,6,FALSE)</f>
        <v>215.93</v>
      </c>
      <c r="F6" s="22">
        <f>VLOOKUP(A6,'[11]Linea Arquitectonica'!A7:G826,7,FALSE)</f>
        <v>244</v>
      </c>
    </row>
    <row r="7" spans="1:6" x14ac:dyDescent="0.3">
      <c r="A7" s="21" t="s">
        <v>8</v>
      </c>
      <c r="B7" s="37" t="s">
        <v>9</v>
      </c>
      <c r="C7" s="22">
        <f>VLOOKUP(A7,'[11]Linea Arquitectonica'!$A$4:$G$823,4,FALSE)</f>
        <v>26.83</v>
      </c>
      <c r="D7" s="22">
        <f>VLOOKUP(A7,'[11]Linea Arquitectonica'!A8:E827,5,FALSE)</f>
        <v>30.32</v>
      </c>
      <c r="E7" s="22">
        <f>VLOOKUP(A7,'[11]Linea Arquitectonica'!A8:F827,6,FALSE)</f>
        <v>46.81</v>
      </c>
      <c r="F7" s="22">
        <f>VLOOKUP(A7,'[11]Linea Arquitectonica'!A8:G827,7,FALSE)</f>
        <v>52.9</v>
      </c>
    </row>
    <row r="8" spans="1:6" x14ac:dyDescent="0.3">
      <c r="A8" s="21" t="s">
        <v>10</v>
      </c>
      <c r="B8" s="37" t="s">
        <v>9</v>
      </c>
      <c r="C8" s="22">
        <f>VLOOKUP(A8,'[11]Linea Arquitectonica'!$A$4:$G$823,4,FALSE)</f>
        <v>121.83</v>
      </c>
      <c r="D8" s="22">
        <f>VLOOKUP(A8,'[11]Linea Arquitectonica'!A9:E828,5,FALSE)</f>
        <v>137.66999999999999</v>
      </c>
      <c r="E8" s="22">
        <f>VLOOKUP(A8,'[11]Linea Arquitectonica'!A9:F828,6,FALSE)</f>
        <v>215.93</v>
      </c>
      <c r="F8" s="22">
        <f>VLOOKUP(A8,'[11]Linea Arquitectonica'!A9:G828,7,FALSE)</f>
        <v>244</v>
      </c>
    </row>
    <row r="9" spans="1:6" x14ac:dyDescent="0.3">
      <c r="A9" s="21" t="s">
        <v>11</v>
      </c>
      <c r="B9" s="37" t="s">
        <v>3227</v>
      </c>
      <c r="C9" s="22">
        <f>VLOOKUP(A9,'[11]Linea Arquitectonica'!$A$4:$G$823,4,FALSE)</f>
        <v>31.83</v>
      </c>
      <c r="D9" s="22">
        <f>VLOOKUP(A9,'[11]Linea Arquitectonica'!A10:E829,5,FALSE)</f>
        <v>35.97</v>
      </c>
      <c r="E9" s="22">
        <f>VLOOKUP(A9,'[11]Linea Arquitectonica'!A10:F829,6,FALSE)</f>
        <v>46.81</v>
      </c>
      <c r="F9" s="22">
        <f>VLOOKUP(A9,'[11]Linea Arquitectonica'!A10:G829,7,FALSE)</f>
        <v>52.9</v>
      </c>
    </row>
    <row r="10" spans="1:6" x14ac:dyDescent="0.3">
      <c r="A10" s="21" t="s">
        <v>12</v>
      </c>
      <c r="B10" s="37" t="s">
        <v>3227</v>
      </c>
      <c r="C10" s="22">
        <f>VLOOKUP(A10,'[11]Linea Arquitectonica'!$A$4:$G$823,4,FALSE)</f>
        <v>146.83000000000001</v>
      </c>
      <c r="D10" s="22">
        <f>VLOOKUP(A10,'[11]Linea Arquitectonica'!A11:E830,5,FALSE)</f>
        <v>165.92</v>
      </c>
      <c r="E10" s="22">
        <f>VLOOKUP(A10,'[11]Linea Arquitectonica'!A11:F830,6,FALSE)</f>
        <v>215.93</v>
      </c>
      <c r="F10" s="22">
        <f>VLOOKUP(A10,'[11]Linea Arquitectonica'!A11:G830,7,FALSE)</f>
        <v>244</v>
      </c>
    </row>
    <row r="11" spans="1:6" x14ac:dyDescent="0.3">
      <c r="A11" s="21" t="s">
        <v>13</v>
      </c>
      <c r="B11" s="37" t="s">
        <v>14</v>
      </c>
      <c r="C11" s="22">
        <f>VLOOKUP(A11,'[11]Linea Arquitectonica'!$A$4:$G$823,4,FALSE)</f>
        <v>28.04</v>
      </c>
      <c r="D11" s="22">
        <f>VLOOKUP(A11,'[11]Linea Arquitectonica'!A12:E831,5,FALSE)</f>
        <v>31.68</v>
      </c>
      <c r="E11" s="22">
        <f>VLOOKUP(A11,'[11]Linea Arquitectonica'!A12:F831,6,FALSE)</f>
        <v>48.58</v>
      </c>
      <c r="F11" s="22">
        <f>VLOOKUP(A11,'[11]Linea Arquitectonica'!A12:G831,7,FALSE)</f>
        <v>54.9</v>
      </c>
    </row>
    <row r="12" spans="1:6" x14ac:dyDescent="0.3">
      <c r="A12" s="21" t="s">
        <v>15</v>
      </c>
      <c r="B12" s="37" t="s">
        <v>16</v>
      </c>
      <c r="C12" s="22">
        <f>VLOOKUP(A12,'[11]Linea Arquitectonica'!$A$4:$G$823,4,FALSE)</f>
        <v>28.04</v>
      </c>
      <c r="D12" s="22">
        <f>VLOOKUP(A12,'[11]Linea Arquitectonica'!A13:E832,5,FALSE)</f>
        <v>31.68</v>
      </c>
      <c r="E12" s="22">
        <f>VLOOKUP(A12,'[11]Linea Arquitectonica'!A13:F832,6,FALSE)</f>
        <v>48.58</v>
      </c>
      <c r="F12" s="22">
        <f>VLOOKUP(A12,'[11]Linea Arquitectonica'!A13:G832,7,FALSE)</f>
        <v>54.9</v>
      </c>
    </row>
    <row r="13" spans="1:6" x14ac:dyDescent="0.3">
      <c r="A13" s="21" t="s">
        <v>17</v>
      </c>
      <c r="B13" s="37" t="s">
        <v>19</v>
      </c>
      <c r="C13" s="22">
        <f>VLOOKUP(A13,'[11]Linea Arquitectonica'!$A$4:$G$823,4,FALSE)</f>
        <v>28.04</v>
      </c>
      <c r="D13" s="22">
        <f>VLOOKUP(A13,'[11]Linea Arquitectonica'!A13:E833,5,FALSE)</f>
        <v>31.68</v>
      </c>
      <c r="E13" s="22">
        <f>VLOOKUP(A13,'[11]Linea Arquitectonica'!A13:F833,6,FALSE)</f>
        <v>48.58</v>
      </c>
      <c r="F13" s="22">
        <f>VLOOKUP(A13,'[11]Linea Arquitectonica'!A13:G833,7,FALSE)</f>
        <v>54.9</v>
      </c>
    </row>
    <row r="14" spans="1:6" x14ac:dyDescent="0.3">
      <c r="A14" s="21" t="s">
        <v>18</v>
      </c>
      <c r="B14" s="37" t="s">
        <v>19</v>
      </c>
      <c r="C14" s="22">
        <f>VLOOKUP(A14,'[11]Linea Arquitectonica'!$A$4:$G$823,4,FALSE)</f>
        <v>123.64</v>
      </c>
      <c r="D14" s="22">
        <f>VLOOKUP(A14,'[11]Linea Arquitectonica'!A14:E834,5,FALSE)</f>
        <v>139.71</v>
      </c>
      <c r="E14" s="22">
        <f>VLOOKUP(A14,'[11]Linea Arquitectonica'!A14:F834,6,FALSE)</f>
        <v>218.58</v>
      </c>
      <c r="F14" s="22">
        <f>VLOOKUP(A14,'[11]Linea Arquitectonica'!A14:G834,7,FALSE)</f>
        <v>247</v>
      </c>
    </row>
    <row r="15" spans="1:6" x14ac:dyDescent="0.3">
      <c r="A15" s="21" t="s">
        <v>20</v>
      </c>
      <c r="B15" s="37" t="s">
        <v>21</v>
      </c>
      <c r="C15" s="22">
        <f>VLOOKUP(A15,'[11]Linea Arquitectonica'!$A$4:$G$823,4,FALSE)</f>
        <v>29.6</v>
      </c>
      <c r="D15" s="22">
        <f>VLOOKUP(A15,'[11]Linea Arquitectonica'!A15:E835,5,FALSE)</f>
        <v>33.450000000000003</v>
      </c>
      <c r="E15" s="22">
        <f>VLOOKUP(A15,'[11]Linea Arquitectonica'!A15:F835,6,FALSE)</f>
        <v>50.88</v>
      </c>
      <c r="F15" s="22">
        <f>VLOOKUP(A15,'[11]Linea Arquitectonica'!A15:G835,7,FALSE)</f>
        <v>57.5</v>
      </c>
    </row>
    <row r="16" spans="1:6" x14ac:dyDescent="0.3">
      <c r="A16" s="21" t="s">
        <v>22</v>
      </c>
      <c r="B16" s="37" t="s">
        <v>23</v>
      </c>
      <c r="C16" s="22">
        <f>VLOOKUP(A16,'[11]Linea Arquitectonica'!$A$4:$G$823,4,FALSE)</f>
        <v>29.6</v>
      </c>
      <c r="D16" s="22">
        <f>VLOOKUP(A16,'[11]Linea Arquitectonica'!A16:E836,5,FALSE)</f>
        <v>33.450000000000003</v>
      </c>
      <c r="E16" s="22">
        <f>VLOOKUP(A16,'[11]Linea Arquitectonica'!A16:F836,6,FALSE)</f>
        <v>50.88</v>
      </c>
      <c r="F16" s="22">
        <f>VLOOKUP(A16,'[11]Linea Arquitectonica'!A16:G836,7,FALSE)</f>
        <v>57.5</v>
      </c>
    </row>
    <row r="17" spans="1:6" x14ac:dyDescent="0.3">
      <c r="A17" s="21" t="s">
        <v>24</v>
      </c>
      <c r="B17" s="37" t="s">
        <v>25</v>
      </c>
      <c r="C17" s="22">
        <f>VLOOKUP(A17,'[11]Linea Arquitectonica'!$A$4:$G$823,4,FALSE)</f>
        <v>29.6</v>
      </c>
      <c r="D17" s="22">
        <f>VLOOKUP(A17,'[11]Linea Arquitectonica'!A17:E837,5,FALSE)</f>
        <v>33.450000000000003</v>
      </c>
      <c r="E17" s="22">
        <f>VLOOKUP(A17,'[11]Linea Arquitectonica'!A17:F837,6,FALSE)</f>
        <v>50.88</v>
      </c>
      <c r="F17" s="22">
        <f>VLOOKUP(A17,'[11]Linea Arquitectonica'!A17:G837,7,FALSE)</f>
        <v>57.5</v>
      </c>
    </row>
    <row r="18" spans="1:6" x14ac:dyDescent="0.3">
      <c r="A18" s="21" t="s">
        <v>26</v>
      </c>
      <c r="B18" s="37" t="s">
        <v>25</v>
      </c>
      <c r="C18" s="22">
        <f>VLOOKUP(A18,'[11]Linea Arquitectonica'!$A$4:$G$823,4,FALSE)</f>
        <v>126.04</v>
      </c>
      <c r="D18" s="22">
        <f>VLOOKUP(A18,'[11]Linea Arquitectonica'!A18:E838,5,FALSE)</f>
        <v>142.43</v>
      </c>
      <c r="E18" s="22">
        <f>VLOOKUP(A18,'[11]Linea Arquitectonica'!A18:F838,6,FALSE)</f>
        <v>222.12</v>
      </c>
      <c r="F18" s="22">
        <f>VLOOKUP(A18,'[11]Linea Arquitectonica'!A18:G838,7,FALSE)</f>
        <v>251</v>
      </c>
    </row>
    <row r="19" spans="1:6" x14ac:dyDescent="0.3">
      <c r="A19" s="21" t="s">
        <v>27</v>
      </c>
      <c r="B19" s="37" t="s">
        <v>28</v>
      </c>
      <c r="C19" s="22">
        <f>VLOOKUP(A19,'[11]Linea Arquitectonica'!$A$4:$G$823,4,FALSE)</f>
        <v>7.23</v>
      </c>
      <c r="D19" s="22">
        <f>VLOOKUP(A19,'[11]Linea Arquitectonica'!A18:E839,5,FALSE)</f>
        <v>8.17</v>
      </c>
      <c r="E19" s="22">
        <f>VLOOKUP(A19,'[11]Linea Arquitectonica'!A18:F839,6,FALSE)</f>
        <v>12.83</v>
      </c>
      <c r="F19" s="22">
        <f>VLOOKUP(A19,'[11]Linea Arquitectonica'!A18:G839,7,FALSE)</f>
        <v>14.5</v>
      </c>
    </row>
    <row r="20" spans="1:6" x14ac:dyDescent="0.3">
      <c r="A20" s="21" t="s">
        <v>29</v>
      </c>
      <c r="B20" s="37" t="s">
        <v>30</v>
      </c>
      <c r="C20" s="22">
        <f>VLOOKUP(A20,'[11]Linea Arquitectonica'!$A$4:$G$823,4,FALSE)</f>
        <v>7.23</v>
      </c>
      <c r="D20" s="22">
        <f>VLOOKUP(A20,'[11]Linea Arquitectonica'!A19:E840,5,FALSE)</f>
        <v>8.17</v>
      </c>
      <c r="E20" s="22">
        <f>VLOOKUP(A20,'[11]Linea Arquitectonica'!A19:F840,6,FALSE)</f>
        <v>12.83</v>
      </c>
      <c r="F20" s="22">
        <f>VLOOKUP(A20,'[11]Linea Arquitectonica'!A19:G840,7,FALSE)</f>
        <v>14.5</v>
      </c>
    </row>
    <row r="21" spans="1:6" x14ac:dyDescent="0.3">
      <c r="A21" s="21" t="s">
        <v>31</v>
      </c>
      <c r="B21" s="37" t="s">
        <v>32</v>
      </c>
      <c r="C21" s="22">
        <f>VLOOKUP(A21,'[11]Linea Arquitectonica'!$A$4:$G$823,4,FALSE)</f>
        <v>7.23</v>
      </c>
      <c r="D21" s="22">
        <f>VLOOKUP(A21,'[11]Linea Arquitectonica'!A20:E841,5,FALSE)</f>
        <v>8.17</v>
      </c>
      <c r="E21" s="22">
        <f>VLOOKUP(A21,'[11]Linea Arquitectonica'!A20:F841,6,FALSE)</f>
        <v>12.83</v>
      </c>
      <c r="F21" s="22">
        <f>VLOOKUP(A21,'[11]Linea Arquitectonica'!A20:G841,7,FALSE)</f>
        <v>14.5</v>
      </c>
    </row>
    <row r="22" spans="1:6" x14ac:dyDescent="0.3">
      <c r="A22" s="21" t="s">
        <v>33</v>
      </c>
      <c r="B22" s="37" t="s">
        <v>28</v>
      </c>
      <c r="C22" s="22">
        <f>VLOOKUP(A22,'[11]Linea Arquitectonica'!$A$4:$G$823,4,FALSE)</f>
        <v>24.79</v>
      </c>
      <c r="D22" s="22">
        <f>VLOOKUP(A22,'[11]Linea Arquitectonica'!A21:E842,5,FALSE)</f>
        <v>28.01</v>
      </c>
      <c r="E22" s="22">
        <f>VLOOKUP(A22,'[11]Linea Arquitectonica'!A21:F842,6,FALSE)</f>
        <v>43.81</v>
      </c>
      <c r="F22" s="22">
        <f>VLOOKUP(A22,'[11]Linea Arquitectonica'!A21:G842,7,FALSE)</f>
        <v>49.5</v>
      </c>
    </row>
    <row r="23" spans="1:6" x14ac:dyDescent="0.3">
      <c r="A23" s="21" t="s">
        <v>34</v>
      </c>
      <c r="B23" s="37" t="s">
        <v>30</v>
      </c>
      <c r="C23" s="22">
        <f>VLOOKUP(A23,'[11]Linea Arquitectonica'!$A$4:$G$823,4,FALSE)</f>
        <v>24.79</v>
      </c>
      <c r="D23" s="22">
        <f>VLOOKUP(A23,'[11]Linea Arquitectonica'!A22:E843,5,FALSE)</f>
        <v>28.01</v>
      </c>
      <c r="E23" s="22">
        <f>VLOOKUP(A23,'[11]Linea Arquitectonica'!A22:F843,6,FALSE)</f>
        <v>43.81</v>
      </c>
      <c r="F23" s="22">
        <f>VLOOKUP(A23,'[11]Linea Arquitectonica'!A22:G843,7,FALSE)</f>
        <v>49.5</v>
      </c>
    </row>
    <row r="24" spans="1:6" x14ac:dyDescent="0.3">
      <c r="A24" s="21" t="s">
        <v>35</v>
      </c>
      <c r="B24" s="37" t="s">
        <v>32</v>
      </c>
      <c r="C24" s="22">
        <f>VLOOKUP(A24,'[11]Linea Arquitectonica'!$A$4:$G$823,4,FALSE)</f>
        <v>24.79</v>
      </c>
      <c r="D24" s="22">
        <f>VLOOKUP(A24,'[11]Linea Arquitectonica'!A23:E844,5,FALSE)</f>
        <v>28.01</v>
      </c>
      <c r="E24" s="22">
        <f>VLOOKUP(A24,'[11]Linea Arquitectonica'!A23:F844,6,FALSE)</f>
        <v>43.81</v>
      </c>
      <c r="F24" s="22">
        <f>VLOOKUP(A24,'[11]Linea Arquitectonica'!A23:G844,7,FALSE)</f>
        <v>49.5</v>
      </c>
    </row>
    <row r="25" spans="1:6" x14ac:dyDescent="0.3">
      <c r="A25" s="21" t="s">
        <v>36</v>
      </c>
      <c r="B25" s="37" t="s">
        <v>32</v>
      </c>
      <c r="C25" s="22">
        <f>VLOOKUP(A25,'[11]Linea Arquitectonica'!$A$4:$G$823,4,FALSE)</f>
        <v>103.78</v>
      </c>
      <c r="D25" s="22">
        <f>VLOOKUP(A25,'[11]Linea Arquitectonica'!A24:E845,5,FALSE)</f>
        <v>117.27</v>
      </c>
      <c r="E25" s="22">
        <f>VLOOKUP(A25,'[11]Linea Arquitectonica'!A24:F845,6,FALSE)</f>
        <v>189.38</v>
      </c>
      <c r="F25" s="22">
        <f>VLOOKUP(A25,'[11]Linea Arquitectonica'!A24:G845,7,FALSE)</f>
        <v>214</v>
      </c>
    </row>
    <row r="26" spans="1:6" x14ac:dyDescent="0.3">
      <c r="A26" s="21" t="s">
        <v>37</v>
      </c>
      <c r="B26" s="37" t="s">
        <v>38</v>
      </c>
      <c r="C26" s="22">
        <f>VLOOKUP(A26,'[11]Linea Arquitectonica'!$A$4:$G$823,4,FALSE)</f>
        <v>25.39</v>
      </c>
      <c r="D26" s="22">
        <f>VLOOKUP(A26,'[11]Linea Arquitectonica'!A25:E846,5,FALSE)</f>
        <v>28.69</v>
      </c>
      <c r="E26" s="22">
        <f>VLOOKUP(A26,'[11]Linea Arquitectonica'!A25:F846,6,FALSE)</f>
        <v>44.69</v>
      </c>
      <c r="F26" s="22">
        <f>VLOOKUP(A26,'[11]Linea Arquitectonica'!A25:G846,7,FALSE)</f>
        <v>50.5</v>
      </c>
    </row>
    <row r="27" spans="1:6" x14ac:dyDescent="0.3">
      <c r="A27" s="21" t="s">
        <v>39</v>
      </c>
      <c r="B27" s="37" t="s">
        <v>40</v>
      </c>
      <c r="C27" s="22">
        <f>VLOOKUP(A27,'[11]Linea Arquitectonica'!$A$4:$G$823,4,FALSE)</f>
        <v>25.39</v>
      </c>
      <c r="D27" s="22">
        <f>VLOOKUP(A27,'[11]Linea Arquitectonica'!A26:E847,5,FALSE)</f>
        <v>28.69</v>
      </c>
      <c r="E27" s="22">
        <f>VLOOKUP(A27,'[11]Linea Arquitectonica'!A26:F847,6,FALSE)</f>
        <v>44.69</v>
      </c>
      <c r="F27" s="22">
        <f>VLOOKUP(A27,'[11]Linea Arquitectonica'!A26:G847,7,FALSE)</f>
        <v>50.5</v>
      </c>
    </row>
    <row r="28" spans="1:6" x14ac:dyDescent="0.3">
      <c r="A28" s="21" t="s">
        <v>41</v>
      </c>
      <c r="B28" s="37" t="s">
        <v>42</v>
      </c>
      <c r="C28" s="22">
        <f>VLOOKUP(A28,'[11]Linea Arquitectonica'!$A$4:$G$823,4,FALSE)</f>
        <v>25.39</v>
      </c>
      <c r="D28" s="22">
        <f>VLOOKUP(A28,'[11]Linea Arquitectonica'!A26:E848,5,FALSE)</f>
        <v>28.69</v>
      </c>
      <c r="E28" s="22">
        <f>VLOOKUP(A28,'[11]Linea Arquitectonica'!A26:F848,6,FALSE)</f>
        <v>44.69</v>
      </c>
      <c r="F28" s="22">
        <f>VLOOKUP(A28,'[11]Linea Arquitectonica'!A26:G848,7,FALSE)</f>
        <v>50.5</v>
      </c>
    </row>
    <row r="29" spans="1:6" x14ac:dyDescent="0.3">
      <c r="A29" s="21" t="s">
        <v>43</v>
      </c>
      <c r="B29" s="37" t="s">
        <v>3228</v>
      </c>
      <c r="C29" s="22">
        <f>VLOOKUP(A29,'[11]Linea Arquitectonica'!$A$4:$G$823,4,FALSE)</f>
        <v>40.07</v>
      </c>
      <c r="D29" s="22">
        <f>VLOOKUP(A29,'[11]Linea Arquitectonica'!A27:E849,5,FALSE)</f>
        <v>45.28</v>
      </c>
      <c r="E29" s="22">
        <f>VLOOKUP(A29,'[11]Linea Arquitectonica'!A27:F849,6,FALSE)</f>
        <v>66.28</v>
      </c>
      <c r="F29" s="22">
        <f>VLOOKUP(A29,'[11]Linea Arquitectonica'!A27:G849,7,FALSE)</f>
        <v>74.900000000000006</v>
      </c>
    </row>
    <row r="30" spans="1:6" x14ac:dyDescent="0.3">
      <c r="A30" s="21" t="s">
        <v>3229</v>
      </c>
      <c r="B30" s="37" t="s">
        <v>47</v>
      </c>
      <c r="C30" s="22">
        <f>VLOOKUP(A30,'[11]Linea Arquitectonica'!$A$4:$G$823,4,FALSE)</f>
        <v>7.63</v>
      </c>
      <c r="D30" s="22">
        <f>VLOOKUP(A30,'[11]Linea Arquitectonica'!A28:E850,5,FALSE)</f>
        <v>8.6199999999999992</v>
      </c>
      <c r="E30" s="22">
        <f>VLOOKUP(A30,'[11]Linea Arquitectonica'!A28:F850,6,FALSE)</f>
        <v>11.95</v>
      </c>
      <c r="F30" s="22">
        <f>VLOOKUP(A30,'[11]Linea Arquitectonica'!A28:G850,7,FALSE)</f>
        <v>13.5</v>
      </c>
    </row>
    <row r="31" spans="1:6" x14ac:dyDescent="0.3">
      <c r="A31" s="21" t="s">
        <v>3230</v>
      </c>
      <c r="B31" s="37" t="s">
        <v>49</v>
      </c>
      <c r="C31" s="22">
        <f>VLOOKUP(A31,'[11]Linea Arquitectonica'!$A$4:$G$823,4,FALSE)</f>
        <v>6.63</v>
      </c>
      <c r="D31" s="22">
        <f>VLOOKUP(A31,'[11]Linea Arquitectonica'!A29:E851,5,FALSE)</f>
        <v>7.49</v>
      </c>
      <c r="E31" s="22">
        <f>VLOOKUP(A31,'[11]Linea Arquitectonica'!A29:F851,6,FALSE)</f>
        <v>11.95</v>
      </c>
      <c r="F31" s="22">
        <f>VLOOKUP(A31,'[11]Linea Arquitectonica'!A29:G851,7,FALSE)</f>
        <v>13.5</v>
      </c>
    </row>
    <row r="32" spans="1:6" x14ac:dyDescent="0.3">
      <c r="A32" s="21" t="s">
        <v>3231</v>
      </c>
      <c r="B32" s="37" t="s">
        <v>51</v>
      </c>
      <c r="C32" s="22">
        <f>VLOOKUP(A32,'[11]Linea Arquitectonica'!$A$4:$G$823,4,FALSE)</f>
        <v>6.63</v>
      </c>
      <c r="D32" s="22">
        <f>VLOOKUP(A32,'[11]Linea Arquitectonica'!A30:E852,5,FALSE)</f>
        <v>7.49</v>
      </c>
      <c r="E32" s="22">
        <f>VLOOKUP(A32,'[11]Linea Arquitectonica'!A30:F852,6,FALSE)</f>
        <v>11.95</v>
      </c>
      <c r="F32" s="22">
        <f>VLOOKUP(A32,'[11]Linea Arquitectonica'!A30:G852,7,FALSE)</f>
        <v>13.5</v>
      </c>
    </row>
    <row r="33" spans="1:6" x14ac:dyDescent="0.3">
      <c r="A33" s="21" t="s">
        <v>44</v>
      </c>
      <c r="B33" s="37" t="s">
        <v>45</v>
      </c>
      <c r="C33" s="22">
        <f>VLOOKUP(A33,'[11]Linea Arquitectonica'!$A$4:$G$823,4,FALSE)</f>
        <v>28.58</v>
      </c>
      <c r="D33" s="22">
        <f>VLOOKUP(A33,'[11]Linea Arquitectonica'!A31:E853,5,FALSE)</f>
        <v>32.299999999999997</v>
      </c>
      <c r="E33" s="22">
        <f>VLOOKUP(A33,'[11]Linea Arquitectonica'!A31:F853,6,FALSE)</f>
        <v>42.04</v>
      </c>
      <c r="F33" s="22">
        <f>VLOOKUP(A33,'[11]Linea Arquitectonica'!A31:G853,7,FALSE)</f>
        <v>47.5</v>
      </c>
    </row>
    <row r="34" spans="1:6" x14ac:dyDescent="0.3">
      <c r="A34" s="21" t="s">
        <v>46</v>
      </c>
      <c r="B34" s="37" t="s">
        <v>47</v>
      </c>
      <c r="C34" s="22">
        <f>VLOOKUP(A34,'[11]Linea Arquitectonica'!$A$4:$G$823,4,FALSE)</f>
        <v>27.09</v>
      </c>
      <c r="D34" s="22">
        <f>VLOOKUP(A34,'[11]Linea Arquitectonica'!A32:E854,5,FALSE)</f>
        <v>30.61</v>
      </c>
      <c r="E34" s="22">
        <f>VLOOKUP(A34,'[11]Linea Arquitectonica'!A32:F854,6,FALSE)</f>
        <v>42.04</v>
      </c>
      <c r="F34" s="22">
        <f>VLOOKUP(A34,'[11]Linea Arquitectonica'!A32:G854,7,FALSE)</f>
        <v>47.5</v>
      </c>
    </row>
    <row r="35" spans="1:6" x14ac:dyDescent="0.3">
      <c r="A35" s="21" t="s">
        <v>48</v>
      </c>
      <c r="B35" s="37" t="s">
        <v>49</v>
      </c>
      <c r="C35" s="22">
        <f>VLOOKUP(A35,'[11]Linea Arquitectonica'!$A$4:$G$823,4,FALSE)</f>
        <v>23.58</v>
      </c>
      <c r="D35" s="22">
        <f>VLOOKUP(A35,'[11]Linea Arquitectonica'!A32:E855,5,FALSE)</f>
        <v>26.65</v>
      </c>
      <c r="E35" s="22">
        <f>VLOOKUP(A35,'[11]Linea Arquitectonica'!A32:F855,6,FALSE)</f>
        <v>42.04</v>
      </c>
      <c r="F35" s="22">
        <f>VLOOKUP(A35,'[11]Linea Arquitectonica'!A32:G855,7,FALSE)</f>
        <v>47.5</v>
      </c>
    </row>
    <row r="36" spans="1:6" x14ac:dyDescent="0.3">
      <c r="A36" s="21" t="s">
        <v>50</v>
      </c>
      <c r="B36" s="37" t="s">
        <v>51</v>
      </c>
      <c r="C36" s="22">
        <f>VLOOKUP(A36,'[11]Linea Arquitectonica'!$A$4:$G$823,4,FALSE)</f>
        <v>23.58</v>
      </c>
      <c r="D36" s="22">
        <f>VLOOKUP(A36,'[11]Linea Arquitectonica'!A32:E856,5,FALSE)</f>
        <v>26.65</v>
      </c>
      <c r="E36" s="22">
        <f>VLOOKUP(A36,'[11]Linea Arquitectonica'!A32:F856,6,FALSE)</f>
        <v>42.04</v>
      </c>
      <c r="F36" s="22">
        <f>VLOOKUP(A36,'[11]Linea Arquitectonica'!A32:G856,7,FALSE)</f>
        <v>47.5</v>
      </c>
    </row>
    <row r="37" spans="1:6" x14ac:dyDescent="0.3">
      <c r="A37" s="21" t="s">
        <v>52</v>
      </c>
      <c r="B37" s="37" t="s">
        <v>45</v>
      </c>
      <c r="C37" s="22">
        <f>VLOOKUP(A37,'[11]Linea Arquitectonica'!$A$4:$G$823,4,FALSE)</f>
        <v>136</v>
      </c>
      <c r="D37" s="22">
        <f>VLOOKUP(A37,'[11]Linea Arquitectonica'!A33:E857,5,FALSE)</f>
        <v>153.68</v>
      </c>
      <c r="E37" s="22">
        <f>VLOOKUP(A37,'[11]Linea Arquitectonica'!A33:F857,6,FALSE)</f>
        <v>200</v>
      </c>
      <c r="F37" s="22">
        <f>VLOOKUP(A37,'[11]Linea Arquitectonica'!A33:G857,7,FALSE)</f>
        <v>226</v>
      </c>
    </row>
    <row r="38" spans="1:6" x14ac:dyDescent="0.3">
      <c r="A38" s="21" t="s">
        <v>53</v>
      </c>
      <c r="B38" s="37" t="s">
        <v>47</v>
      </c>
      <c r="C38" s="22">
        <f>VLOOKUP(A38,'[11]Linea Arquitectonica'!$A$4:$G$823,4,FALSE)</f>
        <v>128.5</v>
      </c>
      <c r="D38" s="22">
        <f>VLOOKUP(A38,'[11]Linea Arquitectonica'!A34:E858,5,FALSE)</f>
        <v>145.21</v>
      </c>
      <c r="E38" s="22">
        <f>VLOOKUP(A38,'[11]Linea Arquitectonica'!A34:F858,6,FALSE)</f>
        <v>200</v>
      </c>
      <c r="F38" s="22">
        <f>VLOOKUP(A38,'[11]Linea Arquitectonica'!A34:G858,7,FALSE)</f>
        <v>226</v>
      </c>
    </row>
    <row r="39" spans="1:6" x14ac:dyDescent="0.3">
      <c r="A39" s="21" t="s">
        <v>54</v>
      </c>
      <c r="B39" s="37" t="s">
        <v>49</v>
      </c>
      <c r="C39" s="22">
        <f>VLOOKUP(A39,'[11]Linea Arquitectonica'!$A$4:$G$823,4,FALSE)</f>
        <v>111</v>
      </c>
      <c r="D39" s="22">
        <f>VLOOKUP(A39,'[11]Linea Arquitectonica'!A35:E859,5,FALSE)</f>
        <v>125.43</v>
      </c>
      <c r="E39" s="22">
        <f>VLOOKUP(A39,'[11]Linea Arquitectonica'!A35:F859,6,FALSE)</f>
        <v>200</v>
      </c>
      <c r="F39" s="22">
        <f>VLOOKUP(A39,'[11]Linea Arquitectonica'!A35:G859,7,FALSE)</f>
        <v>226</v>
      </c>
    </row>
    <row r="40" spans="1:6" x14ac:dyDescent="0.3">
      <c r="A40" s="21" t="s">
        <v>55</v>
      </c>
      <c r="B40" s="37" t="s">
        <v>51</v>
      </c>
      <c r="C40" s="22">
        <f>VLOOKUP(A40,'[11]Linea Arquitectonica'!$A$4:$G$823,4,FALSE)</f>
        <v>111</v>
      </c>
      <c r="D40" s="22">
        <f>VLOOKUP(A40,'[11]Linea Arquitectonica'!A36:E860,5,FALSE)</f>
        <v>125.43</v>
      </c>
      <c r="E40" s="22">
        <f>VLOOKUP(A40,'[11]Linea Arquitectonica'!A36:F860,6,FALSE)</f>
        <v>200</v>
      </c>
      <c r="F40" s="22">
        <f>VLOOKUP(A40,'[11]Linea Arquitectonica'!A36:G860,7,FALSE)</f>
        <v>226</v>
      </c>
    </row>
    <row r="41" spans="1:6" x14ac:dyDescent="0.3">
      <c r="A41" s="21" t="s">
        <v>3232</v>
      </c>
      <c r="B41" s="37" t="s">
        <v>3233</v>
      </c>
      <c r="C41" s="22">
        <f>VLOOKUP(A41,'[11]Linea Arquitectonica'!$A$4:$G$823,4,FALSE)</f>
        <v>29.79</v>
      </c>
      <c r="D41" s="22">
        <f>VLOOKUP(A41,'[11]Linea Arquitectonica'!A37:E861,5,FALSE)</f>
        <v>33.659999999999997</v>
      </c>
      <c r="E41" s="22">
        <f>VLOOKUP(A41,'[11]Linea Arquitectonica'!A37:F861,6,FALSE)</f>
        <v>43.81</v>
      </c>
      <c r="F41" s="22">
        <f>VLOOKUP(A41,'[11]Linea Arquitectonica'!A37:G861,7,FALSE)</f>
        <v>49.5</v>
      </c>
    </row>
    <row r="42" spans="1:6" x14ac:dyDescent="0.3">
      <c r="A42" s="21" t="s">
        <v>3234</v>
      </c>
      <c r="B42" s="37" t="s">
        <v>3235</v>
      </c>
      <c r="C42" s="22">
        <f>VLOOKUP(A42,'[11]Linea Arquitectonica'!$A$4:$G$823,4,FALSE)</f>
        <v>24.79</v>
      </c>
      <c r="D42" s="22">
        <f>VLOOKUP(A42,'[11]Linea Arquitectonica'!A38:E862,5,FALSE)</f>
        <v>28.01</v>
      </c>
      <c r="E42" s="22">
        <f>VLOOKUP(A42,'[11]Linea Arquitectonica'!A38:F862,6,FALSE)</f>
        <v>43.81</v>
      </c>
      <c r="F42" s="22">
        <f>VLOOKUP(A42,'[11]Linea Arquitectonica'!A38:G862,7,FALSE)</f>
        <v>49.5</v>
      </c>
    </row>
    <row r="43" spans="1:6" x14ac:dyDescent="0.3">
      <c r="A43" s="21" t="s">
        <v>3236</v>
      </c>
      <c r="B43" s="37" t="s">
        <v>3237</v>
      </c>
      <c r="C43" s="22">
        <f>VLOOKUP(A43,'[11]Linea Arquitectonica'!$A$4:$G$823,4,FALSE)</f>
        <v>28.29</v>
      </c>
      <c r="D43" s="22">
        <f>VLOOKUP(A43,'[11]Linea Arquitectonica'!A39:E863,5,FALSE)</f>
        <v>31.97</v>
      </c>
      <c r="E43" s="22">
        <f>VLOOKUP(A43,'[11]Linea Arquitectonica'!A39:F863,6,FALSE)</f>
        <v>43.81</v>
      </c>
      <c r="F43" s="22">
        <f>VLOOKUP(A43,'[11]Linea Arquitectonica'!A39:G863,7,FALSE)</f>
        <v>49.5</v>
      </c>
    </row>
    <row r="44" spans="1:6" x14ac:dyDescent="0.3">
      <c r="A44" s="21" t="s">
        <v>3238</v>
      </c>
      <c r="B44" s="37" t="s">
        <v>3239</v>
      </c>
      <c r="C44" s="22">
        <f>VLOOKUP(A44,'[11]Linea Arquitectonica'!$A$4:$G$823,4,FALSE)</f>
        <v>24.79</v>
      </c>
      <c r="D44" s="22">
        <f>VLOOKUP(A44,'[11]Linea Arquitectonica'!A40:E864,5,FALSE)</f>
        <v>28.01</v>
      </c>
      <c r="E44" s="22">
        <f>VLOOKUP(A44,'[11]Linea Arquitectonica'!A40:F864,6,FALSE)</f>
        <v>43.81</v>
      </c>
      <c r="F44" s="22">
        <f>VLOOKUP(A44,'[11]Linea Arquitectonica'!A40:G864,7,FALSE)</f>
        <v>49.5</v>
      </c>
    </row>
    <row r="45" spans="1:6" x14ac:dyDescent="0.3">
      <c r="A45" s="21" t="s">
        <v>3240</v>
      </c>
      <c r="B45" s="37" t="s">
        <v>3233</v>
      </c>
      <c r="C45" s="22">
        <f>VLOOKUP(A45,'[11]Linea Arquitectonica'!$A$4:$G$823,4,FALSE)</f>
        <v>138.41</v>
      </c>
      <c r="D45" s="22">
        <f>VLOOKUP(A45,'[11]Linea Arquitectonica'!A41:E865,5,FALSE)</f>
        <v>156.4</v>
      </c>
      <c r="E45" s="22">
        <f>VLOOKUP(A45,'[11]Linea Arquitectonica'!A41:F865,6,FALSE)</f>
        <v>203.54</v>
      </c>
      <c r="F45" s="22">
        <f>VLOOKUP(A45,'[11]Linea Arquitectonica'!A41:G865,7,FALSE)</f>
        <v>230</v>
      </c>
    </row>
    <row r="46" spans="1:6" x14ac:dyDescent="0.3">
      <c r="A46" s="21" t="s">
        <v>3241</v>
      </c>
      <c r="B46" s="37" t="s">
        <v>3235</v>
      </c>
      <c r="C46" s="22">
        <f>VLOOKUP(A46,'[11]Linea Arquitectonica'!$A$4:$G$823,4,FALSE)</f>
        <v>113.41</v>
      </c>
      <c r="D46" s="22">
        <f>VLOOKUP(A46,'[11]Linea Arquitectonica'!A42:E866,5,FALSE)</f>
        <v>128.15</v>
      </c>
      <c r="E46" s="22">
        <f>VLOOKUP(A46,'[11]Linea Arquitectonica'!A42:F866,6,FALSE)</f>
        <v>203.54</v>
      </c>
      <c r="F46" s="22">
        <f>VLOOKUP(A46,'[11]Linea Arquitectonica'!A42:G866,7,FALSE)</f>
        <v>230</v>
      </c>
    </row>
    <row r="47" spans="1:6" x14ac:dyDescent="0.3">
      <c r="A47" s="21" t="s">
        <v>3242</v>
      </c>
      <c r="B47" s="37" t="s">
        <v>3237</v>
      </c>
      <c r="C47" s="22">
        <f>VLOOKUP(A47,'[11]Linea Arquitectonica'!$A$4:$G$823,4,FALSE)</f>
        <v>130.91</v>
      </c>
      <c r="D47" s="22">
        <f>VLOOKUP(A47,'[11]Linea Arquitectonica'!A43:E867,5,FALSE)</f>
        <v>147.93</v>
      </c>
      <c r="E47" s="22">
        <f>VLOOKUP(A47,'[11]Linea Arquitectonica'!A43:F867,6,FALSE)</f>
        <v>203.54</v>
      </c>
      <c r="F47" s="22">
        <f>VLOOKUP(A47,'[11]Linea Arquitectonica'!A43:G867,7,FALSE)</f>
        <v>230</v>
      </c>
    </row>
    <row r="48" spans="1:6" x14ac:dyDescent="0.3">
      <c r="A48" s="21" t="s">
        <v>3243</v>
      </c>
      <c r="B48" s="37" t="s">
        <v>3239</v>
      </c>
      <c r="C48" s="22">
        <f>VLOOKUP(A48,'[11]Linea Arquitectonica'!$A$4:$G$823,4,FALSE)</f>
        <v>113.41</v>
      </c>
      <c r="D48" s="22">
        <f>VLOOKUP(A48,'[11]Linea Arquitectonica'!A44:E868,5,FALSE)</f>
        <v>128.15</v>
      </c>
      <c r="E48" s="22">
        <f>VLOOKUP(A48,'[11]Linea Arquitectonica'!A44:F868,6,FALSE)</f>
        <v>203.54</v>
      </c>
      <c r="F48" s="22">
        <f>VLOOKUP(A48,'[11]Linea Arquitectonica'!A44:G868,7,FALSE)</f>
        <v>230</v>
      </c>
    </row>
    <row r="49" spans="1:6" x14ac:dyDescent="0.3">
      <c r="A49" s="21" t="s">
        <v>3244</v>
      </c>
      <c r="B49" s="37" t="s">
        <v>64</v>
      </c>
      <c r="C49" s="22">
        <f>VLOOKUP(A49,'[11]Linea Arquitectonica'!$A$4:$G$823,4,FALSE)</f>
        <v>8.9600000000000009</v>
      </c>
      <c r="D49" s="22">
        <f>VLOOKUP(A49,'[11]Linea Arquitectonica'!A45:E869,5,FALSE)</f>
        <v>10.130000000000001</v>
      </c>
      <c r="E49" s="22">
        <f>VLOOKUP(A49,'[11]Linea Arquitectonica'!A45:F869,6,FALSE)</f>
        <v>13.19</v>
      </c>
      <c r="F49" s="22">
        <f>VLOOKUP(A49,'[11]Linea Arquitectonica'!A45:G869,7,FALSE)</f>
        <v>14.9</v>
      </c>
    </row>
    <row r="50" spans="1:6" x14ac:dyDescent="0.3">
      <c r="A50" s="21" t="s">
        <v>3245</v>
      </c>
      <c r="B50" s="37" t="s">
        <v>58</v>
      </c>
      <c r="C50" s="22">
        <f>VLOOKUP(A50,'[11]Linea Arquitectonica'!$A$4:$G$823,4,FALSE)</f>
        <v>8.4700000000000006</v>
      </c>
      <c r="D50" s="22">
        <f>VLOOKUP(A50,'[11]Linea Arquitectonica'!A46:E870,5,FALSE)</f>
        <v>9.57</v>
      </c>
      <c r="E50" s="22">
        <f>VLOOKUP(A50,'[11]Linea Arquitectonica'!A46:F870,6,FALSE)</f>
        <v>13.19</v>
      </c>
      <c r="F50" s="22">
        <f>VLOOKUP(A50,'[11]Linea Arquitectonica'!A46:G870,7,FALSE)</f>
        <v>14.9</v>
      </c>
    </row>
    <row r="51" spans="1:6" x14ac:dyDescent="0.3">
      <c r="A51" s="21" t="s">
        <v>3246</v>
      </c>
      <c r="B51" s="37" t="s">
        <v>60</v>
      </c>
      <c r="C51" s="22">
        <f>VLOOKUP(A51,'[11]Linea Arquitectonica'!$A$4:$G$823,4,FALSE)</f>
        <v>7.47</v>
      </c>
      <c r="D51" s="22">
        <f>VLOOKUP(A51,'[11]Linea Arquitectonica'!A46:E871,5,FALSE)</f>
        <v>8.44</v>
      </c>
      <c r="E51" s="22">
        <f>VLOOKUP(A51,'[11]Linea Arquitectonica'!A46:F871,6,FALSE)</f>
        <v>13.19</v>
      </c>
      <c r="F51" s="22">
        <f>VLOOKUP(A51,'[11]Linea Arquitectonica'!A46:G871,7,FALSE)</f>
        <v>14.9</v>
      </c>
    </row>
    <row r="52" spans="1:6" x14ac:dyDescent="0.3">
      <c r="A52" s="21" t="s">
        <v>3247</v>
      </c>
      <c r="B52" s="37" t="s">
        <v>3248</v>
      </c>
      <c r="C52" s="22">
        <f>VLOOKUP(A52,'[11]Linea Arquitectonica'!$A$4:$G$823,4,FALSE)</f>
        <v>7.47</v>
      </c>
      <c r="D52" s="22">
        <f>VLOOKUP(A52,'[11]Linea Arquitectonica'!A47:E872,5,FALSE)</f>
        <v>8.44</v>
      </c>
      <c r="E52" s="22">
        <f>VLOOKUP(A52,'[11]Linea Arquitectonica'!A47:F872,6,FALSE)</f>
        <v>13.19</v>
      </c>
      <c r="F52" s="22">
        <f>VLOOKUP(A52,'[11]Linea Arquitectonica'!A47:G872,7,FALSE)</f>
        <v>14.9</v>
      </c>
    </row>
    <row r="53" spans="1:6" x14ac:dyDescent="0.3">
      <c r="A53" s="21" t="s">
        <v>56</v>
      </c>
      <c r="B53" s="37" t="s">
        <v>3248</v>
      </c>
      <c r="C53" s="22">
        <f>VLOOKUP(A53,'[11]Linea Arquitectonica'!$A$4:$G$823,4,FALSE)</f>
        <v>25.39</v>
      </c>
      <c r="D53" s="22">
        <f>VLOOKUP(A53,'[11]Linea Arquitectonica'!A48:E873,5,FALSE)</f>
        <v>28.69</v>
      </c>
      <c r="E53" s="22">
        <f>VLOOKUP(A53,'[11]Linea Arquitectonica'!A48:F873,6,FALSE)</f>
        <v>44.69</v>
      </c>
      <c r="F53" s="22">
        <f>VLOOKUP(A53,'[11]Linea Arquitectonica'!A48:G873,7,FALSE)</f>
        <v>50.5</v>
      </c>
    </row>
    <row r="54" spans="1:6" x14ac:dyDescent="0.3">
      <c r="A54" s="21" t="s">
        <v>57</v>
      </c>
      <c r="B54" s="37" t="s">
        <v>58</v>
      </c>
      <c r="C54" s="22">
        <f>VLOOKUP(A54,'[11]Linea Arquitectonica'!$A$4:$G$823,4,FALSE)</f>
        <v>28.89</v>
      </c>
      <c r="D54" s="22">
        <f>VLOOKUP(A54,'[11]Linea Arquitectonica'!A49:E874,5,FALSE)</f>
        <v>32.65</v>
      </c>
      <c r="E54" s="22">
        <f>VLOOKUP(A54,'[11]Linea Arquitectonica'!A49:F874,6,FALSE)</f>
        <v>44.69</v>
      </c>
      <c r="F54" s="22">
        <f>VLOOKUP(A54,'[11]Linea Arquitectonica'!A49:G874,7,FALSE)</f>
        <v>50.5</v>
      </c>
    </row>
    <row r="55" spans="1:6" x14ac:dyDescent="0.3">
      <c r="A55" s="21" t="s">
        <v>59</v>
      </c>
      <c r="B55" s="37" t="s">
        <v>60</v>
      </c>
      <c r="C55" s="22">
        <f>VLOOKUP(A55,'[11]Linea Arquitectonica'!$A$4:$G$823,4,FALSE)</f>
        <v>25.39</v>
      </c>
      <c r="D55" s="22">
        <f>VLOOKUP(A55,'[11]Linea Arquitectonica'!A50:E875,5,FALSE)</f>
        <v>28.69</v>
      </c>
      <c r="E55" s="22">
        <f>VLOOKUP(A55,'[11]Linea Arquitectonica'!A50:F875,6,FALSE)</f>
        <v>44.69</v>
      </c>
      <c r="F55" s="22">
        <f>VLOOKUP(A55,'[11]Linea Arquitectonica'!A50:G875,7,FALSE)</f>
        <v>50.5</v>
      </c>
    </row>
    <row r="56" spans="1:6" x14ac:dyDescent="0.3">
      <c r="A56" s="21" t="s">
        <v>61</v>
      </c>
      <c r="B56" s="37" t="s">
        <v>62</v>
      </c>
      <c r="C56" s="22">
        <f>VLOOKUP(A56,'[11]Linea Arquitectonica'!$A$4:$G$823,4,FALSE)</f>
        <v>25.39</v>
      </c>
      <c r="D56" s="22">
        <f>VLOOKUP(A56,'[11]Linea Arquitectonica'!A51:E876,5,FALSE)</f>
        <v>28.69</v>
      </c>
      <c r="E56" s="22">
        <f>VLOOKUP(A56,'[11]Linea Arquitectonica'!A51:F876,6,FALSE)</f>
        <v>44.69</v>
      </c>
      <c r="F56" s="22">
        <f>VLOOKUP(A56,'[11]Linea Arquitectonica'!A51:G876,7,FALSE)</f>
        <v>50.5</v>
      </c>
    </row>
    <row r="57" spans="1:6" x14ac:dyDescent="0.3">
      <c r="A57" s="21" t="s">
        <v>63</v>
      </c>
      <c r="B57" s="37" t="s">
        <v>64</v>
      </c>
      <c r="C57" s="22">
        <f>VLOOKUP(A57,'[11]Linea Arquitectonica'!$A$4:$G$823,4,FALSE)</f>
        <v>30.39</v>
      </c>
      <c r="D57" s="22">
        <f>VLOOKUP(A57,'[11]Linea Arquitectonica'!A52:E877,5,FALSE)</f>
        <v>34.340000000000003</v>
      </c>
      <c r="E57" s="22">
        <f>VLOOKUP(A57,'[11]Linea Arquitectonica'!A52:F877,6,FALSE)</f>
        <v>44.69</v>
      </c>
      <c r="F57" s="22">
        <f>VLOOKUP(A57,'[11]Linea Arquitectonica'!A52:G877,7,FALSE)</f>
        <v>50.5</v>
      </c>
    </row>
    <row r="58" spans="1:6" x14ac:dyDescent="0.3">
      <c r="A58" s="21" t="s">
        <v>65</v>
      </c>
      <c r="B58" s="37" t="s">
        <v>3248</v>
      </c>
      <c r="C58" s="22">
        <f>VLOOKUP(A58,'[11]Linea Arquitectonica'!$A$4:$G$823,4,FALSE)</f>
        <v>117.62</v>
      </c>
      <c r="D58" s="22">
        <f>VLOOKUP(A58,'[11]Linea Arquitectonica'!A53:E878,5,FALSE)</f>
        <v>132.91</v>
      </c>
      <c r="E58" s="22">
        <f>VLOOKUP(A58,'[11]Linea Arquitectonica'!A53:F878,6,FALSE)</f>
        <v>209.73</v>
      </c>
      <c r="F58" s="22">
        <f>VLOOKUP(A58,'[11]Linea Arquitectonica'!A53:G878,7,FALSE)</f>
        <v>237</v>
      </c>
    </row>
    <row r="59" spans="1:6" x14ac:dyDescent="0.3">
      <c r="A59" s="21" t="s">
        <v>66</v>
      </c>
      <c r="B59" s="37" t="s">
        <v>58</v>
      </c>
      <c r="C59" s="22">
        <f>VLOOKUP(A59,'[11]Linea Arquitectonica'!$A$4:$G$823,4,FALSE)</f>
        <v>135.12</v>
      </c>
      <c r="D59" s="22">
        <f>VLOOKUP(A59,'[11]Linea Arquitectonica'!A53:E879,5,FALSE)</f>
        <v>152.69</v>
      </c>
      <c r="E59" s="22">
        <f>VLOOKUP(A59,'[11]Linea Arquitectonica'!A53:F879,6,FALSE)</f>
        <v>209.73</v>
      </c>
      <c r="F59" s="22">
        <f>VLOOKUP(A59,'[11]Linea Arquitectonica'!A53:G879,7,FALSE)</f>
        <v>237</v>
      </c>
    </row>
    <row r="60" spans="1:6" x14ac:dyDescent="0.3">
      <c r="A60" s="21" t="s">
        <v>67</v>
      </c>
      <c r="B60" s="37" t="s">
        <v>60</v>
      </c>
      <c r="C60" s="22">
        <f>VLOOKUP(A60,'[11]Linea Arquitectonica'!$A$4:$G$823,4,FALSE)</f>
        <v>117.62</v>
      </c>
      <c r="D60" s="22">
        <f>VLOOKUP(A60,'[11]Linea Arquitectonica'!A54:E880,5,FALSE)</f>
        <v>132.91</v>
      </c>
      <c r="E60" s="22">
        <f>VLOOKUP(A60,'[11]Linea Arquitectonica'!A54:F880,6,FALSE)</f>
        <v>209.73</v>
      </c>
      <c r="F60" s="22">
        <f>VLOOKUP(A60,'[11]Linea Arquitectonica'!A54:G880,7,FALSE)</f>
        <v>237</v>
      </c>
    </row>
    <row r="61" spans="1:6" x14ac:dyDescent="0.3">
      <c r="A61" s="21" t="s">
        <v>68</v>
      </c>
      <c r="B61" s="37" t="s">
        <v>62</v>
      </c>
      <c r="C61" s="22">
        <f>VLOOKUP(A61,'[11]Linea Arquitectonica'!$A$4:$G$823,4,FALSE)</f>
        <v>117.62</v>
      </c>
      <c r="D61" s="22">
        <f>VLOOKUP(A61,'[11]Linea Arquitectonica'!A55:E881,5,FALSE)</f>
        <v>132.91</v>
      </c>
      <c r="E61" s="22">
        <f>VLOOKUP(A61,'[11]Linea Arquitectonica'!A55:F881,6,FALSE)</f>
        <v>209.73</v>
      </c>
      <c r="F61" s="22">
        <f>VLOOKUP(A61,'[11]Linea Arquitectonica'!A55:G881,7,FALSE)</f>
        <v>237</v>
      </c>
    </row>
    <row r="62" spans="1:6" x14ac:dyDescent="0.3">
      <c r="A62" s="21" t="s">
        <v>69</v>
      </c>
      <c r="B62" s="37" t="s">
        <v>64</v>
      </c>
      <c r="C62" s="22">
        <f>VLOOKUP(A62,'[11]Linea Arquitectonica'!$A$4:$G$823,4,FALSE)</f>
        <v>142.62</v>
      </c>
      <c r="D62" s="22">
        <f>VLOOKUP(A62,'[11]Linea Arquitectonica'!A60:E882,5,FALSE)</f>
        <v>161.16</v>
      </c>
      <c r="E62" s="22">
        <f>VLOOKUP(A62,'[11]Linea Arquitectonica'!A60:F882,6,FALSE)</f>
        <v>209.73</v>
      </c>
      <c r="F62" s="22">
        <f>VLOOKUP(A62,'[11]Linea Arquitectonica'!A60:G882,7,FALSE)</f>
        <v>237</v>
      </c>
    </row>
    <row r="63" spans="1:6" x14ac:dyDescent="0.3">
      <c r="A63" s="21" t="s">
        <v>3249</v>
      </c>
      <c r="B63" s="37" t="s">
        <v>3250</v>
      </c>
      <c r="C63" s="22">
        <f>VLOOKUP(A63,'[11]Linea Arquitectonica'!$A$4:$G$823,4,FALSE)</f>
        <v>8.83</v>
      </c>
      <c r="D63" s="22">
        <f>VLOOKUP(A63,'[11]Linea Arquitectonica'!A61:E883,5,FALSE)</f>
        <v>9.98</v>
      </c>
      <c r="E63" s="22">
        <f>VLOOKUP(A63,'[11]Linea Arquitectonica'!A61:F883,6,FALSE)</f>
        <v>13.72</v>
      </c>
      <c r="F63" s="22">
        <f>VLOOKUP(A63,'[11]Linea Arquitectonica'!A61:G883,7,FALSE)</f>
        <v>15.5</v>
      </c>
    </row>
    <row r="64" spans="1:6" x14ac:dyDescent="0.3">
      <c r="A64" s="21" t="s">
        <v>3251</v>
      </c>
      <c r="B64" s="37" t="s">
        <v>74</v>
      </c>
      <c r="C64" s="22">
        <f>VLOOKUP(A64,'[11]Linea Arquitectonica'!$A$4:$G$823,4,FALSE)</f>
        <v>7.83</v>
      </c>
      <c r="D64" s="22">
        <f>VLOOKUP(A64,'[11]Linea Arquitectonica'!A62:E884,5,FALSE)</f>
        <v>8.85</v>
      </c>
      <c r="E64" s="22">
        <f>VLOOKUP(A64,'[11]Linea Arquitectonica'!A62:F884,6,FALSE)</f>
        <v>13.72</v>
      </c>
      <c r="F64" s="22">
        <f>VLOOKUP(A64,'[11]Linea Arquitectonica'!A62:G884,7,FALSE)</f>
        <v>15.5</v>
      </c>
    </row>
    <row r="65" spans="1:6" x14ac:dyDescent="0.3">
      <c r="A65" s="21" t="s">
        <v>3252</v>
      </c>
      <c r="B65" s="37" t="s">
        <v>71</v>
      </c>
      <c r="C65" s="22">
        <f>VLOOKUP(A65,'[11]Linea Arquitectonica'!$A$4:$G$823,4,FALSE)</f>
        <v>7.83</v>
      </c>
      <c r="D65" s="22">
        <f>VLOOKUP(A65,'[11]Linea Arquitectonica'!A63:E885,5,FALSE)</f>
        <v>8.85</v>
      </c>
      <c r="E65" s="22">
        <f>VLOOKUP(A65,'[11]Linea Arquitectonica'!A63:F885,6,FALSE)</f>
        <v>13.72</v>
      </c>
      <c r="F65" s="22">
        <f>VLOOKUP(A65,'[11]Linea Arquitectonica'!A63:G885,7,FALSE)</f>
        <v>15.5</v>
      </c>
    </row>
    <row r="66" spans="1:6" x14ac:dyDescent="0.3">
      <c r="A66" s="21" t="s">
        <v>70</v>
      </c>
      <c r="B66" s="37" t="s">
        <v>71</v>
      </c>
      <c r="C66" s="22">
        <f>VLOOKUP(A66,'[11]Linea Arquitectonica'!$A$4:$G$823,4,FALSE)</f>
        <v>26.59</v>
      </c>
      <c r="D66" s="22">
        <f>VLOOKUP(A66,'[11]Linea Arquitectonica'!A64:E886,5,FALSE)</f>
        <v>30.05</v>
      </c>
      <c r="E66" s="22">
        <f>VLOOKUP(A66,'[11]Linea Arquitectonica'!A64:F886,6,FALSE)</f>
        <v>46.46</v>
      </c>
      <c r="F66" s="22">
        <f>VLOOKUP(A66,'[11]Linea Arquitectonica'!A64:G886,7,FALSE)</f>
        <v>52.5</v>
      </c>
    </row>
    <row r="67" spans="1:6" x14ac:dyDescent="0.3">
      <c r="A67" s="21" t="s">
        <v>72</v>
      </c>
      <c r="B67" s="37" t="s">
        <v>3250</v>
      </c>
      <c r="C67" s="22">
        <f>VLOOKUP(A67,'[11]Linea Arquitectonica'!$A$4:$G$823,4,FALSE)</f>
        <v>30.1</v>
      </c>
      <c r="D67" s="22">
        <f>VLOOKUP(A67,'[11]Linea Arquitectonica'!A65:E887,5,FALSE)</f>
        <v>34.01</v>
      </c>
      <c r="E67" s="22">
        <f>VLOOKUP(A67,'[11]Linea Arquitectonica'!A65:F887,6,FALSE)</f>
        <v>46.46</v>
      </c>
      <c r="F67" s="22">
        <f>VLOOKUP(A67,'[11]Linea Arquitectonica'!A65:G887,7,FALSE)</f>
        <v>52.5</v>
      </c>
    </row>
    <row r="68" spans="1:6" x14ac:dyDescent="0.3">
      <c r="A68" s="21" t="s">
        <v>73</v>
      </c>
      <c r="B68" s="37" t="s">
        <v>74</v>
      </c>
      <c r="C68" s="22">
        <f>VLOOKUP(A68,'[11]Linea Arquitectonica'!$A$4:$G$823,4,FALSE)</f>
        <v>26.59</v>
      </c>
      <c r="D68" s="22">
        <f>VLOOKUP(A68,'[11]Linea Arquitectonica'!A66:E888,5,FALSE)</f>
        <v>30.05</v>
      </c>
      <c r="E68" s="22">
        <f>VLOOKUP(A68,'[11]Linea Arquitectonica'!A66:F888,6,FALSE)</f>
        <v>46.46</v>
      </c>
      <c r="F68" s="22">
        <f>VLOOKUP(A68,'[11]Linea Arquitectonica'!A66:G888,7,FALSE)</f>
        <v>52.5</v>
      </c>
    </row>
    <row r="69" spans="1:6" x14ac:dyDescent="0.3">
      <c r="A69" s="21" t="s">
        <v>75</v>
      </c>
      <c r="B69" s="37" t="s">
        <v>76</v>
      </c>
      <c r="C69" s="22">
        <f>VLOOKUP(A69,'[11]Linea Arquitectonica'!$A$4:$G$823,4,FALSE)</f>
        <v>26.59</v>
      </c>
      <c r="D69" s="22">
        <f>VLOOKUP(A69,'[11]Linea Arquitectonica'!A67:E889,5,FALSE)</f>
        <v>30.05</v>
      </c>
      <c r="E69" s="22">
        <f>VLOOKUP(A69,'[11]Linea Arquitectonica'!A67:F889,6,FALSE)</f>
        <v>46.46</v>
      </c>
      <c r="F69" s="22">
        <f>VLOOKUP(A69,'[11]Linea Arquitectonica'!A67:G889,7,FALSE)</f>
        <v>52.5</v>
      </c>
    </row>
    <row r="70" spans="1:6" x14ac:dyDescent="0.3">
      <c r="A70" s="21" t="s">
        <v>77</v>
      </c>
      <c r="B70" s="37" t="s">
        <v>78</v>
      </c>
      <c r="C70" s="22">
        <f>VLOOKUP(A70,'[11]Linea Arquitectonica'!$A$4:$G$823,4,FALSE)</f>
        <v>31.59</v>
      </c>
      <c r="D70" s="22">
        <f>VLOOKUP(A70,'[11]Linea Arquitectonica'!A68:E890,5,FALSE)</f>
        <v>35.700000000000003</v>
      </c>
      <c r="E70" s="22">
        <f>VLOOKUP(A70,'[11]Linea Arquitectonica'!A68:F890,6,FALSE)</f>
        <v>46.46</v>
      </c>
      <c r="F70" s="22">
        <f>VLOOKUP(A70,'[11]Linea Arquitectonica'!A68:G890,7,FALSE)</f>
        <v>52.5</v>
      </c>
    </row>
    <row r="71" spans="1:6" x14ac:dyDescent="0.3">
      <c r="A71" s="21" t="s">
        <v>79</v>
      </c>
      <c r="B71" s="37" t="s">
        <v>71</v>
      </c>
      <c r="C71" s="22">
        <f>VLOOKUP(A71,'[11]Linea Arquitectonica'!$A$4:$G$823,4,FALSE)</f>
        <v>118.82</v>
      </c>
      <c r="D71" s="22">
        <f>VLOOKUP(A71,'[11]Linea Arquitectonica'!A69:E891,5,FALSE)</f>
        <v>134.27000000000001</v>
      </c>
      <c r="E71" s="22">
        <f>VLOOKUP(A71,'[11]Linea Arquitectonica'!A69:F891,6,FALSE)</f>
        <v>211.5</v>
      </c>
      <c r="F71" s="22">
        <f>VLOOKUP(A71,'[11]Linea Arquitectonica'!A69:G891,7,FALSE)</f>
        <v>239</v>
      </c>
    </row>
    <row r="72" spans="1:6" x14ac:dyDescent="0.3">
      <c r="A72" s="21" t="s">
        <v>80</v>
      </c>
      <c r="B72" s="37" t="s">
        <v>3250</v>
      </c>
      <c r="C72" s="22">
        <f>VLOOKUP(A72,'[11]Linea Arquitectonica'!$A$4:$G$823,4,FALSE)</f>
        <v>136.33000000000001</v>
      </c>
      <c r="D72" s="22">
        <f>VLOOKUP(A72,'[11]Linea Arquitectonica'!A70:E892,5,FALSE)</f>
        <v>154.05000000000001</v>
      </c>
      <c r="E72" s="22">
        <f>VLOOKUP(A72,'[11]Linea Arquitectonica'!A70:F892,6,FALSE)</f>
        <v>211.5</v>
      </c>
      <c r="F72" s="22">
        <f>VLOOKUP(A72,'[11]Linea Arquitectonica'!A70:G892,7,FALSE)</f>
        <v>239</v>
      </c>
    </row>
    <row r="73" spans="1:6" x14ac:dyDescent="0.3">
      <c r="A73" s="21" t="s">
        <v>81</v>
      </c>
      <c r="B73" s="37" t="s">
        <v>74</v>
      </c>
      <c r="C73" s="22">
        <f>VLOOKUP(A73,'[11]Linea Arquitectonica'!$A$4:$G$823,4,FALSE)</f>
        <v>118.82</v>
      </c>
      <c r="D73" s="22">
        <f>VLOOKUP(A73,'[11]Linea Arquitectonica'!A71:E893,5,FALSE)</f>
        <v>134.27000000000001</v>
      </c>
      <c r="E73" s="22">
        <f>VLOOKUP(A73,'[11]Linea Arquitectonica'!A71:F893,6,FALSE)</f>
        <v>211.5</v>
      </c>
      <c r="F73" s="22">
        <f>VLOOKUP(A73,'[11]Linea Arquitectonica'!A71:G893,7,FALSE)</f>
        <v>239</v>
      </c>
    </row>
    <row r="74" spans="1:6" x14ac:dyDescent="0.3">
      <c r="A74" s="21" t="s">
        <v>82</v>
      </c>
      <c r="B74" s="37" t="s">
        <v>76</v>
      </c>
      <c r="C74" s="22">
        <f>VLOOKUP(A74,'[11]Linea Arquitectonica'!$A$4:$G$823,4,FALSE)</f>
        <v>118.82</v>
      </c>
      <c r="D74" s="22">
        <f>VLOOKUP(A74,'[11]Linea Arquitectonica'!A72:E894,5,FALSE)</f>
        <v>134.27000000000001</v>
      </c>
      <c r="E74" s="22">
        <f>VLOOKUP(A74,'[11]Linea Arquitectonica'!A72:F894,6,FALSE)</f>
        <v>211.5</v>
      </c>
      <c r="F74" s="22">
        <f>VLOOKUP(A74,'[11]Linea Arquitectonica'!A72:G894,7,FALSE)</f>
        <v>239</v>
      </c>
    </row>
    <row r="75" spans="1:6" x14ac:dyDescent="0.3">
      <c r="A75" s="21" t="s">
        <v>83</v>
      </c>
      <c r="B75" s="37" t="s">
        <v>78</v>
      </c>
      <c r="C75" s="22">
        <f>VLOOKUP(A75,'[11]Linea Arquitectonica'!$A$4:$G$823,4,FALSE)</f>
        <v>143.82</v>
      </c>
      <c r="D75" s="22">
        <f>VLOOKUP(A75,'[11]Linea Arquitectonica'!A73:E895,5,FALSE)</f>
        <v>162.52000000000001</v>
      </c>
      <c r="E75" s="22">
        <f>VLOOKUP(A75,'[11]Linea Arquitectonica'!A73:F895,6,FALSE)</f>
        <v>211.5</v>
      </c>
      <c r="F75" s="22">
        <f>VLOOKUP(A75,'[11]Linea Arquitectonica'!A73:G895,7,FALSE)</f>
        <v>239</v>
      </c>
    </row>
    <row r="76" spans="1:6" x14ac:dyDescent="0.3">
      <c r="A76" s="24" t="s">
        <v>84</v>
      </c>
      <c r="B76" s="37" t="s">
        <v>3253</v>
      </c>
      <c r="C76" s="22">
        <f>VLOOKUP(A76,'[11]Linea Arquitectonica'!$A$4:$G$823,4,FALSE)</f>
        <v>23.23</v>
      </c>
      <c r="D76" s="22">
        <f>VLOOKUP(A76,'[11]Linea Arquitectonica'!A74:E896,5,FALSE)</f>
        <v>26.25</v>
      </c>
      <c r="E76" s="22">
        <f>VLOOKUP(A76,'[11]Linea Arquitectonica'!A74:F896,6,FALSE)</f>
        <v>33.19</v>
      </c>
      <c r="F76" s="22">
        <f>VLOOKUP(A76,'[11]Linea Arquitectonica'!A74:G896,7,FALSE)</f>
        <v>37.5</v>
      </c>
    </row>
    <row r="77" spans="1:6" x14ac:dyDescent="0.3">
      <c r="A77" s="24" t="s">
        <v>85</v>
      </c>
      <c r="B77" s="37" t="s">
        <v>3254</v>
      </c>
      <c r="C77" s="22">
        <f>VLOOKUP(A77,'[11]Linea Arquitectonica'!$A$4:$G$823,4,FALSE)</f>
        <v>21.73</v>
      </c>
      <c r="D77" s="22">
        <f>VLOOKUP(A77,'[11]Linea Arquitectonica'!A75:E897,5,FALSE)</f>
        <v>24.56</v>
      </c>
      <c r="E77" s="22">
        <f>VLOOKUP(A77,'[11]Linea Arquitectonica'!A75:F897,6,FALSE)</f>
        <v>33.19</v>
      </c>
      <c r="F77" s="22">
        <f>VLOOKUP(A77,'[11]Linea Arquitectonica'!A75:G897,7,FALSE)</f>
        <v>37.5</v>
      </c>
    </row>
    <row r="78" spans="1:6" x14ac:dyDescent="0.3">
      <c r="A78" s="24" t="s">
        <v>86</v>
      </c>
      <c r="B78" s="37" t="s">
        <v>3255</v>
      </c>
      <c r="C78" s="22">
        <f>VLOOKUP(A78,'[11]Linea Arquitectonica'!$A$4:$G$823,4,FALSE)</f>
        <v>18.23</v>
      </c>
      <c r="D78" s="22">
        <f>VLOOKUP(A78,'[11]Linea Arquitectonica'!A76:E898,5,FALSE)</f>
        <v>20.6</v>
      </c>
      <c r="E78" s="22">
        <f>VLOOKUP(A78,'[11]Linea Arquitectonica'!A76:F898,6,FALSE)</f>
        <v>33.19</v>
      </c>
      <c r="F78" s="22">
        <f>VLOOKUP(A78,'[11]Linea Arquitectonica'!A76:G898,7,FALSE)</f>
        <v>37.5</v>
      </c>
    </row>
    <row r="79" spans="1:6" x14ac:dyDescent="0.3">
      <c r="A79" s="24" t="s">
        <v>87</v>
      </c>
      <c r="B79" s="37" t="s">
        <v>3256</v>
      </c>
      <c r="C79" s="22">
        <f>VLOOKUP(A79,'[11]Linea Arquitectonica'!$A$4:$G$823,4,FALSE)</f>
        <v>18.23</v>
      </c>
      <c r="D79" s="22">
        <f>VLOOKUP(A79,'[11]Linea Arquitectonica'!A77:E899,5,FALSE)</f>
        <v>20.6</v>
      </c>
      <c r="E79" s="22">
        <f>VLOOKUP(A79,'[11]Linea Arquitectonica'!A77:F899,6,FALSE)</f>
        <v>33.19</v>
      </c>
      <c r="F79" s="22">
        <f>VLOOKUP(A79,'[11]Linea Arquitectonica'!A77:G899,7,FALSE)</f>
        <v>37.5</v>
      </c>
    </row>
    <row r="80" spans="1:6" x14ac:dyDescent="0.3">
      <c r="A80" s="24" t="s">
        <v>88</v>
      </c>
      <c r="B80" s="37" t="s">
        <v>3253</v>
      </c>
      <c r="C80" s="22">
        <f>VLOOKUP(A80,'[11]Linea Arquitectonica'!$A$4:$G$823,4,FALSE)</f>
        <v>100.35</v>
      </c>
      <c r="D80" s="22">
        <f>VLOOKUP(A80,'[11]Linea Arquitectonica'!A77:E900,5,FALSE)</f>
        <v>113.4</v>
      </c>
      <c r="E80" s="22">
        <f>VLOOKUP(A80,'[11]Linea Arquitectonica'!A77:F900,6,FALSE)</f>
        <v>143.36000000000001</v>
      </c>
      <c r="F80" s="22">
        <f>VLOOKUP(A80,'[11]Linea Arquitectonica'!A77:G900,7,FALSE)</f>
        <v>162</v>
      </c>
    </row>
    <row r="81" spans="1:6" x14ac:dyDescent="0.3">
      <c r="A81" s="24" t="s">
        <v>89</v>
      </c>
      <c r="B81" s="37" t="s">
        <v>3254</v>
      </c>
      <c r="C81" s="22">
        <f>VLOOKUP(A81,'[11]Linea Arquitectonica'!$A$4:$G$823,4,FALSE)</f>
        <v>92.86</v>
      </c>
      <c r="D81" s="22">
        <f>VLOOKUP(A81,'[11]Linea Arquitectonica'!A78:E901,5,FALSE)</f>
        <v>104.93</v>
      </c>
      <c r="E81" s="22">
        <f>VLOOKUP(A81,'[11]Linea Arquitectonica'!A78:F901,6,FALSE)</f>
        <v>143.36000000000001</v>
      </c>
      <c r="F81" s="22">
        <f>VLOOKUP(A81,'[11]Linea Arquitectonica'!A78:G901,7,FALSE)</f>
        <v>162</v>
      </c>
    </row>
    <row r="82" spans="1:6" x14ac:dyDescent="0.3">
      <c r="A82" s="24" t="s">
        <v>90</v>
      </c>
      <c r="B82" s="37" t="s">
        <v>3255</v>
      </c>
      <c r="C82" s="22">
        <f>VLOOKUP(A82,'[11]Linea Arquitectonica'!$A$4:$G$823,4,FALSE)</f>
        <v>75.349999999999994</v>
      </c>
      <c r="D82" s="22">
        <f>VLOOKUP(A82,'[11]Linea Arquitectonica'!A79:E902,5,FALSE)</f>
        <v>85.15</v>
      </c>
      <c r="E82" s="22">
        <f>VLOOKUP(A82,'[11]Linea Arquitectonica'!A79:F902,6,FALSE)</f>
        <v>143.36000000000001</v>
      </c>
      <c r="F82" s="22">
        <f>VLOOKUP(A82,'[11]Linea Arquitectonica'!A79:G902,7,FALSE)</f>
        <v>162</v>
      </c>
    </row>
    <row r="83" spans="1:6" x14ac:dyDescent="0.3">
      <c r="A83" s="24" t="s">
        <v>91</v>
      </c>
      <c r="B83" s="37" t="s">
        <v>3256</v>
      </c>
      <c r="C83" s="22">
        <f>VLOOKUP(A83,'[11]Linea Arquitectonica'!$A$4:$G$823,4,FALSE)</f>
        <v>75.349999999999994</v>
      </c>
      <c r="D83" s="22">
        <f>VLOOKUP(A83,'[11]Linea Arquitectonica'!A80:E903,5,FALSE)</f>
        <v>85.15</v>
      </c>
      <c r="E83" s="22">
        <f>VLOOKUP(A83,'[11]Linea Arquitectonica'!A80:F903,6,FALSE)</f>
        <v>143.36000000000001</v>
      </c>
      <c r="F83" s="22">
        <f>VLOOKUP(A83,'[11]Linea Arquitectonica'!A80:G903,7,FALSE)</f>
        <v>162</v>
      </c>
    </row>
    <row r="84" spans="1:6" x14ac:dyDescent="0.3">
      <c r="A84" s="24" t="s">
        <v>92</v>
      </c>
      <c r="B84" s="37" t="s">
        <v>3257</v>
      </c>
      <c r="C84" s="22">
        <f>VLOOKUP(A84,'[11]Linea Arquitectonica'!$A$4:$G$823,4,FALSE)</f>
        <v>21.62</v>
      </c>
      <c r="D84" s="22">
        <f>VLOOKUP(A84,'[11]Linea Arquitectonica'!A81:E904,5,FALSE)</f>
        <v>24.43</v>
      </c>
      <c r="E84" s="22">
        <f>VLOOKUP(A84,'[11]Linea Arquitectonica'!A81:F904,6,FALSE)</f>
        <v>30.88</v>
      </c>
      <c r="F84" s="22">
        <f>VLOOKUP(A84,'[11]Linea Arquitectonica'!A81:G904,7,FALSE)</f>
        <v>34.9</v>
      </c>
    </row>
    <row r="85" spans="1:6" x14ac:dyDescent="0.3">
      <c r="A85" s="24" t="s">
        <v>93</v>
      </c>
      <c r="B85" s="37" t="s">
        <v>3258</v>
      </c>
      <c r="C85" s="22">
        <f>VLOOKUP(A85,'[11]Linea Arquitectonica'!$A$4:$G$823,4,FALSE)</f>
        <v>20.12</v>
      </c>
      <c r="D85" s="22">
        <f>VLOOKUP(A85,'[11]Linea Arquitectonica'!A82:E905,5,FALSE)</f>
        <v>22.74</v>
      </c>
      <c r="E85" s="22">
        <f>VLOOKUP(A85,'[11]Linea Arquitectonica'!A82:F905,6,FALSE)</f>
        <v>30.88</v>
      </c>
      <c r="F85" s="22">
        <f>VLOOKUP(A85,'[11]Linea Arquitectonica'!A82:G905,7,FALSE)</f>
        <v>34.9</v>
      </c>
    </row>
    <row r="86" spans="1:6" x14ac:dyDescent="0.3">
      <c r="A86" s="24" t="s">
        <v>94</v>
      </c>
      <c r="B86" s="37" t="s">
        <v>3259</v>
      </c>
      <c r="C86" s="22">
        <f>VLOOKUP(A86,'[11]Linea Arquitectonica'!$A$4:$G$823,4,FALSE)</f>
        <v>16.62</v>
      </c>
      <c r="D86" s="22">
        <f>VLOOKUP(A86,'[11]Linea Arquitectonica'!A83:E906,5,FALSE)</f>
        <v>18.78</v>
      </c>
      <c r="E86" s="22">
        <f>VLOOKUP(A86,'[11]Linea Arquitectonica'!A83:F906,6,FALSE)</f>
        <v>30.88</v>
      </c>
      <c r="F86" s="22">
        <f>VLOOKUP(A86,'[11]Linea Arquitectonica'!A83:G906,7,FALSE)</f>
        <v>34.9</v>
      </c>
    </row>
    <row r="87" spans="1:6" x14ac:dyDescent="0.3">
      <c r="A87" s="24" t="s">
        <v>95</v>
      </c>
      <c r="B87" s="37" t="s">
        <v>3260</v>
      </c>
      <c r="C87" s="22">
        <f>VLOOKUP(A87,'[11]Linea Arquitectonica'!$A$4:$G$823,4,FALSE)</f>
        <v>16.62</v>
      </c>
      <c r="D87" s="22">
        <f>VLOOKUP(A87,'[11]Linea Arquitectonica'!A89:E907,5,FALSE)</f>
        <v>18.78</v>
      </c>
      <c r="E87" s="22">
        <f>VLOOKUP(A87,'[11]Linea Arquitectonica'!A89:F907,6,FALSE)</f>
        <v>30.88</v>
      </c>
      <c r="F87" s="22">
        <f>VLOOKUP(A87,'[11]Linea Arquitectonica'!A89:G907,7,FALSE)</f>
        <v>34.9</v>
      </c>
    </row>
    <row r="88" spans="1:6" x14ac:dyDescent="0.3">
      <c r="A88" s="24" t="s">
        <v>96</v>
      </c>
      <c r="B88" s="37" t="s">
        <v>3257</v>
      </c>
      <c r="C88" s="22">
        <f>VLOOKUP(A88,'[11]Linea Arquitectonica'!$A$4:$G$823,4,FALSE)</f>
        <v>94.16</v>
      </c>
      <c r="D88" s="22">
        <f>VLOOKUP(A88,'[11]Linea Arquitectonica'!A90:E908,5,FALSE)</f>
        <v>106.4</v>
      </c>
      <c r="E88" s="22">
        <f>VLOOKUP(A88,'[11]Linea Arquitectonica'!A90:F908,6,FALSE)</f>
        <v>134.51</v>
      </c>
      <c r="F88" s="22">
        <f>VLOOKUP(A88,'[11]Linea Arquitectonica'!A90:G908,7,FALSE)</f>
        <v>152</v>
      </c>
    </row>
    <row r="89" spans="1:6" x14ac:dyDescent="0.3">
      <c r="A89" s="24" t="s">
        <v>97</v>
      </c>
      <c r="B89" s="37" t="s">
        <v>3258</v>
      </c>
      <c r="C89" s="22">
        <f>VLOOKUP(A89,'[11]Linea Arquitectonica'!$A$4:$G$823,4,FALSE)</f>
        <v>86.66</v>
      </c>
      <c r="D89" s="22">
        <f>VLOOKUP(A89,'[11]Linea Arquitectonica'!A91:E909,5,FALSE)</f>
        <v>97.93</v>
      </c>
      <c r="E89" s="22">
        <f>VLOOKUP(A89,'[11]Linea Arquitectonica'!A91:F909,6,FALSE)</f>
        <v>134.51</v>
      </c>
      <c r="F89" s="22">
        <f>VLOOKUP(A89,'[11]Linea Arquitectonica'!A91:G909,7,FALSE)</f>
        <v>152</v>
      </c>
    </row>
    <row r="90" spans="1:6" x14ac:dyDescent="0.3">
      <c r="A90" s="24" t="s">
        <v>98</v>
      </c>
      <c r="B90" s="37" t="s">
        <v>3259</v>
      </c>
      <c r="C90" s="22">
        <f>VLOOKUP(A90,'[11]Linea Arquitectonica'!$A$4:$G$823,4,FALSE)</f>
        <v>69.16</v>
      </c>
      <c r="D90" s="22">
        <f>VLOOKUP(A90,'[11]Linea Arquitectonica'!A92:E910,5,FALSE)</f>
        <v>78.150000000000006</v>
      </c>
      <c r="E90" s="22">
        <f>VLOOKUP(A90,'[11]Linea Arquitectonica'!A92:F910,6,FALSE)</f>
        <v>134.51</v>
      </c>
      <c r="F90" s="22">
        <f>VLOOKUP(A90,'[11]Linea Arquitectonica'!A92:G910,7,FALSE)</f>
        <v>152</v>
      </c>
    </row>
    <row r="91" spans="1:6" x14ac:dyDescent="0.3">
      <c r="A91" s="24" t="s">
        <v>99</v>
      </c>
      <c r="B91" s="37" t="s">
        <v>3260</v>
      </c>
      <c r="C91" s="22">
        <f>VLOOKUP(A91,'[11]Linea Arquitectonica'!$A$4:$G$823,4,FALSE)</f>
        <v>69.16</v>
      </c>
      <c r="D91" s="22">
        <f>VLOOKUP(A91,'[11]Linea Arquitectonica'!A93:E911,5,FALSE)</f>
        <v>78.150000000000006</v>
      </c>
      <c r="E91" s="22">
        <f>VLOOKUP(A91,'[11]Linea Arquitectonica'!A93:F911,6,FALSE)</f>
        <v>134.51</v>
      </c>
      <c r="F91" s="22">
        <f>VLOOKUP(A91,'[11]Linea Arquitectonica'!A93:G911,7,FALSE)</f>
        <v>152</v>
      </c>
    </row>
    <row r="92" spans="1:6" x14ac:dyDescent="0.3">
      <c r="A92" s="24" t="s">
        <v>100</v>
      </c>
      <c r="B92" s="37" t="s">
        <v>101</v>
      </c>
      <c r="C92" s="22">
        <f>VLOOKUP(A92,'[11]Linea Arquitectonica'!$A$4:$G$823,4,FALSE)</f>
        <v>24.63</v>
      </c>
      <c r="D92" s="22">
        <f>VLOOKUP(A92,'[11]Linea Arquitectonica'!A94:E912,5,FALSE)</f>
        <v>27.83</v>
      </c>
      <c r="E92" s="22">
        <f>VLOOKUP(A92,'[11]Linea Arquitectonica'!A94:F912,6,FALSE)</f>
        <v>35.31</v>
      </c>
      <c r="F92" s="22">
        <f>VLOOKUP(A92,'[11]Linea Arquitectonica'!A94:G912,7,FALSE)</f>
        <v>39.9</v>
      </c>
    </row>
    <row r="93" spans="1:6" x14ac:dyDescent="0.3">
      <c r="A93" s="24" t="s">
        <v>102</v>
      </c>
      <c r="B93" s="37" t="s">
        <v>101</v>
      </c>
      <c r="C93" s="22">
        <f>VLOOKUP(A93,'[11]Linea Arquitectonica'!$A$4:$G$823,4,FALSE)</f>
        <v>116.27</v>
      </c>
      <c r="D93" s="22">
        <f>VLOOKUP(A93,'[11]Linea Arquitectonica'!A95:E913,5,FALSE)</f>
        <v>131.38999999999999</v>
      </c>
      <c r="E93" s="22">
        <f>VLOOKUP(A93,'[11]Linea Arquitectonica'!A95:F913,6,FALSE)</f>
        <v>167.26</v>
      </c>
      <c r="F93" s="22">
        <f>VLOOKUP(A93,'[11]Linea Arquitectonica'!A95:G913,7,FALSE)</f>
        <v>189</v>
      </c>
    </row>
    <row r="94" spans="1:6" x14ac:dyDescent="0.3">
      <c r="A94" s="24" t="s">
        <v>103</v>
      </c>
      <c r="B94" s="37" t="s">
        <v>104</v>
      </c>
      <c r="C94" s="22">
        <f>VLOOKUP(A94,'[11]Linea Arquitectonica'!$A$4:$G$823,4,FALSE)</f>
        <v>7.12</v>
      </c>
      <c r="D94" s="22">
        <f>VLOOKUP(A94,'[11]Linea Arquitectonica'!A96:E914,5,FALSE)</f>
        <v>8.0500000000000007</v>
      </c>
      <c r="E94" s="22">
        <f>VLOOKUP(A94,'[11]Linea Arquitectonica'!A96:F914,6,FALSE)</f>
        <v>10.18</v>
      </c>
      <c r="F94" s="22">
        <f>VLOOKUP(A94,'[11]Linea Arquitectonica'!A96:G914,7,FALSE)</f>
        <v>11.5</v>
      </c>
    </row>
    <row r="95" spans="1:6" x14ac:dyDescent="0.3">
      <c r="A95" s="24" t="s">
        <v>105</v>
      </c>
      <c r="B95" s="37" t="s">
        <v>3261</v>
      </c>
      <c r="C95" s="22">
        <f>VLOOKUP(A95,'[11]Linea Arquitectonica'!$A$4:$G$823,4,FALSE)</f>
        <v>7.12</v>
      </c>
      <c r="D95" s="22">
        <f>VLOOKUP(A95,'[11]Linea Arquitectonica'!A97:E915,5,FALSE)</f>
        <v>8.0500000000000007</v>
      </c>
      <c r="E95" s="22">
        <f>VLOOKUP(A95,'[11]Linea Arquitectonica'!A97:F915,6,FALSE)</f>
        <v>10.18</v>
      </c>
      <c r="F95" s="22">
        <f>VLOOKUP(A95,'[11]Linea Arquitectonica'!A97:G915,7,FALSE)</f>
        <v>11.5</v>
      </c>
    </row>
    <row r="96" spans="1:6" x14ac:dyDescent="0.3">
      <c r="A96" s="24" t="s">
        <v>106</v>
      </c>
      <c r="B96" s="37" t="s">
        <v>107</v>
      </c>
      <c r="C96" s="22">
        <f>VLOOKUP(A96,'[11]Linea Arquitectonica'!$A$4:$G$823,4,FALSE)</f>
        <v>7.12</v>
      </c>
      <c r="D96" s="22">
        <f>VLOOKUP(A96,'[11]Linea Arquitectonica'!A98:E916,5,FALSE)</f>
        <v>8.0500000000000007</v>
      </c>
      <c r="E96" s="22">
        <f>VLOOKUP(A96,'[11]Linea Arquitectonica'!A98:F916,6,FALSE)</f>
        <v>10.18</v>
      </c>
      <c r="F96" s="22">
        <f>VLOOKUP(A96,'[11]Linea Arquitectonica'!A98:G916,7,FALSE)</f>
        <v>11.5</v>
      </c>
    </row>
    <row r="97" spans="1:6" x14ac:dyDescent="0.3">
      <c r="A97" s="24" t="s">
        <v>108</v>
      </c>
      <c r="B97" s="37" t="s">
        <v>109</v>
      </c>
      <c r="C97" s="22">
        <f>VLOOKUP(A97,'[11]Linea Arquitectonica'!$A$4:$G$823,4,FALSE)</f>
        <v>7.12</v>
      </c>
      <c r="D97" s="22">
        <f>VLOOKUP(A97,'[11]Linea Arquitectonica'!A99:E917,5,FALSE)</f>
        <v>8.0500000000000007</v>
      </c>
      <c r="E97" s="22">
        <f>VLOOKUP(A97,'[11]Linea Arquitectonica'!A99:F917,6,FALSE)</f>
        <v>10.18</v>
      </c>
      <c r="F97" s="22">
        <f>VLOOKUP(A97,'[11]Linea Arquitectonica'!A99:G917,7,FALSE)</f>
        <v>11.5</v>
      </c>
    </row>
    <row r="98" spans="1:6" x14ac:dyDescent="0.3">
      <c r="A98" s="24" t="s">
        <v>110</v>
      </c>
      <c r="B98" s="37" t="s">
        <v>111</v>
      </c>
      <c r="C98" s="22">
        <f>VLOOKUP(A98,'[11]Linea Arquitectonica'!$A$4:$G$823,4,FALSE)</f>
        <v>22.24</v>
      </c>
      <c r="D98" s="22">
        <f>VLOOKUP(A98,'[11]Linea Arquitectonica'!A100:E918,5,FALSE)</f>
        <v>25.13</v>
      </c>
      <c r="E98" s="22">
        <f>VLOOKUP(A98,'[11]Linea Arquitectonica'!A100:F918,6,FALSE)</f>
        <v>31.77</v>
      </c>
      <c r="F98" s="22">
        <f>VLOOKUP(A98,'[11]Linea Arquitectonica'!A100:G918,7,FALSE)</f>
        <v>35.9</v>
      </c>
    </row>
    <row r="99" spans="1:6" x14ac:dyDescent="0.3">
      <c r="A99" s="24" t="s">
        <v>112</v>
      </c>
      <c r="B99" s="37" t="s">
        <v>113</v>
      </c>
      <c r="C99" s="22">
        <f>VLOOKUP(A99,'[11]Linea Arquitectonica'!$A$4:$G$823,4,FALSE)</f>
        <v>22.24</v>
      </c>
      <c r="D99" s="22">
        <f>VLOOKUP(A99,'[11]Linea Arquitectonica'!A101:E919,5,FALSE)</f>
        <v>25.13</v>
      </c>
      <c r="E99" s="22">
        <f>VLOOKUP(A99,'[11]Linea Arquitectonica'!A101:F919,6,FALSE)</f>
        <v>31.77</v>
      </c>
      <c r="F99" s="22">
        <f>VLOOKUP(A99,'[11]Linea Arquitectonica'!A101:G919,7,FALSE)</f>
        <v>35.9</v>
      </c>
    </row>
    <row r="100" spans="1:6" x14ac:dyDescent="0.3">
      <c r="A100" s="24" t="s">
        <v>114</v>
      </c>
      <c r="B100" s="37" t="s">
        <v>3262</v>
      </c>
      <c r="C100" s="22">
        <f>VLOOKUP(A100,'[11]Linea Arquitectonica'!$A$4:$G$823,4,FALSE)</f>
        <v>22.24</v>
      </c>
      <c r="D100" s="22">
        <f>VLOOKUP(A100,'[11]Linea Arquitectonica'!A102:E920,5,FALSE)</f>
        <v>25.13</v>
      </c>
      <c r="E100" s="22">
        <f>VLOOKUP(A100,'[11]Linea Arquitectonica'!A102:F920,6,FALSE)</f>
        <v>31.77</v>
      </c>
      <c r="F100" s="22">
        <f>VLOOKUP(A100,'[11]Linea Arquitectonica'!A102:G920,7,FALSE)</f>
        <v>35.9</v>
      </c>
    </row>
    <row r="101" spans="1:6" x14ac:dyDescent="0.3">
      <c r="A101" s="24" t="s">
        <v>115</v>
      </c>
      <c r="B101" s="37" t="s">
        <v>116</v>
      </c>
      <c r="C101" s="22">
        <f>VLOOKUP(A101,'[11]Linea Arquitectonica'!$A$4:$G$823,4,FALSE)</f>
        <v>22.24</v>
      </c>
      <c r="D101" s="22">
        <f>VLOOKUP(A101,'[11]Linea Arquitectonica'!A107:E921,5,FALSE)</f>
        <v>25.13</v>
      </c>
      <c r="E101" s="22">
        <f>VLOOKUP(A101,'[11]Linea Arquitectonica'!A107:F921,6,FALSE)</f>
        <v>31.77</v>
      </c>
      <c r="F101" s="22">
        <f>VLOOKUP(A101,'[11]Linea Arquitectonica'!A107:G921,7,FALSE)</f>
        <v>35.9</v>
      </c>
    </row>
    <row r="102" spans="1:6" x14ac:dyDescent="0.3">
      <c r="A102" s="24" t="s">
        <v>117</v>
      </c>
      <c r="B102" s="37" t="s">
        <v>118</v>
      </c>
      <c r="C102" s="22">
        <f>VLOOKUP(A102,'[11]Linea Arquitectonica'!$A$4:$G$823,4,FALSE)</f>
        <v>22.24</v>
      </c>
      <c r="D102" s="22">
        <f>VLOOKUP(A102,'[11]Linea Arquitectonica'!A108:E922,5,FALSE)</f>
        <v>25.13</v>
      </c>
      <c r="E102" s="22">
        <f>VLOOKUP(A102,'[11]Linea Arquitectonica'!A108:F922,6,FALSE)</f>
        <v>31.77</v>
      </c>
      <c r="F102" s="22">
        <f>VLOOKUP(A102,'[11]Linea Arquitectonica'!A108:G922,7,FALSE)</f>
        <v>35.9</v>
      </c>
    </row>
    <row r="103" spans="1:6" x14ac:dyDescent="0.3">
      <c r="A103" s="24" t="s">
        <v>119</v>
      </c>
      <c r="B103" s="37" t="s">
        <v>3263</v>
      </c>
      <c r="C103" s="22">
        <f>VLOOKUP(A103,'[11]Linea Arquitectonica'!$A$4:$G$823,4,FALSE)</f>
        <v>22.24</v>
      </c>
      <c r="D103" s="22">
        <f>VLOOKUP(A103,'[11]Linea Arquitectonica'!A109:E923,5,FALSE)</f>
        <v>25.13</v>
      </c>
      <c r="E103" s="22">
        <f>VLOOKUP(A103,'[11]Linea Arquitectonica'!A109:F923,6,FALSE)</f>
        <v>31.77</v>
      </c>
      <c r="F103" s="22">
        <f>VLOOKUP(A103,'[11]Linea Arquitectonica'!A109:G923,7,FALSE)</f>
        <v>35.9</v>
      </c>
    </row>
    <row r="104" spans="1:6" x14ac:dyDescent="0.3">
      <c r="A104" s="24" t="s">
        <v>120</v>
      </c>
      <c r="B104" s="37" t="s">
        <v>121</v>
      </c>
      <c r="C104" s="22">
        <f>VLOOKUP(A104,'[11]Linea Arquitectonica'!$A$4:$G$823,4,FALSE)</f>
        <v>22.24</v>
      </c>
      <c r="D104" s="22">
        <f>VLOOKUP(A104,'[11]Linea Arquitectonica'!A110:E924,5,FALSE)</f>
        <v>25.13</v>
      </c>
      <c r="E104" s="22">
        <f>VLOOKUP(A104,'[11]Linea Arquitectonica'!A110:F924,6,FALSE)</f>
        <v>31.77</v>
      </c>
      <c r="F104" s="22">
        <f>VLOOKUP(A104,'[11]Linea Arquitectonica'!A110:G924,7,FALSE)</f>
        <v>35.9</v>
      </c>
    </row>
    <row r="105" spans="1:6" x14ac:dyDescent="0.3">
      <c r="A105" s="24" t="s">
        <v>122</v>
      </c>
      <c r="B105" s="37" t="s">
        <v>123</v>
      </c>
      <c r="C105" s="22">
        <f>VLOOKUP(A105,'[11]Linea Arquitectonica'!$A$4:$G$823,4,FALSE)</f>
        <v>22.24</v>
      </c>
      <c r="D105" s="22">
        <f>VLOOKUP(A105,'[11]Linea Arquitectonica'!A111:E925,5,FALSE)</f>
        <v>25.13</v>
      </c>
      <c r="E105" s="22">
        <f>VLOOKUP(A105,'[11]Linea Arquitectonica'!A111:F925,6,FALSE)</f>
        <v>31.77</v>
      </c>
      <c r="F105" s="22">
        <f>VLOOKUP(A105,'[11]Linea Arquitectonica'!A111:G925,7,FALSE)</f>
        <v>35.9</v>
      </c>
    </row>
    <row r="106" spans="1:6" x14ac:dyDescent="0.3">
      <c r="A106" s="24" t="s">
        <v>124</v>
      </c>
      <c r="B106" s="37" t="s">
        <v>125</v>
      </c>
      <c r="C106" s="22">
        <f>VLOOKUP(A106,'[11]Linea Arquitectonica'!$A$4:$G$823,4,FALSE)</f>
        <v>22.24</v>
      </c>
      <c r="D106" s="22">
        <f>VLOOKUP(A106,'[11]Linea Arquitectonica'!A112:E926,5,FALSE)</f>
        <v>25.13</v>
      </c>
      <c r="E106" s="22">
        <f>VLOOKUP(A106,'[11]Linea Arquitectonica'!A112:F926,6,FALSE)</f>
        <v>31.77</v>
      </c>
      <c r="F106" s="22">
        <f>VLOOKUP(A106,'[11]Linea Arquitectonica'!A112:G926,7,FALSE)</f>
        <v>35.9</v>
      </c>
    </row>
    <row r="107" spans="1:6" x14ac:dyDescent="0.3">
      <c r="A107" s="24" t="s">
        <v>126</v>
      </c>
      <c r="B107" s="37" t="s">
        <v>127</v>
      </c>
      <c r="C107" s="22">
        <f>VLOOKUP(A107,'[11]Linea Arquitectonica'!$A$4:$G$823,4,FALSE)</f>
        <v>22.24</v>
      </c>
      <c r="D107" s="22">
        <f>VLOOKUP(A107,'[11]Linea Arquitectonica'!A113:E927,5,FALSE)</f>
        <v>25.13</v>
      </c>
      <c r="E107" s="22">
        <f>VLOOKUP(A107,'[11]Linea Arquitectonica'!A113:F927,6,FALSE)</f>
        <v>31.77</v>
      </c>
      <c r="F107" s="22">
        <f>VLOOKUP(A107,'[11]Linea Arquitectonica'!A113:G927,7,FALSE)</f>
        <v>35.9</v>
      </c>
    </row>
    <row r="108" spans="1:6" x14ac:dyDescent="0.3">
      <c r="A108" s="24" t="s">
        <v>128</v>
      </c>
      <c r="B108" s="37" t="s">
        <v>129</v>
      </c>
      <c r="C108" s="22">
        <f>VLOOKUP(A108,'[11]Linea Arquitectonica'!$A$4:$G$823,4,FALSE)</f>
        <v>22.24</v>
      </c>
      <c r="D108" s="22">
        <f>VLOOKUP(A108,'[11]Linea Arquitectonica'!A114:E928,5,FALSE)</f>
        <v>25.13</v>
      </c>
      <c r="E108" s="22">
        <f>VLOOKUP(A108,'[11]Linea Arquitectonica'!A114:F928,6,FALSE)</f>
        <v>31.77</v>
      </c>
      <c r="F108" s="22">
        <f>VLOOKUP(A108,'[11]Linea Arquitectonica'!A114:G928,7,FALSE)</f>
        <v>35.9</v>
      </c>
    </row>
    <row r="109" spans="1:6" x14ac:dyDescent="0.3">
      <c r="A109" s="24" t="s">
        <v>130</v>
      </c>
      <c r="B109" s="37" t="s">
        <v>131</v>
      </c>
      <c r="C109" s="22">
        <f>VLOOKUP(A109,'[11]Linea Arquitectonica'!$A$4:$G$823,4,FALSE)</f>
        <v>22.24</v>
      </c>
      <c r="D109" s="22">
        <f>VLOOKUP(A109,'[11]Linea Arquitectonica'!A115:E929,5,FALSE)</f>
        <v>25.13</v>
      </c>
      <c r="E109" s="22">
        <f>VLOOKUP(A109,'[11]Linea Arquitectonica'!A115:F929,6,FALSE)</f>
        <v>31.77</v>
      </c>
      <c r="F109" s="22">
        <f>VLOOKUP(A109,'[11]Linea Arquitectonica'!A115:G929,7,FALSE)</f>
        <v>35.9</v>
      </c>
    </row>
    <row r="110" spans="1:6" x14ac:dyDescent="0.3">
      <c r="A110" s="24" t="s">
        <v>132</v>
      </c>
      <c r="B110" s="37" t="s">
        <v>104</v>
      </c>
      <c r="C110" s="22">
        <f>VLOOKUP(A110,'[11]Linea Arquitectonica'!$A$4:$G$823,4,FALSE)</f>
        <v>22.24</v>
      </c>
      <c r="D110" s="22">
        <f>VLOOKUP(A110,'[11]Linea Arquitectonica'!A116:E930,5,FALSE)</f>
        <v>25.13</v>
      </c>
      <c r="E110" s="22">
        <f>VLOOKUP(A110,'[11]Linea Arquitectonica'!A116:F930,6,FALSE)</f>
        <v>31.77</v>
      </c>
      <c r="F110" s="22">
        <f>VLOOKUP(A110,'[11]Linea Arquitectonica'!A116:G930,7,FALSE)</f>
        <v>35.9</v>
      </c>
    </row>
    <row r="111" spans="1:6" x14ac:dyDescent="0.3">
      <c r="A111" s="24" t="s">
        <v>133</v>
      </c>
      <c r="B111" s="37" t="s">
        <v>3261</v>
      </c>
      <c r="C111" s="22">
        <f>VLOOKUP(A111,'[11]Linea Arquitectonica'!$A$4:$G$823,4,FALSE)</f>
        <v>22.24</v>
      </c>
      <c r="D111" s="22">
        <f>VLOOKUP(A111,'[11]Linea Arquitectonica'!A117:E931,5,FALSE)</f>
        <v>25.13</v>
      </c>
      <c r="E111" s="22">
        <f>VLOOKUP(A111,'[11]Linea Arquitectonica'!A117:F931,6,FALSE)</f>
        <v>31.77</v>
      </c>
      <c r="F111" s="22">
        <f>VLOOKUP(A111,'[11]Linea Arquitectonica'!A117:G931,7,FALSE)</f>
        <v>35.9</v>
      </c>
    </row>
    <row r="112" spans="1:6" x14ac:dyDescent="0.3">
      <c r="A112" s="24" t="s">
        <v>134</v>
      </c>
      <c r="B112" s="37" t="s">
        <v>107</v>
      </c>
      <c r="C112" s="22">
        <f>VLOOKUP(A112,'[11]Linea Arquitectonica'!$A$4:$G$823,4,FALSE)</f>
        <v>22.24</v>
      </c>
      <c r="D112" s="22">
        <f>VLOOKUP(A112,'[11]Linea Arquitectonica'!A118:E932,5,FALSE)</f>
        <v>25.13</v>
      </c>
      <c r="E112" s="22">
        <f>VLOOKUP(A112,'[11]Linea Arquitectonica'!A118:F932,6,FALSE)</f>
        <v>31.77</v>
      </c>
      <c r="F112" s="22">
        <f>VLOOKUP(A112,'[11]Linea Arquitectonica'!A118:G932,7,FALSE)</f>
        <v>35.9</v>
      </c>
    </row>
    <row r="113" spans="1:6" x14ac:dyDescent="0.3">
      <c r="A113" s="24" t="s">
        <v>135</v>
      </c>
      <c r="B113" s="37" t="s">
        <v>136</v>
      </c>
      <c r="C113" s="22">
        <f>VLOOKUP(A113,'[11]Linea Arquitectonica'!$A$4:$G$823,4,FALSE)</f>
        <v>22.24</v>
      </c>
      <c r="D113" s="22">
        <f>VLOOKUP(A113,'[11]Linea Arquitectonica'!A118:E933,5,FALSE)</f>
        <v>25.13</v>
      </c>
      <c r="E113" s="22">
        <f>VLOOKUP(A113,'[11]Linea Arquitectonica'!A118:F933,6,FALSE)</f>
        <v>31.77</v>
      </c>
      <c r="F113" s="22">
        <f>VLOOKUP(A113,'[11]Linea Arquitectonica'!A118:G933,7,FALSE)</f>
        <v>35.9</v>
      </c>
    </row>
    <row r="114" spans="1:6" x14ac:dyDescent="0.3">
      <c r="A114" s="24" t="s">
        <v>137</v>
      </c>
      <c r="B114" s="37" t="s">
        <v>3264</v>
      </c>
      <c r="C114" s="22">
        <f>VLOOKUP(A114,'[11]Linea Arquitectonica'!$A$4:$G$823,4,FALSE)</f>
        <v>22.24</v>
      </c>
      <c r="D114" s="22">
        <f>VLOOKUP(A114,'[11]Linea Arquitectonica'!A119:E934,5,FALSE)</f>
        <v>25.13</v>
      </c>
      <c r="E114" s="22">
        <f>VLOOKUP(A114,'[11]Linea Arquitectonica'!A119:F934,6,FALSE)</f>
        <v>31.77</v>
      </c>
      <c r="F114" s="22">
        <f>VLOOKUP(A114,'[11]Linea Arquitectonica'!A119:G934,7,FALSE)</f>
        <v>35.9</v>
      </c>
    </row>
    <row r="115" spans="1:6" x14ac:dyDescent="0.3">
      <c r="A115" s="24" t="s">
        <v>138</v>
      </c>
      <c r="B115" s="37" t="s">
        <v>109</v>
      </c>
      <c r="C115" s="22">
        <f>VLOOKUP(A115,'[11]Linea Arquitectonica'!$A$4:$G$823,4,FALSE)</f>
        <v>22.24</v>
      </c>
      <c r="D115" s="22">
        <f>VLOOKUP(A115,'[11]Linea Arquitectonica'!A120:E935,5,FALSE)</f>
        <v>25.13</v>
      </c>
      <c r="E115" s="22">
        <f>VLOOKUP(A115,'[11]Linea Arquitectonica'!A120:F935,6,FALSE)</f>
        <v>31.77</v>
      </c>
      <c r="F115" s="22">
        <f>VLOOKUP(A115,'[11]Linea Arquitectonica'!A120:G935,7,FALSE)</f>
        <v>35.9</v>
      </c>
    </row>
    <row r="116" spans="1:6" x14ac:dyDescent="0.3">
      <c r="A116" s="24" t="s">
        <v>139</v>
      </c>
      <c r="B116" s="37" t="s">
        <v>140</v>
      </c>
      <c r="C116" s="22">
        <f>VLOOKUP(A116,'[11]Linea Arquitectonica'!$A$4:$G$823,4,FALSE)</f>
        <v>22.24</v>
      </c>
      <c r="D116" s="22">
        <f>VLOOKUP(A116,'[11]Linea Arquitectonica'!A121:E936,5,FALSE)</f>
        <v>25.13</v>
      </c>
      <c r="E116" s="22">
        <f>VLOOKUP(A116,'[11]Linea Arquitectonica'!A121:F936,6,FALSE)</f>
        <v>31.77</v>
      </c>
      <c r="F116" s="22">
        <f>VLOOKUP(A116,'[11]Linea Arquitectonica'!A121:G936,7,FALSE)</f>
        <v>35.9</v>
      </c>
    </row>
    <row r="117" spans="1:6" x14ac:dyDescent="0.3">
      <c r="A117" s="24" t="s">
        <v>141</v>
      </c>
      <c r="B117" s="37" t="s">
        <v>142</v>
      </c>
      <c r="C117" s="22">
        <f>VLOOKUP(A117,'[11]Linea Arquitectonica'!$A$4:$G$823,4,FALSE)</f>
        <v>22.24</v>
      </c>
      <c r="D117" s="22">
        <f>VLOOKUP(A117,'[11]Linea Arquitectonica'!A122:E937,5,FALSE)</f>
        <v>25.13</v>
      </c>
      <c r="E117" s="22">
        <f>VLOOKUP(A117,'[11]Linea Arquitectonica'!A122:F937,6,FALSE)</f>
        <v>31.77</v>
      </c>
      <c r="F117" s="22">
        <f>VLOOKUP(A117,'[11]Linea Arquitectonica'!A122:G937,7,FALSE)</f>
        <v>35.9</v>
      </c>
    </row>
    <row r="118" spans="1:6" x14ac:dyDescent="0.3">
      <c r="A118" s="24" t="s">
        <v>143</v>
      </c>
      <c r="B118" s="37" t="s">
        <v>144</v>
      </c>
      <c r="C118" s="22">
        <f>VLOOKUP(A118,'[11]Linea Arquitectonica'!$A$4:$G$823,4,FALSE)</f>
        <v>22.24</v>
      </c>
      <c r="D118" s="22">
        <f>VLOOKUP(A118,'[11]Linea Arquitectonica'!A123:E938,5,FALSE)</f>
        <v>25.13</v>
      </c>
      <c r="E118" s="22">
        <f>VLOOKUP(A118,'[11]Linea Arquitectonica'!A123:F938,6,FALSE)</f>
        <v>31.77</v>
      </c>
      <c r="F118" s="22">
        <f>VLOOKUP(A118,'[11]Linea Arquitectonica'!A123:G938,7,FALSE)</f>
        <v>35.9</v>
      </c>
    </row>
    <row r="119" spans="1:6" x14ac:dyDescent="0.3">
      <c r="A119" s="24" t="s">
        <v>145</v>
      </c>
      <c r="B119" s="37" t="s">
        <v>3265</v>
      </c>
      <c r="C119" s="22">
        <f>VLOOKUP(A119,'[11]Linea Arquitectonica'!$A$4:$G$823,4,FALSE)</f>
        <v>22.24</v>
      </c>
      <c r="D119" s="22">
        <f>VLOOKUP(A119,'[11]Linea Arquitectonica'!A124:E939,5,FALSE)</f>
        <v>25.13</v>
      </c>
      <c r="E119" s="22">
        <f>VLOOKUP(A119,'[11]Linea Arquitectonica'!A124:F939,6,FALSE)</f>
        <v>31.77</v>
      </c>
      <c r="F119" s="22">
        <f>VLOOKUP(A119,'[11]Linea Arquitectonica'!A124:G939,7,FALSE)</f>
        <v>35.9</v>
      </c>
    </row>
    <row r="120" spans="1:6" x14ac:dyDescent="0.3">
      <c r="A120" s="24" t="s">
        <v>3022</v>
      </c>
      <c r="B120" s="37" t="s">
        <v>3023</v>
      </c>
      <c r="C120" s="22">
        <f>VLOOKUP(A120,'[11]Linea Arquitectonica'!$A$4:$G$823,4,FALSE)</f>
        <v>22.24</v>
      </c>
      <c r="D120" s="22">
        <f>VLOOKUP(A120,'[11]Linea Arquitectonica'!A125:E940,5,FALSE)</f>
        <v>25.13</v>
      </c>
      <c r="E120" s="22">
        <f>VLOOKUP(A120,'[11]Linea Arquitectonica'!A125:F940,6,FALSE)</f>
        <v>31.77</v>
      </c>
      <c r="F120" s="22">
        <f>VLOOKUP(A120,'[11]Linea Arquitectonica'!A125:G940,7,FALSE)</f>
        <v>35.9</v>
      </c>
    </row>
    <row r="121" spans="1:6" x14ac:dyDescent="0.3">
      <c r="A121" s="24" t="s">
        <v>3024</v>
      </c>
      <c r="B121" s="37" t="s">
        <v>3025</v>
      </c>
      <c r="C121" s="22">
        <f>VLOOKUP(A121,'[11]Linea Arquitectonica'!$A$4:$G$823,4,FALSE)</f>
        <v>22.24</v>
      </c>
      <c r="D121" s="22">
        <f>VLOOKUP(A121,'[11]Linea Arquitectonica'!A126:E941,5,FALSE)</f>
        <v>25.13</v>
      </c>
      <c r="E121" s="22">
        <f>VLOOKUP(A121,'[11]Linea Arquitectonica'!A126:F941,6,FALSE)</f>
        <v>31.77</v>
      </c>
      <c r="F121" s="22">
        <f>VLOOKUP(A121,'[11]Linea Arquitectonica'!A126:G941,7,FALSE)</f>
        <v>35.9</v>
      </c>
    </row>
    <row r="122" spans="1:6" x14ac:dyDescent="0.3">
      <c r="A122" s="24" t="s">
        <v>3026</v>
      </c>
      <c r="B122" s="37" t="s">
        <v>3027</v>
      </c>
      <c r="C122" s="22">
        <f>VLOOKUP(A122,'[11]Linea Arquitectonica'!$A$4:$G$823,4,FALSE)</f>
        <v>22.24</v>
      </c>
      <c r="D122" s="22">
        <f>VLOOKUP(A122,'[11]Linea Arquitectonica'!A127:E942,5,FALSE)</f>
        <v>25.13</v>
      </c>
      <c r="E122" s="22">
        <f>VLOOKUP(A122,'[11]Linea Arquitectonica'!A127:F942,6,FALSE)</f>
        <v>31.77</v>
      </c>
      <c r="F122" s="22">
        <f>VLOOKUP(A122,'[11]Linea Arquitectonica'!A127:G942,7,FALSE)</f>
        <v>35.9</v>
      </c>
    </row>
    <row r="123" spans="1:6" x14ac:dyDescent="0.3">
      <c r="A123" s="24" t="s">
        <v>3028</v>
      </c>
      <c r="B123" s="37" t="s">
        <v>3029</v>
      </c>
      <c r="C123" s="22">
        <f>VLOOKUP(A123,'[11]Linea Arquitectonica'!$A$4:$G$823,4,FALSE)</f>
        <v>22.24</v>
      </c>
      <c r="D123" s="22">
        <f>VLOOKUP(A123,'[11]Linea Arquitectonica'!A128:E943,5,FALSE)</f>
        <v>25.13</v>
      </c>
      <c r="E123" s="22">
        <f>VLOOKUP(A123,'[11]Linea Arquitectonica'!A128:F943,6,FALSE)</f>
        <v>31.77</v>
      </c>
      <c r="F123" s="22">
        <f>VLOOKUP(A123,'[11]Linea Arquitectonica'!A128:G943,7,FALSE)</f>
        <v>35.9</v>
      </c>
    </row>
    <row r="124" spans="1:6" x14ac:dyDescent="0.3">
      <c r="A124" s="24" t="s">
        <v>3030</v>
      </c>
      <c r="B124" s="37" t="s">
        <v>3031</v>
      </c>
      <c r="C124" s="22">
        <f>VLOOKUP(A124,'[11]Linea Arquitectonica'!$A$4:$G$823,4,FALSE)</f>
        <v>22.24</v>
      </c>
      <c r="D124" s="22">
        <f>VLOOKUP(A124,'[11]Linea Arquitectonica'!A129:E944,5,FALSE)</f>
        <v>25.13</v>
      </c>
      <c r="E124" s="22">
        <f>VLOOKUP(A124,'[11]Linea Arquitectonica'!A129:F944,6,FALSE)</f>
        <v>31.77</v>
      </c>
      <c r="F124" s="22">
        <f>VLOOKUP(A124,'[11]Linea Arquitectonica'!A129:G944,7,FALSE)</f>
        <v>35.9</v>
      </c>
    </row>
    <row r="125" spans="1:6" x14ac:dyDescent="0.3">
      <c r="A125" s="24" t="s">
        <v>3032</v>
      </c>
      <c r="B125" s="37" t="s">
        <v>3033</v>
      </c>
      <c r="C125" s="22">
        <f>VLOOKUP(A125,'[11]Linea Arquitectonica'!$A$4:$G$823,4,FALSE)</f>
        <v>22.24</v>
      </c>
      <c r="D125" s="22">
        <f>VLOOKUP(A125,'[11]Linea Arquitectonica'!A130:E945,5,FALSE)</f>
        <v>25.13</v>
      </c>
      <c r="E125" s="22">
        <f>VLOOKUP(A125,'[11]Linea Arquitectonica'!A130:F945,6,FALSE)</f>
        <v>31.77</v>
      </c>
      <c r="F125" s="22">
        <f>VLOOKUP(A125,'[11]Linea Arquitectonica'!A130:G945,7,FALSE)</f>
        <v>35.9</v>
      </c>
    </row>
    <row r="126" spans="1:6" x14ac:dyDescent="0.3">
      <c r="A126" s="24" t="s">
        <v>3034</v>
      </c>
      <c r="B126" s="37" t="s">
        <v>3035</v>
      </c>
      <c r="C126" s="22">
        <f>VLOOKUP(A126,'[11]Linea Arquitectonica'!$A$4:$G$823,4,FALSE)</f>
        <v>22.24</v>
      </c>
      <c r="D126" s="22">
        <f>VLOOKUP(A126,'[11]Linea Arquitectonica'!A130:E946,5,FALSE)</f>
        <v>25.13</v>
      </c>
      <c r="E126" s="22">
        <f>VLOOKUP(A126,'[11]Linea Arquitectonica'!A130:F946,6,FALSE)</f>
        <v>31.77</v>
      </c>
      <c r="F126" s="22">
        <f>VLOOKUP(A126,'[11]Linea Arquitectonica'!A130:G946,7,FALSE)</f>
        <v>35.9</v>
      </c>
    </row>
    <row r="127" spans="1:6" x14ac:dyDescent="0.3">
      <c r="A127" s="24" t="s">
        <v>3036</v>
      </c>
      <c r="B127" s="37" t="s">
        <v>3037</v>
      </c>
      <c r="C127" s="22">
        <f>VLOOKUP(A127,'[11]Linea Arquitectonica'!$A$4:$G$823,4,FALSE)</f>
        <v>22.24</v>
      </c>
      <c r="D127" s="22">
        <f>VLOOKUP(A127,'[11]Linea Arquitectonica'!A131:E947,5,FALSE)</f>
        <v>25.13</v>
      </c>
      <c r="E127" s="22">
        <f>VLOOKUP(A127,'[11]Linea Arquitectonica'!A131:F947,6,FALSE)</f>
        <v>31.77</v>
      </c>
      <c r="F127" s="22">
        <f>VLOOKUP(A127,'[11]Linea Arquitectonica'!A131:G947,7,FALSE)</f>
        <v>35.9</v>
      </c>
    </row>
    <row r="128" spans="1:6" x14ac:dyDescent="0.3">
      <c r="A128" s="24" t="s">
        <v>3038</v>
      </c>
      <c r="B128" s="37" t="s">
        <v>3266</v>
      </c>
      <c r="C128" s="22">
        <f>VLOOKUP(A128,'[11]Linea Arquitectonica'!$A$4:$G$823,4,FALSE)</f>
        <v>22.24</v>
      </c>
      <c r="D128" s="22">
        <f>VLOOKUP(A128,'[11]Linea Arquitectonica'!A132:E948,5,FALSE)</f>
        <v>25.13</v>
      </c>
      <c r="E128" s="22">
        <f>VLOOKUP(A128,'[11]Linea Arquitectonica'!A132:F948,6,FALSE)</f>
        <v>31.77</v>
      </c>
      <c r="F128" s="22">
        <f>VLOOKUP(A128,'[11]Linea Arquitectonica'!A132:G948,7,FALSE)</f>
        <v>35.9</v>
      </c>
    </row>
    <row r="129" spans="1:6" x14ac:dyDescent="0.3">
      <c r="A129" s="24" t="s">
        <v>3039</v>
      </c>
      <c r="B129" s="37" t="s">
        <v>3267</v>
      </c>
      <c r="C129" s="22">
        <f>VLOOKUP(A129,'[11]Linea Arquitectonica'!$A$4:$G$823,4,FALSE)</f>
        <v>22.24</v>
      </c>
      <c r="D129" s="22">
        <f>VLOOKUP(A129,'[11]Linea Arquitectonica'!A133:E949,5,FALSE)</f>
        <v>25.13</v>
      </c>
      <c r="E129" s="22">
        <f>VLOOKUP(A129,'[11]Linea Arquitectonica'!A133:F949,6,FALSE)</f>
        <v>31.77</v>
      </c>
      <c r="F129" s="22">
        <f>VLOOKUP(A129,'[11]Linea Arquitectonica'!A133:G949,7,FALSE)</f>
        <v>35.9</v>
      </c>
    </row>
    <row r="130" spans="1:6" x14ac:dyDescent="0.3">
      <c r="A130" s="24" t="s">
        <v>3040</v>
      </c>
      <c r="B130" s="37" t="s">
        <v>3041</v>
      </c>
      <c r="C130" s="22">
        <f>VLOOKUP(A130,'[11]Linea Arquitectonica'!$A$4:$G$823,4,FALSE)</f>
        <v>22.24</v>
      </c>
      <c r="D130" s="22">
        <f>VLOOKUP(A130,'[11]Linea Arquitectonica'!A134:E950,5,FALSE)</f>
        <v>25.13</v>
      </c>
      <c r="E130" s="22">
        <f>VLOOKUP(A130,'[11]Linea Arquitectonica'!A134:F950,6,FALSE)</f>
        <v>31.77</v>
      </c>
      <c r="F130" s="22">
        <f>VLOOKUP(A130,'[11]Linea Arquitectonica'!A134:G950,7,FALSE)</f>
        <v>35.9</v>
      </c>
    </row>
    <row r="131" spans="1:6" x14ac:dyDescent="0.3">
      <c r="A131" s="24" t="s">
        <v>3042</v>
      </c>
      <c r="B131" s="37" t="s">
        <v>3043</v>
      </c>
      <c r="C131" s="22">
        <f>VLOOKUP(A131,'[11]Linea Arquitectonica'!$A$4:$G$823,4,FALSE)</f>
        <v>22.24</v>
      </c>
      <c r="D131" s="22">
        <f>VLOOKUP(A131,'[11]Linea Arquitectonica'!A135:E951,5,FALSE)</f>
        <v>25.13</v>
      </c>
      <c r="E131" s="22">
        <f>VLOOKUP(A131,'[11]Linea Arquitectonica'!A135:F951,6,FALSE)</f>
        <v>31.77</v>
      </c>
      <c r="F131" s="22">
        <f>VLOOKUP(A131,'[11]Linea Arquitectonica'!A135:G951,7,FALSE)</f>
        <v>35.9</v>
      </c>
    </row>
    <row r="132" spans="1:6" x14ac:dyDescent="0.3">
      <c r="A132" s="24" t="s">
        <v>3044</v>
      </c>
      <c r="B132" s="37" t="s">
        <v>3045</v>
      </c>
      <c r="C132" s="22">
        <f>VLOOKUP(A132,'[11]Linea Arquitectonica'!$A$4:$G$823,4,FALSE)</f>
        <v>22.24</v>
      </c>
      <c r="D132" s="22">
        <f>VLOOKUP(A132,'[11]Linea Arquitectonica'!A136:E952,5,FALSE)</f>
        <v>25.13</v>
      </c>
      <c r="E132" s="22">
        <f>VLOOKUP(A132,'[11]Linea Arquitectonica'!A136:F952,6,FALSE)</f>
        <v>31.77</v>
      </c>
      <c r="F132" s="22">
        <f>VLOOKUP(A132,'[11]Linea Arquitectonica'!A136:G952,7,FALSE)</f>
        <v>35.9</v>
      </c>
    </row>
    <row r="133" spans="1:6" x14ac:dyDescent="0.3">
      <c r="A133" s="24" t="s">
        <v>146</v>
      </c>
      <c r="B133" s="37" t="s">
        <v>111</v>
      </c>
      <c r="C133" s="22">
        <f>VLOOKUP(A133,'[11]Linea Arquitectonica'!$A$4:$G$823,4,FALSE)</f>
        <v>97.88</v>
      </c>
      <c r="D133" s="22">
        <f>VLOOKUP(A133,'[11]Linea Arquitectonica'!A137:E953,5,FALSE)</f>
        <v>110.6</v>
      </c>
      <c r="E133" s="22">
        <f>VLOOKUP(A133,'[11]Linea Arquitectonica'!A137:F953,6,FALSE)</f>
        <v>139.82</v>
      </c>
      <c r="F133" s="22">
        <f>VLOOKUP(A133,'[11]Linea Arquitectonica'!A137:G953,7,FALSE)</f>
        <v>158</v>
      </c>
    </row>
    <row r="134" spans="1:6" x14ac:dyDescent="0.3">
      <c r="A134" s="24" t="s">
        <v>147</v>
      </c>
      <c r="B134" s="37" t="s">
        <v>113</v>
      </c>
      <c r="C134" s="22">
        <f>VLOOKUP(A134,'[11]Linea Arquitectonica'!$A$4:$G$823,4,FALSE)</f>
        <v>97.88</v>
      </c>
      <c r="D134" s="22">
        <f>VLOOKUP(A134,'[11]Linea Arquitectonica'!A138:E954,5,FALSE)</f>
        <v>110.6</v>
      </c>
      <c r="E134" s="22">
        <f>VLOOKUP(A134,'[11]Linea Arquitectonica'!A138:F954,6,FALSE)</f>
        <v>139.82</v>
      </c>
      <c r="F134" s="22">
        <f>VLOOKUP(A134,'[11]Linea Arquitectonica'!A138:G954,7,FALSE)</f>
        <v>158</v>
      </c>
    </row>
    <row r="135" spans="1:6" x14ac:dyDescent="0.3">
      <c r="A135" s="24" t="s">
        <v>148</v>
      </c>
      <c r="B135" s="37" t="s">
        <v>3262</v>
      </c>
      <c r="C135" s="22">
        <f>VLOOKUP(A135,'[11]Linea Arquitectonica'!$A$4:$G$823,4,FALSE)</f>
        <v>97.88</v>
      </c>
      <c r="D135" s="22">
        <f>VLOOKUP(A135,'[11]Linea Arquitectonica'!A139:E955,5,FALSE)</f>
        <v>110.6</v>
      </c>
      <c r="E135" s="22">
        <f>VLOOKUP(A135,'[11]Linea Arquitectonica'!A139:F955,6,FALSE)</f>
        <v>139.82</v>
      </c>
      <c r="F135" s="22">
        <f>VLOOKUP(A135,'[11]Linea Arquitectonica'!A139:G955,7,FALSE)</f>
        <v>158</v>
      </c>
    </row>
    <row r="136" spans="1:6" x14ac:dyDescent="0.3">
      <c r="A136" s="24" t="s">
        <v>149</v>
      </c>
      <c r="B136" s="37" t="s">
        <v>116</v>
      </c>
      <c r="C136" s="22">
        <f>VLOOKUP(A136,'[11]Linea Arquitectonica'!$A$4:$G$823,4,FALSE)</f>
        <v>97.88</v>
      </c>
      <c r="D136" s="22">
        <f>VLOOKUP(A136,'[11]Linea Arquitectonica'!A140:E956,5,FALSE)</f>
        <v>110.6</v>
      </c>
      <c r="E136" s="22">
        <f>VLOOKUP(A136,'[11]Linea Arquitectonica'!A140:F956,6,FALSE)</f>
        <v>139.82</v>
      </c>
      <c r="F136" s="22">
        <f>VLOOKUP(A136,'[11]Linea Arquitectonica'!A140:G956,7,FALSE)</f>
        <v>158</v>
      </c>
    </row>
    <row r="137" spans="1:6" x14ac:dyDescent="0.3">
      <c r="A137" s="24" t="s">
        <v>150</v>
      </c>
      <c r="B137" s="37" t="s">
        <v>118</v>
      </c>
      <c r="C137" s="22">
        <f>VLOOKUP(A137,'[11]Linea Arquitectonica'!$A$4:$G$823,4,FALSE)</f>
        <v>97.88</v>
      </c>
      <c r="D137" s="22">
        <f>VLOOKUP(A137,'[11]Linea Arquitectonica'!A141:E957,5,FALSE)</f>
        <v>110.6</v>
      </c>
      <c r="E137" s="22">
        <f>VLOOKUP(A137,'[11]Linea Arquitectonica'!A141:F957,6,FALSE)</f>
        <v>139.82</v>
      </c>
      <c r="F137" s="22">
        <f>VLOOKUP(A137,'[11]Linea Arquitectonica'!A141:G957,7,FALSE)</f>
        <v>158</v>
      </c>
    </row>
    <row r="138" spans="1:6" x14ac:dyDescent="0.3">
      <c r="A138" s="24" t="s">
        <v>151</v>
      </c>
      <c r="B138" s="37" t="s">
        <v>3263</v>
      </c>
      <c r="C138" s="22">
        <f>VLOOKUP(A138,'[11]Linea Arquitectonica'!$A$4:$G$823,4,FALSE)</f>
        <v>97.88</v>
      </c>
      <c r="D138" s="22">
        <f>VLOOKUP(A138,'[11]Linea Arquitectonica'!A142:E958,5,FALSE)</f>
        <v>110.6</v>
      </c>
      <c r="E138" s="22">
        <f>VLOOKUP(A138,'[11]Linea Arquitectonica'!A142:F958,6,FALSE)</f>
        <v>139.82</v>
      </c>
      <c r="F138" s="22">
        <f>VLOOKUP(A138,'[11]Linea Arquitectonica'!A142:G958,7,FALSE)</f>
        <v>158</v>
      </c>
    </row>
    <row r="139" spans="1:6" x14ac:dyDescent="0.3">
      <c r="A139" s="24" t="s">
        <v>152</v>
      </c>
      <c r="B139" s="37" t="s">
        <v>121</v>
      </c>
      <c r="C139" s="22">
        <f>VLOOKUP(A139,'[11]Linea Arquitectonica'!$A$4:$G$823,4,FALSE)</f>
        <v>97.88</v>
      </c>
      <c r="D139" s="22">
        <f>VLOOKUP(A139,'[11]Linea Arquitectonica'!A143:E959,5,FALSE)</f>
        <v>110.6</v>
      </c>
      <c r="E139" s="22">
        <f>VLOOKUP(A139,'[11]Linea Arquitectonica'!A143:F959,6,FALSE)</f>
        <v>139.82</v>
      </c>
      <c r="F139" s="22">
        <f>VLOOKUP(A139,'[11]Linea Arquitectonica'!A143:G959,7,FALSE)</f>
        <v>158</v>
      </c>
    </row>
    <row r="140" spans="1:6" x14ac:dyDescent="0.3">
      <c r="A140" s="24" t="s">
        <v>153</v>
      </c>
      <c r="B140" s="37" t="s">
        <v>123</v>
      </c>
      <c r="C140" s="22">
        <f>VLOOKUP(A140,'[11]Linea Arquitectonica'!$A$4:$G$823,4,FALSE)</f>
        <v>97.88</v>
      </c>
      <c r="D140" s="22">
        <f>VLOOKUP(A140,'[11]Linea Arquitectonica'!A143:E960,5,FALSE)</f>
        <v>110.6</v>
      </c>
      <c r="E140" s="22">
        <f>VLOOKUP(A140,'[11]Linea Arquitectonica'!A143:F960,6,FALSE)</f>
        <v>139.82</v>
      </c>
      <c r="F140" s="22">
        <f>VLOOKUP(A140,'[11]Linea Arquitectonica'!A143:G960,7,FALSE)</f>
        <v>158</v>
      </c>
    </row>
    <row r="141" spans="1:6" x14ac:dyDescent="0.3">
      <c r="A141" s="24" t="s">
        <v>154</v>
      </c>
      <c r="B141" s="37" t="s">
        <v>125</v>
      </c>
      <c r="C141" s="22">
        <f>VLOOKUP(A141,'[11]Linea Arquitectonica'!$A$4:$G$823,4,FALSE)</f>
        <v>97.88</v>
      </c>
      <c r="D141" s="22">
        <f>VLOOKUP(A141,'[11]Linea Arquitectonica'!A144:E961,5,FALSE)</f>
        <v>110.6</v>
      </c>
      <c r="E141" s="22">
        <f>VLOOKUP(A141,'[11]Linea Arquitectonica'!A144:F961,6,FALSE)</f>
        <v>139.82</v>
      </c>
      <c r="F141" s="22">
        <f>VLOOKUP(A141,'[11]Linea Arquitectonica'!A144:G961,7,FALSE)</f>
        <v>158</v>
      </c>
    </row>
    <row r="142" spans="1:6" x14ac:dyDescent="0.3">
      <c r="A142" s="24" t="s">
        <v>155</v>
      </c>
      <c r="B142" s="37" t="s">
        <v>127</v>
      </c>
      <c r="C142" s="22">
        <f>VLOOKUP(A142,'[11]Linea Arquitectonica'!$A$4:$G$823,4,FALSE)</f>
        <v>97.88</v>
      </c>
      <c r="D142" s="22">
        <f>VLOOKUP(A142,'[11]Linea Arquitectonica'!A145:E962,5,FALSE)</f>
        <v>110.6</v>
      </c>
      <c r="E142" s="22">
        <f>VLOOKUP(A142,'[11]Linea Arquitectonica'!A145:F962,6,FALSE)</f>
        <v>139.82</v>
      </c>
      <c r="F142" s="22">
        <f>VLOOKUP(A142,'[11]Linea Arquitectonica'!A145:G962,7,FALSE)</f>
        <v>158</v>
      </c>
    </row>
    <row r="143" spans="1:6" x14ac:dyDescent="0.3">
      <c r="A143" s="24" t="s">
        <v>156</v>
      </c>
      <c r="B143" s="37" t="s">
        <v>129</v>
      </c>
      <c r="C143" s="22">
        <f>VLOOKUP(A143,'[11]Linea Arquitectonica'!$A$4:$G$823,4,FALSE)</f>
        <v>97.88</v>
      </c>
      <c r="D143" s="22">
        <f>VLOOKUP(A143,'[11]Linea Arquitectonica'!A145:E963,5,FALSE)</f>
        <v>110.6</v>
      </c>
      <c r="E143" s="22">
        <f>VLOOKUP(A143,'[11]Linea Arquitectonica'!A145:F963,6,FALSE)</f>
        <v>139.82</v>
      </c>
      <c r="F143" s="22">
        <f>VLOOKUP(A143,'[11]Linea Arquitectonica'!A145:G963,7,FALSE)</f>
        <v>158</v>
      </c>
    </row>
    <row r="144" spans="1:6" x14ac:dyDescent="0.3">
      <c r="A144" s="24" t="s">
        <v>157</v>
      </c>
      <c r="B144" s="37" t="s">
        <v>131</v>
      </c>
      <c r="C144" s="22">
        <f>VLOOKUP(A144,'[11]Linea Arquitectonica'!$A$4:$G$823,4,FALSE)</f>
        <v>97.88</v>
      </c>
      <c r="D144" s="22">
        <f>VLOOKUP(A144,'[11]Linea Arquitectonica'!A145:E964,5,FALSE)</f>
        <v>110.6</v>
      </c>
      <c r="E144" s="22">
        <f>VLOOKUP(A144,'[11]Linea Arquitectonica'!A145:F964,6,FALSE)</f>
        <v>139.82</v>
      </c>
      <c r="F144" s="22">
        <f>VLOOKUP(A144,'[11]Linea Arquitectonica'!A145:G964,7,FALSE)</f>
        <v>158</v>
      </c>
    </row>
    <row r="145" spans="1:6" x14ac:dyDescent="0.3">
      <c r="A145" s="24" t="s">
        <v>158</v>
      </c>
      <c r="B145" s="37" t="s">
        <v>104</v>
      </c>
      <c r="C145" s="22">
        <f>VLOOKUP(A145,'[11]Linea Arquitectonica'!$A$4:$G$823,4,FALSE)</f>
        <v>97.88</v>
      </c>
      <c r="D145" s="22">
        <f>VLOOKUP(A145,'[11]Linea Arquitectonica'!A146:E965,5,FALSE)</f>
        <v>110.6</v>
      </c>
      <c r="E145" s="22">
        <f>VLOOKUP(A145,'[11]Linea Arquitectonica'!A146:F965,6,FALSE)</f>
        <v>139.82</v>
      </c>
      <c r="F145" s="22">
        <f>VLOOKUP(A145,'[11]Linea Arquitectonica'!A146:G965,7,FALSE)</f>
        <v>158</v>
      </c>
    </row>
    <row r="146" spans="1:6" x14ac:dyDescent="0.3">
      <c r="A146" s="24" t="s">
        <v>159</v>
      </c>
      <c r="B146" s="37" t="s">
        <v>3261</v>
      </c>
      <c r="C146" s="22">
        <f>VLOOKUP(A146,'[11]Linea Arquitectonica'!$A$4:$G$823,4,FALSE)</f>
        <v>97.88</v>
      </c>
      <c r="D146" s="22">
        <f>VLOOKUP(A146,'[11]Linea Arquitectonica'!A147:E966,5,FALSE)</f>
        <v>110.6</v>
      </c>
      <c r="E146" s="22">
        <f>VLOOKUP(A146,'[11]Linea Arquitectonica'!A147:F966,6,FALSE)</f>
        <v>139.82</v>
      </c>
      <c r="F146" s="22">
        <f>VLOOKUP(A146,'[11]Linea Arquitectonica'!A147:G966,7,FALSE)</f>
        <v>158</v>
      </c>
    </row>
    <row r="147" spans="1:6" x14ac:dyDescent="0.3">
      <c r="A147" s="24" t="s">
        <v>160</v>
      </c>
      <c r="B147" s="37" t="s">
        <v>107</v>
      </c>
      <c r="C147" s="22">
        <f>VLOOKUP(A147,'[11]Linea Arquitectonica'!$A$4:$G$823,4,FALSE)</f>
        <v>97.88</v>
      </c>
      <c r="D147" s="22">
        <f>VLOOKUP(A147,'[11]Linea Arquitectonica'!A148:E967,5,FALSE)</f>
        <v>110.6</v>
      </c>
      <c r="E147" s="22">
        <f>VLOOKUP(A147,'[11]Linea Arquitectonica'!A148:F967,6,FALSE)</f>
        <v>139.82</v>
      </c>
      <c r="F147" s="22">
        <f>VLOOKUP(A147,'[11]Linea Arquitectonica'!A148:G967,7,FALSE)</f>
        <v>158</v>
      </c>
    </row>
    <row r="148" spans="1:6" x14ac:dyDescent="0.3">
      <c r="A148" s="24" t="s">
        <v>161</v>
      </c>
      <c r="B148" s="37" t="s">
        <v>136</v>
      </c>
      <c r="C148" s="22">
        <f>VLOOKUP(A148,'[11]Linea Arquitectonica'!$A$4:$G$823,4,FALSE)</f>
        <v>97.88</v>
      </c>
      <c r="D148" s="22">
        <f>VLOOKUP(A148,'[11]Linea Arquitectonica'!A149:E968,5,FALSE)</f>
        <v>110.6</v>
      </c>
      <c r="E148" s="22">
        <f>VLOOKUP(A148,'[11]Linea Arquitectonica'!A149:F968,6,FALSE)</f>
        <v>139.82</v>
      </c>
      <c r="F148" s="22">
        <f>VLOOKUP(A148,'[11]Linea Arquitectonica'!A149:G968,7,FALSE)</f>
        <v>158</v>
      </c>
    </row>
    <row r="149" spans="1:6" x14ac:dyDescent="0.3">
      <c r="A149" s="24" t="s">
        <v>162</v>
      </c>
      <c r="B149" s="37" t="s">
        <v>3264</v>
      </c>
      <c r="C149" s="22">
        <f>VLOOKUP(A149,'[11]Linea Arquitectonica'!$A$4:$G$823,4,FALSE)</f>
        <v>97.88</v>
      </c>
      <c r="D149" s="22">
        <f>VLOOKUP(A149,'[11]Linea Arquitectonica'!A150:E969,5,FALSE)</f>
        <v>110.6</v>
      </c>
      <c r="E149" s="22">
        <f>VLOOKUP(A149,'[11]Linea Arquitectonica'!A150:F969,6,FALSE)</f>
        <v>139.82</v>
      </c>
      <c r="F149" s="22">
        <f>VLOOKUP(A149,'[11]Linea Arquitectonica'!A150:G969,7,FALSE)</f>
        <v>158</v>
      </c>
    </row>
    <row r="150" spans="1:6" x14ac:dyDescent="0.3">
      <c r="A150" s="24" t="s">
        <v>163</v>
      </c>
      <c r="B150" s="37" t="s">
        <v>109</v>
      </c>
      <c r="C150" s="22">
        <f>VLOOKUP(A150,'[11]Linea Arquitectonica'!$A$4:$G$823,4,FALSE)</f>
        <v>97.88</v>
      </c>
      <c r="D150" s="22">
        <f>VLOOKUP(A150,'[11]Linea Arquitectonica'!A150:E970,5,FALSE)</f>
        <v>110.6</v>
      </c>
      <c r="E150" s="22">
        <f>VLOOKUP(A150,'[11]Linea Arquitectonica'!A150:F970,6,FALSE)</f>
        <v>139.82</v>
      </c>
      <c r="F150" s="22">
        <f>VLOOKUP(A150,'[11]Linea Arquitectonica'!A150:G970,7,FALSE)</f>
        <v>158</v>
      </c>
    </row>
    <row r="151" spans="1:6" x14ac:dyDescent="0.3">
      <c r="A151" s="24" t="s">
        <v>164</v>
      </c>
      <c r="B151" s="37" t="s">
        <v>140</v>
      </c>
      <c r="C151" s="22">
        <f>VLOOKUP(A151,'[11]Linea Arquitectonica'!$A$4:$G$823,4,FALSE)</f>
        <v>97.88</v>
      </c>
      <c r="D151" s="22">
        <f>VLOOKUP(A151,'[11]Linea Arquitectonica'!A150:E971,5,FALSE)</f>
        <v>110.6</v>
      </c>
      <c r="E151" s="22">
        <f>VLOOKUP(A151,'[11]Linea Arquitectonica'!A150:F971,6,FALSE)</f>
        <v>139.82</v>
      </c>
      <c r="F151" s="22">
        <f>VLOOKUP(A151,'[11]Linea Arquitectonica'!A150:G971,7,FALSE)</f>
        <v>158</v>
      </c>
    </row>
    <row r="152" spans="1:6" x14ac:dyDescent="0.3">
      <c r="A152" s="24" t="s">
        <v>165</v>
      </c>
      <c r="B152" s="37" t="s">
        <v>142</v>
      </c>
      <c r="C152" s="22">
        <f>VLOOKUP(A152,'[11]Linea Arquitectonica'!$A$4:$G$823,4,FALSE)</f>
        <v>97.88</v>
      </c>
      <c r="D152" s="22">
        <f>VLOOKUP(A152,'[11]Linea Arquitectonica'!A150:E972,5,FALSE)</f>
        <v>110.6</v>
      </c>
      <c r="E152" s="22">
        <f>VLOOKUP(A152,'[11]Linea Arquitectonica'!A150:F972,6,FALSE)</f>
        <v>139.82</v>
      </c>
      <c r="F152" s="22">
        <f>VLOOKUP(A152,'[11]Linea Arquitectonica'!A150:G972,7,FALSE)</f>
        <v>158</v>
      </c>
    </row>
    <row r="153" spans="1:6" x14ac:dyDescent="0.3">
      <c r="A153" s="24" t="s">
        <v>166</v>
      </c>
      <c r="B153" s="37" t="s">
        <v>144</v>
      </c>
      <c r="C153" s="22">
        <f>VLOOKUP(A153,'[11]Linea Arquitectonica'!$A$4:$G$823,4,FALSE)</f>
        <v>97.88</v>
      </c>
      <c r="D153" s="22">
        <f>VLOOKUP(A153,'[11]Linea Arquitectonica'!A151:E973,5,FALSE)</f>
        <v>110.6</v>
      </c>
      <c r="E153" s="22">
        <f>VLOOKUP(A153,'[11]Linea Arquitectonica'!A151:F973,6,FALSE)</f>
        <v>139.82</v>
      </c>
      <c r="F153" s="22">
        <f>VLOOKUP(A153,'[11]Linea Arquitectonica'!A151:G973,7,FALSE)</f>
        <v>158</v>
      </c>
    </row>
    <row r="154" spans="1:6" x14ac:dyDescent="0.3">
      <c r="A154" s="24" t="s">
        <v>167</v>
      </c>
      <c r="B154" s="37" t="s">
        <v>3265</v>
      </c>
      <c r="C154" s="22">
        <f>VLOOKUP(A154,'[11]Linea Arquitectonica'!$A$4:$G$823,4,FALSE)</f>
        <v>97.88</v>
      </c>
      <c r="D154" s="22">
        <f>VLOOKUP(A154,'[11]Linea Arquitectonica'!A152:E974,5,FALSE)</f>
        <v>110.6</v>
      </c>
      <c r="E154" s="22">
        <f>VLOOKUP(A154,'[11]Linea Arquitectonica'!A152:F974,6,FALSE)</f>
        <v>139.82</v>
      </c>
      <c r="F154" s="22">
        <f>VLOOKUP(A154,'[11]Linea Arquitectonica'!A152:G974,7,FALSE)</f>
        <v>158</v>
      </c>
    </row>
    <row r="155" spans="1:6" x14ac:dyDescent="0.3">
      <c r="A155" s="24" t="s">
        <v>3046</v>
      </c>
      <c r="B155" s="37" t="s">
        <v>3023</v>
      </c>
      <c r="C155" s="22">
        <f>VLOOKUP(A155,'[11]Linea Arquitectonica'!$A$4:$G$823,4,FALSE)</f>
        <v>97.88</v>
      </c>
      <c r="D155" s="22">
        <f>VLOOKUP(A155,'[11]Linea Arquitectonica'!A153:E975,5,FALSE)</f>
        <v>110.6</v>
      </c>
      <c r="E155" s="22">
        <f>VLOOKUP(A155,'[11]Linea Arquitectonica'!A153:F975,6,FALSE)</f>
        <v>139.82</v>
      </c>
      <c r="F155" s="22">
        <f>VLOOKUP(A155,'[11]Linea Arquitectonica'!A153:G975,7,FALSE)</f>
        <v>158</v>
      </c>
    </row>
    <row r="156" spans="1:6" x14ac:dyDescent="0.3">
      <c r="A156" s="24" t="s">
        <v>3047</v>
      </c>
      <c r="B156" s="37" t="s">
        <v>3025</v>
      </c>
      <c r="C156" s="22">
        <f>VLOOKUP(A156,'[11]Linea Arquitectonica'!$A$4:$G$823,4,FALSE)</f>
        <v>97.88</v>
      </c>
      <c r="D156" s="22">
        <f>VLOOKUP(A156,'[11]Linea Arquitectonica'!A154:E976,5,FALSE)</f>
        <v>110.6</v>
      </c>
      <c r="E156" s="22">
        <f>VLOOKUP(A156,'[11]Linea Arquitectonica'!A154:F976,6,FALSE)</f>
        <v>139.82</v>
      </c>
      <c r="F156" s="22">
        <f>VLOOKUP(A156,'[11]Linea Arquitectonica'!A154:G976,7,FALSE)</f>
        <v>158</v>
      </c>
    </row>
    <row r="157" spans="1:6" x14ac:dyDescent="0.3">
      <c r="A157" s="24" t="s">
        <v>3048</v>
      </c>
      <c r="B157" s="37" t="s">
        <v>3027</v>
      </c>
      <c r="C157" s="22">
        <f>VLOOKUP(A157,'[11]Linea Arquitectonica'!$A$4:$G$823,4,FALSE)</f>
        <v>97.88</v>
      </c>
      <c r="D157" s="22">
        <f>VLOOKUP(A157,'[11]Linea Arquitectonica'!A155:E977,5,FALSE)</f>
        <v>110.6</v>
      </c>
      <c r="E157" s="22">
        <f>VLOOKUP(A157,'[11]Linea Arquitectonica'!A155:F977,6,FALSE)</f>
        <v>139.82</v>
      </c>
      <c r="F157" s="22">
        <f>VLOOKUP(A157,'[11]Linea Arquitectonica'!A155:G977,7,FALSE)</f>
        <v>158</v>
      </c>
    </row>
    <row r="158" spans="1:6" x14ac:dyDescent="0.3">
      <c r="A158" s="24" t="s">
        <v>3049</v>
      </c>
      <c r="B158" s="37" t="s">
        <v>3029</v>
      </c>
      <c r="C158" s="22">
        <f>VLOOKUP(A158,'[11]Linea Arquitectonica'!$A$4:$G$823,4,FALSE)</f>
        <v>97.88</v>
      </c>
      <c r="D158" s="22">
        <f>VLOOKUP(A158,'[11]Linea Arquitectonica'!A156:E978,5,FALSE)</f>
        <v>110.6</v>
      </c>
      <c r="E158" s="22">
        <f>VLOOKUP(A158,'[11]Linea Arquitectonica'!A156:F978,6,FALSE)</f>
        <v>139.82</v>
      </c>
      <c r="F158" s="22">
        <f>VLOOKUP(A158,'[11]Linea Arquitectonica'!A156:G978,7,FALSE)</f>
        <v>158</v>
      </c>
    </row>
    <row r="159" spans="1:6" x14ac:dyDescent="0.3">
      <c r="A159" s="24" t="s">
        <v>3050</v>
      </c>
      <c r="B159" s="37" t="s">
        <v>3031</v>
      </c>
      <c r="C159" s="22">
        <f>VLOOKUP(A159,'[11]Linea Arquitectonica'!$A$4:$G$823,4,FALSE)</f>
        <v>97.88</v>
      </c>
      <c r="D159" s="22">
        <f>VLOOKUP(A159,'[11]Linea Arquitectonica'!A157:E979,5,FALSE)</f>
        <v>110.6</v>
      </c>
      <c r="E159" s="22">
        <f>VLOOKUP(A159,'[11]Linea Arquitectonica'!A157:F979,6,FALSE)</f>
        <v>139.82</v>
      </c>
      <c r="F159" s="22">
        <f>VLOOKUP(A159,'[11]Linea Arquitectonica'!A157:G979,7,FALSE)</f>
        <v>158</v>
      </c>
    </row>
    <row r="160" spans="1:6" x14ac:dyDescent="0.3">
      <c r="A160" s="24" t="s">
        <v>3051</v>
      </c>
      <c r="B160" s="37" t="s">
        <v>3033</v>
      </c>
      <c r="C160" s="22">
        <f>VLOOKUP(A160,'[11]Linea Arquitectonica'!$A$4:$G$823,4,FALSE)</f>
        <v>97.88</v>
      </c>
      <c r="D160" s="22">
        <f>VLOOKUP(A160,'[11]Linea Arquitectonica'!A158:E980,5,FALSE)</f>
        <v>110.6</v>
      </c>
      <c r="E160" s="22">
        <f>VLOOKUP(A160,'[11]Linea Arquitectonica'!A158:F980,6,FALSE)</f>
        <v>139.82</v>
      </c>
      <c r="F160" s="22">
        <f>VLOOKUP(A160,'[11]Linea Arquitectonica'!A158:G980,7,FALSE)</f>
        <v>158</v>
      </c>
    </row>
    <row r="161" spans="1:6" x14ac:dyDescent="0.3">
      <c r="A161" s="24" t="s">
        <v>3052</v>
      </c>
      <c r="B161" s="37" t="s">
        <v>3035</v>
      </c>
      <c r="C161" s="22">
        <f>VLOOKUP(A161,'[11]Linea Arquitectonica'!$A$4:$G$823,4,FALSE)</f>
        <v>97.88</v>
      </c>
      <c r="D161" s="22">
        <f>VLOOKUP(A161,'[11]Linea Arquitectonica'!A159:E981,5,FALSE)</f>
        <v>110.6</v>
      </c>
      <c r="E161" s="22">
        <f>VLOOKUP(A161,'[11]Linea Arquitectonica'!A159:F981,6,FALSE)</f>
        <v>139.82</v>
      </c>
      <c r="F161" s="22">
        <f>VLOOKUP(A161,'[11]Linea Arquitectonica'!A159:G981,7,FALSE)</f>
        <v>158</v>
      </c>
    </row>
    <row r="162" spans="1:6" x14ac:dyDescent="0.3">
      <c r="A162" s="24" t="s">
        <v>3053</v>
      </c>
      <c r="B162" s="37" t="s">
        <v>3037</v>
      </c>
      <c r="C162" s="22">
        <f>VLOOKUP(A162,'[11]Linea Arquitectonica'!$A$4:$G$823,4,FALSE)</f>
        <v>97.88</v>
      </c>
      <c r="D162" s="22">
        <f>VLOOKUP(A162,'[11]Linea Arquitectonica'!A160:E982,5,FALSE)</f>
        <v>110.6</v>
      </c>
      <c r="E162" s="22">
        <f>VLOOKUP(A162,'[11]Linea Arquitectonica'!A160:F982,6,FALSE)</f>
        <v>139.82</v>
      </c>
      <c r="F162" s="22">
        <f>VLOOKUP(A162,'[11]Linea Arquitectonica'!A160:G982,7,FALSE)</f>
        <v>158</v>
      </c>
    </row>
    <row r="163" spans="1:6" x14ac:dyDescent="0.3">
      <c r="A163" s="24" t="s">
        <v>3054</v>
      </c>
      <c r="B163" s="37" t="s">
        <v>3266</v>
      </c>
      <c r="C163" s="22">
        <f>VLOOKUP(A163,'[11]Linea Arquitectonica'!$A$4:$G$823,4,FALSE)</f>
        <v>97.88</v>
      </c>
      <c r="D163" s="22">
        <f>VLOOKUP(A163,'[11]Linea Arquitectonica'!A161:E983,5,FALSE)</f>
        <v>110.6</v>
      </c>
      <c r="E163" s="22">
        <f>VLOOKUP(A163,'[11]Linea Arquitectonica'!A161:F983,6,FALSE)</f>
        <v>139.82</v>
      </c>
      <c r="F163" s="22">
        <f>VLOOKUP(A163,'[11]Linea Arquitectonica'!A161:G983,7,FALSE)</f>
        <v>158</v>
      </c>
    </row>
    <row r="164" spans="1:6" x14ac:dyDescent="0.3">
      <c r="A164" s="24" t="s">
        <v>3055</v>
      </c>
      <c r="B164" s="37" t="s">
        <v>3267</v>
      </c>
      <c r="C164" s="22">
        <f>VLOOKUP(A164,'[11]Linea Arquitectonica'!$A$4:$G$823,4,FALSE)</f>
        <v>97.88</v>
      </c>
      <c r="D164" s="22">
        <f>VLOOKUP(A164,'[11]Linea Arquitectonica'!A162:E984,5,FALSE)</f>
        <v>110.6</v>
      </c>
      <c r="E164" s="22">
        <f>VLOOKUP(A164,'[11]Linea Arquitectonica'!A162:F984,6,FALSE)</f>
        <v>139.82</v>
      </c>
      <c r="F164" s="22">
        <f>VLOOKUP(A164,'[11]Linea Arquitectonica'!A162:G984,7,FALSE)</f>
        <v>158</v>
      </c>
    </row>
    <row r="165" spans="1:6" x14ac:dyDescent="0.3">
      <c r="A165" s="24" t="s">
        <v>3056</v>
      </c>
      <c r="B165" s="37" t="s">
        <v>3041</v>
      </c>
      <c r="C165" s="22">
        <f>VLOOKUP(A165,'[11]Linea Arquitectonica'!$A$4:$G$823,4,FALSE)</f>
        <v>97.88</v>
      </c>
      <c r="D165" s="22">
        <f>VLOOKUP(A165,'[11]Linea Arquitectonica'!A163:E985,5,FALSE)</f>
        <v>110.6</v>
      </c>
      <c r="E165" s="22">
        <f>VLOOKUP(A165,'[11]Linea Arquitectonica'!A163:F985,6,FALSE)</f>
        <v>139.82</v>
      </c>
      <c r="F165" s="22">
        <f>VLOOKUP(A165,'[11]Linea Arquitectonica'!A163:G985,7,FALSE)</f>
        <v>158</v>
      </c>
    </row>
    <row r="166" spans="1:6" x14ac:dyDescent="0.3">
      <c r="A166" s="24" t="s">
        <v>3057</v>
      </c>
      <c r="B166" s="37" t="s">
        <v>3043</v>
      </c>
      <c r="C166" s="22">
        <f>VLOOKUP(A166,'[11]Linea Arquitectonica'!$A$4:$G$823,4,FALSE)</f>
        <v>97.88</v>
      </c>
      <c r="D166" s="22">
        <f>VLOOKUP(A166,'[11]Linea Arquitectonica'!A164:E986,5,FALSE)</f>
        <v>110.6</v>
      </c>
      <c r="E166" s="22">
        <f>VLOOKUP(A166,'[11]Linea Arquitectonica'!A164:F986,6,FALSE)</f>
        <v>139.82</v>
      </c>
      <c r="F166" s="22">
        <f>VLOOKUP(A166,'[11]Linea Arquitectonica'!A164:G986,7,FALSE)</f>
        <v>158</v>
      </c>
    </row>
    <row r="167" spans="1:6" x14ac:dyDescent="0.3">
      <c r="A167" s="24" t="s">
        <v>3058</v>
      </c>
      <c r="B167" s="37" t="s">
        <v>3045</v>
      </c>
      <c r="C167" s="22">
        <f>VLOOKUP(A167,'[11]Linea Arquitectonica'!$A$4:$G$823,4,FALSE)</f>
        <v>97.88</v>
      </c>
      <c r="D167" s="22">
        <f>VLOOKUP(A167,'[11]Linea Arquitectonica'!A165:E987,5,FALSE)</f>
        <v>110.6</v>
      </c>
      <c r="E167" s="22">
        <f>VLOOKUP(A167,'[11]Linea Arquitectonica'!A165:F987,6,FALSE)</f>
        <v>139.82</v>
      </c>
      <c r="F167" s="22">
        <f>VLOOKUP(A167,'[11]Linea Arquitectonica'!A165:G987,7,FALSE)</f>
        <v>158</v>
      </c>
    </row>
    <row r="168" spans="1:6" x14ac:dyDescent="0.3">
      <c r="A168" s="24" t="s">
        <v>168</v>
      </c>
      <c r="B168" s="37" t="s">
        <v>169</v>
      </c>
      <c r="C168" s="22">
        <f>VLOOKUP(A168,'[11]Linea Arquitectonica'!$A$4:$G$823,4,FALSE)</f>
        <v>22.24</v>
      </c>
      <c r="D168" s="22">
        <f>VLOOKUP(A168,'[11]Linea Arquitectonica'!A166:E988,5,FALSE)</f>
        <v>25.13</v>
      </c>
      <c r="E168" s="22">
        <f>VLOOKUP(A168,'[11]Linea Arquitectonica'!A166:F988,6,FALSE)</f>
        <v>31.77</v>
      </c>
      <c r="F168" s="22">
        <f>VLOOKUP(A168,'[11]Linea Arquitectonica'!A166:G988,7,FALSE)</f>
        <v>35.9</v>
      </c>
    </row>
    <row r="169" spans="1:6" x14ac:dyDescent="0.3">
      <c r="A169" s="24" t="s">
        <v>170</v>
      </c>
      <c r="B169" s="37" t="s">
        <v>169</v>
      </c>
      <c r="C169" s="22">
        <f>VLOOKUP(A169,'[11]Linea Arquitectonica'!$A$4:$G$823,4,FALSE)</f>
        <v>97.88</v>
      </c>
      <c r="D169" s="22">
        <f>VLOOKUP(A169,'[11]Linea Arquitectonica'!A167:E989,5,FALSE)</f>
        <v>110.6</v>
      </c>
      <c r="E169" s="22">
        <f>VLOOKUP(A169,'[11]Linea Arquitectonica'!A167:F989,6,FALSE)</f>
        <v>139.82</v>
      </c>
      <c r="F169" s="22">
        <f>VLOOKUP(A169,'[11]Linea Arquitectonica'!A167:G989,7,FALSE)</f>
        <v>158</v>
      </c>
    </row>
    <row r="170" spans="1:6" x14ac:dyDescent="0.3">
      <c r="A170" s="21" t="s">
        <v>171</v>
      </c>
      <c r="B170" s="37" t="s">
        <v>172</v>
      </c>
      <c r="C170" s="22">
        <f>VLOOKUP(A170,'[11]Linea Arquitectonica'!$A$4:$G$823,4,FALSE)</f>
        <v>25.34</v>
      </c>
      <c r="D170" s="22">
        <f>VLOOKUP(A170,'[11]Linea Arquitectonica'!A168:E990,5,FALSE)</f>
        <v>28.63</v>
      </c>
      <c r="E170" s="22">
        <f>VLOOKUP(A170,'[11]Linea Arquitectonica'!A168:F990,6,FALSE)</f>
        <v>36.19</v>
      </c>
      <c r="F170" s="22">
        <f>VLOOKUP(A170,'[11]Linea Arquitectonica'!A168:G990,7,FALSE)</f>
        <v>40.9</v>
      </c>
    </row>
    <row r="171" spans="1:6" x14ac:dyDescent="0.3">
      <c r="A171" s="21" t="s">
        <v>173</v>
      </c>
      <c r="B171" s="37" t="s">
        <v>174</v>
      </c>
      <c r="C171" s="22">
        <f>VLOOKUP(A171,'[11]Linea Arquitectonica'!$A$4:$G$823,4,FALSE)</f>
        <v>25.34</v>
      </c>
      <c r="D171" s="22">
        <f>VLOOKUP(A171,'[11]Linea Arquitectonica'!A169:E991,5,FALSE)</f>
        <v>28.63</v>
      </c>
      <c r="E171" s="22">
        <f>VLOOKUP(A171,'[11]Linea Arquitectonica'!A169:F991,6,FALSE)</f>
        <v>36.19</v>
      </c>
      <c r="F171" s="22">
        <f>VLOOKUP(A171,'[11]Linea Arquitectonica'!A169:G991,7,FALSE)</f>
        <v>40.9</v>
      </c>
    </row>
    <row r="172" spans="1:6" x14ac:dyDescent="0.3">
      <c r="A172" s="25" t="s">
        <v>175</v>
      </c>
      <c r="B172" s="37" t="s">
        <v>176</v>
      </c>
      <c r="C172" s="22">
        <f>VLOOKUP(A172,'[11]Linea Arquitectonica'!$A$4:$G$823,4,FALSE)</f>
        <v>25.34</v>
      </c>
      <c r="D172" s="22">
        <f>VLOOKUP(A172,'[11]Linea Arquitectonica'!A170:E992,5,FALSE)</f>
        <v>28.63</v>
      </c>
      <c r="E172" s="22">
        <f>VLOOKUP(A172,'[11]Linea Arquitectonica'!A170:F992,6,FALSE)</f>
        <v>36.19</v>
      </c>
      <c r="F172" s="22">
        <f>VLOOKUP(A172,'[11]Linea Arquitectonica'!A170:G992,7,FALSE)</f>
        <v>40.9</v>
      </c>
    </row>
    <row r="173" spans="1:6" x14ac:dyDescent="0.3">
      <c r="A173" s="21" t="s">
        <v>177</v>
      </c>
      <c r="B173" s="37" t="s">
        <v>172</v>
      </c>
      <c r="C173" s="22">
        <f>VLOOKUP(A173,'[11]Linea Arquitectonica'!$A$4:$G$823,4,FALSE)</f>
        <v>118.94</v>
      </c>
      <c r="D173" s="22">
        <f>VLOOKUP(A173,'[11]Linea Arquitectonica'!A171:E993,5,FALSE)</f>
        <v>134.4</v>
      </c>
      <c r="E173" s="22">
        <f>VLOOKUP(A173,'[11]Linea Arquitectonica'!A171:F993,6,FALSE)</f>
        <v>169.91</v>
      </c>
      <c r="F173" s="22">
        <f>VLOOKUP(A173,'[11]Linea Arquitectonica'!A171:G993,7,FALSE)</f>
        <v>192</v>
      </c>
    </row>
    <row r="174" spans="1:6" x14ac:dyDescent="0.3">
      <c r="A174" s="21" t="s">
        <v>178</v>
      </c>
      <c r="B174" s="37" t="s">
        <v>174</v>
      </c>
      <c r="C174" s="22">
        <f>VLOOKUP(A174,'[11]Linea Arquitectonica'!$A$4:$G$823,4,FALSE)</f>
        <v>118.94</v>
      </c>
      <c r="D174" s="22">
        <f>VLOOKUP(A174,'[11]Linea Arquitectonica'!A172:E994,5,FALSE)</f>
        <v>134.4</v>
      </c>
      <c r="E174" s="22">
        <f>VLOOKUP(A174,'[11]Linea Arquitectonica'!A172:F994,6,FALSE)</f>
        <v>169.91</v>
      </c>
      <c r="F174" s="22">
        <f>VLOOKUP(A174,'[11]Linea Arquitectonica'!A172:G994,7,FALSE)</f>
        <v>192</v>
      </c>
    </row>
    <row r="175" spans="1:6" x14ac:dyDescent="0.3">
      <c r="A175" s="25" t="s">
        <v>179</v>
      </c>
      <c r="B175" s="37" t="s">
        <v>176</v>
      </c>
      <c r="C175" s="22">
        <f>VLOOKUP(A175,'[11]Linea Arquitectonica'!$A$4:$G$823,4,FALSE)</f>
        <v>118.94</v>
      </c>
      <c r="D175" s="22">
        <f>VLOOKUP(A175,'[11]Linea Arquitectonica'!A173:E995,5,FALSE)</f>
        <v>134.4</v>
      </c>
      <c r="E175" s="22">
        <f>VLOOKUP(A175,'[11]Linea Arquitectonica'!A173:F995,6,FALSE)</f>
        <v>169.91</v>
      </c>
      <c r="F175" s="22">
        <f>VLOOKUP(A175,'[11]Linea Arquitectonica'!A173:G995,7,FALSE)</f>
        <v>192</v>
      </c>
    </row>
    <row r="176" spans="1:6" x14ac:dyDescent="0.3">
      <c r="A176" s="21" t="s">
        <v>180</v>
      </c>
      <c r="B176" s="37" t="s">
        <v>3268</v>
      </c>
      <c r="C176" s="22">
        <f>VLOOKUP(A176,'[11]Linea Arquitectonica'!$A$4:$G$823,4,FALSE)</f>
        <v>6.63</v>
      </c>
      <c r="D176" s="22">
        <f>VLOOKUP(A176,'[11]Linea Arquitectonica'!A174:E996,5,FALSE)</f>
        <v>7.49</v>
      </c>
      <c r="E176" s="22">
        <f>VLOOKUP(A176,'[11]Linea Arquitectonica'!A174:F996,6,FALSE)</f>
        <v>10.18</v>
      </c>
      <c r="F176" s="22">
        <f>VLOOKUP(A176,'[11]Linea Arquitectonica'!A174:G996,7,FALSE)</f>
        <v>11.5</v>
      </c>
    </row>
    <row r="177" spans="1:6" x14ac:dyDescent="0.3">
      <c r="A177" s="21" t="s">
        <v>181</v>
      </c>
      <c r="B177" s="37" t="s">
        <v>3269</v>
      </c>
      <c r="C177" s="22">
        <f>VLOOKUP(A177,'[11]Linea Arquitectonica'!$A$4:$G$823,4,FALSE)</f>
        <v>5.63</v>
      </c>
      <c r="D177" s="22">
        <f>VLOOKUP(A177,'[11]Linea Arquitectonica'!A175:E997,5,FALSE)</f>
        <v>6.36</v>
      </c>
      <c r="E177" s="22">
        <f>VLOOKUP(A177,'[11]Linea Arquitectonica'!A175:F997,6,FALSE)</f>
        <v>10.18</v>
      </c>
      <c r="F177" s="22">
        <f>VLOOKUP(A177,'[11]Linea Arquitectonica'!A175:G997,7,FALSE)</f>
        <v>11.5</v>
      </c>
    </row>
    <row r="178" spans="1:6" x14ac:dyDescent="0.3">
      <c r="A178" s="21" t="s">
        <v>182</v>
      </c>
      <c r="B178" s="37" t="s">
        <v>3268</v>
      </c>
      <c r="C178" s="22">
        <f>VLOOKUP(A178,'[11]Linea Arquitectonica'!$A$4:$G$823,4,FALSE)</f>
        <v>20.74</v>
      </c>
      <c r="D178" s="22">
        <f>VLOOKUP(A178,'[11]Linea Arquitectonica'!A176:E998,5,FALSE)</f>
        <v>23.44</v>
      </c>
      <c r="E178" s="22">
        <f>VLOOKUP(A178,'[11]Linea Arquitectonica'!A176:F998,6,FALSE)</f>
        <v>31.77</v>
      </c>
      <c r="F178" s="22">
        <f>VLOOKUP(A178,'[11]Linea Arquitectonica'!A176:G998,7,FALSE)</f>
        <v>35.9</v>
      </c>
    </row>
    <row r="179" spans="1:6" x14ac:dyDescent="0.3">
      <c r="A179" s="21" t="s">
        <v>183</v>
      </c>
      <c r="B179" s="37" t="s">
        <v>3269</v>
      </c>
      <c r="C179" s="22">
        <f>VLOOKUP(A179,'[11]Linea Arquitectonica'!$A$4:$G$823,4,FALSE)</f>
        <v>17.239999999999998</v>
      </c>
      <c r="D179" s="22">
        <f>VLOOKUP(A179,'[11]Linea Arquitectonica'!A177:E999,5,FALSE)</f>
        <v>19.48</v>
      </c>
      <c r="E179" s="22">
        <f>VLOOKUP(A179,'[11]Linea Arquitectonica'!A177:F999,6,FALSE)</f>
        <v>31.77</v>
      </c>
      <c r="F179" s="22">
        <f>VLOOKUP(A179,'[11]Linea Arquitectonica'!A177:G999,7,FALSE)</f>
        <v>35.9</v>
      </c>
    </row>
    <row r="180" spans="1:6" x14ac:dyDescent="0.3">
      <c r="A180" s="21" t="s">
        <v>184</v>
      </c>
      <c r="B180" s="37" t="s">
        <v>3270</v>
      </c>
      <c r="C180" s="22">
        <f>VLOOKUP(A180,'[11]Linea Arquitectonica'!$A$4:$G$823,4,FALSE)</f>
        <v>17.239999999999998</v>
      </c>
      <c r="D180" s="22">
        <f>VLOOKUP(A180,'[11]Linea Arquitectonica'!A178:E1000,5,FALSE)</f>
        <v>19.48</v>
      </c>
      <c r="E180" s="22">
        <f>VLOOKUP(A180,'[11]Linea Arquitectonica'!A178:F1000,6,FALSE)</f>
        <v>31.77</v>
      </c>
      <c r="F180" s="22">
        <f>VLOOKUP(A180,'[11]Linea Arquitectonica'!A178:G1000,7,FALSE)</f>
        <v>35.9</v>
      </c>
    </row>
    <row r="181" spans="1:6" x14ac:dyDescent="0.3">
      <c r="A181" s="21" t="s">
        <v>185</v>
      </c>
      <c r="B181" s="37" t="s">
        <v>3268</v>
      </c>
      <c r="C181" s="22">
        <f>VLOOKUP(A181,'[11]Linea Arquitectonica'!$A$4:$G$823,4,FALSE)</f>
        <v>90.38</v>
      </c>
      <c r="D181" s="22">
        <f>VLOOKUP(A181,'[11]Linea Arquitectonica'!A179:E1001,5,FALSE)</f>
        <v>102.13</v>
      </c>
      <c r="E181" s="22">
        <f>VLOOKUP(A181,'[11]Linea Arquitectonica'!A179:F1001,6,FALSE)</f>
        <v>139.82</v>
      </c>
      <c r="F181" s="22">
        <f>VLOOKUP(A181,'[11]Linea Arquitectonica'!A179:G1001,7,FALSE)</f>
        <v>158</v>
      </c>
    </row>
    <row r="182" spans="1:6" x14ac:dyDescent="0.3">
      <c r="A182" s="21" t="s">
        <v>186</v>
      </c>
      <c r="B182" s="37" t="s">
        <v>3269</v>
      </c>
      <c r="C182" s="22">
        <f>VLOOKUP(A182,'[11]Linea Arquitectonica'!$A$4:$G$823,4,FALSE)</f>
        <v>72.88</v>
      </c>
      <c r="D182" s="22">
        <f>VLOOKUP(A182,'[11]Linea Arquitectonica'!A180:E1002,5,FALSE)</f>
        <v>82.35</v>
      </c>
      <c r="E182" s="22">
        <f>VLOOKUP(A182,'[11]Linea Arquitectonica'!A180:F1002,6,FALSE)</f>
        <v>139.82</v>
      </c>
      <c r="F182" s="22">
        <f>VLOOKUP(A182,'[11]Linea Arquitectonica'!A180:G1002,7,FALSE)</f>
        <v>158</v>
      </c>
    </row>
    <row r="183" spans="1:6" x14ac:dyDescent="0.3">
      <c r="A183" s="21" t="s">
        <v>187</v>
      </c>
      <c r="B183" s="37" t="s">
        <v>3271</v>
      </c>
      <c r="C183" s="22">
        <f>VLOOKUP(A183,'[11]Linea Arquitectonica'!$A$4:$G$823,4,FALSE)</f>
        <v>22.6</v>
      </c>
      <c r="D183" s="22">
        <f>VLOOKUP(A183,'[11]Linea Arquitectonica'!A181:E1003,5,FALSE)</f>
        <v>25.54</v>
      </c>
      <c r="E183" s="22">
        <f>VLOOKUP(A183,'[11]Linea Arquitectonica'!A181:F1003,6,FALSE)</f>
        <v>34.42</v>
      </c>
      <c r="F183" s="22">
        <f>VLOOKUP(A183,'[11]Linea Arquitectonica'!A181:G1003,7,FALSE)</f>
        <v>38.9</v>
      </c>
    </row>
    <row r="184" spans="1:6" x14ac:dyDescent="0.3">
      <c r="A184" s="21" t="s">
        <v>188</v>
      </c>
      <c r="B184" s="37" t="s">
        <v>3272</v>
      </c>
      <c r="C184" s="22">
        <f>VLOOKUP(A184,'[11]Linea Arquitectonica'!$A$4:$G$823,4,FALSE)</f>
        <v>19.100000000000001</v>
      </c>
      <c r="D184" s="22">
        <f>VLOOKUP(A184,'[11]Linea Arquitectonica'!A182:E1004,5,FALSE)</f>
        <v>21.58</v>
      </c>
      <c r="E184" s="22">
        <f>VLOOKUP(A184,'[11]Linea Arquitectonica'!A182:F1004,6,FALSE)</f>
        <v>34.42</v>
      </c>
      <c r="F184" s="22">
        <f>VLOOKUP(A184,'[11]Linea Arquitectonica'!A182:G1004,7,FALSE)</f>
        <v>38.9</v>
      </c>
    </row>
    <row r="185" spans="1:6" x14ac:dyDescent="0.3">
      <c r="A185" s="21" t="s">
        <v>189</v>
      </c>
      <c r="B185" s="37" t="s">
        <v>3271</v>
      </c>
      <c r="C185" s="22">
        <f>VLOOKUP(A185,'[11]Linea Arquitectonica'!$A$4:$G$823,4,FALSE)</f>
        <v>107.11</v>
      </c>
      <c r="D185" s="22">
        <f>VLOOKUP(A185,'[11]Linea Arquitectonica'!A183:E1005,5,FALSE)</f>
        <v>121.03</v>
      </c>
      <c r="E185" s="22">
        <f>VLOOKUP(A185,'[11]Linea Arquitectonica'!A183:F1005,6,FALSE)</f>
        <v>163.72</v>
      </c>
      <c r="F185" s="22">
        <f>VLOOKUP(A185,'[11]Linea Arquitectonica'!A183:G1005,7,FALSE)</f>
        <v>185</v>
      </c>
    </row>
    <row r="186" spans="1:6" x14ac:dyDescent="0.3">
      <c r="A186" s="21" t="s">
        <v>190</v>
      </c>
      <c r="B186" s="37" t="s">
        <v>3272</v>
      </c>
      <c r="C186" s="22">
        <f>VLOOKUP(A186,'[11]Linea Arquitectonica'!$A$4:$G$823,4,FALSE)</f>
        <v>89.6</v>
      </c>
      <c r="D186" s="22">
        <f>VLOOKUP(A186,'[11]Linea Arquitectonica'!A184:E1006,5,FALSE)</f>
        <v>101.25</v>
      </c>
      <c r="E186" s="22">
        <f>VLOOKUP(A186,'[11]Linea Arquitectonica'!A184:F1006,6,FALSE)</f>
        <v>163.72</v>
      </c>
      <c r="F186" s="22">
        <f>VLOOKUP(A186,'[11]Linea Arquitectonica'!A184:G1006,7,FALSE)</f>
        <v>185</v>
      </c>
    </row>
    <row r="187" spans="1:6" x14ac:dyDescent="0.3">
      <c r="A187" s="21" t="s">
        <v>191</v>
      </c>
      <c r="B187" s="37" t="s">
        <v>3273</v>
      </c>
      <c r="C187" s="22">
        <f>VLOOKUP(A187,'[11]Linea Arquitectonica'!$A$4:$G$823,4,FALSE)</f>
        <v>22.6</v>
      </c>
      <c r="D187" s="22">
        <f>VLOOKUP(A187,'[11]Linea Arquitectonica'!A185:E1007,5,FALSE)</f>
        <v>25.54</v>
      </c>
      <c r="E187" s="22">
        <f>VLOOKUP(A187,'[11]Linea Arquitectonica'!A185:F1007,6,FALSE)</f>
        <v>34.42</v>
      </c>
      <c r="F187" s="22">
        <f>VLOOKUP(A187,'[11]Linea Arquitectonica'!A185:G1007,7,FALSE)</f>
        <v>38.9</v>
      </c>
    </row>
    <row r="188" spans="1:6" x14ac:dyDescent="0.3">
      <c r="A188" s="21" t="s">
        <v>192</v>
      </c>
      <c r="B188" s="37" t="s">
        <v>3274</v>
      </c>
      <c r="C188" s="22">
        <f>VLOOKUP(A188,'[11]Linea Arquitectonica'!$A$4:$G$823,4,FALSE)</f>
        <v>19.100000000000001</v>
      </c>
      <c r="D188" s="22">
        <f>VLOOKUP(A188,'[11]Linea Arquitectonica'!A186:E1008,5,FALSE)</f>
        <v>21.58</v>
      </c>
      <c r="E188" s="22">
        <f>VLOOKUP(A188,'[11]Linea Arquitectonica'!A186:F1008,6,FALSE)</f>
        <v>34.42</v>
      </c>
      <c r="F188" s="22">
        <f>VLOOKUP(A188,'[11]Linea Arquitectonica'!A186:G1008,7,FALSE)</f>
        <v>38.9</v>
      </c>
    </row>
    <row r="189" spans="1:6" x14ac:dyDescent="0.3">
      <c r="A189" s="21" t="s">
        <v>193</v>
      </c>
      <c r="B189" s="37" t="s">
        <v>3273</v>
      </c>
      <c r="C189" s="22">
        <f>VLOOKUP(A189,'[11]Linea Arquitectonica'!$A$4:$G$823,4,FALSE)</f>
        <v>107.11</v>
      </c>
      <c r="D189" s="22">
        <f>VLOOKUP(A189,'[11]Linea Arquitectonica'!A187:E1009,5,FALSE)</f>
        <v>121.03</v>
      </c>
      <c r="E189" s="22">
        <f>VLOOKUP(A189,'[11]Linea Arquitectonica'!A187:F1009,6,FALSE)</f>
        <v>163.72</v>
      </c>
      <c r="F189" s="22">
        <f>VLOOKUP(A189,'[11]Linea Arquitectonica'!A187:G1009,7,FALSE)</f>
        <v>185</v>
      </c>
    </row>
    <row r="190" spans="1:6" x14ac:dyDescent="0.3">
      <c r="A190" s="21" t="s">
        <v>194</v>
      </c>
      <c r="B190" s="37" t="s">
        <v>3274</v>
      </c>
      <c r="C190" s="22">
        <f>VLOOKUP(A190,'[11]Linea Arquitectonica'!$A$4:$G$823,4,FALSE)</f>
        <v>89.6</v>
      </c>
      <c r="D190" s="22">
        <f>VLOOKUP(A190,'[11]Linea Arquitectonica'!A188:E1010,5,FALSE)</f>
        <v>101.25</v>
      </c>
      <c r="E190" s="22">
        <f>VLOOKUP(A190,'[11]Linea Arquitectonica'!A188:F1010,6,FALSE)</f>
        <v>163.72</v>
      </c>
      <c r="F190" s="22">
        <f>VLOOKUP(A190,'[11]Linea Arquitectonica'!A188:G1010,7,FALSE)</f>
        <v>185</v>
      </c>
    </row>
    <row r="191" spans="1:6" x14ac:dyDescent="0.3">
      <c r="A191" s="38" t="s">
        <v>195</v>
      </c>
      <c r="B191" s="37" t="s">
        <v>3275</v>
      </c>
      <c r="C191" s="22">
        <f>VLOOKUP(A191,'[11]Linea Arquitectonica'!$A$4:$G$823,4,FALSE)</f>
        <v>7.03</v>
      </c>
      <c r="D191" s="22">
        <f>VLOOKUP(A191,'[11]Linea Arquitectonica'!A189:E1011,5,FALSE)</f>
        <v>7.94</v>
      </c>
      <c r="E191" s="22">
        <f>VLOOKUP(A191,'[11]Linea Arquitectonica'!A189:F1011,6,FALSE)</f>
        <v>11.06</v>
      </c>
      <c r="F191" s="22">
        <f>VLOOKUP(A191,'[11]Linea Arquitectonica'!A189:G1011,7,FALSE)</f>
        <v>12.5</v>
      </c>
    </row>
    <row r="192" spans="1:6" x14ac:dyDescent="0.3">
      <c r="A192" s="38" t="s">
        <v>196</v>
      </c>
      <c r="B192" s="37" t="s">
        <v>3276</v>
      </c>
      <c r="C192" s="22">
        <f>VLOOKUP(A192,'[11]Linea Arquitectonica'!$A$4:$G$823,4,FALSE)</f>
        <v>6.03</v>
      </c>
      <c r="D192" s="22">
        <f>VLOOKUP(A192,'[11]Linea Arquitectonica'!A190:E1012,5,FALSE)</f>
        <v>6.81</v>
      </c>
      <c r="E192" s="22">
        <f>VLOOKUP(A192,'[11]Linea Arquitectonica'!A190:F1012,6,FALSE)</f>
        <v>11.06</v>
      </c>
      <c r="F192" s="22">
        <f>VLOOKUP(A192,'[11]Linea Arquitectonica'!A190:G1012,7,FALSE)</f>
        <v>12.5</v>
      </c>
    </row>
    <row r="193" spans="1:6" x14ac:dyDescent="0.3">
      <c r="A193" s="39" t="s">
        <v>197</v>
      </c>
      <c r="B193" s="37" t="s">
        <v>3277</v>
      </c>
      <c r="C193" s="22">
        <f>VLOOKUP(A193,'[11]Linea Arquitectonica'!$A$4:$G$823,4,FALSE)</f>
        <v>6.03</v>
      </c>
      <c r="D193" s="22">
        <f>VLOOKUP(A193,'[11]Linea Arquitectonica'!A191:E1013,5,FALSE)</f>
        <v>6.81</v>
      </c>
      <c r="E193" s="22">
        <f>VLOOKUP(A193,'[11]Linea Arquitectonica'!A191:F1013,6,FALSE)</f>
        <v>11.06</v>
      </c>
      <c r="F193" s="22">
        <f>VLOOKUP(A193,'[11]Linea Arquitectonica'!A191:G1013,7,FALSE)</f>
        <v>12.5</v>
      </c>
    </row>
    <row r="194" spans="1:6" x14ac:dyDescent="0.3">
      <c r="A194" s="38" t="s">
        <v>198</v>
      </c>
      <c r="B194" s="37" t="s">
        <v>3275</v>
      </c>
      <c r="C194" s="22">
        <f>VLOOKUP(A194,'[11]Linea Arquitectonica'!$A$4:$G$823,4,FALSE)</f>
        <v>23.12</v>
      </c>
      <c r="D194" s="22">
        <f>VLOOKUP(A194,'[11]Linea Arquitectonica'!A192:E1014,5,FALSE)</f>
        <v>26.12</v>
      </c>
      <c r="E194" s="22">
        <f>VLOOKUP(A194,'[11]Linea Arquitectonica'!A192:F1014,6,FALSE)</f>
        <v>36.19</v>
      </c>
      <c r="F194" s="22">
        <f>VLOOKUP(A194,'[11]Linea Arquitectonica'!A192:G1014,7,FALSE)</f>
        <v>40.9</v>
      </c>
    </row>
    <row r="195" spans="1:6" x14ac:dyDescent="0.3">
      <c r="A195" s="38" t="s">
        <v>199</v>
      </c>
      <c r="B195" s="37" t="s">
        <v>3276</v>
      </c>
      <c r="C195" s="22">
        <f>VLOOKUP(A195,'[11]Linea Arquitectonica'!$A$4:$G$823,4,FALSE)</f>
        <v>19.61</v>
      </c>
      <c r="D195" s="22">
        <f>VLOOKUP(A195,'[11]Linea Arquitectonica'!A193:E1015,5,FALSE)</f>
        <v>22.16</v>
      </c>
      <c r="E195" s="22">
        <f>VLOOKUP(A195,'[11]Linea Arquitectonica'!A193:F1015,6,FALSE)</f>
        <v>36.19</v>
      </c>
      <c r="F195" s="22">
        <f>VLOOKUP(A195,'[11]Linea Arquitectonica'!A193:G1015,7,FALSE)</f>
        <v>40.9</v>
      </c>
    </row>
    <row r="196" spans="1:6" x14ac:dyDescent="0.3">
      <c r="A196" s="39" t="s">
        <v>200</v>
      </c>
      <c r="B196" s="37" t="s">
        <v>3277</v>
      </c>
      <c r="C196" s="22">
        <f>VLOOKUP(A196,'[11]Linea Arquitectonica'!$A$4:$G$823,4,FALSE)</f>
        <v>19.61</v>
      </c>
      <c r="D196" s="22">
        <f>VLOOKUP(A196,'[11]Linea Arquitectonica'!A194:E1016,5,FALSE)</f>
        <v>22.16</v>
      </c>
      <c r="E196" s="22">
        <f>VLOOKUP(A196,'[11]Linea Arquitectonica'!A194:F1016,6,FALSE)</f>
        <v>36.19</v>
      </c>
      <c r="F196" s="22">
        <f>VLOOKUP(A196,'[11]Linea Arquitectonica'!A194:G1016,7,FALSE)</f>
        <v>40.9</v>
      </c>
    </row>
    <row r="197" spans="1:6" x14ac:dyDescent="0.3">
      <c r="A197" s="39" t="s">
        <v>201</v>
      </c>
      <c r="B197" s="37" t="s">
        <v>3278</v>
      </c>
      <c r="C197" s="22">
        <f>VLOOKUP(A197,'[11]Linea Arquitectonica'!$A$4:$G$823,4,FALSE)</f>
        <v>19.61</v>
      </c>
      <c r="D197" s="22">
        <f>VLOOKUP(A197,'[11]Linea Arquitectonica'!A195:E1017,5,FALSE)</f>
        <v>22.16</v>
      </c>
      <c r="E197" s="22">
        <f>VLOOKUP(A197,'[11]Linea Arquitectonica'!A195:F1017,6,FALSE)</f>
        <v>36.19</v>
      </c>
      <c r="F197" s="22">
        <f>VLOOKUP(A197,'[11]Linea Arquitectonica'!A195:G1017,7,FALSE)</f>
        <v>40.9</v>
      </c>
    </row>
    <row r="198" spans="1:6" x14ac:dyDescent="0.3">
      <c r="A198" s="39" t="s">
        <v>202</v>
      </c>
      <c r="B198" s="37" t="s">
        <v>3279</v>
      </c>
      <c r="C198" s="22">
        <f>VLOOKUP(A198,'[11]Linea Arquitectonica'!$A$4:$G$823,4,FALSE)</f>
        <v>24.61</v>
      </c>
      <c r="D198" s="22">
        <f>VLOOKUP(A198,'[11]Linea Arquitectonica'!A196:E1018,5,FALSE)</f>
        <v>27.81</v>
      </c>
      <c r="E198" s="22">
        <f>VLOOKUP(A198,'[11]Linea Arquitectonica'!A196:F1018,6,FALSE)</f>
        <v>36.19</v>
      </c>
      <c r="F198" s="22">
        <f>VLOOKUP(A198,'[11]Linea Arquitectonica'!A196:G1018,7,FALSE)</f>
        <v>40.9</v>
      </c>
    </row>
    <row r="199" spans="1:6" x14ac:dyDescent="0.3">
      <c r="A199" s="38" t="s">
        <v>203</v>
      </c>
      <c r="B199" s="37" t="s">
        <v>3275</v>
      </c>
      <c r="C199" s="22">
        <f>VLOOKUP(A199,'[11]Linea Arquitectonica'!$A$4:$G$823,4,FALSE)</f>
        <v>109.85</v>
      </c>
      <c r="D199" s="22">
        <f>VLOOKUP(A199,'[11]Linea Arquitectonica'!A197:E1019,5,FALSE)</f>
        <v>124.13</v>
      </c>
      <c r="E199" s="22">
        <f>VLOOKUP(A199,'[11]Linea Arquitectonica'!A197:F1019,6,FALSE)</f>
        <v>172.57</v>
      </c>
      <c r="F199" s="22">
        <f>VLOOKUP(A199,'[11]Linea Arquitectonica'!A197:G1019,7,FALSE)</f>
        <v>195</v>
      </c>
    </row>
    <row r="200" spans="1:6" x14ac:dyDescent="0.3">
      <c r="A200" s="38" t="s">
        <v>204</v>
      </c>
      <c r="B200" s="37" t="s">
        <v>3276</v>
      </c>
      <c r="C200" s="22">
        <f>VLOOKUP(A200,'[11]Linea Arquitectonica'!$A$4:$G$823,4,FALSE)</f>
        <v>92.35</v>
      </c>
      <c r="D200" s="22">
        <f>VLOOKUP(A200,'[11]Linea Arquitectonica'!A198:E1020,5,FALSE)</f>
        <v>104.35</v>
      </c>
      <c r="E200" s="22">
        <f>VLOOKUP(A200,'[11]Linea Arquitectonica'!A198:F1020,6,FALSE)</f>
        <v>172.57</v>
      </c>
      <c r="F200" s="22">
        <f>VLOOKUP(A200,'[11]Linea Arquitectonica'!A198:G1020,7,FALSE)</f>
        <v>195</v>
      </c>
    </row>
    <row r="201" spans="1:6" x14ac:dyDescent="0.3">
      <c r="A201" s="39" t="s">
        <v>205</v>
      </c>
      <c r="B201" s="37" t="s">
        <v>3277</v>
      </c>
      <c r="C201" s="22">
        <f>VLOOKUP(A201,'[11]Linea Arquitectonica'!$A$4:$G$823,4,FALSE)</f>
        <v>92.35</v>
      </c>
      <c r="D201" s="22">
        <f>VLOOKUP(A201,'[11]Linea Arquitectonica'!A199:E1021,5,FALSE)</f>
        <v>104.35</v>
      </c>
      <c r="E201" s="22">
        <f>VLOOKUP(A201,'[11]Linea Arquitectonica'!A199:F1021,6,FALSE)</f>
        <v>172.57</v>
      </c>
      <c r="F201" s="22">
        <f>VLOOKUP(A201,'[11]Linea Arquitectonica'!A199:G1021,7,FALSE)</f>
        <v>195</v>
      </c>
    </row>
    <row r="202" spans="1:6" x14ac:dyDescent="0.3">
      <c r="A202" s="39" t="s">
        <v>206</v>
      </c>
      <c r="B202" s="37" t="s">
        <v>3278</v>
      </c>
      <c r="C202" s="22">
        <f>VLOOKUP(A202,'[11]Linea Arquitectonica'!$A$4:$G$823,4,FALSE)</f>
        <v>92.35</v>
      </c>
      <c r="D202" s="22">
        <f>VLOOKUP(A202,'[11]Linea Arquitectonica'!A200:E1022,5,FALSE)</f>
        <v>104.35</v>
      </c>
      <c r="E202" s="22">
        <f>VLOOKUP(A202,'[11]Linea Arquitectonica'!A200:F1022,6,FALSE)</f>
        <v>172.57</v>
      </c>
      <c r="F202" s="22">
        <f>VLOOKUP(A202,'[11]Linea Arquitectonica'!A200:G1022,7,FALSE)</f>
        <v>195</v>
      </c>
    </row>
    <row r="203" spans="1:6" x14ac:dyDescent="0.3">
      <c r="A203" s="39" t="s">
        <v>207</v>
      </c>
      <c r="B203" s="37" t="s">
        <v>3279</v>
      </c>
      <c r="C203" s="22">
        <f>VLOOKUP(A203,'[11]Linea Arquitectonica'!$A$4:$G$823,4,FALSE)</f>
        <v>117.35</v>
      </c>
      <c r="D203" s="22">
        <f>VLOOKUP(A203,'[11]Linea Arquitectonica'!A201:E1023,5,FALSE)</f>
        <v>132.6</v>
      </c>
      <c r="E203" s="22">
        <f>VLOOKUP(A203,'[11]Linea Arquitectonica'!A201:F1023,6,FALSE)</f>
        <v>172.57</v>
      </c>
      <c r="F203" s="22">
        <f>VLOOKUP(A203,'[11]Linea Arquitectonica'!A201:G1023,7,FALSE)</f>
        <v>195</v>
      </c>
    </row>
    <row r="204" spans="1:6" x14ac:dyDescent="0.3">
      <c r="A204" s="38" t="s">
        <v>208</v>
      </c>
      <c r="B204" s="37" t="s">
        <v>3280</v>
      </c>
      <c r="C204" s="22">
        <f>VLOOKUP(A204,'[11]Linea Arquitectonica'!$A$4:$G$823,4,FALSE)</f>
        <v>7.63</v>
      </c>
      <c r="D204" s="22">
        <f>VLOOKUP(A204,'[11]Linea Arquitectonica'!A202:E1024,5,FALSE)</f>
        <v>8.6199999999999992</v>
      </c>
      <c r="E204" s="22">
        <f>VLOOKUP(A204,'[11]Linea Arquitectonica'!A202:F1024,6,FALSE)</f>
        <v>11.95</v>
      </c>
      <c r="F204" s="22">
        <f>VLOOKUP(A204,'[11]Linea Arquitectonica'!A202:G1024,7,FALSE)</f>
        <v>13.5</v>
      </c>
    </row>
    <row r="205" spans="1:6" x14ac:dyDescent="0.3">
      <c r="A205" s="38" t="s">
        <v>209</v>
      </c>
      <c r="B205" s="37" t="s">
        <v>3281</v>
      </c>
      <c r="C205" s="22">
        <f>VLOOKUP(A205,'[11]Linea Arquitectonica'!$A$4:$G$823,4,FALSE)</f>
        <v>6.63</v>
      </c>
      <c r="D205" s="22">
        <f>VLOOKUP(A205,'[11]Linea Arquitectonica'!A203:E1025,5,FALSE)</f>
        <v>7.49</v>
      </c>
      <c r="E205" s="22">
        <f>VLOOKUP(A205,'[11]Linea Arquitectonica'!A203:F1025,6,FALSE)</f>
        <v>11.95</v>
      </c>
      <c r="F205" s="22">
        <f>VLOOKUP(A205,'[11]Linea Arquitectonica'!A203:G1025,7,FALSE)</f>
        <v>13.5</v>
      </c>
    </row>
    <row r="206" spans="1:6" x14ac:dyDescent="0.3">
      <c r="A206" s="39" t="s">
        <v>210</v>
      </c>
      <c r="B206" s="37" t="s">
        <v>3282</v>
      </c>
      <c r="C206" s="22">
        <f>VLOOKUP(A206,'[11]Linea Arquitectonica'!$A$4:$G$823,4,FALSE)</f>
        <v>6.63</v>
      </c>
      <c r="D206" s="22">
        <f>VLOOKUP(A206,'[11]Linea Arquitectonica'!A204:E1026,5,FALSE)</f>
        <v>7.49</v>
      </c>
      <c r="E206" s="22">
        <f>VLOOKUP(A206,'[11]Linea Arquitectonica'!A204:F1026,6,FALSE)</f>
        <v>11.95</v>
      </c>
      <c r="F206" s="22">
        <f>VLOOKUP(A206,'[11]Linea Arquitectonica'!A204:G1026,7,FALSE)</f>
        <v>13.5</v>
      </c>
    </row>
    <row r="207" spans="1:6" x14ac:dyDescent="0.3">
      <c r="A207" s="38" t="s">
        <v>211</v>
      </c>
      <c r="B207" s="37" t="s">
        <v>3280</v>
      </c>
      <c r="C207" s="22">
        <f>VLOOKUP(A207,'[11]Linea Arquitectonica'!$A$4:$G$823,4,FALSE)</f>
        <v>26.12</v>
      </c>
      <c r="D207" s="22">
        <f>VLOOKUP(A207,'[11]Linea Arquitectonica'!A205:E1027,5,FALSE)</f>
        <v>29.52</v>
      </c>
      <c r="E207" s="22">
        <f>VLOOKUP(A207,'[11]Linea Arquitectonica'!A205:F1027,6,FALSE)</f>
        <v>40.619999999999997</v>
      </c>
      <c r="F207" s="22">
        <f>VLOOKUP(A207,'[11]Linea Arquitectonica'!A205:G1027,7,FALSE)</f>
        <v>45.9</v>
      </c>
    </row>
    <row r="208" spans="1:6" x14ac:dyDescent="0.3">
      <c r="A208" s="38" t="s">
        <v>212</v>
      </c>
      <c r="B208" s="37" t="s">
        <v>3281</v>
      </c>
      <c r="C208" s="22">
        <f>VLOOKUP(A208,'[11]Linea Arquitectonica'!$A$4:$G$823,4,FALSE)</f>
        <v>22.62</v>
      </c>
      <c r="D208" s="22">
        <f>VLOOKUP(A208,'[11]Linea Arquitectonica'!A206:E1028,5,FALSE)</f>
        <v>25.56</v>
      </c>
      <c r="E208" s="22">
        <f>VLOOKUP(A208,'[11]Linea Arquitectonica'!A206:F1028,6,FALSE)</f>
        <v>40.619999999999997</v>
      </c>
      <c r="F208" s="22">
        <f>VLOOKUP(A208,'[11]Linea Arquitectonica'!A206:G1028,7,FALSE)</f>
        <v>45.9</v>
      </c>
    </row>
    <row r="209" spans="1:6" x14ac:dyDescent="0.3">
      <c r="A209" s="39" t="s">
        <v>213</v>
      </c>
      <c r="B209" s="37" t="s">
        <v>3282</v>
      </c>
      <c r="C209" s="22">
        <f>VLOOKUP(A209,'[11]Linea Arquitectonica'!$A$4:$G$823,4,FALSE)</f>
        <v>22.62</v>
      </c>
      <c r="D209" s="22">
        <f>VLOOKUP(A209,'[11]Linea Arquitectonica'!A207:E1029,5,FALSE)</f>
        <v>25.56</v>
      </c>
      <c r="E209" s="22">
        <f>VLOOKUP(A209,'[11]Linea Arquitectonica'!A207:F1029,6,FALSE)</f>
        <v>40.619999999999997</v>
      </c>
      <c r="F209" s="22">
        <f>VLOOKUP(A209,'[11]Linea Arquitectonica'!A207:G1029,7,FALSE)</f>
        <v>45.9</v>
      </c>
    </row>
    <row r="210" spans="1:6" x14ac:dyDescent="0.3">
      <c r="A210" s="39" t="s">
        <v>214</v>
      </c>
      <c r="B210" s="37" t="s">
        <v>3283</v>
      </c>
      <c r="C210" s="22">
        <f>VLOOKUP(A210,'[11]Linea Arquitectonica'!$A$4:$G$823,4,FALSE)</f>
        <v>22.62</v>
      </c>
      <c r="D210" s="22">
        <f>VLOOKUP(A210,'[11]Linea Arquitectonica'!A208:E1030,5,FALSE)</f>
        <v>25.56</v>
      </c>
      <c r="E210" s="22">
        <f>VLOOKUP(A210,'[11]Linea Arquitectonica'!A208:F1030,6,FALSE)</f>
        <v>40.619999999999997</v>
      </c>
      <c r="F210" s="22">
        <f>VLOOKUP(A210,'[11]Linea Arquitectonica'!A208:G1030,7,FALSE)</f>
        <v>45.9</v>
      </c>
    </row>
    <row r="211" spans="1:6" x14ac:dyDescent="0.3">
      <c r="A211" s="39" t="s">
        <v>215</v>
      </c>
      <c r="B211" s="37" t="s">
        <v>216</v>
      </c>
      <c r="C211" s="22">
        <f>VLOOKUP(A211,'[11]Linea Arquitectonica'!$A$4:$G$823,4,FALSE)</f>
        <v>27.62</v>
      </c>
      <c r="D211" s="22">
        <f>VLOOKUP(A211,'[11]Linea Arquitectonica'!A209:E1031,5,FALSE)</f>
        <v>31.21</v>
      </c>
      <c r="E211" s="22">
        <f>VLOOKUP(A211,'[11]Linea Arquitectonica'!A209:F1031,6,FALSE)</f>
        <v>40.619999999999997</v>
      </c>
      <c r="F211" s="22">
        <f>VLOOKUP(A211,'[11]Linea Arquitectonica'!A209:G1031,7,FALSE)</f>
        <v>45.9</v>
      </c>
    </row>
    <row r="212" spans="1:6" x14ac:dyDescent="0.3">
      <c r="A212" s="38" t="s">
        <v>217</v>
      </c>
      <c r="B212" s="37" t="s">
        <v>3280</v>
      </c>
      <c r="C212" s="22">
        <f>VLOOKUP(A212,'[11]Linea Arquitectonica'!$A$4:$G$823,4,FALSE)</f>
        <v>118.27</v>
      </c>
      <c r="D212" s="22">
        <f>VLOOKUP(A212,'[11]Linea Arquitectonica'!A210:E1032,5,FALSE)</f>
        <v>133.65</v>
      </c>
      <c r="E212" s="22">
        <f>VLOOKUP(A212,'[11]Linea Arquitectonica'!A210:F1032,6,FALSE)</f>
        <v>184.96</v>
      </c>
      <c r="F212" s="22">
        <f>VLOOKUP(A212,'[11]Linea Arquitectonica'!A210:G1032,7,FALSE)</f>
        <v>209</v>
      </c>
    </row>
    <row r="213" spans="1:6" x14ac:dyDescent="0.3">
      <c r="A213" s="38" t="s">
        <v>218</v>
      </c>
      <c r="B213" s="37" t="s">
        <v>3281</v>
      </c>
      <c r="C213" s="22">
        <f>VLOOKUP(A213,'[11]Linea Arquitectonica'!$A$4:$G$823,4,FALSE)</f>
        <v>100.77</v>
      </c>
      <c r="D213" s="22">
        <f>VLOOKUP(A213,'[11]Linea Arquitectonica'!A211:E1033,5,FALSE)</f>
        <v>113.87</v>
      </c>
      <c r="E213" s="22">
        <f>VLOOKUP(A213,'[11]Linea Arquitectonica'!A211:F1033,6,FALSE)</f>
        <v>184.96</v>
      </c>
      <c r="F213" s="22">
        <f>VLOOKUP(A213,'[11]Linea Arquitectonica'!A211:G1033,7,FALSE)</f>
        <v>209</v>
      </c>
    </row>
    <row r="214" spans="1:6" x14ac:dyDescent="0.3">
      <c r="A214" s="39" t="s">
        <v>219</v>
      </c>
      <c r="B214" s="37" t="s">
        <v>3282</v>
      </c>
      <c r="C214" s="22">
        <f>VLOOKUP(A214,'[11]Linea Arquitectonica'!$A$4:$G$823,4,FALSE)</f>
        <v>100.77</v>
      </c>
      <c r="D214" s="22">
        <f>VLOOKUP(A214,'[11]Linea Arquitectonica'!A212:E1034,5,FALSE)</f>
        <v>113.87</v>
      </c>
      <c r="E214" s="22">
        <f>VLOOKUP(A214,'[11]Linea Arquitectonica'!A212:F1034,6,FALSE)</f>
        <v>184.96</v>
      </c>
      <c r="F214" s="22">
        <f>VLOOKUP(A214,'[11]Linea Arquitectonica'!A212:G1034,7,FALSE)</f>
        <v>209</v>
      </c>
    </row>
    <row r="215" spans="1:6" x14ac:dyDescent="0.3">
      <c r="A215" s="39" t="s">
        <v>220</v>
      </c>
      <c r="B215" s="37" t="s">
        <v>3283</v>
      </c>
      <c r="C215" s="22">
        <f>VLOOKUP(A215,'[11]Linea Arquitectonica'!$A$4:$G$823,4,FALSE)</f>
        <v>100.77</v>
      </c>
      <c r="D215" s="22">
        <f>VLOOKUP(A215,'[11]Linea Arquitectonica'!A213:E1035,5,FALSE)</f>
        <v>113.87</v>
      </c>
      <c r="E215" s="22">
        <f>VLOOKUP(A215,'[11]Linea Arquitectonica'!A213:F1035,6,FALSE)</f>
        <v>184.96</v>
      </c>
      <c r="F215" s="22">
        <f>VLOOKUP(A215,'[11]Linea Arquitectonica'!A213:G1035,7,FALSE)</f>
        <v>209</v>
      </c>
    </row>
    <row r="216" spans="1:6" x14ac:dyDescent="0.3">
      <c r="A216" s="39" t="s">
        <v>221</v>
      </c>
      <c r="B216" s="37" t="s">
        <v>216</v>
      </c>
      <c r="C216" s="22">
        <f>VLOOKUP(A216,'[11]Linea Arquitectonica'!$A$4:$G$823,4,FALSE)</f>
        <v>125.77</v>
      </c>
      <c r="D216" s="22">
        <f>VLOOKUP(A216,'[11]Linea Arquitectonica'!A214:E1036,5,FALSE)</f>
        <v>142.12</v>
      </c>
      <c r="E216" s="22">
        <f>VLOOKUP(A216,'[11]Linea Arquitectonica'!A214:F1036,6,FALSE)</f>
        <v>184.96</v>
      </c>
      <c r="F216" s="22">
        <f>VLOOKUP(A216,'[11]Linea Arquitectonica'!A214:G1036,7,FALSE)</f>
        <v>209</v>
      </c>
    </row>
    <row r="217" spans="1:6" x14ac:dyDescent="0.3">
      <c r="A217" s="38" t="s">
        <v>222</v>
      </c>
      <c r="B217" s="37" t="s">
        <v>3284</v>
      </c>
      <c r="C217" s="22">
        <f>VLOOKUP(A217,'[11]Linea Arquitectonica'!$A$4:$G$823,4,FALSE)</f>
        <v>22.62</v>
      </c>
      <c r="D217" s="22">
        <f>VLOOKUP(A217,'[11]Linea Arquitectonica'!A215:E1037,5,FALSE)</f>
        <v>25.56</v>
      </c>
      <c r="E217" s="22">
        <f>VLOOKUP(A217,'[11]Linea Arquitectonica'!A215:F1037,6,FALSE)</f>
        <v>40.619999999999997</v>
      </c>
      <c r="F217" s="22">
        <f>VLOOKUP(A217,'[11]Linea Arquitectonica'!A215:G1037,7,FALSE)</f>
        <v>45.9</v>
      </c>
    </row>
    <row r="218" spans="1:6" x14ac:dyDescent="0.3">
      <c r="A218" s="38" t="s">
        <v>223</v>
      </c>
      <c r="B218" s="37" t="s">
        <v>3285</v>
      </c>
      <c r="C218" s="22">
        <f>VLOOKUP(A218,'[11]Linea Arquitectonica'!$A$4:$G$823,4,FALSE)</f>
        <v>26.12</v>
      </c>
      <c r="D218" s="22">
        <f>VLOOKUP(A218,'[11]Linea Arquitectonica'!A216:E1038,5,FALSE)</f>
        <v>29.52</v>
      </c>
      <c r="E218" s="22">
        <f>VLOOKUP(A218,'[11]Linea Arquitectonica'!A216:F1038,6,FALSE)</f>
        <v>40.619999999999997</v>
      </c>
      <c r="F218" s="22">
        <f>VLOOKUP(A218,'[11]Linea Arquitectonica'!A216:G1038,7,FALSE)</f>
        <v>45.9</v>
      </c>
    </row>
    <row r="219" spans="1:6" x14ac:dyDescent="0.3">
      <c r="A219" s="38" t="s">
        <v>224</v>
      </c>
      <c r="B219" s="37" t="s">
        <v>3286</v>
      </c>
      <c r="C219" s="22">
        <f>VLOOKUP(A219,'[11]Linea Arquitectonica'!$A$4:$G$823,4,FALSE)</f>
        <v>22.62</v>
      </c>
      <c r="D219" s="22">
        <f>VLOOKUP(A219,'[11]Linea Arquitectonica'!A217:E1039,5,FALSE)</f>
        <v>25.56</v>
      </c>
      <c r="E219" s="22">
        <f>VLOOKUP(A219,'[11]Linea Arquitectonica'!A217:F1039,6,FALSE)</f>
        <v>40.619999999999997</v>
      </c>
      <c r="F219" s="22">
        <f>VLOOKUP(A219,'[11]Linea Arquitectonica'!A217:G1039,7,FALSE)</f>
        <v>45.9</v>
      </c>
    </row>
    <row r="220" spans="1:6" x14ac:dyDescent="0.3">
      <c r="A220" s="38" t="s">
        <v>225</v>
      </c>
      <c r="B220" s="37" t="s">
        <v>3287</v>
      </c>
      <c r="C220" s="22">
        <f>VLOOKUP(A220,'[11]Linea Arquitectonica'!$A$4:$G$823,4,FALSE)</f>
        <v>22.62</v>
      </c>
      <c r="D220" s="22">
        <f>VLOOKUP(A220,'[11]Linea Arquitectonica'!A218:E1040,5,FALSE)</f>
        <v>25.56</v>
      </c>
      <c r="E220" s="22">
        <f>VLOOKUP(A220,'[11]Linea Arquitectonica'!A218:F1040,6,FALSE)</f>
        <v>40.619999999999997</v>
      </c>
      <c r="F220" s="22">
        <f>VLOOKUP(A220,'[11]Linea Arquitectonica'!A218:G1040,7,FALSE)</f>
        <v>45.9</v>
      </c>
    </row>
    <row r="221" spans="1:6" x14ac:dyDescent="0.3">
      <c r="A221" s="38" t="s">
        <v>226</v>
      </c>
      <c r="B221" s="37" t="s">
        <v>3284</v>
      </c>
      <c r="C221" s="22">
        <f>VLOOKUP(A221,'[11]Linea Arquitectonica'!$A$4:$G$823,4,FALSE)</f>
        <v>100.77</v>
      </c>
      <c r="D221" s="22">
        <f>VLOOKUP(A221,'[11]Linea Arquitectonica'!A219:E1041,5,FALSE)</f>
        <v>113.87</v>
      </c>
      <c r="E221" s="22">
        <f>VLOOKUP(A221,'[11]Linea Arquitectonica'!A219:F1041,6,FALSE)</f>
        <v>184.96</v>
      </c>
      <c r="F221" s="22">
        <f>VLOOKUP(A221,'[11]Linea Arquitectonica'!A219:G1041,7,FALSE)</f>
        <v>209</v>
      </c>
    </row>
    <row r="222" spans="1:6" x14ac:dyDescent="0.3">
      <c r="A222" s="38" t="s">
        <v>227</v>
      </c>
      <c r="B222" s="37" t="s">
        <v>3285</v>
      </c>
      <c r="C222" s="22">
        <f>VLOOKUP(A222,'[11]Linea Arquitectonica'!$A$4:$G$823,4,FALSE)</f>
        <v>118.27</v>
      </c>
      <c r="D222" s="22">
        <f>VLOOKUP(A222,'[11]Linea Arquitectonica'!A220:E1042,5,FALSE)</f>
        <v>133.65</v>
      </c>
      <c r="E222" s="22">
        <f>VLOOKUP(A222,'[11]Linea Arquitectonica'!A220:F1042,6,FALSE)</f>
        <v>184.96</v>
      </c>
      <c r="F222" s="22">
        <f>VLOOKUP(A222,'[11]Linea Arquitectonica'!A220:G1042,7,FALSE)</f>
        <v>209</v>
      </c>
    </row>
    <row r="223" spans="1:6" x14ac:dyDescent="0.3">
      <c r="A223" s="38" t="s">
        <v>228</v>
      </c>
      <c r="B223" s="37" t="s">
        <v>3286</v>
      </c>
      <c r="C223" s="22">
        <f>VLOOKUP(A223,'[11]Linea Arquitectonica'!$A$4:$G$823,4,FALSE)</f>
        <v>100.77</v>
      </c>
      <c r="D223" s="22">
        <f>VLOOKUP(A223,'[11]Linea Arquitectonica'!A221:E1043,5,FALSE)</f>
        <v>113.87</v>
      </c>
      <c r="E223" s="22">
        <f>VLOOKUP(A223,'[11]Linea Arquitectonica'!A221:F1043,6,FALSE)</f>
        <v>184.96</v>
      </c>
      <c r="F223" s="22">
        <f>VLOOKUP(A223,'[11]Linea Arquitectonica'!A221:G1043,7,FALSE)</f>
        <v>209</v>
      </c>
    </row>
    <row r="224" spans="1:6" x14ac:dyDescent="0.3">
      <c r="A224" s="38" t="s">
        <v>229</v>
      </c>
      <c r="B224" s="37" t="s">
        <v>3287</v>
      </c>
      <c r="C224" s="22">
        <f>VLOOKUP(A224,'[11]Linea Arquitectonica'!$A$4:$G$823,4,FALSE)</f>
        <v>100.77</v>
      </c>
      <c r="D224" s="22">
        <f>VLOOKUP(A224,'[11]Linea Arquitectonica'!A222:E1044,5,FALSE)</f>
        <v>113.87</v>
      </c>
      <c r="E224" s="22">
        <f>VLOOKUP(A224,'[11]Linea Arquitectonica'!A222:F1044,6,FALSE)</f>
        <v>184.96</v>
      </c>
      <c r="F224" s="22">
        <f>VLOOKUP(A224,'[11]Linea Arquitectonica'!A222:G1044,7,FALSE)</f>
        <v>209</v>
      </c>
    </row>
    <row r="225" spans="1:6" x14ac:dyDescent="0.3">
      <c r="A225" s="38" t="s">
        <v>230</v>
      </c>
      <c r="B225" s="37" t="s">
        <v>231</v>
      </c>
      <c r="C225" s="22">
        <f>VLOOKUP(A225,'[11]Linea Arquitectonica'!$A$4:$G$823,4,FALSE)</f>
        <v>6.88</v>
      </c>
      <c r="D225" s="22">
        <f>VLOOKUP(A225,'[11]Linea Arquitectonica'!A223:E1045,5,FALSE)</f>
        <v>7.77</v>
      </c>
      <c r="E225" s="22">
        <f>VLOOKUP(A225,'[11]Linea Arquitectonica'!A223:F1045,6,FALSE)</f>
        <v>10.53</v>
      </c>
      <c r="F225" s="22">
        <f>VLOOKUP(A225,'[11]Linea Arquitectonica'!A223:G1045,7,FALSE)</f>
        <v>11.9</v>
      </c>
    </row>
    <row r="226" spans="1:6" x14ac:dyDescent="0.3">
      <c r="A226" s="38" t="s">
        <v>232</v>
      </c>
      <c r="B226" s="37" t="s">
        <v>233</v>
      </c>
      <c r="C226" s="22">
        <f>VLOOKUP(A226,'[11]Linea Arquitectonica'!$A$4:$G$823,4,FALSE)</f>
        <v>7.37</v>
      </c>
      <c r="D226" s="22">
        <f>VLOOKUP(A226,'[11]Linea Arquitectonica'!A224:E1046,5,FALSE)</f>
        <v>8.33</v>
      </c>
      <c r="E226" s="22">
        <f>VLOOKUP(A226,'[11]Linea Arquitectonica'!A224:F1046,6,FALSE)</f>
        <v>10.53</v>
      </c>
      <c r="F226" s="22">
        <f>VLOOKUP(A226,'[11]Linea Arquitectonica'!A224:G1046,7,FALSE)</f>
        <v>11.9</v>
      </c>
    </row>
    <row r="227" spans="1:6" x14ac:dyDescent="0.3">
      <c r="A227" s="38" t="s">
        <v>234</v>
      </c>
      <c r="B227" s="37" t="s">
        <v>231</v>
      </c>
      <c r="C227" s="22">
        <f>VLOOKUP(A227,'[11]Linea Arquitectonica'!$A$4:$G$823,4,FALSE)</f>
        <v>23.84</v>
      </c>
      <c r="D227" s="22">
        <f>VLOOKUP(A227,'[11]Linea Arquitectonica'!A225:E1047,5,FALSE)</f>
        <v>26.94</v>
      </c>
      <c r="E227" s="22">
        <f>VLOOKUP(A227,'[11]Linea Arquitectonica'!A225:F1047,6,FALSE)</f>
        <v>36.19</v>
      </c>
      <c r="F227" s="22">
        <f>VLOOKUP(A227,'[11]Linea Arquitectonica'!A225:G1047,7,FALSE)</f>
        <v>40.9</v>
      </c>
    </row>
    <row r="228" spans="1:6" x14ac:dyDescent="0.3">
      <c r="A228" s="38" t="s">
        <v>235</v>
      </c>
      <c r="B228" s="37" t="s">
        <v>236</v>
      </c>
      <c r="C228" s="22">
        <f>VLOOKUP(A228,'[11]Linea Arquitectonica'!$A$4:$G$823,4,FALSE)</f>
        <v>20.34</v>
      </c>
      <c r="D228" s="22">
        <f>VLOOKUP(A228,'[11]Linea Arquitectonica'!A226:E1048,5,FALSE)</f>
        <v>22.98</v>
      </c>
      <c r="E228" s="22">
        <f>VLOOKUP(A228,'[11]Linea Arquitectonica'!A226:F1048,6,FALSE)</f>
        <v>36.19</v>
      </c>
      <c r="F228" s="22">
        <f>VLOOKUP(A228,'[11]Linea Arquitectonica'!A226:G1048,7,FALSE)</f>
        <v>40.9</v>
      </c>
    </row>
    <row r="229" spans="1:6" x14ac:dyDescent="0.3">
      <c r="A229" s="38" t="s">
        <v>237</v>
      </c>
      <c r="B229" s="37" t="s">
        <v>233</v>
      </c>
      <c r="C229" s="22">
        <f>VLOOKUP(A229,'[11]Linea Arquitectonica'!$A$4:$G$823,4,FALSE)</f>
        <v>25.34</v>
      </c>
      <c r="D229" s="22">
        <f>VLOOKUP(A229,'[11]Linea Arquitectonica'!A227:E1049,5,FALSE)</f>
        <v>28.63</v>
      </c>
      <c r="E229" s="22">
        <f>VLOOKUP(A229,'[11]Linea Arquitectonica'!A227:F1049,6,FALSE)</f>
        <v>36.19</v>
      </c>
      <c r="F229" s="22">
        <f>VLOOKUP(A229,'[11]Linea Arquitectonica'!A227:G1049,7,FALSE)</f>
        <v>40.9</v>
      </c>
    </row>
    <row r="230" spans="1:6" x14ac:dyDescent="0.3">
      <c r="A230" s="38" t="s">
        <v>238</v>
      </c>
      <c r="B230" s="37" t="s">
        <v>231</v>
      </c>
      <c r="C230" s="22">
        <f>VLOOKUP(A230,'[11]Linea Arquitectonica'!$A$4:$G$823,4,FALSE)</f>
        <v>113.3</v>
      </c>
      <c r="D230" s="22">
        <f>VLOOKUP(A230,'[11]Linea Arquitectonica'!A228:E1050,5,FALSE)</f>
        <v>128.03</v>
      </c>
      <c r="E230" s="22">
        <f>VLOOKUP(A230,'[11]Linea Arquitectonica'!A228:F1050,6,FALSE)</f>
        <v>172.57</v>
      </c>
      <c r="F230" s="22">
        <f>VLOOKUP(A230,'[11]Linea Arquitectonica'!A228:G1050,7,FALSE)</f>
        <v>195</v>
      </c>
    </row>
    <row r="231" spans="1:6" x14ac:dyDescent="0.3">
      <c r="A231" s="38" t="s">
        <v>239</v>
      </c>
      <c r="B231" s="37" t="s">
        <v>236</v>
      </c>
      <c r="C231" s="22">
        <f>VLOOKUP(A231,'[11]Linea Arquitectonica'!$A$4:$G$823,4,FALSE)</f>
        <v>95.8</v>
      </c>
      <c r="D231" s="22">
        <f>VLOOKUP(A231,'[11]Linea Arquitectonica'!A229:E1051,5,FALSE)</f>
        <v>108.25</v>
      </c>
      <c r="E231" s="22">
        <f>VLOOKUP(A231,'[11]Linea Arquitectonica'!A229:F1051,6,FALSE)</f>
        <v>172.57</v>
      </c>
      <c r="F231" s="22">
        <f>VLOOKUP(A231,'[11]Linea Arquitectonica'!A229:G1051,7,FALSE)</f>
        <v>195</v>
      </c>
    </row>
    <row r="232" spans="1:6" x14ac:dyDescent="0.3">
      <c r="A232" s="38" t="s">
        <v>240</v>
      </c>
      <c r="B232" s="37" t="s">
        <v>233</v>
      </c>
      <c r="C232" s="22">
        <f>VLOOKUP(A232,'[11]Linea Arquitectonica'!$A$4:$G$823,4,FALSE)</f>
        <v>120.8</v>
      </c>
      <c r="D232" s="22">
        <f>VLOOKUP(A232,'[11]Linea Arquitectonica'!A230:E1052,5,FALSE)</f>
        <v>136.5</v>
      </c>
      <c r="E232" s="22">
        <f>VLOOKUP(A232,'[11]Linea Arquitectonica'!A230:F1052,6,FALSE)</f>
        <v>172.57</v>
      </c>
      <c r="F232" s="22">
        <f>VLOOKUP(A232,'[11]Linea Arquitectonica'!A230:G1052,7,FALSE)</f>
        <v>195</v>
      </c>
    </row>
    <row r="233" spans="1:6" x14ac:dyDescent="0.3">
      <c r="A233" s="21" t="s">
        <v>241</v>
      </c>
      <c r="B233" s="37" t="s">
        <v>242</v>
      </c>
      <c r="C233" s="22">
        <f>VLOOKUP(A233,'[11]Linea Arquitectonica'!$A$4:$G$823,4,FALSE)</f>
        <v>6.63</v>
      </c>
      <c r="D233" s="22">
        <f>VLOOKUP(A233,'[11]Linea Arquitectonica'!A231:E1053,5,FALSE)</f>
        <v>7.49</v>
      </c>
      <c r="E233" s="22">
        <f>VLOOKUP(A233,'[11]Linea Arquitectonica'!A231:F1053,6,FALSE)</f>
        <v>10.18</v>
      </c>
      <c r="F233" s="22">
        <f>VLOOKUP(A233,'[11]Linea Arquitectonica'!A231:G1053,7,FALSE)</f>
        <v>11.5</v>
      </c>
    </row>
    <row r="234" spans="1:6" x14ac:dyDescent="0.3">
      <c r="A234" s="21" t="s">
        <v>243</v>
      </c>
      <c r="B234" s="37" t="s">
        <v>3288</v>
      </c>
      <c r="C234" s="22">
        <f>VLOOKUP(A234,'[11]Linea Arquitectonica'!$A$4:$G$823,4,FALSE)</f>
        <v>7.12</v>
      </c>
      <c r="D234" s="22">
        <f>VLOOKUP(A234,'[11]Linea Arquitectonica'!A232:E1054,5,FALSE)</f>
        <v>8.0500000000000007</v>
      </c>
      <c r="E234" s="22">
        <f>VLOOKUP(A234,'[11]Linea Arquitectonica'!A232:F1054,6,FALSE)</f>
        <v>10.18</v>
      </c>
      <c r="F234" s="22">
        <f>VLOOKUP(A234,'[11]Linea Arquitectonica'!A232:G1054,7,FALSE)</f>
        <v>11.5</v>
      </c>
    </row>
    <row r="235" spans="1:6" x14ac:dyDescent="0.3">
      <c r="A235" s="38" t="s">
        <v>244</v>
      </c>
      <c r="B235" s="37" t="s">
        <v>242</v>
      </c>
      <c r="C235" s="22">
        <f>VLOOKUP(A235,'[11]Linea Arquitectonica'!$A$4:$G$823,4,FALSE)</f>
        <v>23.22</v>
      </c>
      <c r="D235" s="22">
        <f>VLOOKUP(A235,'[11]Linea Arquitectonica'!A233:E1055,5,FALSE)</f>
        <v>26.24</v>
      </c>
      <c r="E235" s="22">
        <f>VLOOKUP(A235,'[11]Linea Arquitectonica'!A233:F1055,6,FALSE)</f>
        <v>35.31</v>
      </c>
      <c r="F235" s="22">
        <f>VLOOKUP(A235,'[11]Linea Arquitectonica'!A233:G1055,7,FALSE)</f>
        <v>39.9</v>
      </c>
    </row>
    <row r="236" spans="1:6" x14ac:dyDescent="0.3">
      <c r="A236" s="38" t="s">
        <v>245</v>
      </c>
      <c r="B236" s="37" t="s">
        <v>246</v>
      </c>
      <c r="C236" s="22">
        <f>VLOOKUP(A236,'[11]Linea Arquitectonica'!$A$4:$G$823,4,FALSE)</f>
        <v>19.72</v>
      </c>
      <c r="D236" s="22">
        <f>VLOOKUP(A236,'[11]Linea Arquitectonica'!A234:E1056,5,FALSE)</f>
        <v>22.28</v>
      </c>
      <c r="E236" s="22">
        <f>VLOOKUP(A236,'[11]Linea Arquitectonica'!A234:F1056,6,FALSE)</f>
        <v>35.31</v>
      </c>
      <c r="F236" s="22">
        <f>VLOOKUP(A236,'[11]Linea Arquitectonica'!A234:G1056,7,FALSE)</f>
        <v>39.9</v>
      </c>
    </row>
    <row r="237" spans="1:6" x14ac:dyDescent="0.3">
      <c r="A237" s="38" t="s">
        <v>247</v>
      </c>
      <c r="B237" s="37" t="s">
        <v>3289</v>
      </c>
      <c r="C237" s="22">
        <f>VLOOKUP(A237,'[11]Linea Arquitectonica'!$A$4:$G$823,4,FALSE)</f>
        <v>19.72</v>
      </c>
      <c r="D237" s="22">
        <f>VLOOKUP(A237,'[11]Linea Arquitectonica'!A235:E1057,5,FALSE)</f>
        <v>22.28</v>
      </c>
      <c r="E237" s="22">
        <f>VLOOKUP(A237,'[11]Linea Arquitectonica'!A235:F1057,6,FALSE)</f>
        <v>35.31</v>
      </c>
      <c r="F237" s="22">
        <f>VLOOKUP(A237,'[11]Linea Arquitectonica'!A235:G1057,7,FALSE)</f>
        <v>39.9</v>
      </c>
    </row>
    <row r="238" spans="1:6" x14ac:dyDescent="0.3">
      <c r="A238" s="38" t="s">
        <v>248</v>
      </c>
      <c r="B238" s="37" t="s">
        <v>3288</v>
      </c>
      <c r="C238" s="22">
        <f>VLOOKUP(A238,'[11]Linea Arquitectonica'!$A$4:$G$823,4,FALSE)</f>
        <v>24.72</v>
      </c>
      <c r="D238" s="22">
        <f>VLOOKUP(A238,'[11]Linea Arquitectonica'!A236:E1058,5,FALSE)</f>
        <v>27.93</v>
      </c>
      <c r="E238" s="22">
        <f>VLOOKUP(A238,'[11]Linea Arquitectonica'!A236:F1058,6,FALSE)</f>
        <v>35.31</v>
      </c>
      <c r="F238" s="22">
        <f>VLOOKUP(A238,'[11]Linea Arquitectonica'!A236:G1058,7,FALSE)</f>
        <v>39.9</v>
      </c>
    </row>
    <row r="239" spans="1:6" x14ac:dyDescent="0.3">
      <c r="A239" s="38" t="s">
        <v>249</v>
      </c>
      <c r="B239" s="37" t="s">
        <v>242</v>
      </c>
      <c r="C239" s="22">
        <f>VLOOKUP(A239,'[11]Linea Arquitectonica'!$A$4:$G$823,4,FALSE)</f>
        <v>107.11</v>
      </c>
      <c r="D239" s="22">
        <f>VLOOKUP(A239,'[11]Linea Arquitectonica'!A237:E1059,5,FALSE)</f>
        <v>121.03</v>
      </c>
      <c r="E239" s="22">
        <f>VLOOKUP(A239,'[11]Linea Arquitectonica'!A237:F1059,6,FALSE)</f>
        <v>163.72</v>
      </c>
      <c r="F239" s="22">
        <f>VLOOKUP(A239,'[11]Linea Arquitectonica'!A237:G1059,7,FALSE)</f>
        <v>185</v>
      </c>
    </row>
    <row r="240" spans="1:6" x14ac:dyDescent="0.3">
      <c r="A240" s="38" t="s">
        <v>250</v>
      </c>
      <c r="B240" s="37" t="s">
        <v>246</v>
      </c>
      <c r="C240" s="22">
        <f>VLOOKUP(A240,'[11]Linea Arquitectonica'!$A$4:$G$823,4,FALSE)</f>
        <v>89.6</v>
      </c>
      <c r="D240" s="22">
        <f>VLOOKUP(A240,'[11]Linea Arquitectonica'!A238:E1060,5,FALSE)</f>
        <v>101.25</v>
      </c>
      <c r="E240" s="22">
        <f>VLOOKUP(A240,'[11]Linea Arquitectonica'!A238:F1060,6,FALSE)</f>
        <v>163.72</v>
      </c>
      <c r="F240" s="22">
        <f>VLOOKUP(A240,'[11]Linea Arquitectonica'!A238:G1060,7,FALSE)</f>
        <v>185</v>
      </c>
    </row>
    <row r="241" spans="1:6" x14ac:dyDescent="0.3">
      <c r="A241" s="38" t="s">
        <v>251</v>
      </c>
      <c r="B241" s="37" t="s">
        <v>3289</v>
      </c>
      <c r="C241" s="22">
        <f>VLOOKUP(A241,'[11]Linea Arquitectonica'!$A$4:$G$823,4,FALSE)</f>
        <v>89.6</v>
      </c>
      <c r="D241" s="22">
        <f>VLOOKUP(A241,'[11]Linea Arquitectonica'!A239:E1061,5,FALSE)</f>
        <v>101.25</v>
      </c>
      <c r="E241" s="22">
        <f>VLOOKUP(A241,'[11]Linea Arquitectonica'!A239:F1061,6,FALSE)</f>
        <v>163.72</v>
      </c>
      <c r="F241" s="22">
        <f>VLOOKUP(A241,'[11]Linea Arquitectonica'!A239:G1061,7,FALSE)</f>
        <v>185</v>
      </c>
    </row>
    <row r="242" spans="1:6" x14ac:dyDescent="0.3">
      <c r="A242" s="38" t="s">
        <v>252</v>
      </c>
      <c r="B242" s="37" t="s">
        <v>3288</v>
      </c>
      <c r="C242" s="22">
        <f>VLOOKUP(A242,'[11]Linea Arquitectonica'!$A$4:$G$823,4,FALSE)</f>
        <v>114.6</v>
      </c>
      <c r="D242" s="22">
        <f>VLOOKUP(A242,'[11]Linea Arquitectonica'!A240:E1062,5,FALSE)</f>
        <v>129.5</v>
      </c>
      <c r="E242" s="22">
        <f>VLOOKUP(A242,'[11]Linea Arquitectonica'!A240:F1062,6,FALSE)</f>
        <v>163.72</v>
      </c>
      <c r="F242" s="22">
        <f>VLOOKUP(A242,'[11]Linea Arquitectonica'!A240:G1062,7,FALSE)</f>
        <v>185</v>
      </c>
    </row>
    <row r="243" spans="1:6" x14ac:dyDescent="0.3">
      <c r="A243" s="24" t="s">
        <v>253</v>
      </c>
      <c r="B243" s="37" t="s">
        <v>254</v>
      </c>
      <c r="C243" s="22">
        <f>VLOOKUP(A243,'[11]Linea Arquitectonica'!$A$4:$G$823,4,FALSE)</f>
        <v>8.1199999999999992</v>
      </c>
      <c r="D243" s="22">
        <f>VLOOKUP(A243,'[11]Linea Arquitectonica'!A241:E1063,5,FALSE)</f>
        <v>9.17</v>
      </c>
      <c r="E243" s="22">
        <f>VLOOKUP(A243,'[11]Linea Arquitectonica'!A241:F1063,6,FALSE)</f>
        <v>12.3</v>
      </c>
      <c r="F243" s="22">
        <f>VLOOKUP(A243,'[11]Linea Arquitectonica'!A241:G1063,7,FALSE)</f>
        <v>13.9</v>
      </c>
    </row>
    <row r="244" spans="1:6" x14ac:dyDescent="0.3">
      <c r="A244" s="24" t="s">
        <v>255</v>
      </c>
      <c r="B244" s="37" t="s">
        <v>256</v>
      </c>
      <c r="C244" s="22">
        <f>VLOOKUP(A244,'[11]Linea Arquitectonica'!$A$4:$G$823,4,FALSE)</f>
        <v>7.12</v>
      </c>
      <c r="D244" s="22">
        <f>VLOOKUP(A244,'[11]Linea Arquitectonica'!A242:E1064,5,FALSE)</f>
        <v>8.0399999999999991</v>
      </c>
      <c r="E244" s="22">
        <f>VLOOKUP(A244,'[11]Linea Arquitectonica'!A242:F1064,6,FALSE)</f>
        <v>12.3</v>
      </c>
      <c r="F244" s="22">
        <f>VLOOKUP(A244,'[11]Linea Arquitectonica'!A242:G1064,7,FALSE)</f>
        <v>13.9</v>
      </c>
    </row>
    <row r="245" spans="1:6" x14ac:dyDescent="0.3">
      <c r="A245" s="24" t="s">
        <v>257</v>
      </c>
      <c r="B245" s="37" t="s">
        <v>258</v>
      </c>
      <c r="C245" s="22">
        <f>VLOOKUP(A245,'[11]Linea Arquitectonica'!$A$4:$G$823,4,FALSE)</f>
        <v>7.12</v>
      </c>
      <c r="D245" s="22">
        <f>VLOOKUP(A245,'[11]Linea Arquitectonica'!A243:E1065,5,FALSE)</f>
        <v>8.0399999999999991</v>
      </c>
      <c r="E245" s="22">
        <f>VLOOKUP(A245,'[11]Linea Arquitectonica'!A243:F1065,6,FALSE)</f>
        <v>12.3</v>
      </c>
      <c r="F245" s="22">
        <f>VLOOKUP(A245,'[11]Linea Arquitectonica'!A243:G1065,7,FALSE)</f>
        <v>13.9</v>
      </c>
    </row>
    <row r="246" spans="1:6" x14ac:dyDescent="0.3">
      <c r="A246" s="24" t="s">
        <v>259</v>
      </c>
      <c r="B246" s="37" t="s">
        <v>260</v>
      </c>
      <c r="C246" s="22">
        <f>VLOOKUP(A246,'[11]Linea Arquitectonica'!$A$4:$G$823,4,FALSE)</f>
        <v>8.61</v>
      </c>
      <c r="D246" s="22">
        <f>VLOOKUP(A246,'[11]Linea Arquitectonica'!A244:E1066,5,FALSE)</f>
        <v>9.73</v>
      </c>
      <c r="E246" s="22">
        <f>VLOOKUP(A246,'[11]Linea Arquitectonica'!A244:F1066,6,FALSE)</f>
        <v>12.3</v>
      </c>
      <c r="F246" s="22">
        <f>VLOOKUP(A246,'[11]Linea Arquitectonica'!A244:G1066,7,FALSE)</f>
        <v>13.9</v>
      </c>
    </row>
    <row r="247" spans="1:6" x14ac:dyDescent="0.3">
      <c r="A247" s="24" t="s">
        <v>261</v>
      </c>
      <c r="B247" s="37" t="s">
        <v>254</v>
      </c>
      <c r="C247" s="22">
        <f>VLOOKUP(A247,'[11]Linea Arquitectonica'!$A$4:$G$823,4,FALSE)</f>
        <v>25.45</v>
      </c>
      <c r="D247" s="22">
        <f>VLOOKUP(A247,'[11]Linea Arquitectonica'!A245:E1067,5,FALSE)</f>
        <v>28.76</v>
      </c>
      <c r="E247" s="22">
        <f>VLOOKUP(A247,'[11]Linea Arquitectonica'!A245:F1067,6,FALSE)</f>
        <v>38.5</v>
      </c>
      <c r="F247" s="22">
        <f>VLOOKUP(A247,'[11]Linea Arquitectonica'!A245:G1067,7,FALSE)</f>
        <v>43.5</v>
      </c>
    </row>
    <row r="248" spans="1:6" x14ac:dyDescent="0.3">
      <c r="A248" s="24" t="s">
        <v>262</v>
      </c>
      <c r="B248" s="37" t="s">
        <v>256</v>
      </c>
      <c r="C248" s="22">
        <f>VLOOKUP(A248,'[11]Linea Arquitectonica'!$A$4:$G$823,4,FALSE)</f>
        <v>21.95</v>
      </c>
      <c r="D248" s="22">
        <f>VLOOKUP(A248,'[11]Linea Arquitectonica'!A246:E1068,5,FALSE)</f>
        <v>24.8</v>
      </c>
      <c r="E248" s="22">
        <f>VLOOKUP(A248,'[11]Linea Arquitectonica'!A246:F1068,6,FALSE)</f>
        <v>38.5</v>
      </c>
      <c r="F248" s="22">
        <f>VLOOKUP(A248,'[11]Linea Arquitectonica'!A246:G1068,7,FALSE)</f>
        <v>43.5</v>
      </c>
    </row>
    <row r="249" spans="1:6" x14ac:dyDescent="0.3">
      <c r="A249" s="24" t="s">
        <v>263</v>
      </c>
      <c r="B249" s="37" t="s">
        <v>258</v>
      </c>
      <c r="C249" s="22">
        <f>VLOOKUP(A249,'[11]Linea Arquitectonica'!$A$4:$G$823,4,FALSE)</f>
        <v>21.95</v>
      </c>
      <c r="D249" s="22">
        <f>VLOOKUP(A249,'[11]Linea Arquitectonica'!A247:E1069,5,FALSE)</f>
        <v>24.8</v>
      </c>
      <c r="E249" s="22">
        <f>VLOOKUP(A249,'[11]Linea Arquitectonica'!A247:F1069,6,FALSE)</f>
        <v>38.5</v>
      </c>
      <c r="F249" s="22">
        <f>VLOOKUP(A249,'[11]Linea Arquitectonica'!A247:G1069,7,FALSE)</f>
        <v>43.5</v>
      </c>
    </row>
    <row r="250" spans="1:6" x14ac:dyDescent="0.3">
      <c r="A250" s="24" t="s">
        <v>264</v>
      </c>
      <c r="B250" s="37" t="s">
        <v>260</v>
      </c>
      <c r="C250" s="22">
        <f>VLOOKUP(A250,'[11]Linea Arquitectonica'!$A$4:$G$823,4,FALSE)</f>
        <v>26.95</v>
      </c>
      <c r="D250" s="22">
        <f>VLOOKUP(A250,'[11]Linea Arquitectonica'!A248:E1070,5,FALSE)</f>
        <v>30.45</v>
      </c>
      <c r="E250" s="22">
        <f>VLOOKUP(A250,'[11]Linea Arquitectonica'!A248:F1070,6,FALSE)</f>
        <v>38.5</v>
      </c>
      <c r="F250" s="22">
        <f>VLOOKUP(A250,'[11]Linea Arquitectonica'!A248:G1070,7,FALSE)</f>
        <v>43.5</v>
      </c>
    </row>
    <row r="251" spans="1:6" x14ac:dyDescent="0.3">
      <c r="A251" s="40" t="s">
        <v>265</v>
      </c>
      <c r="B251" s="37" t="s">
        <v>254</v>
      </c>
      <c r="C251" s="22">
        <f>VLOOKUP(A251,'[11]Linea Arquitectonica'!$A$4:$G$823,4,FALSE)</f>
        <v>108.35</v>
      </c>
      <c r="D251" s="22">
        <f>VLOOKUP(A251,'[11]Linea Arquitectonica'!A249:E1071,5,FALSE)</f>
        <v>122.43</v>
      </c>
      <c r="E251" s="22">
        <f>VLOOKUP(A251,'[11]Linea Arquitectonica'!A249:F1071,6,FALSE)</f>
        <v>165.49</v>
      </c>
      <c r="F251" s="22">
        <f>VLOOKUP(A251,'[11]Linea Arquitectonica'!A249:G1071,7,FALSE)</f>
        <v>187</v>
      </c>
    </row>
    <row r="252" spans="1:6" x14ac:dyDescent="0.3">
      <c r="A252" s="40" t="s">
        <v>266</v>
      </c>
      <c r="B252" s="37" t="s">
        <v>256</v>
      </c>
      <c r="C252" s="22">
        <f>VLOOKUP(A252,'[11]Linea Arquitectonica'!$A$4:$G$823,4,FALSE)</f>
        <v>90.84</v>
      </c>
      <c r="D252" s="22">
        <f>VLOOKUP(A252,'[11]Linea Arquitectonica'!A250:E1072,5,FALSE)</f>
        <v>102.65</v>
      </c>
      <c r="E252" s="22">
        <f>VLOOKUP(A252,'[11]Linea Arquitectonica'!A250:F1072,6,FALSE)</f>
        <v>165.49</v>
      </c>
      <c r="F252" s="22">
        <f>VLOOKUP(A252,'[11]Linea Arquitectonica'!A250:G1072,7,FALSE)</f>
        <v>187</v>
      </c>
    </row>
    <row r="253" spans="1:6" x14ac:dyDescent="0.3">
      <c r="A253" s="40" t="s">
        <v>267</v>
      </c>
      <c r="B253" s="37" t="s">
        <v>258</v>
      </c>
      <c r="C253" s="22">
        <f>VLOOKUP(A253,'[11]Linea Arquitectonica'!$A$4:$G$823,4,FALSE)</f>
        <v>90.84</v>
      </c>
      <c r="D253" s="22">
        <f>VLOOKUP(A253,'[11]Linea Arquitectonica'!A251:E1073,5,FALSE)</f>
        <v>102.65</v>
      </c>
      <c r="E253" s="22">
        <f>VLOOKUP(A253,'[11]Linea Arquitectonica'!A251:F1073,6,FALSE)</f>
        <v>165.49</v>
      </c>
      <c r="F253" s="22">
        <f>VLOOKUP(A253,'[11]Linea Arquitectonica'!A251:G1073,7,FALSE)</f>
        <v>187</v>
      </c>
    </row>
    <row r="254" spans="1:6" x14ac:dyDescent="0.3">
      <c r="A254" s="40" t="s">
        <v>268</v>
      </c>
      <c r="B254" s="37" t="s">
        <v>260</v>
      </c>
      <c r="C254" s="22">
        <f>VLOOKUP(A254,'[11]Linea Arquitectonica'!$A$4:$G$823,4,FALSE)</f>
        <v>115.84</v>
      </c>
      <c r="D254" s="22">
        <f>VLOOKUP(A254,'[11]Linea Arquitectonica'!A252:E1074,5,FALSE)</f>
        <v>130.9</v>
      </c>
      <c r="E254" s="22">
        <f>VLOOKUP(A254,'[11]Linea Arquitectonica'!A252:F1074,6,FALSE)</f>
        <v>165.49</v>
      </c>
      <c r="F254" s="22">
        <f>VLOOKUP(A254,'[11]Linea Arquitectonica'!A252:G1074,7,FALSE)</f>
        <v>187</v>
      </c>
    </row>
    <row r="255" spans="1:6" x14ac:dyDescent="0.3">
      <c r="A255" s="21" t="s">
        <v>269</v>
      </c>
      <c r="B255" s="37" t="s">
        <v>3290</v>
      </c>
      <c r="C255" s="22">
        <f>VLOOKUP(A255,'[11]Linea Arquitectonica'!$A$4:$G$823,4,FALSE)</f>
        <v>7.25</v>
      </c>
      <c r="D255" s="22">
        <f>VLOOKUP(A255,'[11]Linea Arquitectonica'!A253:E1075,5,FALSE)</f>
        <v>8.19</v>
      </c>
      <c r="E255" s="22">
        <f>VLOOKUP(A255,'[11]Linea Arquitectonica'!A253:F1075,6,FALSE)</f>
        <v>11.06</v>
      </c>
      <c r="F255" s="22">
        <f>VLOOKUP(A255,'[11]Linea Arquitectonica'!A253:G1075,7,FALSE)</f>
        <v>12.5</v>
      </c>
    </row>
    <row r="256" spans="1:6" x14ac:dyDescent="0.3">
      <c r="A256" s="21" t="s">
        <v>270</v>
      </c>
      <c r="B256" s="37" t="s">
        <v>3291</v>
      </c>
      <c r="C256" s="22">
        <f>VLOOKUP(A256,'[11]Linea Arquitectonica'!$A$4:$G$823,4,FALSE)</f>
        <v>7.74</v>
      </c>
      <c r="D256" s="22">
        <f>VLOOKUP(A256,'[11]Linea Arquitectonica'!A254:E1076,5,FALSE)</f>
        <v>8.75</v>
      </c>
      <c r="E256" s="22">
        <f>VLOOKUP(A256,'[11]Linea Arquitectonica'!A254:F1076,6,FALSE)</f>
        <v>11.06</v>
      </c>
      <c r="F256" s="22">
        <f>VLOOKUP(A256,'[11]Linea Arquitectonica'!A254:G1076,7,FALSE)</f>
        <v>12.5</v>
      </c>
    </row>
    <row r="257" spans="1:6" x14ac:dyDescent="0.3">
      <c r="A257" s="21" t="s">
        <v>271</v>
      </c>
      <c r="B257" s="37" t="s">
        <v>3291</v>
      </c>
      <c r="C257" s="22">
        <f>VLOOKUP(A257,'[11]Linea Arquitectonica'!$A$4:$G$823,4,FALSE)</f>
        <v>24.47</v>
      </c>
      <c r="D257" s="22">
        <f>VLOOKUP(A257,'[11]Linea Arquitectonica'!A255:E1077,5,FALSE)</f>
        <v>27.65</v>
      </c>
      <c r="E257" s="22">
        <f>VLOOKUP(A257,'[11]Linea Arquitectonica'!A255:F1077,6,FALSE)</f>
        <v>34.96</v>
      </c>
      <c r="F257" s="22">
        <f>VLOOKUP(A257,'[11]Linea Arquitectonica'!A255:G1077,7,FALSE)</f>
        <v>39.5</v>
      </c>
    </row>
    <row r="258" spans="1:6" x14ac:dyDescent="0.3">
      <c r="A258" s="21" t="s">
        <v>272</v>
      </c>
      <c r="B258" s="37" t="s">
        <v>3292</v>
      </c>
      <c r="C258" s="22">
        <f>VLOOKUP(A258,'[11]Linea Arquitectonica'!$A$4:$G$823,4,FALSE)</f>
        <v>24.47</v>
      </c>
      <c r="D258" s="22">
        <f>VLOOKUP(A258,'[11]Linea Arquitectonica'!A256:E1078,5,FALSE)</f>
        <v>27.65</v>
      </c>
      <c r="E258" s="22">
        <f>VLOOKUP(A258,'[11]Linea Arquitectonica'!A256:F1078,6,FALSE)</f>
        <v>34.96</v>
      </c>
      <c r="F258" s="22">
        <f>VLOOKUP(A258,'[11]Linea Arquitectonica'!A256:G1078,7,FALSE)</f>
        <v>39.5</v>
      </c>
    </row>
    <row r="259" spans="1:6" x14ac:dyDescent="0.3">
      <c r="A259" s="21" t="s">
        <v>273</v>
      </c>
      <c r="B259" s="37" t="s">
        <v>3290</v>
      </c>
      <c r="C259" s="22">
        <f>VLOOKUP(A259,'[11]Linea Arquitectonica'!$A$4:$G$823,4,FALSE)</f>
        <v>22.97</v>
      </c>
      <c r="D259" s="22">
        <f>VLOOKUP(A259,'[11]Linea Arquitectonica'!A257:E1079,5,FALSE)</f>
        <v>25.96</v>
      </c>
      <c r="E259" s="22">
        <f>VLOOKUP(A259,'[11]Linea Arquitectonica'!A257:F1079,6,FALSE)</f>
        <v>34.96</v>
      </c>
      <c r="F259" s="22">
        <f>VLOOKUP(A259,'[11]Linea Arquitectonica'!A257:G1079,7,FALSE)</f>
        <v>39.5</v>
      </c>
    </row>
    <row r="260" spans="1:6" x14ac:dyDescent="0.3">
      <c r="A260" s="21" t="s">
        <v>274</v>
      </c>
      <c r="B260" s="37" t="s">
        <v>3293</v>
      </c>
      <c r="C260" s="22">
        <f>VLOOKUP(A260,'[11]Linea Arquitectonica'!$A$4:$G$823,4,FALSE)</f>
        <v>19.47</v>
      </c>
      <c r="D260" s="22">
        <f>VLOOKUP(A260,'[11]Linea Arquitectonica'!A258:E1080,5,FALSE)</f>
        <v>22</v>
      </c>
      <c r="E260" s="22">
        <f>VLOOKUP(A260,'[11]Linea Arquitectonica'!A258:F1080,6,FALSE)</f>
        <v>34.96</v>
      </c>
      <c r="F260" s="22">
        <f>VLOOKUP(A260,'[11]Linea Arquitectonica'!A258:G1080,7,FALSE)</f>
        <v>39.5</v>
      </c>
    </row>
    <row r="261" spans="1:6" x14ac:dyDescent="0.3">
      <c r="A261" s="21" t="s">
        <v>275</v>
      </c>
      <c r="B261" s="37" t="s">
        <v>3294</v>
      </c>
      <c r="C261" s="22">
        <f>VLOOKUP(A261,'[11]Linea Arquitectonica'!$A$4:$G$823,4,FALSE)</f>
        <v>19.47</v>
      </c>
      <c r="D261" s="22">
        <f>VLOOKUP(A261,'[11]Linea Arquitectonica'!A259:E1081,5,FALSE)</f>
        <v>22</v>
      </c>
      <c r="E261" s="22">
        <f>VLOOKUP(A261,'[11]Linea Arquitectonica'!A259:F1081,6,FALSE)</f>
        <v>34.96</v>
      </c>
      <c r="F261" s="22">
        <f>VLOOKUP(A261,'[11]Linea Arquitectonica'!A259:G1081,7,FALSE)</f>
        <v>39.5</v>
      </c>
    </row>
    <row r="262" spans="1:6" x14ac:dyDescent="0.3">
      <c r="A262" s="21" t="s">
        <v>276</v>
      </c>
      <c r="B262" s="37" t="s">
        <v>3291</v>
      </c>
      <c r="C262" s="22">
        <f>VLOOKUP(A262,'[11]Linea Arquitectonica'!$A$4:$G$823,4,FALSE)</f>
        <v>105.93</v>
      </c>
      <c r="D262" s="22">
        <f>VLOOKUP(A262,'[11]Linea Arquitectonica'!A260:E1082,5,FALSE)</f>
        <v>119.7</v>
      </c>
      <c r="E262" s="22">
        <f>VLOOKUP(A262,'[11]Linea Arquitectonica'!A260:F1082,6,FALSE)</f>
        <v>151.33000000000001</v>
      </c>
      <c r="F262" s="22">
        <f>VLOOKUP(A262,'[11]Linea Arquitectonica'!A260:G1082,7,FALSE)</f>
        <v>171</v>
      </c>
    </row>
    <row r="263" spans="1:6" x14ac:dyDescent="0.3">
      <c r="A263" s="21" t="s">
        <v>277</v>
      </c>
      <c r="B263" s="37" t="s">
        <v>3292</v>
      </c>
      <c r="C263" s="22">
        <f>VLOOKUP(A263,'[11]Linea Arquitectonica'!$A$4:$G$823,4,FALSE)</f>
        <v>105.93</v>
      </c>
      <c r="D263" s="22">
        <f>VLOOKUP(A263,'[11]Linea Arquitectonica'!A261:E1083,5,FALSE)</f>
        <v>119.7</v>
      </c>
      <c r="E263" s="22">
        <f>VLOOKUP(A263,'[11]Linea Arquitectonica'!A261:F1083,6,FALSE)</f>
        <v>151.33000000000001</v>
      </c>
      <c r="F263" s="22">
        <f>VLOOKUP(A263,'[11]Linea Arquitectonica'!A261:G1083,7,FALSE)</f>
        <v>171</v>
      </c>
    </row>
    <row r="264" spans="1:6" x14ac:dyDescent="0.3">
      <c r="A264" s="21" t="s">
        <v>278</v>
      </c>
      <c r="B264" s="37" t="s">
        <v>3290</v>
      </c>
      <c r="C264" s="22">
        <f>VLOOKUP(A264,'[11]Linea Arquitectonica'!$A$4:$G$823,4,FALSE)</f>
        <v>98.43</v>
      </c>
      <c r="D264" s="22">
        <f>VLOOKUP(A264,'[11]Linea Arquitectonica'!A262:E1084,5,FALSE)</f>
        <v>111.23</v>
      </c>
      <c r="E264" s="22">
        <f>VLOOKUP(A264,'[11]Linea Arquitectonica'!A262:F1084,6,FALSE)</f>
        <v>151.33000000000001</v>
      </c>
      <c r="F264" s="22">
        <f>VLOOKUP(A264,'[11]Linea Arquitectonica'!A262:G1084,7,FALSE)</f>
        <v>171</v>
      </c>
    </row>
    <row r="265" spans="1:6" x14ac:dyDescent="0.3">
      <c r="A265" s="21" t="s">
        <v>279</v>
      </c>
      <c r="B265" s="37" t="s">
        <v>3293</v>
      </c>
      <c r="C265" s="22">
        <f>VLOOKUP(A265,'[11]Linea Arquitectonica'!$A$4:$G$823,4,FALSE)</f>
        <v>80.930000000000007</v>
      </c>
      <c r="D265" s="22">
        <f>VLOOKUP(A265,'[11]Linea Arquitectonica'!A263:E1085,5,FALSE)</f>
        <v>91.45</v>
      </c>
      <c r="E265" s="22">
        <f>VLOOKUP(A265,'[11]Linea Arquitectonica'!A263:F1085,6,FALSE)</f>
        <v>151.33000000000001</v>
      </c>
      <c r="F265" s="22">
        <f>VLOOKUP(A265,'[11]Linea Arquitectonica'!A263:G1085,7,FALSE)</f>
        <v>171</v>
      </c>
    </row>
    <row r="266" spans="1:6" x14ac:dyDescent="0.3">
      <c r="A266" s="21" t="s">
        <v>280</v>
      </c>
      <c r="B266" s="37" t="s">
        <v>3294</v>
      </c>
      <c r="C266" s="22">
        <f>VLOOKUP(A266,'[11]Linea Arquitectonica'!$A$4:$G$823,4,FALSE)</f>
        <v>80.930000000000007</v>
      </c>
      <c r="D266" s="22">
        <f>VLOOKUP(A266,'[11]Linea Arquitectonica'!A264:E1086,5,FALSE)</f>
        <v>91.45</v>
      </c>
      <c r="E266" s="22">
        <f>VLOOKUP(A266,'[11]Linea Arquitectonica'!A264:F1086,6,FALSE)</f>
        <v>151.33000000000001</v>
      </c>
      <c r="F266" s="22">
        <f>VLOOKUP(A266,'[11]Linea Arquitectonica'!A264:G1086,7,FALSE)</f>
        <v>171</v>
      </c>
    </row>
    <row r="267" spans="1:6" x14ac:dyDescent="0.3">
      <c r="A267" s="21" t="s">
        <v>281</v>
      </c>
      <c r="B267" s="37" t="s">
        <v>282</v>
      </c>
      <c r="C267" s="22">
        <f>VLOOKUP(A267,'[11]Linea Arquitectonica'!$A$4:$G$823,4,FALSE)</f>
        <v>8.49</v>
      </c>
      <c r="D267" s="22">
        <f>VLOOKUP(A267,'[11]Linea Arquitectonica'!A265:E1087,5,FALSE)</f>
        <v>9.59</v>
      </c>
      <c r="E267" s="22">
        <f>VLOOKUP(A267,'[11]Linea Arquitectonica'!A265:F1087,6,FALSE)</f>
        <v>12.83</v>
      </c>
      <c r="F267" s="22">
        <f>VLOOKUP(A267,'[11]Linea Arquitectonica'!A265:G1087,7,FALSE)</f>
        <v>14.5</v>
      </c>
    </row>
    <row r="268" spans="1:6" x14ac:dyDescent="0.3">
      <c r="A268" s="21" t="s">
        <v>283</v>
      </c>
      <c r="B268" s="37" t="s">
        <v>284</v>
      </c>
      <c r="C268" s="22">
        <f>VLOOKUP(A268,'[11]Linea Arquitectonica'!$A$4:$G$823,4,FALSE)</f>
        <v>8.98</v>
      </c>
      <c r="D268" s="22">
        <f>VLOOKUP(A268,'[11]Linea Arquitectonica'!A266:E1088,5,FALSE)</f>
        <v>10.15</v>
      </c>
      <c r="E268" s="22">
        <f>VLOOKUP(A268,'[11]Linea Arquitectonica'!A266:F1088,6,FALSE)</f>
        <v>12.83</v>
      </c>
      <c r="F268" s="22">
        <f>VLOOKUP(A268,'[11]Linea Arquitectonica'!A266:G1088,7,FALSE)</f>
        <v>14.5</v>
      </c>
    </row>
    <row r="269" spans="1:6" x14ac:dyDescent="0.3">
      <c r="A269" s="21" t="s">
        <v>285</v>
      </c>
      <c r="B269" s="37" t="s">
        <v>282</v>
      </c>
      <c r="C269" s="22">
        <f>VLOOKUP(A269,'[11]Linea Arquitectonica'!$A$4:$G$823,4,FALSE)</f>
        <v>25.45</v>
      </c>
      <c r="D269" s="22">
        <f>VLOOKUP(A269,'[11]Linea Arquitectonica'!A267:E1089,5,FALSE)</f>
        <v>28.76</v>
      </c>
      <c r="E269" s="22">
        <f>VLOOKUP(A269,'[11]Linea Arquitectonica'!A267:F1089,6,FALSE)</f>
        <v>38.5</v>
      </c>
      <c r="F269" s="22">
        <f>VLOOKUP(A269,'[11]Linea Arquitectonica'!A267:G1089,7,FALSE)</f>
        <v>43.5</v>
      </c>
    </row>
    <row r="270" spans="1:6" x14ac:dyDescent="0.3">
      <c r="A270" s="21" t="s">
        <v>286</v>
      </c>
      <c r="B270" s="37" t="s">
        <v>287</v>
      </c>
      <c r="C270" s="22">
        <f>VLOOKUP(A270,'[11]Linea Arquitectonica'!$A$4:$G$823,4,FALSE)</f>
        <v>21.95</v>
      </c>
      <c r="D270" s="22">
        <f>VLOOKUP(A270,'[11]Linea Arquitectonica'!A268:E1090,5,FALSE)</f>
        <v>24.8</v>
      </c>
      <c r="E270" s="22">
        <f>VLOOKUP(A270,'[11]Linea Arquitectonica'!A268:F1090,6,FALSE)</f>
        <v>38.5</v>
      </c>
      <c r="F270" s="22">
        <f>VLOOKUP(A270,'[11]Linea Arquitectonica'!A268:G1090,7,FALSE)</f>
        <v>43.5</v>
      </c>
    </row>
    <row r="271" spans="1:6" x14ac:dyDescent="0.3">
      <c r="A271" s="21" t="s">
        <v>288</v>
      </c>
      <c r="B271" s="37" t="s">
        <v>3295</v>
      </c>
      <c r="C271" s="22">
        <f>VLOOKUP(A271,'[11]Linea Arquitectonica'!$A$4:$G$823,4,FALSE)</f>
        <v>21.95</v>
      </c>
      <c r="D271" s="22">
        <f>VLOOKUP(A271,'[11]Linea Arquitectonica'!A269:E1091,5,FALSE)</f>
        <v>24.8</v>
      </c>
      <c r="E271" s="22">
        <f>VLOOKUP(A271,'[11]Linea Arquitectonica'!A269:F1091,6,FALSE)</f>
        <v>38.5</v>
      </c>
      <c r="F271" s="22">
        <f>VLOOKUP(A271,'[11]Linea Arquitectonica'!A269:G1091,7,FALSE)</f>
        <v>43.5</v>
      </c>
    </row>
    <row r="272" spans="1:6" x14ac:dyDescent="0.3">
      <c r="A272" s="21" t="s">
        <v>289</v>
      </c>
      <c r="B272" s="37" t="s">
        <v>284</v>
      </c>
      <c r="C272" s="22">
        <f>VLOOKUP(A272,'[11]Linea Arquitectonica'!$A$4:$G$823,4,FALSE)</f>
        <v>26.95</v>
      </c>
      <c r="D272" s="22">
        <f>VLOOKUP(A272,'[11]Linea Arquitectonica'!A270:E1092,5,FALSE)</f>
        <v>30.45</v>
      </c>
      <c r="E272" s="22">
        <f>VLOOKUP(A272,'[11]Linea Arquitectonica'!A270:F1092,6,FALSE)</f>
        <v>38.5</v>
      </c>
      <c r="F272" s="22">
        <f>VLOOKUP(A272,'[11]Linea Arquitectonica'!A270:G1092,7,FALSE)</f>
        <v>43.5</v>
      </c>
    </row>
    <row r="273" spans="1:6" x14ac:dyDescent="0.3">
      <c r="A273" s="21" t="s">
        <v>290</v>
      </c>
      <c r="B273" s="37" t="s">
        <v>282</v>
      </c>
      <c r="C273" s="22">
        <f>VLOOKUP(A273,'[11]Linea Arquitectonica'!$A$4:$G$823,4,FALSE)</f>
        <v>119.5</v>
      </c>
      <c r="D273" s="22">
        <f>VLOOKUP(A273,'[11]Linea Arquitectonica'!A271:E1093,5,FALSE)</f>
        <v>135.03</v>
      </c>
      <c r="E273" s="22">
        <f>VLOOKUP(A273,'[11]Linea Arquitectonica'!A271:F1093,6,FALSE)</f>
        <v>181.42</v>
      </c>
      <c r="F273" s="22">
        <f>VLOOKUP(A273,'[11]Linea Arquitectonica'!A271:G1093,7,FALSE)</f>
        <v>205</v>
      </c>
    </row>
    <row r="274" spans="1:6" x14ac:dyDescent="0.3">
      <c r="A274" s="21" t="s">
        <v>291</v>
      </c>
      <c r="B274" s="37" t="s">
        <v>287</v>
      </c>
      <c r="C274" s="22">
        <f>VLOOKUP(A274,'[11]Linea Arquitectonica'!$A$4:$G$823,4,FALSE)</f>
        <v>101.99</v>
      </c>
      <c r="D274" s="22">
        <f>VLOOKUP(A274,'[11]Linea Arquitectonica'!A272:E1094,5,FALSE)</f>
        <v>115.25</v>
      </c>
      <c r="E274" s="22">
        <f>VLOOKUP(A274,'[11]Linea Arquitectonica'!A272:F1094,6,FALSE)</f>
        <v>181.42</v>
      </c>
      <c r="F274" s="22">
        <f>VLOOKUP(A274,'[11]Linea Arquitectonica'!A272:G1094,7,FALSE)</f>
        <v>205</v>
      </c>
    </row>
    <row r="275" spans="1:6" x14ac:dyDescent="0.3">
      <c r="A275" s="21" t="s">
        <v>292</v>
      </c>
      <c r="B275" s="37" t="s">
        <v>3295</v>
      </c>
      <c r="C275" s="22">
        <f>VLOOKUP(A275,'[11]Linea Arquitectonica'!$A$4:$G$823,4,FALSE)</f>
        <v>101.99</v>
      </c>
      <c r="D275" s="22">
        <f>VLOOKUP(A275,'[11]Linea Arquitectonica'!A273:E1095,5,FALSE)</f>
        <v>115.25</v>
      </c>
      <c r="E275" s="22">
        <f>VLOOKUP(A275,'[11]Linea Arquitectonica'!A273:F1095,6,FALSE)</f>
        <v>181.42</v>
      </c>
      <c r="F275" s="22">
        <f>VLOOKUP(A275,'[11]Linea Arquitectonica'!A273:G1095,7,FALSE)</f>
        <v>205</v>
      </c>
    </row>
    <row r="276" spans="1:6" x14ac:dyDescent="0.3">
      <c r="A276" s="21" t="s">
        <v>293</v>
      </c>
      <c r="B276" s="37" t="s">
        <v>284</v>
      </c>
      <c r="C276" s="22">
        <f>VLOOKUP(A276,'[11]Linea Arquitectonica'!$A$4:$G$823,4,FALSE)</f>
        <v>126.99</v>
      </c>
      <c r="D276" s="22">
        <f>VLOOKUP(A276,'[11]Linea Arquitectonica'!A274:E1096,5,FALSE)</f>
        <v>143.5</v>
      </c>
      <c r="E276" s="22">
        <f>VLOOKUP(A276,'[11]Linea Arquitectonica'!A274:F1096,6,FALSE)</f>
        <v>181.42</v>
      </c>
      <c r="F276" s="22">
        <f>VLOOKUP(A276,'[11]Linea Arquitectonica'!A274:G1096,7,FALSE)</f>
        <v>205</v>
      </c>
    </row>
    <row r="277" spans="1:6" x14ac:dyDescent="0.3">
      <c r="A277" s="21" t="s">
        <v>294</v>
      </c>
      <c r="B277" s="37" t="s">
        <v>295</v>
      </c>
      <c r="C277" s="22">
        <f>VLOOKUP(A277,'[11]Linea Arquitectonica'!$A$4:$G$823,4,FALSE)</f>
        <v>9.23</v>
      </c>
      <c r="D277" s="22">
        <f>VLOOKUP(A277,'[11]Linea Arquitectonica'!A275:E1097,5,FALSE)</f>
        <v>10.43</v>
      </c>
      <c r="E277" s="22">
        <f>VLOOKUP(A277,'[11]Linea Arquitectonica'!A275:F1097,6,FALSE)</f>
        <v>13.19</v>
      </c>
      <c r="F277" s="22">
        <f>VLOOKUP(A277,'[11]Linea Arquitectonica'!A275:G1097,7,FALSE)</f>
        <v>14.9</v>
      </c>
    </row>
    <row r="278" spans="1:6" x14ac:dyDescent="0.3">
      <c r="A278" s="21" t="s">
        <v>296</v>
      </c>
      <c r="B278" s="37" t="s">
        <v>295</v>
      </c>
      <c r="C278" s="22">
        <f>VLOOKUP(A278,'[11]Linea Arquitectonica'!$A$4:$G$823,4,FALSE)</f>
        <v>31.53</v>
      </c>
      <c r="D278" s="22">
        <f>VLOOKUP(A278,'[11]Linea Arquitectonica'!A276:E1098,5,FALSE)</f>
        <v>35.630000000000003</v>
      </c>
      <c r="E278" s="22">
        <f>VLOOKUP(A278,'[11]Linea Arquitectonica'!A276:F1098,6,FALSE)</f>
        <v>45.04</v>
      </c>
      <c r="F278" s="22">
        <f>VLOOKUP(A278,'[11]Linea Arquitectonica'!A276:G1098,7,FALSE)</f>
        <v>50.9</v>
      </c>
    </row>
    <row r="279" spans="1:6" x14ac:dyDescent="0.3">
      <c r="A279" s="21" t="s">
        <v>297</v>
      </c>
      <c r="B279" s="37" t="s">
        <v>298</v>
      </c>
      <c r="C279" s="22">
        <f>VLOOKUP(A279,'[11]Linea Arquitectonica'!$A$4:$G$823,4,FALSE)</f>
        <v>7.99</v>
      </c>
      <c r="D279" s="22">
        <f>VLOOKUP(A279,'[11]Linea Arquitectonica'!A277:E1099,5,FALSE)</f>
        <v>9.0299999999999994</v>
      </c>
      <c r="E279" s="22">
        <f>VLOOKUP(A279,'[11]Linea Arquitectonica'!A277:F1099,6,FALSE)</f>
        <v>11.42</v>
      </c>
      <c r="F279" s="22">
        <f>VLOOKUP(A279,'[11]Linea Arquitectonica'!A277:G1099,7,FALSE)</f>
        <v>12.9</v>
      </c>
    </row>
    <row r="280" spans="1:6" x14ac:dyDescent="0.3">
      <c r="A280" s="21" t="s">
        <v>299</v>
      </c>
      <c r="B280" s="37" t="s">
        <v>298</v>
      </c>
      <c r="C280" s="22">
        <f>VLOOKUP(A280,'[11]Linea Arquitectonica'!$A$4:$G$823,4,FALSE)</f>
        <v>25.34</v>
      </c>
      <c r="D280" s="22">
        <f>VLOOKUP(A280,'[11]Linea Arquitectonica'!A278:E1100,5,FALSE)</f>
        <v>28.63</v>
      </c>
      <c r="E280" s="22">
        <f>VLOOKUP(A280,'[11]Linea Arquitectonica'!A278:F1100,6,FALSE)</f>
        <v>36.19</v>
      </c>
      <c r="F280" s="22">
        <f>VLOOKUP(A280,'[11]Linea Arquitectonica'!A278:G1100,7,FALSE)</f>
        <v>40.9</v>
      </c>
    </row>
    <row r="281" spans="1:6" x14ac:dyDescent="0.3">
      <c r="A281" s="38" t="s">
        <v>300</v>
      </c>
      <c r="B281" s="37" t="s">
        <v>301</v>
      </c>
      <c r="C281" s="22">
        <f>VLOOKUP(A281,'[11]Linea Arquitectonica'!$A$4:$G$823,4,FALSE)</f>
        <v>19.760000000000002</v>
      </c>
      <c r="D281" s="22">
        <f>VLOOKUP(A281,'[11]Linea Arquitectonica'!A279:E1101,5,FALSE)</f>
        <v>22.33</v>
      </c>
      <c r="E281" s="22">
        <f>VLOOKUP(A281,'[11]Linea Arquitectonica'!A279:F1101,6,FALSE)</f>
        <v>28.23</v>
      </c>
      <c r="F281" s="22">
        <f>VLOOKUP(A281,'[11]Linea Arquitectonica'!A279:G1101,7,FALSE)</f>
        <v>31.9</v>
      </c>
    </row>
    <row r="282" spans="1:6" x14ac:dyDescent="0.3">
      <c r="A282" s="38" t="s">
        <v>302</v>
      </c>
      <c r="B282" s="37" t="s">
        <v>301</v>
      </c>
      <c r="C282" s="22">
        <f>VLOOKUP(A282,'[11]Linea Arquitectonica'!$A$4:$G$823,4,FALSE)</f>
        <v>83.63</v>
      </c>
      <c r="D282" s="22">
        <f>VLOOKUP(A282,'[11]Linea Arquitectonica'!A280:E1102,5,FALSE)</f>
        <v>94.5</v>
      </c>
      <c r="E282" s="22">
        <f>VLOOKUP(A282,'[11]Linea Arquitectonica'!A280:F1102,6,FALSE)</f>
        <v>119.47</v>
      </c>
      <c r="F282" s="22">
        <f>VLOOKUP(A282,'[11]Linea Arquitectonica'!A280:G1102,7,FALSE)</f>
        <v>135</v>
      </c>
    </row>
    <row r="283" spans="1:6" x14ac:dyDescent="0.3">
      <c r="A283" s="21" t="s">
        <v>303</v>
      </c>
      <c r="B283" s="37" t="s">
        <v>3296</v>
      </c>
      <c r="C283" s="22">
        <f>VLOOKUP(A283,'[11]Linea Arquitectonica'!$A$4:$G$823,4,FALSE)</f>
        <v>11.09</v>
      </c>
      <c r="D283" s="22">
        <f>VLOOKUP(A283,'[11]Linea Arquitectonica'!A281:E1103,5,FALSE)</f>
        <v>12.53</v>
      </c>
      <c r="E283" s="22">
        <f>VLOOKUP(A283,'[11]Linea Arquitectonica'!A281:F1103,6,FALSE)</f>
        <v>15.84</v>
      </c>
      <c r="F283" s="22">
        <f>VLOOKUP(A283,'[11]Linea Arquitectonica'!A281:G1103,7,FALSE)</f>
        <v>17.899999999999999</v>
      </c>
    </row>
    <row r="284" spans="1:6" x14ac:dyDescent="0.3">
      <c r="A284" s="21" t="s">
        <v>304</v>
      </c>
      <c r="B284" s="37" t="s">
        <v>305</v>
      </c>
      <c r="C284" s="22">
        <f>VLOOKUP(A284,'[11]Linea Arquitectonica'!$A$4:$G$823,4,FALSE)</f>
        <v>11.09</v>
      </c>
      <c r="D284" s="22">
        <f>VLOOKUP(A284,'[11]Linea Arquitectonica'!A282:E1104,5,FALSE)</f>
        <v>12.53</v>
      </c>
      <c r="E284" s="22">
        <f>VLOOKUP(A284,'[11]Linea Arquitectonica'!A282:F1104,6,FALSE)</f>
        <v>15.84</v>
      </c>
      <c r="F284" s="22">
        <f>VLOOKUP(A284,'[11]Linea Arquitectonica'!A282:G1104,7,FALSE)</f>
        <v>17.899999999999999</v>
      </c>
    </row>
    <row r="285" spans="1:6" x14ac:dyDescent="0.3">
      <c r="A285" s="21" t="s">
        <v>3297</v>
      </c>
      <c r="B285" s="37" t="s">
        <v>3298</v>
      </c>
      <c r="C285" s="22">
        <f>VLOOKUP(A285,'[11]Linea Arquitectonica'!$A$4:$G$823,4,FALSE)</f>
        <v>11.09</v>
      </c>
      <c r="D285" s="22">
        <f>VLOOKUP(A285,'[11]Linea Arquitectonica'!A283:E1105,5,FALSE)</f>
        <v>12.53</v>
      </c>
      <c r="E285" s="22">
        <f>VLOOKUP(A285,'[11]Linea Arquitectonica'!A283:F1105,6,FALSE)</f>
        <v>15.84</v>
      </c>
      <c r="F285" s="22">
        <f>VLOOKUP(A285,'[11]Linea Arquitectonica'!A283:G1105,7,FALSE)</f>
        <v>17.899999999999999</v>
      </c>
    </row>
    <row r="286" spans="1:6" x14ac:dyDescent="0.3">
      <c r="A286" s="21" t="s">
        <v>306</v>
      </c>
      <c r="B286" s="37" t="s">
        <v>3299</v>
      </c>
      <c r="C286" s="22">
        <f>VLOOKUP(A286,'[11]Linea Arquitectonica'!$A$4:$G$823,4,FALSE)</f>
        <v>36.49</v>
      </c>
      <c r="D286" s="22">
        <f>VLOOKUP(A286,'[11]Linea Arquitectonica'!A284:E1106,5,FALSE)</f>
        <v>41.23</v>
      </c>
      <c r="E286" s="22">
        <f>VLOOKUP(A286,'[11]Linea Arquitectonica'!A284:F1106,6,FALSE)</f>
        <v>52.12</v>
      </c>
      <c r="F286" s="22">
        <f>VLOOKUP(A286,'[11]Linea Arquitectonica'!A284:G1106,7,FALSE)</f>
        <v>58.9</v>
      </c>
    </row>
    <row r="287" spans="1:6" x14ac:dyDescent="0.3">
      <c r="A287" s="21" t="s">
        <v>307</v>
      </c>
      <c r="B287" s="37" t="s">
        <v>3296</v>
      </c>
      <c r="C287" s="22">
        <f>VLOOKUP(A287,'[11]Linea Arquitectonica'!$A$4:$G$823,4,FALSE)</f>
        <v>36.49</v>
      </c>
      <c r="D287" s="22">
        <f>VLOOKUP(A287,'[11]Linea Arquitectonica'!A285:E1107,5,FALSE)</f>
        <v>41.23</v>
      </c>
      <c r="E287" s="22">
        <f>VLOOKUP(A287,'[11]Linea Arquitectonica'!A285:F1107,6,FALSE)</f>
        <v>52.12</v>
      </c>
      <c r="F287" s="22">
        <f>VLOOKUP(A287,'[11]Linea Arquitectonica'!A285:G1107,7,FALSE)</f>
        <v>58.9</v>
      </c>
    </row>
    <row r="288" spans="1:6" x14ac:dyDescent="0.3">
      <c r="A288" s="21" t="s">
        <v>308</v>
      </c>
      <c r="B288" s="37" t="s">
        <v>305</v>
      </c>
      <c r="C288" s="22">
        <f>VLOOKUP(A288,'[11]Linea Arquitectonica'!$A$4:$G$823,4,FALSE)</f>
        <v>36.49</v>
      </c>
      <c r="D288" s="22">
        <f>VLOOKUP(A288,'[11]Linea Arquitectonica'!A286:E1108,5,FALSE)</f>
        <v>41.23</v>
      </c>
      <c r="E288" s="22">
        <f>VLOOKUP(A288,'[11]Linea Arquitectonica'!A286:F1108,6,FALSE)</f>
        <v>52.12</v>
      </c>
      <c r="F288" s="22">
        <f>VLOOKUP(A288,'[11]Linea Arquitectonica'!A286:G1108,7,FALSE)</f>
        <v>58.9</v>
      </c>
    </row>
    <row r="289" spans="1:6" x14ac:dyDescent="0.3">
      <c r="A289" s="21" t="s">
        <v>309</v>
      </c>
      <c r="B289" s="37" t="s">
        <v>3298</v>
      </c>
      <c r="C289" s="22">
        <f>VLOOKUP(A289,'[11]Linea Arquitectonica'!$A$4:$G$823,4,FALSE)</f>
        <v>36.49</v>
      </c>
      <c r="D289" s="22">
        <f>VLOOKUP(A289,'[11]Linea Arquitectonica'!A287:E1109,5,FALSE)</f>
        <v>41.23</v>
      </c>
      <c r="E289" s="22">
        <f>VLOOKUP(A289,'[11]Linea Arquitectonica'!A287:F1109,6,FALSE)</f>
        <v>52.12</v>
      </c>
      <c r="F289" s="22">
        <f>VLOOKUP(A289,'[11]Linea Arquitectonica'!A287:G1109,7,FALSE)</f>
        <v>58.9</v>
      </c>
    </row>
    <row r="290" spans="1:6" x14ac:dyDescent="0.3">
      <c r="A290" s="38" t="s">
        <v>3059</v>
      </c>
      <c r="B290" s="37" t="s">
        <v>3060</v>
      </c>
      <c r="C290" s="22">
        <f>VLOOKUP(A290,'[11]Linea Arquitectonica'!$A$4:$G$823,4,FALSE)</f>
        <v>10.77</v>
      </c>
      <c r="D290" s="22">
        <f>VLOOKUP(A290,'[11]Linea Arquitectonica'!A288:E1110,5,FALSE)</f>
        <v>12.17</v>
      </c>
      <c r="E290" s="22">
        <f>VLOOKUP(A290,'[11]Linea Arquitectonica'!A288:F1110,6,FALSE)</f>
        <v>14.96</v>
      </c>
      <c r="F290" s="22">
        <f>VLOOKUP(A290,'[11]Linea Arquitectonica'!A288:G1110,7,FALSE)</f>
        <v>16.899999999999999</v>
      </c>
    </row>
    <row r="291" spans="1:6" x14ac:dyDescent="0.3">
      <c r="A291" s="38" t="s">
        <v>3061</v>
      </c>
      <c r="B291" s="37" t="s">
        <v>3062</v>
      </c>
      <c r="C291" s="22">
        <f>VLOOKUP(A291,'[11]Linea Arquitectonica'!$A$4:$G$823,4,FALSE)</f>
        <v>10.77</v>
      </c>
      <c r="D291" s="22">
        <f>VLOOKUP(A291,'[11]Linea Arquitectonica'!A289:E1111,5,FALSE)</f>
        <v>12.17</v>
      </c>
      <c r="E291" s="22">
        <f>VLOOKUP(A291,'[11]Linea Arquitectonica'!A289:F1111,6,FALSE)</f>
        <v>14.96</v>
      </c>
      <c r="F291" s="22">
        <f>VLOOKUP(A291,'[11]Linea Arquitectonica'!A289:G1111,7,FALSE)</f>
        <v>16.899999999999999</v>
      </c>
    </row>
    <row r="292" spans="1:6" x14ac:dyDescent="0.3">
      <c r="A292" s="38" t="s">
        <v>3063</v>
      </c>
      <c r="B292" s="37" t="s">
        <v>3064</v>
      </c>
      <c r="C292" s="22">
        <f>VLOOKUP(A292,'[11]Linea Arquitectonica'!$A$4:$G$823,4,FALSE)</f>
        <v>10.77</v>
      </c>
      <c r="D292" s="22">
        <f>VLOOKUP(A292,'[11]Linea Arquitectonica'!A290:E1112,5,FALSE)</f>
        <v>12.17</v>
      </c>
      <c r="E292" s="22">
        <f>VLOOKUP(A292,'[11]Linea Arquitectonica'!A290:F1112,6,FALSE)</f>
        <v>14.96</v>
      </c>
      <c r="F292" s="22">
        <f>VLOOKUP(A292,'[11]Linea Arquitectonica'!A290:G1112,7,FALSE)</f>
        <v>16.899999999999999</v>
      </c>
    </row>
    <row r="293" spans="1:6" x14ac:dyDescent="0.3">
      <c r="A293" s="21" t="s">
        <v>310</v>
      </c>
      <c r="B293" s="37" t="s">
        <v>311</v>
      </c>
      <c r="C293" s="22">
        <f>VLOOKUP(A293,'[11]Linea Arquitectonica'!$A$4:$G$823,4,FALSE)</f>
        <v>20.75</v>
      </c>
      <c r="D293" s="22">
        <f>VLOOKUP(A293,'[11]Linea Arquitectonica'!A291:E1113,5,FALSE)</f>
        <v>23.45</v>
      </c>
      <c r="E293" s="22">
        <f>VLOOKUP(A293,'[11]Linea Arquitectonica'!A291:F1113,6,FALSE)</f>
        <v>29.65</v>
      </c>
      <c r="F293" s="22">
        <f>VLOOKUP(A293,'[11]Linea Arquitectonica'!A291:G1113,7,FALSE)</f>
        <v>33.5</v>
      </c>
    </row>
    <row r="294" spans="1:6" x14ac:dyDescent="0.3">
      <c r="A294" s="21" t="s">
        <v>312</v>
      </c>
      <c r="B294" s="37" t="s">
        <v>313</v>
      </c>
      <c r="C294" s="22">
        <f>VLOOKUP(A294,'[11]Linea Arquitectonica'!$A$4:$G$823,4,FALSE)</f>
        <v>20.75</v>
      </c>
      <c r="D294" s="22">
        <f>VLOOKUP(A294,'[11]Linea Arquitectonica'!A292:E1114,5,FALSE)</f>
        <v>23.45</v>
      </c>
      <c r="E294" s="22">
        <f>VLOOKUP(A294,'[11]Linea Arquitectonica'!A292:F1114,6,FALSE)</f>
        <v>29.65</v>
      </c>
      <c r="F294" s="22">
        <f>VLOOKUP(A294,'[11]Linea Arquitectonica'!A292:G1114,7,FALSE)</f>
        <v>33.5</v>
      </c>
    </row>
    <row r="295" spans="1:6" x14ac:dyDescent="0.3">
      <c r="A295" s="21" t="s">
        <v>314</v>
      </c>
      <c r="B295" s="37" t="s">
        <v>315</v>
      </c>
      <c r="C295" s="22">
        <f>VLOOKUP(A295,'[11]Linea Arquitectonica'!$A$4:$G$823,4,FALSE)</f>
        <v>20.75</v>
      </c>
      <c r="D295" s="22">
        <f>VLOOKUP(A295,'[11]Linea Arquitectonica'!A293:E1115,5,FALSE)</f>
        <v>23.45</v>
      </c>
      <c r="E295" s="22">
        <f>VLOOKUP(A295,'[11]Linea Arquitectonica'!A293:F1115,6,FALSE)</f>
        <v>29.65</v>
      </c>
      <c r="F295" s="22">
        <f>VLOOKUP(A295,'[11]Linea Arquitectonica'!A293:G1115,7,FALSE)</f>
        <v>33.5</v>
      </c>
    </row>
    <row r="296" spans="1:6" x14ac:dyDescent="0.3">
      <c r="A296" s="21" t="s">
        <v>316</v>
      </c>
      <c r="B296" s="37" t="s">
        <v>3300</v>
      </c>
      <c r="C296" s="22">
        <f>VLOOKUP(A296,'[11]Linea Arquitectonica'!$A$4:$G$823,4,FALSE)</f>
        <v>20.75</v>
      </c>
      <c r="D296" s="22">
        <f>VLOOKUP(A296,'[11]Linea Arquitectonica'!A294:E1116,5,FALSE)</f>
        <v>23.45</v>
      </c>
      <c r="E296" s="22">
        <f>VLOOKUP(A296,'[11]Linea Arquitectonica'!A294:F1116,6,FALSE)</f>
        <v>29.65</v>
      </c>
      <c r="F296" s="22">
        <f>VLOOKUP(A296,'[11]Linea Arquitectonica'!A294:G1116,7,FALSE)</f>
        <v>33.5</v>
      </c>
    </row>
    <row r="297" spans="1:6" x14ac:dyDescent="0.3">
      <c r="A297" s="21" t="s">
        <v>317</v>
      </c>
      <c r="B297" s="37" t="s">
        <v>318</v>
      </c>
      <c r="C297" s="22">
        <f>VLOOKUP(A297,'[11]Linea Arquitectonica'!$A$4:$G$823,4,FALSE)</f>
        <v>23.05</v>
      </c>
      <c r="D297" s="22">
        <f>VLOOKUP(A297,'[11]Linea Arquitectonica'!A295:E1117,5,FALSE)</f>
        <v>26.05</v>
      </c>
      <c r="E297" s="22">
        <f>VLOOKUP(A297,'[11]Linea Arquitectonica'!A295:F1117,6,FALSE)</f>
        <v>31.15</v>
      </c>
      <c r="F297" s="22">
        <f>VLOOKUP(A297,'[11]Linea Arquitectonica'!A295:G1117,7,FALSE)</f>
        <v>35.200000000000003</v>
      </c>
    </row>
    <row r="298" spans="1:6" x14ac:dyDescent="0.3">
      <c r="A298" s="21" t="s">
        <v>319</v>
      </c>
      <c r="B298" s="37" t="s">
        <v>320</v>
      </c>
      <c r="C298" s="22">
        <f>VLOOKUP(A298,'[11]Linea Arquitectonica'!$A$4:$G$823,4,FALSE)</f>
        <v>23.05</v>
      </c>
      <c r="D298" s="22">
        <f>VLOOKUP(A298,'[11]Linea Arquitectonica'!A296:E1118,5,FALSE)</f>
        <v>26.05</v>
      </c>
      <c r="E298" s="22">
        <f>VLOOKUP(A298,'[11]Linea Arquitectonica'!A296:F1118,6,FALSE)</f>
        <v>31.15</v>
      </c>
      <c r="F298" s="22">
        <f>VLOOKUP(A298,'[11]Linea Arquitectonica'!A296:G1118,7,FALSE)</f>
        <v>35.200000000000003</v>
      </c>
    </row>
    <row r="299" spans="1:6" x14ac:dyDescent="0.3">
      <c r="A299" s="21" t="s">
        <v>321</v>
      </c>
      <c r="B299" s="37" t="s">
        <v>3301</v>
      </c>
      <c r="C299" s="22">
        <f>VLOOKUP(A299,'[11]Linea Arquitectonica'!$A$4:$G$823,4,FALSE)</f>
        <v>16.04</v>
      </c>
      <c r="D299" s="22">
        <f>VLOOKUP(A299,'[11]Linea Arquitectonica'!A297:E1119,5,FALSE)</f>
        <v>18.13</v>
      </c>
      <c r="E299" s="22">
        <f>VLOOKUP(A299,'[11]Linea Arquitectonica'!A297:F1119,6,FALSE)</f>
        <v>22.92</v>
      </c>
      <c r="F299" s="22">
        <f>VLOOKUP(A299,'[11]Linea Arquitectonica'!A297:G1119,7,FALSE)</f>
        <v>25.9</v>
      </c>
    </row>
    <row r="300" spans="1:6" x14ac:dyDescent="0.3">
      <c r="A300" s="21" t="s">
        <v>322</v>
      </c>
      <c r="B300" s="37" t="s">
        <v>3302</v>
      </c>
      <c r="C300" s="22">
        <f>VLOOKUP(A300,'[11]Linea Arquitectonica'!$A$4:$G$823,4,FALSE)</f>
        <v>16.04</v>
      </c>
      <c r="D300" s="22">
        <f>VLOOKUP(A300,'[11]Linea Arquitectonica'!A298:E1120,5,FALSE)</f>
        <v>18.13</v>
      </c>
      <c r="E300" s="22">
        <f>VLOOKUP(A300,'[11]Linea Arquitectonica'!A298:F1120,6,FALSE)</f>
        <v>22.92</v>
      </c>
      <c r="F300" s="22">
        <f>VLOOKUP(A300,'[11]Linea Arquitectonica'!A298:G1120,7,FALSE)</f>
        <v>25.9</v>
      </c>
    </row>
    <row r="301" spans="1:6" x14ac:dyDescent="0.3">
      <c r="A301" s="21" t="s">
        <v>323</v>
      </c>
      <c r="B301" s="37" t="s">
        <v>3303</v>
      </c>
      <c r="C301" s="22">
        <f>VLOOKUP(A301,'[11]Linea Arquitectonica'!$A$4:$G$823,4,FALSE)</f>
        <v>16.04</v>
      </c>
      <c r="D301" s="22">
        <f>VLOOKUP(A301,'[11]Linea Arquitectonica'!A299:E1121,5,FALSE)</f>
        <v>18.13</v>
      </c>
      <c r="E301" s="22">
        <f>VLOOKUP(A301,'[11]Linea Arquitectonica'!A299:F1121,6,FALSE)</f>
        <v>22.92</v>
      </c>
      <c r="F301" s="22">
        <f>VLOOKUP(A301,'[11]Linea Arquitectonica'!A299:G1121,7,FALSE)</f>
        <v>25.9</v>
      </c>
    </row>
    <row r="302" spans="1:6" x14ac:dyDescent="0.3">
      <c r="A302" s="21" t="s">
        <v>324</v>
      </c>
      <c r="B302" s="37" t="s">
        <v>3304</v>
      </c>
      <c r="C302" s="22">
        <f>VLOOKUP(A302,'[11]Linea Arquitectonica'!$A$4:$G$823,4,FALSE)</f>
        <v>16.04</v>
      </c>
      <c r="D302" s="22">
        <f>VLOOKUP(A302,'[11]Linea Arquitectonica'!A300:E1122,5,FALSE)</f>
        <v>18.13</v>
      </c>
      <c r="E302" s="22">
        <f>VLOOKUP(A302,'[11]Linea Arquitectonica'!A300:F1122,6,FALSE)</f>
        <v>22.92</v>
      </c>
      <c r="F302" s="22">
        <f>VLOOKUP(A302,'[11]Linea Arquitectonica'!A300:G1122,7,FALSE)</f>
        <v>25.9</v>
      </c>
    </row>
    <row r="303" spans="1:6" x14ac:dyDescent="0.3">
      <c r="A303" s="21" t="s">
        <v>325</v>
      </c>
      <c r="B303" s="37" t="s">
        <v>3305</v>
      </c>
      <c r="C303" s="22">
        <f>VLOOKUP(A303,'[11]Linea Arquitectonica'!$A$4:$G$823,4,FALSE)</f>
        <v>16.04</v>
      </c>
      <c r="D303" s="22">
        <f>VLOOKUP(A303,'[11]Linea Arquitectonica'!A301:E1123,5,FALSE)</f>
        <v>18.13</v>
      </c>
      <c r="E303" s="22">
        <f>VLOOKUP(A303,'[11]Linea Arquitectonica'!A301:F1123,6,FALSE)</f>
        <v>22.92</v>
      </c>
      <c r="F303" s="22">
        <f>VLOOKUP(A303,'[11]Linea Arquitectonica'!A301:G1123,7,FALSE)</f>
        <v>25.9</v>
      </c>
    </row>
    <row r="304" spans="1:6" x14ac:dyDescent="0.3">
      <c r="A304" s="21" t="s">
        <v>326</v>
      </c>
      <c r="B304" s="37" t="s">
        <v>3306</v>
      </c>
      <c r="C304" s="22">
        <f>VLOOKUP(A304,'[11]Linea Arquitectonica'!$A$4:$G$823,4,FALSE)</f>
        <v>16.04</v>
      </c>
      <c r="D304" s="22">
        <f>VLOOKUP(A304,'[11]Linea Arquitectonica'!A302:E1124,5,FALSE)</f>
        <v>18.13</v>
      </c>
      <c r="E304" s="22">
        <f>VLOOKUP(A304,'[11]Linea Arquitectonica'!A302:F1124,6,FALSE)</f>
        <v>22.92</v>
      </c>
      <c r="F304" s="22">
        <f>VLOOKUP(A304,'[11]Linea Arquitectonica'!A302:G1124,7,FALSE)</f>
        <v>25.9</v>
      </c>
    </row>
    <row r="305" spans="1:6" x14ac:dyDescent="0.3">
      <c r="A305" s="21" t="s">
        <v>327</v>
      </c>
      <c r="B305" s="37" t="s">
        <v>3307</v>
      </c>
      <c r="C305" s="22">
        <f>VLOOKUP(A305,'[11]Linea Arquitectonica'!$A$4:$G$823,4,FALSE)</f>
        <v>16.04</v>
      </c>
      <c r="D305" s="22">
        <f>VLOOKUP(A305,'[11]Linea Arquitectonica'!A303:E1125,5,FALSE)</f>
        <v>18.13</v>
      </c>
      <c r="E305" s="22">
        <f>VLOOKUP(A305,'[11]Linea Arquitectonica'!A303:F1125,6,FALSE)</f>
        <v>22.92</v>
      </c>
      <c r="F305" s="22">
        <f>VLOOKUP(A305,'[11]Linea Arquitectonica'!A303:G1125,7,FALSE)</f>
        <v>25.9</v>
      </c>
    </row>
    <row r="306" spans="1:6" x14ac:dyDescent="0.3">
      <c r="A306" s="21" t="s">
        <v>328</v>
      </c>
      <c r="B306" s="37" t="s">
        <v>3308</v>
      </c>
      <c r="C306" s="22">
        <f>VLOOKUP(A306,'[11]Linea Arquitectonica'!$A$4:$G$823,4,FALSE)</f>
        <v>16.04</v>
      </c>
      <c r="D306" s="22">
        <f>VLOOKUP(A306,'[11]Linea Arquitectonica'!A304:E1126,5,FALSE)</f>
        <v>18.13</v>
      </c>
      <c r="E306" s="22">
        <f>VLOOKUP(A306,'[11]Linea Arquitectonica'!A304:F1126,6,FALSE)</f>
        <v>22.92</v>
      </c>
      <c r="F306" s="22">
        <f>VLOOKUP(A306,'[11]Linea Arquitectonica'!A304:G1126,7,FALSE)</f>
        <v>25.9</v>
      </c>
    </row>
    <row r="307" spans="1:6" x14ac:dyDescent="0.3">
      <c r="A307" s="21" t="s">
        <v>329</v>
      </c>
      <c r="B307" s="37" t="s">
        <v>3309</v>
      </c>
      <c r="C307" s="22">
        <f>VLOOKUP(A307,'[11]Linea Arquitectonica'!$A$4:$G$823,4,FALSE)</f>
        <v>16.04</v>
      </c>
      <c r="D307" s="22">
        <f>VLOOKUP(A307,'[11]Linea Arquitectonica'!A305:E1127,5,FALSE)</f>
        <v>18.13</v>
      </c>
      <c r="E307" s="22">
        <f>VLOOKUP(A307,'[11]Linea Arquitectonica'!A305:F1127,6,FALSE)</f>
        <v>22.92</v>
      </c>
      <c r="F307" s="22">
        <f>VLOOKUP(A307,'[11]Linea Arquitectonica'!A305:G1127,7,FALSE)</f>
        <v>25.9</v>
      </c>
    </row>
    <row r="308" spans="1:6" x14ac:dyDescent="0.3">
      <c r="A308" s="21" t="s">
        <v>3310</v>
      </c>
      <c r="B308" s="37" t="s">
        <v>3311</v>
      </c>
      <c r="C308" s="22">
        <f>VLOOKUP(A308,'[11]Linea Arquitectonica'!$A$4:$G$823,4,FALSE)</f>
        <v>16.04</v>
      </c>
      <c r="D308" s="22">
        <f>VLOOKUP(A308,'[11]Linea Arquitectonica'!A306:E1128,5,FALSE)</f>
        <v>18.13</v>
      </c>
      <c r="E308" s="22">
        <f>VLOOKUP(A308,'[11]Linea Arquitectonica'!A306:F1128,6,FALSE)</f>
        <v>22.92</v>
      </c>
      <c r="F308" s="22">
        <f>VLOOKUP(A308,'[11]Linea Arquitectonica'!A306:G1128,7,FALSE)</f>
        <v>25.9</v>
      </c>
    </row>
    <row r="309" spans="1:6" x14ac:dyDescent="0.3">
      <c r="A309" s="21" t="s">
        <v>330</v>
      </c>
      <c r="B309" s="37" t="s">
        <v>3311</v>
      </c>
      <c r="C309" s="22">
        <f>VLOOKUP(A309,'[11]Linea Arquitectonica'!$A$4:$G$823,4,FALSE)</f>
        <v>61.33</v>
      </c>
      <c r="D309" s="22">
        <f>VLOOKUP(A309,'[11]Linea Arquitectonica'!A307:E1129,5,FALSE)</f>
        <v>69.3</v>
      </c>
      <c r="E309" s="22">
        <f>VLOOKUP(A309,'[11]Linea Arquitectonica'!A307:F1129,6,FALSE)</f>
        <v>87.61</v>
      </c>
      <c r="F309" s="22">
        <f>VLOOKUP(A309,'[11]Linea Arquitectonica'!A307:G1129,7,FALSE)</f>
        <v>99</v>
      </c>
    </row>
    <row r="310" spans="1:6" x14ac:dyDescent="0.3">
      <c r="A310" s="21" t="s">
        <v>331</v>
      </c>
      <c r="B310" s="37" t="s">
        <v>3309</v>
      </c>
      <c r="C310" s="22">
        <f>VLOOKUP(A310,'[11]Linea Arquitectonica'!$A$4:$G$823,4,FALSE)</f>
        <v>61.33</v>
      </c>
      <c r="D310" s="22">
        <f>VLOOKUP(A310,'[11]Linea Arquitectonica'!A308:E1130,5,FALSE)</f>
        <v>69.3</v>
      </c>
      <c r="E310" s="22">
        <f>VLOOKUP(A310,'[11]Linea Arquitectonica'!A308:F1130,6,FALSE)</f>
        <v>87.61</v>
      </c>
      <c r="F310" s="22">
        <f>VLOOKUP(A310,'[11]Linea Arquitectonica'!A308:G1130,7,FALSE)</f>
        <v>99</v>
      </c>
    </row>
    <row r="311" spans="1:6" x14ac:dyDescent="0.3">
      <c r="A311" s="21" t="s">
        <v>332</v>
      </c>
      <c r="B311" s="37" t="s">
        <v>333</v>
      </c>
      <c r="C311" s="22">
        <f>VLOOKUP(A311,'[11]Linea Arquitectonica'!$A$4:$G$823,4,FALSE)</f>
        <v>5.51</v>
      </c>
      <c r="D311" s="22">
        <f>VLOOKUP(A311,'[11]Linea Arquitectonica'!A309:E1131,5,FALSE)</f>
        <v>6.23</v>
      </c>
      <c r="E311" s="22">
        <f>VLOOKUP(A311,'[11]Linea Arquitectonica'!A309:F1131,6,FALSE)</f>
        <v>7.88</v>
      </c>
      <c r="F311" s="22">
        <f>VLOOKUP(A311,'[11]Linea Arquitectonica'!A309:G1131,7,FALSE)</f>
        <v>8.9</v>
      </c>
    </row>
    <row r="312" spans="1:6" x14ac:dyDescent="0.3">
      <c r="A312" s="21" t="s">
        <v>334</v>
      </c>
      <c r="B312" s="37" t="s">
        <v>364</v>
      </c>
      <c r="C312" s="22">
        <f>VLOOKUP(A312,'[11]Linea Arquitectonica'!$A$4:$G$823,4,FALSE)</f>
        <v>5.51</v>
      </c>
      <c r="D312" s="22">
        <f>VLOOKUP(A312,'[11]Linea Arquitectonica'!A310:E1132,5,FALSE)</f>
        <v>6.23</v>
      </c>
      <c r="E312" s="22">
        <f>VLOOKUP(A312,'[11]Linea Arquitectonica'!A310:F1132,6,FALSE)</f>
        <v>7.88</v>
      </c>
      <c r="F312" s="22">
        <f>VLOOKUP(A312,'[11]Linea Arquitectonica'!A310:G1132,7,FALSE)</f>
        <v>8.9</v>
      </c>
    </row>
    <row r="313" spans="1:6" x14ac:dyDescent="0.3">
      <c r="A313" s="21" t="s">
        <v>335</v>
      </c>
      <c r="B313" s="37" t="s">
        <v>336</v>
      </c>
      <c r="C313" s="22">
        <f>VLOOKUP(A313,'[11]Linea Arquitectonica'!$A$4:$G$823,4,FALSE)</f>
        <v>5.51</v>
      </c>
      <c r="D313" s="22">
        <f>VLOOKUP(A313,'[11]Linea Arquitectonica'!A311:E1133,5,FALSE)</f>
        <v>6.23</v>
      </c>
      <c r="E313" s="22">
        <f>VLOOKUP(A313,'[11]Linea Arquitectonica'!A311:F1133,6,FALSE)</f>
        <v>7.88</v>
      </c>
      <c r="F313" s="22">
        <f>VLOOKUP(A313,'[11]Linea Arquitectonica'!A311:G1133,7,FALSE)</f>
        <v>8.9</v>
      </c>
    </row>
    <row r="314" spans="1:6" x14ac:dyDescent="0.3">
      <c r="A314" s="21" t="s">
        <v>337</v>
      </c>
      <c r="B314" s="37" t="s">
        <v>338</v>
      </c>
      <c r="C314" s="22">
        <f>VLOOKUP(A314,'[11]Linea Arquitectonica'!$A$4:$G$823,4,FALSE)</f>
        <v>17.04</v>
      </c>
      <c r="D314" s="22">
        <f>VLOOKUP(A314,'[11]Linea Arquitectonica'!A312:E1134,5,FALSE)</f>
        <v>19.25</v>
      </c>
      <c r="E314" s="22">
        <f>VLOOKUP(A314,'[11]Linea Arquitectonica'!A312:F1134,6,FALSE)</f>
        <v>24.34</v>
      </c>
      <c r="F314" s="22">
        <f>VLOOKUP(A314,'[11]Linea Arquitectonica'!A312:G1134,7,FALSE)</f>
        <v>27.5</v>
      </c>
    </row>
    <row r="315" spans="1:6" x14ac:dyDescent="0.3">
      <c r="A315" s="21" t="s">
        <v>339</v>
      </c>
      <c r="B315" s="37" t="s">
        <v>340</v>
      </c>
      <c r="C315" s="22">
        <f>VLOOKUP(A315,'[11]Linea Arquitectonica'!$A$4:$G$823,4,FALSE)</f>
        <v>17.04</v>
      </c>
      <c r="D315" s="22">
        <f>VLOOKUP(A315,'[11]Linea Arquitectonica'!A313:E1135,5,FALSE)</f>
        <v>19.25</v>
      </c>
      <c r="E315" s="22">
        <f>VLOOKUP(A315,'[11]Linea Arquitectonica'!A313:F1135,6,FALSE)</f>
        <v>24.34</v>
      </c>
      <c r="F315" s="22">
        <f>VLOOKUP(A315,'[11]Linea Arquitectonica'!A313:G1135,7,FALSE)</f>
        <v>27.5</v>
      </c>
    </row>
    <row r="316" spans="1:6" x14ac:dyDescent="0.3">
      <c r="A316" s="21" t="s">
        <v>341</v>
      </c>
      <c r="B316" s="37" t="s">
        <v>342</v>
      </c>
      <c r="C316" s="22">
        <f>VLOOKUP(A316,'[11]Linea Arquitectonica'!$A$4:$G$823,4,FALSE)</f>
        <v>17.04</v>
      </c>
      <c r="D316" s="22">
        <f>VLOOKUP(A316,'[11]Linea Arquitectonica'!A314:E1136,5,FALSE)</f>
        <v>19.25</v>
      </c>
      <c r="E316" s="22">
        <f>VLOOKUP(A316,'[11]Linea Arquitectonica'!A314:F1136,6,FALSE)</f>
        <v>24.34</v>
      </c>
      <c r="F316" s="22">
        <f>VLOOKUP(A316,'[11]Linea Arquitectonica'!A314:G1136,7,FALSE)</f>
        <v>27.5</v>
      </c>
    </row>
    <row r="317" spans="1:6" x14ac:dyDescent="0.3">
      <c r="A317" s="21" t="s">
        <v>343</v>
      </c>
      <c r="B317" s="37" t="s">
        <v>344</v>
      </c>
      <c r="C317" s="22">
        <f>VLOOKUP(A317,'[11]Linea Arquitectonica'!$A$4:$G$823,4,FALSE)</f>
        <v>17.04</v>
      </c>
      <c r="D317" s="22">
        <f>VLOOKUP(A317,'[11]Linea Arquitectonica'!A315:E1137,5,FALSE)</f>
        <v>19.25</v>
      </c>
      <c r="E317" s="22">
        <f>VLOOKUP(A317,'[11]Linea Arquitectonica'!A315:F1137,6,FALSE)</f>
        <v>24.34</v>
      </c>
      <c r="F317" s="22">
        <f>VLOOKUP(A317,'[11]Linea Arquitectonica'!A315:G1137,7,FALSE)</f>
        <v>27.5</v>
      </c>
    </row>
    <row r="318" spans="1:6" x14ac:dyDescent="0.3">
      <c r="A318" s="21" t="s">
        <v>345</v>
      </c>
      <c r="B318" s="37" t="s">
        <v>346</v>
      </c>
      <c r="C318" s="22">
        <f>VLOOKUP(A318,'[11]Linea Arquitectonica'!$A$4:$G$823,4,FALSE)</f>
        <v>17.04</v>
      </c>
      <c r="D318" s="22">
        <f>VLOOKUP(A318,'[11]Linea Arquitectonica'!A316:E1138,5,FALSE)</f>
        <v>19.25</v>
      </c>
      <c r="E318" s="22">
        <f>VLOOKUP(A318,'[11]Linea Arquitectonica'!A316:F1138,6,FALSE)</f>
        <v>24.34</v>
      </c>
      <c r="F318" s="22">
        <f>VLOOKUP(A318,'[11]Linea Arquitectonica'!A316:G1138,7,FALSE)</f>
        <v>27.5</v>
      </c>
    </row>
    <row r="319" spans="1:6" x14ac:dyDescent="0.3">
      <c r="A319" s="21" t="s">
        <v>347</v>
      </c>
      <c r="B319" s="37" t="s">
        <v>348</v>
      </c>
      <c r="C319" s="22">
        <f>VLOOKUP(A319,'[11]Linea Arquitectonica'!$A$4:$G$823,4,FALSE)</f>
        <v>17.04</v>
      </c>
      <c r="D319" s="22">
        <f>VLOOKUP(A319,'[11]Linea Arquitectonica'!A317:E1139,5,FALSE)</f>
        <v>19.25</v>
      </c>
      <c r="E319" s="22">
        <f>VLOOKUP(A319,'[11]Linea Arquitectonica'!A317:F1139,6,FALSE)</f>
        <v>24.34</v>
      </c>
      <c r="F319" s="22">
        <f>VLOOKUP(A319,'[11]Linea Arquitectonica'!A317:G1139,7,FALSE)</f>
        <v>27.5</v>
      </c>
    </row>
    <row r="320" spans="1:6" x14ac:dyDescent="0.3">
      <c r="A320" s="21" t="s">
        <v>349</v>
      </c>
      <c r="B320" s="37" t="s">
        <v>350</v>
      </c>
      <c r="C320" s="22">
        <f>VLOOKUP(A320,'[11]Linea Arquitectonica'!$A$4:$G$823,4,FALSE)</f>
        <v>17.04</v>
      </c>
      <c r="D320" s="22">
        <f>VLOOKUP(A320,'[11]Linea Arquitectonica'!A318:E1140,5,FALSE)</f>
        <v>19.25</v>
      </c>
      <c r="E320" s="22">
        <f>VLOOKUP(A320,'[11]Linea Arquitectonica'!A318:F1140,6,FALSE)</f>
        <v>24.34</v>
      </c>
      <c r="F320" s="22">
        <f>VLOOKUP(A320,'[11]Linea Arquitectonica'!A318:G1140,7,FALSE)</f>
        <v>27.5</v>
      </c>
    </row>
    <row r="321" spans="1:6" x14ac:dyDescent="0.3">
      <c r="A321" s="21" t="s">
        <v>351</v>
      </c>
      <c r="B321" s="37" t="s">
        <v>352</v>
      </c>
      <c r="C321" s="22">
        <f>VLOOKUP(A321,'[11]Linea Arquitectonica'!$A$4:$G$823,4,FALSE)</f>
        <v>17.04</v>
      </c>
      <c r="D321" s="22">
        <f>VLOOKUP(A321,'[11]Linea Arquitectonica'!A319:E1141,5,FALSE)</f>
        <v>19.25</v>
      </c>
      <c r="E321" s="22">
        <f>VLOOKUP(A321,'[11]Linea Arquitectonica'!A319:F1141,6,FALSE)</f>
        <v>24.34</v>
      </c>
      <c r="F321" s="22">
        <f>VLOOKUP(A321,'[11]Linea Arquitectonica'!A319:G1141,7,FALSE)</f>
        <v>27.5</v>
      </c>
    </row>
    <row r="322" spans="1:6" x14ac:dyDescent="0.3">
      <c r="A322" s="21" t="s">
        <v>353</v>
      </c>
      <c r="B322" s="37" t="s">
        <v>354</v>
      </c>
      <c r="C322" s="22">
        <f>VLOOKUP(A322,'[11]Linea Arquitectonica'!$A$4:$G$823,4,FALSE)</f>
        <v>17.04</v>
      </c>
      <c r="D322" s="22">
        <f>VLOOKUP(A322,'[11]Linea Arquitectonica'!A320:E1142,5,FALSE)</f>
        <v>19.25</v>
      </c>
      <c r="E322" s="22">
        <f>VLOOKUP(A322,'[11]Linea Arquitectonica'!A320:F1142,6,FALSE)</f>
        <v>24.34</v>
      </c>
      <c r="F322" s="22">
        <f>VLOOKUP(A322,'[11]Linea Arquitectonica'!A320:G1142,7,FALSE)</f>
        <v>27.5</v>
      </c>
    </row>
    <row r="323" spans="1:6" x14ac:dyDescent="0.3">
      <c r="A323" s="21" t="s">
        <v>355</v>
      </c>
      <c r="B323" s="37" t="s">
        <v>356</v>
      </c>
      <c r="C323" s="22">
        <f>VLOOKUP(A323,'[11]Linea Arquitectonica'!$A$4:$G$823,4,FALSE)</f>
        <v>17.04</v>
      </c>
      <c r="D323" s="22">
        <f>VLOOKUP(A323,'[11]Linea Arquitectonica'!A321:E1143,5,FALSE)</f>
        <v>19.25</v>
      </c>
      <c r="E323" s="22">
        <f>VLOOKUP(A323,'[11]Linea Arquitectonica'!A321:F1143,6,FALSE)</f>
        <v>24.34</v>
      </c>
      <c r="F323" s="22">
        <f>VLOOKUP(A323,'[11]Linea Arquitectonica'!A321:G1143,7,FALSE)</f>
        <v>27.5</v>
      </c>
    </row>
    <row r="324" spans="1:6" x14ac:dyDescent="0.3">
      <c r="A324" s="21" t="s">
        <v>357</v>
      </c>
      <c r="B324" s="37" t="s">
        <v>358</v>
      </c>
      <c r="C324" s="22">
        <f>VLOOKUP(A324,'[11]Linea Arquitectonica'!$A$4:$G$823,4,FALSE)</f>
        <v>17.04</v>
      </c>
      <c r="D324" s="22">
        <f>VLOOKUP(A324,'[11]Linea Arquitectonica'!A322:E1144,5,FALSE)</f>
        <v>19.25</v>
      </c>
      <c r="E324" s="22">
        <f>VLOOKUP(A324,'[11]Linea Arquitectonica'!A322:F1144,6,FALSE)</f>
        <v>24.34</v>
      </c>
      <c r="F324" s="22">
        <f>VLOOKUP(A324,'[11]Linea Arquitectonica'!A322:G1144,7,FALSE)</f>
        <v>27.5</v>
      </c>
    </row>
    <row r="325" spans="1:6" x14ac:dyDescent="0.3">
      <c r="A325" s="21" t="s">
        <v>359</v>
      </c>
      <c r="B325" s="37" t="s">
        <v>336</v>
      </c>
      <c r="C325" s="22">
        <f>VLOOKUP(A325,'[11]Linea Arquitectonica'!$A$4:$G$823,4,FALSE)</f>
        <v>17.04</v>
      </c>
      <c r="D325" s="22">
        <f>VLOOKUP(A325,'[11]Linea Arquitectonica'!A323:E1145,5,FALSE)</f>
        <v>19.25</v>
      </c>
      <c r="E325" s="22">
        <f>VLOOKUP(A325,'[11]Linea Arquitectonica'!A323:F1145,6,FALSE)</f>
        <v>24.34</v>
      </c>
      <c r="F325" s="22">
        <f>VLOOKUP(A325,'[11]Linea Arquitectonica'!A323:G1145,7,FALSE)</f>
        <v>27.5</v>
      </c>
    </row>
    <row r="326" spans="1:6" x14ac:dyDescent="0.3">
      <c r="A326" s="21" t="s">
        <v>360</v>
      </c>
      <c r="B326" s="37" t="s">
        <v>333</v>
      </c>
      <c r="C326" s="22">
        <f>VLOOKUP(A326,'[11]Linea Arquitectonica'!$A$4:$G$823,4,FALSE)</f>
        <v>17.04</v>
      </c>
      <c r="D326" s="22">
        <f>VLOOKUP(A326,'[11]Linea Arquitectonica'!A324:E1146,5,FALSE)</f>
        <v>19.25</v>
      </c>
      <c r="E326" s="22">
        <f>VLOOKUP(A326,'[11]Linea Arquitectonica'!A324:F1146,6,FALSE)</f>
        <v>24.34</v>
      </c>
      <c r="F326" s="22">
        <f>VLOOKUP(A326,'[11]Linea Arquitectonica'!A324:G1146,7,FALSE)</f>
        <v>27.5</v>
      </c>
    </row>
    <row r="327" spans="1:6" x14ac:dyDescent="0.3">
      <c r="A327" s="21" t="s">
        <v>361</v>
      </c>
      <c r="B327" s="37" t="s">
        <v>362</v>
      </c>
      <c r="C327" s="22">
        <f>VLOOKUP(A327,'[11]Linea Arquitectonica'!$A$4:$G$823,4,FALSE)</f>
        <v>17.04</v>
      </c>
      <c r="D327" s="22">
        <f>VLOOKUP(A327,'[11]Linea Arquitectonica'!A325:E1147,5,FALSE)</f>
        <v>19.25</v>
      </c>
      <c r="E327" s="22">
        <f>VLOOKUP(A327,'[11]Linea Arquitectonica'!A325:F1147,6,FALSE)</f>
        <v>24.34</v>
      </c>
      <c r="F327" s="22">
        <f>VLOOKUP(A327,'[11]Linea Arquitectonica'!A325:G1147,7,FALSE)</f>
        <v>27.5</v>
      </c>
    </row>
    <row r="328" spans="1:6" x14ac:dyDescent="0.3">
      <c r="A328" s="21" t="s">
        <v>363</v>
      </c>
      <c r="B328" s="37" t="s">
        <v>364</v>
      </c>
      <c r="C328" s="22">
        <f>VLOOKUP(A328,'[11]Linea Arquitectonica'!$A$4:$G$823,4,FALSE)</f>
        <v>17.04</v>
      </c>
      <c r="D328" s="22">
        <f>VLOOKUP(A328,'[11]Linea Arquitectonica'!A326:E1148,5,FALSE)</f>
        <v>19.25</v>
      </c>
      <c r="E328" s="22">
        <f>VLOOKUP(A328,'[11]Linea Arquitectonica'!A326:F1148,6,FALSE)</f>
        <v>24.34</v>
      </c>
      <c r="F328" s="22">
        <f>VLOOKUP(A328,'[11]Linea Arquitectonica'!A326:G1148,7,FALSE)</f>
        <v>27.5</v>
      </c>
    </row>
    <row r="329" spans="1:6" x14ac:dyDescent="0.3">
      <c r="A329" s="21" t="s">
        <v>365</v>
      </c>
      <c r="B329" s="37" t="s">
        <v>366</v>
      </c>
      <c r="C329" s="22">
        <f>VLOOKUP(A329,'[11]Linea Arquitectonica'!$A$4:$G$823,4,FALSE)</f>
        <v>17.04</v>
      </c>
      <c r="D329" s="22">
        <f>VLOOKUP(A329,'[11]Linea Arquitectonica'!A327:E1149,5,FALSE)</f>
        <v>19.25</v>
      </c>
      <c r="E329" s="22">
        <f>VLOOKUP(A329,'[11]Linea Arquitectonica'!A327:F1149,6,FALSE)</f>
        <v>24.34</v>
      </c>
      <c r="F329" s="22">
        <f>VLOOKUP(A329,'[11]Linea Arquitectonica'!A327:G1149,7,FALSE)</f>
        <v>27.5</v>
      </c>
    </row>
    <row r="330" spans="1:6" x14ac:dyDescent="0.3">
      <c r="A330" s="21" t="s">
        <v>3065</v>
      </c>
      <c r="B330" s="37" t="s">
        <v>3312</v>
      </c>
      <c r="C330" s="22">
        <f>VLOOKUP(A330,'[11]Linea Arquitectonica'!$A$4:$G$823,4,FALSE)</f>
        <v>17.04</v>
      </c>
      <c r="D330" s="22">
        <f>VLOOKUP(A330,'[11]Linea Arquitectonica'!A328:E1150,5,FALSE)</f>
        <v>19.25</v>
      </c>
      <c r="E330" s="22">
        <f>VLOOKUP(A330,'[11]Linea Arquitectonica'!A328:F1150,6,FALSE)</f>
        <v>24.34</v>
      </c>
      <c r="F330" s="22">
        <f>VLOOKUP(A330,'[11]Linea Arquitectonica'!A328:G1150,7,FALSE)</f>
        <v>27.5</v>
      </c>
    </row>
    <row r="331" spans="1:6" x14ac:dyDescent="0.3">
      <c r="A331" s="21" t="s">
        <v>3066</v>
      </c>
      <c r="B331" s="37" t="s">
        <v>3313</v>
      </c>
      <c r="C331" s="22">
        <f>VLOOKUP(A331,'[11]Linea Arquitectonica'!$A$4:$G$823,4,FALSE)</f>
        <v>17.04</v>
      </c>
      <c r="D331" s="22">
        <f>VLOOKUP(A331,'[11]Linea Arquitectonica'!A329:E1151,5,FALSE)</f>
        <v>19.25</v>
      </c>
      <c r="E331" s="22">
        <f>VLOOKUP(A331,'[11]Linea Arquitectonica'!A329:F1151,6,FALSE)</f>
        <v>24.34</v>
      </c>
      <c r="F331" s="22">
        <f>VLOOKUP(A331,'[11]Linea Arquitectonica'!A329:G1151,7,FALSE)</f>
        <v>27.5</v>
      </c>
    </row>
    <row r="332" spans="1:6" x14ac:dyDescent="0.3">
      <c r="A332" s="21" t="s">
        <v>3067</v>
      </c>
      <c r="B332" s="37" t="s">
        <v>3314</v>
      </c>
      <c r="C332" s="22">
        <f>VLOOKUP(A332,'[11]Linea Arquitectonica'!$A$4:$G$823,4,FALSE)</f>
        <v>17.04</v>
      </c>
      <c r="D332" s="22">
        <f>VLOOKUP(A332,'[11]Linea Arquitectonica'!A330:E1152,5,FALSE)</f>
        <v>19.25</v>
      </c>
      <c r="E332" s="22">
        <f>VLOOKUP(A332,'[11]Linea Arquitectonica'!A330:F1152,6,FALSE)</f>
        <v>24.34</v>
      </c>
      <c r="F332" s="22">
        <f>VLOOKUP(A332,'[11]Linea Arquitectonica'!A330:G1152,7,FALSE)</f>
        <v>27.5</v>
      </c>
    </row>
    <row r="333" spans="1:6" x14ac:dyDescent="0.3">
      <c r="A333" s="21" t="s">
        <v>3068</v>
      </c>
      <c r="B333" s="37" t="s">
        <v>3315</v>
      </c>
      <c r="C333" s="22">
        <f>VLOOKUP(A333,'[11]Linea Arquitectonica'!$A$4:$G$823,4,FALSE)</f>
        <v>17.04</v>
      </c>
      <c r="D333" s="22">
        <f>VLOOKUP(A333,'[11]Linea Arquitectonica'!A331:E1153,5,FALSE)</f>
        <v>19.25</v>
      </c>
      <c r="E333" s="22">
        <f>VLOOKUP(A333,'[11]Linea Arquitectonica'!A331:F1153,6,FALSE)</f>
        <v>24.34</v>
      </c>
      <c r="F333" s="22">
        <f>VLOOKUP(A333,'[11]Linea Arquitectonica'!A331:G1153,7,FALSE)</f>
        <v>27.5</v>
      </c>
    </row>
    <row r="334" spans="1:6" x14ac:dyDescent="0.3">
      <c r="A334" s="21" t="s">
        <v>3069</v>
      </c>
      <c r="B334" s="37" t="s">
        <v>3316</v>
      </c>
      <c r="C334" s="22">
        <f>VLOOKUP(A334,'[11]Linea Arquitectonica'!$A$4:$G$823,4,FALSE)</f>
        <v>17.04</v>
      </c>
      <c r="D334" s="22">
        <f>VLOOKUP(A334,'[11]Linea Arquitectonica'!A332:E1154,5,FALSE)</f>
        <v>19.25</v>
      </c>
      <c r="E334" s="22">
        <f>VLOOKUP(A334,'[11]Linea Arquitectonica'!A332:F1154,6,FALSE)</f>
        <v>24.34</v>
      </c>
      <c r="F334" s="22">
        <f>VLOOKUP(A334,'[11]Linea Arquitectonica'!A332:G1154,7,FALSE)</f>
        <v>27.5</v>
      </c>
    </row>
    <row r="335" spans="1:6" x14ac:dyDescent="0.3">
      <c r="A335" s="21" t="s">
        <v>3070</v>
      </c>
      <c r="B335" s="37" t="s">
        <v>3317</v>
      </c>
      <c r="C335" s="22">
        <f>VLOOKUP(A335,'[11]Linea Arquitectonica'!$A$4:$G$823,4,FALSE)</f>
        <v>17.04</v>
      </c>
      <c r="D335" s="22">
        <f>VLOOKUP(A335,'[11]Linea Arquitectonica'!A333:E1155,5,FALSE)</f>
        <v>19.25</v>
      </c>
      <c r="E335" s="22">
        <f>VLOOKUP(A335,'[11]Linea Arquitectonica'!A333:F1155,6,FALSE)</f>
        <v>24.34</v>
      </c>
      <c r="F335" s="22">
        <f>VLOOKUP(A335,'[11]Linea Arquitectonica'!A333:G1155,7,FALSE)</f>
        <v>27.5</v>
      </c>
    </row>
    <row r="336" spans="1:6" x14ac:dyDescent="0.3">
      <c r="A336" s="21" t="s">
        <v>3071</v>
      </c>
      <c r="B336" s="37" t="s">
        <v>3318</v>
      </c>
      <c r="C336" s="22">
        <f>VLOOKUP(A336,'[11]Linea Arquitectonica'!$A$4:$G$823,4,FALSE)</f>
        <v>17.04</v>
      </c>
      <c r="D336" s="22">
        <f>VLOOKUP(A336,'[11]Linea Arquitectonica'!A334:E1156,5,FALSE)</f>
        <v>19.25</v>
      </c>
      <c r="E336" s="22">
        <f>VLOOKUP(A336,'[11]Linea Arquitectonica'!A334:F1156,6,FALSE)</f>
        <v>24.34</v>
      </c>
      <c r="F336" s="22">
        <f>VLOOKUP(A336,'[11]Linea Arquitectonica'!A334:G1156,7,FALSE)</f>
        <v>27.5</v>
      </c>
    </row>
    <row r="337" spans="1:6" x14ac:dyDescent="0.3">
      <c r="A337" s="21" t="s">
        <v>3072</v>
      </c>
      <c r="B337" s="37" t="s">
        <v>3319</v>
      </c>
      <c r="C337" s="22">
        <f>VLOOKUP(A337,'[11]Linea Arquitectonica'!$A$4:$G$823,4,FALSE)</f>
        <v>17.04</v>
      </c>
      <c r="D337" s="22">
        <f>VLOOKUP(A337,'[11]Linea Arquitectonica'!A335:E1157,5,FALSE)</f>
        <v>19.25</v>
      </c>
      <c r="E337" s="22">
        <f>VLOOKUP(A337,'[11]Linea Arquitectonica'!A335:F1157,6,FALSE)</f>
        <v>24.34</v>
      </c>
      <c r="F337" s="22">
        <f>VLOOKUP(A337,'[11]Linea Arquitectonica'!A335:G1157,7,FALSE)</f>
        <v>27.5</v>
      </c>
    </row>
    <row r="338" spans="1:6" x14ac:dyDescent="0.3">
      <c r="A338" s="21" t="s">
        <v>3073</v>
      </c>
      <c r="B338" s="37" t="s">
        <v>3320</v>
      </c>
      <c r="C338" s="22">
        <f>VLOOKUP(A338,'[11]Linea Arquitectonica'!$A$4:$G$823,4,FALSE)</f>
        <v>17.04</v>
      </c>
      <c r="D338" s="22">
        <f>VLOOKUP(A338,'[11]Linea Arquitectonica'!A336:E1158,5,FALSE)</f>
        <v>19.25</v>
      </c>
      <c r="E338" s="22">
        <f>VLOOKUP(A338,'[11]Linea Arquitectonica'!A336:F1158,6,FALSE)</f>
        <v>24.34</v>
      </c>
      <c r="F338" s="22">
        <f>VLOOKUP(A338,'[11]Linea Arquitectonica'!A336:G1158,7,FALSE)</f>
        <v>27.5</v>
      </c>
    </row>
    <row r="339" spans="1:6" x14ac:dyDescent="0.3">
      <c r="A339" s="21" t="s">
        <v>367</v>
      </c>
      <c r="B339" s="37" t="s">
        <v>338</v>
      </c>
      <c r="C339" s="22">
        <f>VLOOKUP(A339,'[11]Linea Arquitectonica'!$A$4:$G$823,4,FALSE)</f>
        <v>81.77</v>
      </c>
      <c r="D339" s="22">
        <f>VLOOKUP(A339,'[11]Linea Arquitectonica'!A337:E1159,5,FALSE)</f>
        <v>92.4</v>
      </c>
      <c r="E339" s="22">
        <f>VLOOKUP(A339,'[11]Linea Arquitectonica'!A337:F1159,6,FALSE)</f>
        <v>116.81</v>
      </c>
      <c r="F339" s="22">
        <f>VLOOKUP(A339,'[11]Linea Arquitectonica'!A337:G1159,7,FALSE)</f>
        <v>132</v>
      </c>
    </row>
    <row r="340" spans="1:6" x14ac:dyDescent="0.3">
      <c r="A340" s="21" t="s">
        <v>368</v>
      </c>
      <c r="B340" s="37" t="s">
        <v>340</v>
      </c>
      <c r="C340" s="22">
        <f>VLOOKUP(A340,'[11]Linea Arquitectonica'!$A$4:$G$823,4,FALSE)</f>
        <v>81.77</v>
      </c>
      <c r="D340" s="22">
        <f>VLOOKUP(A340,'[11]Linea Arquitectonica'!A338:E1160,5,FALSE)</f>
        <v>92.4</v>
      </c>
      <c r="E340" s="22">
        <f>VLOOKUP(A340,'[11]Linea Arquitectonica'!A338:F1160,6,FALSE)</f>
        <v>116.81</v>
      </c>
      <c r="F340" s="22">
        <f>VLOOKUP(A340,'[11]Linea Arquitectonica'!A338:G1160,7,FALSE)</f>
        <v>132</v>
      </c>
    </row>
    <row r="341" spans="1:6" x14ac:dyDescent="0.3">
      <c r="A341" s="21" t="s">
        <v>369</v>
      </c>
      <c r="B341" s="37" t="s">
        <v>342</v>
      </c>
      <c r="C341" s="22">
        <f>VLOOKUP(A341,'[11]Linea Arquitectonica'!$A$4:$G$823,4,FALSE)</f>
        <v>81.77</v>
      </c>
      <c r="D341" s="22">
        <f>VLOOKUP(A341,'[11]Linea Arquitectonica'!A339:E1161,5,FALSE)</f>
        <v>92.4</v>
      </c>
      <c r="E341" s="22">
        <f>VLOOKUP(A341,'[11]Linea Arquitectonica'!A339:F1161,6,FALSE)</f>
        <v>116.81</v>
      </c>
      <c r="F341" s="22">
        <f>VLOOKUP(A341,'[11]Linea Arquitectonica'!A339:G1161,7,FALSE)</f>
        <v>132</v>
      </c>
    </row>
    <row r="342" spans="1:6" x14ac:dyDescent="0.3">
      <c r="A342" s="21" t="s">
        <v>370</v>
      </c>
      <c r="B342" s="37" t="s">
        <v>344</v>
      </c>
      <c r="C342" s="22">
        <f>VLOOKUP(A342,'[11]Linea Arquitectonica'!$A$4:$G$823,4,FALSE)</f>
        <v>81.77</v>
      </c>
      <c r="D342" s="22">
        <f>VLOOKUP(A342,'[11]Linea Arquitectonica'!A340:E1162,5,FALSE)</f>
        <v>92.4</v>
      </c>
      <c r="E342" s="22">
        <f>VLOOKUP(A342,'[11]Linea Arquitectonica'!A340:F1162,6,FALSE)</f>
        <v>116.81</v>
      </c>
      <c r="F342" s="22">
        <f>VLOOKUP(A342,'[11]Linea Arquitectonica'!A340:G1162,7,FALSE)</f>
        <v>132</v>
      </c>
    </row>
    <row r="343" spans="1:6" x14ac:dyDescent="0.3">
      <c r="A343" s="21" t="s">
        <v>371</v>
      </c>
      <c r="B343" s="37" t="s">
        <v>346</v>
      </c>
      <c r="C343" s="22">
        <f>VLOOKUP(A343,'[11]Linea Arquitectonica'!$A$4:$G$823,4,FALSE)</f>
        <v>81.77</v>
      </c>
      <c r="D343" s="22">
        <f>VLOOKUP(A343,'[11]Linea Arquitectonica'!A341:E1163,5,FALSE)</f>
        <v>92.4</v>
      </c>
      <c r="E343" s="22">
        <f>VLOOKUP(A343,'[11]Linea Arquitectonica'!A341:F1163,6,FALSE)</f>
        <v>116.81</v>
      </c>
      <c r="F343" s="22">
        <f>VLOOKUP(A343,'[11]Linea Arquitectonica'!A341:G1163,7,FALSE)</f>
        <v>132</v>
      </c>
    </row>
    <row r="344" spans="1:6" x14ac:dyDescent="0.3">
      <c r="A344" s="21" t="s">
        <v>372</v>
      </c>
      <c r="B344" s="37" t="s">
        <v>348</v>
      </c>
      <c r="C344" s="22">
        <f>VLOOKUP(A344,'[11]Linea Arquitectonica'!$A$4:$G$823,4,FALSE)</f>
        <v>81.77</v>
      </c>
      <c r="D344" s="22">
        <f>VLOOKUP(A344,'[11]Linea Arquitectonica'!A342:E1164,5,FALSE)</f>
        <v>92.4</v>
      </c>
      <c r="E344" s="22">
        <f>VLOOKUP(A344,'[11]Linea Arquitectonica'!A342:F1164,6,FALSE)</f>
        <v>116.81</v>
      </c>
      <c r="F344" s="22">
        <f>VLOOKUP(A344,'[11]Linea Arquitectonica'!A342:G1164,7,FALSE)</f>
        <v>132</v>
      </c>
    </row>
    <row r="345" spans="1:6" x14ac:dyDescent="0.3">
      <c r="A345" s="21" t="s">
        <v>373</v>
      </c>
      <c r="B345" s="37" t="s">
        <v>350</v>
      </c>
      <c r="C345" s="22">
        <f>VLOOKUP(A345,'[11]Linea Arquitectonica'!$A$4:$G$823,4,FALSE)</f>
        <v>81.77</v>
      </c>
      <c r="D345" s="22">
        <f>VLOOKUP(A345,'[11]Linea Arquitectonica'!A343:E1165,5,FALSE)</f>
        <v>92.4</v>
      </c>
      <c r="E345" s="22">
        <f>VLOOKUP(A345,'[11]Linea Arquitectonica'!A343:F1165,6,FALSE)</f>
        <v>116.81</v>
      </c>
      <c r="F345" s="22">
        <f>VLOOKUP(A345,'[11]Linea Arquitectonica'!A343:G1165,7,FALSE)</f>
        <v>132</v>
      </c>
    </row>
    <row r="346" spans="1:6" x14ac:dyDescent="0.3">
      <c r="A346" s="21" t="s">
        <v>374</v>
      </c>
      <c r="B346" s="37" t="s">
        <v>352</v>
      </c>
      <c r="C346" s="22">
        <f>VLOOKUP(A346,'[11]Linea Arquitectonica'!$A$4:$G$823,4,FALSE)</f>
        <v>81.77</v>
      </c>
      <c r="D346" s="22">
        <f>VLOOKUP(A346,'[11]Linea Arquitectonica'!A344:E1166,5,FALSE)</f>
        <v>92.4</v>
      </c>
      <c r="E346" s="22">
        <f>VLOOKUP(A346,'[11]Linea Arquitectonica'!A344:F1166,6,FALSE)</f>
        <v>116.81</v>
      </c>
      <c r="F346" s="22">
        <f>VLOOKUP(A346,'[11]Linea Arquitectonica'!A344:G1166,7,FALSE)</f>
        <v>132</v>
      </c>
    </row>
    <row r="347" spans="1:6" x14ac:dyDescent="0.3">
      <c r="A347" s="21" t="s">
        <v>375</v>
      </c>
      <c r="B347" s="37" t="s">
        <v>354</v>
      </c>
      <c r="C347" s="22">
        <f>VLOOKUP(A347,'[11]Linea Arquitectonica'!$A$4:$G$823,4,FALSE)</f>
        <v>81.77</v>
      </c>
      <c r="D347" s="22">
        <f>VLOOKUP(A347,'[11]Linea Arquitectonica'!A345:E1167,5,FALSE)</f>
        <v>92.4</v>
      </c>
      <c r="E347" s="22">
        <f>VLOOKUP(A347,'[11]Linea Arquitectonica'!A345:F1167,6,FALSE)</f>
        <v>116.81</v>
      </c>
      <c r="F347" s="22">
        <f>VLOOKUP(A347,'[11]Linea Arquitectonica'!A345:G1167,7,FALSE)</f>
        <v>132</v>
      </c>
    </row>
    <row r="348" spans="1:6" x14ac:dyDescent="0.3">
      <c r="A348" s="21" t="s">
        <v>376</v>
      </c>
      <c r="B348" s="37" t="s">
        <v>356</v>
      </c>
      <c r="C348" s="22">
        <f>VLOOKUP(A348,'[11]Linea Arquitectonica'!$A$4:$G$823,4,FALSE)</f>
        <v>81.77</v>
      </c>
      <c r="D348" s="22">
        <f>VLOOKUP(A348,'[11]Linea Arquitectonica'!A346:E1168,5,FALSE)</f>
        <v>92.4</v>
      </c>
      <c r="E348" s="22">
        <f>VLOOKUP(A348,'[11]Linea Arquitectonica'!A346:F1168,6,FALSE)</f>
        <v>116.81</v>
      </c>
      <c r="F348" s="22">
        <f>VLOOKUP(A348,'[11]Linea Arquitectonica'!A346:G1168,7,FALSE)</f>
        <v>132</v>
      </c>
    </row>
    <row r="349" spans="1:6" x14ac:dyDescent="0.3">
      <c r="A349" s="21" t="s">
        <v>377</v>
      </c>
      <c r="B349" s="37" t="s">
        <v>358</v>
      </c>
      <c r="C349" s="22">
        <f>VLOOKUP(A349,'[11]Linea Arquitectonica'!$A$4:$G$823,4,FALSE)</f>
        <v>81.77</v>
      </c>
      <c r="D349" s="22">
        <f>VLOOKUP(A349,'[11]Linea Arquitectonica'!A347:E1169,5,FALSE)</f>
        <v>92.4</v>
      </c>
      <c r="E349" s="22">
        <f>VLOOKUP(A349,'[11]Linea Arquitectonica'!A347:F1169,6,FALSE)</f>
        <v>116.81</v>
      </c>
      <c r="F349" s="22">
        <f>VLOOKUP(A349,'[11]Linea Arquitectonica'!A347:G1169,7,FALSE)</f>
        <v>132</v>
      </c>
    </row>
    <row r="350" spans="1:6" x14ac:dyDescent="0.3">
      <c r="A350" s="21" t="s">
        <v>378</v>
      </c>
      <c r="B350" s="37" t="s">
        <v>336</v>
      </c>
      <c r="C350" s="22">
        <f>VLOOKUP(A350,'[11]Linea Arquitectonica'!$A$4:$G$823,4,FALSE)</f>
        <v>81.77</v>
      </c>
      <c r="D350" s="22">
        <f>VLOOKUP(A350,'[11]Linea Arquitectonica'!A348:E1170,5,FALSE)</f>
        <v>92.4</v>
      </c>
      <c r="E350" s="22">
        <f>VLOOKUP(A350,'[11]Linea Arquitectonica'!A348:F1170,6,FALSE)</f>
        <v>116.81</v>
      </c>
      <c r="F350" s="22">
        <f>VLOOKUP(A350,'[11]Linea Arquitectonica'!A348:G1170,7,FALSE)</f>
        <v>132</v>
      </c>
    </row>
    <row r="351" spans="1:6" x14ac:dyDescent="0.3">
      <c r="A351" s="21" t="s">
        <v>379</v>
      </c>
      <c r="B351" s="37" t="s">
        <v>333</v>
      </c>
      <c r="C351" s="22">
        <f>VLOOKUP(A351,'[11]Linea Arquitectonica'!$A$4:$G$823,4,FALSE)</f>
        <v>81.77</v>
      </c>
      <c r="D351" s="22">
        <f>VLOOKUP(A351,'[11]Linea Arquitectonica'!A349:E1171,5,FALSE)</f>
        <v>92.4</v>
      </c>
      <c r="E351" s="22">
        <f>VLOOKUP(A351,'[11]Linea Arquitectonica'!A349:F1171,6,FALSE)</f>
        <v>116.81</v>
      </c>
      <c r="F351" s="22">
        <f>VLOOKUP(A351,'[11]Linea Arquitectonica'!A349:G1171,7,FALSE)</f>
        <v>132</v>
      </c>
    </row>
    <row r="352" spans="1:6" x14ac:dyDescent="0.3">
      <c r="A352" s="21" t="s">
        <v>380</v>
      </c>
      <c r="B352" s="37" t="s">
        <v>362</v>
      </c>
      <c r="C352" s="22">
        <f>VLOOKUP(A352,'[11]Linea Arquitectonica'!$A$4:$G$823,4,FALSE)</f>
        <v>81.77</v>
      </c>
      <c r="D352" s="22">
        <f>VLOOKUP(A352,'[11]Linea Arquitectonica'!A350:E1172,5,FALSE)</f>
        <v>92.4</v>
      </c>
      <c r="E352" s="22">
        <f>VLOOKUP(A352,'[11]Linea Arquitectonica'!A350:F1172,6,FALSE)</f>
        <v>116.81</v>
      </c>
      <c r="F352" s="22">
        <f>VLOOKUP(A352,'[11]Linea Arquitectonica'!A350:G1172,7,FALSE)</f>
        <v>132</v>
      </c>
    </row>
    <row r="353" spans="1:6" x14ac:dyDescent="0.3">
      <c r="A353" s="21" t="s">
        <v>381</v>
      </c>
      <c r="B353" s="37" t="s">
        <v>364</v>
      </c>
      <c r="C353" s="22">
        <f>VLOOKUP(A353,'[11]Linea Arquitectonica'!$A$4:$G$823,4,FALSE)</f>
        <v>81.77</v>
      </c>
      <c r="D353" s="22">
        <f>VLOOKUP(A353,'[11]Linea Arquitectonica'!A351:E1173,5,FALSE)</f>
        <v>92.4</v>
      </c>
      <c r="E353" s="22">
        <f>VLOOKUP(A353,'[11]Linea Arquitectonica'!A351:F1173,6,FALSE)</f>
        <v>116.81</v>
      </c>
      <c r="F353" s="22">
        <f>VLOOKUP(A353,'[11]Linea Arquitectonica'!A351:G1173,7,FALSE)</f>
        <v>132</v>
      </c>
    </row>
    <row r="354" spans="1:6" x14ac:dyDescent="0.3">
      <c r="A354" s="21" t="s">
        <v>382</v>
      </c>
      <c r="B354" s="37" t="s">
        <v>366</v>
      </c>
      <c r="C354" s="22">
        <f>VLOOKUP(A354,'[11]Linea Arquitectonica'!$A$4:$G$823,4,FALSE)</f>
        <v>81.77</v>
      </c>
      <c r="D354" s="22">
        <f>VLOOKUP(A354,'[11]Linea Arquitectonica'!A352:E1174,5,FALSE)</f>
        <v>92.4</v>
      </c>
      <c r="E354" s="22">
        <f>VLOOKUP(A354,'[11]Linea Arquitectonica'!A352:F1174,6,FALSE)</f>
        <v>116.81</v>
      </c>
      <c r="F354" s="22">
        <f>VLOOKUP(A354,'[11]Linea Arquitectonica'!A352:G1174,7,FALSE)</f>
        <v>132</v>
      </c>
    </row>
    <row r="355" spans="1:6" x14ac:dyDescent="0.3">
      <c r="A355" s="21" t="s">
        <v>3074</v>
      </c>
      <c r="B355" s="37" t="s">
        <v>3312</v>
      </c>
      <c r="C355" s="22">
        <f>VLOOKUP(A355,'[11]Linea Arquitectonica'!$A$4:$G$823,4,FALSE)</f>
        <v>81.77</v>
      </c>
      <c r="D355" s="22">
        <f>VLOOKUP(A355,'[11]Linea Arquitectonica'!A353:E1175,5,FALSE)</f>
        <v>92.4</v>
      </c>
      <c r="E355" s="22">
        <f>VLOOKUP(A355,'[11]Linea Arquitectonica'!A353:F1175,6,FALSE)</f>
        <v>116.81</v>
      </c>
      <c r="F355" s="22">
        <f>VLOOKUP(A355,'[11]Linea Arquitectonica'!A353:G1175,7,FALSE)</f>
        <v>132</v>
      </c>
    </row>
    <row r="356" spans="1:6" x14ac:dyDescent="0.3">
      <c r="A356" s="21" t="s">
        <v>3075</v>
      </c>
      <c r="B356" s="37" t="s">
        <v>3313</v>
      </c>
      <c r="C356" s="22">
        <f>VLOOKUP(A356,'[11]Linea Arquitectonica'!$A$4:$G$823,4,FALSE)</f>
        <v>81.77</v>
      </c>
      <c r="D356" s="22">
        <f>VLOOKUP(A356,'[11]Linea Arquitectonica'!A354:E1176,5,FALSE)</f>
        <v>92.4</v>
      </c>
      <c r="E356" s="22">
        <f>VLOOKUP(A356,'[11]Linea Arquitectonica'!A354:F1176,6,FALSE)</f>
        <v>116.81</v>
      </c>
      <c r="F356" s="22">
        <f>VLOOKUP(A356,'[11]Linea Arquitectonica'!A354:G1176,7,FALSE)</f>
        <v>132</v>
      </c>
    </row>
    <row r="357" spans="1:6" x14ac:dyDescent="0.3">
      <c r="A357" s="21" t="s">
        <v>3076</v>
      </c>
      <c r="B357" s="37" t="s">
        <v>3314</v>
      </c>
      <c r="C357" s="22">
        <f>VLOOKUP(A357,'[11]Linea Arquitectonica'!$A$4:$G$823,4,FALSE)</f>
        <v>81.77</v>
      </c>
      <c r="D357" s="22">
        <f>VLOOKUP(A357,'[11]Linea Arquitectonica'!A355:E1177,5,FALSE)</f>
        <v>92.4</v>
      </c>
      <c r="E357" s="22">
        <f>VLOOKUP(A357,'[11]Linea Arquitectonica'!A355:F1177,6,FALSE)</f>
        <v>116.81</v>
      </c>
      <c r="F357" s="22">
        <f>VLOOKUP(A357,'[11]Linea Arquitectonica'!A355:G1177,7,FALSE)</f>
        <v>132</v>
      </c>
    </row>
    <row r="358" spans="1:6" x14ac:dyDescent="0.3">
      <c r="A358" s="21" t="s">
        <v>3077</v>
      </c>
      <c r="B358" s="37" t="s">
        <v>3315</v>
      </c>
      <c r="C358" s="22">
        <f>VLOOKUP(A358,'[11]Linea Arquitectonica'!$A$4:$G$823,4,FALSE)</f>
        <v>81.77</v>
      </c>
      <c r="D358" s="22">
        <f>VLOOKUP(A358,'[11]Linea Arquitectonica'!A356:E1178,5,FALSE)</f>
        <v>92.4</v>
      </c>
      <c r="E358" s="22">
        <f>VLOOKUP(A358,'[11]Linea Arquitectonica'!A356:F1178,6,FALSE)</f>
        <v>116.81</v>
      </c>
      <c r="F358" s="22">
        <f>VLOOKUP(A358,'[11]Linea Arquitectonica'!A356:G1178,7,FALSE)</f>
        <v>132</v>
      </c>
    </row>
    <row r="359" spans="1:6" x14ac:dyDescent="0.3">
      <c r="A359" s="21" t="s">
        <v>3078</v>
      </c>
      <c r="B359" s="37" t="s">
        <v>3316</v>
      </c>
      <c r="C359" s="22">
        <f>VLOOKUP(A359,'[11]Linea Arquitectonica'!$A$4:$G$823,4,FALSE)</f>
        <v>81.77</v>
      </c>
      <c r="D359" s="22">
        <f>VLOOKUP(A359,'[11]Linea Arquitectonica'!A357:E1179,5,FALSE)</f>
        <v>92.4</v>
      </c>
      <c r="E359" s="22">
        <f>VLOOKUP(A359,'[11]Linea Arquitectonica'!A357:F1179,6,FALSE)</f>
        <v>116.81</v>
      </c>
      <c r="F359" s="22">
        <f>VLOOKUP(A359,'[11]Linea Arquitectonica'!A357:G1179,7,FALSE)</f>
        <v>132</v>
      </c>
    </row>
    <row r="360" spans="1:6" x14ac:dyDescent="0.3">
      <c r="A360" s="21" t="s">
        <v>3079</v>
      </c>
      <c r="B360" s="37" t="s">
        <v>3317</v>
      </c>
      <c r="C360" s="22">
        <f>VLOOKUP(A360,'[11]Linea Arquitectonica'!$A$4:$G$823,4,FALSE)</f>
        <v>81.77</v>
      </c>
      <c r="D360" s="22">
        <f>VLOOKUP(A360,'[11]Linea Arquitectonica'!A358:E1180,5,FALSE)</f>
        <v>92.4</v>
      </c>
      <c r="E360" s="22">
        <f>VLOOKUP(A360,'[11]Linea Arquitectonica'!A358:F1180,6,FALSE)</f>
        <v>116.81</v>
      </c>
      <c r="F360" s="22">
        <f>VLOOKUP(A360,'[11]Linea Arquitectonica'!A358:G1180,7,FALSE)</f>
        <v>132</v>
      </c>
    </row>
    <row r="361" spans="1:6" x14ac:dyDescent="0.3">
      <c r="A361" s="21" t="s">
        <v>3080</v>
      </c>
      <c r="B361" s="37" t="s">
        <v>3318</v>
      </c>
      <c r="C361" s="22">
        <f>VLOOKUP(A361,'[11]Linea Arquitectonica'!$A$4:$G$823,4,FALSE)</f>
        <v>81.77</v>
      </c>
      <c r="D361" s="22">
        <f>VLOOKUP(A361,'[11]Linea Arquitectonica'!A359:E1181,5,FALSE)</f>
        <v>92.4</v>
      </c>
      <c r="E361" s="22">
        <f>VLOOKUP(A361,'[11]Linea Arquitectonica'!A359:F1181,6,FALSE)</f>
        <v>116.81</v>
      </c>
      <c r="F361" s="22">
        <f>VLOOKUP(A361,'[11]Linea Arquitectonica'!A359:G1181,7,FALSE)</f>
        <v>132</v>
      </c>
    </row>
    <row r="362" spans="1:6" x14ac:dyDescent="0.3">
      <c r="A362" s="21" t="s">
        <v>3081</v>
      </c>
      <c r="B362" s="37" t="s">
        <v>3319</v>
      </c>
      <c r="C362" s="22">
        <f>VLOOKUP(A362,'[11]Linea Arquitectonica'!$A$4:$G$823,4,FALSE)</f>
        <v>81.77</v>
      </c>
      <c r="D362" s="22">
        <f>VLOOKUP(A362,'[11]Linea Arquitectonica'!A360:E1182,5,FALSE)</f>
        <v>92.4</v>
      </c>
      <c r="E362" s="22">
        <f>VLOOKUP(A362,'[11]Linea Arquitectonica'!A360:F1182,6,FALSE)</f>
        <v>116.81</v>
      </c>
      <c r="F362" s="22">
        <f>VLOOKUP(A362,'[11]Linea Arquitectonica'!A360:G1182,7,FALSE)</f>
        <v>132</v>
      </c>
    </row>
    <row r="363" spans="1:6" x14ac:dyDescent="0.3">
      <c r="A363" s="21" t="s">
        <v>3082</v>
      </c>
      <c r="B363" s="37" t="s">
        <v>3320</v>
      </c>
      <c r="C363" s="22">
        <f>VLOOKUP(A363,'[11]Linea Arquitectonica'!$A$4:$G$823,4,FALSE)</f>
        <v>81.77</v>
      </c>
      <c r="D363" s="22">
        <f>VLOOKUP(A363,'[11]Linea Arquitectonica'!A361:E1183,5,FALSE)</f>
        <v>92.4</v>
      </c>
      <c r="E363" s="22">
        <f>VLOOKUP(A363,'[11]Linea Arquitectonica'!A361:F1183,6,FALSE)</f>
        <v>116.81</v>
      </c>
      <c r="F363" s="22">
        <f>VLOOKUP(A363,'[11]Linea Arquitectonica'!A361:G1183,7,FALSE)</f>
        <v>132</v>
      </c>
    </row>
    <row r="364" spans="1:6" x14ac:dyDescent="0.3">
      <c r="A364" s="21" t="s">
        <v>383</v>
      </c>
      <c r="B364" s="37" t="s">
        <v>384</v>
      </c>
      <c r="C364" s="22">
        <f>VLOOKUP(A364,'[11]Linea Arquitectonica'!$A$4:$G$823,4,FALSE)</f>
        <v>12.33</v>
      </c>
      <c r="D364" s="22">
        <f>VLOOKUP(A364,'[11]Linea Arquitectonica'!A362:E1184,5,FALSE)</f>
        <v>13.93</v>
      </c>
      <c r="E364" s="22">
        <f>VLOOKUP(A364,'[11]Linea Arquitectonica'!A362:F1184,6,FALSE)</f>
        <v>17.61</v>
      </c>
      <c r="F364" s="22">
        <f>VLOOKUP(A364,'[11]Linea Arquitectonica'!A362:G1184,7,FALSE)</f>
        <v>19.899999999999999</v>
      </c>
    </row>
    <row r="365" spans="1:6" x14ac:dyDescent="0.3">
      <c r="A365" s="21" t="s">
        <v>385</v>
      </c>
      <c r="B365" s="37" t="s">
        <v>386</v>
      </c>
      <c r="C365" s="22">
        <f>VLOOKUP(A365,'[11]Linea Arquitectonica'!$A$4:$G$823,4,FALSE)</f>
        <v>12.33</v>
      </c>
      <c r="D365" s="22">
        <f>VLOOKUP(A365,'[11]Linea Arquitectonica'!A363:E1185,5,FALSE)</f>
        <v>13.93</v>
      </c>
      <c r="E365" s="22">
        <f>VLOOKUP(A365,'[11]Linea Arquitectonica'!A363:F1185,6,FALSE)</f>
        <v>17.61</v>
      </c>
      <c r="F365" s="22">
        <f>VLOOKUP(A365,'[11]Linea Arquitectonica'!A363:G1185,7,FALSE)</f>
        <v>19.899999999999999</v>
      </c>
    </row>
    <row r="366" spans="1:6" x14ac:dyDescent="0.3">
      <c r="A366" s="21" t="s">
        <v>387</v>
      </c>
      <c r="B366" s="37" t="s">
        <v>388</v>
      </c>
      <c r="C366" s="22">
        <f>VLOOKUP(A366,'[11]Linea Arquitectonica'!$A$4:$G$823,4,FALSE)</f>
        <v>12.33</v>
      </c>
      <c r="D366" s="22">
        <f>VLOOKUP(A366,'[11]Linea Arquitectonica'!A363:E1186,5,FALSE)</f>
        <v>13.93</v>
      </c>
      <c r="E366" s="22">
        <f>VLOOKUP(A366,'[11]Linea Arquitectonica'!A363:F1186,6,FALSE)</f>
        <v>17.61</v>
      </c>
      <c r="F366" s="22">
        <f>VLOOKUP(A366,'[11]Linea Arquitectonica'!A363:G1186,7,FALSE)</f>
        <v>19.899999999999999</v>
      </c>
    </row>
    <row r="367" spans="1:6" x14ac:dyDescent="0.3">
      <c r="A367" s="21" t="s">
        <v>389</v>
      </c>
      <c r="B367" s="37" t="s">
        <v>390</v>
      </c>
      <c r="C367" s="22">
        <f>VLOOKUP(A367,'[11]Linea Arquitectonica'!$A$4:$G$823,4,FALSE)</f>
        <v>12.33</v>
      </c>
      <c r="D367" s="22">
        <f>VLOOKUP(A367,'[11]Linea Arquitectonica'!A364:E1187,5,FALSE)</f>
        <v>13.93</v>
      </c>
      <c r="E367" s="22">
        <f>VLOOKUP(A367,'[11]Linea Arquitectonica'!A364:F1187,6,FALSE)</f>
        <v>17.61</v>
      </c>
      <c r="F367" s="22">
        <f>VLOOKUP(A367,'[11]Linea Arquitectonica'!A364:G1187,7,FALSE)</f>
        <v>19.899999999999999</v>
      </c>
    </row>
    <row r="368" spans="1:6" x14ac:dyDescent="0.3">
      <c r="A368" s="21" t="s">
        <v>391</v>
      </c>
      <c r="B368" s="37" t="s">
        <v>392</v>
      </c>
      <c r="C368" s="22">
        <f>VLOOKUP(A368,'[11]Linea Arquitectonica'!$A$4:$G$823,4,FALSE)</f>
        <v>12.33</v>
      </c>
      <c r="D368" s="22">
        <f>VLOOKUP(A368,'[11]Linea Arquitectonica'!A365:E1188,5,FALSE)</f>
        <v>13.93</v>
      </c>
      <c r="E368" s="22">
        <f>VLOOKUP(A368,'[11]Linea Arquitectonica'!A365:F1188,6,FALSE)</f>
        <v>17.61</v>
      </c>
      <c r="F368" s="22">
        <f>VLOOKUP(A368,'[11]Linea Arquitectonica'!A365:G1188,7,FALSE)</f>
        <v>19.899999999999999</v>
      </c>
    </row>
    <row r="369" spans="1:6" x14ac:dyDescent="0.3">
      <c r="A369" s="21" t="s">
        <v>393</v>
      </c>
      <c r="B369" s="37" t="s">
        <v>394</v>
      </c>
      <c r="C369" s="22">
        <f>VLOOKUP(A369,'[11]Linea Arquitectonica'!$A$4:$G$823,4,FALSE)</f>
        <v>12.33</v>
      </c>
      <c r="D369" s="22">
        <f>VLOOKUP(A369,'[11]Linea Arquitectonica'!A366:E1189,5,FALSE)</f>
        <v>13.93</v>
      </c>
      <c r="E369" s="22">
        <f>VLOOKUP(A369,'[11]Linea Arquitectonica'!A366:F1189,6,FALSE)</f>
        <v>17.61</v>
      </c>
      <c r="F369" s="22">
        <f>VLOOKUP(A369,'[11]Linea Arquitectonica'!A366:G1189,7,FALSE)</f>
        <v>19.899999999999999</v>
      </c>
    </row>
    <row r="370" spans="1:6" x14ac:dyDescent="0.3">
      <c r="A370" s="21" t="s">
        <v>395</v>
      </c>
      <c r="B370" s="37" t="s">
        <v>396</v>
      </c>
      <c r="C370" s="22">
        <f>VLOOKUP(A370,'[11]Linea Arquitectonica'!$A$4:$G$823,4,FALSE)</f>
        <v>12.33</v>
      </c>
      <c r="D370" s="22">
        <f>VLOOKUP(A370,'[11]Linea Arquitectonica'!A367:E1190,5,FALSE)</f>
        <v>13.93</v>
      </c>
      <c r="E370" s="22">
        <f>VLOOKUP(A370,'[11]Linea Arquitectonica'!A367:F1190,6,FALSE)</f>
        <v>17.61</v>
      </c>
      <c r="F370" s="22">
        <f>VLOOKUP(A370,'[11]Linea Arquitectonica'!A367:G1190,7,FALSE)</f>
        <v>19.899999999999999</v>
      </c>
    </row>
    <row r="371" spans="1:6" x14ac:dyDescent="0.3">
      <c r="A371" s="21" t="s">
        <v>397</v>
      </c>
      <c r="B371" s="37" t="s">
        <v>398</v>
      </c>
      <c r="C371" s="22">
        <f>VLOOKUP(A371,'[11]Linea Arquitectonica'!$A$4:$G$823,4,FALSE)</f>
        <v>12.33</v>
      </c>
      <c r="D371" s="22">
        <f>VLOOKUP(A371,'[11]Linea Arquitectonica'!A368:E1191,5,FALSE)</f>
        <v>13.93</v>
      </c>
      <c r="E371" s="22">
        <f>VLOOKUP(A371,'[11]Linea Arquitectonica'!A368:F1191,6,FALSE)</f>
        <v>17.61</v>
      </c>
      <c r="F371" s="22">
        <f>VLOOKUP(A371,'[11]Linea Arquitectonica'!A368:G1191,7,FALSE)</f>
        <v>19.899999999999999</v>
      </c>
    </row>
    <row r="372" spans="1:6" x14ac:dyDescent="0.3">
      <c r="A372" s="21" t="s">
        <v>399</v>
      </c>
      <c r="B372" s="37" t="s">
        <v>400</v>
      </c>
      <c r="C372" s="22">
        <f>VLOOKUP(A372,'[11]Linea Arquitectonica'!$A$4:$G$823,4,FALSE)</f>
        <v>12.33</v>
      </c>
      <c r="D372" s="22">
        <f>VLOOKUP(A372,'[11]Linea Arquitectonica'!A369:E1192,5,FALSE)</f>
        <v>13.93</v>
      </c>
      <c r="E372" s="22">
        <f>VLOOKUP(A372,'[11]Linea Arquitectonica'!A369:F1192,6,FALSE)</f>
        <v>17.61</v>
      </c>
      <c r="F372" s="22">
        <f>VLOOKUP(A372,'[11]Linea Arquitectonica'!A369:G1192,7,FALSE)</f>
        <v>19.899999999999999</v>
      </c>
    </row>
    <row r="373" spans="1:6" x14ac:dyDescent="0.3">
      <c r="A373" s="21" t="s">
        <v>3083</v>
      </c>
      <c r="B373" s="37" t="s">
        <v>3321</v>
      </c>
      <c r="C373" s="22">
        <f>VLOOKUP(A373,'[11]Linea Arquitectonica'!$A$4:$G$823,4,FALSE)</f>
        <v>12.33</v>
      </c>
      <c r="D373" s="22">
        <f>VLOOKUP(A373,'[11]Linea Arquitectonica'!A370:E1193,5,FALSE)</f>
        <v>13.93</v>
      </c>
      <c r="E373" s="22">
        <f>VLOOKUP(A373,'[11]Linea Arquitectonica'!A370:F1193,6,FALSE)</f>
        <v>17.61</v>
      </c>
      <c r="F373" s="22">
        <f>VLOOKUP(A373,'[11]Linea Arquitectonica'!A370:G1193,7,FALSE)</f>
        <v>19.899999999999999</v>
      </c>
    </row>
    <row r="374" spans="1:6" x14ac:dyDescent="0.3">
      <c r="A374" s="21" t="s">
        <v>3084</v>
      </c>
      <c r="B374" s="37" t="s">
        <v>3322</v>
      </c>
      <c r="C374" s="22">
        <f>VLOOKUP(A374,'[11]Linea Arquitectonica'!$A$4:$G$823,4,FALSE)</f>
        <v>12.33</v>
      </c>
      <c r="D374" s="22">
        <f>VLOOKUP(A374,'[11]Linea Arquitectonica'!A371:E1194,5,FALSE)</f>
        <v>13.93</v>
      </c>
      <c r="E374" s="22">
        <f>VLOOKUP(A374,'[11]Linea Arquitectonica'!A371:F1194,6,FALSE)</f>
        <v>17.61</v>
      </c>
      <c r="F374" s="22">
        <f>VLOOKUP(A374,'[11]Linea Arquitectonica'!A371:G1194,7,FALSE)</f>
        <v>19.899999999999999</v>
      </c>
    </row>
    <row r="375" spans="1:6" x14ac:dyDescent="0.3">
      <c r="A375" s="21" t="s">
        <v>3085</v>
      </c>
      <c r="B375" s="37" t="s">
        <v>3323</v>
      </c>
      <c r="C375" s="22">
        <f>VLOOKUP(A375,'[11]Linea Arquitectonica'!$A$4:$G$823,4,FALSE)</f>
        <v>12.33</v>
      </c>
      <c r="D375" s="22">
        <f>VLOOKUP(A375,'[11]Linea Arquitectonica'!A372:E1195,5,FALSE)</f>
        <v>13.93</v>
      </c>
      <c r="E375" s="22">
        <f>VLOOKUP(A375,'[11]Linea Arquitectonica'!A372:F1195,6,FALSE)</f>
        <v>17.61</v>
      </c>
      <c r="F375" s="22">
        <f>VLOOKUP(A375,'[11]Linea Arquitectonica'!A372:G1195,7,FALSE)</f>
        <v>19.899999999999999</v>
      </c>
    </row>
    <row r="376" spans="1:6" x14ac:dyDescent="0.3">
      <c r="A376" s="21" t="s">
        <v>3086</v>
      </c>
      <c r="B376" s="37" t="s">
        <v>3324</v>
      </c>
      <c r="C376" s="22">
        <f>VLOOKUP(A376,'[11]Linea Arquitectonica'!$A$4:$G$823,4,FALSE)</f>
        <v>12.33</v>
      </c>
      <c r="D376" s="22">
        <f>VLOOKUP(A376,'[11]Linea Arquitectonica'!A373:E1196,5,FALSE)</f>
        <v>13.93</v>
      </c>
      <c r="E376" s="22">
        <f>VLOOKUP(A376,'[11]Linea Arquitectonica'!A373:F1196,6,FALSE)</f>
        <v>17.61</v>
      </c>
      <c r="F376" s="22">
        <f>VLOOKUP(A376,'[11]Linea Arquitectonica'!A373:G1196,7,FALSE)</f>
        <v>19.899999999999999</v>
      </c>
    </row>
    <row r="377" spans="1:6" x14ac:dyDescent="0.3">
      <c r="A377" s="21" t="s">
        <v>3087</v>
      </c>
      <c r="B377" s="37" t="s">
        <v>3325</v>
      </c>
      <c r="C377" s="22">
        <f>VLOOKUP(A377,'[11]Linea Arquitectonica'!$A$4:$G$823,4,FALSE)</f>
        <v>12.33</v>
      </c>
      <c r="D377" s="22">
        <f>VLOOKUP(A377,'[11]Linea Arquitectonica'!A374:E1197,5,FALSE)</f>
        <v>13.93</v>
      </c>
      <c r="E377" s="22">
        <f>VLOOKUP(A377,'[11]Linea Arquitectonica'!A374:F1197,6,FALSE)</f>
        <v>17.61</v>
      </c>
      <c r="F377" s="22">
        <f>VLOOKUP(A377,'[11]Linea Arquitectonica'!A374:G1197,7,FALSE)</f>
        <v>19.899999999999999</v>
      </c>
    </row>
    <row r="378" spans="1:6" x14ac:dyDescent="0.3">
      <c r="A378" s="21" t="s">
        <v>3088</v>
      </c>
      <c r="B378" s="37" t="s">
        <v>3326</v>
      </c>
      <c r="C378" s="22">
        <f>VLOOKUP(A378,'[11]Linea Arquitectonica'!$A$4:$G$823,4,FALSE)</f>
        <v>12.33</v>
      </c>
      <c r="D378" s="22">
        <f>VLOOKUP(A378,'[11]Linea Arquitectonica'!A375:E1198,5,FALSE)</f>
        <v>13.93</v>
      </c>
      <c r="E378" s="22">
        <f>VLOOKUP(A378,'[11]Linea Arquitectonica'!A375:F1198,6,FALSE)</f>
        <v>17.61</v>
      </c>
      <c r="F378" s="22">
        <f>VLOOKUP(A378,'[11]Linea Arquitectonica'!A375:G1198,7,FALSE)</f>
        <v>19.899999999999999</v>
      </c>
    </row>
    <row r="379" spans="1:6" x14ac:dyDescent="0.3">
      <c r="A379" s="21" t="s">
        <v>3089</v>
      </c>
      <c r="B379" s="37" t="s">
        <v>3327</v>
      </c>
      <c r="C379" s="22">
        <f>VLOOKUP(A379,'[11]Linea Arquitectonica'!$A$4:$G$823,4,FALSE)</f>
        <v>12.33</v>
      </c>
      <c r="D379" s="22">
        <f>VLOOKUP(A379,'[11]Linea Arquitectonica'!A376:E1199,5,FALSE)</f>
        <v>13.93</v>
      </c>
      <c r="E379" s="22">
        <f>VLOOKUP(A379,'[11]Linea Arquitectonica'!A376:F1199,6,FALSE)</f>
        <v>17.61</v>
      </c>
      <c r="F379" s="22">
        <f>VLOOKUP(A379,'[11]Linea Arquitectonica'!A376:G1199,7,FALSE)</f>
        <v>19.899999999999999</v>
      </c>
    </row>
    <row r="380" spans="1:6" x14ac:dyDescent="0.3">
      <c r="A380" s="21" t="s">
        <v>3090</v>
      </c>
      <c r="B380" s="37" t="s">
        <v>3328</v>
      </c>
      <c r="C380" s="22">
        <f>VLOOKUP(A380,'[11]Linea Arquitectonica'!$A$4:$G$823,4,FALSE)</f>
        <v>12.33</v>
      </c>
      <c r="D380" s="22">
        <f>VLOOKUP(A380,'[11]Linea Arquitectonica'!A377:E1200,5,FALSE)</f>
        <v>13.93</v>
      </c>
      <c r="E380" s="22">
        <f>VLOOKUP(A380,'[11]Linea Arquitectonica'!A377:F1200,6,FALSE)</f>
        <v>17.61</v>
      </c>
      <c r="F380" s="22">
        <f>VLOOKUP(A380,'[11]Linea Arquitectonica'!A377:G1200,7,FALSE)</f>
        <v>19.899999999999999</v>
      </c>
    </row>
    <row r="381" spans="1:6" x14ac:dyDescent="0.3">
      <c r="A381" s="21" t="s">
        <v>3091</v>
      </c>
      <c r="B381" s="37" t="s">
        <v>3329</v>
      </c>
      <c r="C381" s="22">
        <f>VLOOKUP(A381,'[11]Linea Arquitectonica'!$A$4:$G$823,4,FALSE)</f>
        <v>12.33</v>
      </c>
      <c r="D381" s="22">
        <f>VLOOKUP(A381,'[11]Linea Arquitectonica'!A378:E1201,5,FALSE)</f>
        <v>13.93</v>
      </c>
      <c r="E381" s="22">
        <f>VLOOKUP(A381,'[11]Linea Arquitectonica'!A378:F1201,6,FALSE)</f>
        <v>17.61</v>
      </c>
      <c r="F381" s="22">
        <f>VLOOKUP(A381,'[11]Linea Arquitectonica'!A378:G1201,7,FALSE)</f>
        <v>19.899999999999999</v>
      </c>
    </row>
    <row r="382" spans="1:6" x14ac:dyDescent="0.3">
      <c r="A382" s="21" t="s">
        <v>3092</v>
      </c>
      <c r="B382" s="37" t="s">
        <v>3330</v>
      </c>
      <c r="C382" s="22">
        <f>VLOOKUP(A382,'[11]Linea Arquitectonica'!$A$4:$G$823,4,FALSE)</f>
        <v>12.33</v>
      </c>
      <c r="D382" s="22">
        <f>VLOOKUP(A382,'[11]Linea Arquitectonica'!A379:E1202,5,FALSE)</f>
        <v>13.93</v>
      </c>
      <c r="E382" s="22">
        <f>VLOOKUP(A382,'[11]Linea Arquitectonica'!A379:F1202,6,FALSE)</f>
        <v>17.61</v>
      </c>
      <c r="F382" s="22">
        <f>VLOOKUP(A382,'[11]Linea Arquitectonica'!A379:G1202,7,FALSE)</f>
        <v>19.899999999999999</v>
      </c>
    </row>
    <row r="383" spans="1:6" x14ac:dyDescent="0.3">
      <c r="A383" s="21" t="s">
        <v>3093</v>
      </c>
      <c r="B383" s="37" t="s">
        <v>3331</v>
      </c>
      <c r="C383" s="22">
        <f>VLOOKUP(A383,'[11]Linea Arquitectonica'!$A$4:$G$823,4,FALSE)</f>
        <v>12.33</v>
      </c>
      <c r="D383" s="22">
        <f>VLOOKUP(A383,'[11]Linea Arquitectonica'!A380:E1203,5,FALSE)</f>
        <v>13.93</v>
      </c>
      <c r="E383" s="22">
        <f>VLOOKUP(A383,'[11]Linea Arquitectonica'!A380:F1203,6,FALSE)</f>
        <v>17.61</v>
      </c>
      <c r="F383" s="22">
        <f>VLOOKUP(A383,'[11]Linea Arquitectonica'!A380:G1203,7,FALSE)</f>
        <v>19.899999999999999</v>
      </c>
    </row>
    <row r="384" spans="1:6" x14ac:dyDescent="0.3">
      <c r="A384" s="21" t="s">
        <v>3094</v>
      </c>
      <c r="B384" s="37" t="s">
        <v>3332</v>
      </c>
      <c r="C384" s="22">
        <f>VLOOKUP(A384,'[11]Linea Arquitectonica'!$A$4:$G$823,4,FALSE)</f>
        <v>12.33</v>
      </c>
      <c r="D384" s="22">
        <f>VLOOKUP(A384,'[11]Linea Arquitectonica'!A381:E1204,5,FALSE)</f>
        <v>13.93</v>
      </c>
      <c r="E384" s="22">
        <f>VLOOKUP(A384,'[11]Linea Arquitectonica'!A381:F1204,6,FALSE)</f>
        <v>17.61</v>
      </c>
      <c r="F384" s="22">
        <f>VLOOKUP(A384,'[11]Linea Arquitectonica'!A381:G1204,7,FALSE)</f>
        <v>19.899999999999999</v>
      </c>
    </row>
    <row r="385" spans="1:6" x14ac:dyDescent="0.3">
      <c r="A385" s="21" t="s">
        <v>3095</v>
      </c>
      <c r="B385" s="37" t="s">
        <v>3333</v>
      </c>
      <c r="C385" s="22">
        <f>VLOOKUP(A385,'[11]Linea Arquitectonica'!$A$4:$G$823,4,FALSE)</f>
        <v>12.33</v>
      </c>
      <c r="D385" s="22">
        <f>VLOOKUP(A385,'[11]Linea Arquitectonica'!A382:E1205,5,FALSE)</f>
        <v>13.93</v>
      </c>
      <c r="E385" s="22">
        <f>VLOOKUP(A385,'[11]Linea Arquitectonica'!A382:F1205,6,FALSE)</f>
        <v>17.61</v>
      </c>
      <c r="F385" s="22">
        <f>VLOOKUP(A385,'[11]Linea Arquitectonica'!A382:G1205,7,FALSE)</f>
        <v>19.899999999999999</v>
      </c>
    </row>
    <row r="386" spans="1:6" x14ac:dyDescent="0.3">
      <c r="A386" s="21" t="s">
        <v>3096</v>
      </c>
      <c r="B386" s="37" t="s">
        <v>3334</v>
      </c>
      <c r="C386" s="22">
        <f>VLOOKUP(A386,'[11]Linea Arquitectonica'!$A$4:$G$823,4,FALSE)</f>
        <v>12.33</v>
      </c>
      <c r="D386" s="22">
        <f>VLOOKUP(A386,'[11]Linea Arquitectonica'!A383:E1206,5,FALSE)</f>
        <v>13.93</v>
      </c>
      <c r="E386" s="22">
        <f>VLOOKUP(A386,'[11]Linea Arquitectonica'!A383:F1206,6,FALSE)</f>
        <v>17.61</v>
      </c>
      <c r="F386" s="22">
        <f>VLOOKUP(A386,'[11]Linea Arquitectonica'!A383:G1206,7,FALSE)</f>
        <v>19.899999999999999</v>
      </c>
    </row>
    <row r="387" spans="1:6" x14ac:dyDescent="0.3">
      <c r="A387" s="21" t="s">
        <v>3097</v>
      </c>
      <c r="B387" s="37" t="s">
        <v>3335</v>
      </c>
      <c r="C387" s="22">
        <f>VLOOKUP(A387,'[11]Linea Arquitectonica'!$A$4:$G$823,4,FALSE)</f>
        <v>12.33</v>
      </c>
      <c r="D387" s="22">
        <f>VLOOKUP(A387,'[11]Linea Arquitectonica'!A384:E1207,5,FALSE)</f>
        <v>13.93</v>
      </c>
      <c r="E387" s="22">
        <f>VLOOKUP(A387,'[11]Linea Arquitectonica'!A384:F1207,6,FALSE)</f>
        <v>17.61</v>
      </c>
      <c r="F387" s="22">
        <f>VLOOKUP(A387,'[11]Linea Arquitectonica'!A384:G1207,7,FALSE)</f>
        <v>19.899999999999999</v>
      </c>
    </row>
    <row r="388" spans="1:6" x14ac:dyDescent="0.3">
      <c r="A388" s="21" t="s">
        <v>3098</v>
      </c>
      <c r="B388" s="37" t="s">
        <v>3336</v>
      </c>
      <c r="C388" s="22">
        <f>VLOOKUP(A388,'[11]Linea Arquitectonica'!$A$4:$G$823,4,FALSE)</f>
        <v>12.33</v>
      </c>
      <c r="D388" s="22">
        <f>VLOOKUP(A388,'[11]Linea Arquitectonica'!A385:E1208,5,FALSE)</f>
        <v>13.93</v>
      </c>
      <c r="E388" s="22">
        <f>VLOOKUP(A388,'[11]Linea Arquitectonica'!A385:F1208,6,FALSE)</f>
        <v>17.61</v>
      </c>
      <c r="F388" s="22">
        <f>VLOOKUP(A388,'[11]Linea Arquitectonica'!A385:G1208,7,FALSE)</f>
        <v>19.899999999999999</v>
      </c>
    </row>
    <row r="389" spans="1:6" x14ac:dyDescent="0.3">
      <c r="A389" s="21" t="s">
        <v>3099</v>
      </c>
      <c r="B389" s="37" t="s">
        <v>3337</v>
      </c>
      <c r="C389" s="22">
        <f>VLOOKUP(A389,'[11]Linea Arquitectonica'!$A$4:$G$823,4,FALSE)</f>
        <v>12.33</v>
      </c>
      <c r="D389" s="22">
        <f>VLOOKUP(A389,'[11]Linea Arquitectonica'!A386:E1209,5,FALSE)</f>
        <v>13.93</v>
      </c>
      <c r="E389" s="22">
        <f>VLOOKUP(A389,'[11]Linea Arquitectonica'!A386:F1209,6,FALSE)</f>
        <v>17.61</v>
      </c>
      <c r="F389" s="22">
        <f>VLOOKUP(A389,'[11]Linea Arquitectonica'!A386:G1209,7,FALSE)</f>
        <v>19.899999999999999</v>
      </c>
    </row>
    <row r="390" spans="1:6" x14ac:dyDescent="0.3">
      <c r="A390" s="21" t="s">
        <v>401</v>
      </c>
      <c r="B390" s="37" t="s">
        <v>384</v>
      </c>
      <c r="C390" s="22">
        <f>VLOOKUP(A390,'[11]Linea Arquitectonica'!$A$4:$G$823,4,FALSE)</f>
        <v>53.21</v>
      </c>
      <c r="D390" s="22">
        <f>VLOOKUP(A390,'[11]Linea Arquitectonica'!A387:E1210,5,FALSE)</f>
        <v>60.13</v>
      </c>
      <c r="E390" s="22">
        <f>VLOOKUP(A390,'[11]Linea Arquitectonica'!A387:F1210,6,FALSE)</f>
        <v>76.02</v>
      </c>
      <c r="F390" s="22">
        <f>VLOOKUP(A390,'[11]Linea Arquitectonica'!A387:G1210,7,FALSE)</f>
        <v>85.9</v>
      </c>
    </row>
    <row r="391" spans="1:6" x14ac:dyDescent="0.3">
      <c r="A391" s="21" t="s">
        <v>402</v>
      </c>
      <c r="B391" s="37" t="s">
        <v>386</v>
      </c>
      <c r="C391" s="22">
        <f>VLOOKUP(A391,'[11]Linea Arquitectonica'!$A$4:$G$823,4,FALSE)</f>
        <v>53.21</v>
      </c>
      <c r="D391" s="22">
        <f>VLOOKUP(A391,'[11]Linea Arquitectonica'!A388:E1211,5,FALSE)</f>
        <v>60.13</v>
      </c>
      <c r="E391" s="22">
        <f>VLOOKUP(A391,'[11]Linea Arquitectonica'!A388:F1211,6,FALSE)</f>
        <v>76.02</v>
      </c>
      <c r="F391" s="22">
        <f>VLOOKUP(A391,'[11]Linea Arquitectonica'!A388:G1211,7,FALSE)</f>
        <v>85.9</v>
      </c>
    </row>
    <row r="392" spans="1:6" x14ac:dyDescent="0.3">
      <c r="A392" s="21" t="s">
        <v>403</v>
      </c>
      <c r="B392" s="37" t="s">
        <v>388</v>
      </c>
      <c r="C392" s="22">
        <f>VLOOKUP(A392,'[11]Linea Arquitectonica'!$A$4:$G$823,4,FALSE)</f>
        <v>53.21</v>
      </c>
      <c r="D392" s="22">
        <f>VLOOKUP(A392,'[11]Linea Arquitectonica'!A389:E1212,5,FALSE)</f>
        <v>60.13</v>
      </c>
      <c r="E392" s="22">
        <f>VLOOKUP(A392,'[11]Linea Arquitectonica'!A389:F1212,6,FALSE)</f>
        <v>76.02</v>
      </c>
      <c r="F392" s="22">
        <f>VLOOKUP(A392,'[11]Linea Arquitectonica'!A389:G1212,7,FALSE)</f>
        <v>85.9</v>
      </c>
    </row>
    <row r="393" spans="1:6" x14ac:dyDescent="0.3">
      <c r="A393" s="21" t="s">
        <v>404</v>
      </c>
      <c r="B393" s="37" t="s">
        <v>390</v>
      </c>
      <c r="C393" s="22">
        <f>VLOOKUP(A393,'[11]Linea Arquitectonica'!$A$4:$G$823,4,FALSE)</f>
        <v>53.21</v>
      </c>
      <c r="D393" s="22">
        <f>VLOOKUP(A393,'[11]Linea Arquitectonica'!A390:E1213,5,FALSE)</f>
        <v>60.13</v>
      </c>
      <c r="E393" s="22">
        <f>VLOOKUP(A393,'[11]Linea Arquitectonica'!A390:F1213,6,FALSE)</f>
        <v>76.02</v>
      </c>
      <c r="F393" s="22">
        <f>VLOOKUP(A393,'[11]Linea Arquitectonica'!A390:G1213,7,FALSE)</f>
        <v>85.9</v>
      </c>
    </row>
    <row r="394" spans="1:6" x14ac:dyDescent="0.3">
      <c r="A394" s="21" t="s">
        <v>405</v>
      </c>
      <c r="B394" s="37" t="s">
        <v>392</v>
      </c>
      <c r="C394" s="22">
        <f>VLOOKUP(A394,'[11]Linea Arquitectonica'!$A$4:$G$823,4,FALSE)</f>
        <v>53.21</v>
      </c>
      <c r="D394" s="22">
        <f>VLOOKUP(A394,'[11]Linea Arquitectonica'!A391:E1214,5,FALSE)</f>
        <v>60.13</v>
      </c>
      <c r="E394" s="22">
        <f>VLOOKUP(A394,'[11]Linea Arquitectonica'!A391:F1214,6,FALSE)</f>
        <v>76.02</v>
      </c>
      <c r="F394" s="22">
        <f>VLOOKUP(A394,'[11]Linea Arquitectonica'!A391:G1214,7,FALSE)</f>
        <v>85.9</v>
      </c>
    </row>
    <row r="395" spans="1:6" x14ac:dyDescent="0.3">
      <c r="A395" s="21" t="s">
        <v>406</v>
      </c>
      <c r="B395" s="37" t="s">
        <v>394</v>
      </c>
      <c r="C395" s="22">
        <f>VLOOKUP(A395,'[11]Linea Arquitectonica'!$A$4:$G$823,4,FALSE)</f>
        <v>53.21</v>
      </c>
      <c r="D395" s="22">
        <f>VLOOKUP(A395,'[11]Linea Arquitectonica'!A392:E1215,5,FALSE)</f>
        <v>60.13</v>
      </c>
      <c r="E395" s="22">
        <f>VLOOKUP(A395,'[11]Linea Arquitectonica'!A392:F1215,6,FALSE)</f>
        <v>76.02</v>
      </c>
      <c r="F395" s="22">
        <f>VLOOKUP(A395,'[11]Linea Arquitectonica'!A392:G1215,7,FALSE)</f>
        <v>85.9</v>
      </c>
    </row>
    <row r="396" spans="1:6" x14ac:dyDescent="0.3">
      <c r="A396" s="21" t="s">
        <v>407</v>
      </c>
      <c r="B396" s="37" t="s">
        <v>396</v>
      </c>
      <c r="C396" s="22">
        <f>VLOOKUP(A396,'[11]Linea Arquitectonica'!$A$4:$G$823,4,FALSE)</f>
        <v>53.21</v>
      </c>
      <c r="D396" s="22">
        <f>VLOOKUP(A396,'[11]Linea Arquitectonica'!A393:E1216,5,FALSE)</f>
        <v>60.13</v>
      </c>
      <c r="E396" s="22">
        <f>VLOOKUP(A396,'[11]Linea Arquitectonica'!A393:F1216,6,FALSE)</f>
        <v>76.02</v>
      </c>
      <c r="F396" s="22">
        <f>VLOOKUP(A396,'[11]Linea Arquitectonica'!A393:G1216,7,FALSE)</f>
        <v>85.9</v>
      </c>
    </row>
    <row r="397" spans="1:6" x14ac:dyDescent="0.3">
      <c r="A397" s="21" t="s">
        <v>408</v>
      </c>
      <c r="B397" s="37" t="s">
        <v>398</v>
      </c>
      <c r="C397" s="22">
        <f>VLOOKUP(A397,'[11]Linea Arquitectonica'!$A$4:$G$823,4,FALSE)</f>
        <v>53.21</v>
      </c>
      <c r="D397" s="22">
        <f>VLOOKUP(A397,'[11]Linea Arquitectonica'!A394:E1217,5,FALSE)</f>
        <v>60.13</v>
      </c>
      <c r="E397" s="22">
        <f>VLOOKUP(A397,'[11]Linea Arquitectonica'!A394:F1217,6,FALSE)</f>
        <v>76.02</v>
      </c>
      <c r="F397" s="22">
        <f>VLOOKUP(A397,'[11]Linea Arquitectonica'!A394:G1217,7,FALSE)</f>
        <v>85.9</v>
      </c>
    </row>
    <row r="398" spans="1:6" x14ac:dyDescent="0.3">
      <c r="A398" s="21" t="s">
        <v>409</v>
      </c>
      <c r="B398" s="37" t="s">
        <v>400</v>
      </c>
      <c r="C398" s="22">
        <f>VLOOKUP(A398,'[11]Linea Arquitectonica'!$A$4:$G$823,4,FALSE)</f>
        <v>53.21</v>
      </c>
      <c r="D398" s="22">
        <f>VLOOKUP(A398,'[11]Linea Arquitectonica'!A395:E1218,5,FALSE)</f>
        <v>60.13</v>
      </c>
      <c r="E398" s="22">
        <f>VLOOKUP(A398,'[11]Linea Arquitectonica'!A395:F1218,6,FALSE)</f>
        <v>76.02</v>
      </c>
      <c r="F398" s="22">
        <f>VLOOKUP(A398,'[11]Linea Arquitectonica'!A395:G1218,7,FALSE)</f>
        <v>85.9</v>
      </c>
    </row>
    <row r="399" spans="1:6" x14ac:dyDescent="0.3">
      <c r="A399" s="21" t="s">
        <v>3100</v>
      </c>
      <c r="B399" s="37" t="s">
        <v>3321</v>
      </c>
      <c r="C399" s="22">
        <f>VLOOKUP(A399,'[11]Linea Arquitectonica'!$A$4:$G$823,4,FALSE)</f>
        <v>53.21</v>
      </c>
      <c r="D399" s="22">
        <f>VLOOKUP(A399,'[11]Linea Arquitectonica'!A396:E1219,5,FALSE)</f>
        <v>60.13</v>
      </c>
      <c r="E399" s="22">
        <f>VLOOKUP(A399,'[11]Linea Arquitectonica'!A396:F1219,6,FALSE)</f>
        <v>76.02</v>
      </c>
      <c r="F399" s="22">
        <f>VLOOKUP(A399,'[11]Linea Arquitectonica'!A396:G1219,7,FALSE)</f>
        <v>85.9</v>
      </c>
    </row>
    <row r="400" spans="1:6" x14ac:dyDescent="0.3">
      <c r="A400" s="21" t="s">
        <v>3101</v>
      </c>
      <c r="B400" s="37" t="s">
        <v>3322</v>
      </c>
      <c r="C400" s="22">
        <f>VLOOKUP(A400,'[11]Linea Arquitectonica'!$A$4:$G$823,4,FALSE)</f>
        <v>53.21</v>
      </c>
      <c r="D400" s="22">
        <f>VLOOKUP(A400,'[11]Linea Arquitectonica'!A397:E1220,5,FALSE)</f>
        <v>60.13</v>
      </c>
      <c r="E400" s="22">
        <f>VLOOKUP(A400,'[11]Linea Arquitectonica'!A397:F1220,6,FALSE)</f>
        <v>76.02</v>
      </c>
      <c r="F400" s="22">
        <f>VLOOKUP(A400,'[11]Linea Arquitectonica'!A397:G1220,7,FALSE)</f>
        <v>85.9</v>
      </c>
    </row>
    <row r="401" spans="1:6" x14ac:dyDescent="0.3">
      <c r="A401" s="21" t="s">
        <v>3102</v>
      </c>
      <c r="B401" s="37" t="s">
        <v>3323</v>
      </c>
      <c r="C401" s="22">
        <f>VLOOKUP(A401,'[11]Linea Arquitectonica'!$A$4:$G$823,4,FALSE)</f>
        <v>53.21</v>
      </c>
      <c r="D401" s="22">
        <f>VLOOKUP(A401,'[11]Linea Arquitectonica'!A398:E1221,5,FALSE)</f>
        <v>60.13</v>
      </c>
      <c r="E401" s="22">
        <f>VLOOKUP(A401,'[11]Linea Arquitectonica'!A398:F1221,6,FALSE)</f>
        <v>76.02</v>
      </c>
      <c r="F401" s="22">
        <f>VLOOKUP(A401,'[11]Linea Arquitectonica'!A398:G1221,7,FALSE)</f>
        <v>85.9</v>
      </c>
    </row>
    <row r="402" spans="1:6" x14ac:dyDescent="0.3">
      <c r="A402" s="21" t="s">
        <v>3103</v>
      </c>
      <c r="B402" s="37" t="s">
        <v>3324</v>
      </c>
      <c r="C402" s="22">
        <f>VLOOKUP(A402,'[11]Linea Arquitectonica'!$A$4:$G$823,4,FALSE)</f>
        <v>53.21</v>
      </c>
      <c r="D402" s="22">
        <f>VLOOKUP(A402,'[11]Linea Arquitectonica'!A399:E1222,5,FALSE)</f>
        <v>60.13</v>
      </c>
      <c r="E402" s="22">
        <f>VLOOKUP(A402,'[11]Linea Arquitectonica'!A399:F1222,6,FALSE)</f>
        <v>76.02</v>
      </c>
      <c r="F402" s="22">
        <f>VLOOKUP(A402,'[11]Linea Arquitectonica'!A399:G1222,7,FALSE)</f>
        <v>85.9</v>
      </c>
    </row>
    <row r="403" spans="1:6" x14ac:dyDescent="0.3">
      <c r="A403" s="21" t="s">
        <v>3104</v>
      </c>
      <c r="B403" s="37" t="s">
        <v>3325</v>
      </c>
      <c r="C403" s="22">
        <f>VLOOKUP(A403,'[11]Linea Arquitectonica'!$A$4:$G$823,4,FALSE)</f>
        <v>53.21</v>
      </c>
      <c r="D403" s="22">
        <f>VLOOKUP(A403,'[11]Linea Arquitectonica'!A400:E1223,5,FALSE)</f>
        <v>60.13</v>
      </c>
      <c r="E403" s="22">
        <f>VLOOKUP(A403,'[11]Linea Arquitectonica'!A400:F1223,6,FALSE)</f>
        <v>76.02</v>
      </c>
      <c r="F403" s="22">
        <f>VLOOKUP(A403,'[11]Linea Arquitectonica'!A400:G1223,7,FALSE)</f>
        <v>85.9</v>
      </c>
    </row>
    <row r="404" spans="1:6" x14ac:dyDescent="0.3">
      <c r="A404" s="21" t="s">
        <v>3105</v>
      </c>
      <c r="B404" s="37" t="s">
        <v>3326</v>
      </c>
      <c r="C404" s="22">
        <f>VLOOKUP(A404,'[11]Linea Arquitectonica'!$A$4:$G$823,4,FALSE)</f>
        <v>53.21</v>
      </c>
      <c r="D404" s="22">
        <f>VLOOKUP(A404,'[11]Linea Arquitectonica'!A401:E1224,5,FALSE)</f>
        <v>60.13</v>
      </c>
      <c r="E404" s="22">
        <f>VLOOKUP(A404,'[11]Linea Arquitectonica'!A401:F1224,6,FALSE)</f>
        <v>76.02</v>
      </c>
      <c r="F404" s="22">
        <f>VLOOKUP(A404,'[11]Linea Arquitectonica'!A401:G1224,7,FALSE)</f>
        <v>85.9</v>
      </c>
    </row>
    <row r="405" spans="1:6" x14ac:dyDescent="0.3">
      <c r="A405" s="21" t="s">
        <v>3106</v>
      </c>
      <c r="B405" s="37" t="s">
        <v>3327</v>
      </c>
      <c r="C405" s="22">
        <f>VLOOKUP(A405,'[11]Linea Arquitectonica'!$A$4:$G$823,4,FALSE)</f>
        <v>53.21</v>
      </c>
      <c r="D405" s="22">
        <f>VLOOKUP(A405,'[11]Linea Arquitectonica'!A402:E1225,5,FALSE)</f>
        <v>60.13</v>
      </c>
      <c r="E405" s="22">
        <f>VLOOKUP(A405,'[11]Linea Arquitectonica'!A402:F1225,6,FALSE)</f>
        <v>76.02</v>
      </c>
      <c r="F405" s="22">
        <f>VLOOKUP(A405,'[11]Linea Arquitectonica'!A402:G1225,7,FALSE)</f>
        <v>85.9</v>
      </c>
    </row>
    <row r="406" spans="1:6" x14ac:dyDescent="0.3">
      <c r="A406" s="21" t="s">
        <v>3107</v>
      </c>
      <c r="B406" s="37" t="s">
        <v>3328</v>
      </c>
      <c r="C406" s="22">
        <f>VLOOKUP(A406,'[11]Linea Arquitectonica'!$A$4:$G$823,4,FALSE)</f>
        <v>53.21</v>
      </c>
      <c r="D406" s="22">
        <f>VLOOKUP(A406,'[11]Linea Arquitectonica'!A403:E1226,5,FALSE)</f>
        <v>60.13</v>
      </c>
      <c r="E406" s="22">
        <f>VLOOKUP(A406,'[11]Linea Arquitectonica'!A403:F1226,6,FALSE)</f>
        <v>76.02</v>
      </c>
      <c r="F406" s="22">
        <f>VLOOKUP(A406,'[11]Linea Arquitectonica'!A403:G1226,7,FALSE)</f>
        <v>85.9</v>
      </c>
    </row>
    <row r="407" spans="1:6" x14ac:dyDescent="0.3">
      <c r="A407" s="21" t="s">
        <v>3108</v>
      </c>
      <c r="B407" s="37" t="s">
        <v>3329</v>
      </c>
      <c r="C407" s="22">
        <f>VLOOKUP(A407,'[11]Linea Arquitectonica'!$A$4:$G$823,4,FALSE)</f>
        <v>53.21</v>
      </c>
      <c r="D407" s="22">
        <f>VLOOKUP(A407,'[11]Linea Arquitectonica'!A403:E1227,5,FALSE)</f>
        <v>60.13</v>
      </c>
      <c r="E407" s="22">
        <f>VLOOKUP(A407,'[11]Linea Arquitectonica'!A403:F1227,6,FALSE)</f>
        <v>76.02</v>
      </c>
      <c r="F407" s="22">
        <f>VLOOKUP(A407,'[11]Linea Arquitectonica'!A403:G1227,7,FALSE)</f>
        <v>85.9</v>
      </c>
    </row>
    <row r="408" spans="1:6" x14ac:dyDescent="0.3">
      <c r="A408" s="21" t="s">
        <v>3109</v>
      </c>
      <c r="B408" s="37" t="s">
        <v>3330</v>
      </c>
      <c r="C408" s="22">
        <f>VLOOKUP(A408,'[11]Linea Arquitectonica'!$A$4:$G$823,4,FALSE)</f>
        <v>53.21</v>
      </c>
      <c r="D408" s="22">
        <f>VLOOKUP(A408,'[11]Linea Arquitectonica'!A404:E1228,5,FALSE)</f>
        <v>60.13</v>
      </c>
      <c r="E408" s="22">
        <f>VLOOKUP(A408,'[11]Linea Arquitectonica'!A404:F1228,6,FALSE)</f>
        <v>76.02</v>
      </c>
      <c r="F408" s="22">
        <f>VLOOKUP(A408,'[11]Linea Arquitectonica'!A404:G1228,7,FALSE)</f>
        <v>85.9</v>
      </c>
    </row>
    <row r="409" spans="1:6" x14ac:dyDescent="0.3">
      <c r="A409" s="21" t="s">
        <v>3110</v>
      </c>
      <c r="B409" s="37" t="s">
        <v>3331</v>
      </c>
      <c r="C409" s="22">
        <f>VLOOKUP(A409,'[11]Linea Arquitectonica'!$A$4:$G$823,4,FALSE)</f>
        <v>53.21</v>
      </c>
      <c r="D409" s="22">
        <f>VLOOKUP(A409,'[11]Linea Arquitectonica'!A405:E1229,5,FALSE)</f>
        <v>60.13</v>
      </c>
      <c r="E409" s="22">
        <f>VLOOKUP(A409,'[11]Linea Arquitectonica'!A405:F1229,6,FALSE)</f>
        <v>76.02</v>
      </c>
      <c r="F409" s="22">
        <f>VLOOKUP(A409,'[11]Linea Arquitectonica'!A405:G1229,7,FALSE)</f>
        <v>85.9</v>
      </c>
    </row>
    <row r="410" spans="1:6" x14ac:dyDescent="0.3">
      <c r="A410" s="21" t="s">
        <v>3111</v>
      </c>
      <c r="B410" s="37" t="s">
        <v>3332</v>
      </c>
      <c r="C410" s="22">
        <f>VLOOKUP(A410,'[11]Linea Arquitectonica'!$A$4:$G$823,4,FALSE)</f>
        <v>53.21</v>
      </c>
      <c r="D410" s="22">
        <f>VLOOKUP(A410,'[11]Linea Arquitectonica'!A406:E1230,5,FALSE)</f>
        <v>60.13</v>
      </c>
      <c r="E410" s="22">
        <f>VLOOKUP(A410,'[11]Linea Arquitectonica'!A406:F1230,6,FALSE)</f>
        <v>76.02</v>
      </c>
      <c r="F410" s="22">
        <f>VLOOKUP(A410,'[11]Linea Arquitectonica'!A406:G1230,7,FALSE)</f>
        <v>85.9</v>
      </c>
    </row>
    <row r="411" spans="1:6" x14ac:dyDescent="0.3">
      <c r="A411" s="21" t="s">
        <v>3112</v>
      </c>
      <c r="B411" s="37" t="s">
        <v>3333</v>
      </c>
      <c r="C411" s="22">
        <f>VLOOKUP(A411,'[11]Linea Arquitectonica'!$A$4:$G$823,4,FALSE)</f>
        <v>53.21</v>
      </c>
      <c r="D411" s="22">
        <f>VLOOKUP(A411,'[11]Linea Arquitectonica'!A407:E1231,5,FALSE)</f>
        <v>60.13</v>
      </c>
      <c r="E411" s="22">
        <f>VLOOKUP(A411,'[11]Linea Arquitectonica'!A407:F1231,6,FALSE)</f>
        <v>76.02</v>
      </c>
      <c r="F411" s="22">
        <f>VLOOKUP(A411,'[11]Linea Arquitectonica'!A407:G1231,7,FALSE)</f>
        <v>85.9</v>
      </c>
    </row>
    <row r="412" spans="1:6" x14ac:dyDescent="0.3">
      <c r="A412" s="21" t="s">
        <v>3113</v>
      </c>
      <c r="B412" s="37" t="s">
        <v>3334</v>
      </c>
      <c r="C412" s="22">
        <f>VLOOKUP(A412,'[11]Linea Arquitectonica'!$A$4:$G$823,4,FALSE)</f>
        <v>53.21</v>
      </c>
      <c r="D412" s="22">
        <f>VLOOKUP(A412,'[11]Linea Arquitectonica'!A408:E1232,5,FALSE)</f>
        <v>60.13</v>
      </c>
      <c r="E412" s="22">
        <f>VLOOKUP(A412,'[11]Linea Arquitectonica'!A408:F1232,6,FALSE)</f>
        <v>76.02</v>
      </c>
      <c r="F412" s="22">
        <f>VLOOKUP(A412,'[11]Linea Arquitectonica'!A408:G1232,7,FALSE)</f>
        <v>85.9</v>
      </c>
    </row>
    <row r="413" spans="1:6" x14ac:dyDescent="0.3">
      <c r="A413" s="21" t="s">
        <v>3021</v>
      </c>
      <c r="B413" s="37" t="s">
        <v>3335</v>
      </c>
      <c r="C413" s="22">
        <f>VLOOKUP(A413,'[11]Linea Arquitectonica'!$A$4:$G$823,4,FALSE)</f>
        <v>53.21</v>
      </c>
      <c r="D413" s="22">
        <f>VLOOKUP(A413,'[11]Linea Arquitectonica'!A409:E1233,5,FALSE)</f>
        <v>60.13</v>
      </c>
      <c r="E413" s="22">
        <f>VLOOKUP(A413,'[11]Linea Arquitectonica'!A409:F1233,6,FALSE)</f>
        <v>76.02</v>
      </c>
      <c r="F413" s="22">
        <f>VLOOKUP(A413,'[11]Linea Arquitectonica'!A409:G1233,7,FALSE)</f>
        <v>85.9</v>
      </c>
    </row>
    <row r="414" spans="1:6" x14ac:dyDescent="0.3">
      <c r="A414" s="21" t="s">
        <v>3114</v>
      </c>
      <c r="B414" s="37" t="s">
        <v>3336</v>
      </c>
      <c r="C414" s="22">
        <f>VLOOKUP(A414,'[11]Linea Arquitectonica'!$A$4:$G$823,4,FALSE)</f>
        <v>53.21</v>
      </c>
      <c r="D414" s="22">
        <f>VLOOKUP(A414,'[11]Linea Arquitectonica'!A410:E1234,5,FALSE)</f>
        <v>60.13</v>
      </c>
      <c r="E414" s="22">
        <f>VLOOKUP(A414,'[11]Linea Arquitectonica'!A410:F1234,6,FALSE)</f>
        <v>76.02</v>
      </c>
      <c r="F414" s="22">
        <f>VLOOKUP(A414,'[11]Linea Arquitectonica'!A410:G1234,7,FALSE)</f>
        <v>85.9</v>
      </c>
    </row>
    <row r="415" spans="1:6" x14ac:dyDescent="0.3">
      <c r="A415" s="21" t="s">
        <v>3115</v>
      </c>
      <c r="B415" s="37" t="s">
        <v>3337</v>
      </c>
      <c r="C415" s="22">
        <f>VLOOKUP(A415,'[11]Linea Arquitectonica'!$A$4:$G$823,4,FALSE)</f>
        <v>53.21</v>
      </c>
      <c r="D415" s="22">
        <f>VLOOKUP(A415,'[11]Linea Arquitectonica'!A411:E1235,5,FALSE)</f>
        <v>60.13</v>
      </c>
      <c r="E415" s="22">
        <f>VLOOKUP(A415,'[11]Linea Arquitectonica'!A411:F1235,6,FALSE)</f>
        <v>76.02</v>
      </c>
      <c r="F415" s="22">
        <f>VLOOKUP(A415,'[11]Linea Arquitectonica'!A411:G1235,7,FALSE)</f>
        <v>85.9</v>
      </c>
    </row>
    <row r="416" spans="1:6" x14ac:dyDescent="0.3">
      <c r="A416" s="21" t="s">
        <v>410</v>
      </c>
      <c r="B416" s="37" t="s">
        <v>411</v>
      </c>
      <c r="C416" s="22">
        <f>VLOOKUP(A416,'[11]Linea Arquitectonica'!$A$4:$G$823,4,FALSE)</f>
        <v>7.96</v>
      </c>
      <c r="D416" s="22">
        <f>VLOOKUP(A416,'[11]Linea Arquitectonica'!A412:E1236,5,FALSE)</f>
        <v>9</v>
      </c>
      <c r="E416" s="22">
        <f>VLOOKUP(A416,'[11]Linea Arquitectonica'!A412:F1236,6,FALSE)</f>
        <v>11.06</v>
      </c>
      <c r="F416" s="22">
        <f>VLOOKUP(A416,'[11]Linea Arquitectonica'!A412:G1236,7,FALSE)</f>
        <v>12.5</v>
      </c>
    </row>
    <row r="417" spans="1:6" x14ac:dyDescent="0.3">
      <c r="A417" s="21" t="s">
        <v>412</v>
      </c>
      <c r="B417" s="37" t="s">
        <v>413</v>
      </c>
      <c r="C417" s="22">
        <f>VLOOKUP(A417,'[11]Linea Arquitectonica'!$A$4:$G$823,4,FALSE)</f>
        <v>7.96</v>
      </c>
      <c r="D417" s="22">
        <f>VLOOKUP(A417,'[11]Linea Arquitectonica'!A413:E1237,5,FALSE)</f>
        <v>9</v>
      </c>
      <c r="E417" s="22">
        <f>VLOOKUP(A417,'[11]Linea Arquitectonica'!A413:F1237,6,FALSE)</f>
        <v>11.06</v>
      </c>
      <c r="F417" s="22">
        <f>VLOOKUP(A417,'[11]Linea Arquitectonica'!A413:G1237,7,FALSE)</f>
        <v>12.5</v>
      </c>
    </row>
    <row r="418" spans="1:6" x14ac:dyDescent="0.3">
      <c r="A418" s="21" t="s">
        <v>414</v>
      </c>
      <c r="B418" s="37" t="s">
        <v>415</v>
      </c>
      <c r="C418" s="22">
        <f>VLOOKUP(A418,'[11]Linea Arquitectonica'!$A$4:$G$823,4,FALSE)</f>
        <v>7.96</v>
      </c>
      <c r="D418" s="22">
        <f>VLOOKUP(A418,'[11]Linea Arquitectonica'!A414:E1238,5,FALSE)</f>
        <v>9</v>
      </c>
      <c r="E418" s="22">
        <f>VLOOKUP(A418,'[11]Linea Arquitectonica'!A414:F1238,6,FALSE)</f>
        <v>11.06</v>
      </c>
      <c r="F418" s="22">
        <f>VLOOKUP(A418,'[11]Linea Arquitectonica'!A414:G1238,7,FALSE)</f>
        <v>12.5</v>
      </c>
    </row>
    <row r="419" spans="1:6" x14ac:dyDescent="0.3">
      <c r="A419" s="21" t="s">
        <v>416</v>
      </c>
      <c r="B419" s="37" t="s">
        <v>417</v>
      </c>
      <c r="C419" s="22">
        <f>VLOOKUP(A419,'[11]Linea Arquitectonica'!$A$4:$G$823,4,FALSE)</f>
        <v>7.96</v>
      </c>
      <c r="D419" s="22">
        <f>VLOOKUP(A419,'[11]Linea Arquitectonica'!A415:E1239,5,FALSE)</f>
        <v>9</v>
      </c>
      <c r="E419" s="22">
        <f>VLOOKUP(A419,'[11]Linea Arquitectonica'!A415:F1239,6,FALSE)</f>
        <v>11.06</v>
      </c>
      <c r="F419" s="22">
        <f>VLOOKUP(A419,'[11]Linea Arquitectonica'!A415:G1239,7,FALSE)</f>
        <v>12.5</v>
      </c>
    </row>
    <row r="420" spans="1:6" x14ac:dyDescent="0.3">
      <c r="A420" s="21" t="s">
        <v>418</v>
      </c>
      <c r="B420" s="37" t="s">
        <v>419</v>
      </c>
      <c r="C420" s="22">
        <f>VLOOKUP(A420,'[11]Linea Arquitectonica'!$A$4:$G$823,4,FALSE)</f>
        <v>7.96</v>
      </c>
      <c r="D420" s="22">
        <f>VLOOKUP(A420,'[11]Linea Arquitectonica'!A416:E1240,5,FALSE)</f>
        <v>9</v>
      </c>
      <c r="E420" s="22">
        <f>VLOOKUP(A420,'[11]Linea Arquitectonica'!A416:F1240,6,FALSE)</f>
        <v>11.06</v>
      </c>
      <c r="F420" s="22">
        <f>VLOOKUP(A420,'[11]Linea Arquitectonica'!A416:G1240,7,FALSE)</f>
        <v>12.5</v>
      </c>
    </row>
    <row r="421" spans="1:6" x14ac:dyDescent="0.3">
      <c r="A421" s="21" t="s">
        <v>420</v>
      </c>
      <c r="B421" s="37" t="s">
        <v>421</v>
      </c>
      <c r="C421" s="22">
        <f>VLOOKUP(A421,'[11]Linea Arquitectonica'!$A$4:$G$823,4,FALSE)</f>
        <v>7.96</v>
      </c>
      <c r="D421" s="22">
        <f>VLOOKUP(A421,'[11]Linea Arquitectonica'!A417:E1241,5,FALSE)</f>
        <v>9</v>
      </c>
      <c r="E421" s="22">
        <f>VLOOKUP(A421,'[11]Linea Arquitectonica'!A417:F1241,6,FALSE)</f>
        <v>11.06</v>
      </c>
      <c r="F421" s="22">
        <f>VLOOKUP(A421,'[11]Linea Arquitectonica'!A417:G1241,7,FALSE)</f>
        <v>12.5</v>
      </c>
    </row>
    <row r="422" spans="1:6" x14ac:dyDescent="0.3">
      <c r="A422" s="21" t="s">
        <v>422</v>
      </c>
      <c r="B422" s="37" t="s">
        <v>423</v>
      </c>
      <c r="C422" s="22">
        <f>VLOOKUP(A422,'[11]Linea Arquitectonica'!$A$4:$G$823,4,FALSE)</f>
        <v>7.96</v>
      </c>
      <c r="D422" s="22">
        <f>VLOOKUP(A422,'[11]Linea Arquitectonica'!A418:E1242,5,FALSE)</f>
        <v>9</v>
      </c>
      <c r="E422" s="22">
        <f>VLOOKUP(A422,'[11]Linea Arquitectonica'!A418:F1242,6,FALSE)</f>
        <v>11.06</v>
      </c>
      <c r="F422" s="22">
        <f>VLOOKUP(A422,'[11]Linea Arquitectonica'!A418:G1242,7,FALSE)</f>
        <v>12.5</v>
      </c>
    </row>
    <row r="423" spans="1:6" x14ac:dyDescent="0.3">
      <c r="A423" s="21" t="s">
        <v>424</v>
      </c>
      <c r="B423" s="37" t="s">
        <v>425</v>
      </c>
      <c r="C423" s="22">
        <f>VLOOKUP(A423,'[11]Linea Arquitectonica'!$A$4:$G$823,4,FALSE)</f>
        <v>7.96</v>
      </c>
      <c r="D423" s="22">
        <f>VLOOKUP(A423,'[11]Linea Arquitectonica'!A419:E1243,5,FALSE)</f>
        <v>9</v>
      </c>
      <c r="E423" s="22">
        <f>VLOOKUP(A423,'[11]Linea Arquitectonica'!A419:F1243,6,FALSE)</f>
        <v>11.06</v>
      </c>
      <c r="F423" s="22">
        <f>VLOOKUP(A423,'[11]Linea Arquitectonica'!A419:G1243,7,FALSE)</f>
        <v>12.5</v>
      </c>
    </row>
    <row r="424" spans="1:6" x14ac:dyDescent="0.3">
      <c r="A424" s="21" t="s">
        <v>426</v>
      </c>
      <c r="B424" s="37" t="s">
        <v>427</v>
      </c>
      <c r="C424" s="22">
        <f>VLOOKUP(A424,'[11]Linea Arquitectonica'!$A$4:$G$823,4,FALSE)</f>
        <v>7.96</v>
      </c>
      <c r="D424" s="22">
        <f>VLOOKUP(A424,'[11]Linea Arquitectonica'!A420:E1244,5,FALSE)</f>
        <v>9</v>
      </c>
      <c r="E424" s="22">
        <f>VLOOKUP(A424,'[11]Linea Arquitectonica'!A420:F1244,6,FALSE)</f>
        <v>11.06</v>
      </c>
      <c r="F424" s="22">
        <f>VLOOKUP(A424,'[11]Linea Arquitectonica'!A420:G1244,7,FALSE)</f>
        <v>12.5</v>
      </c>
    </row>
    <row r="425" spans="1:6" x14ac:dyDescent="0.3">
      <c r="A425" s="21" t="s">
        <v>428</v>
      </c>
      <c r="B425" s="37" t="s">
        <v>429</v>
      </c>
      <c r="C425" s="22">
        <f>VLOOKUP(A425,'[11]Linea Arquitectonica'!$A$4:$G$823,4,FALSE)</f>
        <v>7.96</v>
      </c>
      <c r="D425" s="22">
        <f>VLOOKUP(A425,'[11]Linea Arquitectonica'!A421:E1245,5,FALSE)</f>
        <v>9</v>
      </c>
      <c r="E425" s="22">
        <f>VLOOKUP(A425,'[11]Linea Arquitectonica'!A421:F1245,6,FALSE)</f>
        <v>11.06</v>
      </c>
      <c r="F425" s="22">
        <f>VLOOKUP(A425,'[11]Linea Arquitectonica'!A421:G1245,7,FALSE)</f>
        <v>12.5</v>
      </c>
    </row>
    <row r="426" spans="1:6" x14ac:dyDescent="0.3">
      <c r="A426" s="21" t="s">
        <v>430</v>
      </c>
      <c r="B426" s="37" t="s">
        <v>431</v>
      </c>
      <c r="C426" s="22">
        <f>VLOOKUP(A426,'[11]Linea Arquitectonica'!$A$4:$G$823,4,FALSE)</f>
        <v>7.96</v>
      </c>
      <c r="D426" s="22">
        <f>VLOOKUP(A426,'[11]Linea Arquitectonica'!A422:E1246,5,FALSE)</f>
        <v>9</v>
      </c>
      <c r="E426" s="22">
        <f>VLOOKUP(A426,'[11]Linea Arquitectonica'!A422:F1246,6,FALSE)</f>
        <v>11.06</v>
      </c>
      <c r="F426" s="22">
        <f>VLOOKUP(A426,'[11]Linea Arquitectonica'!A422:G1246,7,FALSE)</f>
        <v>12.5</v>
      </c>
    </row>
    <row r="427" spans="1:6" x14ac:dyDescent="0.3">
      <c r="A427" s="21" t="s">
        <v>432</v>
      </c>
      <c r="B427" s="37" t="s">
        <v>433</v>
      </c>
      <c r="C427" s="22">
        <f>VLOOKUP(A427,'[11]Linea Arquitectonica'!$A$4:$G$823,4,FALSE)</f>
        <v>7.96</v>
      </c>
      <c r="D427" s="22">
        <f>VLOOKUP(A427,'[11]Linea Arquitectonica'!A423:E1247,5,FALSE)</f>
        <v>9</v>
      </c>
      <c r="E427" s="22">
        <f>VLOOKUP(A427,'[11]Linea Arquitectonica'!A423:F1247,6,FALSE)</f>
        <v>11.06</v>
      </c>
      <c r="F427" s="22">
        <f>VLOOKUP(A427,'[11]Linea Arquitectonica'!A423:G1247,7,FALSE)</f>
        <v>12.5</v>
      </c>
    </row>
    <row r="428" spans="1:6" x14ac:dyDescent="0.3">
      <c r="A428" s="21" t="s">
        <v>434</v>
      </c>
      <c r="B428" s="37" t="s">
        <v>435</v>
      </c>
      <c r="C428" s="22">
        <f>VLOOKUP(A428,'[11]Linea Arquitectonica'!$A$4:$G$823,4,FALSE)</f>
        <v>7.96</v>
      </c>
      <c r="D428" s="22">
        <f>VLOOKUP(A428,'[11]Linea Arquitectonica'!A424:E1248,5,FALSE)</f>
        <v>9</v>
      </c>
      <c r="E428" s="22">
        <f>VLOOKUP(A428,'[11]Linea Arquitectonica'!A424:F1248,6,FALSE)</f>
        <v>11.06</v>
      </c>
      <c r="F428" s="22">
        <f>VLOOKUP(A428,'[11]Linea Arquitectonica'!A424:G1248,7,FALSE)</f>
        <v>12.5</v>
      </c>
    </row>
    <row r="429" spans="1:6" x14ac:dyDescent="0.3">
      <c r="A429" s="21" t="s">
        <v>436</v>
      </c>
      <c r="B429" s="37" t="s">
        <v>437</v>
      </c>
      <c r="C429" s="22">
        <f>VLOOKUP(A429,'[11]Linea Arquitectonica'!$A$4:$G$823,4,FALSE)</f>
        <v>7.96</v>
      </c>
      <c r="D429" s="22">
        <f>VLOOKUP(A429,'[11]Linea Arquitectonica'!A425:E1249,5,FALSE)</f>
        <v>9</v>
      </c>
      <c r="E429" s="22">
        <f>VLOOKUP(A429,'[11]Linea Arquitectonica'!A425:F1249,6,FALSE)</f>
        <v>11.06</v>
      </c>
      <c r="F429" s="22">
        <f>VLOOKUP(A429,'[11]Linea Arquitectonica'!A425:G1249,7,FALSE)</f>
        <v>12.5</v>
      </c>
    </row>
    <row r="430" spans="1:6" x14ac:dyDescent="0.3">
      <c r="A430" s="21" t="s">
        <v>438</v>
      </c>
      <c r="B430" s="37" t="s">
        <v>439</v>
      </c>
      <c r="C430" s="22">
        <f>VLOOKUP(A430,'[11]Linea Arquitectonica'!$A$4:$G$823,4,FALSE)</f>
        <v>7.96</v>
      </c>
      <c r="D430" s="22">
        <f>VLOOKUP(A430,'[11]Linea Arquitectonica'!A426:E1250,5,FALSE)</f>
        <v>9</v>
      </c>
      <c r="E430" s="22">
        <f>VLOOKUP(A430,'[11]Linea Arquitectonica'!A426:F1250,6,FALSE)</f>
        <v>11.06</v>
      </c>
      <c r="F430" s="22">
        <f>VLOOKUP(A430,'[11]Linea Arquitectonica'!A426:G1250,7,FALSE)</f>
        <v>12.5</v>
      </c>
    </row>
    <row r="431" spans="1:6" x14ac:dyDescent="0.3">
      <c r="A431" s="21" t="s">
        <v>440</v>
      </c>
      <c r="B431" s="37" t="s">
        <v>441</v>
      </c>
      <c r="C431" s="22">
        <f>VLOOKUP(A431,'[11]Linea Arquitectonica'!$A$4:$G$823,4,FALSE)</f>
        <v>7.96</v>
      </c>
      <c r="D431" s="22">
        <f>VLOOKUP(A431,'[11]Linea Arquitectonica'!A427:E1251,5,FALSE)</f>
        <v>9</v>
      </c>
      <c r="E431" s="22">
        <f>VLOOKUP(A431,'[11]Linea Arquitectonica'!A427:F1251,6,FALSE)</f>
        <v>11.06</v>
      </c>
      <c r="F431" s="22">
        <f>VLOOKUP(A431,'[11]Linea Arquitectonica'!A427:G1251,7,FALSE)</f>
        <v>12.5</v>
      </c>
    </row>
    <row r="432" spans="1:6" x14ac:dyDescent="0.3">
      <c r="A432" s="21" t="s">
        <v>442</v>
      </c>
      <c r="B432" s="37" t="s">
        <v>443</v>
      </c>
      <c r="C432" s="22">
        <f>VLOOKUP(A432,'[11]Linea Arquitectonica'!$A$4:$G$823,4,FALSE)</f>
        <v>7.96</v>
      </c>
      <c r="D432" s="22">
        <f>VLOOKUP(A432,'[11]Linea Arquitectonica'!A428:E1252,5,FALSE)</f>
        <v>9</v>
      </c>
      <c r="E432" s="22">
        <f>VLOOKUP(A432,'[11]Linea Arquitectonica'!A428:F1252,6,FALSE)</f>
        <v>11.06</v>
      </c>
      <c r="F432" s="22">
        <f>VLOOKUP(A432,'[11]Linea Arquitectonica'!A428:G1252,7,FALSE)</f>
        <v>12.5</v>
      </c>
    </row>
    <row r="433" spans="1:6" x14ac:dyDescent="0.3">
      <c r="A433" s="21" t="s">
        <v>444</v>
      </c>
      <c r="B433" s="37" t="s">
        <v>445</v>
      </c>
      <c r="C433" s="22">
        <f>VLOOKUP(A433,'[11]Linea Arquitectonica'!$A$4:$G$823,4,FALSE)</f>
        <v>7.96</v>
      </c>
      <c r="D433" s="22">
        <f>VLOOKUP(A433,'[11]Linea Arquitectonica'!A429:E1253,5,FALSE)</f>
        <v>9</v>
      </c>
      <c r="E433" s="22">
        <f>VLOOKUP(A433,'[11]Linea Arquitectonica'!A429:F1253,6,FALSE)</f>
        <v>11.06</v>
      </c>
      <c r="F433" s="22">
        <f>VLOOKUP(A433,'[11]Linea Arquitectonica'!A429:G1253,7,FALSE)</f>
        <v>12.5</v>
      </c>
    </row>
    <row r="434" spans="1:6" x14ac:dyDescent="0.3">
      <c r="A434" s="21" t="s">
        <v>446</v>
      </c>
      <c r="B434" s="37" t="s">
        <v>447</v>
      </c>
      <c r="C434" s="22">
        <f>VLOOKUP(A434,'[11]Linea Arquitectonica'!$A$4:$G$823,4,FALSE)</f>
        <v>7.96</v>
      </c>
      <c r="D434" s="22">
        <f>VLOOKUP(A434,'[11]Linea Arquitectonica'!A430:E1254,5,FALSE)</f>
        <v>9</v>
      </c>
      <c r="E434" s="22">
        <f>VLOOKUP(A434,'[11]Linea Arquitectonica'!A430:F1254,6,FALSE)</f>
        <v>11.06</v>
      </c>
      <c r="F434" s="22">
        <f>VLOOKUP(A434,'[11]Linea Arquitectonica'!A430:G1254,7,FALSE)</f>
        <v>12.5</v>
      </c>
    </row>
    <row r="435" spans="1:6" x14ac:dyDescent="0.3">
      <c r="A435" s="21" t="s">
        <v>448</v>
      </c>
      <c r="B435" s="37" t="s">
        <v>449</v>
      </c>
      <c r="C435" s="22">
        <f>VLOOKUP(A435,'[11]Linea Arquitectonica'!$A$4:$G$823,4,FALSE)</f>
        <v>7.96</v>
      </c>
      <c r="D435" s="22">
        <f>VLOOKUP(A435,'[11]Linea Arquitectonica'!A431:E1255,5,FALSE)</f>
        <v>9</v>
      </c>
      <c r="E435" s="22">
        <f>VLOOKUP(A435,'[11]Linea Arquitectonica'!A431:F1255,6,FALSE)</f>
        <v>11.06</v>
      </c>
      <c r="F435" s="22">
        <f>VLOOKUP(A435,'[11]Linea Arquitectonica'!A431:G1255,7,FALSE)</f>
        <v>12.5</v>
      </c>
    </row>
    <row r="436" spans="1:6" x14ac:dyDescent="0.3">
      <c r="A436" s="21" t="s">
        <v>450</v>
      </c>
      <c r="B436" s="37" t="s">
        <v>451</v>
      </c>
      <c r="C436" s="22">
        <f>VLOOKUP(A436,'[11]Linea Arquitectonica'!$A$4:$G$823,4,FALSE)</f>
        <v>7.96</v>
      </c>
      <c r="D436" s="22">
        <f>VLOOKUP(A436,'[11]Linea Arquitectonica'!A432:E1256,5,FALSE)</f>
        <v>9</v>
      </c>
      <c r="E436" s="22">
        <f>VLOOKUP(A436,'[11]Linea Arquitectonica'!A432:F1256,6,FALSE)</f>
        <v>11.06</v>
      </c>
      <c r="F436" s="22">
        <f>VLOOKUP(A436,'[11]Linea Arquitectonica'!A432:G1256,7,FALSE)</f>
        <v>12.5</v>
      </c>
    </row>
    <row r="437" spans="1:6" x14ac:dyDescent="0.3">
      <c r="A437" s="21" t="s">
        <v>452</v>
      </c>
      <c r="B437" s="37" t="s">
        <v>453</v>
      </c>
      <c r="C437" s="22">
        <f>VLOOKUP(A437,'[11]Linea Arquitectonica'!$A$4:$G$823,4,FALSE)</f>
        <v>7.96</v>
      </c>
      <c r="D437" s="22">
        <f>VLOOKUP(A437,'[11]Linea Arquitectonica'!A433:E1257,5,FALSE)</f>
        <v>9</v>
      </c>
      <c r="E437" s="22">
        <f>VLOOKUP(A437,'[11]Linea Arquitectonica'!A433:F1257,6,FALSE)</f>
        <v>11.06</v>
      </c>
      <c r="F437" s="22">
        <f>VLOOKUP(A437,'[11]Linea Arquitectonica'!A433:G1257,7,FALSE)</f>
        <v>12.5</v>
      </c>
    </row>
    <row r="438" spans="1:6" x14ac:dyDescent="0.3">
      <c r="A438" s="21" t="s">
        <v>454</v>
      </c>
      <c r="B438" s="37" t="s">
        <v>455</v>
      </c>
      <c r="C438" s="22">
        <f>VLOOKUP(A438,'[11]Linea Arquitectonica'!$A$4:$G$823,4,FALSE)</f>
        <v>7.96</v>
      </c>
      <c r="D438" s="22">
        <f>VLOOKUP(A438,'[11]Linea Arquitectonica'!A434:E1258,5,FALSE)</f>
        <v>9</v>
      </c>
      <c r="E438" s="22">
        <f>VLOOKUP(A438,'[11]Linea Arquitectonica'!A434:F1258,6,FALSE)</f>
        <v>11.06</v>
      </c>
      <c r="F438" s="22">
        <f>VLOOKUP(A438,'[11]Linea Arquitectonica'!A434:G1258,7,FALSE)</f>
        <v>12.5</v>
      </c>
    </row>
    <row r="439" spans="1:6" x14ac:dyDescent="0.3">
      <c r="A439" s="21" t="s">
        <v>456</v>
      </c>
      <c r="B439" s="37" t="s">
        <v>457</v>
      </c>
      <c r="C439" s="22">
        <f>VLOOKUP(A439,'[11]Linea Arquitectonica'!$A$4:$G$823,4,FALSE)</f>
        <v>7.96</v>
      </c>
      <c r="D439" s="22">
        <f>VLOOKUP(A439,'[11]Linea Arquitectonica'!A435:E1259,5,FALSE)</f>
        <v>9</v>
      </c>
      <c r="E439" s="22">
        <f>VLOOKUP(A439,'[11]Linea Arquitectonica'!A435:F1259,6,FALSE)</f>
        <v>11.06</v>
      </c>
      <c r="F439" s="22">
        <f>VLOOKUP(A439,'[11]Linea Arquitectonica'!A435:G1259,7,FALSE)</f>
        <v>12.5</v>
      </c>
    </row>
    <row r="440" spans="1:6" x14ac:dyDescent="0.3">
      <c r="A440" s="21" t="s">
        <v>458</v>
      </c>
      <c r="B440" s="37" t="s">
        <v>459</v>
      </c>
      <c r="C440" s="22">
        <f>VLOOKUP(A440,'[11]Linea Arquitectonica'!$A$4:$G$823,4,FALSE)</f>
        <v>7.96</v>
      </c>
      <c r="D440" s="22">
        <f>VLOOKUP(A440,'[11]Linea Arquitectonica'!A436:E1260,5,FALSE)</f>
        <v>9</v>
      </c>
      <c r="E440" s="22">
        <f>VLOOKUP(A440,'[11]Linea Arquitectonica'!A436:F1260,6,FALSE)</f>
        <v>11.06</v>
      </c>
      <c r="F440" s="22">
        <f>VLOOKUP(A440,'[11]Linea Arquitectonica'!A436:G1260,7,FALSE)</f>
        <v>12.5</v>
      </c>
    </row>
    <row r="441" spans="1:6" x14ac:dyDescent="0.3">
      <c r="A441" s="21" t="s">
        <v>460</v>
      </c>
      <c r="B441" s="37" t="s">
        <v>461</v>
      </c>
      <c r="C441" s="22">
        <f>VLOOKUP(A441,'[11]Linea Arquitectonica'!$A$4:$G$823,4,FALSE)</f>
        <v>7.96</v>
      </c>
      <c r="D441" s="22">
        <f>VLOOKUP(A441,'[11]Linea Arquitectonica'!A437:E1261,5,FALSE)</f>
        <v>9</v>
      </c>
      <c r="E441" s="22">
        <f>VLOOKUP(A441,'[11]Linea Arquitectonica'!A437:F1261,6,FALSE)</f>
        <v>11.06</v>
      </c>
      <c r="F441" s="22">
        <f>VLOOKUP(A441,'[11]Linea Arquitectonica'!A437:G1261,7,FALSE)</f>
        <v>12.5</v>
      </c>
    </row>
    <row r="442" spans="1:6" x14ac:dyDescent="0.3">
      <c r="A442" s="21" t="s">
        <v>462</v>
      </c>
      <c r="B442" s="37" t="s">
        <v>463</v>
      </c>
      <c r="C442" s="22">
        <f>VLOOKUP(A442,'[11]Linea Arquitectonica'!$A$4:$G$823,4,FALSE)</f>
        <v>7.96</v>
      </c>
      <c r="D442" s="22">
        <f>VLOOKUP(A442,'[11]Linea Arquitectonica'!A438:E1262,5,FALSE)</f>
        <v>9</v>
      </c>
      <c r="E442" s="22">
        <f>VLOOKUP(A442,'[11]Linea Arquitectonica'!A438:F1262,6,FALSE)</f>
        <v>11.06</v>
      </c>
      <c r="F442" s="22">
        <f>VLOOKUP(A442,'[11]Linea Arquitectonica'!A438:G1262,7,FALSE)</f>
        <v>12.5</v>
      </c>
    </row>
    <row r="443" spans="1:6" x14ac:dyDescent="0.3">
      <c r="A443" s="38" t="s">
        <v>464</v>
      </c>
      <c r="B443" s="37" t="s">
        <v>411</v>
      </c>
      <c r="C443" s="22">
        <f>VLOOKUP(A443,'[11]Linea Arquitectonica'!$A$4:$G$823,4,FALSE)</f>
        <v>33.71</v>
      </c>
      <c r="D443" s="22">
        <f>VLOOKUP(A443,'[11]Linea Arquitectonica'!A439:E1263,5,FALSE)</f>
        <v>38.090000000000003</v>
      </c>
      <c r="E443" s="22">
        <f>VLOOKUP(A443,'[11]Linea Arquitectonica'!A439:F1263,6,FALSE)</f>
        <v>46.81</v>
      </c>
      <c r="F443" s="22">
        <f>VLOOKUP(A443,'[11]Linea Arquitectonica'!A439:G1263,7,FALSE)</f>
        <v>52.9</v>
      </c>
    </row>
    <row r="444" spans="1:6" x14ac:dyDescent="0.3">
      <c r="A444" s="38" t="s">
        <v>465</v>
      </c>
      <c r="B444" s="37" t="s">
        <v>413</v>
      </c>
      <c r="C444" s="22">
        <f>VLOOKUP(A444,'[11]Linea Arquitectonica'!$A$4:$G$823,4,FALSE)</f>
        <v>33.71</v>
      </c>
      <c r="D444" s="22">
        <f>VLOOKUP(A444,'[11]Linea Arquitectonica'!A440:E1264,5,FALSE)</f>
        <v>38.090000000000003</v>
      </c>
      <c r="E444" s="22">
        <f>VLOOKUP(A444,'[11]Linea Arquitectonica'!A440:F1264,6,FALSE)</f>
        <v>46.81</v>
      </c>
      <c r="F444" s="22">
        <f>VLOOKUP(A444,'[11]Linea Arquitectonica'!A440:G1264,7,FALSE)</f>
        <v>52.9</v>
      </c>
    </row>
    <row r="445" spans="1:6" x14ac:dyDescent="0.3">
      <c r="A445" s="38" t="s">
        <v>466</v>
      </c>
      <c r="B445" s="37" t="s">
        <v>415</v>
      </c>
      <c r="C445" s="22">
        <f>VLOOKUP(A445,'[11]Linea Arquitectonica'!$A$4:$G$823,4,FALSE)</f>
        <v>33.71</v>
      </c>
      <c r="D445" s="22">
        <f>VLOOKUP(A445,'[11]Linea Arquitectonica'!A441:E1265,5,FALSE)</f>
        <v>38.090000000000003</v>
      </c>
      <c r="E445" s="22">
        <f>VLOOKUP(A445,'[11]Linea Arquitectonica'!A441:F1265,6,FALSE)</f>
        <v>46.81</v>
      </c>
      <c r="F445" s="22">
        <f>VLOOKUP(A445,'[11]Linea Arquitectonica'!A441:G1265,7,FALSE)</f>
        <v>52.9</v>
      </c>
    </row>
    <row r="446" spans="1:6" x14ac:dyDescent="0.3">
      <c r="A446" s="38" t="s">
        <v>467</v>
      </c>
      <c r="B446" s="37" t="s">
        <v>421</v>
      </c>
      <c r="C446" s="22">
        <f>VLOOKUP(A446,'[11]Linea Arquitectonica'!$A$4:$G$823,4,FALSE)</f>
        <v>33.71</v>
      </c>
      <c r="D446" s="22">
        <f>VLOOKUP(A446,'[11]Linea Arquitectonica'!A442:E1266,5,FALSE)</f>
        <v>38.090000000000003</v>
      </c>
      <c r="E446" s="22">
        <f>VLOOKUP(A446,'[11]Linea Arquitectonica'!A442:F1266,6,FALSE)</f>
        <v>46.81</v>
      </c>
      <c r="F446" s="22">
        <f>VLOOKUP(A446,'[11]Linea Arquitectonica'!A442:G1266,7,FALSE)</f>
        <v>52.9</v>
      </c>
    </row>
    <row r="447" spans="1:6" x14ac:dyDescent="0.3">
      <c r="A447" s="38" t="s">
        <v>468</v>
      </c>
      <c r="B447" s="37" t="s">
        <v>419</v>
      </c>
      <c r="C447" s="22">
        <f>VLOOKUP(A447,'[11]Linea Arquitectonica'!$A$4:$G$823,4,FALSE)</f>
        <v>33.71</v>
      </c>
      <c r="D447" s="22">
        <f>VLOOKUP(A447,'[11]Linea Arquitectonica'!A443:E1267,5,FALSE)</f>
        <v>38.090000000000003</v>
      </c>
      <c r="E447" s="22">
        <f>VLOOKUP(A447,'[11]Linea Arquitectonica'!A443:F1267,6,FALSE)</f>
        <v>46.81</v>
      </c>
      <c r="F447" s="22">
        <f>VLOOKUP(A447,'[11]Linea Arquitectonica'!A443:G1267,7,FALSE)</f>
        <v>52.9</v>
      </c>
    </row>
    <row r="448" spans="1:6" x14ac:dyDescent="0.3">
      <c r="A448" s="38" t="s">
        <v>469</v>
      </c>
      <c r="B448" s="37" t="s">
        <v>417</v>
      </c>
      <c r="C448" s="22">
        <f>VLOOKUP(A448,'[11]Linea Arquitectonica'!$A$4:$G$823,4,FALSE)</f>
        <v>33.71</v>
      </c>
      <c r="D448" s="22">
        <f>VLOOKUP(A448,'[11]Linea Arquitectonica'!A444:E1268,5,FALSE)</f>
        <v>38.090000000000003</v>
      </c>
      <c r="E448" s="22">
        <f>VLOOKUP(A448,'[11]Linea Arquitectonica'!A444:F1268,6,FALSE)</f>
        <v>46.81</v>
      </c>
      <c r="F448" s="22">
        <f>VLOOKUP(A448,'[11]Linea Arquitectonica'!A444:G1268,7,FALSE)</f>
        <v>52.9</v>
      </c>
    </row>
    <row r="449" spans="1:6" x14ac:dyDescent="0.3">
      <c r="A449" s="38" t="s">
        <v>470</v>
      </c>
      <c r="B449" s="37" t="s">
        <v>423</v>
      </c>
      <c r="C449" s="22">
        <f>VLOOKUP(A449,'[11]Linea Arquitectonica'!$A$4:$G$823,4,FALSE)</f>
        <v>33.71</v>
      </c>
      <c r="D449" s="22">
        <f>VLOOKUP(A449,'[11]Linea Arquitectonica'!A445:E1269,5,FALSE)</f>
        <v>38.090000000000003</v>
      </c>
      <c r="E449" s="22">
        <f>VLOOKUP(A449,'[11]Linea Arquitectonica'!A445:F1269,6,FALSE)</f>
        <v>46.81</v>
      </c>
      <c r="F449" s="22">
        <f>VLOOKUP(A449,'[11]Linea Arquitectonica'!A445:G1269,7,FALSE)</f>
        <v>52.9</v>
      </c>
    </row>
    <row r="450" spans="1:6" x14ac:dyDescent="0.3">
      <c r="A450" s="38" t="s">
        <v>471</v>
      </c>
      <c r="B450" s="37" t="s">
        <v>425</v>
      </c>
      <c r="C450" s="22">
        <f>VLOOKUP(A450,'[11]Linea Arquitectonica'!$A$4:$G$823,4,FALSE)</f>
        <v>33.71</v>
      </c>
      <c r="D450" s="22">
        <f>VLOOKUP(A450,'[11]Linea Arquitectonica'!A446:E1270,5,FALSE)</f>
        <v>38.090000000000003</v>
      </c>
      <c r="E450" s="22">
        <f>VLOOKUP(A450,'[11]Linea Arquitectonica'!A446:F1270,6,FALSE)</f>
        <v>46.81</v>
      </c>
      <c r="F450" s="22">
        <f>VLOOKUP(A450,'[11]Linea Arquitectonica'!A446:G1270,7,FALSE)</f>
        <v>52.9</v>
      </c>
    </row>
    <row r="451" spans="1:6" x14ac:dyDescent="0.3">
      <c r="A451" s="38" t="s">
        <v>472</v>
      </c>
      <c r="B451" s="37" t="s">
        <v>427</v>
      </c>
      <c r="C451" s="22">
        <f>VLOOKUP(A451,'[11]Linea Arquitectonica'!$A$4:$G$823,4,FALSE)</f>
        <v>33.71</v>
      </c>
      <c r="D451" s="22">
        <f>VLOOKUP(A451,'[11]Linea Arquitectonica'!A447:E1271,5,FALSE)</f>
        <v>38.090000000000003</v>
      </c>
      <c r="E451" s="22">
        <f>VLOOKUP(A451,'[11]Linea Arquitectonica'!A447:F1271,6,FALSE)</f>
        <v>46.81</v>
      </c>
      <c r="F451" s="22">
        <f>VLOOKUP(A451,'[11]Linea Arquitectonica'!A447:G1271,7,FALSE)</f>
        <v>52.9</v>
      </c>
    </row>
    <row r="452" spans="1:6" x14ac:dyDescent="0.3">
      <c r="A452" s="38" t="s">
        <v>473</v>
      </c>
      <c r="B452" s="37" t="s">
        <v>435</v>
      </c>
      <c r="C452" s="22">
        <f>VLOOKUP(A452,'[11]Linea Arquitectonica'!$A$4:$G$823,4,FALSE)</f>
        <v>33.71</v>
      </c>
      <c r="D452" s="22">
        <f>VLOOKUP(A452,'[11]Linea Arquitectonica'!A448:E1272,5,FALSE)</f>
        <v>38.090000000000003</v>
      </c>
      <c r="E452" s="22">
        <f>VLOOKUP(A452,'[11]Linea Arquitectonica'!A448:F1272,6,FALSE)</f>
        <v>46.81</v>
      </c>
      <c r="F452" s="22">
        <f>VLOOKUP(A452,'[11]Linea Arquitectonica'!A448:G1272,7,FALSE)</f>
        <v>52.9</v>
      </c>
    </row>
    <row r="453" spans="1:6" x14ac:dyDescent="0.3">
      <c r="A453" s="38" t="s">
        <v>474</v>
      </c>
      <c r="B453" s="37" t="s">
        <v>429</v>
      </c>
      <c r="C453" s="22">
        <f>VLOOKUP(A453,'[11]Linea Arquitectonica'!$A$4:$G$823,4,FALSE)</f>
        <v>33.71</v>
      </c>
      <c r="D453" s="22">
        <f>VLOOKUP(A453,'[11]Linea Arquitectonica'!A449:E1273,5,FALSE)</f>
        <v>38.090000000000003</v>
      </c>
      <c r="E453" s="22">
        <f>VLOOKUP(A453,'[11]Linea Arquitectonica'!A449:F1273,6,FALSE)</f>
        <v>46.81</v>
      </c>
      <c r="F453" s="22">
        <f>VLOOKUP(A453,'[11]Linea Arquitectonica'!A449:G1273,7,FALSE)</f>
        <v>52.9</v>
      </c>
    </row>
    <row r="454" spans="1:6" x14ac:dyDescent="0.3">
      <c r="A454" s="38" t="s">
        <v>475</v>
      </c>
      <c r="B454" s="37" t="s">
        <v>431</v>
      </c>
      <c r="C454" s="22">
        <f>VLOOKUP(A454,'[11]Linea Arquitectonica'!$A$4:$G$823,4,FALSE)</f>
        <v>33.71</v>
      </c>
      <c r="D454" s="22">
        <f>VLOOKUP(A454,'[11]Linea Arquitectonica'!A450:E1274,5,FALSE)</f>
        <v>38.090000000000003</v>
      </c>
      <c r="E454" s="22">
        <f>VLOOKUP(A454,'[11]Linea Arquitectonica'!A450:F1274,6,FALSE)</f>
        <v>46.81</v>
      </c>
      <c r="F454" s="22">
        <f>VLOOKUP(A454,'[11]Linea Arquitectonica'!A450:G1274,7,FALSE)</f>
        <v>52.9</v>
      </c>
    </row>
    <row r="455" spans="1:6" x14ac:dyDescent="0.3">
      <c r="A455" s="38" t="s">
        <v>476</v>
      </c>
      <c r="B455" s="37" t="s">
        <v>433</v>
      </c>
      <c r="C455" s="22">
        <f>VLOOKUP(A455,'[11]Linea Arquitectonica'!$A$4:$G$823,4,FALSE)</f>
        <v>33.71</v>
      </c>
      <c r="D455" s="22">
        <f>VLOOKUP(A455,'[11]Linea Arquitectonica'!A451:E1275,5,FALSE)</f>
        <v>38.090000000000003</v>
      </c>
      <c r="E455" s="22">
        <f>VLOOKUP(A455,'[11]Linea Arquitectonica'!A451:F1275,6,FALSE)</f>
        <v>46.81</v>
      </c>
      <c r="F455" s="22">
        <f>VLOOKUP(A455,'[11]Linea Arquitectonica'!A451:G1275,7,FALSE)</f>
        <v>52.9</v>
      </c>
    </row>
    <row r="456" spans="1:6" x14ac:dyDescent="0.3">
      <c r="A456" s="38" t="s">
        <v>477</v>
      </c>
      <c r="B456" s="37" t="s">
        <v>437</v>
      </c>
      <c r="C456" s="22">
        <f>VLOOKUP(A456,'[11]Linea Arquitectonica'!$A$4:$G$823,4,FALSE)</f>
        <v>33.71</v>
      </c>
      <c r="D456" s="22">
        <f>VLOOKUP(A456,'[11]Linea Arquitectonica'!A452:E1276,5,FALSE)</f>
        <v>38.090000000000003</v>
      </c>
      <c r="E456" s="22">
        <f>VLOOKUP(A456,'[11]Linea Arquitectonica'!A452:F1276,6,FALSE)</f>
        <v>46.81</v>
      </c>
      <c r="F456" s="22">
        <f>VLOOKUP(A456,'[11]Linea Arquitectonica'!A452:G1276,7,FALSE)</f>
        <v>52.9</v>
      </c>
    </row>
    <row r="457" spans="1:6" x14ac:dyDescent="0.3">
      <c r="A457" s="38" t="s">
        <v>478</v>
      </c>
      <c r="B457" s="37" t="s">
        <v>441</v>
      </c>
      <c r="C457" s="22">
        <f>VLOOKUP(A457,'[11]Linea Arquitectonica'!$A$4:$G$823,4,FALSE)</f>
        <v>33.71</v>
      </c>
      <c r="D457" s="22">
        <f>VLOOKUP(A457,'[11]Linea Arquitectonica'!A453:E1277,5,FALSE)</f>
        <v>38.090000000000003</v>
      </c>
      <c r="E457" s="22">
        <f>VLOOKUP(A457,'[11]Linea Arquitectonica'!A453:F1277,6,FALSE)</f>
        <v>46.81</v>
      </c>
      <c r="F457" s="22">
        <f>VLOOKUP(A457,'[11]Linea Arquitectonica'!A453:G1277,7,FALSE)</f>
        <v>52.9</v>
      </c>
    </row>
    <row r="458" spans="1:6" x14ac:dyDescent="0.3">
      <c r="A458" s="38" t="s">
        <v>479</v>
      </c>
      <c r="B458" s="37" t="s">
        <v>451</v>
      </c>
      <c r="C458" s="22">
        <f>VLOOKUP(A458,'[11]Linea Arquitectonica'!$A$4:$G$823,4,FALSE)</f>
        <v>33.71</v>
      </c>
      <c r="D458" s="22">
        <f>VLOOKUP(A458,'[11]Linea Arquitectonica'!A454:E1278,5,FALSE)</f>
        <v>38.090000000000003</v>
      </c>
      <c r="E458" s="22">
        <f>VLOOKUP(A458,'[11]Linea Arquitectonica'!A454:F1278,6,FALSE)</f>
        <v>46.81</v>
      </c>
      <c r="F458" s="22">
        <f>VLOOKUP(A458,'[11]Linea Arquitectonica'!A454:G1278,7,FALSE)</f>
        <v>52.9</v>
      </c>
    </row>
    <row r="459" spans="1:6" x14ac:dyDescent="0.3">
      <c r="A459" s="38" t="s">
        <v>480</v>
      </c>
      <c r="B459" s="37" t="s">
        <v>443</v>
      </c>
      <c r="C459" s="22">
        <f>VLOOKUP(A459,'[11]Linea Arquitectonica'!$A$4:$G$823,4,FALSE)</f>
        <v>33.71</v>
      </c>
      <c r="D459" s="22">
        <f>VLOOKUP(A459,'[11]Linea Arquitectonica'!A455:E1279,5,FALSE)</f>
        <v>38.090000000000003</v>
      </c>
      <c r="E459" s="22">
        <f>VLOOKUP(A459,'[11]Linea Arquitectonica'!A455:F1279,6,FALSE)</f>
        <v>46.81</v>
      </c>
      <c r="F459" s="22">
        <f>VLOOKUP(A459,'[11]Linea Arquitectonica'!A455:G1279,7,FALSE)</f>
        <v>52.9</v>
      </c>
    </row>
    <row r="460" spans="1:6" x14ac:dyDescent="0.3">
      <c r="A460" s="38" t="s">
        <v>481</v>
      </c>
      <c r="B460" s="37" t="s">
        <v>445</v>
      </c>
      <c r="C460" s="22">
        <f>VLOOKUP(A460,'[11]Linea Arquitectonica'!$A$4:$G$823,4,FALSE)</f>
        <v>33.71</v>
      </c>
      <c r="D460" s="22">
        <f>VLOOKUP(A460,'[11]Linea Arquitectonica'!A456:E1280,5,FALSE)</f>
        <v>38.090000000000003</v>
      </c>
      <c r="E460" s="22">
        <f>VLOOKUP(A460,'[11]Linea Arquitectonica'!A456:F1280,6,FALSE)</f>
        <v>46.81</v>
      </c>
      <c r="F460" s="22">
        <f>VLOOKUP(A460,'[11]Linea Arquitectonica'!A456:G1280,7,FALSE)</f>
        <v>52.9</v>
      </c>
    </row>
    <row r="461" spans="1:6" x14ac:dyDescent="0.3">
      <c r="A461" s="38" t="s">
        <v>482</v>
      </c>
      <c r="B461" s="37" t="s">
        <v>447</v>
      </c>
      <c r="C461" s="22">
        <f>VLOOKUP(A461,'[11]Linea Arquitectonica'!$A$4:$G$823,4,FALSE)</f>
        <v>33.71</v>
      </c>
      <c r="D461" s="22">
        <f>VLOOKUP(A461,'[11]Linea Arquitectonica'!A457:E1281,5,FALSE)</f>
        <v>38.090000000000003</v>
      </c>
      <c r="E461" s="22">
        <f>VLOOKUP(A461,'[11]Linea Arquitectonica'!A457:F1281,6,FALSE)</f>
        <v>46.81</v>
      </c>
      <c r="F461" s="22">
        <f>VLOOKUP(A461,'[11]Linea Arquitectonica'!A457:G1281,7,FALSE)</f>
        <v>52.9</v>
      </c>
    </row>
    <row r="462" spans="1:6" x14ac:dyDescent="0.3">
      <c r="A462" s="38" t="s">
        <v>483</v>
      </c>
      <c r="B462" s="37" t="s">
        <v>449</v>
      </c>
      <c r="C462" s="22">
        <f>VLOOKUP(A462,'[11]Linea Arquitectonica'!$A$4:$G$823,4,FALSE)</f>
        <v>33.71</v>
      </c>
      <c r="D462" s="22">
        <f>VLOOKUP(A462,'[11]Linea Arquitectonica'!A458:E1282,5,FALSE)</f>
        <v>38.090000000000003</v>
      </c>
      <c r="E462" s="22">
        <f>VLOOKUP(A462,'[11]Linea Arquitectonica'!A458:F1282,6,FALSE)</f>
        <v>46.81</v>
      </c>
      <c r="F462" s="22">
        <f>VLOOKUP(A462,'[11]Linea Arquitectonica'!A458:G1282,7,FALSE)</f>
        <v>52.9</v>
      </c>
    </row>
    <row r="463" spans="1:6" x14ac:dyDescent="0.3">
      <c r="A463" s="38" t="s">
        <v>484</v>
      </c>
      <c r="B463" s="37" t="s">
        <v>453</v>
      </c>
      <c r="C463" s="22">
        <f>VLOOKUP(A463,'[11]Linea Arquitectonica'!$A$4:$G$823,4,FALSE)</f>
        <v>33.71</v>
      </c>
      <c r="D463" s="22">
        <f>VLOOKUP(A463,'[11]Linea Arquitectonica'!A459:E1283,5,FALSE)</f>
        <v>38.090000000000003</v>
      </c>
      <c r="E463" s="22">
        <f>VLOOKUP(A463,'[11]Linea Arquitectonica'!A459:F1283,6,FALSE)</f>
        <v>46.81</v>
      </c>
      <c r="F463" s="22">
        <f>VLOOKUP(A463,'[11]Linea Arquitectonica'!A459:G1283,7,FALSE)</f>
        <v>52.9</v>
      </c>
    </row>
    <row r="464" spans="1:6" x14ac:dyDescent="0.3">
      <c r="A464" s="38" t="s">
        <v>485</v>
      </c>
      <c r="B464" s="37" t="s">
        <v>455</v>
      </c>
      <c r="C464" s="22">
        <f>VLOOKUP(A464,'[11]Linea Arquitectonica'!$A$4:$G$823,4,FALSE)</f>
        <v>33.71</v>
      </c>
      <c r="D464" s="22">
        <f>VLOOKUP(A464,'[11]Linea Arquitectonica'!A460:E1284,5,FALSE)</f>
        <v>38.090000000000003</v>
      </c>
      <c r="E464" s="22">
        <f>VLOOKUP(A464,'[11]Linea Arquitectonica'!A460:F1284,6,FALSE)</f>
        <v>46.81</v>
      </c>
      <c r="F464" s="22">
        <f>VLOOKUP(A464,'[11]Linea Arquitectonica'!A460:G1284,7,FALSE)</f>
        <v>52.9</v>
      </c>
    </row>
    <row r="465" spans="1:6" x14ac:dyDescent="0.3">
      <c r="A465" s="38" t="s">
        <v>486</v>
      </c>
      <c r="B465" s="37" t="s">
        <v>457</v>
      </c>
      <c r="C465" s="22">
        <f>VLOOKUP(A465,'[11]Linea Arquitectonica'!$A$4:$G$823,4,FALSE)</f>
        <v>33.71</v>
      </c>
      <c r="D465" s="22">
        <f>VLOOKUP(A465,'[11]Linea Arquitectonica'!A461:E1285,5,FALSE)</f>
        <v>38.090000000000003</v>
      </c>
      <c r="E465" s="22">
        <f>VLOOKUP(A465,'[11]Linea Arquitectonica'!A461:F1285,6,FALSE)</f>
        <v>46.81</v>
      </c>
      <c r="F465" s="22">
        <f>VLOOKUP(A465,'[11]Linea Arquitectonica'!A461:G1285,7,FALSE)</f>
        <v>52.9</v>
      </c>
    </row>
    <row r="466" spans="1:6" x14ac:dyDescent="0.3">
      <c r="A466" s="38" t="s">
        <v>487</v>
      </c>
      <c r="B466" s="37" t="s">
        <v>459</v>
      </c>
      <c r="C466" s="22">
        <f>VLOOKUP(A466,'[11]Linea Arquitectonica'!$A$4:$G$823,4,FALSE)</f>
        <v>33.71</v>
      </c>
      <c r="D466" s="22">
        <f>VLOOKUP(A466,'[11]Linea Arquitectonica'!A462:E1286,5,FALSE)</f>
        <v>38.090000000000003</v>
      </c>
      <c r="E466" s="22">
        <f>VLOOKUP(A466,'[11]Linea Arquitectonica'!A462:F1286,6,FALSE)</f>
        <v>46.81</v>
      </c>
      <c r="F466" s="22">
        <f>VLOOKUP(A466,'[11]Linea Arquitectonica'!A462:G1286,7,FALSE)</f>
        <v>52.9</v>
      </c>
    </row>
    <row r="467" spans="1:6" x14ac:dyDescent="0.3">
      <c r="A467" s="38" t="s">
        <v>488</v>
      </c>
      <c r="B467" s="37" t="s">
        <v>461</v>
      </c>
      <c r="C467" s="22">
        <f>VLOOKUP(A467,'[11]Linea Arquitectonica'!$A$4:$G$823,4,FALSE)</f>
        <v>33.71</v>
      </c>
      <c r="D467" s="22">
        <f>VLOOKUP(A467,'[11]Linea Arquitectonica'!A463:E1287,5,FALSE)</f>
        <v>38.090000000000003</v>
      </c>
      <c r="E467" s="22">
        <f>VLOOKUP(A467,'[11]Linea Arquitectonica'!A463:F1287,6,FALSE)</f>
        <v>46.81</v>
      </c>
      <c r="F467" s="22">
        <f>VLOOKUP(A467,'[11]Linea Arquitectonica'!A463:G1287,7,FALSE)</f>
        <v>52.9</v>
      </c>
    </row>
    <row r="468" spans="1:6" x14ac:dyDescent="0.3">
      <c r="A468" s="38" t="s">
        <v>489</v>
      </c>
      <c r="B468" s="37" t="s">
        <v>463</v>
      </c>
      <c r="C468" s="22">
        <f>VLOOKUP(A468,'[11]Linea Arquitectonica'!$A$4:$G$823,4,FALSE)</f>
        <v>33.71</v>
      </c>
      <c r="D468" s="22">
        <f>VLOOKUP(A468,'[11]Linea Arquitectonica'!A464:E1288,5,FALSE)</f>
        <v>38.090000000000003</v>
      </c>
      <c r="E468" s="22">
        <f>VLOOKUP(A468,'[11]Linea Arquitectonica'!A464:F1288,6,FALSE)</f>
        <v>46.81</v>
      </c>
      <c r="F468" s="22">
        <f>VLOOKUP(A468,'[11]Linea Arquitectonica'!A464:G1288,7,FALSE)</f>
        <v>52.9</v>
      </c>
    </row>
    <row r="469" spans="1:6" x14ac:dyDescent="0.3">
      <c r="A469" s="38" t="s">
        <v>490</v>
      </c>
      <c r="B469" s="37" t="s">
        <v>491</v>
      </c>
      <c r="C469" s="22">
        <f>VLOOKUP(A469,'[11]Linea Arquitectonica'!$A$4:$G$823,4,FALSE)</f>
        <v>7.16</v>
      </c>
      <c r="D469" s="22">
        <f>VLOOKUP(A469,'[11]Linea Arquitectonica'!A465:E1289,5,FALSE)</f>
        <v>8.09</v>
      </c>
      <c r="E469" s="22">
        <f>VLOOKUP(A469,'[11]Linea Arquitectonica'!A465:F1289,6,FALSE)</f>
        <v>10.53</v>
      </c>
      <c r="F469" s="22">
        <f>VLOOKUP(A469,'[11]Linea Arquitectonica'!A465:G1289,7,FALSE)</f>
        <v>11.9</v>
      </c>
    </row>
    <row r="470" spans="1:6" x14ac:dyDescent="0.3">
      <c r="A470" s="38" t="s">
        <v>492</v>
      </c>
      <c r="B470" s="37" t="s">
        <v>493</v>
      </c>
      <c r="C470" s="22">
        <f>VLOOKUP(A470,'[11]Linea Arquitectonica'!$A$4:$G$823,4,FALSE)</f>
        <v>7.16</v>
      </c>
      <c r="D470" s="22">
        <f>VLOOKUP(A470,'[11]Linea Arquitectonica'!A466:E1290,5,FALSE)</f>
        <v>8.09</v>
      </c>
      <c r="E470" s="22">
        <f>VLOOKUP(A470,'[11]Linea Arquitectonica'!A466:F1290,6,FALSE)</f>
        <v>10.53</v>
      </c>
      <c r="F470" s="22">
        <f>VLOOKUP(A470,'[11]Linea Arquitectonica'!A466:G1290,7,FALSE)</f>
        <v>11.9</v>
      </c>
    </row>
    <row r="471" spans="1:6" x14ac:dyDescent="0.3">
      <c r="A471" s="38" t="s">
        <v>494</v>
      </c>
      <c r="B471" s="37" t="s">
        <v>495</v>
      </c>
      <c r="C471" s="22">
        <f>VLOOKUP(A471,'[11]Linea Arquitectonica'!$A$4:$G$823,4,FALSE)</f>
        <v>7.16</v>
      </c>
      <c r="D471" s="22">
        <f>VLOOKUP(A471,'[11]Linea Arquitectonica'!A467:E1291,5,FALSE)</f>
        <v>8.09</v>
      </c>
      <c r="E471" s="22">
        <f>VLOOKUP(A471,'[11]Linea Arquitectonica'!A467:F1291,6,FALSE)</f>
        <v>10.53</v>
      </c>
      <c r="F471" s="22">
        <f>VLOOKUP(A471,'[11]Linea Arquitectonica'!A467:G1291,7,FALSE)</f>
        <v>11.9</v>
      </c>
    </row>
    <row r="472" spans="1:6" x14ac:dyDescent="0.3">
      <c r="A472" s="38" t="s">
        <v>496</v>
      </c>
      <c r="B472" s="37" t="s">
        <v>497</v>
      </c>
      <c r="C472" s="22">
        <f>VLOOKUP(A472,'[11]Linea Arquitectonica'!$A$4:$G$823,4,FALSE)</f>
        <v>7.16</v>
      </c>
      <c r="D472" s="22">
        <f>VLOOKUP(A472,'[11]Linea Arquitectonica'!A468:E1292,5,FALSE)</f>
        <v>8.09</v>
      </c>
      <c r="E472" s="22">
        <f>VLOOKUP(A472,'[11]Linea Arquitectonica'!A468:F1292,6,FALSE)</f>
        <v>10.53</v>
      </c>
      <c r="F472" s="22">
        <f>VLOOKUP(A472,'[11]Linea Arquitectonica'!A468:G1292,7,FALSE)</f>
        <v>11.9</v>
      </c>
    </row>
    <row r="473" spans="1:6" x14ac:dyDescent="0.3">
      <c r="A473" s="38" t="s">
        <v>498</v>
      </c>
      <c r="B473" s="37" t="s">
        <v>499</v>
      </c>
      <c r="C473" s="22">
        <f>VLOOKUP(A473,'[11]Linea Arquitectonica'!$A$4:$G$823,4,FALSE)</f>
        <v>7.16</v>
      </c>
      <c r="D473" s="22">
        <f>VLOOKUP(A473,'[11]Linea Arquitectonica'!A469:E1293,5,FALSE)</f>
        <v>8.09</v>
      </c>
      <c r="E473" s="22">
        <f>VLOOKUP(A473,'[11]Linea Arquitectonica'!A469:F1293,6,FALSE)</f>
        <v>10.53</v>
      </c>
      <c r="F473" s="22">
        <f>VLOOKUP(A473,'[11]Linea Arquitectonica'!A469:G1293,7,FALSE)</f>
        <v>11.9</v>
      </c>
    </row>
    <row r="474" spans="1:6" x14ac:dyDescent="0.3">
      <c r="A474" s="38" t="s">
        <v>500</v>
      </c>
      <c r="B474" s="37" t="s">
        <v>495</v>
      </c>
      <c r="C474" s="22">
        <f>VLOOKUP(A474,'[11]Linea Arquitectonica'!$A$4:$G$823,4,FALSE)</f>
        <v>24.61</v>
      </c>
      <c r="D474" s="22">
        <f>VLOOKUP(A474,'[11]Linea Arquitectonica'!A471:E1295,5,FALSE)</f>
        <v>27.81</v>
      </c>
      <c r="E474" s="22">
        <f>VLOOKUP(A474,'[11]Linea Arquitectonica'!A471:F1295,6,FALSE)</f>
        <v>36.19</v>
      </c>
      <c r="F474" s="22">
        <f>VLOOKUP(A474,'[11]Linea Arquitectonica'!A471:G1295,7,FALSE)</f>
        <v>40.9</v>
      </c>
    </row>
    <row r="475" spans="1:6" x14ac:dyDescent="0.3">
      <c r="A475" s="38" t="s">
        <v>501</v>
      </c>
      <c r="B475" s="37" t="s">
        <v>493</v>
      </c>
      <c r="C475" s="22">
        <f>VLOOKUP(A475,'[11]Linea Arquitectonica'!$A$4:$G$823,4,FALSE)</f>
        <v>24.61</v>
      </c>
      <c r="D475" s="22">
        <f>VLOOKUP(A475,'[11]Linea Arquitectonica'!A472:E1296,5,FALSE)</f>
        <v>27.81</v>
      </c>
      <c r="E475" s="22">
        <f>VLOOKUP(A475,'[11]Linea Arquitectonica'!A472:F1296,6,FALSE)</f>
        <v>36.19</v>
      </c>
      <c r="F475" s="22">
        <f>VLOOKUP(A475,'[11]Linea Arquitectonica'!A472:G1296,7,FALSE)</f>
        <v>40.9</v>
      </c>
    </row>
    <row r="476" spans="1:6" x14ac:dyDescent="0.3">
      <c r="A476" s="38" t="s">
        <v>502</v>
      </c>
      <c r="B476" s="37" t="s">
        <v>503</v>
      </c>
      <c r="C476" s="22">
        <f>VLOOKUP(A476,'[11]Linea Arquitectonica'!$A$4:$G$823,4,FALSE)</f>
        <v>24.61</v>
      </c>
      <c r="D476" s="22">
        <f>VLOOKUP(A476,'[11]Linea Arquitectonica'!A473:E1297,5,FALSE)</f>
        <v>27.81</v>
      </c>
      <c r="E476" s="22">
        <f>VLOOKUP(A476,'[11]Linea Arquitectonica'!A473:F1297,6,FALSE)</f>
        <v>36.19</v>
      </c>
      <c r="F476" s="22">
        <f>VLOOKUP(A476,'[11]Linea Arquitectonica'!A473:G1297,7,FALSE)</f>
        <v>40.9</v>
      </c>
    </row>
    <row r="477" spans="1:6" x14ac:dyDescent="0.3">
      <c r="A477" s="38" t="s">
        <v>504</v>
      </c>
      <c r="B477" s="37" t="s">
        <v>505</v>
      </c>
      <c r="C477" s="22">
        <f>VLOOKUP(A477,'[11]Linea Arquitectonica'!$A$4:$G$823,4,FALSE)</f>
        <v>24.61</v>
      </c>
      <c r="D477" s="22">
        <f>VLOOKUP(A477,'[11]Linea Arquitectonica'!A474:E1298,5,FALSE)</f>
        <v>27.81</v>
      </c>
      <c r="E477" s="22">
        <f>VLOOKUP(A477,'[11]Linea Arquitectonica'!A474:F1298,6,FALSE)</f>
        <v>36.19</v>
      </c>
      <c r="F477" s="22">
        <f>VLOOKUP(A477,'[11]Linea Arquitectonica'!A474:G1298,7,FALSE)</f>
        <v>40.9</v>
      </c>
    </row>
    <row r="478" spans="1:6" x14ac:dyDescent="0.3">
      <c r="A478" s="38" t="s">
        <v>506</v>
      </c>
      <c r="B478" s="37" t="s">
        <v>491</v>
      </c>
      <c r="C478" s="22">
        <f>VLOOKUP(A478,'[11]Linea Arquitectonica'!$A$4:$G$823,4,FALSE)</f>
        <v>24.61</v>
      </c>
      <c r="D478" s="22">
        <f>VLOOKUP(A478,'[11]Linea Arquitectonica'!A475:E1299,5,FALSE)</f>
        <v>27.81</v>
      </c>
      <c r="E478" s="22">
        <f>VLOOKUP(A478,'[11]Linea Arquitectonica'!A475:F1299,6,FALSE)</f>
        <v>36.19</v>
      </c>
      <c r="F478" s="22">
        <f>VLOOKUP(A478,'[11]Linea Arquitectonica'!A475:G1299,7,FALSE)</f>
        <v>40.9</v>
      </c>
    </row>
    <row r="479" spans="1:6" x14ac:dyDescent="0.3">
      <c r="A479" s="38" t="s">
        <v>507</v>
      </c>
      <c r="B479" s="37" t="s">
        <v>497</v>
      </c>
      <c r="C479" s="22">
        <f>VLOOKUP(A479,'[11]Linea Arquitectonica'!$A$4:$G$823,4,FALSE)</f>
        <v>24.61</v>
      </c>
      <c r="D479" s="22">
        <f>VLOOKUP(A479,'[11]Linea Arquitectonica'!A476:E1300,5,FALSE)</f>
        <v>27.81</v>
      </c>
      <c r="E479" s="22">
        <f>VLOOKUP(A479,'[11]Linea Arquitectonica'!A476:F1300,6,FALSE)</f>
        <v>36.19</v>
      </c>
      <c r="F479" s="22">
        <f>VLOOKUP(A479,'[11]Linea Arquitectonica'!A476:G1300,7,FALSE)</f>
        <v>40.9</v>
      </c>
    </row>
    <row r="480" spans="1:6" x14ac:dyDescent="0.3">
      <c r="A480" s="38" t="s">
        <v>508</v>
      </c>
      <c r="B480" s="37" t="s">
        <v>499</v>
      </c>
      <c r="C480" s="22">
        <f>VLOOKUP(A480,'[11]Linea Arquitectonica'!$A$4:$G$823,4,FALSE)</f>
        <v>24.61</v>
      </c>
      <c r="D480" s="22">
        <f>VLOOKUP(A480,'[11]Linea Arquitectonica'!A477:E1301,5,FALSE)</f>
        <v>27.81</v>
      </c>
      <c r="E480" s="22">
        <f>VLOOKUP(A480,'[11]Linea Arquitectonica'!A477:F1301,6,FALSE)</f>
        <v>36.19</v>
      </c>
      <c r="F480" s="22">
        <f>VLOOKUP(A480,'[11]Linea Arquitectonica'!A477:G1301,7,FALSE)</f>
        <v>40.9</v>
      </c>
    </row>
    <row r="481" spans="1:6" x14ac:dyDescent="0.3">
      <c r="A481" s="38" t="s">
        <v>509</v>
      </c>
      <c r="B481" s="37" t="s">
        <v>495</v>
      </c>
      <c r="C481" s="22">
        <f>VLOOKUP(A481,'[11]Linea Arquitectonica'!$A$4:$G$823,4,FALSE)</f>
        <v>112.53</v>
      </c>
      <c r="D481" s="22">
        <f>VLOOKUP(A481,'[11]Linea Arquitectonica'!A479:E1303,5,FALSE)</f>
        <v>127.16</v>
      </c>
      <c r="E481" s="22">
        <f>VLOOKUP(A481,'[11]Linea Arquitectonica'!A479:F1303,6,FALSE)</f>
        <v>165.49</v>
      </c>
      <c r="F481" s="22">
        <f>VLOOKUP(A481,'[11]Linea Arquitectonica'!A479:G1303,7,FALSE)</f>
        <v>187</v>
      </c>
    </row>
    <row r="482" spans="1:6" x14ac:dyDescent="0.3">
      <c r="A482" s="38" t="s">
        <v>510</v>
      </c>
      <c r="B482" s="37" t="s">
        <v>493</v>
      </c>
      <c r="C482" s="22">
        <f>VLOOKUP(A482,'[11]Linea Arquitectonica'!$A$4:$G$823,4,FALSE)</f>
        <v>112.53</v>
      </c>
      <c r="D482" s="22">
        <f>VLOOKUP(A482,'[11]Linea Arquitectonica'!A480:E1304,5,FALSE)</f>
        <v>127.16</v>
      </c>
      <c r="E482" s="22">
        <f>VLOOKUP(A482,'[11]Linea Arquitectonica'!A480:F1304,6,FALSE)</f>
        <v>165.49</v>
      </c>
      <c r="F482" s="22">
        <f>VLOOKUP(A482,'[11]Linea Arquitectonica'!A480:G1304,7,FALSE)</f>
        <v>187</v>
      </c>
    </row>
    <row r="483" spans="1:6" x14ac:dyDescent="0.3">
      <c r="A483" s="38" t="s">
        <v>511</v>
      </c>
      <c r="B483" s="37" t="s">
        <v>503</v>
      </c>
      <c r="C483" s="22">
        <f>VLOOKUP(A483,'[11]Linea Arquitectonica'!$A$4:$G$823,4,FALSE)</f>
        <v>112.53</v>
      </c>
      <c r="D483" s="22">
        <f>VLOOKUP(A483,'[11]Linea Arquitectonica'!A481:E1305,5,FALSE)</f>
        <v>127.16</v>
      </c>
      <c r="E483" s="22">
        <f>VLOOKUP(A483,'[11]Linea Arquitectonica'!A481:F1305,6,FALSE)</f>
        <v>165.49</v>
      </c>
      <c r="F483" s="22">
        <f>VLOOKUP(A483,'[11]Linea Arquitectonica'!A481:G1305,7,FALSE)</f>
        <v>187</v>
      </c>
    </row>
    <row r="484" spans="1:6" x14ac:dyDescent="0.3">
      <c r="A484" s="38" t="s">
        <v>512</v>
      </c>
      <c r="B484" s="37" t="s">
        <v>505</v>
      </c>
      <c r="C484" s="22">
        <f>VLOOKUP(A484,'[11]Linea Arquitectonica'!$A$4:$G$823,4,FALSE)</f>
        <v>112.53</v>
      </c>
      <c r="D484" s="22">
        <f>VLOOKUP(A484,'[11]Linea Arquitectonica'!A482:E1306,5,FALSE)</f>
        <v>127.16</v>
      </c>
      <c r="E484" s="22">
        <f>VLOOKUP(A484,'[11]Linea Arquitectonica'!A482:F1306,6,FALSE)</f>
        <v>165.49</v>
      </c>
      <c r="F484" s="22">
        <f>VLOOKUP(A484,'[11]Linea Arquitectonica'!A482:G1306,7,FALSE)</f>
        <v>187</v>
      </c>
    </row>
    <row r="485" spans="1:6" x14ac:dyDescent="0.3">
      <c r="A485" s="38" t="s">
        <v>513</v>
      </c>
      <c r="B485" s="37" t="s">
        <v>491</v>
      </c>
      <c r="C485" s="22">
        <f>VLOOKUP(A485,'[11]Linea Arquitectonica'!$A$4:$G$823,4,FALSE)</f>
        <v>112.53</v>
      </c>
      <c r="D485" s="22">
        <f>VLOOKUP(A485,'[11]Linea Arquitectonica'!A483:E1307,5,FALSE)</f>
        <v>127.16</v>
      </c>
      <c r="E485" s="22">
        <f>VLOOKUP(A485,'[11]Linea Arquitectonica'!A483:F1307,6,FALSE)</f>
        <v>165.49</v>
      </c>
      <c r="F485" s="22">
        <f>VLOOKUP(A485,'[11]Linea Arquitectonica'!A483:G1307,7,FALSE)</f>
        <v>187</v>
      </c>
    </row>
    <row r="486" spans="1:6" x14ac:dyDescent="0.3">
      <c r="A486" s="38" t="s">
        <v>3338</v>
      </c>
      <c r="B486" s="37" t="s">
        <v>519</v>
      </c>
      <c r="C486" s="22">
        <f>VLOOKUP(A486,'[11]Linea Arquitectonica'!$A$4:$G$823,4,FALSE)</f>
        <v>5.42</v>
      </c>
      <c r="D486" s="22">
        <f>VLOOKUP(A486,'[11]Linea Arquitectonica'!A484:E1308,5,FALSE)</f>
        <v>6.13</v>
      </c>
      <c r="E486" s="22">
        <f>VLOOKUP(A486,'[11]Linea Arquitectonica'!A484:F1308,6,FALSE)</f>
        <v>10.18</v>
      </c>
      <c r="F486" s="22">
        <f>VLOOKUP(A486,'[11]Linea Arquitectonica'!A484:G1308,7,FALSE)</f>
        <v>11.5</v>
      </c>
    </row>
    <row r="487" spans="1:6" x14ac:dyDescent="0.3">
      <c r="A487" s="38" t="s">
        <v>3339</v>
      </c>
      <c r="B487" s="37" t="s">
        <v>517</v>
      </c>
      <c r="C487" s="22">
        <f>VLOOKUP(A487,'[11]Linea Arquitectonica'!$A$4:$G$823,4,FALSE)</f>
        <v>5.42</v>
      </c>
      <c r="D487" s="22">
        <f>VLOOKUP(A487,'[11]Linea Arquitectonica'!A485:E1309,5,FALSE)</f>
        <v>6.13</v>
      </c>
      <c r="E487" s="22">
        <f>VLOOKUP(A487,'[11]Linea Arquitectonica'!A485:F1309,6,FALSE)</f>
        <v>10.18</v>
      </c>
      <c r="F487" s="22">
        <f>VLOOKUP(A487,'[11]Linea Arquitectonica'!A485:G1309,7,FALSE)</f>
        <v>11.5</v>
      </c>
    </row>
    <row r="488" spans="1:6" x14ac:dyDescent="0.3">
      <c r="A488" s="38" t="s">
        <v>3340</v>
      </c>
      <c r="B488" s="37" t="s">
        <v>515</v>
      </c>
      <c r="C488" s="22">
        <f>VLOOKUP(A488,'[11]Linea Arquitectonica'!$A$4:$G$823,4,FALSE)</f>
        <v>6.42</v>
      </c>
      <c r="D488" s="22">
        <f>VLOOKUP(A488,'[11]Linea Arquitectonica'!A486:E1310,5,FALSE)</f>
        <v>7.26</v>
      </c>
      <c r="E488" s="22">
        <f>VLOOKUP(A488,'[11]Linea Arquitectonica'!A486:F1310,6,FALSE)</f>
        <v>10.18</v>
      </c>
      <c r="F488" s="22">
        <f>VLOOKUP(A488,'[11]Linea Arquitectonica'!A486:G1310,7,FALSE)</f>
        <v>11.5</v>
      </c>
    </row>
    <row r="489" spans="1:6" x14ac:dyDescent="0.3">
      <c r="A489" s="38" t="s">
        <v>514</v>
      </c>
      <c r="B489" s="37" t="s">
        <v>515</v>
      </c>
      <c r="C489" s="22">
        <f>VLOOKUP(A489,'[11]Linea Arquitectonica'!$A$4:$G$823,4,FALSE)</f>
        <v>23.12</v>
      </c>
      <c r="D489" s="22">
        <f>VLOOKUP(A489,'[11]Linea Arquitectonica'!A487:E1311,5,FALSE)</f>
        <v>26.12</v>
      </c>
      <c r="E489" s="22">
        <f>VLOOKUP(A489,'[11]Linea Arquitectonica'!A487:F1311,6,FALSE)</f>
        <v>36.19</v>
      </c>
      <c r="F489" s="22">
        <f>VLOOKUP(A489,'[11]Linea Arquitectonica'!A487:G1311,7,FALSE)</f>
        <v>40.9</v>
      </c>
    </row>
    <row r="490" spans="1:6" x14ac:dyDescent="0.3">
      <c r="A490" s="38" t="s">
        <v>516</v>
      </c>
      <c r="B490" s="37" t="s">
        <v>517</v>
      </c>
      <c r="C490" s="22">
        <f>VLOOKUP(A490,'[11]Linea Arquitectonica'!$A$4:$G$823,4,FALSE)</f>
        <v>19.61</v>
      </c>
      <c r="D490" s="22">
        <f>VLOOKUP(A490,'[11]Linea Arquitectonica'!A488:E1312,5,FALSE)</f>
        <v>22.16</v>
      </c>
      <c r="E490" s="22">
        <f>VLOOKUP(A490,'[11]Linea Arquitectonica'!A488:F1312,6,FALSE)</f>
        <v>36.19</v>
      </c>
      <c r="F490" s="22">
        <f>VLOOKUP(A490,'[11]Linea Arquitectonica'!A488:G1312,7,FALSE)</f>
        <v>40.9</v>
      </c>
    </row>
    <row r="491" spans="1:6" x14ac:dyDescent="0.3">
      <c r="A491" s="38" t="s">
        <v>518</v>
      </c>
      <c r="B491" s="37" t="s">
        <v>519</v>
      </c>
      <c r="C491" s="22">
        <f>VLOOKUP(A491,'[11]Linea Arquitectonica'!$A$4:$G$823,4,FALSE)</f>
        <v>19.61</v>
      </c>
      <c r="D491" s="22">
        <f>VLOOKUP(A491,'[11]Linea Arquitectonica'!A489:E1313,5,FALSE)</f>
        <v>22.16</v>
      </c>
      <c r="E491" s="22">
        <f>VLOOKUP(A491,'[11]Linea Arquitectonica'!A489:F1313,6,FALSE)</f>
        <v>36.19</v>
      </c>
      <c r="F491" s="22">
        <f>VLOOKUP(A491,'[11]Linea Arquitectonica'!A489:G1313,7,FALSE)</f>
        <v>40.9</v>
      </c>
    </row>
    <row r="492" spans="1:6" x14ac:dyDescent="0.3">
      <c r="A492" s="38" t="s">
        <v>520</v>
      </c>
      <c r="B492" s="37" t="s">
        <v>515</v>
      </c>
      <c r="C492" s="22">
        <f>VLOOKUP(A492,'[11]Linea Arquitectonica'!$A$4:$G$823,4,FALSE)</f>
        <v>105.04</v>
      </c>
      <c r="D492" s="22">
        <f>VLOOKUP(A492,'[11]Linea Arquitectonica'!A490:E1314,5,FALSE)</f>
        <v>118.69</v>
      </c>
      <c r="E492" s="22">
        <f>VLOOKUP(A492,'[11]Linea Arquitectonica'!A490:F1314,6,FALSE)</f>
        <v>165.49</v>
      </c>
      <c r="F492" s="22">
        <f>VLOOKUP(A492,'[11]Linea Arquitectonica'!A490:G1314,7,FALSE)</f>
        <v>187</v>
      </c>
    </row>
    <row r="493" spans="1:6" x14ac:dyDescent="0.3">
      <c r="A493" s="38" t="s">
        <v>521</v>
      </c>
      <c r="B493" s="37" t="s">
        <v>517</v>
      </c>
      <c r="C493" s="22">
        <f>VLOOKUP(A493,'[11]Linea Arquitectonica'!$A$4:$G$823,4,FALSE)</f>
        <v>87.53</v>
      </c>
      <c r="D493" s="22">
        <f>VLOOKUP(A493,'[11]Linea Arquitectonica'!A491:E1315,5,FALSE)</f>
        <v>98.91</v>
      </c>
      <c r="E493" s="22">
        <f>VLOOKUP(A493,'[11]Linea Arquitectonica'!A491:F1315,6,FALSE)</f>
        <v>165.49</v>
      </c>
      <c r="F493" s="22">
        <f>VLOOKUP(A493,'[11]Linea Arquitectonica'!A491:G1315,7,FALSE)</f>
        <v>187</v>
      </c>
    </row>
    <row r="494" spans="1:6" x14ac:dyDescent="0.3">
      <c r="A494" s="38" t="s">
        <v>522</v>
      </c>
      <c r="B494" s="37" t="s">
        <v>519</v>
      </c>
      <c r="C494" s="22">
        <f>VLOOKUP(A494,'[11]Linea Arquitectonica'!$A$4:$G$823,4,FALSE)</f>
        <v>87.53</v>
      </c>
      <c r="D494" s="22">
        <f>VLOOKUP(A494,'[11]Linea Arquitectonica'!A492:E1316,5,FALSE)</f>
        <v>98.91</v>
      </c>
      <c r="E494" s="22">
        <f>VLOOKUP(A494,'[11]Linea Arquitectonica'!A492:F1316,6,FALSE)</f>
        <v>165.49</v>
      </c>
      <c r="F494" s="22">
        <f>VLOOKUP(A494,'[11]Linea Arquitectonica'!A492:G1316,7,FALSE)</f>
        <v>187</v>
      </c>
    </row>
    <row r="495" spans="1:6" x14ac:dyDescent="0.3">
      <c r="A495" s="38" t="s">
        <v>523</v>
      </c>
      <c r="B495" s="37" t="s">
        <v>3341</v>
      </c>
      <c r="C495" s="22">
        <f>VLOOKUP(A495,'[11]Linea Arquitectonica'!$A$4:$G$823,4,FALSE)</f>
        <v>6.5</v>
      </c>
      <c r="D495" s="22">
        <f>VLOOKUP(A495,'[11]Linea Arquitectonica'!A493:E1317,5,FALSE)</f>
        <v>7.35</v>
      </c>
      <c r="E495" s="22">
        <f>VLOOKUP(A495,'[11]Linea Arquitectonica'!A493:F1317,6,FALSE)</f>
        <v>9.2899999999999991</v>
      </c>
      <c r="F495" s="22">
        <f>VLOOKUP(A495,'[11]Linea Arquitectonica'!A493:G1317,7,FALSE)</f>
        <v>10.5</v>
      </c>
    </row>
    <row r="496" spans="1:6" x14ac:dyDescent="0.3">
      <c r="A496" s="38" t="s">
        <v>524</v>
      </c>
      <c r="B496" s="37" t="s">
        <v>3342</v>
      </c>
      <c r="C496" s="22">
        <f>VLOOKUP(A496,'[11]Linea Arquitectonica'!$A$4:$G$823,4,FALSE)</f>
        <v>6.5</v>
      </c>
      <c r="D496" s="22">
        <f>VLOOKUP(A496,'[11]Linea Arquitectonica'!A494:E1318,5,FALSE)</f>
        <v>7.35</v>
      </c>
      <c r="E496" s="22">
        <f>VLOOKUP(A496,'[11]Linea Arquitectonica'!A494:F1318,6,FALSE)</f>
        <v>9.2899999999999991</v>
      </c>
      <c r="F496" s="22">
        <f>VLOOKUP(A496,'[11]Linea Arquitectonica'!A494:G1318,7,FALSE)</f>
        <v>10.5</v>
      </c>
    </row>
    <row r="497" spans="1:6" x14ac:dyDescent="0.3">
      <c r="A497" s="38" t="s">
        <v>525</v>
      </c>
      <c r="B497" s="37" t="s">
        <v>3343</v>
      </c>
      <c r="C497" s="22">
        <f>VLOOKUP(A497,'[11]Linea Arquitectonica'!$A$4:$G$823,4,FALSE)</f>
        <v>6.5</v>
      </c>
      <c r="D497" s="22">
        <f>VLOOKUP(A497,'[11]Linea Arquitectonica'!A495:E1319,5,FALSE)</f>
        <v>7.35</v>
      </c>
      <c r="E497" s="22">
        <f>VLOOKUP(A497,'[11]Linea Arquitectonica'!A495:F1319,6,FALSE)</f>
        <v>9.2899999999999991</v>
      </c>
      <c r="F497" s="22">
        <f>VLOOKUP(A497,'[11]Linea Arquitectonica'!A495:G1319,7,FALSE)</f>
        <v>10.5</v>
      </c>
    </row>
    <row r="498" spans="1:6" x14ac:dyDescent="0.3">
      <c r="A498" s="38" t="s">
        <v>526</v>
      </c>
      <c r="B498" s="37" t="s">
        <v>3344</v>
      </c>
      <c r="C498" s="22">
        <f>VLOOKUP(A498,'[11]Linea Arquitectonica'!$A$4:$G$823,4,FALSE)</f>
        <v>6.5</v>
      </c>
      <c r="D498" s="22">
        <f>VLOOKUP(A498,'[11]Linea Arquitectonica'!A496:E1320,5,FALSE)</f>
        <v>7.35</v>
      </c>
      <c r="E498" s="22">
        <f>VLOOKUP(A498,'[11]Linea Arquitectonica'!A496:F1320,6,FALSE)</f>
        <v>9.2899999999999991</v>
      </c>
      <c r="F498" s="22">
        <f>VLOOKUP(A498,'[11]Linea Arquitectonica'!A496:G1320,7,FALSE)</f>
        <v>10.5</v>
      </c>
    </row>
    <row r="499" spans="1:6" x14ac:dyDescent="0.3">
      <c r="A499" s="38" t="s">
        <v>527</v>
      </c>
      <c r="B499" s="37" t="s">
        <v>3345</v>
      </c>
      <c r="C499" s="22">
        <f>VLOOKUP(A499,'[11]Linea Arquitectonica'!$A$4:$G$823,4,FALSE)</f>
        <v>6.5</v>
      </c>
      <c r="D499" s="22">
        <f>VLOOKUP(A499,'[11]Linea Arquitectonica'!A497:E1321,5,FALSE)</f>
        <v>7.35</v>
      </c>
      <c r="E499" s="22">
        <f>VLOOKUP(A499,'[11]Linea Arquitectonica'!A497:F1321,6,FALSE)</f>
        <v>9.2899999999999991</v>
      </c>
      <c r="F499" s="22">
        <f>VLOOKUP(A499,'[11]Linea Arquitectonica'!A497:G1321,7,FALSE)</f>
        <v>10.5</v>
      </c>
    </row>
    <row r="500" spans="1:6" x14ac:dyDescent="0.3">
      <c r="A500" s="38" t="s">
        <v>528</v>
      </c>
      <c r="B500" s="37" t="s">
        <v>3341</v>
      </c>
      <c r="C500" s="22">
        <f>VLOOKUP(A500,'[11]Linea Arquitectonica'!$A$4:$G$823,4,FALSE)</f>
        <v>21.62</v>
      </c>
      <c r="D500" s="22">
        <f>VLOOKUP(A500,'[11]Linea Arquitectonica'!A498:E1322,5,FALSE)</f>
        <v>24.43</v>
      </c>
      <c r="E500" s="22">
        <f>VLOOKUP(A500,'[11]Linea Arquitectonica'!A498:F1322,6,FALSE)</f>
        <v>30.88</v>
      </c>
      <c r="F500" s="22">
        <f>VLOOKUP(A500,'[11]Linea Arquitectonica'!A498:G1322,7,FALSE)</f>
        <v>34.9</v>
      </c>
    </row>
    <row r="501" spans="1:6" x14ac:dyDescent="0.3">
      <c r="A501" s="38" t="s">
        <v>529</v>
      </c>
      <c r="B501" s="37" t="s">
        <v>3342</v>
      </c>
      <c r="C501" s="22">
        <f>VLOOKUP(A501,'[11]Linea Arquitectonica'!$A$4:$G$823,4,FALSE)</f>
        <v>21.62</v>
      </c>
      <c r="D501" s="22">
        <f>VLOOKUP(A501,'[11]Linea Arquitectonica'!A499:E1323,5,FALSE)</f>
        <v>24.43</v>
      </c>
      <c r="E501" s="22">
        <f>VLOOKUP(A501,'[11]Linea Arquitectonica'!A499:F1323,6,FALSE)</f>
        <v>30.88</v>
      </c>
      <c r="F501" s="22">
        <f>VLOOKUP(A501,'[11]Linea Arquitectonica'!A499:G1323,7,FALSE)</f>
        <v>34.9</v>
      </c>
    </row>
    <row r="502" spans="1:6" x14ac:dyDescent="0.3">
      <c r="A502" s="38" t="s">
        <v>530</v>
      </c>
      <c r="B502" s="37" t="s">
        <v>3343</v>
      </c>
      <c r="C502" s="22">
        <f>VLOOKUP(A502,'[11]Linea Arquitectonica'!$A$4:$G$823,4,FALSE)</f>
        <v>21.62</v>
      </c>
      <c r="D502" s="22">
        <f>VLOOKUP(A502,'[11]Linea Arquitectonica'!A500:E1324,5,FALSE)</f>
        <v>24.43</v>
      </c>
      <c r="E502" s="22">
        <f>VLOOKUP(A502,'[11]Linea Arquitectonica'!A500:F1324,6,FALSE)</f>
        <v>30.88</v>
      </c>
      <c r="F502" s="22">
        <f>VLOOKUP(A502,'[11]Linea Arquitectonica'!A500:G1324,7,FALSE)</f>
        <v>34.9</v>
      </c>
    </row>
    <row r="503" spans="1:6" x14ac:dyDescent="0.3">
      <c r="A503" s="38" t="s">
        <v>531</v>
      </c>
      <c r="B503" s="37" t="s">
        <v>3344</v>
      </c>
      <c r="C503" s="22">
        <f>VLOOKUP(A503,'[11]Linea Arquitectonica'!$A$4:$G$823,4,FALSE)</f>
        <v>21.62</v>
      </c>
      <c r="D503" s="22">
        <f>VLOOKUP(A503,'[11]Linea Arquitectonica'!A501:E1325,5,FALSE)</f>
        <v>24.43</v>
      </c>
      <c r="E503" s="22">
        <f>VLOOKUP(A503,'[11]Linea Arquitectonica'!A501:F1325,6,FALSE)</f>
        <v>30.88</v>
      </c>
      <c r="F503" s="22">
        <f>VLOOKUP(A503,'[11]Linea Arquitectonica'!A501:G1325,7,FALSE)</f>
        <v>34.9</v>
      </c>
    </row>
    <row r="504" spans="1:6" x14ac:dyDescent="0.3">
      <c r="A504" s="38" t="s">
        <v>532</v>
      </c>
      <c r="B504" s="37" t="s">
        <v>3345</v>
      </c>
      <c r="C504" s="22">
        <f>VLOOKUP(A504,'[11]Linea Arquitectonica'!$A$4:$G$823,4,FALSE)</f>
        <v>21.62</v>
      </c>
      <c r="D504" s="22">
        <f>VLOOKUP(A504,'[11]Linea Arquitectonica'!A502:E1326,5,FALSE)</f>
        <v>24.43</v>
      </c>
      <c r="E504" s="22">
        <f>VLOOKUP(A504,'[11]Linea Arquitectonica'!A502:F1326,6,FALSE)</f>
        <v>30.88</v>
      </c>
      <c r="F504" s="22">
        <f>VLOOKUP(A504,'[11]Linea Arquitectonica'!A502:G1326,7,FALSE)</f>
        <v>34.9</v>
      </c>
    </row>
    <row r="505" spans="1:6" x14ac:dyDescent="0.3">
      <c r="A505" s="38" t="s">
        <v>533</v>
      </c>
      <c r="B505" s="37" t="s">
        <v>3341</v>
      </c>
      <c r="C505" s="22">
        <f>VLOOKUP(A505,'[11]Linea Arquitectonica'!$A$4:$G$823,4,FALSE)</f>
        <v>96.02</v>
      </c>
      <c r="D505" s="22">
        <f>VLOOKUP(A505,'[11]Linea Arquitectonica'!A503:E1327,5,FALSE)</f>
        <v>108.5</v>
      </c>
      <c r="E505" s="22">
        <f>VLOOKUP(A505,'[11]Linea Arquitectonica'!A503:F1327,6,FALSE)</f>
        <v>137.16999999999999</v>
      </c>
      <c r="F505" s="22">
        <f>VLOOKUP(A505,'[11]Linea Arquitectonica'!A503:G1327,7,FALSE)</f>
        <v>155</v>
      </c>
    </row>
    <row r="506" spans="1:6" x14ac:dyDescent="0.3">
      <c r="A506" s="38" t="s">
        <v>534</v>
      </c>
      <c r="B506" s="37" t="s">
        <v>3342</v>
      </c>
      <c r="C506" s="22">
        <f>VLOOKUP(A506,'[11]Linea Arquitectonica'!$A$4:$G$823,4,FALSE)</f>
        <v>96.02</v>
      </c>
      <c r="D506" s="22">
        <f>VLOOKUP(A506,'[11]Linea Arquitectonica'!A504:E1328,5,FALSE)</f>
        <v>108.5</v>
      </c>
      <c r="E506" s="22">
        <f>VLOOKUP(A506,'[11]Linea Arquitectonica'!A504:F1328,6,FALSE)</f>
        <v>137.16999999999999</v>
      </c>
      <c r="F506" s="22">
        <f>VLOOKUP(A506,'[11]Linea Arquitectonica'!A504:G1328,7,FALSE)</f>
        <v>155</v>
      </c>
    </row>
    <row r="507" spans="1:6" x14ac:dyDescent="0.3">
      <c r="A507" s="38" t="s">
        <v>535</v>
      </c>
      <c r="B507" s="37" t="s">
        <v>3343</v>
      </c>
      <c r="C507" s="22">
        <f>VLOOKUP(A507,'[11]Linea Arquitectonica'!$A$4:$G$823,4,FALSE)</f>
        <v>96.02</v>
      </c>
      <c r="D507" s="22">
        <f>VLOOKUP(A507,'[11]Linea Arquitectonica'!A505:E1329,5,FALSE)</f>
        <v>108.5</v>
      </c>
      <c r="E507" s="22">
        <f>VLOOKUP(A507,'[11]Linea Arquitectonica'!A505:F1329,6,FALSE)</f>
        <v>137.16999999999999</v>
      </c>
      <c r="F507" s="22">
        <f>VLOOKUP(A507,'[11]Linea Arquitectonica'!A505:G1329,7,FALSE)</f>
        <v>155</v>
      </c>
    </row>
    <row r="508" spans="1:6" x14ac:dyDescent="0.3">
      <c r="A508" s="38" t="s">
        <v>536</v>
      </c>
      <c r="B508" s="37" t="s">
        <v>3344</v>
      </c>
      <c r="C508" s="22">
        <f>VLOOKUP(A508,'[11]Linea Arquitectonica'!$A$4:$G$823,4,FALSE)</f>
        <v>96.02</v>
      </c>
      <c r="D508" s="22">
        <f>VLOOKUP(A508,'[11]Linea Arquitectonica'!A506:E1330,5,FALSE)</f>
        <v>108.5</v>
      </c>
      <c r="E508" s="22">
        <f>VLOOKUP(A508,'[11]Linea Arquitectonica'!A506:F1330,6,FALSE)</f>
        <v>137.16999999999999</v>
      </c>
      <c r="F508" s="22">
        <f>VLOOKUP(A508,'[11]Linea Arquitectonica'!A506:G1330,7,FALSE)</f>
        <v>155</v>
      </c>
    </row>
    <row r="509" spans="1:6" x14ac:dyDescent="0.3">
      <c r="A509" s="38" t="s">
        <v>537</v>
      </c>
      <c r="B509" s="37" t="s">
        <v>3345</v>
      </c>
      <c r="C509" s="22">
        <f>VLOOKUP(A509,'[11]Linea Arquitectonica'!$A$4:$G$823,4,FALSE)</f>
        <v>96.02</v>
      </c>
      <c r="D509" s="22">
        <f>VLOOKUP(A509,'[11]Linea Arquitectonica'!A507:E1331,5,FALSE)</f>
        <v>108.5</v>
      </c>
      <c r="E509" s="22">
        <f>VLOOKUP(A509,'[11]Linea Arquitectonica'!A507:F1331,6,FALSE)</f>
        <v>137.16999999999999</v>
      </c>
      <c r="F509" s="22">
        <f>VLOOKUP(A509,'[11]Linea Arquitectonica'!A507:G1331,7,FALSE)</f>
        <v>155</v>
      </c>
    </row>
    <row r="510" spans="1:6" x14ac:dyDescent="0.3">
      <c r="A510" s="38" t="s">
        <v>538</v>
      </c>
      <c r="B510" s="37" t="s">
        <v>3346</v>
      </c>
      <c r="C510" s="22">
        <f>VLOOKUP(A510,'[11]Linea Arquitectonica'!$A$4:$G$823,4,FALSE)</f>
        <v>17.78</v>
      </c>
      <c r="D510" s="22">
        <f>VLOOKUP(A510,'[11]Linea Arquitectonica'!A508:E1332,5,FALSE)</f>
        <v>20.09</v>
      </c>
      <c r="E510" s="22">
        <f>VLOOKUP(A510,'[11]Linea Arquitectonica'!A508:F1332,6,FALSE)</f>
        <v>24.69</v>
      </c>
      <c r="F510" s="22">
        <f>VLOOKUP(A510,'[11]Linea Arquitectonica'!A508:G1332,7,FALSE)</f>
        <v>27.9</v>
      </c>
    </row>
    <row r="511" spans="1:6" x14ac:dyDescent="0.3">
      <c r="A511" s="38" t="s">
        <v>539</v>
      </c>
      <c r="B511" s="37" t="s">
        <v>3347</v>
      </c>
      <c r="C511" s="22">
        <f>VLOOKUP(A511,'[11]Linea Arquitectonica'!$A$4:$G$823,4,FALSE)</f>
        <v>17.78</v>
      </c>
      <c r="D511" s="22">
        <f>VLOOKUP(A511,'[11]Linea Arquitectonica'!A509:E1333,5,FALSE)</f>
        <v>20.09</v>
      </c>
      <c r="E511" s="22">
        <f>VLOOKUP(A511,'[11]Linea Arquitectonica'!A509:F1333,6,FALSE)</f>
        <v>24.69</v>
      </c>
      <c r="F511" s="22">
        <f>VLOOKUP(A511,'[11]Linea Arquitectonica'!A509:G1333,7,FALSE)</f>
        <v>27.9</v>
      </c>
    </row>
    <row r="512" spans="1:6" x14ac:dyDescent="0.3">
      <c r="A512" s="38" t="s">
        <v>540</v>
      </c>
      <c r="B512" s="37" t="s">
        <v>3348</v>
      </c>
      <c r="C512" s="22">
        <f>VLOOKUP(A512,'[11]Linea Arquitectonica'!$A$4:$G$823,4,FALSE)</f>
        <v>17.78</v>
      </c>
      <c r="D512" s="22">
        <f>VLOOKUP(A512,'[11]Linea Arquitectonica'!A510:E1334,5,FALSE)</f>
        <v>20.09</v>
      </c>
      <c r="E512" s="22">
        <f>VLOOKUP(A512,'[11]Linea Arquitectonica'!A510:F1334,6,FALSE)</f>
        <v>24.69</v>
      </c>
      <c r="F512" s="22">
        <f>VLOOKUP(A512,'[11]Linea Arquitectonica'!A510:G1334,7,FALSE)</f>
        <v>27.9</v>
      </c>
    </row>
    <row r="513" spans="1:6" x14ac:dyDescent="0.3">
      <c r="A513" s="38" t="s">
        <v>541</v>
      </c>
      <c r="B513" s="37" t="s">
        <v>3346</v>
      </c>
      <c r="C513" s="22">
        <f>VLOOKUP(A513,'[11]Linea Arquitectonica'!$A$4:$G$823,4,FALSE)</f>
        <v>76.459999999999994</v>
      </c>
      <c r="D513" s="22">
        <f>VLOOKUP(A513,'[11]Linea Arquitectonica'!A510:E1335,5,FALSE)</f>
        <v>86.4</v>
      </c>
      <c r="E513" s="22">
        <f>VLOOKUP(A513,'[11]Linea Arquitectonica'!A510:F1335,6,FALSE)</f>
        <v>106.19</v>
      </c>
      <c r="F513" s="22">
        <f>VLOOKUP(A513,'[11]Linea Arquitectonica'!A510:G1335,7,FALSE)</f>
        <v>120</v>
      </c>
    </row>
    <row r="514" spans="1:6" x14ac:dyDescent="0.3">
      <c r="A514" s="38" t="s">
        <v>542</v>
      </c>
      <c r="B514" s="37" t="s">
        <v>3347</v>
      </c>
      <c r="C514" s="22">
        <f>VLOOKUP(A514,'[11]Linea Arquitectonica'!$A$4:$G$823,4,FALSE)</f>
        <v>76.459999999999994</v>
      </c>
      <c r="D514" s="22">
        <f>VLOOKUP(A514,'[11]Linea Arquitectonica'!A511:E1336,5,FALSE)</f>
        <v>86.4</v>
      </c>
      <c r="E514" s="22">
        <f>VLOOKUP(A514,'[11]Linea Arquitectonica'!A511:F1336,6,FALSE)</f>
        <v>106.19</v>
      </c>
      <c r="F514" s="22">
        <f>VLOOKUP(A514,'[11]Linea Arquitectonica'!A511:G1336,7,FALSE)</f>
        <v>120</v>
      </c>
    </row>
    <row r="515" spans="1:6" x14ac:dyDescent="0.3">
      <c r="A515" s="38" t="s">
        <v>543</v>
      </c>
      <c r="B515" s="37" t="s">
        <v>3348</v>
      </c>
      <c r="C515" s="22">
        <f>VLOOKUP(A515,'[11]Linea Arquitectonica'!$A$4:$G$823,4,FALSE)</f>
        <v>76.459999999999994</v>
      </c>
      <c r="D515" s="22">
        <f>VLOOKUP(A515,'[11]Linea Arquitectonica'!A512:E1337,5,FALSE)</f>
        <v>86.4</v>
      </c>
      <c r="E515" s="22">
        <f>VLOOKUP(A515,'[11]Linea Arquitectonica'!A512:F1337,6,FALSE)</f>
        <v>106.19</v>
      </c>
      <c r="F515" s="22">
        <f>VLOOKUP(A515,'[11]Linea Arquitectonica'!A512:G1337,7,FALSE)</f>
        <v>120</v>
      </c>
    </row>
    <row r="516" spans="1:6" x14ac:dyDescent="0.3">
      <c r="A516" s="21" t="s">
        <v>3349</v>
      </c>
      <c r="B516" s="37" t="s">
        <v>545</v>
      </c>
      <c r="C516" s="22">
        <f>VLOOKUP(A516,'[11]Linea Arquitectonica'!$A$4:$G$823,4,FALSE)</f>
        <v>3.41</v>
      </c>
      <c r="D516" s="22">
        <f>VLOOKUP(A516,'[11]Linea Arquitectonica'!A513:E1338,5,FALSE)</f>
        <v>3.85</v>
      </c>
      <c r="E516" s="22">
        <f>VLOOKUP(A516,'[11]Linea Arquitectonica'!A513:F1338,6,FALSE)</f>
        <v>4.87</v>
      </c>
      <c r="F516" s="22">
        <f>VLOOKUP(A516,'[11]Linea Arquitectonica'!A513:G1338,7,FALSE)</f>
        <v>5.5</v>
      </c>
    </row>
    <row r="517" spans="1:6" x14ac:dyDescent="0.3">
      <c r="A517" s="21" t="s">
        <v>544</v>
      </c>
      <c r="B517" s="37" t="s">
        <v>545</v>
      </c>
      <c r="C517" s="22">
        <f>VLOOKUP(A517,'[11]Linea Arquitectonica'!$A$4:$G$823,4,FALSE)</f>
        <v>15.18</v>
      </c>
      <c r="D517" s="22">
        <f>VLOOKUP(A517,'[11]Linea Arquitectonica'!A514:E1339,5,FALSE)</f>
        <v>17.149999999999999</v>
      </c>
      <c r="E517" s="22">
        <f>VLOOKUP(A517,'[11]Linea Arquitectonica'!A514:F1339,6,FALSE)</f>
        <v>21.68</v>
      </c>
      <c r="F517" s="22">
        <f>VLOOKUP(A517,'[11]Linea Arquitectonica'!A514:G1339,7,FALSE)</f>
        <v>24.5</v>
      </c>
    </row>
    <row r="518" spans="1:6" x14ac:dyDescent="0.3">
      <c r="A518" s="21" t="s">
        <v>546</v>
      </c>
      <c r="B518" s="37" t="s">
        <v>545</v>
      </c>
      <c r="C518" s="22">
        <f>VLOOKUP(A518,'[11]Linea Arquitectonica'!$A$4:$G$823,4,FALSE)</f>
        <v>68.760000000000005</v>
      </c>
      <c r="D518" s="22">
        <f>VLOOKUP(A518,'[11]Linea Arquitectonica'!A515:E1340,5,FALSE)</f>
        <v>77.7</v>
      </c>
      <c r="E518" s="22">
        <f>VLOOKUP(A518,'[11]Linea Arquitectonica'!A515:F1340,6,FALSE)</f>
        <v>98.23</v>
      </c>
      <c r="F518" s="22">
        <f>VLOOKUP(A518,'[11]Linea Arquitectonica'!A515:G1340,7,FALSE)</f>
        <v>111</v>
      </c>
    </row>
    <row r="519" spans="1:6" x14ac:dyDescent="0.3">
      <c r="A519" s="21" t="s">
        <v>547</v>
      </c>
      <c r="B519" s="37" t="s">
        <v>548</v>
      </c>
      <c r="C519" s="22">
        <f>VLOOKUP(A519,'[11]Linea Arquitectonica'!$A$4:$G$823,4,FALSE)</f>
        <v>5.88</v>
      </c>
      <c r="D519" s="22">
        <f>VLOOKUP(A519,'[11]Linea Arquitectonica'!A516:E1341,5,FALSE)</f>
        <v>6.65</v>
      </c>
      <c r="E519" s="22">
        <f>VLOOKUP(A519,'[11]Linea Arquitectonica'!A516:F1341,6,FALSE)</f>
        <v>8.41</v>
      </c>
      <c r="F519" s="22">
        <f>VLOOKUP(A519,'[11]Linea Arquitectonica'!A516:G1341,7,FALSE)</f>
        <v>9.5</v>
      </c>
    </row>
    <row r="520" spans="1:6" x14ac:dyDescent="0.3">
      <c r="A520" s="21" t="s">
        <v>549</v>
      </c>
      <c r="B520" s="37" t="s">
        <v>548</v>
      </c>
      <c r="C520" s="22">
        <f>VLOOKUP(A520,'[11]Linea Arquitectonica'!$A$4:$G$823,4,FALSE)</f>
        <v>21</v>
      </c>
      <c r="D520" s="22">
        <f>VLOOKUP(A520,'[11]Linea Arquitectonica'!A517:E1342,5,FALSE)</f>
        <v>23.73</v>
      </c>
      <c r="E520" s="22">
        <f>VLOOKUP(A520,'[11]Linea Arquitectonica'!A517:F1342,6,FALSE)</f>
        <v>30</v>
      </c>
      <c r="F520" s="22">
        <f>VLOOKUP(A520,'[11]Linea Arquitectonica'!A517:G1342,7,FALSE)</f>
        <v>33.9</v>
      </c>
    </row>
    <row r="521" spans="1:6" x14ac:dyDescent="0.3">
      <c r="A521" s="21" t="s">
        <v>550</v>
      </c>
      <c r="B521" s="37" t="s">
        <v>548</v>
      </c>
      <c r="C521" s="22">
        <f>VLOOKUP(A521,'[11]Linea Arquitectonica'!$A$4:$G$823,4,FALSE)</f>
        <v>94.78</v>
      </c>
      <c r="D521" s="22">
        <f>VLOOKUP(A521,'[11]Linea Arquitectonica'!A518:E1343,5,FALSE)</f>
        <v>107.1</v>
      </c>
      <c r="E521" s="22">
        <f>VLOOKUP(A521,'[11]Linea Arquitectonica'!A518:F1343,6,FALSE)</f>
        <v>135.4</v>
      </c>
      <c r="F521" s="22">
        <f>VLOOKUP(A521,'[11]Linea Arquitectonica'!A518:G1343,7,FALSE)</f>
        <v>153</v>
      </c>
    </row>
    <row r="522" spans="1:6" x14ac:dyDescent="0.3">
      <c r="A522" s="38" t="s">
        <v>551</v>
      </c>
      <c r="B522" s="37" t="s">
        <v>552</v>
      </c>
      <c r="C522" s="22">
        <f>VLOOKUP(A522,'[11]Linea Arquitectonica'!$A$4:$G$823,4,FALSE)</f>
        <v>7.12</v>
      </c>
      <c r="D522" s="22">
        <f>VLOOKUP(A522,'[11]Linea Arquitectonica'!A519:E1344,5,FALSE)</f>
        <v>8.0500000000000007</v>
      </c>
      <c r="E522" s="22">
        <f>VLOOKUP(A522,'[11]Linea Arquitectonica'!A519:F1344,6,FALSE)</f>
        <v>10.18</v>
      </c>
      <c r="F522" s="22">
        <f>VLOOKUP(A522,'[11]Linea Arquitectonica'!A519:G1344,7,FALSE)</f>
        <v>11.5</v>
      </c>
    </row>
    <row r="523" spans="1:6" x14ac:dyDescent="0.3">
      <c r="A523" s="38" t="s">
        <v>553</v>
      </c>
      <c r="B523" s="37" t="s">
        <v>554</v>
      </c>
      <c r="C523" s="22">
        <f>VLOOKUP(A523,'[11]Linea Arquitectonica'!$A$4:$G$823,4,FALSE)</f>
        <v>6.63</v>
      </c>
      <c r="D523" s="22">
        <f>VLOOKUP(A523,'[11]Linea Arquitectonica'!A520:E1345,5,FALSE)</f>
        <v>7.49</v>
      </c>
      <c r="E523" s="22">
        <f>VLOOKUP(A523,'[11]Linea Arquitectonica'!A520:F1345,6,FALSE)</f>
        <v>10.18</v>
      </c>
      <c r="F523" s="22">
        <f>VLOOKUP(A523,'[11]Linea Arquitectonica'!A520:G1345,7,FALSE)</f>
        <v>11.5</v>
      </c>
    </row>
    <row r="524" spans="1:6" x14ac:dyDescent="0.3">
      <c r="A524" s="38" t="s">
        <v>555</v>
      </c>
      <c r="B524" s="37" t="s">
        <v>556</v>
      </c>
      <c r="C524" s="22">
        <f>VLOOKUP(A524,'[11]Linea Arquitectonica'!$A$4:$G$823,4,FALSE)</f>
        <v>5.63</v>
      </c>
      <c r="D524" s="22">
        <f>VLOOKUP(A524,'[11]Linea Arquitectonica'!A520:E1346,5,FALSE)</f>
        <v>6.36</v>
      </c>
      <c r="E524" s="22">
        <f>VLOOKUP(A524,'[11]Linea Arquitectonica'!A520:F1346,6,FALSE)</f>
        <v>10.18</v>
      </c>
      <c r="F524" s="22">
        <f>VLOOKUP(A524,'[11]Linea Arquitectonica'!A520:G1346,7,FALSE)</f>
        <v>11.5</v>
      </c>
    </row>
    <row r="525" spans="1:6" x14ac:dyDescent="0.3">
      <c r="A525" s="38" t="s">
        <v>557</v>
      </c>
      <c r="B525" s="37" t="s">
        <v>558</v>
      </c>
      <c r="C525" s="22">
        <f>VLOOKUP(A525,'[11]Linea Arquitectonica'!$A$4:$G$823,4,FALSE)</f>
        <v>5.63</v>
      </c>
      <c r="D525" s="22">
        <f>VLOOKUP(A525,'[11]Linea Arquitectonica'!A521:E1347,5,FALSE)</f>
        <v>6.36</v>
      </c>
      <c r="E525" s="22">
        <f>VLOOKUP(A525,'[11]Linea Arquitectonica'!A521:F1347,6,FALSE)</f>
        <v>10.18</v>
      </c>
      <c r="F525" s="22">
        <f>VLOOKUP(A525,'[11]Linea Arquitectonica'!A521:G1347,7,FALSE)</f>
        <v>11.5</v>
      </c>
    </row>
    <row r="526" spans="1:6" x14ac:dyDescent="0.3">
      <c r="A526" s="38" t="s">
        <v>559</v>
      </c>
      <c r="B526" s="37" t="s">
        <v>552</v>
      </c>
      <c r="C526" s="22">
        <f>VLOOKUP(A526,'[11]Linea Arquitectonica'!$A$4:$G$823,4,FALSE)</f>
        <v>25.34</v>
      </c>
      <c r="D526" s="22">
        <f>VLOOKUP(A526,'[11]Linea Arquitectonica'!A522:E1348,5,FALSE)</f>
        <v>28.63</v>
      </c>
      <c r="E526" s="22">
        <f>VLOOKUP(A526,'[11]Linea Arquitectonica'!A522:F1348,6,FALSE)</f>
        <v>36.19</v>
      </c>
      <c r="F526" s="22">
        <f>VLOOKUP(A526,'[11]Linea Arquitectonica'!A522:G1348,7,FALSE)</f>
        <v>40.9</v>
      </c>
    </row>
    <row r="527" spans="1:6" x14ac:dyDescent="0.3">
      <c r="A527" s="38" t="s">
        <v>560</v>
      </c>
      <c r="B527" s="37" t="s">
        <v>554</v>
      </c>
      <c r="C527" s="22">
        <f>VLOOKUP(A527,'[11]Linea Arquitectonica'!$A$4:$G$823,4,FALSE)</f>
        <v>23.84</v>
      </c>
      <c r="D527" s="22">
        <f>VLOOKUP(A527,'[11]Linea Arquitectonica'!A523:E1349,5,FALSE)</f>
        <v>26.94</v>
      </c>
      <c r="E527" s="22">
        <f>VLOOKUP(A527,'[11]Linea Arquitectonica'!A523:F1349,6,FALSE)</f>
        <v>36.19</v>
      </c>
      <c r="F527" s="22">
        <f>VLOOKUP(A527,'[11]Linea Arquitectonica'!A523:G1349,7,FALSE)</f>
        <v>40.9</v>
      </c>
    </row>
    <row r="528" spans="1:6" x14ac:dyDescent="0.3">
      <c r="A528" s="38" t="s">
        <v>561</v>
      </c>
      <c r="B528" s="37" t="s">
        <v>556</v>
      </c>
      <c r="C528" s="22">
        <f>VLOOKUP(A528,'[11]Linea Arquitectonica'!$A$4:$G$823,4,FALSE)</f>
        <v>20.34</v>
      </c>
      <c r="D528" s="22">
        <f>VLOOKUP(A528,'[11]Linea Arquitectonica'!A524:E1350,5,FALSE)</f>
        <v>22.98</v>
      </c>
      <c r="E528" s="22">
        <f>VLOOKUP(A528,'[11]Linea Arquitectonica'!A524:F1350,6,FALSE)</f>
        <v>36.19</v>
      </c>
      <c r="F528" s="22">
        <f>VLOOKUP(A528,'[11]Linea Arquitectonica'!A524:G1350,7,FALSE)</f>
        <v>40.9</v>
      </c>
    </row>
    <row r="529" spans="1:6" x14ac:dyDescent="0.3">
      <c r="A529" s="38" t="s">
        <v>562</v>
      </c>
      <c r="B529" s="37" t="s">
        <v>558</v>
      </c>
      <c r="C529" s="22">
        <f>VLOOKUP(A529,'[11]Linea Arquitectonica'!$A$4:$G$823,4,FALSE)</f>
        <v>20.34</v>
      </c>
      <c r="D529" s="22">
        <f>VLOOKUP(A529,'[11]Linea Arquitectonica'!A525:E1351,5,FALSE)</f>
        <v>22.98</v>
      </c>
      <c r="E529" s="22">
        <f>VLOOKUP(A529,'[11]Linea Arquitectonica'!A525:F1351,6,FALSE)</f>
        <v>36.19</v>
      </c>
      <c r="F529" s="22">
        <f>VLOOKUP(A529,'[11]Linea Arquitectonica'!A525:G1351,7,FALSE)</f>
        <v>40.9</v>
      </c>
    </row>
    <row r="530" spans="1:6" x14ac:dyDescent="0.3">
      <c r="A530" s="38" t="s">
        <v>563</v>
      </c>
      <c r="B530" s="37" t="s">
        <v>552</v>
      </c>
      <c r="C530" s="22">
        <f>VLOOKUP(A530,'[11]Linea Arquitectonica'!$A$4:$G$823,4,FALSE)</f>
        <v>115.84</v>
      </c>
      <c r="D530" s="22">
        <f>VLOOKUP(A530,'[11]Linea Arquitectonica'!A526:E1352,5,FALSE)</f>
        <v>130.9</v>
      </c>
      <c r="E530" s="22">
        <f>VLOOKUP(A530,'[11]Linea Arquitectonica'!A526:F1352,6,FALSE)</f>
        <v>165.49</v>
      </c>
      <c r="F530" s="22">
        <f>VLOOKUP(A530,'[11]Linea Arquitectonica'!A526:G1352,7,FALSE)</f>
        <v>187</v>
      </c>
    </row>
    <row r="531" spans="1:6" x14ac:dyDescent="0.3">
      <c r="A531" s="38" t="s">
        <v>564</v>
      </c>
      <c r="B531" s="37" t="s">
        <v>554</v>
      </c>
      <c r="C531" s="22">
        <f>VLOOKUP(A531,'[11]Linea Arquitectonica'!$A$4:$G$823,4,FALSE)</f>
        <v>108.35</v>
      </c>
      <c r="D531" s="22">
        <f>VLOOKUP(A531,'[11]Linea Arquitectonica'!A527:E1353,5,FALSE)</f>
        <v>122.43</v>
      </c>
      <c r="E531" s="22">
        <f>VLOOKUP(A531,'[11]Linea Arquitectonica'!A527:F1353,6,FALSE)</f>
        <v>165.49</v>
      </c>
      <c r="F531" s="22">
        <f>VLOOKUP(A531,'[11]Linea Arquitectonica'!A527:G1353,7,FALSE)</f>
        <v>187</v>
      </c>
    </row>
    <row r="532" spans="1:6" x14ac:dyDescent="0.3">
      <c r="A532" s="38" t="s">
        <v>565</v>
      </c>
      <c r="B532" s="37" t="s">
        <v>556</v>
      </c>
      <c r="C532" s="22">
        <f>VLOOKUP(A532,'[11]Linea Arquitectonica'!$A$4:$G$823,4,FALSE)</f>
        <v>90.84</v>
      </c>
      <c r="D532" s="22">
        <f>VLOOKUP(A532,'[11]Linea Arquitectonica'!A528:E1354,5,FALSE)</f>
        <v>102.65</v>
      </c>
      <c r="E532" s="22">
        <f>VLOOKUP(A532,'[11]Linea Arquitectonica'!A528:F1354,6,FALSE)</f>
        <v>165.49</v>
      </c>
      <c r="F532" s="22">
        <f>VLOOKUP(A532,'[11]Linea Arquitectonica'!A528:G1354,7,FALSE)</f>
        <v>187</v>
      </c>
    </row>
    <row r="533" spans="1:6" x14ac:dyDescent="0.3">
      <c r="A533" s="38" t="s">
        <v>566</v>
      </c>
      <c r="B533" s="37" t="s">
        <v>558</v>
      </c>
      <c r="C533" s="22">
        <f>VLOOKUP(A533,'[11]Linea Arquitectonica'!$A$4:$G$823,4,FALSE)</f>
        <v>90.84</v>
      </c>
      <c r="D533" s="22">
        <f>VLOOKUP(A533,'[11]Linea Arquitectonica'!A529:E1355,5,FALSE)</f>
        <v>102.65</v>
      </c>
      <c r="E533" s="22">
        <f>VLOOKUP(A533,'[11]Linea Arquitectonica'!A529:F1355,6,FALSE)</f>
        <v>165.49</v>
      </c>
      <c r="F533" s="22">
        <f>VLOOKUP(A533,'[11]Linea Arquitectonica'!A529:G1355,7,FALSE)</f>
        <v>187</v>
      </c>
    </row>
    <row r="534" spans="1:6" x14ac:dyDescent="0.3">
      <c r="A534" s="21" t="s">
        <v>567</v>
      </c>
      <c r="B534" s="37" t="s">
        <v>3350</v>
      </c>
      <c r="C534" s="22">
        <f>VLOOKUP(A534,'[11]Linea Arquitectonica'!$A$4:$G$823,4,FALSE)</f>
        <v>24.1</v>
      </c>
      <c r="D534" s="22">
        <f>VLOOKUP(A534,'[11]Linea Arquitectonica'!A530:E1356,5,FALSE)</f>
        <v>27.23</v>
      </c>
      <c r="E534" s="22">
        <f>VLOOKUP(A534,'[11]Linea Arquitectonica'!A530:F1356,6,FALSE)</f>
        <v>34.42</v>
      </c>
      <c r="F534" s="22">
        <f>VLOOKUP(A534,'[11]Linea Arquitectonica'!A530:G1356,7,FALSE)</f>
        <v>38.9</v>
      </c>
    </row>
    <row r="535" spans="1:6" x14ac:dyDescent="0.3">
      <c r="A535" s="21" t="s">
        <v>568</v>
      </c>
      <c r="B535" s="37" t="s">
        <v>578</v>
      </c>
      <c r="C535" s="22">
        <f>VLOOKUP(A535,'[11]Linea Arquitectonica'!$A$4:$G$823,4,FALSE)</f>
        <v>24.1</v>
      </c>
      <c r="D535" s="22">
        <f>VLOOKUP(A535,'[11]Linea Arquitectonica'!A531:E1357,5,FALSE)</f>
        <v>27.23</v>
      </c>
      <c r="E535" s="22">
        <f>VLOOKUP(A535,'[11]Linea Arquitectonica'!A531:F1357,6,FALSE)</f>
        <v>34.42</v>
      </c>
      <c r="F535" s="22">
        <f>VLOOKUP(A535,'[11]Linea Arquitectonica'!A531:G1357,7,FALSE)</f>
        <v>38.9</v>
      </c>
    </row>
    <row r="536" spans="1:6" x14ac:dyDescent="0.3">
      <c r="A536" s="21" t="s">
        <v>569</v>
      </c>
      <c r="B536" s="37" t="s">
        <v>570</v>
      </c>
      <c r="C536" s="22">
        <f>VLOOKUP(A536,'[11]Linea Arquitectonica'!$A$4:$G$823,4,FALSE)</f>
        <v>24.1</v>
      </c>
      <c r="D536" s="22">
        <f>VLOOKUP(A536,'[11]Linea Arquitectonica'!A532:E1358,5,FALSE)</f>
        <v>27.23</v>
      </c>
      <c r="E536" s="22">
        <f>VLOOKUP(A536,'[11]Linea Arquitectonica'!A532:F1358,6,FALSE)</f>
        <v>34.42</v>
      </c>
      <c r="F536" s="22">
        <f>VLOOKUP(A536,'[11]Linea Arquitectonica'!A532:G1358,7,FALSE)</f>
        <v>38.9</v>
      </c>
    </row>
    <row r="537" spans="1:6" x14ac:dyDescent="0.3">
      <c r="A537" s="21" t="s">
        <v>571</v>
      </c>
      <c r="B537" s="37" t="s">
        <v>3350</v>
      </c>
      <c r="C537" s="22">
        <f>VLOOKUP(A537,'[11]Linea Arquitectonica'!$A$4:$G$823,4,FALSE)</f>
        <v>6.75</v>
      </c>
      <c r="D537" s="22">
        <f>VLOOKUP(A537,'[11]Linea Arquitectonica'!A533:E1359,5,FALSE)</f>
        <v>7.63</v>
      </c>
      <c r="E537" s="22">
        <f>VLOOKUP(A537,'[11]Linea Arquitectonica'!A533:F1359,6,FALSE)</f>
        <v>9.65</v>
      </c>
      <c r="F537" s="22">
        <f>VLOOKUP(A537,'[11]Linea Arquitectonica'!A533:G1359,7,FALSE)</f>
        <v>10.9</v>
      </c>
    </row>
    <row r="538" spans="1:6" x14ac:dyDescent="0.3">
      <c r="A538" s="21" t="s">
        <v>572</v>
      </c>
      <c r="B538" s="37" t="s">
        <v>578</v>
      </c>
      <c r="C538" s="22">
        <f>VLOOKUP(A538,'[11]Linea Arquitectonica'!$A$4:$G$823,4,FALSE)</f>
        <v>6.75</v>
      </c>
      <c r="D538" s="22">
        <f>VLOOKUP(A538,'[11]Linea Arquitectonica'!A534:E1360,5,FALSE)</f>
        <v>7.63</v>
      </c>
      <c r="E538" s="22">
        <f>VLOOKUP(A538,'[11]Linea Arquitectonica'!A534:F1360,6,FALSE)</f>
        <v>9.65</v>
      </c>
      <c r="F538" s="22">
        <f>VLOOKUP(A538,'[11]Linea Arquitectonica'!A534:G1360,7,FALSE)</f>
        <v>10.9</v>
      </c>
    </row>
    <row r="539" spans="1:6" x14ac:dyDescent="0.3">
      <c r="A539" s="21" t="s">
        <v>573</v>
      </c>
      <c r="B539" s="37" t="s">
        <v>570</v>
      </c>
      <c r="C539" s="22">
        <f>VLOOKUP(A539,'[11]Linea Arquitectonica'!$A$4:$G$823,4,FALSE)</f>
        <v>6.75</v>
      </c>
      <c r="D539" s="22">
        <f>VLOOKUP(A539,'[11]Linea Arquitectonica'!A535:E1361,5,FALSE)</f>
        <v>7.63</v>
      </c>
      <c r="E539" s="22">
        <f>VLOOKUP(A539,'[11]Linea Arquitectonica'!A535:F1361,6,FALSE)</f>
        <v>9.65</v>
      </c>
      <c r="F539" s="22">
        <f>VLOOKUP(A539,'[11]Linea Arquitectonica'!A535:G1361,7,FALSE)</f>
        <v>10.9</v>
      </c>
    </row>
    <row r="540" spans="1:6" x14ac:dyDescent="0.3">
      <c r="A540" s="21" t="s">
        <v>574</v>
      </c>
      <c r="B540" s="37" t="s">
        <v>3350</v>
      </c>
      <c r="C540" s="22">
        <f>VLOOKUP(A540,'[11]Linea Arquitectonica'!$A$4:$G$823,4,FALSE)</f>
        <v>6.38</v>
      </c>
      <c r="D540" s="22">
        <f>VLOOKUP(A540,'[11]Linea Arquitectonica'!A536:E1362,5,FALSE)</f>
        <v>7.21</v>
      </c>
      <c r="E540" s="22">
        <f>VLOOKUP(A540,'[11]Linea Arquitectonica'!A536:F1362,6,FALSE)</f>
        <v>9.1199999999999992</v>
      </c>
      <c r="F540" s="22">
        <f>VLOOKUP(A540,'[11]Linea Arquitectonica'!A536:G1362,7,FALSE)</f>
        <v>10.3</v>
      </c>
    </row>
    <row r="541" spans="1:6" x14ac:dyDescent="0.3">
      <c r="A541" s="21" t="s">
        <v>575</v>
      </c>
      <c r="B541" s="37" t="s">
        <v>578</v>
      </c>
      <c r="C541" s="22">
        <f>VLOOKUP(A541,'[11]Linea Arquitectonica'!$A$4:$G$823,4,FALSE)</f>
        <v>6.38</v>
      </c>
      <c r="D541" s="22">
        <f>VLOOKUP(A541,'[11]Linea Arquitectonica'!A537:E1363,5,FALSE)</f>
        <v>7.21</v>
      </c>
      <c r="E541" s="22">
        <f>VLOOKUP(A541,'[11]Linea Arquitectonica'!A537:F1363,6,FALSE)</f>
        <v>9.1199999999999992</v>
      </c>
      <c r="F541" s="22">
        <f>VLOOKUP(A541,'[11]Linea Arquitectonica'!A537:G1363,7,FALSE)</f>
        <v>10.3</v>
      </c>
    </row>
    <row r="542" spans="1:6" x14ac:dyDescent="0.3">
      <c r="A542" s="21" t="s">
        <v>576</v>
      </c>
      <c r="B542" s="37" t="s">
        <v>570</v>
      </c>
      <c r="C542" s="22">
        <f>VLOOKUP(A542,'[11]Linea Arquitectonica'!$A$4:$G$823,4,FALSE)</f>
        <v>6.38</v>
      </c>
      <c r="D542" s="22">
        <f>VLOOKUP(A542,'[11]Linea Arquitectonica'!A538:E1364,5,FALSE)</f>
        <v>7.21</v>
      </c>
      <c r="E542" s="22">
        <f>VLOOKUP(A542,'[11]Linea Arquitectonica'!A538:F1364,6,FALSE)</f>
        <v>9.1199999999999992</v>
      </c>
      <c r="F542" s="22">
        <f>VLOOKUP(A542,'[11]Linea Arquitectonica'!A538:G1364,7,FALSE)</f>
        <v>10.3</v>
      </c>
    </row>
    <row r="543" spans="1:6" x14ac:dyDescent="0.3">
      <c r="A543" s="21" t="s">
        <v>577</v>
      </c>
      <c r="B543" s="37" t="s">
        <v>578</v>
      </c>
      <c r="C543" s="22">
        <f>VLOOKUP(A543,'[11]Linea Arquitectonica'!$A$4:$G$823,4,FALSE)</f>
        <v>3.04</v>
      </c>
      <c r="D543" s="22">
        <f>VLOOKUP(A543,'[11]Linea Arquitectonica'!A539:E1365,5,FALSE)</f>
        <v>3.43</v>
      </c>
      <c r="E543" s="22">
        <f>VLOOKUP(A543,'[11]Linea Arquitectonica'!A539:F1365,6,FALSE)</f>
        <v>4.34</v>
      </c>
      <c r="F543" s="22">
        <f>VLOOKUP(A543,'[11]Linea Arquitectonica'!A539:G1365,7,FALSE)</f>
        <v>4.9000000000000004</v>
      </c>
    </row>
    <row r="544" spans="1:6" x14ac:dyDescent="0.3">
      <c r="A544" s="21" t="s">
        <v>579</v>
      </c>
      <c r="B544" s="37" t="s">
        <v>580</v>
      </c>
      <c r="C544" s="22">
        <f>VLOOKUP(A544,'[11]Linea Arquitectonica'!$A$4:$G$823,4,FALSE)</f>
        <v>13.04</v>
      </c>
      <c r="D544" s="22">
        <f>VLOOKUP(A544,'[11]Linea Arquitectonica'!A540:E1366,5,FALSE)</f>
        <v>14.73</v>
      </c>
      <c r="E544" s="22">
        <f>VLOOKUP(A544,'[11]Linea Arquitectonica'!A540:F1366,6,FALSE)</f>
        <v>17.61</v>
      </c>
      <c r="F544" s="22">
        <f>VLOOKUP(A544,'[11]Linea Arquitectonica'!A540:G1366,7,FALSE)</f>
        <v>19.899999999999999</v>
      </c>
    </row>
    <row r="545" spans="1:6" x14ac:dyDescent="0.3">
      <c r="A545" s="21" t="s">
        <v>581</v>
      </c>
      <c r="B545" s="37" t="s">
        <v>580</v>
      </c>
      <c r="C545" s="22">
        <f>VLOOKUP(A545,'[11]Linea Arquitectonica'!$A$4:$G$823,4,FALSE)</f>
        <v>59.27</v>
      </c>
      <c r="D545" s="22">
        <f>VLOOKUP(A545,'[11]Linea Arquitectonica'!A541:E1367,5,FALSE)</f>
        <v>66.97</v>
      </c>
      <c r="E545" s="22">
        <f>VLOOKUP(A545,'[11]Linea Arquitectonica'!A541:F1367,6,FALSE)</f>
        <v>80.09</v>
      </c>
      <c r="F545" s="22">
        <f>VLOOKUP(A545,'[11]Linea Arquitectonica'!A541:G1367,7,FALSE)</f>
        <v>90.5</v>
      </c>
    </row>
    <row r="546" spans="1:6" x14ac:dyDescent="0.3">
      <c r="A546" s="21" t="s">
        <v>582</v>
      </c>
      <c r="B546" s="37" t="s">
        <v>583</v>
      </c>
      <c r="C546" s="22">
        <f>VLOOKUP(A546,'[11]Linea Arquitectonica'!$A$4:$G$823,4,FALSE)</f>
        <v>19.32</v>
      </c>
      <c r="D546" s="22">
        <f>VLOOKUP(A546,'[11]Linea Arquitectonica'!A542:E1368,5,FALSE)</f>
        <v>21.83</v>
      </c>
      <c r="E546" s="22">
        <f>VLOOKUP(A546,'[11]Linea Arquitectonica'!A542:F1368,6,FALSE)</f>
        <v>26.11</v>
      </c>
      <c r="F546" s="22">
        <f>VLOOKUP(A546,'[11]Linea Arquitectonica'!A542:G1368,7,FALSE)</f>
        <v>29.5</v>
      </c>
    </row>
    <row r="547" spans="1:6" x14ac:dyDescent="0.3">
      <c r="A547" s="21" t="s">
        <v>584</v>
      </c>
      <c r="B547" s="37" t="s">
        <v>583</v>
      </c>
      <c r="C547" s="22">
        <f>VLOOKUP(A547,'[11]Linea Arquitectonica'!$A$4:$G$823,4,FALSE)</f>
        <v>89.72</v>
      </c>
      <c r="D547" s="22">
        <f>VLOOKUP(A547,'[11]Linea Arquitectonica'!A543:E1369,5,FALSE)</f>
        <v>101.38</v>
      </c>
      <c r="E547" s="22">
        <f>VLOOKUP(A547,'[11]Linea Arquitectonica'!A543:F1369,6,FALSE)</f>
        <v>121.24</v>
      </c>
      <c r="F547" s="22">
        <f>VLOOKUP(A547,'[11]Linea Arquitectonica'!A543:G1369,7,FALSE)</f>
        <v>137</v>
      </c>
    </row>
    <row r="548" spans="1:6" x14ac:dyDescent="0.3">
      <c r="A548" s="21" t="s">
        <v>585</v>
      </c>
      <c r="B548" s="37" t="s">
        <v>586</v>
      </c>
      <c r="C548" s="22">
        <f>VLOOKUP(A548,'[11]Linea Arquitectonica'!$A$4:$G$823,4,FALSE)</f>
        <v>17.28</v>
      </c>
      <c r="D548" s="22">
        <f>VLOOKUP(A548,'[11]Linea Arquitectonica'!A544:E1370,5,FALSE)</f>
        <v>19.53</v>
      </c>
      <c r="E548" s="22">
        <f>VLOOKUP(A548,'[11]Linea Arquitectonica'!A544:F1370,6,FALSE)</f>
        <v>24.69</v>
      </c>
      <c r="F548" s="22">
        <f>VLOOKUP(A548,'[11]Linea Arquitectonica'!A544:G1370,7,FALSE)</f>
        <v>27.9</v>
      </c>
    </row>
    <row r="549" spans="1:6" x14ac:dyDescent="0.3">
      <c r="A549" s="21" t="s">
        <v>587</v>
      </c>
      <c r="B549" s="37" t="s">
        <v>588</v>
      </c>
      <c r="C549" s="22">
        <f>VLOOKUP(A549,'[11]Linea Arquitectonica'!$A$4:$G$823,4,FALSE)</f>
        <v>17.28</v>
      </c>
      <c r="D549" s="22">
        <f>VLOOKUP(A549,'[11]Linea Arquitectonica'!A545:E1371,5,FALSE)</f>
        <v>19.53</v>
      </c>
      <c r="E549" s="22">
        <f>VLOOKUP(A549,'[11]Linea Arquitectonica'!A545:F1371,6,FALSE)</f>
        <v>24.69</v>
      </c>
      <c r="F549" s="22">
        <f>VLOOKUP(A549,'[11]Linea Arquitectonica'!A545:G1371,7,FALSE)</f>
        <v>27.9</v>
      </c>
    </row>
    <row r="550" spans="1:6" x14ac:dyDescent="0.3">
      <c r="A550" s="21" t="s">
        <v>589</v>
      </c>
      <c r="B550" s="37" t="s">
        <v>586</v>
      </c>
      <c r="C550" s="22">
        <f>VLOOKUP(A550,'[11]Linea Arquitectonica'!$A$4:$G$823,4,FALSE)</f>
        <v>77.430000000000007</v>
      </c>
      <c r="D550" s="22">
        <f>VLOOKUP(A550,'[11]Linea Arquitectonica'!A546:E1372,5,FALSE)</f>
        <v>87.5</v>
      </c>
      <c r="E550" s="22">
        <f>VLOOKUP(A550,'[11]Linea Arquitectonica'!A546:F1372,6,FALSE)</f>
        <v>110.62</v>
      </c>
      <c r="F550" s="22">
        <f>VLOOKUP(A550,'[11]Linea Arquitectonica'!A546:G1372,7,FALSE)</f>
        <v>125</v>
      </c>
    </row>
    <row r="551" spans="1:6" x14ac:dyDescent="0.3">
      <c r="A551" s="21" t="s">
        <v>590</v>
      </c>
      <c r="B551" s="37" t="s">
        <v>3351</v>
      </c>
      <c r="C551" s="22">
        <f>VLOOKUP(A551,'[11]Linea Arquitectonica'!$A$4:$G$823,4,FALSE)</f>
        <v>77.430000000000007</v>
      </c>
      <c r="D551" s="22">
        <f>VLOOKUP(A551,'[11]Linea Arquitectonica'!A547:E1373,5,FALSE)</f>
        <v>87.5</v>
      </c>
      <c r="E551" s="22">
        <f>VLOOKUP(A551,'[11]Linea Arquitectonica'!A547:F1373,6,FALSE)</f>
        <v>110.62</v>
      </c>
      <c r="F551" s="22">
        <f>VLOOKUP(A551,'[11]Linea Arquitectonica'!A547:G1373,7,FALSE)</f>
        <v>125</v>
      </c>
    </row>
    <row r="552" spans="1:6" x14ac:dyDescent="0.3">
      <c r="A552" s="21" t="s">
        <v>591</v>
      </c>
      <c r="B552" s="37" t="s">
        <v>592</v>
      </c>
      <c r="C552" s="22">
        <f>VLOOKUP(A552,'[11]Linea Arquitectonica'!$A$4:$G$823,4,FALSE)</f>
        <v>13.57</v>
      </c>
      <c r="D552" s="22">
        <f>VLOOKUP(A552,'[11]Linea Arquitectonica'!A548:E1374,5,FALSE)</f>
        <v>15.33</v>
      </c>
      <c r="E552" s="22">
        <f>VLOOKUP(A552,'[11]Linea Arquitectonica'!A548:F1374,6,FALSE)</f>
        <v>19.38</v>
      </c>
      <c r="F552" s="22">
        <f>VLOOKUP(A552,'[11]Linea Arquitectonica'!A548:G1374,7,FALSE)</f>
        <v>21.9</v>
      </c>
    </row>
    <row r="553" spans="1:6" x14ac:dyDescent="0.3">
      <c r="A553" s="21" t="s">
        <v>593</v>
      </c>
      <c r="B553" s="37" t="s">
        <v>592</v>
      </c>
      <c r="C553" s="22">
        <f>VLOOKUP(A553,'[11]Linea Arquitectonica'!$A$4:$G$823,4,FALSE)</f>
        <v>58.85</v>
      </c>
      <c r="D553" s="22">
        <f>VLOOKUP(A553,'[11]Linea Arquitectonica'!A549:E1375,5,FALSE)</f>
        <v>66.5</v>
      </c>
      <c r="E553" s="22">
        <f>VLOOKUP(A553,'[11]Linea Arquitectonica'!A549:F1375,6,FALSE)</f>
        <v>84.07</v>
      </c>
      <c r="F553" s="22">
        <f>VLOOKUP(A553,'[11]Linea Arquitectonica'!A549:G1375,7,FALSE)</f>
        <v>95</v>
      </c>
    </row>
    <row r="554" spans="1:6" x14ac:dyDescent="0.3">
      <c r="A554" s="38" t="s">
        <v>594</v>
      </c>
      <c r="B554" s="37" t="s">
        <v>595</v>
      </c>
      <c r="C554" s="22">
        <f>VLOOKUP(A554,'[11]Linea Arquitectonica'!$A$4:$G$823,4,FALSE)</f>
        <v>11.73</v>
      </c>
      <c r="D554" s="22">
        <f>VLOOKUP(A554,'[11]Linea Arquitectonica'!A550:E1376,5,FALSE)</f>
        <v>13.25</v>
      </c>
      <c r="E554" s="22">
        <f>VLOOKUP(A554,'[11]Linea Arquitectonica'!A550:F1376,6,FALSE)</f>
        <v>15.84</v>
      </c>
      <c r="F554" s="22">
        <f>VLOOKUP(A554,'[11]Linea Arquitectonica'!A550:G1376,7,FALSE)</f>
        <v>17.899999999999999</v>
      </c>
    </row>
    <row r="555" spans="1:6" x14ac:dyDescent="0.3">
      <c r="A555" s="21" t="s">
        <v>596</v>
      </c>
      <c r="B555" s="37" t="s">
        <v>595</v>
      </c>
      <c r="C555" s="22">
        <f>VLOOKUP(A555,'[11]Linea Arquitectonica'!$A$4:$G$823,4,FALSE)</f>
        <v>45.12</v>
      </c>
      <c r="D555" s="22">
        <f>VLOOKUP(A555,'[11]Linea Arquitectonica'!A551:E1377,5,FALSE)</f>
        <v>50.99</v>
      </c>
      <c r="E555" s="22">
        <f>VLOOKUP(A555,'[11]Linea Arquitectonica'!A551:F1377,6,FALSE)</f>
        <v>60.97</v>
      </c>
      <c r="F555" s="22">
        <f>VLOOKUP(A555,'[11]Linea Arquitectonica'!A551:G1377,7,FALSE)</f>
        <v>68.900000000000006</v>
      </c>
    </row>
    <row r="556" spans="1:6" x14ac:dyDescent="0.3">
      <c r="A556" s="21" t="s">
        <v>597</v>
      </c>
      <c r="B556" s="37" t="s">
        <v>3352</v>
      </c>
      <c r="C556" s="22">
        <f>VLOOKUP(A556,'[11]Linea Arquitectonica'!$A$4:$G$823,4,FALSE)</f>
        <v>15.61</v>
      </c>
      <c r="D556" s="22">
        <f>VLOOKUP(A556,'[11]Linea Arquitectonica'!A552:E1378,5,FALSE)</f>
        <v>17.64</v>
      </c>
      <c r="E556" s="22">
        <f>VLOOKUP(A556,'[11]Linea Arquitectonica'!A552:F1378,6,FALSE)</f>
        <v>21.68</v>
      </c>
      <c r="F556" s="22">
        <f>VLOOKUP(A556,'[11]Linea Arquitectonica'!A552:G1378,7,FALSE)</f>
        <v>24.5</v>
      </c>
    </row>
    <row r="557" spans="1:6" x14ac:dyDescent="0.3">
      <c r="A557" s="21" t="s">
        <v>598</v>
      </c>
      <c r="B557" s="37" t="s">
        <v>3352</v>
      </c>
      <c r="C557" s="22">
        <f>VLOOKUP(A557,'[11]Linea Arquitectonica'!$A$4:$G$823,4,FALSE)</f>
        <v>68.81</v>
      </c>
      <c r="D557" s="22">
        <f>VLOOKUP(A557,'[11]Linea Arquitectonica'!A553:E1379,5,FALSE)</f>
        <v>77.760000000000005</v>
      </c>
      <c r="E557" s="22">
        <f>VLOOKUP(A557,'[11]Linea Arquitectonica'!A553:F1379,6,FALSE)</f>
        <v>95.58</v>
      </c>
      <c r="F557" s="22">
        <f>VLOOKUP(A557,'[11]Linea Arquitectonica'!A553:G1379,7,FALSE)</f>
        <v>108</v>
      </c>
    </row>
    <row r="558" spans="1:6" x14ac:dyDescent="0.3">
      <c r="A558" s="21" t="s">
        <v>599</v>
      </c>
      <c r="B558" s="37" t="s">
        <v>3353</v>
      </c>
      <c r="C558" s="22">
        <f>VLOOKUP(A558,'[11]Linea Arquitectonica'!$A$4:$G$823,4,FALSE)</f>
        <v>22.88</v>
      </c>
      <c r="D558" s="22">
        <f>VLOOKUP(A558,'[11]Linea Arquitectonica'!A554:E1380,5,FALSE)</f>
        <v>25.85</v>
      </c>
      <c r="E558" s="22">
        <f>VLOOKUP(A558,'[11]Linea Arquitectonica'!A554:F1380,6,FALSE)</f>
        <v>31.77</v>
      </c>
      <c r="F558" s="22">
        <f>VLOOKUP(A558,'[11]Linea Arquitectonica'!A554:G1380,7,FALSE)</f>
        <v>35.9</v>
      </c>
    </row>
    <row r="559" spans="1:6" x14ac:dyDescent="0.3">
      <c r="A559" s="21" t="s">
        <v>600</v>
      </c>
      <c r="B559" s="37" t="s">
        <v>3353</v>
      </c>
      <c r="C559" s="22">
        <f>VLOOKUP(A559,'[11]Linea Arquitectonica'!$A$4:$G$823,4,FALSE)</f>
        <v>104.5</v>
      </c>
      <c r="D559" s="22">
        <f>VLOOKUP(A559,'[11]Linea Arquitectonica'!A555:E1381,5,FALSE)</f>
        <v>118.08</v>
      </c>
      <c r="E559" s="22">
        <f>VLOOKUP(A559,'[11]Linea Arquitectonica'!A555:F1381,6,FALSE)</f>
        <v>145.13</v>
      </c>
      <c r="F559" s="22">
        <f>VLOOKUP(A559,'[11]Linea Arquitectonica'!A555:G1381,7,FALSE)</f>
        <v>164</v>
      </c>
    </row>
    <row r="560" spans="1:6" x14ac:dyDescent="0.3">
      <c r="A560" s="21" t="s">
        <v>601</v>
      </c>
      <c r="B560" s="37" t="s">
        <v>602</v>
      </c>
      <c r="C560" s="22">
        <f>VLOOKUP(A560,'[11]Linea Arquitectonica'!$A$4:$G$823,4,FALSE)</f>
        <v>9.82</v>
      </c>
      <c r="D560" s="22">
        <f>VLOOKUP(A560,'[11]Linea Arquitectonica'!A556:E1382,5,FALSE)</f>
        <v>11.1</v>
      </c>
      <c r="E560" s="22">
        <f>VLOOKUP(A560,'[11]Linea Arquitectonica'!A556:F1382,6,FALSE)</f>
        <v>13.27</v>
      </c>
      <c r="F560" s="22">
        <f>VLOOKUP(A560,'[11]Linea Arquitectonica'!A556:G1382,7,FALSE)</f>
        <v>15</v>
      </c>
    </row>
    <row r="561" spans="1:6" x14ac:dyDescent="0.3">
      <c r="A561" s="21" t="s">
        <v>603</v>
      </c>
      <c r="B561" s="37" t="s">
        <v>602</v>
      </c>
      <c r="C561" s="22">
        <f>VLOOKUP(A561,'[11]Linea Arquitectonica'!$A$4:$G$823,4,FALSE)</f>
        <v>43.88</v>
      </c>
      <c r="D561" s="22">
        <f>VLOOKUP(A561,'[11]Linea Arquitectonica'!A557:E1383,5,FALSE)</f>
        <v>49.58</v>
      </c>
      <c r="E561" s="22">
        <f>VLOOKUP(A561,'[11]Linea Arquitectonica'!A557:F1383,6,FALSE)</f>
        <v>59.29</v>
      </c>
      <c r="F561" s="22">
        <f>VLOOKUP(A561,'[11]Linea Arquitectonica'!A557:G1383,7,FALSE)</f>
        <v>67</v>
      </c>
    </row>
    <row r="562" spans="1:6" x14ac:dyDescent="0.3">
      <c r="A562" s="21" t="s">
        <v>604</v>
      </c>
      <c r="B562" s="37" t="s">
        <v>3354</v>
      </c>
      <c r="C562" s="22">
        <f>VLOOKUP(A562,'[11]Linea Arquitectonica'!$A$4:$G$823,4,FALSE)</f>
        <v>4.8899999999999997</v>
      </c>
      <c r="D562" s="22">
        <f>VLOOKUP(A562,'[11]Linea Arquitectonica'!A558:E1384,5,FALSE)</f>
        <v>5.53</v>
      </c>
      <c r="E562" s="22">
        <f>VLOOKUP(A562,'[11]Linea Arquitectonica'!A558:F1384,6,FALSE)</f>
        <v>6.99</v>
      </c>
      <c r="F562" s="22">
        <f>VLOOKUP(A562,'[11]Linea Arquitectonica'!A558:G1384,7,FALSE)</f>
        <v>7.9</v>
      </c>
    </row>
    <row r="563" spans="1:6" x14ac:dyDescent="0.3">
      <c r="A563" s="21" t="s">
        <v>605</v>
      </c>
      <c r="B563" s="37" t="s">
        <v>3354</v>
      </c>
      <c r="C563" s="22">
        <f>VLOOKUP(A563,'[11]Linea Arquitectonica'!$A$4:$G$823,4,FALSE)</f>
        <v>18.89</v>
      </c>
      <c r="D563" s="22">
        <f>VLOOKUP(A563,'[11]Linea Arquitectonica'!A559:E1385,5,FALSE)</f>
        <v>21.35</v>
      </c>
      <c r="E563" s="22">
        <f>VLOOKUP(A563,'[11]Linea Arquitectonica'!A559:F1385,6,FALSE)</f>
        <v>26.99</v>
      </c>
      <c r="F563" s="22">
        <f>VLOOKUP(A563,'[11]Linea Arquitectonica'!A559:G1385,7,FALSE)</f>
        <v>30.5</v>
      </c>
    </row>
    <row r="564" spans="1:6" x14ac:dyDescent="0.3">
      <c r="A564" s="21" t="s">
        <v>606</v>
      </c>
      <c r="B564" s="37" t="s">
        <v>3354</v>
      </c>
      <c r="C564" s="22">
        <f>VLOOKUP(A564,'[11]Linea Arquitectonica'!$A$4:$G$823,4,FALSE)</f>
        <v>88.58</v>
      </c>
      <c r="D564" s="22">
        <f>VLOOKUP(A564,'[11]Linea Arquitectonica'!A560:E1386,5,FALSE)</f>
        <v>100.1</v>
      </c>
      <c r="E564" s="22">
        <f>VLOOKUP(A564,'[11]Linea Arquitectonica'!A560:F1386,6,FALSE)</f>
        <v>126.55</v>
      </c>
      <c r="F564" s="22">
        <f>VLOOKUP(A564,'[11]Linea Arquitectonica'!A560:G1386,7,FALSE)</f>
        <v>143</v>
      </c>
    </row>
    <row r="565" spans="1:6" x14ac:dyDescent="0.3">
      <c r="A565" s="21" t="s">
        <v>607</v>
      </c>
      <c r="B565" s="37" t="s">
        <v>3355</v>
      </c>
      <c r="C565" s="22">
        <f>VLOOKUP(A565,'[11]Linea Arquitectonica'!$A$4:$G$823,4,FALSE)</f>
        <v>3.28</v>
      </c>
      <c r="D565" s="22">
        <f>VLOOKUP(A565,'[11]Linea Arquitectonica'!A561:E1387,5,FALSE)</f>
        <v>3.71</v>
      </c>
      <c r="E565" s="22">
        <f>VLOOKUP(A565,'[11]Linea Arquitectonica'!A561:F1387,6,FALSE)</f>
        <v>4.6900000000000004</v>
      </c>
      <c r="F565" s="22">
        <f>VLOOKUP(A565,'[11]Linea Arquitectonica'!A561:G1387,7,FALSE)</f>
        <v>5.3</v>
      </c>
    </row>
    <row r="566" spans="1:6" x14ac:dyDescent="0.3">
      <c r="A566" s="21" t="s">
        <v>608</v>
      </c>
      <c r="B566" s="37" t="s">
        <v>3355</v>
      </c>
      <c r="C566" s="22">
        <f>VLOOKUP(A566,'[11]Linea Arquitectonica'!$A$4:$G$823,4,FALSE)</f>
        <v>11.09</v>
      </c>
      <c r="D566" s="22">
        <f>VLOOKUP(A566,'[11]Linea Arquitectonica'!A562:E1388,5,FALSE)</f>
        <v>12.53</v>
      </c>
      <c r="E566" s="22">
        <f>VLOOKUP(A566,'[11]Linea Arquitectonica'!A562:F1388,6,FALSE)</f>
        <v>15.84</v>
      </c>
      <c r="F566" s="22">
        <f>VLOOKUP(A566,'[11]Linea Arquitectonica'!A562:G1388,7,FALSE)</f>
        <v>17.899999999999999</v>
      </c>
    </row>
    <row r="567" spans="1:6" x14ac:dyDescent="0.3">
      <c r="A567" s="21" t="s">
        <v>609</v>
      </c>
      <c r="B567" s="37" t="s">
        <v>3355</v>
      </c>
      <c r="C567" s="22">
        <f>VLOOKUP(A567,'[11]Linea Arquitectonica'!$A$4:$G$823,4,FALSE)</f>
        <v>51.97</v>
      </c>
      <c r="D567" s="22">
        <f>VLOOKUP(A567,'[11]Linea Arquitectonica'!A563:E1389,5,FALSE)</f>
        <v>58.73</v>
      </c>
      <c r="E567" s="22">
        <f>VLOOKUP(A567,'[11]Linea Arquitectonica'!A563:F1389,6,FALSE)</f>
        <v>74.25</v>
      </c>
      <c r="F567" s="22">
        <f>VLOOKUP(A567,'[11]Linea Arquitectonica'!A563:G1389,7,FALSE)</f>
        <v>83.9</v>
      </c>
    </row>
    <row r="568" spans="1:6" x14ac:dyDescent="0.3">
      <c r="A568" s="21" t="s">
        <v>610</v>
      </c>
      <c r="B568" s="37" t="s">
        <v>3356</v>
      </c>
      <c r="C568" s="22">
        <f>VLOOKUP(A568,'[11]Linea Arquitectonica'!$A$4:$G$823,4,FALSE)</f>
        <v>2.04</v>
      </c>
      <c r="D568" s="22">
        <f>VLOOKUP(A568,'[11]Linea Arquitectonica'!A564:E1390,5,FALSE)</f>
        <v>2.31</v>
      </c>
      <c r="E568" s="22">
        <f>VLOOKUP(A568,'[11]Linea Arquitectonica'!A564:F1390,6,FALSE)</f>
        <v>2.92</v>
      </c>
      <c r="F568" s="22">
        <f>VLOOKUP(A568,'[11]Linea Arquitectonica'!A564:G1390,7,FALSE)</f>
        <v>3.3000000000000003</v>
      </c>
    </row>
    <row r="569" spans="1:6" x14ac:dyDescent="0.3">
      <c r="A569" s="21" t="s">
        <v>611</v>
      </c>
      <c r="B569" s="37" t="s">
        <v>3356</v>
      </c>
      <c r="C569" s="22">
        <f>VLOOKUP(A569,'[11]Linea Arquitectonica'!$A$4:$G$823,4,FALSE)</f>
        <v>2.17</v>
      </c>
      <c r="D569" s="22">
        <f>VLOOKUP(A569,'[11]Linea Arquitectonica'!A565:E1391,5,FALSE)</f>
        <v>2.4500000000000002</v>
      </c>
      <c r="E569" s="22">
        <f>VLOOKUP(A569,'[11]Linea Arquitectonica'!A565:F1391,6,FALSE)</f>
        <v>3.1</v>
      </c>
      <c r="F569" s="22">
        <f>VLOOKUP(A569,'[11]Linea Arquitectonica'!A565:G1391,7,FALSE)</f>
        <v>3.5</v>
      </c>
    </row>
    <row r="570" spans="1:6" x14ac:dyDescent="0.3">
      <c r="A570" s="21" t="s">
        <v>612</v>
      </c>
      <c r="B570" s="37" t="s">
        <v>3356</v>
      </c>
      <c r="C570" s="22">
        <f>VLOOKUP(A570,'[11]Linea Arquitectonica'!$A$4:$G$823,4,FALSE)</f>
        <v>4.8899999999999997</v>
      </c>
      <c r="D570" s="22">
        <f>VLOOKUP(A570,'[11]Linea Arquitectonica'!A566:E1392,5,FALSE)</f>
        <v>5.53</v>
      </c>
      <c r="E570" s="22">
        <f>VLOOKUP(A570,'[11]Linea Arquitectonica'!A566:F1392,6,FALSE)</f>
        <v>6.99</v>
      </c>
      <c r="F570" s="22">
        <f>VLOOKUP(A570,'[11]Linea Arquitectonica'!A566:G1392,7,FALSE)</f>
        <v>7.9</v>
      </c>
    </row>
    <row r="571" spans="1:6" x14ac:dyDescent="0.3">
      <c r="A571" s="21" t="s">
        <v>613</v>
      </c>
      <c r="B571" s="37" t="s">
        <v>3356</v>
      </c>
      <c r="C571" s="22">
        <f>VLOOKUP(A571,'[11]Linea Arquitectonica'!$A$4:$G$823,4,FALSE)</f>
        <v>15.42</v>
      </c>
      <c r="D571" s="22">
        <f>VLOOKUP(A571,'[11]Linea Arquitectonica'!A567:E1393,5,FALSE)</f>
        <v>17.43</v>
      </c>
      <c r="E571" s="22">
        <f>VLOOKUP(A571,'[11]Linea Arquitectonica'!A567:F1393,6,FALSE)</f>
        <v>22.04</v>
      </c>
      <c r="F571" s="22">
        <f>VLOOKUP(A571,'[11]Linea Arquitectonica'!A567:G1393,7,FALSE)</f>
        <v>24.9</v>
      </c>
    </row>
    <row r="572" spans="1:6" x14ac:dyDescent="0.3">
      <c r="A572" s="21" t="s">
        <v>614</v>
      </c>
      <c r="B572" s="37" t="s">
        <v>615</v>
      </c>
      <c r="C572" s="22">
        <f>VLOOKUP(A572,'[11]Linea Arquitectonica'!$A$4:$G$823,4,FALSE)</f>
        <v>27.81</v>
      </c>
      <c r="D572" s="22">
        <f>VLOOKUP(A572,'[11]Linea Arquitectonica'!A568:E1394,5,FALSE)</f>
        <v>31.43</v>
      </c>
      <c r="E572" s="22">
        <f>VLOOKUP(A572,'[11]Linea Arquitectonica'!A568:F1394,6,FALSE)</f>
        <v>39.729999999999997</v>
      </c>
      <c r="F572" s="22">
        <f>VLOOKUP(A572,'[11]Linea Arquitectonica'!A568:G1394,7,FALSE)</f>
        <v>44.9</v>
      </c>
    </row>
    <row r="573" spans="1:6" x14ac:dyDescent="0.3">
      <c r="A573" s="21" t="s">
        <v>3357</v>
      </c>
      <c r="B573" s="37" t="s">
        <v>615</v>
      </c>
      <c r="C573" s="22">
        <f>VLOOKUP(A573,'[11]Linea Arquitectonica'!$A$4:$G$823,4,FALSE)</f>
        <v>8.36</v>
      </c>
      <c r="D573" s="22">
        <f>VLOOKUP(A573,'[11]Linea Arquitectonica'!A569:E1395,5,FALSE)</f>
        <v>9.4499999999999993</v>
      </c>
      <c r="E573" s="22">
        <f>VLOOKUP(A573,'[11]Linea Arquitectonica'!A569:F1395,6,FALSE)</f>
        <v>11.95</v>
      </c>
      <c r="F573" s="22">
        <f>VLOOKUP(A573,'[11]Linea Arquitectonica'!A569:G1395,7,FALSE)</f>
        <v>13.5</v>
      </c>
    </row>
    <row r="574" spans="1:6" x14ac:dyDescent="0.3">
      <c r="A574" s="21" t="s">
        <v>616</v>
      </c>
      <c r="B574" s="37" t="s">
        <v>617</v>
      </c>
      <c r="C574" s="22">
        <f>VLOOKUP(A574,'[11]Linea Arquitectonica'!$A$4:$G$823,4,FALSE)</f>
        <v>27.81</v>
      </c>
      <c r="D574" s="22">
        <f>VLOOKUP(A574,'[11]Linea Arquitectonica'!A570:E1396,5,FALSE)</f>
        <v>31.43</v>
      </c>
      <c r="E574" s="22">
        <f>VLOOKUP(A574,'[11]Linea Arquitectonica'!A570:F1396,6,FALSE)</f>
        <v>39.729999999999997</v>
      </c>
      <c r="F574" s="22">
        <f>VLOOKUP(A574,'[11]Linea Arquitectonica'!A570:G1396,7,FALSE)</f>
        <v>44.9</v>
      </c>
    </row>
    <row r="575" spans="1:6" x14ac:dyDescent="0.3">
      <c r="A575" s="38" t="s">
        <v>618</v>
      </c>
      <c r="B575" s="37" t="s">
        <v>3358</v>
      </c>
      <c r="C575" s="22">
        <f>VLOOKUP(A575,'[11]Linea Arquitectonica'!$A$4:$G$823,4,FALSE)</f>
        <v>36.89</v>
      </c>
      <c r="D575" s="22">
        <f>VLOOKUP(A575,'[11]Linea Arquitectonica'!A571:E1397,5,FALSE)</f>
        <v>41.69</v>
      </c>
      <c r="E575" s="22">
        <f>VLOOKUP(A575,'[11]Linea Arquitectonica'!A571:F1397,6,FALSE)</f>
        <v>51.24</v>
      </c>
      <c r="F575" s="22">
        <f>VLOOKUP(A575,'[11]Linea Arquitectonica'!A571:G1397,7,FALSE)</f>
        <v>57.9</v>
      </c>
    </row>
    <row r="576" spans="1:6" x14ac:dyDescent="0.3">
      <c r="A576" s="21" t="s">
        <v>619</v>
      </c>
      <c r="B576" s="37" t="s">
        <v>3359</v>
      </c>
      <c r="C576" s="22">
        <f>VLOOKUP(A576,'[11]Linea Arquitectonica'!$A$4:$G$823,4,FALSE)</f>
        <v>8.86</v>
      </c>
      <c r="D576" s="22">
        <f>VLOOKUP(A576,'[11]Linea Arquitectonica'!A572:E1398,5,FALSE)</f>
        <v>10.01</v>
      </c>
      <c r="E576" s="22">
        <f>VLOOKUP(A576,'[11]Linea Arquitectonica'!A572:F1398,6,FALSE)</f>
        <v>12.3</v>
      </c>
      <c r="F576" s="22">
        <f>VLOOKUP(A576,'[11]Linea Arquitectonica'!A572:G1398,7,FALSE)</f>
        <v>13.9</v>
      </c>
    </row>
    <row r="577" spans="1:6" x14ac:dyDescent="0.3">
      <c r="A577" s="21" t="s">
        <v>620</v>
      </c>
      <c r="B577" s="37" t="s">
        <v>3360</v>
      </c>
      <c r="C577" s="22">
        <f>VLOOKUP(A577,'[11]Linea Arquitectonica'!$A$4:$G$823,4,FALSE)</f>
        <v>8.86</v>
      </c>
      <c r="D577" s="22">
        <f>VLOOKUP(A577,'[11]Linea Arquitectonica'!A573:E1399,5,FALSE)</f>
        <v>10.01</v>
      </c>
      <c r="E577" s="22">
        <f>VLOOKUP(A577,'[11]Linea Arquitectonica'!A573:F1399,6,FALSE)</f>
        <v>12.3</v>
      </c>
      <c r="F577" s="22">
        <f>VLOOKUP(A577,'[11]Linea Arquitectonica'!A573:G1399,7,FALSE)</f>
        <v>13.9</v>
      </c>
    </row>
    <row r="578" spans="1:6" x14ac:dyDescent="0.3">
      <c r="A578" s="21" t="s">
        <v>621</v>
      </c>
      <c r="B578" s="37" t="s">
        <v>3361</v>
      </c>
      <c r="C578" s="22">
        <f>VLOOKUP(A578,'[11]Linea Arquitectonica'!$A$4:$G$823,4,FALSE)</f>
        <v>7.74</v>
      </c>
      <c r="D578" s="22">
        <f>VLOOKUP(A578,'[11]Linea Arquitectonica'!A574:E1400,5,FALSE)</f>
        <v>8.75</v>
      </c>
      <c r="E578" s="22">
        <f>VLOOKUP(A578,'[11]Linea Arquitectonica'!A574:F1400,6,FALSE)</f>
        <v>11.06</v>
      </c>
      <c r="F578" s="22">
        <f>VLOOKUP(A578,'[11]Linea Arquitectonica'!A574:G1400,7,FALSE)</f>
        <v>12.5</v>
      </c>
    </row>
    <row r="579" spans="1:6" x14ac:dyDescent="0.3">
      <c r="A579" s="21" t="s">
        <v>622</v>
      </c>
      <c r="B579" s="37" t="s">
        <v>3362</v>
      </c>
      <c r="C579" s="22">
        <f>VLOOKUP(A579,'[11]Linea Arquitectonica'!$A$4:$G$823,4,FALSE)</f>
        <v>7.74</v>
      </c>
      <c r="D579" s="22">
        <f>VLOOKUP(A579,'[11]Linea Arquitectonica'!A575:E1401,5,FALSE)</f>
        <v>8.75</v>
      </c>
      <c r="E579" s="22">
        <f>VLOOKUP(A579,'[11]Linea Arquitectonica'!A575:F1401,6,FALSE)</f>
        <v>11.06</v>
      </c>
      <c r="F579" s="22">
        <f>VLOOKUP(A579,'[11]Linea Arquitectonica'!A575:G1401,7,FALSE)</f>
        <v>12.5</v>
      </c>
    </row>
    <row r="580" spans="1:6" x14ac:dyDescent="0.3">
      <c r="A580" s="21" t="s">
        <v>623</v>
      </c>
      <c r="B580" s="37" t="s">
        <v>3359</v>
      </c>
      <c r="C580" s="22">
        <f>VLOOKUP(A580,'[11]Linea Arquitectonica'!$A$4:$G$823,4,FALSE)</f>
        <v>5.04</v>
      </c>
      <c r="D580" s="22">
        <f>VLOOKUP(A580,'[11]Linea Arquitectonica'!A576:E1402,5,FALSE)</f>
        <v>5.69</v>
      </c>
      <c r="E580" s="22">
        <f>VLOOKUP(A580,'[11]Linea Arquitectonica'!A576:F1402,6,FALSE)</f>
        <v>6.99</v>
      </c>
      <c r="F580" s="22">
        <f>VLOOKUP(A580,'[11]Linea Arquitectonica'!A576:G1402,7,FALSE)</f>
        <v>7.9</v>
      </c>
    </row>
    <row r="581" spans="1:6" x14ac:dyDescent="0.3">
      <c r="A581" s="21" t="s">
        <v>624</v>
      </c>
      <c r="B581" s="37" t="s">
        <v>3360</v>
      </c>
      <c r="C581" s="22">
        <f>VLOOKUP(A581,'[11]Linea Arquitectonica'!$A$4:$G$823,4,FALSE)</f>
        <v>5.04</v>
      </c>
      <c r="D581" s="22">
        <f>VLOOKUP(A581,'[11]Linea Arquitectonica'!A577:E1403,5,FALSE)</f>
        <v>5.69</v>
      </c>
      <c r="E581" s="22">
        <f>VLOOKUP(A581,'[11]Linea Arquitectonica'!A577:F1403,6,FALSE)</f>
        <v>6.99</v>
      </c>
      <c r="F581" s="22">
        <f>VLOOKUP(A581,'[11]Linea Arquitectonica'!A577:G1403,7,FALSE)</f>
        <v>7.9</v>
      </c>
    </row>
    <row r="582" spans="1:6" x14ac:dyDescent="0.3">
      <c r="A582" s="21" t="s">
        <v>625</v>
      </c>
      <c r="B582" s="37" t="s">
        <v>3363</v>
      </c>
      <c r="C582" s="22">
        <f>VLOOKUP(A582,'[11]Linea Arquitectonica'!$A$4:$G$823,4,FALSE)</f>
        <v>4.6500000000000004</v>
      </c>
      <c r="D582" s="22">
        <f>VLOOKUP(A582,'[11]Linea Arquitectonica'!A578:E1404,5,FALSE)</f>
        <v>5.25</v>
      </c>
      <c r="E582" s="22">
        <f>VLOOKUP(A582,'[11]Linea Arquitectonica'!A578:F1404,6,FALSE)</f>
        <v>6.64</v>
      </c>
      <c r="F582" s="22">
        <f>VLOOKUP(A582,'[11]Linea Arquitectonica'!A578:G1404,7,FALSE)</f>
        <v>7.5</v>
      </c>
    </row>
    <row r="583" spans="1:6" x14ac:dyDescent="0.3">
      <c r="A583" s="21" t="s">
        <v>626</v>
      </c>
      <c r="B583" s="37" t="s">
        <v>3364</v>
      </c>
      <c r="C583" s="22">
        <f>VLOOKUP(A583,'[11]Linea Arquitectonica'!$A$4:$G$823,4,FALSE)</f>
        <v>4.6500000000000004</v>
      </c>
      <c r="D583" s="22">
        <f>VLOOKUP(A583,'[11]Linea Arquitectonica'!A579:E1405,5,FALSE)</f>
        <v>5.25</v>
      </c>
      <c r="E583" s="22">
        <f>VLOOKUP(A583,'[11]Linea Arquitectonica'!A579:F1405,6,FALSE)</f>
        <v>6.64</v>
      </c>
      <c r="F583" s="22">
        <f>VLOOKUP(A583,'[11]Linea Arquitectonica'!A579:G1405,7,FALSE)</f>
        <v>7.5</v>
      </c>
    </row>
    <row r="584" spans="1:6" x14ac:dyDescent="0.3">
      <c r="A584" s="21" t="s">
        <v>627</v>
      </c>
      <c r="B584" s="37" t="s">
        <v>3365</v>
      </c>
      <c r="C584" s="22">
        <f>VLOOKUP(A584,'[11]Linea Arquitectonica'!$A$4:$G$823,4,FALSE)</f>
        <v>4.5199999999999996</v>
      </c>
      <c r="D584" s="22">
        <f>VLOOKUP(A584,'[11]Linea Arquitectonica'!A580:E1406,5,FALSE)</f>
        <v>5.1100000000000003</v>
      </c>
      <c r="E584" s="22">
        <f>VLOOKUP(A584,'[11]Linea Arquitectonica'!A580:F1406,6,FALSE)</f>
        <v>6.46</v>
      </c>
      <c r="F584" s="22">
        <f>VLOOKUP(A584,'[11]Linea Arquitectonica'!A580:G1406,7,FALSE)</f>
        <v>7.3</v>
      </c>
    </row>
    <row r="585" spans="1:6" x14ac:dyDescent="0.3">
      <c r="A585" s="21" t="s">
        <v>628</v>
      </c>
      <c r="B585" s="37" t="s">
        <v>3366</v>
      </c>
      <c r="C585" s="22">
        <f>VLOOKUP(A585,'[11]Linea Arquitectonica'!$A$4:$G$823,4,FALSE)</f>
        <v>4.5199999999999996</v>
      </c>
      <c r="D585" s="22">
        <f>VLOOKUP(A585,'[11]Linea Arquitectonica'!A581:E1407,5,FALSE)</f>
        <v>5.1100000000000003</v>
      </c>
      <c r="E585" s="22">
        <f>VLOOKUP(A585,'[11]Linea Arquitectonica'!A581:F1407,6,FALSE)</f>
        <v>6.46</v>
      </c>
      <c r="F585" s="22">
        <f>VLOOKUP(A585,'[11]Linea Arquitectonica'!A581:G1407,7,FALSE)</f>
        <v>7.3</v>
      </c>
    </row>
    <row r="586" spans="1:6" x14ac:dyDescent="0.3">
      <c r="A586" s="21" t="s">
        <v>629</v>
      </c>
      <c r="B586" s="37" t="s">
        <v>3367</v>
      </c>
      <c r="C586" s="22">
        <f>VLOOKUP(A586,'[11]Linea Arquitectonica'!$A$4:$G$823,4,FALSE)</f>
        <v>4.5199999999999996</v>
      </c>
      <c r="D586" s="22">
        <f>VLOOKUP(A586,'[11]Linea Arquitectonica'!A582:E1408,5,FALSE)</f>
        <v>5.1100000000000003</v>
      </c>
      <c r="E586" s="22">
        <f>VLOOKUP(A586,'[11]Linea Arquitectonica'!A582:F1408,6,FALSE)</f>
        <v>6.46</v>
      </c>
      <c r="F586" s="22">
        <f>VLOOKUP(A586,'[11]Linea Arquitectonica'!A582:G1408,7,FALSE)</f>
        <v>7.3</v>
      </c>
    </row>
    <row r="587" spans="1:6" x14ac:dyDescent="0.3">
      <c r="A587" s="21" t="s">
        <v>630</v>
      </c>
      <c r="B587" s="37" t="s">
        <v>3368</v>
      </c>
      <c r="C587" s="22">
        <f>VLOOKUP(A587,'[11]Linea Arquitectonica'!$A$4:$G$823,4,FALSE)</f>
        <v>3.9</v>
      </c>
      <c r="D587" s="22">
        <f>VLOOKUP(A587,'[11]Linea Arquitectonica'!A583:E1409,5,FALSE)</f>
        <v>4.41</v>
      </c>
      <c r="E587" s="22">
        <f>VLOOKUP(A587,'[11]Linea Arquitectonica'!A583:F1409,6,FALSE)</f>
        <v>5.58</v>
      </c>
      <c r="F587" s="22">
        <f>VLOOKUP(A587,'[11]Linea Arquitectonica'!A583:G1409,7,FALSE)</f>
        <v>6.3</v>
      </c>
    </row>
    <row r="588" spans="1:6" x14ac:dyDescent="0.3">
      <c r="A588" s="21" t="s">
        <v>631</v>
      </c>
      <c r="B588" s="37" t="s">
        <v>3369</v>
      </c>
      <c r="C588" s="22">
        <f>VLOOKUP(A588,'[11]Linea Arquitectonica'!$A$4:$G$823,4,FALSE)</f>
        <v>3.9</v>
      </c>
      <c r="D588" s="22">
        <f>VLOOKUP(A588,'[11]Linea Arquitectonica'!A584:E1410,5,FALSE)</f>
        <v>4.41</v>
      </c>
      <c r="E588" s="22">
        <f>VLOOKUP(A588,'[11]Linea Arquitectonica'!A584:F1410,6,FALSE)</f>
        <v>5.58</v>
      </c>
      <c r="F588" s="22">
        <f>VLOOKUP(A588,'[11]Linea Arquitectonica'!A584:G1410,7,FALSE)</f>
        <v>6.3</v>
      </c>
    </row>
    <row r="589" spans="1:6" x14ac:dyDescent="0.3">
      <c r="A589" s="21" t="s">
        <v>632</v>
      </c>
      <c r="B589" s="37" t="s">
        <v>3370</v>
      </c>
      <c r="C589" s="22">
        <f>VLOOKUP(A589,'[11]Linea Arquitectonica'!$A$4:$G$823,4,FALSE)</f>
        <v>4.03</v>
      </c>
      <c r="D589" s="22">
        <f>VLOOKUP(A589,'[11]Linea Arquitectonica'!A585:E1411,5,FALSE)</f>
        <v>4.55</v>
      </c>
      <c r="E589" s="22">
        <f>VLOOKUP(A589,'[11]Linea Arquitectonica'!A585:F1411,6,FALSE)</f>
        <v>5.75</v>
      </c>
      <c r="F589" s="22">
        <f>VLOOKUP(A589,'[11]Linea Arquitectonica'!A585:G1411,7,FALSE)</f>
        <v>6.5</v>
      </c>
    </row>
    <row r="590" spans="1:6" x14ac:dyDescent="0.3">
      <c r="A590" s="21" t="s">
        <v>633</v>
      </c>
      <c r="B590" s="37" t="s">
        <v>3371</v>
      </c>
      <c r="C590" s="22">
        <f>VLOOKUP(A590,'[11]Linea Arquitectonica'!$A$4:$G$823,4,FALSE)</f>
        <v>4.03</v>
      </c>
      <c r="D590" s="22">
        <f>VLOOKUP(A590,'[11]Linea Arquitectonica'!A586:E1412,5,FALSE)</f>
        <v>4.55</v>
      </c>
      <c r="E590" s="22">
        <f>VLOOKUP(A590,'[11]Linea Arquitectonica'!A586:F1412,6,FALSE)</f>
        <v>5.75</v>
      </c>
      <c r="F590" s="22">
        <f>VLOOKUP(A590,'[11]Linea Arquitectonica'!A586:G1412,7,FALSE)</f>
        <v>6.5</v>
      </c>
    </row>
    <row r="591" spans="1:6" x14ac:dyDescent="0.3">
      <c r="A591" s="21" t="s">
        <v>634</v>
      </c>
      <c r="B591" s="37" t="s">
        <v>3372</v>
      </c>
      <c r="C591" s="22">
        <f>VLOOKUP(A591,'[11]Linea Arquitectonica'!$A$4:$G$823,4,FALSE)</f>
        <v>3.04</v>
      </c>
      <c r="D591" s="22">
        <f>VLOOKUP(A591,'[11]Linea Arquitectonica'!A587:E1413,5,FALSE)</f>
        <v>3.43</v>
      </c>
      <c r="E591" s="22">
        <f>VLOOKUP(A591,'[11]Linea Arquitectonica'!A587:F1413,6,FALSE)</f>
        <v>4.34</v>
      </c>
      <c r="F591" s="22">
        <f>VLOOKUP(A591,'[11]Linea Arquitectonica'!A587:G1413,7,FALSE)</f>
        <v>4.9000000000000004</v>
      </c>
    </row>
    <row r="592" spans="1:6" x14ac:dyDescent="0.3">
      <c r="A592" s="21" t="s">
        <v>635</v>
      </c>
      <c r="B592" s="37" t="s">
        <v>3373</v>
      </c>
      <c r="C592" s="22">
        <f>VLOOKUP(A592,'[11]Linea Arquitectonica'!$A$4:$G$823,4,FALSE)</f>
        <v>3.04</v>
      </c>
      <c r="D592" s="22">
        <f>VLOOKUP(A592,'[11]Linea Arquitectonica'!A588:E1414,5,FALSE)</f>
        <v>3.43</v>
      </c>
      <c r="E592" s="22">
        <f>VLOOKUP(A592,'[11]Linea Arquitectonica'!A588:F1414,6,FALSE)</f>
        <v>4.34</v>
      </c>
      <c r="F592" s="22">
        <f>VLOOKUP(A592,'[11]Linea Arquitectonica'!A588:G1414,7,FALSE)</f>
        <v>4.9000000000000004</v>
      </c>
    </row>
    <row r="593" spans="1:6" ht="15" thickBot="1" x14ac:dyDescent="0.35">
      <c r="A593" s="41" t="s">
        <v>636</v>
      </c>
      <c r="B593" s="42" t="s">
        <v>3374</v>
      </c>
      <c r="C593" s="22">
        <f>VLOOKUP(A593,'[11]Linea Arquitectonica'!$A$4:$G$823,4,FALSE)</f>
        <v>2.04</v>
      </c>
      <c r="D593" s="22">
        <f>VLOOKUP(A593,'[11]Linea Arquitectonica'!A589:E1415,5,FALSE)</f>
        <v>2.31</v>
      </c>
      <c r="E593" s="22">
        <f>VLOOKUP(A593,'[11]Linea Arquitectonica'!A589:F1415,6,FALSE)</f>
        <v>2.92</v>
      </c>
      <c r="F593" s="22">
        <f>VLOOKUP(A593,'[11]Linea Arquitectonica'!A589:G1415,7,FALSE)</f>
        <v>3.3</v>
      </c>
    </row>
    <row r="594" spans="1:6" x14ac:dyDescent="0.3">
      <c r="A594" s="26" t="s">
        <v>637</v>
      </c>
      <c r="B594" s="43" t="s">
        <v>3375</v>
      </c>
      <c r="C594" s="23">
        <f>VLOOKUP(A594,'[11]Linea Industria'!$A$6:$G$1020,4,FALSE)</f>
        <v>53.58</v>
      </c>
      <c r="D594" s="23">
        <f>VLOOKUP(A594,'[11]Linea Industria'!$A$6:$G$1020,5,FALSE)</f>
        <v>60.55</v>
      </c>
      <c r="E594" s="23">
        <f>VLOOKUP(A594,'[11]Linea Industria'!$A$6:$G$1020,6,FALSE)</f>
        <v>76.55</v>
      </c>
      <c r="F594" s="23">
        <f>VLOOKUP(A594,'[11]Linea Industria'!$A$6:$G$1020,7,FALSE)</f>
        <v>86.5</v>
      </c>
    </row>
    <row r="595" spans="1:6" x14ac:dyDescent="0.3">
      <c r="A595" s="26" t="s">
        <v>638</v>
      </c>
      <c r="B595" s="43" t="s">
        <v>3376</v>
      </c>
      <c r="C595" s="23">
        <f>VLOOKUP(A595,'[11]Linea Industria'!$A$6:$G$1020,4,FALSE)</f>
        <v>53.58</v>
      </c>
      <c r="D595" s="23">
        <f>VLOOKUP(A595,'[11]Linea Industria'!$A$6:$G$1020,5,FALSE)</f>
        <v>60.55</v>
      </c>
      <c r="E595" s="23">
        <f>VLOOKUP(A595,'[11]Linea Industria'!$A$6:$G$1020,6,FALSE)</f>
        <v>76.55</v>
      </c>
      <c r="F595" s="23">
        <f>VLOOKUP(A595,'[11]Linea Industria'!$A$6:$G$1020,7,FALSE)</f>
        <v>86.5</v>
      </c>
    </row>
    <row r="596" spans="1:6" x14ac:dyDescent="0.3">
      <c r="A596" s="26" t="s">
        <v>639</v>
      </c>
      <c r="B596" s="43" t="s">
        <v>3377</v>
      </c>
      <c r="C596" s="23">
        <f>VLOOKUP(A596,'[11]Linea Industria'!$A$6:$G$1020,4,FALSE)</f>
        <v>53.58</v>
      </c>
      <c r="D596" s="23">
        <f>VLOOKUP(A596,'[11]Linea Industria'!$A$6:$G$1020,5,FALSE)</f>
        <v>60.55</v>
      </c>
      <c r="E596" s="23">
        <f>VLOOKUP(A596,'[11]Linea Industria'!$A$6:$G$1020,6,FALSE)</f>
        <v>76.55</v>
      </c>
      <c r="F596" s="23">
        <f>VLOOKUP(A596,'[11]Linea Industria'!$A$6:$G$1020,7,FALSE)</f>
        <v>86.5</v>
      </c>
    </row>
    <row r="597" spans="1:6" x14ac:dyDescent="0.3">
      <c r="A597" s="26" t="s">
        <v>640</v>
      </c>
      <c r="B597" s="43" t="s">
        <v>3378</v>
      </c>
      <c r="C597" s="23">
        <f>VLOOKUP(A597,'[11]Linea Industria'!$A$6:$G$1020,4,FALSE)</f>
        <v>53.58</v>
      </c>
      <c r="D597" s="23">
        <f>VLOOKUP(A597,'[11]Linea Industria'!$A$6:$G$1020,5,FALSE)</f>
        <v>60.55</v>
      </c>
      <c r="E597" s="23">
        <f>VLOOKUP(A597,'[11]Linea Industria'!$A$6:$G$1020,6,FALSE)</f>
        <v>76.55</v>
      </c>
      <c r="F597" s="23">
        <f>VLOOKUP(A597,'[11]Linea Industria'!$A$6:$G$1020,7,FALSE)</f>
        <v>86.5</v>
      </c>
    </row>
    <row r="598" spans="1:6" x14ac:dyDescent="0.3">
      <c r="A598" s="44" t="s">
        <v>641</v>
      </c>
      <c r="B598" s="43" t="s">
        <v>3379</v>
      </c>
      <c r="C598" s="23">
        <f>VLOOKUP(A598,'[11]Linea Industria'!$A$6:$G$1020,4,FALSE)</f>
        <v>33.76</v>
      </c>
      <c r="D598" s="23">
        <f>VLOOKUP(A598,'[11]Linea Industria'!$A$6:$G$1020,5,FALSE)</f>
        <v>38.15</v>
      </c>
      <c r="E598" s="23">
        <f>VLOOKUP(A598,'[11]Linea Industria'!$A$6:$G$1020,6,FALSE)</f>
        <v>48.23</v>
      </c>
      <c r="F598" s="23">
        <f>VLOOKUP(A598,'[11]Linea Industria'!$A$6:$G$1020,7,FALSE)</f>
        <v>54.5</v>
      </c>
    </row>
    <row r="599" spans="1:6" x14ac:dyDescent="0.3">
      <c r="A599" s="26" t="s">
        <v>642</v>
      </c>
      <c r="B599" s="43" t="s">
        <v>3380</v>
      </c>
      <c r="C599" s="23">
        <f>VLOOKUP(A599,'[11]Linea Industria'!$A$6:$G$1020,4,FALSE)</f>
        <v>33.76</v>
      </c>
      <c r="D599" s="23">
        <f>VLOOKUP(A599,'[11]Linea Industria'!$A$6:$G$1020,5,FALSE)</f>
        <v>38.15</v>
      </c>
      <c r="E599" s="23">
        <f>VLOOKUP(A599,'[11]Linea Industria'!$A$6:$G$1020,6,FALSE)</f>
        <v>48.23</v>
      </c>
      <c r="F599" s="23">
        <f>VLOOKUP(A599,'[11]Linea Industria'!$A$6:$G$1020,7,FALSE)</f>
        <v>54.5</v>
      </c>
    </row>
    <row r="600" spans="1:6" x14ac:dyDescent="0.3">
      <c r="A600" s="27" t="s">
        <v>643</v>
      </c>
      <c r="B600" s="43" t="s">
        <v>3381</v>
      </c>
      <c r="C600" s="23">
        <f>VLOOKUP(A600,'[11]Linea Industria'!$A$6:$G$1020,4,FALSE)</f>
        <v>33.14</v>
      </c>
      <c r="D600" s="23">
        <f>VLOOKUP(A600,'[11]Linea Industria'!$A$6:$G$1020,5,FALSE)</f>
        <v>37.450000000000003</v>
      </c>
      <c r="E600" s="23">
        <f>VLOOKUP(A600,'[11]Linea Industria'!$A$6:$G$1020,6,FALSE)</f>
        <v>47.35</v>
      </c>
      <c r="F600" s="23">
        <f>VLOOKUP(A600,'[11]Linea Industria'!$A$6:$G$1020,7,FALSE)</f>
        <v>53.5</v>
      </c>
    </row>
    <row r="601" spans="1:6" x14ac:dyDescent="0.3">
      <c r="A601" s="27" t="s">
        <v>644</v>
      </c>
      <c r="B601" s="43" t="s">
        <v>3382</v>
      </c>
      <c r="C601" s="23">
        <f>VLOOKUP(A601,'[11]Linea Industria'!$A$6:$G$1020,4,FALSE)</f>
        <v>33.14</v>
      </c>
      <c r="D601" s="23">
        <f>VLOOKUP(A601,'[11]Linea Industria'!$A$6:$G$1020,5,FALSE)</f>
        <v>37.450000000000003</v>
      </c>
      <c r="E601" s="23">
        <f>VLOOKUP(A601,'[11]Linea Industria'!$A$6:$G$1020,6,FALSE)</f>
        <v>47.35</v>
      </c>
      <c r="F601" s="23">
        <f>VLOOKUP(A601,'[11]Linea Industria'!$A$6:$G$1020,7,FALSE)</f>
        <v>53.5</v>
      </c>
    </row>
    <row r="602" spans="1:6" x14ac:dyDescent="0.3">
      <c r="A602" s="27" t="s">
        <v>645</v>
      </c>
      <c r="B602" s="43" t="s">
        <v>3383</v>
      </c>
      <c r="C602" s="23">
        <f>VLOOKUP(A602,'[11]Linea Industria'!$A$6:$G$1020,4,FALSE)</f>
        <v>33.14</v>
      </c>
      <c r="D602" s="23">
        <f>VLOOKUP(A602,'[11]Linea Industria'!$A$6:$G$1020,5,FALSE)</f>
        <v>37.450000000000003</v>
      </c>
      <c r="E602" s="23">
        <f>VLOOKUP(A602,'[11]Linea Industria'!$A$6:$G$1020,6,FALSE)</f>
        <v>47.35</v>
      </c>
      <c r="F602" s="23">
        <f>VLOOKUP(A602,'[11]Linea Industria'!$A$6:$G$1020,7,FALSE)</f>
        <v>53.5</v>
      </c>
    </row>
    <row r="603" spans="1:6" x14ac:dyDescent="0.3">
      <c r="A603" s="27" t="s">
        <v>646</v>
      </c>
      <c r="B603" s="43" t="s">
        <v>3381</v>
      </c>
      <c r="C603" s="23">
        <f>VLOOKUP(A603,'[11]Linea Industria'!$A$6:$G$1020,4,FALSE)</f>
        <v>160.44</v>
      </c>
      <c r="D603" s="23">
        <f>VLOOKUP(A603,'[11]Linea Industria'!$A$6:$G$1020,5,FALSE)</f>
        <v>181.3</v>
      </c>
      <c r="E603" s="23">
        <f>VLOOKUP(A603,'[11]Linea Industria'!$A$6:$G$1020,6,FALSE)</f>
        <v>229.2</v>
      </c>
      <c r="F603" s="23">
        <f>VLOOKUP(A603,'[11]Linea Industria'!$A$6:$G$1020,7,FALSE)</f>
        <v>259</v>
      </c>
    </row>
    <row r="604" spans="1:6" x14ac:dyDescent="0.3">
      <c r="A604" s="27" t="s">
        <v>647</v>
      </c>
      <c r="B604" s="43" t="s">
        <v>3382</v>
      </c>
      <c r="C604" s="23">
        <f>VLOOKUP(A604,'[11]Linea Industria'!$A$6:$G$1020,4,FALSE)</f>
        <v>160.44</v>
      </c>
      <c r="D604" s="23">
        <f>VLOOKUP(A604,'[11]Linea Industria'!$A$6:$G$1020,5,FALSE)</f>
        <v>181.3</v>
      </c>
      <c r="E604" s="23">
        <f>VLOOKUP(A604,'[11]Linea Industria'!$A$6:$G$1020,6,FALSE)</f>
        <v>229.2</v>
      </c>
      <c r="F604" s="23">
        <f>VLOOKUP(A604,'[11]Linea Industria'!$A$6:$G$1020,7,FALSE)</f>
        <v>259</v>
      </c>
    </row>
    <row r="605" spans="1:6" x14ac:dyDescent="0.3">
      <c r="A605" s="27" t="s">
        <v>648</v>
      </c>
      <c r="B605" s="43" t="s">
        <v>3383</v>
      </c>
      <c r="C605" s="23">
        <f>VLOOKUP(A605,'[11]Linea Industria'!$A$6:$G$1020,4,FALSE)</f>
        <v>160.44</v>
      </c>
      <c r="D605" s="23">
        <f>VLOOKUP(A605,'[11]Linea Industria'!$A$6:$G$1020,5,FALSE)</f>
        <v>181.3</v>
      </c>
      <c r="E605" s="23">
        <f>VLOOKUP(A605,'[11]Linea Industria'!$A$6:$G$1020,6,FALSE)</f>
        <v>229.2</v>
      </c>
      <c r="F605" s="23">
        <f>VLOOKUP(A605,'[11]Linea Industria'!$A$6:$G$1020,7,FALSE)</f>
        <v>259</v>
      </c>
    </row>
    <row r="606" spans="1:6" x14ac:dyDescent="0.3">
      <c r="A606" s="28" t="s">
        <v>3116</v>
      </c>
      <c r="B606" s="43" t="s">
        <v>3384</v>
      </c>
      <c r="C606" s="23">
        <f>VLOOKUP(A606,'[11]Linea Industria'!$A$6:$G$1020,4,FALSE)</f>
        <v>7.53</v>
      </c>
      <c r="D606" s="23">
        <f>VLOOKUP(A606,'[11]Linea Industria'!$A$6:$G$1020,5,FALSE)</f>
        <v>8.51</v>
      </c>
      <c r="E606" s="23">
        <f>VLOOKUP(A606,'[11]Linea Industria'!$A$6:$G$1020,6,FALSE)</f>
        <v>10.18</v>
      </c>
      <c r="F606" s="23">
        <f>VLOOKUP(A606,'[11]Linea Industria'!$A$6:$G$1020,7,FALSE)</f>
        <v>11.5</v>
      </c>
    </row>
    <row r="607" spans="1:6" x14ac:dyDescent="0.3">
      <c r="A607" s="28" t="s">
        <v>3117</v>
      </c>
      <c r="B607" s="43" t="s">
        <v>3385</v>
      </c>
      <c r="C607" s="23">
        <f>VLOOKUP(A607,'[11]Linea Industria'!$A$6:$G$1020,4,FALSE)</f>
        <v>7.53</v>
      </c>
      <c r="D607" s="23">
        <f>VLOOKUP(A607,'[11]Linea Industria'!$A$6:$G$1020,5,FALSE)</f>
        <v>8.51</v>
      </c>
      <c r="E607" s="23">
        <f>VLOOKUP(A607,'[11]Linea Industria'!$A$6:$G$1020,6,FALSE)</f>
        <v>10.18</v>
      </c>
      <c r="F607" s="23">
        <f>VLOOKUP(A607,'[11]Linea Industria'!$A$6:$G$1020,7,FALSE)</f>
        <v>11.5</v>
      </c>
    </row>
    <row r="608" spans="1:6" x14ac:dyDescent="0.3">
      <c r="A608" s="28" t="s">
        <v>3118</v>
      </c>
      <c r="B608" s="43" t="s">
        <v>3386</v>
      </c>
      <c r="C608" s="23">
        <f>VLOOKUP(A608,'[11]Linea Industria'!$A$6:$G$1020,4,FALSE)</f>
        <v>7.53</v>
      </c>
      <c r="D608" s="23">
        <f>VLOOKUP(A608,'[11]Linea Industria'!$A$6:$G$1020,5,FALSE)</f>
        <v>8.51</v>
      </c>
      <c r="E608" s="23">
        <f>VLOOKUP(A608,'[11]Linea Industria'!$A$6:$G$1020,6,FALSE)</f>
        <v>10.18</v>
      </c>
      <c r="F608" s="23">
        <f>VLOOKUP(A608,'[11]Linea Industria'!$A$6:$G$1020,7,FALSE)</f>
        <v>11.5</v>
      </c>
    </row>
    <row r="609" spans="1:6" x14ac:dyDescent="0.3">
      <c r="A609" s="28" t="s">
        <v>3119</v>
      </c>
      <c r="B609" s="43" t="s">
        <v>3387</v>
      </c>
      <c r="C609" s="23">
        <f>VLOOKUP(A609,'[11]Linea Industria'!$A$6:$G$1020,4,FALSE)</f>
        <v>7.53</v>
      </c>
      <c r="D609" s="23">
        <f>VLOOKUP(A609,'[11]Linea Industria'!$A$6:$G$1020,5,FALSE)</f>
        <v>8.51</v>
      </c>
      <c r="E609" s="23">
        <f>VLOOKUP(A609,'[11]Linea Industria'!$A$6:$G$1020,6,FALSE)</f>
        <v>10.18</v>
      </c>
      <c r="F609" s="23">
        <f>VLOOKUP(A609,'[11]Linea Industria'!$A$6:$G$1020,7,FALSE)</f>
        <v>11.5</v>
      </c>
    </row>
    <row r="610" spans="1:6" x14ac:dyDescent="0.3">
      <c r="A610" s="28" t="s">
        <v>649</v>
      </c>
      <c r="B610" s="43" t="s">
        <v>3386</v>
      </c>
      <c r="C610" s="23">
        <f>VLOOKUP(A610,'[11]Linea Industria'!$A$6:$G$1020,4,FALSE)</f>
        <v>24.23</v>
      </c>
      <c r="D610" s="23">
        <f>VLOOKUP(A610,'[11]Linea Industria'!$A$6:$G$1020,5,FALSE)</f>
        <v>27.38</v>
      </c>
      <c r="E610" s="23">
        <f>VLOOKUP(A610,'[11]Linea Industria'!$A$6:$G$1020,6,FALSE)</f>
        <v>32.74</v>
      </c>
      <c r="F610" s="23">
        <f>VLOOKUP(A610,'[11]Linea Industria'!$A$6:$G$1020,7,FALSE)</f>
        <v>37</v>
      </c>
    </row>
    <row r="611" spans="1:6" x14ac:dyDescent="0.3">
      <c r="A611" s="28" t="s">
        <v>650</v>
      </c>
      <c r="B611" s="43" t="s">
        <v>3384</v>
      </c>
      <c r="C611" s="23">
        <f>VLOOKUP(A611,'[11]Linea Industria'!$A$6:$G$1020,4,FALSE)</f>
        <v>24.23</v>
      </c>
      <c r="D611" s="23">
        <f>VLOOKUP(A611,'[11]Linea Industria'!$A$6:$G$1020,5,FALSE)</f>
        <v>27.38</v>
      </c>
      <c r="E611" s="23">
        <f>VLOOKUP(A611,'[11]Linea Industria'!$A$6:$G$1020,6,FALSE)</f>
        <v>32.74</v>
      </c>
      <c r="F611" s="23">
        <f>VLOOKUP(A611,'[11]Linea Industria'!$A$6:$G$1020,7,FALSE)</f>
        <v>37</v>
      </c>
    </row>
    <row r="612" spans="1:6" x14ac:dyDescent="0.3">
      <c r="A612" s="28" t="s">
        <v>651</v>
      </c>
      <c r="B612" s="43" t="s">
        <v>3388</v>
      </c>
      <c r="C612" s="23">
        <f>VLOOKUP(A612,'[11]Linea Industria'!$A$6:$G$1020,4,FALSE)</f>
        <v>24.23</v>
      </c>
      <c r="D612" s="23">
        <f>VLOOKUP(A612,'[11]Linea Industria'!$A$6:$G$1020,5,FALSE)</f>
        <v>27.38</v>
      </c>
      <c r="E612" s="23">
        <f>VLOOKUP(A612,'[11]Linea Industria'!$A$6:$G$1020,6,FALSE)</f>
        <v>32.74</v>
      </c>
      <c r="F612" s="23">
        <f>VLOOKUP(A612,'[11]Linea Industria'!$A$6:$G$1020,7,FALSE)</f>
        <v>37</v>
      </c>
    </row>
    <row r="613" spans="1:6" x14ac:dyDescent="0.3">
      <c r="A613" s="28" t="s">
        <v>652</v>
      </c>
      <c r="B613" s="43" t="s">
        <v>3385</v>
      </c>
      <c r="C613" s="23">
        <f>VLOOKUP(A613,'[11]Linea Industria'!$A$6:$G$1020,4,FALSE)</f>
        <v>24.23</v>
      </c>
      <c r="D613" s="23">
        <f>VLOOKUP(A613,'[11]Linea Industria'!$A$6:$G$1020,5,FALSE)</f>
        <v>27.38</v>
      </c>
      <c r="E613" s="23">
        <f>VLOOKUP(A613,'[11]Linea Industria'!$A$6:$G$1020,6,FALSE)</f>
        <v>32.74</v>
      </c>
      <c r="F613" s="23">
        <f>VLOOKUP(A613,'[11]Linea Industria'!$A$6:$G$1020,7,FALSE)</f>
        <v>37</v>
      </c>
    </row>
    <row r="614" spans="1:6" x14ac:dyDescent="0.3">
      <c r="A614" s="28" t="s">
        <v>653</v>
      </c>
      <c r="B614" s="43" t="s">
        <v>3387</v>
      </c>
      <c r="C614" s="23">
        <f>VLOOKUP(A614,'[11]Linea Industria'!$A$6:$G$1020,4,FALSE)</f>
        <v>24.23</v>
      </c>
      <c r="D614" s="23">
        <f>VLOOKUP(A614,'[11]Linea Industria'!$A$6:$G$1020,5,FALSE)</f>
        <v>27.38</v>
      </c>
      <c r="E614" s="23">
        <f>VLOOKUP(A614,'[11]Linea Industria'!$A$6:$G$1020,6,FALSE)</f>
        <v>32.74</v>
      </c>
      <c r="F614" s="23">
        <f>VLOOKUP(A614,'[11]Linea Industria'!$A$6:$G$1020,7,FALSE)</f>
        <v>37</v>
      </c>
    </row>
    <row r="615" spans="1:6" x14ac:dyDescent="0.3">
      <c r="A615" s="26" t="s">
        <v>654</v>
      </c>
      <c r="B615" s="43" t="s">
        <v>3386</v>
      </c>
      <c r="C615" s="23">
        <f>VLOOKUP(A615,'[11]Linea Industria'!$A$6:$G$1020,4,FALSE)</f>
        <v>108.05</v>
      </c>
      <c r="D615" s="23">
        <f>VLOOKUP(A615,'[11]Linea Industria'!$A$6:$G$1020,5,FALSE)</f>
        <v>122.1</v>
      </c>
      <c r="E615" s="23">
        <f>VLOOKUP(A615,'[11]Linea Industria'!$A$6:$G$1020,6,FALSE)</f>
        <v>146.02000000000001</v>
      </c>
      <c r="F615" s="23">
        <f>VLOOKUP(A615,'[11]Linea Industria'!$A$6:$G$1020,7,FALSE)</f>
        <v>165</v>
      </c>
    </row>
    <row r="616" spans="1:6" x14ac:dyDescent="0.3">
      <c r="A616" s="26" t="s">
        <v>655</v>
      </c>
      <c r="B616" s="43" t="s">
        <v>3385</v>
      </c>
      <c r="C616" s="23">
        <f>VLOOKUP(A616,'[11]Linea Industria'!$A$6:$G$1020,4,FALSE)</f>
        <v>108.05</v>
      </c>
      <c r="D616" s="23">
        <f>VLOOKUP(A616,'[11]Linea Industria'!$A$6:$G$1020,5,FALSE)</f>
        <v>122.1</v>
      </c>
      <c r="E616" s="23">
        <f>VLOOKUP(A616,'[11]Linea Industria'!$A$6:$G$1020,6,FALSE)</f>
        <v>146.02000000000001</v>
      </c>
      <c r="F616" s="23">
        <f>VLOOKUP(A616,'[11]Linea Industria'!$A$6:$G$1020,7,FALSE)</f>
        <v>165</v>
      </c>
    </row>
    <row r="617" spans="1:6" x14ac:dyDescent="0.3">
      <c r="A617" s="26" t="s">
        <v>656</v>
      </c>
      <c r="B617" s="43" t="s">
        <v>3388</v>
      </c>
      <c r="C617" s="23">
        <f>VLOOKUP(A617,'[11]Linea Industria'!$A$6:$G$1020,4,FALSE)</f>
        <v>108.05</v>
      </c>
      <c r="D617" s="23">
        <f>VLOOKUP(A617,'[11]Linea Industria'!$A$6:$G$1020,5,FALSE)</f>
        <v>122.1</v>
      </c>
      <c r="E617" s="23">
        <f>VLOOKUP(A617,'[11]Linea Industria'!$A$6:$G$1020,6,FALSE)</f>
        <v>146.02000000000001</v>
      </c>
      <c r="F617" s="23">
        <f>VLOOKUP(A617,'[11]Linea Industria'!$A$6:$G$1020,7,FALSE)</f>
        <v>165</v>
      </c>
    </row>
    <row r="618" spans="1:6" x14ac:dyDescent="0.3">
      <c r="A618" s="26" t="s">
        <v>657</v>
      </c>
      <c r="B618" s="43" t="s">
        <v>3387</v>
      </c>
      <c r="C618" s="23">
        <f>VLOOKUP(A618,'[11]Linea Industria'!$A$6:$G$1020,4,FALSE)</f>
        <v>108.05</v>
      </c>
      <c r="D618" s="23">
        <f>VLOOKUP(A618,'[11]Linea Industria'!$A$6:$G$1020,5,FALSE)</f>
        <v>122.1</v>
      </c>
      <c r="E618" s="23">
        <f>VLOOKUP(A618,'[11]Linea Industria'!$A$6:$G$1020,6,FALSE)</f>
        <v>146.02000000000001</v>
      </c>
      <c r="F618" s="23">
        <f>VLOOKUP(A618,'[11]Linea Industria'!$A$6:$G$1020,7,FALSE)</f>
        <v>165</v>
      </c>
    </row>
    <row r="619" spans="1:6" x14ac:dyDescent="0.3">
      <c r="A619" s="26" t="s">
        <v>658</v>
      </c>
      <c r="B619" s="43" t="s">
        <v>3384</v>
      </c>
      <c r="C619" s="23">
        <f>VLOOKUP(A619,'[11]Linea Industria'!$A$6:$G$1020,4,FALSE)</f>
        <v>108.05</v>
      </c>
      <c r="D619" s="23">
        <f>VLOOKUP(A619,'[11]Linea Industria'!$A$6:$G$1020,5,FALSE)</f>
        <v>122.1</v>
      </c>
      <c r="E619" s="23">
        <f>VLOOKUP(A619,'[11]Linea Industria'!$A$6:$G$1020,6,FALSE)</f>
        <v>146.02000000000001</v>
      </c>
      <c r="F619" s="23">
        <f>VLOOKUP(A619,'[11]Linea Industria'!$A$6:$G$1020,7,FALSE)</f>
        <v>165</v>
      </c>
    </row>
    <row r="620" spans="1:6" x14ac:dyDescent="0.3">
      <c r="A620" s="28" t="s">
        <v>659</v>
      </c>
      <c r="B620" s="43" t="s">
        <v>3389</v>
      </c>
      <c r="C620" s="23">
        <f>VLOOKUP(A620,'[11]Linea Industria'!$A$6:$G$1020,4,FALSE)</f>
        <v>35.5</v>
      </c>
      <c r="D620" s="23">
        <f>VLOOKUP(A620,'[11]Linea Industria'!$A$6:$G$1020,5,FALSE)</f>
        <v>40.11</v>
      </c>
      <c r="E620" s="23">
        <f>VLOOKUP(A620,'[11]Linea Industria'!$A$6:$G$1020,6,FALSE)</f>
        <v>50.71</v>
      </c>
      <c r="F620" s="23">
        <f>VLOOKUP(A620,'[11]Linea Industria'!$A$6:$G$1020,7,FALSE)</f>
        <v>57.3</v>
      </c>
    </row>
    <row r="621" spans="1:6" x14ac:dyDescent="0.3">
      <c r="A621" s="28" t="s">
        <v>660</v>
      </c>
      <c r="B621" s="43" t="s">
        <v>3390</v>
      </c>
      <c r="C621" s="23">
        <f>VLOOKUP(A621,'[11]Linea Industria'!$A$6:$G$1020,4,FALSE)</f>
        <v>35.5</v>
      </c>
      <c r="D621" s="23">
        <f>VLOOKUP(A621,'[11]Linea Industria'!$A$6:$G$1020,5,FALSE)</f>
        <v>40.11</v>
      </c>
      <c r="E621" s="23">
        <f>VLOOKUP(A621,'[11]Linea Industria'!$A$6:$G$1020,6,FALSE)</f>
        <v>50.71</v>
      </c>
      <c r="F621" s="23">
        <f>VLOOKUP(A621,'[11]Linea Industria'!$A$6:$G$1020,7,FALSE)</f>
        <v>57.3</v>
      </c>
    </row>
    <row r="622" spans="1:6" x14ac:dyDescent="0.3">
      <c r="A622" s="26" t="s">
        <v>661</v>
      </c>
      <c r="B622" s="43" t="s">
        <v>3389</v>
      </c>
      <c r="C622" s="23">
        <f>VLOOKUP(A622,'[11]Linea Industria'!$A$6:$G$1020,4,FALSE)</f>
        <v>169.12</v>
      </c>
      <c r="D622" s="23">
        <f>VLOOKUP(A622,'[11]Linea Industria'!$A$6:$G$1020,5,FALSE)</f>
        <v>191.1</v>
      </c>
      <c r="E622" s="23">
        <f>VLOOKUP(A622,'[11]Linea Industria'!$A$6:$G$1020,6,FALSE)</f>
        <v>241.59</v>
      </c>
      <c r="F622" s="23">
        <f>VLOOKUP(A622,'[11]Linea Industria'!$A$6:$G$1020,7,FALSE)</f>
        <v>273</v>
      </c>
    </row>
    <row r="623" spans="1:6" x14ac:dyDescent="0.3">
      <c r="A623" s="26" t="s">
        <v>662</v>
      </c>
      <c r="B623" s="43" t="s">
        <v>3390</v>
      </c>
      <c r="C623" s="23">
        <f>VLOOKUP(A623,'[11]Linea Industria'!$A$6:$G$1020,4,FALSE)</f>
        <v>169.12</v>
      </c>
      <c r="D623" s="23">
        <f>VLOOKUP(A623,'[11]Linea Industria'!$A$6:$G$1020,5,FALSE)</f>
        <v>191.1</v>
      </c>
      <c r="E623" s="23">
        <f>VLOOKUP(A623,'[11]Linea Industria'!$A$6:$G$1020,6,FALSE)</f>
        <v>241.59</v>
      </c>
      <c r="F623" s="23">
        <f>VLOOKUP(A623,'[11]Linea Industria'!$A$6:$G$1020,7,FALSE)</f>
        <v>273</v>
      </c>
    </row>
    <row r="624" spans="1:6" x14ac:dyDescent="0.3">
      <c r="A624" s="28" t="s">
        <v>663</v>
      </c>
      <c r="B624" s="43" t="s">
        <v>3391</v>
      </c>
      <c r="C624" s="23">
        <f>VLOOKUP(A624,'[11]Linea Industria'!$A$6:$G$1020,4,FALSE)</f>
        <v>43.65</v>
      </c>
      <c r="D624" s="23">
        <f>VLOOKUP(A624,'[11]Linea Industria'!$A$6:$G$1020,5,FALSE)</f>
        <v>49.32</v>
      </c>
      <c r="E624" s="23">
        <f>VLOOKUP(A624,'[11]Linea Industria'!$A$6:$G$1020,6,FALSE)</f>
        <v>60.62</v>
      </c>
      <c r="F624" s="23">
        <f>VLOOKUP(A624,'[11]Linea Industria'!$A$6:$G$1020,7,FALSE)</f>
        <v>68.5</v>
      </c>
    </row>
    <row r="625" spans="1:6" x14ac:dyDescent="0.3">
      <c r="A625" s="28" t="s">
        <v>3392</v>
      </c>
      <c r="B625" s="43" t="s">
        <v>3393</v>
      </c>
      <c r="C625" s="23">
        <f>VLOOKUP(A625,'[11]Linea Industria'!$A$6:$G$1020,4,FALSE)</f>
        <v>26.79</v>
      </c>
      <c r="D625" s="23">
        <f>VLOOKUP(A625,'[11]Linea Industria'!$A$6:$G$1020,5,FALSE)</f>
        <v>30.27</v>
      </c>
      <c r="E625" s="23">
        <f>VLOOKUP(A625,'[11]Linea Industria'!$A$6:$G$1020,6,FALSE)</f>
        <v>36.19</v>
      </c>
      <c r="F625" s="23">
        <f>VLOOKUP(A625,'[11]Linea Industria'!$A$6:$G$1020,7,FALSE)</f>
        <v>40.9</v>
      </c>
    </row>
    <row r="626" spans="1:6" x14ac:dyDescent="0.3">
      <c r="A626" s="28" t="s">
        <v>3394</v>
      </c>
      <c r="B626" s="43" t="s">
        <v>3393</v>
      </c>
      <c r="C626" s="23">
        <f>VLOOKUP(A626,'[11]Linea Industria'!$A$6:$G$1020,4,FALSE)</f>
        <v>7.14</v>
      </c>
      <c r="D626" s="23">
        <f>VLOOKUP(A626,'[11]Linea Industria'!$A$6:$G$1020,5,FALSE)</f>
        <v>8.07</v>
      </c>
      <c r="E626" s="23">
        <f>VLOOKUP(A626,'[11]Linea Industria'!$A$6:$G$1020,6,FALSE)</f>
        <v>9.65</v>
      </c>
      <c r="F626" s="23">
        <f>VLOOKUP(A626,'[11]Linea Industria'!$A$6:$G$1020,7,FALSE)</f>
        <v>10.9</v>
      </c>
    </row>
    <row r="627" spans="1:6" x14ac:dyDescent="0.3">
      <c r="A627" s="28" t="s">
        <v>3120</v>
      </c>
      <c r="B627" s="43" t="s">
        <v>3395</v>
      </c>
      <c r="C627" s="23">
        <f>VLOOKUP(A627,'[11]Linea Industria'!$A$6:$G$1020,4,FALSE)</f>
        <v>6.95</v>
      </c>
      <c r="D627" s="23">
        <f>VLOOKUP(A627,'[11]Linea Industria'!$A$6:$G$1020,5,FALSE)</f>
        <v>7.85</v>
      </c>
      <c r="E627" s="23">
        <f>VLOOKUP(A627,'[11]Linea Industria'!$A$6:$G$1020,6,FALSE)</f>
        <v>9.65</v>
      </c>
      <c r="F627" s="23">
        <f>VLOOKUP(A627,'[11]Linea Industria'!$A$6:$G$1020,7,FALSE)</f>
        <v>10.9</v>
      </c>
    </row>
    <row r="628" spans="1:6" x14ac:dyDescent="0.3">
      <c r="A628" s="28" t="s">
        <v>3121</v>
      </c>
      <c r="B628" s="43" t="s">
        <v>3396</v>
      </c>
      <c r="C628" s="23">
        <f>VLOOKUP(A628,'[11]Linea Industria'!$A$6:$G$1020,4,FALSE)</f>
        <v>6.95</v>
      </c>
      <c r="D628" s="23">
        <f>VLOOKUP(A628,'[11]Linea Industria'!$A$6:$G$1020,5,FALSE)</f>
        <v>7.85</v>
      </c>
      <c r="E628" s="23">
        <f>VLOOKUP(A628,'[11]Linea Industria'!$A$6:$G$1020,6,FALSE)</f>
        <v>9.65</v>
      </c>
      <c r="F628" s="23">
        <f>VLOOKUP(A628,'[11]Linea Industria'!$A$6:$G$1020,7,FALSE)</f>
        <v>10.9</v>
      </c>
    </row>
    <row r="629" spans="1:6" x14ac:dyDescent="0.3">
      <c r="A629" s="28" t="s">
        <v>3122</v>
      </c>
      <c r="B629" s="43" t="s">
        <v>3397</v>
      </c>
      <c r="C629" s="23">
        <f>VLOOKUP(A629,'[11]Linea Industria'!$A$6:$G$1020,4,FALSE)</f>
        <v>6.95</v>
      </c>
      <c r="D629" s="23">
        <f>VLOOKUP(A629,'[11]Linea Industria'!$A$6:$G$1020,5,FALSE)</f>
        <v>7.85</v>
      </c>
      <c r="E629" s="23">
        <f>VLOOKUP(A629,'[11]Linea Industria'!$A$6:$G$1020,6,FALSE)</f>
        <v>9.65</v>
      </c>
      <c r="F629" s="23">
        <f>VLOOKUP(A629,'[11]Linea Industria'!$A$6:$G$1020,7,FALSE)</f>
        <v>10.9</v>
      </c>
    </row>
    <row r="630" spans="1:6" x14ac:dyDescent="0.3">
      <c r="A630" s="28" t="s">
        <v>3123</v>
      </c>
      <c r="B630" s="43" t="s">
        <v>3398</v>
      </c>
      <c r="C630" s="23">
        <f>VLOOKUP(A630,'[11]Linea Industria'!$A$6:$G$1020,4,FALSE)</f>
        <v>6.95</v>
      </c>
      <c r="D630" s="23">
        <f>VLOOKUP(A630,'[11]Linea Industria'!$A$6:$G$1020,5,FALSE)</f>
        <v>7.85</v>
      </c>
      <c r="E630" s="23">
        <f>VLOOKUP(A630,'[11]Linea Industria'!$A$6:$G$1020,6,FALSE)</f>
        <v>9.65</v>
      </c>
      <c r="F630" s="23">
        <f>VLOOKUP(A630,'[11]Linea Industria'!$A$6:$G$1020,7,FALSE)</f>
        <v>10.9</v>
      </c>
    </row>
    <row r="631" spans="1:6" x14ac:dyDescent="0.3">
      <c r="A631" s="28" t="s">
        <v>3124</v>
      </c>
      <c r="B631" s="43" t="s">
        <v>669</v>
      </c>
      <c r="C631" s="23">
        <f>VLOOKUP(A631,'[11]Linea Industria'!$A$6:$G$1020,4,FALSE)</f>
        <v>6.95</v>
      </c>
      <c r="D631" s="23">
        <f>VLOOKUP(A631,'[11]Linea Industria'!$A$6:$G$1020,5,FALSE)</f>
        <v>7.85</v>
      </c>
      <c r="E631" s="23">
        <f>VLOOKUP(A631,'[11]Linea Industria'!$A$6:$G$1020,6,FALSE)</f>
        <v>9.65</v>
      </c>
      <c r="F631" s="23">
        <f>VLOOKUP(A631,'[11]Linea Industria'!$A$6:$G$1020,7,FALSE)</f>
        <v>10.9</v>
      </c>
    </row>
    <row r="632" spans="1:6" x14ac:dyDescent="0.3">
      <c r="A632" s="28" t="s">
        <v>664</v>
      </c>
      <c r="B632" s="43" t="s">
        <v>3395</v>
      </c>
      <c r="C632" s="23">
        <f>VLOOKUP(A632,'[11]Linea Industria'!$A$6:$G$1020,4,FALSE)</f>
        <v>22.88</v>
      </c>
      <c r="D632" s="23">
        <f>VLOOKUP(A632,'[11]Linea Industria'!$A$6:$G$1020,5,FALSE)</f>
        <v>25.85</v>
      </c>
      <c r="E632" s="23">
        <f>VLOOKUP(A632,'[11]Linea Industria'!$A$6:$G$1020,6,FALSE)</f>
        <v>31.77</v>
      </c>
      <c r="F632" s="23">
        <f>VLOOKUP(A632,'[11]Linea Industria'!$A$6:$G$1020,7,FALSE)</f>
        <v>35.9</v>
      </c>
    </row>
    <row r="633" spans="1:6" x14ac:dyDescent="0.3">
      <c r="A633" s="28" t="s">
        <v>665</v>
      </c>
      <c r="B633" s="43" t="s">
        <v>3396</v>
      </c>
      <c r="C633" s="23">
        <f>VLOOKUP(A633,'[11]Linea Industria'!$A$6:$G$1020,4,FALSE)</f>
        <v>22.88</v>
      </c>
      <c r="D633" s="23">
        <f>VLOOKUP(A633,'[11]Linea Industria'!$A$6:$G$1020,5,FALSE)</f>
        <v>25.85</v>
      </c>
      <c r="E633" s="23">
        <f>VLOOKUP(A633,'[11]Linea Industria'!$A$6:$G$1020,6,FALSE)</f>
        <v>31.77</v>
      </c>
      <c r="F633" s="23">
        <f>VLOOKUP(A633,'[11]Linea Industria'!$A$6:$G$1020,7,FALSE)</f>
        <v>35.9</v>
      </c>
    </row>
    <row r="634" spans="1:6" x14ac:dyDescent="0.3">
      <c r="A634" s="28" t="s">
        <v>666</v>
      </c>
      <c r="B634" s="43" t="s">
        <v>3397</v>
      </c>
      <c r="C634" s="23">
        <f>VLOOKUP(A634,'[11]Linea Industria'!$A$6:$G$1020,4,FALSE)</f>
        <v>22.88</v>
      </c>
      <c r="D634" s="23">
        <f>VLOOKUP(A634,'[11]Linea Industria'!$A$6:$G$1020,5,FALSE)</f>
        <v>25.85</v>
      </c>
      <c r="E634" s="23">
        <f>VLOOKUP(A634,'[11]Linea Industria'!$A$6:$G$1020,6,FALSE)</f>
        <v>31.77</v>
      </c>
      <c r="F634" s="23">
        <f>VLOOKUP(A634,'[11]Linea Industria'!$A$6:$G$1020,7,FALSE)</f>
        <v>35.9</v>
      </c>
    </row>
    <row r="635" spans="1:6" x14ac:dyDescent="0.3">
      <c r="A635" s="28" t="s">
        <v>667</v>
      </c>
      <c r="B635" s="43" t="s">
        <v>3398</v>
      </c>
      <c r="C635" s="23">
        <f>VLOOKUP(A635,'[11]Linea Industria'!$A$6:$G$1020,4,FALSE)</f>
        <v>22.88</v>
      </c>
      <c r="D635" s="23">
        <f>VLOOKUP(A635,'[11]Linea Industria'!$A$6:$G$1020,5,FALSE)</f>
        <v>25.85</v>
      </c>
      <c r="E635" s="23">
        <f>VLOOKUP(A635,'[11]Linea Industria'!$A$6:$G$1020,6,FALSE)</f>
        <v>31.77</v>
      </c>
      <c r="F635" s="23">
        <f>VLOOKUP(A635,'[11]Linea Industria'!$A$6:$G$1020,7,FALSE)</f>
        <v>35.9</v>
      </c>
    </row>
    <row r="636" spans="1:6" x14ac:dyDescent="0.3">
      <c r="A636" s="26" t="s">
        <v>668</v>
      </c>
      <c r="B636" s="43" t="s">
        <v>669</v>
      </c>
      <c r="C636" s="23">
        <f>VLOOKUP(A636,'[11]Linea Industria'!$A$6:$G$1020,4,FALSE)</f>
        <v>22.88</v>
      </c>
      <c r="D636" s="23">
        <f>VLOOKUP(A636,'[11]Linea Industria'!$A$6:$G$1020,5,FALSE)</f>
        <v>25.85</v>
      </c>
      <c r="E636" s="23">
        <f>VLOOKUP(A636,'[11]Linea Industria'!$A$6:$G$1020,6,FALSE)</f>
        <v>31.77</v>
      </c>
      <c r="F636" s="23">
        <f>VLOOKUP(A636,'[11]Linea Industria'!$A$6:$G$1020,7,FALSE)</f>
        <v>35.9</v>
      </c>
    </row>
    <row r="637" spans="1:6" x14ac:dyDescent="0.3">
      <c r="A637" s="26" t="s">
        <v>670</v>
      </c>
      <c r="B637" s="43" t="s">
        <v>3395</v>
      </c>
      <c r="C637" s="23">
        <f>VLOOKUP(A637,'[11]Linea Industria'!$A$6:$G$1020,4,FALSE)</f>
        <v>101.95</v>
      </c>
      <c r="D637" s="23">
        <f>VLOOKUP(A637,'[11]Linea Industria'!$A$6:$G$1020,5,FALSE)</f>
        <v>115.2</v>
      </c>
      <c r="E637" s="23">
        <f>VLOOKUP(A637,'[11]Linea Industria'!$A$6:$G$1020,6,FALSE)</f>
        <v>141.59</v>
      </c>
      <c r="F637" s="23">
        <f>VLOOKUP(A637,'[11]Linea Industria'!$A$6:$G$1020,7,FALSE)</f>
        <v>160</v>
      </c>
    </row>
    <row r="638" spans="1:6" x14ac:dyDescent="0.3">
      <c r="A638" s="26" t="s">
        <v>671</v>
      </c>
      <c r="B638" s="43" t="s">
        <v>3396</v>
      </c>
      <c r="C638" s="23">
        <f>VLOOKUP(A638,'[11]Linea Industria'!$A$6:$G$1020,4,FALSE)</f>
        <v>101.95</v>
      </c>
      <c r="D638" s="23">
        <f>VLOOKUP(A638,'[11]Linea Industria'!$A$6:$G$1020,5,FALSE)</f>
        <v>115.2</v>
      </c>
      <c r="E638" s="23">
        <f>VLOOKUP(A638,'[11]Linea Industria'!$A$6:$G$1020,6,FALSE)</f>
        <v>141.59</v>
      </c>
      <c r="F638" s="23">
        <f>VLOOKUP(A638,'[11]Linea Industria'!$A$6:$G$1020,7,FALSE)</f>
        <v>160</v>
      </c>
    </row>
    <row r="639" spans="1:6" x14ac:dyDescent="0.3">
      <c r="A639" s="26" t="s">
        <v>672</v>
      </c>
      <c r="B639" s="43" t="s">
        <v>3397</v>
      </c>
      <c r="C639" s="23">
        <f>VLOOKUP(A639,'[11]Linea Industria'!$A$6:$G$1020,4,FALSE)</f>
        <v>101.95</v>
      </c>
      <c r="D639" s="23">
        <f>VLOOKUP(A639,'[11]Linea Industria'!$A$6:$G$1020,5,FALSE)</f>
        <v>115.2</v>
      </c>
      <c r="E639" s="23">
        <f>VLOOKUP(A639,'[11]Linea Industria'!$A$6:$G$1020,6,FALSE)</f>
        <v>141.59</v>
      </c>
      <c r="F639" s="23">
        <f>VLOOKUP(A639,'[11]Linea Industria'!$A$6:$G$1020,7,FALSE)</f>
        <v>160</v>
      </c>
    </row>
    <row r="640" spans="1:6" x14ac:dyDescent="0.3">
      <c r="A640" s="26" t="s">
        <v>673</v>
      </c>
      <c r="B640" s="43" t="s">
        <v>3398</v>
      </c>
      <c r="C640" s="23">
        <f>VLOOKUP(A640,'[11]Linea Industria'!$A$6:$G$1020,4,FALSE)</f>
        <v>101.95</v>
      </c>
      <c r="D640" s="23">
        <f>VLOOKUP(A640,'[11]Linea Industria'!$A$6:$G$1020,5,FALSE)</f>
        <v>115.2</v>
      </c>
      <c r="E640" s="23">
        <f>VLOOKUP(A640,'[11]Linea Industria'!$A$6:$G$1020,6,FALSE)</f>
        <v>141.59</v>
      </c>
      <c r="F640" s="23">
        <f>VLOOKUP(A640,'[11]Linea Industria'!$A$6:$G$1020,7,FALSE)</f>
        <v>160</v>
      </c>
    </row>
    <row r="641" spans="1:6" x14ac:dyDescent="0.3">
      <c r="A641" s="28" t="s">
        <v>674</v>
      </c>
      <c r="B641" s="43" t="s">
        <v>3399</v>
      </c>
      <c r="C641" s="23">
        <f>VLOOKUP(A641,'[11]Linea Industria'!$A$6:$G$1020,4,FALSE)</f>
        <v>6.55</v>
      </c>
      <c r="D641" s="23">
        <f>VLOOKUP(A641,'[11]Linea Industria'!$A$6:$G$1020,5,FALSE)</f>
        <v>7.4</v>
      </c>
      <c r="E641" s="23">
        <f>VLOOKUP(A641,'[11]Linea Industria'!$A$6:$G$1020,6,FALSE)</f>
        <v>8.85</v>
      </c>
      <c r="F641" s="23">
        <f>VLOOKUP(A641,'[11]Linea Industria'!$A$6:$G$1020,7,FALSE)</f>
        <v>10</v>
      </c>
    </row>
    <row r="642" spans="1:6" x14ac:dyDescent="0.3">
      <c r="A642" s="28" t="s">
        <v>675</v>
      </c>
      <c r="B642" s="43" t="s">
        <v>3400</v>
      </c>
      <c r="C642" s="23">
        <f>VLOOKUP(A642,'[11]Linea Industria'!$A$6:$G$1020,4,FALSE)</f>
        <v>6.55</v>
      </c>
      <c r="D642" s="23">
        <f>VLOOKUP(A642,'[11]Linea Industria'!$A$6:$G$1020,5,FALSE)</f>
        <v>7.4</v>
      </c>
      <c r="E642" s="23">
        <f>VLOOKUP(A642,'[11]Linea Industria'!$A$6:$G$1020,6,FALSE)</f>
        <v>8.85</v>
      </c>
      <c r="F642" s="23">
        <f>VLOOKUP(A642,'[11]Linea Industria'!$A$6:$G$1020,7,FALSE)</f>
        <v>10</v>
      </c>
    </row>
    <row r="643" spans="1:6" x14ac:dyDescent="0.3">
      <c r="A643" s="28" t="s">
        <v>676</v>
      </c>
      <c r="B643" s="43" t="s">
        <v>3401</v>
      </c>
      <c r="C643" s="23">
        <f>VLOOKUP(A643,'[11]Linea Industria'!$A$6:$G$1020,4,FALSE)</f>
        <v>6.55</v>
      </c>
      <c r="D643" s="23">
        <f>VLOOKUP(A643,'[11]Linea Industria'!$A$6:$G$1020,5,FALSE)</f>
        <v>7.4</v>
      </c>
      <c r="E643" s="23">
        <f>VLOOKUP(A643,'[11]Linea Industria'!$A$6:$G$1020,6,FALSE)</f>
        <v>8.85</v>
      </c>
      <c r="F643" s="23">
        <f>VLOOKUP(A643,'[11]Linea Industria'!$A$6:$G$1020,7,FALSE)</f>
        <v>10</v>
      </c>
    </row>
    <row r="644" spans="1:6" x14ac:dyDescent="0.3">
      <c r="A644" s="28" t="s">
        <v>677</v>
      </c>
      <c r="B644" s="43" t="s">
        <v>3402</v>
      </c>
      <c r="C644" s="23">
        <f>VLOOKUP(A644,'[11]Linea Industria'!$A$6:$G$1020,4,FALSE)</f>
        <v>6.55</v>
      </c>
      <c r="D644" s="23">
        <f>VLOOKUP(A644,'[11]Linea Industria'!$A$6:$G$1020,5,FALSE)</f>
        <v>7.4</v>
      </c>
      <c r="E644" s="23">
        <f>VLOOKUP(A644,'[11]Linea Industria'!$A$6:$G$1020,6,FALSE)</f>
        <v>8.85</v>
      </c>
      <c r="F644" s="23">
        <f>VLOOKUP(A644,'[11]Linea Industria'!$A$6:$G$1020,7,FALSE)</f>
        <v>10</v>
      </c>
    </row>
    <row r="645" spans="1:6" x14ac:dyDescent="0.3">
      <c r="A645" s="28" t="s">
        <v>678</v>
      </c>
      <c r="B645" s="43" t="s">
        <v>3403</v>
      </c>
      <c r="C645" s="23">
        <f>VLOOKUP(A645,'[11]Linea Industria'!$A$6:$G$1020,4,FALSE)</f>
        <v>6.55</v>
      </c>
      <c r="D645" s="23">
        <f>VLOOKUP(A645,'[11]Linea Industria'!$A$6:$G$1020,5,FALSE)</f>
        <v>7.4</v>
      </c>
      <c r="E645" s="23">
        <f>VLOOKUP(A645,'[11]Linea Industria'!$A$6:$G$1020,6,FALSE)</f>
        <v>8.85</v>
      </c>
      <c r="F645" s="23">
        <f>VLOOKUP(A645,'[11]Linea Industria'!$A$6:$G$1020,7,FALSE)</f>
        <v>10</v>
      </c>
    </row>
    <row r="646" spans="1:6" x14ac:dyDescent="0.3">
      <c r="A646" s="28" t="s">
        <v>679</v>
      </c>
      <c r="B646" s="43" t="s">
        <v>3404</v>
      </c>
      <c r="C646" s="23">
        <f>VLOOKUP(A646,'[11]Linea Industria'!$A$6:$G$1020,4,FALSE)</f>
        <v>6.55</v>
      </c>
      <c r="D646" s="23">
        <f>VLOOKUP(A646,'[11]Linea Industria'!$A$6:$G$1020,5,FALSE)</f>
        <v>7.4</v>
      </c>
      <c r="E646" s="23">
        <f>VLOOKUP(A646,'[11]Linea Industria'!$A$6:$G$1020,6,FALSE)</f>
        <v>8.85</v>
      </c>
      <c r="F646" s="23">
        <f>VLOOKUP(A646,'[11]Linea Industria'!$A$6:$G$1020,7,FALSE)</f>
        <v>10</v>
      </c>
    </row>
    <row r="647" spans="1:6" x14ac:dyDescent="0.3">
      <c r="A647" s="28" t="s">
        <v>680</v>
      </c>
      <c r="B647" s="43" t="s">
        <v>3399</v>
      </c>
      <c r="C647" s="23">
        <f>VLOOKUP(A647,'[11]Linea Industria'!$A$6:$G$1020,4,FALSE)</f>
        <v>21.94</v>
      </c>
      <c r="D647" s="23">
        <f>VLOOKUP(A647,'[11]Linea Industria'!$A$6:$G$1020,5,FALSE)</f>
        <v>24.79</v>
      </c>
      <c r="E647" s="23">
        <f>VLOOKUP(A647,'[11]Linea Industria'!$A$6:$G$1020,6,FALSE)</f>
        <v>29.65</v>
      </c>
      <c r="F647" s="23">
        <f>VLOOKUP(A647,'[11]Linea Industria'!$A$6:$G$1020,7,FALSE)</f>
        <v>33.5</v>
      </c>
    </row>
    <row r="648" spans="1:6" x14ac:dyDescent="0.3">
      <c r="A648" s="28" t="s">
        <v>681</v>
      </c>
      <c r="B648" s="43" t="s">
        <v>3400</v>
      </c>
      <c r="C648" s="23">
        <f>VLOOKUP(A648,'[11]Linea Industria'!$A$6:$G$1020,4,FALSE)</f>
        <v>21.94</v>
      </c>
      <c r="D648" s="23">
        <f>VLOOKUP(A648,'[11]Linea Industria'!$A$6:$G$1020,5,FALSE)</f>
        <v>24.79</v>
      </c>
      <c r="E648" s="23">
        <f>VLOOKUP(A648,'[11]Linea Industria'!$A$6:$G$1020,6,FALSE)</f>
        <v>29.65</v>
      </c>
      <c r="F648" s="23">
        <f>VLOOKUP(A648,'[11]Linea Industria'!$A$6:$G$1020,7,FALSE)</f>
        <v>33.5</v>
      </c>
    </row>
    <row r="649" spans="1:6" x14ac:dyDescent="0.3">
      <c r="A649" s="28" t="s">
        <v>682</v>
      </c>
      <c r="B649" s="43" t="s">
        <v>3401</v>
      </c>
      <c r="C649" s="23">
        <f>VLOOKUP(A649,'[11]Linea Industria'!$A$6:$G$1020,4,FALSE)</f>
        <v>21.94</v>
      </c>
      <c r="D649" s="23">
        <f>VLOOKUP(A649,'[11]Linea Industria'!$A$6:$G$1020,5,FALSE)</f>
        <v>24.79</v>
      </c>
      <c r="E649" s="23">
        <f>VLOOKUP(A649,'[11]Linea Industria'!$A$6:$G$1020,6,FALSE)</f>
        <v>29.65</v>
      </c>
      <c r="F649" s="23">
        <f>VLOOKUP(A649,'[11]Linea Industria'!$A$6:$G$1020,7,FALSE)</f>
        <v>33.5</v>
      </c>
    </row>
    <row r="650" spans="1:6" x14ac:dyDescent="0.3">
      <c r="A650" s="28" t="s">
        <v>683</v>
      </c>
      <c r="B650" s="43" t="s">
        <v>3402</v>
      </c>
      <c r="C650" s="23">
        <f>VLOOKUP(A650,'[11]Linea Industria'!$A$6:$G$1020,4,FALSE)</f>
        <v>21.94</v>
      </c>
      <c r="D650" s="23">
        <f>VLOOKUP(A650,'[11]Linea Industria'!$A$6:$G$1020,5,FALSE)</f>
        <v>24.79</v>
      </c>
      <c r="E650" s="23">
        <f>VLOOKUP(A650,'[11]Linea Industria'!$A$6:$G$1020,6,FALSE)</f>
        <v>29.65</v>
      </c>
      <c r="F650" s="23">
        <f>VLOOKUP(A650,'[11]Linea Industria'!$A$6:$G$1020,7,FALSE)</f>
        <v>33.5</v>
      </c>
    </row>
    <row r="651" spans="1:6" x14ac:dyDescent="0.3">
      <c r="A651" s="28" t="s">
        <v>684</v>
      </c>
      <c r="B651" s="43" t="s">
        <v>3403</v>
      </c>
      <c r="C651" s="23">
        <f>VLOOKUP(A651,'[11]Linea Industria'!$A$6:$G$1020,4,FALSE)</f>
        <v>21.94</v>
      </c>
      <c r="D651" s="23">
        <f>VLOOKUP(A651,'[11]Linea Industria'!$A$6:$G$1020,5,FALSE)</f>
        <v>24.79</v>
      </c>
      <c r="E651" s="23">
        <f>VLOOKUP(A651,'[11]Linea Industria'!$A$6:$G$1020,6,FALSE)</f>
        <v>29.65</v>
      </c>
      <c r="F651" s="23">
        <f>VLOOKUP(A651,'[11]Linea Industria'!$A$6:$G$1020,7,FALSE)</f>
        <v>33.5</v>
      </c>
    </row>
    <row r="652" spans="1:6" x14ac:dyDescent="0.3">
      <c r="A652" s="28" t="s">
        <v>685</v>
      </c>
      <c r="B652" s="43" t="s">
        <v>3404</v>
      </c>
      <c r="C652" s="23">
        <f>VLOOKUP(A652,'[11]Linea Industria'!$A$6:$G$1020,4,FALSE)</f>
        <v>21.94</v>
      </c>
      <c r="D652" s="23">
        <f>VLOOKUP(A652,'[11]Linea Industria'!$A$6:$G$1020,5,FALSE)</f>
        <v>24.79</v>
      </c>
      <c r="E652" s="23">
        <f>VLOOKUP(A652,'[11]Linea Industria'!$A$6:$G$1020,6,FALSE)</f>
        <v>29.65</v>
      </c>
      <c r="F652" s="23">
        <f>VLOOKUP(A652,'[11]Linea Industria'!$A$6:$G$1020,7,FALSE)</f>
        <v>33.5</v>
      </c>
    </row>
    <row r="653" spans="1:6" x14ac:dyDescent="0.3">
      <c r="A653" s="26" t="s">
        <v>686</v>
      </c>
      <c r="B653" s="43" t="s">
        <v>3399</v>
      </c>
      <c r="C653" s="23">
        <f>VLOOKUP(A653,'[11]Linea Industria'!$A$6:$G$1020,4,FALSE)</f>
        <v>99.54</v>
      </c>
      <c r="D653" s="23">
        <f>VLOOKUP(A653,'[11]Linea Industria'!$A$6:$G$1020,5,FALSE)</f>
        <v>112.48</v>
      </c>
      <c r="E653" s="23">
        <f>VLOOKUP(A653,'[11]Linea Industria'!$A$6:$G$1020,6,FALSE)</f>
        <v>134.51</v>
      </c>
      <c r="F653" s="23">
        <f>VLOOKUP(A653,'[11]Linea Industria'!$A$6:$G$1020,7,FALSE)</f>
        <v>152</v>
      </c>
    </row>
    <row r="654" spans="1:6" x14ac:dyDescent="0.3">
      <c r="A654" s="26" t="s">
        <v>687</v>
      </c>
      <c r="B654" s="43" t="s">
        <v>3400</v>
      </c>
      <c r="C654" s="23">
        <f>VLOOKUP(A654,'[11]Linea Industria'!$A$6:$G$1020,4,FALSE)</f>
        <v>99.54</v>
      </c>
      <c r="D654" s="23">
        <f>VLOOKUP(A654,'[11]Linea Industria'!$A$6:$G$1020,5,FALSE)</f>
        <v>112.48</v>
      </c>
      <c r="E654" s="23">
        <f>VLOOKUP(A654,'[11]Linea Industria'!$A$6:$G$1020,6,FALSE)</f>
        <v>134.51</v>
      </c>
      <c r="F654" s="23">
        <f>VLOOKUP(A654,'[11]Linea Industria'!$A$6:$G$1020,7,FALSE)</f>
        <v>152</v>
      </c>
    </row>
    <row r="655" spans="1:6" x14ac:dyDescent="0.3">
      <c r="A655" s="26" t="s">
        <v>688</v>
      </c>
      <c r="B655" s="43" t="s">
        <v>3401</v>
      </c>
      <c r="C655" s="23">
        <f>VLOOKUP(A655,'[11]Linea Industria'!$A$6:$G$1020,4,FALSE)</f>
        <v>99.54</v>
      </c>
      <c r="D655" s="23">
        <f>VLOOKUP(A655,'[11]Linea Industria'!$A$6:$G$1020,5,FALSE)</f>
        <v>112.48</v>
      </c>
      <c r="E655" s="23">
        <f>VLOOKUP(A655,'[11]Linea Industria'!$A$6:$G$1020,6,FALSE)</f>
        <v>134.51</v>
      </c>
      <c r="F655" s="23">
        <f>VLOOKUP(A655,'[11]Linea Industria'!$A$6:$G$1020,7,FALSE)</f>
        <v>152</v>
      </c>
    </row>
    <row r="656" spans="1:6" x14ac:dyDescent="0.3">
      <c r="A656" s="26" t="s">
        <v>689</v>
      </c>
      <c r="B656" s="43" t="s">
        <v>3402</v>
      </c>
      <c r="C656" s="23">
        <f>VLOOKUP(A656,'[11]Linea Industria'!$A$6:$G$1020,4,FALSE)</f>
        <v>99.54</v>
      </c>
      <c r="D656" s="23">
        <f>VLOOKUP(A656,'[11]Linea Industria'!$A$6:$G$1020,5,FALSE)</f>
        <v>112.48</v>
      </c>
      <c r="E656" s="23">
        <f>VLOOKUP(A656,'[11]Linea Industria'!$A$6:$G$1020,6,FALSE)</f>
        <v>134.51</v>
      </c>
      <c r="F656" s="23">
        <f>VLOOKUP(A656,'[11]Linea Industria'!$A$6:$G$1020,7,FALSE)</f>
        <v>152</v>
      </c>
    </row>
    <row r="657" spans="1:6" x14ac:dyDescent="0.3">
      <c r="A657" s="26" t="s">
        <v>690</v>
      </c>
      <c r="B657" s="43" t="s">
        <v>3403</v>
      </c>
      <c r="C657" s="23">
        <f>VLOOKUP(A657,'[11]Linea Industria'!$A$6:$G$1020,4,FALSE)</f>
        <v>99.54</v>
      </c>
      <c r="D657" s="23">
        <f>VLOOKUP(A657,'[11]Linea Industria'!$A$6:$G$1020,5,FALSE)</f>
        <v>112.48</v>
      </c>
      <c r="E657" s="23">
        <f>VLOOKUP(A657,'[11]Linea Industria'!$A$6:$G$1020,6,FALSE)</f>
        <v>134.51</v>
      </c>
      <c r="F657" s="23">
        <f>VLOOKUP(A657,'[11]Linea Industria'!$A$6:$G$1020,7,FALSE)</f>
        <v>152</v>
      </c>
    </row>
    <row r="658" spans="1:6" x14ac:dyDescent="0.3">
      <c r="A658" s="28" t="s">
        <v>691</v>
      </c>
      <c r="B658" s="43" t="s">
        <v>692</v>
      </c>
      <c r="C658" s="23">
        <f>VLOOKUP(A658,'[11]Linea Industria'!$A$6:$G$1020,4,FALSE)</f>
        <v>6.55</v>
      </c>
      <c r="D658" s="23">
        <f>VLOOKUP(A658,'[11]Linea Industria'!$A$6:$G$1020,5,FALSE)</f>
        <v>7.4</v>
      </c>
      <c r="E658" s="23">
        <f>VLOOKUP(A658,'[11]Linea Industria'!$A$6:$G$1020,6,FALSE)</f>
        <v>8.85</v>
      </c>
      <c r="F658" s="23">
        <f>VLOOKUP(A658,'[11]Linea Industria'!$A$6:$G$1020,7,FALSE)</f>
        <v>10</v>
      </c>
    </row>
    <row r="659" spans="1:6" x14ac:dyDescent="0.3">
      <c r="A659" s="28" t="s">
        <v>693</v>
      </c>
      <c r="B659" s="43" t="s">
        <v>694</v>
      </c>
      <c r="C659" s="23">
        <f>VLOOKUP(A659,'[11]Linea Industria'!$A$6:$G$1020,4,FALSE)</f>
        <v>6.55</v>
      </c>
      <c r="D659" s="23">
        <f>VLOOKUP(A659,'[11]Linea Industria'!$A$6:$G$1020,5,FALSE)</f>
        <v>7.4</v>
      </c>
      <c r="E659" s="23">
        <f>VLOOKUP(A659,'[11]Linea Industria'!$A$6:$G$1020,6,FALSE)</f>
        <v>8.85</v>
      </c>
      <c r="F659" s="23">
        <f>VLOOKUP(A659,'[11]Linea Industria'!$A$6:$G$1020,7,FALSE)</f>
        <v>10</v>
      </c>
    </row>
    <row r="660" spans="1:6" x14ac:dyDescent="0.3">
      <c r="A660" s="28" t="s">
        <v>695</v>
      </c>
      <c r="B660" s="43" t="s">
        <v>696</v>
      </c>
      <c r="C660" s="23">
        <f>VLOOKUP(A660,'[11]Linea Industria'!$A$6:$G$1020,4,FALSE)</f>
        <v>6.55</v>
      </c>
      <c r="D660" s="23">
        <f>VLOOKUP(A660,'[11]Linea Industria'!$A$6:$G$1020,5,FALSE)</f>
        <v>7.4</v>
      </c>
      <c r="E660" s="23">
        <f>VLOOKUP(A660,'[11]Linea Industria'!$A$6:$G$1020,6,FALSE)</f>
        <v>8.85</v>
      </c>
      <c r="F660" s="23">
        <f>VLOOKUP(A660,'[11]Linea Industria'!$A$6:$G$1020,7,FALSE)</f>
        <v>10</v>
      </c>
    </row>
    <row r="661" spans="1:6" x14ac:dyDescent="0.3">
      <c r="A661" s="28" t="s">
        <v>697</v>
      </c>
      <c r="B661" s="43" t="s">
        <v>698</v>
      </c>
      <c r="C661" s="23">
        <f>VLOOKUP(A661,'[11]Linea Industria'!$A$6:$G$1020,4,FALSE)</f>
        <v>6.55</v>
      </c>
      <c r="D661" s="23">
        <f>VLOOKUP(A661,'[11]Linea Industria'!$A$6:$G$1020,5,FALSE)</f>
        <v>7.4</v>
      </c>
      <c r="E661" s="23">
        <f>VLOOKUP(A661,'[11]Linea Industria'!$A$6:$G$1020,6,FALSE)</f>
        <v>8.85</v>
      </c>
      <c r="F661" s="23">
        <f>VLOOKUP(A661,'[11]Linea Industria'!$A$6:$G$1020,7,FALSE)</f>
        <v>10</v>
      </c>
    </row>
    <row r="662" spans="1:6" x14ac:dyDescent="0.3">
      <c r="A662" s="28" t="s">
        <v>699</v>
      </c>
      <c r="B662" s="43" t="s">
        <v>692</v>
      </c>
      <c r="C662" s="23">
        <f>VLOOKUP(A662,'[11]Linea Industria'!$A$6:$G$1020,4,FALSE)</f>
        <v>21.94</v>
      </c>
      <c r="D662" s="23">
        <f>VLOOKUP(A662,'[11]Linea Industria'!$A$6:$G$1020,5,FALSE)</f>
        <v>24.79</v>
      </c>
      <c r="E662" s="23">
        <f>VLOOKUP(A662,'[11]Linea Industria'!$A$6:$G$1020,6,FALSE)</f>
        <v>29.65</v>
      </c>
      <c r="F662" s="23">
        <f>VLOOKUP(A662,'[11]Linea Industria'!$A$6:$G$1020,7,FALSE)</f>
        <v>33.5</v>
      </c>
    </row>
    <row r="663" spans="1:6" x14ac:dyDescent="0.3">
      <c r="A663" s="28" t="s">
        <v>700</v>
      </c>
      <c r="B663" s="43" t="s">
        <v>694</v>
      </c>
      <c r="C663" s="23">
        <f>VLOOKUP(A663,'[11]Linea Industria'!$A$6:$G$1020,4,FALSE)</f>
        <v>21.94</v>
      </c>
      <c r="D663" s="23">
        <f>VLOOKUP(A663,'[11]Linea Industria'!$A$6:$G$1020,5,FALSE)</f>
        <v>24.79</v>
      </c>
      <c r="E663" s="23">
        <f>VLOOKUP(A663,'[11]Linea Industria'!$A$6:$G$1020,6,FALSE)</f>
        <v>29.65</v>
      </c>
      <c r="F663" s="23">
        <f>VLOOKUP(A663,'[11]Linea Industria'!$A$6:$G$1020,7,FALSE)</f>
        <v>33.5</v>
      </c>
    </row>
    <row r="664" spans="1:6" x14ac:dyDescent="0.3">
      <c r="A664" s="28" t="s">
        <v>701</v>
      </c>
      <c r="B664" s="43" t="s">
        <v>696</v>
      </c>
      <c r="C664" s="23">
        <f>VLOOKUP(A664,'[11]Linea Industria'!$A$6:$G$1020,4,FALSE)</f>
        <v>21.94</v>
      </c>
      <c r="D664" s="23">
        <f>VLOOKUP(A664,'[11]Linea Industria'!$A$6:$G$1020,5,FALSE)</f>
        <v>24.79</v>
      </c>
      <c r="E664" s="23">
        <f>VLOOKUP(A664,'[11]Linea Industria'!$A$6:$G$1020,6,FALSE)</f>
        <v>29.65</v>
      </c>
      <c r="F664" s="23">
        <f>VLOOKUP(A664,'[11]Linea Industria'!$A$6:$G$1020,7,FALSE)</f>
        <v>33.5</v>
      </c>
    </row>
    <row r="665" spans="1:6" x14ac:dyDescent="0.3">
      <c r="A665" s="28" t="s">
        <v>702</v>
      </c>
      <c r="B665" s="43" t="s">
        <v>698</v>
      </c>
      <c r="C665" s="23">
        <f>VLOOKUP(A665,'[11]Linea Industria'!$A$6:$G$1020,4,FALSE)</f>
        <v>21.94</v>
      </c>
      <c r="D665" s="23">
        <f>VLOOKUP(A665,'[11]Linea Industria'!$A$6:$G$1020,5,FALSE)</f>
        <v>24.79</v>
      </c>
      <c r="E665" s="23">
        <f>VLOOKUP(A665,'[11]Linea Industria'!$A$6:$G$1020,6,FALSE)</f>
        <v>29.65</v>
      </c>
      <c r="F665" s="23">
        <f>VLOOKUP(A665,'[11]Linea Industria'!$A$6:$G$1020,7,FALSE)</f>
        <v>33.5</v>
      </c>
    </row>
    <row r="666" spans="1:6" x14ac:dyDescent="0.3">
      <c r="A666" s="26" t="s">
        <v>703</v>
      </c>
      <c r="B666" s="43" t="s">
        <v>692</v>
      </c>
      <c r="C666" s="23">
        <f>VLOOKUP(A666,'[11]Linea Industria'!$A$6:$G$1020,4,FALSE)</f>
        <v>99.54</v>
      </c>
      <c r="D666" s="23">
        <f>VLOOKUP(A666,'[11]Linea Industria'!$A$6:$G$1020,5,FALSE)</f>
        <v>112.48</v>
      </c>
      <c r="E666" s="23">
        <f>VLOOKUP(A666,'[11]Linea Industria'!$A$6:$G$1020,6,FALSE)</f>
        <v>134.51</v>
      </c>
      <c r="F666" s="23">
        <f>VLOOKUP(A666,'[11]Linea Industria'!$A$6:$G$1020,7,FALSE)</f>
        <v>152</v>
      </c>
    </row>
    <row r="667" spans="1:6" x14ac:dyDescent="0.3">
      <c r="A667" s="26" t="s">
        <v>704</v>
      </c>
      <c r="B667" s="43" t="s">
        <v>694</v>
      </c>
      <c r="C667" s="23">
        <f>VLOOKUP(A667,'[11]Linea Industria'!$A$6:$G$1020,4,FALSE)</f>
        <v>99.54</v>
      </c>
      <c r="D667" s="23">
        <f>VLOOKUP(A667,'[11]Linea Industria'!$A$6:$G$1020,5,FALSE)</f>
        <v>112.48</v>
      </c>
      <c r="E667" s="23">
        <f>VLOOKUP(A667,'[11]Linea Industria'!$A$6:$G$1020,6,FALSE)</f>
        <v>134.51</v>
      </c>
      <c r="F667" s="23">
        <f>VLOOKUP(A667,'[11]Linea Industria'!$A$6:$G$1020,7,FALSE)</f>
        <v>152</v>
      </c>
    </row>
    <row r="668" spans="1:6" x14ac:dyDescent="0.3">
      <c r="A668" s="26" t="s">
        <v>705</v>
      </c>
      <c r="B668" s="43" t="s">
        <v>696</v>
      </c>
      <c r="C668" s="23">
        <f>VLOOKUP(A668,'[11]Linea Industria'!$A$6:$G$1020,4,FALSE)</f>
        <v>99.54</v>
      </c>
      <c r="D668" s="23">
        <f>VLOOKUP(A668,'[11]Linea Industria'!$A$6:$G$1020,5,FALSE)</f>
        <v>112.48</v>
      </c>
      <c r="E668" s="23">
        <f>VLOOKUP(A668,'[11]Linea Industria'!$A$6:$G$1020,6,FALSE)</f>
        <v>134.51</v>
      </c>
      <c r="F668" s="23">
        <f>VLOOKUP(A668,'[11]Linea Industria'!$A$6:$G$1020,7,FALSE)</f>
        <v>152</v>
      </c>
    </row>
    <row r="669" spans="1:6" x14ac:dyDescent="0.3">
      <c r="A669" s="26" t="s">
        <v>706</v>
      </c>
      <c r="B669" s="43" t="s">
        <v>698</v>
      </c>
      <c r="C669" s="23">
        <f>VLOOKUP(A669,'[11]Linea Industria'!$A$6:$G$1020,4,FALSE)</f>
        <v>99.54</v>
      </c>
      <c r="D669" s="23">
        <f>VLOOKUP(A669,'[11]Linea Industria'!$A$6:$G$1020,5,FALSE)</f>
        <v>112.48</v>
      </c>
      <c r="E669" s="23">
        <f>VLOOKUP(A669,'[11]Linea Industria'!$A$6:$G$1020,6,FALSE)</f>
        <v>134.51</v>
      </c>
      <c r="F669" s="23">
        <f>VLOOKUP(A669,'[11]Linea Industria'!$A$6:$G$1020,7,FALSE)</f>
        <v>152</v>
      </c>
    </row>
    <row r="670" spans="1:6" x14ac:dyDescent="0.3">
      <c r="A670" s="26" t="s">
        <v>707</v>
      </c>
      <c r="B670" s="43" t="s">
        <v>3405</v>
      </c>
      <c r="C670" s="23">
        <f>VLOOKUP(A670,'[11]Linea Industria'!$A$6:$G$1020,4,FALSE)</f>
        <v>6.55</v>
      </c>
      <c r="D670" s="23">
        <f>VLOOKUP(A670,'[11]Linea Industria'!$A$6:$G$1020,5,FALSE)</f>
        <v>7.4</v>
      </c>
      <c r="E670" s="23">
        <f>VLOOKUP(A670,'[11]Linea Industria'!$A$6:$G$1020,6,FALSE)</f>
        <v>8.85</v>
      </c>
      <c r="F670" s="23">
        <f>VLOOKUP(A670,'[11]Linea Industria'!$A$6:$G$1020,7,FALSE)</f>
        <v>10</v>
      </c>
    </row>
    <row r="671" spans="1:6" x14ac:dyDescent="0.3">
      <c r="A671" s="26" t="s">
        <v>708</v>
      </c>
      <c r="B671" s="43" t="s">
        <v>3406</v>
      </c>
      <c r="C671" s="23">
        <f>VLOOKUP(A671,'[11]Linea Industria'!$A$6:$G$1020,4,FALSE)</f>
        <v>6.55</v>
      </c>
      <c r="D671" s="23">
        <f>VLOOKUP(A671,'[11]Linea Industria'!$A$6:$G$1020,5,FALSE)</f>
        <v>7.4</v>
      </c>
      <c r="E671" s="23">
        <f>VLOOKUP(A671,'[11]Linea Industria'!$A$6:$G$1020,6,FALSE)</f>
        <v>8.85</v>
      </c>
      <c r="F671" s="23">
        <f>VLOOKUP(A671,'[11]Linea Industria'!$A$6:$G$1020,7,FALSE)</f>
        <v>10</v>
      </c>
    </row>
    <row r="672" spans="1:6" x14ac:dyDescent="0.3">
      <c r="A672" s="26" t="s">
        <v>709</v>
      </c>
      <c r="B672" s="43" t="s">
        <v>3407</v>
      </c>
      <c r="C672" s="23">
        <f>VLOOKUP(A672,'[11]Linea Industria'!$A$6:$G$1020,4,FALSE)</f>
        <v>6.55</v>
      </c>
      <c r="D672" s="23">
        <f>VLOOKUP(A672,'[11]Linea Industria'!$A$6:$G$1020,5,FALSE)</f>
        <v>7.4</v>
      </c>
      <c r="E672" s="23">
        <f>VLOOKUP(A672,'[11]Linea Industria'!$A$6:$G$1020,6,FALSE)</f>
        <v>8.85</v>
      </c>
      <c r="F672" s="23">
        <f>VLOOKUP(A672,'[11]Linea Industria'!$A$6:$G$1020,7,FALSE)</f>
        <v>10</v>
      </c>
    </row>
    <row r="673" spans="1:6" x14ac:dyDescent="0.3">
      <c r="A673" s="26" t="s">
        <v>710</v>
      </c>
      <c r="B673" s="43" t="s">
        <v>3408</v>
      </c>
      <c r="C673" s="23">
        <f>VLOOKUP(A673,'[11]Linea Industria'!$A$6:$G$1020,4,FALSE)</f>
        <v>6.55</v>
      </c>
      <c r="D673" s="23">
        <f>VLOOKUP(A673,'[11]Linea Industria'!$A$6:$G$1020,5,FALSE)</f>
        <v>7.4</v>
      </c>
      <c r="E673" s="23">
        <f>VLOOKUP(A673,'[11]Linea Industria'!$A$6:$G$1020,6,FALSE)</f>
        <v>8.85</v>
      </c>
      <c r="F673" s="23">
        <f>VLOOKUP(A673,'[11]Linea Industria'!$A$6:$G$1020,7,FALSE)</f>
        <v>10</v>
      </c>
    </row>
    <row r="674" spans="1:6" x14ac:dyDescent="0.3">
      <c r="A674" s="26" t="s">
        <v>711</v>
      </c>
      <c r="B674" s="43" t="s">
        <v>3409</v>
      </c>
      <c r="C674" s="23">
        <f>VLOOKUP(A674,'[11]Linea Industria'!$A$6:$G$1020,4,FALSE)</f>
        <v>6.55</v>
      </c>
      <c r="D674" s="23">
        <f>VLOOKUP(A674,'[11]Linea Industria'!$A$6:$G$1020,5,FALSE)</f>
        <v>7.4</v>
      </c>
      <c r="E674" s="23">
        <f>VLOOKUP(A674,'[11]Linea Industria'!$A$6:$G$1020,6,FALSE)</f>
        <v>8.85</v>
      </c>
      <c r="F674" s="23">
        <f>VLOOKUP(A674,'[11]Linea Industria'!$A$6:$G$1020,7,FALSE)</f>
        <v>10</v>
      </c>
    </row>
    <row r="675" spans="1:6" x14ac:dyDescent="0.3">
      <c r="A675" s="28" t="s">
        <v>712</v>
      </c>
      <c r="B675" s="43" t="s">
        <v>3405</v>
      </c>
      <c r="C675" s="23">
        <f>VLOOKUP(A675,'[11]Linea Industria'!$A$6:$G$1020,4,FALSE)</f>
        <v>21.94</v>
      </c>
      <c r="D675" s="23">
        <f>VLOOKUP(A675,'[11]Linea Industria'!$A$6:$G$1020,5,FALSE)</f>
        <v>24.79</v>
      </c>
      <c r="E675" s="23">
        <f>VLOOKUP(A675,'[11]Linea Industria'!$A$6:$G$1020,6,FALSE)</f>
        <v>29.65</v>
      </c>
      <c r="F675" s="23">
        <f>VLOOKUP(A675,'[11]Linea Industria'!$A$6:$G$1020,7,FALSE)</f>
        <v>33.5</v>
      </c>
    </row>
    <row r="676" spans="1:6" x14ac:dyDescent="0.3">
      <c r="A676" s="26" t="s">
        <v>713</v>
      </c>
      <c r="B676" s="43" t="s">
        <v>3406</v>
      </c>
      <c r="C676" s="23">
        <f>VLOOKUP(A676,'[11]Linea Industria'!$A$6:$G$1020,4,FALSE)</f>
        <v>21.94</v>
      </c>
      <c r="D676" s="23">
        <f>VLOOKUP(A676,'[11]Linea Industria'!$A$6:$G$1020,5,FALSE)</f>
        <v>24.79</v>
      </c>
      <c r="E676" s="23">
        <f>VLOOKUP(A676,'[11]Linea Industria'!$A$6:$G$1020,6,FALSE)</f>
        <v>29.65</v>
      </c>
      <c r="F676" s="23">
        <f>VLOOKUP(A676,'[11]Linea Industria'!$A$6:$G$1020,7,FALSE)</f>
        <v>33.5</v>
      </c>
    </row>
    <row r="677" spans="1:6" x14ac:dyDescent="0.3">
      <c r="A677" s="26" t="s">
        <v>714</v>
      </c>
      <c r="B677" s="43" t="s">
        <v>3407</v>
      </c>
      <c r="C677" s="23">
        <f>VLOOKUP(A677,'[11]Linea Industria'!$A$6:$G$1020,4,FALSE)</f>
        <v>21.94</v>
      </c>
      <c r="D677" s="23">
        <f>VLOOKUP(A677,'[11]Linea Industria'!$A$6:$G$1020,5,FALSE)</f>
        <v>24.79</v>
      </c>
      <c r="E677" s="23">
        <f>VLOOKUP(A677,'[11]Linea Industria'!$A$6:$G$1020,6,FALSE)</f>
        <v>29.65</v>
      </c>
      <c r="F677" s="23">
        <f>VLOOKUP(A677,'[11]Linea Industria'!$A$6:$G$1020,7,FALSE)</f>
        <v>33.5</v>
      </c>
    </row>
    <row r="678" spans="1:6" x14ac:dyDescent="0.3">
      <c r="A678" s="26" t="s">
        <v>715</v>
      </c>
      <c r="B678" s="43" t="s">
        <v>3408</v>
      </c>
      <c r="C678" s="23">
        <f>VLOOKUP(A678,'[11]Linea Industria'!$A$6:$G$1020,4,FALSE)</f>
        <v>21.94</v>
      </c>
      <c r="D678" s="23">
        <f>VLOOKUP(A678,'[11]Linea Industria'!$A$6:$G$1020,5,FALSE)</f>
        <v>24.79</v>
      </c>
      <c r="E678" s="23">
        <f>VLOOKUP(A678,'[11]Linea Industria'!$A$6:$G$1020,6,FALSE)</f>
        <v>29.65</v>
      </c>
      <c r="F678" s="23">
        <f>VLOOKUP(A678,'[11]Linea Industria'!$A$6:$G$1020,7,FALSE)</f>
        <v>33.5</v>
      </c>
    </row>
    <row r="679" spans="1:6" x14ac:dyDescent="0.3">
      <c r="A679" s="26" t="s">
        <v>716</v>
      </c>
      <c r="B679" s="43" t="s">
        <v>3409</v>
      </c>
      <c r="C679" s="23">
        <f>VLOOKUP(A679,'[11]Linea Industria'!$A$6:$G$1020,4,FALSE)</f>
        <v>21.94</v>
      </c>
      <c r="D679" s="23">
        <f>VLOOKUP(A679,'[11]Linea Industria'!$A$6:$G$1020,5,FALSE)</f>
        <v>24.79</v>
      </c>
      <c r="E679" s="23">
        <f>VLOOKUP(A679,'[11]Linea Industria'!$A$6:$G$1020,6,FALSE)</f>
        <v>29.65</v>
      </c>
      <c r="F679" s="23">
        <f>VLOOKUP(A679,'[11]Linea Industria'!$A$6:$G$1020,7,FALSE)</f>
        <v>33.5</v>
      </c>
    </row>
    <row r="680" spans="1:6" x14ac:dyDescent="0.3">
      <c r="A680" s="26" t="s">
        <v>717</v>
      </c>
      <c r="B680" s="43" t="s">
        <v>3405</v>
      </c>
      <c r="C680" s="23">
        <f>VLOOKUP(A680,'[11]Linea Industria'!$A$6:$G$1020,4,FALSE)</f>
        <v>99.54</v>
      </c>
      <c r="D680" s="23">
        <f>VLOOKUP(A680,'[11]Linea Industria'!$A$6:$G$1020,5,FALSE)</f>
        <v>112.48</v>
      </c>
      <c r="E680" s="23">
        <f>VLOOKUP(A680,'[11]Linea Industria'!$A$6:$G$1020,6,FALSE)</f>
        <v>134.51</v>
      </c>
      <c r="F680" s="23">
        <f>VLOOKUP(A680,'[11]Linea Industria'!$A$6:$G$1020,7,FALSE)</f>
        <v>152</v>
      </c>
    </row>
    <row r="681" spans="1:6" x14ac:dyDescent="0.3">
      <c r="A681" s="26" t="s">
        <v>718</v>
      </c>
      <c r="B681" s="43" t="s">
        <v>3406</v>
      </c>
      <c r="C681" s="23">
        <f>VLOOKUP(A681,'[11]Linea Industria'!$A$6:$G$1020,4,FALSE)</f>
        <v>99.54</v>
      </c>
      <c r="D681" s="23">
        <f>VLOOKUP(A681,'[11]Linea Industria'!$A$6:$G$1020,5,FALSE)</f>
        <v>112.48</v>
      </c>
      <c r="E681" s="23">
        <f>VLOOKUP(A681,'[11]Linea Industria'!$A$6:$G$1020,6,FALSE)</f>
        <v>134.51</v>
      </c>
      <c r="F681" s="23">
        <f>VLOOKUP(A681,'[11]Linea Industria'!$A$6:$G$1020,7,FALSE)</f>
        <v>152</v>
      </c>
    </row>
    <row r="682" spans="1:6" x14ac:dyDescent="0.3">
      <c r="A682" s="26" t="s">
        <v>719</v>
      </c>
      <c r="B682" s="43" t="s">
        <v>3407</v>
      </c>
      <c r="C682" s="23">
        <f>VLOOKUP(A682,'[11]Linea Industria'!$A$6:$G$1020,4,FALSE)</f>
        <v>99.54</v>
      </c>
      <c r="D682" s="23">
        <f>VLOOKUP(A682,'[11]Linea Industria'!$A$6:$G$1020,5,FALSE)</f>
        <v>112.48</v>
      </c>
      <c r="E682" s="23">
        <f>VLOOKUP(A682,'[11]Linea Industria'!$A$6:$G$1020,6,FALSE)</f>
        <v>134.51</v>
      </c>
      <c r="F682" s="23">
        <f>VLOOKUP(A682,'[11]Linea Industria'!$A$6:$G$1020,7,FALSE)</f>
        <v>152</v>
      </c>
    </row>
    <row r="683" spans="1:6" x14ac:dyDescent="0.3">
      <c r="A683" s="26" t="s">
        <v>720</v>
      </c>
      <c r="B683" s="43" t="s">
        <v>3408</v>
      </c>
      <c r="C683" s="23">
        <f>VLOOKUP(A683,'[11]Linea Industria'!$A$6:$G$1020,4,FALSE)</f>
        <v>99.54</v>
      </c>
      <c r="D683" s="23">
        <f>VLOOKUP(A683,'[11]Linea Industria'!$A$6:$G$1020,5,FALSE)</f>
        <v>112.48</v>
      </c>
      <c r="E683" s="23">
        <f>VLOOKUP(A683,'[11]Linea Industria'!$A$6:$G$1020,6,FALSE)</f>
        <v>134.51</v>
      </c>
      <c r="F683" s="23">
        <f>VLOOKUP(A683,'[11]Linea Industria'!$A$6:$G$1020,7,FALSE)</f>
        <v>152</v>
      </c>
    </row>
    <row r="684" spans="1:6" x14ac:dyDescent="0.3">
      <c r="A684" s="26" t="s">
        <v>721</v>
      </c>
      <c r="B684" s="43" t="s">
        <v>3409</v>
      </c>
      <c r="C684" s="23">
        <f>VLOOKUP(A684,'[11]Linea Industria'!$A$6:$G$1020,4,FALSE)</f>
        <v>99.54</v>
      </c>
      <c r="D684" s="23">
        <f>VLOOKUP(A684,'[11]Linea Industria'!$A$6:$G$1020,5,FALSE)</f>
        <v>112.48</v>
      </c>
      <c r="E684" s="23">
        <f>VLOOKUP(A684,'[11]Linea Industria'!$A$6:$G$1020,6,FALSE)</f>
        <v>134.51</v>
      </c>
      <c r="F684" s="23">
        <f>VLOOKUP(A684,'[11]Linea Industria'!$A$6:$G$1020,7,FALSE)</f>
        <v>152</v>
      </c>
    </row>
    <row r="685" spans="1:6" x14ac:dyDescent="0.3">
      <c r="A685" s="28" t="s">
        <v>722</v>
      </c>
      <c r="B685" s="43" t="s">
        <v>723</v>
      </c>
      <c r="C685" s="23">
        <f>VLOOKUP(A685,'[11]Linea Industria'!$A$6:$G$1020,4,FALSE)</f>
        <v>5.31</v>
      </c>
      <c r="D685" s="23">
        <f>VLOOKUP(A685,'[11]Linea Industria'!$A$6:$G$1020,5,FALSE)</f>
        <v>6</v>
      </c>
      <c r="E685" s="23">
        <f>VLOOKUP(A685,'[11]Linea Industria'!$A$6:$G$1020,6,FALSE)</f>
        <v>6.64</v>
      </c>
      <c r="F685" s="23">
        <f>VLOOKUP(A685,'[11]Linea Industria'!$A$6:$G$1020,7,FALSE)</f>
        <v>7.5</v>
      </c>
    </row>
    <row r="686" spans="1:6" x14ac:dyDescent="0.3">
      <c r="A686" s="28" t="s">
        <v>724</v>
      </c>
      <c r="B686" s="43" t="s">
        <v>725</v>
      </c>
      <c r="C686" s="23">
        <f>VLOOKUP(A686,'[11]Linea Industria'!$A$6:$G$1020,4,FALSE)</f>
        <v>5.31</v>
      </c>
      <c r="D686" s="23">
        <f>VLOOKUP(A686,'[11]Linea Industria'!$A$6:$G$1020,5,FALSE)</f>
        <v>6</v>
      </c>
      <c r="E686" s="23">
        <f>VLOOKUP(A686,'[11]Linea Industria'!$A$6:$G$1020,6,FALSE)</f>
        <v>6.64</v>
      </c>
      <c r="F686" s="23">
        <f>VLOOKUP(A686,'[11]Linea Industria'!$A$6:$G$1020,7,FALSE)</f>
        <v>7.5</v>
      </c>
    </row>
    <row r="687" spans="1:6" x14ac:dyDescent="0.3">
      <c r="A687" s="28" t="s">
        <v>726</v>
      </c>
      <c r="B687" s="43" t="s">
        <v>727</v>
      </c>
      <c r="C687" s="23">
        <f>VLOOKUP(A687,'[11]Linea Industria'!$A$6:$G$1020,4,FALSE)</f>
        <v>5.31</v>
      </c>
      <c r="D687" s="23">
        <f>VLOOKUP(A687,'[11]Linea Industria'!$A$6:$G$1020,5,FALSE)</f>
        <v>6</v>
      </c>
      <c r="E687" s="23">
        <f>VLOOKUP(A687,'[11]Linea Industria'!$A$6:$G$1020,6,FALSE)</f>
        <v>6.64</v>
      </c>
      <c r="F687" s="23">
        <f>VLOOKUP(A687,'[11]Linea Industria'!$A$6:$G$1020,7,FALSE)</f>
        <v>7.5</v>
      </c>
    </row>
    <row r="688" spans="1:6" x14ac:dyDescent="0.3">
      <c r="A688" s="28" t="s">
        <v>728</v>
      </c>
      <c r="B688" s="43" t="s">
        <v>729</v>
      </c>
      <c r="C688" s="23">
        <f>VLOOKUP(A688,'[11]Linea Industria'!$A$6:$G$1020,4,FALSE)</f>
        <v>5.31</v>
      </c>
      <c r="D688" s="23">
        <f>VLOOKUP(A688,'[11]Linea Industria'!$A$6:$G$1020,5,FALSE)</f>
        <v>6</v>
      </c>
      <c r="E688" s="23">
        <f>VLOOKUP(A688,'[11]Linea Industria'!$A$6:$G$1020,6,FALSE)</f>
        <v>6.64</v>
      </c>
      <c r="F688" s="23">
        <f>VLOOKUP(A688,'[11]Linea Industria'!$A$6:$G$1020,7,FALSE)</f>
        <v>7.5</v>
      </c>
    </row>
    <row r="689" spans="1:6" x14ac:dyDescent="0.3">
      <c r="A689" s="28" t="s">
        <v>730</v>
      </c>
      <c r="B689" s="43" t="s">
        <v>723</v>
      </c>
      <c r="C689" s="23">
        <f>VLOOKUP(A689,'[11]Linea Industria'!$A$6:$G$1020,4,FALSE)</f>
        <v>17.63</v>
      </c>
      <c r="D689" s="23">
        <f>VLOOKUP(A689,'[11]Linea Industria'!$A$6:$G$1020,5,FALSE)</f>
        <v>19.920000000000002</v>
      </c>
      <c r="E689" s="23">
        <f>VLOOKUP(A689,'[11]Linea Industria'!$A$6:$G$1020,6,FALSE)</f>
        <v>22.04</v>
      </c>
      <c r="F689" s="23">
        <f>VLOOKUP(A689,'[11]Linea Industria'!$A$6:$G$1020,7,FALSE)</f>
        <v>24.9</v>
      </c>
    </row>
    <row r="690" spans="1:6" x14ac:dyDescent="0.3">
      <c r="A690" s="28" t="s">
        <v>731</v>
      </c>
      <c r="B690" s="43" t="s">
        <v>725</v>
      </c>
      <c r="C690" s="23">
        <f>VLOOKUP(A690,'[11]Linea Industria'!$A$6:$G$1020,4,FALSE)</f>
        <v>17.63</v>
      </c>
      <c r="D690" s="23">
        <f>VLOOKUP(A690,'[11]Linea Industria'!$A$6:$G$1020,5,FALSE)</f>
        <v>19.920000000000002</v>
      </c>
      <c r="E690" s="23">
        <f>VLOOKUP(A690,'[11]Linea Industria'!$A$6:$G$1020,6,FALSE)</f>
        <v>22.04</v>
      </c>
      <c r="F690" s="23">
        <f>VLOOKUP(A690,'[11]Linea Industria'!$A$6:$G$1020,7,FALSE)</f>
        <v>24.9</v>
      </c>
    </row>
    <row r="691" spans="1:6" x14ac:dyDescent="0.3">
      <c r="A691" s="28" t="s">
        <v>732</v>
      </c>
      <c r="B691" s="43" t="s">
        <v>727</v>
      </c>
      <c r="C691" s="23">
        <f>VLOOKUP(A691,'[11]Linea Industria'!$A$6:$G$1020,4,FALSE)</f>
        <v>17.63</v>
      </c>
      <c r="D691" s="23">
        <f>VLOOKUP(A691,'[11]Linea Industria'!$A$6:$G$1020,5,FALSE)</f>
        <v>19.920000000000002</v>
      </c>
      <c r="E691" s="23">
        <f>VLOOKUP(A691,'[11]Linea Industria'!$A$6:$G$1020,6,FALSE)</f>
        <v>22.04</v>
      </c>
      <c r="F691" s="23">
        <f>VLOOKUP(A691,'[11]Linea Industria'!$A$6:$G$1020,7,FALSE)</f>
        <v>24.9</v>
      </c>
    </row>
    <row r="692" spans="1:6" x14ac:dyDescent="0.3">
      <c r="A692" s="28" t="s">
        <v>733</v>
      </c>
      <c r="B692" s="43" t="s">
        <v>729</v>
      </c>
      <c r="C692" s="23">
        <f>VLOOKUP(A692,'[11]Linea Industria'!$A$6:$G$1020,4,FALSE)</f>
        <v>17.63</v>
      </c>
      <c r="D692" s="23">
        <f>VLOOKUP(A692,'[11]Linea Industria'!$A$6:$G$1020,5,FALSE)</f>
        <v>19.920000000000002</v>
      </c>
      <c r="E692" s="23">
        <f>VLOOKUP(A692,'[11]Linea Industria'!$A$6:$G$1020,6,FALSE)</f>
        <v>22.04</v>
      </c>
      <c r="F692" s="23">
        <f>VLOOKUP(A692,'[11]Linea Industria'!$A$6:$G$1020,7,FALSE)</f>
        <v>24.9</v>
      </c>
    </row>
    <row r="693" spans="1:6" x14ac:dyDescent="0.3">
      <c r="A693" s="26" t="s">
        <v>734</v>
      </c>
      <c r="B693" s="43" t="s">
        <v>723</v>
      </c>
      <c r="C693" s="23">
        <f>VLOOKUP(A693,'[11]Linea Industria'!$A$6:$G$1020,4,FALSE)</f>
        <v>81.42</v>
      </c>
      <c r="D693" s="23">
        <f>VLOOKUP(A693,'[11]Linea Industria'!$A$6:$G$1020,5,FALSE)</f>
        <v>92</v>
      </c>
      <c r="E693" s="23">
        <f>VLOOKUP(A693,'[11]Linea Industria'!$A$6:$G$1020,6,FALSE)</f>
        <v>101.77</v>
      </c>
      <c r="F693" s="23">
        <f>VLOOKUP(A693,'[11]Linea Industria'!$A$6:$G$1020,7,FALSE)</f>
        <v>115</v>
      </c>
    </row>
    <row r="694" spans="1:6" x14ac:dyDescent="0.3">
      <c r="A694" s="26" t="s">
        <v>735</v>
      </c>
      <c r="B694" s="43" t="s">
        <v>727</v>
      </c>
      <c r="C694" s="23">
        <f>VLOOKUP(A694,'[11]Linea Industria'!$A$6:$G$1020,4,FALSE)</f>
        <v>81.42</v>
      </c>
      <c r="D694" s="23">
        <f>VLOOKUP(A694,'[11]Linea Industria'!$A$6:$G$1020,5,FALSE)</f>
        <v>92</v>
      </c>
      <c r="E694" s="23">
        <f>VLOOKUP(A694,'[11]Linea Industria'!$A$6:$G$1020,6,FALSE)</f>
        <v>101.77</v>
      </c>
      <c r="F694" s="23">
        <f>VLOOKUP(A694,'[11]Linea Industria'!$A$6:$G$1020,7,FALSE)</f>
        <v>115</v>
      </c>
    </row>
    <row r="695" spans="1:6" x14ac:dyDescent="0.3">
      <c r="A695" s="26" t="s">
        <v>736</v>
      </c>
      <c r="B695" s="43" t="s">
        <v>725</v>
      </c>
      <c r="C695" s="23">
        <f>VLOOKUP(A695,'[11]Linea Industria'!$A$6:$G$1020,4,FALSE)</f>
        <v>81.42</v>
      </c>
      <c r="D695" s="23">
        <f>VLOOKUP(A695,'[11]Linea Industria'!$A$6:$G$1020,5,FALSE)</f>
        <v>92</v>
      </c>
      <c r="E695" s="23">
        <f>VLOOKUP(A695,'[11]Linea Industria'!$A$6:$G$1020,6,FALSE)</f>
        <v>101.77</v>
      </c>
      <c r="F695" s="23">
        <f>VLOOKUP(A695,'[11]Linea Industria'!$A$6:$G$1020,7,FALSE)</f>
        <v>115</v>
      </c>
    </row>
    <row r="696" spans="1:6" x14ac:dyDescent="0.3">
      <c r="A696" s="26" t="s">
        <v>737</v>
      </c>
      <c r="B696" s="43" t="s">
        <v>729</v>
      </c>
      <c r="C696" s="23">
        <f>VLOOKUP(A696,'[11]Linea Industria'!$A$6:$G$1020,4,FALSE)</f>
        <v>81.42</v>
      </c>
      <c r="D696" s="23">
        <f>VLOOKUP(A696,'[11]Linea Industria'!$A$6:$G$1020,5,FALSE)</f>
        <v>92</v>
      </c>
      <c r="E696" s="23">
        <f>VLOOKUP(A696,'[11]Linea Industria'!$A$6:$G$1020,6,FALSE)</f>
        <v>101.77</v>
      </c>
      <c r="F696" s="23">
        <f>VLOOKUP(A696,'[11]Linea Industria'!$A$6:$G$1020,7,FALSE)</f>
        <v>115</v>
      </c>
    </row>
    <row r="697" spans="1:6" x14ac:dyDescent="0.3">
      <c r="A697" s="28" t="s">
        <v>738</v>
      </c>
      <c r="B697" s="43" t="s">
        <v>3410</v>
      </c>
      <c r="C697" s="23">
        <f>VLOOKUP(A697,'[11]Linea Industria'!$A$6:$G$1020,4,FALSE)</f>
        <v>4.83</v>
      </c>
      <c r="D697" s="23">
        <f>VLOOKUP(A697,'[11]Linea Industria'!$A$6:$G$1020,5,FALSE)</f>
        <v>5.46</v>
      </c>
      <c r="E697" s="23">
        <f>VLOOKUP(A697,'[11]Linea Industria'!$A$6:$G$1020,6,FALSE)</f>
        <v>5.75</v>
      </c>
      <c r="F697" s="23">
        <f>VLOOKUP(A697,'[11]Linea Industria'!$A$6:$G$1020,7,FALSE)</f>
        <v>6.5</v>
      </c>
    </row>
    <row r="698" spans="1:6" x14ac:dyDescent="0.3">
      <c r="A698" s="28" t="s">
        <v>739</v>
      </c>
      <c r="B698" s="43" t="s">
        <v>3411</v>
      </c>
      <c r="C698" s="23">
        <f>VLOOKUP(A698,'[11]Linea Industria'!$A$6:$G$1020,4,FALSE)</f>
        <v>4.83</v>
      </c>
      <c r="D698" s="23">
        <f>VLOOKUP(A698,'[11]Linea Industria'!$A$6:$G$1020,5,FALSE)</f>
        <v>5.46</v>
      </c>
      <c r="E698" s="23">
        <f>VLOOKUP(A698,'[11]Linea Industria'!$A$6:$G$1020,6,FALSE)</f>
        <v>5.75</v>
      </c>
      <c r="F698" s="23">
        <f>VLOOKUP(A698,'[11]Linea Industria'!$A$6:$G$1020,7,FALSE)</f>
        <v>6.5</v>
      </c>
    </row>
    <row r="699" spans="1:6" x14ac:dyDescent="0.3">
      <c r="A699" s="28" t="s">
        <v>740</v>
      </c>
      <c r="B699" s="43" t="s">
        <v>3412</v>
      </c>
      <c r="C699" s="23">
        <f>VLOOKUP(A699,'[11]Linea Industria'!$A$6:$G$1020,4,FALSE)</f>
        <v>4.83</v>
      </c>
      <c r="D699" s="23">
        <f>VLOOKUP(A699,'[11]Linea Industria'!$A$6:$G$1020,5,FALSE)</f>
        <v>5.46</v>
      </c>
      <c r="E699" s="23">
        <f>VLOOKUP(A699,'[11]Linea Industria'!$A$6:$G$1020,6,FALSE)</f>
        <v>5.75</v>
      </c>
      <c r="F699" s="23">
        <f>VLOOKUP(A699,'[11]Linea Industria'!$A$6:$G$1020,7,FALSE)</f>
        <v>6.5</v>
      </c>
    </row>
    <row r="700" spans="1:6" x14ac:dyDescent="0.3">
      <c r="A700" s="28" t="s">
        <v>741</v>
      </c>
      <c r="B700" s="43" t="s">
        <v>3413</v>
      </c>
      <c r="C700" s="23">
        <f>VLOOKUP(A700,'[11]Linea Industria'!$A$6:$G$1020,4,FALSE)</f>
        <v>4.83</v>
      </c>
      <c r="D700" s="23">
        <f>VLOOKUP(A700,'[11]Linea Industria'!$A$6:$G$1020,5,FALSE)</f>
        <v>5.46</v>
      </c>
      <c r="E700" s="23">
        <f>VLOOKUP(A700,'[11]Linea Industria'!$A$6:$G$1020,6,FALSE)</f>
        <v>5.75</v>
      </c>
      <c r="F700" s="23">
        <f>VLOOKUP(A700,'[11]Linea Industria'!$A$6:$G$1020,7,FALSE)</f>
        <v>6.5</v>
      </c>
    </row>
    <row r="701" spans="1:6" x14ac:dyDescent="0.3">
      <c r="A701" s="28" t="s">
        <v>742</v>
      </c>
      <c r="B701" s="43" t="s">
        <v>3414</v>
      </c>
      <c r="C701" s="23">
        <f>VLOOKUP(A701,'[11]Linea Industria'!$A$6:$G$1020,4,FALSE)</f>
        <v>4.83</v>
      </c>
      <c r="D701" s="23">
        <f>VLOOKUP(A701,'[11]Linea Industria'!$A$6:$G$1020,5,FALSE)</f>
        <v>5.46</v>
      </c>
      <c r="E701" s="23">
        <f>VLOOKUP(A701,'[11]Linea Industria'!$A$6:$G$1020,6,FALSE)</f>
        <v>5.75</v>
      </c>
      <c r="F701" s="23">
        <f>VLOOKUP(A701,'[11]Linea Industria'!$A$6:$G$1020,7,FALSE)</f>
        <v>6.5</v>
      </c>
    </row>
    <row r="702" spans="1:6" x14ac:dyDescent="0.3">
      <c r="A702" s="28" t="s">
        <v>743</v>
      </c>
      <c r="B702" s="43" t="s">
        <v>3415</v>
      </c>
      <c r="C702" s="23">
        <f>VLOOKUP(A702,'[11]Linea Industria'!$A$6:$G$1020,4,FALSE)</f>
        <v>4.83</v>
      </c>
      <c r="D702" s="23">
        <f>VLOOKUP(A702,'[11]Linea Industria'!$A$6:$G$1020,5,FALSE)</f>
        <v>5.46</v>
      </c>
      <c r="E702" s="23">
        <f>VLOOKUP(A702,'[11]Linea Industria'!$A$6:$G$1020,6,FALSE)</f>
        <v>5.75</v>
      </c>
      <c r="F702" s="23">
        <f>VLOOKUP(A702,'[11]Linea Industria'!$A$6:$G$1020,7,FALSE)</f>
        <v>6.5</v>
      </c>
    </row>
    <row r="703" spans="1:6" x14ac:dyDescent="0.3">
      <c r="A703" s="28" t="s">
        <v>744</v>
      </c>
      <c r="B703" s="43" t="s">
        <v>3416</v>
      </c>
      <c r="C703" s="23">
        <f>VLOOKUP(A703,'[11]Linea Industria'!$A$6:$G$1020,4,FALSE)</f>
        <v>4.83</v>
      </c>
      <c r="D703" s="23">
        <f>VLOOKUP(A703,'[11]Linea Industria'!$A$6:$G$1020,5,FALSE)</f>
        <v>5.46</v>
      </c>
      <c r="E703" s="23">
        <f>VLOOKUP(A703,'[11]Linea Industria'!$A$6:$G$1020,6,FALSE)</f>
        <v>5.75</v>
      </c>
      <c r="F703" s="23">
        <f>VLOOKUP(A703,'[11]Linea Industria'!$A$6:$G$1020,7,FALSE)</f>
        <v>6.5</v>
      </c>
    </row>
    <row r="704" spans="1:6" x14ac:dyDescent="0.3">
      <c r="A704" s="28" t="s">
        <v>745</v>
      </c>
      <c r="B704" s="43" t="s">
        <v>3417</v>
      </c>
      <c r="C704" s="23">
        <f>VLOOKUP(A704,'[11]Linea Industria'!$A$6:$G$1020,4,FALSE)</f>
        <v>4.83</v>
      </c>
      <c r="D704" s="23">
        <f>VLOOKUP(A704,'[11]Linea Industria'!$A$6:$G$1020,5,FALSE)</f>
        <v>5.46</v>
      </c>
      <c r="E704" s="23">
        <f>VLOOKUP(A704,'[11]Linea Industria'!$A$6:$G$1020,6,FALSE)</f>
        <v>5.75</v>
      </c>
      <c r="F704" s="23">
        <f>VLOOKUP(A704,'[11]Linea Industria'!$A$6:$G$1020,7,FALSE)</f>
        <v>6.5</v>
      </c>
    </row>
    <row r="705" spans="1:6" x14ac:dyDescent="0.3">
      <c r="A705" s="28" t="s">
        <v>746</v>
      </c>
      <c r="B705" s="43" t="s">
        <v>3410</v>
      </c>
      <c r="C705" s="23">
        <f>VLOOKUP(A705,'[11]Linea Industria'!$A$6:$G$1020,4,FALSE)</f>
        <v>15.98</v>
      </c>
      <c r="D705" s="23">
        <f>VLOOKUP(A705,'[11]Linea Industria'!$A$6:$G$1020,5,FALSE)</f>
        <v>18.059999999999999</v>
      </c>
      <c r="E705" s="23">
        <f>VLOOKUP(A705,'[11]Linea Industria'!$A$6:$G$1020,6,FALSE)</f>
        <v>19.03</v>
      </c>
      <c r="F705" s="23">
        <f>VLOOKUP(A705,'[11]Linea Industria'!$A$6:$G$1020,7,FALSE)</f>
        <v>21.5</v>
      </c>
    </row>
    <row r="706" spans="1:6" x14ac:dyDescent="0.3">
      <c r="A706" s="28" t="s">
        <v>747</v>
      </c>
      <c r="B706" s="43" t="s">
        <v>3411</v>
      </c>
      <c r="C706" s="23">
        <f>VLOOKUP(A706,'[11]Linea Industria'!$A$6:$G$1020,4,FALSE)</f>
        <v>15.98</v>
      </c>
      <c r="D706" s="23">
        <f>VLOOKUP(A706,'[11]Linea Industria'!$A$6:$G$1020,5,FALSE)</f>
        <v>18.059999999999999</v>
      </c>
      <c r="E706" s="23">
        <f>VLOOKUP(A706,'[11]Linea Industria'!$A$6:$G$1020,6,FALSE)</f>
        <v>19.03</v>
      </c>
      <c r="F706" s="23">
        <f>VLOOKUP(A706,'[11]Linea Industria'!$A$6:$G$1020,7,FALSE)</f>
        <v>21.5</v>
      </c>
    </row>
    <row r="707" spans="1:6" x14ac:dyDescent="0.3">
      <c r="A707" s="28" t="s">
        <v>748</v>
      </c>
      <c r="B707" s="43" t="s">
        <v>3412</v>
      </c>
      <c r="C707" s="23">
        <f>VLOOKUP(A707,'[11]Linea Industria'!$A$6:$G$1020,4,FALSE)</f>
        <v>15.98</v>
      </c>
      <c r="D707" s="23">
        <f>VLOOKUP(A707,'[11]Linea Industria'!$A$6:$G$1020,5,FALSE)</f>
        <v>18.059999999999999</v>
      </c>
      <c r="E707" s="23">
        <f>VLOOKUP(A707,'[11]Linea Industria'!$A$6:$G$1020,6,FALSE)</f>
        <v>19.03</v>
      </c>
      <c r="F707" s="23">
        <f>VLOOKUP(A707,'[11]Linea Industria'!$A$6:$G$1020,7,FALSE)</f>
        <v>21.5</v>
      </c>
    </row>
    <row r="708" spans="1:6" x14ac:dyDescent="0.3">
      <c r="A708" s="28" t="s">
        <v>749</v>
      </c>
      <c r="B708" s="43" t="s">
        <v>3413</v>
      </c>
      <c r="C708" s="23">
        <f>VLOOKUP(A708,'[11]Linea Industria'!$A$6:$G$1020,4,FALSE)</f>
        <v>15.98</v>
      </c>
      <c r="D708" s="23">
        <f>VLOOKUP(A708,'[11]Linea Industria'!$A$6:$G$1020,5,FALSE)</f>
        <v>18.059999999999999</v>
      </c>
      <c r="E708" s="23">
        <f>VLOOKUP(A708,'[11]Linea Industria'!$A$6:$G$1020,6,FALSE)</f>
        <v>19.03</v>
      </c>
      <c r="F708" s="23">
        <f>VLOOKUP(A708,'[11]Linea Industria'!$A$6:$G$1020,7,FALSE)</f>
        <v>21.5</v>
      </c>
    </row>
    <row r="709" spans="1:6" x14ac:dyDescent="0.3">
      <c r="A709" s="28" t="s">
        <v>750</v>
      </c>
      <c r="B709" s="43" t="s">
        <v>3414</v>
      </c>
      <c r="C709" s="23">
        <f>VLOOKUP(A709,'[11]Linea Industria'!$A$6:$G$1020,4,FALSE)</f>
        <v>15.98</v>
      </c>
      <c r="D709" s="23">
        <f>VLOOKUP(A709,'[11]Linea Industria'!$A$6:$G$1020,5,FALSE)</f>
        <v>18.059999999999999</v>
      </c>
      <c r="E709" s="23">
        <f>VLOOKUP(A709,'[11]Linea Industria'!$A$6:$G$1020,6,FALSE)</f>
        <v>19.03</v>
      </c>
      <c r="F709" s="23">
        <f>VLOOKUP(A709,'[11]Linea Industria'!$A$6:$G$1020,7,FALSE)</f>
        <v>21.5</v>
      </c>
    </row>
    <row r="710" spans="1:6" x14ac:dyDescent="0.3">
      <c r="A710" s="28" t="s">
        <v>751</v>
      </c>
      <c r="B710" s="43" t="s">
        <v>3415</v>
      </c>
      <c r="C710" s="23">
        <f>VLOOKUP(A710,'[11]Linea Industria'!$A$6:$G$1020,4,FALSE)</f>
        <v>15.98</v>
      </c>
      <c r="D710" s="23">
        <f>VLOOKUP(A710,'[11]Linea Industria'!$A$6:$G$1020,5,FALSE)</f>
        <v>18.059999999999999</v>
      </c>
      <c r="E710" s="23">
        <f>VLOOKUP(A710,'[11]Linea Industria'!$A$6:$G$1020,6,FALSE)</f>
        <v>19.03</v>
      </c>
      <c r="F710" s="23">
        <f>VLOOKUP(A710,'[11]Linea Industria'!$A$6:$G$1020,7,FALSE)</f>
        <v>21.5</v>
      </c>
    </row>
    <row r="711" spans="1:6" x14ac:dyDescent="0.3">
      <c r="A711" s="28" t="s">
        <v>752</v>
      </c>
      <c r="B711" s="43" t="s">
        <v>3416</v>
      </c>
      <c r="C711" s="23">
        <f>VLOOKUP(A711,'[11]Linea Industria'!$A$6:$G$1020,4,FALSE)</f>
        <v>15.98</v>
      </c>
      <c r="D711" s="23">
        <f>VLOOKUP(A711,'[11]Linea Industria'!$A$6:$G$1020,5,FALSE)</f>
        <v>18.059999999999999</v>
      </c>
      <c r="E711" s="23">
        <f>VLOOKUP(A711,'[11]Linea Industria'!$A$6:$G$1020,6,FALSE)</f>
        <v>19.03</v>
      </c>
      <c r="F711" s="23">
        <f>VLOOKUP(A711,'[11]Linea Industria'!$A$6:$G$1020,7,FALSE)</f>
        <v>21.5</v>
      </c>
    </row>
    <row r="712" spans="1:6" x14ac:dyDescent="0.3">
      <c r="A712" s="28" t="s">
        <v>753</v>
      </c>
      <c r="B712" s="43" t="s">
        <v>3417</v>
      </c>
      <c r="C712" s="23">
        <f>VLOOKUP(A712,'[11]Linea Industria'!$A$6:$G$1020,4,FALSE)</f>
        <v>15.98</v>
      </c>
      <c r="D712" s="23">
        <f>VLOOKUP(A712,'[11]Linea Industria'!$A$6:$G$1020,5,FALSE)</f>
        <v>18.059999999999999</v>
      </c>
      <c r="E712" s="23">
        <f>VLOOKUP(A712,'[11]Linea Industria'!$A$6:$G$1020,6,FALSE)</f>
        <v>19.03</v>
      </c>
      <c r="F712" s="23">
        <f>VLOOKUP(A712,'[11]Linea Industria'!$A$6:$G$1020,7,FALSE)</f>
        <v>21.5</v>
      </c>
    </row>
    <row r="713" spans="1:6" x14ac:dyDescent="0.3">
      <c r="A713" s="26" t="s">
        <v>754</v>
      </c>
      <c r="B713" s="43" t="s">
        <v>3410</v>
      </c>
      <c r="C713" s="23">
        <f>VLOOKUP(A713,'[11]Linea Industria'!$A$6:$G$1020,4,FALSE)</f>
        <v>66.900000000000006</v>
      </c>
      <c r="D713" s="23">
        <f>VLOOKUP(A713,'[11]Linea Industria'!$A$6:$G$1020,5,FALSE)</f>
        <v>75.599999999999994</v>
      </c>
      <c r="E713" s="23">
        <f>VLOOKUP(A713,'[11]Linea Industria'!$A$6:$G$1020,6,FALSE)</f>
        <v>79.650000000000006</v>
      </c>
      <c r="F713" s="23">
        <f>VLOOKUP(A713,'[11]Linea Industria'!$A$6:$G$1020,7,FALSE)</f>
        <v>90</v>
      </c>
    </row>
    <row r="714" spans="1:6" x14ac:dyDescent="0.3">
      <c r="A714" s="26" t="s">
        <v>755</v>
      </c>
      <c r="B714" s="43" t="s">
        <v>3411</v>
      </c>
      <c r="C714" s="23">
        <f>VLOOKUP(A714,'[11]Linea Industria'!$A$6:$G$1020,4,FALSE)</f>
        <v>66.900000000000006</v>
      </c>
      <c r="D714" s="23">
        <f>VLOOKUP(A714,'[11]Linea Industria'!$A$6:$G$1020,5,FALSE)</f>
        <v>75.599999999999994</v>
      </c>
      <c r="E714" s="23">
        <f>VLOOKUP(A714,'[11]Linea Industria'!$A$6:$G$1020,6,FALSE)</f>
        <v>79.650000000000006</v>
      </c>
      <c r="F714" s="23">
        <f>VLOOKUP(A714,'[11]Linea Industria'!$A$6:$G$1020,7,FALSE)</f>
        <v>90</v>
      </c>
    </row>
    <row r="715" spans="1:6" x14ac:dyDescent="0.3">
      <c r="A715" s="26" t="s">
        <v>756</v>
      </c>
      <c r="B715" s="43" t="s">
        <v>3412</v>
      </c>
      <c r="C715" s="23">
        <f>VLOOKUP(A715,'[11]Linea Industria'!$A$6:$G$1020,4,FALSE)</f>
        <v>66.900000000000006</v>
      </c>
      <c r="D715" s="23">
        <f>VLOOKUP(A715,'[11]Linea Industria'!$A$6:$G$1020,5,FALSE)</f>
        <v>75.599999999999994</v>
      </c>
      <c r="E715" s="23">
        <f>VLOOKUP(A715,'[11]Linea Industria'!$A$6:$G$1020,6,FALSE)</f>
        <v>79.650000000000006</v>
      </c>
      <c r="F715" s="23">
        <f>VLOOKUP(A715,'[11]Linea Industria'!$A$6:$G$1020,7,FALSE)</f>
        <v>90</v>
      </c>
    </row>
    <row r="716" spans="1:6" x14ac:dyDescent="0.3">
      <c r="A716" s="26" t="s">
        <v>757</v>
      </c>
      <c r="B716" s="43" t="s">
        <v>3413</v>
      </c>
      <c r="C716" s="23">
        <f>VLOOKUP(A716,'[11]Linea Industria'!$A$6:$G$1020,4,FALSE)</f>
        <v>66.900000000000006</v>
      </c>
      <c r="D716" s="23">
        <f>VLOOKUP(A716,'[11]Linea Industria'!$A$6:$G$1020,5,FALSE)</f>
        <v>75.599999999999994</v>
      </c>
      <c r="E716" s="23">
        <f>VLOOKUP(A716,'[11]Linea Industria'!$A$6:$G$1020,6,FALSE)</f>
        <v>79.650000000000006</v>
      </c>
      <c r="F716" s="23">
        <f>VLOOKUP(A716,'[11]Linea Industria'!$A$6:$G$1020,7,FALSE)</f>
        <v>90</v>
      </c>
    </row>
    <row r="717" spans="1:6" x14ac:dyDescent="0.3">
      <c r="A717" s="26" t="s">
        <v>758</v>
      </c>
      <c r="B717" s="43" t="s">
        <v>3414</v>
      </c>
      <c r="C717" s="23">
        <f>VLOOKUP(A717,'[11]Linea Industria'!$A$6:$G$1020,4,FALSE)</f>
        <v>66.900000000000006</v>
      </c>
      <c r="D717" s="23">
        <f>VLOOKUP(A717,'[11]Linea Industria'!$A$6:$G$1020,5,FALSE)</f>
        <v>75.599999999999994</v>
      </c>
      <c r="E717" s="23">
        <f>VLOOKUP(A717,'[11]Linea Industria'!$A$6:$G$1020,6,FALSE)</f>
        <v>79.650000000000006</v>
      </c>
      <c r="F717" s="23">
        <f>VLOOKUP(A717,'[11]Linea Industria'!$A$6:$G$1020,7,FALSE)</f>
        <v>90</v>
      </c>
    </row>
    <row r="718" spans="1:6" x14ac:dyDescent="0.3">
      <c r="A718" s="26" t="s">
        <v>759</v>
      </c>
      <c r="B718" s="43" t="s">
        <v>3415</v>
      </c>
      <c r="C718" s="23">
        <f>VLOOKUP(A718,'[11]Linea Industria'!$A$6:$G$1020,4,FALSE)</f>
        <v>66.900000000000006</v>
      </c>
      <c r="D718" s="23">
        <f>VLOOKUP(A718,'[11]Linea Industria'!$A$6:$G$1020,5,FALSE)</f>
        <v>75.599999999999994</v>
      </c>
      <c r="E718" s="23">
        <f>VLOOKUP(A718,'[11]Linea Industria'!$A$6:$G$1020,6,FALSE)</f>
        <v>79.650000000000006</v>
      </c>
      <c r="F718" s="23">
        <f>VLOOKUP(A718,'[11]Linea Industria'!$A$6:$G$1020,7,FALSE)</f>
        <v>90</v>
      </c>
    </row>
    <row r="719" spans="1:6" x14ac:dyDescent="0.3">
      <c r="A719" s="26" t="s">
        <v>760</v>
      </c>
      <c r="B719" s="43" t="s">
        <v>3416</v>
      </c>
      <c r="C719" s="23">
        <f>VLOOKUP(A719,'[11]Linea Industria'!$A$6:$G$1020,4,FALSE)</f>
        <v>66.900000000000006</v>
      </c>
      <c r="D719" s="23">
        <f>VLOOKUP(A719,'[11]Linea Industria'!$A$6:$G$1020,5,FALSE)</f>
        <v>75.599999999999994</v>
      </c>
      <c r="E719" s="23">
        <f>VLOOKUP(A719,'[11]Linea Industria'!$A$6:$G$1020,6,FALSE)</f>
        <v>79.650000000000006</v>
      </c>
      <c r="F719" s="23">
        <f>VLOOKUP(A719,'[11]Linea Industria'!$A$6:$G$1020,7,FALSE)</f>
        <v>90</v>
      </c>
    </row>
    <row r="720" spans="1:6" x14ac:dyDescent="0.3">
      <c r="A720" s="26" t="s">
        <v>761</v>
      </c>
      <c r="B720" s="43" t="s">
        <v>3417</v>
      </c>
      <c r="C720" s="23">
        <f>VLOOKUP(A720,'[11]Linea Industria'!$A$6:$G$1020,4,FALSE)</f>
        <v>66.900000000000006</v>
      </c>
      <c r="D720" s="23">
        <f>VLOOKUP(A720,'[11]Linea Industria'!$A$6:$G$1020,5,FALSE)</f>
        <v>75.599999999999994</v>
      </c>
      <c r="E720" s="23">
        <f>VLOOKUP(A720,'[11]Linea Industria'!$A$6:$G$1020,6,FALSE)</f>
        <v>79.650000000000006</v>
      </c>
      <c r="F720" s="23">
        <f>VLOOKUP(A720,'[11]Linea Industria'!$A$6:$G$1020,7,FALSE)</f>
        <v>90</v>
      </c>
    </row>
    <row r="721" spans="1:6" x14ac:dyDescent="0.3">
      <c r="A721" s="28" t="s">
        <v>762</v>
      </c>
      <c r="B721" s="43" t="s">
        <v>3418</v>
      </c>
      <c r="C721" s="23">
        <f>VLOOKUP(A721,'[11]Linea Industria'!$A$6:$G$1020,4,FALSE)</f>
        <v>4.83</v>
      </c>
      <c r="D721" s="23">
        <f>VLOOKUP(A721,'[11]Linea Industria'!$A$6:$G$1020,5,FALSE)</f>
        <v>5.46</v>
      </c>
      <c r="E721" s="23">
        <f>VLOOKUP(A721,'[11]Linea Industria'!$A$6:$G$1020,6,FALSE)</f>
        <v>5.75</v>
      </c>
      <c r="F721" s="23">
        <f>VLOOKUP(A721,'[11]Linea Industria'!$A$6:$G$1020,7,FALSE)</f>
        <v>6.5</v>
      </c>
    </row>
    <row r="722" spans="1:6" x14ac:dyDescent="0.3">
      <c r="A722" s="28" t="s">
        <v>763</v>
      </c>
      <c r="B722" s="43" t="s">
        <v>3419</v>
      </c>
      <c r="C722" s="23">
        <f>VLOOKUP(A722,'[11]Linea Industria'!$A$6:$G$1020,4,FALSE)</f>
        <v>4.83</v>
      </c>
      <c r="D722" s="23">
        <f>VLOOKUP(A722,'[11]Linea Industria'!$A$6:$G$1020,5,FALSE)</f>
        <v>5.46</v>
      </c>
      <c r="E722" s="23">
        <f>VLOOKUP(A722,'[11]Linea Industria'!$A$6:$G$1020,6,FALSE)</f>
        <v>5.75</v>
      </c>
      <c r="F722" s="23">
        <f>VLOOKUP(A722,'[11]Linea Industria'!$A$6:$G$1020,7,FALSE)</f>
        <v>6.5</v>
      </c>
    </row>
    <row r="723" spans="1:6" x14ac:dyDescent="0.3">
      <c r="A723" s="28" t="s">
        <v>764</v>
      </c>
      <c r="B723" s="43" t="s">
        <v>3420</v>
      </c>
      <c r="C723" s="23">
        <f>VLOOKUP(A723,'[11]Linea Industria'!$A$6:$G$1020,4,FALSE)</f>
        <v>4.83</v>
      </c>
      <c r="D723" s="23">
        <f>VLOOKUP(A723,'[11]Linea Industria'!$A$6:$G$1020,5,FALSE)</f>
        <v>5.46</v>
      </c>
      <c r="E723" s="23">
        <f>VLOOKUP(A723,'[11]Linea Industria'!$A$6:$G$1020,6,FALSE)</f>
        <v>5.75</v>
      </c>
      <c r="F723" s="23">
        <f>VLOOKUP(A723,'[11]Linea Industria'!$A$6:$G$1020,7,FALSE)</f>
        <v>6.5</v>
      </c>
    </row>
    <row r="724" spans="1:6" x14ac:dyDescent="0.3">
      <c r="A724" s="28" t="s">
        <v>765</v>
      </c>
      <c r="B724" s="43" t="s">
        <v>3421</v>
      </c>
      <c r="C724" s="23">
        <f>VLOOKUP(A724,'[11]Linea Industria'!$A$6:$G$1020,4,FALSE)</f>
        <v>4.83</v>
      </c>
      <c r="D724" s="23">
        <f>VLOOKUP(A724,'[11]Linea Industria'!$A$6:$G$1020,5,FALSE)</f>
        <v>5.46</v>
      </c>
      <c r="E724" s="23">
        <f>VLOOKUP(A724,'[11]Linea Industria'!$A$6:$G$1020,6,FALSE)</f>
        <v>5.75</v>
      </c>
      <c r="F724" s="23">
        <f>VLOOKUP(A724,'[11]Linea Industria'!$A$6:$G$1020,7,FALSE)</f>
        <v>6.5</v>
      </c>
    </row>
    <row r="725" spans="1:6" x14ac:dyDescent="0.3">
      <c r="A725" s="28" t="s">
        <v>766</v>
      </c>
      <c r="B725" s="43" t="s">
        <v>3422</v>
      </c>
      <c r="C725" s="23">
        <f>VLOOKUP(A725,'[11]Linea Industria'!$A$6:$G$1020,4,FALSE)</f>
        <v>4.83</v>
      </c>
      <c r="D725" s="23">
        <f>VLOOKUP(A725,'[11]Linea Industria'!$A$6:$G$1020,5,FALSE)</f>
        <v>5.46</v>
      </c>
      <c r="E725" s="23">
        <f>VLOOKUP(A725,'[11]Linea Industria'!$A$6:$G$1020,6,FALSE)</f>
        <v>5.75</v>
      </c>
      <c r="F725" s="23">
        <f>VLOOKUP(A725,'[11]Linea Industria'!$A$6:$G$1020,7,FALSE)</f>
        <v>6.5</v>
      </c>
    </row>
    <row r="726" spans="1:6" x14ac:dyDescent="0.3">
      <c r="A726" s="28" t="s">
        <v>767</v>
      </c>
      <c r="B726" s="43" t="s">
        <v>3423</v>
      </c>
      <c r="C726" s="23">
        <f>VLOOKUP(A726,'[11]Linea Industria'!$A$6:$G$1020,4,FALSE)</f>
        <v>4.83</v>
      </c>
      <c r="D726" s="23">
        <f>VLOOKUP(A726,'[11]Linea Industria'!$A$6:$G$1020,5,FALSE)</f>
        <v>5.46</v>
      </c>
      <c r="E726" s="23">
        <f>VLOOKUP(A726,'[11]Linea Industria'!$A$6:$G$1020,6,FALSE)</f>
        <v>5.75</v>
      </c>
      <c r="F726" s="23">
        <f>VLOOKUP(A726,'[11]Linea Industria'!$A$6:$G$1020,7,FALSE)</f>
        <v>6.5</v>
      </c>
    </row>
    <row r="727" spans="1:6" x14ac:dyDescent="0.3">
      <c r="A727" s="28" t="s">
        <v>768</v>
      </c>
      <c r="B727" s="43" t="s">
        <v>3418</v>
      </c>
      <c r="C727" s="23">
        <f>VLOOKUP(A727,'[11]Linea Industria'!$A$6:$G$1020,4,FALSE)</f>
        <v>15.98</v>
      </c>
      <c r="D727" s="23">
        <f>VLOOKUP(A727,'[11]Linea Industria'!$A$6:$G$1020,5,FALSE)</f>
        <v>18.059999999999999</v>
      </c>
      <c r="E727" s="23">
        <f>VLOOKUP(A727,'[11]Linea Industria'!$A$6:$G$1020,6,FALSE)</f>
        <v>19.03</v>
      </c>
      <c r="F727" s="23">
        <f>VLOOKUP(A727,'[11]Linea Industria'!$A$6:$G$1020,7,FALSE)</f>
        <v>21.5</v>
      </c>
    </row>
    <row r="728" spans="1:6" x14ac:dyDescent="0.3">
      <c r="A728" s="28" t="s">
        <v>769</v>
      </c>
      <c r="B728" s="43" t="s">
        <v>3419</v>
      </c>
      <c r="C728" s="23">
        <f>VLOOKUP(A728,'[11]Linea Industria'!$A$6:$G$1020,4,FALSE)</f>
        <v>15.98</v>
      </c>
      <c r="D728" s="23">
        <f>VLOOKUP(A728,'[11]Linea Industria'!$A$6:$G$1020,5,FALSE)</f>
        <v>18.059999999999999</v>
      </c>
      <c r="E728" s="23">
        <f>VLOOKUP(A728,'[11]Linea Industria'!$A$6:$G$1020,6,FALSE)</f>
        <v>19.03</v>
      </c>
      <c r="F728" s="23">
        <f>VLOOKUP(A728,'[11]Linea Industria'!$A$6:$G$1020,7,FALSE)</f>
        <v>21.5</v>
      </c>
    </row>
    <row r="729" spans="1:6" x14ac:dyDescent="0.3">
      <c r="A729" s="28" t="s">
        <v>770</v>
      </c>
      <c r="B729" s="43" t="s">
        <v>3420</v>
      </c>
      <c r="C729" s="23">
        <f>VLOOKUP(A729,'[11]Linea Industria'!$A$6:$G$1020,4,FALSE)</f>
        <v>15.98</v>
      </c>
      <c r="D729" s="23">
        <f>VLOOKUP(A729,'[11]Linea Industria'!$A$6:$G$1020,5,FALSE)</f>
        <v>18.059999999999999</v>
      </c>
      <c r="E729" s="23">
        <f>VLOOKUP(A729,'[11]Linea Industria'!$A$6:$G$1020,6,FALSE)</f>
        <v>19.03</v>
      </c>
      <c r="F729" s="23">
        <f>VLOOKUP(A729,'[11]Linea Industria'!$A$6:$G$1020,7,FALSE)</f>
        <v>21.5</v>
      </c>
    </row>
    <row r="730" spans="1:6" x14ac:dyDescent="0.3">
      <c r="A730" s="28" t="s">
        <v>771</v>
      </c>
      <c r="B730" s="43" t="s">
        <v>3421</v>
      </c>
      <c r="C730" s="23">
        <f>VLOOKUP(A730,'[11]Linea Industria'!$A$6:$G$1020,4,FALSE)</f>
        <v>15.98</v>
      </c>
      <c r="D730" s="23">
        <f>VLOOKUP(A730,'[11]Linea Industria'!$A$6:$G$1020,5,FALSE)</f>
        <v>18.059999999999999</v>
      </c>
      <c r="E730" s="23">
        <f>VLOOKUP(A730,'[11]Linea Industria'!$A$6:$G$1020,6,FALSE)</f>
        <v>19.03</v>
      </c>
      <c r="F730" s="23">
        <f>VLOOKUP(A730,'[11]Linea Industria'!$A$6:$G$1020,7,FALSE)</f>
        <v>21.5</v>
      </c>
    </row>
    <row r="731" spans="1:6" x14ac:dyDescent="0.3">
      <c r="A731" s="28" t="s">
        <v>772</v>
      </c>
      <c r="B731" s="43" t="s">
        <v>3422</v>
      </c>
      <c r="C731" s="23">
        <f>VLOOKUP(A731,'[11]Linea Industria'!$A$6:$G$1020,4,FALSE)</f>
        <v>15.98</v>
      </c>
      <c r="D731" s="23">
        <f>VLOOKUP(A731,'[11]Linea Industria'!$A$6:$G$1020,5,FALSE)</f>
        <v>18.059999999999999</v>
      </c>
      <c r="E731" s="23">
        <f>VLOOKUP(A731,'[11]Linea Industria'!$A$6:$G$1020,6,FALSE)</f>
        <v>19.03</v>
      </c>
      <c r="F731" s="23">
        <f>VLOOKUP(A731,'[11]Linea Industria'!$A$6:$G$1020,7,FALSE)</f>
        <v>21.5</v>
      </c>
    </row>
    <row r="732" spans="1:6" x14ac:dyDescent="0.3">
      <c r="A732" s="28" t="s">
        <v>773</v>
      </c>
      <c r="B732" s="43" t="s">
        <v>3423</v>
      </c>
      <c r="C732" s="23">
        <f>VLOOKUP(A732,'[11]Linea Industria'!$A$6:$G$1020,4,FALSE)</f>
        <v>15.98</v>
      </c>
      <c r="D732" s="23">
        <f>VLOOKUP(A732,'[11]Linea Industria'!$A$6:$G$1020,5,FALSE)</f>
        <v>18.059999999999999</v>
      </c>
      <c r="E732" s="23">
        <f>VLOOKUP(A732,'[11]Linea Industria'!$A$6:$G$1020,6,FALSE)</f>
        <v>19.03</v>
      </c>
      <c r="F732" s="23">
        <f>VLOOKUP(A732,'[11]Linea Industria'!$A$6:$G$1020,7,FALSE)</f>
        <v>21.5</v>
      </c>
    </row>
    <row r="733" spans="1:6" x14ac:dyDescent="0.3">
      <c r="A733" s="26" t="s">
        <v>774</v>
      </c>
      <c r="B733" s="43" t="s">
        <v>3419</v>
      </c>
      <c r="C733" s="23">
        <f>VLOOKUP(A733,'[11]Linea Industria'!$A$6:$G$1020,4,FALSE)</f>
        <v>66.900000000000006</v>
      </c>
      <c r="D733" s="23">
        <f>VLOOKUP(A733,'[11]Linea Industria'!$A$6:$G$1020,5,FALSE)</f>
        <v>75.599999999999994</v>
      </c>
      <c r="E733" s="23">
        <f>VLOOKUP(A733,'[11]Linea Industria'!$A$6:$G$1020,6,FALSE)</f>
        <v>79.650000000000006</v>
      </c>
      <c r="F733" s="23">
        <f>VLOOKUP(A733,'[11]Linea Industria'!$A$6:$G$1020,7,FALSE)</f>
        <v>90</v>
      </c>
    </row>
    <row r="734" spans="1:6" x14ac:dyDescent="0.3">
      <c r="A734" s="26" t="s">
        <v>775</v>
      </c>
      <c r="B734" s="43" t="s">
        <v>3420</v>
      </c>
      <c r="C734" s="23">
        <f>VLOOKUP(A734,'[11]Linea Industria'!$A$6:$G$1020,4,FALSE)</f>
        <v>66.900000000000006</v>
      </c>
      <c r="D734" s="23">
        <f>VLOOKUP(A734,'[11]Linea Industria'!$A$6:$G$1020,5,FALSE)</f>
        <v>75.599999999999994</v>
      </c>
      <c r="E734" s="23">
        <f>VLOOKUP(A734,'[11]Linea Industria'!$A$6:$G$1020,6,FALSE)</f>
        <v>79.650000000000006</v>
      </c>
      <c r="F734" s="23">
        <f>VLOOKUP(A734,'[11]Linea Industria'!$A$6:$G$1020,7,FALSE)</f>
        <v>90</v>
      </c>
    </row>
    <row r="735" spans="1:6" x14ac:dyDescent="0.3">
      <c r="A735" s="26" t="s">
        <v>776</v>
      </c>
      <c r="B735" s="43" t="s">
        <v>3421</v>
      </c>
      <c r="C735" s="23">
        <f>VLOOKUP(A735,'[11]Linea Industria'!$A$6:$G$1020,4,FALSE)</f>
        <v>66.900000000000006</v>
      </c>
      <c r="D735" s="23">
        <f>VLOOKUP(A735,'[11]Linea Industria'!$A$6:$G$1020,5,FALSE)</f>
        <v>75.599999999999994</v>
      </c>
      <c r="E735" s="23">
        <f>VLOOKUP(A735,'[11]Linea Industria'!$A$6:$G$1020,6,FALSE)</f>
        <v>79.650000000000006</v>
      </c>
      <c r="F735" s="23">
        <f>VLOOKUP(A735,'[11]Linea Industria'!$A$6:$G$1020,7,FALSE)</f>
        <v>90</v>
      </c>
    </row>
    <row r="736" spans="1:6" x14ac:dyDescent="0.3">
      <c r="A736" s="26" t="s">
        <v>777</v>
      </c>
      <c r="B736" s="43" t="s">
        <v>3422</v>
      </c>
      <c r="C736" s="23">
        <f>VLOOKUP(A736,'[11]Linea Industria'!$A$6:$G$1020,4,FALSE)</f>
        <v>66.900000000000006</v>
      </c>
      <c r="D736" s="23">
        <f>VLOOKUP(A736,'[11]Linea Industria'!$A$6:$G$1020,5,FALSE)</f>
        <v>75.599999999999994</v>
      </c>
      <c r="E736" s="23">
        <f>VLOOKUP(A736,'[11]Linea Industria'!$A$6:$G$1020,6,FALSE)</f>
        <v>79.650000000000006</v>
      </c>
      <c r="F736" s="23">
        <f>VLOOKUP(A736,'[11]Linea Industria'!$A$6:$G$1020,7,FALSE)</f>
        <v>90</v>
      </c>
    </row>
    <row r="737" spans="1:6" x14ac:dyDescent="0.3">
      <c r="A737" s="26" t="s">
        <v>778</v>
      </c>
      <c r="B737" s="43" t="s">
        <v>3423</v>
      </c>
      <c r="C737" s="23">
        <f>VLOOKUP(A737,'[11]Linea Industria'!$A$6:$G$1020,4,FALSE)</f>
        <v>66.900000000000006</v>
      </c>
      <c r="D737" s="23">
        <f>VLOOKUP(A737,'[11]Linea Industria'!$A$6:$G$1020,5,FALSE)</f>
        <v>75.599999999999994</v>
      </c>
      <c r="E737" s="23">
        <f>VLOOKUP(A737,'[11]Linea Industria'!$A$6:$G$1020,6,FALSE)</f>
        <v>79.650000000000006</v>
      </c>
      <c r="F737" s="23">
        <f>VLOOKUP(A737,'[11]Linea Industria'!$A$6:$G$1020,7,FALSE)</f>
        <v>90</v>
      </c>
    </row>
    <row r="738" spans="1:6" x14ac:dyDescent="0.3">
      <c r="A738" s="26" t="s">
        <v>779</v>
      </c>
      <c r="B738" s="43" t="s">
        <v>780</v>
      </c>
      <c r="C738" s="23">
        <f>VLOOKUP(A738,'[11]Linea Industria'!$A$6:$G$1020,4,FALSE)</f>
        <v>3.94</v>
      </c>
      <c r="D738" s="23">
        <f>VLOOKUP(A738,'[11]Linea Industria'!$A$6:$G$1020,5,FALSE)</f>
        <v>4.45</v>
      </c>
      <c r="E738" s="23">
        <f>VLOOKUP(A738,'[11]Linea Industria'!$A$6:$G$1020,6,FALSE)</f>
        <v>4.6900000000000004</v>
      </c>
      <c r="F738" s="23">
        <f>VLOOKUP(A738,'[11]Linea Industria'!$A$6:$G$1020,7,FALSE)</f>
        <v>5.3</v>
      </c>
    </row>
    <row r="739" spans="1:6" x14ac:dyDescent="0.3">
      <c r="A739" s="26" t="s">
        <v>781</v>
      </c>
      <c r="B739" s="43" t="s">
        <v>782</v>
      </c>
      <c r="C739" s="23">
        <f>VLOOKUP(A739,'[11]Linea Industria'!$A$6:$G$1020,4,FALSE)</f>
        <v>3.94</v>
      </c>
      <c r="D739" s="23">
        <f>VLOOKUP(A739,'[11]Linea Industria'!$A$6:$G$1020,5,FALSE)</f>
        <v>4.45</v>
      </c>
      <c r="E739" s="23">
        <f>VLOOKUP(A739,'[11]Linea Industria'!$A$6:$G$1020,6,FALSE)</f>
        <v>4.6900000000000004</v>
      </c>
      <c r="F739" s="23">
        <f>VLOOKUP(A739,'[11]Linea Industria'!$A$6:$G$1020,7,FALSE)</f>
        <v>5.3</v>
      </c>
    </row>
    <row r="740" spans="1:6" x14ac:dyDescent="0.3">
      <c r="A740" s="26" t="s">
        <v>783</v>
      </c>
      <c r="B740" s="43" t="s">
        <v>784</v>
      </c>
      <c r="C740" s="23">
        <f>VLOOKUP(A740,'[11]Linea Industria'!$A$6:$G$1020,4,FALSE)</f>
        <v>3.94</v>
      </c>
      <c r="D740" s="23">
        <f>VLOOKUP(A740,'[11]Linea Industria'!$A$6:$G$1020,5,FALSE)</f>
        <v>4.45</v>
      </c>
      <c r="E740" s="23">
        <f>VLOOKUP(A740,'[11]Linea Industria'!$A$6:$G$1020,6,FALSE)</f>
        <v>4.6900000000000004</v>
      </c>
      <c r="F740" s="23">
        <f>VLOOKUP(A740,'[11]Linea Industria'!$A$6:$G$1020,7,FALSE)</f>
        <v>5.3</v>
      </c>
    </row>
    <row r="741" spans="1:6" x14ac:dyDescent="0.3">
      <c r="A741" s="26" t="s">
        <v>785</v>
      </c>
      <c r="B741" s="43" t="s">
        <v>786</v>
      </c>
      <c r="C741" s="23">
        <f>VLOOKUP(A741,'[11]Linea Industria'!$A$6:$G$1020,4,FALSE)</f>
        <v>3.94</v>
      </c>
      <c r="D741" s="23">
        <f>VLOOKUP(A741,'[11]Linea Industria'!$A$6:$G$1020,5,FALSE)</f>
        <v>4.45</v>
      </c>
      <c r="E741" s="23">
        <f>VLOOKUP(A741,'[11]Linea Industria'!$A$6:$G$1020,6,FALSE)</f>
        <v>4.6900000000000004</v>
      </c>
      <c r="F741" s="23">
        <f>VLOOKUP(A741,'[11]Linea Industria'!$A$6:$G$1020,7,FALSE)</f>
        <v>5.3</v>
      </c>
    </row>
    <row r="742" spans="1:6" x14ac:dyDescent="0.3">
      <c r="A742" s="26" t="s">
        <v>787</v>
      </c>
      <c r="B742" s="43" t="s">
        <v>788</v>
      </c>
      <c r="C742" s="23">
        <f>VLOOKUP(A742,'[11]Linea Industria'!$A$6:$G$1020,4,FALSE)</f>
        <v>3.94</v>
      </c>
      <c r="D742" s="23">
        <f>VLOOKUP(A742,'[11]Linea Industria'!$A$6:$G$1020,5,FALSE)</f>
        <v>4.45</v>
      </c>
      <c r="E742" s="23">
        <f>VLOOKUP(A742,'[11]Linea Industria'!$A$6:$G$1020,6,FALSE)</f>
        <v>4.6900000000000004</v>
      </c>
      <c r="F742" s="23">
        <f>VLOOKUP(A742,'[11]Linea Industria'!$A$6:$G$1020,7,FALSE)</f>
        <v>5.3</v>
      </c>
    </row>
    <row r="743" spans="1:6" x14ac:dyDescent="0.3">
      <c r="A743" s="26" t="s">
        <v>789</v>
      </c>
      <c r="B743" s="43" t="s">
        <v>790</v>
      </c>
      <c r="C743" s="23">
        <f>VLOOKUP(A743,'[11]Linea Industria'!$A$6:$G$1020,4,FALSE)</f>
        <v>3.94</v>
      </c>
      <c r="D743" s="23">
        <f>VLOOKUP(A743,'[11]Linea Industria'!$A$6:$G$1020,5,FALSE)</f>
        <v>4.45</v>
      </c>
      <c r="E743" s="23">
        <f>VLOOKUP(A743,'[11]Linea Industria'!$A$6:$G$1020,6,FALSE)</f>
        <v>4.6900000000000004</v>
      </c>
      <c r="F743" s="23">
        <f>VLOOKUP(A743,'[11]Linea Industria'!$A$6:$G$1020,7,FALSE)</f>
        <v>5.3</v>
      </c>
    </row>
    <row r="744" spans="1:6" x14ac:dyDescent="0.3">
      <c r="A744" s="26" t="s">
        <v>791</v>
      </c>
      <c r="B744" s="43" t="s">
        <v>792</v>
      </c>
      <c r="C744" s="23">
        <f>VLOOKUP(A744,'[11]Linea Industria'!$A$6:$G$1020,4,FALSE)</f>
        <v>3.94</v>
      </c>
      <c r="D744" s="23">
        <f>VLOOKUP(A744,'[11]Linea Industria'!$A$6:$G$1020,5,FALSE)</f>
        <v>4.45</v>
      </c>
      <c r="E744" s="23">
        <f>VLOOKUP(A744,'[11]Linea Industria'!$A$6:$G$1020,6,FALSE)</f>
        <v>4.6900000000000004</v>
      </c>
      <c r="F744" s="23">
        <f>VLOOKUP(A744,'[11]Linea Industria'!$A$6:$G$1020,7,FALSE)</f>
        <v>5.3</v>
      </c>
    </row>
    <row r="745" spans="1:6" x14ac:dyDescent="0.3">
      <c r="A745" s="26" t="s">
        <v>793</v>
      </c>
      <c r="B745" s="43" t="s">
        <v>794</v>
      </c>
      <c r="C745" s="23">
        <f>VLOOKUP(A745,'[11]Linea Industria'!$A$6:$G$1020,4,FALSE)</f>
        <v>3.94</v>
      </c>
      <c r="D745" s="23">
        <f>VLOOKUP(A745,'[11]Linea Industria'!$A$6:$G$1020,5,FALSE)</f>
        <v>4.45</v>
      </c>
      <c r="E745" s="23">
        <f>VLOOKUP(A745,'[11]Linea Industria'!$A$6:$G$1020,6,FALSE)</f>
        <v>4.6900000000000004</v>
      </c>
      <c r="F745" s="23">
        <f>VLOOKUP(A745,'[11]Linea Industria'!$A$6:$G$1020,7,FALSE)</f>
        <v>5.3</v>
      </c>
    </row>
    <row r="746" spans="1:6" x14ac:dyDescent="0.3">
      <c r="A746" s="26" t="s">
        <v>795</v>
      </c>
      <c r="B746" s="43" t="s">
        <v>780</v>
      </c>
      <c r="C746" s="23">
        <f>VLOOKUP(A746,'[11]Linea Industria'!$A$6:$G$1020,4,FALSE)</f>
        <v>13.01</v>
      </c>
      <c r="D746" s="23">
        <f>VLOOKUP(A746,'[11]Linea Industria'!$A$6:$G$1020,5,FALSE)</f>
        <v>14.7</v>
      </c>
      <c r="E746" s="23">
        <f>VLOOKUP(A746,'[11]Linea Industria'!$A$6:$G$1020,6,FALSE)</f>
        <v>15.49</v>
      </c>
      <c r="F746" s="23">
        <f>VLOOKUP(A746,'[11]Linea Industria'!$A$6:$G$1020,7,FALSE)</f>
        <v>17.5</v>
      </c>
    </row>
    <row r="747" spans="1:6" x14ac:dyDescent="0.3">
      <c r="A747" s="26" t="s">
        <v>796</v>
      </c>
      <c r="B747" s="43" t="s">
        <v>782</v>
      </c>
      <c r="C747" s="23">
        <f>VLOOKUP(A747,'[11]Linea Industria'!$A$6:$G$1020,4,FALSE)</f>
        <v>13.01</v>
      </c>
      <c r="D747" s="23">
        <f>VLOOKUP(A747,'[11]Linea Industria'!$A$6:$G$1020,5,FALSE)</f>
        <v>14.7</v>
      </c>
      <c r="E747" s="23">
        <f>VLOOKUP(A747,'[11]Linea Industria'!$A$6:$G$1020,6,FALSE)</f>
        <v>15.49</v>
      </c>
      <c r="F747" s="23">
        <f>VLOOKUP(A747,'[11]Linea Industria'!$A$6:$G$1020,7,FALSE)</f>
        <v>17.5</v>
      </c>
    </row>
    <row r="748" spans="1:6" x14ac:dyDescent="0.3">
      <c r="A748" s="26" t="s">
        <v>797</v>
      </c>
      <c r="B748" s="43" t="s">
        <v>784</v>
      </c>
      <c r="C748" s="23">
        <f>VLOOKUP(A748,'[11]Linea Industria'!$A$6:$G$1020,4,FALSE)</f>
        <v>13.01</v>
      </c>
      <c r="D748" s="23">
        <f>VLOOKUP(A748,'[11]Linea Industria'!$A$6:$G$1020,5,FALSE)</f>
        <v>14.7</v>
      </c>
      <c r="E748" s="23">
        <f>VLOOKUP(A748,'[11]Linea Industria'!$A$6:$G$1020,6,FALSE)</f>
        <v>15.49</v>
      </c>
      <c r="F748" s="23">
        <f>VLOOKUP(A748,'[11]Linea Industria'!$A$6:$G$1020,7,FALSE)</f>
        <v>17.5</v>
      </c>
    </row>
    <row r="749" spans="1:6" x14ac:dyDescent="0.3">
      <c r="A749" s="26" t="s">
        <v>798</v>
      </c>
      <c r="B749" s="43" t="s">
        <v>786</v>
      </c>
      <c r="C749" s="23">
        <f>VLOOKUP(A749,'[11]Linea Industria'!$A$6:$G$1020,4,FALSE)</f>
        <v>13.01</v>
      </c>
      <c r="D749" s="23">
        <f>VLOOKUP(A749,'[11]Linea Industria'!$A$6:$G$1020,5,FALSE)</f>
        <v>14.7</v>
      </c>
      <c r="E749" s="23">
        <f>VLOOKUP(A749,'[11]Linea Industria'!$A$6:$G$1020,6,FALSE)</f>
        <v>15.49</v>
      </c>
      <c r="F749" s="23">
        <f>VLOOKUP(A749,'[11]Linea Industria'!$A$6:$G$1020,7,FALSE)</f>
        <v>17.5</v>
      </c>
    </row>
    <row r="750" spans="1:6" x14ac:dyDescent="0.3">
      <c r="A750" s="26" t="s">
        <v>799</v>
      </c>
      <c r="B750" s="43" t="s">
        <v>788</v>
      </c>
      <c r="C750" s="23">
        <f>VLOOKUP(A750,'[11]Linea Industria'!$A$6:$G$1020,4,FALSE)</f>
        <v>13.01</v>
      </c>
      <c r="D750" s="23">
        <f>VLOOKUP(A750,'[11]Linea Industria'!$A$6:$G$1020,5,FALSE)</f>
        <v>14.7</v>
      </c>
      <c r="E750" s="23">
        <f>VLOOKUP(A750,'[11]Linea Industria'!$A$6:$G$1020,6,FALSE)</f>
        <v>15.49</v>
      </c>
      <c r="F750" s="23">
        <f>VLOOKUP(A750,'[11]Linea Industria'!$A$6:$G$1020,7,FALSE)</f>
        <v>17.5</v>
      </c>
    </row>
    <row r="751" spans="1:6" x14ac:dyDescent="0.3">
      <c r="A751" s="26" t="s">
        <v>800</v>
      </c>
      <c r="B751" s="43" t="s">
        <v>790</v>
      </c>
      <c r="C751" s="23">
        <f>VLOOKUP(A751,'[11]Linea Industria'!$A$6:$G$1020,4,FALSE)</f>
        <v>13.01</v>
      </c>
      <c r="D751" s="23">
        <f>VLOOKUP(A751,'[11]Linea Industria'!$A$6:$G$1020,5,FALSE)</f>
        <v>14.7</v>
      </c>
      <c r="E751" s="23">
        <f>VLOOKUP(A751,'[11]Linea Industria'!$A$6:$G$1020,6,FALSE)</f>
        <v>15.49</v>
      </c>
      <c r="F751" s="23">
        <f>VLOOKUP(A751,'[11]Linea Industria'!$A$6:$G$1020,7,FALSE)</f>
        <v>17.5</v>
      </c>
    </row>
    <row r="752" spans="1:6" x14ac:dyDescent="0.3">
      <c r="A752" s="26" t="s">
        <v>801</v>
      </c>
      <c r="B752" s="43" t="s">
        <v>792</v>
      </c>
      <c r="C752" s="23">
        <f>VLOOKUP(A752,'[11]Linea Industria'!$A$6:$G$1020,4,FALSE)</f>
        <v>13.01</v>
      </c>
      <c r="D752" s="23">
        <f>VLOOKUP(A752,'[11]Linea Industria'!$A$6:$G$1020,5,FALSE)</f>
        <v>14.7</v>
      </c>
      <c r="E752" s="23">
        <f>VLOOKUP(A752,'[11]Linea Industria'!$A$6:$G$1020,6,FALSE)</f>
        <v>15.49</v>
      </c>
      <c r="F752" s="23">
        <f>VLOOKUP(A752,'[11]Linea Industria'!$A$6:$G$1020,7,FALSE)</f>
        <v>17.5</v>
      </c>
    </row>
    <row r="753" spans="1:6" x14ac:dyDescent="0.3">
      <c r="A753" s="26" t="s">
        <v>802</v>
      </c>
      <c r="B753" s="43" t="s">
        <v>794</v>
      </c>
      <c r="C753" s="23">
        <f>VLOOKUP(A753,'[11]Linea Industria'!$A$6:$G$1020,4,FALSE)</f>
        <v>13.01</v>
      </c>
      <c r="D753" s="23">
        <f>VLOOKUP(A753,'[11]Linea Industria'!$A$6:$G$1020,5,FALSE)</f>
        <v>14.7</v>
      </c>
      <c r="E753" s="23">
        <f>VLOOKUP(A753,'[11]Linea Industria'!$A$6:$G$1020,6,FALSE)</f>
        <v>15.49</v>
      </c>
      <c r="F753" s="23">
        <f>VLOOKUP(A753,'[11]Linea Industria'!$A$6:$G$1020,7,FALSE)</f>
        <v>17.5</v>
      </c>
    </row>
    <row r="754" spans="1:6" x14ac:dyDescent="0.3">
      <c r="A754" s="28" t="s">
        <v>803</v>
      </c>
      <c r="B754" s="43" t="s">
        <v>780</v>
      </c>
      <c r="C754" s="23">
        <f>VLOOKUP(A754,'[11]Linea Industria'!$A$6:$G$1020,4,FALSE)</f>
        <v>56.42</v>
      </c>
      <c r="D754" s="23">
        <f>VLOOKUP(A754,'[11]Linea Industria'!$A$6:$G$1020,5,FALSE)</f>
        <v>63.76</v>
      </c>
      <c r="E754" s="23">
        <f>VLOOKUP(A754,'[11]Linea Industria'!$A$6:$G$1020,6,FALSE)</f>
        <v>67.17</v>
      </c>
      <c r="F754" s="23">
        <f>VLOOKUP(A754,'[11]Linea Industria'!$A$6:$G$1020,7,FALSE)</f>
        <v>75.900000000000006</v>
      </c>
    </row>
    <row r="755" spans="1:6" x14ac:dyDescent="0.3">
      <c r="A755" s="28" t="s">
        <v>804</v>
      </c>
      <c r="B755" s="43" t="s">
        <v>782</v>
      </c>
      <c r="C755" s="23">
        <f>VLOOKUP(A755,'[11]Linea Industria'!$A$6:$G$1020,4,FALSE)</f>
        <v>56.42</v>
      </c>
      <c r="D755" s="23">
        <f>VLOOKUP(A755,'[11]Linea Industria'!$A$6:$G$1020,5,FALSE)</f>
        <v>63.76</v>
      </c>
      <c r="E755" s="23">
        <f>VLOOKUP(A755,'[11]Linea Industria'!$A$6:$G$1020,6,FALSE)</f>
        <v>67.17</v>
      </c>
      <c r="F755" s="23">
        <f>VLOOKUP(A755,'[11]Linea Industria'!$A$6:$G$1020,7,FALSE)</f>
        <v>75.900000000000006</v>
      </c>
    </row>
    <row r="756" spans="1:6" x14ac:dyDescent="0.3">
      <c r="A756" s="28" t="s">
        <v>805</v>
      </c>
      <c r="B756" s="43" t="s">
        <v>784</v>
      </c>
      <c r="C756" s="23">
        <f>VLOOKUP(A756,'[11]Linea Industria'!$A$6:$G$1020,4,FALSE)</f>
        <v>56.42</v>
      </c>
      <c r="D756" s="23">
        <f>VLOOKUP(A756,'[11]Linea Industria'!$A$6:$G$1020,5,FALSE)</f>
        <v>63.76</v>
      </c>
      <c r="E756" s="23">
        <f>VLOOKUP(A756,'[11]Linea Industria'!$A$6:$G$1020,6,FALSE)</f>
        <v>67.17</v>
      </c>
      <c r="F756" s="23">
        <f>VLOOKUP(A756,'[11]Linea Industria'!$A$6:$G$1020,7,FALSE)</f>
        <v>75.900000000000006</v>
      </c>
    </row>
    <row r="757" spans="1:6" x14ac:dyDescent="0.3">
      <c r="A757" s="28" t="s">
        <v>806</v>
      </c>
      <c r="B757" s="43" t="s">
        <v>790</v>
      </c>
      <c r="C757" s="23">
        <f>VLOOKUP(A757,'[11]Linea Industria'!$A$6:$G$1020,4,FALSE)</f>
        <v>56.42</v>
      </c>
      <c r="D757" s="23">
        <f>VLOOKUP(A757,'[11]Linea Industria'!$A$6:$G$1020,5,FALSE)</f>
        <v>63.76</v>
      </c>
      <c r="E757" s="23">
        <f>VLOOKUP(A757,'[11]Linea Industria'!$A$6:$G$1020,6,FALSE)</f>
        <v>67.17</v>
      </c>
      <c r="F757" s="23">
        <f>VLOOKUP(A757,'[11]Linea Industria'!$A$6:$G$1020,7,FALSE)</f>
        <v>75.900000000000006</v>
      </c>
    </row>
    <row r="758" spans="1:6" x14ac:dyDescent="0.3">
      <c r="A758" s="28" t="s">
        <v>807</v>
      </c>
      <c r="B758" s="43" t="s">
        <v>792</v>
      </c>
      <c r="C758" s="23">
        <f>VLOOKUP(A758,'[11]Linea Industria'!$A$6:$G$1020,4,FALSE)</f>
        <v>56.42</v>
      </c>
      <c r="D758" s="23">
        <f>VLOOKUP(A758,'[11]Linea Industria'!$A$6:$G$1020,5,FALSE)</f>
        <v>63.76</v>
      </c>
      <c r="E758" s="23">
        <f>VLOOKUP(A758,'[11]Linea Industria'!$A$6:$G$1020,6,FALSE)</f>
        <v>67.17</v>
      </c>
      <c r="F758" s="23">
        <f>VLOOKUP(A758,'[11]Linea Industria'!$A$6:$G$1020,7,FALSE)</f>
        <v>75.900000000000006</v>
      </c>
    </row>
    <row r="759" spans="1:6" x14ac:dyDescent="0.3">
      <c r="A759" s="28" t="s">
        <v>808</v>
      </c>
      <c r="B759" s="43" t="s">
        <v>815</v>
      </c>
      <c r="C759" s="23">
        <f>VLOOKUP(A759,'[11]Linea Industria'!$A$6:$G$1020,4,FALSE)</f>
        <v>8.2200000000000006</v>
      </c>
      <c r="D759" s="23">
        <f>VLOOKUP(A759,'[11]Linea Industria'!$A$6:$G$1020,5,FALSE)</f>
        <v>9.2899999999999991</v>
      </c>
      <c r="E759" s="23">
        <f>VLOOKUP(A759,'[11]Linea Industria'!$A$6:$G$1020,6,FALSE)</f>
        <v>11.42</v>
      </c>
      <c r="F759" s="23">
        <f>VLOOKUP(A759,'[11]Linea Industria'!$A$6:$G$1020,7,FALSE)</f>
        <v>12.9</v>
      </c>
    </row>
    <row r="760" spans="1:6" x14ac:dyDescent="0.3">
      <c r="A760" s="28" t="s">
        <v>809</v>
      </c>
      <c r="B760" s="43" t="s">
        <v>3424</v>
      </c>
      <c r="C760" s="23">
        <f>VLOOKUP(A760,'[11]Linea Industria'!$A$6:$G$1020,4,FALSE)</f>
        <v>8.2200000000000006</v>
      </c>
      <c r="D760" s="23">
        <f>VLOOKUP(A760,'[11]Linea Industria'!$A$6:$G$1020,5,FALSE)</f>
        <v>9.2899999999999991</v>
      </c>
      <c r="E760" s="23">
        <f>VLOOKUP(A760,'[11]Linea Industria'!$A$6:$G$1020,6,FALSE)</f>
        <v>11.42</v>
      </c>
      <c r="F760" s="23">
        <f>VLOOKUP(A760,'[11]Linea Industria'!$A$6:$G$1020,7,FALSE)</f>
        <v>12.9</v>
      </c>
    </row>
    <row r="761" spans="1:6" x14ac:dyDescent="0.3">
      <c r="A761" s="28" t="s">
        <v>810</v>
      </c>
      <c r="B761" s="43" t="s">
        <v>820</v>
      </c>
      <c r="C761" s="23">
        <f>VLOOKUP(A761,'[11]Linea Industria'!$A$6:$G$1020,4,FALSE)</f>
        <v>8.2200000000000006</v>
      </c>
      <c r="D761" s="23">
        <f>VLOOKUP(A761,'[11]Linea Industria'!$A$6:$G$1020,5,FALSE)</f>
        <v>9.2899999999999991</v>
      </c>
      <c r="E761" s="23">
        <f>VLOOKUP(A761,'[11]Linea Industria'!$A$6:$G$1020,6,FALSE)</f>
        <v>11.42</v>
      </c>
      <c r="F761" s="23">
        <f>VLOOKUP(A761,'[11]Linea Industria'!$A$6:$G$1020,7,FALSE)</f>
        <v>12.9</v>
      </c>
    </row>
    <row r="762" spans="1:6" x14ac:dyDescent="0.3">
      <c r="A762" s="28" t="s">
        <v>811</v>
      </c>
      <c r="B762" s="43" t="s">
        <v>822</v>
      </c>
      <c r="C762" s="23">
        <f>VLOOKUP(A762,'[11]Linea Industria'!$A$6:$G$1020,4,FALSE)</f>
        <v>8.2200000000000006</v>
      </c>
      <c r="D762" s="23">
        <f>VLOOKUP(A762,'[11]Linea Industria'!$A$6:$G$1020,5,FALSE)</f>
        <v>9.2899999999999991</v>
      </c>
      <c r="E762" s="23">
        <f>VLOOKUP(A762,'[11]Linea Industria'!$A$6:$G$1020,6,FALSE)</f>
        <v>11.42</v>
      </c>
      <c r="F762" s="23">
        <f>VLOOKUP(A762,'[11]Linea Industria'!$A$6:$G$1020,7,FALSE)</f>
        <v>12.9</v>
      </c>
    </row>
    <row r="763" spans="1:6" x14ac:dyDescent="0.3">
      <c r="A763" s="28" t="s">
        <v>812</v>
      </c>
      <c r="B763" s="43" t="s">
        <v>824</v>
      </c>
      <c r="C763" s="23">
        <f>VLOOKUP(A763,'[11]Linea Industria'!$A$6:$G$1020,4,FALSE)</f>
        <v>8.2200000000000006</v>
      </c>
      <c r="D763" s="23">
        <f>VLOOKUP(A763,'[11]Linea Industria'!$A$6:$G$1020,5,FALSE)</f>
        <v>9.2899999999999991</v>
      </c>
      <c r="E763" s="23">
        <f>VLOOKUP(A763,'[11]Linea Industria'!$A$6:$G$1020,6,FALSE)</f>
        <v>11.42</v>
      </c>
      <c r="F763" s="23">
        <f>VLOOKUP(A763,'[11]Linea Industria'!$A$6:$G$1020,7,FALSE)</f>
        <v>12.9</v>
      </c>
    </row>
    <row r="764" spans="1:6" x14ac:dyDescent="0.3">
      <c r="A764" s="28" t="s">
        <v>813</v>
      </c>
      <c r="B764" s="43" t="s">
        <v>826</v>
      </c>
      <c r="C764" s="23">
        <f>VLOOKUP(A764,'[11]Linea Industria'!$A$6:$G$1020,4,FALSE)</f>
        <v>8.2200000000000006</v>
      </c>
      <c r="D764" s="23">
        <f>VLOOKUP(A764,'[11]Linea Industria'!$A$6:$G$1020,5,FALSE)</f>
        <v>9.2899999999999991</v>
      </c>
      <c r="E764" s="23">
        <f>VLOOKUP(A764,'[11]Linea Industria'!$A$6:$G$1020,6,FALSE)</f>
        <v>11.42</v>
      </c>
      <c r="F764" s="23">
        <f>VLOOKUP(A764,'[11]Linea Industria'!$A$6:$G$1020,7,FALSE)</f>
        <v>12.9</v>
      </c>
    </row>
    <row r="765" spans="1:6" x14ac:dyDescent="0.3">
      <c r="A765" s="28" t="s">
        <v>814</v>
      </c>
      <c r="B765" s="43" t="s">
        <v>815</v>
      </c>
      <c r="C765" s="23">
        <f>VLOOKUP(A765,'[11]Linea Industria'!$A$6:$G$1020,4,FALSE)</f>
        <v>27.34</v>
      </c>
      <c r="D765" s="23">
        <f>VLOOKUP(A765,'[11]Linea Industria'!$A$6:$G$1020,5,FALSE)</f>
        <v>30.89</v>
      </c>
      <c r="E765" s="23">
        <f>VLOOKUP(A765,'[11]Linea Industria'!$A$6:$G$1020,6,FALSE)</f>
        <v>37.96</v>
      </c>
      <c r="F765" s="23">
        <f>VLOOKUP(A765,'[11]Linea Industria'!$A$6:$G$1020,7,FALSE)</f>
        <v>42.9</v>
      </c>
    </row>
    <row r="766" spans="1:6" x14ac:dyDescent="0.3">
      <c r="A766" s="28" t="s">
        <v>816</v>
      </c>
      <c r="B766" s="43" t="s">
        <v>817</v>
      </c>
      <c r="C766" s="23">
        <f>VLOOKUP(A766,'[11]Linea Industria'!$A$6:$G$1020,4,FALSE)</f>
        <v>27.34</v>
      </c>
      <c r="D766" s="23">
        <f>VLOOKUP(A766,'[11]Linea Industria'!$A$6:$G$1020,5,FALSE)</f>
        <v>30.89</v>
      </c>
      <c r="E766" s="23">
        <f>VLOOKUP(A766,'[11]Linea Industria'!$A$6:$G$1020,6,FALSE)</f>
        <v>37.96</v>
      </c>
      <c r="F766" s="23">
        <f>VLOOKUP(A766,'[11]Linea Industria'!$A$6:$G$1020,7,FALSE)</f>
        <v>42.9</v>
      </c>
    </row>
    <row r="767" spans="1:6" x14ac:dyDescent="0.3">
      <c r="A767" s="28" t="s">
        <v>818</v>
      </c>
      <c r="B767" s="43" t="s">
        <v>3424</v>
      </c>
      <c r="C767" s="23">
        <f>VLOOKUP(A767,'[11]Linea Industria'!$A$6:$G$1020,4,FALSE)</f>
        <v>27.34</v>
      </c>
      <c r="D767" s="23">
        <f>VLOOKUP(A767,'[11]Linea Industria'!$A$6:$G$1020,5,FALSE)</f>
        <v>30.89</v>
      </c>
      <c r="E767" s="23">
        <f>VLOOKUP(A767,'[11]Linea Industria'!$A$6:$G$1020,6,FALSE)</f>
        <v>37.96</v>
      </c>
      <c r="F767" s="23">
        <f>VLOOKUP(A767,'[11]Linea Industria'!$A$6:$G$1020,7,FALSE)</f>
        <v>42.9</v>
      </c>
    </row>
    <row r="768" spans="1:6" x14ac:dyDescent="0.3">
      <c r="A768" s="28" t="s">
        <v>819</v>
      </c>
      <c r="B768" s="43" t="s">
        <v>820</v>
      </c>
      <c r="C768" s="23">
        <f>VLOOKUP(A768,'[11]Linea Industria'!$A$6:$G$1020,4,FALSE)</f>
        <v>27.34</v>
      </c>
      <c r="D768" s="23">
        <f>VLOOKUP(A768,'[11]Linea Industria'!$A$6:$G$1020,5,FALSE)</f>
        <v>30.89</v>
      </c>
      <c r="E768" s="23">
        <f>VLOOKUP(A768,'[11]Linea Industria'!$A$6:$G$1020,6,FALSE)</f>
        <v>37.96</v>
      </c>
      <c r="F768" s="23">
        <f>VLOOKUP(A768,'[11]Linea Industria'!$A$6:$G$1020,7,FALSE)</f>
        <v>42.9</v>
      </c>
    </row>
    <row r="769" spans="1:6" x14ac:dyDescent="0.3">
      <c r="A769" s="28" t="s">
        <v>821</v>
      </c>
      <c r="B769" s="43" t="s">
        <v>822</v>
      </c>
      <c r="C769" s="23">
        <f>VLOOKUP(A769,'[11]Linea Industria'!$A$6:$G$1020,4,FALSE)</f>
        <v>27.34</v>
      </c>
      <c r="D769" s="23">
        <f>VLOOKUP(A769,'[11]Linea Industria'!$A$6:$G$1020,5,FALSE)</f>
        <v>30.89</v>
      </c>
      <c r="E769" s="23">
        <f>VLOOKUP(A769,'[11]Linea Industria'!$A$6:$G$1020,6,FALSE)</f>
        <v>37.96</v>
      </c>
      <c r="F769" s="23">
        <f>VLOOKUP(A769,'[11]Linea Industria'!$A$6:$G$1020,7,FALSE)</f>
        <v>42.9</v>
      </c>
    </row>
    <row r="770" spans="1:6" x14ac:dyDescent="0.3">
      <c r="A770" s="28" t="s">
        <v>823</v>
      </c>
      <c r="B770" s="43" t="s">
        <v>824</v>
      </c>
      <c r="C770" s="23">
        <f>VLOOKUP(A770,'[11]Linea Industria'!$A$6:$G$1020,4,FALSE)</f>
        <v>27.34</v>
      </c>
      <c r="D770" s="23">
        <f>VLOOKUP(A770,'[11]Linea Industria'!$A$6:$G$1020,5,FALSE)</f>
        <v>30.89</v>
      </c>
      <c r="E770" s="23">
        <f>VLOOKUP(A770,'[11]Linea Industria'!$A$6:$G$1020,6,FALSE)</f>
        <v>37.96</v>
      </c>
      <c r="F770" s="23">
        <f>VLOOKUP(A770,'[11]Linea Industria'!$A$6:$G$1020,7,FALSE)</f>
        <v>42.9</v>
      </c>
    </row>
    <row r="771" spans="1:6" x14ac:dyDescent="0.3">
      <c r="A771" s="28" t="s">
        <v>825</v>
      </c>
      <c r="B771" s="43" t="s">
        <v>826</v>
      </c>
      <c r="C771" s="23">
        <f>VLOOKUP(A771,'[11]Linea Industria'!$A$6:$G$1020,4,FALSE)</f>
        <v>27.34</v>
      </c>
      <c r="D771" s="23">
        <f>VLOOKUP(A771,'[11]Linea Industria'!$A$6:$G$1020,5,FALSE)</f>
        <v>30.89</v>
      </c>
      <c r="E771" s="23">
        <f>VLOOKUP(A771,'[11]Linea Industria'!$A$6:$G$1020,6,FALSE)</f>
        <v>37.96</v>
      </c>
      <c r="F771" s="23">
        <f>VLOOKUP(A771,'[11]Linea Industria'!$A$6:$G$1020,7,FALSE)</f>
        <v>42.9</v>
      </c>
    </row>
    <row r="772" spans="1:6" x14ac:dyDescent="0.3">
      <c r="A772" s="26" t="s">
        <v>827</v>
      </c>
      <c r="B772" s="43" t="s">
        <v>815</v>
      </c>
      <c r="C772" s="23">
        <f>VLOOKUP(A772,'[11]Linea Industria'!$A$6:$G$1020,4,FALSE)</f>
        <v>132.53</v>
      </c>
      <c r="D772" s="23">
        <f>VLOOKUP(A772,'[11]Linea Industria'!$A$6:$G$1020,5,FALSE)</f>
        <v>149.76</v>
      </c>
      <c r="E772" s="23">
        <f>VLOOKUP(A772,'[11]Linea Industria'!$A$6:$G$1020,6,FALSE)</f>
        <v>184.07</v>
      </c>
      <c r="F772" s="23">
        <f>VLOOKUP(A772,'[11]Linea Industria'!$A$6:$G$1020,7,FALSE)</f>
        <v>208</v>
      </c>
    </row>
    <row r="773" spans="1:6" x14ac:dyDescent="0.3">
      <c r="A773" s="28" t="s">
        <v>828</v>
      </c>
      <c r="B773" s="43" t="s">
        <v>820</v>
      </c>
      <c r="C773" s="23">
        <f>VLOOKUP(A773,'[11]Linea Industria'!$A$6:$G$1020,4,FALSE)</f>
        <v>132.53</v>
      </c>
      <c r="D773" s="23">
        <f>VLOOKUP(A773,'[11]Linea Industria'!$A$6:$G$1020,5,FALSE)</f>
        <v>149.76</v>
      </c>
      <c r="E773" s="23">
        <f>VLOOKUP(A773,'[11]Linea Industria'!$A$6:$G$1020,6,FALSE)</f>
        <v>184.07</v>
      </c>
      <c r="F773" s="23">
        <f>VLOOKUP(A773,'[11]Linea Industria'!$A$6:$G$1020,7,FALSE)</f>
        <v>208</v>
      </c>
    </row>
    <row r="774" spans="1:6" x14ac:dyDescent="0.3">
      <c r="A774" s="28" t="s">
        <v>829</v>
      </c>
      <c r="B774" s="43" t="s">
        <v>830</v>
      </c>
      <c r="C774" s="23">
        <f>VLOOKUP(A774,'[11]Linea Industria'!$A$6:$G$1020,4,FALSE)</f>
        <v>6.69</v>
      </c>
      <c r="D774" s="23">
        <f>VLOOKUP(A774,'[11]Linea Industria'!$A$6:$G$1020,5,FALSE)</f>
        <v>7.56</v>
      </c>
      <c r="E774" s="23">
        <f>VLOOKUP(A774,'[11]Linea Industria'!$A$6:$G$1020,6,FALSE)</f>
        <v>9.2899999999999991</v>
      </c>
      <c r="F774" s="23">
        <f>VLOOKUP(A774,'[11]Linea Industria'!$A$6:$G$1020,7,FALSE)</f>
        <v>10.5</v>
      </c>
    </row>
    <row r="775" spans="1:6" x14ac:dyDescent="0.3">
      <c r="A775" s="28" t="s">
        <v>3425</v>
      </c>
      <c r="B775" s="43" t="s">
        <v>3426</v>
      </c>
      <c r="C775" s="23">
        <f>VLOOKUP(A775,'[11]Linea Industria'!$A$6:$G$1020,4,FALSE)</f>
        <v>6.69</v>
      </c>
      <c r="D775" s="23">
        <f>VLOOKUP(A775,'[11]Linea Industria'!$A$6:$G$1020,5,FALSE)</f>
        <v>7.56</v>
      </c>
      <c r="E775" s="23">
        <f>VLOOKUP(A775,'[11]Linea Industria'!$A$6:$G$1020,6,FALSE)</f>
        <v>9.2899999999999991</v>
      </c>
      <c r="F775" s="23">
        <f>VLOOKUP(A775,'[11]Linea Industria'!$A$6:$G$1020,7,FALSE)</f>
        <v>10.5</v>
      </c>
    </row>
    <row r="776" spans="1:6" x14ac:dyDescent="0.3">
      <c r="A776" s="28" t="s">
        <v>831</v>
      </c>
      <c r="B776" s="43" t="s">
        <v>832</v>
      </c>
      <c r="C776" s="23">
        <f>VLOOKUP(A776,'[11]Linea Industria'!$A$6:$G$1020,4,FALSE)</f>
        <v>6.69</v>
      </c>
      <c r="D776" s="23">
        <f>VLOOKUP(A776,'[11]Linea Industria'!$A$6:$G$1020,5,FALSE)</f>
        <v>7.56</v>
      </c>
      <c r="E776" s="23">
        <f>VLOOKUP(A776,'[11]Linea Industria'!$A$6:$G$1020,6,FALSE)</f>
        <v>9.2899999999999991</v>
      </c>
      <c r="F776" s="23">
        <f>VLOOKUP(A776,'[11]Linea Industria'!$A$6:$G$1020,7,FALSE)</f>
        <v>10.5</v>
      </c>
    </row>
    <row r="777" spans="1:6" x14ac:dyDescent="0.3">
      <c r="A777" s="28" t="s">
        <v>833</v>
      </c>
      <c r="B777" s="43" t="s">
        <v>834</v>
      </c>
      <c r="C777" s="23">
        <f>VLOOKUP(A777,'[11]Linea Industria'!$A$6:$G$1020,4,FALSE)</f>
        <v>6.69</v>
      </c>
      <c r="D777" s="23">
        <f>VLOOKUP(A777,'[11]Linea Industria'!$A$6:$G$1020,5,FALSE)</f>
        <v>7.56</v>
      </c>
      <c r="E777" s="23">
        <f>VLOOKUP(A777,'[11]Linea Industria'!$A$6:$G$1020,6,FALSE)</f>
        <v>9.2899999999999991</v>
      </c>
      <c r="F777" s="23">
        <f>VLOOKUP(A777,'[11]Linea Industria'!$A$6:$G$1020,7,FALSE)</f>
        <v>10.5</v>
      </c>
    </row>
    <row r="778" spans="1:6" x14ac:dyDescent="0.3">
      <c r="A778" s="28" t="s">
        <v>835</v>
      </c>
      <c r="B778" s="43" t="s">
        <v>836</v>
      </c>
      <c r="C778" s="23">
        <f>VLOOKUP(A778,'[11]Linea Industria'!$A$6:$G$1020,4,FALSE)</f>
        <v>6.69</v>
      </c>
      <c r="D778" s="23">
        <f>VLOOKUP(A778,'[11]Linea Industria'!$A$6:$G$1020,5,FALSE)</f>
        <v>7.56</v>
      </c>
      <c r="E778" s="23">
        <f>VLOOKUP(A778,'[11]Linea Industria'!$A$6:$G$1020,6,FALSE)</f>
        <v>9.2899999999999991</v>
      </c>
      <c r="F778" s="23">
        <f>VLOOKUP(A778,'[11]Linea Industria'!$A$6:$G$1020,7,FALSE)</f>
        <v>10.5</v>
      </c>
    </row>
    <row r="779" spans="1:6" x14ac:dyDescent="0.3">
      <c r="A779" s="26" t="s">
        <v>837</v>
      </c>
      <c r="B779" s="43" t="s">
        <v>830</v>
      </c>
      <c r="C779" s="23">
        <f>VLOOKUP(A779,'[11]Linea Industria'!$A$6:$G$1020,4,FALSE)</f>
        <v>22.88</v>
      </c>
      <c r="D779" s="23">
        <f>VLOOKUP(A779,'[11]Linea Industria'!$A$6:$G$1020,5,FALSE)</f>
        <v>25.85</v>
      </c>
      <c r="E779" s="23">
        <f>VLOOKUP(A779,'[11]Linea Industria'!$A$6:$G$1020,6,FALSE)</f>
        <v>31.77</v>
      </c>
      <c r="F779" s="23">
        <f>VLOOKUP(A779,'[11]Linea Industria'!$A$6:$G$1020,7,FALSE)</f>
        <v>35.9</v>
      </c>
    </row>
    <row r="780" spans="1:6" x14ac:dyDescent="0.3">
      <c r="A780" s="26" t="s">
        <v>838</v>
      </c>
      <c r="B780" s="43" t="s">
        <v>839</v>
      </c>
      <c r="C780" s="23">
        <f>VLOOKUP(A780,'[11]Linea Industria'!$A$6:$G$1020,4,FALSE)</f>
        <v>22.88</v>
      </c>
      <c r="D780" s="23">
        <f>VLOOKUP(A780,'[11]Linea Industria'!$A$6:$G$1020,5,FALSE)</f>
        <v>25.85</v>
      </c>
      <c r="E780" s="23">
        <f>VLOOKUP(A780,'[11]Linea Industria'!$A$6:$G$1020,6,FALSE)</f>
        <v>31.77</v>
      </c>
      <c r="F780" s="23">
        <f>VLOOKUP(A780,'[11]Linea Industria'!$A$6:$G$1020,7,FALSE)</f>
        <v>35.9</v>
      </c>
    </row>
    <row r="781" spans="1:6" x14ac:dyDescent="0.3">
      <c r="A781" s="26" t="s">
        <v>840</v>
      </c>
      <c r="B781" s="43" t="s">
        <v>3426</v>
      </c>
      <c r="C781" s="23">
        <f>VLOOKUP(A781,'[11]Linea Industria'!$A$6:$G$1020,4,FALSE)</f>
        <v>22.88</v>
      </c>
      <c r="D781" s="23">
        <f>VLOOKUP(A781,'[11]Linea Industria'!$A$6:$G$1020,5,FALSE)</f>
        <v>25.85</v>
      </c>
      <c r="E781" s="23">
        <f>VLOOKUP(A781,'[11]Linea Industria'!$A$6:$G$1020,6,FALSE)</f>
        <v>31.77</v>
      </c>
      <c r="F781" s="23">
        <f>VLOOKUP(A781,'[11]Linea Industria'!$A$6:$G$1020,7,FALSE)</f>
        <v>35.9</v>
      </c>
    </row>
    <row r="782" spans="1:6" x14ac:dyDescent="0.3">
      <c r="A782" s="26" t="s">
        <v>841</v>
      </c>
      <c r="B782" s="43" t="s">
        <v>832</v>
      </c>
      <c r="C782" s="23">
        <f>VLOOKUP(A782,'[11]Linea Industria'!$A$6:$G$1020,4,FALSE)</f>
        <v>22.88</v>
      </c>
      <c r="D782" s="23">
        <f>VLOOKUP(A782,'[11]Linea Industria'!$A$6:$G$1020,5,FALSE)</f>
        <v>25.85</v>
      </c>
      <c r="E782" s="23">
        <f>VLOOKUP(A782,'[11]Linea Industria'!$A$6:$G$1020,6,FALSE)</f>
        <v>31.77</v>
      </c>
      <c r="F782" s="23">
        <f>VLOOKUP(A782,'[11]Linea Industria'!$A$6:$G$1020,7,FALSE)</f>
        <v>35.9</v>
      </c>
    </row>
    <row r="783" spans="1:6" x14ac:dyDescent="0.3">
      <c r="A783" s="26" t="s">
        <v>842</v>
      </c>
      <c r="B783" s="43" t="s">
        <v>3427</v>
      </c>
      <c r="C783" s="23">
        <f>VLOOKUP(A783,'[11]Linea Industria'!$A$6:$G$1020,4,FALSE)</f>
        <v>22.88</v>
      </c>
      <c r="D783" s="23">
        <f>VLOOKUP(A783,'[11]Linea Industria'!$A$6:$G$1020,5,FALSE)</f>
        <v>25.85</v>
      </c>
      <c r="E783" s="23">
        <f>VLOOKUP(A783,'[11]Linea Industria'!$A$6:$G$1020,6,FALSE)</f>
        <v>31.77</v>
      </c>
      <c r="F783" s="23">
        <f>VLOOKUP(A783,'[11]Linea Industria'!$A$6:$G$1020,7,FALSE)</f>
        <v>35.9</v>
      </c>
    </row>
    <row r="784" spans="1:6" x14ac:dyDescent="0.3">
      <c r="A784" s="26" t="s">
        <v>843</v>
      </c>
      <c r="B784" s="43" t="s">
        <v>834</v>
      </c>
      <c r="C784" s="23">
        <f>VLOOKUP(A784,'[11]Linea Industria'!$A$6:$G$1020,4,FALSE)</f>
        <v>22.88</v>
      </c>
      <c r="D784" s="23">
        <f>VLOOKUP(A784,'[11]Linea Industria'!$A$6:$G$1020,5,FALSE)</f>
        <v>25.85</v>
      </c>
      <c r="E784" s="23">
        <f>VLOOKUP(A784,'[11]Linea Industria'!$A$6:$G$1020,6,FALSE)</f>
        <v>31.77</v>
      </c>
      <c r="F784" s="23">
        <f>VLOOKUP(A784,'[11]Linea Industria'!$A$6:$G$1020,7,FALSE)</f>
        <v>35.9</v>
      </c>
    </row>
    <row r="785" spans="1:6" x14ac:dyDescent="0.3">
      <c r="A785" s="26" t="s">
        <v>844</v>
      </c>
      <c r="B785" s="43" t="s">
        <v>836</v>
      </c>
      <c r="C785" s="23">
        <f>VLOOKUP(A785,'[11]Linea Industria'!$A$6:$G$1020,4,FALSE)</f>
        <v>22.88</v>
      </c>
      <c r="D785" s="23">
        <f>VLOOKUP(A785,'[11]Linea Industria'!$A$6:$G$1020,5,FALSE)</f>
        <v>25.85</v>
      </c>
      <c r="E785" s="23">
        <f>VLOOKUP(A785,'[11]Linea Industria'!$A$6:$G$1020,6,FALSE)</f>
        <v>31.77</v>
      </c>
      <c r="F785" s="23">
        <f>VLOOKUP(A785,'[11]Linea Industria'!$A$6:$G$1020,7,FALSE)</f>
        <v>35.9</v>
      </c>
    </row>
    <row r="786" spans="1:6" x14ac:dyDescent="0.3">
      <c r="A786" s="26" t="s">
        <v>845</v>
      </c>
      <c r="B786" s="43" t="s">
        <v>830</v>
      </c>
      <c r="C786" s="23">
        <f>VLOOKUP(A786,'[11]Linea Industria'!$A$6:$G$1020,4,FALSE)</f>
        <v>108.32</v>
      </c>
      <c r="D786" s="23">
        <f>VLOOKUP(A786,'[11]Linea Industria'!$A$6:$G$1020,5,FALSE)</f>
        <v>122.4</v>
      </c>
      <c r="E786" s="23">
        <f>VLOOKUP(A786,'[11]Linea Industria'!$A$6:$G$1020,6,FALSE)</f>
        <v>150.44</v>
      </c>
      <c r="F786" s="23">
        <f>VLOOKUP(A786,'[11]Linea Industria'!$A$6:$G$1020,7,FALSE)</f>
        <v>170</v>
      </c>
    </row>
    <row r="787" spans="1:6" x14ac:dyDescent="0.3">
      <c r="A787" s="26" t="s">
        <v>846</v>
      </c>
      <c r="B787" s="43" t="s">
        <v>839</v>
      </c>
      <c r="C787" s="23">
        <f>VLOOKUP(A787,'[11]Linea Industria'!$A$6:$G$1020,4,FALSE)</f>
        <v>108.32</v>
      </c>
      <c r="D787" s="23">
        <f>VLOOKUP(A787,'[11]Linea Industria'!$A$6:$G$1020,5,FALSE)</f>
        <v>122.4</v>
      </c>
      <c r="E787" s="23">
        <f>VLOOKUP(A787,'[11]Linea Industria'!$A$6:$G$1020,6,FALSE)</f>
        <v>150.44</v>
      </c>
      <c r="F787" s="23">
        <f>VLOOKUP(A787,'[11]Linea Industria'!$A$6:$G$1020,7,FALSE)</f>
        <v>170</v>
      </c>
    </row>
    <row r="788" spans="1:6" x14ac:dyDescent="0.3">
      <c r="A788" s="26" t="s">
        <v>847</v>
      </c>
      <c r="B788" s="43" t="s">
        <v>832</v>
      </c>
      <c r="C788" s="23">
        <f>VLOOKUP(A788,'[11]Linea Industria'!$A$6:$G$1020,4,FALSE)</f>
        <v>108.32</v>
      </c>
      <c r="D788" s="23">
        <f>VLOOKUP(A788,'[11]Linea Industria'!$A$6:$G$1020,5,FALSE)</f>
        <v>122.4</v>
      </c>
      <c r="E788" s="23">
        <f>VLOOKUP(A788,'[11]Linea Industria'!$A$6:$G$1020,6,FALSE)</f>
        <v>150.44</v>
      </c>
      <c r="F788" s="23">
        <f>VLOOKUP(A788,'[11]Linea Industria'!$A$6:$G$1020,7,FALSE)</f>
        <v>170</v>
      </c>
    </row>
    <row r="789" spans="1:6" x14ac:dyDescent="0.3">
      <c r="A789" s="26" t="s">
        <v>848</v>
      </c>
      <c r="B789" s="43" t="s">
        <v>834</v>
      </c>
      <c r="C789" s="23">
        <f>VLOOKUP(A789,'[11]Linea Industria'!$A$6:$G$1020,4,FALSE)</f>
        <v>108.32</v>
      </c>
      <c r="D789" s="23">
        <f>VLOOKUP(A789,'[11]Linea Industria'!$A$6:$G$1020,5,FALSE)</f>
        <v>122.4</v>
      </c>
      <c r="E789" s="23">
        <f>VLOOKUP(A789,'[11]Linea Industria'!$A$6:$G$1020,6,FALSE)</f>
        <v>150.44</v>
      </c>
      <c r="F789" s="23">
        <f>VLOOKUP(A789,'[11]Linea Industria'!$A$6:$G$1020,7,FALSE)</f>
        <v>170</v>
      </c>
    </row>
    <row r="790" spans="1:6" x14ac:dyDescent="0.3">
      <c r="A790" s="26" t="s">
        <v>849</v>
      </c>
      <c r="B790" s="43" t="s">
        <v>836</v>
      </c>
      <c r="C790" s="23">
        <f>VLOOKUP(A790,'[11]Linea Industria'!$A$6:$G$1020,4,FALSE)</f>
        <v>108.32</v>
      </c>
      <c r="D790" s="23">
        <f>VLOOKUP(A790,'[11]Linea Industria'!$A$6:$G$1020,5,FALSE)</f>
        <v>122.4</v>
      </c>
      <c r="E790" s="23">
        <f>VLOOKUP(A790,'[11]Linea Industria'!$A$6:$G$1020,6,FALSE)</f>
        <v>150.44</v>
      </c>
      <c r="F790" s="23">
        <f>VLOOKUP(A790,'[11]Linea Industria'!$A$6:$G$1020,7,FALSE)</f>
        <v>170</v>
      </c>
    </row>
    <row r="791" spans="1:6" x14ac:dyDescent="0.3">
      <c r="A791" s="28" t="s">
        <v>3428</v>
      </c>
      <c r="B791" s="43" t="s">
        <v>3429</v>
      </c>
      <c r="C791" s="23">
        <f>VLOOKUP(A791,'[11]Linea Industria'!$A$6:$G$1020,4,FALSE)</f>
        <v>108.32</v>
      </c>
      <c r="D791" s="23">
        <f>VLOOKUP(A791,'[11]Linea Industria'!$A$6:$G$1020,5,FALSE)</f>
        <v>122.4</v>
      </c>
      <c r="E791" s="23">
        <f>VLOOKUP(A791,'[11]Linea Industria'!$A$6:$G$1020,6,FALSE)</f>
        <v>150.44</v>
      </c>
      <c r="F791" s="23">
        <f>VLOOKUP(A791,'[11]Linea Industria'!$A$6:$G$1020,7,FALSE)</f>
        <v>170</v>
      </c>
    </row>
    <row r="792" spans="1:6" x14ac:dyDescent="0.3">
      <c r="A792" s="28" t="s">
        <v>3430</v>
      </c>
      <c r="B792" s="43" t="s">
        <v>3431</v>
      </c>
      <c r="C792" s="23">
        <f>VLOOKUP(A792,'[11]Linea Industria'!$A$6:$G$1020,4,FALSE)</f>
        <v>108.32</v>
      </c>
      <c r="D792" s="23">
        <f>VLOOKUP(A792,'[11]Linea Industria'!$A$6:$G$1020,5,FALSE)</f>
        <v>122.4</v>
      </c>
      <c r="E792" s="23">
        <f>VLOOKUP(A792,'[11]Linea Industria'!$A$6:$G$1020,6,FALSE)</f>
        <v>150.44</v>
      </c>
      <c r="F792" s="23">
        <f>VLOOKUP(A792,'[11]Linea Industria'!$A$6:$G$1020,7,FALSE)</f>
        <v>170</v>
      </c>
    </row>
    <row r="793" spans="1:6" x14ac:dyDescent="0.3">
      <c r="A793" s="28" t="s">
        <v>850</v>
      </c>
      <c r="B793" s="43" t="s">
        <v>858</v>
      </c>
      <c r="C793" s="23">
        <f>VLOOKUP(A793,'[11]Linea Industria'!$A$6:$G$1020,4,FALSE)</f>
        <v>6.69</v>
      </c>
      <c r="D793" s="23">
        <f>VLOOKUP(A793,'[11]Linea Industria'!$A$6:$G$1020,5,FALSE)</f>
        <v>7.56</v>
      </c>
      <c r="E793" s="23">
        <f>VLOOKUP(A793,'[11]Linea Industria'!$A$6:$G$1020,6,FALSE)</f>
        <v>9.2899999999999991</v>
      </c>
      <c r="F793" s="23">
        <f>VLOOKUP(A793,'[11]Linea Industria'!$A$6:$G$1020,7,FALSE)</f>
        <v>10.5</v>
      </c>
    </row>
    <row r="794" spans="1:6" x14ac:dyDescent="0.3">
      <c r="A794" s="28" t="s">
        <v>851</v>
      </c>
      <c r="B794" s="43" t="s">
        <v>3432</v>
      </c>
      <c r="C794" s="23">
        <f>VLOOKUP(A794,'[11]Linea Industria'!$A$6:$G$1020,4,FALSE)</f>
        <v>6.69</v>
      </c>
      <c r="D794" s="23">
        <f>VLOOKUP(A794,'[11]Linea Industria'!$A$6:$G$1020,5,FALSE)</f>
        <v>7.56</v>
      </c>
      <c r="E794" s="23">
        <f>VLOOKUP(A794,'[11]Linea Industria'!$A$6:$G$1020,6,FALSE)</f>
        <v>9.2899999999999991</v>
      </c>
      <c r="F794" s="23">
        <f>VLOOKUP(A794,'[11]Linea Industria'!$A$6:$G$1020,7,FALSE)</f>
        <v>10.5</v>
      </c>
    </row>
    <row r="795" spans="1:6" x14ac:dyDescent="0.3">
      <c r="A795" s="28" t="s">
        <v>852</v>
      </c>
      <c r="B795" s="43" t="s">
        <v>873</v>
      </c>
      <c r="C795" s="23">
        <f>VLOOKUP(A795,'[11]Linea Industria'!$A$6:$G$1020,4,FALSE)</f>
        <v>6.69</v>
      </c>
      <c r="D795" s="23">
        <f>VLOOKUP(A795,'[11]Linea Industria'!$A$6:$G$1020,5,FALSE)</f>
        <v>7.56</v>
      </c>
      <c r="E795" s="23">
        <f>VLOOKUP(A795,'[11]Linea Industria'!$A$6:$G$1020,6,FALSE)</f>
        <v>9.2899999999999991</v>
      </c>
      <c r="F795" s="23">
        <f>VLOOKUP(A795,'[11]Linea Industria'!$A$6:$G$1020,7,FALSE)</f>
        <v>10.5</v>
      </c>
    </row>
    <row r="796" spans="1:6" x14ac:dyDescent="0.3">
      <c r="A796" s="28" t="s">
        <v>853</v>
      </c>
      <c r="B796" s="43" t="s">
        <v>854</v>
      </c>
      <c r="C796" s="23">
        <f>VLOOKUP(A796,'[11]Linea Industria'!$A$6:$G$1020,4,FALSE)</f>
        <v>6.69</v>
      </c>
      <c r="D796" s="23">
        <f>VLOOKUP(A796,'[11]Linea Industria'!$A$6:$G$1020,5,FALSE)</f>
        <v>7.56</v>
      </c>
      <c r="E796" s="23">
        <f>VLOOKUP(A796,'[11]Linea Industria'!$A$6:$G$1020,6,FALSE)</f>
        <v>9.2899999999999991</v>
      </c>
      <c r="F796" s="23">
        <f>VLOOKUP(A796,'[11]Linea Industria'!$A$6:$G$1020,7,FALSE)</f>
        <v>10.5</v>
      </c>
    </row>
    <row r="797" spans="1:6" x14ac:dyDescent="0.3">
      <c r="A797" s="28" t="s">
        <v>855</v>
      </c>
      <c r="B797" s="43" t="s">
        <v>856</v>
      </c>
      <c r="C797" s="23">
        <f>VLOOKUP(A797,'[11]Linea Industria'!$A$6:$G$1020,4,FALSE)</f>
        <v>6.69</v>
      </c>
      <c r="D797" s="23">
        <f>VLOOKUP(A797,'[11]Linea Industria'!$A$6:$G$1020,5,FALSE)</f>
        <v>7.56</v>
      </c>
      <c r="E797" s="23">
        <f>VLOOKUP(A797,'[11]Linea Industria'!$A$6:$G$1020,6,FALSE)</f>
        <v>9.2899999999999991</v>
      </c>
      <c r="F797" s="23">
        <f>VLOOKUP(A797,'[11]Linea Industria'!$A$6:$G$1020,7,FALSE)</f>
        <v>10.5</v>
      </c>
    </row>
    <row r="798" spans="1:6" x14ac:dyDescent="0.3">
      <c r="A798" s="28" t="s">
        <v>3433</v>
      </c>
      <c r="B798" s="43" t="s">
        <v>877</v>
      </c>
      <c r="C798" s="23">
        <f>VLOOKUP(A798,'[11]Linea Industria'!$A$6:$G$1020,4,FALSE)</f>
        <v>6.69</v>
      </c>
      <c r="D798" s="23">
        <f>VLOOKUP(A798,'[11]Linea Industria'!$A$6:$G$1020,5,FALSE)</f>
        <v>7.56</v>
      </c>
      <c r="E798" s="23">
        <f>VLOOKUP(A798,'[11]Linea Industria'!$A$6:$G$1020,6,FALSE)</f>
        <v>9.2899999999999991</v>
      </c>
      <c r="F798" s="23">
        <f>VLOOKUP(A798,'[11]Linea Industria'!$A$6:$G$1020,7,FALSE)</f>
        <v>10.5</v>
      </c>
    </row>
    <row r="799" spans="1:6" x14ac:dyDescent="0.3">
      <c r="A799" s="28" t="s">
        <v>3434</v>
      </c>
      <c r="B799" s="43" t="s">
        <v>860</v>
      </c>
      <c r="C799" s="23">
        <f>VLOOKUP(A799,'[11]Linea Industria'!$A$6:$G$1020,4,FALSE)</f>
        <v>6.69</v>
      </c>
      <c r="D799" s="23">
        <f>VLOOKUP(A799,'[11]Linea Industria'!$A$6:$G$1020,5,FALSE)</f>
        <v>7.56</v>
      </c>
      <c r="E799" s="23">
        <f>VLOOKUP(A799,'[11]Linea Industria'!$A$6:$G$1020,6,FALSE)</f>
        <v>9.2899999999999991</v>
      </c>
      <c r="F799" s="23">
        <f>VLOOKUP(A799,'[11]Linea Industria'!$A$6:$G$1020,7,FALSE)</f>
        <v>10.5</v>
      </c>
    </row>
    <row r="800" spans="1:6" x14ac:dyDescent="0.3">
      <c r="A800" s="26" t="s">
        <v>857</v>
      </c>
      <c r="B800" s="43" t="s">
        <v>858</v>
      </c>
      <c r="C800" s="23">
        <f>VLOOKUP(A800,'[11]Linea Industria'!$A$6:$G$1020,4,FALSE)</f>
        <v>22.88</v>
      </c>
      <c r="D800" s="23">
        <f>VLOOKUP(A800,'[11]Linea Industria'!$A$6:$G$1020,5,FALSE)</f>
        <v>25.85</v>
      </c>
      <c r="E800" s="23">
        <f>VLOOKUP(A800,'[11]Linea Industria'!$A$6:$G$1020,6,FALSE)</f>
        <v>31.77</v>
      </c>
      <c r="F800" s="23">
        <f>VLOOKUP(A800,'[11]Linea Industria'!$A$6:$G$1020,7,FALSE)</f>
        <v>35.9</v>
      </c>
    </row>
    <row r="801" spans="1:6" x14ac:dyDescent="0.3">
      <c r="A801" s="26" t="s">
        <v>859</v>
      </c>
      <c r="B801" s="43" t="s">
        <v>860</v>
      </c>
      <c r="C801" s="23">
        <f>VLOOKUP(A801,'[11]Linea Industria'!$A$6:$G$1020,4,FALSE)</f>
        <v>22.88</v>
      </c>
      <c r="D801" s="23">
        <f>VLOOKUP(A801,'[11]Linea Industria'!$A$6:$G$1020,5,FALSE)</f>
        <v>25.85</v>
      </c>
      <c r="E801" s="23">
        <f>VLOOKUP(A801,'[11]Linea Industria'!$A$6:$G$1020,6,FALSE)</f>
        <v>31.77</v>
      </c>
      <c r="F801" s="23">
        <f>VLOOKUP(A801,'[11]Linea Industria'!$A$6:$G$1020,7,FALSE)</f>
        <v>35.9</v>
      </c>
    </row>
    <row r="802" spans="1:6" x14ac:dyDescent="0.3">
      <c r="A802" s="26" t="s">
        <v>861</v>
      </c>
      <c r="B802" s="43" t="s">
        <v>856</v>
      </c>
      <c r="C802" s="23">
        <f>VLOOKUP(A802,'[11]Linea Industria'!$A$6:$G$1020,4,FALSE)</f>
        <v>22.88</v>
      </c>
      <c r="D802" s="23">
        <f>VLOOKUP(A802,'[11]Linea Industria'!$A$6:$G$1020,5,FALSE)</f>
        <v>25.85</v>
      </c>
      <c r="E802" s="23">
        <f>VLOOKUP(A802,'[11]Linea Industria'!$A$6:$G$1020,6,FALSE)</f>
        <v>31.77</v>
      </c>
      <c r="F802" s="23">
        <f>VLOOKUP(A802,'[11]Linea Industria'!$A$6:$G$1020,7,FALSE)</f>
        <v>35.9</v>
      </c>
    </row>
    <row r="803" spans="1:6" x14ac:dyDescent="0.3">
      <c r="A803" s="26" t="s">
        <v>862</v>
      </c>
      <c r="B803" s="43" t="s">
        <v>3435</v>
      </c>
      <c r="C803" s="23">
        <f>VLOOKUP(A803,'[11]Linea Industria'!$A$6:$G$1020,4,FALSE)</f>
        <v>22.88</v>
      </c>
      <c r="D803" s="23">
        <f>VLOOKUP(A803,'[11]Linea Industria'!$A$6:$G$1020,5,FALSE)</f>
        <v>25.85</v>
      </c>
      <c r="E803" s="23">
        <f>VLOOKUP(A803,'[11]Linea Industria'!$A$6:$G$1020,6,FALSE)</f>
        <v>31.77</v>
      </c>
      <c r="F803" s="23">
        <f>VLOOKUP(A803,'[11]Linea Industria'!$A$6:$G$1020,7,FALSE)</f>
        <v>35.9</v>
      </c>
    </row>
    <row r="804" spans="1:6" x14ac:dyDescent="0.3">
      <c r="A804" s="26" t="s">
        <v>863</v>
      </c>
      <c r="B804" s="43" t="s">
        <v>3432</v>
      </c>
      <c r="C804" s="23">
        <f>VLOOKUP(A804,'[11]Linea Industria'!$A$6:$G$1020,4,FALSE)</f>
        <v>22.88</v>
      </c>
      <c r="D804" s="23">
        <f>VLOOKUP(A804,'[11]Linea Industria'!$A$6:$G$1020,5,FALSE)</f>
        <v>25.85</v>
      </c>
      <c r="E804" s="23">
        <f>VLOOKUP(A804,'[11]Linea Industria'!$A$6:$G$1020,6,FALSE)</f>
        <v>31.77</v>
      </c>
      <c r="F804" s="23">
        <f>VLOOKUP(A804,'[11]Linea Industria'!$A$6:$G$1020,7,FALSE)</f>
        <v>35.9</v>
      </c>
    </row>
    <row r="805" spans="1:6" x14ac:dyDescent="0.3">
      <c r="A805" s="26" t="s">
        <v>864</v>
      </c>
      <c r="B805" s="43" t="s">
        <v>865</v>
      </c>
      <c r="C805" s="23">
        <f>VLOOKUP(A805,'[11]Linea Industria'!$A$6:$G$1020,4,FALSE)</f>
        <v>22.88</v>
      </c>
      <c r="D805" s="23">
        <f>VLOOKUP(A805,'[11]Linea Industria'!$A$6:$G$1020,5,FALSE)</f>
        <v>25.85</v>
      </c>
      <c r="E805" s="23">
        <f>VLOOKUP(A805,'[11]Linea Industria'!$A$6:$G$1020,6,FALSE)</f>
        <v>31.77</v>
      </c>
      <c r="F805" s="23">
        <f>VLOOKUP(A805,'[11]Linea Industria'!$A$6:$G$1020,7,FALSE)</f>
        <v>35.9</v>
      </c>
    </row>
    <row r="806" spans="1:6" x14ac:dyDescent="0.3">
      <c r="A806" s="26" t="s">
        <v>866</v>
      </c>
      <c r="B806" s="43" t="s">
        <v>3436</v>
      </c>
      <c r="C806" s="23">
        <f>VLOOKUP(A806,'[11]Linea Industria'!$A$6:$G$1020,4,FALSE)</f>
        <v>22.88</v>
      </c>
      <c r="D806" s="23">
        <f>VLOOKUP(A806,'[11]Linea Industria'!$A$6:$G$1020,5,FALSE)</f>
        <v>25.85</v>
      </c>
      <c r="E806" s="23">
        <f>VLOOKUP(A806,'[11]Linea Industria'!$A$6:$G$1020,6,FALSE)</f>
        <v>31.77</v>
      </c>
      <c r="F806" s="23">
        <f>VLOOKUP(A806,'[11]Linea Industria'!$A$6:$G$1020,7,FALSE)</f>
        <v>35.9</v>
      </c>
    </row>
    <row r="807" spans="1:6" x14ac:dyDescent="0.3">
      <c r="A807" s="26" t="s">
        <v>867</v>
      </c>
      <c r="B807" s="43" t="s">
        <v>3437</v>
      </c>
      <c r="C807" s="23">
        <f>VLOOKUP(A807,'[11]Linea Industria'!$A$6:$G$1020,4,FALSE)</f>
        <v>22.88</v>
      </c>
      <c r="D807" s="23">
        <f>VLOOKUP(A807,'[11]Linea Industria'!$A$6:$G$1020,5,FALSE)</f>
        <v>25.85</v>
      </c>
      <c r="E807" s="23">
        <f>VLOOKUP(A807,'[11]Linea Industria'!$A$6:$G$1020,6,FALSE)</f>
        <v>31.77</v>
      </c>
      <c r="F807" s="23">
        <f>VLOOKUP(A807,'[11]Linea Industria'!$A$6:$G$1020,7,FALSE)</f>
        <v>35.9</v>
      </c>
    </row>
    <row r="808" spans="1:6" x14ac:dyDescent="0.3">
      <c r="A808" s="26" t="s">
        <v>868</v>
      </c>
      <c r="B808" s="43" t="s">
        <v>869</v>
      </c>
      <c r="C808" s="23">
        <f>VLOOKUP(A808,'[11]Linea Industria'!$A$6:$G$1020,4,FALSE)</f>
        <v>22.88</v>
      </c>
      <c r="D808" s="23">
        <f>VLOOKUP(A808,'[11]Linea Industria'!$A$6:$G$1020,5,FALSE)</f>
        <v>25.85</v>
      </c>
      <c r="E808" s="23">
        <f>VLOOKUP(A808,'[11]Linea Industria'!$A$6:$G$1020,6,FALSE)</f>
        <v>31.77</v>
      </c>
      <c r="F808" s="23">
        <f>VLOOKUP(A808,'[11]Linea Industria'!$A$6:$G$1020,7,FALSE)</f>
        <v>35.9</v>
      </c>
    </row>
    <row r="809" spans="1:6" x14ac:dyDescent="0.3">
      <c r="A809" s="26" t="s">
        <v>870</v>
      </c>
      <c r="B809" s="43" t="s">
        <v>871</v>
      </c>
      <c r="C809" s="23">
        <f>VLOOKUP(A809,'[11]Linea Industria'!$A$6:$G$1020,4,FALSE)</f>
        <v>22.88</v>
      </c>
      <c r="D809" s="23">
        <f>VLOOKUP(A809,'[11]Linea Industria'!$A$6:$G$1020,5,FALSE)</f>
        <v>25.85</v>
      </c>
      <c r="E809" s="23">
        <f>VLOOKUP(A809,'[11]Linea Industria'!$A$6:$G$1020,6,FALSE)</f>
        <v>31.77</v>
      </c>
      <c r="F809" s="23">
        <f>VLOOKUP(A809,'[11]Linea Industria'!$A$6:$G$1020,7,FALSE)</f>
        <v>35.9</v>
      </c>
    </row>
    <row r="810" spans="1:6" x14ac:dyDescent="0.3">
      <c r="A810" s="26" t="s">
        <v>872</v>
      </c>
      <c r="B810" s="43" t="s">
        <v>873</v>
      </c>
      <c r="C810" s="23">
        <f>VLOOKUP(A810,'[11]Linea Industria'!$A$6:$G$1020,4,FALSE)</f>
        <v>22.88</v>
      </c>
      <c r="D810" s="23">
        <f>VLOOKUP(A810,'[11]Linea Industria'!$A$6:$G$1020,5,FALSE)</f>
        <v>25.85</v>
      </c>
      <c r="E810" s="23">
        <f>VLOOKUP(A810,'[11]Linea Industria'!$A$6:$G$1020,6,FALSE)</f>
        <v>31.77</v>
      </c>
      <c r="F810" s="23">
        <f>VLOOKUP(A810,'[11]Linea Industria'!$A$6:$G$1020,7,FALSE)</f>
        <v>35.9</v>
      </c>
    </row>
    <row r="811" spans="1:6" x14ac:dyDescent="0.3">
      <c r="A811" s="26" t="s">
        <v>874</v>
      </c>
      <c r="B811" s="43" t="s">
        <v>3438</v>
      </c>
      <c r="C811" s="23">
        <f>VLOOKUP(A811,'[11]Linea Industria'!$A$6:$G$1020,4,FALSE)</f>
        <v>22.88</v>
      </c>
      <c r="D811" s="23">
        <f>VLOOKUP(A811,'[11]Linea Industria'!$A$6:$G$1020,5,FALSE)</f>
        <v>25.85</v>
      </c>
      <c r="E811" s="23">
        <f>VLOOKUP(A811,'[11]Linea Industria'!$A$6:$G$1020,6,FALSE)</f>
        <v>31.77</v>
      </c>
      <c r="F811" s="23">
        <f>VLOOKUP(A811,'[11]Linea Industria'!$A$6:$G$1020,7,FALSE)</f>
        <v>35.9</v>
      </c>
    </row>
    <row r="812" spans="1:6" x14ac:dyDescent="0.3">
      <c r="A812" s="26" t="s">
        <v>875</v>
      </c>
      <c r="B812" s="43" t="s">
        <v>854</v>
      </c>
      <c r="C812" s="23">
        <f>VLOOKUP(A812,'[11]Linea Industria'!$A$6:$G$1020,4,FALSE)</f>
        <v>22.88</v>
      </c>
      <c r="D812" s="23">
        <f>VLOOKUP(A812,'[11]Linea Industria'!$A$6:$G$1020,5,FALSE)</f>
        <v>25.85</v>
      </c>
      <c r="E812" s="23">
        <f>VLOOKUP(A812,'[11]Linea Industria'!$A$6:$G$1020,6,FALSE)</f>
        <v>31.77</v>
      </c>
      <c r="F812" s="23">
        <f>VLOOKUP(A812,'[11]Linea Industria'!$A$6:$G$1020,7,FALSE)</f>
        <v>35.9</v>
      </c>
    </row>
    <row r="813" spans="1:6" x14ac:dyDescent="0.3">
      <c r="A813" s="26" t="s">
        <v>876</v>
      </c>
      <c r="B813" s="43" t="s">
        <v>877</v>
      </c>
      <c r="C813" s="23">
        <f>VLOOKUP(A813,'[11]Linea Industria'!$A$6:$G$1020,4,FALSE)</f>
        <v>22.88</v>
      </c>
      <c r="D813" s="23">
        <f>VLOOKUP(A813,'[11]Linea Industria'!$A$6:$G$1020,5,FALSE)</f>
        <v>25.85</v>
      </c>
      <c r="E813" s="23">
        <f>VLOOKUP(A813,'[11]Linea Industria'!$A$6:$G$1020,6,FALSE)</f>
        <v>31.77</v>
      </c>
      <c r="F813" s="23">
        <f>VLOOKUP(A813,'[11]Linea Industria'!$A$6:$G$1020,7,FALSE)</f>
        <v>35.9</v>
      </c>
    </row>
    <row r="814" spans="1:6" x14ac:dyDescent="0.3">
      <c r="A814" s="26" t="s">
        <v>878</v>
      </c>
      <c r="B814" s="43" t="s">
        <v>3439</v>
      </c>
      <c r="C814" s="23">
        <f>VLOOKUP(A814,'[11]Linea Industria'!$A$6:$G$1020,4,FALSE)</f>
        <v>22.88</v>
      </c>
      <c r="D814" s="23">
        <f>VLOOKUP(A814,'[11]Linea Industria'!$A$6:$G$1020,5,FALSE)</f>
        <v>25.85</v>
      </c>
      <c r="E814" s="23">
        <f>VLOOKUP(A814,'[11]Linea Industria'!$A$6:$G$1020,6,FALSE)</f>
        <v>31.77</v>
      </c>
      <c r="F814" s="23">
        <f>VLOOKUP(A814,'[11]Linea Industria'!$A$6:$G$1020,7,FALSE)</f>
        <v>35.9</v>
      </c>
    </row>
    <row r="815" spans="1:6" x14ac:dyDescent="0.3">
      <c r="A815" s="28" t="s">
        <v>879</v>
      </c>
      <c r="B815" s="43" t="s">
        <v>858</v>
      </c>
      <c r="C815" s="23">
        <f>VLOOKUP(A815,'[11]Linea Industria'!$A$6:$G$1020,4,FALSE)</f>
        <v>109.59</v>
      </c>
      <c r="D815" s="23">
        <f>VLOOKUP(A815,'[11]Linea Industria'!$A$6:$G$1020,5,FALSE)</f>
        <v>123.84</v>
      </c>
      <c r="E815" s="23">
        <f>VLOOKUP(A815,'[11]Linea Industria'!$A$6:$G$1020,6,FALSE)</f>
        <v>152.21</v>
      </c>
      <c r="F815" s="23">
        <f>VLOOKUP(A815,'[11]Linea Industria'!$A$6:$G$1020,7,FALSE)</f>
        <v>172</v>
      </c>
    </row>
    <row r="816" spans="1:6" x14ac:dyDescent="0.3">
      <c r="A816" s="28" t="s">
        <v>880</v>
      </c>
      <c r="B816" s="43" t="s">
        <v>873</v>
      </c>
      <c r="C816" s="23">
        <f>VLOOKUP(A816,'[11]Linea Industria'!$A$6:$G$1020,4,FALSE)</f>
        <v>109.59</v>
      </c>
      <c r="D816" s="23">
        <f>VLOOKUP(A816,'[11]Linea Industria'!$A$6:$G$1020,5,FALSE)</f>
        <v>123.84</v>
      </c>
      <c r="E816" s="23">
        <f>VLOOKUP(A816,'[11]Linea Industria'!$A$6:$G$1020,6,FALSE)</f>
        <v>152.21</v>
      </c>
      <c r="F816" s="23">
        <f>VLOOKUP(A816,'[11]Linea Industria'!$A$6:$G$1020,7,FALSE)</f>
        <v>172</v>
      </c>
    </row>
    <row r="817" spans="1:6" x14ac:dyDescent="0.3">
      <c r="A817" s="28" t="s">
        <v>881</v>
      </c>
      <c r="B817" s="43" t="s">
        <v>3432</v>
      </c>
      <c r="C817" s="23">
        <f>VLOOKUP(A817,'[11]Linea Industria'!$A$6:$G$1020,4,FALSE)</f>
        <v>109.59</v>
      </c>
      <c r="D817" s="23">
        <f>VLOOKUP(A817,'[11]Linea Industria'!$A$6:$G$1020,5,FALSE)</f>
        <v>123.84</v>
      </c>
      <c r="E817" s="23">
        <f>VLOOKUP(A817,'[11]Linea Industria'!$A$6:$G$1020,6,FALSE)</f>
        <v>152.21</v>
      </c>
      <c r="F817" s="23">
        <f>VLOOKUP(A817,'[11]Linea Industria'!$A$6:$G$1020,7,FALSE)</f>
        <v>172</v>
      </c>
    </row>
    <row r="818" spans="1:6" x14ac:dyDescent="0.3">
      <c r="A818" s="28" t="s">
        <v>882</v>
      </c>
      <c r="B818" s="43" t="s">
        <v>860</v>
      </c>
      <c r="C818" s="23">
        <f>VLOOKUP(A818,'[11]Linea Industria'!$A$6:$G$1020,4,FALSE)</f>
        <v>109.59</v>
      </c>
      <c r="D818" s="23">
        <f>VLOOKUP(A818,'[11]Linea Industria'!$A$6:$G$1020,5,FALSE)</f>
        <v>123.84</v>
      </c>
      <c r="E818" s="23">
        <f>VLOOKUP(A818,'[11]Linea Industria'!$A$6:$G$1020,6,FALSE)</f>
        <v>152.21</v>
      </c>
      <c r="F818" s="23">
        <f>VLOOKUP(A818,'[11]Linea Industria'!$A$6:$G$1020,7,FALSE)</f>
        <v>172</v>
      </c>
    </row>
    <row r="819" spans="1:6" x14ac:dyDescent="0.3">
      <c r="A819" s="28" t="s">
        <v>883</v>
      </c>
      <c r="B819" s="43" t="s">
        <v>854</v>
      </c>
      <c r="C819" s="23">
        <f>VLOOKUP(A819,'[11]Linea Industria'!$A$6:$G$1020,4,FALSE)</f>
        <v>109.59</v>
      </c>
      <c r="D819" s="23">
        <f>VLOOKUP(A819,'[11]Linea Industria'!$A$6:$G$1020,5,FALSE)</f>
        <v>123.84</v>
      </c>
      <c r="E819" s="23">
        <f>VLOOKUP(A819,'[11]Linea Industria'!$A$6:$G$1020,6,FALSE)</f>
        <v>152.21</v>
      </c>
      <c r="F819" s="23">
        <f>VLOOKUP(A819,'[11]Linea Industria'!$A$6:$G$1020,7,FALSE)</f>
        <v>172</v>
      </c>
    </row>
    <row r="820" spans="1:6" x14ac:dyDescent="0.3">
      <c r="A820" s="28" t="s">
        <v>884</v>
      </c>
      <c r="B820" s="43" t="s">
        <v>3437</v>
      </c>
      <c r="C820" s="23">
        <f>VLOOKUP(A820,'[11]Linea Industria'!$A$6:$G$1020,4,FALSE)</f>
        <v>109.59</v>
      </c>
      <c r="D820" s="23">
        <f>VLOOKUP(A820,'[11]Linea Industria'!$A$6:$G$1020,5,FALSE)</f>
        <v>123.84</v>
      </c>
      <c r="E820" s="23">
        <f>VLOOKUP(A820,'[11]Linea Industria'!$A$6:$G$1020,6,FALSE)</f>
        <v>152.21</v>
      </c>
      <c r="F820" s="23">
        <f>VLOOKUP(A820,'[11]Linea Industria'!$A$6:$G$1020,7,FALSE)</f>
        <v>172</v>
      </c>
    </row>
    <row r="821" spans="1:6" x14ac:dyDescent="0.3">
      <c r="A821" s="28" t="s">
        <v>885</v>
      </c>
      <c r="B821" s="43" t="s">
        <v>3440</v>
      </c>
      <c r="C821" s="23">
        <f>VLOOKUP(A821,'[11]Linea Industria'!$A$6:$G$1020,4,FALSE)</f>
        <v>12.04</v>
      </c>
      <c r="D821" s="23">
        <f>VLOOKUP(A821,'[11]Linea Industria'!$A$6:$G$1020,5,FALSE)</f>
        <v>13.61</v>
      </c>
      <c r="E821" s="23">
        <f>VLOOKUP(A821,'[11]Linea Industria'!$A$6:$G$1020,6,FALSE)</f>
        <v>16.73</v>
      </c>
      <c r="F821" s="23">
        <f>VLOOKUP(A821,'[11]Linea Industria'!$A$6:$G$1020,7,FALSE)</f>
        <v>18.899999999999999</v>
      </c>
    </row>
    <row r="822" spans="1:6" x14ac:dyDescent="0.3">
      <c r="A822" s="26" t="s">
        <v>886</v>
      </c>
      <c r="B822" s="43" t="s">
        <v>3441</v>
      </c>
      <c r="C822" s="23">
        <f>VLOOKUP(A822,'[11]Linea Industria'!$A$6:$G$1020,4,FALSE)</f>
        <v>40.08</v>
      </c>
      <c r="D822" s="23">
        <f>VLOOKUP(A822,'[11]Linea Industria'!$A$6:$G$1020,5,FALSE)</f>
        <v>45.29</v>
      </c>
      <c r="E822" s="23">
        <f>VLOOKUP(A822,'[11]Linea Industria'!$A$6:$G$1020,6,FALSE)</f>
        <v>55.66</v>
      </c>
      <c r="F822" s="23">
        <f>VLOOKUP(A822,'[11]Linea Industria'!$A$6:$G$1020,7,FALSE)</f>
        <v>62.9</v>
      </c>
    </row>
    <row r="823" spans="1:6" x14ac:dyDescent="0.3">
      <c r="A823" s="45" t="s">
        <v>887</v>
      </c>
      <c r="B823" s="43" t="s">
        <v>3442</v>
      </c>
      <c r="C823" s="23">
        <f>VLOOKUP(A823,'[11]Linea Industria'!$A$6:$G$1020,4,FALSE)</f>
        <v>40.08</v>
      </c>
      <c r="D823" s="23">
        <f>VLOOKUP(A823,'[11]Linea Industria'!$A$6:$G$1020,5,FALSE)</f>
        <v>45.29</v>
      </c>
      <c r="E823" s="23">
        <f>VLOOKUP(A823,'[11]Linea Industria'!$A$6:$G$1020,6,FALSE)</f>
        <v>55.66</v>
      </c>
      <c r="F823" s="23">
        <f>VLOOKUP(A823,'[11]Linea Industria'!$A$6:$G$1020,7,FALSE)</f>
        <v>62.9</v>
      </c>
    </row>
    <row r="824" spans="1:6" x14ac:dyDescent="0.3">
      <c r="A824" s="26" t="s">
        <v>888</v>
      </c>
      <c r="B824" s="43" t="s">
        <v>3443</v>
      </c>
      <c r="C824" s="23">
        <f>VLOOKUP(A824,'[11]Linea Industria'!$A$6:$G$1020,4,FALSE)</f>
        <v>40.08</v>
      </c>
      <c r="D824" s="23">
        <f>VLOOKUP(A824,'[11]Linea Industria'!$A$6:$G$1020,5,FALSE)</f>
        <v>45.29</v>
      </c>
      <c r="E824" s="23">
        <f>VLOOKUP(A824,'[11]Linea Industria'!$A$6:$G$1020,6,FALSE)</f>
        <v>55.66</v>
      </c>
      <c r="F824" s="23">
        <f>VLOOKUP(A824,'[11]Linea Industria'!$A$6:$G$1020,7,FALSE)</f>
        <v>62.9</v>
      </c>
    </row>
    <row r="825" spans="1:6" x14ac:dyDescent="0.3">
      <c r="A825" s="28" t="s">
        <v>889</v>
      </c>
      <c r="B825" s="43" t="s">
        <v>3440</v>
      </c>
      <c r="C825" s="23">
        <f>VLOOKUP(A825,'[11]Linea Industria'!$A$6:$G$1020,4,FALSE)</f>
        <v>40.08</v>
      </c>
      <c r="D825" s="23">
        <f>VLOOKUP(A825,'[11]Linea Industria'!$A$6:$G$1020,5,FALSE)</f>
        <v>45.29</v>
      </c>
      <c r="E825" s="23">
        <f>VLOOKUP(A825,'[11]Linea Industria'!$A$6:$G$1020,6,FALSE)</f>
        <v>55.66</v>
      </c>
      <c r="F825" s="23">
        <f>VLOOKUP(A825,'[11]Linea Industria'!$A$6:$G$1020,7,FALSE)</f>
        <v>62.9</v>
      </c>
    </row>
    <row r="826" spans="1:6" x14ac:dyDescent="0.3">
      <c r="A826" s="28" t="s">
        <v>890</v>
      </c>
      <c r="B826" s="43" t="s">
        <v>3444</v>
      </c>
      <c r="C826" s="23">
        <f>VLOOKUP(A826,'[11]Linea Industria'!$A$6:$G$1020,4,FALSE)</f>
        <v>23.51</v>
      </c>
      <c r="D826" s="23">
        <f>VLOOKUP(A826,'[11]Linea Industria'!$A$6:$G$1020,5,FALSE)</f>
        <v>26.57</v>
      </c>
      <c r="E826" s="23">
        <f>VLOOKUP(A826,'[11]Linea Industria'!$A$6:$G$1020,6,FALSE)</f>
        <v>32.65</v>
      </c>
      <c r="F826" s="23">
        <f>VLOOKUP(A826,'[11]Linea Industria'!$A$6:$G$1020,7,FALSE)</f>
        <v>36.9</v>
      </c>
    </row>
    <row r="827" spans="1:6" x14ac:dyDescent="0.3">
      <c r="A827" s="44" t="s">
        <v>891</v>
      </c>
      <c r="B827" s="43" t="s">
        <v>3445</v>
      </c>
      <c r="C827" s="23">
        <f>VLOOKUP(A827,'[11]Linea Industria'!$A$6:$G$1020,4,FALSE)</f>
        <v>23.51</v>
      </c>
      <c r="D827" s="23">
        <f>VLOOKUP(A827,'[11]Linea Industria'!$A$6:$G$1020,5,FALSE)</f>
        <v>26.57</v>
      </c>
      <c r="E827" s="23">
        <f>VLOOKUP(A827,'[11]Linea Industria'!$A$6:$G$1020,6,FALSE)</f>
        <v>32.65</v>
      </c>
      <c r="F827" s="23">
        <f>VLOOKUP(A827,'[11]Linea Industria'!$A$6:$G$1020,7,FALSE)</f>
        <v>36.9</v>
      </c>
    </row>
    <row r="828" spans="1:6" x14ac:dyDescent="0.3">
      <c r="A828" s="28" t="s">
        <v>892</v>
      </c>
      <c r="B828" s="43" t="s">
        <v>3446</v>
      </c>
      <c r="C828" s="23">
        <f>VLOOKUP(A828,'[11]Linea Industria'!$A$6:$G$1020,4,FALSE)</f>
        <v>23.51</v>
      </c>
      <c r="D828" s="23">
        <f>VLOOKUP(A828,'[11]Linea Industria'!$A$6:$G$1020,5,FALSE)</f>
        <v>26.57</v>
      </c>
      <c r="E828" s="23">
        <f>VLOOKUP(A828,'[11]Linea Industria'!$A$6:$G$1020,6,FALSE)</f>
        <v>32.65</v>
      </c>
      <c r="F828" s="23">
        <f>VLOOKUP(A828,'[11]Linea Industria'!$A$6:$G$1020,7,FALSE)</f>
        <v>36.9</v>
      </c>
    </row>
    <row r="829" spans="1:6" x14ac:dyDescent="0.3">
      <c r="A829" s="26" t="s">
        <v>893</v>
      </c>
      <c r="B829" s="43" t="s">
        <v>3444</v>
      </c>
      <c r="C829" s="23">
        <f>VLOOKUP(A829,'[11]Linea Industria'!$A$6:$G$1020,4,FALSE)</f>
        <v>107.04</v>
      </c>
      <c r="D829" s="23">
        <f>VLOOKUP(A829,'[11]Linea Industria'!$A$6:$G$1020,5,FALSE)</f>
        <v>120.96</v>
      </c>
      <c r="E829" s="23">
        <f>VLOOKUP(A829,'[11]Linea Industria'!$A$6:$G$1020,6,FALSE)</f>
        <v>148.66999999999999</v>
      </c>
      <c r="F829" s="23">
        <f>VLOOKUP(A829,'[11]Linea Industria'!$A$6:$G$1020,7,FALSE)</f>
        <v>168</v>
      </c>
    </row>
    <row r="830" spans="1:6" x14ac:dyDescent="0.3">
      <c r="A830" s="45" t="s">
        <v>894</v>
      </c>
      <c r="B830" s="43" t="s">
        <v>3445</v>
      </c>
      <c r="C830" s="23">
        <f>VLOOKUP(A830,'[11]Linea Industria'!$A$6:$G$1020,4,FALSE)</f>
        <v>107.04</v>
      </c>
      <c r="D830" s="23">
        <f>VLOOKUP(A830,'[11]Linea Industria'!$A$6:$G$1020,5,FALSE)</f>
        <v>120.96</v>
      </c>
      <c r="E830" s="23">
        <f>VLOOKUP(A830,'[11]Linea Industria'!$A$6:$G$1020,6,FALSE)</f>
        <v>148.66999999999999</v>
      </c>
      <c r="F830" s="23">
        <f>VLOOKUP(A830,'[11]Linea Industria'!$A$6:$G$1020,7,FALSE)</f>
        <v>168</v>
      </c>
    </row>
    <row r="831" spans="1:6" x14ac:dyDescent="0.3">
      <c r="A831" s="26" t="s">
        <v>895</v>
      </c>
      <c r="B831" s="43" t="s">
        <v>3446</v>
      </c>
      <c r="C831" s="23">
        <f>VLOOKUP(A831,'[11]Linea Industria'!$A$6:$G$1020,4,FALSE)</f>
        <v>107.04</v>
      </c>
      <c r="D831" s="23">
        <f>VLOOKUP(A831,'[11]Linea Industria'!$A$6:$G$1020,5,FALSE)</f>
        <v>120.96</v>
      </c>
      <c r="E831" s="23">
        <f>VLOOKUP(A831,'[11]Linea Industria'!$A$6:$G$1020,6,FALSE)</f>
        <v>148.66999999999999</v>
      </c>
      <c r="F831" s="23">
        <f>VLOOKUP(A831,'[11]Linea Industria'!$A$6:$G$1020,7,FALSE)</f>
        <v>168</v>
      </c>
    </row>
    <row r="832" spans="1:6" x14ac:dyDescent="0.3">
      <c r="A832" s="44" t="s">
        <v>896</v>
      </c>
      <c r="B832" s="43" t="s">
        <v>897</v>
      </c>
      <c r="C832" s="23">
        <f>VLOOKUP(A832,'[11]Linea Industria'!$A$6:$G$1020,4,FALSE)</f>
        <v>5.51</v>
      </c>
      <c r="D832" s="23">
        <f>VLOOKUP(A832,'[11]Linea Industria'!$A$6:$G$1020,5,FALSE)</f>
        <v>6.23</v>
      </c>
      <c r="E832" s="23">
        <f>VLOOKUP(A832,'[11]Linea Industria'!$A$6:$G$1020,6,FALSE)</f>
        <v>7.88</v>
      </c>
      <c r="F832" s="23">
        <f>VLOOKUP(A832,'[11]Linea Industria'!$A$6:$G$1020,7,FALSE)</f>
        <v>8.9</v>
      </c>
    </row>
    <row r="833" spans="1:6" x14ac:dyDescent="0.3">
      <c r="A833" s="44" t="s">
        <v>898</v>
      </c>
      <c r="B833" s="43" t="s">
        <v>899</v>
      </c>
      <c r="C833" s="23">
        <f>VLOOKUP(A833,'[11]Linea Industria'!$A$6:$G$1020,4,FALSE)</f>
        <v>5.51</v>
      </c>
      <c r="D833" s="23">
        <f>VLOOKUP(A833,'[11]Linea Industria'!$A$6:$G$1020,5,FALSE)</f>
        <v>6.23</v>
      </c>
      <c r="E833" s="23">
        <f>VLOOKUP(A833,'[11]Linea Industria'!$A$6:$G$1020,6,FALSE)</f>
        <v>7.88</v>
      </c>
      <c r="F833" s="23">
        <f>VLOOKUP(A833,'[11]Linea Industria'!$A$6:$G$1020,7,FALSE)</f>
        <v>8.9</v>
      </c>
    </row>
    <row r="834" spans="1:6" x14ac:dyDescent="0.3">
      <c r="A834" s="44" t="s">
        <v>900</v>
      </c>
      <c r="B834" s="43" t="s">
        <v>901</v>
      </c>
      <c r="C834" s="23">
        <f>VLOOKUP(A834,'[11]Linea Industria'!$A$6:$G$1020,4,FALSE)</f>
        <v>5.51</v>
      </c>
      <c r="D834" s="23">
        <f>VLOOKUP(A834,'[11]Linea Industria'!$A$6:$G$1020,5,FALSE)</f>
        <v>6.23</v>
      </c>
      <c r="E834" s="23">
        <f>VLOOKUP(A834,'[11]Linea Industria'!$A$6:$G$1020,6,FALSE)</f>
        <v>7.88</v>
      </c>
      <c r="F834" s="23">
        <f>VLOOKUP(A834,'[11]Linea Industria'!$A$6:$G$1020,7,FALSE)</f>
        <v>8.9</v>
      </c>
    </row>
    <row r="835" spans="1:6" x14ac:dyDescent="0.3">
      <c r="A835" s="45" t="s">
        <v>902</v>
      </c>
      <c r="B835" s="43" t="s">
        <v>903</v>
      </c>
      <c r="C835" s="23">
        <f>VLOOKUP(A835,'[11]Linea Industria'!$A$6:$G$1020,4,FALSE)</f>
        <v>5.51</v>
      </c>
      <c r="D835" s="23">
        <f>VLOOKUP(A835,'[11]Linea Industria'!$A$6:$G$1020,5,FALSE)</f>
        <v>6.23</v>
      </c>
      <c r="E835" s="23">
        <f>VLOOKUP(A835,'[11]Linea Industria'!$A$6:$G$1020,6,FALSE)</f>
        <v>7.88</v>
      </c>
      <c r="F835" s="23">
        <f>VLOOKUP(A835,'[11]Linea Industria'!$A$6:$G$1020,7,FALSE)</f>
        <v>8.9</v>
      </c>
    </row>
    <row r="836" spans="1:6" x14ac:dyDescent="0.3">
      <c r="A836" s="45" t="s">
        <v>904</v>
      </c>
      <c r="B836" s="43" t="s">
        <v>905</v>
      </c>
      <c r="C836" s="23">
        <f>VLOOKUP(A836,'[11]Linea Industria'!$A$6:$G$1020,4,FALSE)</f>
        <v>5.51</v>
      </c>
      <c r="D836" s="23">
        <f>VLOOKUP(A836,'[11]Linea Industria'!$A$6:$G$1020,5,FALSE)</f>
        <v>6.23</v>
      </c>
      <c r="E836" s="23">
        <f>VLOOKUP(A836,'[11]Linea Industria'!$A$6:$G$1020,6,FALSE)</f>
        <v>7.88</v>
      </c>
      <c r="F836" s="23">
        <f>VLOOKUP(A836,'[11]Linea Industria'!$A$6:$G$1020,7,FALSE)</f>
        <v>8.9</v>
      </c>
    </row>
    <row r="837" spans="1:6" x14ac:dyDescent="0.3">
      <c r="A837" s="45" t="s">
        <v>906</v>
      </c>
      <c r="B837" s="43" t="s">
        <v>907</v>
      </c>
      <c r="C837" s="23">
        <f>VLOOKUP(A837,'[11]Linea Industria'!$A$6:$G$1020,4,FALSE)</f>
        <v>5.51</v>
      </c>
      <c r="D837" s="23">
        <f>VLOOKUP(A837,'[11]Linea Industria'!$A$6:$G$1020,5,FALSE)</f>
        <v>6.23</v>
      </c>
      <c r="E837" s="23">
        <f>VLOOKUP(A837,'[11]Linea Industria'!$A$6:$G$1020,6,FALSE)</f>
        <v>7.88</v>
      </c>
      <c r="F837" s="23">
        <f>VLOOKUP(A837,'[11]Linea Industria'!$A$6:$G$1020,7,FALSE)</f>
        <v>8.9</v>
      </c>
    </row>
    <row r="838" spans="1:6" x14ac:dyDescent="0.3">
      <c r="A838" s="45" t="s">
        <v>908</v>
      </c>
      <c r="B838" s="43" t="s">
        <v>909</v>
      </c>
      <c r="C838" s="23">
        <f>VLOOKUP(A838,'[11]Linea Industria'!$A$6:$G$1020,4,FALSE)</f>
        <v>5.51</v>
      </c>
      <c r="D838" s="23">
        <f>VLOOKUP(A838,'[11]Linea Industria'!$A$6:$G$1020,5,FALSE)</f>
        <v>6.23</v>
      </c>
      <c r="E838" s="23">
        <f>VLOOKUP(A838,'[11]Linea Industria'!$A$6:$G$1020,6,FALSE)</f>
        <v>7.88</v>
      </c>
      <c r="F838" s="23">
        <f>VLOOKUP(A838,'[11]Linea Industria'!$A$6:$G$1020,7,FALSE)</f>
        <v>8.9</v>
      </c>
    </row>
    <row r="839" spans="1:6" x14ac:dyDescent="0.3">
      <c r="A839" s="45" t="s">
        <v>910</v>
      </c>
      <c r="B839" s="43" t="s">
        <v>897</v>
      </c>
      <c r="C839" s="23">
        <f>VLOOKUP(A839,'[11]Linea Industria'!$A$6:$G$1020,4,FALSE)</f>
        <v>20.13</v>
      </c>
      <c r="D839" s="23">
        <f>VLOOKUP(A839,'[11]Linea Industria'!$A$6:$G$1020,5,FALSE)</f>
        <v>22.75</v>
      </c>
      <c r="E839" s="23">
        <f>VLOOKUP(A839,'[11]Linea Industria'!$A$6:$G$1020,6,FALSE)</f>
        <v>28.76</v>
      </c>
      <c r="F839" s="23">
        <f>VLOOKUP(A839,'[11]Linea Industria'!$A$6:$G$1020,7,FALSE)</f>
        <v>32.5</v>
      </c>
    </row>
    <row r="840" spans="1:6" x14ac:dyDescent="0.3">
      <c r="A840" s="45" t="s">
        <v>911</v>
      </c>
      <c r="B840" s="43" t="s">
        <v>899</v>
      </c>
      <c r="C840" s="23">
        <f>VLOOKUP(A840,'[11]Linea Industria'!$A$6:$G$1020,4,FALSE)</f>
        <v>20.13</v>
      </c>
      <c r="D840" s="23">
        <f>VLOOKUP(A840,'[11]Linea Industria'!$A$6:$G$1020,5,FALSE)</f>
        <v>22.75</v>
      </c>
      <c r="E840" s="23">
        <f>VLOOKUP(A840,'[11]Linea Industria'!$A$6:$G$1020,6,FALSE)</f>
        <v>28.76</v>
      </c>
      <c r="F840" s="23">
        <f>VLOOKUP(A840,'[11]Linea Industria'!$A$6:$G$1020,7,FALSE)</f>
        <v>32.5</v>
      </c>
    </row>
    <row r="841" spans="1:6" x14ac:dyDescent="0.3">
      <c r="A841" s="45" t="s">
        <v>912</v>
      </c>
      <c r="B841" s="43" t="s">
        <v>901</v>
      </c>
      <c r="C841" s="23">
        <f>VLOOKUP(A841,'[11]Linea Industria'!$A$6:$G$1020,4,FALSE)</f>
        <v>20.13</v>
      </c>
      <c r="D841" s="23">
        <f>VLOOKUP(A841,'[11]Linea Industria'!$A$6:$G$1020,5,FALSE)</f>
        <v>22.75</v>
      </c>
      <c r="E841" s="23">
        <f>VLOOKUP(A841,'[11]Linea Industria'!$A$6:$G$1020,6,FALSE)</f>
        <v>28.76</v>
      </c>
      <c r="F841" s="23">
        <f>VLOOKUP(A841,'[11]Linea Industria'!$A$6:$G$1020,7,FALSE)</f>
        <v>32.5</v>
      </c>
    </row>
    <row r="842" spans="1:6" x14ac:dyDescent="0.3">
      <c r="A842" s="45" t="s">
        <v>913</v>
      </c>
      <c r="B842" s="43" t="s">
        <v>903</v>
      </c>
      <c r="C842" s="23">
        <f>VLOOKUP(A842,'[11]Linea Industria'!$A$6:$G$1020,4,FALSE)</f>
        <v>20.13</v>
      </c>
      <c r="D842" s="23">
        <f>VLOOKUP(A842,'[11]Linea Industria'!$A$6:$G$1020,5,FALSE)</f>
        <v>22.75</v>
      </c>
      <c r="E842" s="23">
        <f>VLOOKUP(A842,'[11]Linea Industria'!$A$6:$G$1020,6,FALSE)</f>
        <v>28.76</v>
      </c>
      <c r="F842" s="23">
        <f>VLOOKUP(A842,'[11]Linea Industria'!$A$6:$G$1020,7,FALSE)</f>
        <v>32.5</v>
      </c>
    </row>
    <row r="843" spans="1:6" x14ac:dyDescent="0.3">
      <c r="A843" s="45" t="s">
        <v>914</v>
      </c>
      <c r="B843" s="43" t="s">
        <v>905</v>
      </c>
      <c r="C843" s="23">
        <f>VLOOKUP(A843,'[11]Linea Industria'!$A$6:$G$1020,4,FALSE)</f>
        <v>20.13</v>
      </c>
      <c r="D843" s="23">
        <f>VLOOKUP(A843,'[11]Linea Industria'!$A$6:$G$1020,5,FALSE)</f>
        <v>22.75</v>
      </c>
      <c r="E843" s="23">
        <f>VLOOKUP(A843,'[11]Linea Industria'!$A$6:$G$1020,6,FALSE)</f>
        <v>28.76</v>
      </c>
      <c r="F843" s="23">
        <f>VLOOKUP(A843,'[11]Linea Industria'!$A$6:$G$1020,7,FALSE)</f>
        <v>32.5</v>
      </c>
    </row>
    <row r="844" spans="1:6" x14ac:dyDescent="0.3">
      <c r="A844" s="45" t="s">
        <v>915</v>
      </c>
      <c r="B844" s="43" t="s">
        <v>907</v>
      </c>
      <c r="C844" s="23">
        <f>VLOOKUP(A844,'[11]Linea Industria'!$A$6:$G$1020,4,FALSE)</f>
        <v>20.13</v>
      </c>
      <c r="D844" s="23">
        <f>VLOOKUP(A844,'[11]Linea Industria'!$A$6:$G$1020,5,FALSE)</f>
        <v>22.75</v>
      </c>
      <c r="E844" s="23">
        <f>VLOOKUP(A844,'[11]Linea Industria'!$A$6:$G$1020,6,FALSE)</f>
        <v>28.76</v>
      </c>
      <c r="F844" s="23">
        <f>VLOOKUP(A844,'[11]Linea Industria'!$A$6:$G$1020,7,FALSE)</f>
        <v>32.5</v>
      </c>
    </row>
    <row r="845" spans="1:6" x14ac:dyDescent="0.3">
      <c r="A845" s="45" t="s">
        <v>916</v>
      </c>
      <c r="B845" s="43" t="s">
        <v>909</v>
      </c>
      <c r="C845" s="23">
        <f>VLOOKUP(A845,'[11]Linea Industria'!$A$6:$G$1020,4,FALSE)</f>
        <v>20.13</v>
      </c>
      <c r="D845" s="23">
        <f>VLOOKUP(A845,'[11]Linea Industria'!$A$6:$G$1020,5,FALSE)</f>
        <v>22.75</v>
      </c>
      <c r="E845" s="23">
        <f>VLOOKUP(A845,'[11]Linea Industria'!$A$6:$G$1020,6,FALSE)</f>
        <v>28.76</v>
      </c>
      <c r="F845" s="23">
        <f>VLOOKUP(A845,'[11]Linea Industria'!$A$6:$G$1020,7,FALSE)</f>
        <v>32.5</v>
      </c>
    </row>
    <row r="846" spans="1:6" x14ac:dyDescent="0.3">
      <c r="A846" s="45" t="s">
        <v>917</v>
      </c>
      <c r="B846" s="43" t="s">
        <v>3447</v>
      </c>
      <c r="C846" s="23">
        <f>VLOOKUP(A846,'[11]Linea Industria'!$A$6:$G$1020,4,FALSE)</f>
        <v>20.13</v>
      </c>
      <c r="D846" s="23">
        <f>VLOOKUP(A846,'[11]Linea Industria'!$A$6:$G$1020,5,FALSE)</f>
        <v>22.75</v>
      </c>
      <c r="E846" s="23">
        <f>VLOOKUP(A846,'[11]Linea Industria'!$A$6:$G$1020,6,FALSE)</f>
        <v>28.76</v>
      </c>
      <c r="F846" s="23">
        <f>VLOOKUP(A846,'[11]Linea Industria'!$A$6:$G$1020,7,FALSE)</f>
        <v>32.5</v>
      </c>
    </row>
    <row r="847" spans="1:6" x14ac:dyDescent="0.3">
      <c r="A847" s="45" t="s">
        <v>918</v>
      </c>
      <c r="B847" s="43" t="s">
        <v>897</v>
      </c>
      <c r="C847" s="23">
        <f>VLOOKUP(A847,'[11]Linea Industria'!$A$6:$G$1020,4,FALSE)</f>
        <v>89.2</v>
      </c>
      <c r="D847" s="23">
        <f>VLOOKUP(A847,'[11]Linea Industria'!$A$6:$G$1020,5,FALSE)</f>
        <v>100.8</v>
      </c>
      <c r="E847" s="23">
        <f>VLOOKUP(A847,'[11]Linea Industria'!$A$6:$G$1020,6,FALSE)</f>
        <v>127.43</v>
      </c>
      <c r="F847" s="23">
        <f>VLOOKUP(A847,'[11]Linea Industria'!$A$6:$G$1020,7,FALSE)</f>
        <v>144</v>
      </c>
    </row>
    <row r="848" spans="1:6" x14ac:dyDescent="0.3">
      <c r="A848" s="45" t="s">
        <v>919</v>
      </c>
      <c r="B848" s="43" t="s">
        <v>899</v>
      </c>
      <c r="C848" s="23">
        <f>VLOOKUP(A848,'[11]Linea Industria'!$A$6:$G$1020,4,FALSE)</f>
        <v>89.2</v>
      </c>
      <c r="D848" s="23">
        <f>VLOOKUP(A848,'[11]Linea Industria'!$A$6:$G$1020,5,FALSE)</f>
        <v>100.8</v>
      </c>
      <c r="E848" s="23">
        <f>VLOOKUP(A848,'[11]Linea Industria'!$A$6:$G$1020,6,FALSE)</f>
        <v>127.43</v>
      </c>
      <c r="F848" s="23">
        <f>VLOOKUP(A848,'[11]Linea Industria'!$A$6:$G$1020,7,FALSE)</f>
        <v>144</v>
      </c>
    </row>
    <row r="849" spans="1:6" x14ac:dyDescent="0.3">
      <c r="A849" s="45" t="s">
        <v>920</v>
      </c>
      <c r="B849" s="43" t="s">
        <v>901</v>
      </c>
      <c r="C849" s="23">
        <f>VLOOKUP(A849,'[11]Linea Industria'!$A$6:$G$1020,4,FALSE)</f>
        <v>89.2</v>
      </c>
      <c r="D849" s="23">
        <f>VLOOKUP(A849,'[11]Linea Industria'!$A$6:$G$1020,5,FALSE)</f>
        <v>100.8</v>
      </c>
      <c r="E849" s="23">
        <f>VLOOKUP(A849,'[11]Linea Industria'!$A$6:$G$1020,6,FALSE)</f>
        <v>127.43</v>
      </c>
      <c r="F849" s="23">
        <f>VLOOKUP(A849,'[11]Linea Industria'!$A$6:$G$1020,7,FALSE)</f>
        <v>144</v>
      </c>
    </row>
    <row r="850" spans="1:6" x14ac:dyDescent="0.3">
      <c r="A850" s="45" t="s">
        <v>921</v>
      </c>
      <c r="B850" s="43" t="s">
        <v>903</v>
      </c>
      <c r="C850" s="23">
        <f>VLOOKUP(A850,'[11]Linea Industria'!$A$6:$G$1020,4,FALSE)</f>
        <v>89.2</v>
      </c>
      <c r="D850" s="23">
        <f>VLOOKUP(A850,'[11]Linea Industria'!$A$6:$G$1020,5,FALSE)</f>
        <v>100.8</v>
      </c>
      <c r="E850" s="23">
        <f>VLOOKUP(A850,'[11]Linea Industria'!$A$6:$G$1020,6,FALSE)</f>
        <v>127.43</v>
      </c>
      <c r="F850" s="23">
        <f>VLOOKUP(A850,'[11]Linea Industria'!$A$6:$G$1020,7,FALSE)</f>
        <v>144</v>
      </c>
    </row>
    <row r="851" spans="1:6" x14ac:dyDescent="0.3">
      <c r="A851" s="45" t="s">
        <v>922</v>
      </c>
      <c r="B851" s="43" t="s">
        <v>905</v>
      </c>
      <c r="C851" s="23">
        <f>VLOOKUP(A851,'[11]Linea Industria'!$A$6:$G$1020,4,FALSE)</f>
        <v>89.2</v>
      </c>
      <c r="D851" s="23">
        <f>VLOOKUP(A851,'[11]Linea Industria'!$A$6:$G$1020,5,FALSE)</f>
        <v>100.8</v>
      </c>
      <c r="E851" s="23">
        <f>VLOOKUP(A851,'[11]Linea Industria'!$A$6:$G$1020,6,FALSE)</f>
        <v>127.43</v>
      </c>
      <c r="F851" s="23">
        <f>VLOOKUP(A851,'[11]Linea Industria'!$A$6:$G$1020,7,FALSE)</f>
        <v>144</v>
      </c>
    </row>
    <row r="852" spans="1:6" x14ac:dyDescent="0.3">
      <c r="A852" s="45" t="s">
        <v>923</v>
      </c>
      <c r="B852" s="43" t="s">
        <v>907</v>
      </c>
      <c r="C852" s="23">
        <f>VLOOKUP(A852,'[11]Linea Industria'!$A$6:$G$1020,4,FALSE)</f>
        <v>89.2</v>
      </c>
      <c r="D852" s="23">
        <f>VLOOKUP(A852,'[11]Linea Industria'!$A$6:$G$1020,5,FALSE)</f>
        <v>100.8</v>
      </c>
      <c r="E852" s="23">
        <f>VLOOKUP(A852,'[11]Linea Industria'!$A$6:$G$1020,6,FALSE)</f>
        <v>127.43</v>
      </c>
      <c r="F852" s="23">
        <f>VLOOKUP(A852,'[11]Linea Industria'!$A$6:$G$1020,7,FALSE)</f>
        <v>144</v>
      </c>
    </row>
    <row r="853" spans="1:6" x14ac:dyDescent="0.3">
      <c r="A853" s="45" t="s">
        <v>924</v>
      </c>
      <c r="B853" s="43" t="s">
        <v>909</v>
      </c>
      <c r="C853" s="23">
        <f>VLOOKUP(A853,'[11]Linea Industria'!$A$6:$G$1020,4,FALSE)</f>
        <v>89.2</v>
      </c>
      <c r="D853" s="23">
        <f>VLOOKUP(A853,'[11]Linea Industria'!$A$6:$G$1020,5,FALSE)</f>
        <v>100.8</v>
      </c>
      <c r="E853" s="23">
        <f>VLOOKUP(A853,'[11]Linea Industria'!$A$6:$G$1020,6,FALSE)</f>
        <v>127.43</v>
      </c>
      <c r="F853" s="23">
        <f>VLOOKUP(A853,'[11]Linea Industria'!$A$6:$G$1020,7,FALSE)</f>
        <v>144</v>
      </c>
    </row>
    <row r="854" spans="1:6" x14ac:dyDescent="0.3">
      <c r="A854" s="45" t="s">
        <v>925</v>
      </c>
      <c r="B854" s="43" t="s">
        <v>3447</v>
      </c>
      <c r="C854" s="23">
        <f>VLOOKUP(A854,'[11]Linea Industria'!$A$6:$G$1020,4,FALSE)</f>
        <v>89.2</v>
      </c>
      <c r="D854" s="23">
        <f>VLOOKUP(A854,'[11]Linea Industria'!$A$6:$G$1020,5,FALSE)</f>
        <v>100.8</v>
      </c>
      <c r="E854" s="23">
        <f>VLOOKUP(A854,'[11]Linea Industria'!$A$6:$G$1020,6,FALSE)</f>
        <v>127.43</v>
      </c>
      <c r="F854" s="23">
        <f>VLOOKUP(A854,'[11]Linea Industria'!$A$6:$G$1020,7,FALSE)</f>
        <v>144</v>
      </c>
    </row>
    <row r="855" spans="1:6" x14ac:dyDescent="0.3">
      <c r="A855" s="26" t="s">
        <v>926</v>
      </c>
      <c r="B855" s="43" t="s">
        <v>3448</v>
      </c>
      <c r="C855" s="23">
        <f>VLOOKUP(A855,'[11]Linea Industria'!$A$6:$G$1020,4,FALSE)</f>
        <v>54.82</v>
      </c>
      <c r="D855" s="23">
        <f>VLOOKUP(A855,'[11]Linea Industria'!$A$6:$G$1020,5,FALSE)</f>
        <v>61.95</v>
      </c>
      <c r="E855" s="23">
        <f>VLOOKUP(A855,'[11]Linea Industria'!$A$6:$G$1020,6,FALSE)</f>
        <v>78.319999999999993</v>
      </c>
      <c r="F855" s="23">
        <f>VLOOKUP(A855,'[11]Linea Industria'!$A$6:$G$1020,7,FALSE)</f>
        <v>88.5</v>
      </c>
    </row>
    <row r="856" spans="1:6" x14ac:dyDescent="0.3">
      <c r="A856" s="46" t="s">
        <v>927</v>
      </c>
      <c r="B856" s="43" t="s">
        <v>3449</v>
      </c>
      <c r="C856" s="23">
        <f>VLOOKUP(A856,'[11]Linea Industria'!$A$6:$G$1020,4,FALSE)</f>
        <v>54.82</v>
      </c>
      <c r="D856" s="23">
        <f>VLOOKUP(A856,'[11]Linea Industria'!$A$6:$G$1020,5,FALSE)</f>
        <v>61.95</v>
      </c>
      <c r="E856" s="23">
        <f>VLOOKUP(A856,'[11]Linea Industria'!$A$6:$G$1020,6,FALSE)</f>
        <v>78.319999999999993</v>
      </c>
      <c r="F856" s="23">
        <f>VLOOKUP(A856,'[11]Linea Industria'!$A$6:$G$1020,7,FALSE)</f>
        <v>88.5</v>
      </c>
    </row>
    <row r="857" spans="1:6" x14ac:dyDescent="0.3">
      <c r="A857" s="46" t="s">
        <v>928</v>
      </c>
      <c r="B857" s="43" t="s">
        <v>3450</v>
      </c>
      <c r="C857" s="23">
        <f>VLOOKUP(A857,'[11]Linea Industria'!$A$6:$G$1020,4,FALSE)</f>
        <v>54.82</v>
      </c>
      <c r="D857" s="23">
        <f>VLOOKUP(A857,'[11]Linea Industria'!$A$6:$G$1020,5,FALSE)</f>
        <v>61.95</v>
      </c>
      <c r="E857" s="23">
        <f>VLOOKUP(A857,'[11]Linea Industria'!$A$6:$G$1020,6,FALSE)</f>
        <v>78.319999999999993</v>
      </c>
      <c r="F857" s="23">
        <f>VLOOKUP(A857,'[11]Linea Industria'!$A$6:$G$1020,7,FALSE)</f>
        <v>88.5</v>
      </c>
    </row>
    <row r="858" spans="1:6" x14ac:dyDescent="0.3">
      <c r="A858" s="46" t="s">
        <v>929</v>
      </c>
      <c r="B858" s="43" t="s">
        <v>3451</v>
      </c>
      <c r="C858" s="23">
        <f>VLOOKUP(A858,'[11]Linea Industria'!$A$6:$G$1020,4,FALSE)</f>
        <v>54.82</v>
      </c>
      <c r="D858" s="23">
        <f>VLOOKUP(A858,'[11]Linea Industria'!$A$6:$G$1020,5,FALSE)</f>
        <v>61.95</v>
      </c>
      <c r="E858" s="23">
        <f>VLOOKUP(A858,'[11]Linea Industria'!$A$6:$G$1020,6,FALSE)</f>
        <v>78.319999999999993</v>
      </c>
      <c r="F858" s="23">
        <f>VLOOKUP(A858,'[11]Linea Industria'!$A$6:$G$1020,7,FALSE)</f>
        <v>88.5</v>
      </c>
    </row>
    <row r="859" spans="1:6" x14ac:dyDescent="0.3">
      <c r="A859" s="46" t="s">
        <v>930</v>
      </c>
      <c r="B859" s="43" t="s">
        <v>3452</v>
      </c>
      <c r="C859" s="23">
        <f>VLOOKUP(A859,'[11]Linea Industria'!$A$6:$G$1020,4,FALSE)</f>
        <v>54.82</v>
      </c>
      <c r="D859" s="23">
        <f>VLOOKUP(A859,'[11]Linea Industria'!$A$6:$G$1020,5,FALSE)</f>
        <v>61.95</v>
      </c>
      <c r="E859" s="23">
        <f>VLOOKUP(A859,'[11]Linea Industria'!$A$6:$G$1020,6,FALSE)</f>
        <v>78.319999999999993</v>
      </c>
      <c r="F859" s="23">
        <f>VLOOKUP(A859,'[11]Linea Industria'!$A$6:$G$1020,7,FALSE)</f>
        <v>88.5</v>
      </c>
    </row>
    <row r="860" spans="1:6" x14ac:dyDescent="0.3">
      <c r="A860" s="46" t="s">
        <v>931</v>
      </c>
      <c r="B860" s="43" t="s">
        <v>3453</v>
      </c>
      <c r="C860" s="23">
        <f>VLOOKUP(A860,'[11]Linea Industria'!$A$6:$G$1020,4,FALSE)</f>
        <v>54.82</v>
      </c>
      <c r="D860" s="23">
        <f>VLOOKUP(A860,'[11]Linea Industria'!$A$6:$G$1020,5,FALSE)</f>
        <v>61.95</v>
      </c>
      <c r="E860" s="23">
        <f>VLOOKUP(A860,'[11]Linea Industria'!$A$6:$G$1020,6,FALSE)</f>
        <v>78.319999999999993</v>
      </c>
      <c r="F860" s="23">
        <f>VLOOKUP(A860,'[11]Linea Industria'!$A$6:$G$1020,7,FALSE)</f>
        <v>88.5</v>
      </c>
    </row>
    <row r="861" spans="1:6" x14ac:dyDescent="0.3">
      <c r="A861" s="46" t="s">
        <v>932</v>
      </c>
      <c r="B861" s="43" t="s">
        <v>3454</v>
      </c>
      <c r="C861" s="23">
        <f>VLOOKUP(A861,'[11]Linea Industria'!$A$6:$G$1020,4,FALSE)</f>
        <v>54.82</v>
      </c>
      <c r="D861" s="23">
        <f>VLOOKUP(A861,'[11]Linea Industria'!$A$6:$G$1020,5,FALSE)</f>
        <v>61.95</v>
      </c>
      <c r="E861" s="23">
        <f>VLOOKUP(A861,'[11]Linea Industria'!$A$6:$G$1020,6,FALSE)</f>
        <v>78.319999999999993</v>
      </c>
      <c r="F861" s="23">
        <f>VLOOKUP(A861,'[11]Linea Industria'!$A$6:$G$1020,7,FALSE)</f>
        <v>88.5</v>
      </c>
    </row>
    <row r="862" spans="1:6" x14ac:dyDescent="0.3">
      <c r="A862" s="46" t="s">
        <v>933</v>
      </c>
      <c r="B862" s="43" t="s">
        <v>3455</v>
      </c>
      <c r="C862" s="23">
        <f>VLOOKUP(A862,'[11]Linea Industria'!$A$6:$G$1020,4,FALSE)</f>
        <v>54.82</v>
      </c>
      <c r="D862" s="23">
        <f>VLOOKUP(A862,'[11]Linea Industria'!$A$6:$G$1020,5,FALSE)</f>
        <v>61.95</v>
      </c>
      <c r="E862" s="23">
        <f>VLOOKUP(A862,'[11]Linea Industria'!$A$6:$G$1020,6,FALSE)</f>
        <v>78.319999999999993</v>
      </c>
      <c r="F862" s="23">
        <f>VLOOKUP(A862,'[11]Linea Industria'!$A$6:$G$1020,7,FALSE)</f>
        <v>88.5</v>
      </c>
    </row>
    <row r="863" spans="1:6" x14ac:dyDescent="0.3">
      <c r="A863" s="46" t="s">
        <v>934</v>
      </c>
      <c r="B863" s="43" t="s">
        <v>3456</v>
      </c>
      <c r="C863" s="23">
        <f>VLOOKUP(A863,'[11]Linea Industria'!$A$6:$G$1020,4,FALSE)</f>
        <v>54.82</v>
      </c>
      <c r="D863" s="23">
        <f>VLOOKUP(A863,'[11]Linea Industria'!$A$6:$G$1020,5,FALSE)</f>
        <v>61.95</v>
      </c>
      <c r="E863" s="23">
        <f>VLOOKUP(A863,'[11]Linea Industria'!$A$6:$G$1020,6,FALSE)</f>
        <v>78.319999999999993</v>
      </c>
      <c r="F863" s="23">
        <f>VLOOKUP(A863,'[11]Linea Industria'!$A$6:$G$1020,7,FALSE)</f>
        <v>88.5</v>
      </c>
    </row>
    <row r="864" spans="1:6" x14ac:dyDescent="0.3">
      <c r="A864" s="46" t="s">
        <v>935</v>
      </c>
      <c r="B864" s="43" t="s">
        <v>3457</v>
      </c>
      <c r="C864" s="23">
        <f>VLOOKUP(A864,'[11]Linea Industria'!$A$6:$G$1020,4,FALSE)</f>
        <v>54.82</v>
      </c>
      <c r="D864" s="23">
        <f>VLOOKUP(A864,'[11]Linea Industria'!$A$6:$G$1020,5,FALSE)</f>
        <v>61.95</v>
      </c>
      <c r="E864" s="23">
        <f>VLOOKUP(A864,'[11]Linea Industria'!$A$6:$G$1020,6,FALSE)</f>
        <v>78.319999999999993</v>
      </c>
      <c r="F864" s="23">
        <f>VLOOKUP(A864,'[11]Linea Industria'!$A$6:$G$1020,7,FALSE)</f>
        <v>88.5</v>
      </c>
    </row>
    <row r="865" spans="1:6" x14ac:dyDescent="0.3">
      <c r="A865" s="46" t="s">
        <v>936</v>
      </c>
      <c r="B865" s="43" t="s">
        <v>3458</v>
      </c>
      <c r="C865" s="23">
        <f>VLOOKUP(A865,'[11]Linea Industria'!$A$6:$G$1020,4,FALSE)</f>
        <v>54.82</v>
      </c>
      <c r="D865" s="23">
        <f>VLOOKUP(A865,'[11]Linea Industria'!$A$6:$G$1020,5,FALSE)</f>
        <v>61.95</v>
      </c>
      <c r="E865" s="23">
        <f>VLOOKUP(A865,'[11]Linea Industria'!$A$6:$G$1020,6,FALSE)</f>
        <v>78.319999999999993</v>
      </c>
      <c r="F865" s="23">
        <f>VLOOKUP(A865,'[11]Linea Industria'!$A$6:$G$1020,7,FALSE)</f>
        <v>88.5</v>
      </c>
    </row>
    <row r="866" spans="1:6" x14ac:dyDescent="0.3">
      <c r="A866" s="46" t="s">
        <v>937</v>
      </c>
      <c r="B866" s="43" t="s">
        <v>3459</v>
      </c>
      <c r="C866" s="23">
        <f>VLOOKUP(A866,'[11]Linea Industria'!$A$6:$G$1020,4,FALSE)</f>
        <v>54.82</v>
      </c>
      <c r="D866" s="23">
        <f>VLOOKUP(A866,'[11]Linea Industria'!$A$6:$G$1020,5,FALSE)</f>
        <v>61.95</v>
      </c>
      <c r="E866" s="23">
        <f>VLOOKUP(A866,'[11]Linea Industria'!$A$6:$G$1020,6,FALSE)</f>
        <v>78.319999999999993</v>
      </c>
      <c r="F866" s="23">
        <f>VLOOKUP(A866,'[11]Linea Industria'!$A$6:$G$1020,7,FALSE)</f>
        <v>88.5</v>
      </c>
    </row>
    <row r="867" spans="1:6" x14ac:dyDescent="0.3">
      <c r="A867" s="46" t="s">
        <v>938</v>
      </c>
      <c r="B867" s="43" t="s">
        <v>3460</v>
      </c>
      <c r="C867" s="23">
        <f>VLOOKUP(A867,'[11]Linea Industria'!$A$6:$G$1020,4,FALSE)</f>
        <v>54.82</v>
      </c>
      <c r="D867" s="23">
        <f>VLOOKUP(A867,'[11]Linea Industria'!$A$6:$G$1020,5,FALSE)</f>
        <v>61.95</v>
      </c>
      <c r="E867" s="23">
        <f>VLOOKUP(A867,'[11]Linea Industria'!$A$6:$G$1020,6,FALSE)</f>
        <v>78.319999999999993</v>
      </c>
      <c r="F867" s="23">
        <f>VLOOKUP(A867,'[11]Linea Industria'!$A$6:$G$1020,7,FALSE)</f>
        <v>88.5</v>
      </c>
    </row>
    <row r="868" spans="1:6" x14ac:dyDescent="0.3">
      <c r="A868" s="46" t="s">
        <v>939</v>
      </c>
      <c r="B868" s="43" t="s">
        <v>3461</v>
      </c>
      <c r="C868" s="23">
        <f>VLOOKUP(A868,'[11]Linea Industria'!$A$6:$G$1020,4,FALSE)</f>
        <v>54.82</v>
      </c>
      <c r="D868" s="23">
        <f>VLOOKUP(A868,'[11]Linea Industria'!$A$6:$G$1020,5,FALSE)</f>
        <v>61.95</v>
      </c>
      <c r="E868" s="23">
        <f>VLOOKUP(A868,'[11]Linea Industria'!$A$6:$G$1020,6,FALSE)</f>
        <v>78.319999999999993</v>
      </c>
      <c r="F868" s="23">
        <f>VLOOKUP(A868,'[11]Linea Industria'!$A$6:$G$1020,7,FALSE)</f>
        <v>88.5</v>
      </c>
    </row>
    <row r="869" spans="1:6" x14ac:dyDescent="0.3">
      <c r="A869" s="46" t="s">
        <v>940</v>
      </c>
      <c r="B869" s="43" t="s">
        <v>3462</v>
      </c>
      <c r="C869" s="23">
        <f>VLOOKUP(A869,'[11]Linea Industria'!$A$6:$G$1020,4,FALSE)</f>
        <v>54.82</v>
      </c>
      <c r="D869" s="23">
        <f>VLOOKUP(A869,'[11]Linea Industria'!$A$6:$G$1020,5,FALSE)</f>
        <v>61.95</v>
      </c>
      <c r="E869" s="23">
        <f>VLOOKUP(A869,'[11]Linea Industria'!$A$6:$G$1020,6,FALSE)</f>
        <v>78.319999999999993</v>
      </c>
      <c r="F869" s="23">
        <f>VLOOKUP(A869,'[11]Linea Industria'!$A$6:$G$1020,7,FALSE)</f>
        <v>88.5</v>
      </c>
    </row>
    <row r="870" spans="1:6" x14ac:dyDescent="0.3">
      <c r="A870" s="26" t="s">
        <v>941</v>
      </c>
      <c r="B870" s="43" t="s">
        <v>3463</v>
      </c>
      <c r="C870" s="23">
        <f>VLOOKUP(A870,'[11]Linea Industria'!$A$6:$G$1020,4,FALSE)</f>
        <v>15.8</v>
      </c>
      <c r="D870" s="23">
        <f>VLOOKUP(A870,'[11]Linea Industria'!$A$6:$G$1020,5,FALSE)</f>
        <v>17.850000000000001</v>
      </c>
      <c r="E870" s="23">
        <f>VLOOKUP(A870,'[11]Linea Industria'!$A$6:$G$1020,6,FALSE)</f>
        <v>22.57</v>
      </c>
      <c r="F870" s="23">
        <f>VLOOKUP(A870,'[11]Linea Industria'!$A$6:$G$1020,7,FALSE)</f>
        <v>25.5</v>
      </c>
    </row>
    <row r="871" spans="1:6" x14ac:dyDescent="0.3">
      <c r="A871" s="47" t="s">
        <v>3125</v>
      </c>
      <c r="B871" s="43" t="s">
        <v>3464</v>
      </c>
      <c r="C871" s="23">
        <f>VLOOKUP(A871,'[11]Linea Industria'!$A$6:$G$1020,4,FALSE)</f>
        <v>53.33</v>
      </c>
      <c r="D871" s="23">
        <f>VLOOKUP(A871,'[11]Linea Industria'!$A$6:$G$1020,5,FALSE)</f>
        <v>60.26</v>
      </c>
      <c r="E871" s="23">
        <f>VLOOKUP(A871,'[11]Linea Industria'!$A$6:$G$1020,6,FALSE)</f>
        <v>78.319999999999993</v>
      </c>
      <c r="F871" s="23">
        <f>VLOOKUP(A871,'[11]Linea Industria'!$A$6:$G$1020,7,FALSE)</f>
        <v>88.5</v>
      </c>
    </row>
    <row r="872" spans="1:6" x14ac:dyDescent="0.3">
      <c r="A872" s="47" t="s">
        <v>3126</v>
      </c>
      <c r="B872" s="43" t="s">
        <v>3465</v>
      </c>
      <c r="C872" s="23">
        <f>VLOOKUP(A872,'[11]Linea Industria'!$A$6:$G$1020,4,FALSE)</f>
        <v>49.82</v>
      </c>
      <c r="D872" s="23">
        <f>VLOOKUP(A872,'[11]Linea Industria'!$A$6:$G$1020,5,FALSE)</f>
        <v>56.3</v>
      </c>
      <c r="E872" s="23">
        <f>VLOOKUP(A872,'[11]Linea Industria'!$A$6:$G$1020,6,FALSE)</f>
        <v>78.319999999999993</v>
      </c>
      <c r="F872" s="23">
        <f>VLOOKUP(A872,'[11]Linea Industria'!$A$6:$G$1020,7,FALSE)</f>
        <v>88.5</v>
      </c>
    </row>
    <row r="873" spans="1:6" x14ac:dyDescent="0.3">
      <c r="A873" s="48" t="s">
        <v>3466</v>
      </c>
      <c r="B873" s="43" t="s">
        <v>3465</v>
      </c>
      <c r="C873" s="23">
        <f>VLOOKUP(A873,'[11]Linea Industria'!$A$6:$G$1020,4,FALSE)</f>
        <v>183.14</v>
      </c>
      <c r="D873" s="23">
        <f>VLOOKUP(A873,'[11]Linea Industria'!$A$6:$G$1020,5,FALSE)</f>
        <v>206.95</v>
      </c>
      <c r="E873" s="23">
        <f>VLOOKUP(A873,'[11]Linea Industria'!$A$6:$G$1020,6,FALSE)</f>
        <v>297.35000000000002</v>
      </c>
      <c r="F873" s="23">
        <f>VLOOKUP(A873,'[11]Linea Industria'!$A$6:$G$1020,7,FALSE)</f>
        <v>336</v>
      </c>
    </row>
    <row r="874" spans="1:6" x14ac:dyDescent="0.3">
      <c r="A874" s="48" t="s">
        <v>3467</v>
      </c>
      <c r="B874" s="43" t="s">
        <v>3464</v>
      </c>
      <c r="C874" s="23">
        <f>VLOOKUP(A874,'[11]Linea Industria'!$A$6:$G$1020,4,FALSE)</f>
        <v>200.65</v>
      </c>
      <c r="D874" s="23">
        <f>VLOOKUP(A874,'[11]Linea Industria'!$A$6:$G$1020,5,FALSE)</f>
        <v>226.73</v>
      </c>
      <c r="E874" s="23">
        <f>VLOOKUP(A874,'[11]Linea Industria'!$A$6:$G$1020,6,FALSE)</f>
        <v>297.35000000000002</v>
      </c>
      <c r="F874" s="23">
        <f>VLOOKUP(A874,'[11]Linea Industria'!$A$6:$G$1020,7,FALSE)</f>
        <v>336</v>
      </c>
    </row>
    <row r="875" spans="1:6" x14ac:dyDescent="0.3">
      <c r="A875" s="26" t="s">
        <v>942</v>
      </c>
      <c r="B875" s="43" t="s">
        <v>943</v>
      </c>
      <c r="C875" s="23">
        <f>VLOOKUP(A875,'[11]Linea Industria'!$A$6:$G$1020,4,FALSE)</f>
        <v>55.69</v>
      </c>
      <c r="D875" s="23">
        <f>VLOOKUP(A875,'[11]Linea Industria'!$A$6:$G$1020,5,FALSE)</f>
        <v>62.93</v>
      </c>
      <c r="E875" s="23">
        <f>VLOOKUP(A875,'[11]Linea Industria'!$A$6:$G$1020,6,FALSE)</f>
        <v>79.56</v>
      </c>
      <c r="F875" s="23">
        <f>VLOOKUP(A875,'[11]Linea Industria'!$A$6:$G$1020,7,FALSE)</f>
        <v>89.9</v>
      </c>
    </row>
    <row r="876" spans="1:6" x14ac:dyDescent="0.3">
      <c r="A876" s="26" t="s">
        <v>944</v>
      </c>
      <c r="B876" s="43" t="s">
        <v>3468</v>
      </c>
      <c r="C876" s="23">
        <f>VLOOKUP(A876,'[11]Linea Industria'!$A$6:$G$1020,4,FALSE)</f>
        <v>55.69</v>
      </c>
      <c r="D876" s="23">
        <f>VLOOKUP(A876,'[11]Linea Industria'!$A$6:$G$1020,5,FALSE)</f>
        <v>62.93</v>
      </c>
      <c r="E876" s="23">
        <f>VLOOKUP(A876,'[11]Linea Industria'!$A$6:$G$1020,6,FALSE)</f>
        <v>79.56</v>
      </c>
      <c r="F876" s="23">
        <f>VLOOKUP(A876,'[11]Linea Industria'!$A$6:$G$1020,7,FALSE)</f>
        <v>89.9</v>
      </c>
    </row>
    <row r="877" spans="1:6" x14ac:dyDescent="0.3">
      <c r="A877" s="26" t="s">
        <v>945</v>
      </c>
      <c r="B877" s="43" t="s">
        <v>946</v>
      </c>
      <c r="C877" s="23">
        <f>VLOOKUP(A877,'[11]Linea Industria'!$A$6:$G$1020,4,FALSE)</f>
        <v>55.69</v>
      </c>
      <c r="D877" s="23">
        <f>VLOOKUP(A877,'[11]Linea Industria'!$A$6:$G$1020,5,FALSE)</f>
        <v>62.93</v>
      </c>
      <c r="E877" s="23">
        <f>VLOOKUP(A877,'[11]Linea Industria'!$A$6:$G$1020,6,FALSE)</f>
        <v>79.56</v>
      </c>
      <c r="F877" s="23">
        <f>VLOOKUP(A877,'[11]Linea Industria'!$A$6:$G$1020,7,FALSE)</f>
        <v>89.9</v>
      </c>
    </row>
    <row r="878" spans="1:6" x14ac:dyDescent="0.3">
      <c r="A878" s="26" t="s">
        <v>947</v>
      </c>
      <c r="B878" s="43" t="s">
        <v>948</v>
      </c>
      <c r="C878" s="23">
        <f>VLOOKUP(A878,'[11]Linea Industria'!$A$6:$G$1020,4,FALSE)</f>
        <v>55.69</v>
      </c>
      <c r="D878" s="23">
        <f>VLOOKUP(A878,'[11]Linea Industria'!$A$6:$G$1020,5,FALSE)</f>
        <v>62.93</v>
      </c>
      <c r="E878" s="23">
        <f>VLOOKUP(A878,'[11]Linea Industria'!$A$6:$G$1020,6,FALSE)</f>
        <v>79.56</v>
      </c>
      <c r="F878" s="23">
        <f>VLOOKUP(A878,'[11]Linea Industria'!$A$6:$G$1020,7,FALSE)</f>
        <v>89.9</v>
      </c>
    </row>
    <row r="879" spans="1:6" x14ac:dyDescent="0.3">
      <c r="A879" s="26" t="s">
        <v>949</v>
      </c>
      <c r="B879" s="43" t="s">
        <v>3469</v>
      </c>
      <c r="C879" s="23">
        <f>VLOOKUP(A879,'[11]Linea Industria'!$A$6:$G$1020,4,FALSE)</f>
        <v>55.69</v>
      </c>
      <c r="D879" s="23">
        <f>VLOOKUP(A879,'[11]Linea Industria'!$A$6:$G$1020,5,FALSE)</f>
        <v>62.93</v>
      </c>
      <c r="E879" s="23">
        <f>VLOOKUP(A879,'[11]Linea Industria'!$A$6:$G$1020,6,FALSE)</f>
        <v>79.56</v>
      </c>
      <c r="F879" s="23">
        <f>VLOOKUP(A879,'[11]Linea Industria'!$A$6:$G$1020,7,FALSE)</f>
        <v>89.9</v>
      </c>
    </row>
    <row r="880" spans="1:6" x14ac:dyDescent="0.3">
      <c r="A880" s="45" t="s">
        <v>950</v>
      </c>
      <c r="B880" s="43" t="s">
        <v>3470</v>
      </c>
      <c r="C880" s="23">
        <f>VLOOKUP(A880,'[11]Linea Industria'!$A$6:$G$1020,4,FALSE)</f>
        <v>55.69</v>
      </c>
      <c r="D880" s="23">
        <f>VLOOKUP(A880,'[11]Linea Industria'!$A$6:$G$1020,5,FALSE)</f>
        <v>62.93</v>
      </c>
      <c r="E880" s="23">
        <f>VLOOKUP(A880,'[11]Linea Industria'!$A$6:$G$1020,6,FALSE)</f>
        <v>79.56</v>
      </c>
      <c r="F880" s="23">
        <f>VLOOKUP(A880,'[11]Linea Industria'!$A$6:$G$1020,7,FALSE)</f>
        <v>89.9</v>
      </c>
    </row>
    <row r="881" spans="1:6" x14ac:dyDescent="0.3">
      <c r="A881" s="26" t="s">
        <v>951</v>
      </c>
      <c r="B881" s="43" t="s">
        <v>952</v>
      </c>
      <c r="C881" s="23">
        <f>VLOOKUP(A881,'[11]Linea Industria'!$A$6:$G$1020,4,FALSE)</f>
        <v>55.69</v>
      </c>
      <c r="D881" s="23">
        <f>VLOOKUP(A881,'[11]Linea Industria'!$A$6:$G$1020,5,FALSE)</f>
        <v>62.93</v>
      </c>
      <c r="E881" s="23">
        <f>VLOOKUP(A881,'[11]Linea Industria'!$A$6:$G$1020,6,FALSE)</f>
        <v>79.56</v>
      </c>
      <c r="F881" s="23">
        <f>VLOOKUP(A881,'[11]Linea Industria'!$A$6:$G$1020,7,FALSE)</f>
        <v>89.9</v>
      </c>
    </row>
    <row r="882" spans="1:6" x14ac:dyDescent="0.3">
      <c r="A882" s="26" t="s">
        <v>953</v>
      </c>
      <c r="B882" s="43" t="s">
        <v>3471</v>
      </c>
      <c r="C882" s="23">
        <f>VLOOKUP(A882,'[11]Linea Industria'!$A$6:$G$1020,4,FALSE)</f>
        <v>55.69</v>
      </c>
      <c r="D882" s="23">
        <f>VLOOKUP(A882,'[11]Linea Industria'!$A$6:$G$1020,5,FALSE)</f>
        <v>62.93</v>
      </c>
      <c r="E882" s="23">
        <f>VLOOKUP(A882,'[11]Linea Industria'!$A$6:$G$1020,6,FALSE)</f>
        <v>79.56</v>
      </c>
      <c r="F882" s="23">
        <f>VLOOKUP(A882,'[11]Linea Industria'!$A$6:$G$1020,7,FALSE)</f>
        <v>89.9</v>
      </c>
    </row>
    <row r="883" spans="1:6" x14ac:dyDescent="0.3">
      <c r="A883" s="26" t="s">
        <v>954</v>
      </c>
      <c r="B883" s="43" t="s">
        <v>3472</v>
      </c>
      <c r="C883" s="23">
        <f>VLOOKUP(A883,'[11]Linea Industria'!$A$6:$G$1020,4,FALSE)</f>
        <v>43.3</v>
      </c>
      <c r="D883" s="23">
        <f>VLOOKUP(A883,'[11]Linea Industria'!$A$6:$G$1020,5,FALSE)</f>
        <v>48.93</v>
      </c>
      <c r="E883" s="23">
        <f>VLOOKUP(A883,'[11]Linea Industria'!$A$6:$G$1020,6,FALSE)</f>
        <v>61.86</v>
      </c>
      <c r="F883" s="23">
        <f>VLOOKUP(A883,'[11]Linea Industria'!$A$6:$G$1020,7,FALSE)</f>
        <v>69.900000000000006</v>
      </c>
    </row>
    <row r="884" spans="1:6" x14ac:dyDescent="0.3">
      <c r="A884" s="44" t="s">
        <v>641</v>
      </c>
      <c r="B884" s="43" t="s">
        <v>3379</v>
      </c>
      <c r="C884" s="23">
        <f>VLOOKUP(A884,'[11]Linea Industria'!$A$6:$G$1020,4,FALSE)</f>
        <v>33.76</v>
      </c>
      <c r="D884" s="23">
        <f>VLOOKUP(A884,'[11]Linea Industria'!$A$6:$G$1020,5,FALSE)</f>
        <v>38.15</v>
      </c>
      <c r="E884" s="23">
        <f>VLOOKUP(A884,'[11]Linea Industria'!$A$6:$G$1020,6,FALSE)</f>
        <v>48.23</v>
      </c>
      <c r="F884" s="23">
        <f>VLOOKUP(A884,'[11]Linea Industria'!$A$6:$G$1020,7,FALSE)</f>
        <v>54.5</v>
      </c>
    </row>
    <row r="885" spans="1:6" x14ac:dyDescent="0.3">
      <c r="A885" s="26" t="s">
        <v>642</v>
      </c>
      <c r="B885" s="43" t="s">
        <v>3380</v>
      </c>
      <c r="C885" s="23">
        <f>VLOOKUP(A885,'[11]Linea Industria'!$A$6:$G$1020,4,FALSE)</f>
        <v>33.76</v>
      </c>
      <c r="D885" s="23">
        <f>VLOOKUP(A885,'[11]Linea Industria'!$A$6:$G$1020,5,FALSE)</f>
        <v>38.15</v>
      </c>
      <c r="E885" s="23">
        <f>VLOOKUP(A885,'[11]Linea Industria'!$A$6:$G$1020,6,FALSE)</f>
        <v>48.23</v>
      </c>
      <c r="F885" s="23">
        <f>VLOOKUP(A885,'[11]Linea Industria'!$A$6:$G$1020,7,FALSE)</f>
        <v>54.5</v>
      </c>
    </row>
    <row r="886" spans="1:6" x14ac:dyDescent="0.3">
      <c r="A886" s="26" t="s">
        <v>955</v>
      </c>
      <c r="B886" s="43" t="s">
        <v>3473</v>
      </c>
      <c r="C886" s="23">
        <f>VLOOKUP(A886,'[11]Linea Industria'!$A$6:$G$1020,4,FALSE)</f>
        <v>5.29</v>
      </c>
      <c r="D886" s="23">
        <f>VLOOKUP(A886,'[11]Linea Industria'!$A$6:$G$1020,5,FALSE)</f>
        <v>5.98</v>
      </c>
      <c r="E886" s="23">
        <f>VLOOKUP(A886,'[11]Linea Industria'!$A$6:$G$1020,6,FALSE)</f>
        <v>7.35</v>
      </c>
      <c r="F886" s="23">
        <f>VLOOKUP(A886,'[11]Linea Industria'!$A$6:$G$1020,7,FALSE)</f>
        <v>8.2999999999999989</v>
      </c>
    </row>
    <row r="887" spans="1:6" x14ac:dyDescent="0.3">
      <c r="A887" s="49" t="s">
        <v>3474</v>
      </c>
      <c r="B887" s="43" t="s">
        <v>3475</v>
      </c>
      <c r="C887" s="23">
        <f>VLOOKUP(A887,'[11]Linea Industria'!$A$6:$G$1020,4,FALSE)</f>
        <v>7.96</v>
      </c>
      <c r="D887" s="23">
        <f>VLOOKUP(A887,'[11]Linea Industria'!$A$6:$G$1020,5,FALSE)</f>
        <v>9</v>
      </c>
      <c r="E887" s="23">
        <f>VLOOKUP(A887,'[11]Linea Industria'!$A$6:$G$1020,6,FALSE)</f>
        <v>11.06</v>
      </c>
      <c r="F887" s="23">
        <f>VLOOKUP(A887,'[11]Linea Industria'!$A$6:$G$1020,7,FALSE)</f>
        <v>12.5</v>
      </c>
    </row>
    <row r="888" spans="1:6" x14ac:dyDescent="0.3">
      <c r="A888" s="49" t="s">
        <v>3476</v>
      </c>
      <c r="B888" s="43" t="s">
        <v>3477</v>
      </c>
      <c r="C888" s="23">
        <f>VLOOKUP(A888,'[11]Linea Industria'!$A$6:$G$1020,4,FALSE)</f>
        <v>7.96</v>
      </c>
      <c r="D888" s="23">
        <f>VLOOKUP(A888,'[11]Linea Industria'!$A$6:$G$1020,5,FALSE)</f>
        <v>9</v>
      </c>
      <c r="E888" s="23">
        <f>VLOOKUP(A888,'[11]Linea Industria'!$A$6:$G$1020,6,FALSE)</f>
        <v>11.06</v>
      </c>
      <c r="F888" s="23">
        <f>VLOOKUP(A888,'[11]Linea Industria'!$A$6:$G$1020,7,FALSE)</f>
        <v>12.5</v>
      </c>
    </row>
    <row r="889" spans="1:6" x14ac:dyDescent="0.3">
      <c r="A889" s="49" t="s">
        <v>3478</v>
      </c>
      <c r="B889" s="43" t="s">
        <v>3479</v>
      </c>
      <c r="C889" s="23">
        <f>VLOOKUP(A889,'[11]Linea Industria'!$A$6:$G$1020,4,FALSE)</f>
        <v>7.96</v>
      </c>
      <c r="D889" s="23">
        <f>VLOOKUP(A889,'[11]Linea Industria'!$A$6:$G$1020,5,FALSE)</f>
        <v>9</v>
      </c>
      <c r="E889" s="23">
        <f>VLOOKUP(A889,'[11]Linea Industria'!$A$6:$G$1020,6,FALSE)</f>
        <v>11.06</v>
      </c>
      <c r="F889" s="23">
        <f>VLOOKUP(A889,'[11]Linea Industria'!$A$6:$G$1020,7,FALSE)</f>
        <v>12.5</v>
      </c>
    </row>
    <row r="890" spans="1:6" x14ac:dyDescent="0.3">
      <c r="A890" s="49" t="s">
        <v>3480</v>
      </c>
      <c r="B890" s="43" t="s">
        <v>3481</v>
      </c>
      <c r="C890" s="23">
        <f>VLOOKUP(A890,'[11]Linea Industria'!$A$6:$G$1020,4,FALSE)</f>
        <v>7.96</v>
      </c>
      <c r="D890" s="23">
        <f>VLOOKUP(A890,'[11]Linea Industria'!$A$6:$G$1020,5,FALSE)</f>
        <v>9</v>
      </c>
      <c r="E890" s="23">
        <f>VLOOKUP(A890,'[11]Linea Industria'!$A$6:$G$1020,6,FALSE)</f>
        <v>11.06</v>
      </c>
      <c r="F890" s="23">
        <f>VLOOKUP(A890,'[11]Linea Industria'!$A$6:$G$1020,7,FALSE)</f>
        <v>12.5</v>
      </c>
    </row>
    <row r="891" spans="1:6" x14ac:dyDescent="0.3">
      <c r="A891" s="49" t="s">
        <v>3482</v>
      </c>
      <c r="B891" s="43" t="s">
        <v>3483</v>
      </c>
      <c r="C891" s="23">
        <f>VLOOKUP(A891,'[11]Linea Industria'!$A$6:$G$1020,4,FALSE)</f>
        <v>7.96</v>
      </c>
      <c r="D891" s="23">
        <f>VLOOKUP(A891,'[11]Linea Industria'!$A$6:$G$1020,5,FALSE)</f>
        <v>9</v>
      </c>
      <c r="E891" s="23">
        <f>VLOOKUP(A891,'[11]Linea Industria'!$A$6:$G$1020,6,FALSE)</f>
        <v>11.06</v>
      </c>
      <c r="F891" s="23">
        <f>VLOOKUP(A891,'[11]Linea Industria'!$A$6:$G$1020,7,FALSE)</f>
        <v>12.5</v>
      </c>
    </row>
    <row r="892" spans="1:6" x14ac:dyDescent="0.3">
      <c r="A892" s="49" t="s">
        <v>3484</v>
      </c>
      <c r="B892" s="43" t="s">
        <v>3485</v>
      </c>
      <c r="C892" s="23">
        <f>VLOOKUP(A892,'[11]Linea Industria'!$A$6:$G$1020,4,FALSE)</f>
        <v>7.96</v>
      </c>
      <c r="D892" s="23">
        <f>VLOOKUP(A892,'[11]Linea Industria'!$A$6:$G$1020,5,FALSE)</f>
        <v>9</v>
      </c>
      <c r="E892" s="23">
        <f>VLOOKUP(A892,'[11]Linea Industria'!$A$6:$G$1020,6,FALSE)</f>
        <v>11.06</v>
      </c>
      <c r="F892" s="23">
        <f>VLOOKUP(A892,'[11]Linea Industria'!$A$6:$G$1020,7,FALSE)</f>
        <v>12.5</v>
      </c>
    </row>
    <row r="893" spans="1:6" x14ac:dyDescent="0.3">
      <c r="A893" s="49" t="s">
        <v>3486</v>
      </c>
      <c r="B893" s="43" t="s">
        <v>3487</v>
      </c>
      <c r="C893" s="23">
        <f>VLOOKUP(A893,'[11]Linea Industria'!$A$6:$G$1020,4,FALSE)</f>
        <v>7.96</v>
      </c>
      <c r="D893" s="23">
        <f>VLOOKUP(A893,'[11]Linea Industria'!$A$6:$G$1020,5,FALSE)</f>
        <v>9</v>
      </c>
      <c r="E893" s="23">
        <f>VLOOKUP(A893,'[11]Linea Industria'!$A$6:$G$1020,6,FALSE)</f>
        <v>11.06</v>
      </c>
      <c r="F893" s="23">
        <f>VLOOKUP(A893,'[11]Linea Industria'!$A$6:$G$1020,7,FALSE)</f>
        <v>12.5</v>
      </c>
    </row>
    <row r="894" spans="1:6" x14ac:dyDescent="0.3">
      <c r="A894" s="49" t="s">
        <v>3488</v>
      </c>
      <c r="B894" s="43" t="s">
        <v>3489</v>
      </c>
      <c r="C894" s="23">
        <f>VLOOKUP(A894,'[11]Linea Industria'!$A$6:$G$1020,4,FALSE)</f>
        <v>7.96</v>
      </c>
      <c r="D894" s="23">
        <f>VLOOKUP(A894,'[11]Linea Industria'!$A$6:$G$1020,5,FALSE)</f>
        <v>9</v>
      </c>
      <c r="E894" s="23">
        <f>VLOOKUP(A894,'[11]Linea Industria'!$A$6:$G$1020,6,FALSE)</f>
        <v>11.06</v>
      </c>
      <c r="F894" s="23">
        <f>VLOOKUP(A894,'[11]Linea Industria'!$A$6:$G$1020,7,FALSE)</f>
        <v>12.5</v>
      </c>
    </row>
    <row r="895" spans="1:6" x14ac:dyDescent="0.3">
      <c r="A895" s="49" t="s">
        <v>3490</v>
      </c>
      <c r="B895" s="43" t="s">
        <v>3491</v>
      </c>
      <c r="C895" s="23">
        <f>VLOOKUP(A895,'[11]Linea Industria'!$A$6:$G$1020,4,FALSE)</f>
        <v>7.96</v>
      </c>
      <c r="D895" s="23">
        <f>VLOOKUP(A895,'[11]Linea Industria'!$A$6:$G$1020,5,FALSE)</f>
        <v>9</v>
      </c>
      <c r="E895" s="23">
        <f>VLOOKUP(A895,'[11]Linea Industria'!$A$6:$G$1020,6,FALSE)</f>
        <v>11.06</v>
      </c>
      <c r="F895" s="23">
        <f>VLOOKUP(A895,'[11]Linea Industria'!$A$6:$G$1020,7,FALSE)</f>
        <v>12.5</v>
      </c>
    </row>
    <row r="896" spans="1:6" x14ac:dyDescent="0.3">
      <c r="A896" s="49" t="s">
        <v>956</v>
      </c>
      <c r="B896" s="43" t="s">
        <v>3492</v>
      </c>
      <c r="C896" s="23">
        <f>VLOOKUP(A896,'[11]Linea Industria'!$A$6:$G$1020,4,FALSE)</f>
        <v>30.52</v>
      </c>
      <c r="D896" s="23">
        <f>VLOOKUP(A896,'[11]Linea Industria'!$A$6:$G$1020,5,FALSE)</f>
        <v>34.49</v>
      </c>
      <c r="E896" s="23">
        <f>VLOOKUP(A896,'[11]Linea Industria'!$A$6:$G$1020,6,FALSE)</f>
        <v>42.39</v>
      </c>
      <c r="F896" s="23">
        <f>VLOOKUP(A896,'[11]Linea Industria'!$A$6:$G$1020,7,FALSE)</f>
        <v>47.9</v>
      </c>
    </row>
    <row r="897" spans="1:6" x14ac:dyDescent="0.3">
      <c r="A897" s="49" t="s">
        <v>957</v>
      </c>
      <c r="B897" s="43" t="s">
        <v>3475</v>
      </c>
      <c r="C897" s="23">
        <f>VLOOKUP(A897,'[11]Linea Industria'!$A$6:$G$1020,4,FALSE)</f>
        <v>30.52</v>
      </c>
      <c r="D897" s="23">
        <f>VLOOKUP(A897,'[11]Linea Industria'!$A$6:$G$1020,5,FALSE)</f>
        <v>34.49</v>
      </c>
      <c r="E897" s="23">
        <f>VLOOKUP(A897,'[11]Linea Industria'!$A$6:$G$1020,6,FALSE)</f>
        <v>42.39</v>
      </c>
      <c r="F897" s="23">
        <f>VLOOKUP(A897,'[11]Linea Industria'!$A$6:$G$1020,7,FALSE)</f>
        <v>47.9</v>
      </c>
    </row>
    <row r="898" spans="1:6" x14ac:dyDescent="0.3">
      <c r="A898" s="49" t="s">
        <v>958</v>
      </c>
      <c r="B898" s="43" t="s">
        <v>3477</v>
      </c>
      <c r="C898" s="23">
        <f>VLOOKUP(A898,'[11]Linea Industria'!$A$6:$G$1020,4,FALSE)</f>
        <v>30.52</v>
      </c>
      <c r="D898" s="23">
        <f>VLOOKUP(A898,'[11]Linea Industria'!$A$6:$G$1020,5,FALSE)</f>
        <v>34.49</v>
      </c>
      <c r="E898" s="23">
        <f>VLOOKUP(A898,'[11]Linea Industria'!$A$6:$G$1020,6,FALSE)</f>
        <v>42.39</v>
      </c>
      <c r="F898" s="23">
        <f>VLOOKUP(A898,'[11]Linea Industria'!$A$6:$G$1020,7,FALSE)</f>
        <v>47.9</v>
      </c>
    </row>
    <row r="899" spans="1:6" x14ac:dyDescent="0.3">
      <c r="A899" s="49" t="s">
        <v>959</v>
      </c>
      <c r="B899" s="43" t="s">
        <v>3479</v>
      </c>
      <c r="C899" s="23">
        <f>VLOOKUP(A899,'[11]Linea Industria'!$A$6:$G$1020,4,FALSE)</f>
        <v>30.52</v>
      </c>
      <c r="D899" s="23">
        <f>VLOOKUP(A899,'[11]Linea Industria'!$A$6:$G$1020,5,FALSE)</f>
        <v>34.49</v>
      </c>
      <c r="E899" s="23">
        <f>VLOOKUP(A899,'[11]Linea Industria'!$A$6:$G$1020,6,FALSE)</f>
        <v>42.39</v>
      </c>
      <c r="F899" s="23">
        <f>VLOOKUP(A899,'[11]Linea Industria'!$A$6:$G$1020,7,FALSE)</f>
        <v>47.9</v>
      </c>
    </row>
    <row r="900" spans="1:6" x14ac:dyDescent="0.3">
      <c r="A900" s="49" t="s">
        <v>960</v>
      </c>
      <c r="B900" s="43" t="s">
        <v>3481</v>
      </c>
      <c r="C900" s="23">
        <f>VLOOKUP(A900,'[11]Linea Industria'!$A$6:$G$1020,4,FALSE)</f>
        <v>30.52</v>
      </c>
      <c r="D900" s="23">
        <f>VLOOKUP(A900,'[11]Linea Industria'!$A$6:$G$1020,5,FALSE)</f>
        <v>34.49</v>
      </c>
      <c r="E900" s="23">
        <f>VLOOKUP(A900,'[11]Linea Industria'!$A$6:$G$1020,6,FALSE)</f>
        <v>42.39</v>
      </c>
      <c r="F900" s="23">
        <f>VLOOKUP(A900,'[11]Linea Industria'!$A$6:$G$1020,7,FALSE)</f>
        <v>47.9</v>
      </c>
    </row>
    <row r="901" spans="1:6" x14ac:dyDescent="0.3">
      <c r="A901" s="49" t="s">
        <v>961</v>
      </c>
      <c r="B901" s="43" t="s">
        <v>3493</v>
      </c>
      <c r="C901" s="23">
        <f>VLOOKUP(A901,'[11]Linea Industria'!$A$6:$G$1020,4,FALSE)</f>
        <v>30.52</v>
      </c>
      <c r="D901" s="23">
        <f>VLOOKUP(A901,'[11]Linea Industria'!$A$6:$G$1020,5,FALSE)</f>
        <v>34.49</v>
      </c>
      <c r="E901" s="23">
        <f>VLOOKUP(A901,'[11]Linea Industria'!$A$6:$G$1020,6,FALSE)</f>
        <v>42.39</v>
      </c>
      <c r="F901" s="23">
        <f>VLOOKUP(A901,'[11]Linea Industria'!$A$6:$G$1020,7,FALSE)</f>
        <v>47.9</v>
      </c>
    </row>
    <row r="902" spans="1:6" x14ac:dyDescent="0.3">
      <c r="A902" s="49" t="s">
        <v>962</v>
      </c>
      <c r="B902" s="43" t="s">
        <v>3491</v>
      </c>
      <c r="C902" s="23">
        <f>VLOOKUP(A902,'[11]Linea Industria'!$A$6:$G$1020,4,FALSE)</f>
        <v>30.52</v>
      </c>
      <c r="D902" s="23">
        <f>VLOOKUP(A902,'[11]Linea Industria'!$A$6:$G$1020,5,FALSE)</f>
        <v>34.49</v>
      </c>
      <c r="E902" s="23">
        <f>VLOOKUP(A902,'[11]Linea Industria'!$A$6:$G$1020,6,FALSE)</f>
        <v>42.39</v>
      </c>
      <c r="F902" s="23">
        <f>VLOOKUP(A902,'[11]Linea Industria'!$A$6:$G$1020,7,FALSE)</f>
        <v>47.9</v>
      </c>
    </row>
    <row r="903" spans="1:6" x14ac:dyDescent="0.3">
      <c r="A903" s="49" t="s">
        <v>963</v>
      </c>
      <c r="B903" s="43" t="s">
        <v>3483</v>
      </c>
      <c r="C903" s="23">
        <f>VLOOKUP(A903,'[11]Linea Industria'!$A$6:$G$1020,4,FALSE)</f>
        <v>30.52</v>
      </c>
      <c r="D903" s="23">
        <f>VLOOKUP(A903,'[11]Linea Industria'!$A$6:$G$1020,5,FALSE)</f>
        <v>34.49</v>
      </c>
      <c r="E903" s="23">
        <f>VLOOKUP(A903,'[11]Linea Industria'!$A$6:$G$1020,6,FALSE)</f>
        <v>42.39</v>
      </c>
      <c r="F903" s="23">
        <f>VLOOKUP(A903,'[11]Linea Industria'!$A$6:$G$1020,7,FALSE)</f>
        <v>47.9</v>
      </c>
    </row>
    <row r="904" spans="1:6" x14ac:dyDescent="0.3">
      <c r="A904" s="49" t="s">
        <v>964</v>
      </c>
      <c r="B904" s="43" t="s">
        <v>3485</v>
      </c>
      <c r="C904" s="23">
        <f>VLOOKUP(A904,'[11]Linea Industria'!$A$6:$G$1020,4,FALSE)</f>
        <v>30.52</v>
      </c>
      <c r="D904" s="23">
        <f>VLOOKUP(A904,'[11]Linea Industria'!$A$6:$G$1020,5,FALSE)</f>
        <v>34.49</v>
      </c>
      <c r="E904" s="23">
        <f>VLOOKUP(A904,'[11]Linea Industria'!$A$6:$G$1020,6,FALSE)</f>
        <v>42.39</v>
      </c>
      <c r="F904" s="23">
        <f>VLOOKUP(A904,'[11]Linea Industria'!$A$6:$G$1020,7,FALSE)</f>
        <v>47.9</v>
      </c>
    </row>
    <row r="905" spans="1:6" x14ac:dyDescent="0.3">
      <c r="A905" s="49" t="s">
        <v>965</v>
      </c>
      <c r="B905" s="43" t="s">
        <v>3494</v>
      </c>
      <c r="C905" s="23">
        <f>VLOOKUP(A905,'[11]Linea Industria'!$A$6:$G$1020,4,FALSE)</f>
        <v>30.52</v>
      </c>
      <c r="D905" s="23">
        <f>VLOOKUP(A905,'[11]Linea Industria'!$A$6:$G$1020,5,FALSE)</f>
        <v>34.49</v>
      </c>
      <c r="E905" s="23">
        <f>VLOOKUP(A905,'[11]Linea Industria'!$A$6:$G$1020,6,FALSE)</f>
        <v>42.39</v>
      </c>
      <c r="F905" s="23">
        <f>VLOOKUP(A905,'[11]Linea Industria'!$A$6:$G$1020,7,FALSE)</f>
        <v>47.9</v>
      </c>
    </row>
    <row r="906" spans="1:6" x14ac:dyDescent="0.3">
      <c r="A906" s="49" t="s">
        <v>966</v>
      </c>
      <c r="B906" s="43" t="s">
        <v>3487</v>
      </c>
      <c r="C906" s="23">
        <f>VLOOKUP(A906,'[11]Linea Industria'!$A$6:$G$1020,4,FALSE)</f>
        <v>30.52</v>
      </c>
      <c r="D906" s="23">
        <f>VLOOKUP(A906,'[11]Linea Industria'!$A$6:$G$1020,5,FALSE)</f>
        <v>34.49</v>
      </c>
      <c r="E906" s="23">
        <f>VLOOKUP(A906,'[11]Linea Industria'!$A$6:$G$1020,6,FALSE)</f>
        <v>42.39</v>
      </c>
      <c r="F906" s="23">
        <f>VLOOKUP(A906,'[11]Linea Industria'!$A$6:$G$1020,7,FALSE)</f>
        <v>47.9</v>
      </c>
    </row>
    <row r="907" spans="1:6" x14ac:dyDescent="0.3">
      <c r="A907" s="46" t="s">
        <v>967</v>
      </c>
      <c r="B907" s="43" t="s">
        <v>3475</v>
      </c>
      <c r="C907" s="23">
        <f>VLOOKUP(A907,'[11]Linea Industria'!$A$6:$G$1020,4,FALSE)</f>
        <v>136.99</v>
      </c>
      <c r="D907" s="23">
        <f>VLOOKUP(A907,'[11]Linea Industria'!$A$6:$G$1020,5,FALSE)</f>
        <v>154.80000000000001</v>
      </c>
      <c r="E907" s="23">
        <f>VLOOKUP(A907,'[11]Linea Industria'!$A$6:$G$1020,6,FALSE)</f>
        <v>190.27</v>
      </c>
      <c r="F907" s="23">
        <f>VLOOKUP(A907,'[11]Linea Industria'!$A$6:$G$1020,7,FALSE)</f>
        <v>215</v>
      </c>
    </row>
    <row r="908" spans="1:6" x14ac:dyDescent="0.3">
      <c r="A908" s="46" t="s">
        <v>968</v>
      </c>
      <c r="B908" s="43" t="s">
        <v>3477</v>
      </c>
      <c r="C908" s="23">
        <f>VLOOKUP(A908,'[11]Linea Industria'!$A$6:$G$1020,4,FALSE)</f>
        <v>136.99</v>
      </c>
      <c r="D908" s="23">
        <f>VLOOKUP(A908,'[11]Linea Industria'!$A$6:$G$1020,5,FALSE)</f>
        <v>154.80000000000001</v>
      </c>
      <c r="E908" s="23">
        <f>VLOOKUP(A908,'[11]Linea Industria'!$A$6:$G$1020,6,FALSE)</f>
        <v>190.27</v>
      </c>
      <c r="F908" s="23">
        <f>VLOOKUP(A908,'[11]Linea Industria'!$A$6:$G$1020,7,FALSE)</f>
        <v>215</v>
      </c>
    </row>
    <row r="909" spans="1:6" x14ac:dyDescent="0.3">
      <c r="A909" s="46" t="s">
        <v>969</v>
      </c>
      <c r="B909" s="43" t="s">
        <v>3479</v>
      </c>
      <c r="C909" s="23">
        <f>VLOOKUP(A909,'[11]Linea Industria'!$A$6:$G$1020,4,FALSE)</f>
        <v>136.99</v>
      </c>
      <c r="D909" s="23">
        <f>VLOOKUP(A909,'[11]Linea Industria'!$A$6:$G$1020,5,FALSE)</f>
        <v>154.80000000000001</v>
      </c>
      <c r="E909" s="23">
        <f>VLOOKUP(A909,'[11]Linea Industria'!$A$6:$G$1020,6,FALSE)</f>
        <v>190.27</v>
      </c>
      <c r="F909" s="23">
        <f>VLOOKUP(A909,'[11]Linea Industria'!$A$6:$G$1020,7,FALSE)</f>
        <v>215</v>
      </c>
    </row>
    <row r="910" spans="1:6" x14ac:dyDescent="0.3">
      <c r="A910" s="46" t="s">
        <v>970</v>
      </c>
      <c r="B910" s="43" t="s">
        <v>3495</v>
      </c>
      <c r="C910" s="23">
        <f>VLOOKUP(A910,'[11]Linea Industria'!$A$6:$G$1020,4,FALSE)</f>
        <v>136.99</v>
      </c>
      <c r="D910" s="23">
        <f>VLOOKUP(A910,'[11]Linea Industria'!$A$6:$G$1020,5,FALSE)</f>
        <v>154.80000000000001</v>
      </c>
      <c r="E910" s="23">
        <f>VLOOKUP(A910,'[11]Linea Industria'!$A$6:$G$1020,6,FALSE)</f>
        <v>190.27</v>
      </c>
      <c r="F910" s="23">
        <f>VLOOKUP(A910,'[11]Linea Industria'!$A$6:$G$1020,7,FALSE)</f>
        <v>215</v>
      </c>
    </row>
    <row r="911" spans="1:6" x14ac:dyDescent="0.3">
      <c r="A911" s="46" t="s">
        <v>971</v>
      </c>
      <c r="B911" s="43" t="s">
        <v>3493</v>
      </c>
      <c r="C911" s="23">
        <f>VLOOKUP(A911,'[11]Linea Industria'!$A$6:$G$1020,4,FALSE)</f>
        <v>136.99</v>
      </c>
      <c r="D911" s="23">
        <f>VLOOKUP(A911,'[11]Linea Industria'!$A$6:$G$1020,5,FALSE)</f>
        <v>154.80000000000001</v>
      </c>
      <c r="E911" s="23">
        <f>VLOOKUP(A911,'[11]Linea Industria'!$A$6:$G$1020,6,FALSE)</f>
        <v>190.27</v>
      </c>
      <c r="F911" s="23">
        <f>VLOOKUP(A911,'[11]Linea Industria'!$A$6:$G$1020,7,FALSE)</f>
        <v>215</v>
      </c>
    </row>
    <row r="912" spans="1:6" x14ac:dyDescent="0.3">
      <c r="A912" s="46" t="s">
        <v>972</v>
      </c>
      <c r="B912" s="43" t="s">
        <v>3491</v>
      </c>
      <c r="C912" s="23">
        <f>VLOOKUP(A912,'[11]Linea Industria'!$A$6:$G$1020,4,FALSE)</f>
        <v>136.99</v>
      </c>
      <c r="D912" s="23">
        <f>VLOOKUP(A912,'[11]Linea Industria'!$A$6:$G$1020,5,FALSE)</f>
        <v>154.80000000000001</v>
      </c>
      <c r="E912" s="23">
        <f>VLOOKUP(A912,'[11]Linea Industria'!$A$6:$G$1020,6,FALSE)</f>
        <v>190.27</v>
      </c>
      <c r="F912" s="23">
        <f>VLOOKUP(A912,'[11]Linea Industria'!$A$6:$G$1020,7,FALSE)</f>
        <v>215</v>
      </c>
    </row>
    <row r="913" spans="1:6" x14ac:dyDescent="0.3">
      <c r="A913" s="46" t="s">
        <v>973</v>
      </c>
      <c r="B913" s="43" t="s">
        <v>3483</v>
      </c>
      <c r="C913" s="23">
        <f>VLOOKUP(A913,'[11]Linea Industria'!$A$6:$G$1020,4,FALSE)</f>
        <v>136.99</v>
      </c>
      <c r="D913" s="23">
        <f>VLOOKUP(A913,'[11]Linea Industria'!$A$6:$G$1020,5,FALSE)</f>
        <v>154.80000000000001</v>
      </c>
      <c r="E913" s="23">
        <f>VLOOKUP(A913,'[11]Linea Industria'!$A$6:$G$1020,6,FALSE)</f>
        <v>190.27</v>
      </c>
      <c r="F913" s="23">
        <f>VLOOKUP(A913,'[11]Linea Industria'!$A$6:$G$1020,7,FALSE)</f>
        <v>215</v>
      </c>
    </row>
    <row r="914" spans="1:6" x14ac:dyDescent="0.3">
      <c r="A914" s="46" t="s">
        <v>974</v>
      </c>
      <c r="B914" s="43" t="s">
        <v>3485</v>
      </c>
      <c r="C914" s="23">
        <f>VLOOKUP(A914,'[11]Linea Industria'!$A$6:$G$1020,4,FALSE)</f>
        <v>136.99</v>
      </c>
      <c r="D914" s="23">
        <f>VLOOKUP(A914,'[11]Linea Industria'!$A$6:$G$1020,5,FALSE)</f>
        <v>154.80000000000001</v>
      </c>
      <c r="E914" s="23">
        <f>VLOOKUP(A914,'[11]Linea Industria'!$A$6:$G$1020,6,FALSE)</f>
        <v>190.27</v>
      </c>
      <c r="F914" s="23">
        <f>VLOOKUP(A914,'[11]Linea Industria'!$A$6:$G$1020,7,FALSE)</f>
        <v>215</v>
      </c>
    </row>
    <row r="915" spans="1:6" x14ac:dyDescent="0.3">
      <c r="A915" s="46" t="s">
        <v>975</v>
      </c>
      <c r="B915" s="43" t="s">
        <v>3487</v>
      </c>
      <c r="C915" s="23">
        <f>VLOOKUP(A915,'[11]Linea Industria'!$A$6:$G$1020,4,FALSE)</f>
        <v>136.99</v>
      </c>
      <c r="D915" s="23">
        <f>VLOOKUP(A915,'[11]Linea Industria'!$A$6:$G$1020,5,FALSE)</f>
        <v>154.80000000000001</v>
      </c>
      <c r="E915" s="23">
        <f>VLOOKUP(A915,'[11]Linea Industria'!$A$6:$G$1020,6,FALSE)</f>
        <v>190.27</v>
      </c>
      <c r="F915" s="23">
        <f>VLOOKUP(A915,'[11]Linea Industria'!$A$6:$G$1020,7,FALSE)</f>
        <v>215</v>
      </c>
    </row>
    <row r="916" spans="1:6" x14ac:dyDescent="0.3">
      <c r="A916" s="26" t="s">
        <v>976</v>
      </c>
      <c r="B916" s="43" t="s">
        <v>3496</v>
      </c>
      <c r="C916" s="23">
        <f>VLOOKUP(A916,'[11]Linea Industria'!$A$6:$G$1020,4,FALSE)</f>
        <v>8.74</v>
      </c>
      <c r="D916" s="23">
        <f>VLOOKUP(A916,'[11]Linea Industria'!$A$6:$G$1020,5,FALSE)</f>
        <v>9.8800000000000008</v>
      </c>
      <c r="E916" s="23">
        <f>VLOOKUP(A916,'[11]Linea Industria'!$A$6:$G$1020,6,FALSE)</f>
        <v>12.83</v>
      </c>
      <c r="F916" s="23">
        <f>VLOOKUP(A916,'[11]Linea Industria'!$A$6:$G$1020,7,FALSE)</f>
        <v>14.5</v>
      </c>
    </row>
    <row r="917" spans="1:6" x14ac:dyDescent="0.3">
      <c r="A917" s="26" t="s">
        <v>977</v>
      </c>
      <c r="B917" s="43" t="s">
        <v>3497</v>
      </c>
      <c r="C917" s="23">
        <f>VLOOKUP(A917,'[11]Linea Industria'!$A$6:$G$1020,4,FALSE)</f>
        <v>7.74</v>
      </c>
      <c r="D917" s="23">
        <f>VLOOKUP(A917,'[11]Linea Industria'!$A$6:$G$1020,5,FALSE)</f>
        <v>8.75</v>
      </c>
      <c r="E917" s="23">
        <f>VLOOKUP(A917,'[11]Linea Industria'!$A$6:$G$1020,6,FALSE)</f>
        <v>12.83</v>
      </c>
      <c r="F917" s="23">
        <f>VLOOKUP(A917,'[11]Linea Industria'!$A$6:$G$1020,7,FALSE)</f>
        <v>14.5</v>
      </c>
    </row>
    <row r="918" spans="1:6" x14ac:dyDescent="0.3">
      <c r="A918" s="26" t="s">
        <v>978</v>
      </c>
      <c r="B918" s="43" t="s">
        <v>3498</v>
      </c>
      <c r="C918" s="23">
        <f>VLOOKUP(A918,'[11]Linea Industria'!$A$6:$G$1020,4,FALSE)</f>
        <v>7.74</v>
      </c>
      <c r="D918" s="23">
        <f>VLOOKUP(A918,'[11]Linea Industria'!$A$6:$G$1020,5,FALSE)</f>
        <v>8.75</v>
      </c>
      <c r="E918" s="23">
        <f>VLOOKUP(A918,'[11]Linea Industria'!$A$6:$G$1020,6,FALSE)</f>
        <v>12.83</v>
      </c>
      <c r="F918" s="23">
        <f>VLOOKUP(A918,'[11]Linea Industria'!$A$6:$G$1020,7,FALSE)</f>
        <v>14.5</v>
      </c>
    </row>
    <row r="919" spans="1:6" x14ac:dyDescent="0.3">
      <c r="A919" s="26" t="s">
        <v>979</v>
      </c>
      <c r="B919" s="43" t="s">
        <v>3496</v>
      </c>
      <c r="C919" s="23">
        <f>VLOOKUP(A919,'[11]Linea Industria'!$A$6:$G$1020,4,FALSE)</f>
        <v>29.65</v>
      </c>
      <c r="D919" s="23">
        <f>VLOOKUP(A919,'[11]Linea Industria'!$A$6:$G$1020,5,FALSE)</f>
        <v>33.51</v>
      </c>
      <c r="E919" s="23">
        <f>VLOOKUP(A919,'[11]Linea Industria'!$A$6:$G$1020,6,FALSE)</f>
        <v>43.27</v>
      </c>
      <c r="F919" s="23">
        <f>VLOOKUP(A919,'[11]Linea Industria'!$A$6:$G$1020,7,FALSE)</f>
        <v>48.9</v>
      </c>
    </row>
    <row r="920" spans="1:6" x14ac:dyDescent="0.3">
      <c r="A920" s="26" t="s">
        <v>980</v>
      </c>
      <c r="B920" s="43" t="s">
        <v>3497</v>
      </c>
      <c r="C920" s="23">
        <f>VLOOKUP(A920,'[11]Linea Industria'!$A$6:$G$1020,4,FALSE)</f>
        <v>26.16</v>
      </c>
      <c r="D920" s="23">
        <f>VLOOKUP(A920,'[11]Linea Industria'!$A$6:$G$1020,5,FALSE)</f>
        <v>29.56</v>
      </c>
      <c r="E920" s="23">
        <f>VLOOKUP(A920,'[11]Linea Industria'!$A$6:$G$1020,6,FALSE)</f>
        <v>43.27</v>
      </c>
      <c r="F920" s="23">
        <f>VLOOKUP(A920,'[11]Linea Industria'!$A$6:$G$1020,7,FALSE)</f>
        <v>48.9</v>
      </c>
    </row>
    <row r="921" spans="1:6" x14ac:dyDescent="0.3">
      <c r="A921" s="26" t="s">
        <v>981</v>
      </c>
      <c r="B921" s="43" t="s">
        <v>3498</v>
      </c>
      <c r="C921" s="23">
        <f>VLOOKUP(A921,'[11]Linea Industria'!$A$6:$G$1020,4,FALSE)</f>
        <v>26.16</v>
      </c>
      <c r="D921" s="23">
        <f>VLOOKUP(A921,'[11]Linea Industria'!$A$6:$G$1020,5,FALSE)</f>
        <v>29.56</v>
      </c>
      <c r="E921" s="23">
        <f>VLOOKUP(A921,'[11]Linea Industria'!$A$6:$G$1020,6,FALSE)</f>
        <v>43.27</v>
      </c>
      <c r="F921" s="23">
        <f>VLOOKUP(A921,'[11]Linea Industria'!$A$6:$G$1020,7,FALSE)</f>
        <v>48.9</v>
      </c>
    </row>
    <row r="922" spans="1:6" x14ac:dyDescent="0.3">
      <c r="A922" s="26" t="s">
        <v>982</v>
      </c>
      <c r="B922" s="43" t="s">
        <v>3496</v>
      </c>
      <c r="C922" s="23">
        <f>VLOOKUP(A922,'[11]Linea Industria'!$A$6:$G$1020,4,FALSE)</f>
        <v>132.68</v>
      </c>
      <c r="D922" s="23">
        <f>VLOOKUP(A922,'[11]Linea Industria'!$A$6:$G$1020,5,FALSE)</f>
        <v>149.93</v>
      </c>
      <c r="E922" s="23">
        <f>VLOOKUP(A922,'[11]Linea Industria'!$A$6:$G$1020,6,FALSE)</f>
        <v>194.69</v>
      </c>
      <c r="F922" s="23">
        <f>VLOOKUP(A922,'[11]Linea Industria'!$A$6:$G$1020,7,FALSE)</f>
        <v>220</v>
      </c>
    </row>
    <row r="923" spans="1:6" x14ac:dyDescent="0.3">
      <c r="A923" s="26" t="s">
        <v>983</v>
      </c>
      <c r="B923" s="43" t="s">
        <v>3497</v>
      </c>
      <c r="C923" s="23">
        <f>VLOOKUP(A923,'[11]Linea Industria'!$A$6:$G$1020,4,FALSE)</f>
        <v>115.18</v>
      </c>
      <c r="D923" s="23">
        <f>VLOOKUP(A923,'[11]Linea Industria'!$A$6:$G$1020,5,FALSE)</f>
        <v>130.15</v>
      </c>
      <c r="E923" s="23">
        <f>VLOOKUP(A923,'[11]Linea Industria'!$A$6:$G$1020,6,FALSE)</f>
        <v>194.69</v>
      </c>
      <c r="F923" s="23">
        <f>VLOOKUP(A923,'[11]Linea Industria'!$A$6:$G$1020,7,FALSE)</f>
        <v>220</v>
      </c>
    </row>
    <row r="924" spans="1:6" x14ac:dyDescent="0.3">
      <c r="A924" s="26" t="s">
        <v>984</v>
      </c>
      <c r="B924" s="43" t="s">
        <v>3498</v>
      </c>
      <c r="C924" s="23">
        <f>VLOOKUP(A924,'[11]Linea Industria'!$A$6:$G$1020,4,FALSE)</f>
        <v>115.18</v>
      </c>
      <c r="D924" s="23">
        <f>VLOOKUP(A924,'[11]Linea Industria'!$A$6:$G$1020,5,FALSE)</f>
        <v>130.15</v>
      </c>
      <c r="E924" s="23">
        <f>VLOOKUP(A924,'[11]Linea Industria'!$A$6:$G$1020,6,FALSE)</f>
        <v>194.69</v>
      </c>
      <c r="F924" s="23">
        <f>VLOOKUP(A924,'[11]Linea Industria'!$A$6:$G$1020,7,FALSE)</f>
        <v>220</v>
      </c>
    </row>
    <row r="925" spans="1:6" x14ac:dyDescent="0.3">
      <c r="A925" s="28" t="s">
        <v>985</v>
      </c>
      <c r="B925" s="43" t="s">
        <v>3499</v>
      </c>
      <c r="C925" s="23">
        <f>VLOOKUP(A925,'[11]Linea Industria'!$A$6:$G$1020,4,FALSE)</f>
        <v>27.97</v>
      </c>
      <c r="D925" s="23">
        <f>VLOOKUP(A925,'[11]Linea Industria'!$A$6:$G$1020,5,FALSE)</f>
        <v>31.61</v>
      </c>
      <c r="E925" s="23">
        <f>VLOOKUP(A925,'[11]Linea Industria'!$A$6:$G$1020,6,FALSE)</f>
        <v>38.85</v>
      </c>
      <c r="F925" s="23">
        <f>VLOOKUP(A925,'[11]Linea Industria'!$A$6:$G$1020,7,FALSE)</f>
        <v>43.9</v>
      </c>
    </row>
    <row r="926" spans="1:6" x14ac:dyDescent="0.3">
      <c r="A926" s="28" t="s">
        <v>3127</v>
      </c>
      <c r="B926" s="43" t="s">
        <v>3500</v>
      </c>
      <c r="C926" s="23">
        <f>VLOOKUP(A926,'[11]Linea Industria'!$A$6:$G$1020,4,FALSE)</f>
        <v>8.6</v>
      </c>
      <c r="D926" s="23">
        <f>VLOOKUP(A926,'[11]Linea Industria'!$A$6:$G$1020,5,FALSE)</f>
        <v>9.7200000000000006</v>
      </c>
      <c r="E926" s="23">
        <f>VLOOKUP(A926,'[11]Linea Industria'!$A$6:$G$1020,6,FALSE)</f>
        <v>11.95</v>
      </c>
      <c r="F926" s="23">
        <f>VLOOKUP(A926,'[11]Linea Industria'!$A$6:$G$1020,7,FALSE)</f>
        <v>13.5</v>
      </c>
    </row>
    <row r="927" spans="1:6" x14ac:dyDescent="0.3">
      <c r="A927" s="28" t="s">
        <v>986</v>
      </c>
      <c r="B927" s="43" t="s">
        <v>3501</v>
      </c>
      <c r="C927" s="23">
        <f>VLOOKUP(A927,'[11]Linea Industria'!$A$6:$G$1020,4,FALSE)</f>
        <v>27.97</v>
      </c>
      <c r="D927" s="23">
        <f>VLOOKUP(A927,'[11]Linea Industria'!$A$6:$G$1020,5,FALSE)</f>
        <v>31.61</v>
      </c>
      <c r="E927" s="23">
        <f>VLOOKUP(A927,'[11]Linea Industria'!$A$6:$G$1020,6,FALSE)</f>
        <v>38.85</v>
      </c>
      <c r="F927" s="23">
        <f>VLOOKUP(A927,'[11]Linea Industria'!$A$6:$G$1020,7,FALSE)</f>
        <v>43.9</v>
      </c>
    </row>
    <row r="928" spans="1:6" x14ac:dyDescent="0.3">
      <c r="A928" s="28" t="s">
        <v>987</v>
      </c>
      <c r="B928" s="43" t="s">
        <v>3502</v>
      </c>
      <c r="C928" s="23">
        <f>VLOOKUP(A928,'[11]Linea Industria'!$A$6:$G$1020,4,FALSE)</f>
        <v>27.97</v>
      </c>
      <c r="D928" s="23">
        <f>VLOOKUP(A928,'[11]Linea Industria'!$A$6:$G$1020,5,FALSE)</f>
        <v>31.61</v>
      </c>
      <c r="E928" s="23">
        <f>VLOOKUP(A928,'[11]Linea Industria'!$A$6:$G$1020,6,FALSE)</f>
        <v>38.85</v>
      </c>
      <c r="F928" s="23">
        <f>VLOOKUP(A928,'[11]Linea Industria'!$A$6:$G$1020,7,FALSE)</f>
        <v>43.9</v>
      </c>
    </row>
    <row r="929" spans="1:6" x14ac:dyDescent="0.3">
      <c r="A929" s="28" t="s">
        <v>988</v>
      </c>
      <c r="B929" s="43" t="s">
        <v>3503</v>
      </c>
      <c r="C929" s="23">
        <f>VLOOKUP(A929,'[11]Linea Industria'!$A$6:$G$1020,4,FALSE)</f>
        <v>27.97</v>
      </c>
      <c r="D929" s="23">
        <f>VLOOKUP(A929,'[11]Linea Industria'!$A$6:$G$1020,5,FALSE)</f>
        <v>31.61</v>
      </c>
      <c r="E929" s="23">
        <f>VLOOKUP(A929,'[11]Linea Industria'!$A$6:$G$1020,6,FALSE)</f>
        <v>38.85</v>
      </c>
      <c r="F929" s="23">
        <f>VLOOKUP(A929,'[11]Linea Industria'!$A$6:$G$1020,7,FALSE)</f>
        <v>43.9</v>
      </c>
    </row>
    <row r="930" spans="1:6" x14ac:dyDescent="0.3">
      <c r="A930" s="28" t="s">
        <v>989</v>
      </c>
      <c r="B930" s="43" t="s">
        <v>3504</v>
      </c>
      <c r="C930" s="23">
        <f>VLOOKUP(A930,'[11]Linea Industria'!$A$6:$G$1020,4,FALSE)</f>
        <v>27.97</v>
      </c>
      <c r="D930" s="23">
        <f>VLOOKUP(A930,'[11]Linea Industria'!$A$6:$G$1020,5,FALSE)</f>
        <v>31.61</v>
      </c>
      <c r="E930" s="23">
        <f>VLOOKUP(A930,'[11]Linea Industria'!$A$6:$G$1020,6,FALSE)</f>
        <v>38.85</v>
      </c>
      <c r="F930" s="23">
        <f>VLOOKUP(A930,'[11]Linea Industria'!$A$6:$G$1020,7,FALSE)</f>
        <v>43.9</v>
      </c>
    </row>
    <row r="931" spans="1:6" x14ac:dyDescent="0.3">
      <c r="A931" s="28" t="s">
        <v>990</v>
      </c>
      <c r="B931" s="43" t="s">
        <v>3505</v>
      </c>
      <c r="C931" s="23">
        <f>VLOOKUP(A931,'[11]Linea Industria'!$A$6:$G$1020,4,FALSE)</f>
        <v>27.97</v>
      </c>
      <c r="D931" s="23">
        <f>VLOOKUP(A931,'[11]Linea Industria'!$A$6:$G$1020,5,FALSE)</f>
        <v>31.61</v>
      </c>
      <c r="E931" s="23">
        <f>VLOOKUP(A931,'[11]Linea Industria'!$A$6:$G$1020,6,FALSE)</f>
        <v>38.85</v>
      </c>
      <c r="F931" s="23">
        <f>VLOOKUP(A931,'[11]Linea Industria'!$A$6:$G$1020,7,FALSE)</f>
        <v>43.9</v>
      </c>
    </row>
    <row r="932" spans="1:6" x14ac:dyDescent="0.3">
      <c r="A932" s="28" t="s">
        <v>991</v>
      </c>
      <c r="B932" s="43" t="s">
        <v>3506</v>
      </c>
      <c r="C932" s="23">
        <f>VLOOKUP(A932,'[11]Linea Industria'!$A$6:$G$1020,4,FALSE)</f>
        <v>27.97</v>
      </c>
      <c r="D932" s="23">
        <f>VLOOKUP(A932,'[11]Linea Industria'!$A$6:$G$1020,5,FALSE)</f>
        <v>31.61</v>
      </c>
      <c r="E932" s="23">
        <f>VLOOKUP(A932,'[11]Linea Industria'!$A$6:$G$1020,6,FALSE)</f>
        <v>38.85</v>
      </c>
      <c r="F932" s="23">
        <f>VLOOKUP(A932,'[11]Linea Industria'!$A$6:$G$1020,7,FALSE)</f>
        <v>43.9</v>
      </c>
    </row>
    <row r="933" spans="1:6" x14ac:dyDescent="0.3">
      <c r="A933" s="28" t="s">
        <v>992</v>
      </c>
      <c r="B933" s="43" t="s">
        <v>3507</v>
      </c>
      <c r="C933" s="23">
        <f>VLOOKUP(A933,'[11]Linea Industria'!$A$6:$G$1020,4,FALSE)</f>
        <v>27.97</v>
      </c>
      <c r="D933" s="23">
        <f>VLOOKUP(A933,'[11]Linea Industria'!$A$6:$G$1020,5,FALSE)</f>
        <v>31.61</v>
      </c>
      <c r="E933" s="23">
        <f>VLOOKUP(A933,'[11]Linea Industria'!$A$6:$G$1020,6,FALSE)</f>
        <v>38.85</v>
      </c>
      <c r="F933" s="23">
        <f>VLOOKUP(A933,'[11]Linea Industria'!$A$6:$G$1020,7,FALSE)</f>
        <v>43.9</v>
      </c>
    </row>
    <row r="934" spans="1:6" x14ac:dyDescent="0.3">
      <c r="A934" s="28" t="s">
        <v>993</v>
      </c>
      <c r="B934" s="43" t="s">
        <v>3508</v>
      </c>
      <c r="C934" s="23">
        <f>VLOOKUP(A934,'[11]Linea Industria'!$A$6:$G$1020,4,FALSE)</f>
        <v>27.97</v>
      </c>
      <c r="D934" s="23">
        <f>VLOOKUP(A934,'[11]Linea Industria'!$A$6:$G$1020,5,FALSE)</f>
        <v>31.61</v>
      </c>
      <c r="E934" s="23">
        <f>VLOOKUP(A934,'[11]Linea Industria'!$A$6:$G$1020,6,FALSE)</f>
        <v>38.85</v>
      </c>
      <c r="F934" s="23">
        <f>VLOOKUP(A934,'[11]Linea Industria'!$A$6:$G$1020,7,FALSE)</f>
        <v>43.9</v>
      </c>
    </row>
    <row r="935" spans="1:6" x14ac:dyDescent="0.3">
      <c r="A935" s="28" t="s">
        <v>994</v>
      </c>
      <c r="B935" s="43" t="s">
        <v>3500</v>
      </c>
      <c r="C935" s="23">
        <f>VLOOKUP(A935,'[11]Linea Industria'!$A$6:$G$1020,4,FALSE)</f>
        <v>27.97</v>
      </c>
      <c r="D935" s="23">
        <f>VLOOKUP(A935,'[11]Linea Industria'!$A$6:$G$1020,5,FALSE)</f>
        <v>31.61</v>
      </c>
      <c r="E935" s="23">
        <f>VLOOKUP(A935,'[11]Linea Industria'!$A$6:$G$1020,6,FALSE)</f>
        <v>38.85</v>
      </c>
      <c r="F935" s="23">
        <f>VLOOKUP(A935,'[11]Linea Industria'!$A$6:$G$1020,7,FALSE)</f>
        <v>43.9</v>
      </c>
    </row>
    <row r="936" spans="1:6" x14ac:dyDescent="0.3">
      <c r="A936" s="28" t="s">
        <v>995</v>
      </c>
      <c r="B936" s="43" t="s">
        <v>3509</v>
      </c>
      <c r="C936" s="23">
        <f>VLOOKUP(A936,'[11]Linea Industria'!$A$6:$G$1020,4,FALSE)</f>
        <v>27.97</v>
      </c>
      <c r="D936" s="23">
        <f>VLOOKUP(A936,'[11]Linea Industria'!$A$6:$G$1020,5,FALSE)</f>
        <v>31.61</v>
      </c>
      <c r="E936" s="23">
        <f>VLOOKUP(A936,'[11]Linea Industria'!$A$6:$G$1020,6,FALSE)</f>
        <v>38.85</v>
      </c>
      <c r="F936" s="23">
        <f>VLOOKUP(A936,'[11]Linea Industria'!$A$6:$G$1020,7,FALSE)</f>
        <v>43.9</v>
      </c>
    </row>
    <row r="937" spans="1:6" x14ac:dyDescent="0.3">
      <c r="A937" s="28" t="s">
        <v>996</v>
      </c>
      <c r="B937" s="43" t="s">
        <v>3510</v>
      </c>
      <c r="C937" s="23">
        <f>VLOOKUP(A937,'[11]Linea Industria'!$A$6:$G$1020,4,FALSE)</f>
        <v>27.97</v>
      </c>
      <c r="D937" s="23">
        <f>VLOOKUP(A937,'[11]Linea Industria'!$A$6:$G$1020,5,FALSE)</f>
        <v>31.61</v>
      </c>
      <c r="E937" s="23">
        <f>VLOOKUP(A937,'[11]Linea Industria'!$A$6:$G$1020,6,FALSE)</f>
        <v>38.85</v>
      </c>
      <c r="F937" s="23">
        <f>VLOOKUP(A937,'[11]Linea Industria'!$A$6:$G$1020,7,FALSE)</f>
        <v>43.9</v>
      </c>
    </row>
    <row r="938" spans="1:6" x14ac:dyDescent="0.3">
      <c r="A938" s="30" t="s">
        <v>997</v>
      </c>
      <c r="B938" s="43" t="s">
        <v>998</v>
      </c>
      <c r="C938" s="23">
        <f>VLOOKUP(A938,'[11]Linea Industria'!$A$6:$G$1020,4,FALSE)</f>
        <v>26.7</v>
      </c>
      <c r="D938" s="23">
        <f>VLOOKUP(A938,'[11]Linea Industria'!$A$6:$G$1020,5,FALSE)</f>
        <v>30.17</v>
      </c>
      <c r="E938" s="23">
        <f>VLOOKUP(A938,'[11]Linea Industria'!$A$6:$G$1020,6,FALSE)</f>
        <v>37.08</v>
      </c>
      <c r="F938" s="23">
        <f>VLOOKUP(A938,'[11]Linea Industria'!$A$6:$G$1020,7,FALSE)</f>
        <v>41.9</v>
      </c>
    </row>
    <row r="939" spans="1:6" x14ac:dyDescent="0.3">
      <c r="A939" s="30" t="s">
        <v>999</v>
      </c>
      <c r="B939" s="43" t="s">
        <v>3511</v>
      </c>
      <c r="C939" s="23">
        <f>VLOOKUP(A939,'[11]Linea Industria'!$A$6:$G$1020,4,FALSE)</f>
        <v>26.7</v>
      </c>
      <c r="D939" s="23">
        <f>VLOOKUP(A939,'[11]Linea Industria'!$A$6:$G$1020,5,FALSE)</f>
        <v>30.17</v>
      </c>
      <c r="E939" s="23">
        <f>VLOOKUP(A939,'[11]Linea Industria'!$A$6:$G$1020,6,FALSE)</f>
        <v>37.08</v>
      </c>
      <c r="F939" s="23">
        <f>VLOOKUP(A939,'[11]Linea Industria'!$A$6:$G$1020,7,FALSE)</f>
        <v>41.9</v>
      </c>
    </row>
    <row r="940" spans="1:6" x14ac:dyDescent="0.3">
      <c r="A940" s="30" t="s">
        <v>1000</v>
      </c>
      <c r="B940" s="43" t="s">
        <v>1001</v>
      </c>
      <c r="C940" s="23">
        <f>VLOOKUP(A940,'[11]Linea Industria'!$A$6:$G$1020,4,FALSE)</f>
        <v>26.7</v>
      </c>
      <c r="D940" s="23">
        <f>VLOOKUP(A940,'[11]Linea Industria'!$A$6:$G$1020,5,FALSE)</f>
        <v>30.17</v>
      </c>
      <c r="E940" s="23">
        <f>VLOOKUP(A940,'[11]Linea Industria'!$A$6:$G$1020,6,FALSE)</f>
        <v>37.08</v>
      </c>
      <c r="F940" s="23">
        <f>VLOOKUP(A940,'[11]Linea Industria'!$A$6:$G$1020,7,FALSE)</f>
        <v>41.9</v>
      </c>
    </row>
    <row r="941" spans="1:6" x14ac:dyDescent="0.3">
      <c r="A941" s="30" t="s">
        <v>1002</v>
      </c>
      <c r="B941" s="43" t="s">
        <v>998</v>
      </c>
      <c r="C941" s="23">
        <f>VLOOKUP(A941,'[11]Linea Industria'!$A$6:$G$1020,4,FALSE)</f>
        <v>128.71</v>
      </c>
      <c r="D941" s="23">
        <f>VLOOKUP(A941,'[11]Linea Industria'!$A$6:$G$1020,5,FALSE)</f>
        <v>145.44</v>
      </c>
      <c r="E941" s="23">
        <f>VLOOKUP(A941,'[11]Linea Industria'!$A$6:$G$1020,6,FALSE)</f>
        <v>178.76</v>
      </c>
      <c r="F941" s="23">
        <f>VLOOKUP(A941,'[11]Linea Industria'!$A$6:$G$1020,7,FALSE)</f>
        <v>202</v>
      </c>
    </row>
    <row r="942" spans="1:6" x14ac:dyDescent="0.3">
      <c r="A942" s="30" t="s">
        <v>1003</v>
      </c>
      <c r="B942" s="43" t="s">
        <v>3511</v>
      </c>
      <c r="C942" s="23">
        <f>VLOOKUP(A942,'[11]Linea Industria'!$A$6:$G$1020,4,FALSE)</f>
        <v>128.71</v>
      </c>
      <c r="D942" s="23">
        <f>VLOOKUP(A942,'[11]Linea Industria'!$A$6:$G$1020,5,FALSE)</f>
        <v>145.44</v>
      </c>
      <c r="E942" s="23">
        <f>VLOOKUP(A942,'[11]Linea Industria'!$A$6:$G$1020,6,FALSE)</f>
        <v>178.76</v>
      </c>
      <c r="F942" s="23">
        <f>VLOOKUP(A942,'[11]Linea Industria'!$A$6:$G$1020,7,FALSE)</f>
        <v>202</v>
      </c>
    </row>
    <row r="943" spans="1:6" x14ac:dyDescent="0.3">
      <c r="A943" s="30" t="s">
        <v>1004</v>
      </c>
      <c r="B943" s="43" t="s">
        <v>1001</v>
      </c>
      <c r="C943" s="23">
        <f>VLOOKUP(A943,'[11]Linea Industria'!$A$6:$G$1020,4,FALSE)</f>
        <v>128.71</v>
      </c>
      <c r="D943" s="23">
        <f>VLOOKUP(A943,'[11]Linea Industria'!$A$6:$G$1020,5,FALSE)</f>
        <v>145.44</v>
      </c>
      <c r="E943" s="23">
        <f>VLOOKUP(A943,'[11]Linea Industria'!$A$6:$G$1020,6,FALSE)</f>
        <v>178.76</v>
      </c>
      <c r="F943" s="23">
        <f>VLOOKUP(A943,'[11]Linea Industria'!$A$6:$G$1020,7,FALSE)</f>
        <v>202</v>
      </c>
    </row>
    <row r="944" spans="1:6" x14ac:dyDescent="0.3">
      <c r="A944" s="28" t="s">
        <v>1005</v>
      </c>
      <c r="B944" s="43" t="s">
        <v>3512</v>
      </c>
      <c r="C944" s="23">
        <f>VLOOKUP(A944,'[11]Linea Industria'!$A$6:$G$1020,4,FALSE)</f>
        <v>33.71</v>
      </c>
      <c r="D944" s="23">
        <f>VLOOKUP(A944,'[11]Linea Industria'!$A$6:$G$1020,5,FALSE)</f>
        <v>38.090000000000003</v>
      </c>
      <c r="E944" s="23">
        <f>VLOOKUP(A944,'[11]Linea Industria'!$A$6:$G$1020,6,FALSE)</f>
        <v>46.81</v>
      </c>
      <c r="F944" s="23">
        <f>VLOOKUP(A944,'[11]Linea Industria'!$A$6:$G$1020,7,FALSE)</f>
        <v>52.9</v>
      </c>
    </row>
    <row r="945" spans="1:6" x14ac:dyDescent="0.3">
      <c r="A945" s="28" t="s">
        <v>1006</v>
      </c>
      <c r="B945" s="43" t="s">
        <v>3513</v>
      </c>
      <c r="C945" s="23">
        <f>VLOOKUP(A945,'[11]Linea Industria'!$A$6:$G$1020,4,FALSE)</f>
        <v>33.71</v>
      </c>
      <c r="D945" s="23">
        <f>VLOOKUP(A945,'[11]Linea Industria'!$A$6:$G$1020,5,FALSE)</f>
        <v>38.090000000000003</v>
      </c>
      <c r="E945" s="23">
        <f>VLOOKUP(A945,'[11]Linea Industria'!$A$6:$G$1020,6,FALSE)</f>
        <v>46.81</v>
      </c>
      <c r="F945" s="23">
        <f>VLOOKUP(A945,'[11]Linea Industria'!$A$6:$G$1020,7,FALSE)</f>
        <v>52.9</v>
      </c>
    </row>
    <row r="946" spans="1:6" x14ac:dyDescent="0.3">
      <c r="A946" s="28" t="s">
        <v>1007</v>
      </c>
      <c r="B946" s="43" t="s">
        <v>3514</v>
      </c>
      <c r="C946" s="23">
        <f>VLOOKUP(A946,'[11]Linea Industria'!$A$6:$G$1020,4,FALSE)</f>
        <v>33.71</v>
      </c>
      <c r="D946" s="23">
        <f>VLOOKUP(A946,'[11]Linea Industria'!$A$6:$G$1020,5,FALSE)</f>
        <v>38.090000000000003</v>
      </c>
      <c r="E946" s="23">
        <f>VLOOKUP(A946,'[11]Linea Industria'!$A$6:$G$1020,6,FALSE)</f>
        <v>46.81</v>
      </c>
      <c r="F946" s="23">
        <f>VLOOKUP(A946,'[11]Linea Industria'!$A$6:$G$1020,7,FALSE)</f>
        <v>52.9</v>
      </c>
    </row>
    <row r="947" spans="1:6" x14ac:dyDescent="0.3">
      <c r="A947" s="28" t="s">
        <v>1008</v>
      </c>
      <c r="B947" s="43" t="s">
        <v>3515</v>
      </c>
      <c r="C947" s="23">
        <f>VLOOKUP(A947,'[11]Linea Industria'!$A$6:$G$1020,4,FALSE)</f>
        <v>33.71</v>
      </c>
      <c r="D947" s="23">
        <f>VLOOKUP(A947,'[11]Linea Industria'!$A$6:$G$1020,5,FALSE)</f>
        <v>38.090000000000003</v>
      </c>
      <c r="E947" s="23">
        <f>VLOOKUP(A947,'[11]Linea Industria'!$A$6:$G$1020,6,FALSE)</f>
        <v>46.81</v>
      </c>
      <c r="F947" s="23">
        <f>VLOOKUP(A947,'[11]Linea Industria'!$A$6:$G$1020,7,FALSE)</f>
        <v>52.9</v>
      </c>
    </row>
    <row r="948" spans="1:6" x14ac:dyDescent="0.3">
      <c r="A948" s="28" t="s">
        <v>1009</v>
      </c>
      <c r="B948" s="43" t="s">
        <v>3512</v>
      </c>
      <c r="C948" s="23">
        <f>VLOOKUP(A948,'[11]Linea Industria'!$A$6:$G$1020,4,FALSE)</f>
        <v>10.130000000000001</v>
      </c>
      <c r="D948" s="23">
        <f>VLOOKUP(A948,'[11]Linea Industria'!$A$6:$G$1020,5,FALSE)</f>
        <v>11.45</v>
      </c>
      <c r="E948" s="23">
        <f>VLOOKUP(A948,'[11]Linea Industria'!$A$6:$G$1020,6,FALSE)</f>
        <v>14.07</v>
      </c>
      <c r="F948" s="23">
        <f>VLOOKUP(A948,'[11]Linea Industria'!$A$6:$G$1020,7,FALSE)</f>
        <v>15.9</v>
      </c>
    </row>
    <row r="949" spans="1:6" x14ac:dyDescent="0.3">
      <c r="A949" s="28" t="s">
        <v>1010</v>
      </c>
      <c r="B949" s="43" t="s">
        <v>3513</v>
      </c>
      <c r="C949" s="23">
        <f>VLOOKUP(A949,'[11]Linea Industria'!$A$6:$G$1020,4,FALSE)</f>
        <v>10.130000000000001</v>
      </c>
      <c r="D949" s="23">
        <f>VLOOKUP(A949,'[11]Linea Industria'!$A$6:$G$1020,5,FALSE)</f>
        <v>11.45</v>
      </c>
      <c r="E949" s="23">
        <f>VLOOKUP(A949,'[11]Linea Industria'!$A$6:$G$1020,6,FALSE)</f>
        <v>14.07</v>
      </c>
      <c r="F949" s="23">
        <f>VLOOKUP(A949,'[11]Linea Industria'!$A$6:$G$1020,7,FALSE)</f>
        <v>15.9</v>
      </c>
    </row>
    <row r="950" spans="1:6" x14ac:dyDescent="0.3">
      <c r="A950" s="28" t="s">
        <v>1011</v>
      </c>
      <c r="B950" s="43" t="s">
        <v>3514</v>
      </c>
      <c r="C950" s="23">
        <f>VLOOKUP(A950,'[11]Linea Industria'!$A$6:$G$1020,4,FALSE)</f>
        <v>10.130000000000001</v>
      </c>
      <c r="D950" s="23">
        <f>VLOOKUP(A950,'[11]Linea Industria'!$A$6:$G$1020,5,FALSE)</f>
        <v>11.45</v>
      </c>
      <c r="E950" s="23">
        <f>VLOOKUP(A950,'[11]Linea Industria'!$A$6:$G$1020,6,FALSE)</f>
        <v>14.07</v>
      </c>
      <c r="F950" s="23">
        <f>VLOOKUP(A950,'[11]Linea Industria'!$A$6:$G$1020,7,FALSE)</f>
        <v>15.9</v>
      </c>
    </row>
    <row r="951" spans="1:6" x14ac:dyDescent="0.3">
      <c r="A951" s="28" t="s">
        <v>1012</v>
      </c>
      <c r="B951" s="43" t="s">
        <v>3515</v>
      </c>
      <c r="C951" s="23">
        <f>VLOOKUP(A951,'[11]Linea Industria'!$A$6:$G$1020,4,FALSE)</f>
        <v>10.130000000000001</v>
      </c>
      <c r="D951" s="23">
        <f>VLOOKUP(A951,'[11]Linea Industria'!$A$6:$G$1020,5,FALSE)</f>
        <v>11.45</v>
      </c>
      <c r="E951" s="23">
        <f>VLOOKUP(A951,'[11]Linea Industria'!$A$6:$G$1020,6,FALSE)</f>
        <v>14.07</v>
      </c>
      <c r="F951" s="23">
        <f>VLOOKUP(A951,'[11]Linea Industria'!$A$6:$G$1020,7,FALSE)</f>
        <v>15.9</v>
      </c>
    </row>
    <row r="952" spans="1:6" x14ac:dyDescent="0.3">
      <c r="A952" s="28" t="s">
        <v>1013</v>
      </c>
      <c r="B952" s="43" t="s">
        <v>3516</v>
      </c>
      <c r="C952" s="23">
        <f>VLOOKUP(A952,'[11]Linea Industria'!$A$6:$G$1020,4,FALSE)</f>
        <v>8.2799999999999994</v>
      </c>
      <c r="D952" s="23">
        <f>VLOOKUP(A952,'[11]Linea Industria'!$A$6:$G$1020,5,FALSE)</f>
        <v>9.36</v>
      </c>
      <c r="E952" s="23">
        <f>VLOOKUP(A952,'[11]Linea Industria'!$A$6:$G$1020,6,FALSE)</f>
        <v>11.5</v>
      </c>
      <c r="F952" s="23">
        <f>VLOOKUP(A952,'[11]Linea Industria'!$A$6:$G$1020,7,FALSE)</f>
        <v>13</v>
      </c>
    </row>
    <row r="953" spans="1:6" x14ac:dyDescent="0.3">
      <c r="A953" s="28" t="s">
        <v>1014</v>
      </c>
      <c r="B953" s="43" t="s">
        <v>1015</v>
      </c>
      <c r="C953" s="23">
        <f>VLOOKUP(A953,'[11]Linea Industria'!$A$6:$G$1020,4,FALSE)</f>
        <v>8.2799999999999994</v>
      </c>
      <c r="D953" s="23">
        <f>VLOOKUP(A953,'[11]Linea Industria'!$A$6:$G$1020,5,FALSE)</f>
        <v>9.36</v>
      </c>
      <c r="E953" s="23">
        <f>VLOOKUP(A953,'[11]Linea Industria'!$A$6:$G$1020,6,FALSE)</f>
        <v>11.5</v>
      </c>
      <c r="F953" s="23">
        <f>VLOOKUP(A953,'[11]Linea Industria'!$A$6:$G$1020,7,FALSE)</f>
        <v>13</v>
      </c>
    </row>
    <row r="954" spans="1:6" x14ac:dyDescent="0.3">
      <c r="A954" s="28" t="s">
        <v>1016</v>
      </c>
      <c r="B954" s="43" t="s">
        <v>1017</v>
      </c>
      <c r="C954" s="23">
        <f>VLOOKUP(A954,'[11]Linea Industria'!$A$6:$G$1020,4,FALSE)</f>
        <v>8.2799999999999994</v>
      </c>
      <c r="D954" s="23">
        <f>VLOOKUP(A954,'[11]Linea Industria'!$A$6:$G$1020,5,FALSE)</f>
        <v>9.36</v>
      </c>
      <c r="E954" s="23">
        <f>VLOOKUP(A954,'[11]Linea Industria'!$A$6:$G$1020,6,FALSE)</f>
        <v>11.5</v>
      </c>
      <c r="F954" s="23">
        <f>VLOOKUP(A954,'[11]Linea Industria'!$A$6:$G$1020,7,FALSE)</f>
        <v>13</v>
      </c>
    </row>
    <row r="955" spans="1:6" x14ac:dyDescent="0.3">
      <c r="A955" s="28" t="s">
        <v>1018</v>
      </c>
      <c r="B955" s="43" t="s">
        <v>1019</v>
      </c>
      <c r="C955" s="23">
        <f>VLOOKUP(A955,'[11]Linea Industria'!$A$6:$G$1020,4,FALSE)</f>
        <v>8.2799999999999994</v>
      </c>
      <c r="D955" s="23">
        <f>VLOOKUP(A955,'[11]Linea Industria'!$A$6:$G$1020,5,FALSE)</f>
        <v>9.36</v>
      </c>
      <c r="E955" s="23">
        <f>VLOOKUP(A955,'[11]Linea Industria'!$A$6:$G$1020,6,FALSE)</f>
        <v>11.5</v>
      </c>
      <c r="F955" s="23">
        <f>VLOOKUP(A955,'[11]Linea Industria'!$A$6:$G$1020,7,FALSE)</f>
        <v>13</v>
      </c>
    </row>
    <row r="956" spans="1:6" x14ac:dyDescent="0.3">
      <c r="A956" s="28" t="s">
        <v>1020</v>
      </c>
      <c r="B956" s="43" t="s">
        <v>1021</v>
      </c>
      <c r="C956" s="23">
        <f>VLOOKUP(A956,'[11]Linea Industria'!$A$6:$G$1020,4,FALSE)</f>
        <v>8.2799999999999994</v>
      </c>
      <c r="D956" s="23">
        <f>VLOOKUP(A956,'[11]Linea Industria'!$A$6:$G$1020,5,FALSE)</f>
        <v>9.36</v>
      </c>
      <c r="E956" s="23">
        <f>VLOOKUP(A956,'[11]Linea Industria'!$A$6:$G$1020,6,FALSE)</f>
        <v>11.5</v>
      </c>
      <c r="F956" s="23">
        <f>VLOOKUP(A956,'[11]Linea Industria'!$A$6:$G$1020,7,FALSE)</f>
        <v>13</v>
      </c>
    </row>
    <row r="957" spans="1:6" x14ac:dyDescent="0.3">
      <c r="A957" s="28" t="s">
        <v>1022</v>
      </c>
      <c r="B957" s="43" t="s">
        <v>1023</v>
      </c>
      <c r="C957" s="23">
        <f>VLOOKUP(A957,'[11]Linea Industria'!$A$6:$G$1020,4,FALSE)</f>
        <v>8.2799999999999994</v>
      </c>
      <c r="D957" s="23">
        <f>VLOOKUP(A957,'[11]Linea Industria'!$A$6:$G$1020,5,FALSE)</f>
        <v>9.36</v>
      </c>
      <c r="E957" s="23">
        <f>VLOOKUP(A957,'[11]Linea Industria'!$A$6:$G$1020,6,FALSE)</f>
        <v>11.5</v>
      </c>
      <c r="F957" s="23">
        <f>VLOOKUP(A957,'[11]Linea Industria'!$A$6:$G$1020,7,FALSE)</f>
        <v>13</v>
      </c>
    </row>
    <row r="958" spans="1:6" x14ac:dyDescent="0.3">
      <c r="A958" s="28" t="s">
        <v>1024</v>
      </c>
      <c r="B958" s="43" t="s">
        <v>1025</v>
      </c>
      <c r="C958" s="23">
        <f>VLOOKUP(A958,'[11]Linea Industria'!$A$6:$G$1020,4,FALSE)</f>
        <v>8.2799999999999994</v>
      </c>
      <c r="D958" s="23">
        <f>VLOOKUP(A958,'[11]Linea Industria'!$A$6:$G$1020,5,FALSE)</f>
        <v>9.36</v>
      </c>
      <c r="E958" s="23">
        <f>VLOOKUP(A958,'[11]Linea Industria'!$A$6:$G$1020,6,FALSE)</f>
        <v>11.5</v>
      </c>
      <c r="F958" s="23">
        <f>VLOOKUP(A958,'[11]Linea Industria'!$A$6:$G$1020,7,FALSE)</f>
        <v>13</v>
      </c>
    </row>
    <row r="959" spans="1:6" x14ac:dyDescent="0.3">
      <c r="A959" s="28" t="s">
        <v>1026</v>
      </c>
      <c r="B959" s="43" t="s">
        <v>1027</v>
      </c>
      <c r="C959" s="23">
        <f>VLOOKUP(A959,'[11]Linea Industria'!$A$6:$G$1020,4,FALSE)</f>
        <v>8.2799999999999994</v>
      </c>
      <c r="D959" s="23">
        <f>VLOOKUP(A959,'[11]Linea Industria'!$A$6:$G$1020,5,FALSE)</f>
        <v>9.36</v>
      </c>
      <c r="E959" s="23">
        <f>VLOOKUP(A959,'[11]Linea Industria'!$A$6:$G$1020,6,FALSE)</f>
        <v>11.5</v>
      </c>
      <c r="F959" s="23">
        <f>VLOOKUP(A959,'[11]Linea Industria'!$A$6:$G$1020,7,FALSE)</f>
        <v>13</v>
      </c>
    </row>
    <row r="960" spans="1:6" x14ac:dyDescent="0.3">
      <c r="A960" s="28" t="s">
        <v>1028</v>
      </c>
      <c r="B960" s="43" t="s">
        <v>1029</v>
      </c>
      <c r="C960" s="23">
        <f>VLOOKUP(A960,'[11]Linea Industria'!$A$6:$G$1020,4,FALSE)</f>
        <v>8.2799999999999994</v>
      </c>
      <c r="D960" s="23">
        <f>VLOOKUP(A960,'[11]Linea Industria'!$A$6:$G$1020,5,FALSE)</f>
        <v>9.36</v>
      </c>
      <c r="E960" s="23">
        <f>VLOOKUP(A960,'[11]Linea Industria'!$A$6:$G$1020,6,FALSE)</f>
        <v>11.5</v>
      </c>
      <c r="F960" s="23">
        <f>VLOOKUP(A960,'[11]Linea Industria'!$A$6:$G$1020,7,FALSE)</f>
        <v>13</v>
      </c>
    </row>
    <row r="961" spans="1:6" x14ac:dyDescent="0.3">
      <c r="A961" s="28" t="s">
        <v>3128</v>
      </c>
      <c r="B961" s="43" t="s">
        <v>3517</v>
      </c>
      <c r="C961" s="23">
        <f>VLOOKUP(A961,'[11]Linea Industria'!$A$6:$G$1020,4,FALSE)</f>
        <v>8.2799999999999994</v>
      </c>
      <c r="D961" s="23">
        <f>VLOOKUP(A961,'[11]Linea Industria'!$A$6:$G$1020,5,FALSE)</f>
        <v>9.36</v>
      </c>
      <c r="E961" s="23">
        <f>VLOOKUP(A961,'[11]Linea Industria'!$A$6:$G$1020,6,FALSE)</f>
        <v>11.5</v>
      </c>
      <c r="F961" s="23">
        <f>VLOOKUP(A961,'[11]Linea Industria'!$A$6:$G$1020,7,FALSE)</f>
        <v>13</v>
      </c>
    </row>
    <row r="962" spans="1:6" x14ac:dyDescent="0.3">
      <c r="A962" s="28" t="s">
        <v>3129</v>
      </c>
      <c r="B962" s="43" t="s">
        <v>3518</v>
      </c>
      <c r="C962" s="23">
        <f>VLOOKUP(A962,'[11]Linea Industria'!$A$6:$G$1020,4,FALSE)</f>
        <v>8.2799999999999994</v>
      </c>
      <c r="D962" s="23">
        <f>VLOOKUP(A962,'[11]Linea Industria'!$A$6:$G$1020,5,FALSE)</f>
        <v>9.36</v>
      </c>
      <c r="E962" s="23">
        <f>VLOOKUP(A962,'[11]Linea Industria'!$A$6:$G$1020,6,FALSE)</f>
        <v>11.5</v>
      </c>
      <c r="F962" s="23">
        <f>VLOOKUP(A962,'[11]Linea Industria'!$A$6:$G$1020,7,FALSE)</f>
        <v>13</v>
      </c>
    </row>
    <row r="963" spans="1:6" x14ac:dyDescent="0.3">
      <c r="A963" s="28" t="s">
        <v>3130</v>
      </c>
      <c r="B963" s="43" t="s">
        <v>3519</v>
      </c>
      <c r="C963" s="23">
        <f>VLOOKUP(A963,'[11]Linea Industria'!$A$6:$G$1020,4,FALSE)</f>
        <v>8.2799999999999994</v>
      </c>
      <c r="D963" s="23">
        <f>VLOOKUP(A963,'[11]Linea Industria'!$A$6:$G$1020,5,FALSE)</f>
        <v>9.36</v>
      </c>
      <c r="E963" s="23">
        <f>VLOOKUP(A963,'[11]Linea Industria'!$A$6:$G$1020,6,FALSE)</f>
        <v>11.5</v>
      </c>
      <c r="F963" s="23">
        <f>VLOOKUP(A963,'[11]Linea Industria'!$A$6:$G$1020,7,FALSE)</f>
        <v>13</v>
      </c>
    </row>
    <row r="964" spans="1:6" x14ac:dyDescent="0.3">
      <c r="A964" s="28" t="s">
        <v>3131</v>
      </c>
      <c r="B964" s="43" t="s">
        <v>3520</v>
      </c>
      <c r="C964" s="23">
        <f>VLOOKUP(A964,'[11]Linea Industria'!$A$6:$G$1020,4,FALSE)</f>
        <v>8.2799999999999994</v>
      </c>
      <c r="D964" s="23">
        <f>VLOOKUP(A964,'[11]Linea Industria'!$A$6:$G$1020,5,FALSE)</f>
        <v>9.36</v>
      </c>
      <c r="E964" s="23">
        <f>VLOOKUP(A964,'[11]Linea Industria'!$A$6:$G$1020,6,FALSE)</f>
        <v>11.5</v>
      </c>
      <c r="F964" s="23">
        <f>VLOOKUP(A964,'[11]Linea Industria'!$A$6:$G$1020,7,FALSE)</f>
        <v>13</v>
      </c>
    </row>
    <row r="965" spans="1:6" x14ac:dyDescent="0.3">
      <c r="A965" s="28" t="s">
        <v>1030</v>
      </c>
      <c r="B965" s="43" t="s">
        <v>3516</v>
      </c>
      <c r="C965" s="23">
        <f>VLOOKUP(A965,'[11]Linea Industria'!$A$6:$G$1020,4,FALSE)</f>
        <v>27.34</v>
      </c>
      <c r="D965" s="23">
        <f>VLOOKUP(A965,'[11]Linea Industria'!$A$6:$G$1020,5,FALSE)</f>
        <v>30.89</v>
      </c>
      <c r="E965" s="23">
        <f>VLOOKUP(A965,'[11]Linea Industria'!$A$6:$G$1020,6,FALSE)</f>
        <v>37.96</v>
      </c>
      <c r="F965" s="23">
        <f>VLOOKUP(A965,'[11]Linea Industria'!$A$6:$G$1020,7,FALSE)</f>
        <v>42.9</v>
      </c>
    </row>
    <row r="966" spans="1:6" x14ac:dyDescent="0.3">
      <c r="A966" s="28" t="s">
        <v>1031</v>
      </c>
      <c r="B966" s="43" t="s">
        <v>1015</v>
      </c>
      <c r="C966" s="23">
        <f>VLOOKUP(A966,'[11]Linea Industria'!$A$6:$G$1020,4,FALSE)</f>
        <v>27.34</v>
      </c>
      <c r="D966" s="23">
        <f>VLOOKUP(A966,'[11]Linea Industria'!$A$6:$G$1020,5,FALSE)</f>
        <v>30.89</v>
      </c>
      <c r="E966" s="23">
        <f>VLOOKUP(A966,'[11]Linea Industria'!$A$6:$G$1020,6,FALSE)</f>
        <v>37.96</v>
      </c>
      <c r="F966" s="23">
        <f>VLOOKUP(A966,'[11]Linea Industria'!$A$6:$G$1020,7,FALSE)</f>
        <v>42.9</v>
      </c>
    </row>
    <row r="967" spans="1:6" x14ac:dyDescent="0.3">
      <c r="A967" s="28" t="s">
        <v>1032</v>
      </c>
      <c r="B967" s="43" t="s">
        <v>1033</v>
      </c>
      <c r="C967" s="23">
        <f>VLOOKUP(A967,'[11]Linea Industria'!$A$6:$G$1020,4,FALSE)</f>
        <v>27.34</v>
      </c>
      <c r="D967" s="23">
        <f>VLOOKUP(A967,'[11]Linea Industria'!$A$6:$G$1020,5,FALSE)</f>
        <v>30.89</v>
      </c>
      <c r="E967" s="23">
        <f>VLOOKUP(A967,'[11]Linea Industria'!$A$6:$G$1020,6,FALSE)</f>
        <v>37.96</v>
      </c>
      <c r="F967" s="23">
        <f>VLOOKUP(A967,'[11]Linea Industria'!$A$6:$G$1020,7,FALSE)</f>
        <v>42.9</v>
      </c>
    </row>
    <row r="968" spans="1:6" x14ac:dyDescent="0.3">
      <c r="A968" s="28" t="s">
        <v>1034</v>
      </c>
      <c r="B968" s="43" t="s">
        <v>1017</v>
      </c>
      <c r="C968" s="23">
        <f>VLOOKUP(A968,'[11]Linea Industria'!$A$6:$G$1020,4,FALSE)</f>
        <v>27.34</v>
      </c>
      <c r="D968" s="23">
        <f>VLOOKUP(A968,'[11]Linea Industria'!$A$6:$G$1020,5,FALSE)</f>
        <v>30.89</v>
      </c>
      <c r="E968" s="23">
        <f>VLOOKUP(A968,'[11]Linea Industria'!$A$6:$G$1020,6,FALSE)</f>
        <v>37.96</v>
      </c>
      <c r="F968" s="23">
        <f>VLOOKUP(A968,'[11]Linea Industria'!$A$6:$G$1020,7,FALSE)</f>
        <v>42.9</v>
      </c>
    </row>
    <row r="969" spans="1:6" x14ac:dyDescent="0.3">
      <c r="A969" s="28" t="s">
        <v>1035</v>
      </c>
      <c r="B969" s="43" t="s">
        <v>1036</v>
      </c>
      <c r="C969" s="23">
        <f>VLOOKUP(A969,'[11]Linea Industria'!$A$6:$G$1020,4,FALSE)</f>
        <v>27.34</v>
      </c>
      <c r="D969" s="23">
        <f>VLOOKUP(A969,'[11]Linea Industria'!$A$6:$G$1020,5,FALSE)</f>
        <v>30.89</v>
      </c>
      <c r="E969" s="23">
        <f>VLOOKUP(A969,'[11]Linea Industria'!$A$6:$G$1020,6,FALSE)</f>
        <v>37.96</v>
      </c>
      <c r="F969" s="23">
        <f>VLOOKUP(A969,'[11]Linea Industria'!$A$6:$G$1020,7,FALSE)</f>
        <v>42.9</v>
      </c>
    </row>
    <row r="970" spans="1:6" x14ac:dyDescent="0.3">
      <c r="A970" s="28" t="s">
        <v>1037</v>
      </c>
      <c r="B970" s="43" t="s">
        <v>1038</v>
      </c>
      <c r="C970" s="23">
        <f>VLOOKUP(A970,'[11]Linea Industria'!$A$6:$G$1020,4,FALSE)</f>
        <v>27.34</v>
      </c>
      <c r="D970" s="23">
        <f>VLOOKUP(A970,'[11]Linea Industria'!$A$6:$G$1020,5,FALSE)</f>
        <v>30.89</v>
      </c>
      <c r="E970" s="23">
        <f>VLOOKUP(A970,'[11]Linea Industria'!$A$6:$G$1020,6,FALSE)</f>
        <v>37.96</v>
      </c>
      <c r="F970" s="23">
        <f>VLOOKUP(A970,'[11]Linea Industria'!$A$6:$G$1020,7,FALSE)</f>
        <v>42.9</v>
      </c>
    </row>
    <row r="971" spans="1:6" x14ac:dyDescent="0.3">
      <c r="A971" s="28" t="s">
        <v>1039</v>
      </c>
      <c r="B971" s="43" t="s">
        <v>1040</v>
      </c>
      <c r="C971" s="23">
        <f>VLOOKUP(A971,'[11]Linea Industria'!$A$6:$G$1020,4,FALSE)</f>
        <v>27.34</v>
      </c>
      <c r="D971" s="23">
        <f>VLOOKUP(A971,'[11]Linea Industria'!$A$6:$G$1020,5,FALSE)</f>
        <v>30.89</v>
      </c>
      <c r="E971" s="23">
        <f>VLOOKUP(A971,'[11]Linea Industria'!$A$6:$G$1020,6,FALSE)</f>
        <v>37.96</v>
      </c>
      <c r="F971" s="23">
        <f>VLOOKUP(A971,'[11]Linea Industria'!$A$6:$G$1020,7,FALSE)</f>
        <v>42.9</v>
      </c>
    </row>
    <row r="972" spans="1:6" x14ac:dyDescent="0.3">
      <c r="A972" s="28" t="s">
        <v>1041</v>
      </c>
      <c r="B972" s="43" t="s">
        <v>1042</v>
      </c>
      <c r="C972" s="23">
        <f>VLOOKUP(A972,'[11]Linea Industria'!$A$6:$G$1020,4,FALSE)</f>
        <v>27.34</v>
      </c>
      <c r="D972" s="23">
        <f>VLOOKUP(A972,'[11]Linea Industria'!$A$6:$G$1020,5,FALSE)</f>
        <v>30.89</v>
      </c>
      <c r="E972" s="23">
        <f>VLOOKUP(A972,'[11]Linea Industria'!$A$6:$G$1020,6,FALSE)</f>
        <v>37.96</v>
      </c>
      <c r="F972" s="23">
        <f>VLOOKUP(A972,'[11]Linea Industria'!$A$6:$G$1020,7,FALSE)</f>
        <v>42.9</v>
      </c>
    </row>
    <row r="973" spans="1:6" x14ac:dyDescent="0.3">
      <c r="A973" s="28" t="s">
        <v>1043</v>
      </c>
      <c r="B973" s="43" t="s">
        <v>1044</v>
      </c>
      <c r="C973" s="23">
        <f>VLOOKUP(A973,'[11]Linea Industria'!$A$6:$G$1020,4,FALSE)</f>
        <v>27.34</v>
      </c>
      <c r="D973" s="23">
        <f>VLOOKUP(A973,'[11]Linea Industria'!$A$6:$G$1020,5,FALSE)</f>
        <v>30.89</v>
      </c>
      <c r="E973" s="23">
        <f>VLOOKUP(A973,'[11]Linea Industria'!$A$6:$G$1020,6,FALSE)</f>
        <v>37.96</v>
      </c>
      <c r="F973" s="23">
        <f>VLOOKUP(A973,'[11]Linea Industria'!$A$6:$G$1020,7,FALSE)</f>
        <v>42.9</v>
      </c>
    </row>
    <row r="974" spans="1:6" x14ac:dyDescent="0.3">
      <c r="A974" s="28" t="s">
        <v>1045</v>
      </c>
      <c r="B974" s="43" t="s">
        <v>1046</v>
      </c>
      <c r="C974" s="23">
        <f>VLOOKUP(A974,'[11]Linea Industria'!$A$6:$G$1020,4,FALSE)</f>
        <v>27.34</v>
      </c>
      <c r="D974" s="23">
        <f>VLOOKUP(A974,'[11]Linea Industria'!$A$6:$G$1020,5,FALSE)</f>
        <v>30.89</v>
      </c>
      <c r="E974" s="23">
        <f>VLOOKUP(A974,'[11]Linea Industria'!$A$6:$G$1020,6,FALSE)</f>
        <v>37.96</v>
      </c>
      <c r="F974" s="23">
        <f>VLOOKUP(A974,'[11]Linea Industria'!$A$6:$G$1020,7,FALSE)</f>
        <v>42.9</v>
      </c>
    </row>
    <row r="975" spans="1:6" x14ac:dyDescent="0.3">
      <c r="A975" s="28" t="s">
        <v>1047</v>
      </c>
      <c r="B975" s="43" t="s">
        <v>1048</v>
      </c>
      <c r="C975" s="23">
        <f>VLOOKUP(A975,'[11]Linea Industria'!$A$6:$G$1020,4,FALSE)</f>
        <v>27.34</v>
      </c>
      <c r="D975" s="23">
        <f>VLOOKUP(A975,'[11]Linea Industria'!$A$6:$G$1020,5,FALSE)</f>
        <v>30.89</v>
      </c>
      <c r="E975" s="23">
        <f>VLOOKUP(A975,'[11]Linea Industria'!$A$6:$G$1020,6,FALSE)</f>
        <v>37.96</v>
      </c>
      <c r="F975" s="23">
        <f>VLOOKUP(A975,'[11]Linea Industria'!$A$6:$G$1020,7,FALSE)</f>
        <v>42.9</v>
      </c>
    </row>
    <row r="976" spans="1:6" x14ac:dyDescent="0.3">
      <c r="A976" s="28" t="s">
        <v>1049</v>
      </c>
      <c r="B976" s="43" t="s">
        <v>1019</v>
      </c>
      <c r="C976" s="23">
        <f>VLOOKUP(A976,'[11]Linea Industria'!$A$6:$G$1020,4,FALSE)</f>
        <v>27.34</v>
      </c>
      <c r="D976" s="23">
        <f>VLOOKUP(A976,'[11]Linea Industria'!$A$6:$G$1020,5,FALSE)</f>
        <v>30.89</v>
      </c>
      <c r="E976" s="23">
        <f>VLOOKUP(A976,'[11]Linea Industria'!$A$6:$G$1020,6,FALSE)</f>
        <v>37.96</v>
      </c>
      <c r="F976" s="23">
        <f>VLOOKUP(A976,'[11]Linea Industria'!$A$6:$G$1020,7,FALSE)</f>
        <v>42.9</v>
      </c>
    </row>
    <row r="977" spans="1:6" x14ac:dyDescent="0.3">
      <c r="A977" s="28" t="s">
        <v>1050</v>
      </c>
      <c r="B977" s="43" t="s">
        <v>1051</v>
      </c>
      <c r="C977" s="23">
        <f>VLOOKUP(A977,'[11]Linea Industria'!$A$6:$G$1020,4,FALSE)</f>
        <v>27.34</v>
      </c>
      <c r="D977" s="23">
        <f>VLOOKUP(A977,'[11]Linea Industria'!$A$6:$G$1020,5,FALSE)</f>
        <v>30.89</v>
      </c>
      <c r="E977" s="23">
        <f>VLOOKUP(A977,'[11]Linea Industria'!$A$6:$G$1020,6,FALSE)</f>
        <v>37.96</v>
      </c>
      <c r="F977" s="23">
        <f>VLOOKUP(A977,'[11]Linea Industria'!$A$6:$G$1020,7,FALSE)</f>
        <v>42.9</v>
      </c>
    </row>
    <row r="978" spans="1:6" x14ac:dyDescent="0.3">
      <c r="A978" s="28" t="s">
        <v>1052</v>
      </c>
      <c r="B978" s="43" t="s">
        <v>1021</v>
      </c>
      <c r="C978" s="23">
        <f>VLOOKUP(A978,'[11]Linea Industria'!$A$6:$G$1020,4,FALSE)</f>
        <v>27.34</v>
      </c>
      <c r="D978" s="23">
        <f>VLOOKUP(A978,'[11]Linea Industria'!$A$6:$G$1020,5,FALSE)</f>
        <v>30.89</v>
      </c>
      <c r="E978" s="23">
        <f>VLOOKUP(A978,'[11]Linea Industria'!$A$6:$G$1020,6,FALSE)</f>
        <v>37.96</v>
      </c>
      <c r="F978" s="23">
        <f>VLOOKUP(A978,'[11]Linea Industria'!$A$6:$G$1020,7,FALSE)</f>
        <v>42.9</v>
      </c>
    </row>
    <row r="979" spans="1:6" x14ac:dyDescent="0.3">
      <c r="A979" s="28" t="s">
        <v>1053</v>
      </c>
      <c r="B979" s="43" t="s">
        <v>1023</v>
      </c>
      <c r="C979" s="23">
        <f>VLOOKUP(A979,'[11]Linea Industria'!$A$6:$G$1020,4,FALSE)</f>
        <v>27.34</v>
      </c>
      <c r="D979" s="23">
        <f>VLOOKUP(A979,'[11]Linea Industria'!$A$6:$G$1020,5,FALSE)</f>
        <v>30.89</v>
      </c>
      <c r="E979" s="23">
        <f>VLOOKUP(A979,'[11]Linea Industria'!$A$6:$G$1020,6,FALSE)</f>
        <v>37.96</v>
      </c>
      <c r="F979" s="23">
        <f>VLOOKUP(A979,'[11]Linea Industria'!$A$6:$G$1020,7,FALSE)</f>
        <v>42.9</v>
      </c>
    </row>
    <row r="980" spans="1:6" x14ac:dyDescent="0.3">
      <c r="A980" s="28" t="s">
        <v>1054</v>
      </c>
      <c r="B980" s="43" t="s">
        <v>1055</v>
      </c>
      <c r="C980" s="23">
        <f>VLOOKUP(A980,'[11]Linea Industria'!$A$6:$G$1020,4,FALSE)</f>
        <v>27.34</v>
      </c>
      <c r="D980" s="23">
        <f>VLOOKUP(A980,'[11]Linea Industria'!$A$6:$G$1020,5,FALSE)</f>
        <v>30.89</v>
      </c>
      <c r="E980" s="23">
        <f>VLOOKUP(A980,'[11]Linea Industria'!$A$6:$G$1020,6,FALSE)</f>
        <v>37.96</v>
      </c>
      <c r="F980" s="23">
        <f>VLOOKUP(A980,'[11]Linea Industria'!$A$6:$G$1020,7,FALSE)</f>
        <v>42.9</v>
      </c>
    </row>
    <row r="981" spans="1:6" x14ac:dyDescent="0.3">
      <c r="A981" s="28" t="s">
        <v>1056</v>
      </c>
      <c r="B981" s="43" t="s">
        <v>1025</v>
      </c>
      <c r="C981" s="23">
        <f>VLOOKUP(A981,'[11]Linea Industria'!$A$6:$G$1020,4,FALSE)</f>
        <v>27.34</v>
      </c>
      <c r="D981" s="23">
        <f>VLOOKUP(A981,'[11]Linea Industria'!$A$6:$G$1020,5,FALSE)</f>
        <v>30.89</v>
      </c>
      <c r="E981" s="23">
        <f>VLOOKUP(A981,'[11]Linea Industria'!$A$6:$G$1020,6,FALSE)</f>
        <v>37.96</v>
      </c>
      <c r="F981" s="23">
        <f>VLOOKUP(A981,'[11]Linea Industria'!$A$6:$G$1020,7,FALSE)</f>
        <v>42.9</v>
      </c>
    </row>
    <row r="982" spans="1:6" x14ac:dyDescent="0.3">
      <c r="A982" s="28" t="s">
        <v>1057</v>
      </c>
      <c r="B982" s="43" t="s">
        <v>1027</v>
      </c>
      <c r="C982" s="23">
        <f>VLOOKUP(A982,'[11]Linea Industria'!$A$6:$G$1020,4,FALSE)</f>
        <v>27.34</v>
      </c>
      <c r="D982" s="23">
        <f>VLOOKUP(A982,'[11]Linea Industria'!$A$6:$G$1020,5,FALSE)</f>
        <v>30.89</v>
      </c>
      <c r="E982" s="23">
        <f>VLOOKUP(A982,'[11]Linea Industria'!$A$6:$G$1020,6,FALSE)</f>
        <v>37.96</v>
      </c>
      <c r="F982" s="23">
        <f>VLOOKUP(A982,'[11]Linea Industria'!$A$6:$G$1020,7,FALSE)</f>
        <v>42.9</v>
      </c>
    </row>
    <row r="983" spans="1:6" x14ac:dyDescent="0.3">
      <c r="A983" s="28" t="s">
        <v>1058</v>
      </c>
      <c r="B983" s="43" t="s">
        <v>1029</v>
      </c>
      <c r="C983" s="23">
        <f>VLOOKUP(A983,'[11]Linea Industria'!$A$6:$G$1020,4,FALSE)</f>
        <v>27.34</v>
      </c>
      <c r="D983" s="23">
        <f>VLOOKUP(A983,'[11]Linea Industria'!$A$6:$G$1020,5,FALSE)</f>
        <v>30.89</v>
      </c>
      <c r="E983" s="23">
        <f>VLOOKUP(A983,'[11]Linea Industria'!$A$6:$G$1020,6,FALSE)</f>
        <v>37.96</v>
      </c>
      <c r="F983" s="23">
        <f>VLOOKUP(A983,'[11]Linea Industria'!$A$6:$G$1020,7,FALSE)</f>
        <v>42.9</v>
      </c>
    </row>
    <row r="984" spans="1:6" x14ac:dyDescent="0.3">
      <c r="A984" s="28" t="s">
        <v>1059</v>
      </c>
      <c r="B984" s="43" t="s">
        <v>1060</v>
      </c>
      <c r="C984" s="23">
        <f>VLOOKUP(A984,'[11]Linea Industria'!$A$6:$G$1020,4,FALSE)</f>
        <v>27.34</v>
      </c>
      <c r="D984" s="23">
        <f>VLOOKUP(A984,'[11]Linea Industria'!$A$6:$G$1020,5,FALSE)</f>
        <v>30.89</v>
      </c>
      <c r="E984" s="23">
        <f>VLOOKUP(A984,'[11]Linea Industria'!$A$6:$G$1020,6,FALSE)</f>
        <v>37.96</v>
      </c>
      <c r="F984" s="23">
        <f>VLOOKUP(A984,'[11]Linea Industria'!$A$6:$G$1020,7,FALSE)</f>
        <v>42.9</v>
      </c>
    </row>
    <row r="985" spans="1:6" x14ac:dyDescent="0.3">
      <c r="A985" s="28" t="s">
        <v>1061</v>
      </c>
      <c r="B985" s="43" t="s">
        <v>1062</v>
      </c>
      <c r="C985" s="23">
        <f>VLOOKUP(A985,'[11]Linea Industria'!$A$6:$G$1020,4,FALSE)</f>
        <v>27.34</v>
      </c>
      <c r="D985" s="23">
        <f>VLOOKUP(A985,'[11]Linea Industria'!$A$6:$G$1020,5,FALSE)</f>
        <v>30.89</v>
      </c>
      <c r="E985" s="23">
        <f>VLOOKUP(A985,'[11]Linea Industria'!$A$6:$G$1020,6,FALSE)</f>
        <v>37.96</v>
      </c>
      <c r="F985" s="23">
        <f>VLOOKUP(A985,'[11]Linea Industria'!$A$6:$G$1020,7,FALSE)</f>
        <v>42.9</v>
      </c>
    </row>
    <row r="986" spans="1:6" x14ac:dyDescent="0.3">
      <c r="A986" s="28" t="s">
        <v>1063</v>
      </c>
      <c r="B986" s="43" t="s">
        <v>1064</v>
      </c>
      <c r="C986" s="23">
        <f>VLOOKUP(A986,'[11]Linea Industria'!$A$6:$G$1020,4,FALSE)</f>
        <v>27.34</v>
      </c>
      <c r="D986" s="23">
        <f>VLOOKUP(A986,'[11]Linea Industria'!$A$6:$G$1020,5,FALSE)</f>
        <v>30.89</v>
      </c>
      <c r="E986" s="23">
        <f>VLOOKUP(A986,'[11]Linea Industria'!$A$6:$G$1020,6,FALSE)</f>
        <v>37.96</v>
      </c>
      <c r="F986" s="23">
        <f>VLOOKUP(A986,'[11]Linea Industria'!$A$6:$G$1020,7,FALSE)</f>
        <v>42.9</v>
      </c>
    </row>
    <row r="987" spans="1:6" x14ac:dyDescent="0.3">
      <c r="A987" s="28" t="s">
        <v>3132</v>
      </c>
      <c r="B987" s="43" t="s">
        <v>3520</v>
      </c>
      <c r="C987" s="23">
        <f>VLOOKUP(A987,'[11]Linea Industria'!$A$6:$G$1020,4,FALSE)</f>
        <v>27.34</v>
      </c>
      <c r="D987" s="23">
        <f>VLOOKUP(A987,'[11]Linea Industria'!$A$6:$G$1020,5,FALSE)</f>
        <v>30.89</v>
      </c>
      <c r="E987" s="23">
        <f>VLOOKUP(A987,'[11]Linea Industria'!$A$6:$G$1020,6,FALSE)</f>
        <v>37.96</v>
      </c>
      <c r="F987" s="23">
        <f>VLOOKUP(A987,'[11]Linea Industria'!$A$6:$G$1020,7,FALSE)</f>
        <v>42.9</v>
      </c>
    </row>
    <row r="988" spans="1:6" x14ac:dyDescent="0.3">
      <c r="A988" s="28" t="s">
        <v>3133</v>
      </c>
      <c r="B988" s="43" t="s">
        <v>3519</v>
      </c>
      <c r="C988" s="23">
        <f>VLOOKUP(A988,'[11]Linea Industria'!$A$6:$G$1020,4,FALSE)</f>
        <v>27.34</v>
      </c>
      <c r="D988" s="23">
        <f>VLOOKUP(A988,'[11]Linea Industria'!$A$6:$G$1020,5,FALSE)</f>
        <v>30.89</v>
      </c>
      <c r="E988" s="23">
        <f>VLOOKUP(A988,'[11]Linea Industria'!$A$6:$G$1020,6,FALSE)</f>
        <v>37.96</v>
      </c>
      <c r="F988" s="23">
        <f>VLOOKUP(A988,'[11]Linea Industria'!$A$6:$G$1020,7,FALSE)</f>
        <v>42.9</v>
      </c>
    </row>
    <row r="989" spans="1:6" x14ac:dyDescent="0.3">
      <c r="A989" s="28" t="s">
        <v>3134</v>
      </c>
      <c r="B989" s="43" t="s">
        <v>3518</v>
      </c>
      <c r="C989" s="23">
        <f>VLOOKUP(A989,'[11]Linea Industria'!$A$6:$G$1020,4,FALSE)</f>
        <v>27.34</v>
      </c>
      <c r="D989" s="23">
        <f>VLOOKUP(A989,'[11]Linea Industria'!$A$6:$G$1020,5,FALSE)</f>
        <v>30.89</v>
      </c>
      <c r="E989" s="23">
        <f>VLOOKUP(A989,'[11]Linea Industria'!$A$6:$G$1020,6,FALSE)</f>
        <v>37.96</v>
      </c>
      <c r="F989" s="23">
        <f>VLOOKUP(A989,'[11]Linea Industria'!$A$6:$G$1020,7,FALSE)</f>
        <v>42.9</v>
      </c>
    </row>
    <row r="990" spans="1:6" x14ac:dyDescent="0.3">
      <c r="A990" s="28" t="s">
        <v>3135</v>
      </c>
      <c r="B990" s="43" t="s">
        <v>3517</v>
      </c>
      <c r="C990" s="23">
        <f>VLOOKUP(A990,'[11]Linea Industria'!$A$6:$G$1020,4,FALSE)</f>
        <v>27.34</v>
      </c>
      <c r="D990" s="23">
        <f>VLOOKUP(A990,'[11]Linea Industria'!$A$6:$G$1020,5,FALSE)</f>
        <v>30.89</v>
      </c>
      <c r="E990" s="23">
        <f>VLOOKUP(A990,'[11]Linea Industria'!$A$6:$G$1020,6,FALSE)</f>
        <v>37.96</v>
      </c>
      <c r="F990" s="23">
        <f>VLOOKUP(A990,'[11]Linea Industria'!$A$6:$G$1020,7,FALSE)</f>
        <v>42.9</v>
      </c>
    </row>
    <row r="991" spans="1:6" x14ac:dyDescent="0.3">
      <c r="A991" s="26" t="s">
        <v>1065</v>
      </c>
      <c r="B991" s="43" t="s">
        <v>1015</v>
      </c>
      <c r="C991" s="23">
        <f>VLOOKUP(A991,'[11]Linea Industria'!$A$6:$G$1020,4,FALSE)</f>
        <v>129.35</v>
      </c>
      <c r="D991" s="23">
        <f>VLOOKUP(A991,'[11]Linea Industria'!$A$6:$G$1020,5,FALSE)</f>
        <v>146.16</v>
      </c>
      <c r="E991" s="23">
        <f>VLOOKUP(A991,'[11]Linea Industria'!$A$6:$G$1020,6,FALSE)</f>
        <v>179.65</v>
      </c>
      <c r="F991" s="23">
        <f>VLOOKUP(A991,'[11]Linea Industria'!$A$6:$G$1020,7,FALSE)</f>
        <v>203</v>
      </c>
    </row>
    <row r="992" spans="1:6" x14ac:dyDescent="0.3">
      <c r="A992" s="26" t="s">
        <v>1066</v>
      </c>
      <c r="B992" s="43" t="s">
        <v>1019</v>
      </c>
      <c r="C992" s="23">
        <f>VLOOKUP(A992,'[11]Linea Industria'!$A$6:$G$1020,4,FALSE)</f>
        <v>129.35</v>
      </c>
      <c r="D992" s="23">
        <f>VLOOKUP(A992,'[11]Linea Industria'!$A$6:$G$1020,5,FALSE)</f>
        <v>146.16</v>
      </c>
      <c r="E992" s="23">
        <f>VLOOKUP(A992,'[11]Linea Industria'!$A$6:$G$1020,6,FALSE)</f>
        <v>179.65</v>
      </c>
      <c r="F992" s="23">
        <f>VLOOKUP(A992,'[11]Linea Industria'!$A$6:$G$1020,7,FALSE)</f>
        <v>203</v>
      </c>
    </row>
    <row r="993" spans="1:6" x14ac:dyDescent="0.3">
      <c r="A993" s="26" t="s">
        <v>1067</v>
      </c>
      <c r="B993" s="43" t="s">
        <v>1027</v>
      </c>
      <c r="C993" s="23">
        <f>VLOOKUP(A993,'[11]Linea Industria'!$A$6:$G$1020,4,FALSE)</f>
        <v>129.35</v>
      </c>
      <c r="D993" s="23">
        <f>VLOOKUP(A993,'[11]Linea Industria'!$A$6:$G$1020,5,FALSE)</f>
        <v>146.16</v>
      </c>
      <c r="E993" s="23">
        <f>VLOOKUP(A993,'[11]Linea Industria'!$A$6:$G$1020,6,FALSE)</f>
        <v>179.65</v>
      </c>
      <c r="F993" s="23">
        <f>VLOOKUP(A993,'[11]Linea Industria'!$A$6:$G$1020,7,FALSE)</f>
        <v>203</v>
      </c>
    </row>
    <row r="994" spans="1:6" x14ac:dyDescent="0.3">
      <c r="A994" s="26" t="s">
        <v>1068</v>
      </c>
      <c r="B994" s="43" t="s">
        <v>1029</v>
      </c>
      <c r="C994" s="23">
        <f>VLOOKUP(A994,'[11]Linea Industria'!$A$6:$G$1020,4,FALSE)</f>
        <v>129.35</v>
      </c>
      <c r="D994" s="23">
        <f>VLOOKUP(A994,'[11]Linea Industria'!$A$6:$G$1020,5,FALSE)</f>
        <v>146.16</v>
      </c>
      <c r="E994" s="23">
        <f>VLOOKUP(A994,'[11]Linea Industria'!$A$6:$G$1020,6,FALSE)</f>
        <v>179.65</v>
      </c>
      <c r="F994" s="23">
        <f>VLOOKUP(A994,'[11]Linea Industria'!$A$6:$G$1020,7,FALSE)</f>
        <v>203</v>
      </c>
    </row>
    <row r="995" spans="1:6" x14ac:dyDescent="0.3">
      <c r="A995" s="26" t="s">
        <v>1069</v>
      </c>
      <c r="B995" s="43" t="s">
        <v>1038</v>
      </c>
      <c r="C995" s="23">
        <f>VLOOKUP(A995,'[11]Linea Industria'!$A$6:$G$1020,4,FALSE)</f>
        <v>129.35</v>
      </c>
      <c r="D995" s="23">
        <f>VLOOKUP(A995,'[11]Linea Industria'!$A$6:$G$1020,5,FALSE)</f>
        <v>146.16</v>
      </c>
      <c r="E995" s="23">
        <f>VLOOKUP(A995,'[11]Linea Industria'!$A$6:$G$1020,6,FALSE)</f>
        <v>179.65</v>
      </c>
      <c r="F995" s="23">
        <f>VLOOKUP(A995,'[11]Linea Industria'!$A$6:$G$1020,7,FALSE)</f>
        <v>203</v>
      </c>
    </row>
    <row r="996" spans="1:6" x14ac:dyDescent="0.3">
      <c r="A996" s="26" t="s">
        <v>1070</v>
      </c>
      <c r="B996" s="43" t="s">
        <v>1051</v>
      </c>
      <c r="C996" s="23">
        <f>VLOOKUP(A996,'[11]Linea Industria'!$A$6:$G$1020,4,FALSE)</f>
        <v>129.35</v>
      </c>
      <c r="D996" s="23">
        <f>VLOOKUP(A996,'[11]Linea Industria'!$A$6:$G$1020,5,FALSE)</f>
        <v>146.16</v>
      </c>
      <c r="E996" s="23">
        <f>VLOOKUP(A996,'[11]Linea Industria'!$A$6:$G$1020,6,FALSE)</f>
        <v>179.65</v>
      </c>
      <c r="F996" s="23">
        <f>VLOOKUP(A996,'[11]Linea Industria'!$A$6:$G$1020,7,FALSE)</f>
        <v>203</v>
      </c>
    </row>
    <row r="997" spans="1:6" x14ac:dyDescent="0.3">
      <c r="A997" s="26" t="s">
        <v>1071</v>
      </c>
      <c r="B997" s="43" t="s">
        <v>1060</v>
      </c>
      <c r="C997" s="23">
        <f>VLOOKUP(A997,'[11]Linea Industria'!$A$6:$G$1020,4,FALSE)</f>
        <v>129.35</v>
      </c>
      <c r="D997" s="23">
        <f>VLOOKUP(A997,'[11]Linea Industria'!$A$6:$G$1020,5,FALSE)</f>
        <v>146.16</v>
      </c>
      <c r="E997" s="23">
        <f>VLOOKUP(A997,'[11]Linea Industria'!$A$6:$G$1020,6,FALSE)</f>
        <v>179.65</v>
      </c>
      <c r="F997" s="23">
        <f>VLOOKUP(A997,'[11]Linea Industria'!$A$6:$G$1020,7,FALSE)</f>
        <v>203</v>
      </c>
    </row>
    <row r="998" spans="1:6" x14ac:dyDescent="0.3">
      <c r="A998" s="26" t="s">
        <v>1072</v>
      </c>
      <c r="B998" s="43" t="s">
        <v>1073</v>
      </c>
      <c r="C998" s="23">
        <f>VLOOKUP(A998,'[11]Linea Industria'!$A$6:$G$1020,4,FALSE)</f>
        <v>25.83</v>
      </c>
      <c r="D998" s="23">
        <f>VLOOKUP(A998,'[11]Linea Industria'!$A$6:$G$1020,5,FALSE)</f>
        <v>29.19</v>
      </c>
      <c r="E998" s="23">
        <f>VLOOKUP(A998,'[11]Linea Industria'!$A$6:$G$1020,6,FALSE)</f>
        <v>37.96</v>
      </c>
      <c r="F998" s="23">
        <f>VLOOKUP(A998,'[11]Linea Industria'!$A$6:$G$1020,7,FALSE)</f>
        <v>42.9</v>
      </c>
    </row>
    <row r="999" spans="1:6" x14ac:dyDescent="0.3">
      <c r="A999" s="26" t="s">
        <v>1074</v>
      </c>
      <c r="B999" s="43" t="s">
        <v>1075</v>
      </c>
      <c r="C999" s="23">
        <f>VLOOKUP(A999,'[11]Linea Industria'!$A$6:$G$1020,4,FALSE)</f>
        <v>22.34</v>
      </c>
      <c r="D999" s="23">
        <f>VLOOKUP(A999,'[11]Linea Industria'!$A$6:$G$1020,5,FALSE)</f>
        <v>25.24</v>
      </c>
      <c r="E999" s="23">
        <f>VLOOKUP(A999,'[11]Linea Industria'!$A$6:$G$1020,6,FALSE)</f>
        <v>37.96</v>
      </c>
      <c r="F999" s="23">
        <f>VLOOKUP(A999,'[11]Linea Industria'!$A$6:$G$1020,7,FALSE)</f>
        <v>42.9</v>
      </c>
    </row>
    <row r="1000" spans="1:6" x14ac:dyDescent="0.3">
      <c r="A1000" s="26" t="s">
        <v>1076</v>
      </c>
      <c r="B1000" s="43" t="s">
        <v>1073</v>
      </c>
      <c r="C1000" s="23">
        <f>VLOOKUP(A1000,'[11]Linea Industria'!$A$6:$G$1020,4,FALSE)</f>
        <v>121.85</v>
      </c>
      <c r="D1000" s="23">
        <f>VLOOKUP(A1000,'[11]Linea Industria'!$A$6:$G$1020,5,FALSE)</f>
        <v>137.69</v>
      </c>
      <c r="E1000" s="23">
        <f>VLOOKUP(A1000,'[11]Linea Industria'!$A$6:$G$1020,6,FALSE)</f>
        <v>179.65</v>
      </c>
      <c r="F1000" s="23">
        <f>VLOOKUP(A1000,'[11]Linea Industria'!$A$6:$G$1020,7,FALSE)</f>
        <v>203</v>
      </c>
    </row>
    <row r="1001" spans="1:6" x14ac:dyDescent="0.3">
      <c r="A1001" s="26" t="s">
        <v>1077</v>
      </c>
      <c r="B1001" s="43" t="s">
        <v>1078</v>
      </c>
      <c r="C1001" s="23">
        <f>VLOOKUP(A1001,'[11]Linea Industria'!$A$6:$G$1020,4,FALSE)</f>
        <v>26.8</v>
      </c>
      <c r="D1001" s="23">
        <f>VLOOKUP(A1001,'[11]Linea Industria'!$A$6:$G$1020,5,FALSE)</f>
        <v>30.28</v>
      </c>
      <c r="E1001" s="23">
        <f>VLOOKUP(A1001,'[11]Linea Industria'!$A$6:$G$1020,6,FALSE)</f>
        <v>44.16</v>
      </c>
      <c r="F1001" s="23">
        <f>VLOOKUP(A1001,'[11]Linea Industria'!$A$6:$G$1020,7,FALSE)</f>
        <v>49.9</v>
      </c>
    </row>
    <row r="1002" spans="1:6" x14ac:dyDescent="0.3">
      <c r="A1002" s="26" t="s">
        <v>1079</v>
      </c>
      <c r="B1002" s="43" t="s">
        <v>1080</v>
      </c>
      <c r="C1002" s="23">
        <f>VLOOKUP(A1002,'[11]Linea Industria'!$A$6:$G$1020,4,FALSE)</f>
        <v>30.29</v>
      </c>
      <c r="D1002" s="23">
        <f>VLOOKUP(A1002,'[11]Linea Industria'!$A$6:$G$1020,5,FALSE)</f>
        <v>34.229999999999997</v>
      </c>
      <c r="E1002" s="23">
        <f>VLOOKUP(A1002,'[11]Linea Industria'!$A$6:$G$1020,6,FALSE)</f>
        <v>44.16</v>
      </c>
      <c r="F1002" s="23">
        <f>VLOOKUP(A1002,'[11]Linea Industria'!$A$6:$G$1020,7,FALSE)</f>
        <v>49.9</v>
      </c>
    </row>
    <row r="1003" spans="1:6" x14ac:dyDescent="0.3">
      <c r="A1003" s="26" t="s">
        <v>1081</v>
      </c>
      <c r="B1003" s="43" t="s">
        <v>1085</v>
      </c>
      <c r="C1003" s="23">
        <f>VLOOKUP(A1003,'[11]Linea Industria'!$A$6:$G$1020,4,FALSE)</f>
        <v>26.8</v>
      </c>
      <c r="D1003" s="23">
        <f>VLOOKUP(A1003,'[11]Linea Industria'!$A$6:$G$1020,5,FALSE)</f>
        <v>30.28</v>
      </c>
      <c r="E1003" s="23">
        <f>VLOOKUP(A1003,'[11]Linea Industria'!$A$6:$G$1020,6,FALSE)</f>
        <v>44.16</v>
      </c>
      <c r="F1003" s="23">
        <f>VLOOKUP(A1003,'[11]Linea Industria'!$A$6:$G$1020,7,FALSE)</f>
        <v>49.9</v>
      </c>
    </row>
    <row r="1004" spans="1:6" x14ac:dyDescent="0.3">
      <c r="A1004" s="28" t="s">
        <v>1082</v>
      </c>
      <c r="B1004" s="43" t="s">
        <v>1078</v>
      </c>
      <c r="C1004" s="23">
        <f>VLOOKUP(A1004,'[11]Linea Industria'!$A$6:$G$1020,4,FALSE)</f>
        <v>119</v>
      </c>
      <c r="D1004" s="23">
        <f>VLOOKUP(A1004,'[11]Linea Industria'!$A$6:$G$1020,5,FALSE)</f>
        <v>134.47</v>
      </c>
      <c r="E1004" s="23">
        <f>VLOOKUP(A1004,'[11]Linea Industria'!$A$6:$G$1020,6,FALSE)</f>
        <v>200</v>
      </c>
      <c r="F1004" s="23">
        <f>VLOOKUP(A1004,'[11]Linea Industria'!$A$6:$G$1020,7,FALSE)</f>
        <v>226</v>
      </c>
    </row>
    <row r="1005" spans="1:6" x14ac:dyDescent="0.3">
      <c r="A1005" s="28" t="s">
        <v>1083</v>
      </c>
      <c r="B1005" s="43" t="s">
        <v>1080</v>
      </c>
      <c r="C1005" s="23">
        <f>VLOOKUP(A1005,'[11]Linea Industria'!$A$6:$G$1020,4,FALSE)</f>
        <v>136.5</v>
      </c>
      <c r="D1005" s="23">
        <f>VLOOKUP(A1005,'[11]Linea Industria'!$A$6:$G$1020,5,FALSE)</f>
        <v>154.25</v>
      </c>
      <c r="E1005" s="23">
        <f>VLOOKUP(A1005,'[11]Linea Industria'!$A$6:$G$1020,6,FALSE)</f>
        <v>200</v>
      </c>
      <c r="F1005" s="23">
        <f>VLOOKUP(A1005,'[11]Linea Industria'!$A$6:$G$1020,7,FALSE)</f>
        <v>226</v>
      </c>
    </row>
    <row r="1006" spans="1:6" x14ac:dyDescent="0.3">
      <c r="A1006" s="28" t="s">
        <v>1084</v>
      </c>
      <c r="B1006" s="43" t="s">
        <v>1085</v>
      </c>
      <c r="C1006" s="23">
        <f>VLOOKUP(A1006,'[11]Linea Industria'!$A$6:$G$1020,4,FALSE)</f>
        <v>119</v>
      </c>
      <c r="D1006" s="23">
        <f>VLOOKUP(A1006,'[11]Linea Industria'!$A$6:$G$1020,5,FALSE)</f>
        <v>134.47</v>
      </c>
      <c r="E1006" s="23">
        <f>VLOOKUP(A1006,'[11]Linea Industria'!$A$6:$G$1020,6,FALSE)</f>
        <v>200</v>
      </c>
      <c r="F1006" s="23">
        <f>VLOOKUP(A1006,'[11]Linea Industria'!$A$6:$G$1020,7,FALSE)</f>
        <v>226</v>
      </c>
    </row>
    <row r="1007" spans="1:6" x14ac:dyDescent="0.3">
      <c r="A1007" s="28" t="s">
        <v>1086</v>
      </c>
      <c r="B1007" s="43" t="s">
        <v>1087</v>
      </c>
      <c r="C1007" s="23">
        <f>VLOOKUP(A1007,'[11]Linea Industria'!$A$6:$G$1020,4,FALSE)</f>
        <v>5.83</v>
      </c>
      <c r="D1007" s="23">
        <f>VLOOKUP(A1007,'[11]Linea Industria'!$A$6:$G$1020,5,FALSE)</f>
        <v>6.59</v>
      </c>
      <c r="E1007" s="23">
        <f>VLOOKUP(A1007,'[11]Linea Industria'!$A$6:$G$1020,6,FALSE)</f>
        <v>7.88</v>
      </c>
      <c r="F1007" s="23">
        <f>VLOOKUP(A1007,'[11]Linea Industria'!$A$6:$G$1020,7,FALSE)</f>
        <v>8.9</v>
      </c>
    </row>
    <row r="1008" spans="1:6" x14ac:dyDescent="0.3">
      <c r="A1008" s="28" t="s">
        <v>1088</v>
      </c>
      <c r="B1008" s="43" t="s">
        <v>1089</v>
      </c>
      <c r="C1008" s="23">
        <f>VLOOKUP(A1008,'[11]Linea Industria'!$A$6:$G$1020,4,FALSE)</f>
        <v>5.83</v>
      </c>
      <c r="D1008" s="23">
        <f>VLOOKUP(A1008,'[11]Linea Industria'!$A$6:$G$1020,5,FALSE)</f>
        <v>6.59</v>
      </c>
      <c r="E1008" s="23">
        <f>VLOOKUP(A1008,'[11]Linea Industria'!$A$6:$G$1020,6,FALSE)</f>
        <v>7.88</v>
      </c>
      <c r="F1008" s="23">
        <f>VLOOKUP(A1008,'[11]Linea Industria'!$A$6:$G$1020,7,FALSE)</f>
        <v>8.9</v>
      </c>
    </row>
    <row r="1009" spans="1:6" x14ac:dyDescent="0.3">
      <c r="A1009" s="26" t="s">
        <v>1090</v>
      </c>
      <c r="B1009" s="43" t="s">
        <v>1087</v>
      </c>
      <c r="C1009" s="23">
        <f>VLOOKUP(A1009,'[11]Linea Industria'!$A$6:$G$1020,4,FALSE)</f>
        <v>19.579999999999998</v>
      </c>
      <c r="D1009" s="23">
        <f>VLOOKUP(A1009,'[11]Linea Industria'!$A$6:$G$1020,5,FALSE)</f>
        <v>22.13</v>
      </c>
      <c r="E1009" s="23">
        <f>VLOOKUP(A1009,'[11]Linea Industria'!$A$6:$G$1020,6,FALSE)</f>
        <v>26.46</v>
      </c>
      <c r="F1009" s="23">
        <f>VLOOKUP(A1009,'[11]Linea Industria'!$A$6:$G$1020,7,FALSE)</f>
        <v>29.9</v>
      </c>
    </row>
    <row r="1010" spans="1:6" x14ac:dyDescent="0.3">
      <c r="A1010" s="26" t="s">
        <v>1091</v>
      </c>
      <c r="B1010" s="43" t="s">
        <v>1089</v>
      </c>
      <c r="C1010" s="23">
        <f>VLOOKUP(A1010,'[11]Linea Industria'!$A$6:$G$1020,4,FALSE)</f>
        <v>19.579999999999998</v>
      </c>
      <c r="D1010" s="23">
        <f>VLOOKUP(A1010,'[11]Linea Industria'!$A$6:$G$1020,5,FALSE)</f>
        <v>22.13</v>
      </c>
      <c r="E1010" s="23">
        <f>VLOOKUP(A1010,'[11]Linea Industria'!$A$6:$G$1020,6,FALSE)</f>
        <v>26.46</v>
      </c>
      <c r="F1010" s="23">
        <f>VLOOKUP(A1010,'[11]Linea Industria'!$A$6:$G$1020,7,FALSE)</f>
        <v>29.9</v>
      </c>
    </row>
    <row r="1011" spans="1:6" x14ac:dyDescent="0.3">
      <c r="A1011" s="28" t="s">
        <v>1092</v>
      </c>
      <c r="B1011" s="43" t="s">
        <v>1089</v>
      </c>
      <c r="C1011" s="23">
        <f>VLOOKUP(A1011,'[11]Linea Industria'!$A$6:$G$1020,4,FALSE)</f>
        <v>89.06</v>
      </c>
      <c r="D1011" s="23">
        <f>VLOOKUP(A1011,'[11]Linea Industria'!$A$6:$G$1020,5,FALSE)</f>
        <v>100.64</v>
      </c>
      <c r="E1011" s="23">
        <f>VLOOKUP(A1011,'[11]Linea Industria'!$A$6:$G$1020,6,FALSE)</f>
        <v>120.35</v>
      </c>
      <c r="F1011" s="23">
        <f>VLOOKUP(A1011,'[11]Linea Industria'!$A$6:$G$1020,7,FALSE)</f>
        <v>136</v>
      </c>
    </row>
    <row r="1012" spans="1:6" x14ac:dyDescent="0.3">
      <c r="A1012" s="28" t="s">
        <v>1093</v>
      </c>
      <c r="B1012" s="43" t="s">
        <v>1094</v>
      </c>
      <c r="C1012" s="23">
        <f>VLOOKUP(A1012,'[11]Linea Industria'!$A$6:$G$1020,4,FALSE)</f>
        <v>5.83</v>
      </c>
      <c r="D1012" s="23">
        <f>VLOOKUP(A1012,'[11]Linea Industria'!$A$6:$G$1020,5,FALSE)</f>
        <v>6.59</v>
      </c>
      <c r="E1012" s="23">
        <f>VLOOKUP(A1012,'[11]Linea Industria'!$A$6:$G$1020,6,FALSE)</f>
        <v>7.88</v>
      </c>
      <c r="F1012" s="23">
        <f>VLOOKUP(A1012,'[11]Linea Industria'!$A$6:$G$1020,7,FALSE)</f>
        <v>8.9</v>
      </c>
    </row>
    <row r="1013" spans="1:6" x14ac:dyDescent="0.3">
      <c r="A1013" s="28" t="s">
        <v>1095</v>
      </c>
      <c r="B1013" s="43" t="s">
        <v>1112</v>
      </c>
      <c r="C1013" s="23">
        <f>VLOOKUP(A1013,'[11]Linea Industria'!$A$6:$G$1020,4,FALSE)</f>
        <v>5.83</v>
      </c>
      <c r="D1013" s="23">
        <f>VLOOKUP(A1013,'[11]Linea Industria'!$A$6:$G$1020,5,FALSE)</f>
        <v>6.59</v>
      </c>
      <c r="E1013" s="23">
        <f>VLOOKUP(A1013,'[11]Linea Industria'!$A$6:$G$1020,6,FALSE)</f>
        <v>7.88</v>
      </c>
      <c r="F1013" s="23">
        <f>VLOOKUP(A1013,'[11]Linea Industria'!$A$6:$G$1020,7,FALSE)</f>
        <v>8.9</v>
      </c>
    </row>
    <row r="1014" spans="1:6" x14ac:dyDescent="0.3">
      <c r="A1014" s="28" t="s">
        <v>1096</v>
      </c>
      <c r="B1014" s="43" t="s">
        <v>3521</v>
      </c>
      <c r="C1014" s="23">
        <f>VLOOKUP(A1014,'[11]Linea Industria'!$A$6:$G$1020,4,FALSE)</f>
        <v>5.83</v>
      </c>
      <c r="D1014" s="23">
        <f>VLOOKUP(A1014,'[11]Linea Industria'!$A$6:$G$1020,5,FALSE)</f>
        <v>6.59</v>
      </c>
      <c r="E1014" s="23">
        <f>VLOOKUP(A1014,'[11]Linea Industria'!$A$6:$G$1020,6,FALSE)</f>
        <v>7.88</v>
      </c>
      <c r="F1014" s="23">
        <f>VLOOKUP(A1014,'[11]Linea Industria'!$A$6:$G$1020,7,FALSE)</f>
        <v>8.9</v>
      </c>
    </row>
    <row r="1015" spans="1:6" x14ac:dyDescent="0.3">
      <c r="A1015" s="28" t="s">
        <v>1097</v>
      </c>
      <c r="B1015" s="43" t="s">
        <v>1098</v>
      </c>
      <c r="C1015" s="23">
        <f>VLOOKUP(A1015,'[11]Linea Industria'!$A$6:$G$1020,4,FALSE)</f>
        <v>5.83</v>
      </c>
      <c r="D1015" s="23">
        <f>VLOOKUP(A1015,'[11]Linea Industria'!$A$6:$G$1020,5,FALSE)</f>
        <v>6.59</v>
      </c>
      <c r="E1015" s="23">
        <f>VLOOKUP(A1015,'[11]Linea Industria'!$A$6:$G$1020,6,FALSE)</f>
        <v>7.88</v>
      </c>
      <c r="F1015" s="23">
        <f>VLOOKUP(A1015,'[11]Linea Industria'!$A$6:$G$1020,7,FALSE)</f>
        <v>8.9</v>
      </c>
    </row>
    <row r="1016" spans="1:6" x14ac:dyDescent="0.3">
      <c r="A1016" s="28" t="s">
        <v>1099</v>
      </c>
      <c r="B1016" s="43" t="s">
        <v>1100</v>
      </c>
      <c r="C1016" s="23">
        <f>VLOOKUP(A1016,'[11]Linea Industria'!$A$6:$G$1020,4,FALSE)</f>
        <v>5.83</v>
      </c>
      <c r="D1016" s="23">
        <f>VLOOKUP(A1016,'[11]Linea Industria'!$A$6:$G$1020,5,FALSE)</f>
        <v>6.59</v>
      </c>
      <c r="E1016" s="23">
        <f>VLOOKUP(A1016,'[11]Linea Industria'!$A$6:$G$1020,6,FALSE)</f>
        <v>7.88</v>
      </c>
      <c r="F1016" s="23">
        <f>VLOOKUP(A1016,'[11]Linea Industria'!$A$6:$G$1020,7,FALSE)</f>
        <v>8.9</v>
      </c>
    </row>
    <row r="1017" spans="1:6" x14ac:dyDescent="0.3">
      <c r="A1017" s="28" t="s">
        <v>1101</v>
      </c>
      <c r="B1017" s="43" t="s">
        <v>1102</v>
      </c>
      <c r="C1017" s="23">
        <f>VLOOKUP(A1017,'[11]Linea Industria'!$A$6:$G$1020,4,FALSE)</f>
        <v>5.83</v>
      </c>
      <c r="D1017" s="23">
        <f>VLOOKUP(A1017,'[11]Linea Industria'!$A$6:$G$1020,5,FALSE)</f>
        <v>6.59</v>
      </c>
      <c r="E1017" s="23">
        <f>VLOOKUP(A1017,'[11]Linea Industria'!$A$6:$G$1020,6,FALSE)</f>
        <v>7.88</v>
      </c>
      <c r="F1017" s="23">
        <f>VLOOKUP(A1017,'[11]Linea Industria'!$A$6:$G$1020,7,FALSE)</f>
        <v>8.9</v>
      </c>
    </row>
    <row r="1018" spans="1:6" x14ac:dyDescent="0.3">
      <c r="A1018" s="28" t="s">
        <v>1103</v>
      </c>
      <c r="B1018" s="43" t="s">
        <v>1142</v>
      </c>
      <c r="C1018" s="23">
        <f>VLOOKUP(A1018,'[11]Linea Industria'!$A$6:$G$1020,4,FALSE)</f>
        <v>5.83</v>
      </c>
      <c r="D1018" s="23">
        <f>VLOOKUP(A1018,'[11]Linea Industria'!$A$6:$G$1020,5,FALSE)</f>
        <v>6.59</v>
      </c>
      <c r="E1018" s="23">
        <f>VLOOKUP(A1018,'[11]Linea Industria'!$A$6:$G$1020,6,FALSE)</f>
        <v>7.88</v>
      </c>
      <c r="F1018" s="23">
        <f>VLOOKUP(A1018,'[11]Linea Industria'!$A$6:$G$1020,7,FALSE)</f>
        <v>8.9</v>
      </c>
    </row>
    <row r="1019" spans="1:6" x14ac:dyDescent="0.3">
      <c r="A1019" s="28" t="s">
        <v>3136</v>
      </c>
      <c r="B1019" s="43" t="s">
        <v>3522</v>
      </c>
      <c r="C1019" s="23">
        <f>VLOOKUP(A1019,'[11]Linea Industria'!$A$6:$G$1020,4,FALSE)</f>
        <v>5.83</v>
      </c>
      <c r="D1019" s="23">
        <f>VLOOKUP(A1019,'[11]Linea Industria'!$A$6:$G$1020,5,FALSE)</f>
        <v>6.59</v>
      </c>
      <c r="E1019" s="23">
        <f>VLOOKUP(A1019,'[11]Linea Industria'!$A$6:$G$1020,6,FALSE)</f>
        <v>7.88</v>
      </c>
      <c r="F1019" s="23">
        <f>VLOOKUP(A1019,'[11]Linea Industria'!$A$6:$G$1020,7,FALSE)</f>
        <v>8.9</v>
      </c>
    </row>
    <row r="1020" spans="1:6" x14ac:dyDescent="0.3">
      <c r="A1020" s="28" t="s">
        <v>3137</v>
      </c>
      <c r="B1020" s="43" t="s">
        <v>3523</v>
      </c>
      <c r="C1020" s="23">
        <f>VLOOKUP(A1020,'[11]Linea Industria'!$A$6:$G$1020,4,FALSE)</f>
        <v>5.83</v>
      </c>
      <c r="D1020" s="23">
        <f>VLOOKUP(A1020,'[11]Linea Industria'!$A$6:$G$1020,5,FALSE)</f>
        <v>6.59</v>
      </c>
      <c r="E1020" s="23">
        <f>VLOOKUP(A1020,'[11]Linea Industria'!$A$6:$G$1020,6,FALSE)</f>
        <v>7.88</v>
      </c>
      <c r="F1020" s="23">
        <f>VLOOKUP(A1020,'[11]Linea Industria'!$A$6:$G$1020,7,FALSE)</f>
        <v>8.9</v>
      </c>
    </row>
    <row r="1021" spans="1:6" x14ac:dyDescent="0.3">
      <c r="A1021" s="26" t="s">
        <v>1104</v>
      </c>
      <c r="B1021" s="43" t="s">
        <v>1105</v>
      </c>
      <c r="C1021" s="23">
        <f>VLOOKUP(A1021,'[11]Linea Industria'!$A$6:$G$1020,4,FALSE)</f>
        <v>19.579999999999998</v>
      </c>
      <c r="D1021" s="23">
        <f>VLOOKUP(A1021,'[11]Linea Industria'!$A$6:$G$1020,5,FALSE)</f>
        <v>22.13</v>
      </c>
      <c r="E1021" s="23">
        <f>VLOOKUP(A1021,'[11]Linea Industria'!$A$6:$G$1020,6,FALSE)</f>
        <v>26.46</v>
      </c>
      <c r="F1021" s="23">
        <f>VLOOKUP(A1021,'[11]Linea Industria'!$A$6:$G$1020,7,FALSE)</f>
        <v>29.9</v>
      </c>
    </row>
    <row r="1022" spans="1:6" x14ac:dyDescent="0.3">
      <c r="A1022" s="26" t="s">
        <v>1106</v>
      </c>
      <c r="B1022" s="43" t="s">
        <v>1107</v>
      </c>
      <c r="C1022" s="23">
        <f>VLOOKUP(A1022,'[11]Linea Industria'!$A$6:$G$1020,4,FALSE)</f>
        <v>19.579999999999998</v>
      </c>
      <c r="D1022" s="23">
        <f>VLOOKUP(A1022,'[11]Linea Industria'!$A$6:$G$1020,5,FALSE)</f>
        <v>22.13</v>
      </c>
      <c r="E1022" s="23">
        <f>VLOOKUP(A1022,'[11]Linea Industria'!$A$6:$G$1020,6,FALSE)</f>
        <v>26.46</v>
      </c>
      <c r="F1022" s="23">
        <f>VLOOKUP(A1022,'[11]Linea Industria'!$A$6:$G$1020,7,FALSE)</f>
        <v>29.9</v>
      </c>
    </row>
    <row r="1023" spans="1:6" x14ac:dyDescent="0.3">
      <c r="A1023" s="26" t="s">
        <v>1108</v>
      </c>
      <c r="B1023" s="43" t="s">
        <v>1094</v>
      </c>
      <c r="C1023" s="23">
        <f>VLOOKUP(A1023,'[11]Linea Industria'!$A$6:$G$1020,4,FALSE)</f>
        <v>19.579999999999998</v>
      </c>
      <c r="D1023" s="23">
        <f>VLOOKUP(A1023,'[11]Linea Industria'!$A$6:$G$1020,5,FALSE)</f>
        <v>22.13</v>
      </c>
      <c r="E1023" s="23">
        <f>VLOOKUP(A1023,'[11]Linea Industria'!$A$6:$G$1020,6,FALSE)</f>
        <v>26.46</v>
      </c>
      <c r="F1023" s="23">
        <f>VLOOKUP(A1023,'[11]Linea Industria'!$A$6:$G$1020,7,FALSE)</f>
        <v>29.9</v>
      </c>
    </row>
    <row r="1024" spans="1:6" x14ac:dyDescent="0.3">
      <c r="A1024" s="26" t="s">
        <v>1109</v>
      </c>
      <c r="B1024" s="43" t="s">
        <v>1110</v>
      </c>
      <c r="C1024" s="23">
        <f>VLOOKUP(A1024,'[11]Linea Industria'!$A$6:$G$1020,4,FALSE)</f>
        <v>19.579999999999998</v>
      </c>
      <c r="D1024" s="23">
        <f>VLOOKUP(A1024,'[11]Linea Industria'!$A$6:$G$1020,5,FALSE)</f>
        <v>22.13</v>
      </c>
      <c r="E1024" s="23">
        <f>VLOOKUP(A1024,'[11]Linea Industria'!$A$6:$G$1020,6,FALSE)</f>
        <v>26.46</v>
      </c>
      <c r="F1024" s="23">
        <f>VLOOKUP(A1024,'[11]Linea Industria'!$A$6:$G$1020,7,FALSE)</f>
        <v>29.9</v>
      </c>
    </row>
    <row r="1025" spans="1:6" x14ac:dyDescent="0.3">
      <c r="A1025" s="26" t="s">
        <v>1111</v>
      </c>
      <c r="B1025" s="43" t="s">
        <v>1112</v>
      </c>
      <c r="C1025" s="23">
        <f>VLOOKUP(A1025,'[11]Linea Industria'!$A$6:$G$1020,4,FALSE)</f>
        <v>19.579999999999998</v>
      </c>
      <c r="D1025" s="23">
        <f>VLOOKUP(A1025,'[11]Linea Industria'!$A$6:$G$1020,5,FALSE)</f>
        <v>22.13</v>
      </c>
      <c r="E1025" s="23">
        <f>VLOOKUP(A1025,'[11]Linea Industria'!$A$6:$G$1020,6,FALSE)</f>
        <v>26.46</v>
      </c>
      <c r="F1025" s="23">
        <f>VLOOKUP(A1025,'[11]Linea Industria'!$A$6:$G$1020,7,FALSE)</f>
        <v>29.9</v>
      </c>
    </row>
    <row r="1026" spans="1:6" x14ac:dyDescent="0.3">
      <c r="A1026" s="26" t="s">
        <v>1113</v>
      </c>
      <c r="B1026" s="43" t="s">
        <v>1114</v>
      </c>
      <c r="C1026" s="23">
        <f>VLOOKUP(A1026,'[11]Linea Industria'!$A$6:$G$1020,4,FALSE)</f>
        <v>19.579999999999998</v>
      </c>
      <c r="D1026" s="23">
        <f>VLOOKUP(A1026,'[11]Linea Industria'!$A$6:$G$1020,5,FALSE)</f>
        <v>22.13</v>
      </c>
      <c r="E1026" s="23">
        <f>VLOOKUP(A1026,'[11]Linea Industria'!$A$6:$G$1020,6,FALSE)</f>
        <v>26.46</v>
      </c>
      <c r="F1026" s="23">
        <f>VLOOKUP(A1026,'[11]Linea Industria'!$A$6:$G$1020,7,FALSE)</f>
        <v>29.9</v>
      </c>
    </row>
    <row r="1027" spans="1:6" x14ac:dyDescent="0.3">
      <c r="A1027" s="26" t="s">
        <v>1115</v>
      </c>
      <c r="B1027" s="43" t="s">
        <v>1116</v>
      </c>
      <c r="C1027" s="23">
        <f>VLOOKUP(A1027,'[11]Linea Industria'!$A$6:$G$1020,4,FALSE)</f>
        <v>19.579999999999998</v>
      </c>
      <c r="D1027" s="23">
        <f>VLOOKUP(A1027,'[11]Linea Industria'!$A$6:$G$1020,5,FALSE)</f>
        <v>22.13</v>
      </c>
      <c r="E1027" s="23">
        <f>VLOOKUP(A1027,'[11]Linea Industria'!$A$6:$G$1020,6,FALSE)</f>
        <v>26.46</v>
      </c>
      <c r="F1027" s="23">
        <f>VLOOKUP(A1027,'[11]Linea Industria'!$A$6:$G$1020,7,FALSE)</f>
        <v>29.9</v>
      </c>
    </row>
    <row r="1028" spans="1:6" x14ac:dyDescent="0.3">
      <c r="A1028" s="26" t="s">
        <v>1117</v>
      </c>
      <c r="B1028" s="43" t="s">
        <v>1118</v>
      </c>
      <c r="C1028" s="23">
        <f>VLOOKUP(A1028,'[11]Linea Industria'!$A$6:$G$1020,4,FALSE)</f>
        <v>19.579999999999998</v>
      </c>
      <c r="D1028" s="23">
        <f>VLOOKUP(A1028,'[11]Linea Industria'!$A$6:$G$1020,5,FALSE)</f>
        <v>22.13</v>
      </c>
      <c r="E1028" s="23">
        <f>VLOOKUP(A1028,'[11]Linea Industria'!$A$6:$G$1020,6,FALSE)</f>
        <v>26.46</v>
      </c>
      <c r="F1028" s="23">
        <f>VLOOKUP(A1028,'[11]Linea Industria'!$A$6:$G$1020,7,FALSE)</f>
        <v>29.9</v>
      </c>
    </row>
    <row r="1029" spans="1:6" x14ac:dyDescent="0.3">
      <c r="A1029" s="26" t="s">
        <v>1119</v>
      </c>
      <c r="B1029" s="43" t="s">
        <v>1120</v>
      </c>
      <c r="C1029" s="23">
        <f>VLOOKUP(A1029,'[11]Linea Industria'!$A$6:$G$1020,4,FALSE)</f>
        <v>19.579999999999998</v>
      </c>
      <c r="D1029" s="23">
        <f>VLOOKUP(A1029,'[11]Linea Industria'!$A$6:$G$1020,5,FALSE)</f>
        <v>22.13</v>
      </c>
      <c r="E1029" s="23">
        <f>VLOOKUP(A1029,'[11]Linea Industria'!$A$6:$G$1020,6,FALSE)</f>
        <v>26.46</v>
      </c>
      <c r="F1029" s="23">
        <f>VLOOKUP(A1029,'[11]Linea Industria'!$A$6:$G$1020,7,FALSE)</f>
        <v>29.9</v>
      </c>
    </row>
    <row r="1030" spans="1:6" x14ac:dyDescent="0.3">
      <c r="A1030" s="26" t="s">
        <v>1121</v>
      </c>
      <c r="B1030" s="43" t="s">
        <v>1122</v>
      </c>
      <c r="C1030" s="23">
        <f>VLOOKUP(A1030,'[11]Linea Industria'!$A$6:$G$1020,4,FALSE)</f>
        <v>19.579999999999998</v>
      </c>
      <c r="D1030" s="23">
        <f>VLOOKUP(A1030,'[11]Linea Industria'!$A$6:$G$1020,5,FALSE)</f>
        <v>22.13</v>
      </c>
      <c r="E1030" s="23">
        <f>VLOOKUP(A1030,'[11]Linea Industria'!$A$6:$G$1020,6,FALSE)</f>
        <v>26.46</v>
      </c>
      <c r="F1030" s="23">
        <f>VLOOKUP(A1030,'[11]Linea Industria'!$A$6:$G$1020,7,FALSE)</f>
        <v>29.9</v>
      </c>
    </row>
    <row r="1031" spans="1:6" x14ac:dyDescent="0.3">
      <c r="A1031" s="26" t="s">
        <v>1123</v>
      </c>
      <c r="B1031" s="43" t="s">
        <v>1124</v>
      </c>
      <c r="C1031" s="23">
        <f>VLOOKUP(A1031,'[11]Linea Industria'!$A$6:$G$1020,4,FALSE)</f>
        <v>19.579999999999998</v>
      </c>
      <c r="D1031" s="23">
        <f>VLOOKUP(A1031,'[11]Linea Industria'!$A$6:$G$1020,5,FALSE)</f>
        <v>22.13</v>
      </c>
      <c r="E1031" s="23">
        <f>VLOOKUP(A1031,'[11]Linea Industria'!$A$6:$G$1020,6,FALSE)</f>
        <v>26.46</v>
      </c>
      <c r="F1031" s="23">
        <f>VLOOKUP(A1031,'[11]Linea Industria'!$A$6:$G$1020,7,FALSE)</f>
        <v>29.9</v>
      </c>
    </row>
    <row r="1032" spans="1:6" x14ac:dyDescent="0.3">
      <c r="A1032" s="26" t="s">
        <v>1125</v>
      </c>
      <c r="B1032" s="43" t="s">
        <v>1126</v>
      </c>
      <c r="C1032" s="23">
        <f>VLOOKUP(A1032,'[11]Linea Industria'!$A$6:$G$1020,4,FALSE)</f>
        <v>19.579999999999998</v>
      </c>
      <c r="D1032" s="23">
        <f>VLOOKUP(A1032,'[11]Linea Industria'!$A$6:$G$1020,5,FALSE)</f>
        <v>22.13</v>
      </c>
      <c r="E1032" s="23">
        <f>VLOOKUP(A1032,'[11]Linea Industria'!$A$6:$G$1020,6,FALSE)</f>
        <v>26.46</v>
      </c>
      <c r="F1032" s="23">
        <f>VLOOKUP(A1032,'[11]Linea Industria'!$A$6:$G$1020,7,FALSE)</f>
        <v>29.9</v>
      </c>
    </row>
    <row r="1033" spans="1:6" x14ac:dyDescent="0.3">
      <c r="A1033" s="26" t="s">
        <v>1127</v>
      </c>
      <c r="B1033" s="43" t="s">
        <v>3521</v>
      </c>
      <c r="C1033" s="23">
        <f>VLOOKUP(A1033,'[11]Linea Industria'!$A$6:$G$1020,4,FALSE)</f>
        <v>19.579999999999998</v>
      </c>
      <c r="D1033" s="23">
        <f>VLOOKUP(A1033,'[11]Linea Industria'!$A$6:$G$1020,5,FALSE)</f>
        <v>22.13</v>
      </c>
      <c r="E1033" s="23">
        <f>VLOOKUP(A1033,'[11]Linea Industria'!$A$6:$G$1020,6,FALSE)</f>
        <v>26.46</v>
      </c>
      <c r="F1033" s="23">
        <f>VLOOKUP(A1033,'[11]Linea Industria'!$A$6:$G$1020,7,FALSE)</f>
        <v>29.9</v>
      </c>
    </row>
    <row r="1034" spans="1:6" x14ac:dyDescent="0.3">
      <c r="A1034" s="26" t="s">
        <v>1128</v>
      </c>
      <c r="B1034" s="43" t="s">
        <v>1129</v>
      </c>
      <c r="C1034" s="23">
        <f>VLOOKUP(A1034,'[11]Linea Industria'!$A$6:$G$1020,4,FALSE)</f>
        <v>19.579999999999998</v>
      </c>
      <c r="D1034" s="23">
        <f>VLOOKUP(A1034,'[11]Linea Industria'!$A$6:$G$1020,5,FALSE)</f>
        <v>22.13</v>
      </c>
      <c r="E1034" s="23">
        <f>VLOOKUP(A1034,'[11]Linea Industria'!$A$6:$G$1020,6,FALSE)</f>
        <v>26.46</v>
      </c>
      <c r="F1034" s="23">
        <f>VLOOKUP(A1034,'[11]Linea Industria'!$A$6:$G$1020,7,FALSE)</f>
        <v>29.9</v>
      </c>
    </row>
    <row r="1035" spans="1:6" x14ac:dyDescent="0.3">
      <c r="A1035" s="26" t="s">
        <v>1130</v>
      </c>
      <c r="B1035" s="43" t="s">
        <v>1131</v>
      </c>
      <c r="C1035" s="23">
        <f>VLOOKUP(A1035,'[11]Linea Industria'!$A$6:$G$1020,4,FALSE)</f>
        <v>19.579999999999998</v>
      </c>
      <c r="D1035" s="23">
        <f>VLOOKUP(A1035,'[11]Linea Industria'!$A$6:$G$1020,5,FALSE)</f>
        <v>22.13</v>
      </c>
      <c r="E1035" s="23">
        <f>VLOOKUP(A1035,'[11]Linea Industria'!$A$6:$G$1020,6,FALSE)</f>
        <v>26.46</v>
      </c>
      <c r="F1035" s="23">
        <f>VLOOKUP(A1035,'[11]Linea Industria'!$A$6:$G$1020,7,FALSE)</f>
        <v>29.9</v>
      </c>
    </row>
    <row r="1036" spans="1:6" x14ac:dyDescent="0.3">
      <c r="A1036" s="26" t="s">
        <v>1132</v>
      </c>
      <c r="B1036" s="43" t="s">
        <v>1098</v>
      </c>
      <c r="C1036" s="23">
        <f>VLOOKUP(A1036,'[11]Linea Industria'!$A$6:$G$1020,4,FALSE)</f>
        <v>19.579999999999998</v>
      </c>
      <c r="D1036" s="23">
        <f>VLOOKUP(A1036,'[11]Linea Industria'!$A$6:$G$1020,5,FALSE)</f>
        <v>22.13</v>
      </c>
      <c r="E1036" s="23">
        <f>VLOOKUP(A1036,'[11]Linea Industria'!$A$6:$G$1020,6,FALSE)</f>
        <v>26.46</v>
      </c>
      <c r="F1036" s="23">
        <f>VLOOKUP(A1036,'[11]Linea Industria'!$A$6:$G$1020,7,FALSE)</f>
        <v>29.9</v>
      </c>
    </row>
    <row r="1037" spans="1:6" x14ac:dyDescent="0.3">
      <c r="A1037" s="26" t="s">
        <v>1133</v>
      </c>
      <c r="B1037" s="43" t="s">
        <v>1134</v>
      </c>
      <c r="C1037" s="23">
        <f>VLOOKUP(A1037,'[11]Linea Industria'!$A$6:$G$1020,4,FALSE)</f>
        <v>19.579999999999998</v>
      </c>
      <c r="D1037" s="23">
        <f>VLOOKUP(A1037,'[11]Linea Industria'!$A$6:$G$1020,5,FALSE)</f>
        <v>22.13</v>
      </c>
      <c r="E1037" s="23">
        <f>VLOOKUP(A1037,'[11]Linea Industria'!$A$6:$G$1020,6,FALSE)</f>
        <v>26.46</v>
      </c>
      <c r="F1037" s="23">
        <f>VLOOKUP(A1037,'[11]Linea Industria'!$A$6:$G$1020,7,FALSE)</f>
        <v>29.9</v>
      </c>
    </row>
    <row r="1038" spans="1:6" x14ac:dyDescent="0.3">
      <c r="A1038" s="26" t="s">
        <v>1135</v>
      </c>
      <c r="B1038" s="43" t="s">
        <v>1100</v>
      </c>
      <c r="C1038" s="23">
        <f>VLOOKUP(A1038,'[11]Linea Industria'!$A$6:$G$1020,4,FALSE)</f>
        <v>19.579999999999998</v>
      </c>
      <c r="D1038" s="23">
        <f>VLOOKUP(A1038,'[11]Linea Industria'!$A$6:$G$1020,5,FALSE)</f>
        <v>22.13</v>
      </c>
      <c r="E1038" s="23">
        <f>VLOOKUP(A1038,'[11]Linea Industria'!$A$6:$G$1020,6,FALSE)</f>
        <v>26.46</v>
      </c>
      <c r="F1038" s="23">
        <f>VLOOKUP(A1038,'[11]Linea Industria'!$A$6:$G$1020,7,FALSE)</f>
        <v>29.9</v>
      </c>
    </row>
    <row r="1039" spans="1:6" x14ac:dyDescent="0.3">
      <c r="A1039" s="26" t="s">
        <v>1136</v>
      </c>
      <c r="B1039" s="43" t="s">
        <v>1102</v>
      </c>
      <c r="C1039" s="23">
        <f>VLOOKUP(A1039,'[11]Linea Industria'!$A$6:$G$1020,4,FALSE)</f>
        <v>19.579999999999998</v>
      </c>
      <c r="D1039" s="23">
        <f>VLOOKUP(A1039,'[11]Linea Industria'!$A$6:$G$1020,5,FALSE)</f>
        <v>22.13</v>
      </c>
      <c r="E1039" s="23">
        <f>VLOOKUP(A1039,'[11]Linea Industria'!$A$6:$G$1020,6,FALSE)</f>
        <v>26.46</v>
      </c>
      <c r="F1039" s="23">
        <f>VLOOKUP(A1039,'[11]Linea Industria'!$A$6:$G$1020,7,FALSE)</f>
        <v>29.9</v>
      </c>
    </row>
    <row r="1040" spans="1:6" x14ac:dyDescent="0.3">
      <c r="A1040" s="26" t="s">
        <v>1137</v>
      </c>
      <c r="B1040" s="43" t="s">
        <v>1138</v>
      </c>
      <c r="C1040" s="23">
        <f>VLOOKUP(A1040,'[11]Linea Industria'!$A$6:$G$1020,4,FALSE)</f>
        <v>19.579999999999998</v>
      </c>
      <c r="D1040" s="23">
        <f>VLOOKUP(A1040,'[11]Linea Industria'!$A$6:$G$1020,5,FALSE)</f>
        <v>22.13</v>
      </c>
      <c r="E1040" s="23">
        <f>VLOOKUP(A1040,'[11]Linea Industria'!$A$6:$G$1020,6,FALSE)</f>
        <v>26.46</v>
      </c>
      <c r="F1040" s="23">
        <f>VLOOKUP(A1040,'[11]Linea Industria'!$A$6:$G$1020,7,FALSE)</f>
        <v>29.9</v>
      </c>
    </row>
    <row r="1041" spans="1:6" x14ac:dyDescent="0.3">
      <c r="A1041" s="26" t="s">
        <v>1139</v>
      </c>
      <c r="B1041" s="43" t="s">
        <v>1140</v>
      </c>
      <c r="C1041" s="23">
        <f>VLOOKUP(A1041,'[11]Linea Industria'!$A$6:$G$1020,4,FALSE)</f>
        <v>19.579999999999998</v>
      </c>
      <c r="D1041" s="23">
        <f>VLOOKUP(A1041,'[11]Linea Industria'!$A$6:$G$1020,5,FALSE)</f>
        <v>22.13</v>
      </c>
      <c r="E1041" s="23">
        <f>VLOOKUP(A1041,'[11]Linea Industria'!$A$6:$G$1020,6,FALSE)</f>
        <v>26.46</v>
      </c>
      <c r="F1041" s="23">
        <f>VLOOKUP(A1041,'[11]Linea Industria'!$A$6:$G$1020,7,FALSE)</f>
        <v>29.9</v>
      </c>
    </row>
    <row r="1042" spans="1:6" x14ac:dyDescent="0.3">
      <c r="A1042" s="26" t="s">
        <v>1141</v>
      </c>
      <c r="B1042" s="43" t="s">
        <v>1142</v>
      </c>
      <c r="C1042" s="23">
        <f>VLOOKUP(A1042,'[11]Linea Industria'!$A$6:$G$1020,4,FALSE)</f>
        <v>19.579999999999998</v>
      </c>
      <c r="D1042" s="23">
        <f>VLOOKUP(A1042,'[11]Linea Industria'!$A$6:$G$1020,5,FALSE)</f>
        <v>22.13</v>
      </c>
      <c r="E1042" s="23">
        <f>VLOOKUP(A1042,'[11]Linea Industria'!$A$6:$G$1020,6,FALSE)</f>
        <v>26.46</v>
      </c>
      <c r="F1042" s="23">
        <f>VLOOKUP(A1042,'[11]Linea Industria'!$A$6:$G$1020,7,FALSE)</f>
        <v>29.9</v>
      </c>
    </row>
    <row r="1043" spans="1:6" x14ac:dyDescent="0.3">
      <c r="A1043" s="26" t="s">
        <v>3138</v>
      </c>
      <c r="B1043" s="43" t="s">
        <v>3523</v>
      </c>
      <c r="C1043" s="23">
        <f>VLOOKUP(A1043,'[11]Linea Industria'!$A$6:$G$1020,4,FALSE)</f>
        <v>19.579999999999998</v>
      </c>
      <c r="D1043" s="23">
        <f>VLOOKUP(A1043,'[11]Linea Industria'!$A$6:$G$1020,5,FALSE)</f>
        <v>22.13</v>
      </c>
      <c r="E1043" s="23">
        <f>VLOOKUP(A1043,'[11]Linea Industria'!$A$6:$G$1020,6,FALSE)</f>
        <v>26.46</v>
      </c>
      <c r="F1043" s="23">
        <f>VLOOKUP(A1043,'[11]Linea Industria'!$A$6:$G$1020,7,FALSE)</f>
        <v>29.9</v>
      </c>
    </row>
    <row r="1044" spans="1:6" x14ac:dyDescent="0.3">
      <c r="A1044" s="26" t="s">
        <v>3139</v>
      </c>
      <c r="B1044" s="43" t="s">
        <v>3522</v>
      </c>
      <c r="C1044" s="23">
        <f>VLOOKUP(A1044,'[11]Linea Industria'!$A$6:$G$1020,4,FALSE)</f>
        <v>19.579999999999998</v>
      </c>
      <c r="D1044" s="23">
        <f>VLOOKUP(A1044,'[11]Linea Industria'!$A$6:$G$1020,5,FALSE)</f>
        <v>22.13</v>
      </c>
      <c r="E1044" s="23">
        <f>VLOOKUP(A1044,'[11]Linea Industria'!$A$6:$G$1020,6,FALSE)</f>
        <v>26.46</v>
      </c>
      <c r="F1044" s="23">
        <f>VLOOKUP(A1044,'[11]Linea Industria'!$A$6:$G$1020,7,FALSE)</f>
        <v>29.9</v>
      </c>
    </row>
    <row r="1045" spans="1:6" x14ac:dyDescent="0.3">
      <c r="A1045" s="28" t="s">
        <v>1143</v>
      </c>
      <c r="B1045" s="43" t="s">
        <v>1110</v>
      </c>
      <c r="C1045" s="23">
        <f>VLOOKUP(A1045,'[11]Linea Industria'!$A$6:$G$1020,4,FALSE)</f>
        <v>89.06</v>
      </c>
      <c r="D1045" s="23">
        <f>VLOOKUP(A1045,'[11]Linea Industria'!$A$6:$G$1020,5,FALSE)</f>
        <v>100.64</v>
      </c>
      <c r="E1045" s="23">
        <f>VLOOKUP(A1045,'[11]Linea Industria'!$A$6:$G$1020,6,FALSE)</f>
        <v>120.35</v>
      </c>
      <c r="F1045" s="23">
        <f>VLOOKUP(A1045,'[11]Linea Industria'!$A$6:$G$1020,7,FALSE)</f>
        <v>136</v>
      </c>
    </row>
    <row r="1046" spans="1:6" x14ac:dyDescent="0.3">
      <c r="A1046" s="28" t="s">
        <v>1144</v>
      </c>
      <c r="B1046" s="43" t="s">
        <v>1102</v>
      </c>
      <c r="C1046" s="23">
        <f>VLOOKUP(A1046,'[11]Linea Industria'!$A$6:$G$1020,4,FALSE)</f>
        <v>89.06</v>
      </c>
      <c r="D1046" s="23">
        <f>VLOOKUP(A1046,'[11]Linea Industria'!$A$6:$G$1020,5,FALSE)</f>
        <v>100.64</v>
      </c>
      <c r="E1046" s="23">
        <f>VLOOKUP(A1046,'[11]Linea Industria'!$A$6:$G$1020,6,FALSE)</f>
        <v>120.35</v>
      </c>
      <c r="F1046" s="23">
        <f>VLOOKUP(A1046,'[11]Linea Industria'!$A$6:$G$1020,7,FALSE)</f>
        <v>136</v>
      </c>
    </row>
    <row r="1047" spans="1:6" x14ac:dyDescent="0.3">
      <c r="A1047" s="28" t="s">
        <v>1145</v>
      </c>
      <c r="B1047" s="43" t="s">
        <v>1138</v>
      </c>
      <c r="C1047" s="23">
        <f>VLOOKUP(A1047,'[11]Linea Industria'!$A$6:$G$1020,4,FALSE)</f>
        <v>89.06</v>
      </c>
      <c r="D1047" s="23">
        <f>VLOOKUP(A1047,'[11]Linea Industria'!$A$6:$G$1020,5,FALSE)</f>
        <v>100.64</v>
      </c>
      <c r="E1047" s="23">
        <f>VLOOKUP(A1047,'[11]Linea Industria'!$A$6:$G$1020,6,FALSE)</f>
        <v>120.35</v>
      </c>
      <c r="F1047" s="23">
        <f>VLOOKUP(A1047,'[11]Linea Industria'!$A$6:$G$1020,7,FALSE)</f>
        <v>136</v>
      </c>
    </row>
    <row r="1048" spans="1:6" x14ac:dyDescent="0.3">
      <c r="A1048" s="28" t="s">
        <v>1146</v>
      </c>
      <c r="B1048" s="43" t="s">
        <v>1147</v>
      </c>
      <c r="C1048" s="23">
        <f>VLOOKUP(A1048,'[11]Linea Industria'!$A$6:$G$1020,4,FALSE)</f>
        <v>5.04</v>
      </c>
      <c r="D1048" s="23">
        <f>VLOOKUP(A1048,'[11]Linea Industria'!$A$6:$G$1020,5,FALSE)</f>
        <v>5.7</v>
      </c>
      <c r="E1048" s="23">
        <f>VLOOKUP(A1048,'[11]Linea Industria'!$A$6:$G$1020,6,FALSE)</f>
        <v>6.64</v>
      </c>
      <c r="F1048" s="23">
        <f>VLOOKUP(A1048,'[11]Linea Industria'!$A$6:$G$1020,7,FALSE)</f>
        <v>7.5</v>
      </c>
    </row>
    <row r="1049" spans="1:6" x14ac:dyDescent="0.3">
      <c r="A1049" s="28" t="s">
        <v>1148</v>
      </c>
      <c r="B1049" s="43" t="s">
        <v>1149</v>
      </c>
      <c r="C1049" s="23">
        <f>VLOOKUP(A1049,'[11]Linea Industria'!$A$6:$G$1020,4,FALSE)</f>
        <v>5.04</v>
      </c>
      <c r="D1049" s="23">
        <f>VLOOKUP(A1049,'[11]Linea Industria'!$A$6:$G$1020,5,FALSE)</f>
        <v>5.7</v>
      </c>
      <c r="E1049" s="23">
        <f>VLOOKUP(A1049,'[11]Linea Industria'!$A$6:$G$1020,6,FALSE)</f>
        <v>6.64</v>
      </c>
      <c r="F1049" s="23">
        <f>VLOOKUP(A1049,'[11]Linea Industria'!$A$6:$G$1020,7,FALSE)</f>
        <v>7.5</v>
      </c>
    </row>
    <row r="1050" spans="1:6" x14ac:dyDescent="0.3">
      <c r="A1050" s="28" t="s">
        <v>1150</v>
      </c>
      <c r="B1050" s="43" t="s">
        <v>1151</v>
      </c>
      <c r="C1050" s="23">
        <f>VLOOKUP(A1050,'[11]Linea Industria'!$A$6:$G$1020,4,FALSE)</f>
        <v>5.04</v>
      </c>
      <c r="D1050" s="23">
        <f>VLOOKUP(A1050,'[11]Linea Industria'!$A$6:$G$1020,5,FALSE)</f>
        <v>5.7</v>
      </c>
      <c r="E1050" s="23">
        <f>VLOOKUP(A1050,'[11]Linea Industria'!$A$6:$G$1020,6,FALSE)</f>
        <v>6.64</v>
      </c>
      <c r="F1050" s="23">
        <f>VLOOKUP(A1050,'[11]Linea Industria'!$A$6:$G$1020,7,FALSE)</f>
        <v>7.5</v>
      </c>
    </row>
    <row r="1051" spans="1:6" x14ac:dyDescent="0.3">
      <c r="A1051" s="28" t="s">
        <v>1152</v>
      </c>
      <c r="B1051" s="43" t="s">
        <v>1153</v>
      </c>
      <c r="C1051" s="23">
        <f>VLOOKUP(A1051,'[11]Linea Industria'!$A$6:$G$1020,4,FALSE)</f>
        <v>5.04</v>
      </c>
      <c r="D1051" s="23">
        <f>VLOOKUP(A1051,'[11]Linea Industria'!$A$6:$G$1020,5,FALSE)</f>
        <v>5.7</v>
      </c>
      <c r="E1051" s="23">
        <f>VLOOKUP(A1051,'[11]Linea Industria'!$A$6:$G$1020,6,FALSE)</f>
        <v>6.64</v>
      </c>
      <c r="F1051" s="23">
        <f>VLOOKUP(A1051,'[11]Linea Industria'!$A$6:$G$1020,7,FALSE)</f>
        <v>7.5</v>
      </c>
    </row>
    <row r="1052" spans="1:6" x14ac:dyDescent="0.3">
      <c r="A1052" s="28" t="s">
        <v>1154</v>
      </c>
      <c r="B1052" s="43" t="s">
        <v>1155</v>
      </c>
      <c r="C1052" s="23">
        <f>VLOOKUP(A1052,'[11]Linea Industria'!$A$6:$G$1020,4,FALSE)</f>
        <v>5.04</v>
      </c>
      <c r="D1052" s="23">
        <f>VLOOKUP(A1052,'[11]Linea Industria'!$A$6:$G$1020,5,FALSE)</f>
        <v>5.7</v>
      </c>
      <c r="E1052" s="23">
        <f>VLOOKUP(A1052,'[11]Linea Industria'!$A$6:$G$1020,6,FALSE)</f>
        <v>6.64</v>
      </c>
      <c r="F1052" s="23">
        <f>VLOOKUP(A1052,'[11]Linea Industria'!$A$6:$G$1020,7,FALSE)</f>
        <v>7.5</v>
      </c>
    </row>
    <row r="1053" spans="1:6" x14ac:dyDescent="0.3">
      <c r="A1053" s="28" t="s">
        <v>1156</v>
      </c>
      <c r="B1053" s="43" t="s">
        <v>1157</v>
      </c>
      <c r="C1053" s="23">
        <f>VLOOKUP(A1053,'[11]Linea Industria'!$A$6:$G$1020,4,FALSE)</f>
        <v>5.04</v>
      </c>
      <c r="D1053" s="23">
        <f>VLOOKUP(A1053,'[11]Linea Industria'!$A$6:$G$1020,5,FALSE)</f>
        <v>5.7</v>
      </c>
      <c r="E1053" s="23">
        <f>VLOOKUP(A1053,'[11]Linea Industria'!$A$6:$G$1020,6,FALSE)</f>
        <v>6.64</v>
      </c>
      <c r="F1053" s="23">
        <f>VLOOKUP(A1053,'[11]Linea Industria'!$A$6:$G$1020,7,FALSE)</f>
        <v>7.5</v>
      </c>
    </row>
    <row r="1054" spans="1:6" x14ac:dyDescent="0.3">
      <c r="A1054" s="28" t="s">
        <v>1158</v>
      </c>
      <c r="B1054" s="43" t="s">
        <v>1159</v>
      </c>
      <c r="C1054" s="23">
        <f>VLOOKUP(A1054,'[11]Linea Industria'!$A$6:$G$1020,4,FALSE)</f>
        <v>5.04</v>
      </c>
      <c r="D1054" s="23">
        <f>VLOOKUP(A1054,'[11]Linea Industria'!$A$6:$G$1020,5,FALSE)</f>
        <v>5.7</v>
      </c>
      <c r="E1054" s="23">
        <f>VLOOKUP(A1054,'[11]Linea Industria'!$A$6:$G$1020,6,FALSE)</f>
        <v>6.64</v>
      </c>
      <c r="F1054" s="23">
        <f>VLOOKUP(A1054,'[11]Linea Industria'!$A$6:$G$1020,7,FALSE)</f>
        <v>7.5</v>
      </c>
    </row>
    <row r="1055" spans="1:6" x14ac:dyDescent="0.3">
      <c r="A1055" s="28" t="s">
        <v>1160</v>
      </c>
      <c r="B1055" s="43" t="s">
        <v>1161</v>
      </c>
      <c r="C1055" s="23">
        <f>VLOOKUP(A1055,'[11]Linea Industria'!$A$6:$G$1020,4,FALSE)</f>
        <v>5.04</v>
      </c>
      <c r="D1055" s="23">
        <f>VLOOKUP(A1055,'[11]Linea Industria'!$A$6:$G$1020,5,FALSE)</f>
        <v>5.7</v>
      </c>
      <c r="E1055" s="23">
        <f>VLOOKUP(A1055,'[11]Linea Industria'!$A$6:$G$1020,6,FALSE)</f>
        <v>6.64</v>
      </c>
      <c r="F1055" s="23">
        <f>VLOOKUP(A1055,'[11]Linea Industria'!$A$6:$G$1020,7,FALSE)</f>
        <v>7.5</v>
      </c>
    </row>
    <row r="1056" spans="1:6" x14ac:dyDescent="0.3">
      <c r="A1056" s="28" t="s">
        <v>1162</v>
      </c>
      <c r="B1056" s="43" t="s">
        <v>1163</v>
      </c>
      <c r="C1056" s="23">
        <f>VLOOKUP(A1056,'[11]Linea Industria'!$A$6:$G$1020,4,FALSE)</f>
        <v>5.04</v>
      </c>
      <c r="D1056" s="23">
        <f>VLOOKUP(A1056,'[11]Linea Industria'!$A$6:$G$1020,5,FALSE)</f>
        <v>5.7</v>
      </c>
      <c r="E1056" s="23">
        <f>VLOOKUP(A1056,'[11]Linea Industria'!$A$6:$G$1020,6,FALSE)</f>
        <v>6.64</v>
      </c>
      <c r="F1056" s="23">
        <f>VLOOKUP(A1056,'[11]Linea Industria'!$A$6:$G$1020,7,FALSE)</f>
        <v>7.5</v>
      </c>
    </row>
    <row r="1057" spans="1:6" x14ac:dyDescent="0.3">
      <c r="A1057" s="28" t="s">
        <v>1164</v>
      </c>
      <c r="B1057" s="43" t="s">
        <v>1165</v>
      </c>
      <c r="C1057" s="23">
        <f>VLOOKUP(A1057,'[11]Linea Industria'!$A$6:$G$1020,4,FALSE)</f>
        <v>5.04</v>
      </c>
      <c r="D1057" s="23">
        <f>VLOOKUP(A1057,'[11]Linea Industria'!$A$6:$G$1020,5,FALSE)</f>
        <v>5.7</v>
      </c>
      <c r="E1057" s="23">
        <f>VLOOKUP(A1057,'[11]Linea Industria'!$A$6:$G$1020,6,FALSE)</f>
        <v>6.64</v>
      </c>
      <c r="F1057" s="23">
        <f>VLOOKUP(A1057,'[11]Linea Industria'!$A$6:$G$1020,7,FALSE)</f>
        <v>7.5</v>
      </c>
    </row>
    <row r="1058" spans="1:6" x14ac:dyDescent="0.3">
      <c r="A1058" s="28" t="s">
        <v>3140</v>
      </c>
      <c r="B1058" s="43" t="s">
        <v>3524</v>
      </c>
      <c r="C1058" s="23">
        <f>VLOOKUP(A1058,'[11]Linea Industria'!$A$6:$G$1020,4,FALSE)</f>
        <v>5.04</v>
      </c>
      <c r="D1058" s="23">
        <f>VLOOKUP(A1058,'[11]Linea Industria'!$A$6:$G$1020,5,FALSE)</f>
        <v>5.7</v>
      </c>
      <c r="E1058" s="23">
        <f>VLOOKUP(A1058,'[11]Linea Industria'!$A$6:$G$1020,6,FALSE)</f>
        <v>6.64</v>
      </c>
      <c r="F1058" s="23">
        <f>VLOOKUP(A1058,'[11]Linea Industria'!$A$6:$G$1020,7,FALSE)</f>
        <v>7.5</v>
      </c>
    </row>
    <row r="1059" spans="1:6" x14ac:dyDescent="0.3">
      <c r="A1059" s="28" t="s">
        <v>3141</v>
      </c>
      <c r="B1059" s="43" t="s">
        <v>3525</v>
      </c>
      <c r="C1059" s="23">
        <f>VLOOKUP(A1059,'[11]Linea Industria'!$A$6:$G$1020,4,FALSE)</f>
        <v>5.04</v>
      </c>
      <c r="D1059" s="23">
        <f>VLOOKUP(A1059,'[11]Linea Industria'!$A$6:$G$1020,5,FALSE)</f>
        <v>5.7</v>
      </c>
      <c r="E1059" s="23">
        <f>VLOOKUP(A1059,'[11]Linea Industria'!$A$6:$G$1020,6,FALSE)</f>
        <v>6.64</v>
      </c>
      <c r="F1059" s="23">
        <f>VLOOKUP(A1059,'[11]Linea Industria'!$A$6:$G$1020,7,FALSE)</f>
        <v>7.5</v>
      </c>
    </row>
    <row r="1060" spans="1:6" x14ac:dyDescent="0.3">
      <c r="A1060" s="28" t="s">
        <v>3142</v>
      </c>
      <c r="B1060" s="43" t="s">
        <v>3526</v>
      </c>
      <c r="C1060" s="23">
        <f>VLOOKUP(A1060,'[11]Linea Industria'!$A$6:$G$1020,4,FALSE)</f>
        <v>5.04</v>
      </c>
      <c r="D1060" s="23">
        <f>VLOOKUP(A1060,'[11]Linea Industria'!$A$6:$G$1020,5,FALSE)</f>
        <v>5.7</v>
      </c>
      <c r="E1060" s="23">
        <f>VLOOKUP(A1060,'[11]Linea Industria'!$A$6:$G$1020,6,FALSE)</f>
        <v>6.64</v>
      </c>
      <c r="F1060" s="23">
        <f>VLOOKUP(A1060,'[11]Linea Industria'!$A$6:$G$1020,7,FALSE)</f>
        <v>7.5</v>
      </c>
    </row>
    <row r="1061" spans="1:6" x14ac:dyDescent="0.3">
      <c r="A1061" s="28" t="s">
        <v>3143</v>
      </c>
      <c r="B1061" s="43" t="s">
        <v>3527</v>
      </c>
      <c r="C1061" s="23">
        <f>VLOOKUP(A1061,'[11]Linea Industria'!$A$6:$G$1020,4,FALSE)</f>
        <v>5.04</v>
      </c>
      <c r="D1061" s="23">
        <f>VLOOKUP(A1061,'[11]Linea Industria'!$A$6:$G$1020,5,FALSE)</f>
        <v>5.7</v>
      </c>
      <c r="E1061" s="23">
        <f>VLOOKUP(A1061,'[11]Linea Industria'!$A$6:$G$1020,6,FALSE)</f>
        <v>6.64</v>
      </c>
      <c r="F1061" s="23">
        <f>VLOOKUP(A1061,'[11]Linea Industria'!$A$6:$G$1020,7,FALSE)</f>
        <v>7.5</v>
      </c>
    </row>
    <row r="1062" spans="1:6" x14ac:dyDescent="0.3">
      <c r="A1062" s="28" t="s">
        <v>1166</v>
      </c>
      <c r="B1062" s="43" t="s">
        <v>1167</v>
      </c>
      <c r="C1062" s="23">
        <f>VLOOKUP(A1062,'[11]Linea Industria'!$A$6:$G$1020,4,FALSE)</f>
        <v>16.739999999999998</v>
      </c>
      <c r="D1062" s="23">
        <f>VLOOKUP(A1062,'[11]Linea Industria'!$A$6:$G$1020,5,FALSE)</f>
        <v>18.920000000000002</v>
      </c>
      <c r="E1062" s="23">
        <f>VLOOKUP(A1062,'[11]Linea Industria'!$A$6:$G$1020,6,FALSE)</f>
        <v>22.04</v>
      </c>
      <c r="F1062" s="23">
        <f>VLOOKUP(A1062,'[11]Linea Industria'!$A$6:$G$1020,7,FALSE)</f>
        <v>24.9</v>
      </c>
    </row>
    <row r="1063" spans="1:6" x14ac:dyDescent="0.3">
      <c r="A1063" s="28" t="s">
        <v>1168</v>
      </c>
      <c r="B1063" s="43" t="s">
        <v>1147</v>
      </c>
      <c r="C1063" s="23">
        <f>VLOOKUP(A1063,'[11]Linea Industria'!$A$6:$G$1020,4,FALSE)</f>
        <v>16.739999999999998</v>
      </c>
      <c r="D1063" s="23">
        <f>VLOOKUP(A1063,'[11]Linea Industria'!$A$6:$G$1020,5,FALSE)</f>
        <v>18.920000000000002</v>
      </c>
      <c r="E1063" s="23">
        <f>VLOOKUP(A1063,'[11]Linea Industria'!$A$6:$G$1020,6,FALSE)</f>
        <v>22.04</v>
      </c>
      <c r="F1063" s="23">
        <f>VLOOKUP(A1063,'[11]Linea Industria'!$A$6:$G$1020,7,FALSE)</f>
        <v>24.9</v>
      </c>
    </row>
    <row r="1064" spans="1:6" x14ac:dyDescent="0.3">
      <c r="A1064" s="28" t="s">
        <v>1169</v>
      </c>
      <c r="B1064" s="43" t="s">
        <v>1170</v>
      </c>
      <c r="C1064" s="23">
        <f>VLOOKUP(A1064,'[11]Linea Industria'!$A$6:$G$1020,4,FALSE)</f>
        <v>16.739999999999998</v>
      </c>
      <c r="D1064" s="23">
        <f>VLOOKUP(A1064,'[11]Linea Industria'!$A$6:$G$1020,5,FALSE)</f>
        <v>18.920000000000002</v>
      </c>
      <c r="E1064" s="23">
        <f>VLOOKUP(A1064,'[11]Linea Industria'!$A$6:$G$1020,6,FALSE)</f>
        <v>22.04</v>
      </c>
      <c r="F1064" s="23">
        <f>VLOOKUP(A1064,'[11]Linea Industria'!$A$6:$G$1020,7,FALSE)</f>
        <v>24.9</v>
      </c>
    </row>
    <row r="1065" spans="1:6" x14ac:dyDescent="0.3">
      <c r="A1065" s="28" t="s">
        <v>1171</v>
      </c>
      <c r="B1065" s="43" t="s">
        <v>1172</v>
      </c>
      <c r="C1065" s="23">
        <f>VLOOKUP(A1065,'[11]Linea Industria'!$A$6:$G$1020,4,FALSE)</f>
        <v>16.739999999999998</v>
      </c>
      <c r="D1065" s="23">
        <f>VLOOKUP(A1065,'[11]Linea Industria'!$A$6:$G$1020,5,FALSE)</f>
        <v>18.920000000000002</v>
      </c>
      <c r="E1065" s="23">
        <f>VLOOKUP(A1065,'[11]Linea Industria'!$A$6:$G$1020,6,FALSE)</f>
        <v>22.04</v>
      </c>
      <c r="F1065" s="23">
        <f>VLOOKUP(A1065,'[11]Linea Industria'!$A$6:$G$1020,7,FALSE)</f>
        <v>24.9</v>
      </c>
    </row>
    <row r="1066" spans="1:6" x14ac:dyDescent="0.3">
      <c r="A1066" s="28" t="s">
        <v>1173</v>
      </c>
      <c r="B1066" s="43" t="s">
        <v>1174</v>
      </c>
      <c r="C1066" s="23">
        <f>VLOOKUP(A1066,'[11]Linea Industria'!$A$6:$G$1020,4,FALSE)</f>
        <v>16.739999999999998</v>
      </c>
      <c r="D1066" s="23">
        <f>VLOOKUP(A1066,'[11]Linea Industria'!$A$6:$G$1020,5,FALSE)</f>
        <v>18.920000000000002</v>
      </c>
      <c r="E1066" s="23">
        <f>VLOOKUP(A1066,'[11]Linea Industria'!$A$6:$G$1020,6,FALSE)</f>
        <v>22.04</v>
      </c>
      <c r="F1066" s="23">
        <f>VLOOKUP(A1066,'[11]Linea Industria'!$A$6:$G$1020,7,FALSE)</f>
        <v>24.9</v>
      </c>
    </row>
    <row r="1067" spans="1:6" x14ac:dyDescent="0.3">
      <c r="A1067" s="28" t="s">
        <v>1175</v>
      </c>
      <c r="B1067" s="43" t="s">
        <v>1176</v>
      </c>
      <c r="C1067" s="23">
        <f>VLOOKUP(A1067,'[11]Linea Industria'!$A$6:$G$1020,4,FALSE)</f>
        <v>16.739999999999998</v>
      </c>
      <c r="D1067" s="23">
        <f>VLOOKUP(A1067,'[11]Linea Industria'!$A$6:$G$1020,5,FALSE)</f>
        <v>18.920000000000002</v>
      </c>
      <c r="E1067" s="23">
        <f>VLOOKUP(A1067,'[11]Linea Industria'!$A$6:$G$1020,6,FALSE)</f>
        <v>22.04</v>
      </c>
      <c r="F1067" s="23">
        <f>VLOOKUP(A1067,'[11]Linea Industria'!$A$6:$G$1020,7,FALSE)</f>
        <v>24.9</v>
      </c>
    </row>
    <row r="1068" spans="1:6" x14ac:dyDescent="0.3">
      <c r="A1068" s="28" t="s">
        <v>1177</v>
      </c>
      <c r="B1068" s="43" t="s">
        <v>1161</v>
      </c>
      <c r="C1068" s="23">
        <f>VLOOKUP(A1068,'[11]Linea Industria'!$A$6:$G$1020,4,FALSE)</f>
        <v>16.739999999999998</v>
      </c>
      <c r="D1068" s="23">
        <f>VLOOKUP(A1068,'[11]Linea Industria'!$A$6:$G$1020,5,FALSE)</f>
        <v>18.920000000000002</v>
      </c>
      <c r="E1068" s="23">
        <f>VLOOKUP(A1068,'[11]Linea Industria'!$A$6:$G$1020,6,FALSE)</f>
        <v>22.04</v>
      </c>
      <c r="F1068" s="23">
        <f>VLOOKUP(A1068,'[11]Linea Industria'!$A$6:$G$1020,7,FALSE)</f>
        <v>24.9</v>
      </c>
    </row>
    <row r="1069" spans="1:6" x14ac:dyDescent="0.3">
      <c r="A1069" s="28" t="s">
        <v>1178</v>
      </c>
      <c r="B1069" s="43" t="s">
        <v>1157</v>
      </c>
      <c r="C1069" s="23">
        <f>VLOOKUP(A1069,'[11]Linea Industria'!$A$6:$G$1020,4,FALSE)</f>
        <v>16.739999999999998</v>
      </c>
      <c r="D1069" s="23">
        <f>VLOOKUP(A1069,'[11]Linea Industria'!$A$6:$G$1020,5,FALSE)</f>
        <v>18.920000000000002</v>
      </c>
      <c r="E1069" s="23">
        <f>VLOOKUP(A1069,'[11]Linea Industria'!$A$6:$G$1020,6,FALSE)</f>
        <v>22.04</v>
      </c>
      <c r="F1069" s="23">
        <f>VLOOKUP(A1069,'[11]Linea Industria'!$A$6:$G$1020,7,FALSE)</f>
        <v>24.9</v>
      </c>
    </row>
    <row r="1070" spans="1:6" x14ac:dyDescent="0.3">
      <c r="A1070" s="28" t="s">
        <v>1179</v>
      </c>
      <c r="B1070" s="43" t="s">
        <v>1149</v>
      </c>
      <c r="C1070" s="23">
        <f>VLOOKUP(A1070,'[11]Linea Industria'!$A$6:$G$1020,4,FALSE)</f>
        <v>16.739999999999998</v>
      </c>
      <c r="D1070" s="23">
        <f>VLOOKUP(A1070,'[11]Linea Industria'!$A$6:$G$1020,5,FALSE)</f>
        <v>18.920000000000002</v>
      </c>
      <c r="E1070" s="23">
        <f>VLOOKUP(A1070,'[11]Linea Industria'!$A$6:$G$1020,6,FALSE)</f>
        <v>22.04</v>
      </c>
      <c r="F1070" s="23">
        <f>VLOOKUP(A1070,'[11]Linea Industria'!$A$6:$G$1020,7,FALSE)</f>
        <v>24.9</v>
      </c>
    </row>
    <row r="1071" spans="1:6" x14ac:dyDescent="0.3">
      <c r="A1071" s="28" t="s">
        <v>1180</v>
      </c>
      <c r="B1071" s="43" t="s">
        <v>1151</v>
      </c>
      <c r="C1071" s="23">
        <f>VLOOKUP(A1071,'[11]Linea Industria'!$A$6:$G$1020,4,FALSE)</f>
        <v>16.739999999999998</v>
      </c>
      <c r="D1071" s="23">
        <f>VLOOKUP(A1071,'[11]Linea Industria'!$A$6:$G$1020,5,FALSE)</f>
        <v>18.920000000000002</v>
      </c>
      <c r="E1071" s="23">
        <f>VLOOKUP(A1071,'[11]Linea Industria'!$A$6:$G$1020,6,FALSE)</f>
        <v>22.04</v>
      </c>
      <c r="F1071" s="23">
        <f>VLOOKUP(A1071,'[11]Linea Industria'!$A$6:$G$1020,7,FALSE)</f>
        <v>24.9</v>
      </c>
    </row>
    <row r="1072" spans="1:6" x14ac:dyDescent="0.3">
      <c r="A1072" s="28" t="s">
        <v>1181</v>
      </c>
      <c r="B1072" s="43" t="s">
        <v>1153</v>
      </c>
      <c r="C1072" s="23">
        <f>VLOOKUP(A1072,'[11]Linea Industria'!$A$6:$G$1020,4,FALSE)</f>
        <v>16.739999999999998</v>
      </c>
      <c r="D1072" s="23">
        <f>VLOOKUP(A1072,'[11]Linea Industria'!$A$6:$G$1020,5,FALSE)</f>
        <v>18.920000000000002</v>
      </c>
      <c r="E1072" s="23">
        <f>VLOOKUP(A1072,'[11]Linea Industria'!$A$6:$G$1020,6,FALSE)</f>
        <v>22.04</v>
      </c>
      <c r="F1072" s="23">
        <f>VLOOKUP(A1072,'[11]Linea Industria'!$A$6:$G$1020,7,FALSE)</f>
        <v>24.9</v>
      </c>
    </row>
    <row r="1073" spans="1:6" x14ac:dyDescent="0.3">
      <c r="A1073" s="28" t="s">
        <v>1182</v>
      </c>
      <c r="B1073" s="43" t="s">
        <v>1183</v>
      </c>
      <c r="C1073" s="23">
        <f>VLOOKUP(A1073,'[11]Linea Industria'!$A$6:$G$1020,4,FALSE)</f>
        <v>16.739999999999998</v>
      </c>
      <c r="D1073" s="23">
        <f>VLOOKUP(A1073,'[11]Linea Industria'!$A$6:$G$1020,5,FALSE)</f>
        <v>18.920000000000002</v>
      </c>
      <c r="E1073" s="23">
        <f>VLOOKUP(A1073,'[11]Linea Industria'!$A$6:$G$1020,6,FALSE)</f>
        <v>22.04</v>
      </c>
      <c r="F1073" s="23">
        <f>VLOOKUP(A1073,'[11]Linea Industria'!$A$6:$G$1020,7,FALSE)</f>
        <v>24.9</v>
      </c>
    </row>
    <row r="1074" spans="1:6" x14ac:dyDescent="0.3">
      <c r="A1074" s="28" t="s">
        <v>1184</v>
      </c>
      <c r="B1074" s="43" t="s">
        <v>1185</v>
      </c>
      <c r="C1074" s="23">
        <f>VLOOKUP(A1074,'[11]Linea Industria'!$A$6:$G$1020,4,FALSE)</f>
        <v>16.739999999999998</v>
      </c>
      <c r="D1074" s="23">
        <f>VLOOKUP(A1074,'[11]Linea Industria'!$A$6:$G$1020,5,FALSE)</f>
        <v>18.920000000000002</v>
      </c>
      <c r="E1074" s="23">
        <f>VLOOKUP(A1074,'[11]Linea Industria'!$A$6:$G$1020,6,FALSE)</f>
        <v>22.04</v>
      </c>
      <c r="F1074" s="23">
        <f>VLOOKUP(A1074,'[11]Linea Industria'!$A$6:$G$1020,7,FALSE)</f>
        <v>24.9</v>
      </c>
    </row>
    <row r="1075" spans="1:6" x14ac:dyDescent="0.3">
      <c r="A1075" s="28" t="s">
        <v>1186</v>
      </c>
      <c r="B1075" s="43" t="s">
        <v>1155</v>
      </c>
      <c r="C1075" s="23">
        <f>VLOOKUP(A1075,'[11]Linea Industria'!$A$6:$G$1020,4,FALSE)</f>
        <v>16.739999999999998</v>
      </c>
      <c r="D1075" s="23">
        <f>VLOOKUP(A1075,'[11]Linea Industria'!$A$6:$G$1020,5,FALSE)</f>
        <v>18.920000000000002</v>
      </c>
      <c r="E1075" s="23">
        <f>VLOOKUP(A1075,'[11]Linea Industria'!$A$6:$G$1020,6,FALSE)</f>
        <v>22.04</v>
      </c>
      <c r="F1075" s="23">
        <f>VLOOKUP(A1075,'[11]Linea Industria'!$A$6:$G$1020,7,FALSE)</f>
        <v>24.9</v>
      </c>
    </row>
    <row r="1076" spans="1:6" x14ac:dyDescent="0.3">
      <c r="A1076" s="28" t="s">
        <v>1187</v>
      </c>
      <c r="B1076" s="43" t="s">
        <v>1188</v>
      </c>
      <c r="C1076" s="23">
        <f>VLOOKUP(A1076,'[11]Linea Industria'!$A$6:$G$1020,4,FALSE)</f>
        <v>16.739999999999998</v>
      </c>
      <c r="D1076" s="23">
        <f>VLOOKUP(A1076,'[11]Linea Industria'!$A$6:$G$1020,5,FALSE)</f>
        <v>18.920000000000002</v>
      </c>
      <c r="E1076" s="23">
        <f>VLOOKUP(A1076,'[11]Linea Industria'!$A$6:$G$1020,6,FALSE)</f>
        <v>22.04</v>
      </c>
      <c r="F1076" s="23">
        <f>VLOOKUP(A1076,'[11]Linea Industria'!$A$6:$G$1020,7,FALSE)</f>
        <v>24.9</v>
      </c>
    </row>
    <row r="1077" spans="1:6" x14ac:dyDescent="0.3">
      <c r="A1077" s="28" t="s">
        <v>1189</v>
      </c>
      <c r="B1077" s="43" t="s">
        <v>3528</v>
      </c>
      <c r="C1077" s="23">
        <f>VLOOKUP(A1077,'[11]Linea Industria'!$A$6:$G$1020,4,FALSE)</f>
        <v>16.739999999999998</v>
      </c>
      <c r="D1077" s="23">
        <f>VLOOKUP(A1077,'[11]Linea Industria'!$A$6:$G$1020,5,FALSE)</f>
        <v>18.920000000000002</v>
      </c>
      <c r="E1077" s="23">
        <f>VLOOKUP(A1077,'[11]Linea Industria'!$A$6:$G$1020,6,FALSE)</f>
        <v>22.04</v>
      </c>
      <c r="F1077" s="23">
        <f>VLOOKUP(A1077,'[11]Linea Industria'!$A$6:$G$1020,7,FALSE)</f>
        <v>24.9</v>
      </c>
    </row>
    <row r="1078" spans="1:6" x14ac:dyDescent="0.3">
      <c r="A1078" s="28" t="s">
        <v>1190</v>
      </c>
      <c r="B1078" s="43" t="s">
        <v>1159</v>
      </c>
      <c r="C1078" s="23">
        <f>VLOOKUP(A1078,'[11]Linea Industria'!$A$6:$G$1020,4,FALSE)</f>
        <v>16.739999999999998</v>
      </c>
      <c r="D1078" s="23">
        <f>VLOOKUP(A1078,'[11]Linea Industria'!$A$6:$G$1020,5,FALSE)</f>
        <v>18.920000000000002</v>
      </c>
      <c r="E1078" s="23">
        <f>VLOOKUP(A1078,'[11]Linea Industria'!$A$6:$G$1020,6,FALSE)</f>
        <v>22.04</v>
      </c>
      <c r="F1078" s="23">
        <f>VLOOKUP(A1078,'[11]Linea Industria'!$A$6:$G$1020,7,FALSE)</f>
        <v>24.9</v>
      </c>
    </row>
    <row r="1079" spans="1:6" x14ac:dyDescent="0.3">
      <c r="A1079" s="28" t="s">
        <v>1191</v>
      </c>
      <c r="B1079" s="43" t="s">
        <v>1163</v>
      </c>
      <c r="C1079" s="23">
        <f>VLOOKUP(A1079,'[11]Linea Industria'!$A$6:$G$1020,4,FALSE)</f>
        <v>16.739999999999998</v>
      </c>
      <c r="D1079" s="23">
        <f>VLOOKUP(A1079,'[11]Linea Industria'!$A$6:$G$1020,5,FALSE)</f>
        <v>18.920000000000002</v>
      </c>
      <c r="E1079" s="23">
        <f>VLOOKUP(A1079,'[11]Linea Industria'!$A$6:$G$1020,6,FALSE)</f>
        <v>22.04</v>
      </c>
      <c r="F1079" s="23">
        <f>VLOOKUP(A1079,'[11]Linea Industria'!$A$6:$G$1020,7,FALSE)</f>
        <v>24.9</v>
      </c>
    </row>
    <row r="1080" spans="1:6" x14ac:dyDescent="0.3">
      <c r="A1080" s="28" t="s">
        <v>1192</v>
      </c>
      <c r="B1080" s="43" t="s">
        <v>1165</v>
      </c>
      <c r="C1080" s="23">
        <f>VLOOKUP(A1080,'[11]Linea Industria'!$A$6:$G$1020,4,FALSE)</f>
        <v>16.739999999999998</v>
      </c>
      <c r="D1080" s="23">
        <f>VLOOKUP(A1080,'[11]Linea Industria'!$A$6:$G$1020,5,FALSE)</f>
        <v>18.920000000000002</v>
      </c>
      <c r="E1080" s="23">
        <f>VLOOKUP(A1080,'[11]Linea Industria'!$A$6:$G$1020,6,FALSE)</f>
        <v>22.04</v>
      </c>
      <c r="F1080" s="23">
        <f>VLOOKUP(A1080,'[11]Linea Industria'!$A$6:$G$1020,7,FALSE)</f>
        <v>24.9</v>
      </c>
    </row>
    <row r="1081" spans="1:6" x14ac:dyDescent="0.3">
      <c r="A1081" s="28" t="s">
        <v>1193</v>
      </c>
      <c r="B1081" s="43" t="s">
        <v>1194</v>
      </c>
      <c r="C1081" s="23">
        <f>VLOOKUP(A1081,'[11]Linea Industria'!$A$6:$G$1020,4,FALSE)</f>
        <v>16.739999999999998</v>
      </c>
      <c r="D1081" s="23">
        <f>VLOOKUP(A1081,'[11]Linea Industria'!$A$6:$G$1020,5,FALSE)</f>
        <v>18.920000000000002</v>
      </c>
      <c r="E1081" s="23">
        <f>VLOOKUP(A1081,'[11]Linea Industria'!$A$6:$G$1020,6,FALSE)</f>
        <v>22.04</v>
      </c>
      <c r="F1081" s="23">
        <f>VLOOKUP(A1081,'[11]Linea Industria'!$A$6:$G$1020,7,FALSE)</f>
        <v>24.9</v>
      </c>
    </row>
    <row r="1082" spans="1:6" x14ac:dyDescent="0.3">
      <c r="A1082" s="28" t="s">
        <v>3144</v>
      </c>
      <c r="B1082" s="43" t="s">
        <v>3526</v>
      </c>
      <c r="C1082" s="23">
        <f>VLOOKUP(A1082,'[11]Linea Industria'!$A$6:$G$1020,4,FALSE)</f>
        <v>16.739999999999998</v>
      </c>
      <c r="D1082" s="23">
        <f>VLOOKUP(A1082,'[11]Linea Industria'!$A$6:$G$1020,5,FALSE)</f>
        <v>18.920000000000002</v>
      </c>
      <c r="E1082" s="23">
        <f>VLOOKUP(A1082,'[11]Linea Industria'!$A$6:$G$1020,6,FALSE)</f>
        <v>22.04</v>
      </c>
      <c r="F1082" s="23">
        <f>VLOOKUP(A1082,'[11]Linea Industria'!$A$6:$G$1020,7,FALSE)</f>
        <v>24.9</v>
      </c>
    </row>
    <row r="1083" spans="1:6" x14ac:dyDescent="0.3">
      <c r="A1083" s="28" t="s">
        <v>3145</v>
      </c>
      <c r="B1083" s="43" t="s">
        <v>3524</v>
      </c>
      <c r="C1083" s="23">
        <f>VLOOKUP(A1083,'[11]Linea Industria'!$A$6:$G$1020,4,FALSE)</f>
        <v>16.739999999999998</v>
      </c>
      <c r="D1083" s="23">
        <f>VLOOKUP(A1083,'[11]Linea Industria'!$A$6:$G$1020,5,FALSE)</f>
        <v>18.920000000000002</v>
      </c>
      <c r="E1083" s="23">
        <f>VLOOKUP(A1083,'[11]Linea Industria'!$A$6:$G$1020,6,FALSE)</f>
        <v>22.04</v>
      </c>
      <c r="F1083" s="23">
        <f>VLOOKUP(A1083,'[11]Linea Industria'!$A$6:$G$1020,7,FALSE)</f>
        <v>24.9</v>
      </c>
    </row>
    <row r="1084" spans="1:6" x14ac:dyDescent="0.3">
      <c r="A1084" s="28" t="s">
        <v>3146</v>
      </c>
      <c r="B1084" s="43" t="s">
        <v>3525</v>
      </c>
      <c r="C1084" s="23">
        <f>VLOOKUP(A1084,'[11]Linea Industria'!$A$6:$G$1020,4,FALSE)</f>
        <v>16.739999999999998</v>
      </c>
      <c r="D1084" s="23">
        <f>VLOOKUP(A1084,'[11]Linea Industria'!$A$6:$G$1020,5,FALSE)</f>
        <v>18.920000000000002</v>
      </c>
      <c r="E1084" s="23">
        <f>VLOOKUP(A1084,'[11]Linea Industria'!$A$6:$G$1020,6,FALSE)</f>
        <v>22.04</v>
      </c>
      <c r="F1084" s="23">
        <f>VLOOKUP(A1084,'[11]Linea Industria'!$A$6:$G$1020,7,FALSE)</f>
        <v>24.9</v>
      </c>
    </row>
    <row r="1085" spans="1:6" x14ac:dyDescent="0.3">
      <c r="A1085" s="28" t="s">
        <v>3147</v>
      </c>
      <c r="B1085" s="43" t="s">
        <v>3527</v>
      </c>
      <c r="C1085" s="23">
        <f>VLOOKUP(A1085,'[11]Linea Industria'!$A$6:$G$1020,4,FALSE)</f>
        <v>16.739999999999998</v>
      </c>
      <c r="D1085" s="23">
        <f>VLOOKUP(A1085,'[11]Linea Industria'!$A$6:$G$1020,5,FALSE)</f>
        <v>18.920000000000002</v>
      </c>
      <c r="E1085" s="23">
        <f>VLOOKUP(A1085,'[11]Linea Industria'!$A$6:$G$1020,6,FALSE)</f>
        <v>22.04</v>
      </c>
      <c r="F1085" s="23">
        <f>VLOOKUP(A1085,'[11]Linea Industria'!$A$6:$G$1020,7,FALSE)</f>
        <v>24.9</v>
      </c>
    </row>
    <row r="1086" spans="1:6" x14ac:dyDescent="0.3">
      <c r="A1086" s="26" t="s">
        <v>1195</v>
      </c>
      <c r="B1086" s="43" t="s">
        <v>1196</v>
      </c>
      <c r="C1086" s="23">
        <f>VLOOKUP(A1086,'[11]Linea Industria'!$A$6:$G$1020,4,FALSE)</f>
        <v>77.349999999999994</v>
      </c>
      <c r="D1086" s="23">
        <f>VLOOKUP(A1086,'[11]Linea Industria'!$A$6:$G$1020,5,FALSE)</f>
        <v>87.4</v>
      </c>
      <c r="E1086" s="23">
        <f>VLOOKUP(A1086,'[11]Linea Industria'!$A$6:$G$1020,6,FALSE)</f>
        <v>101.77</v>
      </c>
      <c r="F1086" s="23">
        <f>VLOOKUP(A1086,'[11]Linea Industria'!$A$6:$G$1020,7,FALSE)</f>
        <v>115</v>
      </c>
    </row>
    <row r="1087" spans="1:6" x14ac:dyDescent="0.3">
      <c r="A1087" s="26" t="s">
        <v>1197</v>
      </c>
      <c r="B1087" s="43" t="s">
        <v>1149</v>
      </c>
      <c r="C1087" s="23">
        <f>VLOOKUP(A1087,'[11]Linea Industria'!$A$6:$G$1020,4,FALSE)</f>
        <v>77.349999999999994</v>
      </c>
      <c r="D1087" s="23">
        <f>VLOOKUP(A1087,'[11]Linea Industria'!$A$6:$G$1020,5,FALSE)</f>
        <v>87.4</v>
      </c>
      <c r="E1087" s="23">
        <f>VLOOKUP(A1087,'[11]Linea Industria'!$A$6:$G$1020,6,FALSE)</f>
        <v>101.77</v>
      </c>
      <c r="F1087" s="23">
        <f>VLOOKUP(A1087,'[11]Linea Industria'!$A$6:$G$1020,7,FALSE)</f>
        <v>115</v>
      </c>
    </row>
    <row r="1088" spans="1:6" x14ac:dyDescent="0.3">
      <c r="A1088" s="26" t="s">
        <v>1198</v>
      </c>
      <c r="B1088" s="43" t="s">
        <v>1159</v>
      </c>
      <c r="C1088" s="23">
        <f>VLOOKUP(A1088,'[11]Linea Industria'!$A$6:$G$1020,4,FALSE)</f>
        <v>77.349999999999994</v>
      </c>
      <c r="D1088" s="23">
        <f>VLOOKUP(A1088,'[11]Linea Industria'!$A$6:$G$1020,5,FALSE)</f>
        <v>87.4</v>
      </c>
      <c r="E1088" s="23">
        <f>VLOOKUP(A1088,'[11]Linea Industria'!$A$6:$G$1020,6,FALSE)</f>
        <v>101.77</v>
      </c>
      <c r="F1088" s="23">
        <f>VLOOKUP(A1088,'[11]Linea Industria'!$A$6:$G$1020,7,FALSE)</f>
        <v>115</v>
      </c>
    </row>
    <row r="1089" spans="1:6" x14ac:dyDescent="0.3">
      <c r="A1089" s="26" t="s">
        <v>1199</v>
      </c>
      <c r="B1089" s="43" t="s">
        <v>1163</v>
      </c>
      <c r="C1089" s="23">
        <f>VLOOKUP(A1089,'[11]Linea Industria'!$A$6:$G$1020,4,FALSE)</f>
        <v>77.349999999999994</v>
      </c>
      <c r="D1089" s="23">
        <f>VLOOKUP(A1089,'[11]Linea Industria'!$A$6:$G$1020,5,FALSE)</f>
        <v>87.4</v>
      </c>
      <c r="E1089" s="23">
        <f>VLOOKUP(A1089,'[11]Linea Industria'!$A$6:$G$1020,6,FALSE)</f>
        <v>101.77</v>
      </c>
      <c r="F1089" s="23">
        <f>VLOOKUP(A1089,'[11]Linea Industria'!$A$6:$G$1020,7,FALSE)</f>
        <v>115</v>
      </c>
    </row>
    <row r="1090" spans="1:6" x14ac:dyDescent="0.3">
      <c r="A1090" s="26" t="s">
        <v>1200</v>
      </c>
      <c r="B1090" s="43" t="s">
        <v>1161</v>
      </c>
      <c r="C1090" s="23">
        <f>VLOOKUP(A1090,'[11]Linea Industria'!$A$6:$G$1020,4,FALSE)</f>
        <v>77.349999999999994</v>
      </c>
      <c r="D1090" s="23">
        <f>VLOOKUP(A1090,'[11]Linea Industria'!$A$6:$G$1020,5,FALSE)</f>
        <v>87.4</v>
      </c>
      <c r="E1090" s="23">
        <f>VLOOKUP(A1090,'[11]Linea Industria'!$A$6:$G$1020,6,FALSE)</f>
        <v>101.77</v>
      </c>
      <c r="F1090" s="23">
        <f>VLOOKUP(A1090,'[11]Linea Industria'!$A$6:$G$1020,7,FALSE)</f>
        <v>115</v>
      </c>
    </row>
    <row r="1091" spans="1:6" x14ac:dyDescent="0.3">
      <c r="A1091" s="26" t="s">
        <v>1201</v>
      </c>
      <c r="B1091" s="43" t="s">
        <v>1202</v>
      </c>
      <c r="C1091" s="23">
        <f>VLOOKUP(A1091,'[11]Linea Industria'!$A$6:$G$1020,4,FALSE)</f>
        <v>3.96</v>
      </c>
      <c r="D1091" s="23">
        <f>VLOOKUP(A1091,'[11]Linea Industria'!$A$6:$G$1020,5,FALSE)</f>
        <v>4.4800000000000004</v>
      </c>
      <c r="E1091" s="23">
        <f>VLOOKUP(A1091,'[11]Linea Industria'!$A$6:$G$1020,6,FALSE)</f>
        <v>5.22</v>
      </c>
      <c r="F1091" s="23">
        <f>VLOOKUP(A1091,'[11]Linea Industria'!$A$6:$G$1020,7,FALSE)</f>
        <v>5.9</v>
      </c>
    </row>
    <row r="1092" spans="1:6" x14ac:dyDescent="0.3">
      <c r="A1092" s="26" t="s">
        <v>1203</v>
      </c>
      <c r="B1092" s="43" t="s">
        <v>1204</v>
      </c>
      <c r="C1092" s="23">
        <f>VLOOKUP(A1092,'[11]Linea Industria'!$A$6:$G$1020,4,FALSE)</f>
        <v>3.96</v>
      </c>
      <c r="D1092" s="23">
        <f>VLOOKUP(A1092,'[11]Linea Industria'!$A$6:$G$1020,5,FALSE)</f>
        <v>4.4800000000000004</v>
      </c>
      <c r="E1092" s="23">
        <f>VLOOKUP(A1092,'[11]Linea Industria'!$A$6:$G$1020,6,FALSE)</f>
        <v>5.22</v>
      </c>
      <c r="F1092" s="23">
        <f>VLOOKUP(A1092,'[11]Linea Industria'!$A$6:$G$1020,7,FALSE)</f>
        <v>5.9</v>
      </c>
    </row>
    <row r="1093" spans="1:6" x14ac:dyDescent="0.3">
      <c r="A1093" s="26" t="s">
        <v>1205</v>
      </c>
      <c r="B1093" s="43" t="s">
        <v>1206</v>
      </c>
      <c r="C1093" s="23">
        <f>VLOOKUP(A1093,'[11]Linea Industria'!$A$6:$G$1020,4,FALSE)</f>
        <v>3.96</v>
      </c>
      <c r="D1093" s="23">
        <f>VLOOKUP(A1093,'[11]Linea Industria'!$A$6:$G$1020,5,FALSE)</f>
        <v>4.4800000000000004</v>
      </c>
      <c r="E1093" s="23">
        <f>VLOOKUP(A1093,'[11]Linea Industria'!$A$6:$G$1020,6,FALSE)</f>
        <v>5.22</v>
      </c>
      <c r="F1093" s="23">
        <f>VLOOKUP(A1093,'[11]Linea Industria'!$A$6:$G$1020,7,FALSE)</f>
        <v>5.9</v>
      </c>
    </row>
    <row r="1094" spans="1:6" x14ac:dyDescent="0.3">
      <c r="A1094" s="26" t="s">
        <v>1207</v>
      </c>
      <c r="B1094" s="43" t="s">
        <v>1208</v>
      </c>
      <c r="C1094" s="23">
        <f>VLOOKUP(A1094,'[11]Linea Industria'!$A$6:$G$1020,4,FALSE)</f>
        <v>3.96</v>
      </c>
      <c r="D1094" s="23">
        <f>VLOOKUP(A1094,'[11]Linea Industria'!$A$6:$G$1020,5,FALSE)</f>
        <v>4.4800000000000004</v>
      </c>
      <c r="E1094" s="23">
        <f>VLOOKUP(A1094,'[11]Linea Industria'!$A$6:$G$1020,6,FALSE)</f>
        <v>5.22</v>
      </c>
      <c r="F1094" s="23">
        <f>VLOOKUP(A1094,'[11]Linea Industria'!$A$6:$G$1020,7,FALSE)</f>
        <v>5.9</v>
      </c>
    </row>
    <row r="1095" spans="1:6" x14ac:dyDescent="0.3">
      <c r="A1095" s="26" t="s">
        <v>1209</v>
      </c>
      <c r="B1095" s="43" t="s">
        <v>1210</v>
      </c>
      <c r="C1095" s="23">
        <f>VLOOKUP(A1095,'[11]Linea Industria'!$A$6:$G$1020,4,FALSE)</f>
        <v>3.96</v>
      </c>
      <c r="D1095" s="23">
        <f>VLOOKUP(A1095,'[11]Linea Industria'!$A$6:$G$1020,5,FALSE)</f>
        <v>4.4800000000000004</v>
      </c>
      <c r="E1095" s="23">
        <f>VLOOKUP(A1095,'[11]Linea Industria'!$A$6:$G$1020,6,FALSE)</f>
        <v>5.22</v>
      </c>
      <c r="F1095" s="23">
        <f>VLOOKUP(A1095,'[11]Linea Industria'!$A$6:$G$1020,7,FALSE)</f>
        <v>5.9</v>
      </c>
    </row>
    <row r="1096" spans="1:6" x14ac:dyDescent="0.3">
      <c r="A1096" s="26" t="s">
        <v>1211</v>
      </c>
      <c r="B1096" s="43" t="s">
        <v>1212</v>
      </c>
      <c r="C1096" s="23">
        <f>VLOOKUP(A1096,'[11]Linea Industria'!$A$6:$G$1020,4,FALSE)</f>
        <v>3.96</v>
      </c>
      <c r="D1096" s="23">
        <f>VLOOKUP(A1096,'[11]Linea Industria'!$A$6:$G$1020,5,FALSE)</f>
        <v>4.4800000000000004</v>
      </c>
      <c r="E1096" s="23">
        <f>VLOOKUP(A1096,'[11]Linea Industria'!$A$6:$G$1020,6,FALSE)</f>
        <v>5.22</v>
      </c>
      <c r="F1096" s="23">
        <f>VLOOKUP(A1096,'[11]Linea Industria'!$A$6:$G$1020,7,FALSE)</f>
        <v>5.9</v>
      </c>
    </row>
    <row r="1097" spans="1:6" x14ac:dyDescent="0.3">
      <c r="A1097" s="26" t="s">
        <v>1213</v>
      </c>
      <c r="B1097" s="43" t="s">
        <v>1253</v>
      </c>
      <c r="C1097" s="23">
        <f>VLOOKUP(A1097,'[11]Linea Industria'!$A$6:$G$1020,4,FALSE)</f>
        <v>3.96</v>
      </c>
      <c r="D1097" s="23">
        <f>VLOOKUP(A1097,'[11]Linea Industria'!$A$6:$G$1020,5,FALSE)</f>
        <v>4.4800000000000004</v>
      </c>
      <c r="E1097" s="23">
        <f>VLOOKUP(A1097,'[11]Linea Industria'!$A$6:$G$1020,6,FALSE)</f>
        <v>5.22</v>
      </c>
      <c r="F1097" s="23">
        <f>VLOOKUP(A1097,'[11]Linea Industria'!$A$6:$G$1020,7,FALSE)</f>
        <v>5.9</v>
      </c>
    </row>
    <row r="1098" spans="1:6" x14ac:dyDescent="0.3">
      <c r="A1098" s="26" t="s">
        <v>1214</v>
      </c>
      <c r="B1098" s="43" t="s">
        <v>1215</v>
      </c>
      <c r="C1098" s="23">
        <f>VLOOKUP(A1098,'[11]Linea Industria'!$A$6:$G$1020,4,FALSE)</f>
        <v>3.96</v>
      </c>
      <c r="D1098" s="23">
        <f>VLOOKUP(A1098,'[11]Linea Industria'!$A$6:$G$1020,5,FALSE)</f>
        <v>4.4800000000000004</v>
      </c>
      <c r="E1098" s="23">
        <f>VLOOKUP(A1098,'[11]Linea Industria'!$A$6:$G$1020,6,FALSE)</f>
        <v>5.22</v>
      </c>
      <c r="F1098" s="23">
        <f>VLOOKUP(A1098,'[11]Linea Industria'!$A$6:$G$1020,7,FALSE)</f>
        <v>5.9</v>
      </c>
    </row>
    <row r="1099" spans="1:6" x14ac:dyDescent="0.3">
      <c r="A1099" s="26" t="s">
        <v>3529</v>
      </c>
      <c r="B1099" s="43" t="s">
        <v>3530</v>
      </c>
      <c r="C1099" s="23">
        <f>VLOOKUP(A1099,'[11]Linea Industria'!$A$6:$G$1020,4,FALSE)</f>
        <v>3.96</v>
      </c>
      <c r="D1099" s="23">
        <f>VLOOKUP(A1099,'[11]Linea Industria'!$A$6:$G$1020,5,FALSE)</f>
        <v>4.4800000000000004</v>
      </c>
      <c r="E1099" s="23">
        <f>VLOOKUP(A1099,'[11]Linea Industria'!$A$6:$G$1020,6,FALSE)</f>
        <v>5.22</v>
      </c>
      <c r="F1099" s="23">
        <f>VLOOKUP(A1099,'[11]Linea Industria'!$A$6:$G$1020,7,FALSE)</f>
        <v>5.9</v>
      </c>
    </row>
    <row r="1100" spans="1:6" x14ac:dyDescent="0.3">
      <c r="A1100" s="26" t="s">
        <v>3531</v>
      </c>
      <c r="B1100" s="43" t="s">
        <v>3532</v>
      </c>
      <c r="C1100" s="23">
        <f>VLOOKUP(A1100,'[11]Linea Industria'!$A$6:$G$1020,4,FALSE)</f>
        <v>3.96</v>
      </c>
      <c r="D1100" s="23">
        <f>VLOOKUP(A1100,'[11]Linea Industria'!$A$6:$G$1020,5,FALSE)</f>
        <v>4.4800000000000004</v>
      </c>
      <c r="E1100" s="23">
        <f>VLOOKUP(A1100,'[11]Linea Industria'!$A$6:$G$1020,6,FALSE)</f>
        <v>5.22</v>
      </c>
      <c r="F1100" s="23">
        <f>VLOOKUP(A1100,'[11]Linea Industria'!$A$6:$G$1020,7,FALSE)</f>
        <v>5.9</v>
      </c>
    </row>
    <row r="1101" spans="1:6" x14ac:dyDescent="0.3">
      <c r="A1101" s="26" t="s">
        <v>3533</v>
      </c>
      <c r="B1101" s="43" t="s">
        <v>1230</v>
      </c>
      <c r="C1101" s="23">
        <f>VLOOKUP(A1101,'[11]Linea Industria'!$A$6:$G$1020,4,FALSE)</f>
        <v>3.96</v>
      </c>
      <c r="D1101" s="23">
        <f>VLOOKUP(A1101,'[11]Linea Industria'!$A$6:$G$1020,5,FALSE)</f>
        <v>4.4800000000000004</v>
      </c>
      <c r="E1101" s="23">
        <f>VLOOKUP(A1101,'[11]Linea Industria'!$A$6:$G$1020,6,FALSE)</f>
        <v>5.22</v>
      </c>
      <c r="F1101" s="23">
        <f>VLOOKUP(A1101,'[11]Linea Industria'!$A$6:$G$1020,7,FALSE)</f>
        <v>5.9</v>
      </c>
    </row>
    <row r="1102" spans="1:6" x14ac:dyDescent="0.3">
      <c r="A1102" s="26" t="s">
        <v>3534</v>
      </c>
      <c r="B1102" s="43" t="s">
        <v>1236</v>
      </c>
      <c r="C1102" s="23">
        <f>VLOOKUP(A1102,'[11]Linea Industria'!$A$6:$G$1020,4,FALSE)</f>
        <v>3.96</v>
      </c>
      <c r="D1102" s="23">
        <f>VLOOKUP(A1102,'[11]Linea Industria'!$A$6:$G$1020,5,FALSE)</f>
        <v>4.4800000000000004</v>
      </c>
      <c r="E1102" s="23">
        <f>VLOOKUP(A1102,'[11]Linea Industria'!$A$6:$G$1020,6,FALSE)</f>
        <v>5.22</v>
      </c>
      <c r="F1102" s="23">
        <f>VLOOKUP(A1102,'[11]Linea Industria'!$A$6:$G$1020,7,FALSE)</f>
        <v>5.9</v>
      </c>
    </row>
    <row r="1103" spans="1:6" x14ac:dyDescent="0.3">
      <c r="A1103" s="26" t="s">
        <v>3535</v>
      </c>
      <c r="B1103" s="43" t="s">
        <v>1245</v>
      </c>
      <c r="C1103" s="23">
        <f>VLOOKUP(A1103,'[11]Linea Industria'!$A$6:$G$1020,4,FALSE)</f>
        <v>3.96</v>
      </c>
      <c r="D1103" s="23">
        <f>VLOOKUP(A1103,'[11]Linea Industria'!$A$6:$G$1020,5,FALSE)</f>
        <v>4.4800000000000004</v>
      </c>
      <c r="E1103" s="23">
        <f>VLOOKUP(A1103,'[11]Linea Industria'!$A$6:$G$1020,6,FALSE)</f>
        <v>5.22</v>
      </c>
      <c r="F1103" s="23">
        <f>VLOOKUP(A1103,'[11]Linea Industria'!$A$6:$G$1020,7,FALSE)</f>
        <v>5.9</v>
      </c>
    </row>
    <row r="1104" spans="1:6" x14ac:dyDescent="0.3">
      <c r="A1104" s="26" t="s">
        <v>3536</v>
      </c>
      <c r="B1104" s="43" t="s">
        <v>1259</v>
      </c>
      <c r="C1104" s="23">
        <f>VLOOKUP(A1104,'[11]Linea Industria'!$A$6:$G$1020,4,FALSE)</f>
        <v>3.96</v>
      </c>
      <c r="D1104" s="23">
        <f>VLOOKUP(A1104,'[11]Linea Industria'!$A$6:$G$1020,5,FALSE)</f>
        <v>4.4800000000000004</v>
      </c>
      <c r="E1104" s="23">
        <f>VLOOKUP(A1104,'[11]Linea Industria'!$A$6:$G$1020,6,FALSE)</f>
        <v>5.22</v>
      </c>
      <c r="F1104" s="23">
        <f>VLOOKUP(A1104,'[11]Linea Industria'!$A$6:$G$1020,7,FALSE)</f>
        <v>5.9</v>
      </c>
    </row>
    <row r="1105" spans="1:6" x14ac:dyDescent="0.3">
      <c r="A1105" s="26" t="s">
        <v>3537</v>
      </c>
      <c r="B1105" s="43" t="s">
        <v>1261</v>
      </c>
      <c r="C1105" s="23">
        <f>VLOOKUP(A1105,'[11]Linea Industria'!$A$6:$G$1020,4,FALSE)</f>
        <v>3.96</v>
      </c>
      <c r="D1105" s="23">
        <f>VLOOKUP(A1105,'[11]Linea Industria'!$A$6:$G$1020,5,FALSE)</f>
        <v>4.4800000000000004</v>
      </c>
      <c r="E1105" s="23">
        <f>VLOOKUP(A1105,'[11]Linea Industria'!$A$6:$G$1020,6,FALSE)</f>
        <v>5.22</v>
      </c>
      <c r="F1105" s="23">
        <f>VLOOKUP(A1105,'[11]Linea Industria'!$A$6:$G$1020,7,FALSE)</f>
        <v>5.9</v>
      </c>
    </row>
    <row r="1106" spans="1:6" x14ac:dyDescent="0.3">
      <c r="A1106" s="26" t="s">
        <v>3538</v>
      </c>
      <c r="B1106" s="43" t="s">
        <v>1268</v>
      </c>
      <c r="C1106" s="23">
        <f>VLOOKUP(A1106,'[11]Linea Industria'!$A$6:$G$1020,4,FALSE)</f>
        <v>3.96</v>
      </c>
      <c r="D1106" s="23">
        <f>VLOOKUP(A1106,'[11]Linea Industria'!$A$6:$G$1020,5,FALSE)</f>
        <v>4.4800000000000004</v>
      </c>
      <c r="E1106" s="23">
        <f>VLOOKUP(A1106,'[11]Linea Industria'!$A$6:$G$1020,6,FALSE)</f>
        <v>5.22</v>
      </c>
      <c r="F1106" s="23">
        <f>VLOOKUP(A1106,'[11]Linea Industria'!$A$6:$G$1020,7,FALSE)</f>
        <v>5.9</v>
      </c>
    </row>
    <row r="1107" spans="1:6" x14ac:dyDescent="0.3">
      <c r="A1107" s="26" t="s">
        <v>3539</v>
      </c>
      <c r="B1107" s="43" t="s">
        <v>1263</v>
      </c>
      <c r="C1107" s="23">
        <f>VLOOKUP(A1107,'[11]Linea Industria'!$A$6:$G$1020,4,FALSE)</f>
        <v>3.96</v>
      </c>
      <c r="D1107" s="23">
        <f>VLOOKUP(A1107,'[11]Linea Industria'!$A$6:$G$1020,5,FALSE)</f>
        <v>4.4800000000000004</v>
      </c>
      <c r="E1107" s="23">
        <f>VLOOKUP(A1107,'[11]Linea Industria'!$A$6:$G$1020,6,FALSE)</f>
        <v>5.22</v>
      </c>
      <c r="F1107" s="23">
        <f>VLOOKUP(A1107,'[11]Linea Industria'!$A$6:$G$1020,7,FALSE)</f>
        <v>5.9</v>
      </c>
    </row>
    <row r="1108" spans="1:6" x14ac:dyDescent="0.3">
      <c r="A1108" s="26" t="s">
        <v>1216</v>
      </c>
      <c r="B1108" s="43" t="s">
        <v>1217</v>
      </c>
      <c r="C1108" s="23">
        <f>VLOOKUP(A1108,'[11]Linea Industria'!$A$6:$G$1020,4,FALSE)</f>
        <v>14.73</v>
      </c>
      <c r="D1108" s="23">
        <f>VLOOKUP(A1108,'[11]Linea Industria'!$A$6:$G$1020,5,FALSE)</f>
        <v>16.64</v>
      </c>
      <c r="E1108" s="23">
        <f>VLOOKUP(A1108,'[11]Linea Industria'!$A$6:$G$1020,6,FALSE)</f>
        <v>19.38</v>
      </c>
      <c r="F1108" s="23">
        <f>VLOOKUP(A1108,'[11]Linea Industria'!$A$6:$G$1020,7,FALSE)</f>
        <v>21.9</v>
      </c>
    </row>
    <row r="1109" spans="1:6" x14ac:dyDescent="0.3">
      <c r="A1109" s="26" t="s">
        <v>1218</v>
      </c>
      <c r="B1109" s="43" t="s">
        <v>1219</v>
      </c>
      <c r="C1109" s="23">
        <f>VLOOKUP(A1109,'[11]Linea Industria'!$A$6:$G$1020,4,FALSE)</f>
        <v>14.73</v>
      </c>
      <c r="D1109" s="23">
        <f>VLOOKUP(A1109,'[11]Linea Industria'!$A$6:$G$1020,5,FALSE)</f>
        <v>16.64</v>
      </c>
      <c r="E1109" s="23">
        <f>VLOOKUP(A1109,'[11]Linea Industria'!$A$6:$G$1020,6,FALSE)</f>
        <v>19.38</v>
      </c>
      <c r="F1109" s="23">
        <f>VLOOKUP(A1109,'[11]Linea Industria'!$A$6:$G$1020,7,FALSE)</f>
        <v>21.9</v>
      </c>
    </row>
    <row r="1110" spans="1:6" x14ac:dyDescent="0.3">
      <c r="A1110" s="26" t="s">
        <v>1220</v>
      </c>
      <c r="B1110" s="43" t="s">
        <v>1202</v>
      </c>
      <c r="C1110" s="23">
        <f>VLOOKUP(A1110,'[11]Linea Industria'!$A$6:$G$1020,4,FALSE)</f>
        <v>14.73</v>
      </c>
      <c r="D1110" s="23">
        <f>VLOOKUP(A1110,'[11]Linea Industria'!$A$6:$G$1020,5,FALSE)</f>
        <v>16.64</v>
      </c>
      <c r="E1110" s="23">
        <f>VLOOKUP(A1110,'[11]Linea Industria'!$A$6:$G$1020,6,FALSE)</f>
        <v>19.38</v>
      </c>
      <c r="F1110" s="23">
        <f>VLOOKUP(A1110,'[11]Linea Industria'!$A$6:$G$1020,7,FALSE)</f>
        <v>21.9</v>
      </c>
    </row>
    <row r="1111" spans="1:6" x14ac:dyDescent="0.3">
      <c r="A1111" s="26" t="s">
        <v>1221</v>
      </c>
      <c r="B1111" s="43" t="s">
        <v>1222</v>
      </c>
      <c r="C1111" s="23">
        <f>VLOOKUP(A1111,'[11]Linea Industria'!$A$6:$G$1020,4,FALSE)</f>
        <v>14.73</v>
      </c>
      <c r="D1111" s="23">
        <f>VLOOKUP(A1111,'[11]Linea Industria'!$A$6:$G$1020,5,FALSE)</f>
        <v>16.64</v>
      </c>
      <c r="E1111" s="23">
        <f>VLOOKUP(A1111,'[11]Linea Industria'!$A$6:$G$1020,6,FALSE)</f>
        <v>19.38</v>
      </c>
      <c r="F1111" s="23">
        <f>VLOOKUP(A1111,'[11]Linea Industria'!$A$6:$G$1020,7,FALSE)</f>
        <v>21.9</v>
      </c>
    </row>
    <row r="1112" spans="1:6" x14ac:dyDescent="0.3">
      <c r="A1112" s="26" t="s">
        <v>1223</v>
      </c>
      <c r="B1112" s="43" t="s">
        <v>1224</v>
      </c>
      <c r="C1112" s="23">
        <f>VLOOKUP(A1112,'[11]Linea Industria'!$A$6:$G$1020,4,FALSE)</f>
        <v>14.73</v>
      </c>
      <c r="D1112" s="23">
        <f>VLOOKUP(A1112,'[11]Linea Industria'!$A$6:$G$1020,5,FALSE)</f>
        <v>16.64</v>
      </c>
      <c r="E1112" s="23">
        <f>VLOOKUP(A1112,'[11]Linea Industria'!$A$6:$G$1020,6,FALSE)</f>
        <v>19.38</v>
      </c>
      <c r="F1112" s="23">
        <f>VLOOKUP(A1112,'[11]Linea Industria'!$A$6:$G$1020,7,FALSE)</f>
        <v>21.9</v>
      </c>
    </row>
    <row r="1113" spans="1:6" x14ac:dyDescent="0.3">
      <c r="A1113" s="26" t="s">
        <v>1225</v>
      </c>
      <c r="B1113" s="43" t="s">
        <v>1226</v>
      </c>
      <c r="C1113" s="23">
        <f>VLOOKUP(A1113,'[11]Linea Industria'!$A$6:$G$1020,4,FALSE)</f>
        <v>14.73</v>
      </c>
      <c r="D1113" s="23">
        <f>VLOOKUP(A1113,'[11]Linea Industria'!$A$6:$G$1020,5,FALSE)</f>
        <v>16.64</v>
      </c>
      <c r="E1113" s="23">
        <f>VLOOKUP(A1113,'[11]Linea Industria'!$A$6:$G$1020,6,FALSE)</f>
        <v>19.38</v>
      </c>
      <c r="F1113" s="23">
        <f>VLOOKUP(A1113,'[11]Linea Industria'!$A$6:$G$1020,7,FALSE)</f>
        <v>21.9</v>
      </c>
    </row>
    <row r="1114" spans="1:6" x14ac:dyDescent="0.3">
      <c r="A1114" s="26" t="s">
        <v>1227</v>
      </c>
      <c r="B1114" s="43" t="s">
        <v>1228</v>
      </c>
      <c r="C1114" s="23">
        <f>VLOOKUP(A1114,'[11]Linea Industria'!$A$6:$G$1020,4,FALSE)</f>
        <v>14.73</v>
      </c>
      <c r="D1114" s="23">
        <f>VLOOKUP(A1114,'[11]Linea Industria'!$A$6:$G$1020,5,FALSE)</f>
        <v>16.64</v>
      </c>
      <c r="E1114" s="23">
        <f>VLOOKUP(A1114,'[11]Linea Industria'!$A$6:$G$1020,6,FALSE)</f>
        <v>19.38</v>
      </c>
      <c r="F1114" s="23">
        <f>VLOOKUP(A1114,'[11]Linea Industria'!$A$6:$G$1020,7,FALSE)</f>
        <v>21.9</v>
      </c>
    </row>
    <row r="1115" spans="1:6" x14ac:dyDescent="0.3">
      <c r="A1115" s="26" t="s">
        <v>1229</v>
      </c>
      <c r="B1115" s="43" t="s">
        <v>1230</v>
      </c>
      <c r="C1115" s="23">
        <f>VLOOKUP(A1115,'[11]Linea Industria'!$A$6:$G$1020,4,FALSE)</f>
        <v>14.73</v>
      </c>
      <c r="D1115" s="23">
        <f>VLOOKUP(A1115,'[11]Linea Industria'!$A$6:$G$1020,5,FALSE)</f>
        <v>16.64</v>
      </c>
      <c r="E1115" s="23">
        <f>VLOOKUP(A1115,'[11]Linea Industria'!$A$6:$G$1020,6,FALSE)</f>
        <v>19.38</v>
      </c>
      <c r="F1115" s="23">
        <f>VLOOKUP(A1115,'[11]Linea Industria'!$A$6:$G$1020,7,FALSE)</f>
        <v>21.9</v>
      </c>
    </row>
    <row r="1116" spans="1:6" x14ac:dyDescent="0.3">
      <c r="A1116" s="26" t="s">
        <v>1231</v>
      </c>
      <c r="B1116" s="43" t="s">
        <v>1204</v>
      </c>
      <c r="C1116" s="23">
        <f>VLOOKUP(A1116,'[11]Linea Industria'!$A$6:$G$1020,4,FALSE)</f>
        <v>14.73</v>
      </c>
      <c r="D1116" s="23">
        <f>VLOOKUP(A1116,'[11]Linea Industria'!$A$6:$G$1020,5,FALSE)</f>
        <v>16.64</v>
      </c>
      <c r="E1116" s="23">
        <f>VLOOKUP(A1116,'[11]Linea Industria'!$A$6:$G$1020,6,FALSE)</f>
        <v>19.38</v>
      </c>
      <c r="F1116" s="23">
        <f>VLOOKUP(A1116,'[11]Linea Industria'!$A$6:$G$1020,7,FALSE)</f>
        <v>21.9</v>
      </c>
    </row>
    <row r="1117" spans="1:6" x14ac:dyDescent="0.3">
      <c r="A1117" s="26" t="s">
        <v>1232</v>
      </c>
      <c r="B1117" s="43" t="s">
        <v>1206</v>
      </c>
      <c r="C1117" s="23">
        <f>VLOOKUP(A1117,'[11]Linea Industria'!$A$6:$G$1020,4,FALSE)</f>
        <v>14.73</v>
      </c>
      <c r="D1117" s="23">
        <f>VLOOKUP(A1117,'[11]Linea Industria'!$A$6:$G$1020,5,FALSE)</f>
        <v>16.64</v>
      </c>
      <c r="E1117" s="23">
        <f>VLOOKUP(A1117,'[11]Linea Industria'!$A$6:$G$1020,6,FALSE)</f>
        <v>19.38</v>
      </c>
      <c r="F1117" s="23">
        <f>VLOOKUP(A1117,'[11]Linea Industria'!$A$6:$G$1020,7,FALSE)</f>
        <v>21.9</v>
      </c>
    </row>
    <row r="1118" spans="1:6" x14ac:dyDescent="0.3">
      <c r="A1118" s="26" t="s">
        <v>1233</v>
      </c>
      <c r="B1118" s="43" t="s">
        <v>1234</v>
      </c>
      <c r="C1118" s="23">
        <f>VLOOKUP(A1118,'[11]Linea Industria'!$A$6:$G$1020,4,FALSE)</f>
        <v>14.73</v>
      </c>
      <c r="D1118" s="23">
        <f>VLOOKUP(A1118,'[11]Linea Industria'!$A$6:$G$1020,5,FALSE)</f>
        <v>16.64</v>
      </c>
      <c r="E1118" s="23">
        <f>VLOOKUP(A1118,'[11]Linea Industria'!$A$6:$G$1020,6,FALSE)</f>
        <v>19.38</v>
      </c>
      <c r="F1118" s="23">
        <f>VLOOKUP(A1118,'[11]Linea Industria'!$A$6:$G$1020,7,FALSE)</f>
        <v>21.9</v>
      </c>
    </row>
    <row r="1119" spans="1:6" x14ac:dyDescent="0.3">
      <c r="A1119" s="26" t="s">
        <v>1235</v>
      </c>
      <c r="B1119" s="43" t="s">
        <v>1236</v>
      </c>
      <c r="C1119" s="23">
        <f>VLOOKUP(A1119,'[11]Linea Industria'!$A$6:$G$1020,4,FALSE)</f>
        <v>14.73</v>
      </c>
      <c r="D1119" s="23">
        <f>VLOOKUP(A1119,'[11]Linea Industria'!$A$6:$G$1020,5,FALSE)</f>
        <v>16.64</v>
      </c>
      <c r="E1119" s="23">
        <f>VLOOKUP(A1119,'[11]Linea Industria'!$A$6:$G$1020,6,FALSE)</f>
        <v>19.38</v>
      </c>
      <c r="F1119" s="23">
        <f>VLOOKUP(A1119,'[11]Linea Industria'!$A$6:$G$1020,7,FALSE)</f>
        <v>21.9</v>
      </c>
    </row>
    <row r="1120" spans="1:6" x14ac:dyDescent="0.3">
      <c r="A1120" s="26" t="s">
        <v>1237</v>
      </c>
      <c r="B1120" s="43" t="s">
        <v>1238</v>
      </c>
      <c r="C1120" s="23">
        <f>VLOOKUP(A1120,'[11]Linea Industria'!$A$6:$G$1020,4,FALSE)</f>
        <v>14.73</v>
      </c>
      <c r="D1120" s="23">
        <f>VLOOKUP(A1120,'[11]Linea Industria'!$A$6:$G$1020,5,FALSE)</f>
        <v>16.64</v>
      </c>
      <c r="E1120" s="23">
        <f>VLOOKUP(A1120,'[11]Linea Industria'!$A$6:$G$1020,6,FALSE)</f>
        <v>19.38</v>
      </c>
      <c r="F1120" s="23">
        <f>VLOOKUP(A1120,'[11]Linea Industria'!$A$6:$G$1020,7,FALSE)</f>
        <v>21.9</v>
      </c>
    </row>
    <row r="1121" spans="1:6" x14ac:dyDescent="0.3">
      <c r="A1121" s="26" t="s">
        <v>1239</v>
      </c>
      <c r="B1121" s="43" t="s">
        <v>1240</v>
      </c>
      <c r="C1121" s="23">
        <f>VLOOKUP(A1121,'[11]Linea Industria'!$A$6:$G$1020,4,FALSE)</f>
        <v>14.73</v>
      </c>
      <c r="D1121" s="23">
        <f>VLOOKUP(A1121,'[11]Linea Industria'!$A$6:$G$1020,5,FALSE)</f>
        <v>16.64</v>
      </c>
      <c r="E1121" s="23">
        <f>VLOOKUP(A1121,'[11]Linea Industria'!$A$6:$G$1020,6,FALSE)</f>
        <v>19.38</v>
      </c>
      <c r="F1121" s="23">
        <f>VLOOKUP(A1121,'[11]Linea Industria'!$A$6:$G$1020,7,FALSE)</f>
        <v>21.9</v>
      </c>
    </row>
    <row r="1122" spans="1:6" x14ac:dyDescent="0.3">
      <c r="A1122" s="26" t="s">
        <v>1241</v>
      </c>
      <c r="B1122" s="43" t="s">
        <v>1242</v>
      </c>
      <c r="C1122" s="23">
        <f>VLOOKUP(A1122,'[11]Linea Industria'!$A$6:$G$1020,4,FALSE)</f>
        <v>14.73</v>
      </c>
      <c r="D1122" s="23">
        <f>VLOOKUP(A1122,'[11]Linea Industria'!$A$6:$G$1020,5,FALSE)</f>
        <v>16.64</v>
      </c>
      <c r="E1122" s="23">
        <f>VLOOKUP(A1122,'[11]Linea Industria'!$A$6:$G$1020,6,FALSE)</f>
        <v>19.38</v>
      </c>
      <c r="F1122" s="23">
        <f>VLOOKUP(A1122,'[11]Linea Industria'!$A$6:$G$1020,7,FALSE)</f>
        <v>21.9</v>
      </c>
    </row>
    <row r="1123" spans="1:6" x14ac:dyDescent="0.3">
      <c r="A1123" s="26" t="s">
        <v>1243</v>
      </c>
      <c r="B1123" s="43" t="s">
        <v>1208</v>
      </c>
      <c r="C1123" s="23">
        <f>VLOOKUP(A1123,'[11]Linea Industria'!$A$6:$G$1020,4,FALSE)</f>
        <v>14.73</v>
      </c>
      <c r="D1123" s="23">
        <f>VLOOKUP(A1123,'[11]Linea Industria'!$A$6:$G$1020,5,FALSE)</f>
        <v>16.64</v>
      </c>
      <c r="E1123" s="23">
        <f>VLOOKUP(A1123,'[11]Linea Industria'!$A$6:$G$1020,6,FALSE)</f>
        <v>19.38</v>
      </c>
      <c r="F1123" s="23">
        <f>VLOOKUP(A1123,'[11]Linea Industria'!$A$6:$G$1020,7,FALSE)</f>
        <v>21.9</v>
      </c>
    </row>
    <row r="1124" spans="1:6" x14ac:dyDescent="0.3">
      <c r="A1124" s="26" t="s">
        <v>1244</v>
      </c>
      <c r="B1124" s="43" t="s">
        <v>1245</v>
      </c>
      <c r="C1124" s="23">
        <f>VLOOKUP(A1124,'[11]Linea Industria'!$A$6:$G$1020,4,FALSE)</f>
        <v>14.73</v>
      </c>
      <c r="D1124" s="23">
        <f>VLOOKUP(A1124,'[11]Linea Industria'!$A$6:$G$1020,5,FALSE)</f>
        <v>16.64</v>
      </c>
      <c r="E1124" s="23">
        <f>VLOOKUP(A1124,'[11]Linea Industria'!$A$6:$G$1020,6,FALSE)</f>
        <v>19.38</v>
      </c>
      <c r="F1124" s="23">
        <f>VLOOKUP(A1124,'[11]Linea Industria'!$A$6:$G$1020,7,FALSE)</f>
        <v>21.9</v>
      </c>
    </row>
    <row r="1125" spans="1:6" x14ac:dyDescent="0.3">
      <c r="A1125" s="26" t="s">
        <v>1246</v>
      </c>
      <c r="B1125" s="43" t="s">
        <v>1210</v>
      </c>
      <c r="C1125" s="23">
        <f>VLOOKUP(A1125,'[11]Linea Industria'!$A$6:$G$1020,4,FALSE)</f>
        <v>14.73</v>
      </c>
      <c r="D1125" s="23">
        <f>VLOOKUP(A1125,'[11]Linea Industria'!$A$6:$G$1020,5,FALSE)</f>
        <v>16.64</v>
      </c>
      <c r="E1125" s="23">
        <f>VLOOKUP(A1125,'[11]Linea Industria'!$A$6:$G$1020,6,FALSE)</f>
        <v>19.38</v>
      </c>
      <c r="F1125" s="23">
        <f>VLOOKUP(A1125,'[11]Linea Industria'!$A$6:$G$1020,7,FALSE)</f>
        <v>21.9</v>
      </c>
    </row>
    <row r="1126" spans="1:6" x14ac:dyDescent="0.3">
      <c r="A1126" s="26" t="s">
        <v>1247</v>
      </c>
      <c r="B1126" s="43" t="s">
        <v>1248</v>
      </c>
      <c r="C1126" s="23">
        <f>VLOOKUP(A1126,'[11]Linea Industria'!$A$6:$G$1020,4,FALSE)</f>
        <v>14.73</v>
      </c>
      <c r="D1126" s="23">
        <f>VLOOKUP(A1126,'[11]Linea Industria'!$A$6:$G$1020,5,FALSE)</f>
        <v>16.64</v>
      </c>
      <c r="E1126" s="23">
        <f>VLOOKUP(A1126,'[11]Linea Industria'!$A$6:$G$1020,6,FALSE)</f>
        <v>19.38</v>
      </c>
      <c r="F1126" s="23">
        <f>VLOOKUP(A1126,'[11]Linea Industria'!$A$6:$G$1020,7,FALSE)</f>
        <v>21.9</v>
      </c>
    </row>
    <row r="1127" spans="1:6" x14ac:dyDescent="0.3">
      <c r="A1127" s="26" t="s">
        <v>1249</v>
      </c>
      <c r="B1127" s="43" t="s">
        <v>1250</v>
      </c>
      <c r="C1127" s="23">
        <f>VLOOKUP(A1127,'[11]Linea Industria'!$A$6:$G$1020,4,FALSE)</f>
        <v>14.73</v>
      </c>
      <c r="D1127" s="23">
        <f>VLOOKUP(A1127,'[11]Linea Industria'!$A$6:$G$1020,5,FALSE)</f>
        <v>16.64</v>
      </c>
      <c r="E1127" s="23">
        <f>VLOOKUP(A1127,'[11]Linea Industria'!$A$6:$G$1020,6,FALSE)</f>
        <v>19.38</v>
      </c>
      <c r="F1127" s="23">
        <f>VLOOKUP(A1127,'[11]Linea Industria'!$A$6:$G$1020,7,FALSE)</f>
        <v>21.9</v>
      </c>
    </row>
    <row r="1128" spans="1:6" x14ac:dyDescent="0.3">
      <c r="A1128" s="26" t="s">
        <v>1251</v>
      </c>
      <c r="B1128" s="43" t="s">
        <v>1212</v>
      </c>
      <c r="C1128" s="23">
        <f>VLOOKUP(A1128,'[11]Linea Industria'!$A$6:$G$1020,4,FALSE)</f>
        <v>14.73</v>
      </c>
      <c r="D1128" s="23">
        <f>VLOOKUP(A1128,'[11]Linea Industria'!$A$6:$G$1020,5,FALSE)</f>
        <v>16.64</v>
      </c>
      <c r="E1128" s="23">
        <f>VLOOKUP(A1128,'[11]Linea Industria'!$A$6:$G$1020,6,FALSE)</f>
        <v>19.38</v>
      </c>
      <c r="F1128" s="23">
        <f>VLOOKUP(A1128,'[11]Linea Industria'!$A$6:$G$1020,7,FALSE)</f>
        <v>21.9</v>
      </c>
    </row>
    <row r="1129" spans="1:6" x14ac:dyDescent="0.3">
      <c r="A1129" s="26" t="s">
        <v>1252</v>
      </c>
      <c r="B1129" s="43" t="s">
        <v>1253</v>
      </c>
      <c r="C1129" s="23">
        <f>VLOOKUP(A1129,'[11]Linea Industria'!$A$6:$G$1020,4,FALSE)</f>
        <v>14.73</v>
      </c>
      <c r="D1129" s="23">
        <f>VLOOKUP(A1129,'[11]Linea Industria'!$A$6:$G$1020,5,FALSE)</f>
        <v>16.64</v>
      </c>
      <c r="E1129" s="23">
        <f>VLOOKUP(A1129,'[11]Linea Industria'!$A$6:$G$1020,6,FALSE)</f>
        <v>19.38</v>
      </c>
      <c r="F1129" s="23">
        <f>VLOOKUP(A1129,'[11]Linea Industria'!$A$6:$G$1020,7,FALSE)</f>
        <v>21.9</v>
      </c>
    </row>
    <row r="1130" spans="1:6" x14ac:dyDescent="0.3">
      <c r="A1130" s="26" t="s">
        <v>1254</v>
      </c>
      <c r="B1130" s="43" t="s">
        <v>1255</v>
      </c>
      <c r="C1130" s="23">
        <f>VLOOKUP(A1130,'[11]Linea Industria'!$A$6:$G$1020,4,FALSE)</f>
        <v>14.73</v>
      </c>
      <c r="D1130" s="23">
        <f>VLOOKUP(A1130,'[11]Linea Industria'!$A$6:$G$1020,5,FALSE)</f>
        <v>16.64</v>
      </c>
      <c r="E1130" s="23">
        <f>VLOOKUP(A1130,'[11]Linea Industria'!$A$6:$G$1020,6,FALSE)</f>
        <v>19.38</v>
      </c>
      <c r="F1130" s="23">
        <f>VLOOKUP(A1130,'[11]Linea Industria'!$A$6:$G$1020,7,FALSE)</f>
        <v>21.9</v>
      </c>
    </row>
    <row r="1131" spans="1:6" x14ac:dyDescent="0.3">
      <c r="A1131" s="26" t="s">
        <v>1256</v>
      </c>
      <c r="B1131" s="43" t="s">
        <v>1257</v>
      </c>
      <c r="C1131" s="23">
        <f>VLOOKUP(A1131,'[11]Linea Industria'!$A$6:$G$1020,4,FALSE)</f>
        <v>14.73</v>
      </c>
      <c r="D1131" s="23">
        <f>VLOOKUP(A1131,'[11]Linea Industria'!$A$6:$G$1020,5,FALSE)</f>
        <v>16.64</v>
      </c>
      <c r="E1131" s="23">
        <f>VLOOKUP(A1131,'[11]Linea Industria'!$A$6:$G$1020,6,FALSE)</f>
        <v>19.38</v>
      </c>
      <c r="F1131" s="23">
        <f>VLOOKUP(A1131,'[11]Linea Industria'!$A$6:$G$1020,7,FALSE)</f>
        <v>21.9</v>
      </c>
    </row>
    <row r="1132" spans="1:6" x14ac:dyDescent="0.3">
      <c r="A1132" s="26" t="s">
        <v>1258</v>
      </c>
      <c r="B1132" s="43" t="s">
        <v>1259</v>
      </c>
      <c r="C1132" s="23">
        <f>VLOOKUP(A1132,'[11]Linea Industria'!$A$6:$G$1020,4,FALSE)</f>
        <v>14.73</v>
      </c>
      <c r="D1132" s="23">
        <f>VLOOKUP(A1132,'[11]Linea Industria'!$A$6:$G$1020,5,FALSE)</f>
        <v>16.64</v>
      </c>
      <c r="E1132" s="23">
        <f>VLOOKUP(A1132,'[11]Linea Industria'!$A$6:$G$1020,6,FALSE)</f>
        <v>19.38</v>
      </c>
      <c r="F1132" s="23">
        <f>VLOOKUP(A1132,'[11]Linea Industria'!$A$6:$G$1020,7,FALSE)</f>
        <v>21.9</v>
      </c>
    </row>
    <row r="1133" spans="1:6" x14ac:dyDescent="0.3">
      <c r="A1133" s="26" t="s">
        <v>1260</v>
      </c>
      <c r="B1133" s="43" t="s">
        <v>1261</v>
      </c>
      <c r="C1133" s="23">
        <f>VLOOKUP(A1133,'[11]Linea Industria'!$A$6:$G$1020,4,FALSE)</f>
        <v>14.73</v>
      </c>
      <c r="D1133" s="23">
        <f>VLOOKUP(A1133,'[11]Linea Industria'!$A$6:$G$1020,5,FALSE)</f>
        <v>16.64</v>
      </c>
      <c r="E1133" s="23">
        <f>VLOOKUP(A1133,'[11]Linea Industria'!$A$6:$G$1020,6,FALSE)</f>
        <v>19.38</v>
      </c>
      <c r="F1133" s="23">
        <f>VLOOKUP(A1133,'[11]Linea Industria'!$A$6:$G$1020,7,FALSE)</f>
        <v>21.9</v>
      </c>
    </row>
    <row r="1134" spans="1:6" x14ac:dyDescent="0.3">
      <c r="A1134" s="26" t="s">
        <v>1262</v>
      </c>
      <c r="B1134" s="43" t="s">
        <v>1263</v>
      </c>
      <c r="C1134" s="23">
        <f>VLOOKUP(A1134,'[11]Linea Industria'!$A$6:$G$1020,4,FALSE)</f>
        <v>14.73</v>
      </c>
      <c r="D1134" s="23">
        <f>VLOOKUP(A1134,'[11]Linea Industria'!$A$6:$G$1020,5,FALSE)</f>
        <v>16.64</v>
      </c>
      <c r="E1134" s="23">
        <f>VLOOKUP(A1134,'[11]Linea Industria'!$A$6:$G$1020,6,FALSE)</f>
        <v>19.38</v>
      </c>
      <c r="F1134" s="23">
        <f>VLOOKUP(A1134,'[11]Linea Industria'!$A$6:$G$1020,7,FALSE)</f>
        <v>21.9</v>
      </c>
    </row>
    <row r="1135" spans="1:6" x14ac:dyDescent="0.3">
      <c r="A1135" s="26" t="s">
        <v>1264</v>
      </c>
      <c r="B1135" s="43" t="s">
        <v>1265</v>
      </c>
      <c r="C1135" s="23">
        <f>VLOOKUP(A1135,'[11]Linea Industria'!$A$6:$G$1020,4,FALSE)</f>
        <v>14.73</v>
      </c>
      <c r="D1135" s="23">
        <f>VLOOKUP(A1135,'[11]Linea Industria'!$A$6:$G$1020,5,FALSE)</f>
        <v>16.64</v>
      </c>
      <c r="E1135" s="23">
        <f>VLOOKUP(A1135,'[11]Linea Industria'!$A$6:$G$1020,6,FALSE)</f>
        <v>19.38</v>
      </c>
      <c r="F1135" s="23">
        <f>VLOOKUP(A1135,'[11]Linea Industria'!$A$6:$G$1020,7,FALSE)</f>
        <v>21.9</v>
      </c>
    </row>
    <row r="1136" spans="1:6" x14ac:dyDescent="0.3">
      <c r="A1136" s="26" t="s">
        <v>1266</v>
      </c>
      <c r="B1136" s="43" t="s">
        <v>1215</v>
      </c>
      <c r="C1136" s="23">
        <f>VLOOKUP(A1136,'[11]Linea Industria'!$A$6:$G$1020,4,FALSE)</f>
        <v>14.73</v>
      </c>
      <c r="D1136" s="23">
        <f>VLOOKUP(A1136,'[11]Linea Industria'!$A$6:$G$1020,5,FALSE)</f>
        <v>16.64</v>
      </c>
      <c r="E1136" s="23">
        <f>VLOOKUP(A1136,'[11]Linea Industria'!$A$6:$G$1020,6,FALSE)</f>
        <v>19.38</v>
      </c>
      <c r="F1136" s="23">
        <f>VLOOKUP(A1136,'[11]Linea Industria'!$A$6:$G$1020,7,FALSE)</f>
        <v>21.9</v>
      </c>
    </row>
    <row r="1137" spans="1:6" x14ac:dyDescent="0.3">
      <c r="A1137" s="26" t="s">
        <v>1267</v>
      </c>
      <c r="B1137" s="43" t="s">
        <v>1268</v>
      </c>
      <c r="C1137" s="23">
        <f>VLOOKUP(A1137,'[11]Linea Industria'!$A$6:$G$1020,4,FALSE)</f>
        <v>14.73</v>
      </c>
      <c r="D1137" s="23">
        <f>VLOOKUP(A1137,'[11]Linea Industria'!$A$6:$G$1020,5,FALSE)</f>
        <v>16.64</v>
      </c>
      <c r="E1137" s="23">
        <f>VLOOKUP(A1137,'[11]Linea Industria'!$A$6:$G$1020,6,FALSE)</f>
        <v>19.38</v>
      </c>
      <c r="F1137" s="23">
        <f>VLOOKUP(A1137,'[11]Linea Industria'!$A$6:$G$1020,7,FALSE)</f>
        <v>21.9</v>
      </c>
    </row>
    <row r="1138" spans="1:6" x14ac:dyDescent="0.3">
      <c r="A1138" s="28" t="s">
        <v>1269</v>
      </c>
      <c r="B1138" s="43" t="s">
        <v>1222</v>
      </c>
      <c r="C1138" s="23">
        <f>VLOOKUP(A1138,'[11]Linea Industria'!$A$6:$G$1020,4,FALSE)</f>
        <v>63.15</v>
      </c>
      <c r="D1138" s="23">
        <f>VLOOKUP(A1138,'[11]Linea Industria'!$A$6:$G$1020,5,FALSE)</f>
        <v>71.36</v>
      </c>
      <c r="E1138" s="23">
        <f>VLOOKUP(A1138,'[11]Linea Industria'!$A$6:$G$1020,6,FALSE)</f>
        <v>83.1</v>
      </c>
      <c r="F1138" s="23">
        <f>VLOOKUP(A1138,'[11]Linea Industria'!$A$6:$G$1020,7,FALSE)</f>
        <v>93.9</v>
      </c>
    </row>
    <row r="1139" spans="1:6" x14ac:dyDescent="0.3">
      <c r="A1139" s="28" t="s">
        <v>1270</v>
      </c>
      <c r="B1139" s="43" t="s">
        <v>1226</v>
      </c>
      <c r="C1139" s="23">
        <f>VLOOKUP(A1139,'[11]Linea Industria'!$A$6:$G$1020,4,FALSE)</f>
        <v>63.15</v>
      </c>
      <c r="D1139" s="23">
        <f>VLOOKUP(A1139,'[11]Linea Industria'!$A$6:$G$1020,5,FALSE)</f>
        <v>71.36</v>
      </c>
      <c r="E1139" s="23">
        <f>VLOOKUP(A1139,'[11]Linea Industria'!$A$6:$G$1020,6,FALSE)</f>
        <v>83.1</v>
      </c>
      <c r="F1139" s="23">
        <f>VLOOKUP(A1139,'[11]Linea Industria'!$A$6:$G$1020,7,FALSE)</f>
        <v>93.9</v>
      </c>
    </row>
    <row r="1140" spans="1:6" x14ac:dyDescent="0.3">
      <c r="A1140" s="28" t="s">
        <v>1271</v>
      </c>
      <c r="B1140" s="43" t="s">
        <v>1236</v>
      </c>
      <c r="C1140" s="23">
        <f>VLOOKUP(A1140,'[11]Linea Industria'!$A$6:$G$1020,4,FALSE)</f>
        <v>63.15</v>
      </c>
      <c r="D1140" s="23">
        <f>VLOOKUP(A1140,'[11]Linea Industria'!$A$6:$G$1020,5,FALSE)</f>
        <v>71.36</v>
      </c>
      <c r="E1140" s="23">
        <f>VLOOKUP(A1140,'[11]Linea Industria'!$A$6:$G$1020,6,FALSE)</f>
        <v>83.1</v>
      </c>
      <c r="F1140" s="23">
        <f>VLOOKUP(A1140,'[11]Linea Industria'!$A$6:$G$1020,7,FALSE)</f>
        <v>93.9</v>
      </c>
    </row>
    <row r="1141" spans="1:6" x14ac:dyDescent="0.3">
      <c r="A1141" s="28" t="s">
        <v>1272</v>
      </c>
      <c r="B1141" s="43" t="s">
        <v>1238</v>
      </c>
      <c r="C1141" s="23">
        <f>VLOOKUP(A1141,'[11]Linea Industria'!$A$6:$G$1020,4,FALSE)</f>
        <v>63.15</v>
      </c>
      <c r="D1141" s="23">
        <f>VLOOKUP(A1141,'[11]Linea Industria'!$A$6:$G$1020,5,FALSE)</f>
        <v>71.36</v>
      </c>
      <c r="E1141" s="23">
        <f>VLOOKUP(A1141,'[11]Linea Industria'!$A$6:$G$1020,6,FALSE)</f>
        <v>83.1</v>
      </c>
      <c r="F1141" s="23">
        <f>VLOOKUP(A1141,'[11]Linea Industria'!$A$6:$G$1020,7,FALSE)</f>
        <v>93.9</v>
      </c>
    </row>
    <row r="1142" spans="1:6" x14ac:dyDescent="0.3">
      <c r="A1142" s="28" t="s">
        <v>1273</v>
      </c>
      <c r="B1142" s="43" t="s">
        <v>1240</v>
      </c>
      <c r="C1142" s="23">
        <f>VLOOKUP(A1142,'[11]Linea Industria'!$A$6:$G$1020,4,FALSE)</f>
        <v>63.15</v>
      </c>
      <c r="D1142" s="23">
        <f>VLOOKUP(A1142,'[11]Linea Industria'!$A$6:$G$1020,5,FALSE)</f>
        <v>71.36</v>
      </c>
      <c r="E1142" s="23">
        <f>VLOOKUP(A1142,'[11]Linea Industria'!$A$6:$G$1020,6,FALSE)</f>
        <v>83.1</v>
      </c>
      <c r="F1142" s="23">
        <f>VLOOKUP(A1142,'[11]Linea Industria'!$A$6:$G$1020,7,FALSE)</f>
        <v>93.9</v>
      </c>
    </row>
    <row r="1143" spans="1:6" x14ac:dyDescent="0.3">
      <c r="A1143" s="28" t="s">
        <v>1274</v>
      </c>
      <c r="B1143" s="43" t="s">
        <v>1242</v>
      </c>
      <c r="C1143" s="23">
        <f>VLOOKUP(A1143,'[11]Linea Industria'!$A$6:$G$1020,4,FALSE)</f>
        <v>63.15</v>
      </c>
      <c r="D1143" s="23">
        <f>VLOOKUP(A1143,'[11]Linea Industria'!$A$6:$G$1020,5,FALSE)</f>
        <v>71.36</v>
      </c>
      <c r="E1143" s="23">
        <f>VLOOKUP(A1143,'[11]Linea Industria'!$A$6:$G$1020,6,FALSE)</f>
        <v>83.1</v>
      </c>
      <c r="F1143" s="23">
        <f>VLOOKUP(A1143,'[11]Linea Industria'!$A$6:$G$1020,7,FALSE)</f>
        <v>93.9</v>
      </c>
    </row>
    <row r="1144" spans="1:6" x14ac:dyDescent="0.3">
      <c r="A1144" s="28" t="s">
        <v>1275</v>
      </c>
      <c r="B1144" s="43" t="s">
        <v>1208</v>
      </c>
      <c r="C1144" s="23">
        <f>VLOOKUP(A1144,'[11]Linea Industria'!$A$6:$G$1020,4,FALSE)</f>
        <v>63.15</v>
      </c>
      <c r="D1144" s="23">
        <f>VLOOKUP(A1144,'[11]Linea Industria'!$A$6:$G$1020,5,FALSE)</f>
        <v>71.36</v>
      </c>
      <c r="E1144" s="23">
        <f>VLOOKUP(A1144,'[11]Linea Industria'!$A$6:$G$1020,6,FALSE)</f>
        <v>83.1</v>
      </c>
      <c r="F1144" s="23">
        <f>VLOOKUP(A1144,'[11]Linea Industria'!$A$6:$G$1020,7,FALSE)</f>
        <v>93.9</v>
      </c>
    </row>
    <row r="1145" spans="1:6" x14ac:dyDescent="0.3">
      <c r="A1145" s="28" t="s">
        <v>1276</v>
      </c>
      <c r="B1145" s="43" t="s">
        <v>1245</v>
      </c>
      <c r="C1145" s="23">
        <f>VLOOKUP(A1145,'[11]Linea Industria'!$A$6:$G$1020,4,FALSE)</f>
        <v>63.15</v>
      </c>
      <c r="D1145" s="23">
        <f>VLOOKUP(A1145,'[11]Linea Industria'!$A$6:$G$1020,5,FALSE)</f>
        <v>71.36</v>
      </c>
      <c r="E1145" s="23">
        <f>VLOOKUP(A1145,'[11]Linea Industria'!$A$6:$G$1020,6,FALSE)</f>
        <v>83.1</v>
      </c>
      <c r="F1145" s="23">
        <f>VLOOKUP(A1145,'[11]Linea Industria'!$A$6:$G$1020,7,FALSE)</f>
        <v>93.9</v>
      </c>
    </row>
    <row r="1146" spans="1:6" x14ac:dyDescent="0.3">
      <c r="A1146" s="28" t="s">
        <v>1277</v>
      </c>
      <c r="B1146" s="43" t="s">
        <v>1210</v>
      </c>
      <c r="C1146" s="23">
        <f>VLOOKUP(A1146,'[11]Linea Industria'!$A$6:$G$1020,4,FALSE)</f>
        <v>63.15</v>
      </c>
      <c r="D1146" s="23">
        <f>VLOOKUP(A1146,'[11]Linea Industria'!$A$6:$G$1020,5,FALSE)</f>
        <v>71.36</v>
      </c>
      <c r="E1146" s="23">
        <f>VLOOKUP(A1146,'[11]Linea Industria'!$A$6:$G$1020,6,FALSE)</f>
        <v>83.1</v>
      </c>
      <c r="F1146" s="23">
        <f>VLOOKUP(A1146,'[11]Linea Industria'!$A$6:$G$1020,7,FALSE)</f>
        <v>93.9</v>
      </c>
    </row>
    <row r="1147" spans="1:6" x14ac:dyDescent="0.3">
      <c r="A1147" s="28" t="s">
        <v>1278</v>
      </c>
      <c r="B1147" s="43" t="s">
        <v>1248</v>
      </c>
      <c r="C1147" s="23">
        <f>VLOOKUP(A1147,'[11]Linea Industria'!$A$6:$G$1020,4,FALSE)</f>
        <v>63.15</v>
      </c>
      <c r="D1147" s="23">
        <f>VLOOKUP(A1147,'[11]Linea Industria'!$A$6:$G$1020,5,FALSE)</f>
        <v>71.36</v>
      </c>
      <c r="E1147" s="23">
        <f>VLOOKUP(A1147,'[11]Linea Industria'!$A$6:$G$1020,6,FALSE)</f>
        <v>83.1</v>
      </c>
      <c r="F1147" s="23">
        <f>VLOOKUP(A1147,'[11]Linea Industria'!$A$6:$G$1020,7,FALSE)</f>
        <v>93.9</v>
      </c>
    </row>
    <row r="1148" spans="1:6" x14ac:dyDescent="0.3">
      <c r="A1148" s="28" t="s">
        <v>1279</v>
      </c>
      <c r="B1148" s="43" t="s">
        <v>1212</v>
      </c>
      <c r="C1148" s="23">
        <f>VLOOKUP(A1148,'[11]Linea Industria'!$A$6:$G$1020,4,FALSE)</f>
        <v>63.15</v>
      </c>
      <c r="D1148" s="23">
        <f>VLOOKUP(A1148,'[11]Linea Industria'!$A$6:$G$1020,5,FALSE)</f>
        <v>71.36</v>
      </c>
      <c r="E1148" s="23">
        <f>VLOOKUP(A1148,'[11]Linea Industria'!$A$6:$G$1020,6,FALSE)</f>
        <v>83.1</v>
      </c>
      <c r="F1148" s="23">
        <f>VLOOKUP(A1148,'[11]Linea Industria'!$A$6:$G$1020,7,FALSE)</f>
        <v>93.9</v>
      </c>
    </row>
    <row r="1149" spans="1:6" x14ac:dyDescent="0.3">
      <c r="A1149" s="28" t="s">
        <v>1280</v>
      </c>
      <c r="B1149" s="43" t="s">
        <v>1253</v>
      </c>
      <c r="C1149" s="23">
        <f>VLOOKUP(A1149,'[11]Linea Industria'!$A$6:$G$1020,4,FALSE)</f>
        <v>63.15</v>
      </c>
      <c r="D1149" s="23">
        <f>VLOOKUP(A1149,'[11]Linea Industria'!$A$6:$G$1020,5,FALSE)</f>
        <v>71.36</v>
      </c>
      <c r="E1149" s="23">
        <f>VLOOKUP(A1149,'[11]Linea Industria'!$A$6:$G$1020,6,FALSE)</f>
        <v>83.1</v>
      </c>
      <c r="F1149" s="23">
        <f>VLOOKUP(A1149,'[11]Linea Industria'!$A$6:$G$1020,7,FALSE)</f>
        <v>93.9</v>
      </c>
    </row>
    <row r="1150" spans="1:6" x14ac:dyDescent="0.3">
      <c r="A1150" s="28" t="s">
        <v>1281</v>
      </c>
      <c r="B1150" s="43" t="s">
        <v>1261</v>
      </c>
      <c r="C1150" s="23">
        <f>VLOOKUP(A1150,'[11]Linea Industria'!$A$6:$G$1020,4,FALSE)</f>
        <v>63.15</v>
      </c>
      <c r="D1150" s="23">
        <f>VLOOKUP(A1150,'[11]Linea Industria'!$A$6:$G$1020,5,FALSE)</f>
        <v>71.36</v>
      </c>
      <c r="E1150" s="23">
        <f>VLOOKUP(A1150,'[11]Linea Industria'!$A$6:$G$1020,6,FALSE)</f>
        <v>83.1</v>
      </c>
      <c r="F1150" s="23">
        <f>VLOOKUP(A1150,'[11]Linea Industria'!$A$6:$G$1020,7,FALSE)</f>
        <v>93.9</v>
      </c>
    </row>
    <row r="1151" spans="1:6" x14ac:dyDescent="0.3">
      <c r="A1151" s="28" t="s">
        <v>1282</v>
      </c>
      <c r="B1151" s="43" t="s">
        <v>1215</v>
      </c>
      <c r="C1151" s="23">
        <f>VLOOKUP(A1151,'[11]Linea Industria'!$A$6:$G$1020,4,FALSE)</f>
        <v>63.15</v>
      </c>
      <c r="D1151" s="23">
        <f>VLOOKUP(A1151,'[11]Linea Industria'!$A$6:$G$1020,5,FALSE)</f>
        <v>71.36</v>
      </c>
      <c r="E1151" s="23">
        <f>VLOOKUP(A1151,'[11]Linea Industria'!$A$6:$G$1020,6,FALSE)</f>
        <v>83.1</v>
      </c>
      <c r="F1151" s="23">
        <f>VLOOKUP(A1151,'[11]Linea Industria'!$A$6:$G$1020,7,FALSE)</f>
        <v>93.9</v>
      </c>
    </row>
    <row r="1152" spans="1:6" x14ac:dyDescent="0.3">
      <c r="A1152" s="28" t="s">
        <v>1283</v>
      </c>
      <c r="B1152" s="43" t="s">
        <v>1268</v>
      </c>
      <c r="C1152" s="23">
        <f>VLOOKUP(A1152,'[11]Linea Industria'!$A$6:$G$1020,4,FALSE)</f>
        <v>63.15</v>
      </c>
      <c r="D1152" s="23">
        <f>VLOOKUP(A1152,'[11]Linea Industria'!$A$6:$G$1020,5,FALSE)</f>
        <v>71.36</v>
      </c>
      <c r="E1152" s="23">
        <f>VLOOKUP(A1152,'[11]Linea Industria'!$A$6:$G$1020,6,FALSE)</f>
        <v>83.1</v>
      </c>
      <c r="F1152" s="23">
        <f>VLOOKUP(A1152,'[11]Linea Industria'!$A$6:$G$1020,7,FALSE)</f>
        <v>93.9</v>
      </c>
    </row>
    <row r="1153" spans="1:6" x14ac:dyDescent="0.3">
      <c r="A1153" s="28" t="s">
        <v>1284</v>
      </c>
      <c r="B1153" s="43" t="s">
        <v>1263</v>
      </c>
      <c r="C1153" s="23">
        <f>VLOOKUP(A1153,'[11]Linea Industria'!$A$6:$G$1020,4,FALSE)</f>
        <v>63.15</v>
      </c>
      <c r="D1153" s="23">
        <f>VLOOKUP(A1153,'[11]Linea Industria'!$A$6:$G$1020,5,FALSE)</f>
        <v>71.36</v>
      </c>
      <c r="E1153" s="23">
        <f>VLOOKUP(A1153,'[11]Linea Industria'!$A$6:$G$1020,6,FALSE)</f>
        <v>83.1</v>
      </c>
      <c r="F1153" s="23">
        <f>VLOOKUP(A1153,'[11]Linea Industria'!$A$6:$G$1020,7,FALSE)</f>
        <v>93.9</v>
      </c>
    </row>
    <row r="1154" spans="1:6" x14ac:dyDescent="0.3">
      <c r="A1154" s="28" t="s">
        <v>1285</v>
      </c>
      <c r="B1154" s="43" t="s">
        <v>1265</v>
      </c>
      <c r="C1154" s="23">
        <f>VLOOKUP(A1154,'[11]Linea Industria'!$A$6:$G$1020,4,FALSE)</f>
        <v>63.15</v>
      </c>
      <c r="D1154" s="23">
        <f>VLOOKUP(A1154,'[11]Linea Industria'!$A$6:$G$1020,5,FALSE)</f>
        <v>71.36</v>
      </c>
      <c r="E1154" s="23">
        <f>VLOOKUP(A1154,'[11]Linea Industria'!$A$6:$G$1020,6,FALSE)</f>
        <v>83.1</v>
      </c>
      <c r="F1154" s="23">
        <f>VLOOKUP(A1154,'[11]Linea Industria'!$A$6:$G$1020,7,FALSE)</f>
        <v>93.9</v>
      </c>
    </row>
    <row r="1155" spans="1:6" x14ac:dyDescent="0.3">
      <c r="A1155" s="28" t="s">
        <v>1286</v>
      </c>
      <c r="B1155" s="43" t="s">
        <v>1228</v>
      </c>
      <c r="C1155" s="23">
        <f>VLOOKUP(A1155,'[11]Linea Industria'!$A$6:$G$1020,4,FALSE)</f>
        <v>63.15</v>
      </c>
      <c r="D1155" s="23">
        <f>VLOOKUP(A1155,'[11]Linea Industria'!$A$6:$G$1020,5,FALSE)</f>
        <v>71.36</v>
      </c>
      <c r="E1155" s="23">
        <f>VLOOKUP(A1155,'[11]Linea Industria'!$A$6:$G$1020,6,FALSE)</f>
        <v>83.1</v>
      </c>
      <c r="F1155" s="23">
        <f>VLOOKUP(A1155,'[11]Linea Industria'!$A$6:$G$1020,7,FALSE)</f>
        <v>93.9</v>
      </c>
    </row>
    <row r="1156" spans="1:6" x14ac:dyDescent="0.3">
      <c r="A1156" s="26" t="s">
        <v>1287</v>
      </c>
      <c r="B1156" s="43" t="s">
        <v>1288</v>
      </c>
      <c r="C1156" s="23">
        <f>VLOOKUP(A1156,'[11]Linea Industria'!$A$6:$G$1020,4,FALSE)</f>
        <v>32.81</v>
      </c>
      <c r="D1156" s="23">
        <f>VLOOKUP(A1156,'[11]Linea Industria'!$A$6:$G$1020,5,FALSE)</f>
        <v>37.08</v>
      </c>
      <c r="E1156" s="23">
        <f>VLOOKUP(A1156,'[11]Linea Industria'!$A$6:$G$1020,6,FALSE)</f>
        <v>45.58</v>
      </c>
      <c r="F1156" s="23">
        <f>VLOOKUP(A1156,'[11]Linea Industria'!$A$6:$G$1020,7,FALSE)</f>
        <v>51.5</v>
      </c>
    </row>
    <row r="1157" spans="1:6" x14ac:dyDescent="0.3">
      <c r="A1157" s="26" t="s">
        <v>1289</v>
      </c>
      <c r="B1157" s="43" t="s">
        <v>1290</v>
      </c>
      <c r="C1157" s="23">
        <f>VLOOKUP(A1157,'[11]Linea Industria'!$A$6:$G$1020,4,FALSE)</f>
        <v>32.81</v>
      </c>
      <c r="D1157" s="23">
        <f>VLOOKUP(A1157,'[11]Linea Industria'!$A$6:$G$1020,5,FALSE)</f>
        <v>37.08</v>
      </c>
      <c r="E1157" s="23">
        <f>VLOOKUP(A1157,'[11]Linea Industria'!$A$6:$G$1020,6,FALSE)</f>
        <v>45.58</v>
      </c>
      <c r="F1157" s="23">
        <f>VLOOKUP(A1157,'[11]Linea Industria'!$A$6:$G$1020,7,FALSE)</f>
        <v>51.5</v>
      </c>
    </row>
    <row r="1158" spans="1:6" x14ac:dyDescent="0.3">
      <c r="A1158" s="26" t="s">
        <v>1291</v>
      </c>
      <c r="B1158" s="43" t="s">
        <v>1292</v>
      </c>
      <c r="C1158" s="23">
        <f>VLOOKUP(A1158,'[11]Linea Industria'!$A$6:$G$1020,4,FALSE)</f>
        <v>32.81</v>
      </c>
      <c r="D1158" s="23">
        <f>VLOOKUP(A1158,'[11]Linea Industria'!$A$6:$G$1020,5,FALSE)</f>
        <v>37.08</v>
      </c>
      <c r="E1158" s="23">
        <f>VLOOKUP(A1158,'[11]Linea Industria'!$A$6:$G$1020,6,FALSE)</f>
        <v>45.58</v>
      </c>
      <c r="F1158" s="23">
        <f>VLOOKUP(A1158,'[11]Linea Industria'!$A$6:$G$1020,7,FALSE)</f>
        <v>51.5</v>
      </c>
    </row>
    <row r="1159" spans="1:6" x14ac:dyDescent="0.3">
      <c r="A1159" s="26" t="s">
        <v>1293</v>
      </c>
      <c r="B1159" s="43" t="s">
        <v>1294</v>
      </c>
      <c r="C1159" s="23">
        <f>VLOOKUP(A1159,'[11]Linea Industria'!$A$6:$G$1020,4,FALSE)</f>
        <v>32.81</v>
      </c>
      <c r="D1159" s="23">
        <f>VLOOKUP(A1159,'[11]Linea Industria'!$A$6:$G$1020,5,FALSE)</f>
        <v>37.08</v>
      </c>
      <c r="E1159" s="23">
        <f>VLOOKUP(A1159,'[11]Linea Industria'!$A$6:$G$1020,6,FALSE)</f>
        <v>45.58</v>
      </c>
      <c r="F1159" s="23">
        <f>VLOOKUP(A1159,'[11]Linea Industria'!$A$6:$G$1020,7,FALSE)</f>
        <v>51.5</v>
      </c>
    </row>
    <row r="1160" spans="1:6" x14ac:dyDescent="0.3">
      <c r="A1160" s="26" t="s">
        <v>1295</v>
      </c>
      <c r="B1160" s="43" t="s">
        <v>1296</v>
      </c>
      <c r="C1160" s="23">
        <f>VLOOKUP(A1160,'[11]Linea Industria'!$A$6:$G$1020,4,FALSE)</f>
        <v>32.81</v>
      </c>
      <c r="D1160" s="23">
        <f>VLOOKUP(A1160,'[11]Linea Industria'!$A$6:$G$1020,5,FALSE)</f>
        <v>37.08</v>
      </c>
      <c r="E1160" s="23">
        <f>VLOOKUP(A1160,'[11]Linea Industria'!$A$6:$G$1020,6,FALSE)</f>
        <v>45.58</v>
      </c>
      <c r="F1160" s="23">
        <f>VLOOKUP(A1160,'[11]Linea Industria'!$A$6:$G$1020,7,FALSE)</f>
        <v>51.5</v>
      </c>
    </row>
    <row r="1161" spans="1:6" x14ac:dyDescent="0.3">
      <c r="A1161" s="26" t="s">
        <v>1297</v>
      </c>
      <c r="B1161" s="43" t="s">
        <v>1298</v>
      </c>
      <c r="C1161" s="23">
        <f>VLOOKUP(A1161,'[11]Linea Industria'!$A$6:$G$1020,4,FALSE)</f>
        <v>32.81</v>
      </c>
      <c r="D1161" s="23">
        <f>VLOOKUP(A1161,'[11]Linea Industria'!$A$6:$G$1020,5,FALSE)</f>
        <v>37.08</v>
      </c>
      <c r="E1161" s="23">
        <f>VLOOKUP(A1161,'[11]Linea Industria'!$A$6:$G$1020,6,FALSE)</f>
        <v>45.58</v>
      </c>
      <c r="F1161" s="23">
        <f>VLOOKUP(A1161,'[11]Linea Industria'!$A$6:$G$1020,7,FALSE)</f>
        <v>51.5</v>
      </c>
    </row>
    <row r="1162" spans="1:6" x14ac:dyDescent="0.3">
      <c r="A1162" s="26" t="s">
        <v>1299</v>
      </c>
      <c r="B1162" s="43" t="s">
        <v>1300</v>
      </c>
      <c r="C1162" s="23">
        <f>VLOOKUP(A1162,'[11]Linea Industria'!$A$6:$G$1020,4,FALSE)</f>
        <v>32.81</v>
      </c>
      <c r="D1162" s="23">
        <f>VLOOKUP(A1162,'[11]Linea Industria'!$A$6:$G$1020,5,FALSE)</f>
        <v>37.08</v>
      </c>
      <c r="E1162" s="23">
        <f>VLOOKUP(A1162,'[11]Linea Industria'!$A$6:$G$1020,6,FALSE)</f>
        <v>45.58</v>
      </c>
      <c r="F1162" s="23">
        <f>VLOOKUP(A1162,'[11]Linea Industria'!$A$6:$G$1020,7,FALSE)</f>
        <v>51.5</v>
      </c>
    </row>
    <row r="1163" spans="1:6" x14ac:dyDescent="0.3">
      <c r="A1163" s="26" t="s">
        <v>1301</v>
      </c>
      <c r="B1163" s="43" t="s">
        <v>1288</v>
      </c>
      <c r="C1163" s="23">
        <f>VLOOKUP(A1163,'[11]Linea Industria'!$A$6:$G$1020,4,FALSE)</f>
        <v>157.38</v>
      </c>
      <c r="D1163" s="23">
        <f>VLOOKUP(A1163,'[11]Linea Industria'!$A$6:$G$1020,5,FALSE)</f>
        <v>177.84</v>
      </c>
      <c r="E1163" s="23">
        <f>VLOOKUP(A1163,'[11]Linea Industria'!$A$6:$G$1020,6,FALSE)</f>
        <v>218.58</v>
      </c>
      <c r="F1163" s="23">
        <f>VLOOKUP(A1163,'[11]Linea Industria'!$A$6:$G$1020,7,FALSE)</f>
        <v>247</v>
      </c>
    </row>
    <row r="1164" spans="1:6" x14ac:dyDescent="0.3">
      <c r="A1164" s="26" t="s">
        <v>1302</v>
      </c>
      <c r="B1164" s="43" t="s">
        <v>1290</v>
      </c>
      <c r="C1164" s="23">
        <f>VLOOKUP(A1164,'[11]Linea Industria'!$A$6:$G$1020,4,FALSE)</f>
        <v>157.38</v>
      </c>
      <c r="D1164" s="23">
        <f>VLOOKUP(A1164,'[11]Linea Industria'!$A$6:$G$1020,5,FALSE)</f>
        <v>177.84</v>
      </c>
      <c r="E1164" s="23">
        <f>VLOOKUP(A1164,'[11]Linea Industria'!$A$6:$G$1020,6,FALSE)</f>
        <v>218.58</v>
      </c>
      <c r="F1164" s="23">
        <f>VLOOKUP(A1164,'[11]Linea Industria'!$A$6:$G$1020,7,FALSE)</f>
        <v>247</v>
      </c>
    </row>
    <row r="1165" spans="1:6" x14ac:dyDescent="0.3">
      <c r="A1165" s="30" t="s">
        <v>1303</v>
      </c>
      <c r="B1165" s="43" t="s">
        <v>1304</v>
      </c>
      <c r="C1165" s="23">
        <f>VLOOKUP(A1165,'[11]Linea Industria'!$A$6:$G$1020,4,FALSE)</f>
        <v>33.07</v>
      </c>
      <c r="D1165" s="23">
        <f>VLOOKUP(A1165,'[11]Linea Industria'!$A$6:$G$1020,5,FALSE)</f>
        <v>37.369999999999997</v>
      </c>
      <c r="E1165" s="23">
        <f>VLOOKUP(A1165,'[11]Linea Industria'!$A$6:$G$1020,6,FALSE)</f>
        <v>45.93</v>
      </c>
      <c r="F1165" s="23">
        <f>VLOOKUP(A1165,'[11]Linea Industria'!$A$6:$G$1020,7,FALSE)</f>
        <v>51.9</v>
      </c>
    </row>
    <row r="1166" spans="1:6" x14ac:dyDescent="0.3">
      <c r="A1166" s="30" t="s">
        <v>1305</v>
      </c>
      <c r="B1166" s="43" t="s">
        <v>1306</v>
      </c>
      <c r="C1166" s="23">
        <f>VLOOKUP(A1166,'[11]Linea Industria'!$A$6:$G$1020,4,FALSE)</f>
        <v>33.07</v>
      </c>
      <c r="D1166" s="23">
        <f>VLOOKUP(A1166,'[11]Linea Industria'!$A$6:$G$1020,5,FALSE)</f>
        <v>37.369999999999997</v>
      </c>
      <c r="E1166" s="23">
        <f>VLOOKUP(A1166,'[11]Linea Industria'!$A$6:$G$1020,6,FALSE)</f>
        <v>45.93</v>
      </c>
      <c r="F1166" s="23">
        <f>VLOOKUP(A1166,'[11]Linea Industria'!$A$6:$G$1020,7,FALSE)</f>
        <v>51.9</v>
      </c>
    </row>
    <row r="1167" spans="1:6" x14ac:dyDescent="0.3">
      <c r="A1167" s="30" t="s">
        <v>1307</v>
      </c>
      <c r="B1167" s="43" t="s">
        <v>1308</v>
      </c>
      <c r="C1167" s="23">
        <f>VLOOKUP(A1167,'[11]Linea Industria'!$A$6:$G$1020,4,FALSE)</f>
        <v>33.07</v>
      </c>
      <c r="D1167" s="23">
        <f>VLOOKUP(A1167,'[11]Linea Industria'!$A$6:$G$1020,5,FALSE)</f>
        <v>37.369999999999997</v>
      </c>
      <c r="E1167" s="23">
        <f>VLOOKUP(A1167,'[11]Linea Industria'!$A$6:$G$1020,6,FALSE)</f>
        <v>45.93</v>
      </c>
      <c r="F1167" s="23">
        <f>VLOOKUP(A1167,'[11]Linea Industria'!$A$6:$G$1020,7,FALSE)</f>
        <v>51.9</v>
      </c>
    </row>
    <row r="1168" spans="1:6" x14ac:dyDescent="0.3">
      <c r="A1168" s="30" t="s">
        <v>1309</v>
      </c>
      <c r="B1168" s="43" t="s">
        <v>1304</v>
      </c>
      <c r="C1168" s="23">
        <f>VLOOKUP(A1168,'[11]Linea Industria'!$A$6:$G$1020,4,FALSE)</f>
        <v>158.65</v>
      </c>
      <c r="D1168" s="23">
        <f>VLOOKUP(A1168,'[11]Linea Industria'!$A$6:$G$1020,5,FALSE)</f>
        <v>179.28</v>
      </c>
      <c r="E1168" s="23">
        <f>VLOOKUP(A1168,'[11]Linea Industria'!$A$6:$G$1020,6,FALSE)</f>
        <v>220.35</v>
      </c>
      <c r="F1168" s="23">
        <f>VLOOKUP(A1168,'[11]Linea Industria'!$A$6:$G$1020,7,FALSE)</f>
        <v>249</v>
      </c>
    </row>
    <row r="1169" spans="1:6" x14ac:dyDescent="0.3">
      <c r="A1169" s="30" t="s">
        <v>1310</v>
      </c>
      <c r="B1169" s="43" t="s">
        <v>1306</v>
      </c>
      <c r="C1169" s="23">
        <f>VLOOKUP(A1169,'[11]Linea Industria'!$A$6:$G$1020,4,FALSE)</f>
        <v>158.65</v>
      </c>
      <c r="D1169" s="23">
        <f>VLOOKUP(A1169,'[11]Linea Industria'!$A$6:$G$1020,5,FALSE)</f>
        <v>179.28</v>
      </c>
      <c r="E1169" s="23">
        <f>VLOOKUP(A1169,'[11]Linea Industria'!$A$6:$G$1020,6,FALSE)</f>
        <v>220.35</v>
      </c>
      <c r="F1169" s="23">
        <f>VLOOKUP(A1169,'[11]Linea Industria'!$A$6:$G$1020,7,FALSE)</f>
        <v>249</v>
      </c>
    </row>
    <row r="1170" spans="1:6" x14ac:dyDescent="0.3">
      <c r="A1170" s="30" t="s">
        <v>1311</v>
      </c>
      <c r="B1170" s="43" t="s">
        <v>1308</v>
      </c>
      <c r="C1170" s="23">
        <f>VLOOKUP(A1170,'[11]Linea Industria'!$A$6:$G$1020,4,FALSE)</f>
        <v>158.65</v>
      </c>
      <c r="D1170" s="23">
        <f>VLOOKUP(A1170,'[11]Linea Industria'!$A$6:$G$1020,5,FALSE)</f>
        <v>179.28</v>
      </c>
      <c r="E1170" s="23">
        <f>VLOOKUP(A1170,'[11]Linea Industria'!$A$6:$G$1020,6,FALSE)</f>
        <v>220.35</v>
      </c>
      <c r="F1170" s="23">
        <f>VLOOKUP(A1170,'[11]Linea Industria'!$A$6:$G$1020,7,FALSE)</f>
        <v>249</v>
      </c>
    </row>
    <row r="1171" spans="1:6" x14ac:dyDescent="0.3">
      <c r="A1171" s="30" t="s">
        <v>1312</v>
      </c>
      <c r="B1171" s="43" t="s">
        <v>3540</v>
      </c>
      <c r="C1171" s="23">
        <f>VLOOKUP(A1171,'[11]Linea Industria'!$A$6:$G$1020,4,FALSE)</f>
        <v>33.71</v>
      </c>
      <c r="D1171" s="23">
        <f>VLOOKUP(A1171,'[11]Linea Industria'!$A$6:$G$1020,5,FALSE)</f>
        <v>38.090000000000003</v>
      </c>
      <c r="E1171" s="23">
        <f>VLOOKUP(A1171,'[11]Linea Industria'!$A$6:$G$1020,6,FALSE)</f>
        <v>46.81</v>
      </c>
      <c r="F1171" s="23">
        <f>VLOOKUP(A1171,'[11]Linea Industria'!$A$6:$G$1020,7,FALSE)</f>
        <v>52.9</v>
      </c>
    </row>
    <row r="1172" spans="1:6" x14ac:dyDescent="0.3">
      <c r="A1172" s="30" t="s">
        <v>1313</v>
      </c>
      <c r="B1172" s="43" t="s">
        <v>3541</v>
      </c>
      <c r="C1172" s="23">
        <f>VLOOKUP(A1172,'[11]Linea Industria'!$A$6:$G$1020,4,FALSE)</f>
        <v>33.71</v>
      </c>
      <c r="D1172" s="23">
        <f>VLOOKUP(A1172,'[11]Linea Industria'!$A$6:$G$1020,5,FALSE)</f>
        <v>38.090000000000003</v>
      </c>
      <c r="E1172" s="23">
        <f>VLOOKUP(A1172,'[11]Linea Industria'!$A$6:$G$1020,6,FALSE)</f>
        <v>46.81</v>
      </c>
      <c r="F1172" s="23">
        <f>VLOOKUP(A1172,'[11]Linea Industria'!$A$6:$G$1020,7,FALSE)</f>
        <v>52.9</v>
      </c>
    </row>
    <row r="1173" spans="1:6" x14ac:dyDescent="0.3">
      <c r="A1173" s="30" t="s">
        <v>1314</v>
      </c>
      <c r="B1173" s="43" t="s">
        <v>1315</v>
      </c>
      <c r="C1173" s="23">
        <f>VLOOKUP(A1173,'[11]Linea Industria'!$A$6:$G$1020,4,FALSE)</f>
        <v>33.71</v>
      </c>
      <c r="D1173" s="23">
        <f>VLOOKUP(A1173,'[11]Linea Industria'!$A$6:$G$1020,5,FALSE)</f>
        <v>38.090000000000003</v>
      </c>
      <c r="E1173" s="23">
        <f>VLOOKUP(A1173,'[11]Linea Industria'!$A$6:$G$1020,6,FALSE)</f>
        <v>46.81</v>
      </c>
      <c r="F1173" s="23">
        <f>VLOOKUP(A1173,'[11]Linea Industria'!$A$6:$G$1020,7,FALSE)</f>
        <v>52.9</v>
      </c>
    </row>
    <row r="1174" spans="1:6" x14ac:dyDescent="0.3">
      <c r="A1174" s="30" t="s">
        <v>1316</v>
      </c>
      <c r="B1174" s="43" t="s">
        <v>1317</v>
      </c>
      <c r="C1174" s="23">
        <f>VLOOKUP(A1174,'[11]Linea Industria'!$A$6:$G$1020,4,FALSE)</f>
        <v>33.71</v>
      </c>
      <c r="D1174" s="23">
        <f>VLOOKUP(A1174,'[11]Linea Industria'!$A$6:$G$1020,5,FALSE)</f>
        <v>38.090000000000003</v>
      </c>
      <c r="E1174" s="23">
        <f>VLOOKUP(A1174,'[11]Linea Industria'!$A$6:$G$1020,6,FALSE)</f>
        <v>46.81</v>
      </c>
      <c r="F1174" s="23">
        <f>VLOOKUP(A1174,'[11]Linea Industria'!$A$6:$G$1020,7,FALSE)</f>
        <v>52.9</v>
      </c>
    </row>
    <row r="1175" spans="1:6" x14ac:dyDescent="0.3">
      <c r="A1175" s="30" t="s">
        <v>1318</v>
      </c>
      <c r="B1175" s="43" t="s">
        <v>3540</v>
      </c>
      <c r="C1175" s="23">
        <f>VLOOKUP(A1175,'[11]Linea Industria'!$A$6:$G$1020,4,FALSE)</f>
        <v>160.57</v>
      </c>
      <c r="D1175" s="23">
        <f>VLOOKUP(A1175,'[11]Linea Industria'!$A$6:$G$1020,5,FALSE)</f>
        <v>181.44</v>
      </c>
      <c r="E1175" s="23">
        <f>VLOOKUP(A1175,'[11]Linea Industria'!$A$6:$G$1020,6,FALSE)</f>
        <v>223.01</v>
      </c>
      <c r="F1175" s="23">
        <f>VLOOKUP(A1175,'[11]Linea Industria'!$A$6:$G$1020,7,FALSE)</f>
        <v>252</v>
      </c>
    </row>
    <row r="1176" spans="1:6" x14ac:dyDescent="0.3">
      <c r="A1176" s="30" t="s">
        <v>1319</v>
      </c>
      <c r="B1176" s="43" t="s">
        <v>3541</v>
      </c>
      <c r="C1176" s="23">
        <f>VLOOKUP(A1176,'[11]Linea Industria'!$A$6:$G$1020,4,FALSE)</f>
        <v>160.57</v>
      </c>
      <c r="D1176" s="23">
        <f>VLOOKUP(A1176,'[11]Linea Industria'!$A$6:$G$1020,5,FALSE)</f>
        <v>181.44</v>
      </c>
      <c r="E1176" s="23">
        <f>VLOOKUP(A1176,'[11]Linea Industria'!$A$6:$G$1020,6,FALSE)</f>
        <v>223.01</v>
      </c>
      <c r="F1176" s="23">
        <f>VLOOKUP(A1176,'[11]Linea Industria'!$A$6:$G$1020,7,FALSE)</f>
        <v>252</v>
      </c>
    </row>
    <row r="1177" spans="1:6" x14ac:dyDescent="0.3">
      <c r="A1177" s="30" t="s">
        <v>1320</v>
      </c>
      <c r="B1177" s="43" t="s">
        <v>1315</v>
      </c>
      <c r="C1177" s="23">
        <f>VLOOKUP(A1177,'[11]Linea Industria'!$A$6:$G$1020,4,FALSE)</f>
        <v>160.57</v>
      </c>
      <c r="D1177" s="23">
        <f>VLOOKUP(A1177,'[11]Linea Industria'!$A$6:$G$1020,5,FALSE)</f>
        <v>181.44</v>
      </c>
      <c r="E1177" s="23">
        <f>VLOOKUP(A1177,'[11]Linea Industria'!$A$6:$G$1020,6,FALSE)</f>
        <v>223.01</v>
      </c>
      <c r="F1177" s="23">
        <f>VLOOKUP(A1177,'[11]Linea Industria'!$A$6:$G$1020,7,FALSE)</f>
        <v>252</v>
      </c>
    </row>
    <row r="1178" spans="1:6" x14ac:dyDescent="0.3">
      <c r="A1178" s="30" t="s">
        <v>1321</v>
      </c>
      <c r="B1178" s="43" t="s">
        <v>1317</v>
      </c>
      <c r="C1178" s="23">
        <f>VLOOKUP(A1178,'[11]Linea Industria'!$A$6:$G$1020,4,FALSE)</f>
        <v>160.57</v>
      </c>
      <c r="D1178" s="23">
        <f>VLOOKUP(A1178,'[11]Linea Industria'!$A$6:$G$1020,5,FALSE)</f>
        <v>181.44</v>
      </c>
      <c r="E1178" s="23">
        <f>VLOOKUP(A1178,'[11]Linea Industria'!$A$6:$G$1020,6,FALSE)</f>
        <v>223.01</v>
      </c>
      <c r="F1178" s="23">
        <f>VLOOKUP(A1178,'[11]Linea Industria'!$A$6:$G$1020,7,FALSE)</f>
        <v>252</v>
      </c>
    </row>
    <row r="1179" spans="1:6" x14ac:dyDescent="0.3">
      <c r="A1179" s="50" t="s">
        <v>1322</v>
      </c>
      <c r="B1179" s="43" t="s">
        <v>3542</v>
      </c>
      <c r="C1179" s="23">
        <f>VLOOKUP(A1179,'[11]Linea Industria'!$A$6:$G$1020,4,FALSE)</f>
        <v>28.99</v>
      </c>
      <c r="D1179" s="23">
        <f>VLOOKUP(A1179,'[11]Linea Industria'!$A$6:$G$1020,5,FALSE)</f>
        <v>32.76</v>
      </c>
      <c r="E1179" s="23">
        <f>VLOOKUP(A1179,'[11]Linea Industria'!$A$6:$G$1020,6,FALSE)</f>
        <v>40.270000000000003</v>
      </c>
      <c r="F1179" s="23">
        <f>VLOOKUP(A1179,'[11]Linea Industria'!$A$6:$G$1020,7,FALSE)</f>
        <v>45.5</v>
      </c>
    </row>
    <row r="1180" spans="1:6" x14ac:dyDescent="0.3">
      <c r="A1180" s="50" t="s">
        <v>1323</v>
      </c>
      <c r="B1180" s="43" t="s">
        <v>3543</v>
      </c>
      <c r="C1180" s="23">
        <f>VLOOKUP(A1180,'[11]Linea Industria'!$A$6:$G$1020,4,FALSE)</f>
        <v>28.99</v>
      </c>
      <c r="D1180" s="23">
        <f>VLOOKUP(A1180,'[11]Linea Industria'!$A$6:$G$1020,5,FALSE)</f>
        <v>32.76</v>
      </c>
      <c r="E1180" s="23">
        <f>VLOOKUP(A1180,'[11]Linea Industria'!$A$6:$G$1020,6,FALSE)</f>
        <v>40.270000000000003</v>
      </c>
      <c r="F1180" s="23">
        <f>VLOOKUP(A1180,'[11]Linea Industria'!$A$6:$G$1020,7,FALSE)</f>
        <v>45.5</v>
      </c>
    </row>
    <row r="1181" spans="1:6" x14ac:dyDescent="0.3">
      <c r="A1181" s="30" t="s">
        <v>1324</v>
      </c>
      <c r="B1181" s="43" t="s">
        <v>3542</v>
      </c>
      <c r="C1181" s="23">
        <f>VLOOKUP(A1181,'[11]Linea Industria'!$A$6:$G$1020,4,FALSE)</f>
        <v>142.09</v>
      </c>
      <c r="D1181" s="23">
        <f>VLOOKUP(A1181,'[11]Linea Industria'!$A$6:$G$1020,5,FALSE)</f>
        <v>160.56</v>
      </c>
      <c r="E1181" s="23">
        <f>VLOOKUP(A1181,'[11]Linea Industria'!$A$6:$G$1020,6,FALSE)</f>
        <v>197.35</v>
      </c>
      <c r="F1181" s="23">
        <f>VLOOKUP(A1181,'[11]Linea Industria'!$A$6:$G$1020,7,FALSE)</f>
        <v>223</v>
      </c>
    </row>
    <row r="1182" spans="1:6" x14ac:dyDescent="0.3">
      <c r="A1182" s="30" t="s">
        <v>1325</v>
      </c>
      <c r="B1182" s="43" t="s">
        <v>3543</v>
      </c>
      <c r="C1182" s="23">
        <f>VLOOKUP(A1182,'[11]Linea Industria'!$A$6:$G$1020,4,FALSE)</f>
        <v>142.09</v>
      </c>
      <c r="D1182" s="23">
        <f>VLOOKUP(A1182,'[11]Linea Industria'!$A$6:$G$1020,5,FALSE)</f>
        <v>160.56</v>
      </c>
      <c r="E1182" s="23">
        <f>VLOOKUP(A1182,'[11]Linea Industria'!$A$6:$G$1020,6,FALSE)</f>
        <v>197.35</v>
      </c>
      <c r="F1182" s="23">
        <f>VLOOKUP(A1182,'[11]Linea Industria'!$A$6:$G$1020,7,FALSE)</f>
        <v>223</v>
      </c>
    </row>
    <row r="1183" spans="1:6" x14ac:dyDescent="0.3">
      <c r="A1183" s="26" t="s">
        <v>1326</v>
      </c>
      <c r="B1183" s="43" t="s">
        <v>3544</v>
      </c>
      <c r="C1183" s="23">
        <f>VLOOKUP(A1183,'[11]Linea Industria'!$A$6:$G$1020,4,FALSE)</f>
        <v>15.65</v>
      </c>
      <c r="D1183" s="23">
        <f>VLOOKUP(A1183,'[11]Linea Industria'!$A$6:$G$1020,5,FALSE)</f>
        <v>17.690000000000001</v>
      </c>
      <c r="E1183" s="23">
        <f>VLOOKUP(A1183,'[11]Linea Industria'!$A$6:$G$1020,6,FALSE)</f>
        <v>21.15</v>
      </c>
      <c r="F1183" s="23">
        <f>VLOOKUP(A1183,'[11]Linea Industria'!$A$6:$G$1020,7,FALSE)</f>
        <v>23.9</v>
      </c>
    </row>
    <row r="1184" spans="1:6" x14ac:dyDescent="0.3">
      <c r="A1184" s="26" t="s">
        <v>1327</v>
      </c>
      <c r="B1184" s="43" t="s">
        <v>3545</v>
      </c>
      <c r="C1184" s="23">
        <f>VLOOKUP(A1184,'[11]Linea Industria'!$A$6:$G$1020,4,FALSE)</f>
        <v>4.5199999999999996</v>
      </c>
      <c r="D1184" s="23">
        <f>VLOOKUP(A1184,'[11]Linea Industria'!$A$6:$G$1020,5,FALSE)</f>
        <v>5.1100000000000003</v>
      </c>
      <c r="E1184" s="23">
        <f>VLOOKUP(A1184,'[11]Linea Industria'!$A$6:$G$1020,6,FALSE)</f>
        <v>6.11</v>
      </c>
      <c r="F1184" s="23">
        <f>VLOOKUP(A1184,'[11]Linea Industria'!$A$6:$G$1020,7,FALSE)</f>
        <v>6.9</v>
      </c>
    </row>
    <row r="1185" spans="1:6" x14ac:dyDescent="0.3">
      <c r="A1185" s="29" t="s">
        <v>1328</v>
      </c>
      <c r="B1185" s="43" t="s">
        <v>3546</v>
      </c>
      <c r="C1185" s="23">
        <f>VLOOKUP(A1185,'[11]Linea Industria'!$A$6:$G$1020,4,FALSE)</f>
        <v>79.290000000000006</v>
      </c>
      <c r="D1185" s="23">
        <f>VLOOKUP(A1185,'[11]Linea Industria'!$A$6:$G$1020,5,FALSE)</f>
        <v>89.6</v>
      </c>
      <c r="E1185" s="23">
        <f>VLOOKUP(A1185,'[11]Linea Industria'!$A$6:$G$1020,6,FALSE)</f>
        <v>113.27</v>
      </c>
      <c r="F1185" s="23">
        <f>VLOOKUP(A1185,'[11]Linea Industria'!$A$6:$G$1020,7,FALSE)</f>
        <v>128</v>
      </c>
    </row>
    <row r="1186" spans="1:6" x14ac:dyDescent="0.3">
      <c r="A1186" s="29" t="s">
        <v>1329</v>
      </c>
      <c r="B1186" s="43" t="s">
        <v>3547</v>
      </c>
      <c r="C1186" s="23">
        <f>VLOOKUP(A1186,'[11]Linea Industria'!$A$6:$G$1020,4,FALSE)</f>
        <v>79.290000000000006</v>
      </c>
      <c r="D1186" s="23">
        <f>VLOOKUP(A1186,'[11]Linea Industria'!$A$6:$G$1020,5,FALSE)</f>
        <v>89.6</v>
      </c>
      <c r="E1186" s="23">
        <f>VLOOKUP(A1186,'[11]Linea Industria'!$A$6:$G$1020,6,FALSE)</f>
        <v>113.27</v>
      </c>
      <c r="F1186" s="23">
        <f>VLOOKUP(A1186,'[11]Linea Industria'!$A$6:$G$1020,7,FALSE)</f>
        <v>128</v>
      </c>
    </row>
    <row r="1187" spans="1:6" x14ac:dyDescent="0.3">
      <c r="A1187" s="29" t="s">
        <v>1330</v>
      </c>
      <c r="B1187" s="43" t="s">
        <v>3548</v>
      </c>
      <c r="C1187" s="23">
        <f>VLOOKUP(A1187,'[11]Linea Industria'!$A$6:$G$1020,4,FALSE)</f>
        <v>79.290000000000006</v>
      </c>
      <c r="D1187" s="23">
        <f>VLOOKUP(A1187,'[11]Linea Industria'!$A$6:$G$1020,5,FALSE)</f>
        <v>89.6</v>
      </c>
      <c r="E1187" s="23">
        <f>VLOOKUP(A1187,'[11]Linea Industria'!$A$6:$G$1020,6,FALSE)</f>
        <v>113.27</v>
      </c>
      <c r="F1187" s="23">
        <f>VLOOKUP(A1187,'[11]Linea Industria'!$A$6:$G$1020,7,FALSE)</f>
        <v>128</v>
      </c>
    </row>
    <row r="1188" spans="1:6" x14ac:dyDescent="0.3">
      <c r="A1188" s="29" t="s">
        <v>1331</v>
      </c>
      <c r="B1188" s="43" t="s">
        <v>3549</v>
      </c>
      <c r="C1188" s="23">
        <f>VLOOKUP(A1188,'[11]Linea Industria'!$A$6:$G$1020,4,FALSE)</f>
        <v>79.290000000000006</v>
      </c>
      <c r="D1188" s="23">
        <f>VLOOKUP(A1188,'[11]Linea Industria'!$A$6:$G$1020,5,FALSE)</f>
        <v>89.6</v>
      </c>
      <c r="E1188" s="23">
        <f>VLOOKUP(A1188,'[11]Linea Industria'!$A$6:$G$1020,6,FALSE)</f>
        <v>113.27</v>
      </c>
      <c r="F1188" s="23">
        <f>VLOOKUP(A1188,'[11]Linea Industria'!$A$6:$G$1020,7,FALSE)</f>
        <v>128</v>
      </c>
    </row>
    <row r="1189" spans="1:6" x14ac:dyDescent="0.3">
      <c r="A1189" s="51" t="s">
        <v>1332</v>
      </c>
      <c r="B1189" s="43" t="s">
        <v>1333</v>
      </c>
      <c r="C1189" s="23">
        <f>VLOOKUP(A1189,'[11]Linea Industria'!$A$6:$G$1020,4,FALSE)</f>
        <v>60.09</v>
      </c>
      <c r="D1189" s="23">
        <f>VLOOKUP(A1189,'[11]Linea Industria'!$A$6:$G$1020,5,FALSE)</f>
        <v>67.900000000000006</v>
      </c>
      <c r="E1189" s="23">
        <f>VLOOKUP(A1189,'[11]Linea Industria'!$A$6:$G$1020,6,FALSE)</f>
        <v>113.27</v>
      </c>
      <c r="F1189" s="23">
        <f>VLOOKUP(A1189,'[11]Linea Industria'!$A$6:$G$1020,7,FALSE)</f>
        <v>128</v>
      </c>
    </row>
    <row r="1190" spans="1:6" x14ac:dyDescent="0.3">
      <c r="A1190" s="29" t="s">
        <v>1334</v>
      </c>
      <c r="B1190" s="43" t="s">
        <v>3550</v>
      </c>
      <c r="C1190" s="23">
        <f>VLOOKUP(A1190,'[11]Linea Industria'!$A$6:$G$1020,4,FALSE)</f>
        <v>79.290000000000006</v>
      </c>
      <c r="D1190" s="23">
        <f>VLOOKUP(A1190,'[11]Linea Industria'!$A$6:$G$1020,5,FALSE)</f>
        <v>89.6</v>
      </c>
      <c r="E1190" s="23">
        <f>VLOOKUP(A1190,'[11]Linea Industria'!$A$6:$G$1020,6,FALSE)</f>
        <v>113.27</v>
      </c>
      <c r="F1190" s="23">
        <f>VLOOKUP(A1190,'[11]Linea Industria'!$A$6:$G$1020,7,FALSE)</f>
        <v>128</v>
      </c>
    </row>
    <row r="1191" spans="1:6" x14ac:dyDescent="0.3">
      <c r="A1191" s="26" t="s">
        <v>1335</v>
      </c>
      <c r="B1191" s="43" t="s">
        <v>3551</v>
      </c>
      <c r="C1191" s="23">
        <f>VLOOKUP(A1191,'[11]Linea Industria'!$A$6:$G$1020,4,FALSE)</f>
        <v>150.97999999999999</v>
      </c>
      <c r="D1191" s="23">
        <f>VLOOKUP(A1191,'[11]Linea Industria'!$A$6:$G$1020,5,FALSE)</f>
        <v>170.61</v>
      </c>
      <c r="E1191" s="23">
        <f>VLOOKUP(A1191,'[11]Linea Industria'!$A$6:$G$1020,6,FALSE)</f>
        <v>218.58</v>
      </c>
      <c r="F1191" s="23">
        <f>VLOOKUP(A1191,'[11]Linea Industria'!$A$6:$G$1020,7,FALSE)</f>
        <v>247</v>
      </c>
    </row>
    <row r="1192" spans="1:6" x14ac:dyDescent="0.3">
      <c r="A1192" s="26" t="s">
        <v>1336</v>
      </c>
      <c r="B1192" s="43" t="s">
        <v>3552</v>
      </c>
      <c r="C1192" s="23">
        <f>VLOOKUP(A1192,'[11]Linea Industria'!$A$6:$G$1020,4,FALSE)</f>
        <v>76.459999999999994</v>
      </c>
      <c r="D1192" s="23">
        <f>VLOOKUP(A1192,'[11]Linea Industria'!$A$6:$G$1020,5,FALSE)</f>
        <v>86.4</v>
      </c>
      <c r="E1192" s="23">
        <f>VLOOKUP(A1192,'[11]Linea Industria'!$A$6:$G$1020,6,FALSE)</f>
        <v>106.19</v>
      </c>
      <c r="F1192" s="23">
        <f>VLOOKUP(A1192,'[11]Linea Industria'!$A$6:$G$1020,7,FALSE)</f>
        <v>120</v>
      </c>
    </row>
    <row r="1193" spans="1:6" x14ac:dyDescent="0.3">
      <c r="A1193" s="28" t="s">
        <v>1337</v>
      </c>
      <c r="B1193" s="43" t="s">
        <v>3553</v>
      </c>
      <c r="C1193" s="23">
        <f>VLOOKUP(A1193,'[11]Linea Industria'!$A$6:$G$1020,4,FALSE)</f>
        <v>138.18</v>
      </c>
      <c r="D1193" s="23">
        <f>VLOOKUP(A1193,'[11]Linea Industria'!$A$6:$G$1020,5,FALSE)</f>
        <v>156.13999999999999</v>
      </c>
      <c r="E1193" s="23">
        <f>VLOOKUP(A1193,'[11]Linea Industria'!$A$6:$G$1020,6,FALSE)</f>
        <v>218.58</v>
      </c>
      <c r="F1193" s="23">
        <f>VLOOKUP(A1193,'[11]Linea Industria'!$A$6:$G$1020,7,FALSE)</f>
        <v>247</v>
      </c>
    </row>
    <row r="1194" spans="1:6" x14ac:dyDescent="0.3">
      <c r="A1194" s="28" t="s">
        <v>1338</v>
      </c>
      <c r="B1194" s="43" t="s">
        <v>3554</v>
      </c>
      <c r="C1194" s="23">
        <f>VLOOKUP(A1194,'[11]Linea Industria'!$A$6:$G$1020,4,FALSE)</f>
        <v>157.38</v>
      </c>
      <c r="D1194" s="23">
        <f>VLOOKUP(A1194,'[11]Linea Industria'!$A$6:$G$1020,5,FALSE)</f>
        <v>177.84</v>
      </c>
      <c r="E1194" s="23">
        <f>VLOOKUP(A1194,'[11]Linea Industria'!$A$6:$G$1020,6,FALSE)</f>
        <v>218.58</v>
      </c>
      <c r="F1194" s="23">
        <f>VLOOKUP(A1194,'[11]Linea Industria'!$A$6:$G$1020,7,FALSE)</f>
        <v>247</v>
      </c>
    </row>
    <row r="1195" spans="1:6" x14ac:dyDescent="0.3">
      <c r="A1195" s="26" t="s">
        <v>1339</v>
      </c>
      <c r="B1195" s="43" t="s">
        <v>3555</v>
      </c>
      <c r="C1195" s="23">
        <f>VLOOKUP(A1195,'[11]Linea Industria'!$A$6:$G$1020,4,FALSE)</f>
        <v>157.38</v>
      </c>
      <c r="D1195" s="23">
        <f>VLOOKUP(A1195,'[11]Linea Industria'!$A$6:$G$1020,5,FALSE)</f>
        <v>177.84</v>
      </c>
      <c r="E1195" s="23">
        <f>VLOOKUP(A1195,'[11]Linea Industria'!$A$6:$G$1020,6,FALSE)</f>
        <v>218.58</v>
      </c>
      <c r="F1195" s="23">
        <f>VLOOKUP(A1195,'[11]Linea Industria'!$A$6:$G$1020,7,FALSE)</f>
        <v>247</v>
      </c>
    </row>
    <row r="1196" spans="1:6" x14ac:dyDescent="0.3">
      <c r="A1196" s="26" t="s">
        <v>1340</v>
      </c>
      <c r="B1196" s="43" t="s">
        <v>1341</v>
      </c>
      <c r="C1196" s="23">
        <f>VLOOKUP(A1196,'[11]Linea Industria'!$A$6:$G$1020,4,FALSE)</f>
        <v>87.93</v>
      </c>
      <c r="D1196" s="23">
        <f>VLOOKUP(A1196,'[11]Linea Industria'!$A$6:$G$1020,5,FALSE)</f>
        <v>99.36</v>
      </c>
      <c r="E1196" s="23">
        <f>VLOOKUP(A1196,'[11]Linea Industria'!$A$6:$G$1020,6,FALSE)</f>
        <v>122.12</v>
      </c>
      <c r="F1196" s="23">
        <f>VLOOKUP(A1196,'[11]Linea Industria'!$A$6:$G$1020,7,FALSE)</f>
        <v>138</v>
      </c>
    </row>
    <row r="1197" spans="1:6" x14ac:dyDescent="0.3">
      <c r="A1197" s="26" t="s">
        <v>1342</v>
      </c>
      <c r="B1197" s="43" t="s">
        <v>3556</v>
      </c>
      <c r="C1197" s="23">
        <f>VLOOKUP(A1197,'[11]Linea Industria'!$A$6:$G$1020,4,FALSE)</f>
        <v>182.12</v>
      </c>
      <c r="D1197" s="23">
        <f>VLOOKUP(A1197,'[11]Linea Industria'!$A$6:$G$1020,5,FALSE)</f>
        <v>205.8</v>
      </c>
      <c r="E1197" s="23">
        <f>VLOOKUP(A1197,'[11]Linea Industria'!$A$6:$G$1020,6,FALSE)</f>
        <v>260.18</v>
      </c>
      <c r="F1197" s="23">
        <f>VLOOKUP(A1197,'[11]Linea Industria'!$A$6:$G$1020,7,FALSE)</f>
        <v>294</v>
      </c>
    </row>
    <row r="1198" spans="1:6" x14ac:dyDescent="0.3">
      <c r="A1198" s="27" t="s">
        <v>1343</v>
      </c>
      <c r="B1198" s="43" t="s">
        <v>3557</v>
      </c>
      <c r="C1198" s="23">
        <f>VLOOKUP(A1198,'[11]Linea Industria'!$A$6:$G$1020,4,FALSE)</f>
        <v>35</v>
      </c>
      <c r="D1198" s="23">
        <f>VLOOKUP(A1198,'[11]Linea Industria'!$A$6:$G$1020,5,FALSE)</f>
        <v>39.549999999999997</v>
      </c>
      <c r="E1198" s="23">
        <f>VLOOKUP(A1198,'[11]Linea Industria'!$A$6:$G$1020,6,FALSE)</f>
        <v>50</v>
      </c>
      <c r="F1198" s="23">
        <f>VLOOKUP(A1198,'[11]Linea Industria'!$A$6:$G$1020,7,FALSE)</f>
        <v>56.5</v>
      </c>
    </row>
    <row r="1199" spans="1:6" x14ac:dyDescent="0.3">
      <c r="A1199" s="27" t="s">
        <v>1344</v>
      </c>
      <c r="B1199" s="43" t="s">
        <v>3558</v>
      </c>
      <c r="C1199" s="23">
        <f>VLOOKUP(A1199,'[11]Linea Industria'!$A$6:$G$1020,4,FALSE)</f>
        <v>35</v>
      </c>
      <c r="D1199" s="23">
        <f>VLOOKUP(A1199,'[11]Linea Industria'!$A$6:$G$1020,5,FALSE)</f>
        <v>39.549999999999997</v>
      </c>
      <c r="E1199" s="23">
        <f>VLOOKUP(A1199,'[11]Linea Industria'!$A$6:$G$1020,6,FALSE)</f>
        <v>50</v>
      </c>
      <c r="F1199" s="23">
        <f>VLOOKUP(A1199,'[11]Linea Industria'!$A$6:$G$1020,7,FALSE)</f>
        <v>56.5</v>
      </c>
    </row>
    <row r="1200" spans="1:6" x14ac:dyDescent="0.3">
      <c r="A1200" s="27" t="s">
        <v>1345</v>
      </c>
      <c r="B1200" s="43" t="s">
        <v>3559</v>
      </c>
      <c r="C1200" s="23">
        <f>VLOOKUP(A1200,'[11]Linea Industria'!$A$6:$G$1020,4,FALSE)</f>
        <v>35</v>
      </c>
      <c r="D1200" s="23">
        <f>VLOOKUP(A1200,'[11]Linea Industria'!$A$6:$G$1020,5,FALSE)</f>
        <v>39.549999999999997</v>
      </c>
      <c r="E1200" s="23">
        <f>VLOOKUP(A1200,'[11]Linea Industria'!$A$6:$G$1020,6,FALSE)</f>
        <v>50</v>
      </c>
      <c r="F1200" s="23">
        <f>VLOOKUP(A1200,'[11]Linea Industria'!$A$6:$G$1020,7,FALSE)</f>
        <v>56.5</v>
      </c>
    </row>
    <row r="1201" spans="1:6" x14ac:dyDescent="0.3">
      <c r="A1201" s="29" t="s">
        <v>1346</v>
      </c>
      <c r="B1201" s="43" t="s">
        <v>3557</v>
      </c>
      <c r="C1201" s="23">
        <f>VLOOKUP(A1201,'[11]Linea Industria'!$A$6:$G$1020,4,FALSE)</f>
        <v>161.06</v>
      </c>
      <c r="D1201" s="23">
        <f>VLOOKUP(A1201,'[11]Linea Industria'!$A$6:$G$1020,5,FALSE)</f>
        <v>182</v>
      </c>
      <c r="E1201" s="23">
        <f>VLOOKUP(A1201,'[11]Linea Industria'!$A$6:$G$1020,6,FALSE)</f>
        <v>230.09</v>
      </c>
      <c r="F1201" s="23">
        <f>VLOOKUP(A1201,'[11]Linea Industria'!$A$6:$G$1020,7,FALSE)</f>
        <v>260</v>
      </c>
    </row>
    <row r="1202" spans="1:6" x14ac:dyDescent="0.3">
      <c r="A1202" s="29" t="s">
        <v>1347</v>
      </c>
      <c r="B1202" s="43" t="s">
        <v>3558</v>
      </c>
      <c r="C1202" s="23">
        <f>VLOOKUP(A1202,'[11]Linea Industria'!$A$6:$G$1020,4,FALSE)</f>
        <v>161.06</v>
      </c>
      <c r="D1202" s="23">
        <f>VLOOKUP(A1202,'[11]Linea Industria'!$A$6:$G$1020,5,FALSE)</f>
        <v>182</v>
      </c>
      <c r="E1202" s="23">
        <f>VLOOKUP(A1202,'[11]Linea Industria'!$A$6:$G$1020,6,FALSE)</f>
        <v>230.09</v>
      </c>
      <c r="F1202" s="23">
        <f>VLOOKUP(A1202,'[11]Linea Industria'!$A$6:$G$1020,7,FALSE)</f>
        <v>260</v>
      </c>
    </row>
    <row r="1203" spans="1:6" x14ac:dyDescent="0.3">
      <c r="A1203" s="29" t="s">
        <v>1348</v>
      </c>
      <c r="B1203" s="43" t="s">
        <v>3559</v>
      </c>
      <c r="C1203" s="23">
        <f>VLOOKUP(A1203,'[11]Linea Industria'!$A$6:$G$1020,4,FALSE)</f>
        <v>161.06</v>
      </c>
      <c r="D1203" s="23">
        <f>VLOOKUP(A1203,'[11]Linea Industria'!$A$6:$G$1020,5,FALSE)</f>
        <v>182</v>
      </c>
      <c r="E1203" s="23">
        <f>VLOOKUP(A1203,'[11]Linea Industria'!$A$6:$G$1020,6,FALSE)</f>
        <v>230.09</v>
      </c>
      <c r="F1203" s="23">
        <f>VLOOKUP(A1203,'[11]Linea Industria'!$A$6:$G$1020,7,FALSE)</f>
        <v>260</v>
      </c>
    </row>
    <row r="1204" spans="1:6" x14ac:dyDescent="0.3">
      <c r="A1204" s="26" t="s">
        <v>1349</v>
      </c>
      <c r="B1204" s="43" t="s">
        <v>3560</v>
      </c>
      <c r="C1204" s="23">
        <f>VLOOKUP(A1204,'[11]Linea Industria'!$A$6:$G$1020,4,FALSE)</f>
        <v>46.45</v>
      </c>
      <c r="D1204" s="23">
        <f>VLOOKUP(A1204,'[11]Linea Industria'!$A$6:$G$1020,5,FALSE)</f>
        <v>52.49</v>
      </c>
      <c r="E1204" s="23">
        <f>VLOOKUP(A1204,'[11]Linea Industria'!$A$6:$G$1020,6,FALSE)</f>
        <v>64.510000000000005</v>
      </c>
      <c r="F1204" s="23">
        <f>VLOOKUP(A1204,'[11]Linea Industria'!$A$6:$G$1020,7,FALSE)</f>
        <v>72.900000000000006</v>
      </c>
    </row>
    <row r="1205" spans="1:6" x14ac:dyDescent="0.3">
      <c r="A1205" s="26" t="s">
        <v>1350</v>
      </c>
      <c r="B1205" s="43" t="s">
        <v>3561</v>
      </c>
      <c r="C1205" s="23">
        <f>VLOOKUP(A1205,'[11]Linea Industria'!$A$6:$G$1020,4,FALSE)</f>
        <v>44.54</v>
      </c>
      <c r="D1205" s="23">
        <f>VLOOKUP(A1205,'[11]Linea Industria'!$A$6:$G$1020,5,FALSE)</f>
        <v>50.33</v>
      </c>
      <c r="E1205" s="23">
        <f>VLOOKUP(A1205,'[11]Linea Industria'!$A$6:$G$1020,6,FALSE)</f>
        <v>61.86</v>
      </c>
      <c r="F1205" s="23">
        <f>VLOOKUP(A1205,'[11]Linea Industria'!$A$6:$G$1020,7,FALSE)</f>
        <v>69.900000000000006</v>
      </c>
    </row>
    <row r="1206" spans="1:6" x14ac:dyDescent="0.3">
      <c r="A1206" s="26" t="s">
        <v>1351</v>
      </c>
      <c r="B1206" s="43" t="s">
        <v>3562</v>
      </c>
      <c r="C1206" s="23">
        <f>VLOOKUP(A1206,'[11]Linea Industria'!$A$6:$G$1020,4,FALSE)</f>
        <v>17.78</v>
      </c>
      <c r="D1206" s="23">
        <f>VLOOKUP(A1206,'[11]Linea Industria'!$A$6:$G$1020,5,FALSE)</f>
        <v>20.09</v>
      </c>
      <c r="E1206" s="23">
        <f>VLOOKUP(A1206,'[11]Linea Industria'!$A$6:$G$1020,6,FALSE)</f>
        <v>24.69</v>
      </c>
      <c r="F1206" s="23">
        <f>VLOOKUP(A1206,'[11]Linea Industria'!$A$6:$G$1020,7,FALSE)</f>
        <v>27.9</v>
      </c>
    </row>
    <row r="1207" spans="1:6" x14ac:dyDescent="0.3">
      <c r="A1207" s="28" t="s">
        <v>1352</v>
      </c>
      <c r="B1207" s="43" t="s">
        <v>3563</v>
      </c>
      <c r="C1207" s="23">
        <f>VLOOKUP(A1207,'[11]Linea Industria'!$A$6:$G$1020,4,FALSE)</f>
        <v>10.47</v>
      </c>
      <c r="D1207" s="23">
        <f>VLOOKUP(A1207,'[11]Linea Industria'!$A$6:$G$1020,5,FALSE)</f>
        <v>11.83</v>
      </c>
      <c r="E1207" s="23">
        <f>VLOOKUP(A1207,'[11]Linea Industria'!$A$6:$G$1020,6,FALSE)</f>
        <v>14.96</v>
      </c>
      <c r="F1207" s="23">
        <f>VLOOKUP(A1207,'[11]Linea Industria'!$A$6:$G$1020,7,FALSE)</f>
        <v>16.899999999999999</v>
      </c>
    </row>
    <row r="1208" spans="1:6" x14ac:dyDescent="0.3">
      <c r="A1208" s="28" t="s">
        <v>1353</v>
      </c>
      <c r="B1208" s="43" t="s">
        <v>3563</v>
      </c>
      <c r="C1208" s="23">
        <f>VLOOKUP(A1208,'[11]Linea Industria'!$A$6:$G$1020,4,FALSE)</f>
        <v>35.619999999999997</v>
      </c>
      <c r="D1208" s="23">
        <f>VLOOKUP(A1208,'[11]Linea Industria'!$A$6:$G$1020,5,FALSE)</f>
        <v>40.25</v>
      </c>
      <c r="E1208" s="23">
        <f>VLOOKUP(A1208,'[11]Linea Industria'!$A$6:$G$1020,6,FALSE)</f>
        <v>50.88</v>
      </c>
      <c r="F1208" s="23">
        <f>VLOOKUP(A1208,'[11]Linea Industria'!$A$6:$G$1020,7,FALSE)</f>
        <v>57.5</v>
      </c>
    </row>
    <row r="1209" spans="1:6" x14ac:dyDescent="0.3">
      <c r="A1209" s="26" t="s">
        <v>1354</v>
      </c>
      <c r="B1209" s="43" t="s">
        <v>3564</v>
      </c>
      <c r="C1209" s="23">
        <f>VLOOKUP(A1209,'[11]Linea Industria'!$A$6:$G$1020,4,FALSE)</f>
        <v>34.630000000000003</v>
      </c>
      <c r="D1209" s="23">
        <f>VLOOKUP(A1209,'[11]Linea Industria'!$A$6:$G$1020,5,FALSE)</f>
        <v>39.130000000000003</v>
      </c>
      <c r="E1209" s="23">
        <f>VLOOKUP(A1209,'[11]Linea Industria'!$A$6:$G$1020,6,FALSE)</f>
        <v>49.47</v>
      </c>
      <c r="F1209" s="23">
        <f>VLOOKUP(A1209,'[11]Linea Industria'!$A$6:$G$1020,7,FALSE)</f>
        <v>55.9</v>
      </c>
    </row>
    <row r="1210" spans="1:6" x14ac:dyDescent="0.3">
      <c r="A1210" s="26" t="s">
        <v>1355</v>
      </c>
      <c r="B1210" s="43" t="s">
        <v>3565</v>
      </c>
      <c r="C1210" s="23">
        <f>VLOOKUP(A1210,'[11]Linea Industria'!$A$6:$G$1020,4,FALSE)</f>
        <v>70.62</v>
      </c>
      <c r="D1210" s="23">
        <f>VLOOKUP(A1210,'[11]Linea Industria'!$A$6:$G$1020,5,FALSE)</f>
        <v>79.8</v>
      </c>
      <c r="E1210" s="23">
        <f>VLOOKUP(A1210,'[11]Linea Industria'!$A$6:$G$1020,6,FALSE)</f>
        <v>100.88</v>
      </c>
      <c r="F1210" s="23">
        <f>VLOOKUP(A1210,'[11]Linea Industria'!$A$6:$G$1020,7,FALSE)</f>
        <v>114</v>
      </c>
    </row>
    <row r="1211" spans="1:6" x14ac:dyDescent="0.3">
      <c r="A1211" s="26" t="s">
        <v>1356</v>
      </c>
      <c r="B1211" s="43" t="s">
        <v>3566</v>
      </c>
      <c r="C1211" s="23">
        <f>VLOOKUP(A1211,'[11]Linea Industria'!$A$6:$G$1020,4,FALSE)</f>
        <v>32.770000000000003</v>
      </c>
      <c r="D1211" s="23">
        <f>VLOOKUP(A1211,'[11]Linea Industria'!$A$6:$G$1020,5,FALSE)</f>
        <v>37.03</v>
      </c>
      <c r="E1211" s="23">
        <f>VLOOKUP(A1211,'[11]Linea Industria'!$A$6:$G$1020,6,FALSE)</f>
        <v>46.81</v>
      </c>
      <c r="F1211" s="23">
        <f>VLOOKUP(A1211,'[11]Linea Industria'!$A$6:$G$1020,7,FALSE)</f>
        <v>52.9</v>
      </c>
    </row>
    <row r="1212" spans="1:6" x14ac:dyDescent="0.3">
      <c r="A1212" s="26" t="s">
        <v>1357</v>
      </c>
      <c r="B1212" s="43" t="s">
        <v>3567</v>
      </c>
      <c r="C1212" s="23">
        <f>VLOOKUP(A1212,'[11]Linea Industria'!$A$6:$G$1020,4,FALSE)</f>
        <v>29.05</v>
      </c>
      <c r="D1212" s="23">
        <f>VLOOKUP(A1212,'[11]Linea Industria'!$A$6:$G$1020,5,FALSE)</f>
        <v>32.83</v>
      </c>
      <c r="E1212" s="23">
        <f>VLOOKUP(A1212,'[11]Linea Industria'!$A$6:$G$1020,6,FALSE)</f>
        <v>41.5</v>
      </c>
      <c r="F1212" s="23">
        <f>VLOOKUP(A1212,'[11]Linea Industria'!$A$6:$G$1020,7,FALSE)</f>
        <v>46.9</v>
      </c>
    </row>
    <row r="1213" spans="1:6" x14ac:dyDescent="0.3">
      <c r="A1213" s="44" t="s">
        <v>1358</v>
      </c>
      <c r="B1213" s="43" t="s">
        <v>3568</v>
      </c>
      <c r="C1213" s="23">
        <f>VLOOKUP(A1213,'[11]Linea Industria'!$A$6:$G$1020,4,FALSE)</f>
        <v>33.76</v>
      </c>
      <c r="D1213" s="23">
        <f>VLOOKUP(A1213,'[11]Linea Industria'!$A$6:$G$1020,5,FALSE)</f>
        <v>38.15</v>
      </c>
      <c r="E1213" s="23">
        <f>VLOOKUP(A1213,'[11]Linea Industria'!$A$6:$G$1020,6,FALSE)</f>
        <v>48.23</v>
      </c>
      <c r="F1213" s="23">
        <f>VLOOKUP(A1213,'[11]Linea Industria'!$A$6:$G$1020,7,FALSE)</f>
        <v>54.5</v>
      </c>
    </row>
    <row r="1214" spans="1:6" x14ac:dyDescent="0.3">
      <c r="A1214" s="44" t="s">
        <v>1359</v>
      </c>
      <c r="B1214" s="43" t="s">
        <v>3569</v>
      </c>
      <c r="C1214" s="23">
        <f>VLOOKUP(A1214,'[11]Linea Industria'!$A$6:$G$1020,4,FALSE)</f>
        <v>33.76</v>
      </c>
      <c r="D1214" s="23">
        <f>VLOOKUP(A1214,'[11]Linea Industria'!$A$6:$G$1020,5,FALSE)</f>
        <v>38.15</v>
      </c>
      <c r="E1214" s="23">
        <f>VLOOKUP(A1214,'[11]Linea Industria'!$A$6:$G$1020,6,FALSE)</f>
        <v>48.23</v>
      </c>
      <c r="F1214" s="23">
        <f>VLOOKUP(A1214,'[11]Linea Industria'!$A$6:$G$1020,7,FALSE)</f>
        <v>54.5</v>
      </c>
    </row>
    <row r="1215" spans="1:6" x14ac:dyDescent="0.3">
      <c r="A1215" s="44" t="s">
        <v>1360</v>
      </c>
      <c r="B1215" s="43" t="s">
        <v>3568</v>
      </c>
      <c r="C1215" s="23">
        <f>VLOOKUP(A1215,'[11]Linea Industria'!$A$6:$G$1020,4,FALSE)</f>
        <v>151.77000000000001</v>
      </c>
      <c r="D1215" s="23">
        <f>VLOOKUP(A1215,'[11]Linea Industria'!$A$6:$G$1020,5,FALSE)</f>
        <v>171.5</v>
      </c>
      <c r="E1215" s="23">
        <f>VLOOKUP(A1215,'[11]Linea Industria'!$A$6:$G$1020,6,FALSE)</f>
        <v>216.81</v>
      </c>
      <c r="F1215" s="23">
        <f>VLOOKUP(A1215,'[11]Linea Industria'!$A$6:$G$1020,7,FALSE)</f>
        <v>245</v>
      </c>
    </row>
    <row r="1216" spans="1:6" x14ac:dyDescent="0.3">
      <c r="A1216" s="44" t="s">
        <v>1361</v>
      </c>
      <c r="B1216" s="43" t="s">
        <v>3569</v>
      </c>
      <c r="C1216" s="23">
        <f>VLOOKUP(A1216,'[11]Linea Industria'!$A$6:$G$1020,4,FALSE)</f>
        <v>151.77000000000001</v>
      </c>
      <c r="D1216" s="23">
        <f>VLOOKUP(A1216,'[11]Linea Industria'!$A$6:$G$1020,5,FALSE)</f>
        <v>171.5</v>
      </c>
      <c r="E1216" s="23">
        <f>VLOOKUP(A1216,'[11]Linea Industria'!$A$6:$G$1020,6,FALSE)</f>
        <v>216.81</v>
      </c>
      <c r="F1216" s="23">
        <f>VLOOKUP(A1216,'[11]Linea Industria'!$A$6:$G$1020,7,FALSE)</f>
        <v>245</v>
      </c>
    </row>
    <row r="1217" spans="1:6" x14ac:dyDescent="0.3">
      <c r="A1217" s="44" t="s">
        <v>1362</v>
      </c>
      <c r="B1217" s="43" t="s">
        <v>3570</v>
      </c>
      <c r="C1217" s="23">
        <f>VLOOKUP(A1217,'[11]Linea Industria'!$A$6:$G$1020,4,FALSE)</f>
        <v>28.19</v>
      </c>
      <c r="D1217" s="23">
        <f>VLOOKUP(A1217,'[11]Linea Industria'!$A$6:$G$1020,5,FALSE)</f>
        <v>31.85</v>
      </c>
      <c r="E1217" s="23">
        <f>VLOOKUP(A1217,'[11]Linea Industria'!$A$6:$G$1020,6,FALSE)</f>
        <v>40.270000000000003</v>
      </c>
      <c r="F1217" s="23">
        <f>VLOOKUP(A1217,'[11]Linea Industria'!$A$6:$G$1020,7,FALSE)</f>
        <v>45.5</v>
      </c>
    </row>
    <row r="1218" spans="1:6" x14ac:dyDescent="0.3">
      <c r="A1218" s="44" t="s">
        <v>1363</v>
      </c>
      <c r="B1218" s="43" t="s">
        <v>3571</v>
      </c>
      <c r="C1218" s="23">
        <f>VLOOKUP(A1218,'[11]Linea Industria'!$A$6:$G$1020,4,FALSE)</f>
        <v>28.19</v>
      </c>
      <c r="D1218" s="23">
        <f>VLOOKUP(A1218,'[11]Linea Industria'!$A$6:$G$1020,5,FALSE)</f>
        <v>31.85</v>
      </c>
      <c r="E1218" s="23">
        <f>VLOOKUP(A1218,'[11]Linea Industria'!$A$6:$G$1020,6,FALSE)</f>
        <v>40.270000000000003</v>
      </c>
      <c r="F1218" s="23">
        <f>VLOOKUP(A1218,'[11]Linea Industria'!$A$6:$G$1020,7,FALSE)</f>
        <v>45.5</v>
      </c>
    </row>
    <row r="1219" spans="1:6" x14ac:dyDescent="0.3">
      <c r="A1219" s="44" t="s">
        <v>1364</v>
      </c>
      <c r="B1219" s="43" t="s">
        <v>3570</v>
      </c>
      <c r="C1219" s="23">
        <f>VLOOKUP(A1219,'[11]Linea Industria'!$A$6:$G$1020,4,FALSE)</f>
        <v>126.99</v>
      </c>
      <c r="D1219" s="23">
        <f>VLOOKUP(A1219,'[11]Linea Industria'!$A$6:$G$1020,5,FALSE)</f>
        <v>143.5</v>
      </c>
      <c r="E1219" s="23">
        <f>VLOOKUP(A1219,'[11]Linea Industria'!$A$6:$G$1020,6,FALSE)</f>
        <v>181.42</v>
      </c>
      <c r="F1219" s="23">
        <f>VLOOKUP(A1219,'[11]Linea Industria'!$A$6:$G$1020,7,FALSE)</f>
        <v>205</v>
      </c>
    </row>
    <row r="1220" spans="1:6" x14ac:dyDescent="0.3">
      <c r="A1220" s="44" t="s">
        <v>1365</v>
      </c>
      <c r="B1220" s="43" t="s">
        <v>3571</v>
      </c>
      <c r="C1220" s="23">
        <f>VLOOKUP(A1220,'[11]Linea Industria'!$A$6:$G$1020,4,FALSE)</f>
        <v>126.99</v>
      </c>
      <c r="D1220" s="23">
        <f>VLOOKUP(A1220,'[11]Linea Industria'!$A$6:$G$1020,5,FALSE)</f>
        <v>143.5</v>
      </c>
      <c r="E1220" s="23">
        <f>VLOOKUP(A1220,'[11]Linea Industria'!$A$6:$G$1020,6,FALSE)</f>
        <v>181.42</v>
      </c>
      <c r="F1220" s="23">
        <f>VLOOKUP(A1220,'[11]Linea Industria'!$A$6:$G$1020,7,FALSE)</f>
        <v>205</v>
      </c>
    </row>
    <row r="1221" spans="1:6" x14ac:dyDescent="0.3">
      <c r="A1221" s="45" t="s">
        <v>1366</v>
      </c>
      <c r="B1221" s="43" t="s">
        <v>3572</v>
      </c>
      <c r="C1221" s="23">
        <f>VLOOKUP(A1221,'[11]Linea Industria'!$A$6:$G$1020,4,FALSE)</f>
        <v>11.15</v>
      </c>
      <c r="D1221" s="23">
        <f>VLOOKUP(A1221,'[11]Linea Industria'!$A$6:$G$1020,5,FALSE)</f>
        <v>12.6</v>
      </c>
      <c r="E1221" s="23">
        <f>VLOOKUP(A1221,'[11]Linea Industria'!$A$6:$G$1020,6,FALSE)</f>
        <v>15.49</v>
      </c>
      <c r="F1221" s="23">
        <f>VLOOKUP(A1221,'[11]Linea Industria'!$A$6:$G$1020,7,FALSE)</f>
        <v>17.5</v>
      </c>
    </row>
    <row r="1222" spans="1:6" x14ac:dyDescent="0.3">
      <c r="A1222" s="45" t="s">
        <v>3573</v>
      </c>
      <c r="B1222" s="43" t="s">
        <v>3574</v>
      </c>
      <c r="C1222" s="23">
        <f>VLOOKUP(A1222,'[11]Linea Industria'!$A$6:$G$1020,4,FALSE)</f>
        <v>6.69</v>
      </c>
      <c r="D1222" s="23">
        <f>VLOOKUP(A1222,'[11]Linea Industria'!$A$6:$G$1020,5,FALSE)</f>
        <v>7.56</v>
      </c>
      <c r="E1222" s="23">
        <f>VLOOKUP(A1222,'[11]Linea Industria'!$A$6:$G$1020,6,FALSE)</f>
        <v>9.2899999999999991</v>
      </c>
      <c r="F1222" s="23">
        <f>VLOOKUP(A1222,'[11]Linea Industria'!$A$6:$G$1020,7,FALSE)</f>
        <v>10.5</v>
      </c>
    </row>
    <row r="1223" spans="1:6" x14ac:dyDescent="0.3">
      <c r="A1223" s="45" t="s">
        <v>3575</v>
      </c>
      <c r="B1223" s="43" t="s">
        <v>3576</v>
      </c>
      <c r="C1223" s="23">
        <f>VLOOKUP(A1223,'[11]Linea Industria'!$A$6:$G$1020,4,FALSE)</f>
        <v>6.69</v>
      </c>
      <c r="D1223" s="23">
        <f>VLOOKUP(A1223,'[11]Linea Industria'!$A$6:$G$1020,5,FALSE)</f>
        <v>7.56</v>
      </c>
      <c r="E1223" s="23">
        <f>VLOOKUP(A1223,'[11]Linea Industria'!$A$6:$G$1020,6,FALSE)</f>
        <v>9.2899999999999991</v>
      </c>
      <c r="F1223" s="23">
        <f>VLOOKUP(A1223,'[11]Linea Industria'!$A$6:$G$1020,7,FALSE)</f>
        <v>10.5</v>
      </c>
    </row>
    <row r="1224" spans="1:6" x14ac:dyDescent="0.3">
      <c r="A1224" s="45" t="s">
        <v>3577</v>
      </c>
      <c r="B1224" s="43" t="s">
        <v>3578</v>
      </c>
      <c r="C1224" s="23">
        <f>VLOOKUP(A1224,'[11]Linea Industria'!$A$6:$G$1020,4,FALSE)</f>
        <v>6.69</v>
      </c>
      <c r="D1224" s="23">
        <f>VLOOKUP(A1224,'[11]Linea Industria'!$A$6:$G$1020,5,FALSE)</f>
        <v>7.56</v>
      </c>
      <c r="E1224" s="23">
        <f>VLOOKUP(A1224,'[11]Linea Industria'!$A$6:$G$1020,6,FALSE)</f>
        <v>9.2899999999999991</v>
      </c>
      <c r="F1224" s="23">
        <f>VLOOKUP(A1224,'[11]Linea Industria'!$A$6:$G$1020,7,FALSE)</f>
        <v>10.5</v>
      </c>
    </row>
    <row r="1225" spans="1:6" x14ac:dyDescent="0.3">
      <c r="A1225" s="45" t="s">
        <v>3579</v>
      </c>
      <c r="B1225" s="43" t="s">
        <v>3580</v>
      </c>
      <c r="C1225" s="23">
        <f>VLOOKUP(A1225,'[11]Linea Industria'!$A$6:$G$1020,4,FALSE)</f>
        <v>6.69</v>
      </c>
      <c r="D1225" s="23">
        <f>VLOOKUP(A1225,'[11]Linea Industria'!$A$6:$G$1020,5,FALSE)</f>
        <v>7.56</v>
      </c>
      <c r="E1225" s="23">
        <f>VLOOKUP(A1225,'[11]Linea Industria'!$A$6:$G$1020,6,FALSE)</f>
        <v>9.2899999999999991</v>
      </c>
      <c r="F1225" s="23">
        <f>VLOOKUP(A1225,'[11]Linea Industria'!$A$6:$G$1020,7,FALSE)</f>
        <v>10.5</v>
      </c>
    </row>
    <row r="1226" spans="1:6" x14ac:dyDescent="0.3">
      <c r="A1226" s="45" t="s">
        <v>3581</v>
      </c>
      <c r="B1226" s="43" t="s">
        <v>3578</v>
      </c>
      <c r="C1226" s="23">
        <f>VLOOKUP(A1226,'[11]Linea Industria'!$A$6:$G$1020,4,FALSE)</f>
        <v>25.17</v>
      </c>
      <c r="D1226" s="23">
        <f>VLOOKUP(A1226,'[11]Linea Industria'!$A$6:$G$1020,5,FALSE)</f>
        <v>28.44</v>
      </c>
      <c r="E1226" s="23">
        <f>VLOOKUP(A1226,'[11]Linea Industria'!$A$6:$G$1020,6,FALSE)</f>
        <v>34.96</v>
      </c>
      <c r="F1226" s="23">
        <f>VLOOKUP(A1226,'[11]Linea Industria'!$A$6:$G$1020,7,FALSE)</f>
        <v>39.5</v>
      </c>
    </row>
    <row r="1227" spans="1:6" x14ac:dyDescent="0.3">
      <c r="A1227" s="45" t="s">
        <v>3582</v>
      </c>
      <c r="B1227" s="43" t="s">
        <v>3574</v>
      </c>
      <c r="C1227" s="23">
        <f>VLOOKUP(A1227,'[11]Linea Industria'!$A$6:$G$1020,4,FALSE)</f>
        <v>25.17</v>
      </c>
      <c r="D1227" s="23">
        <f>VLOOKUP(A1227,'[11]Linea Industria'!$A$6:$G$1020,5,FALSE)</f>
        <v>28.44</v>
      </c>
      <c r="E1227" s="23">
        <f>VLOOKUP(A1227,'[11]Linea Industria'!$A$6:$G$1020,6,FALSE)</f>
        <v>34.96</v>
      </c>
      <c r="F1227" s="23">
        <f>VLOOKUP(A1227,'[11]Linea Industria'!$A$6:$G$1020,7,FALSE)</f>
        <v>39.5</v>
      </c>
    </row>
    <row r="1228" spans="1:6" x14ac:dyDescent="0.3">
      <c r="A1228" s="45" t="s">
        <v>3583</v>
      </c>
      <c r="B1228" s="43" t="s">
        <v>3576</v>
      </c>
      <c r="C1228" s="23">
        <f>VLOOKUP(A1228,'[11]Linea Industria'!$A$6:$G$1020,4,FALSE)</f>
        <v>25.17</v>
      </c>
      <c r="D1228" s="23">
        <f>VLOOKUP(A1228,'[11]Linea Industria'!$A$6:$G$1020,5,FALSE)</f>
        <v>28.44</v>
      </c>
      <c r="E1228" s="23">
        <f>VLOOKUP(A1228,'[11]Linea Industria'!$A$6:$G$1020,6,FALSE)</f>
        <v>34.96</v>
      </c>
      <c r="F1228" s="23">
        <f>VLOOKUP(A1228,'[11]Linea Industria'!$A$6:$G$1020,7,FALSE)</f>
        <v>39.5</v>
      </c>
    </row>
    <row r="1229" spans="1:6" x14ac:dyDescent="0.3">
      <c r="A1229" s="45" t="s">
        <v>3584</v>
      </c>
      <c r="B1229" s="43" t="s">
        <v>3585</v>
      </c>
      <c r="C1229" s="23">
        <f>VLOOKUP(A1229,'[11]Linea Industria'!$A$6:$G$1020,4,FALSE)</f>
        <v>25.17</v>
      </c>
      <c r="D1229" s="23">
        <f>VLOOKUP(A1229,'[11]Linea Industria'!$A$6:$G$1020,5,FALSE)</f>
        <v>28.44</v>
      </c>
      <c r="E1229" s="23">
        <f>VLOOKUP(A1229,'[11]Linea Industria'!$A$6:$G$1020,6,FALSE)</f>
        <v>34.96</v>
      </c>
      <c r="F1229" s="23">
        <f>VLOOKUP(A1229,'[11]Linea Industria'!$A$6:$G$1020,7,FALSE)</f>
        <v>39.5</v>
      </c>
    </row>
    <row r="1230" spans="1:6" x14ac:dyDescent="0.3">
      <c r="A1230" s="45" t="s">
        <v>3586</v>
      </c>
      <c r="B1230" s="43" t="s">
        <v>3580</v>
      </c>
      <c r="C1230" s="23">
        <f>VLOOKUP(A1230,'[11]Linea Industria'!$A$6:$G$1020,4,FALSE)</f>
        <v>25.17</v>
      </c>
      <c r="D1230" s="23">
        <f>VLOOKUP(A1230,'[11]Linea Industria'!$A$6:$G$1020,5,FALSE)</f>
        <v>28.44</v>
      </c>
      <c r="E1230" s="23">
        <f>VLOOKUP(A1230,'[11]Linea Industria'!$A$6:$G$1020,6,FALSE)</f>
        <v>34.96</v>
      </c>
      <c r="F1230" s="23">
        <f>VLOOKUP(A1230,'[11]Linea Industria'!$A$6:$G$1020,7,FALSE)</f>
        <v>39.5</v>
      </c>
    </row>
    <row r="1231" spans="1:6" x14ac:dyDescent="0.3">
      <c r="A1231" s="45" t="s">
        <v>3587</v>
      </c>
      <c r="B1231" s="43" t="s">
        <v>3588</v>
      </c>
      <c r="C1231" s="23">
        <f>VLOOKUP(A1231,'[11]Linea Industria'!$A$6:$G$1020,4,FALSE)</f>
        <v>25.17</v>
      </c>
      <c r="D1231" s="23">
        <f>VLOOKUP(A1231,'[11]Linea Industria'!$A$6:$G$1020,5,FALSE)</f>
        <v>28.44</v>
      </c>
      <c r="E1231" s="23">
        <f>VLOOKUP(A1231,'[11]Linea Industria'!$A$6:$G$1020,6,FALSE)</f>
        <v>34.96</v>
      </c>
      <c r="F1231" s="23">
        <f>VLOOKUP(A1231,'[11]Linea Industria'!$A$6:$G$1020,7,FALSE)</f>
        <v>39.5</v>
      </c>
    </row>
    <row r="1232" spans="1:6" x14ac:dyDescent="0.3">
      <c r="A1232" s="45" t="s">
        <v>3589</v>
      </c>
      <c r="B1232" s="43" t="s">
        <v>3590</v>
      </c>
      <c r="C1232" s="23">
        <f>VLOOKUP(A1232,'[11]Linea Industria'!$A$6:$G$1020,4,FALSE)</f>
        <v>25.17</v>
      </c>
      <c r="D1232" s="23">
        <f>VLOOKUP(A1232,'[11]Linea Industria'!$A$6:$G$1020,5,FALSE)</f>
        <v>28.44</v>
      </c>
      <c r="E1232" s="23">
        <f>VLOOKUP(A1232,'[11]Linea Industria'!$A$6:$G$1020,6,FALSE)</f>
        <v>34.96</v>
      </c>
      <c r="F1232" s="23">
        <f>VLOOKUP(A1232,'[11]Linea Industria'!$A$6:$G$1020,7,FALSE)</f>
        <v>39.5</v>
      </c>
    </row>
    <row r="1233" spans="1:6" x14ac:dyDescent="0.3">
      <c r="A1233" s="45" t="s">
        <v>3591</v>
      </c>
      <c r="B1233" s="43" t="s">
        <v>3592</v>
      </c>
      <c r="C1233" s="23">
        <f>VLOOKUP(A1233,'[11]Linea Industria'!$A$6:$G$1020,4,FALSE)</f>
        <v>9.5</v>
      </c>
      <c r="D1233" s="23">
        <f>VLOOKUP(A1233,'[11]Linea Industria'!$A$6:$G$1020,5,FALSE)</f>
        <v>10.73</v>
      </c>
      <c r="E1233" s="23">
        <f>VLOOKUP(A1233,'[11]Linea Industria'!$A$6:$G$1020,6,FALSE)</f>
        <v>13.19</v>
      </c>
      <c r="F1233" s="23">
        <f>VLOOKUP(A1233,'[11]Linea Industria'!$A$6:$G$1020,7,FALSE)</f>
        <v>14.9</v>
      </c>
    </row>
    <row r="1234" spans="1:6" x14ac:dyDescent="0.3">
      <c r="A1234" s="45" t="s">
        <v>3593</v>
      </c>
      <c r="B1234" s="43" t="s">
        <v>3592</v>
      </c>
      <c r="C1234" s="23">
        <f>VLOOKUP(A1234,'[11]Linea Industria'!$A$6:$G$1020,4,FALSE)</f>
        <v>34.979999999999997</v>
      </c>
      <c r="D1234" s="23">
        <f>VLOOKUP(A1234,'[11]Linea Industria'!$A$6:$G$1020,5,FALSE)</f>
        <v>39.53</v>
      </c>
      <c r="E1234" s="23">
        <f>VLOOKUP(A1234,'[11]Linea Industria'!$A$6:$G$1020,6,FALSE)</f>
        <v>48.58</v>
      </c>
      <c r="F1234" s="23">
        <f>VLOOKUP(A1234,'[11]Linea Industria'!$A$6:$G$1020,7,FALSE)</f>
        <v>54.9</v>
      </c>
    </row>
    <row r="1235" spans="1:6" x14ac:dyDescent="0.3">
      <c r="A1235" s="45" t="s">
        <v>3594</v>
      </c>
      <c r="B1235" s="43" t="s">
        <v>3592</v>
      </c>
      <c r="C1235" s="23">
        <f>VLOOKUP(A1235,'[11]Linea Industria'!$A$6:$G$1020,4,FALSE)</f>
        <v>166.3</v>
      </c>
      <c r="D1235" s="23">
        <f>VLOOKUP(A1235,'[11]Linea Industria'!$A$6:$G$1020,5,FALSE)</f>
        <v>187.92</v>
      </c>
      <c r="E1235" s="23">
        <f>VLOOKUP(A1235,'[11]Linea Industria'!$A$6:$G$1020,6,FALSE)</f>
        <v>230.97</v>
      </c>
      <c r="F1235" s="23">
        <f>VLOOKUP(A1235,'[11]Linea Industria'!$A$6:$G$1020,7,FALSE)</f>
        <v>261</v>
      </c>
    </row>
    <row r="1236" spans="1:6" x14ac:dyDescent="0.3">
      <c r="A1236" s="45" t="s">
        <v>3595</v>
      </c>
      <c r="B1236" s="43" t="s">
        <v>3596</v>
      </c>
      <c r="C1236" s="23">
        <f>VLOOKUP(A1236,'[11]Linea Industria'!$A$6:$G$1020,4,FALSE)</f>
        <v>8.99</v>
      </c>
      <c r="D1236" s="23">
        <f>VLOOKUP(A1236,'[11]Linea Industria'!$A$6:$G$1020,5,FALSE)</f>
        <v>10.16</v>
      </c>
      <c r="E1236" s="23">
        <f>VLOOKUP(A1236,'[11]Linea Industria'!$A$6:$G$1020,6,FALSE)</f>
        <v>13.19</v>
      </c>
      <c r="F1236" s="23">
        <f>VLOOKUP(A1236,'[11]Linea Industria'!$A$6:$G$1020,7,FALSE)</f>
        <v>14.9</v>
      </c>
    </row>
    <row r="1237" spans="1:6" x14ac:dyDescent="0.3">
      <c r="A1237" s="45" t="s">
        <v>3597</v>
      </c>
      <c r="B1237" s="43" t="s">
        <v>3596</v>
      </c>
      <c r="C1237" s="23">
        <f>VLOOKUP(A1237,'[11]Linea Industria'!$A$6:$G$1020,4,FALSE)</f>
        <v>33.479999999999997</v>
      </c>
      <c r="D1237" s="23">
        <f>VLOOKUP(A1237,'[11]Linea Industria'!$A$6:$G$1020,5,FALSE)</f>
        <v>37.83</v>
      </c>
      <c r="E1237" s="23">
        <f>VLOOKUP(A1237,'[11]Linea Industria'!$A$6:$G$1020,6,FALSE)</f>
        <v>48.58</v>
      </c>
      <c r="F1237" s="23">
        <f>VLOOKUP(A1237,'[11]Linea Industria'!$A$6:$G$1020,7,FALSE)</f>
        <v>54.9</v>
      </c>
    </row>
    <row r="1238" spans="1:6" x14ac:dyDescent="0.3">
      <c r="A1238" s="45" t="s">
        <v>3598</v>
      </c>
      <c r="B1238" s="43" t="s">
        <v>3596</v>
      </c>
      <c r="C1238" s="23">
        <f>VLOOKUP(A1238,'[11]Linea Industria'!$A$6:$G$1020,4,FALSE)</f>
        <v>158.81</v>
      </c>
      <c r="D1238" s="23">
        <f>VLOOKUP(A1238,'[11]Linea Industria'!$A$6:$G$1020,5,FALSE)</f>
        <v>179.45</v>
      </c>
      <c r="E1238" s="23">
        <f>VLOOKUP(A1238,'[11]Linea Industria'!$A$6:$G$1020,6,FALSE)</f>
        <v>230.97</v>
      </c>
      <c r="F1238" s="23">
        <f>VLOOKUP(A1238,'[11]Linea Industria'!$A$6:$G$1020,7,FALSE)</f>
        <v>261</v>
      </c>
    </row>
    <row r="1239" spans="1:6" x14ac:dyDescent="0.3">
      <c r="A1239" s="45" t="s">
        <v>3599</v>
      </c>
      <c r="B1239" s="43" t="s">
        <v>3600</v>
      </c>
      <c r="C1239" s="23">
        <f>VLOOKUP(A1239,'[11]Linea Industria'!$A$6:$G$1020,4,FALSE)</f>
        <v>7.99</v>
      </c>
      <c r="D1239" s="23">
        <f>VLOOKUP(A1239,'[11]Linea Industria'!$A$6:$G$1020,5,FALSE)</f>
        <v>9.0299999999999994</v>
      </c>
      <c r="E1239" s="23">
        <f>VLOOKUP(A1239,'[11]Linea Industria'!$A$6:$G$1020,6,FALSE)</f>
        <v>13.19</v>
      </c>
      <c r="F1239" s="23">
        <f>VLOOKUP(A1239,'[11]Linea Industria'!$A$6:$G$1020,7,FALSE)</f>
        <v>14.9</v>
      </c>
    </row>
    <row r="1240" spans="1:6" x14ac:dyDescent="0.3">
      <c r="A1240" s="45" t="s">
        <v>3601</v>
      </c>
      <c r="B1240" s="43" t="s">
        <v>3600</v>
      </c>
      <c r="C1240" s="23">
        <f>VLOOKUP(A1240,'[11]Linea Industria'!$A$6:$G$1020,4,FALSE)</f>
        <v>29.98</v>
      </c>
      <c r="D1240" s="23">
        <f>VLOOKUP(A1240,'[11]Linea Industria'!$A$6:$G$1020,5,FALSE)</f>
        <v>33.880000000000003</v>
      </c>
      <c r="E1240" s="23">
        <f>VLOOKUP(A1240,'[11]Linea Industria'!$A$6:$G$1020,6,FALSE)</f>
        <v>48.58</v>
      </c>
      <c r="F1240" s="23">
        <f>VLOOKUP(A1240,'[11]Linea Industria'!$A$6:$G$1020,7,FALSE)</f>
        <v>54.9</v>
      </c>
    </row>
    <row r="1241" spans="1:6" x14ac:dyDescent="0.3">
      <c r="A1241" s="45" t="s">
        <v>3602</v>
      </c>
      <c r="B1241" s="43" t="s">
        <v>3600</v>
      </c>
      <c r="C1241" s="23">
        <f>VLOOKUP(A1241,'[11]Linea Industria'!$A$6:$G$1020,4,FALSE)</f>
        <v>141.30000000000001</v>
      </c>
      <c r="D1241" s="23">
        <f>VLOOKUP(A1241,'[11]Linea Industria'!$A$6:$G$1020,5,FALSE)</f>
        <v>159.66999999999999</v>
      </c>
      <c r="E1241" s="23">
        <f>VLOOKUP(A1241,'[11]Linea Industria'!$A$6:$G$1020,6,FALSE)</f>
        <v>230.97</v>
      </c>
      <c r="F1241" s="23">
        <f>VLOOKUP(A1241,'[11]Linea Industria'!$A$6:$G$1020,7,FALSE)</f>
        <v>261</v>
      </c>
    </row>
    <row r="1242" spans="1:6" x14ac:dyDescent="0.3">
      <c r="A1242" s="45" t="s">
        <v>3603</v>
      </c>
      <c r="B1242" s="43" t="s">
        <v>3604</v>
      </c>
      <c r="C1242" s="23">
        <f>VLOOKUP(A1242,'[11]Linea Industria'!$A$6:$G$1020,4,FALSE)</f>
        <v>55.44</v>
      </c>
      <c r="D1242" s="23">
        <f>VLOOKUP(A1242,'[11]Linea Industria'!$A$6:$G$1020,5,FALSE)</f>
        <v>62.65</v>
      </c>
      <c r="E1242" s="23">
        <f>VLOOKUP(A1242,'[11]Linea Industria'!$A$6:$G$1020,6,FALSE)</f>
        <v>79.2</v>
      </c>
      <c r="F1242" s="23">
        <f>VLOOKUP(A1242,'[11]Linea Industria'!$A$6:$G$1020,7,FALSE)</f>
        <v>89.5</v>
      </c>
    </row>
    <row r="1243" spans="1:6" x14ac:dyDescent="0.3">
      <c r="A1243" s="45" t="s">
        <v>3605</v>
      </c>
      <c r="B1243" s="43" t="s">
        <v>3606</v>
      </c>
      <c r="C1243" s="23">
        <f>VLOOKUP(A1243,'[11]Linea Industria'!$A$6:$G$1020,4,FALSE)</f>
        <v>55.44</v>
      </c>
      <c r="D1243" s="23">
        <f>VLOOKUP(A1243,'[11]Linea Industria'!$A$6:$G$1020,5,FALSE)</f>
        <v>62.65</v>
      </c>
      <c r="E1243" s="23">
        <f>VLOOKUP(A1243,'[11]Linea Industria'!$A$6:$G$1020,6,FALSE)</f>
        <v>79.2</v>
      </c>
      <c r="F1243" s="23">
        <f>VLOOKUP(A1243,'[11]Linea Industria'!$A$6:$G$1020,7,FALSE)</f>
        <v>89.5</v>
      </c>
    </row>
    <row r="1244" spans="1:6" x14ac:dyDescent="0.3">
      <c r="A1244" s="45" t="s">
        <v>3607</v>
      </c>
      <c r="B1244" s="43" t="s">
        <v>3608</v>
      </c>
      <c r="C1244" s="23">
        <f>VLOOKUP(A1244,'[11]Linea Industria'!$A$6:$G$1020,4,FALSE)</f>
        <v>55.44</v>
      </c>
      <c r="D1244" s="23">
        <f>VLOOKUP(A1244,'[11]Linea Industria'!$A$6:$G$1020,5,FALSE)</f>
        <v>62.65</v>
      </c>
      <c r="E1244" s="23">
        <f>VLOOKUP(A1244,'[11]Linea Industria'!$A$6:$G$1020,6,FALSE)</f>
        <v>79.2</v>
      </c>
      <c r="F1244" s="23">
        <f>VLOOKUP(A1244,'[11]Linea Industria'!$A$6:$G$1020,7,FALSE)</f>
        <v>89.5</v>
      </c>
    </row>
    <row r="1245" spans="1:6" x14ac:dyDescent="0.3">
      <c r="A1245" s="45" t="s">
        <v>3609</v>
      </c>
      <c r="B1245" s="43" t="s">
        <v>3610</v>
      </c>
      <c r="C1245" s="23">
        <f>VLOOKUP(A1245,'[11]Linea Industria'!$A$6:$G$1020,4,FALSE)</f>
        <v>55.44</v>
      </c>
      <c r="D1245" s="23">
        <f>VLOOKUP(A1245,'[11]Linea Industria'!$A$6:$G$1020,5,FALSE)</f>
        <v>62.65</v>
      </c>
      <c r="E1245" s="23">
        <f>VLOOKUP(A1245,'[11]Linea Industria'!$A$6:$G$1020,6,FALSE)</f>
        <v>79.2</v>
      </c>
      <c r="F1245" s="23">
        <f>VLOOKUP(A1245,'[11]Linea Industria'!$A$6:$G$1020,7,FALSE)</f>
        <v>89.5</v>
      </c>
    </row>
    <row r="1246" spans="1:6" x14ac:dyDescent="0.3">
      <c r="A1246" s="45" t="s">
        <v>3611</v>
      </c>
      <c r="B1246" s="43" t="s">
        <v>3612</v>
      </c>
      <c r="C1246" s="23">
        <f>VLOOKUP(A1246,'[11]Linea Industria'!$A$6:$G$1020,4,FALSE)</f>
        <v>55.44</v>
      </c>
      <c r="D1246" s="23">
        <f>VLOOKUP(A1246,'[11]Linea Industria'!$A$6:$G$1020,5,FALSE)</f>
        <v>62.65</v>
      </c>
      <c r="E1246" s="23">
        <f>VLOOKUP(A1246,'[11]Linea Industria'!$A$6:$G$1020,6,FALSE)</f>
        <v>79.2</v>
      </c>
      <c r="F1246" s="23">
        <f>VLOOKUP(A1246,'[11]Linea Industria'!$A$6:$G$1020,7,FALSE)</f>
        <v>89.5</v>
      </c>
    </row>
    <row r="1247" spans="1:6" x14ac:dyDescent="0.3">
      <c r="A1247" s="45" t="s">
        <v>3613</v>
      </c>
      <c r="B1247" s="43" t="s">
        <v>3614</v>
      </c>
      <c r="C1247" s="23">
        <f>VLOOKUP(A1247,'[11]Linea Industria'!$A$6:$G$1020,4,FALSE)</f>
        <v>55.44</v>
      </c>
      <c r="D1247" s="23">
        <f>VLOOKUP(A1247,'[11]Linea Industria'!$A$6:$G$1020,5,FALSE)</f>
        <v>62.65</v>
      </c>
      <c r="E1247" s="23">
        <f>VLOOKUP(A1247,'[11]Linea Industria'!$A$6:$G$1020,6,FALSE)</f>
        <v>79.2</v>
      </c>
      <c r="F1247" s="23">
        <f>VLOOKUP(A1247,'[11]Linea Industria'!$A$6:$G$1020,7,FALSE)</f>
        <v>89.5</v>
      </c>
    </row>
    <row r="1248" spans="1:6" x14ac:dyDescent="0.3">
      <c r="A1248" s="45" t="s">
        <v>3615</v>
      </c>
      <c r="B1248" s="43" t="s">
        <v>3616</v>
      </c>
      <c r="C1248" s="23">
        <f>VLOOKUP(A1248,'[11]Linea Industria'!$A$6:$G$1020,4,FALSE)</f>
        <v>55.44</v>
      </c>
      <c r="D1248" s="23">
        <f>VLOOKUP(A1248,'[11]Linea Industria'!$A$6:$G$1020,5,FALSE)</f>
        <v>62.65</v>
      </c>
      <c r="E1248" s="23">
        <f>VLOOKUP(A1248,'[11]Linea Industria'!$A$6:$G$1020,6,FALSE)</f>
        <v>79.2</v>
      </c>
      <c r="F1248" s="23">
        <f>VLOOKUP(A1248,'[11]Linea Industria'!$A$6:$G$1020,7,FALSE)</f>
        <v>89.5</v>
      </c>
    </row>
    <row r="1249" spans="1:6" x14ac:dyDescent="0.3">
      <c r="A1249" s="45" t="s">
        <v>3617</v>
      </c>
      <c r="B1249" s="43" t="s">
        <v>3618</v>
      </c>
      <c r="C1249" s="23">
        <f>VLOOKUP(A1249,'[11]Linea Industria'!$A$6:$G$1020,4,FALSE)</f>
        <v>33.450000000000003</v>
      </c>
      <c r="D1249" s="23">
        <f>VLOOKUP(A1249,'[11]Linea Industria'!$A$6:$G$1020,5,FALSE)</f>
        <v>37.799999999999997</v>
      </c>
      <c r="E1249" s="23">
        <f>VLOOKUP(A1249,'[11]Linea Industria'!$A$6:$G$1020,6,FALSE)</f>
        <v>47.79</v>
      </c>
      <c r="F1249" s="23">
        <f>VLOOKUP(A1249,'[11]Linea Industria'!$A$6:$G$1020,7,FALSE)</f>
        <v>54</v>
      </c>
    </row>
    <row r="1250" spans="1:6" x14ac:dyDescent="0.3">
      <c r="A1250" s="45" t="s">
        <v>3619</v>
      </c>
      <c r="B1250" s="43" t="s">
        <v>3620</v>
      </c>
      <c r="C1250" s="23">
        <f>VLOOKUP(A1250,'[11]Linea Industria'!$A$6:$G$1020,4,FALSE)</f>
        <v>58.3</v>
      </c>
      <c r="D1250" s="23">
        <f>VLOOKUP(A1250,'[11]Linea Industria'!$A$6:$G$1020,5,FALSE)</f>
        <v>65.88</v>
      </c>
      <c r="E1250" s="23">
        <f>VLOOKUP(A1250,'[11]Linea Industria'!$A$6:$G$1020,6,FALSE)</f>
        <v>80.97</v>
      </c>
      <c r="F1250" s="23">
        <f>VLOOKUP(A1250,'[11]Linea Industria'!$A$6:$G$1020,7,FALSE)</f>
        <v>91.5</v>
      </c>
    </row>
    <row r="1251" spans="1:6" x14ac:dyDescent="0.3">
      <c r="A1251" s="45" t="s">
        <v>3621</v>
      </c>
      <c r="B1251" s="43" t="s">
        <v>3622</v>
      </c>
      <c r="C1251" s="23">
        <f>VLOOKUP(A1251,'[11]Linea Industria'!$A$6:$G$1020,4,FALSE)</f>
        <v>58.3</v>
      </c>
      <c r="D1251" s="23">
        <f>VLOOKUP(A1251,'[11]Linea Industria'!$A$6:$G$1020,5,FALSE)</f>
        <v>65.88</v>
      </c>
      <c r="E1251" s="23">
        <f>VLOOKUP(A1251,'[11]Linea Industria'!$A$6:$G$1020,6,FALSE)</f>
        <v>80.97</v>
      </c>
      <c r="F1251" s="23">
        <f>VLOOKUP(A1251,'[11]Linea Industria'!$A$6:$G$1020,7,FALSE)</f>
        <v>91.5</v>
      </c>
    </row>
    <row r="1252" spans="1:6" x14ac:dyDescent="0.3">
      <c r="A1252" s="45" t="s">
        <v>3623</v>
      </c>
      <c r="B1252" s="43" t="s">
        <v>3624</v>
      </c>
      <c r="C1252" s="23">
        <f>VLOOKUP(A1252,'[11]Linea Industria'!$A$6:$G$1020,4,FALSE)</f>
        <v>58.3</v>
      </c>
      <c r="D1252" s="23">
        <f>VLOOKUP(A1252,'[11]Linea Industria'!$A$6:$G$1020,5,FALSE)</f>
        <v>65.88</v>
      </c>
      <c r="E1252" s="23">
        <f>VLOOKUP(A1252,'[11]Linea Industria'!$A$6:$G$1020,6,FALSE)</f>
        <v>80.97</v>
      </c>
      <c r="F1252" s="23">
        <f>VLOOKUP(A1252,'[11]Linea Industria'!$A$6:$G$1020,7,FALSE)</f>
        <v>91.5</v>
      </c>
    </row>
    <row r="1253" spans="1:6" x14ac:dyDescent="0.3">
      <c r="A1253" s="45" t="s">
        <v>3625</v>
      </c>
      <c r="B1253" s="43" t="s">
        <v>3626</v>
      </c>
      <c r="C1253" s="23">
        <f>VLOOKUP(A1253,'[11]Linea Industria'!$A$6:$G$1020,4,FALSE)</f>
        <v>58.3</v>
      </c>
      <c r="D1253" s="23">
        <f>VLOOKUP(A1253,'[11]Linea Industria'!$A$6:$G$1020,5,FALSE)</f>
        <v>65.88</v>
      </c>
      <c r="E1253" s="23">
        <f>VLOOKUP(A1253,'[11]Linea Industria'!$A$6:$G$1020,6,FALSE)</f>
        <v>80.97</v>
      </c>
      <c r="F1253" s="23">
        <f>VLOOKUP(A1253,'[11]Linea Industria'!$A$6:$G$1020,7,FALSE)</f>
        <v>91.5</v>
      </c>
    </row>
    <row r="1254" spans="1:6" x14ac:dyDescent="0.3">
      <c r="A1254" s="45" t="s">
        <v>3627</v>
      </c>
      <c r="B1254" s="43" t="s">
        <v>3628</v>
      </c>
      <c r="C1254" s="23">
        <f>VLOOKUP(A1254,'[11]Linea Industria'!$A$6:$G$1020,4,FALSE)</f>
        <v>51.9</v>
      </c>
      <c r="D1254" s="23">
        <f>VLOOKUP(A1254,'[11]Linea Industria'!$A$6:$G$1020,5,FALSE)</f>
        <v>58.65</v>
      </c>
      <c r="E1254" s="23">
        <f>VLOOKUP(A1254,'[11]Linea Industria'!$A$6:$G$1020,6,FALSE)</f>
        <v>80.97</v>
      </c>
      <c r="F1254" s="23">
        <f>VLOOKUP(A1254,'[11]Linea Industria'!$A$6:$G$1020,7,FALSE)</f>
        <v>91.5</v>
      </c>
    </row>
    <row r="1255" spans="1:6" x14ac:dyDescent="0.3">
      <c r="A1255" s="45" t="s">
        <v>3629</v>
      </c>
      <c r="B1255" s="43" t="s">
        <v>3630</v>
      </c>
      <c r="C1255" s="23">
        <f>VLOOKUP(A1255,'[11]Linea Industria'!$A$6:$G$1020,4,FALSE)</f>
        <v>39.1</v>
      </c>
      <c r="D1255" s="23">
        <f>VLOOKUP(A1255,'[11]Linea Industria'!$A$6:$G$1020,5,FALSE)</f>
        <v>44.18</v>
      </c>
      <c r="E1255" s="23">
        <f>VLOOKUP(A1255,'[11]Linea Industria'!$A$6:$G$1020,6,FALSE)</f>
        <v>80.97</v>
      </c>
      <c r="F1255" s="23">
        <f>VLOOKUP(A1255,'[11]Linea Industria'!$A$6:$G$1020,7,FALSE)</f>
        <v>91.5</v>
      </c>
    </row>
    <row r="1256" spans="1:6" x14ac:dyDescent="0.3">
      <c r="A1256" s="45" t="s">
        <v>3631</v>
      </c>
      <c r="B1256" s="43" t="s">
        <v>3632</v>
      </c>
      <c r="C1256" s="23">
        <f>VLOOKUP(A1256,'[11]Linea Industria'!$A$6:$G$1020,4,FALSE)</f>
        <v>13.96</v>
      </c>
      <c r="D1256" s="23">
        <f>VLOOKUP(A1256,'[11]Linea Industria'!$A$6:$G$1020,5,FALSE)</f>
        <v>15.77</v>
      </c>
      <c r="E1256" s="23">
        <f>VLOOKUP(A1256,'[11]Linea Industria'!$A$6:$G$1020,6,FALSE)</f>
        <v>19.38</v>
      </c>
      <c r="F1256" s="23">
        <f>VLOOKUP(A1256,'[11]Linea Industria'!$A$6:$G$1020,7,FALSE)</f>
        <v>21.9</v>
      </c>
    </row>
    <row r="1257" spans="1:6" x14ac:dyDescent="0.3">
      <c r="A1257" s="45" t="s">
        <v>1367</v>
      </c>
      <c r="B1257" s="43" t="s">
        <v>3633</v>
      </c>
      <c r="C1257" s="23">
        <f>VLOOKUP(A1257,'[11]Linea Industria'!$A$6:$G$1020,4,FALSE)</f>
        <v>4.4000000000000004</v>
      </c>
      <c r="D1257" s="23">
        <f>VLOOKUP(A1257,'[11]Linea Industria'!$A$6:$G$1020,5,FALSE)</f>
        <v>4.97</v>
      </c>
      <c r="E1257" s="23">
        <f>VLOOKUP(A1257,'[11]Linea Industria'!$A$6:$G$1020,6,FALSE)</f>
        <v>6.11</v>
      </c>
      <c r="F1257" s="23">
        <f>VLOOKUP(A1257,'[11]Linea Industria'!$A$6:$G$1020,7,FALSE)</f>
        <v>6.9</v>
      </c>
    </row>
    <row r="1258" spans="1:6" x14ac:dyDescent="0.3">
      <c r="A1258" s="45" t="s">
        <v>1368</v>
      </c>
      <c r="B1258" s="43" t="s">
        <v>3633</v>
      </c>
      <c r="C1258" s="23">
        <f>VLOOKUP(A1258,'[11]Linea Industria'!$A$6:$G$1020,4,FALSE)</f>
        <v>8.2200000000000006</v>
      </c>
      <c r="D1258" s="23">
        <f>VLOOKUP(A1258,'[11]Linea Industria'!$A$6:$G$1020,5,FALSE)</f>
        <v>9.2899999999999991</v>
      </c>
      <c r="E1258" s="23">
        <f>VLOOKUP(A1258,'[11]Linea Industria'!$A$6:$G$1020,6,FALSE)</f>
        <v>11.42</v>
      </c>
      <c r="F1258" s="23">
        <f>VLOOKUP(A1258,'[11]Linea Industria'!$A$6:$G$1020,7,FALSE)</f>
        <v>12.9</v>
      </c>
    </row>
    <row r="1259" spans="1:6" x14ac:dyDescent="0.3">
      <c r="A1259" s="45" t="s">
        <v>1369</v>
      </c>
      <c r="B1259" s="43" t="s">
        <v>3633</v>
      </c>
      <c r="C1259" s="23">
        <f>VLOOKUP(A1259,'[11]Linea Industria'!$A$6:$G$1020,4,FALSE)</f>
        <v>29.25</v>
      </c>
      <c r="D1259" s="23">
        <f>VLOOKUP(A1259,'[11]Linea Industria'!$A$6:$G$1020,5,FALSE)</f>
        <v>33.049999999999997</v>
      </c>
      <c r="E1259" s="23">
        <f>VLOOKUP(A1259,'[11]Linea Industria'!$A$6:$G$1020,6,FALSE)</f>
        <v>40.619999999999997</v>
      </c>
      <c r="F1259" s="23">
        <f>VLOOKUP(A1259,'[11]Linea Industria'!$A$6:$G$1020,7,FALSE)</f>
        <v>45.9</v>
      </c>
    </row>
    <row r="1260" spans="1:6" x14ac:dyDescent="0.3">
      <c r="A1260" s="45" t="s">
        <v>1370</v>
      </c>
      <c r="B1260" s="43" t="s">
        <v>3634</v>
      </c>
      <c r="C1260" s="23">
        <f>VLOOKUP(A1260,'[11]Linea Industria'!$A$6:$G$1020,4,FALSE)</f>
        <v>101.31</v>
      </c>
      <c r="D1260" s="23">
        <f>VLOOKUP(A1260,'[11]Linea Industria'!$A$6:$G$1020,5,FALSE)</f>
        <v>114.48</v>
      </c>
      <c r="E1260" s="23">
        <f>VLOOKUP(A1260,'[11]Linea Industria'!$A$6:$G$1020,6,FALSE)</f>
        <v>140.71</v>
      </c>
      <c r="F1260" s="23">
        <f>VLOOKUP(A1260,'[11]Linea Industria'!$A$6:$G$1020,7,FALSE)</f>
        <v>159</v>
      </c>
    </row>
    <row r="1261" spans="1:6" x14ac:dyDescent="0.3">
      <c r="A1261" s="45" t="s">
        <v>1371</v>
      </c>
      <c r="B1261" s="43" t="s">
        <v>3635</v>
      </c>
      <c r="C1261" s="23">
        <f>VLOOKUP(A1261,'[11]Linea Industria'!$A$6:$G$1020,4,FALSE)</f>
        <v>183.5</v>
      </c>
      <c r="D1261" s="23">
        <f>VLOOKUP(A1261,'[11]Linea Industria'!$A$6:$G$1020,5,FALSE)</f>
        <v>207.36</v>
      </c>
      <c r="E1261" s="23">
        <f>VLOOKUP(A1261,'[11]Linea Industria'!$A$6:$G$1020,6,FALSE)</f>
        <v>254.87</v>
      </c>
      <c r="F1261" s="23">
        <f>VLOOKUP(A1261,'[11]Linea Industria'!$A$6:$G$1020,7,FALSE)</f>
        <v>288</v>
      </c>
    </row>
    <row r="1262" spans="1:6" x14ac:dyDescent="0.3">
      <c r="A1262" s="45" t="s">
        <v>1372</v>
      </c>
      <c r="B1262" s="43" t="s">
        <v>3636</v>
      </c>
      <c r="C1262" s="23">
        <f>VLOOKUP(A1262,'[11]Linea Industria'!$A$6:$G$1020,4,FALSE)</f>
        <v>101.31</v>
      </c>
      <c r="D1262" s="23">
        <f>VLOOKUP(A1262,'[11]Linea Industria'!$A$6:$G$1020,5,FALSE)</f>
        <v>114.48</v>
      </c>
      <c r="E1262" s="23">
        <f>VLOOKUP(A1262,'[11]Linea Industria'!$A$6:$G$1020,6,FALSE)</f>
        <v>140.71</v>
      </c>
      <c r="F1262" s="23">
        <f>VLOOKUP(A1262,'[11]Linea Industria'!$A$6:$G$1020,7,FALSE)</f>
        <v>159</v>
      </c>
    </row>
    <row r="1263" spans="1:6" x14ac:dyDescent="0.3">
      <c r="A1263" s="45" t="s">
        <v>1373</v>
      </c>
      <c r="B1263" s="43" t="s">
        <v>3637</v>
      </c>
      <c r="C1263" s="23">
        <f>VLOOKUP(A1263,'[11]Linea Industria'!$A$6:$G$1020,4,FALSE)</f>
        <v>107.68</v>
      </c>
      <c r="D1263" s="23">
        <f>VLOOKUP(A1263,'[11]Linea Industria'!$A$6:$G$1020,5,FALSE)</f>
        <v>121.68</v>
      </c>
      <c r="E1263" s="23">
        <f>VLOOKUP(A1263,'[11]Linea Industria'!$A$6:$G$1020,6,FALSE)</f>
        <v>149.56</v>
      </c>
      <c r="F1263" s="23">
        <f>VLOOKUP(A1263,'[11]Linea Industria'!$A$6:$G$1020,7,FALSE)</f>
        <v>169</v>
      </c>
    </row>
    <row r="1264" spans="1:6" x14ac:dyDescent="0.3">
      <c r="A1264" s="45" t="s">
        <v>1374</v>
      </c>
      <c r="B1264" s="43" t="s">
        <v>3638</v>
      </c>
      <c r="C1264" s="23">
        <f>VLOOKUP(A1264,'[11]Linea Industria'!$A$6:$G$1020,4,FALSE)</f>
        <v>107.68</v>
      </c>
      <c r="D1264" s="23">
        <f>VLOOKUP(A1264,'[11]Linea Industria'!$A$6:$G$1020,5,FALSE)</f>
        <v>121.68</v>
      </c>
      <c r="E1264" s="23">
        <f>VLOOKUP(A1264,'[11]Linea Industria'!$A$6:$G$1020,6,FALSE)</f>
        <v>149.56</v>
      </c>
      <c r="F1264" s="23">
        <f>VLOOKUP(A1264,'[11]Linea Industria'!$A$6:$G$1020,7,FALSE)</f>
        <v>169</v>
      </c>
    </row>
    <row r="1265" spans="1:6" x14ac:dyDescent="0.3">
      <c r="A1265" s="45" t="s">
        <v>1375</v>
      </c>
      <c r="B1265" s="43" t="s">
        <v>3639</v>
      </c>
      <c r="C1265" s="23">
        <f>VLOOKUP(A1265,'[11]Linea Industria'!$A$6:$G$1020,4,FALSE)</f>
        <v>107.68</v>
      </c>
      <c r="D1265" s="23">
        <f>VLOOKUP(A1265,'[11]Linea Industria'!$A$6:$G$1020,5,FALSE)</f>
        <v>121.68</v>
      </c>
      <c r="E1265" s="23">
        <f>VLOOKUP(A1265,'[11]Linea Industria'!$A$6:$G$1020,6,FALSE)</f>
        <v>149.56</v>
      </c>
      <c r="F1265" s="23">
        <f>VLOOKUP(A1265,'[11]Linea Industria'!$A$6:$G$1020,7,FALSE)</f>
        <v>169</v>
      </c>
    </row>
    <row r="1266" spans="1:6" x14ac:dyDescent="0.3">
      <c r="A1266" s="45" t="s">
        <v>1376</v>
      </c>
      <c r="B1266" s="43" t="s">
        <v>3634</v>
      </c>
      <c r="C1266" s="23">
        <f>VLOOKUP(A1266,'[11]Linea Industria'!$A$6:$G$1020,4,FALSE)</f>
        <v>519.92999999999995</v>
      </c>
      <c r="D1266" s="23">
        <f>VLOOKUP(A1266,'[11]Linea Industria'!$A$6:$G$1020,5,FALSE)</f>
        <v>587.52</v>
      </c>
      <c r="E1266" s="23">
        <f>VLOOKUP(A1266,'[11]Linea Industria'!$A$6:$G$1020,6,FALSE)</f>
        <v>722.12</v>
      </c>
      <c r="F1266" s="23">
        <f>VLOOKUP(A1266,'[11]Linea Industria'!$A$6:$G$1020,7,FALSE)</f>
        <v>816</v>
      </c>
    </row>
    <row r="1267" spans="1:6" x14ac:dyDescent="0.3">
      <c r="A1267" s="45" t="s">
        <v>1377</v>
      </c>
      <c r="B1267" s="43" t="s">
        <v>3635</v>
      </c>
      <c r="C1267" s="23">
        <f>VLOOKUP(A1267,'[11]Linea Industria'!$A$6:$G$1020,4,FALSE)</f>
        <v>1027.75</v>
      </c>
      <c r="D1267" s="23">
        <f>VLOOKUP(A1267,'[11]Linea Industria'!$A$6:$G$1020,5,FALSE)</f>
        <v>1161.3599999999999</v>
      </c>
      <c r="E1267" s="23">
        <f>VLOOKUP(A1267,'[11]Linea Industria'!$A$6:$G$1020,6,FALSE)</f>
        <v>1427.43</v>
      </c>
      <c r="F1267" s="23">
        <f>VLOOKUP(A1267,'[11]Linea Industria'!$A$6:$G$1020,7,FALSE)</f>
        <v>1613</v>
      </c>
    </row>
    <row r="1268" spans="1:6" x14ac:dyDescent="0.3">
      <c r="A1268" s="45" t="s">
        <v>1378</v>
      </c>
      <c r="B1268" s="43" t="s">
        <v>3636</v>
      </c>
      <c r="C1268" s="23">
        <f>VLOOKUP(A1268,'[11]Linea Industria'!$A$6:$G$1020,4,FALSE)</f>
        <v>519.92999999999995</v>
      </c>
      <c r="D1268" s="23">
        <f>VLOOKUP(A1268,'[11]Linea Industria'!$A$6:$G$1020,5,FALSE)</f>
        <v>587.52</v>
      </c>
      <c r="E1268" s="23">
        <f>VLOOKUP(A1268,'[11]Linea Industria'!$A$6:$G$1020,6,FALSE)</f>
        <v>722.12</v>
      </c>
      <c r="F1268" s="23">
        <f>VLOOKUP(A1268,'[11]Linea Industria'!$A$6:$G$1020,7,FALSE)</f>
        <v>816</v>
      </c>
    </row>
    <row r="1269" spans="1:6" x14ac:dyDescent="0.3">
      <c r="A1269" s="45" t="s">
        <v>1379</v>
      </c>
      <c r="B1269" s="43" t="s">
        <v>3637</v>
      </c>
      <c r="C1269" s="23">
        <f>VLOOKUP(A1269,'[11]Linea Industria'!$A$6:$G$1020,4,FALSE)</f>
        <v>538.41</v>
      </c>
      <c r="D1269" s="23">
        <f>VLOOKUP(A1269,'[11]Linea Industria'!$A$6:$G$1020,5,FALSE)</f>
        <v>608.4</v>
      </c>
      <c r="E1269" s="23">
        <f>VLOOKUP(A1269,'[11]Linea Industria'!$A$6:$G$1020,6,FALSE)</f>
        <v>747.79</v>
      </c>
      <c r="F1269" s="23">
        <f>VLOOKUP(A1269,'[11]Linea Industria'!$A$6:$G$1020,7,FALSE)</f>
        <v>845</v>
      </c>
    </row>
    <row r="1270" spans="1:6" x14ac:dyDescent="0.3">
      <c r="A1270" s="45" t="s">
        <v>1380</v>
      </c>
      <c r="B1270" s="43" t="s">
        <v>3638</v>
      </c>
      <c r="C1270" s="23">
        <f>VLOOKUP(A1270,'[11]Linea Industria'!$A$6:$G$1020,4,FALSE)</f>
        <v>538.41</v>
      </c>
      <c r="D1270" s="23">
        <f>VLOOKUP(A1270,'[11]Linea Industria'!$A$6:$G$1020,5,FALSE)</f>
        <v>608.4</v>
      </c>
      <c r="E1270" s="23">
        <f>VLOOKUP(A1270,'[11]Linea Industria'!$A$6:$G$1020,6,FALSE)</f>
        <v>747.79</v>
      </c>
      <c r="F1270" s="23">
        <f>VLOOKUP(A1270,'[11]Linea Industria'!$A$6:$G$1020,7,FALSE)</f>
        <v>845</v>
      </c>
    </row>
    <row r="1271" spans="1:6" x14ac:dyDescent="0.3">
      <c r="A1271" s="45" t="s">
        <v>1381</v>
      </c>
      <c r="B1271" s="43" t="s">
        <v>3639</v>
      </c>
      <c r="C1271" s="23">
        <f>VLOOKUP(A1271,'[11]Linea Industria'!$A$6:$G$1020,4,FALSE)</f>
        <v>538.41</v>
      </c>
      <c r="D1271" s="23">
        <f>VLOOKUP(A1271,'[11]Linea Industria'!$A$6:$G$1020,5,FALSE)</f>
        <v>608.4</v>
      </c>
      <c r="E1271" s="23">
        <f>VLOOKUP(A1271,'[11]Linea Industria'!$A$6:$G$1020,6,FALSE)</f>
        <v>747.79</v>
      </c>
      <c r="F1271" s="23">
        <f>VLOOKUP(A1271,'[11]Linea Industria'!$A$6:$G$1020,7,FALSE)</f>
        <v>845</v>
      </c>
    </row>
    <row r="1272" spans="1:6" x14ac:dyDescent="0.3">
      <c r="A1272" s="45" t="s">
        <v>1382</v>
      </c>
      <c r="B1272" s="43" t="s">
        <v>3640</v>
      </c>
      <c r="C1272" s="23">
        <f>VLOOKUP(A1272,'[11]Linea Industria'!$A$6:$G$1020,4,FALSE)</f>
        <v>63.02</v>
      </c>
      <c r="D1272" s="23">
        <f>VLOOKUP(A1272,'[11]Linea Industria'!$A$6:$G$1020,5,FALSE)</f>
        <v>71.209999999999994</v>
      </c>
      <c r="E1272" s="23">
        <f>VLOOKUP(A1272,'[11]Linea Industria'!$A$6:$G$1020,6,FALSE)</f>
        <v>87.52</v>
      </c>
      <c r="F1272" s="23">
        <f>VLOOKUP(A1272,'[11]Linea Industria'!$A$6:$G$1020,7,FALSE)</f>
        <v>98.9</v>
      </c>
    </row>
    <row r="1273" spans="1:6" x14ac:dyDescent="0.3">
      <c r="A1273" s="45" t="s">
        <v>1383</v>
      </c>
      <c r="B1273" s="43" t="s">
        <v>3641</v>
      </c>
      <c r="C1273" s="23">
        <f>VLOOKUP(A1273,'[11]Linea Industria'!$A$6:$G$1020,4,FALSE)</f>
        <v>63.02</v>
      </c>
      <c r="D1273" s="23">
        <f>VLOOKUP(A1273,'[11]Linea Industria'!$A$6:$G$1020,5,FALSE)</f>
        <v>71.209999999999994</v>
      </c>
      <c r="E1273" s="23">
        <f>VLOOKUP(A1273,'[11]Linea Industria'!$A$6:$G$1020,6,FALSE)</f>
        <v>87.52</v>
      </c>
      <c r="F1273" s="23">
        <f>VLOOKUP(A1273,'[11]Linea Industria'!$A$6:$G$1020,7,FALSE)</f>
        <v>98.9</v>
      </c>
    </row>
    <row r="1274" spans="1:6" x14ac:dyDescent="0.3">
      <c r="A1274" s="45" t="s">
        <v>1384</v>
      </c>
      <c r="B1274" s="43" t="s">
        <v>3642</v>
      </c>
      <c r="C1274" s="23">
        <f>VLOOKUP(A1274,'[11]Linea Industria'!$A$6:$G$1020,4,FALSE)</f>
        <v>63.02</v>
      </c>
      <c r="D1274" s="23">
        <f>VLOOKUP(A1274,'[11]Linea Industria'!$A$6:$G$1020,5,FALSE)</f>
        <v>71.209999999999994</v>
      </c>
      <c r="E1274" s="23">
        <f>VLOOKUP(A1274,'[11]Linea Industria'!$A$6:$G$1020,6,FALSE)</f>
        <v>87.52</v>
      </c>
      <c r="F1274" s="23">
        <f>VLOOKUP(A1274,'[11]Linea Industria'!$A$6:$G$1020,7,FALSE)</f>
        <v>98.9</v>
      </c>
    </row>
    <row r="1275" spans="1:6" x14ac:dyDescent="0.3">
      <c r="A1275" s="45" t="s">
        <v>1385</v>
      </c>
      <c r="B1275" s="43" t="s">
        <v>3640</v>
      </c>
      <c r="C1275" s="23">
        <f>VLOOKUP(A1275,'[11]Linea Industria'!$A$6:$G$1020,4,FALSE)</f>
        <v>382.3</v>
      </c>
      <c r="D1275" s="23">
        <f>VLOOKUP(A1275,'[11]Linea Industria'!$A$6:$G$1020,5,FALSE)</f>
        <v>432</v>
      </c>
      <c r="E1275" s="23">
        <f>VLOOKUP(A1275,'[11]Linea Industria'!$A$6:$G$1020,6,FALSE)</f>
        <v>530.97</v>
      </c>
      <c r="F1275" s="23">
        <f>VLOOKUP(A1275,'[11]Linea Industria'!$A$6:$G$1020,7,FALSE)</f>
        <v>600</v>
      </c>
    </row>
    <row r="1276" spans="1:6" x14ac:dyDescent="0.3">
      <c r="A1276" s="45" t="s">
        <v>1386</v>
      </c>
      <c r="B1276" s="43" t="s">
        <v>3641</v>
      </c>
      <c r="C1276" s="23">
        <f>VLOOKUP(A1276,'[11]Linea Industria'!$A$6:$G$1020,4,FALSE)</f>
        <v>382.3</v>
      </c>
      <c r="D1276" s="23">
        <f>VLOOKUP(A1276,'[11]Linea Industria'!$A$6:$G$1020,5,FALSE)</f>
        <v>432</v>
      </c>
      <c r="E1276" s="23">
        <f>VLOOKUP(A1276,'[11]Linea Industria'!$A$6:$G$1020,6,FALSE)</f>
        <v>530.97</v>
      </c>
      <c r="F1276" s="23">
        <f>VLOOKUP(A1276,'[11]Linea Industria'!$A$6:$G$1020,7,FALSE)</f>
        <v>600</v>
      </c>
    </row>
    <row r="1277" spans="1:6" x14ac:dyDescent="0.3">
      <c r="A1277" s="45" t="s">
        <v>1387</v>
      </c>
      <c r="B1277" s="43" t="s">
        <v>3642</v>
      </c>
      <c r="C1277" s="23">
        <f>VLOOKUP(A1277,'[11]Linea Industria'!$A$6:$G$1020,4,FALSE)</f>
        <v>382.3</v>
      </c>
      <c r="D1277" s="23">
        <f>VLOOKUP(A1277,'[11]Linea Industria'!$A$6:$G$1020,5,FALSE)</f>
        <v>432</v>
      </c>
      <c r="E1277" s="23">
        <f>VLOOKUP(A1277,'[11]Linea Industria'!$A$6:$G$1020,6,FALSE)</f>
        <v>530.97</v>
      </c>
      <c r="F1277" s="23">
        <f>VLOOKUP(A1277,'[11]Linea Industria'!$A$6:$G$1020,7,FALSE)</f>
        <v>600</v>
      </c>
    </row>
    <row r="1278" spans="1:6" x14ac:dyDescent="0.3">
      <c r="A1278" s="45" t="s">
        <v>1388</v>
      </c>
      <c r="B1278" s="43" t="s">
        <v>1389</v>
      </c>
      <c r="C1278" s="23">
        <f>VLOOKUP(A1278,'[11]Linea Industria'!$A$6:$G$1020,4,FALSE)</f>
        <v>49.06</v>
      </c>
      <c r="D1278" s="23">
        <f>VLOOKUP(A1278,'[11]Linea Industria'!$A$6:$G$1020,5,FALSE)</f>
        <v>55.44</v>
      </c>
      <c r="E1278" s="23">
        <f>VLOOKUP(A1278,'[11]Linea Industria'!$A$6:$G$1020,6,FALSE)</f>
        <v>68.14</v>
      </c>
      <c r="F1278" s="23">
        <f>VLOOKUP(A1278,'[11]Linea Industria'!$A$6:$G$1020,7,FALSE)</f>
        <v>77</v>
      </c>
    </row>
    <row r="1279" spans="1:6" x14ac:dyDescent="0.3">
      <c r="A1279" s="45" t="s">
        <v>1390</v>
      </c>
      <c r="B1279" s="43" t="s">
        <v>1391</v>
      </c>
      <c r="C1279" s="23">
        <f>VLOOKUP(A1279,'[11]Linea Industria'!$A$6:$G$1020,4,FALSE)</f>
        <v>49.06</v>
      </c>
      <c r="D1279" s="23">
        <f>VLOOKUP(A1279,'[11]Linea Industria'!$A$6:$G$1020,5,FALSE)</f>
        <v>55.44</v>
      </c>
      <c r="E1279" s="23">
        <f>VLOOKUP(A1279,'[11]Linea Industria'!$A$6:$G$1020,6,FALSE)</f>
        <v>68.14</v>
      </c>
      <c r="F1279" s="23">
        <f>VLOOKUP(A1279,'[11]Linea Industria'!$A$6:$G$1020,7,FALSE)</f>
        <v>77</v>
      </c>
    </row>
    <row r="1280" spans="1:6" x14ac:dyDescent="0.3">
      <c r="A1280" s="45" t="s">
        <v>1392</v>
      </c>
      <c r="B1280" s="43" t="s">
        <v>3643</v>
      </c>
      <c r="C1280" s="23">
        <f>VLOOKUP(A1280,'[11]Linea Industria'!$A$6:$G$1020,4,FALSE)</f>
        <v>49.06</v>
      </c>
      <c r="D1280" s="23">
        <f>VLOOKUP(A1280,'[11]Linea Industria'!$A$6:$G$1020,5,FALSE)</f>
        <v>55.44</v>
      </c>
      <c r="E1280" s="23">
        <f>VLOOKUP(A1280,'[11]Linea Industria'!$A$6:$G$1020,6,FALSE)</f>
        <v>68.14</v>
      </c>
      <c r="F1280" s="23">
        <f>VLOOKUP(A1280,'[11]Linea Industria'!$A$6:$G$1020,7,FALSE)</f>
        <v>77</v>
      </c>
    </row>
    <row r="1281" spans="1:6" x14ac:dyDescent="0.3">
      <c r="A1281" s="45" t="s">
        <v>1393</v>
      </c>
      <c r="B1281" s="43" t="s">
        <v>3644</v>
      </c>
      <c r="C1281" s="23">
        <f>VLOOKUP(A1281,'[11]Linea Industria'!$A$6:$G$1020,4,FALSE)</f>
        <v>49.06</v>
      </c>
      <c r="D1281" s="23">
        <f>VLOOKUP(A1281,'[11]Linea Industria'!$A$6:$G$1020,5,FALSE)</f>
        <v>55.44</v>
      </c>
      <c r="E1281" s="23">
        <f>VLOOKUP(A1281,'[11]Linea Industria'!$A$6:$G$1020,6,FALSE)</f>
        <v>68.14</v>
      </c>
      <c r="F1281" s="23">
        <f>VLOOKUP(A1281,'[11]Linea Industria'!$A$6:$G$1020,7,FALSE)</f>
        <v>77</v>
      </c>
    </row>
    <row r="1282" spans="1:6" x14ac:dyDescent="0.3">
      <c r="A1282" s="45" t="s">
        <v>1394</v>
      </c>
      <c r="B1282" s="43" t="s">
        <v>1395</v>
      </c>
      <c r="C1282" s="23">
        <f>VLOOKUP(A1282,'[11]Linea Industria'!$A$6:$G$1020,4,FALSE)</f>
        <v>31.54</v>
      </c>
      <c r="D1282" s="23">
        <f>VLOOKUP(A1282,'[11]Linea Industria'!$A$6:$G$1020,5,FALSE)</f>
        <v>35.64</v>
      </c>
      <c r="E1282" s="23">
        <f>VLOOKUP(A1282,'[11]Linea Industria'!$A$6:$G$1020,6,FALSE)</f>
        <v>43.81</v>
      </c>
      <c r="F1282" s="23">
        <f>VLOOKUP(A1282,'[11]Linea Industria'!$A$6:$G$1020,7,FALSE)</f>
        <v>49.5</v>
      </c>
    </row>
    <row r="1283" spans="1:6" x14ac:dyDescent="0.3">
      <c r="A1283" s="44" t="s">
        <v>1396</v>
      </c>
      <c r="B1283" s="43" t="s">
        <v>1397</v>
      </c>
      <c r="C1283" s="23">
        <f>VLOOKUP(A1283,'[11]Linea Industria'!$A$6:$G$1020,4,FALSE)</f>
        <v>31.54</v>
      </c>
      <c r="D1283" s="23">
        <f>VLOOKUP(A1283,'[11]Linea Industria'!$A$6:$G$1020,5,FALSE)</f>
        <v>35.64</v>
      </c>
      <c r="E1283" s="23">
        <f>VLOOKUP(A1283,'[11]Linea Industria'!$A$6:$G$1020,6,FALSE)</f>
        <v>43.81</v>
      </c>
      <c r="F1283" s="23">
        <f>VLOOKUP(A1283,'[11]Linea Industria'!$A$6:$G$1020,7,FALSE)</f>
        <v>49.5</v>
      </c>
    </row>
    <row r="1284" spans="1:6" x14ac:dyDescent="0.3">
      <c r="A1284" s="44" t="s">
        <v>1398</v>
      </c>
      <c r="B1284" s="43" t="s">
        <v>1399</v>
      </c>
      <c r="C1284" s="23">
        <f>VLOOKUP(A1284,'[11]Linea Industria'!$A$6:$G$1020,4,FALSE)</f>
        <v>31.54</v>
      </c>
      <c r="D1284" s="23">
        <f>VLOOKUP(A1284,'[11]Linea Industria'!$A$6:$G$1020,5,FALSE)</f>
        <v>35.64</v>
      </c>
      <c r="E1284" s="23">
        <f>VLOOKUP(A1284,'[11]Linea Industria'!$A$6:$G$1020,6,FALSE)</f>
        <v>43.81</v>
      </c>
      <c r="F1284" s="23">
        <f>VLOOKUP(A1284,'[11]Linea Industria'!$A$6:$G$1020,7,FALSE)</f>
        <v>49.5</v>
      </c>
    </row>
    <row r="1285" spans="1:6" x14ac:dyDescent="0.3">
      <c r="A1285" s="44" t="s">
        <v>1400</v>
      </c>
      <c r="B1285" s="43" t="s">
        <v>1401</v>
      </c>
      <c r="C1285" s="23">
        <f>VLOOKUP(A1285,'[11]Linea Industria'!$A$6:$G$1020,4,FALSE)</f>
        <v>31.16</v>
      </c>
      <c r="D1285" s="23">
        <f>VLOOKUP(A1285,'[11]Linea Industria'!$A$6:$G$1020,5,FALSE)</f>
        <v>35.21</v>
      </c>
      <c r="E1285" s="23">
        <f>VLOOKUP(A1285,'[11]Linea Industria'!$A$6:$G$1020,6,FALSE)</f>
        <v>43.27</v>
      </c>
      <c r="F1285" s="23">
        <f>VLOOKUP(A1285,'[11]Linea Industria'!$A$6:$G$1020,7,FALSE)</f>
        <v>48.9</v>
      </c>
    </row>
    <row r="1286" spans="1:6" x14ac:dyDescent="0.3">
      <c r="A1286" s="44" t="s">
        <v>1402</v>
      </c>
      <c r="B1286" s="43" t="s">
        <v>1403</v>
      </c>
      <c r="C1286" s="23">
        <f>VLOOKUP(A1286,'[11]Linea Industria'!$A$6:$G$1020,4,FALSE)</f>
        <v>31.16</v>
      </c>
      <c r="D1286" s="23">
        <f>VLOOKUP(A1286,'[11]Linea Industria'!$A$6:$G$1020,5,FALSE)</f>
        <v>35.21</v>
      </c>
      <c r="E1286" s="23">
        <f>VLOOKUP(A1286,'[11]Linea Industria'!$A$6:$G$1020,6,FALSE)</f>
        <v>43.27</v>
      </c>
      <c r="F1286" s="23">
        <f>VLOOKUP(A1286,'[11]Linea Industria'!$A$6:$G$1020,7,FALSE)</f>
        <v>48.9</v>
      </c>
    </row>
    <row r="1287" spans="1:6" x14ac:dyDescent="0.3">
      <c r="A1287" s="44" t="s">
        <v>1404</v>
      </c>
      <c r="B1287" s="43" t="s">
        <v>1405</v>
      </c>
      <c r="C1287" s="23">
        <f>VLOOKUP(A1287,'[11]Linea Industria'!$A$6:$G$1020,4,FALSE)</f>
        <v>31.16</v>
      </c>
      <c r="D1287" s="23">
        <f>VLOOKUP(A1287,'[11]Linea Industria'!$A$6:$G$1020,5,FALSE)</f>
        <v>35.21</v>
      </c>
      <c r="E1287" s="23">
        <f>VLOOKUP(A1287,'[11]Linea Industria'!$A$6:$G$1020,6,FALSE)</f>
        <v>43.27</v>
      </c>
      <c r="F1287" s="23">
        <f>VLOOKUP(A1287,'[11]Linea Industria'!$A$6:$G$1020,7,FALSE)</f>
        <v>48.9</v>
      </c>
    </row>
    <row r="1288" spans="1:6" x14ac:dyDescent="0.3">
      <c r="A1288" s="45" t="s">
        <v>1406</v>
      </c>
      <c r="B1288" s="43" t="s">
        <v>3645</v>
      </c>
      <c r="C1288" s="23">
        <f>VLOOKUP(A1288,'[11]Linea Industria'!$A$6:$G$1020,4,FALSE)</f>
        <v>31.16</v>
      </c>
      <c r="D1288" s="23">
        <f>VLOOKUP(A1288,'[11]Linea Industria'!$A$6:$G$1020,5,FALSE)</f>
        <v>35.21</v>
      </c>
      <c r="E1288" s="23">
        <f>VLOOKUP(A1288,'[11]Linea Industria'!$A$6:$G$1020,6,FALSE)</f>
        <v>43.27</v>
      </c>
      <c r="F1288" s="23">
        <f>VLOOKUP(A1288,'[11]Linea Industria'!$A$6:$G$1020,7,FALSE)</f>
        <v>48.9</v>
      </c>
    </row>
    <row r="1289" spans="1:6" x14ac:dyDescent="0.3">
      <c r="A1289" s="45" t="s">
        <v>1407</v>
      </c>
      <c r="B1289" s="43" t="s">
        <v>3646</v>
      </c>
      <c r="C1289" s="23">
        <f>VLOOKUP(A1289,'[11]Linea Industria'!$A$6:$G$1020,4,FALSE)</f>
        <v>31.16</v>
      </c>
      <c r="D1289" s="23">
        <f>VLOOKUP(A1289,'[11]Linea Industria'!$A$6:$G$1020,5,FALSE)</f>
        <v>35.21</v>
      </c>
      <c r="E1289" s="23">
        <f>VLOOKUP(A1289,'[11]Linea Industria'!$A$6:$G$1020,6,FALSE)</f>
        <v>43.27</v>
      </c>
      <c r="F1289" s="23">
        <f>VLOOKUP(A1289,'[11]Linea Industria'!$A$6:$G$1020,7,FALSE)</f>
        <v>48.9</v>
      </c>
    </row>
    <row r="1290" spans="1:6" x14ac:dyDescent="0.3">
      <c r="A1290" s="44" t="s">
        <v>1408</v>
      </c>
      <c r="B1290" s="43" t="s">
        <v>3647</v>
      </c>
      <c r="C1290" s="23">
        <f>VLOOKUP(A1290,'[11]Linea Industria'!$A$6:$G$1020,4,FALSE)</f>
        <v>31.16</v>
      </c>
      <c r="D1290" s="23">
        <f>VLOOKUP(A1290,'[11]Linea Industria'!$A$6:$G$1020,5,FALSE)</f>
        <v>35.21</v>
      </c>
      <c r="E1290" s="23">
        <f>VLOOKUP(A1290,'[11]Linea Industria'!$A$6:$G$1020,6,FALSE)</f>
        <v>43.27</v>
      </c>
      <c r="F1290" s="23">
        <f>VLOOKUP(A1290,'[11]Linea Industria'!$A$6:$G$1020,7,FALSE)</f>
        <v>48.9</v>
      </c>
    </row>
    <row r="1291" spans="1:6" x14ac:dyDescent="0.3">
      <c r="A1291" s="45" t="s">
        <v>1409</v>
      </c>
      <c r="B1291" s="43" t="s">
        <v>3648</v>
      </c>
      <c r="C1291" s="23">
        <f>VLOOKUP(A1291,'[11]Linea Industria'!$A$6:$G$1020,4,FALSE)</f>
        <v>32.18</v>
      </c>
      <c r="D1291" s="23">
        <f>VLOOKUP(A1291,'[11]Linea Industria'!$A$6:$G$1020,5,FALSE)</f>
        <v>36.36</v>
      </c>
      <c r="E1291" s="23">
        <f>VLOOKUP(A1291,'[11]Linea Industria'!$A$6:$G$1020,6,FALSE)</f>
        <v>44.69</v>
      </c>
      <c r="F1291" s="23">
        <f>VLOOKUP(A1291,'[11]Linea Industria'!$A$6:$G$1020,7,FALSE)</f>
        <v>50.5</v>
      </c>
    </row>
    <row r="1292" spans="1:6" x14ac:dyDescent="0.3">
      <c r="A1292" s="45" t="s">
        <v>1410</v>
      </c>
      <c r="B1292" s="43" t="s">
        <v>3649</v>
      </c>
      <c r="C1292" s="23">
        <f>VLOOKUP(A1292,'[11]Linea Industria'!$A$6:$G$1020,4,FALSE)</f>
        <v>32.18</v>
      </c>
      <c r="D1292" s="23">
        <f>VLOOKUP(A1292,'[11]Linea Industria'!$A$6:$G$1020,5,FALSE)</f>
        <v>36.36</v>
      </c>
      <c r="E1292" s="23">
        <f>VLOOKUP(A1292,'[11]Linea Industria'!$A$6:$G$1020,6,FALSE)</f>
        <v>44.69</v>
      </c>
      <c r="F1292" s="23">
        <f>VLOOKUP(A1292,'[11]Linea Industria'!$A$6:$G$1020,7,FALSE)</f>
        <v>50.5</v>
      </c>
    </row>
    <row r="1293" spans="1:6" x14ac:dyDescent="0.3">
      <c r="A1293" s="45" t="s">
        <v>1411</v>
      </c>
      <c r="B1293" s="43" t="s">
        <v>3650</v>
      </c>
      <c r="C1293" s="23">
        <f>VLOOKUP(A1293,'[11]Linea Industria'!$A$6:$G$1020,4,FALSE)</f>
        <v>32.18</v>
      </c>
      <c r="D1293" s="23">
        <f>VLOOKUP(A1293,'[11]Linea Industria'!$A$6:$G$1020,5,FALSE)</f>
        <v>36.36</v>
      </c>
      <c r="E1293" s="23">
        <f>VLOOKUP(A1293,'[11]Linea Industria'!$A$6:$G$1020,6,FALSE)</f>
        <v>44.69</v>
      </c>
      <c r="F1293" s="23">
        <f>VLOOKUP(A1293,'[11]Linea Industria'!$A$6:$G$1020,7,FALSE)</f>
        <v>50.5</v>
      </c>
    </row>
    <row r="1294" spans="1:6" x14ac:dyDescent="0.3">
      <c r="A1294" s="45" t="s">
        <v>1412</v>
      </c>
      <c r="B1294" s="43" t="s">
        <v>1401</v>
      </c>
      <c r="C1294" s="23">
        <f>VLOOKUP(A1294,'[11]Linea Industria'!$A$6:$G$1020,4,FALSE)</f>
        <v>147.19</v>
      </c>
      <c r="D1294" s="23">
        <f>VLOOKUP(A1294,'[11]Linea Industria'!$A$6:$G$1020,5,FALSE)</f>
        <v>166.32</v>
      </c>
      <c r="E1294" s="23">
        <f>VLOOKUP(A1294,'[11]Linea Industria'!$A$6:$G$1020,6,FALSE)</f>
        <v>204.42</v>
      </c>
      <c r="F1294" s="23">
        <f>VLOOKUP(A1294,'[11]Linea Industria'!$A$6:$G$1020,7,FALSE)</f>
        <v>231</v>
      </c>
    </row>
    <row r="1295" spans="1:6" x14ac:dyDescent="0.3">
      <c r="A1295" s="45" t="s">
        <v>1413</v>
      </c>
      <c r="B1295" s="43" t="s">
        <v>3648</v>
      </c>
      <c r="C1295" s="23">
        <f>VLOOKUP(A1295,'[11]Linea Industria'!$A$6:$G$1020,4,FALSE)</f>
        <v>139.69</v>
      </c>
      <c r="D1295" s="23">
        <f>VLOOKUP(A1295,'[11]Linea Industria'!$A$6:$G$1020,5,FALSE)</f>
        <v>157.85</v>
      </c>
      <c r="E1295" s="23">
        <f>VLOOKUP(A1295,'[11]Linea Industria'!$A$6:$G$1020,6,FALSE)</f>
        <v>204.42</v>
      </c>
      <c r="F1295" s="23">
        <f>VLOOKUP(A1295,'[11]Linea Industria'!$A$6:$G$1020,7,FALSE)</f>
        <v>231</v>
      </c>
    </row>
    <row r="1296" spans="1:6" x14ac:dyDescent="0.3">
      <c r="A1296" s="45" t="s">
        <v>1414</v>
      </c>
      <c r="B1296" s="43" t="s">
        <v>3649</v>
      </c>
      <c r="C1296" s="23">
        <f>VLOOKUP(A1296,'[11]Linea Industria'!$A$6:$G$1020,4,FALSE)</f>
        <v>125.37</v>
      </c>
      <c r="D1296" s="23">
        <f>VLOOKUP(A1296,'[11]Linea Industria'!$A$6:$G$1020,5,FALSE)</f>
        <v>141.66999999999999</v>
      </c>
      <c r="E1296" s="23">
        <f>VLOOKUP(A1296,'[11]Linea Industria'!$A$6:$G$1020,6,FALSE)</f>
        <v>208.85</v>
      </c>
      <c r="F1296" s="23">
        <f>VLOOKUP(A1296,'[11]Linea Industria'!$A$6:$G$1020,7,FALSE)</f>
        <v>236</v>
      </c>
    </row>
    <row r="1297" spans="1:6" x14ac:dyDescent="0.3">
      <c r="A1297" s="45" t="s">
        <v>1415</v>
      </c>
      <c r="B1297" s="43" t="s">
        <v>3650</v>
      </c>
      <c r="C1297" s="23">
        <f>VLOOKUP(A1297,'[11]Linea Industria'!$A$6:$G$1020,4,FALSE)</f>
        <v>125.37</v>
      </c>
      <c r="D1297" s="23">
        <f>VLOOKUP(A1297,'[11]Linea Industria'!$A$6:$G$1020,5,FALSE)</f>
        <v>141.66999999999999</v>
      </c>
      <c r="E1297" s="23">
        <f>VLOOKUP(A1297,'[11]Linea Industria'!$A$6:$G$1020,6,FALSE)</f>
        <v>208.85</v>
      </c>
      <c r="F1297" s="23">
        <f>VLOOKUP(A1297,'[11]Linea Industria'!$A$6:$G$1020,7,FALSE)</f>
        <v>236</v>
      </c>
    </row>
    <row r="1298" spans="1:6" x14ac:dyDescent="0.3">
      <c r="A1298" s="45" t="s">
        <v>1416</v>
      </c>
      <c r="B1298" s="43" t="s">
        <v>3651</v>
      </c>
      <c r="C1298" s="23">
        <f>VLOOKUP(A1298,'[11]Linea Industria'!$A$6:$G$1020,4,FALSE)</f>
        <v>57.03</v>
      </c>
      <c r="D1298" s="23">
        <f>VLOOKUP(A1298,'[11]Linea Industria'!$A$6:$G$1020,5,FALSE)</f>
        <v>64.44</v>
      </c>
      <c r="E1298" s="23">
        <f>VLOOKUP(A1298,'[11]Linea Industria'!$A$6:$G$1020,6,FALSE)</f>
        <v>79.2</v>
      </c>
      <c r="F1298" s="23">
        <f>VLOOKUP(A1298,'[11]Linea Industria'!$A$6:$G$1020,7,FALSE)</f>
        <v>89.5</v>
      </c>
    </row>
    <row r="1299" spans="1:6" x14ac:dyDescent="0.3">
      <c r="A1299" s="45" t="s">
        <v>1417</v>
      </c>
      <c r="B1299" s="43" t="s">
        <v>3652</v>
      </c>
      <c r="C1299" s="23">
        <f>VLOOKUP(A1299,'[11]Linea Industria'!$A$6:$G$1020,4,FALSE)</f>
        <v>57.03</v>
      </c>
      <c r="D1299" s="23">
        <f>VLOOKUP(A1299,'[11]Linea Industria'!$A$6:$G$1020,5,FALSE)</f>
        <v>64.44</v>
      </c>
      <c r="E1299" s="23">
        <f>VLOOKUP(A1299,'[11]Linea Industria'!$A$6:$G$1020,6,FALSE)</f>
        <v>79.2</v>
      </c>
      <c r="F1299" s="23">
        <f>VLOOKUP(A1299,'[11]Linea Industria'!$A$6:$G$1020,7,FALSE)</f>
        <v>89.5</v>
      </c>
    </row>
    <row r="1300" spans="1:6" x14ac:dyDescent="0.3">
      <c r="A1300" s="45" t="s">
        <v>1418</v>
      </c>
      <c r="B1300" s="43" t="s">
        <v>3653</v>
      </c>
      <c r="C1300" s="23">
        <f>VLOOKUP(A1300,'[11]Linea Industria'!$A$6:$G$1020,4,FALSE)</f>
        <v>57.03</v>
      </c>
      <c r="D1300" s="23">
        <f>VLOOKUP(A1300,'[11]Linea Industria'!$A$6:$G$1020,5,FALSE)</f>
        <v>64.44</v>
      </c>
      <c r="E1300" s="23">
        <f>VLOOKUP(A1300,'[11]Linea Industria'!$A$6:$G$1020,6,FALSE)</f>
        <v>79.2</v>
      </c>
      <c r="F1300" s="23">
        <f>VLOOKUP(A1300,'[11]Linea Industria'!$A$6:$G$1020,7,FALSE)</f>
        <v>89.5</v>
      </c>
    </row>
    <row r="1301" spans="1:6" x14ac:dyDescent="0.3">
      <c r="A1301" s="45" t="s">
        <v>1419</v>
      </c>
      <c r="B1301" s="43" t="s">
        <v>3654</v>
      </c>
      <c r="C1301" s="23">
        <f>VLOOKUP(A1301,'[11]Linea Industria'!$A$6:$G$1020,4,FALSE)</f>
        <v>57.03</v>
      </c>
      <c r="D1301" s="23">
        <f>VLOOKUP(A1301,'[11]Linea Industria'!$A$6:$G$1020,5,FALSE)</f>
        <v>64.44</v>
      </c>
      <c r="E1301" s="23">
        <f>VLOOKUP(A1301,'[11]Linea Industria'!$A$6:$G$1020,6,FALSE)</f>
        <v>79.2</v>
      </c>
      <c r="F1301" s="23">
        <f>VLOOKUP(A1301,'[11]Linea Industria'!$A$6:$G$1020,7,FALSE)</f>
        <v>89.5</v>
      </c>
    </row>
    <row r="1302" spans="1:6" x14ac:dyDescent="0.3">
      <c r="A1302" s="45" t="s">
        <v>1420</v>
      </c>
      <c r="B1302" s="43" t="s">
        <v>3655</v>
      </c>
      <c r="C1302" s="23">
        <f>VLOOKUP(A1302,'[11]Linea Industria'!$A$6:$G$1020,4,FALSE)</f>
        <v>57.03</v>
      </c>
      <c r="D1302" s="23">
        <f>VLOOKUP(A1302,'[11]Linea Industria'!$A$6:$G$1020,5,FALSE)</f>
        <v>64.44</v>
      </c>
      <c r="E1302" s="23">
        <f>VLOOKUP(A1302,'[11]Linea Industria'!$A$6:$G$1020,6,FALSE)</f>
        <v>79.2</v>
      </c>
      <c r="F1302" s="23">
        <f>VLOOKUP(A1302,'[11]Linea Industria'!$A$6:$G$1020,7,FALSE)</f>
        <v>89.5</v>
      </c>
    </row>
    <row r="1303" spans="1:6" x14ac:dyDescent="0.3">
      <c r="A1303" s="45" t="s">
        <v>1421</v>
      </c>
      <c r="B1303" s="43" t="s">
        <v>3656</v>
      </c>
      <c r="C1303" s="23">
        <f>VLOOKUP(A1303,'[11]Linea Industria'!$A$6:$G$1020,4,FALSE)</f>
        <v>57.03</v>
      </c>
      <c r="D1303" s="23">
        <f>VLOOKUP(A1303,'[11]Linea Industria'!$A$6:$G$1020,5,FALSE)</f>
        <v>64.44</v>
      </c>
      <c r="E1303" s="23">
        <f>VLOOKUP(A1303,'[11]Linea Industria'!$A$6:$G$1020,6,FALSE)</f>
        <v>79.2</v>
      </c>
      <c r="F1303" s="23">
        <f>VLOOKUP(A1303,'[11]Linea Industria'!$A$6:$G$1020,7,FALSE)</f>
        <v>89.5</v>
      </c>
    </row>
    <row r="1304" spans="1:6" x14ac:dyDescent="0.3">
      <c r="A1304" s="45" t="s">
        <v>1422</v>
      </c>
      <c r="B1304" s="43" t="s">
        <v>3657</v>
      </c>
      <c r="C1304" s="23">
        <f>VLOOKUP(A1304,'[11]Linea Industria'!$A$6:$G$1020,4,FALSE)</f>
        <v>57.03</v>
      </c>
      <c r="D1304" s="23">
        <f>VLOOKUP(A1304,'[11]Linea Industria'!$A$6:$G$1020,5,FALSE)</f>
        <v>64.44</v>
      </c>
      <c r="E1304" s="23">
        <f>VLOOKUP(A1304,'[11]Linea Industria'!$A$6:$G$1020,6,FALSE)</f>
        <v>79.2</v>
      </c>
      <c r="F1304" s="23">
        <f>VLOOKUP(A1304,'[11]Linea Industria'!$A$6:$G$1020,7,FALSE)</f>
        <v>89.5</v>
      </c>
    </row>
    <row r="1305" spans="1:6" x14ac:dyDescent="0.3">
      <c r="A1305" s="45" t="s">
        <v>1423</v>
      </c>
      <c r="B1305" s="43" t="s">
        <v>3658</v>
      </c>
      <c r="C1305" s="23">
        <f>VLOOKUP(A1305,'[11]Linea Industria'!$A$6:$G$1020,4,FALSE)</f>
        <v>57.03</v>
      </c>
      <c r="D1305" s="23">
        <f>VLOOKUP(A1305,'[11]Linea Industria'!$A$6:$G$1020,5,FALSE)</f>
        <v>64.44</v>
      </c>
      <c r="E1305" s="23">
        <f>VLOOKUP(A1305,'[11]Linea Industria'!$A$6:$G$1020,6,FALSE)</f>
        <v>79.2</v>
      </c>
      <c r="F1305" s="23">
        <f>VLOOKUP(A1305,'[11]Linea Industria'!$A$6:$G$1020,7,FALSE)</f>
        <v>89.5</v>
      </c>
    </row>
    <row r="1306" spans="1:6" x14ac:dyDescent="0.3">
      <c r="A1306" s="45" t="s">
        <v>1424</v>
      </c>
      <c r="B1306" s="43" t="s">
        <v>3659</v>
      </c>
      <c r="C1306" s="23">
        <f>VLOOKUP(A1306,'[11]Linea Industria'!$A$6:$G$1020,4,FALSE)</f>
        <v>57.03</v>
      </c>
      <c r="D1306" s="23">
        <f>VLOOKUP(A1306,'[11]Linea Industria'!$A$6:$G$1020,5,FALSE)</f>
        <v>64.44</v>
      </c>
      <c r="E1306" s="23">
        <f>VLOOKUP(A1306,'[11]Linea Industria'!$A$6:$G$1020,6,FALSE)</f>
        <v>79.2</v>
      </c>
      <c r="F1306" s="23">
        <f>VLOOKUP(A1306,'[11]Linea Industria'!$A$6:$G$1020,7,FALSE)</f>
        <v>89.5</v>
      </c>
    </row>
    <row r="1307" spans="1:6" x14ac:dyDescent="0.3">
      <c r="A1307" s="45" t="s">
        <v>1425</v>
      </c>
      <c r="B1307" s="43" t="s">
        <v>3660</v>
      </c>
      <c r="C1307" s="23">
        <f>VLOOKUP(A1307,'[11]Linea Industria'!$A$6:$G$1020,4,FALSE)</f>
        <v>57.03</v>
      </c>
      <c r="D1307" s="23">
        <f>VLOOKUP(A1307,'[11]Linea Industria'!$A$6:$G$1020,5,FALSE)</f>
        <v>64.44</v>
      </c>
      <c r="E1307" s="23">
        <f>VLOOKUP(A1307,'[11]Linea Industria'!$A$6:$G$1020,6,FALSE)</f>
        <v>79.2</v>
      </c>
      <c r="F1307" s="23">
        <f>VLOOKUP(A1307,'[11]Linea Industria'!$A$6:$G$1020,7,FALSE)</f>
        <v>89.5</v>
      </c>
    </row>
    <row r="1308" spans="1:6" ht="15" thickBot="1" x14ac:dyDescent="0.35">
      <c r="A1308" s="52" t="s">
        <v>1426</v>
      </c>
      <c r="B1308" s="53" t="s">
        <v>1427</v>
      </c>
      <c r="C1308" s="35">
        <f>VLOOKUP(A1308,'[11]Linea Industria'!$A$6:$G$1020,4,FALSE)</f>
        <v>24.79</v>
      </c>
      <c r="D1308" s="35">
        <f>VLOOKUP(A1308,'[11]Linea Industria'!$A$6:$G$1020,5,FALSE)</f>
        <v>28.01</v>
      </c>
      <c r="E1308" s="35">
        <f>VLOOKUP(A1308,'[11]Linea Industria'!$A$6:$G$1020,6,FALSE)</f>
        <v>34.42</v>
      </c>
      <c r="F1308" s="35">
        <f>VLOOKUP(A1308,'[11]Linea Industria'!$A$6:$G$1020,7,FALSE)</f>
        <v>38.9</v>
      </c>
    </row>
    <row r="1309" spans="1:6" x14ac:dyDescent="0.3">
      <c r="A1309" s="54" t="s">
        <v>1428</v>
      </c>
      <c r="B1309" s="55" t="s">
        <v>1429</v>
      </c>
      <c r="C1309" s="56">
        <f>VLOOKUP(A1309,'[11]Linea Importados'!$A$6:$G$233,4,FALSE)</f>
        <v>98.12</v>
      </c>
      <c r="D1309" s="56">
        <f>VLOOKUP(A1309,'[11]Linea Importados'!$A$6:$G$233,5,FALSE)</f>
        <v>110.88</v>
      </c>
      <c r="E1309" s="56">
        <f>VLOOKUP(A1309,'[11]Linea Importados'!$A$6:$G$233,6,FALSE)</f>
        <v>136.28</v>
      </c>
      <c r="F1309" s="56">
        <f>VLOOKUP(A1309,'[11]Linea Importados'!$A$6:$G$233,7,FALSE)</f>
        <v>154</v>
      </c>
    </row>
    <row r="1310" spans="1:6" x14ac:dyDescent="0.3">
      <c r="A1310" s="27" t="s">
        <v>1430</v>
      </c>
      <c r="B1310" s="57" t="s">
        <v>1431</v>
      </c>
      <c r="C1310" s="23">
        <f>VLOOKUP(A1310,'[11]Linea Importados'!$A$6:$G$233,4,FALSE)</f>
        <v>98.12</v>
      </c>
      <c r="D1310" s="23">
        <f>VLOOKUP(A1310,'[11]Linea Importados'!$A$6:$G$233,5,FALSE)</f>
        <v>110.88</v>
      </c>
      <c r="E1310" s="23">
        <f>VLOOKUP(A1310,'[11]Linea Importados'!$A$6:$G$233,6,FALSE)</f>
        <v>136.28</v>
      </c>
      <c r="F1310" s="23">
        <f>VLOOKUP(A1310,'[11]Linea Importados'!$A$6:$G$233,7,FALSE)</f>
        <v>154</v>
      </c>
    </row>
    <row r="1311" spans="1:6" x14ac:dyDescent="0.3">
      <c r="A1311" s="27" t="s">
        <v>1432</v>
      </c>
      <c r="B1311" s="57" t="s">
        <v>1433</v>
      </c>
      <c r="C1311" s="23">
        <f>VLOOKUP(A1311,'[11]Linea Importados'!$A$6:$G$233,4,FALSE)</f>
        <v>98.12</v>
      </c>
      <c r="D1311" s="23">
        <f>VLOOKUP(A1311,'[11]Linea Importados'!$A$6:$G$233,5,FALSE)</f>
        <v>110.88</v>
      </c>
      <c r="E1311" s="23">
        <f>VLOOKUP(A1311,'[11]Linea Importados'!$A$6:$G$233,6,FALSE)</f>
        <v>136.28</v>
      </c>
      <c r="F1311" s="23">
        <f>VLOOKUP(A1311,'[11]Linea Importados'!$A$6:$G$233,7,FALSE)</f>
        <v>154</v>
      </c>
    </row>
    <row r="1312" spans="1:6" x14ac:dyDescent="0.3">
      <c r="A1312" s="27" t="s">
        <v>1434</v>
      </c>
      <c r="B1312" s="57" t="s">
        <v>1435</v>
      </c>
      <c r="C1312" s="23">
        <f>VLOOKUP(A1312,'[11]Linea Importados'!$A$6:$G$233,4,FALSE)</f>
        <v>118.51</v>
      </c>
      <c r="D1312" s="23">
        <f>VLOOKUP(A1312,'[11]Linea Importados'!$A$6:$G$233,5,FALSE)</f>
        <v>133.91999999999999</v>
      </c>
      <c r="E1312" s="23">
        <f>VLOOKUP(A1312,'[11]Linea Importados'!$A$6:$G$233,6,FALSE)</f>
        <v>164.6</v>
      </c>
      <c r="F1312" s="23">
        <f>VLOOKUP(A1312,'[11]Linea Importados'!$A$6:$G$233,7,FALSE)</f>
        <v>186</v>
      </c>
    </row>
    <row r="1313" spans="1:6" x14ac:dyDescent="0.3">
      <c r="A1313" s="27" t="s">
        <v>1436</v>
      </c>
      <c r="B1313" s="57" t="s">
        <v>1437</v>
      </c>
      <c r="C1313" s="23">
        <f>VLOOKUP(A1313,'[11]Linea Importados'!$A$6:$G$233,4,FALSE)</f>
        <v>52.98</v>
      </c>
      <c r="D1313" s="23">
        <f>VLOOKUP(A1313,'[11]Linea Importados'!$A$6:$G$233,5,FALSE)</f>
        <v>59.87</v>
      </c>
      <c r="E1313" s="23">
        <f>VLOOKUP(A1313,'[11]Linea Importados'!$A$6:$G$233,6,FALSE)</f>
        <v>71.59</v>
      </c>
      <c r="F1313" s="23">
        <f>VLOOKUP(A1313,'[11]Linea Importados'!$A$6:$G$233,7,FALSE)</f>
        <v>80.899999999999991</v>
      </c>
    </row>
    <row r="1314" spans="1:6" x14ac:dyDescent="0.3">
      <c r="A1314" s="27" t="s">
        <v>1438</v>
      </c>
      <c r="B1314" s="57" t="s">
        <v>1439</v>
      </c>
      <c r="C1314" s="23">
        <f>VLOOKUP(A1314,'[11]Linea Importados'!$A$6:$G$233,4,FALSE)</f>
        <v>103.22</v>
      </c>
      <c r="D1314" s="23">
        <f>VLOOKUP(A1314,'[11]Linea Importados'!$A$6:$G$233,5,FALSE)</f>
        <v>116.64</v>
      </c>
      <c r="E1314" s="23">
        <f>VLOOKUP(A1314,'[11]Linea Importados'!$A$6:$G$233,6,FALSE)</f>
        <v>143.36000000000001</v>
      </c>
      <c r="F1314" s="23">
        <f>VLOOKUP(A1314,'[11]Linea Importados'!$A$6:$G$233,7,FALSE)</f>
        <v>162</v>
      </c>
    </row>
    <row r="1315" spans="1:6" x14ac:dyDescent="0.3">
      <c r="A1315" s="27" t="s">
        <v>1440</v>
      </c>
      <c r="B1315" s="57" t="s">
        <v>1439</v>
      </c>
      <c r="C1315" s="23">
        <f>VLOOKUP(A1315,'[11]Linea Importados'!$A$6:$G$233,4,FALSE)</f>
        <v>379.12</v>
      </c>
      <c r="D1315" s="23">
        <f>VLOOKUP(A1315,'[11]Linea Importados'!$A$6:$G$233,5,FALSE)</f>
        <v>428.4</v>
      </c>
      <c r="E1315" s="23">
        <f>VLOOKUP(A1315,'[11]Linea Importados'!$A$6:$G$233,6,FALSE)</f>
        <v>526.54999999999995</v>
      </c>
      <c r="F1315" s="23">
        <f>VLOOKUP(A1315,'[11]Linea Importados'!$A$6:$G$233,7,FALSE)</f>
        <v>595</v>
      </c>
    </row>
    <row r="1316" spans="1:6" x14ac:dyDescent="0.3">
      <c r="A1316" s="27" t="s">
        <v>1441</v>
      </c>
      <c r="B1316" s="57" t="s">
        <v>1442</v>
      </c>
      <c r="C1316" s="23">
        <f>VLOOKUP(A1316,'[11]Linea Importados'!$A$6:$G$233,4,FALSE)</f>
        <v>29.88</v>
      </c>
      <c r="D1316" s="23">
        <f>VLOOKUP(A1316,'[11]Linea Importados'!$A$6:$G$233,5,FALSE)</f>
        <v>33.770000000000003</v>
      </c>
      <c r="E1316" s="23">
        <f>VLOOKUP(A1316,'[11]Linea Importados'!$A$6:$G$233,6,FALSE)</f>
        <v>41.5</v>
      </c>
      <c r="F1316" s="23">
        <f>VLOOKUP(A1316,'[11]Linea Importados'!$A$6:$G$233,7,FALSE)</f>
        <v>46.9</v>
      </c>
    </row>
    <row r="1317" spans="1:6" x14ac:dyDescent="0.3">
      <c r="A1317" s="27" t="s">
        <v>1443</v>
      </c>
      <c r="B1317" s="57" t="s">
        <v>1442</v>
      </c>
      <c r="C1317" s="23">
        <f>VLOOKUP(A1317,'[11]Linea Importados'!$A$6:$G$233,4,FALSE)</f>
        <v>114.69</v>
      </c>
      <c r="D1317" s="23">
        <f>VLOOKUP(A1317,'[11]Linea Importados'!$A$6:$G$233,5,FALSE)</f>
        <v>129.6</v>
      </c>
      <c r="E1317" s="23">
        <f>VLOOKUP(A1317,'[11]Linea Importados'!$A$6:$G$233,6,FALSE)</f>
        <v>159.29</v>
      </c>
      <c r="F1317" s="23">
        <f>VLOOKUP(A1317,'[11]Linea Importados'!$A$6:$G$233,7,FALSE)</f>
        <v>180</v>
      </c>
    </row>
    <row r="1318" spans="1:6" x14ac:dyDescent="0.3">
      <c r="A1318" s="27" t="s">
        <v>1444</v>
      </c>
      <c r="B1318" s="57" t="s">
        <v>3148</v>
      </c>
      <c r="C1318" s="23">
        <f>VLOOKUP(A1318,'[11]Linea Importados'!$A$6:$G$233,4,FALSE)</f>
        <v>296.92</v>
      </c>
      <c r="D1318" s="23">
        <f>VLOOKUP(A1318,'[11]Linea Importados'!$A$6:$G$233,5,FALSE)</f>
        <v>335.52</v>
      </c>
      <c r="E1318" s="23">
        <f>VLOOKUP(A1318,'[11]Linea Importados'!$A$6:$G$233,6,FALSE)</f>
        <v>412.39</v>
      </c>
      <c r="F1318" s="23">
        <f>VLOOKUP(A1318,'[11]Linea Importados'!$A$6:$G$233,7,FALSE)</f>
        <v>466</v>
      </c>
    </row>
    <row r="1319" spans="1:6" x14ac:dyDescent="0.3">
      <c r="A1319" s="27" t="s">
        <v>3149</v>
      </c>
      <c r="B1319" s="57" t="s">
        <v>3150</v>
      </c>
      <c r="C1319" s="23">
        <f>VLOOKUP(A1319,'[11]Linea Importados'!$A$6:$G$233,4,FALSE)</f>
        <v>23.89</v>
      </c>
      <c r="D1319" s="23">
        <f>VLOOKUP(A1319,'[11]Linea Importados'!$A$6:$G$233,5,FALSE)</f>
        <v>27</v>
      </c>
      <c r="E1319" s="23">
        <f>VLOOKUP(A1319,'[11]Linea Importados'!$A$6:$G$233,6,FALSE)</f>
        <v>33.19</v>
      </c>
      <c r="F1319" s="23">
        <f>VLOOKUP(A1319,'[11]Linea Importados'!$A$6:$G$233,7,FALSE)</f>
        <v>37.5</v>
      </c>
    </row>
    <row r="1320" spans="1:6" x14ac:dyDescent="0.3">
      <c r="A1320" s="27" t="s">
        <v>1445</v>
      </c>
      <c r="B1320" s="57" t="s">
        <v>1446</v>
      </c>
      <c r="C1320" s="23">
        <f>VLOOKUP(A1320,'[11]Linea Importados'!$A$6:$G$233,4,FALSE)</f>
        <v>605.30999999999995</v>
      </c>
      <c r="D1320" s="23">
        <f>VLOOKUP(A1320,'[11]Linea Importados'!$A$6:$G$233,5,FALSE)</f>
        <v>684</v>
      </c>
      <c r="E1320" s="23">
        <f>VLOOKUP(A1320,'[11]Linea Importados'!$A$6:$G$233,6,FALSE)</f>
        <v>840.71</v>
      </c>
      <c r="F1320" s="23">
        <f>VLOOKUP(A1320,'[11]Linea Importados'!$A$6:$G$233,7,FALSE)</f>
        <v>950</v>
      </c>
    </row>
    <row r="1321" spans="1:6" x14ac:dyDescent="0.3">
      <c r="A1321" s="27" t="s">
        <v>1447</v>
      </c>
      <c r="B1321" s="57" t="s">
        <v>1448</v>
      </c>
      <c r="C1321" s="23">
        <f>VLOOKUP(A1321,'[11]Linea Importados'!$A$6:$G$233,4,FALSE)</f>
        <v>856.99</v>
      </c>
      <c r="D1321" s="23">
        <f>VLOOKUP(A1321,'[11]Linea Importados'!$A$6:$G$233,5,FALSE)</f>
        <v>968.4</v>
      </c>
      <c r="E1321" s="23">
        <f>VLOOKUP(A1321,'[11]Linea Importados'!$A$6:$G$233,6,FALSE)</f>
        <v>1190.27</v>
      </c>
      <c r="F1321" s="23">
        <f>VLOOKUP(A1321,'[11]Linea Importados'!$A$6:$G$233,7,FALSE)</f>
        <v>1345</v>
      </c>
    </row>
    <row r="1322" spans="1:6" x14ac:dyDescent="0.3">
      <c r="A1322" s="27" t="s">
        <v>1449</v>
      </c>
      <c r="B1322" s="57" t="s">
        <v>1450</v>
      </c>
      <c r="C1322" s="23">
        <f>VLOOKUP(A1322,'[11]Linea Importados'!$A$6:$G$233,4,FALSE)</f>
        <v>231.17</v>
      </c>
      <c r="D1322" s="23">
        <f>VLOOKUP(A1322,'[11]Linea Importados'!$A$6:$G$233,5,FALSE)</f>
        <v>261.22000000000003</v>
      </c>
      <c r="E1322" s="23">
        <f>VLOOKUP(A1322,'[11]Linea Importados'!$A$6:$G$233,6,FALSE)</f>
        <v>312.39</v>
      </c>
      <c r="F1322" s="23">
        <f>VLOOKUP(A1322,'[11]Linea Importados'!$A$6:$G$233,7,FALSE)</f>
        <v>353</v>
      </c>
    </row>
    <row r="1323" spans="1:6" x14ac:dyDescent="0.3">
      <c r="A1323" s="27" t="s">
        <v>1451</v>
      </c>
      <c r="B1323" s="57" t="s">
        <v>1452</v>
      </c>
      <c r="C1323" s="23">
        <f>VLOOKUP(A1323,'[11]Linea Importados'!$A$6:$G$233,4,FALSE)</f>
        <v>210.62</v>
      </c>
      <c r="D1323" s="23">
        <f>VLOOKUP(A1323,'[11]Linea Importados'!$A$6:$G$233,5,FALSE)</f>
        <v>238</v>
      </c>
      <c r="E1323" s="23">
        <f>VLOOKUP(A1323,'[11]Linea Importados'!$A$6:$G$233,6,FALSE)</f>
        <v>300.88</v>
      </c>
      <c r="F1323" s="23">
        <f>VLOOKUP(A1323,'[11]Linea Importados'!$A$6:$G$233,7,FALSE)</f>
        <v>340</v>
      </c>
    </row>
    <row r="1324" spans="1:6" x14ac:dyDescent="0.3">
      <c r="A1324" s="27" t="s">
        <v>1453</v>
      </c>
      <c r="B1324" s="57" t="s">
        <v>1454</v>
      </c>
      <c r="C1324" s="23">
        <f>VLOOKUP(A1324,'[11]Linea Importados'!$A$6:$G$233,4,FALSE)</f>
        <v>84.25</v>
      </c>
      <c r="D1324" s="23">
        <f>VLOOKUP(A1324,'[11]Linea Importados'!$A$6:$G$233,5,FALSE)</f>
        <v>95.2</v>
      </c>
      <c r="E1324" s="23">
        <f>VLOOKUP(A1324,'[11]Linea Importados'!$A$6:$G$233,6,FALSE)</f>
        <v>120.35</v>
      </c>
      <c r="F1324" s="23">
        <f>VLOOKUP(A1324,'[11]Linea Importados'!$A$6:$G$233,7,FALSE)</f>
        <v>136</v>
      </c>
    </row>
    <row r="1325" spans="1:6" x14ac:dyDescent="0.3">
      <c r="A1325" s="27" t="s">
        <v>1455</v>
      </c>
      <c r="B1325" s="57" t="s">
        <v>1456</v>
      </c>
      <c r="C1325" s="23">
        <f>VLOOKUP(A1325,'[11]Linea Importados'!$A$6:$G$233,4,FALSE)</f>
        <v>65.66</v>
      </c>
      <c r="D1325" s="23">
        <f>VLOOKUP(A1325,'[11]Linea Importados'!$A$6:$G$233,5,FALSE)</f>
        <v>74.2</v>
      </c>
      <c r="E1325" s="23">
        <f>VLOOKUP(A1325,'[11]Linea Importados'!$A$6:$G$233,6,FALSE)</f>
        <v>93.81</v>
      </c>
      <c r="F1325" s="23">
        <f>VLOOKUP(A1325,'[11]Linea Importados'!$A$6:$G$233,7,FALSE)</f>
        <v>106</v>
      </c>
    </row>
    <row r="1326" spans="1:6" x14ac:dyDescent="0.3">
      <c r="A1326" s="27" t="s">
        <v>1457</v>
      </c>
      <c r="B1326" s="57" t="s">
        <v>1458</v>
      </c>
      <c r="C1326" s="23">
        <f>VLOOKUP(A1326,'[11]Linea Importados'!$A$6:$G$233,4,FALSE)</f>
        <v>633.98</v>
      </c>
      <c r="D1326" s="23">
        <f>VLOOKUP(A1326,'[11]Linea Importados'!$A$6:$G$233,5,FALSE)</f>
        <v>716.4</v>
      </c>
      <c r="E1326" s="23">
        <f>VLOOKUP(A1326,'[11]Linea Importados'!$A$6:$G$233,6,FALSE)</f>
        <v>880.53</v>
      </c>
      <c r="F1326" s="23">
        <f>VLOOKUP(A1326,'[11]Linea Importados'!$A$6:$G$233,7,FALSE)</f>
        <v>995</v>
      </c>
    </row>
    <row r="1327" spans="1:6" x14ac:dyDescent="0.3">
      <c r="A1327" s="27" t="s">
        <v>1459</v>
      </c>
      <c r="B1327" s="57" t="s">
        <v>1460</v>
      </c>
      <c r="C1327" s="23">
        <f>VLOOKUP(A1327,'[11]Linea Importados'!$A$6:$G$233,4,FALSE)</f>
        <v>233.2</v>
      </c>
      <c r="D1327" s="23">
        <f>VLOOKUP(A1327,'[11]Linea Importados'!$A$6:$G$233,5,FALSE)</f>
        <v>263.52</v>
      </c>
      <c r="E1327" s="23">
        <f>VLOOKUP(A1327,'[11]Linea Importados'!$A$6:$G$233,6,FALSE)</f>
        <v>323.89</v>
      </c>
      <c r="F1327" s="23">
        <f>VLOOKUP(A1327,'[11]Linea Importados'!$A$6:$G$233,7,FALSE)</f>
        <v>366</v>
      </c>
    </row>
    <row r="1328" spans="1:6" x14ac:dyDescent="0.3">
      <c r="A1328" s="27" t="s">
        <v>1461</v>
      </c>
      <c r="B1328" s="57" t="s">
        <v>1462</v>
      </c>
      <c r="C1328" s="23">
        <f>VLOOKUP(A1328,'[11]Linea Importados'!$A$6:$G$233,4,FALSE)</f>
        <v>477.24</v>
      </c>
      <c r="D1328" s="23">
        <f>VLOOKUP(A1328,'[11]Linea Importados'!$A$6:$G$233,5,FALSE)</f>
        <v>539.28</v>
      </c>
      <c r="E1328" s="23">
        <f>VLOOKUP(A1328,'[11]Linea Importados'!$A$6:$G$233,6,FALSE)</f>
        <v>662.83</v>
      </c>
      <c r="F1328" s="23">
        <f>VLOOKUP(A1328,'[11]Linea Importados'!$A$6:$G$233,7,FALSE)</f>
        <v>749</v>
      </c>
    </row>
    <row r="1329" spans="1:6" x14ac:dyDescent="0.3">
      <c r="A1329" s="27" t="s">
        <v>1463</v>
      </c>
      <c r="B1329" s="57" t="s">
        <v>1464</v>
      </c>
      <c r="C1329" s="23">
        <f>VLOOKUP(A1329,'[11]Linea Importados'!$A$6:$G$233,4,FALSE)</f>
        <v>201.98</v>
      </c>
      <c r="D1329" s="23">
        <f>VLOOKUP(A1329,'[11]Linea Importados'!$A$6:$G$233,5,FALSE)</f>
        <v>228.24</v>
      </c>
      <c r="E1329" s="23">
        <f>VLOOKUP(A1329,'[11]Linea Importados'!$A$6:$G$233,6,FALSE)</f>
        <v>280.52999999999997</v>
      </c>
      <c r="F1329" s="23">
        <f>VLOOKUP(A1329,'[11]Linea Importados'!$A$6:$G$233,7,FALSE)</f>
        <v>317</v>
      </c>
    </row>
    <row r="1330" spans="1:6" x14ac:dyDescent="0.3">
      <c r="A1330" s="27" t="s">
        <v>1465</v>
      </c>
      <c r="B1330" s="57" t="s">
        <v>1466</v>
      </c>
      <c r="C1330" s="23">
        <f>VLOOKUP(A1330,'[11]Linea Importados'!$A$6:$G$233,4,FALSE)</f>
        <v>579.82000000000005</v>
      </c>
      <c r="D1330" s="23">
        <f>VLOOKUP(A1330,'[11]Linea Importados'!$A$6:$G$233,5,FALSE)</f>
        <v>655.20000000000005</v>
      </c>
      <c r="E1330" s="23">
        <f>VLOOKUP(A1330,'[11]Linea Importados'!$A$6:$G$233,6,FALSE)</f>
        <v>805.31</v>
      </c>
      <c r="F1330" s="23">
        <f>VLOOKUP(A1330,'[11]Linea Importados'!$A$6:$G$233,7,FALSE)</f>
        <v>910</v>
      </c>
    </row>
    <row r="1331" spans="1:6" x14ac:dyDescent="0.3">
      <c r="A1331" s="27" t="s">
        <v>1467</v>
      </c>
      <c r="B1331" s="57" t="s">
        <v>1468</v>
      </c>
      <c r="C1331" s="23">
        <f>VLOOKUP(A1331,'[11]Linea Importados'!$A$6:$G$233,4,FALSE)</f>
        <v>132.53</v>
      </c>
      <c r="D1331" s="23">
        <f>VLOOKUP(A1331,'[11]Linea Importados'!$A$6:$G$233,5,FALSE)</f>
        <v>149.76</v>
      </c>
      <c r="E1331" s="23">
        <f>VLOOKUP(A1331,'[11]Linea Importados'!$A$6:$G$233,6,FALSE)</f>
        <v>184.07</v>
      </c>
      <c r="F1331" s="23">
        <f>VLOOKUP(A1331,'[11]Linea Importados'!$A$6:$G$233,7,FALSE)</f>
        <v>208</v>
      </c>
    </row>
    <row r="1332" spans="1:6" x14ac:dyDescent="0.3">
      <c r="A1332" s="27" t="s">
        <v>1469</v>
      </c>
      <c r="B1332" s="57" t="s">
        <v>1470</v>
      </c>
      <c r="C1332" s="23">
        <f>VLOOKUP(A1332,'[11]Linea Importados'!$A$6:$G$233,4,FALSE)</f>
        <v>219.91</v>
      </c>
      <c r="D1332" s="23">
        <f>VLOOKUP(A1332,'[11]Linea Importados'!$A$6:$G$233,5,FALSE)</f>
        <v>248.5</v>
      </c>
      <c r="E1332" s="23">
        <f>VLOOKUP(A1332,'[11]Linea Importados'!$A$6:$G$233,6,FALSE)</f>
        <v>314.16000000000003</v>
      </c>
      <c r="F1332" s="23">
        <f>VLOOKUP(A1332,'[11]Linea Importados'!$A$6:$G$233,7,FALSE)</f>
        <v>355</v>
      </c>
    </row>
    <row r="1333" spans="1:6" x14ac:dyDescent="0.3">
      <c r="A1333" s="27" t="s">
        <v>1471</v>
      </c>
      <c r="B1333" s="57" t="s">
        <v>1472</v>
      </c>
      <c r="C1333" s="23">
        <f>VLOOKUP(A1333,'[11]Linea Importados'!$A$6:$G$233,4,FALSE)</f>
        <v>456.44</v>
      </c>
      <c r="D1333" s="23">
        <f>VLOOKUP(A1333,'[11]Linea Importados'!$A$6:$G$233,5,FALSE)</f>
        <v>515.78</v>
      </c>
      <c r="E1333" s="23">
        <f>VLOOKUP(A1333,'[11]Linea Importados'!$A$6:$G$233,6,FALSE)</f>
        <v>616.80999999999995</v>
      </c>
      <c r="F1333" s="23">
        <f>VLOOKUP(A1333,'[11]Linea Importados'!$A$6:$G$233,7,FALSE)</f>
        <v>697</v>
      </c>
    </row>
    <row r="1334" spans="1:6" x14ac:dyDescent="0.3">
      <c r="A1334" s="27" t="s">
        <v>1473</v>
      </c>
      <c r="B1334" s="58" t="s">
        <v>1474</v>
      </c>
      <c r="C1334" s="23">
        <f>VLOOKUP(A1334,'[11]Linea Importados'!$A$6:$G$233,4,FALSE)</f>
        <v>76.459999999999994</v>
      </c>
      <c r="D1334" s="23">
        <f>VLOOKUP(A1334,'[11]Linea Importados'!$A$6:$G$233,5,FALSE)</f>
        <v>86.4</v>
      </c>
      <c r="E1334" s="23">
        <f>VLOOKUP(A1334,'[11]Linea Importados'!$A$6:$G$233,6,FALSE)</f>
        <v>106.19</v>
      </c>
      <c r="F1334" s="23">
        <f>VLOOKUP(A1334,'[11]Linea Importados'!$A$6:$G$233,7,FALSE)</f>
        <v>120</v>
      </c>
    </row>
    <row r="1335" spans="1:6" x14ac:dyDescent="0.3">
      <c r="A1335" s="27" t="s">
        <v>1475</v>
      </c>
      <c r="B1335" s="58" t="s">
        <v>1476</v>
      </c>
      <c r="C1335" s="23">
        <f>VLOOKUP(A1335,'[11]Linea Importados'!$A$6:$G$233,4,FALSE)</f>
        <v>76.459999999999994</v>
      </c>
      <c r="D1335" s="23">
        <f>VLOOKUP(A1335,'[11]Linea Importados'!$A$6:$G$233,5,FALSE)</f>
        <v>86.4</v>
      </c>
      <c r="E1335" s="23">
        <f>VLOOKUP(A1335,'[11]Linea Importados'!$A$6:$G$233,6,FALSE)</f>
        <v>106.19</v>
      </c>
      <c r="F1335" s="23">
        <f>VLOOKUP(A1335,'[11]Linea Importados'!$A$6:$G$233,7,FALSE)</f>
        <v>120</v>
      </c>
    </row>
    <row r="1336" spans="1:6" x14ac:dyDescent="0.3">
      <c r="A1336" s="27" t="s">
        <v>1477</v>
      </c>
      <c r="B1336" s="57" t="s">
        <v>1478</v>
      </c>
      <c r="C1336" s="23">
        <f>VLOOKUP(A1336,'[11]Linea Importados'!$A$6:$G$233,4,FALSE)</f>
        <v>73.91</v>
      </c>
      <c r="D1336" s="23">
        <f>VLOOKUP(A1336,'[11]Linea Importados'!$A$6:$G$233,5,FALSE)</f>
        <v>83.52</v>
      </c>
      <c r="E1336" s="23">
        <f>VLOOKUP(A1336,'[11]Linea Importados'!$A$6:$G$233,6,FALSE)</f>
        <v>102.65</v>
      </c>
      <c r="F1336" s="23">
        <f>VLOOKUP(A1336,'[11]Linea Importados'!$A$6:$G$233,7,FALSE)</f>
        <v>116</v>
      </c>
    </row>
    <row r="1337" spans="1:6" x14ac:dyDescent="0.3">
      <c r="A1337" s="27" t="s">
        <v>1479</v>
      </c>
      <c r="B1337" s="59" t="s">
        <v>1480</v>
      </c>
      <c r="C1337" s="23">
        <f>VLOOKUP(A1337,'[11]Linea Importados'!$A$6:$G$233,4,FALSE)</f>
        <v>46.07</v>
      </c>
      <c r="D1337" s="23">
        <f>VLOOKUP(A1337,'[11]Linea Importados'!$A$6:$G$233,5,FALSE)</f>
        <v>52.06</v>
      </c>
      <c r="E1337" s="23">
        <f>VLOOKUP(A1337,'[11]Linea Importados'!$A$6:$G$233,6,FALSE)</f>
        <v>63.98</v>
      </c>
      <c r="F1337" s="23">
        <f>VLOOKUP(A1337,'[11]Linea Importados'!$A$6:$G$233,7,FALSE)</f>
        <v>72.3</v>
      </c>
    </row>
    <row r="1338" spans="1:6" x14ac:dyDescent="0.3">
      <c r="A1338" s="27" t="s">
        <v>1481</v>
      </c>
      <c r="B1338" s="57" t="s">
        <v>1482</v>
      </c>
      <c r="C1338" s="23">
        <f>VLOOKUP(A1338,'[11]Linea Importados'!$A$6:$G$233,4,FALSE)</f>
        <v>41.35</v>
      </c>
      <c r="D1338" s="23">
        <f>VLOOKUP(A1338,'[11]Linea Importados'!$A$6:$G$233,5,FALSE)</f>
        <v>46.73</v>
      </c>
      <c r="E1338" s="23">
        <f>VLOOKUP(A1338,'[11]Linea Importados'!$A$6:$G$233,6,FALSE)</f>
        <v>57.43</v>
      </c>
      <c r="F1338" s="23">
        <f>VLOOKUP(A1338,'[11]Linea Importados'!$A$6:$G$233,7,FALSE)</f>
        <v>64.900000000000006</v>
      </c>
    </row>
    <row r="1339" spans="1:6" x14ac:dyDescent="0.3">
      <c r="A1339" s="27" t="s">
        <v>1483</v>
      </c>
      <c r="B1339" s="59" t="s">
        <v>1484</v>
      </c>
      <c r="C1339" s="23">
        <f>VLOOKUP(A1339,'[11]Linea Importados'!$A$6:$G$233,4,FALSE)</f>
        <v>19.690000000000001</v>
      </c>
      <c r="D1339" s="23">
        <f>VLOOKUP(A1339,'[11]Linea Importados'!$A$6:$G$233,5,FALSE)</f>
        <v>22.25</v>
      </c>
      <c r="E1339" s="23">
        <f>VLOOKUP(A1339,'[11]Linea Importados'!$A$6:$G$233,6,FALSE)</f>
        <v>27.35</v>
      </c>
      <c r="F1339" s="23">
        <f>VLOOKUP(A1339,'[11]Linea Importados'!$A$6:$G$233,7,FALSE)</f>
        <v>30.9</v>
      </c>
    </row>
    <row r="1340" spans="1:6" x14ac:dyDescent="0.3">
      <c r="A1340" s="27" t="s">
        <v>3151</v>
      </c>
      <c r="B1340" s="59" t="s">
        <v>3152</v>
      </c>
      <c r="C1340" s="23">
        <f>VLOOKUP(A1340,'[11]Linea Importados'!$A$6:$G$233,4,FALSE)</f>
        <v>30.78</v>
      </c>
      <c r="D1340" s="23">
        <f>VLOOKUP(A1340,'[11]Linea Importados'!$A$6:$G$233,5,FALSE)</f>
        <v>34.78</v>
      </c>
      <c r="E1340" s="23">
        <f>VLOOKUP(A1340,'[11]Linea Importados'!$A$6:$G$233,6,FALSE)</f>
        <v>42.74</v>
      </c>
      <c r="F1340" s="23">
        <f>VLOOKUP(A1340,'[11]Linea Importados'!$A$6:$G$233,7,FALSE)</f>
        <v>48.3</v>
      </c>
    </row>
    <row r="1341" spans="1:6" x14ac:dyDescent="0.3">
      <c r="A1341" s="27" t="s">
        <v>3153</v>
      </c>
      <c r="B1341" s="57" t="s">
        <v>3154</v>
      </c>
      <c r="C1341" s="23">
        <f>VLOOKUP(A1341,'[11]Linea Importados'!$A$6:$G$233,4,FALSE)</f>
        <v>22.24</v>
      </c>
      <c r="D1341" s="23">
        <f>VLOOKUP(A1341,'[11]Linea Importados'!$A$6:$G$233,5,FALSE)</f>
        <v>25.13</v>
      </c>
      <c r="E1341" s="23">
        <f>VLOOKUP(A1341,'[11]Linea Importados'!$A$6:$G$233,6,FALSE)</f>
        <v>30.88</v>
      </c>
      <c r="F1341" s="23">
        <f>VLOOKUP(A1341,'[11]Linea Importados'!$A$6:$G$233,7,FALSE)</f>
        <v>34.9</v>
      </c>
    </row>
    <row r="1342" spans="1:6" x14ac:dyDescent="0.3">
      <c r="A1342" s="27" t="s">
        <v>1485</v>
      </c>
      <c r="B1342" s="57" t="s">
        <v>1486</v>
      </c>
      <c r="C1342" s="23">
        <f>VLOOKUP(A1342,'[11]Linea Importados'!$A$6:$G$233,4,FALSE)</f>
        <v>119.15</v>
      </c>
      <c r="D1342" s="23">
        <f>VLOOKUP(A1342,'[11]Linea Importados'!$A$6:$G$233,5,FALSE)</f>
        <v>134.63999999999999</v>
      </c>
      <c r="E1342" s="23">
        <f>VLOOKUP(A1342,'[11]Linea Importados'!$A$6:$G$233,6,FALSE)</f>
        <v>165.49</v>
      </c>
      <c r="F1342" s="23">
        <f>VLOOKUP(A1342,'[11]Linea Importados'!$A$6:$G$233,7,FALSE)</f>
        <v>187</v>
      </c>
    </row>
    <row r="1343" spans="1:6" x14ac:dyDescent="0.3">
      <c r="A1343" s="27" t="s">
        <v>1487</v>
      </c>
      <c r="B1343" s="57" t="s">
        <v>1488</v>
      </c>
      <c r="C1343" s="23">
        <f>VLOOKUP(A1343,'[11]Linea Importados'!$A$6:$G$233,4,FALSE)</f>
        <v>101.95</v>
      </c>
      <c r="D1343" s="23">
        <f>VLOOKUP(A1343,'[11]Linea Importados'!$A$6:$G$233,5,FALSE)</f>
        <v>115.2</v>
      </c>
      <c r="E1343" s="23">
        <f>VLOOKUP(A1343,'[11]Linea Importados'!$A$6:$G$233,6,FALSE)</f>
        <v>141.59</v>
      </c>
      <c r="F1343" s="23">
        <f>VLOOKUP(A1343,'[11]Linea Importados'!$A$6:$G$233,7,FALSE)</f>
        <v>160</v>
      </c>
    </row>
    <row r="1344" spans="1:6" x14ac:dyDescent="0.3">
      <c r="A1344" s="27" t="s">
        <v>3661</v>
      </c>
      <c r="B1344" s="57" t="s">
        <v>3662</v>
      </c>
      <c r="C1344" s="23">
        <f>VLOOKUP(A1344,'[11]Linea Importados'!$A$6:$G$233,4,FALSE)</f>
        <v>121.7</v>
      </c>
      <c r="D1344" s="23">
        <f>VLOOKUP(A1344,'[11]Linea Importados'!$A$6:$G$233,5,FALSE)</f>
        <v>137.52000000000001</v>
      </c>
      <c r="E1344" s="23">
        <f>VLOOKUP(A1344,'[11]Linea Importados'!$A$6:$G$233,6,FALSE)</f>
        <v>169.03</v>
      </c>
      <c r="F1344" s="23">
        <f>VLOOKUP(A1344,'[11]Linea Importados'!$A$6:$G$233,7,FALSE)</f>
        <v>191</v>
      </c>
    </row>
    <row r="1345" spans="1:6" x14ac:dyDescent="0.3">
      <c r="A1345" s="27" t="s">
        <v>1489</v>
      </c>
      <c r="B1345" s="57" t="s">
        <v>1490</v>
      </c>
      <c r="C1345" s="23">
        <f>VLOOKUP(A1345,'[11]Linea Importados'!$A$6:$G$233,4,FALSE)</f>
        <v>106.41</v>
      </c>
      <c r="D1345" s="23">
        <f>VLOOKUP(A1345,'[11]Linea Importados'!$A$6:$G$233,5,FALSE)</f>
        <v>120.24</v>
      </c>
      <c r="E1345" s="23">
        <f>VLOOKUP(A1345,'[11]Linea Importados'!$A$6:$G$233,6,FALSE)</f>
        <v>147.79</v>
      </c>
      <c r="F1345" s="23">
        <f>VLOOKUP(A1345,'[11]Linea Importados'!$A$6:$G$233,7,FALSE)</f>
        <v>167</v>
      </c>
    </row>
    <row r="1346" spans="1:6" x14ac:dyDescent="0.3">
      <c r="A1346" s="27" t="s">
        <v>1491</v>
      </c>
      <c r="B1346" s="57" t="s">
        <v>1492</v>
      </c>
      <c r="C1346" s="23">
        <f>VLOOKUP(A1346,'[11]Linea Importados'!$A$6:$G$233,4,FALSE)</f>
        <v>153.56</v>
      </c>
      <c r="D1346" s="23">
        <f>VLOOKUP(A1346,'[11]Linea Importados'!$A$6:$G$233,5,FALSE)</f>
        <v>173.52</v>
      </c>
      <c r="E1346" s="23">
        <f>VLOOKUP(A1346,'[11]Linea Importados'!$A$6:$G$233,6,FALSE)</f>
        <v>213.27</v>
      </c>
      <c r="F1346" s="23">
        <f>VLOOKUP(A1346,'[11]Linea Importados'!$A$6:$G$233,7,FALSE)</f>
        <v>241</v>
      </c>
    </row>
    <row r="1347" spans="1:6" x14ac:dyDescent="0.3">
      <c r="A1347" s="27" t="s">
        <v>1493</v>
      </c>
      <c r="B1347" s="57" t="s">
        <v>1494</v>
      </c>
      <c r="C1347" s="23">
        <f>VLOOKUP(A1347,'[11]Linea Importados'!$A$6:$G$233,4,FALSE)</f>
        <v>147.82</v>
      </c>
      <c r="D1347" s="23">
        <f>VLOOKUP(A1347,'[11]Linea Importados'!$A$6:$G$233,5,FALSE)</f>
        <v>167.04</v>
      </c>
      <c r="E1347" s="23">
        <f>VLOOKUP(A1347,'[11]Linea Importados'!$A$6:$G$233,6,FALSE)</f>
        <v>205.31</v>
      </c>
      <c r="F1347" s="23">
        <f>VLOOKUP(A1347,'[11]Linea Importados'!$A$6:$G$233,7,FALSE)</f>
        <v>232</v>
      </c>
    </row>
    <row r="1348" spans="1:6" x14ac:dyDescent="0.3">
      <c r="A1348" s="27" t="s">
        <v>1495</v>
      </c>
      <c r="B1348" s="57" t="s">
        <v>1496</v>
      </c>
      <c r="C1348" s="23">
        <f>VLOOKUP(A1348,'[11]Linea Importados'!$A$6:$G$233,4,FALSE)</f>
        <v>165.66</v>
      </c>
      <c r="D1348" s="23">
        <f>VLOOKUP(A1348,'[11]Linea Importados'!$A$6:$G$233,5,FALSE)</f>
        <v>187.2</v>
      </c>
      <c r="E1348" s="23">
        <f>VLOOKUP(A1348,'[11]Linea Importados'!$A$6:$G$233,6,FALSE)</f>
        <v>230.09</v>
      </c>
      <c r="F1348" s="23">
        <f>VLOOKUP(A1348,'[11]Linea Importados'!$A$6:$G$233,7,FALSE)</f>
        <v>260</v>
      </c>
    </row>
    <row r="1349" spans="1:6" x14ac:dyDescent="0.3">
      <c r="A1349" s="27" t="s">
        <v>1497</v>
      </c>
      <c r="B1349" s="57" t="s">
        <v>1498</v>
      </c>
      <c r="C1349" s="23">
        <f>VLOOKUP(A1349,'[11]Linea Importados'!$A$6:$G$233,4,FALSE)</f>
        <v>132.94</v>
      </c>
      <c r="D1349" s="23">
        <f>VLOOKUP(A1349,'[11]Linea Importados'!$A$6:$G$233,5,FALSE)</f>
        <v>150.22</v>
      </c>
      <c r="E1349" s="23">
        <f>VLOOKUP(A1349,'[11]Linea Importados'!$A$6:$G$233,6,FALSE)</f>
        <v>179.65</v>
      </c>
      <c r="F1349" s="23">
        <f>VLOOKUP(A1349,'[11]Linea Importados'!$A$6:$G$233,7,FALSE)</f>
        <v>203</v>
      </c>
    </row>
    <row r="1350" spans="1:6" x14ac:dyDescent="0.3">
      <c r="A1350" s="27" t="s">
        <v>1499</v>
      </c>
      <c r="B1350" s="57" t="s">
        <v>1500</v>
      </c>
      <c r="C1350" s="23">
        <f>VLOOKUP(A1350,'[11]Linea Importados'!$A$6:$G$233,4,FALSE)</f>
        <v>121.7</v>
      </c>
      <c r="D1350" s="23">
        <f>VLOOKUP(A1350,'[11]Linea Importados'!$A$6:$G$233,5,FALSE)</f>
        <v>137.52000000000001</v>
      </c>
      <c r="E1350" s="23">
        <f>VLOOKUP(A1350,'[11]Linea Importados'!$A$6:$G$233,6,FALSE)</f>
        <v>169.03</v>
      </c>
      <c r="F1350" s="23">
        <f>VLOOKUP(A1350,'[11]Linea Importados'!$A$6:$G$233,7,FALSE)</f>
        <v>191</v>
      </c>
    </row>
    <row r="1351" spans="1:6" x14ac:dyDescent="0.3">
      <c r="A1351" s="27" t="s">
        <v>3663</v>
      </c>
      <c r="B1351" s="57" t="s">
        <v>4025</v>
      </c>
      <c r="C1351" s="23">
        <f>VLOOKUP(A1351,'[11]Linea Importados'!$A$6:$G$233,4,FALSE)</f>
        <v>121.7</v>
      </c>
      <c r="D1351" s="23">
        <f>VLOOKUP(A1351,'[11]Linea Importados'!$A$6:$G$233,5,FALSE)</f>
        <v>137.52000000000001</v>
      </c>
      <c r="E1351" s="23">
        <f>VLOOKUP(A1351,'[11]Linea Importados'!$A$6:$G$233,6,FALSE)</f>
        <v>169.03</v>
      </c>
      <c r="F1351" s="23">
        <f>VLOOKUP(A1351,'[11]Linea Importados'!$A$6:$G$233,7,FALSE)</f>
        <v>191</v>
      </c>
    </row>
    <row r="1352" spans="1:6" x14ac:dyDescent="0.3">
      <c r="A1352" s="27" t="s">
        <v>3155</v>
      </c>
      <c r="B1352" s="57" t="s">
        <v>3156</v>
      </c>
      <c r="C1352" s="23">
        <f>VLOOKUP(A1352,'[11]Linea Importados'!$A$6:$G$233,4,FALSE)</f>
        <v>121.7</v>
      </c>
      <c r="D1352" s="23">
        <f>VLOOKUP(A1352,'[11]Linea Importados'!$A$6:$G$233,5,FALSE)</f>
        <v>137.52000000000001</v>
      </c>
      <c r="E1352" s="23">
        <f>VLOOKUP(A1352,'[11]Linea Importados'!$A$6:$G$233,6,FALSE)</f>
        <v>169.03</v>
      </c>
      <c r="F1352" s="23">
        <f>VLOOKUP(A1352,'[11]Linea Importados'!$A$6:$G$233,7,FALSE)</f>
        <v>191</v>
      </c>
    </row>
    <row r="1353" spans="1:6" x14ac:dyDescent="0.3">
      <c r="A1353" s="27" t="s">
        <v>1501</v>
      </c>
      <c r="B1353" s="57" t="s">
        <v>1502</v>
      </c>
      <c r="C1353" s="23">
        <f>VLOOKUP(A1353,'[11]Linea Importados'!$A$6:$G$233,4,FALSE)</f>
        <v>27.97</v>
      </c>
      <c r="D1353" s="23">
        <f>VLOOKUP(A1353,'[11]Linea Importados'!$A$6:$G$233,5,FALSE)</f>
        <v>31.61</v>
      </c>
      <c r="E1353" s="23">
        <f>VLOOKUP(A1353,'[11]Linea Importados'!$A$6:$G$233,6,FALSE)</f>
        <v>38.85</v>
      </c>
      <c r="F1353" s="23">
        <f>VLOOKUP(A1353,'[11]Linea Importados'!$A$6:$G$233,7,FALSE)</f>
        <v>43.9</v>
      </c>
    </row>
    <row r="1354" spans="1:6" x14ac:dyDescent="0.3">
      <c r="A1354" s="60" t="s">
        <v>3664</v>
      </c>
      <c r="B1354" s="61" t="s">
        <v>3665</v>
      </c>
      <c r="C1354" s="23">
        <f>VLOOKUP(A1354,'[11]Linea Importados'!$A$6:$G$233,4,FALSE)</f>
        <v>49.7</v>
      </c>
      <c r="D1354" s="23">
        <f>VLOOKUP(A1354,'[11]Linea Importados'!$A$6:$G$233,5,FALSE)</f>
        <v>56.16</v>
      </c>
      <c r="E1354" s="23">
        <f>VLOOKUP(A1354,'[11]Linea Importados'!$A$6:$G$233,6,FALSE)</f>
        <v>69.03</v>
      </c>
      <c r="F1354" s="23">
        <f>VLOOKUP(A1354,'[11]Linea Importados'!$A$6:$G$233,7,FALSE)</f>
        <v>78</v>
      </c>
    </row>
    <row r="1355" spans="1:6" x14ac:dyDescent="0.3">
      <c r="A1355" s="60" t="s">
        <v>3666</v>
      </c>
      <c r="B1355" s="61" t="s">
        <v>3667</v>
      </c>
      <c r="C1355" s="23">
        <f>VLOOKUP(A1355,'[11]Linea Importados'!$A$6:$G$233,4,FALSE)</f>
        <v>82.83</v>
      </c>
      <c r="D1355" s="23">
        <f>VLOOKUP(A1355,'[11]Linea Importados'!$A$6:$G$233,5,FALSE)</f>
        <v>93.6</v>
      </c>
      <c r="E1355" s="23">
        <f>VLOOKUP(A1355,'[11]Linea Importados'!$A$6:$G$233,6,FALSE)</f>
        <v>115.04</v>
      </c>
      <c r="F1355" s="23">
        <f>VLOOKUP(A1355,'[11]Linea Importados'!$A$6:$G$233,7,FALSE)</f>
        <v>130</v>
      </c>
    </row>
    <row r="1356" spans="1:6" x14ac:dyDescent="0.3">
      <c r="A1356" s="60" t="s">
        <v>3668</v>
      </c>
      <c r="B1356" s="61" t="s">
        <v>3669</v>
      </c>
      <c r="C1356" s="23">
        <f>VLOOKUP(A1356,'[11]Linea Importados'!$A$6:$G$233,4,FALSE)</f>
        <v>42.11</v>
      </c>
      <c r="D1356" s="23">
        <f>VLOOKUP(A1356,'[11]Linea Importados'!$A$6:$G$233,5,FALSE)</f>
        <v>47.58</v>
      </c>
      <c r="E1356" s="23">
        <f>VLOOKUP(A1356,'[11]Linea Importados'!$A$6:$G$233,6,FALSE)</f>
        <v>58.41</v>
      </c>
      <c r="F1356" s="23">
        <f>VLOOKUP(A1356,'[11]Linea Importados'!$A$6:$G$233,7,FALSE)</f>
        <v>66</v>
      </c>
    </row>
    <row r="1357" spans="1:6" x14ac:dyDescent="0.3">
      <c r="A1357" s="60" t="s">
        <v>1503</v>
      </c>
      <c r="B1357" s="62" t="s">
        <v>1504</v>
      </c>
      <c r="C1357" s="23">
        <f>VLOOKUP(A1357,'[11]Linea Importados'!$A$6:$G$233,4,FALSE)</f>
        <v>85.13</v>
      </c>
      <c r="D1357" s="23">
        <f>VLOOKUP(A1357,'[11]Linea Importados'!$A$6:$G$233,5,FALSE)</f>
        <v>96.2</v>
      </c>
      <c r="E1357" s="23">
        <f>VLOOKUP(A1357,'[11]Linea Importados'!$A$6:$G$233,6,FALSE)</f>
        <v>115.04</v>
      </c>
      <c r="F1357" s="23">
        <f>VLOOKUP(A1357,'[11]Linea Importados'!$A$6:$G$233,7,FALSE)</f>
        <v>130</v>
      </c>
    </row>
    <row r="1358" spans="1:6" x14ac:dyDescent="0.3">
      <c r="A1358" s="60" t="s">
        <v>3670</v>
      </c>
      <c r="B1358" s="62" t="s">
        <v>3671</v>
      </c>
      <c r="C1358" s="23">
        <f>VLOOKUP(A1358,'[11]Linea Importados'!$A$6:$G$233,4,FALSE)</f>
        <v>85.13</v>
      </c>
      <c r="D1358" s="23">
        <f>VLOOKUP(A1358,'[11]Linea Importados'!$A$6:$G$233,5,FALSE)</f>
        <v>96.2</v>
      </c>
      <c r="E1358" s="23">
        <f>VLOOKUP(A1358,'[11]Linea Importados'!$A$6:$G$233,6,FALSE)</f>
        <v>115.04</v>
      </c>
      <c r="F1358" s="23">
        <f>VLOOKUP(A1358,'[11]Linea Importados'!$A$6:$G$233,7,FALSE)</f>
        <v>130</v>
      </c>
    </row>
    <row r="1359" spans="1:6" x14ac:dyDescent="0.3">
      <c r="A1359" s="60" t="s">
        <v>1505</v>
      </c>
      <c r="B1359" s="62" t="s">
        <v>1506</v>
      </c>
      <c r="C1359" s="23">
        <f>VLOOKUP(A1359,'[11]Linea Importados'!$A$6:$G$233,4,FALSE)</f>
        <v>54.29</v>
      </c>
      <c r="D1359" s="23">
        <f>VLOOKUP(A1359,'[11]Linea Importados'!$A$6:$G$233,5,FALSE)</f>
        <v>61.35</v>
      </c>
      <c r="E1359" s="23">
        <f>VLOOKUP(A1359,'[11]Linea Importados'!$A$6:$G$233,6,FALSE)</f>
        <v>73.36</v>
      </c>
      <c r="F1359" s="23">
        <f>VLOOKUP(A1359,'[11]Linea Importados'!$A$6:$G$233,7,FALSE)</f>
        <v>82.9</v>
      </c>
    </row>
    <row r="1360" spans="1:6" x14ac:dyDescent="0.3">
      <c r="A1360" s="60" t="s">
        <v>1507</v>
      </c>
      <c r="B1360" s="61" t="s">
        <v>1508</v>
      </c>
      <c r="C1360" s="23">
        <f>VLOOKUP(A1360,'[11]Linea Importados'!$A$6:$G$233,4,FALSE)</f>
        <v>73.27</v>
      </c>
      <c r="D1360" s="23">
        <f>VLOOKUP(A1360,'[11]Linea Importados'!$A$6:$G$233,5,FALSE)</f>
        <v>82.8</v>
      </c>
      <c r="E1360" s="23">
        <f>VLOOKUP(A1360,'[11]Linea Importados'!$A$6:$G$233,6,FALSE)</f>
        <v>101.77</v>
      </c>
      <c r="F1360" s="23">
        <f>VLOOKUP(A1360,'[11]Linea Importados'!$A$6:$G$233,7,FALSE)</f>
        <v>115</v>
      </c>
    </row>
    <row r="1361" spans="1:6" x14ac:dyDescent="0.3">
      <c r="A1361" s="60" t="s">
        <v>1509</v>
      </c>
      <c r="B1361" s="61" t="s">
        <v>1510</v>
      </c>
      <c r="C1361" s="23">
        <f>VLOOKUP(A1361,'[11]Linea Importados'!$A$6:$G$233,4,FALSE)</f>
        <v>26.06</v>
      </c>
      <c r="D1361" s="23">
        <f>VLOOKUP(A1361,'[11]Linea Importados'!$A$6:$G$233,5,FALSE)</f>
        <v>29.45</v>
      </c>
      <c r="E1361" s="23">
        <f>VLOOKUP(A1361,'[11]Linea Importados'!$A$6:$G$233,6,FALSE)</f>
        <v>36.19</v>
      </c>
      <c r="F1361" s="23">
        <f>VLOOKUP(A1361,'[11]Linea Importados'!$A$6:$G$233,7,FALSE)</f>
        <v>40.9</v>
      </c>
    </row>
    <row r="1362" spans="1:6" x14ac:dyDescent="0.3">
      <c r="A1362" s="60" t="s">
        <v>3672</v>
      </c>
      <c r="B1362" s="61" t="s">
        <v>1511</v>
      </c>
      <c r="C1362" s="23">
        <f>VLOOKUP(A1362,'[11]Linea Importados'!$A$6:$G$233,4,FALSE)</f>
        <v>90.44</v>
      </c>
      <c r="D1362" s="23">
        <f>VLOOKUP(A1362,'[11]Linea Importados'!$A$6:$G$233,5,FALSE)</f>
        <v>102.2</v>
      </c>
      <c r="E1362" s="23">
        <f>VLOOKUP(A1362,'[11]Linea Importados'!$A$6:$G$233,6,FALSE)</f>
        <v>129.19999999999999</v>
      </c>
      <c r="F1362" s="23">
        <f>VLOOKUP(A1362,'[11]Linea Importados'!$A$6:$G$233,7,FALSE)</f>
        <v>146</v>
      </c>
    </row>
    <row r="1363" spans="1:6" x14ac:dyDescent="0.3">
      <c r="A1363" s="60" t="s">
        <v>3673</v>
      </c>
      <c r="B1363" s="61" t="s">
        <v>1512</v>
      </c>
      <c r="C1363" s="23">
        <f>VLOOKUP(A1363,'[11]Linea Importados'!$A$6:$G$233,4,FALSE)</f>
        <v>90.44</v>
      </c>
      <c r="D1363" s="23">
        <f>VLOOKUP(A1363,'[11]Linea Importados'!$A$6:$G$233,5,FALSE)</f>
        <v>102.2</v>
      </c>
      <c r="E1363" s="23">
        <f>VLOOKUP(A1363,'[11]Linea Importados'!$A$6:$G$233,6,FALSE)</f>
        <v>129.19999999999999</v>
      </c>
      <c r="F1363" s="23">
        <f>VLOOKUP(A1363,'[11]Linea Importados'!$A$6:$G$233,7,FALSE)</f>
        <v>146</v>
      </c>
    </row>
    <row r="1364" spans="1:6" x14ac:dyDescent="0.3">
      <c r="A1364" s="60" t="s">
        <v>1513</v>
      </c>
      <c r="B1364" s="61" t="s">
        <v>1511</v>
      </c>
      <c r="C1364" s="23">
        <f>VLOOKUP(A1364,'[11]Linea Importados'!$A$6:$G$233,4,FALSE)</f>
        <v>446.02</v>
      </c>
      <c r="D1364" s="23">
        <f>VLOOKUP(A1364,'[11]Linea Importados'!$A$6:$G$233,5,FALSE)</f>
        <v>504</v>
      </c>
      <c r="E1364" s="23">
        <f>VLOOKUP(A1364,'[11]Linea Importados'!$A$6:$G$233,6,FALSE)</f>
        <v>637.16999999999996</v>
      </c>
      <c r="F1364" s="23">
        <f>VLOOKUP(A1364,'[11]Linea Importados'!$A$6:$G$233,7,FALSE)</f>
        <v>720</v>
      </c>
    </row>
    <row r="1365" spans="1:6" x14ac:dyDescent="0.3">
      <c r="A1365" s="60" t="s">
        <v>1514</v>
      </c>
      <c r="B1365" s="61" t="s">
        <v>1512</v>
      </c>
      <c r="C1365" s="23">
        <f>VLOOKUP(A1365,'[11]Linea Importados'!$A$6:$G$233,4,FALSE)</f>
        <v>446.02</v>
      </c>
      <c r="D1365" s="23">
        <f>VLOOKUP(A1365,'[11]Linea Importados'!$A$6:$G$233,5,FALSE)</f>
        <v>504</v>
      </c>
      <c r="E1365" s="23">
        <f>VLOOKUP(A1365,'[11]Linea Importados'!$A$6:$G$233,6,FALSE)</f>
        <v>637.16999999999996</v>
      </c>
      <c r="F1365" s="23">
        <f>VLOOKUP(A1365,'[11]Linea Importados'!$A$6:$G$233,7,FALSE)</f>
        <v>720</v>
      </c>
    </row>
    <row r="1366" spans="1:6" x14ac:dyDescent="0.3">
      <c r="A1366" s="60" t="s">
        <v>1515</v>
      </c>
      <c r="B1366" s="61" t="s">
        <v>1516</v>
      </c>
      <c r="C1366" s="23">
        <f>VLOOKUP(A1366,'[11]Linea Importados'!$A$6:$G$233,4,FALSE)</f>
        <v>51.08</v>
      </c>
      <c r="D1366" s="23">
        <f>VLOOKUP(A1366,'[11]Linea Importados'!$A$6:$G$233,5,FALSE)</f>
        <v>57.72</v>
      </c>
      <c r="E1366" s="23">
        <f>VLOOKUP(A1366,'[11]Linea Importados'!$A$6:$G$233,6,FALSE)</f>
        <v>69.03</v>
      </c>
      <c r="F1366" s="23">
        <f>VLOOKUP(A1366,'[11]Linea Importados'!$A$6:$G$233,7,FALSE)</f>
        <v>78</v>
      </c>
    </row>
    <row r="1367" spans="1:6" x14ac:dyDescent="0.3">
      <c r="A1367" s="60" t="s">
        <v>1517</v>
      </c>
      <c r="B1367" s="61" t="s">
        <v>1518</v>
      </c>
      <c r="C1367" s="23">
        <f>VLOOKUP(A1367,'[11]Linea Importados'!$A$6:$G$233,4,FALSE)</f>
        <v>51.08</v>
      </c>
      <c r="D1367" s="23">
        <f>VLOOKUP(A1367,'[11]Linea Importados'!$A$6:$G$233,5,FALSE)</f>
        <v>57.72</v>
      </c>
      <c r="E1367" s="23">
        <f>VLOOKUP(A1367,'[11]Linea Importados'!$A$6:$G$233,6,FALSE)</f>
        <v>69.03</v>
      </c>
      <c r="F1367" s="23">
        <f>VLOOKUP(A1367,'[11]Linea Importados'!$A$6:$G$233,7,FALSE)</f>
        <v>78</v>
      </c>
    </row>
    <row r="1368" spans="1:6" x14ac:dyDescent="0.3">
      <c r="A1368" s="60" t="s">
        <v>1519</v>
      </c>
      <c r="B1368" s="61" t="s">
        <v>1520</v>
      </c>
      <c r="C1368" s="23">
        <f>VLOOKUP(A1368,'[11]Linea Importados'!$A$6:$G$233,4,FALSE)</f>
        <v>51.08</v>
      </c>
      <c r="D1368" s="23">
        <f>VLOOKUP(A1368,'[11]Linea Importados'!$A$6:$G$233,5,FALSE)</f>
        <v>57.72</v>
      </c>
      <c r="E1368" s="23">
        <f>VLOOKUP(A1368,'[11]Linea Importados'!$A$6:$G$233,6,FALSE)</f>
        <v>69.03</v>
      </c>
      <c r="F1368" s="23">
        <f>VLOOKUP(A1368,'[11]Linea Importados'!$A$6:$G$233,7,FALSE)</f>
        <v>78</v>
      </c>
    </row>
    <row r="1369" spans="1:6" x14ac:dyDescent="0.3">
      <c r="A1369" s="60" t="s">
        <v>1521</v>
      </c>
      <c r="B1369" s="61" t="s">
        <v>1522</v>
      </c>
      <c r="C1369" s="23">
        <f>VLOOKUP(A1369,'[11]Linea Importados'!$A$6:$G$233,4,FALSE)</f>
        <v>51.08</v>
      </c>
      <c r="D1369" s="23">
        <f>VLOOKUP(A1369,'[11]Linea Importados'!$A$6:$G$233,5,FALSE)</f>
        <v>57.72</v>
      </c>
      <c r="E1369" s="23">
        <f>VLOOKUP(A1369,'[11]Linea Importados'!$A$6:$G$233,6,FALSE)</f>
        <v>69.03</v>
      </c>
      <c r="F1369" s="23">
        <f>VLOOKUP(A1369,'[11]Linea Importados'!$A$6:$G$233,7,FALSE)</f>
        <v>78</v>
      </c>
    </row>
    <row r="1370" spans="1:6" x14ac:dyDescent="0.3">
      <c r="A1370" s="60" t="s">
        <v>1523</v>
      </c>
      <c r="B1370" s="61" t="s">
        <v>1524</v>
      </c>
      <c r="C1370" s="23">
        <f>VLOOKUP(A1370,'[11]Linea Importados'!$A$6:$G$233,4,FALSE)</f>
        <v>51.08</v>
      </c>
      <c r="D1370" s="23">
        <f>VLOOKUP(A1370,'[11]Linea Importados'!$A$6:$G$233,5,FALSE)</f>
        <v>57.72</v>
      </c>
      <c r="E1370" s="23">
        <f>VLOOKUP(A1370,'[11]Linea Importados'!$A$6:$G$233,6,FALSE)</f>
        <v>69.03</v>
      </c>
      <c r="F1370" s="23">
        <f>VLOOKUP(A1370,'[11]Linea Importados'!$A$6:$G$233,7,FALSE)</f>
        <v>78</v>
      </c>
    </row>
    <row r="1371" spans="1:6" x14ac:dyDescent="0.3">
      <c r="A1371" s="60" t="s">
        <v>1525</v>
      </c>
      <c r="B1371" s="61" t="s">
        <v>1526</v>
      </c>
      <c r="C1371" s="23">
        <f>VLOOKUP(A1371,'[11]Linea Importados'!$A$6:$G$233,4,FALSE)</f>
        <v>51.08</v>
      </c>
      <c r="D1371" s="23">
        <f>VLOOKUP(A1371,'[11]Linea Importados'!$A$6:$G$233,5,FALSE)</f>
        <v>57.72</v>
      </c>
      <c r="E1371" s="23">
        <f>VLOOKUP(A1371,'[11]Linea Importados'!$A$6:$G$233,6,FALSE)</f>
        <v>69.03</v>
      </c>
      <c r="F1371" s="23">
        <f>VLOOKUP(A1371,'[11]Linea Importados'!$A$6:$G$233,7,FALSE)</f>
        <v>78</v>
      </c>
    </row>
    <row r="1372" spans="1:6" x14ac:dyDescent="0.3">
      <c r="A1372" s="60" t="s">
        <v>1527</v>
      </c>
      <c r="B1372" s="61" t="s">
        <v>1528</v>
      </c>
      <c r="C1372" s="23">
        <f>VLOOKUP(A1372,'[11]Linea Importados'!$A$6:$G$233,4,FALSE)</f>
        <v>51.08</v>
      </c>
      <c r="D1372" s="23">
        <f>VLOOKUP(A1372,'[11]Linea Importados'!$A$6:$G$233,5,FALSE)</f>
        <v>57.72</v>
      </c>
      <c r="E1372" s="23">
        <f>VLOOKUP(A1372,'[11]Linea Importados'!$A$6:$G$233,6,FALSE)</f>
        <v>69.03</v>
      </c>
      <c r="F1372" s="23">
        <f>VLOOKUP(A1372,'[11]Linea Importados'!$A$6:$G$233,7,FALSE)</f>
        <v>78</v>
      </c>
    </row>
    <row r="1373" spans="1:6" x14ac:dyDescent="0.3">
      <c r="A1373" s="60" t="s">
        <v>1529</v>
      </c>
      <c r="B1373" s="61" t="s">
        <v>1530</v>
      </c>
      <c r="C1373" s="23">
        <f>VLOOKUP(A1373,'[11]Linea Importados'!$A$6:$G$233,4,FALSE)</f>
        <v>51.08</v>
      </c>
      <c r="D1373" s="23">
        <f>VLOOKUP(A1373,'[11]Linea Importados'!$A$6:$G$233,5,FALSE)</f>
        <v>57.72</v>
      </c>
      <c r="E1373" s="23">
        <f>VLOOKUP(A1373,'[11]Linea Importados'!$A$6:$G$233,6,FALSE)</f>
        <v>69.03</v>
      </c>
      <c r="F1373" s="23">
        <f>VLOOKUP(A1373,'[11]Linea Importados'!$A$6:$G$233,7,FALSE)</f>
        <v>78</v>
      </c>
    </row>
    <row r="1374" spans="1:6" x14ac:dyDescent="0.3">
      <c r="A1374" s="60" t="s">
        <v>1531</v>
      </c>
      <c r="B1374" s="61" t="s">
        <v>1532</v>
      </c>
      <c r="C1374" s="23">
        <f>VLOOKUP(A1374,'[11]Linea Importados'!$A$6:$G$233,4,FALSE)</f>
        <v>51.08</v>
      </c>
      <c r="D1374" s="23">
        <f>VLOOKUP(A1374,'[11]Linea Importados'!$A$6:$G$233,5,FALSE)</f>
        <v>57.72</v>
      </c>
      <c r="E1374" s="23">
        <f>VLOOKUP(A1374,'[11]Linea Importados'!$A$6:$G$233,6,FALSE)</f>
        <v>69.03</v>
      </c>
      <c r="F1374" s="23">
        <f>VLOOKUP(A1374,'[11]Linea Importados'!$A$6:$G$233,7,FALSE)</f>
        <v>78</v>
      </c>
    </row>
    <row r="1375" spans="1:6" x14ac:dyDescent="0.3">
      <c r="A1375" s="60" t="s">
        <v>1533</v>
      </c>
      <c r="B1375" s="61" t="s">
        <v>1534</v>
      </c>
      <c r="C1375" s="23">
        <f>VLOOKUP(A1375,'[11]Linea Importados'!$A$6:$G$233,4,FALSE)</f>
        <v>51.08</v>
      </c>
      <c r="D1375" s="23">
        <f>VLOOKUP(A1375,'[11]Linea Importados'!$A$6:$G$233,5,FALSE)</f>
        <v>57.72</v>
      </c>
      <c r="E1375" s="23">
        <f>VLOOKUP(A1375,'[11]Linea Importados'!$A$6:$G$233,6,FALSE)</f>
        <v>69.03</v>
      </c>
      <c r="F1375" s="23">
        <f>VLOOKUP(A1375,'[11]Linea Importados'!$A$6:$G$233,7,FALSE)</f>
        <v>78</v>
      </c>
    </row>
    <row r="1376" spans="1:6" x14ac:dyDescent="0.3">
      <c r="A1376" s="60" t="s">
        <v>1535</v>
      </c>
      <c r="B1376" s="61" t="s">
        <v>1536</v>
      </c>
      <c r="C1376" s="23">
        <f>VLOOKUP(A1376,'[11]Linea Importados'!$A$6:$G$233,4,FALSE)</f>
        <v>51.08</v>
      </c>
      <c r="D1376" s="23">
        <f>VLOOKUP(A1376,'[11]Linea Importados'!$A$6:$G$233,5,FALSE)</f>
        <v>57.72</v>
      </c>
      <c r="E1376" s="23">
        <f>VLOOKUP(A1376,'[11]Linea Importados'!$A$6:$G$233,6,FALSE)</f>
        <v>69.03</v>
      </c>
      <c r="F1376" s="23">
        <f>VLOOKUP(A1376,'[11]Linea Importados'!$A$6:$G$233,7,FALSE)</f>
        <v>78</v>
      </c>
    </row>
    <row r="1377" spans="1:6" ht="15" thickBot="1" x14ac:dyDescent="0.35">
      <c r="A1377" s="63" t="s">
        <v>1537</v>
      </c>
      <c r="B1377" s="64" t="s">
        <v>1538</v>
      </c>
      <c r="C1377" s="35">
        <f>VLOOKUP(A1377,'[11]Linea Importados'!$A$6:$G$233,4,FALSE)</f>
        <v>51.08</v>
      </c>
      <c r="D1377" s="35">
        <f>VLOOKUP(A1377,'[11]Linea Importados'!$A$6:$G$233,5,FALSE)</f>
        <v>57.72</v>
      </c>
      <c r="E1377" s="35">
        <f>VLOOKUP(A1377,'[11]Linea Importados'!$A$6:$G$233,6,FALSE)</f>
        <v>69.03</v>
      </c>
      <c r="F1377" s="35">
        <f>VLOOKUP(A1377,'[11]Linea Importados'!$A$6:$G$233,7,FALSE)</f>
        <v>78</v>
      </c>
    </row>
    <row r="1378" spans="1:6" x14ac:dyDescent="0.3">
      <c r="A1378" s="31" t="s">
        <v>1539</v>
      </c>
      <c r="B1378" s="65" t="s">
        <v>1540</v>
      </c>
      <c r="C1378" s="22">
        <f>VLOOKUP(A1378,'[11]Linea Madera '!$A$1:$D$445,4,FALSE)</f>
        <v>6.56</v>
      </c>
      <c r="D1378" s="22">
        <f>VLOOKUP(A1378,'[11]Linea Madera '!$A$1:$E$445,5,FALSE)</f>
        <v>7.41</v>
      </c>
      <c r="E1378" s="22">
        <f>VLOOKUP(A1378,'[11]Linea Madera '!$A$1:$F$445,6,FALSE)</f>
        <v>8.41</v>
      </c>
      <c r="F1378" s="22">
        <f>VLOOKUP(A1378,'[11]Linea Madera '!$A$1:$G$445,7,FALSE)</f>
        <v>9.5</v>
      </c>
    </row>
    <row r="1379" spans="1:6" x14ac:dyDescent="0.3">
      <c r="A1379" s="31" t="s">
        <v>1541</v>
      </c>
      <c r="B1379" s="65" t="s">
        <v>1540</v>
      </c>
      <c r="C1379" s="22">
        <f>VLOOKUP(A1379,'[11]Linea Madera '!$A$1:$D$445,4,FALSE)</f>
        <v>21.05</v>
      </c>
      <c r="D1379" s="22">
        <f>VLOOKUP(A1379,'[11]Linea Madera '!$A$1:$E$445,5,FALSE)</f>
        <v>23.79</v>
      </c>
      <c r="E1379" s="22">
        <f>VLOOKUP(A1379,'[11]Linea Madera '!$A$1:$F$445,6,FALSE)</f>
        <v>26.99</v>
      </c>
      <c r="F1379" s="22">
        <f>VLOOKUP(A1379,'[11]Linea Madera '!$A$1:$G$445,7,FALSE)</f>
        <v>30.5</v>
      </c>
    </row>
    <row r="1380" spans="1:6" x14ac:dyDescent="0.3">
      <c r="A1380" s="31" t="s">
        <v>1542</v>
      </c>
      <c r="B1380" s="65" t="s">
        <v>3674</v>
      </c>
      <c r="C1380" s="22">
        <f>VLOOKUP(A1380,'[11]Linea Madera '!$A$1:$D$445,4,FALSE)</f>
        <v>2.23</v>
      </c>
      <c r="D1380" s="22">
        <f>VLOOKUP(A1380,'[11]Linea Madera '!$A$1:$E$445,5,FALSE)</f>
        <v>2.52</v>
      </c>
      <c r="E1380" s="22">
        <f>VLOOKUP(A1380,'[11]Linea Madera '!$A$1:$F$445,6,FALSE)</f>
        <v>3.1</v>
      </c>
      <c r="F1380" s="22">
        <f>VLOOKUP(A1380,'[11]Linea Madera '!$A$1:$G$445,7,FALSE)</f>
        <v>3.5</v>
      </c>
    </row>
    <row r="1381" spans="1:6" x14ac:dyDescent="0.3">
      <c r="A1381" s="31" t="s">
        <v>1543</v>
      </c>
      <c r="B1381" s="65" t="s">
        <v>3675</v>
      </c>
      <c r="C1381" s="22">
        <f>VLOOKUP(A1381,'[11]Linea Madera '!$A$1:$D$445,4,FALSE)</f>
        <v>2.23</v>
      </c>
      <c r="D1381" s="22">
        <f>VLOOKUP(A1381,'[11]Linea Madera '!$A$1:$E$445,5,FALSE)</f>
        <v>2.52</v>
      </c>
      <c r="E1381" s="22">
        <f>VLOOKUP(A1381,'[11]Linea Madera '!$A$1:$F$445,6,FALSE)</f>
        <v>3.1</v>
      </c>
      <c r="F1381" s="22">
        <f>VLOOKUP(A1381,'[11]Linea Madera '!$A$1:$G$445,7,FALSE)</f>
        <v>3.5</v>
      </c>
    </row>
    <row r="1382" spans="1:6" x14ac:dyDescent="0.3">
      <c r="A1382" s="31" t="s">
        <v>1544</v>
      </c>
      <c r="B1382" s="65" t="s">
        <v>3674</v>
      </c>
      <c r="C1382" s="22">
        <f>VLOOKUP(A1382,'[11]Linea Madera '!$A$1:$D$445,4,FALSE)</f>
        <v>4.4000000000000004</v>
      </c>
      <c r="D1382" s="22">
        <f>VLOOKUP(A1382,'[11]Linea Madera '!$A$1:$E$445,5,FALSE)</f>
        <v>4.97</v>
      </c>
      <c r="E1382" s="22">
        <f>VLOOKUP(A1382,'[11]Linea Madera '!$A$1:$F$445,6,FALSE)</f>
        <v>6.11</v>
      </c>
      <c r="F1382" s="22">
        <f>VLOOKUP(A1382,'[11]Linea Madera '!$A$1:$G$445,7,FALSE)</f>
        <v>6.9</v>
      </c>
    </row>
    <row r="1383" spans="1:6" x14ac:dyDescent="0.3">
      <c r="A1383" s="31" t="s">
        <v>1545</v>
      </c>
      <c r="B1383" s="65" t="s">
        <v>3675</v>
      </c>
      <c r="C1383" s="22">
        <f>VLOOKUP(A1383,'[11]Linea Madera '!$A$1:$D$445,4,FALSE)</f>
        <v>4.4000000000000004</v>
      </c>
      <c r="D1383" s="22">
        <f>VLOOKUP(A1383,'[11]Linea Madera '!$A$1:$E$445,5,FALSE)</f>
        <v>4.97</v>
      </c>
      <c r="E1383" s="22">
        <f>VLOOKUP(A1383,'[11]Linea Madera '!$A$1:$F$445,6,FALSE)</f>
        <v>6.11</v>
      </c>
      <c r="F1383" s="22">
        <f>VLOOKUP(A1383,'[11]Linea Madera '!$A$1:$G$445,7,FALSE)</f>
        <v>6.9</v>
      </c>
    </row>
    <row r="1384" spans="1:6" x14ac:dyDescent="0.3">
      <c r="A1384" s="31" t="s">
        <v>1546</v>
      </c>
      <c r="B1384" s="65" t="s">
        <v>3676</v>
      </c>
      <c r="C1384" s="22">
        <f>VLOOKUP(A1384,'[11]Linea Madera '!$A$1:$D$445,4,FALSE)</f>
        <v>20.96</v>
      </c>
      <c r="D1384" s="22">
        <f>VLOOKUP(A1384,'[11]Linea Madera '!$A$1:$E$445,5,FALSE)</f>
        <v>23.69</v>
      </c>
      <c r="E1384" s="22">
        <f>VLOOKUP(A1384,'[11]Linea Madera '!$A$1:$F$445,6,FALSE)</f>
        <v>29.12</v>
      </c>
      <c r="F1384" s="22">
        <f>VLOOKUP(A1384,'[11]Linea Madera '!$A$1:$G$445,7,FALSE)</f>
        <v>32.9</v>
      </c>
    </row>
    <row r="1385" spans="1:6" x14ac:dyDescent="0.3">
      <c r="A1385" s="31" t="s">
        <v>1547</v>
      </c>
      <c r="B1385" s="65" t="s">
        <v>3676</v>
      </c>
      <c r="C1385" s="22">
        <f>VLOOKUP(A1385,'[11]Linea Madera '!$A$1:$D$445,4,FALSE)</f>
        <v>5.73</v>
      </c>
      <c r="D1385" s="22">
        <f>VLOOKUP(A1385,'[11]Linea Madera '!$A$1:$E$445,5,FALSE)</f>
        <v>6.48</v>
      </c>
      <c r="E1385" s="22">
        <f>VLOOKUP(A1385,'[11]Linea Madera '!$A$1:$F$445,6,FALSE)</f>
        <v>7.96</v>
      </c>
      <c r="F1385" s="22">
        <f>VLOOKUP(A1385,'[11]Linea Madera '!$A$1:$G$445,7,FALSE)</f>
        <v>9</v>
      </c>
    </row>
    <row r="1386" spans="1:6" x14ac:dyDescent="0.3">
      <c r="A1386" s="31" t="s">
        <v>1548</v>
      </c>
      <c r="B1386" s="65" t="s">
        <v>3677</v>
      </c>
      <c r="C1386" s="22">
        <f>VLOOKUP(A1386,'[11]Linea Madera '!$A$1:$D$445,4,FALSE)</f>
        <v>4.1399999999999997</v>
      </c>
      <c r="D1386" s="22">
        <f>VLOOKUP(A1386,'[11]Linea Madera '!$A$1:$E$445,5,FALSE)</f>
        <v>4.68</v>
      </c>
      <c r="E1386" s="22">
        <f>VLOOKUP(A1386,'[11]Linea Madera '!$A$1:$F$445,6,FALSE)</f>
        <v>5.75</v>
      </c>
      <c r="F1386" s="22">
        <f>VLOOKUP(A1386,'[11]Linea Madera '!$A$1:$G$445,7,FALSE)</f>
        <v>6.5</v>
      </c>
    </row>
    <row r="1387" spans="1:6" x14ac:dyDescent="0.3">
      <c r="A1387" s="31" t="s">
        <v>1549</v>
      </c>
      <c r="B1387" s="65" t="s">
        <v>3677</v>
      </c>
      <c r="C1387" s="22">
        <f>VLOOKUP(A1387,'[11]Linea Madera '!$A$1:$D$445,4,FALSE)</f>
        <v>18.420000000000002</v>
      </c>
      <c r="D1387" s="22">
        <f>VLOOKUP(A1387,'[11]Linea Madera '!$A$1:$E$445,5,FALSE)</f>
        <v>20.81</v>
      </c>
      <c r="E1387" s="22">
        <f>VLOOKUP(A1387,'[11]Linea Madera '!$A$1:$F$445,6,FALSE)</f>
        <v>25.58</v>
      </c>
      <c r="F1387" s="22">
        <f>VLOOKUP(A1387,'[11]Linea Madera '!$A$1:$G$445,7,FALSE)</f>
        <v>28.9</v>
      </c>
    </row>
    <row r="1388" spans="1:6" x14ac:dyDescent="0.3">
      <c r="A1388" s="31" t="s">
        <v>1550</v>
      </c>
      <c r="B1388" s="65" t="s">
        <v>3678</v>
      </c>
      <c r="C1388" s="22">
        <f>VLOOKUP(A1388,'[11]Linea Madera '!$A$1:$D$445,4,FALSE)</f>
        <v>15.17</v>
      </c>
      <c r="D1388" s="22">
        <f>VLOOKUP(A1388,'[11]Linea Madera '!$A$1:$E$445,5,FALSE)</f>
        <v>17.14</v>
      </c>
      <c r="E1388" s="22">
        <f>VLOOKUP(A1388,'[11]Linea Madera '!$A$1:$F$445,6,FALSE)</f>
        <v>18.5</v>
      </c>
      <c r="F1388" s="22">
        <f>VLOOKUP(A1388,'[11]Linea Madera '!$A$1:$G$445,7,FALSE)</f>
        <v>20.9</v>
      </c>
    </row>
    <row r="1389" spans="1:6" x14ac:dyDescent="0.3">
      <c r="A1389" s="31" t="s">
        <v>1551</v>
      </c>
      <c r="B1389" s="65" t="s">
        <v>3678</v>
      </c>
      <c r="C1389" s="22">
        <f>VLOOKUP(A1389,'[11]Linea Madera '!$A$1:$D$445,4,FALSE)</f>
        <v>70.75</v>
      </c>
      <c r="D1389" s="22">
        <f>VLOOKUP(A1389,'[11]Linea Madera '!$A$1:$E$445,5,FALSE)</f>
        <v>79.95</v>
      </c>
      <c r="E1389" s="22">
        <f>VLOOKUP(A1389,'[11]Linea Madera '!$A$1:$F$445,6,FALSE)</f>
        <v>86.28</v>
      </c>
      <c r="F1389" s="22">
        <f>VLOOKUP(A1389,'[11]Linea Madera '!$A$1:$G$445,7,FALSE)</f>
        <v>97.5</v>
      </c>
    </row>
    <row r="1390" spans="1:6" x14ac:dyDescent="0.3">
      <c r="A1390" s="31" t="s">
        <v>1552</v>
      </c>
      <c r="B1390" s="65" t="s">
        <v>3678</v>
      </c>
      <c r="C1390" s="22">
        <f>VLOOKUP(A1390,'[11]Linea Madera '!$A$1:$D$445,4,FALSE)</f>
        <v>5.08</v>
      </c>
      <c r="D1390" s="22">
        <f>VLOOKUP(A1390,'[11]Linea Madera '!$A$1:$E$445,5,FALSE)</f>
        <v>5.74</v>
      </c>
      <c r="E1390" s="22">
        <f>VLOOKUP(A1390,'[11]Linea Madera '!$A$1:$F$445,6,FALSE)</f>
        <v>6.19</v>
      </c>
      <c r="F1390" s="22">
        <f>VLOOKUP(A1390,'[11]Linea Madera '!$A$1:$G$445,7,FALSE)</f>
        <v>7</v>
      </c>
    </row>
    <row r="1391" spans="1:6" x14ac:dyDescent="0.3">
      <c r="A1391" s="31" t="s">
        <v>1553</v>
      </c>
      <c r="B1391" s="65" t="s">
        <v>3678</v>
      </c>
      <c r="C1391" s="22">
        <f>VLOOKUP(A1391,'[11]Linea Madera '!$A$1:$D$445,4,FALSE)</f>
        <v>3.56</v>
      </c>
      <c r="D1391" s="22">
        <f>VLOOKUP(A1391,'[11]Linea Madera '!$A$1:$E$445,5,FALSE)</f>
        <v>4.0199999999999996</v>
      </c>
      <c r="E1391" s="22">
        <f>VLOOKUP(A1391,'[11]Linea Madera '!$A$1:$F$445,6,FALSE)</f>
        <v>4.34</v>
      </c>
      <c r="F1391" s="22">
        <f>VLOOKUP(A1391,'[11]Linea Madera '!$A$1:$G$445,7,FALSE)</f>
        <v>4.9000000000000004</v>
      </c>
    </row>
    <row r="1392" spans="1:6" x14ac:dyDescent="0.3">
      <c r="A1392" s="31" t="s">
        <v>1554</v>
      </c>
      <c r="B1392" s="65" t="s">
        <v>3678</v>
      </c>
      <c r="C1392" s="22">
        <f>VLOOKUP(A1392,'[11]Linea Madera '!$A$1:$D$445,4,FALSE)</f>
        <v>2.11</v>
      </c>
      <c r="D1392" s="22">
        <f>VLOOKUP(A1392,'[11]Linea Madera '!$A$1:$E$445,5,FALSE)</f>
        <v>2.38</v>
      </c>
      <c r="E1392" s="22">
        <f>VLOOKUP(A1392,'[11]Linea Madera '!$A$1:$F$445,6,FALSE)</f>
        <v>2.57</v>
      </c>
      <c r="F1392" s="22">
        <f>VLOOKUP(A1392,'[11]Linea Madera '!$A$1:$G$445,7,FALSE)</f>
        <v>2.9</v>
      </c>
    </row>
    <row r="1393" spans="1:6" x14ac:dyDescent="0.3">
      <c r="A1393" s="33" t="s">
        <v>1555</v>
      </c>
      <c r="B1393" s="65" t="s">
        <v>3679</v>
      </c>
      <c r="C1393" s="22">
        <f>VLOOKUP(A1393,'[11]Linea Madera '!$A$1:$D$445,4,FALSE)</f>
        <v>6.5</v>
      </c>
      <c r="D1393" s="22">
        <f>VLOOKUP(A1393,'[11]Linea Madera '!$A$1:$E$445,5,FALSE)</f>
        <v>7.35</v>
      </c>
      <c r="E1393" s="22">
        <f>VLOOKUP(A1393,'[11]Linea Madera '!$A$1:$F$445,6,FALSE)</f>
        <v>9.2899999999999991</v>
      </c>
      <c r="F1393" s="22">
        <f>VLOOKUP(A1393,'[11]Linea Madera '!$A$1:$G$445,7,FALSE)</f>
        <v>10.5</v>
      </c>
    </row>
    <row r="1394" spans="1:6" x14ac:dyDescent="0.3">
      <c r="A1394" s="33" t="s">
        <v>1556</v>
      </c>
      <c r="B1394" s="65" t="s">
        <v>3680</v>
      </c>
      <c r="C1394" s="22">
        <f>VLOOKUP(A1394,'[11]Linea Madera '!$A$1:$D$445,4,FALSE)</f>
        <v>6.5</v>
      </c>
      <c r="D1394" s="22">
        <f>VLOOKUP(A1394,'[11]Linea Madera '!$A$1:$E$445,5,FALSE)</f>
        <v>7.35</v>
      </c>
      <c r="E1394" s="22">
        <f>VLOOKUP(A1394,'[11]Linea Madera '!$A$1:$F$445,6,FALSE)</f>
        <v>9.2899999999999991</v>
      </c>
      <c r="F1394" s="22">
        <f>VLOOKUP(A1394,'[11]Linea Madera '!$A$1:$G$445,7,FALSE)</f>
        <v>10.5</v>
      </c>
    </row>
    <row r="1395" spans="1:6" x14ac:dyDescent="0.3">
      <c r="A1395" s="33" t="s">
        <v>1557</v>
      </c>
      <c r="B1395" s="65" t="s">
        <v>3681</v>
      </c>
      <c r="C1395" s="22">
        <f>VLOOKUP(A1395,'[11]Linea Madera '!$A$1:$D$445,4,FALSE)</f>
        <v>6.5</v>
      </c>
      <c r="D1395" s="22">
        <f>VLOOKUP(A1395,'[11]Linea Madera '!$A$1:$E$445,5,FALSE)</f>
        <v>7.35</v>
      </c>
      <c r="E1395" s="22">
        <f>VLOOKUP(A1395,'[11]Linea Madera '!$A$1:$F$445,6,FALSE)</f>
        <v>9.2899999999999991</v>
      </c>
      <c r="F1395" s="22">
        <f>VLOOKUP(A1395,'[11]Linea Madera '!$A$1:$G$445,7,FALSE)</f>
        <v>10.5</v>
      </c>
    </row>
    <row r="1396" spans="1:6" x14ac:dyDescent="0.3">
      <c r="A1396" s="33" t="s">
        <v>1558</v>
      </c>
      <c r="B1396" s="65" t="s">
        <v>3682</v>
      </c>
      <c r="C1396" s="22">
        <f>VLOOKUP(A1396,'[11]Linea Madera '!$A$1:$D$445,4,FALSE)</f>
        <v>6.5</v>
      </c>
      <c r="D1396" s="22">
        <f>VLOOKUP(A1396,'[11]Linea Madera '!$A$1:$E$445,5,FALSE)</f>
        <v>7.35</v>
      </c>
      <c r="E1396" s="22">
        <f>VLOOKUP(A1396,'[11]Linea Madera '!$A$1:$F$445,6,FALSE)</f>
        <v>9.2899999999999991</v>
      </c>
      <c r="F1396" s="22">
        <f>VLOOKUP(A1396,'[11]Linea Madera '!$A$1:$G$445,7,FALSE)</f>
        <v>10.5</v>
      </c>
    </row>
    <row r="1397" spans="1:6" x14ac:dyDescent="0.3">
      <c r="A1397" s="33" t="s">
        <v>1559</v>
      </c>
      <c r="B1397" s="65" t="s">
        <v>3683</v>
      </c>
      <c r="C1397" s="22">
        <f>VLOOKUP(A1397,'[11]Linea Madera '!$A$1:$D$445,4,FALSE)</f>
        <v>6.5</v>
      </c>
      <c r="D1397" s="22">
        <f>VLOOKUP(A1397,'[11]Linea Madera '!$A$1:$E$445,5,FALSE)</f>
        <v>7.35</v>
      </c>
      <c r="E1397" s="22">
        <f>VLOOKUP(A1397,'[11]Linea Madera '!$A$1:$F$445,6,FALSE)</f>
        <v>9.2899999999999991</v>
      </c>
      <c r="F1397" s="22">
        <f>VLOOKUP(A1397,'[11]Linea Madera '!$A$1:$G$445,7,FALSE)</f>
        <v>10.5</v>
      </c>
    </row>
    <row r="1398" spans="1:6" x14ac:dyDescent="0.3">
      <c r="A1398" s="33" t="s">
        <v>1560</v>
      </c>
      <c r="B1398" s="65" t="s">
        <v>3684</v>
      </c>
      <c r="C1398" s="22">
        <f>VLOOKUP(A1398,'[11]Linea Madera '!$A$1:$D$445,4,FALSE)</f>
        <v>6.5</v>
      </c>
      <c r="D1398" s="22">
        <f>VLOOKUP(A1398,'[11]Linea Madera '!$A$1:$E$445,5,FALSE)</f>
        <v>7.35</v>
      </c>
      <c r="E1398" s="22">
        <f>VLOOKUP(A1398,'[11]Linea Madera '!$A$1:$F$445,6,FALSE)</f>
        <v>9.2899999999999991</v>
      </c>
      <c r="F1398" s="22">
        <f>VLOOKUP(A1398,'[11]Linea Madera '!$A$1:$G$445,7,FALSE)</f>
        <v>10.5</v>
      </c>
    </row>
    <row r="1399" spans="1:6" x14ac:dyDescent="0.3">
      <c r="A1399" s="33" t="s">
        <v>1561</v>
      </c>
      <c r="B1399" s="65" t="s">
        <v>3685</v>
      </c>
      <c r="C1399" s="22">
        <f>VLOOKUP(A1399,'[11]Linea Madera '!$A$1:$D$445,4,FALSE)</f>
        <v>6.5</v>
      </c>
      <c r="D1399" s="22">
        <f>VLOOKUP(A1399,'[11]Linea Madera '!$A$1:$E$445,5,FALSE)</f>
        <v>7.35</v>
      </c>
      <c r="E1399" s="22">
        <f>VLOOKUP(A1399,'[11]Linea Madera '!$A$1:$F$445,6,FALSE)</f>
        <v>9.2899999999999991</v>
      </c>
      <c r="F1399" s="22">
        <f>VLOOKUP(A1399,'[11]Linea Madera '!$A$1:$G$445,7,FALSE)</f>
        <v>10.5</v>
      </c>
    </row>
    <row r="1400" spans="1:6" x14ac:dyDescent="0.3">
      <c r="A1400" s="33" t="s">
        <v>1562</v>
      </c>
      <c r="B1400" s="65" t="s">
        <v>3686</v>
      </c>
      <c r="C1400" s="22">
        <f>VLOOKUP(A1400,'[11]Linea Madera '!$A$1:$D$445,4,FALSE)</f>
        <v>6.5</v>
      </c>
      <c r="D1400" s="22">
        <f>VLOOKUP(A1400,'[11]Linea Madera '!$A$1:$E$445,5,FALSE)</f>
        <v>7.35</v>
      </c>
      <c r="E1400" s="22">
        <f>VLOOKUP(A1400,'[11]Linea Madera '!$A$1:$F$445,6,FALSE)</f>
        <v>9.2899999999999991</v>
      </c>
      <c r="F1400" s="22">
        <f>VLOOKUP(A1400,'[11]Linea Madera '!$A$1:$G$445,7,FALSE)</f>
        <v>10.5</v>
      </c>
    </row>
    <row r="1401" spans="1:6" x14ac:dyDescent="0.3">
      <c r="A1401" s="33" t="s">
        <v>1563</v>
      </c>
      <c r="B1401" s="65" t="s">
        <v>3687</v>
      </c>
      <c r="C1401" s="22">
        <f>VLOOKUP(A1401,'[11]Linea Madera '!$A$1:$D$445,4,FALSE)</f>
        <v>6.5</v>
      </c>
      <c r="D1401" s="22">
        <f>VLOOKUP(A1401,'[11]Linea Madera '!$A$1:$E$445,5,FALSE)</f>
        <v>7.35</v>
      </c>
      <c r="E1401" s="22">
        <f>VLOOKUP(A1401,'[11]Linea Madera '!$A$1:$F$445,6,FALSE)</f>
        <v>9.2899999999999991</v>
      </c>
      <c r="F1401" s="22">
        <f>VLOOKUP(A1401,'[11]Linea Madera '!$A$1:$G$445,7,FALSE)</f>
        <v>10.5</v>
      </c>
    </row>
    <row r="1402" spans="1:6" x14ac:dyDescent="0.3">
      <c r="A1402" s="33" t="s">
        <v>1564</v>
      </c>
      <c r="B1402" s="65" t="s">
        <v>3688</v>
      </c>
      <c r="C1402" s="22">
        <f>VLOOKUP(A1402,'[11]Linea Madera '!$A$1:$D$445,4,FALSE)</f>
        <v>6.5</v>
      </c>
      <c r="D1402" s="22">
        <f>VLOOKUP(A1402,'[11]Linea Madera '!$A$1:$E$445,5,FALSE)</f>
        <v>7.35</v>
      </c>
      <c r="E1402" s="22">
        <f>VLOOKUP(A1402,'[11]Linea Madera '!$A$1:$F$445,6,FALSE)</f>
        <v>9.2899999999999991</v>
      </c>
      <c r="F1402" s="22">
        <f>VLOOKUP(A1402,'[11]Linea Madera '!$A$1:$G$445,7,FALSE)</f>
        <v>10.5</v>
      </c>
    </row>
    <row r="1403" spans="1:6" x14ac:dyDescent="0.3">
      <c r="A1403" s="33" t="s">
        <v>1565</v>
      </c>
      <c r="B1403" s="65" t="s">
        <v>3689</v>
      </c>
      <c r="C1403" s="22">
        <f>VLOOKUP(A1403,'[11]Linea Madera '!$A$1:$D$445,4,FALSE)</f>
        <v>6.5</v>
      </c>
      <c r="D1403" s="22">
        <f>VLOOKUP(A1403,'[11]Linea Madera '!$A$1:$E$445,5,FALSE)</f>
        <v>7.35</v>
      </c>
      <c r="E1403" s="22">
        <f>VLOOKUP(A1403,'[11]Linea Madera '!$A$1:$F$445,6,FALSE)</f>
        <v>9.2899999999999991</v>
      </c>
      <c r="F1403" s="22">
        <f>VLOOKUP(A1403,'[11]Linea Madera '!$A$1:$G$445,7,FALSE)</f>
        <v>10.5</v>
      </c>
    </row>
    <row r="1404" spans="1:6" x14ac:dyDescent="0.3">
      <c r="A1404" s="33" t="s">
        <v>1566</v>
      </c>
      <c r="B1404" s="65" t="s">
        <v>3690</v>
      </c>
      <c r="C1404" s="22">
        <f>VLOOKUP(A1404,'[11]Linea Madera '!$A$1:$D$445,4,FALSE)</f>
        <v>6.5</v>
      </c>
      <c r="D1404" s="22">
        <f>VLOOKUP(A1404,'[11]Linea Madera '!$A$1:$E$445,5,FALSE)</f>
        <v>7.35</v>
      </c>
      <c r="E1404" s="22">
        <f>VLOOKUP(A1404,'[11]Linea Madera '!$A$1:$F$445,6,FALSE)</f>
        <v>9.2899999999999991</v>
      </c>
      <c r="F1404" s="22">
        <f>VLOOKUP(A1404,'[11]Linea Madera '!$A$1:$G$445,7,FALSE)</f>
        <v>10.5</v>
      </c>
    </row>
    <row r="1405" spans="1:6" x14ac:dyDescent="0.3">
      <c r="A1405" s="33" t="s">
        <v>1567</v>
      </c>
      <c r="B1405" s="65" t="s">
        <v>3691</v>
      </c>
      <c r="C1405" s="22">
        <f>VLOOKUP(A1405,'[11]Linea Madera '!$A$1:$D$445,4,FALSE)</f>
        <v>6.5</v>
      </c>
      <c r="D1405" s="22">
        <f>VLOOKUP(A1405,'[11]Linea Madera '!$A$1:$E$445,5,FALSE)</f>
        <v>7.35</v>
      </c>
      <c r="E1405" s="22">
        <f>VLOOKUP(A1405,'[11]Linea Madera '!$A$1:$F$445,6,FALSE)</f>
        <v>9.2899999999999991</v>
      </c>
      <c r="F1405" s="22">
        <f>VLOOKUP(A1405,'[11]Linea Madera '!$A$1:$G$445,7,FALSE)</f>
        <v>10.5</v>
      </c>
    </row>
    <row r="1406" spans="1:6" x14ac:dyDescent="0.3">
      <c r="A1406" s="33" t="s">
        <v>1568</v>
      </c>
      <c r="B1406" s="65" t="s">
        <v>3692</v>
      </c>
      <c r="C1406" s="22">
        <f>VLOOKUP(A1406,'[11]Linea Madera '!$A$1:$D$445,4,FALSE)</f>
        <v>6.5</v>
      </c>
      <c r="D1406" s="22">
        <f>VLOOKUP(A1406,'[11]Linea Madera '!$A$1:$E$445,5,FALSE)</f>
        <v>7.35</v>
      </c>
      <c r="E1406" s="22">
        <f>VLOOKUP(A1406,'[11]Linea Madera '!$A$1:$F$445,6,FALSE)</f>
        <v>9.2899999999999991</v>
      </c>
      <c r="F1406" s="22">
        <f>VLOOKUP(A1406,'[11]Linea Madera '!$A$1:$G$445,7,FALSE)</f>
        <v>10.5</v>
      </c>
    </row>
    <row r="1407" spans="1:6" x14ac:dyDescent="0.3">
      <c r="A1407" s="33" t="s">
        <v>1569</v>
      </c>
      <c r="B1407" s="65" t="s">
        <v>3693</v>
      </c>
      <c r="C1407" s="22">
        <f>VLOOKUP(A1407,'[11]Linea Madera '!$A$1:$D$445,4,FALSE)</f>
        <v>6.5</v>
      </c>
      <c r="D1407" s="22">
        <f>VLOOKUP(A1407,'[11]Linea Madera '!$A$1:$E$445,5,FALSE)</f>
        <v>7.35</v>
      </c>
      <c r="E1407" s="22">
        <f>VLOOKUP(A1407,'[11]Linea Madera '!$A$1:$F$445,6,FALSE)</f>
        <v>9.2899999999999991</v>
      </c>
      <c r="F1407" s="22">
        <f>VLOOKUP(A1407,'[11]Linea Madera '!$A$1:$G$445,7,FALSE)</f>
        <v>10.5</v>
      </c>
    </row>
    <row r="1408" spans="1:6" x14ac:dyDescent="0.3">
      <c r="A1408" s="33" t="s">
        <v>1570</v>
      </c>
      <c r="B1408" s="65" t="s">
        <v>3694</v>
      </c>
      <c r="C1408" s="22">
        <f>VLOOKUP(A1408,'[11]Linea Madera '!$A$1:$D$445,4,FALSE)</f>
        <v>6.5</v>
      </c>
      <c r="D1408" s="22">
        <f>VLOOKUP(A1408,'[11]Linea Madera '!$A$1:$E$445,5,FALSE)</f>
        <v>7.35</v>
      </c>
      <c r="E1408" s="22">
        <f>VLOOKUP(A1408,'[11]Linea Madera '!$A$1:$F$445,6,FALSE)</f>
        <v>9.2899999999999991</v>
      </c>
      <c r="F1408" s="22">
        <f>VLOOKUP(A1408,'[11]Linea Madera '!$A$1:$G$445,7,FALSE)</f>
        <v>10.5</v>
      </c>
    </row>
    <row r="1409" spans="1:6" x14ac:dyDescent="0.3">
      <c r="A1409" s="33" t="s">
        <v>1571</v>
      </c>
      <c r="B1409" s="65" t="s">
        <v>3679</v>
      </c>
      <c r="C1409" s="22">
        <f>VLOOKUP(A1409,'[11]Linea Madera '!$A$1:$D$445,4,FALSE)</f>
        <v>23.89</v>
      </c>
      <c r="D1409" s="22">
        <f>VLOOKUP(A1409,'[11]Linea Madera '!$A$1:$E$445,5,FALSE)</f>
        <v>27</v>
      </c>
      <c r="E1409" s="22">
        <f>VLOOKUP(A1409,'[11]Linea Madera '!$A$1:$F$445,6,FALSE)</f>
        <v>33.19</v>
      </c>
      <c r="F1409" s="22">
        <f>VLOOKUP(A1409,'[11]Linea Madera '!$A$1:$G$445,7,FALSE)</f>
        <v>37.5</v>
      </c>
    </row>
    <row r="1410" spans="1:6" x14ac:dyDescent="0.3">
      <c r="A1410" s="33" t="s">
        <v>1572</v>
      </c>
      <c r="B1410" s="65" t="s">
        <v>3680</v>
      </c>
      <c r="C1410" s="22">
        <f>VLOOKUP(A1410,'[11]Linea Madera '!$A$1:$D$445,4,FALSE)</f>
        <v>23.89</v>
      </c>
      <c r="D1410" s="22">
        <f>VLOOKUP(A1410,'[11]Linea Madera '!$A$1:$E$445,5,FALSE)</f>
        <v>27</v>
      </c>
      <c r="E1410" s="22">
        <f>VLOOKUP(A1410,'[11]Linea Madera '!$A$1:$F$445,6,FALSE)</f>
        <v>33.19</v>
      </c>
      <c r="F1410" s="22">
        <f>VLOOKUP(A1410,'[11]Linea Madera '!$A$1:$G$445,7,FALSE)</f>
        <v>37.5</v>
      </c>
    </row>
    <row r="1411" spans="1:6" x14ac:dyDescent="0.3">
      <c r="A1411" s="33" t="s">
        <v>1573</v>
      </c>
      <c r="B1411" s="65" t="s">
        <v>3681</v>
      </c>
      <c r="C1411" s="22">
        <f>VLOOKUP(A1411,'[11]Linea Madera '!$A$1:$D$445,4,FALSE)</f>
        <v>23.89</v>
      </c>
      <c r="D1411" s="22">
        <f>VLOOKUP(A1411,'[11]Linea Madera '!$A$1:$E$445,5,FALSE)</f>
        <v>27</v>
      </c>
      <c r="E1411" s="22">
        <f>VLOOKUP(A1411,'[11]Linea Madera '!$A$1:$F$445,6,FALSE)</f>
        <v>33.19</v>
      </c>
      <c r="F1411" s="22">
        <f>VLOOKUP(A1411,'[11]Linea Madera '!$A$1:$G$445,7,FALSE)</f>
        <v>37.5</v>
      </c>
    </row>
    <row r="1412" spans="1:6" x14ac:dyDescent="0.3">
      <c r="A1412" s="33" t="s">
        <v>1574</v>
      </c>
      <c r="B1412" s="65" t="s">
        <v>1575</v>
      </c>
      <c r="C1412" s="22">
        <f>VLOOKUP(A1412,'[11]Linea Madera '!$A$1:$D$445,4,FALSE)</f>
        <v>23.89</v>
      </c>
      <c r="D1412" s="22">
        <f>VLOOKUP(A1412,'[11]Linea Madera '!$A$1:$E$445,5,FALSE)</f>
        <v>27</v>
      </c>
      <c r="E1412" s="22">
        <f>VLOOKUP(A1412,'[11]Linea Madera '!$A$1:$F$445,6,FALSE)</f>
        <v>33.19</v>
      </c>
      <c r="F1412" s="22">
        <f>VLOOKUP(A1412,'[11]Linea Madera '!$A$1:$G$445,7,FALSE)</f>
        <v>37.5</v>
      </c>
    </row>
    <row r="1413" spans="1:6" x14ac:dyDescent="0.3">
      <c r="A1413" s="33" t="s">
        <v>1576</v>
      </c>
      <c r="B1413" s="65" t="s">
        <v>3682</v>
      </c>
      <c r="C1413" s="22">
        <f>VLOOKUP(A1413,'[11]Linea Madera '!$A$1:$D$445,4,FALSE)</f>
        <v>23.89</v>
      </c>
      <c r="D1413" s="22">
        <f>VLOOKUP(A1413,'[11]Linea Madera '!$A$1:$E$445,5,FALSE)</f>
        <v>27</v>
      </c>
      <c r="E1413" s="22">
        <f>VLOOKUP(A1413,'[11]Linea Madera '!$A$1:$F$445,6,FALSE)</f>
        <v>33.19</v>
      </c>
      <c r="F1413" s="22">
        <f>VLOOKUP(A1413,'[11]Linea Madera '!$A$1:$G$445,7,FALSE)</f>
        <v>37.5</v>
      </c>
    </row>
    <row r="1414" spans="1:6" x14ac:dyDescent="0.3">
      <c r="A1414" s="33" t="s">
        <v>1577</v>
      </c>
      <c r="B1414" s="65" t="s">
        <v>3683</v>
      </c>
      <c r="C1414" s="22">
        <f>VLOOKUP(A1414,'[11]Linea Madera '!$A$1:$D$445,4,FALSE)</f>
        <v>23.89</v>
      </c>
      <c r="D1414" s="22">
        <f>VLOOKUP(A1414,'[11]Linea Madera '!$A$1:$E$445,5,FALSE)</f>
        <v>27</v>
      </c>
      <c r="E1414" s="22">
        <f>VLOOKUP(A1414,'[11]Linea Madera '!$A$1:$F$445,6,FALSE)</f>
        <v>33.19</v>
      </c>
      <c r="F1414" s="22">
        <f>VLOOKUP(A1414,'[11]Linea Madera '!$A$1:$G$445,7,FALSE)</f>
        <v>37.5</v>
      </c>
    </row>
    <row r="1415" spans="1:6" x14ac:dyDescent="0.3">
      <c r="A1415" s="33" t="s">
        <v>1578</v>
      </c>
      <c r="B1415" s="65" t="s">
        <v>3684</v>
      </c>
      <c r="C1415" s="22">
        <f>VLOOKUP(A1415,'[11]Linea Madera '!$A$1:$D$445,4,FALSE)</f>
        <v>23.89</v>
      </c>
      <c r="D1415" s="22">
        <f>VLOOKUP(A1415,'[11]Linea Madera '!$A$1:$E$445,5,FALSE)</f>
        <v>27</v>
      </c>
      <c r="E1415" s="22">
        <f>VLOOKUP(A1415,'[11]Linea Madera '!$A$1:$F$445,6,FALSE)</f>
        <v>33.19</v>
      </c>
      <c r="F1415" s="22">
        <f>VLOOKUP(A1415,'[11]Linea Madera '!$A$1:$G$445,7,FALSE)</f>
        <v>37.5</v>
      </c>
    </row>
    <row r="1416" spans="1:6" x14ac:dyDescent="0.3">
      <c r="A1416" s="33" t="s">
        <v>1579</v>
      </c>
      <c r="B1416" s="65" t="s">
        <v>3685</v>
      </c>
      <c r="C1416" s="22">
        <f>VLOOKUP(A1416,'[11]Linea Madera '!$A$1:$D$445,4,FALSE)</f>
        <v>23.89</v>
      </c>
      <c r="D1416" s="22">
        <f>VLOOKUP(A1416,'[11]Linea Madera '!$A$1:$E$445,5,FALSE)</f>
        <v>27</v>
      </c>
      <c r="E1416" s="22">
        <f>VLOOKUP(A1416,'[11]Linea Madera '!$A$1:$F$445,6,FALSE)</f>
        <v>33.19</v>
      </c>
      <c r="F1416" s="22">
        <f>VLOOKUP(A1416,'[11]Linea Madera '!$A$1:$G$445,7,FALSE)</f>
        <v>37.5</v>
      </c>
    </row>
    <row r="1417" spans="1:6" x14ac:dyDescent="0.3">
      <c r="A1417" s="33" t="s">
        <v>1580</v>
      </c>
      <c r="B1417" s="65" t="s">
        <v>3686</v>
      </c>
      <c r="C1417" s="22">
        <f>VLOOKUP(A1417,'[11]Linea Madera '!$A$1:$D$445,4,FALSE)</f>
        <v>23.89</v>
      </c>
      <c r="D1417" s="22">
        <f>VLOOKUP(A1417,'[11]Linea Madera '!$A$1:$E$445,5,FALSE)</f>
        <v>27</v>
      </c>
      <c r="E1417" s="22">
        <f>VLOOKUP(A1417,'[11]Linea Madera '!$A$1:$F$445,6,FALSE)</f>
        <v>33.19</v>
      </c>
      <c r="F1417" s="22">
        <f>VLOOKUP(A1417,'[11]Linea Madera '!$A$1:$G$445,7,FALSE)</f>
        <v>37.5</v>
      </c>
    </row>
    <row r="1418" spans="1:6" x14ac:dyDescent="0.3">
      <c r="A1418" s="33" t="s">
        <v>1581</v>
      </c>
      <c r="B1418" s="65" t="s">
        <v>3687</v>
      </c>
      <c r="C1418" s="22">
        <f>VLOOKUP(A1418,'[11]Linea Madera '!$A$1:$D$445,4,FALSE)</f>
        <v>23.89</v>
      </c>
      <c r="D1418" s="22">
        <f>VLOOKUP(A1418,'[11]Linea Madera '!$A$1:$E$445,5,FALSE)</f>
        <v>27</v>
      </c>
      <c r="E1418" s="22">
        <f>VLOOKUP(A1418,'[11]Linea Madera '!$A$1:$F$445,6,FALSE)</f>
        <v>33.19</v>
      </c>
      <c r="F1418" s="22">
        <f>VLOOKUP(A1418,'[11]Linea Madera '!$A$1:$G$445,7,FALSE)</f>
        <v>37.5</v>
      </c>
    </row>
    <row r="1419" spans="1:6" x14ac:dyDescent="0.3">
      <c r="A1419" s="33" t="s">
        <v>1582</v>
      </c>
      <c r="B1419" s="65" t="s">
        <v>3688</v>
      </c>
      <c r="C1419" s="22">
        <f>VLOOKUP(A1419,'[11]Linea Madera '!$A$1:$D$445,4,FALSE)</f>
        <v>23.89</v>
      </c>
      <c r="D1419" s="22">
        <f>VLOOKUP(A1419,'[11]Linea Madera '!$A$1:$E$445,5,FALSE)</f>
        <v>27</v>
      </c>
      <c r="E1419" s="22">
        <f>VLOOKUP(A1419,'[11]Linea Madera '!$A$1:$F$445,6,FALSE)</f>
        <v>33.19</v>
      </c>
      <c r="F1419" s="22">
        <f>VLOOKUP(A1419,'[11]Linea Madera '!$A$1:$G$445,7,FALSE)</f>
        <v>37.5</v>
      </c>
    </row>
    <row r="1420" spans="1:6" x14ac:dyDescent="0.3">
      <c r="A1420" s="33" t="s">
        <v>1583</v>
      </c>
      <c r="B1420" s="65" t="s">
        <v>3689</v>
      </c>
      <c r="C1420" s="22">
        <f>VLOOKUP(A1420,'[11]Linea Madera '!$A$1:$D$445,4,FALSE)</f>
        <v>23.89</v>
      </c>
      <c r="D1420" s="22">
        <f>VLOOKUP(A1420,'[11]Linea Madera '!$A$1:$E$445,5,FALSE)</f>
        <v>27</v>
      </c>
      <c r="E1420" s="22">
        <f>VLOOKUP(A1420,'[11]Linea Madera '!$A$1:$F$445,6,FALSE)</f>
        <v>33.19</v>
      </c>
      <c r="F1420" s="22">
        <f>VLOOKUP(A1420,'[11]Linea Madera '!$A$1:$G$445,7,FALSE)</f>
        <v>37.5</v>
      </c>
    </row>
    <row r="1421" spans="1:6" x14ac:dyDescent="0.3">
      <c r="A1421" s="33" t="s">
        <v>1584</v>
      </c>
      <c r="B1421" s="65" t="s">
        <v>3690</v>
      </c>
      <c r="C1421" s="22">
        <f>VLOOKUP(A1421,'[11]Linea Madera '!$A$1:$D$445,4,FALSE)</f>
        <v>23.89</v>
      </c>
      <c r="D1421" s="22">
        <f>VLOOKUP(A1421,'[11]Linea Madera '!$A$1:$E$445,5,FALSE)</f>
        <v>27</v>
      </c>
      <c r="E1421" s="22">
        <f>VLOOKUP(A1421,'[11]Linea Madera '!$A$1:$F$445,6,FALSE)</f>
        <v>33.19</v>
      </c>
      <c r="F1421" s="22">
        <f>VLOOKUP(A1421,'[11]Linea Madera '!$A$1:$G$445,7,FALSE)</f>
        <v>37.5</v>
      </c>
    </row>
    <row r="1422" spans="1:6" x14ac:dyDescent="0.3">
      <c r="A1422" s="33" t="s">
        <v>1585</v>
      </c>
      <c r="B1422" s="65" t="s">
        <v>3691</v>
      </c>
      <c r="C1422" s="22">
        <f>VLOOKUP(A1422,'[11]Linea Madera '!$A$1:$D$445,4,FALSE)</f>
        <v>23.89</v>
      </c>
      <c r="D1422" s="22">
        <f>VLOOKUP(A1422,'[11]Linea Madera '!$A$1:$E$445,5,FALSE)</f>
        <v>27</v>
      </c>
      <c r="E1422" s="22">
        <f>VLOOKUP(A1422,'[11]Linea Madera '!$A$1:$F$445,6,FALSE)</f>
        <v>33.19</v>
      </c>
      <c r="F1422" s="22">
        <f>VLOOKUP(A1422,'[11]Linea Madera '!$A$1:$G$445,7,FALSE)</f>
        <v>37.5</v>
      </c>
    </row>
    <row r="1423" spans="1:6" x14ac:dyDescent="0.3">
      <c r="A1423" s="33" t="s">
        <v>1586</v>
      </c>
      <c r="B1423" s="65" t="s">
        <v>3692</v>
      </c>
      <c r="C1423" s="22">
        <f>VLOOKUP(A1423,'[11]Linea Madera '!$A$1:$D$445,4,FALSE)</f>
        <v>23.89</v>
      </c>
      <c r="D1423" s="22">
        <f>VLOOKUP(A1423,'[11]Linea Madera '!$A$1:$E$445,5,FALSE)</f>
        <v>27</v>
      </c>
      <c r="E1423" s="22">
        <f>VLOOKUP(A1423,'[11]Linea Madera '!$A$1:$F$445,6,FALSE)</f>
        <v>33.19</v>
      </c>
      <c r="F1423" s="22">
        <f>VLOOKUP(A1423,'[11]Linea Madera '!$A$1:$G$445,7,FALSE)</f>
        <v>37.5</v>
      </c>
    </row>
    <row r="1424" spans="1:6" x14ac:dyDescent="0.3">
      <c r="A1424" s="33" t="s">
        <v>1587</v>
      </c>
      <c r="B1424" s="65" t="s">
        <v>3693</v>
      </c>
      <c r="C1424" s="22">
        <f>VLOOKUP(A1424,'[11]Linea Madera '!$A$1:$D$445,4,FALSE)</f>
        <v>23.89</v>
      </c>
      <c r="D1424" s="22">
        <f>VLOOKUP(A1424,'[11]Linea Madera '!$A$1:$E$445,5,FALSE)</f>
        <v>27</v>
      </c>
      <c r="E1424" s="22">
        <f>VLOOKUP(A1424,'[11]Linea Madera '!$A$1:$F$445,6,FALSE)</f>
        <v>33.19</v>
      </c>
      <c r="F1424" s="22">
        <f>VLOOKUP(A1424,'[11]Linea Madera '!$A$1:$G$445,7,FALSE)</f>
        <v>37.5</v>
      </c>
    </row>
    <row r="1425" spans="1:6" x14ac:dyDescent="0.3">
      <c r="A1425" s="33" t="s">
        <v>1588</v>
      </c>
      <c r="B1425" s="65" t="s">
        <v>3694</v>
      </c>
      <c r="C1425" s="22">
        <f>VLOOKUP(A1425,'[11]Linea Madera '!$A$1:$D$445,4,FALSE)</f>
        <v>23.89</v>
      </c>
      <c r="D1425" s="22">
        <f>VLOOKUP(A1425,'[11]Linea Madera '!$A$1:$E$445,5,FALSE)</f>
        <v>27</v>
      </c>
      <c r="E1425" s="22">
        <f>VLOOKUP(A1425,'[11]Linea Madera '!$A$1:$F$445,6,FALSE)</f>
        <v>33.19</v>
      </c>
      <c r="F1425" s="22">
        <f>VLOOKUP(A1425,'[11]Linea Madera '!$A$1:$G$445,7,FALSE)</f>
        <v>37.5</v>
      </c>
    </row>
    <row r="1426" spans="1:6" x14ac:dyDescent="0.3">
      <c r="A1426" s="33" t="s">
        <v>1589</v>
      </c>
      <c r="B1426" s="65" t="s">
        <v>3695</v>
      </c>
      <c r="C1426" s="22">
        <f>VLOOKUP(A1426,'[11]Linea Madera '!$A$1:$D$445,4,FALSE)</f>
        <v>7.12</v>
      </c>
      <c r="D1426" s="22">
        <f>VLOOKUP(A1426,'[11]Linea Madera '!$A$1:$E$445,5,FALSE)</f>
        <v>8.0500000000000007</v>
      </c>
      <c r="E1426" s="22">
        <f>VLOOKUP(A1426,'[11]Linea Madera '!$A$1:$F$445,6,FALSE)</f>
        <v>10.18</v>
      </c>
      <c r="F1426" s="22">
        <f>VLOOKUP(A1426,'[11]Linea Madera '!$A$1:$G$445,7,FALSE)</f>
        <v>11.5</v>
      </c>
    </row>
    <row r="1427" spans="1:6" x14ac:dyDescent="0.3">
      <c r="A1427" s="33" t="s">
        <v>1590</v>
      </c>
      <c r="B1427" s="65" t="s">
        <v>3696</v>
      </c>
      <c r="C1427" s="22">
        <f>VLOOKUP(A1427,'[11]Linea Madera '!$A$1:$D$445,4,FALSE)</f>
        <v>7.12</v>
      </c>
      <c r="D1427" s="22">
        <f>VLOOKUP(A1427,'[11]Linea Madera '!$A$1:$E$445,5,FALSE)</f>
        <v>8.0500000000000007</v>
      </c>
      <c r="E1427" s="22">
        <f>VLOOKUP(A1427,'[11]Linea Madera '!$A$1:$F$445,6,FALSE)</f>
        <v>10.18</v>
      </c>
      <c r="F1427" s="22">
        <f>VLOOKUP(A1427,'[11]Linea Madera '!$A$1:$G$445,7,FALSE)</f>
        <v>11.5</v>
      </c>
    </row>
    <row r="1428" spans="1:6" x14ac:dyDescent="0.3">
      <c r="A1428" s="33" t="s">
        <v>1591</v>
      </c>
      <c r="B1428" s="65" t="s">
        <v>3697</v>
      </c>
      <c r="C1428" s="22">
        <f>VLOOKUP(A1428,'[11]Linea Madera '!$A$1:$D$445,4,FALSE)</f>
        <v>7.12</v>
      </c>
      <c r="D1428" s="22">
        <f>VLOOKUP(A1428,'[11]Linea Madera '!$A$1:$E$445,5,FALSE)</f>
        <v>8.0500000000000007</v>
      </c>
      <c r="E1428" s="22">
        <f>VLOOKUP(A1428,'[11]Linea Madera '!$A$1:$F$445,6,FALSE)</f>
        <v>10.18</v>
      </c>
      <c r="F1428" s="22">
        <f>VLOOKUP(A1428,'[11]Linea Madera '!$A$1:$G$445,7,FALSE)</f>
        <v>11.5</v>
      </c>
    </row>
    <row r="1429" spans="1:6" x14ac:dyDescent="0.3">
      <c r="A1429" s="33" t="s">
        <v>1592</v>
      </c>
      <c r="B1429" s="65" t="s">
        <v>3698</v>
      </c>
      <c r="C1429" s="22">
        <f>VLOOKUP(A1429,'[11]Linea Madera '!$A$1:$D$445,4,FALSE)</f>
        <v>7.12</v>
      </c>
      <c r="D1429" s="22">
        <f>VLOOKUP(A1429,'[11]Linea Madera '!$A$1:$E$445,5,FALSE)</f>
        <v>8.0500000000000007</v>
      </c>
      <c r="E1429" s="22">
        <f>VLOOKUP(A1429,'[11]Linea Madera '!$A$1:$F$445,6,FALSE)</f>
        <v>10.18</v>
      </c>
      <c r="F1429" s="22">
        <f>VLOOKUP(A1429,'[11]Linea Madera '!$A$1:$G$445,7,FALSE)</f>
        <v>11.5</v>
      </c>
    </row>
    <row r="1430" spans="1:6" x14ac:dyDescent="0.3">
      <c r="A1430" s="33" t="s">
        <v>1593</v>
      </c>
      <c r="B1430" s="65" t="s">
        <v>3699</v>
      </c>
      <c r="C1430" s="22">
        <f>VLOOKUP(A1430,'[11]Linea Madera '!$A$1:$D$445,4,FALSE)</f>
        <v>7.12</v>
      </c>
      <c r="D1430" s="22">
        <f>VLOOKUP(A1430,'[11]Linea Madera '!$A$1:$E$445,5,FALSE)</f>
        <v>8.0500000000000007</v>
      </c>
      <c r="E1430" s="22">
        <f>VLOOKUP(A1430,'[11]Linea Madera '!$A$1:$F$445,6,FALSE)</f>
        <v>10.18</v>
      </c>
      <c r="F1430" s="22">
        <f>VLOOKUP(A1430,'[11]Linea Madera '!$A$1:$G$445,7,FALSE)</f>
        <v>11.5</v>
      </c>
    </row>
    <row r="1431" spans="1:6" x14ac:dyDescent="0.3">
      <c r="A1431" s="33" t="s">
        <v>1594</v>
      </c>
      <c r="B1431" s="65" t="s">
        <v>3700</v>
      </c>
      <c r="C1431" s="22">
        <f>VLOOKUP(A1431,'[11]Linea Madera '!$A$1:$D$445,4,FALSE)</f>
        <v>7.12</v>
      </c>
      <c r="D1431" s="22">
        <f>VLOOKUP(A1431,'[11]Linea Madera '!$A$1:$E$445,5,FALSE)</f>
        <v>8.0500000000000007</v>
      </c>
      <c r="E1431" s="22">
        <f>VLOOKUP(A1431,'[11]Linea Madera '!$A$1:$F$445,6,FALSE)</f>
        <v>10.18</v>
      </c>
      <c r="F1431" s="22">
        <f>VLOOKUP(A1431,'[11]Linea Madera '!$A$1:$G$445,7,FALSE)</f>
        <v>11.5</v>
      </c>
    </row>
    <row r="1432" spans="1:6" x14ac:dyDescent="0.3">
      <c r="A1432" s="33" t="s">
        <v>1595</v>
      </c>
      <c r="B1432" s="65" t="s">
        <v>3701</v>
      </c>
      <c r="C1432" s="22">
        <f>VLOOKUP(A1432,'[11]Linea Madera '!$A$1:$D$445,4,FALSE)</f>
        <v>7.12</v>
      </c>
      <c r="D1432" s="22">
        <f>VLOOKUP(A1432,'[11]Linea Madera '!$A$1:$E$445,5,FALSE)</f>
        <v>8.0500000000000007</v>
      </c>
      <c r="E1432" s="22">
        <f>VLOOKUP(A1432,'[11]Linea Madera '!$A$1:$F$445,6,FALSE)</f>
        <v>10.18</v>
      </c>
      <c r="F1432" s="22">
        <f>VLOOKUP(A1432,'[11]Linea Madera '!$A$1:$G$445,7,FALSE)</f>
        <v>11.5</v>
      </c>
    </row>
    <row r="1433" spans="1:6" x14ac:dyDescent="0.3">
      <c r="A1433" s="33" t="s">
        <v>1596</v>
      </c>
      <c r="B1433" s="65" t="s">
        <v>3702</v>
      </c>
      <c r="C1433" s="22">
        <f>VLOOKUP(A1433,'[11]Linea Madera '!$A$1:$D$445,4,FALSE)</f>
        <v>7.12</v>
      </c>
      <c r="D1433" s="22">
        <f>VLOOKUP(A1433,'[11]Linea Madera '!$A$1:$E$445,5,FALSE)</f>
        <v>8.0500000000000007</v>
      </c>
      <c r="E1433" s="22">
        <f>VLOOKUP(A1433,'[11]Linea Madera '!$A$1:$F$445,6,FALSE)</f>
        <v>10.18</v>
      </c>
      <c r="F1433" s="22">
        <f>VLOOKUP(A1433,'[11]Linea Madera '!$A$1:$G$445,7,FALSE)</f>
        <v>11.5</v>
      </c>
    </row>
    <row r="1434" spans="1:6" x14ac:dyDescent="0.3">
      <c r="A1434" s="33" t="s">
        <v>1597</v>
      </c>
      <c r="B1434" s="65" t="s">
        <v>3703</v>
      </c>
      <c r="C1434" s="22">
        <f>VLOOKUP(A1434,'[11]Linea Madera '!$A$1:$D$445,4,FALSE)</f>
        <v>7.12</v>
      </c>
      <c r="D1434" s="22">
        <f>VLOOKUP(A1434,'[11]Linea Madera '!$A$1:$E$445,5,FALSE)</f>
        <v>8.0500000000000007</v>
      </c>
      <c r="E1434" s="22">
        <f>VLOOKUP(A1434,'[11]Linea Madera '!$A$1:$F$445,6,FALSE)</f>
        <v>10.18</v>
      </c>
      <c r="F1434" s="22">
        <f>VLOOKUP(A1434,'[11]Linea Madera '!$A$1:$G$445,7,FALSE)</f>
        <v>11.5</v>
      </c>
    </row>
    <row r="1435" spans="1:6" x14ac:dyDescent="0.3">
      <c r="A1435" s="32" t="s">
        <v>1598</v>
      </c>
      <c r="B1435" s="65" t="s">
        <v>3704</v>
      </c>
      <c r="C1435" s="22">
        <f>VLOOKUP(A1435,'[11]Linea Madera '!$A$1:$D$445,4,FALSE)</f>
        <v>7.12</v>
      </c>
      <c r="D1435" s="22">
        <f>VLOOKUP(A1435,'[11]Linea Madera '!$A$1:$E$445,5,FALSE)</f>
        <v>8.0500000000000007</v>
      </c>
      <c r="E1435" s="22">
        <f>VLOOKUP(A1435,'[11]Linea Madera '!$A$1:$F$445,6,FALSE)</f>
        <v>10.18</v>
      </c>
      <c r="F1435" s="22">
        <f>VLOOKUP(A1435,'[11]Linea Madera '!$A$1:$G$445,7,FALSE)</f>
        <v>11.5</v>
      </c>
    </row>
    <row r="1436" spans="1:6" x14ac:dyDescent="0.3">
      <c r="A1436" s="32" t="s">
        <v>1599</v>
      </c>
      <c r="B1436" s="65" t="s">
        <v>3705</v>
      </c>
      <c r="C1436" s="22">
        <f>VLOOKUP(A1436,'[11]Linea Madera '!$A$1:$D$445,4,FALSE)</f>
        <v>7.12</v>
      </c>
      <c r="D1436" s="22">
        <f>VLOOKUP(A1436,'[11]Linea Madera '!$A$1:$E$445,5,FALSE)</f>
        <v>8.0500000000000007</v>
      </c>
      <c r="E1436" s="22">
        <f>VLOOKUP(A1436,'[11]Linea Madera '!$A$1:$F$445,6,FALSE)</f>
        <v>10.18</v>
      </c>
      <c r="F1436" s="22">
        <f>VLOOKUP(A1436,'[11]Linea Madera '!$A$1:$G$445,7,FALSE)</f>
        <v>11.5</v>
      </c>
    </row>
    <row r="1437" spans="1:6" x14ac:dyDescent="0.3">
      <c r="A1437" s="32" t="s">
        <v>1600</v>
      </c>
      <c r="B1437" s="65" t="s">
        <v>3706</v>
      </c>
      <c r="C1437" s="22">
        <f>VLOOKUP(A1437,'[11]Linea Madera '!$A$1:$D$445,4,FALSE)</f>
        <v>7.12</v>
      </c>
      <c r="D1437" s="22">
        <f>VLOOKUP(A1437,'[11]Linea Madera '!$A$1:$E$445,5,FALSE)</f>
        <v>8.0500000000000007</v>
      </c>
      <c r="E1437" s="22">
        <f>VLOOKUP(A1437,'[11]Linea Madera '!$A$1:$F$445,6,FALSE)</f>
        <v>10.18</v>
      </c>
      <c r="F1437" s="22">
        <f>VLOOKUP(A1437,'[11]Linea Madera '!$A$1:$G$445,7,FALSE)</f>
        <v>11.5</v>
      </c>
    </row>
    <row r="1438" spans="1:6" x14ac:dyDescent="0.3">
      <c r="A1438" s="32" t="s">
        <v>1601</v>
      </c>
      <c r="B1438" s="65" t="s">
        <v>3707</v>
      </c>
      <c r="C1438" s="22">
        <f>VLOOKUP(A1438,'[11]Linea Madera '!$A$1:$D$445,4,FALSE)</f>
        <v>7.12</v>
      </c>
      <c r="D1438" s="22">
        <f>VLOOKUP(A1438,'[11]Linea Madera '!$A$1:$E$445,5,FALSE)</f>
        <v>8.0500000000000007</v>
      </c>
      <c r="E1438" s="22">
        <f>VLOOKUP(A1438,'[11]Linea Madera '!$A$1:$F$445,6,FALSE)</f>
        <v>10.18</v>
      </c>
      <c r="F1438" s="22">
        <f>VLOOKUP(A1438,'[11]Linea Madera '!$A$1:$G$445,7,FALSE)</f>
        <v>11.5</v>
      </c>
    </row>
    <row r="1439" spans="1:6" x14ac:dyDescent="0.3">
      <c r="A1439" s="32" t="s">
        <v>1602</v>
      </c>
      <c r="B1439" s="65" t="s">
        <v>3708</v>
      </c>
      <c r="C1439" s="22">
        <f>VLOOKUP(A1439,'[11]Linea Madera '!$A$1:$D$445,4,FALSE)</f>
        <v>7.12</v>
      </c>
      <c r="D1439" s="22">
        <f>VLOOKUP(A1439,'[11]Linea Madera '!$A$1:$E$445,5,FALSE)</f>
        <v>8.0500000000000007</v>
      </c>
      <c r="E1439" s="22">
        <f>VLOOKUP(A1439,'[11]Linea Madera '!$A$1:$F$445,6,FALSE)</f>
        <v>10.18</v>
      </c>
      <c r="F1439" s="22">
        <f>VLOOKUP(A1439,'[11]Linea Madera '!$A$1:$G$445,7,FALSE)</f>
        <v>11.5</v>
      </c>
    </row>
    <row r="1440" spans="1:6" x14ac:dyDescent="0.3">
      <c r="A1440" s="33" t="s">
        <v>1603</v>
      </c>
      <c r="B1440" s="65" t="s">
        <v>3695</v>
      </c>
      <c r="C1440" s="22">
        <f>VLOOKUP(A1440,'[11]Linea Madera '!$A$1:$D$445,4,FALSE)</f>
        <v>25.96</v>
      </c>
      <c r="D1440" s="22">
        <f>VLOOKUP(A1440,'[11]Linea Madera '!$A$1:$E$445,5,FALSE)</f>
        <v>29.33</v>
      </c>
      <c r="E1440" s="22">
        <f>VLOOKUP(A1440,'[11]Linea Madera '!$A$1:$F$445,6,FALSE)</f>
        <v>37.08</v>
      </c>
      <c r="F1440" s="22">
        <f>VLOOKUP(A1440,'[11]Linea Madera '!$A$1:$G$445,7,FALSE)</f>
        <v>41.9</v>
      </c>
    </row>
    <row r="1441" spans="1:6" x14ac:dyDescent="0.3">
      <c r="A1441" s="33" t="s">
        <v>1604</v>
      </c>
      <c r="B1441" s="65" t="s">
        <v>3696</v>
      </c>
      <c r="C1441" s="22">
        <f>VLOOKUP(A1441,'[11]Linea Madera '!$A$1:$D$445,4,FALSE)</f>
        <v>25.96</v>
      </c>
      <c r="D1441" s="22">
        <f>VLOOKUP(A1441,'[11]Linea Madera '!$A$1:$E$445,5,FALSE)</f>
        <v>29.33</v>
      </c>
      <c r="E1441" s="22">
        <f>VLOOKUP(A1441,'[11]Linea Madera '!$A$1:$F$445,6,FALSE)</f>
        <v>37.08</v>
      </c>
      <c r="F1441" s="22">
        <f>VLOOKUP(A1441,'[11]Linea Madera '!$A$1:$G$445,7,FALSE)</f>
        <v>41.9</v>
      </c>
    </row>
    <row r="1442" spans="1:6" x14ac:dyDescent="0.3">
      <c r="A1442" s="33" t="s">
        <v>1605</v>
      </c>
      <c r="B1442" s="65" t="s">
        <v>3697</v>
      </c>
      <c r="C1442" s="22">
        <f>VLOOKUP(A1442,'[11]Linea Madera '!$A$1:$D$445,4,FALSE)</f>
        <v>25.96</v>
      </c>
      <c r="D1442" s="22">
        <f>VLOOKUP(A1442,'[11]Linea Madera '!$A$1:$E$445,5,FALSE)</f>
        <v>29.33</v>
      </c>
      <c r="E1442" s="22">
        <f>VLOOKUP(A1442,'[11]Linea Madera '!$A$1:$F$445,6,FALSE)</f>
        <v>37.08</v>
      </c>
      <c r="F1442" s="22">
        <f>VLOOKUP(A1442,'[11]Linea Madera '!$A$1:$G$445,7,FALSE)</f>
        <v>41.9</v>
      </c>
    </row>
    <row r="1443" spans="1:6" x14ac:dyDescent="0.3">
      <c r="A1443" s="33" t="s">
        <v>1606</v>
      </c>
      <c r="B1443" s="65" t="s">
        <v>3698</v>
      </c>
      <c r="C1443" s="22">
        <f>VLOOKUP(A1443,'[11]Linea Madera '!$A$1:$D$445,4,FALSE)</f>
        <v>25.96</v>
      </c>
      <c r="D1443" s="22">
        <f>VLOOKUP(A1443,'[11]Linea Madera '!$A$1:$E$445,5,FALSE)</f>
        <v>29.33</v>
      </c>
      <c r="E1443" s="22">
        <f>VLOOKUP(A1443,'[11]Linea Madera '!$A$1:$F$445,6,FALSE)</f>
        <v>37.08</v>
      </c>
      <c r="F1443" s="22">
        <f>VLOOKUP(A1443,'[11]Linea Madera '!$A$1:$G$445,7,FALSE)</f>
        <v>41.9</v>
      </c>
    </row>
    <row r="1444" spans="1:6" x14ac:dyDescent="0.3">
      <c r="A1444" s="33" t="s">
        <v>1607</v>
      </c>
      <c r="B1444" s="65" t="s">
        <v>3699</v>
      </c>
      <c r="C1444" s="22">
        <f>VLOOKUP(A1444,'[11]Linea Madera '!$A$1:$D$445,4,FALSE)</f>
        <v>25.96</v>
      </c>
      <c r="D1444" s="22">
        <f>VLOOKUP(A1444,'[11]Linea Madera '!$A$1:$E$445,5,FALSE)</f>
        <v>29.33</v>
      </c>
      <c r="E1444" s="22">
        <f>VLOOKUP(A1444,'[11]Linea Madera '!$A$1:$F$445,6,FALSE)</f>
        <v>37.08</v>
      </c>
      <c r="F1444" s="22">
        <f>VLOOKUP(A1444,'[11]Linea Madera '!$A$1:$G$445,7,FALSE)</f>
        <v>41.9</v>
      </c>
    </row>
    <row r="1445" spans="1:6" x14ac:dyDescent="0.3">
      <c r="A1445" s="33" t="s">
        <v>1608</v>
      </c>
      <c r="B1445" s="65" t="s">
        <v>3700</v>
      </c>
      <c r="C1445" s="22">
        <f>VLOOKUP(A1445,'[11]Linea Madera '!$A$1:$D$445,4,FALSE)</f>
        <v>25.96</v>
      </c>
      <c r="D1445" s="22">
        <f>VLOOKUP(A1445,'[11]Linea Madera '!$A$1:$E$445,5,FALSE)</f>
        <v>29.33</v>
      </c>
      <c r="E1445" s="22">
        <f>VLOOKUP(A1445,'[11]Linea Madera '!$A$1:$F$445,6,FALSE)</f>
        <v>37.08</v>
      </c>
      <c r="F1445" s="22">
        <f>VLOOKUP(A1445,'[11]Linea Madera '!$A$1:$G$445,7,FALSE)</f>
        <v>41.9</v>
      </c>
    </row>
    <row r="1446" spans="1:6" x14ac:dyDescent="0.3">
      <c r="A1446" s="33" t="s">
        <v>1609</v>
      </c>
      <c r="B1446" s="65" t="s">
        <v>3701</v>
      </c>
      <c r="C1446" s="22">
        <f>VLOOKUP(A1446,'[11]Linea Madera '!$A$1:$D$445,4,FALSE)</f>
        <v>25.96</v>
      </c>
      <c r="D1446" s="22">
        <f>VLOOKUP(A1446,'[11]Linea Madera '!$A$1:$E$445,5,FALSE)</f>
        <v>29.33</v>
      </c>
      <c r="E1446" s="22">
        <f>VLOOKUP(A1446,'[11]Linea Madera '!$A$1:$F$445,6,FALSE)</f>
        <v>37.08</v>
      </c>
      <c r="F1446" s="22">
        <f>VLOOKUP(A1446,'[11]Linea Madera '!$A$1:$G$445,7,FALSE)</f>
        <v>41.9</v>
      </c>
    </row>
    <row r="1447" spans="1:6" x14ac:dyDescent="0.3">
      <c r="A1447" s="33" t="s">
        <v>1610</v>
      </c>
      <c r="B1447" s="65" t="s">
        <v>3702</v>
      </c>
      <c r="C1447" s="22">
        <f>VLOOKUP(A1447,'[11]Linea Madera '!$A$1:$D$445,4,FALSE)</f>
        <v>25.96</v>
      </c>
      <c r="D1447" s="22">
        <f>VLOOKUP(A1447,'[11]Linea Madera '!$A$1:$E$445,5,FALSE)</f>
        <v>29.33</v>
      </c>
      <c r="E1447" s="22">
        <f>VLOOKUP(A1447,'[11]Linea Madera '!$A$1:$F$445,6,FALSE)</f>
        <v>37.08</v>
      </c>
      <c r="F1447" s="22">
        <f>VLOOKUP(A1447,'[11]Linea Madera '!$A$1:$G$445,7,FALSE)</f>
        <v>41.9</v>
      </c>
    </row>
    <row r="1448" spans="1:6" x14ac:dyDescent="0.3">
      <c r="A1448" s="33" t="s">
        <v>1611</v>
      </c>
      <c r="B1448" s="65" t="s">
        <v>3703</v>
      </c>
      <c r="C1448" s="22">
        <f>VLOOKUP(A1448,'[11]Linea Madera '!$A$1:$D$445,4,FALSE)</f>
        <v>25.96</v>
      </c>
      <c r="D1448" s="22">
        <f>VLOOKUP(A1448,'[11]Linea Madera '!$A$1:$E$445,5,FALSE)</f>
        <v>29.33</v>
      </c>
      <c r="E1448" s="22">
        <f>VLOOKUP(A1448,'[11]Linea Madera '!$A$1:$F$445,6,FALSE)</f>
        <v>37.08</v>
      </c>
      <c r="F1448" s="22">
        <f>VLOOKUP(A1448,'[11]Linea Madera '!$A$1:$G$445,7,FALSE)</f>
        <v>41.9</v>
      </c>
    </row>
    <row r="1449" spans="1:6" x14ac:dyDescent="0.3">
      <c r="A1449" s="32" t="s">
        <v>1612</v>
      </c>
      <c r="B1449" s="65" t="s">
        <v>3704</v>
      </c>
      <c r="C1449" s="22">
        <f>VLOOKUP(A1449,'[11]Linea Madera '!$A$1:$D$445,4,FALSE)</f>
        <v>25.96</v>
      </c>
      <c r="D1449" s="22">
        <f>VLOOKUP(A1449,'[11]Linea Madera '!$A$1:$E$445,5,FALSE)</f>
        <v>29.33</v>
      </c>
      <c r="E1449" s="22">
        <f>VLOOKUP(A1449,'[11]Linea Madera '!$A$1:$F$445,6,FALSE)</f>
        <v>37.08</v>
      </c>
      <c r="F1449" s="22">
        <f>VLOOKUP(A1449,'[11]Linea Madera '!$A$1:$G$445,7,FALSE)</f>
        <v>41.9</v>
      </c>
    </row>
    <row r="1450" spans="1:6" x14ac:dyDescent="0.3">
      <c r="A1450" s="32" t="s">
        <v>1613</v>
      </c>
      <c r="B1450" s="65" t="s">
        <v>3705</v>
      </c>
      <c r="C1450" s="22">
        <f>VLOOKUP(A1450,'[11]Linea Madera '!$A$1:$D$445,4,FALSE)</f>
        <v>25.96</v>
      </c>
      <c r="D1450" s="22">
        <f>VLOOKUP(A1450,'[11]Linea Madera '!$A$1:$E$445,5,FALSE)</f>
        <v>29.33</v>
      </c>
      <c r="E1450" s="22">
        <f>VLOOKUP(A1450,'[11]Linea Madera '!$A$1:$F$445,6,FALSE)</f>
        <v>37.08</v>
      </c>
      <c r="F1450" s="22">
        <f>VLOOKUP(A1450,'[11]Linea Madera '!$A$1:$G$445,7,FALSE)</f>
        <v>41.9</v>
      </c>
    </row>
    <row r="1451" spans="1:6" x14ac:dyDescent="0.3">
      <c r="A1451" s="32" t="s">
        <v>1614</v>
      </c>
      <c r="B1451" s="65" t="s">
        <v>3706</v>
      </c>
      <c r="C1451" s="22">
        <f>VLOOKUP(A1451,'[11]Linea Madera '!$A$1:$D$445,4,FALSE)</f>
        <v>25.96</v>
      </c>
      <c r="D1451" s="22">
        <f>VLOOKUP(A1451,'[11]Linea Madera '!$A$1:$E$445,5,FALSE)</f>
        <v>29.33</v>
      </c>
      <c r="E1451" s="22">
        <f>VLOOKUP(A1451,'[11]Linea Madera '!$A$1:$F$445,6,FALSE)</f>
        <v>37.08</v>
      </c>
      <c r="F1451" s="22">
        <f>VLOOKUP(A1451,'[11]Linea Madera '!$A$1:$G$445,7,FALSE)</f>
        <v>41.9</v>
      </c>
    </row>
    <row r="1452" spans="1:6" x14ac:dyDescent="0.3">
      <c r="A1452" s="32" t="s">
        <v>1615</v>
      </c>
      <c r="B1452" s="65" t="s">
        <v>3707</v>
      </c>
      <c r="C1452" s="22">
        <f>VLOOKUP(A1452,'[11]Linea Madera '!$A$1:$D$445,4,FALSE)</f>
        <v>25.96</v>
      </c>
      <c r="D1452" s="22">
        <f>VLOOKUP(A1452,'[11]Linea Madera '!$A$1:$E$445,5,FALSE)</f>
        <v>29.33</v>
      </c>
      <c r="E1452" s="22">
        <f>VLOOKUP(A1452,'[11]Linea Madera '!$A$1:$F$445,6,FALSE)</f>
        <v>37.08</v>
      </c>
      <c r="F1452" s="22">
        <f>VLOOKUP(A1452,'[11]Linea Madera '!$A$1:$G$445,7,FALSE)</f>
        <v>41.9</v>
      </c>
    </row>
    <row r="1453" spans="1:6" x14ac:dyDescent="0.3">
      <c r="A1453" s="32" t="s">
        <v>1616</v>
      </c>
      <c r="B1453" s="65" t="s">
        <v>3708</v>
      </c>
      <c r="C1453" s="22">
        <f>VLOOKUP(A1453,'[11]Linea Madera '!$A$1:$D$445,4,FALSE)</f>
        <v>25.96</v>
      </c>
      <c r="D1453" s="22">
        <f>VLOOKUP(A1453,'[11]Linea Madera '!$A$1:$E$445,5,FALSE)</f>
        <v>29.33</v>
      </c>
      <c r="E1453" s="22">
        <f>VLOOKUP(A1453,'[11]Linea Madera '!$A$1:$F$445,6,FALSE)</f>
        <v>37.08</v>
      </c>
      <c r="F1453" s="22">
        <f>VLOOKUP(A1453,'[11]Linea Madera '!$A$1:$G$445,7,FALSE)</f>
        <v>41.9</v>
      </c>
    </row>
    <row r="1454" spans="1:6" x14ac:dyDescent="0.3">
      <c r="A1454" s="31" t="s">
        <v>1617</v>
      </c>
      <c r="B1454" s="65" t="s">
        <v>3709</v>
      </c>
      <c r="C1454" s="22">
        <f>VLOOKUP(A1454,'[11]Linea Madera '!$A$1:$D$445,4,FALSE)</f>
        <v>31.16</v>
      </c>
      <c r="D1454" s="22">
        <f>VLOOKUP(A1454,'[11]Linea Madera '!$A$1:$E$445,5,FALSE)</f>
        <v>35.21</v>
      </c>
      <c r="E1454" s="22">
        <f>VLOOKUP(A1454,'[11]Linea Madera '!$A$1:$F$445,6,FALSE)</f>
        <v>43.27</v>
      </c>
      <c r="F1454" s="22">
        <f>VLOOKUP(A1454,'[11]Linea Madera '!$A$1:$G$445,7,FALSE)</f>
        <v>48.9</v>
      </c>
    </row>
    <row r="1455" spans="1:6" x14ac:dyDescent="0.3">
      <c r="A1455" s="31" t="s">
        <v>1618</v>
      </c>
      <c r="B1455" s="65" t="s">
        <v>3710</v>
      </c>
      <c r="C1455" s="22">
        <f>VLOOKUP(A1455,'[11]Linea Madera '!$A$1:$D$445,4,FALSE)</f>
        <v>31.16</v>
      </c>
      <c r="D1455" s="22">
        <f>VLOOKUP(A1455,'[11]Linea Madera '!$A$1:$E$445,5,FALSE)</f>
        <v>35.21</v>
      </c>
      <c r="E1455" s="22">
        <f>VLOOKUP(A1455,'[11]Linea Madera '!$A$1:$F$445,6,FALSE)</f>
        <v>43.27</v>
      </c>
      <c r="F1455" s="22">
        <f>VLOOKUP(A1455,'[11]Linea Madera '!$A$1:$G$445,7,FALSE)</f>
        <v>48.9</v>
      </c>
    </row>
    <row r="1456" spans="1:6" x14ac:dyDescent="0.3">
      <c r="A1456" s="31" t="s">
        <v>1619</v>
      </c>
      <c r="B1456" s="65" t="s">
        <v>3711</v>
      </c>
      <c r="C1456" s="22">
        <f>VLOOKUP(A1456,'[11]Linea Madera '!$A$1:$D$445,4,FALSE)</f>
        <v>31.16</v>
      </c>
      <c r="D1456" s="22">
        <f>VLOOKUP(A1456,'[11]Linea Madera '!$A$1:$E$445,5,FALSE)</f>
        <v>35.21</v>
      </c>
      <c r="E1456" s="22">
        <f>VLOOKUP(A1456,'[11]Linea Madera '!$A$1:$F$445,6,FALSE)</f>
        <v>43.27</v>
      </c>
      <c r="F1456" s="22">
        <f>VLOOKUP(A1456,'[11]Linea Madera '!$A$1:$G$445,7,FALSE)</f>
        <v>48.9</v>
      </c>
    </row>
    <row r="1457" spans="1:6" x14ac:dyDescent="0.3">
      <c r="A1457" s="32" t="s">
        <v>1620</v>
      </c>
      <c r="B1457" s="65" t="s">
        <v>3712</v>
      </c>
      <c r="C1457" s="22">
        <f>VLOOKUP(A1457,'[11]Linea Madera '!$A$1:$D$445,4,FALSE)</f>
        <v>31.16</v>
      </c>
      <c r="D1457" s="22">
        <f>VLOOKUP(A1457,'[11]Linea Madera '!$A$1:$E$445,5,FALSE)</f>
        <v>35.21</v>
      </c>
      <c r="E1457" s="22">
        <f>VLOOKUP(A1457,'[11]Linea Madera '!$A$1:$F$445,6,FALSE)</f>
        <v>43.27</v>
      </c>
      <c r="F1457" s="22">
        <f>VLOOKUP(A1457,'[11]Linea Madera '!$A$1:$G$445,7,FALSE)</f>
        <v>48.9</v>
      </c>
    </row>
    <row r="1458" spans="1:6" x14ac:dyDescent="0.3">
      <c r="A1458" s="32" t="s">
        <v>1621</v>
      </c>
      <c r="B1458" s="65" t="s">
        <v>3713</v>
      </c>
      <c r="C1458" s="22">
        <f>VLOOKUP(A1458,'[11]Linea Madera '!$A$1:$D$445,4,FALSE)</f>
        <v>31.16</v>
      </c>
      <c r="D1458" s="22">
        <f>VLOOKUP(A1458,'[11]Linea Madera '!$A$1:$E$445,5,FALSE)</f>
        <v>35.21</v>
      </c>
      <c r="E1458" s="22">
        <f>VLOOKUP(A1458,'[11]Linea Madera '!$A$1:$F$445,6,FALSE)</f>
        <v>43.27</v>
      </c>
      <c r="F1458" s="22">
        <f>VLOOKUP(A1458,'[11]Linea Madera '!$A$1:$G$445,7,FALSE)</f>
        <v>48.9</v>
      </c>
    </row>
    <row r="1459" spans="1:6" x14ac:dyDescent="0.3">
      <c r="A1459" s="32" t="s">
        <v>1622</v>
      </c>
      <c r="B1459" s="65" t="s">
        <v>3714</v>
      </c>
      <c r="C1459" s="22">
        <f>VLOOKUP(A1459,'[11]Linea Madera '!$A$1:$D$445,4,FALSE)</f>
        <v>31.16</v>
      </c>
      <c r="D1459" s="22">
        <f>VLOOKUP(A1459,'[11]Linea Madera '!$A$1:$E$445,5,FALSE)</f>
        <v>35.21</v>
      </c>
      <c r="E1459" s="22">
        <f>VLOOKUP(A1459,'[11]Linea Madera '!$A$1:$F$445,6,FALSE)</f>
        <v>43.27</v>
      </c>
      <c r="F1459" s="22">
        <f>VLOOKUP(A1459,'[11]Linea Madera '!$A$1:$G$445,7,FALSE)</f>
        <v>48.9</v>
      </c>
    </row>
    <row r="1460" spans="1:6" x14ac:dyDescent="0.3">
      <c r="A1460" s="32" t="s">
        <v>1623</v>
      </c>
      <c r="B1460" s="65" t="s">
        <v>3715</v>
      </c>
      <c r="C1460" s="22">
        <f>VLOOKUP(A1460,'[11]Linea Madera '!$A$1:$D$445,4,FALSE)</f>
        <v>31.16</v>
      </c>
      <c r="D1460" s="22">
        <f>VLOOKUP(A1460,'[11]Linea Madera '!$A$1:$E$445,5,FALSE)</f>
        <v>35.21</v>
      </c>
      <c r="E1460" s="22">
        <f>VLOOKUP(A1460,'[11]Linea Madera '!$A$1:$F$445,6,FALSE)</f>
        <v>43.27</v>
      </c>
      <c r="F1460" s="22">
        <f>VLOOKUP(A1460,'[11]Linea Madera '!$A$1:$G$445,7,FALSE)</f>
        <v>48.9</v>
      </c>
    </row>
    <row r="1461" spans="1:6" x14ac:dyDescent="0.3">
      <c r="A1461" s="32" t="s">
        <v>1624</v>
      </c>
      <c r="B1461" s="65" t="s">
        <v>3716</v>
      </c>
      <c r="C1461" s="22">
        <f>VLOOKUP(A1461,'[11]Linea Madera '!$A$1:$D$445,4,FALSE)</f>
        <v>31.16</v>
      </c>
      <c r="D1461" s="22">
        <f>VLOOKUP(A1461,'[11]Linea Madera '!$A$1:$E$445,5,FALSE)</f>
        <v>35.21</v>
      </c>
      <c r="E1461" s="22">
        <f>VLOOKUP(A1461,'[11]Linea Madera '!$A$1:$F$445,6,FALSE)</f>
        <v>43.27</v>
      </c>
      <c r="F1461" s="22">
        <f>VLOOKUP(A1461,'[11]Linea Madera '!$A$1:$G$445,7,FALSE)</f>
        <v>48.9</v>
      </c>
    </row>
    <row r="1462" spans="1:6" x14ac:dyDescent="0.3">
      <c r="A1462" s="32" t="s">
        <v>1625</v>
      </c>
      <c r="B1462" s="65" t="s">
        <v>3709</v>
      </c>
      <c r="C1462" s="22">
        <f>VLOOKUP(A1462,'[11]Linea Madera '!$A$1:$D$445,4,FALSE)</f>
        <v>8.6</v>
      </c>
      <c r="D1462" s="22">
        <f>VLOOKUP(A1462,'[11]Linea Madera '!$A$1:$E$445,5,FALSE)</f>
        <v>9.7200000000000006</v>
      </c>
      <c r="E1462" s="22">
        <f>VLOOKUP(A1462,'[11]Linea Madera '!$A$1:$F$445,6,FALSE)</f>
        <v>11.95</v>
      </c>
      <c r="F1462" s="22">
        <f>VLOOKUP(A1462,'[11]Linea Madera '!$A$1:$G$445,7,FALSE)</f>
        <v>13.5</v>
      </c>
    </row>
    <row r="1463" spans="1:6" x14ac:dyDescent="0.3">
      <c r="A1463" s="32" t="s">
        <v>1626</v>
      </c>
      <c r="B1463" s="65" t="s">
        <v>3710</v>
      </c>
      <c r="C1463" s="22">
        <f>VLOOKUP(A1463,'[11]Linea Madera '!$A$1:$D$445,4,FALSE)</f>
        <v>8.6</v>
      </c>
      <c r="D1463" s="22">
        <f>VLOOKUP(A1463,'[11]Linea Madera '!$A$1:$E$445,5,FALSE)</f>
        <v>9.7200000000000006</v>
      </c>
      <c r="E1463" s="22">
        <f>VLOOKUP(A1463,'[11]Linea Madera '!$A$1:$F$445,6,FALSE)</f>
        <v>11.95</v>
      </c>
      <c r="F1463" s="22">
        <f>VLOOKUP(A1463,'[11]Linea Madera '!$A$1:$G$445,7,FALSE)</f>
        <v>13.5</v>
      </c>
    </row>
    <row r="1464" spans="1:6" x14ac:dyDescent="0.3">
      <c r="A1464" s="32" t="s">
        <v>1627</v>
      </c>
      <c r="B1464" s="65" t="s">
        <v>3711</v>
      </c>
      <c r="C1464" s="22">
        <f>VLOOKUP(A1464,'[11]Linea Madera '!$A$1:$D$445,4,FALSE)</f>
        <v>8.6</v>
      </c>
      <c r="D1464" s="22">
        <f>VLOOKUP(A1464,'[11]Linea Madera '!$A$1:$E$445,5,FALSE)</f>
        <v>9.7200000000000006</v>
      </c>
      <c r="E1464" s="22">
        <f>VLOOKUP(A1464,'[11]Linea Madera '!$A$1:$F$445,6,FALSE)</f>
        <v>11.95</v>
      </c>
      <c r="F1464" s="22">
        <f>VLOOKUP(A1464,'[11]Linea Madera '!$A$1:$G$445,7,FALSE)</f>
        <v>13.5</v>
      </c>
    </row>
    <row r="1465" spans="1:6" x14ac:dyDescent="0.3">
      <c r="A1465" s="32" t="s">
        <v>1628</v>
      </c>
      <c r="B1465" s="65" t="s">
        <v>3712</v>
      </c>
      <c r="C1465" s="22">
        <f>VLOOKUP(A1465,'[11]Linea Madera '!$A$1:$D$445,4,FALSE)</f>
        <v>8.6</v>
      </c>
      <c r="D1465" s="22">
        <f>VLOOKUP(A1465,'[11]Linea Madera '!$A$1:$E$445,5,FALSE)</f>
        <v>9.7200000000000006</v>
      </c>
      <c r="E1465" s="22">
        <f>VLOOKUP(A1465,'[11]Linea Madera '!$A$1:$F$445,6,FALSE)</f>
        <v>11.95</v>
      </c>
      <c r="F1465" s="22">
        <f>VLOOKUP(A1465,'[11]Linea Madera '!$A$1:$G$445,7,FALSE)</f>
        <v>13.5</v>
      </c>
    </row>
    <row r="1466" spans="1:6" x14ac:dyDescent="0.3">
      <c r="A1466" s="32" t="s">
        <v>1629</v>
      </c>
      <c r="B1466" s="65" t="s">
        <v>3713</v>
      </c>
      <c r="C1466" s="22">
        <f>VLOOKUP(A1466,'[11]Linea Madera '!$A$1:$D$445,4,FALSE)</f>
        <v>8.6</v>
      </c>
      <c r="D1466" s="22">
        <f>VLOOKUP(A1466,'[11]Linea Madera '!$A$1:$E$445,5,FALSE)</f>
        <v>9.7200000000000006</v>
      </c>
      <c r="E1466" s="22">
        <f>VLOOKUP(A1466,'[11]Linea Madera '!$A$1:$F$445,6,FALSE)</f>
        <v>11.95</v>
      </c>
      <c r="F1466" s="22">
        <f>VLOOKUP(A1466,'[11]Linea Madera '!$A$1:$G$445,7,FALSE)</f>
        <v>13.5</v>
      </c>
    </row>
    <row r="1467" spans="1:6" x14ac:dyDescent="0.3">
      <c r="A1467" s="32" t="s">
        <v>1630</v>
      </c>
      <c r="B1467" s="65" t="s">
        <v>3714</v>
      </c>
      <c r="C1467" s="22">
        <f>VLOOKUP(A1467,'[11]Linea Madera '!$A$1:$D$445,4,FALSE)</f>
        <v>8.6</v>
      </c>
      <c r="D1467" s="22">
        <f>VLOOKUP(A1467,'[11]Linea Madera '!$A$1:$E$445,5,FALSE)</f>
        <v>9.7200000000000006</v>
      </c>
      <c r="E1467" s="22">
        <f>VLOOKUP(A1467,'[11]Linea Madera '!$A$1:$F$445,6,FALSE)</f>
        <v>11.95</v>
      </c>
      <c r="F1467" s="22">
        <f>VLOOKUP(A1467,'[11]Linea Madera '!$A$1:$G$445,7,FALSE)</f>
        <v>13.5</v>
      </c>
    </row>
    <row r="1468" spans="1:6" x14ac:dyDescent="0.3">
      <c r="A1468" s="32" t="s">
        <v>1631</v>
      </c>
      <c r="B1468" s="65" t="s">
        <v>3715</v>
      </c>
      <c r="C1468" s="22">
        <f>VLOOKUP(A1468,'[11]Linea Madera '!$A$1:$D$445,4,FALSE)</f>
        <v>8.6</v>
      </c>
      <c r="D1468" s="22">
        <f>VLOOKUP(A1468,'[11]Linea Madera '!$A$1:$E$445,5,FALSE)</f>
        <v>9.7200000000000006</v>
      </c>
      <c r="E1468" s="22">
        <f>VLOOKUP(A1468,'[11]Linea Madera '!$A$1:$F$445,6,FALSE)</f>
        <v>11.95</v>
      </c>
      <c r="F1468" s="22">
        <f>VLOOKUP(A1468,'[11]Linea Madera '!$A$1:$G$445,7,FALSE)</f>
        <v>13.5</v>
      </c>
    </row>
    <row r="1469" spans="1:6" x14ac:dyDescent="0.3">
      <c r="A1469" s="32" t="s">
        <v>1632</v>
      </c>
      <c r="B1469" s="65" t="s">
        <v>3716</v>
      </c>
      <c r="C1469" s="22">
        <f>VLOOKUP(A1469,'[11]Linea Madera '!$A$1:$D$445,4,FALSE)</f>
        <v>8.6</v>
      </c>
      <c r="D1469" s="22">
        <f>VLOOKUP(A1469,'[11]Linea Madera '!$A$1:$E$445,5,FALSE)</f>
        <v>9.7200000000000006</v>
      </c>
      <c r="E1469" s="22">
        <f>VLOOKUP(A1469,'[11]Linea Madera '!$A$1:$F$445,6,FALSE)</f>
        <v>11.95</v>
      </c>
      <c r="F1469" s="22">
        <f>VLOOKUP(A1469,'[11]Linea Madera '!$A$1:$G$445,7,FALSE)</f>
        <v>13.5</v>
      </c>
    </row>
    <row r="1470" spans="1:6" x14ac:dyDescent="0.3">
      <c r="A1470" s="31" t="s">
        <v>1633</v>
      </c>
      <c r="B1470" s="65" t="s">
        <v>3717</v>
      </c>
      <c r="C1470" s="22">
        <f>VLOOKUP(A1470,'[11]Linea Madera '!$A$1:$D$445,4,FALSE)</f>
        <v>4.1500000000000004</v>
      </c>
      <c r="D1470" s="22">
        <f>VLOOKUP(A1470,'[11]Linea Madera '!$A$1:$E$445,5,FALSE)</f>
        <v>4.6900000000000004</v>
      </c>
      <c r="E1470" s="22">
        <f>VLOOKUP(A1470,'[11]Linea Madera '!$A$1:$F$445,6,FALSE)</f>
        <v>6.11</v>
      </c>
      <c r="F1470" s="22">
        <f>VLOOKUP(A1470,'[11]Linea Madera '!$A$1:$G$445,7,FALSE)</f>
        <v>6.9</v>
      </c>
    </row>
    <row r="1471" spans="1:6" x14ac:dyDescent="0.3">
      <c r="A1471" s="31" t="s">
        <v>1634</v>
      </c>
      <c r="B1471" s="65" t="s">
        <v>3718</v>
      </c>
      <c r="C1471" s="22">
        <f>VLOOKUP(A1471,'[11]Linea Madera '!$A$1:$D$445,4,FALSE)</f>
        <v>4.1500000000000004</v>
      </c>
      <c r="D1471" s="22">
        <f>VLOOKUP(A1471,'[11]Linea Madera '!$A$1:$E$445,5,FALSE)</f>
        <v>4.6900000000000004</v>
      </c>
      <c r="E1471" s="22">
        <f>VLOOKUP(A1471,'[11]Linea Madera '!$A$1:$F$445,6,FALSE)</f>
        <v>6.11</v>
      </c>
      <c r="F1471" s="22">
        <f>VLOOKUP(A1471,'[11]Linea Madera '!$A$1:$G$445,7,FALSE)</f>
        <v>6.9</v>
      </c>
    </row>
    <row r="1472" spans="1:6" x14ac:dyDescent="0.3">
      <c r="A1472" s="31" t="s">
        <v>1635</v>
      </c>
      <c r="B1472" s="65" t="s">
        <v>3719</v>
      </c>
      <c r="C1472" s="22">
        <f>VLOOKUP(A1472,'[11]Linea Madera '!$A$1:$D$445,4,FALSE)</f>
        <v>4.1500000000000004</v>
      </c>
      <c r="D1472" s="22">
        <f>VLOOKUP(A1472,'[11]Linea Madera '!$A$1:$E$445,5,FALSE)</f>
        <v>4.6900000000000004</v>
      </c>
      <c r="E1472" s="22">
        <f>VLOOKUP(A1472,'[11]Linea Madera '!$A$1:$F$445,6,FALSE)</f>
        <v>6.11</v>
      </c>
      <c r="F1472" s="22">
        <f>VLOOKUP(A1472,'[11]Linea Madera '!$A$1:$G$445,7,FALSE)</f>
        <v>6.9</v>
      </c>
    </row>
    <row r="1473" spans="1:6" x14ac:dyDescent="0.3">
      <c r="A1473" s="31" t="s">
        <v>1636</v>
      </c>
      <c r="B1473" s="65" t="s">
        <v>3720</v>
      </c>
      <c r="C1473" s="22">
        <f>VLOOKUP(A1473,'[11]Linea Madera '!$A$1:$D$445,4,FALSE)</f>
        <v>4.1500000000000004</v>
      </c>
      <c r="D1473" s="22">
        <f>VLOOKUP(A1473,'[11]Linea Madera '!$A$1:$E$445,5,FALSE)</f>
        <v>4.6900000000000004</v>
      </c>
      <c r="E1473" s="22">
        <f>VLOOKUP(A1473,'[11]Linea Madera '!$A$1:$F$445,6,FALSE)</f>
        <v>6.11</v>
      </c>
      <c r="F1473" s="22">
        <f>VLOOKUP(A1473,'[11]Linea Madera '!$A$1:$G$445,7,FALSE)</f>
        <v>6.9</v>
      </c>
    </row>
    <row r="1474" spans="1:6" x14ac:dyDescent="0.3">
      <c r="A1474" s="31" t="s">
        <v>1637</v>
      </c>
      <c r="B1474" s="65" t="s">
        <v>3721</v>
      </c>
      <c r="C1474" s="22">
        <f>VLOOKUP(A1474,'[11]Linea Madera '!$A$1:$D$445,4,FALSE)</f>
        <v>4.1500000000000004</v>
      </c>
      <c r="D1474" s="22">
        <f>VLOOKUP(A1474,'[11]Linea Madera '!$A$1:$E$445,5,FALSE)</f>
        <v>4.6900000000000004</v>
      </c>
      <c r="E1474" s="22">
        <f>VLOOKUP(A1474,'[11]Linea Madera '!$A$1:$F$445,6,FALSE)</f>
        <v>6.11</v>
      </c>
      <c r="F1474" s="22">
        <f>VLOOKUP(A1474,'[11]Linea Madera '!$A$1:$G$445,7,FALSE)</f>
        <v>6.9</v>
      </c>
    </row>
    <row r="1475" spans="1:6" x14ac:dyDescent="0.3">
      <c r="A1475" s="31" t="s">
        <v>1638</v>
      </c>
      <c r="B1475" s="65" t="s">
        <v>3722</v>
      </c>
      <c r="C1475" s="22">
        <f>VLOOKUP(A1475,'[11]Linea Madera '!$A$1:$D$445,4,FALSE)</f>
        <v>4.1500000000000004</v>
      </c>
      <c r="D1475" s="22">
        <f>VLOOKUP(A1475,'[11]Linea Madera '!$A$1:$E$445,5,FALSE)</f>
        <v>4.6900000000000004</v>
      </c>
      <c r="E1475" s="22">
        <f>VLOOKUP(A1475,'[11]Linea Madera '!$A$1:$F$445,6,FALSE)</f>
        <v>6.11</v>
      </c>
      <c r="F1475" s="22">
        <f>VLOOKUP(A1475,'[11]Linea Madera '!$A$1:$G$445,7,FALSE)</f>
        <v>6.9</v>
      </c>
    </row>
    <row r="1476" spans="1:6" x14ac:dyDescent="0.3">
      <c r="A1476" s="31" t="s">
        <v>1639</v>
      </c>
      <c r="B1476" s="65" t="s">
        <v>3723</v>
      </c>
      <c r="C1476" s="22">
        <f>VLOOKUP(A1476,'[11]Linea Madera '!$A$1:$D$445,4,FALSE)</f>
        <v>3.15</v>
      </c>
      <c r="D1476" s="22">
        <f>VLOOKUP(A1476,'[11]Linea Madera '!$A$1:$E$445,5,FALSE)</f>
        <v>3.56</v>
      </c>
      <c r="E1476" s="22">
        <f>VLOOKUP(A1476,'[11]Linea Madera '!$A$1:$F$445,6,FALSE)</f>
        <v>6.64</v>
      </c>
      <c r="F1476" s="22">
        <f>VLOOKUP(A1476,'[11]Linea Madera '!$A$1:$G$445,7,FALSE)</f>
        <v>7.5</v>
      </c>
    </row>
    <row r="1477" spans="1:6" x14ac:dyDescent="0.3">
      <c r="A1477" s="33" t="s">
        <v>1640</v>
      </c>
      <c r="B1477" s="65" t="s">
        <v>3724</v>
      </c>
      <c r="C1477" s="22">
        <f>VLOOKUP(A1477,'[11]Linea Madera '!$A$1:$D$445,4,FALSE)</f>
        <v>6.32</v>
      </c>
      <c r="D1477" s="22">
        <f>VLOOKUP(A1477,'[11]Linea Madera '!$A$1:$E$445,5,FALSE)</f>
        <v>7.14</v>
      </c>
      <c r="E1477" s="22">
        <f>VLOOKUP(A1477,'[11]Linea Madera '!$A$1:$F$445,6,FALSE)</f>
        <v>7.52</v>
      </c>
      <c r="F1477" s="22">
        <f>VLOOKUP(A1477,'[11]Linea Madera '!$A$1:$G$445,7,FALSE)</f>
        <v>8.5</v>
      </c>
    </row>
    <row r="1478" spans="1:6" x14ac:dyDescent="0.3">
      <c r="A1478" s="33" t="s">
        <v>1641</v>
      </c>
      <c r="B1478" s="65" t="s">
        <v>3724</v>
      </c>
      <c r="C1478" s="22">
        <f>VLOOKUP(A1478,'[11]Linea Madera '!$A$1:$D$445,4,FALSE)</f>
        <v>22.23</v>
      </c>
      <c r="D1478" s="22">
        <f>VLOOKUP(A1478,'[11]Linea Madera '!$A$1:$E$445,5,FALSE)</f>
        <v>25.12</v>
      </c>
      <c r="E1478" s="22">
        <f>VLOOKUP(A1478,'[11]Linea Madera '!$A$1:$F$445,6,FALSE)</f>
        <v>26.46</v>
      </c>
      <c r="F1478" s="22">
        <f>VLOOKUP(A1478,'[11]Linea Madera '!$A$1:$G$445,7,FALSE)</f>
        <v>29.9</v>
      </c>
    </row>
    <row r="1479" spans="1:6" x14ac:dyDescent="0.3">
      <c r="A1479" s="33" t="s">
        <v>1642</v>
      </c>
      <c r="B1479" s="65" t="s">
        <v>3725</v>
      </c>
      <c r="C1479" s="22">
        <f>VLOOKUP(A1479,'[11]Linea Madera '!$A$1:$D$445,4,FALSE)</f>
        <v>6.01</v>
      </c>
      <c r="D1479" s="22">
        <f>VLOOKUP(A1479,'[11]Linea Madera '!$A$1:$E$445,5,FALSE)</f>
        <v>6.79</v>
      </c>
      <c r="E1479" s="22">
        <f>VLOOKUP(A1479,'[11]Linea Madera '!$A$1:$F$445,6,FALSE)</f>
        <v>6.99</v>
      </c>
      <c r="F1479" s="22">
        <f>VLOOKUP(A1479,'[11]Linea Madera '!$A$1:$G$445,7,FALSE)</f>
        <v>7.9</v>
      </c>
    </row>
    <row r="1480" spans="1:6" x14ac:dyDescent="0.3">
      <c r="A1480" s="33" t="s">
        <v>1643</v>
      </c>
      <c r="B1480" s="65" t="s">
        <v>3725</v>
      </c>
      <c r="C1480" s="22">
        <f>VLOOKUP(A1480,'[11]Linea Madera '!$A$1:$D$445,4,FALSE)</f>
        <v>20.47</v>
      </c>
      <c r="D1480" s="22">
        <f>VLOOKUP(A1480,'[11]Linea Madera '!$A$1:$E$445,5,FALSE)</f>
        <v>23.13</v>
      </c>
      <c r="E1480" s="22">
        <f>VLOOKUP(A1480,'[11]Linea Madera '!$A$1:$F$445,6,FALSE)</f>
        <v>23.81</v>
      </c>
      <c r="F1480" s="22">
        <f>VLOOKUP(A1480,'[11]Linea Madera '!$A$1:$G$445,7,FALSE)</f>
        <v>26.9</v>
      </c>
    </row>
    <row r="1481" spans="1:6" x14ac:dyDescent="0.3">
      <c r="A1481" s="33" t="s">
        <v>1644</v>
      </c>
      <c r="B1481" s="65" t="s">
        <v>3725</v>
      </c>
      <c r="C1481" s="22">
        <f>VLOOKUP(A1481,'[11]Linea Madera '!$A$1:$D$445,4,FALSE)</f>
        <v>97.42</v>
      </c>
      <c r="D1481" s="22">
        <f>VLOOKUP(A1481,'[11]Linea Madera '!$A$1:$E$445,5,FALSE)</f>
        <v>110.08</v>
      </c>
      <c r="E1481" s="22">
        <f>VLOOKUP(A1481,'[11]Linea Madera '!$A$1:$F$445,6,FALSE)</f>
        <v>113.27</v>
      </c>
      <c r="F1481" s="22">
        <f>VLOOKUP(A1481,'[11]Linea Madera '!$A$1:$G$445,7,FALSE)</f>
        <v>128</v>
      </c>
    </row>
    <row r="1482" spans="1:6" x14ac:dyDescent="0.3">
      <c r="A1482" s="33" t="s">
        <v>1645</v>
      </c>
      <c r="B1482" s="65" t="s">
        <v>3725</v>
      </c>
      <c r="C1482" s="22">
        <f>VLOOKUP(A1482,'[11]Linea Madera '!$A$1:$D$445,4,FALSE)</f>
        <v>926.97</v>
      </c>
      <c r="D1482" s="22">
        <f>VLOOKUP(A1482,'[11]Linea Madera '!$A$1:$E$445,5,FALSE)</f>
        <v>1047.48</v>
      </c>
      <c r="E1482" s="22">
        <f>VLOOKUP(A1482,'[11]Linea Madera '!$A$1:$F$445,6,FALSE)</f>
        <v>1077.8800000000001</v>
      </c>
      <c r="F1482" s="22">
        <f>VLOOKUP(A1482,'[11]Linea Madera '!$A$1:$G$445,7,FALSE)</f>
        <v>1218</v>
      </c>
    </row>
    <row r="1483" spans="1:6" x14ac:dyDescent="0.3">
      <c r="A1483" s="32" t="s">
        <v>1646</v>
      </c>
      <c r="B1483" s="65" t="s">
        <v>1647</v>
      </c>
      <c r="C1483" s="22">
        <f>VLOOKUP(A1483,'[11]Linea Madera '!$A$1:$D$445,4,FALSE)</f>
        <v>22.75</v>
      </c>
      <c r="D1483" s="22">
        <f>VLOOKUP(A1483,'[11]Linea Madera '!$A$1:$E$445,5,FALSE)</f>
        <v>25.71</v>
      </c>
      <c r="E1483" s="22">
        <f>VLOOKUP(A1483,'[11]Linea Madera '!$A$1:$F$445,6,FALSE)</f>
        <v>26.46</v>
      </c>
      <c r="F1483" s="22">
        <f>VLOOKUP(A1483,'[11]Linea Madera '!$A$1:$G$445,7,FALSE)</f>
        <v>29.9</v>
      </c>
    </row>
    <row r="1484" spans="1:6" x14ac:dyDescent="0.3">
      <c r="A1484" s="32" t="s">
        <v>1648</v>
      </c>
      <c r="B1484" s="65" t="s">
        <v>1647</v>
      </c>
      <c r="C1484" s="22">
        <f>VLOOKUP(A1484,'[11]Linea Madera '!$A$1:$D$445,4,FALSE)</f>
        <v>6.47</v>
      </c>
      <c r="D1484" s="22">
        <f>VLOOKUP(A1484,'[11]Linea Madera '!$A$1:$E$445,5,FALSE)</f>
        <v>7.31</v>
      </c>
      <c r="E1484" s="22">
        <f>VLOOKUP(A1484,'[11]Linea Madera '!$A$1:$F$445,6,FALSE)</f>
        <v>7.52</v>
      </c>
      <c r="F1484" s="22">
        <f>VLOOKUP(A1484,'[11]Linea Madera '!$A$1:$G$445,7,FALSE)</f>
        <v>8.5</v>
      </c>
    </row>
    <row r="1485" spans="1:6" x14ac:dyDescent="0.3">
      <c r="A1485" s="31" t="s">
        <v>1649</v>
      </c>
      <c r="B1485" s="65" t="s">
        <v>3726</v>
      </c>
      <c r="C1485" s="22">
        <f>VLOOKUP(A1485,'[11]Linea Madera '!$A$1:$D$445,4,FALSE)</f>
        <v>19.260000000000002</v>
      </c>
      <c r="D1485" s="22">
        <f>VLOOKUP(A1485,'[11]Linea Madera '!$A$1:$E$445,5,FALSE)</f>
        <v>21.76</v>
      </c>
      <c r="E1485" s="22">
        <f>VLOOKUP(A1485,'[11]Linea Madera '!$A$1:$F$445,6,FALSE)</f>
        <v>22.92</v>
      </c>
      <c r="F1485" s="22">
        <f>VLOOKUP(A1485,'[11]Linea Madera '!$A$1:$G$445,7,FALSE)</f>
        <v>25.9</v>
      </c>
    </row>
    <row r="1486" spans="1:6" x14ac:dyDescent="0.3">
      <c r="A1486" s="33" t="s">
        <v>1650</v>
      </c>
      <c r="B1486" s="65" t="s">
        <v>3727</v>
      </c>
      <c r="C1486" s="22">
        <f>VLOOKUP(A1486,'[11]Linea Madera '!$A$1:$D$445,4,FALSE)</f>
        <v>3.5</v>
      </c>
      <c r="D1486" s="22">
        <f>VLOOKUP(A1486,'[11]Linea Madera '!$A$1:$E$445,5,FALSE)</f>
        <v>3.96</v>
      </c>
      <c r="E1486" s="22">
        <f>VLOOKUP(A1486,'[11]Linea Madera '!$A$1:$F$445,6,FALSE)</f>
        <v>4.87</v>
      </c>
      <c r="F1486" s="22">
        <f>VLOOKUP(A1486,'[11]Linea Madera '!$A$1:$G$445,7,FALSE)</f>
        <v>5.5</v>
      </c>
    </row>
    <row r="1487" spans="1:6" x14ac:dyDescent="0.3">
      <c r="A1487" s="31" t="s">
        <v>1651</v>
      </c>
      <c r="B1487" s="65" t="s">
        <v>3727</v>
      </c>
      <c r="C1487" s="22">
        <f>VLOOKUP(A1487,'[11]Linea Madera '!$A$1:$D$445,4,FALSE)</f>
        <v>10.130000000000001</v>
      </c>
      <c r="D1487" s="22">
        <f>VLOOKUP(A1487,'[11]Linea Madera '!$A$1:$E$445,5,FALSE)</f>
        <v>11.45</v>
      </c>
      <c r="E1487" s="22">
        <f>VLOOKUP(A1487,'[11]Linea Madera '!$A$1:$F$445,6,FALSE)</f>
        <v>14.07</v>
      </c>
      <c r="F1487" s="22">
        <f>VLOOKUP(A1487,'[11]Linea Madera '!$A$1:$G$445,7,FALSE)</f>
        <v>15.9</v>
      </c>
    </row>
    <row r="1488" spans="1:6" x14ac:dyDescent="0.3">
      <c r="A1488" s="33" t="s">
        <v>1652</v>
      </c>
      <c r="B1488" s="65" t="s">
        <v>1653</v>
      </c>
      <c r="C1488" s="22">
        <f>VLOOKUP(A1488,'[11]Linea Madera '!$A$1:$D$445,4,FALSE)</f>
        <v>7.52</v>
      </c>
      <c r="D1488" s="22">
        <f>VLOOKUP(A1488,'[11]Linea Madera '!$A$1:$E$445,5,FALSE)</f>
        <v>8.5</v>
      </c>
      <c r="E1488" s="22">
        <f>VLOOKUP(A1488,'[11]Linea Madera '!$A$1:$F$445,6,FALSE)</f>
        <v>9.65</v>
      </c>
      <c r="F1488" s="22">
        <f>VLOOKUP(A1488,'[11]Linea Madera '!$A$1:$G$445,7,FALSE)</f>
        <v>10.9</v>
      </c>
    </row>
    <row r="1489" spans="1:6" x14ac:dyDescent="0.3">
      <c r="A1489" s="33" t="s">
        <v>1654</v>
      </c>
      <c r="B1489" s="65" t="s">
        <v>1653</v>
      </c>
      <c r="C1489" s="22">
        <f>VLOOKUP(A1489,'[11]Linea Madera '!$A$1:$D$445,4,FALSE)</f>
        <v>26.16</v>
      </c>
      <c r="D1489" s="22">
        <f>VLOOKUP(A1489,'[11]Linea Madera '!$A$1:$E$445,5,FALSE)</f>
        <v>29.56</v>
      </c>
      <c r="E1489" s="22">
        <f>VLOOKUP(A1489,'[11]Linea Madera '!$A$1:$F$445,6,FALSE)</f>
        <v>33.54</v>
      </c>
      <c r="F1489" s="22">
        <f>VLOOKUP(A1489,'[11]Linea Madera '!$A$1:$G$445,7,FALSE)</f>
        <v>37.9</v>
      </c>
    </row>
    <row r="1490" spans="1:6" x14ac:dyDescent="0.3">
      <c r="A1490" s="33" t="s">
        <v>1655</v>
      </c>
      <c r="B1490" s="65" t="s">
        <v>1653</v>
      </c>
      <c r="C1490" s="22">
        <f>VLOOKUP(A1490,'[11]Linea Madera '!$A$1:$D$445,4,FALSE)</f>
        <v>127.01</v>
      </c>
      <c r="D1490" s="22">
        <f>VLOOKUP(A1490,'[11]Linea Madera '!$A$1:$E$445,5,FALSE)</f>
        <v>143.52000000000001</v>
      </c>
      <c r="E1490" s="22">
        <f>VLOOKUP(A1490,'[11]Linea Madera '!$A$1:$F$445,6,FALSE)</f>
        <v>162.83000000000001</v>
      </c>
      <c r="F1490" s="22">
        <f>VLOOKUP(A1490,'[11]Linea Madera '!$A$1:$G$445,7,FALSE)</f>
        <v>184</v>
      </c>
    </row>
    <row r="1491" spans="1:6" x14ac:dyDescent="0.3">
      <c r="A1491" s="33" t="s">
        <v>1656</v>
      </c>
      <c r="B1491" s="65" t="s">
        <v>1657</v>
      </c>
      <c r="C1491" s="22">
        <f>VLOOKUP(A1491,'[11]Linea Madera '!$A$1:$D$445,4,FALSE)</f>
        <v>9.1300000000000008</v>
      </c>
      <c r="D1491" s="22">
        <f>VLOOKUP(A1491,'[11]Linea Madera '!$A$1:$E$445,5,FALSE)</f>
        <v>10.32</v>
      </c>
      <c r="E1491" s="22">
        <f>VLOOKUP(A1491,'[11]Linea Madera '!$A$1:$F$445,6,FALSE)</f>
        <v>11.42</v>
      </c>
      <c r="F1491" s="22">
        <f>VLOOKUP(A1491,'[11]Linea Madera '!$A$1:$G$445,7,FALSE)</f>
        <v>12.9</v>
      </c>
    </row>
    <row r="1492" spans="1:6" x14ac:dyDescent="0.3">
      <c r="A1492" s="33" t="s">
        <v>1658</v>
      </c>
      <c r="B1492" s="65" t="s">
        <v>1657</v>
      </c>
      <c r="C1492" s="22">
        <f>VLOOKUP(A1492,'[11]Linea Madera '!$A$1:$D$445,4,FALSE)</f>
        <v>31.79</v>
      </c>
      <c r="D1492" s="22">
        <f>VLOOKUP(A1492,'[11]Linea Madera '!$A$1:$E$445,5,FALSE)</f>
        <v>35.92</v>
      </c>
      <c r="E1492" s="22">
        <f>VLOOKUP(A1492,'[11]Linea Madera '!$A$1:$F$445,6,FALSE)</f>
        <v>39.729999999999997</v>
      </c>
      <c r="F1492" s="22">
        <f>VLOOKUP(A1492,'[11]Linea Madera '!$A$1:$G$445,7,FALSE)</f>
        <v>44.9</v>
      </c>
    </row>
    <row r="1493" spans="1:6" x14ac:dyDescent="0.3">
      <c r="A1493" s="33" t="s">
        <v>1659</v>
      </c>
      <c r="B1493" s="65" t="s">
        <v>1657</v>
      </c>
      <c r="C1493" s="22">
        <f>VLOOKUP(A1493,'[11]Linea Madera '!$A$1:$D$445,4,FALSE)</f>
        <v>155.04</v>
      </c>
      <c r="D1493" s="22">
        <f>VLOOKUP(A1493,'[11]Linea Madera '!$A$1:$E$445,5,FALSE)</f>
        <v>175.2</v>
      </c>
      <c r="E1493" s="22">
        <f>VLOOKUP(A1493,'[11]Linea Madera '!$A$1:$F$445,6,FALSE)</f>
        <v>193.81</v>
      </c>
      <c r="F1493" s="22">
        <f>VLOOKUP(A1493,'[11]Linea Madera '!$A$1:$G$445,7,FALSE)</f>
        <v>219</v>
      </c>
    </row>
    <row r="1494" spans="1:6" x14ac:dyDescent="0.3">
      <c r="A1494" s="33" t="s">
        <v>1660</v>
      </c>
      <c r="B1494" s="65" t="s">
        <v>3728</v>
      </c>
      <c r="C1494" s="22">
        <f>VLOOKUP(A1494,'[11]Linea Madera '!$A$1:$D$445,4,FALSE)</f>
        <v>26.12</v>
      </c>
      <c r="D1494" s="22">
        <f>VLOOKUP(A1494,'[11]Linea Madera '!$A$1:$E$445,5,FALSE)</f>
        <v>29.52</v>
      </c>
      <c r="E1494" s="22">
        <f>VLOOKUP(A1494,'[11]Linea Madera '!$A$1:$F$445,6,FALSE)</f>
        <v>32.65</v>
      </c>
      <c r="F1494" s="22">
        <f>VLOOKUP(A1494,'[11]Linea Madera '!$A$1:$G$445,7,FALSE)</f>
        <v>36.9</v>
      </c>
    </row>
    <row r="1495" spans="1:6" x14ac:dyDescent="0.3">
      <c r="A1495" s="33" t="s">
        <v>1661</v>
      </c>
      <c r="B1495" s="65" t="s">
        <v>3729</v>
      </c>
      <c r="C1495" s="22">
        <f>VLOOKUP(A1495,'[11]Linea Madera '!$A$1:$D$445,4,FALSE)</f>
        <v>26.12</v>
      </c>
      <c r="D1495" s="22">
        <f>VLOOKUP(A1495,'[11]Linea Madera '!$A$1:$E$445,5,FALSE)</f>
        <v>29.52</v>
      </c>
      <c r="E1495" s="22">
        <f>VLOOKUP(A1495,'[11]Linea Madera '!$A$1:$F$445,6,FALSE)</f>
        <v>32.65</v>
      </c>
      <c r="F1495" s="22">
        <f>VLOOKUP(A1495,'[11]Linea Madera '!$A$1:$G$445,7,FALSE)</f>
        <v>36.9</v>
      </c>
    </row>
    <row r="1496" spans="1:6" x14ac:dyDescent="0.3">
      <c r="A1496" s="33" t="s">
        <v>1662</v>
      </c>
      <c r="B1496" s="65" t="s">
        <v>3730</v>
      </c>
      <c r="C1496" s="22">
        <f>VLOOKUP(A1496,'[11]Linea Madera '!$A$1:$D$445,4,FALSE)</f>
        <v>26.12</v>
      </c>
      <c r="D1496" s="22">
        <f>VLOOKUP(A1496,'[11]Linea Madera '!$A$1:$E$445,5,FALSE)</f>
        <v>29.52</v>
      </c>
      <c r="E1496" s="22">
        <f>VLOOKUP(A1496,'[11]Linea Madera '!$A$1:$F$445,6,FALSE)</f>
        <v>32.65</v>
      </c>
      <c r="F1496" s="22">
        <f>VLOOKUP(A1496,'[11]Linea Madera '!$A$1:$G$445,7,FALSE)</f>
        <v>36.9</v>
      </c>
    </row>
    <row r="1497" spans="1:6" x14ac:dyDescent="0.3">
      <c r="A1497" s="33" t="s">
        <v>1663</v>
      </c>
      <c r="B1497" s="65" t="s">
        <v>3731</v>
      </c>
      <c r="C1497" s="22">
        <f>VLOOKUP(A1497,'[11]Linea Madera '!$A$1:$D$445,4,FALSE)</f>
        <v>26.12</v>
      </c>
      <c r="D1497" s="22">
        <f>VLOOKUP(A1497,'[11]Linea Madera '!$A$1:$E$445,5,FALSE)</f>
        <v>29.52</v>
      </c>
      <c r="E1497" s="22">
        <f>VLOOKUP(A1497,'[11]Linea Madera '!$A$1:$F$445,6,FALSE)</f>
        <v>32.65</v>
      </c>
      <c r="F1497" s="22">
        <f>VLOOKUP(A1497,'[11]Linea Madera '!$A$1:$G$445,7,FALSE)</f>
        <v>36.9</v>
      </c>
    </row>
    <row r="1498" spans="1:6" x14ac:dyDescent="0.3">
      <c r="A1498" s="33" t="s">
        <v>1664</v>
      </c>
      <c r="B1498" s="65" t="s">
        <v>3732</v>
      </c>
      <c r="C1498" s="22">
        <f>VLOOKUP(A1498,'[11]Linea Madera '!$A$1:$D$445,4,FALSE)</f>
        <v>26.12</v>
      </c>
      <c r="D1498" s="22">
        <f>VLOOKUP(A1498,'[11]Linea Madera '!$A$1:$E$445,5,FALSE)</f>
        <v>29.52</v>
      </c>
      <c r="E1498" s="22">
        <f>VLOOKUP(A1498,'[11]Linea Madera '!$A$1:$F$445,6,FALSE)</f>
        <v>32.65</v>
      </c>
      <c r="F1498" s="22">
        <f>VLOOKUP(A1498,'[11]Linea Madera '!$A$1:$G$445,7,FALSE)</f>
        <v>36.9</v>
      </c>
    </row>
    <row r="1499" spans="1:6" x14ac:dyDescent="0.3">
      <c r="A1499" s="33" t="s">
        <v>1665</v>
      </c>
      <c r="B1499" s="65" t="s">
        <v>3733</v>
      </c>
      <c r="C1499" s="22">
        <f>VLOOKUP(A1499,'[11]Linea Madera '!$A$1:$D$445,4,FALSE)</f>
        <v>26.12</v>
      </c>
      <c r="D1499" s="22">
        <f>VLOOKUP(A1499,'[11]Linea Madera '!$A$1:$E$445,5,FALSE)</f>
        <v>29.52</v>
      </c>
      <c r="E1499" s="22">
        <f>VLOOKUP(A1499,'[11]Linea Madera '!$A$1:$F$445,6,FALSE)</f>
        <v>32.65</v>
      </c>
      <c r="F1499" s="22">
        <f>VLOOKUP(A1499,'[11]Linea Madera '!$A$1:$G$445,7,FALSE)</f>
        <v>36.9</v>
      </c>
    </row>
    <row r="1500" spans="1:6" x14ac:dyDescent="0.3">
      <c r="A1500" s="33" t="s">
        <v>1666</v>
      </c>
      <c r="B1500" s="65" t="s">
        <v>3734</v>
      </c>
      <c r="C1500" s="22">
        <f>VLOOKUP(A1500,'[11]Linea Madera '!$A$1:$D$445,4,FALSE)</f>
        <v>26.12</v>
      </c>
      <c r="D1500" s="22">
        <f>VLOOKUP(A1500,'[11]Linea Madera '!$A$1:$E$445,5,FALSE)</f>
        <v>29.52</v>
      </c>
      <c r="E1500" s="22">
        <f>VLOOKUP(A1500,'[11]Linea Madera '!$A$1:$F$445,6,FALSE)</f>
        <v>32.65</v>
      </c>
      <c r="F1500" s="22">
        <f>VLOOKUP(A1500,'[11]Linea Madera '!$A$1:$G$445,7,FALSE)</f>
        <v>36.9</v>
      </c>
    </row>
    <row r="1501" spans="1:6" x14ac:dyDescent="0.3">
      <c r="A1501" s="33" t="s">
        <v>1667</v>
      </c>
      <c r="B1501" s="65" t="s">
        <v>3735</v>
      </c>
      <c r="C1501" s="22">
        <f>VLOOKUP(A1501,'[11]Linea Madera '!$A$1:$D$445,4,FALSE)</f>
        <v>26.12</v>
      </c>
      <c r="D1501" s="22">
        <f>VLOOKUP(A1501,'[11]Linea Madera '!$A$1:$E$445,5,FALSE)</f>
        <v>29.52</v>
      </c>
      <c r="E1501" s="22">
        <f>VLOOKUP(A1501,'[11]Linea Madera '!$A$1:$F$445,6,FALSE)</f>
        <v>32.65</v>
      </c>
      <c r="F1501" s="22">
        <f>VLOOKUP(A1501,'[11]Linea Madera '!$A$1:$G$445,7,FALSE)</f>
        <v>36.9</v>
      </c>
    </row>
    <row r="1502" spans="1:6" x14ac:dyDescent="0.3">
      <c r="A1502" s="33" t="s">
        <v>1668</v>
      </c>
      <c r="B1502" s="65" t="s">
        <v>3736</v>
      </c>
      <c r="C1502" s="22">
        <f>VLOOKUP(A1502,'[11]Linea Madera '!$A$1:$D$445,4,FALSE)</f>
        <v>26.12</v>
      </c>
      <c r="D1502" s="22">
        <f>VLOOKUP(A1502,'[11]Linea Madera '!$A$1:$E$445,5,FALSE)</f>
        <v>29.52</v>
      </c>
      <c r="E1502" s="22">
        <f>VLOOKUP(A1502,'[11]Linea Madera '!$A$1:$F$445,6,FALSE)</f>
        <v>32.65</v>
      </c>
      <c r="F1502" s="22">
        <f>VLOOKUP(A1502,'[11]Linea Madera '!$A$1:$G$445,7,FALSE)</f>
        <v>36.9</v>
      </c>
    </row>
    <row r="1503" spans="1:6" x14ac:dyDescent="0.3">
      <c r="A1503" s="33" t="s">
        <v>1669</v>
      </c>
      <c r="B1503" s="65" t="s">
        <v>3737</v>
      </c>
      <c r="C1503" s="22">
        <f>VLOOKUP(A1503,'[11]Linea Madera '!$A$1:$D$445,4,FALSE)</f>
        <v>26.12</v>
      </c>
      <c r="D1503" s="22">
        <f>VLOOKUP(A1503,'[11]Linea Madera '!$A$1:$E$445,5,FALSE)</f>
        <v>29.52</v>
      </c>
      <c r="E1503" s="22">
        <f>VLOOKUP(A1503,'[11]Linea Madera '!$A$1:$F$445,6,FALSE)</f>
        <v>32.65</v>
      </c>
      <c r="F1503" s="22">
        <f>VLOOKUP(A1503,'[11]Linea Madera '!$A$1:$G$445,7,FALSE)</f>
        <v>36.9</v>
      </c>
    </row>
    <row r="1504" spans="1:6" x14ac:dyDescent="0.3">
      <c r="A1504" s="33" t="s">
        <v>1670</v>
      </c>
      <c r="B1504" s="65" t="s">
        <v>3738</v>
      </c>
      <c r="C1504" s="22">
        <f>VLOOKUP(A1504,'[11]Linea Madera '!$A$1:$D$445,4,FALSE)</f>
        <v>26.12</v>
      </c>
      <c r="D1504" s="22">
        <f>VLOOKUP(A1504,'[11]Linea Madera '!$A$1:$E$445,5,FALSE)</f>
        <v>29.52</v>
      </c>
      <c r="E1504" s="22">
        <f>VLOOKUP(A1504,'[11]Linea Madera '!$A$1:$F$445,6,FALSE)</f>
        <v>32.65</v>
      </c>
      <c r="F1504" s="22">
        <f>VLOOKUP(A1504,'[11]Linea Madera '!$A$1:$G$445,7,FALSE)</f>
        <v>36.9</v>
      </c>
    </row>
    <row r="1505" spans="1:6" x14ac:dyDescent="0.3">
      <c r="A1505" s="33" t="s">
        <v>1671</v>
      </c>
      <c r="B1505" s="65" t="s">
        <v>3739</v>
      </c>
      <c r="C1505" s="22">
        <f>VLOOKUP(A1505,'[11]Linea Madera '!$A$1:$D$445,4,FALSE)</f>
        <v>26.12</v>
      </c>
      <c r="D1505" s="22">
        <f>VLOOKUP(A1505,'[11]Linea Madera '!$A$1:$E$445,5,FALSE)</f>
        <v>29.52</v>
      </c>
      <c r="E1505" s="22">
        <f>VLOOKUP(A1505,'[11]Linea Madera '!$A$1:$F$445,6,FALSE)</f>
        <v>32.65</v>
      </c>
      <c r="F1505" s="22">
        <f>VLOOKUP(A1505,'[11]Linea Madera '!$A$1:$G$445,7,FALSE)</f>
        <v>36.9</v>
      </c>
    </row>
    <row r="1506" spans="1:6" x14ac:dyDescent="0.3">
      <c r="A1506" s="33" t="s">
        <v>3157</v>
      </c>
      <c r="B1506" s="65" t="s">
        <v>3740</v>
      </c>
      <c r="C1506" s="22">
        <f>VLOOKUP(A1506,'[11]Linea Madera '!$A$1:$D$445,4,FALSE)</f>
        <v>26.12</v>
      </c>
      <c r="D1506" s="22">
        <f>VLOOKUP(A1506,'[11]Linea Madera '!$A$1:$E$445,5,FALSE)</f>
        <v>29.52</v>
      </c>
      <c r="E1506" s="22">
        <f>VLOOKUP(A1506,'[11]Linea Madera '!$A$1:$F$445,6,FALSE)</f>
        <v>32.65</v>
      </c>
      <c r="F1506" s="22">
        <f>VLOOKUP(A1506,'[11]Linea Madera '!$A$1:$G$445,7,FALSE)</f>
        <v>36.9</v>
      </c>
    </row>
    <row r="1507" spans="1:6" x14ac:dyDescent="0.3">
      <c r="A1507" s="33" t="s">
        <v>3158</v>
      </c>
      <c r="B1507" s="65" t="s">
        <v>3741</v>
      </c>
      <c r="C1507" s="22">
        <f>VLOOKUP(A1507,'[11]Linea Madera '!$A$1:$D$445,4,FALSE)</f>
        <v>26.12</v>
      </c>
      <c r="D1507" s="22">
        <f>VLOOKUP(A1507,'[11]Linea Madera '!$A$1:$E$445,5,FALSE)</f>
        <v>29.52</v>
      </c>
      <c r="E1507" s="22">
        <f>VLOOKUP(A1507,'[11]Linea Madera '!$A$1:$F$445,6,FALSE)</f>
        <v>32.65</v>
      </c>
      <c r="F1507" s="22">
        <f>VLOOKUP(A1507,'[11]Linea Madera '!$A$1:$G$445,7,FALSE)</f>
        <v>36.9</v>
      </c>
    </row>
    <row r="1508" spans="1:6" x14ac:dyDescent="0.3">
      <c r="A1508" s="33" t="s">
        <v>3159</v>
      </c>
      <c r="B1508" s="65" t="s">
        <v>3742</v>
      </c>
      <c r="C1508" s="22">
        <f>VLOOKUP(A1508,'[11]Linea Madera '!$A$1:$D$445,4,FALSE)</f>
        <v>26.12</v>
      </c>
      <c r="D1508" s="22">
        <f>VLOOKUP(A1508,'[11]Linea Madera '!$A$1:$E$445,5,FALSE)</f>
        <v>29.52</v>
      </c>
      <c r="E1508" s="22">
        <f>VLOOKUP(A1508,'[11]Linea Madera '!$A$1:$F$445,6,FALSE)</f>
        <v>32.65</v>
      </c>
      <c r="F1508" s="22">
        <f>VLOOKUP(A1508,'[11]Linea Madera '!$A$1:$G$445,7,FALSE)</f>
        <v>36.9</v>
      </c>
    </row>
    <row r="1509" spans="1:6" x14ac:dyDescent="0.3">
      <c r="A1509" s="33" t="s">
        <v>3160</v>
      </c>
      <c r="B1509" s="65" t="s">
        <v>3743</v>
      </c>
      <c r="C1509" s="22">
        <f>VLOOKUP(A1509,'[11]Linea Madera '!$A$1:$D$445,4,FALSE)</f>
        <v>26.12</v>
      </c>
      <c r="D1509" s="22">
        <f>VLOOKUP(A1509,'[11]Linea Madera '!$A$1:$E$445,5,FALSE)</f>
        <v>29.52</v>
      </c>
      <c r="E1509" s="22">
        <f>VLOOKUP(A1509,'[11]Linea Madera '!$A$1:$F$445,6,FALSE)</f>
        <v>32.65</v>
      </c>
      <c r="F1509" s="22">
        <f>VLOOKUP(A1509,'[11]Linea Madera '!$A$1:$G$445,7,FALSE)</f>
        <v>36.9</v>
      </c>
    </row>
    <row r="1510" spans="1:6" x14ac:dyDescent="0.3">
      <c r="A1510" s="33" t="s">
        <v>3161</v>
      </c>
      <c r="B1510" s="65" t="s">
        <v>3744</v>
      </c>
      <c r="C1510" s="22">
        <f>VLOOKUP(A1510,'[11]Linea Madera '!$A$1:$D$445,4,FALSE)</f>
        <v>26.12</v>
      </c>
      <c r="D1510" s="22">
        <f>VLOOKUP(A1510,'[11]Linea Madera '!$A$1:$E$445,5,FALSE)</f>
        <v>29.52</v>
      </c>
      <c r="E1510" s="22">
        <f>VLOOKUP(A1510,'[11]Linea Madera '!$A$1:$F$445,6,FALSE)</f>
        <v>32.65</v>
      </c>
      <c r="F1510" s="22">
        <f>VLOOKUP(A1510,'[11]Linea Madera '!$A$1:$G$445,7,FALSE)</f>
        <v>36.9</v>
      </c>
    </row>
    <row r="1511" spans="1:6" x14ac:dyDescent="0.3">
      <c r="A1511" s="33" t="s">
        <v>1672</v>
      </c>
      <c r="B1511" s="65" t="s">
        <v>3728</v>
      </c>
      <c r="C1511" s="22">
        <f>VLOOKUP(A1511,'[11]Linea Madera '!$A$1:$D$445,4,FALSE)</f>
        <v>8.42</v>
      </c>
      <c r="D1511" s="22">
        <f>VLOOKUP(A1511,'[11]Linea Madera '!$A$1:$E$445,5,FALSE)</f>
        <v>9.52</v>
      </c>
      <c r="E1511" s="22">
        <f>VLOOKUP(A1511,'[11]Linea Madera '!$A$1:$F$445,6,FALSE)</f>
        <v>10.53</v>
      </c>
      <c r="F1511" s="22">
        <f>VLOOKUP(A1511,'[11]Linea Madera '!$A$1:$G$445,7,FALSE)</f>
        <v>11.9</v>
      </c>
    </row>
    <row r="1512" spans="1:6" x14ac:dyDescent="0.3">
      <c r="A1512" s="33" t="s">
        <v>1673</v>
      </c>
      <c r="B1512" s="65" t="s">
        <v>3729</v>
      </c>
      <c r="C1512" s="22">
        <f>VLOOKUP(A1512,'[11]Linea Madera '!$A$1:$D$445,4,FALSE)</f>
        <v>8.42</v>
      </c>
      <c r="D1512" s="22">
        <f>VLOOKUP(A1512,'[11]Linea Madera '!$A$1:$E$445,5,FALSE)</f>
        <v>9.52</v>
      </c>
      <c r="E1512" s="22">
        <f>VLOOKUP(A1512,'[11]Linea Madera '!$A$1:$F$445,6,FALSE)</f>
        <v>10.53</v>
      </c>
      <c r="F1512" s="22">
        <f>VLOOKUP(A1512,'[11]Linea Madera '!$A$1:$G$445,7,FALSE)</f>
        <v>11.9</v>
      </c>
    </row>
    <row r="1513" spans="1:6" x14ac:dyDescent="0.3">
      <c r="A1513" s="33" t="s">
        <v>1674</v>
      </c>
      <c r="B1513" s="65" t="s">
        <v>3730</v>
      </c>
      <c r="C1513" s="22">
        <f>VLOOKUP(A1513,'[11]Linea Madera '!$A$1:$D$445,4,FALSE)</f>
        <v>8.42</v>
      </c>
      <c r="D1513" s="22">
        <f>VLOOKUP(A1513,'[11]Linea Madera '!$A$1:$E$445,5,FALSE)</f>
        <v>9.52</v>
      </c>
      <c r="E1513" s="22">
        <f>VLOOKUP(A1513,'[11]Linea Madera '!$A$1:$F$445,6,FALSE)</f>
        <v>10.53</v>
      </c>
      <c r="F1513" s="22">
        <f>VLOOKUP(A1513,'[11]Linea Madera '!$A$1:$G$445,7,FALSE)</f>
        <v>11.9</v>
      </c>
    </row>
    <row r="1514" spans="1:6" x14ac:dyDescent="0.3">
      <c r="A1514" s="33" t="s">
        <v>1675</v>
      </c>
      <c r="B1514" s="65" t="s">
        <v>3745</v>
      </c>
      <c r="C1514" s="22">
        <f>VLOOKUP(A1514,'[11]Linea Madera '!$A$1:$D$445,4,FALSE)</f>
        <v>8.42</v>
      </c>
      <c r="D1514" s="22">
        <f>VLOOKUP(A1514,'[11]Linea Madera '!$A$1:$E$445,5,FALSE)</f>
        <v>9.52</v>
      </c>
      <c r="E1514" s="22">
        <f>VLOOKUP(A1514,'[11]Linea Madera '!$A$1:$F$445,6,FALSE)</f>
        <v>10.53</v>
      </c>
      <c r="F1514" s="22">
        <f>VLOOKUP(A1514,'[11]Linea Madera '!$A$1:$G$445,7,FALSE)</f>
        <v>11.9</v>
      </c>
    </row>
    <row r="1515" spans="1:6" x14ac:dyDescent="0.3">
      <c r="A1515" s="33" t="s">
        <v>1676</v>
      </c>
      <c r="B1515" s="65" t="s">
        <v>3732</v>
      </c>
      <c r="C1515" s="22">
        <f>VLOOKUP(A1515,'[11]Linea Madera '!$A$1:$D$445,4,FALSE)</f>
        <v>8.42</v>
      </c>
      <c r="D1515" s="22">
        <f>VLOOKUP(A1515,'[11]Linea Madera '!$A$1:$E$445,5,FALSE)</f>
        <v>9.52</v>
      </c>
      <c r="E1515" s="22">
        <f>VLOOKUP(A1515,'[11]Linea Madera '!$A$1:$F$445,6,FALSE)</f>
        <v>10.53</v>
      </c>
      <c r="F1515" s="22">
        <f>VLOOKUP(A1515,'[11]Linea Madera '!$A$1:$G$445,7,FALSE)</f>
        <v>11.9</v>
      </c>
    </row>
    <row r="1516" spans="1:6" x14ac:dyDescent="0.3">
      <c r="A1516" s="33" t="s">
        <v>1677</v>
      </c>
      <c r="B1516" s="65" t="s">
        <v>3733</v>
      </c>
      <c r="C1516" s="22">
        <f>VLOOKUP(A1516,'[11]Linea Madera '!$A$1:$D$445,4,FALSE)</f>
        <v>8.42</v>
      </c>
      <c r="D1516" s="22">
        <f>VLOOKUP(A1516,'[11]Linea Madera '!$A$1:$E$445,5,FALSE)</f>
        <v>9.52</v>
      </c>
      <c r="E1516" s="22">
        <f>VLOOKUP(A1516,'[11]Linea Madera '!$A$1:$F$445,6,FALSE)</f>
        <v>10.53</v>
      </c>
      <c r="F1516" s="22">
        <f>VLOOKUP(A1516,'[11]Linea Madera '!$A$1:$G$445,7,FALSE)</f>
        <v>11.9</v>
      </c>
    </row>
    <row r="1517" spans="1:6" x14ac:dyDescent="0.3">
      <c r="A1517" s="33" t="s">
        <v>1678</v>
      </c>
      <c r="B1517" s="65" t="s">
        <v>3734</v>
      </c>
      <c r="C1517" s="22">
        <f>VLOOKUP(A1517,'[11]Linea Madera '!$A$1:$D$445,4,FALSE)</f>
        <v>8.42</v>
      </c>
      <c r="D1517" s="22">
        <f>VLOOKUP(A1517,'[11]Linea Madera '!$A$1:$E$445,5,FALSE)</f>
        <v>9.52</v>
      </c>
      <c r="E1517" s="22">
        <f>VLOOKUP(A1517,'[11]Linea Madera '!$A$1:$F$445,6,FALSE)</f>
        <v>10.53</v>
      </c>
      <c r="F1517" s="22">
        <f>VLOOKUP(A1517,'[11]Linea Madera '!$A$1:$G$445,7,FALSE)</f>
        <v>11.9</v>
      </c>
    </row>
    <row r="1518" spans="1:6" x14ac:dyDescent="0.3">
      <c r="A1518" s="33" t="s">
        <v>1679</v>
      </c>
      <c r="B1518" s="65" t="s">
        <v>3735</v>
      </c>
      <c r="C1518" s="22">
        <f>VLOOKUP(A1518,'[11]Linea Madera '!$A$1:$D$445,4,FALSE)</f>
        <v>8.42</v>
      </c>
      <c r="D1518" s="22">
        <f>VLOOKUP(A1518,'[11]Linea Madera '!$A$1:$E$445,5,FALSE)</f>
        <v>9.52</v>
      </c>
      <c r="E1518" s="22">
        <f>VLOOKUP(A1518,'[11]Linea Madera '!$A$1:$F$445,6,FALSE)</f>
        <v>10.53</v>
      </c>
      <c r="F1518" s="22">
        <f>VLOOKUP(A1518,'[11]Linea Madera '!$A$1:$G$445,7,FALSE)</f>
        <v>11.9</v>
      </c>
    </row>
    <row r="1519" spans="1:6" x14ac:dyDescent="0.3">
      <c r="A1519" s="33" t="s">
        <v>1680</v>
      </c>
      <c r="B1519" s="65" t="s">
        <v>3736</v>
      </c>
      <c r="C1519" s="22">
        <f>VLOOKUP(A1519,'[11]Linea Madera '!$A$1:$D$445,4,FALSE)</f>
        <v>8.42</v>
      </c>
      <c r="D1519" s="22">
        <f>VLOOKUP(A1519,'[11]Linea Madera '!$A$1:$E$445,5,FALSE)</f>
        <v>9.52</v>
      </c>
      <c r="E1519" s="22">
        <f>VLOOKUP(A1519,'[11]Linea Madera '!$A$1:$F$445,6,FALSE)</f>
        <v>10.53</v>
      </c>
      <c r="F1519" s="22">
        <f>VLOOKUP(A1519,'[11]Linea Madera '!$A$1:$G$445,7,FALSE)</f>
        <v>11.9</v>
      </c>
    </row>
    <row r="1520" spans="1:6" x14ac:dyDescent="0.3">
      <c r="A1520" s="33" t="s">
        <v>1681</v>
      </c>
      <c r="B1520" s="65" t="s">
        <v>3737</v>
      </c>
      <c r="C1520" s="22">
        <f>VLOOKUP(A1520,'[11]Linea Madera '!$A$1:$D$445,4,FALSE)</f>
        <v>8.42</v>
      </c>
      <c r="D1520" s="22">
        <f>VLOOKUP(A1520,'[11]Linea Madera '!$A$1:$E$445,5,FALSE)</f>
        <v>9.52</v>
      </c>
      <c r="E1520" s="22">
        <f>VLOOKUP(A1520,'[11]Linea Madera '!$A$1:$F$445,6,FALSE)</f>
        <v>10.53</v>
      </c>
      <c r="F1520" s="22">
        <f>VLOOKUP(A1520,'[11]Linea Madera '!$A$1:$G$445,7,FALSE)</f>
        <v>11.9</v>
      </c>
    </row>
    <row r="1521" spans="1:6" x14ac:dyDescent="0.3">
      <c r="A1521" s="33" t="s">
        <v>1682</v>
      </c>
      <c r="B1521" s="65" t="s">
        <v>1683</v>
      </c>
      <c r="C1521" s="22">
        <f>VLOOKUP(A1521,'[11]Linea Madera '!$A$1:$D$445,4,FALSE)</f>
        <v>8.42</v>
      </c>
      <c r="D1521" s="22">
        <f>VLOOKUP(A1521,'[11]Linea Madera '!$A$1:$E$445,5,FALSE)</f>
        <v>9.52</v>
      </c>
      <c r="E1521" s="22">
        <f>VLOOKUP(A1521,'[11]Linea Madera '!$A$1:$F$445,6,FALSE)</f>
        <v>10.53</v>
      </c>
      <c r="F1521" s="22">
        <f>VLOOKUP(A1521,'[11]Linea Madera '!$A$1:$G$445,7,FALSE)</f>
        <v>11.9</v>
      </c>
    </row>
    <row r="1522" spans="1:6" x14ac:dyDescent="0.3">
      <c r="A1522" s="33" t="s">
        <v>1684</v>
      </c>
      <c r="B1522" s="65" t="s">
        <v>1685</v>
      </c>
      <c r="C1522" s="22">
        <f>VLOOKUP(A1522,'[11]Linea Madera '!$A$1:$D$445,4,FALSE)</f>
        <v>8.42</v>
      </c>
      <c r="D1522" s="22">
        <f>VLOOKUP(A1522,'[11]Linea Madera '!$A$1:$E$445,5,FALSE)</f>
        <v>9.52</v>
      </c>
      <c r="E1522" s="22">
        <f>VLOOKUP(A1522,'[11]Linea Madera '!$A$1:$F$445,6,FALSE)</f>
        <v>10.53</v>
      </c>
      <c r="F1522" s="22">
        <f>VLOOKUP(A1522,'[11]Linea Madera '!$A$1:$G$445,7,FALSE)</f>
        <v>11.9</v>
      </c>
    </row>
    <row r="1523" spans="1:6" x14ac:dyDescent="0.3">
      <c r="A1523" s="33" t="s">
        <v>3162</v>
      </c>
      <c r="B1523" s="65" t="s">
        <v>3746</v>
      </c>
      <c r="C1523" s="22">
        <f>VLOOKUP(A1523,'[11]Linea Madera '!$A$1:$D$445,4,FALSE)</f>
        <v>8.42</v>
      </c>
      <c r="D1523" s="22">
        <f>VLOOKUP(A1523,'[11]Linea Madera '!$A$1:$E$445,5,FALSE)</f>
        <v>9.52</v>
      </c>
      <c r="E1523" s="22">
        <f>VLOOKUP(A1523,'[11]Linea Madera '!$A$1:$F$445,6,FALSE)</f>
        <v>10.53</v>
      </c>
      <c r="F1523" s="22">
        <f>VLOOKUP(A1523,'[11]Linea Madera '!$A$1:$G$445,7,FALSE)</f>
        <v>11.9</v>
      </c>
    </row>
    <row r="1524" spans="1:6" x14ac:dyDescent="0.3">
      <c r="A1524" s="33" t="s">
        <v>3163</v>
      </c>
      <c r="B1524" s="65" t="s">
        <v>3747</v>
      </c>
      <c r="C1524" s="22">
        <f>VLOOKUP(A1524,'[11]Linea Madera '!$A$1:$D$445,4,FALSE)</f>
        <v>8.42</v>
      </c>
      <c r="D1524" s="22">
        <f>VLOOKUP(A1524,'[11]Linea Madera '!$A$1:$E$445,5,FALSE)</f>
        <v>9.52</v>
      </c>
      <c r="E1524" s="22">
        <f>VLOOKUP(A1524,'[11]Linea Madera '!$A$1:$F$445,6,FALSE)</f>
        <v>10.53</v>
      </c>
      <c r="F1524" s="22">
        <f>VLOOKUP(A1524,'[11]Linea Madera '!$A$1:$G$445,7,FALSE)</f>
        <v>11.9</v>
      </c>
    </row>
    <row r="1525" spans="1:6" x14ac:dyDescent="0.3">
      <c r="A1525" s="33" t="s">
        <v>3164</v>
      </c>
      <c r="B1525" s="65" t="s">
        <v>3738</v>
      </c>
      <c r="C1525" s="22">
        <f>VLOOKUP(A1525,'[11]Linea Madera '!$A$1:$D$445,4,FALSE)</f>
        <v>8.42</v>
      </c>
      <c r="D1525" s="22">
        <f>VLOOKUP(A1525,'[11]Linea Madera '!$A$1:$E$445,5,FALSE)</f>
        <v>9.52</v>
      </c>
      <c r="E1525" s="22">
        <f>VLOOKUP(A1525,'[11]Linea Madera '!$A$1:$F$445,6,FALSE)</f>
        <v>10.53</v>
      </c>
      <c r="F1525" s="22">
        <f>VLOOKUP(A1525,'[11]Linea Madera '!$A$1:$G$445,7,FALSE)</f>
        <v>11.9</v>
      </c>
    </row>
    <row r="1526" spans="1:6" x14ac:dyDescent="0.3">
      <c r="A1526" s="33" t="s">
        <v>3165</v>
      </c>
      <c r="B1526" s="65" t="s">
        <v>3739</v>
      </c>
      <c r="C1526" s="22">
        <f>VLOOKUP(A1526,'[11]Linea Madera '!$A$1:$D$445,4,FALSE)</f>
        <v>8.42</v>
      </c>
      <c r="D1526" s="22">
        <f>VLOOKUP(A1526,'[11]Linea Madera '!$A$1:$E$445,5,FALSE)</f>
        <v>9.52</v>
      </c>
      <c r="E1526" s="22">
        <f>VLOOKUP(A1526,'[11]Linea Madera '!$A$1:$F$445,6,FALSE)</f>
        <v>10.53</v>
      </c>
      <c r="F1526" s="22">
        <f>VLOOKUP(A1526,'[11]Linea Madera '!$A$1:$G$445,7,FALSE)</f>
        <v>11.9</v>
      </c>
    </row>
    <row r="1527" spans="1:6" x14ac:dyDescent="0.3">
      <c r="A1527" s="31" t="s">
        <v>1686</v>
      </c>
      <c r="B1527" s="65" t="s">
        <v>3748</v>
      </c>
      <c r="C1527" s="22">
        <f>VLOOKUP(A1527,'[11]Linea Madera '!$A$1:$D$445,4,FALSE)</f>
        <v>27.83</v>
      </c>
      <c r="D1527" s="22">
        <f>VLOOKUP(A1527,'[11]Linea Madera '!$A$1:$E$445,5,FALSE)</f>
        <v>31.45</v>
      </c>
      <c r="E1527" s="22">
        <f>VLOOKUP(A1527,'[11]Linea Madera '!$A$1:$F$445,6,FALSE)</f>
        <v>37.61</v>
      </c>
      <c r="F1527" s="22">
        <f>VLOOKUP(A1527,'[11]Linea Madera '!$A$1:$G$445,7,FALSE)</f>
        <v>42.5</v>
      </c>
    </row>
    <row r="1528" spans="1:6" x14ac:dyDescent="0.3">
      <c r="A1528" s="31" t="s">
        <v>1687</v>
      </c>
      <c r="B1528" s="65" t="s">
        <v>3749</v>
      </c>
      <c r="C1528" s="22">
        <f>VLOOKUP(A1528,'[11]Linea Madera '!$A$1:$D$445,4,FALSE)</f>
        <v>27.83</v>
      </c>
      <c r="D1528" s="22">
        <f>VLOOKUP(A1528,'[11]Linea Madera '!$A$1:$E$445,5,FALSE)</f>
        <v>31.45</v>
      </c>
      <c r="E1528" s="22">
        <f>VLOOKUP(A1528,'[11]Linea Madera '!$A$1:$F$445,6,FALSE)</f>
        <v>37.61</v>
      </c>
      <c r="F1528" s="22">
        <f>VLOOKUP(A1528,'[11]Linea Madera '!$A$1:$G$445,7,FALSE)</f>
        <v>42.5</v>
      </c>
    </row>
    <row r="1529" spans="1:6" x14ac:dyDescent="0.3">
      <c r="A1529" s="31" t="s">
        <v>1688</v>
      </c>
      <c r="B1529" s="65" t="s">
        <v>3748</v>
      </c>
      <c r="C1529" s="22">
        <f>VLOOKUP(A1529,'[11]Linea Madera '!$A$1:$D$445,4,FALSE)</f>
        <v>8.19</v>
      </c>
      <c r="D1529" s="22">
        <f>VLOOKUP(A1529,'[11]Linea Madera '!$A$1:$E$445,5,FALSE)</f>
        <v>9.25</v>
      </c>
      <c r="E1529" s="22">
        <f>VLOOKUP(A1529,'[11]Linea Madera '!$A$1:$F$445,6,FALSE)</f>
        <v>11.06</v>
      </c>
      <c r="F1529" s="22">
        <f>VLOOKUP(A1529,'[11]Linea Madera '!$A$1:$G$445,7,FALSE)</f>
        <v>12.5</v>
      </c>
    </row>
    <row r="1530" spans="1:6" x14ac:dyDescent="0.3">
      <c r="A1530" s="31" t="s">
        <v>1689</v>
      </c>
      <c r="B1530" s="65" t="s">
        <v>3749</v>
      </c>
      <c r="C1530" s="22">
        <f>VLOOKUP(A1530,'[11]Linea Madera '!$A$1:$D$445,4,FALSE)</f>
        <v>8.19</v>
      </c>
      <c r="D1530" s="22">
        <f>VLOOKUP(A1530,'[11]Linea Madera '!$A$1:$E$445,5,FALSE)</f>
        <v>9.25</v>
      </c>
      <c r="E1530" s="22">
        <f>VLOOKUP(A1530,'[11]Linea Madera '!$A$1:$F$445,6,FALSE)</f>
        <v>11.06</v>
      </c>
      <c r="F1530" s="22">
        <f>VLOOKUP(A1530,'[11]Linea Madera '!$A$1:$G$445,7,FALSE)</f>
        <v>12.5</v>
      </c>
    </row>
    <row r="1531" spans="1:6" x14ac:dyDescent="0.3">
      <c r="A1531" s="31" t="s">
        <v>1690</v>
      </c>
      <c r="B1531" s="65" t="s">
        <v>1691</v>
      </c>
      <c r="C1531" s="22">
        <f>VLOOKUP(A1531,'[11]Linea Madera '!$A$1:$D$445,4,FALSE)</f>
        <v>7.72</v>
      </c>
      <c r="D1531" s="22">
        <f>VLOOKUP(A1531,'[11]Linea Madera '!$A$1:$E$445,5,FALSE)</f>
        <v>8.7200000000000006</v>
      </c>
      <c r="E1531" s="22">
        <f>VLOOKUP(A1531,'[11]Linea Madera '!$A$1:$F$445,6,FALSE)</f>
        <v>9.65</v>
      </c>
      <c r="F1531" s="22">
        <f>VLOOKUP(A1531,'[11]Linea Madera '!$A$1:$G$445,7,FALSE)</f>
        <v>10.9</v>
      </c>
    </row>
    <row r="1532" spans="1:6" x14ac:dyDescent="0.3">
      <c r="A1532" s="31" t="s">
        <v>1692</v>
      </c>
      <c r="B1532" s="65" t="s">
        <v>1693</v>
      </c>
      <c r="C1532" s="22">
        <f>VLOOKUP(A1532,'[11]Linea Madera '!$A$1:$D$445,4,FALSE)</f>
        <v>7.72</v>
      </c>
      <c r="D1532" s="22">
        <f>VLOOKUP(A1532,'[11]Linea Madera '!$A$1:$E$445,5,FALSE)</f>
        <v>8.7200000000000006</v>
      </c>
      <c r="E1532" s="22">
        <f>VLOOKUP(A1532,'[11]Linea Madera '!$A$1:$F$445,6,FALSE)</f>
        <v>9.65</v>
      </c>
      <c r="F1532" s="22">
        <f>VLOOKUP(A1532,'[11]Linea Madera '!$A$1:$G$445,7,FALSE)</f>
        <v>10.9</v>
      </c>
    </row>
    <row r="1533" spans="1:6" x14ac:dyDescent="0.3">
      <c r="A1533" s="31" t="s">
        <v>3166</v>
      </c>
      <c r="B1533" s="65" t="s">
        <v>3750</v>
      </c>
      <c r="C1533" s="22">
        <f>VLOOKUP(A1533,'[11]Linea Madera '!$A$1:$D$445,4,FALSE)</f>
        <v>7.72</v>
      </c>
      <c r="D1533" s="22">
        <f>VLOOKUP(A1533,'[11]Linea Madera '!$A$1:$E$445,5,FALSE)</f>
        <v>8.7200000000000006</v>
      </c>
      <c r="E1533" s="22">
        <f>VLOOKUP(A1533,'[11]Linea Madera '!$A$1:$F$445,6,FALSE)</f>
        <v>9.65</v>
      </c>
      <c r="F1533" s="22">
        <f>VLOOKUP(A1533,'[11]Linea Madera '!$A$1:$G$445,7,FALSE)</f>
        <v>10.9</v>
      </c>
    </row>
    <row r="1534" spans="1:6" x14ac:dyDescent="0.3">
      <c r="A1534" s="31" t="s">
        <v>1694</v>
      </c>
      <c r="B1534" s="65" t="s">
        <v>1691</v>
      </c>
      <c r="C1534" s="22">
        <f>VLOOKUP(A1534,'[11]Linea Madera '!$A$1:$D$445,4,FALSE)</f>
        <v>27.26</v>
      </c>
      <c r="D1534" s="22">
        <f>VLOOKUP(A1534,'[11]Linea Madera '!$A$1:$E$445,5,FALSE)</f>
        <v>30.8</v>
      </c>
      <c r="E1534" s="22">
        <f>VLOOKUP(A1534,'[11]Linea Madera '!$A$1:$F$445,6,FALSE)</f>
        <v>34.07</v>
      </c>
      <c r="F1534" s="22">
        <f>VLOOKUP(A1534,'[11]Linea Madera '!$A$1:$G$445,7,FALSE)</f>
        <v>38.5</v>
      </c>
    </row>
    <row r="1535" spans="1:6" x14ac:dyDescent="0.3">
      <c r="A1535" s="31" t="s">
        <v>1695</v>
      </c>
      <c r="B1535" s="65" t="s">
        <v>1693</v>
      </c>
      <c r="C1535" s="22">
        <f>VLOOKUP(A1535,'[11]Linea Madera '!$A$1:$D$445,4,FALSE)</f>
        <v>27.26</v>
      </c>
      <c r="D1535" s="22">
        <f>VLOOKUP(A1535,'[11]Linea Madera '!$A$1:$E$445,5,FALSE)</f>
        <v>30.8</v>
      </c>
      <c r="E1535" s="22">
        <f>VLOOKUP(A1535,'[11]Linea Madera '!$A$1:$F$445,6,FALSE)</f>
        <v>34.07</v>
      </c>
      <c r="F1535" s="22">
        <f>VLOOKUP(A1535,'[11]Linea Madera '!$A$1:$G$445,7,FALSE)</f>
        <v>38.5</v>
      </c>
    </row>
    <row r="1536" spans="1:6" x14ac:dyDescent="0.3">
      <c r="A1536" s="31" t="s">
        <v>3167</v>
      </c>
      <c r="B1536" s="65" t="s">
        <v>3750</v>
      </c>
      <c r="C1536" s="22">
        <f>VLOOKUP(A1536,'[11]Linea Madera '!$A$1:$D$445,4,FALSE)</f>
        <v>27.26</v>
      </c>
      <c r="D1536" s="22">
        <f>VLOOKUP(A1536,'[11]Linea Madera '!$A$1:$E$445,5,FALSE)</f>
        <v>30.8</v>
      </c>
      <c r="E1536" s="22">
        <f>VLOOKUP(A1536,'[11]Linea Madera '!$A$1:$F$445,6,FALSE)</f>
        <v>34.07</v>
      </c>
      <c r="F1536" s="22">
        <f>VLOOKUP(A1536,'[11]Linea Madera '!$A$1:$G$445,7,FALSE)</f>
        <v>38.5</v>
      </c>
    </row>
    <row r="1537" spans="1:6" x14ac:dyDescent="0.3">
      <c r="A1537" s="31" t="s">
        <v>3168</v>
      </c>
      <c r="B1537" s="65" t="s">
        <v>3751</v>
      </c>
      <c r="C1537" s="22">
        <f>VLOOKUP(A1537,'[11]Linea Madera '!$A$1:$D$445,4,FALSE)</f>
        <v>27.26</v>
      </c>
      <c r="D1537" s="22">
        <f>VLOOKUP(A1537,'[11]Linea Madera '!$A$1:$E$445,5,FALSE)</f>
        <v>30.8</v>
      </c>
      <c r="E1537" s="22">
        <f>VLOOKUP(A1537,'[11]Linea Madera '!$A$1:$F$445,6,FALSE)</f>
        <v>34.07</v>
      </c>
      <c r="F1537" s="22">
        <f>VLOOKUP(A1537,'[11]Linea Madera '!$A$1:$G$445,7,FALSE)</f>
        <v>38.5</v>
      </c>
    </row>
    <row r="1538" spans="1:6" x14ac:dyDescent="0.3">
      <c r="A1538" s="31" t="s">
        <v>1696</v>
      </c>
      <c r="B1538" s="65" t="s">
        <v>3752</v>
      </c>
      <c r="C1538" s="22">
        <f>VLOOKUP(A1538,'[11]Linea Madera '!$A$1:$D$445,4,FALSE)</f>
        <v>15.23</v>
      </c>
      <c r="D1538" s="22">
        <f>VLOOKUP(A1538,'[11]Linea Madera '!$A$1:$E$445,5,FALSE)</f>
        <v>17.21</v>
      </c>
      <c r="E1538" s="22">
        <f>VLOOKUP(A1538,'[11]Linea Madera '!$A$1:$F$445,6,FALSE)</f>
        <v>21.15</v>
      </c>
      <c r="F1538" s="22">
        <f>VLOOKUP(A1538,'[11]Linea Madera '!$A$1:$G$445,7,FALSE)</f>
        <v>23.9</v>
      </c>
    </row>
    <row r="1539" spans="1:6" x14ac:dyDescent="0.3">
      <c r="A1539" s="31" t="s">
        <v>1697</v>
      </c>
      <c r="B1539" s="65" t="s">
        <v>3753</v>
      </c>
      <c r="C1539" s="22">
        <f>VLOOKUP(A1539,'[11]Linea Madera '!$A$1:$D$445,4,FALSE)</f>
        <v>15.23</v>
      </c>
      <c r="D1539" s="22">
        <f>VLOOKUP(A1539,'[11]Linea Madera '!$A$1:$E$445,5,FALSE)</f>
        <v>17.21</v>
      </c>
      <c r="E1539" s="22">
        <f>VLOOKUP(A1539,'[11]Linea Madera '!$A$1:$F$445,6,FALSE)</f>
        <v>21.15</v>
      </c>
      <c r="F1539" s="22">
        <f>VLOOKUP(A1539,'[11]Linea Madera '!$A$1:$G$445,7,FALSE)</f>
        <v>23.9</v>
      </c>
    </row>
    <row r="1540" spans="1:6" x14ac:dyDescent="0.3">
      <c r="A1540" s="31" t="s">
        <v>1698</v>
      </c>
      <c r="B1540" s="65" t="s">
        <v>3754</v>
      </c>
      <c r="C1540" s="22">
        <f>VLOOKUP(A1540,'[11]Linea Madera '!$A$1:$D$445,4,FALSE)</f>
        <v>5.83</v>
      </c>
      <c r="D1540" s="22">
        <f>VLOOKUP(A1540,'[11]Linea Madera '!$A$1:$E$445,5,FALSE)</f>
        <v>6.59</v>
      </c>
      <c r="E1540" s="22">
        <f>VLOOKUP(A1540,'[11]Linea Madera '!$A$1:$F$445,6,FALSE)</f>
        <v>7.88</v>
      </c>
      <c r="F1540" s="22">
        <f>VLOOKUP(A1540,'[11]Linea Madera '!$A$1:$G$445,7,FALSE)</f>
        <v>8.9</v>
      </c>
    </row>
    <row r="1541" spans="1:6" x14ac:dyDescent="0.3">
      <c r="A1541" s="31" t="s">
        <v>1699</v>
      </c>
      <c r="B1541" s="65" t="s">
        <v>3755</v>
      </c>
      <c r="C1541" s="22">
        <f>VLOOKUP(A1541,'[11]Linea Madera '!$A$1:$D$445,4,FALSE)</f>
        <v>5.83</v>
      </c>
      <c r="D1541" s="22">
        <f>VLOOKUP(A1541,'[11]Linea Madera '!$A$1:$E$445,5,FALSE)</f>
        <v>6.59</v>
      </c>
      <c r="E1541" s="22">
        <f>VLOOKUP(A1541,'[11]Linea Madera '!$A$1:$F$445,6,FALSE)</f>
        <v>7.88</v>
      </c>
      <c r="F1541" s="22">
        <f>VLOOKUP(A1541,'[11]Linea Madera '!$A$1:$G$445,7,FALSE)</f>
        <v>8.9</v>
      </c>
    </row>
    <row r="1542" spans="1:6" x14ac:dyDescent="0.3">
      <c r="A1542" s="33" t="s">
        <v>1700</v>
      </c>
      <c r="B1542" s="65" t="s">
        <v>3756</v>
      </c>
      <c r="C1542" s="22">
        <f>VLOOKUP(A1542,'[11]Linea Madera '!$A$1:$D$445,4,FALSE)</f>
        <v>5.83</v>
      </c>
      <c r="D1542" s="22">
        <f>VLOOKUP(A1542,'[11]Linea Madera '!$A$1:$E$445,5,FALSE)</f>
        <v>6.59</v>
      </c>
      <c r="E1542" s="22">
        <f>VLOOKUP(A1542,'[11]Linea Madera '!$A$1:$F$445,6,FALSE)</f>
        <v>7.88</v>
      </c>
      <c r="F1542" s="22">
        <f>VLOOKUP(A1542,'[11]Linea Madera '!$A$1:$G$445,7,FALSE)</f>
        <v>8.9</v>
      </c>
    </row>
    <row r="1543" spans="1:6" x14ac:dyDescent="0.3">
      <c r="A1543" s="31" t="s">
        <v>1701</v>
      </c>
      <c r="B1543" s="65" t="s">
        <v>3754</v>
      </c>
      <c r="C1543" s="22">
        <f>VLOOKUP(A1543,'[11]Linea Madera '!$A$1:$D$445,4,FALSE)</f>
        <v>18.66</v>
      </c>
      <c r="D1543" s="22">
        <f>VLOOKUP(A1543,'[11]Linea Madera '!$A$1:$E$445,5,FALSE)</f>
        <v>21.09</v>
      </c>
      <c r="E1543" s="22">
        <f>VLOOKUP(A1543,'[11]Linea Madera '!$A$1:$F$445,6,FALSE)</f>
        <v>25.22</v>
      </c>
      <c r="F1543" s="22">
        <f>VLOOKUP(A1543,'[11]Linea Madera '!$A$1:$G$445,7,FALSE)</f>
        <v>28.5</v>
      </c>
    </row>
    <row r="1544" spans="1:6" x14ac:dyDescent="0.3">
      <c r="A1544" s="31" t="s">
        <v>1702</v>
      </c>
      <c r="B1544" s="65" t="s">
        <v>3755</v>
      </c>
      <c r="C1544" s="22">
        <f>VLOOKUP(A1544,'[11]Linea Madera '!$A$1:$D$445,4,FALSE)</f>
        <v>18.66</v>
      </c>
      <c r="D1544" s="22">
        <f>VLOOKUP(A1544,'[11]Linea Madera '!$A$1:$E$445,5,FALSE)</f>
        <v>21.09</v>
      </c>
      <c r="E1544" s="22">
        <f>VLOOKUP(A1544,'[11]Linea Madera '!$A$1:$F$445,6,FALSE)</f>
        <v>25.22</v>
      </c>
      <c r="F1544" s="22">
        <f>VLOOKUP(A1544,'[11]Linea Madera '!$A$1:$G$445,7,FALSE)</f>
        <v>28.5</v>
      </c>
    </row>
    <row r="1545" spans="1:6" x14ac:dyDescent="0.3">
      <c r="A1545" s="33" t="s">
        <v>1703</v>
      </c>
      <c r="B1545" s="65" t="s">
        <v>3756</v>
      </c>
      <c r="C1545" s="22">
        <f>VLOOKUP(A1545,'[11]Linea Madera '!$A$1:$D$445,4,FALSE)</f>
        <v>18.66</v>
      </c>
      <c r="D1545" s="22">
        <f>VLOOKUP(A1545,'[11]Linea Madera '!$A$1:$E$445,5,FALSE)</f>
        <v>21.09</v>
      </c>
      <c r="E1545" s="22">
        <f>VLOOKUP(A1545,'[11]Linea Madera '!$A$1:$F$445,6,FALSE)</f>
        <v>25.22</v>
      </c>
      <c r="F1545" s="22">
        <f>VLOOKUP(A1545,'[11]Linea Madera '!$A$1:$G$445,7,FALSE)</f>
        <v>28.5</v>
      </c>
    </row>
    <row r="1546" spans="1:6" x14ac:dyDescent="0.3">
      <c r="A1546" s="33" t="s">
        <v>1704</v>
      </c>
      <c r="B1546" s="65" t="s">
        <v>3757</v>
      </c>
      <c r="C1546" s="22">
        <f>VLOOKUP(A1546,'[11]Linea Madera '!$A$1:$D$445,4,FALSE)</f>
        <v>20.13</v>
      </c>
      <c r="D1546" s="22">
        <f>VLOOKUP(A1546,'[11]Linea Madera '!$A$1:$E$445,5,FALSE)</f>
        <v>22.75</v>
      </c>
      <c r="E1546" s="22">
        <f>VLOOKUP(A1546,'[11]Linea Madera '!$A$1:$F$445,6,FALSE)</f>
        <v>28.76</v>
      </c>
      <c r="F1546" s="22">
        <f>VLOOKUP(A1546,'[11]Linea Madera '!$A$1:$G$445,7,FALSE)</f>
        <v>32.5</v>
      </c>
    </row>
    <row r="1547" spans="1:6" x14ac:dyDescent="0.3">
      <c r="A1547" s="33" t="s">
        <v>1705</v>
      </c>
      <c r="B1547" s="65" t="s">
        <v>3757</v>
      </c>
      <c r="C1547" s="22">
        <f>VLOOKUP(A1547,'[11]Linea Madera '!$A$1:$D$445,4,FALSE)</f>
        <v>6.19</v>
      </c>
      <c r="D1547" s="22">
        <f>VLOOKUP(A1547,'[11]Linea Madera '!$A$1:$E$445,5,FALSE)</f>
        <v>7</v>
      </c>
      <c r="E1547" s="22">
        <f>VLOOKUP(A1547,'[11]Linea Madera '!$A$1:$F$445,6,FALSE)</f>
        <v>8.85</v>
      </c>
      <c r="F1547" s="22">
        <f>VLOOKUP(A1547,'[11]Linea Madera '!$A$1:$G$445,7,FALSE)</f>
        <v>10</v>
      </c>
    </row>
    <row r="1548" spans="1:6" x14ac:dyDescent="0.3">
      <c r="A1548" s="31" t="s">
        <v>1706</v>
      </c>
      <c r="B1548" s="65" t="s">
        <v>3758</v>
      </c>
      <c r="C1548" s="22">
        <f>VLOOKUP(A1548,'[11]Linea Madera '!$A$1:$D$445,4,FALSE)</f>
        <v>8.2100000000000009</v>
      </c>
      <c r="D1548" s="22">
        <f>VLOOKUP(A1548,'[11]Linea Madera '!$A$1:$E$445,5,FALSE)</f>
        <v>9.2799999999999994</v>
      </c>
      <c r="E1548" s="22">
        <f>VLOOKUP(A1548,'[11]Linea Madera '!$A$1:$F$445,6,FALSE)</f>
        <v>10.53</v>
      </c>
      <c r="F1548" s="22">
        <f>VLOOKUP(A1548,'[11]Linea Madera '!$A$1:$G$445,7,FALSE)</f>
        <v>11.9</v>
      </c>
    </row>
    <row r="1549" spans="1:6" x14ac:dyDescent="0.3">
      <c r="A1549" s="31" t="s">
        <v>1707</v>
      </c>
      <c r="B1549" s="65" t="s">
        <v>3758</v>
      </c>
      <c r="C1549" s="22">
        <f>VLOOKUP(A1549,'[11]Linea Madera '!$A$1:$D$445,4,FALSE)</f>
        <v>27.54</v>
      </c>
      <c r="D1549" s="22">
        <f>VLOOKUP(A1549,'[11]Linea Madera '!$A$1:$E$445,5,FALSE)</f>
        <v>31.12</v>
      </c>
      <c r="E1549" s="22">
        <f>VLOOKUP(A1549,'[11]Linea Madera '!$A$1:$F$445,6,FALSE)</f>
        <v>35.31</v>
      </c>
      <c r="F1549" s="22">
        <f>VLOOKUP(A1549,'[11]Linea Madera '!$A$1:$G$445,7,FALSE)</f>
        <v>39.9</v>
      </c>
    </row>
    <row r="1550" spans="1:6" x14ac:dyDescent="0.3">
      <c r="A1550" s="33" t="s">
        <v>1708</v>
      </c>
      <c r="B1550" s="65" t="s">
        <v>3759</v>
      </c>
      <c r="C1550" s="22">
        <f>VLOOKUP(A1550,'[11]Linea Madera '!$A$1:$D$445,4,FALSE)</f>
        <v>7.58</v>
      </c>
      <c r="D1550" s="22">
        <f>VLOOKUP(A1550,'[11]Linea Madera '!$A$1:$E$445,5,FALSE)</f>
        <v>8.57</v>
      </c>
      <c r="E1550" s="22">
        <f>VLOOKUP(A1550,'[11]Linea Madera '!$A$1:$F$445,6,FALSE)</f>
        <v>10.53</v>
      </c>
      <c r="F1550" s="22">
        <f>VLOOKUP(A1550,'[11]Linea Madera '!$A$1:$G$445,7,FALSE)</f>
        <v>11.9</v>
      </c>
    </row>
    <row r="1551" spans="1:6" x14ac:dyDescent="0.3">
      <c r="A1551" s="33" t="s">
        <v>1709</v>
      </c>
      <c r="B1551" s="65" t="s">
        <v>3759</v>
      </c>
      <c r="C1551" s="22">
        <f>VLOOKUP(A1551,'[11]Linea Madera '!$A$1:$D$445,4,FALSE)</f>
        <v>26.7</v>
      </c>
      <c r="D1551" s="22">
        <f>VLOOKUP(A1551,'[11]Linea Madera '!$A$1:$E$445,5,FALSE)</f>
        <v>30.17</v>
      </c>
      <c r="E1551" s="22">
        <f>VLOOKUP(A1551,'[11]Linea Madera '!$A$1:$F$445,6,FALSE)</f>
        <v>37.08</v>
      </c>
      <c r="F1551" s="22">
        <f>VLOOKUP(A1551,'[11]Linea Madera '!$A$1:$G$445,7,FALSE)</f>
        <v>41.9</v>
      </c>
    </row>
    <row r="1552" spans="1:6" x14ac:dyDescent="0.3">
      <c r="A1552" s="33" t="s">
        <v>1710</v>
      </c>
      <c r="B1552" s="65" t="s">
        <v>3760</v>
      </c>
      <c r="C1552" s="22">
        <f>VLOOKUP(A1552,'[11]Linea Madera '!$A$1:$D$445,4,FALSE)</f>
        <v>26.7</v>
      </c>
      <c r="D1552" s="22">
        <f>VLOOKUP(A1552,'[11]Linea Madera '!$A$1:$E$445,5,FALSE)</f>
        <v>30.17</v>
      </c>
      <c r="E1552" s="22">
        <f>VLOOKUP(A1552,'[11]Linea Madera '!$A$1:$F$445,6,FALSE)</f>
        <v>37.08</v>
      </c>
      <c r="F1552" s="22">
        <f>VLOOKUP(A1552,'[11]Linea Madera '!$A$1:$G$445,7,FALSE)</f>
        <v>41.9</v>
      </c>
    </row>
    <row r="1553" spans="1:6" x14ac:dyDescent="0.3">
      <c r="A1553" s="33" t="s">
        <v>1711</v>
      </c>
      <c r="B1553" s="65" t="s">
        <v>3760</v>
      </c>
      <c r="C1553" s="22">
        <f>VLOOKUP(A1553,'[11]Linea Madera '!$A$1:$D$445,4,FALSE)</f>
        <v>7.58</v>
      </c>
      <c r="D1553" s="22">
        <f>VLOOKUP(A1553,'[11]Linea Madera '!$A$1:$E$445,5,FALSE)</f>
        <v>8.57</v>
      </c>
      <c r="E1553" s="22">
        <f>VLOOKUP(A1553,'[11]Linea Madera '!$A$1:$F$445,6,FALSE)</f>
        <v>10.53</v>
      </c>
      <c r="F1553" s="22">
        <f>VLOOKUP(A1553,'[11]Linea Madera '!$A$1:$G$445,7,FALSE)</f>
        <v>11.9</v>
      </c>
    </row>
    <row r="1554" spans="1:6" x14ac:dyDescent="0.3">
      <c r="A1554" s="66" t="s">
        <v>3761</v>
      </c>
      <c r="B1554" s="65" t="s">
        <v>3762</v>
      </c>
      <c r="C1554" s="22">
        <f>VLOOKUP(A1554,'[11]Linea Madera '!$A$1:$D$445,4,FALSE)</f>
        <v>26.7</v>
      </c>
      <c r="D1554" s="22">
        <f>VLOOKUP(A1554,'[11]Linea Madera '!$A$1:$E$445,5,FALSE)</f>
        <v>30.17</v>
      </c>
      <c r="E1554" s="22">
        <f>VLOOKUP(A1554,'[11]Linea Madera '!$A$1:$F$445,6,FALSE)</f>
        <v>37.08</v>
      </c>
      <c r="F1554" s="22">
        <f>VLOOKUP(A1554,'[11]Linea Madera '!$A$1:$G$445,7,FALSE)</f>
        <v>41.9</v>
      </c>
    </row>
    <row r="1555" spans="1:6" x14ac:dyDescent="0.3">
      <c r="A1555" s="66" t="s">
        <v>3763</v>
      </c>
      <c r="B1555" s="65" t="s">
        <v>3762</v>
      </c>
      <c r="C1555" s="22">
        <f>VLOOKUP(A1555,'[11]Linea Madera '!$A$1:$D$445,4,FALSE)</f>
        <v>7.58</v>
      </c>
      <c r="D1555" s="22">
        <f>VLOOKUP(A1555,'[11]Linea Madera '!$A$1:$E$445,5,FALSE)</f>
        <v>8.57</v>
      </c>
      <c r="E1555" s="22">
        <f>VLOOKUP(A1555,'[11]Linea Madera '!$A$1:$F$445,6,FALSE)</f>
        <v>10.53</v>
      </c>
      <c r="F1555" s="22">
        <f>VLOOKUP(A1555,'[11]Linea Madera '!$A$1:$G$445,7,FALSE)</f>
        <v>11.9</v>
      </c>
    </row>
    <row r="1556" spans="1:6" x14ac:dyDescent="0.3">
      <c r="A1556" s="31" t="s">
        <v>1712</v>
      </c>
      <c r="B1556" s="65" t="s">
        <v>3764</v>
      </c>
      <c r="C1556" s="22">
        <f>VLOOKUP(A1556,'[11]Linea Madera '!$A$1:$D$445,4,FALSE)</f>
        <v>27.83</v>
      </c>
      <c r="D1556" s="22">
        <f>VLOOKUP(A1556,'[11]Linea Madera '!$A$1:$E$445,5,FALSE)</f>
        <v>31.45</v>
      </c>
      <c r="E1556" s="22">
        <f>VLOOKUP(A1556,'[11]Linea Madera '!$A$1:$F$445,6,FALSE)</f>
        <v>37.61</v>
      </c>
      <c r="F1556" s="22">
        <f>VLOOKUP(A1556,'[11]Linea Madera '!$A$1:$G$445,7,FALSE)</f>
        <v>42.5</v>
      </c>
    </row>
    <row r="1557" spans="1:6" x14ac:dyDescent="0.3">
      <c r="A1557" s="31" t="s">
        <v>1713</v>
      </c>
      <c r="B1557" s="65" t="s">
        <v>3764</v>
      </c>
      <c r="C1557" s="22">
        <f>VLOOKUP(A1557,'[11]Linea Madera '!$A$1:$D$445,4,FALSE)</f>
        <v>8.19</v>
      </c>
      <c r="D1557" s="22">
        <f>VLOOKUP(A1557,'[11]Linea Madera '!$A$1:$E$445,5,FALSE)</f>
        <v>9.25</v>
      </c>
      <c r="E1557" s="22">
        <f>VLOOKUP(A1557,'[11]Linea Madera '!$A$1:$F$445,6,FALSE)</f>
        <v>11.06</v>
      </c>
      <c r="F1557" s="22">
        <f>VLOOKUP(A1557,'[11]Linea Madera '!$A$1:$G$445,7,FALSE)</f>
        <v>12.5</v>
      </c>
    </row>
    <row r="1558" spans="1:6" x14ac:dyDescent="0.3">
      <c r="A1558" s="31" t="s">
        <v>1714</v>
      </c>
      <c r="B1558" s="65" t="s">
        <v>3765</v>
      </c>
      <c r="C1558" s="22">
        <f>VLOOKUP(A1558,'[11]Linea Madera '!$A$1:$D$445,4,FALSE)</f>
        <v>28.99</v>
      </c>
      <c r="D1558" s="22">
        <f>VLOOKUP(A1558,'[11]Linea Madera '!$A$1:$E$445,5,FALSE)</f>
        <v>32.76</v>
      </c>
      <c r="E1558" s="22">
        <f>VLOOKUP(A1558,'[11]Linea Madera '!$A$1:$F$445,6,FALSE)</f>
        <v>40.270000000000003</v>
      </c>
      <c r="F1558" s="22">
        <f>VLOOKUP(A1558,'[11]Linea Madera '!$A$1:$G$445,7,FALSE)</f>
        <v>45.5</v>
      </c>
    </row>
    <row r="1559" spans="1:6" x14ac:dyDescent="0.3">
      <c r="A1559" s="31" t="s">
        <v>1715</v>
      </c>
      <c r="B1559" s="65" t="s">
        <v>3766</v>
      </c>
      <c r="C1559" s="22">
        <f>VLOOKUP(A1559,'[11]Linea Madera '!$A$1:$D$445,4,FALSE)</f>
        <v>28.99</v>
      </c>
      <c r="D1559" s="22">
        <f>VLOOKUP(A1559,'[11]Linea Madera '!$A$1:$E$445,5,FALSE)</f>
        <v>32.76</v>
      </c>
      <c r="E1559" s="22">
        <f>VLOOKUP(A1559,'[11]Linea Madera '!$A$1:$F$445,6,FALSE)</f>
        <v>40.270000000000003</v>
      </c>
      <c r="F1559" s="22">
        <f>VLOOKUP(A1559,'[11]Linea Madera '!$A$1:$G$445,7,FALSE)</f>
        <v>45.5</v>
      </c>
    </row>
    <row r="1560" spans="1:6" x14ac:dyDescent="0.3">
      <c r="A1560" s="31" t="s">
        <v>1716</v>
      </c>
      <c r="B1560" s="65" t="s">
        <v>3767</v>
      </c>
      <c r="C1560" s="22">
        <f>VLOOKUP(A1560,'[11]Linea Madera '!$A$1:$D$445,4,FALSE)</f>
        <v>28.99</v>
      </c>
      <c r="D1560" s="22">
        <f>VLOOKUP(A1560,'[11]Linea Madera '!$A$1:$E$445,5,FALSE)</f>
        <v>32.76</v>
      </c>
      <c r="E1560" s="22">
        <f>VLOOKUP(A1560,'[11]Linea Madera '!$A$1:$F$445,6,FALSE)</f>
        <v>40.270000000000003</v>
      </c>
      <c r="F1560" s="22">
        <f>VLOOKUP(A1560,'[11]Linea Madera '!$A$1:$G$445,7,FALSE)</f>
        <v>45.5</v>
      </c>
    </row>
    <row r="1561" spans="1:6" x14ac:dyDescent="0.3">
      <c r="A1561" s="31" t="s">
        <v>1717</v>
      </c>
      <c r="B1561" s="65" t="s">
        <v>3765</v>
      </c>
      <c r="C1561" s="22">
        <f>VLOOKUP(A1561,'[11]Linea Madera '!$A$1:$D$445,4,FALSE)</f>
        <v>7.96</v>
      </c>
      <c r="D1561" s="22">
        <f>VLOOKUP(A1561,'[11]Linea Madera '!$A$1:$E$445,5,FALSE)</f>
        <v>9</v>
      </c>
      <c r="E1561" s="22">
        <f>VLOOKUP(A1561,'[11]Linea Madera '!$A$1:$F$445,6,FALSE)</f>
        <v>11.06</v>
      </c>
      <c r="F1561" s="22">
        <f>VLOOKUP(A1561,'[11]Linea Madera '!$A$1:$G$445,7,FALSE)</f>
        <v>12.5</v>
      </c>
    </row>
    <row r="1562" spans="1:6" x14ac:dyDescent="0.3">
      <c r="A1562" s="31" t="s">
        <v>1718</v>
      </c>
      <c r="B1562" s="65" t="s">
        <v>3766</v>
      </c>
      <c r="C1562" s="22">
        <f>VLOOKUP(A1562,'[11]Linea Madera '!$A$1:$D$445,4,FALSE)</f>
        <v>7.96</v>
      </c>
      <c r="D1562" s="22">
        <f>VLOOKUP(A1562,'[11]Linea Madera '!$A$1:$E$445,5,FALSE)</f>
        <v>9</v>
      </c>
      <c r="E1562" s="22">
        <f>VLOOKUP(A1562,'[11]Linea Madera '!$A$1:$F$445,6,FALSE)</f>
        <v>11.06</v>
      </c>
      <c r="F1562" s="22">
        <f>VLOOKUP(A1562,'[11]Linea Madera '!$A$1:$G$445,7,FALSE)</f>
        <v>12.5</v>
      </c>
    </row>
    <row r="1563" spans="1:6" x14ac:dyDescent="0.3">
      <c r="A1563" s="31" t="s">
        <v>1719</v>
      </c>
      <c r="B1563" s="65" t="s">
        <v>3767</v>
      </c>
      <c r="C1563" s="22">
        <f>VLOOKUP(A1563,'[11]Linea Madera '!$A$1:$D$445,4,FALSE)</f>
        <v>7.96</v>
      </c>
      <c r="D1563" s="22">
        <f>VLOOKUP(A1563,'[11]Linea Madera '!$A$1:$E$445,5,FALSE)</f>
        <v>9</v>
      </c>
      <c r="E1563" s="22">
        <f>VLOOKUP(A1563,'[11]Linea Madera '!$A$1:$F$445,6,FALSE)</f>
        <v>11.06</v>
      </c>
      <c r="F1563" s="22">
        <f>VLOOKUP(A1563,'[11]Linea Madera '!$A$1:$G$445,7,FALSE)</f>
        <v>12.5</v>
      </c>
    </row>
    <row r="1564" spans="1:6" x14ac:dyDescent="0.3">
      <c r="A1564" s="33" t="s">
        <v>1720</v>
      </c>
      <c r="B1564" s="65" t="s">
        <v>3768</v>
      </c>
      <c r="C1564" s="22">
        <f>VLOOKUP(A1564,'[11]Linea Madera '!$A$1:$D$445,4,FALSE)</f>
        <v>7.12</v>
      </c>
      <c r="D1564" s="22">
        <f>VLOOKUP(A1564,'[11]Linea Madera '!$A$1:$E$445,5,FALSE)</f>
        <v>8.0500000000000007</v>
      </c>
      <c r="E1564" s="22">
        <f>VLOOKUP(A1564,'[11]Linea Madera '!$A$1:$F$445,6,FALSE)</f>
        <v>10.18</v>
      </c>
      <c r="F1564" s="22">
        <f>VLOOKUP(A1564,'[11]Linea Madera '!$A$1:$G$445,7,FALSE)</f>
        <v>11.5</v>
      </c>
    </row>
    <row r="1565" spans="1:6" x14ac:dyDescent="0.3">
      <c r="A1565" s="33" t="s">
        <v>1721</v>
      </c>
      <c r="B1565" s="65" t="s">
        <v>3769</v>
      </c>
      <c r="C1565" s="22">
        <f>VLOOKUP(A1565,'[11]Linea Madera '!$A$1:$D$445,4,FALSE)</f>
        <v>7.12</v>
      </c>
      <c r="D1565" s="22">
        <f>VLOOKUP(A1565,'[11]Linea Madera '!$A$1:$E$445,5,FALSE)</f>
        <v>8.0500000000000007</v>
      </c>
      <c r="E1565" s="22">
        <f>VLOOKUP(A1565,'[11]Linea Madera '!$A$1:$F$445,6,FALSE)</f>
        <v>10.18</v>
      </c>
      <c r="F1565" s="22">
        <f>VLOOKUP(A1565,'[11]Linea Madera '!$A$1:$G$445,7,FALSE)</f>
        <v>11.5</v>
      </c>
    </row>
    <row r="1566" spans="1:6" x14ac:dyDescent="0.3">
      <c r="A1566" s="33" t="s">
        <v>1722</v>
      </c>
      <c r="B1566" s="65" t="s">
        <v>3770</v>
      </c>
      <c r="C1566" s="22">
        <f>VLOOKUP(A1566,'[11]Linea Madera '!$A$1:$D$445,4,FALSE)</f>
        <v>7.12</v>
      </c>
      <c r="D1566" s="22">
        <f>VLOOKUP(A1566,'[11]Linea Madera '!$A$1:$E$445,5,FALSE)</f>
        <v>8.0500000000000007</v>
      </c>
      <c r="E1566" s="22">
        <f>VLOOKUP(A1566,'[11]Linea Madera '!$A$1:$F$445,6,FALSE)</f>
        <v>10.18</v>
      </c>
      <c r="F1566" s="22">
        <f>VLOOKUP(A1566,'[11]Linea Madera '!$A$1:$G$445,7,FALSE)</f>
        <v>11.5</v>
      </c>
    </row>
    <row r="1567" spans="1:6" x14ac:dyDescent="0.3">
      <c r="A1567" s="33" t="s">
        <v>1723</v>
      </c>
      <c r="B1567" s="65" t="s">
        <v>3771</v>
      </c>
      <c r="C1567" s="22">
        <f>VLOOKUP(A1567,'[11]Linea Madera '!$A$1:$D$445,4,FALSE)</f>
        <v>7.12</v>
      </c>
      <c r="D1567" s="22">
        <f>VLOOKUP(A1567,'[11]Linea Madera '!$A$1:$E$445,5,FALSE)</f>
        <v>8.0500000000000007</v>
      </c>
      <c r="E1567" s="22">
        <f>VLOOKUP(A1567,'[11]Linea Madera '!$A$1:$F$445,6,FALSE)</f>
        <v>10.18</v>
      </c>
      <c r="F1567" s="22">
        <f>VLOOKUP(A1567,'[11]Linea Madera '!$A$1:$G$445,7,FALSE)</f>
        <v>11.5</v>
      </c>
    </row>
    <row r="1568" spans="1:6" x14ac:dyDescent="0.3">
      <c r="A1568" s="33" t="s">
        <v>1724</v>
      </c>
      <c r="B1568" s="65" t="s">
        <v>3772</v>
      </c>
      <c r="C1568" s="22">
        <f>VLOOKUP(A1568,'[11]Linea Madera '!$A$1:$D$445,4,FALSE)</f>
        <v>7.12</v>
      </c>
      <c r="D1568" s="22">
        <f>VLOOKUP(A1568,'[11]Linea Madera '!$A$1:$E$445,5,FALSE)</f>
        <v>8.0500000000000007</v>
      </c>
      <c r="E1568" s="22">
        <f>VLOOKUP(A1568,'[11]Linea Madera '!$A$1:$F$445,6,FALSE)</f>
        <v>10.18</v>
      </c>
      <c r="F1568" s="22">
        <f>VLOOKUP(A1568,'[11]Linea Madera '!$A$1:$G$445,7,FALSE)</f>
        <v>11.5</v>
      </c>
    </row>
    <row r="1569" spans="1:6" x14ac:dyDescent="0.3">
      <c r="A1569" s="32" t="s">
        <v>1725</v>
      </c>
      <c r="B1569" s="65" t="s">
        <v>3773</v>
      </c>
      <c r="C1569" s="22">
        <f>VLOOKUP(A1569,'[11]Linea Madera '!$A$1:$D$445,4,FALSE)</f>
        <v>7.12</v>
      </c>
      <c r="D1569" s="22">
        <f>VLOOKUP(A1569,'[11]Linea Madera '!$A$1:$E$445,5,FALSE)</f>
        <v>8.0500000000000007</v>
      </c>
      <c r="E1569" s="22">
        <f>VLOOKUP(A1569,'[11]Linea Madera '!$A$1:$F$445,6,FALSE)</f>
        <v>10.18</v>
      </c>
      <c r="F1569" s="22">
        <f>VLOOKUP(A1569,'[11]Linea Madera '!$A$1:$G$445,7,FALSE)</f>
        <v>11.5</v>
      </c>
    </row>
    <row r="1570" spans="1:6" x14ac:dyDescent="0.3">
      <c r="A1570" s="32" t="s">
        <v>1726</v>
      </c>
      <c r="B1570" s="65" t="s">
        <v>3774</v>
      </c>
      <c r="C1570" s="22">
        <f>VLOOKUP(A1570,'[11]Linea Madera '!$A$1:$D$445,4,FALSE)</f>
        <v>7.12</v>
      </c>
      <c r="D1570" s="22">
        <f>VLOOKUP(A1570,'[11]Linea Madera '!$A$1:$E$445,5,FALSE)</f>
        <v>8.0500000000000007</v>
      </c>
      <c r="E1570" s="22">
        <f>VLOOKUP(A1570,'[11]Linea Madera '!$A$1:$F$445,6,FALSE)</f>
        <v>10.18</v>
      </c>
      <c r="F1570" s="22">
        <f>VLOOKUP(A1570,'[11]Linea Madera '!$A$1:$G$445,7,FALSE)</f>
        <v>11.5</v>
      </c>
    </row>
    <row r="1571" spans="1:6" x14ac:dyDescent="0.3">
      <c r="A1571" s="32" t="s">
        <v>1727</v>
      </c>
      <c r="B1571" s="65" t="s">
        <v>3775</v>
      </c>
      <c r="C1571" s="22">
        <f>VLOOKUP(A1571,'[11]Linea Madera '!$A$1:$D$445,4,FALSE)</f>
        <v>7.12</v>
      </c>
      <c r="D1571" s="22">
        <f>VLOOKUP(A1571,'[11]Linea Madera '!$A$1:$E$445,5,FALSE)</f>
        <v>8.0500000000000007</v>
      </c>
      <c r="E1571" s="22">
        <f>VLOOKUP(A1571,'[11]Linea Madera '!$A$1:$F$445,6,FALSE)</f>
        <v>10.18</v>
      </c>
      <c r="F1571" s="22">
        <f>VLOOKUP(A1571,'[11]Linea Madera '!$A$1:$G$445,7,FALSE)</f>
        <v>11.5</v>
      </c>
    </row>
    <row r="1572" spans="1:6" x14ac:dyDescent="0.3">
      <c r="A1572" s="33" t="s">
        <v>1728</v>
      </c>
      <c r="B1572" s="65" t="s">
        <v>3776</v>
      </c>
      <c r="C1572" s="22">
        <f>VLOOKUP(A1572,'[11]Linea Madera '!$A$1:$D$445,4,FALSE)</f>
        <v>7.12</v>
      </c>
      <c r="D1572" s="22">
        <f>VLOOKUP(A1572,'[11]Linea Madera '!$A$1:$E$445,5,FALSE)</f>
        <v>8.0500000000000007</v>
      </c>
      <c r="E1572" s="22">
        <f>VLOOKUP(A1572,'[11]Linea Madera '!$A$1:$F$445,6,FALSE)</f>
        <v>10.18</v>
      </c>
      <c r="F1572" s="22">
        <f>VLOOKUP(A1572,'[11]Linea Madera '!$A$1:$G$445,7,FALSE)</f>
        <v>11.5</v>
      </c>
    </row>
    <row r="1573" spans="1:6" x14ac:dyDescent="0.3">
      <c r="A1573" s="33" t="s">
        <v>1729</v>
      </c>
      <c r="B1573" s="65" t="s">
        <v>3776</v>
      </c>
      <c r="C1573" s="22">
        <f>VLOOKUP(A1573,'[11]Linea Madera '!$A$1:$D$445,4,FALSE)</f>
        <v>25.34</v>
      </c>
      <c r="D1573" s="22">
        <f>VLOOKUP(A1573,'[11]Linea Madera '!$A$1:$E$445,5,FALSE)</f>
        <v>28.63</v>
      </c>
      <c r="E1573" s="22">
        <f>VLOOKUP(A1573,'[11]Linea Madera '!$A$1:$F$445,6,FALSE)</f>
        <v>36.19</v>
      </c>
      <c r="F1573" s="22">
        <f>VLOOKUP(A1573,'[11]Linea Madera '!$A$1:$G$445,7,FALSE)</f>
        <v>40.9</v>
      </c>
    </row>
    <row r="1574" spans="1:6" x14ac:dyDescent="0.3">
      <c r="A1574" s="33" t="s">
        <v>1730</v>
      </c>
      <c r="B1574" s="65" t="s">
        <v>3768</v>
      </c>
      <c r="C1574" s="22">
        <f>VLOOKUP(A1574,'[11]Linea Madera '!$A$1:$D$445,4,FALSE)</f>
        <v>25.34</v>
      </c>
      <c r="D1574" s="22">
        <f>VLOOKUP(A1574,'[11]Linea Madera '!$A$1:$E$445,5,FALSE)</f>
        <v>28.63</v>
      </c>
      <c r="E1574" s="22">
        <f>VLOOKUP(A1574,'[11]Linea Madera '!$A$1:$F$445,6,FALSE)</f>
        <v>36.19</v>
      </c>
      <c r="F1574" s="22">
        <f>VLOOKUP(A1574,'[11]Linea Madera '!$A$1:$G$445,7,FALSE)</f>
        <v>40.9</v>
      </c>
    </row>
    <row r="1575" spans="1:6" x14ac:dyDescent="0.3">
      <c r="A1575" s="33" t="s">
        <v>1731</v>
      </c>
      <c r="B1575" s="65" t="s">
        <v>3769</v>
      </c>
      <c r="C1575" s="22">
        <f>VLOOKUP(A1575,'[11]Linea Madera '!$A$1:$D$445,4,FALSE)</f>
        <v>25.34</v>
      </c>
      <c r="D1575" s="22">
        <f>VLOOKUP(A1575,'[11]Linea Madera '!$A$1:$E$445,5,FALSE)</f>
        <v>28.63</v>
      </c>
      <c r="E1575" s="22">
        <f>VLOOKUP(A1575,'[11]Linea Madera '!$A$1:$F$445,6,FALSE)</f>
        <v>36.19</v>
      </c>
      <c r="F1575" s="22">
        <f>VLOOKUP(A1575,'[11]Linea Madera '!$A$1:$G$445,7,FALSE)</f>
        <v>40.9</v>
      </c>
    </row>
    <row r="1576" spans="1:6" x14ac:dyDescent="0.3">
      <c r="A1576" s="33" t="s">
        <v>1732</v>
      </c>
      <c r="B1576" s="65" t="s">
        <v>3770</v>
      </c>
      <c r="C1576" s="22">
        <f>VLOOKUP(A1576,'[11]Linea Madera '!$A$1:$D$445,4,FALSE)</f>
        <v>25.34</v>
      </c>
      <c r="D1576" s="22">
        <f>VLOOKUP(A1576,'[11]Linea Madera '!$A$1:$E$445,5,FALSE)</f>
        <v>28.63</v>
      </c>
      <c r="E1576" s="22">
        <f>VLOOKUP(A1576,'[11]Linea Madera '!$A$1:$F$445,6,FALSE)</f>
        <v>36.19</v>
      </c>
      <c r="F1576" s="22">
        <f>VLOOKUP(A1576,'[11]Linea Madera '!$A$1:$G$445,7,FALSE)</f>
        <v>40.9</v>
      </c>
    </row>
    <row r="1577" spans="1:6" x14ac:dyDescent="0.3">
      <c r="A1577" s="33" t="s">
        <v>1733</v>
      </c>
      <c r="B1577" s="65" t="s">
        <v>3771</v>
      </c>
      <c r="C1577" s="22">
        <f>VLOOKUP(A1577,'[11]Linea Madera '!$A$1:$D$445,4,FALSE)</f>
        <v>25.34</v>
      </c>
      <c r="D1577" s="22">
        <f>VLOOKUP(A1577,'[11]Linea Madera '!$A$1:$E$445,5,FALSE)</f>
        <v>28.63</v>
      </c>
      <c r="E1577" s="22">
        <f>VLOOKUP(A1577,'[11]Linea Madera '!$A$1:$F$445,6,FALSE)</f>
        <v>36.19</v>
      </c>
      <c r="F1577" s="22">
        <f>VLOOKUP(A1577,'[11]Linea Madera '!$A$1:$G$445,7,FALSE)</f>
        <v>40.9</v>
      </c>
    </row>
    <row r="1578" spans="1:6" x14ac:dyDescent="0.3">
      <c r="A1578" s="33" t="s">
        <v>1734</v>
      </c>
      <c r="B1578" s="65" t="s">
        <v>3772</v>
      </c>
      <c r="C1578" s="22">
        <f>VLOOKUP(A1578,'[11]Linea Madera '!$A$1:$D$445,4,FALSE)</f>
        <v>25.34</v>
      </c>
      <c r="D1578" s="22">
        <f>VLOOKUP(A1578,'[11]Linea Madera '!$A$1:$E$445,5,FALSE)</f>
        <v>28.63</v>
      </c>
      <c r="E1578" s="22">
        <f>VLOOKUP(A1578,'[11]Linea Madera '!$A$1:$F$445,6,FALSE)</f>
        <v>36.19</v>
      </c>
      <c r="F1578" s="22">
        <f>VLOOKUP(A1578,'[11]Linea Madera '!$A$1:$G$445,7,FALSE)</f>
        <v>40.9</v>
      </c>
    </row>
    <row r="1579" spans="1:6" x14ac:dyDescent="0.3">
      <c r="A1579" s="32" t="s">
        <v>1735</v>
      </c>
      <c r="B1579" s="65" t="s">
        <v>3773</v>
      </c>
      <c r="C1579" s="22">
        <f>VLOOKUP(A1579,'[11]Linea Madera '!$A$1:$D$445,4,FALSE)</f>
        <v>25.34</v>
      </c>
      <c r="D1579" s="22">
        <f>VLOOKUP(A1579,'[11]Linea Madera '!$A$1:$E$445,5,FALSE)</f>
        <v>28.63</v>
      </c>
      <c r="E1579" s="22">
        <f>VLOOKUP(A1579,'[11]Linea Madera '!$A$1:$F$445,6,FALSE)</f>
        <v>36.19</v>
      </c>
      <c r="F1579" s="22">
        <f>VLOOKUP(A1579,'[11]Linea Madera '!$A$1:$G$445,7,FALSE)</f>
        <v>40.9</v>
      </c>
    </row>
    <row r="1580" spans="1:6" x14ac:dyDescent="0.3">
      <c r="A1580" s="32" t="s">
        <v>1736</v>
      </c>
      <c r="B1580" s="65" t="s">
        <v>3774</v>
      </c>
      <c r="C1580" s="22">
        <f>VLOOKUP(A1580,'[11]Linea Madera '!$A$1:$D$445,4,FALSE)</f>
        <v>25.34</v>
      </c>
      <c r="D1580" s="22">
        <f>VLOOKUP(A1580,'[11]Linea Madera '!$A$1:$E$445,5,FALSE)</f>
        <v>28.63</v>
      </c>
      <c r="E1580" s="22">
        <f>VLOOKUP(A1580,'[11]Linea Madera '!$A$1:$F$445,6,FALSE)</f>
        <v>36.19</v>
      </c>
      <c r="F1580" s="22">
        <f>VLOOKUP(A1580,'[11]Linea Madera '!$A$1:$G$445,7,FALSE)</f>
        <v>40.9</v>
      </c>
    </row>
    <row r="1581" spans="1:6" x14ac:dyDescent="0.3">
      <c r="A1581" s="32" t="s">
        <v>1737</v>
      </c>
      <c r="B1581" s="65" t="s">
        <v>3775</v>
      </c>
      <c r="C1581" s="22">
        <f>VLOOKUP(A1581,'[11]Linea Madera '!$A$1:$D$445,4,FALSE)</f>
        <v>25.34</v>
      </c>
      <c r="D1581" s="22">
        <f>VLOOKUP(A1581,'[11]Linea Madera '!$A$1:$E$445,5,FALSE)</f>
        <v>28.63</v>
      </c>
      <c r="E1581" s="22">
        <f>VLOOKUP(A1581,'[11]Linea Madera '!$A$1:$F$445,6,FALSE)</f>
        <v>36.19</v>
      </c>
      <c r="F1581" s="22">
        <f>VLOOKUP(A1581,'[11]Linea Madera '!$A$1:$G$445,7,FALSE)</f>
        <v>40.9</v>
      </c>
    </row>
    <row r="1582" spans="1:6" x14ac:dyDescent="0.3">
      <c r="A1582" s="31" t="s">
        <v>1738</v>
      </c>
      <c r="B1582" s="65" t="s">
        <v>1739</v>
      </c>
      <c r="C1582" s="22">
        <f>VLOOKUP(A1582,'[11]Linea Madera '!$A$1:$D$445,4,FALSE)</f>
        <v>29.34</v>
      </c>
      <c r="D1582" s="22">
        <f>VLOOKUP(A1582,'[11]Linea Madera '!$A$1:$E$445,5,FALSE)</f>
        <v>33.15</v>
      </c>
      <c r="E1582" s="22">
        <f>VLOOKUP(A1582,'[11]Linea Madera '!$A$1:$F$445,6,FALSE)</f>
        <v>37.61</v>
      </c>
      <c r="F1582" s="22">
        <f>VLOOKUP(A1582,'[11]Linea Madera '!$A$1:$G$445,7,FALSE)</f>
        <v>42.5</v>
      </c>
    </row>
    <row r="1583" spans="1:6" x14ac:dyDescent="0.3">
      <c r="A1583" s="31" t="s">
        <v>1740</v>
      </c>
      <c r="B1583" s="65" t="s">
        <v>1739</v>
      </c>
      <c r="C1583" s="22">
        <f>VLOOKUP(A1583,'[11]Linea Madera '!$A$1:$D$445,4,FALSE)</f>
        <v>8.2100000000000009</v>
      </c>
      <c r="D1583" s="22">
        <f>VLOOKUP(A1583,'[11]Linea Madera '!$A$1:$E$445,5,FALSE)</f>
        <v>9.2799999999999994</v>
      </c>
      <c r="E1583" s="22">
        <f>VLOOKUP(A1583,'[11]Linea Madera '!$A$1:$F$445,6,FALSE)</f>
        <v>10.53</v>
      </c>
      <c r="F1583" s="22">
        <f>VLOOKUP(A1583,'[11]Linea Madera '!$A$1:$G$445,7,FALSE)</f>
        <v>11.9</v>
      </c>
    </row>
    <row r="1584" spans="1:6" x14ac:dyDescent="0.3">
      <c r="A1584" s="31" t="s">
        <v>1741</v>
      </c>
      <c r="B1584" s="65" t="s">
        <v>3777</v>
      </c>
      <c r="C1584" s="22">
        <f>VLOOKUP(A1584,'[11]Linea Madera '!$A$1:$D$445,4,FALSE)</f>
        <v>29.34</v>
      </c>
      <c r="D1584" s="22">
        <f>VLOOKUP(A1584,'[11]Linea Madera '!$A$1:$E$445,5,FALSE)</f>
        <v>33.15</v>
      </c>
      <c r="E1584" s="22">
        <f>VLOOKUP(A1584,'[11]Linea Madera '!$A$1:$F$445,6,FALSE)</f>
        <v>37.61</v>
      </c>
      <c r="F1584" s="22">
        <f>VLOOKUP(A1584,'[11]Linea Madera '!$A$1:$G$445,7,FALSE)</f>
        <v>42.5</v>
      </c>
    </row>
    <row r="1585" spans="1:6" x14ac:dyDescent="0.3">
      <c r="A1585" s="31" t="s">
        <v>1742</v>
      </c>
      <c r="B1585" s="65" t="s">
        <v>3777</v>
      </c>
      <c r="C1585" s="22">
        <f>VLOOKUP(A1585,'[11]Linea Madera '!$A$1:$D$445,4,FALSE)</f>
        <v>8.2100000000000009</v>
      </c>
      <c r="D1585" s="22">
        <f>VLOOKUP(A1585,'[11]Linea Madera '!$A$1:$E$445,5,FALSE)</f>
        <v>9.2799999999999994</v>
      </c>
      <c r="E1585" s="22">
        <f>VLOOKUP(A1585,'[11]Linea Madera '!$A$1:$F$445,6,FALSE)</f>
        <v>10.53</v>
      </c>
      <c r="F1585" s="22">
        <f>VLOOKUP(A1585,'[11]Linea Madera '!$A$1:$G$445,7,FALSE)</f>
        <v>11.9</v>
      </c>
    </row>
    <row r="1586" spans="1:6" x14ac:dyDescent="0.3">
      <c r="A1586" s="31" t="s">
        <v>1743</v>
      </c>
      <c r="B1586" s="65" t="s">
        <v>3778</v>
      </c>
      <c r="C1586" s="22">
        <f>VLOOKUP(A1586,'[11]Linea Madera '!$A$1:$D$445,4,FALSE)</f>
        <v>44.11</v>
      </c>
      <c r="D1586" s="22">
        <f>VLOOKUP(A1586,'[11]Linea Madera '!$A$1:$E$445,5,FALSE)</f>
        <v>49.84</v>
      </c>
      <c r="E1586" s="22">
        <f>VLOOKUP(A1586,'[11]Linea Madera '!$A$1:$F$445,6,FALSE)</f>
        <v>56.55</v>
      </c>
      <c r="F1586" s="22">
        <f>VLOOKUP(A1586,'[11]Linea Madera '!$A$1:$G$445,7,FALSE)</f>
        <v>63.9</v>
      </c>
    </row>
    <row r="1587" spans="1:6" x14ac:dyDescent="0.3">
      <c r="A1587" s="31" t="s">
        <v>1744</v>
      </c>
      <c r="B1587" s="65" t="s">
        <v>3778</v>
      </c>
      <c r="C1587" s="22">
        <f>VLOOKUP(A1587,'[11]Linea Madera '!$A$1:$D$445,4,FALSE)</f>
        <v>13.46</v>
      </c>
      <c r="D1587" s="22">
        <f>VLOOKUP(A1587,'[11]Linea Madera '!$A$1:$E$445,5,FALSE)</f>
        <v>15.21</v>
      </c>
      <c r="E1587" s="22">
        <f>VLOOKUP(A1587,'[11]Linea Madera '!$A$1:$F$445,6,FALSE)</f>
        <v>17.260000000000002</v>
      </c>
      <c r="F1587" s="22">
        <f>VLOOKUP(A1587,'[11]Linea Madera '!$A$1:$G$445,7,FALSE)</f>
        <v>19.5</v>
      </c>
    </row>
    <row r="1588" spans="1:6" x14ac:dyDescent="0.3">
      <c r="A1588" s="31" t="s">
        <v>1745</v>
      </c>
      <c r="B1588" s="65" t="s">
        <v>3779</v>
      </c>
      <c r="C1588" s="22">
        <f>VLOOKUP(A1588,'[11]Linea Madera '!$A$1:$D$445,4,FALSE)</f>
        <v>46.18</v>
      </c>
      <c r="D1588" s="22">
        <f>VLOOKUP(A1588,'[11]Linea Madera '!$A$1:$E$445,5,FALSE)</f>
        <v>52.18</v>
      </c>
      <c r="E1588" s="22">
        <f>VLOOKUP(A1588,'[11]Linea Madera '!$A$1:$F$445,6,FALSE)</f>
        <v>59.2</v>
      </c>
      <c r="F1588" s="22">
        <f>VLOOKUP(A1588,'[11]Linea Madera '!$A$1:$G$445,7,FALSE)</f>
        <v>66.900000000000006</v>
      </c>
    </row>
    <row r="1589" spans="1:6" x14ac:dyDescent="0.3">
      <c r="A1589" s="31" t="s">
        <v>1746</v>
      </c>
      <c r="B1589" s="65" t="s">
        <v>3779</v>
      </c>
      <c r="C1589" s="22">
        <f>VLOOKUP(A1589,'[11]Linea Madera '!$A$1:$D$445,4,FALSE)</f>
        <v>13.73</v>
      </c>
      <c r="D1589" s="22">
        <f>VLOOKUP(A1589,'[11]Linea Madera '!$A$1:$E$445,5,FALSE)</f>
        <v>15.52</v>
      </c>
      <c r="E1589" s="22">
        <f>VLOOKUP(A1589,'[11]Linea Madera '!$A$1:$F$445,6,FALSE)</f>
        <v>17.61</v>
      </c>
      <c r="F1589" s="22">
        <f>VLOOKUP(A1589,'[11]Linea Madera '!$A$1:$G$445,7,FALSE)</f>
        <v>19.899999999999999</v>
      </c>
    </row>
    <row r="1590" spans="1:6" x14ac:dyDescent="0.3">
      <c r="A1590" s="67" t="s">
        <v>1747</v>
      </c>
      <c r="B1590" s="65" t="s">
        <v>1748</v>
      </c>
      <c r="C1590" s="22">
        <f>VLOOKUP(A1590,'[11]Linea Madera '!$A$1:$D$445,4,FALSE)</f>
        <v>29.05</v>
      </c>
      <c r="D1590" s="22">
        <f>VLOOKUP(A1590,'[11]Linea Madera '!$A$1:$E$445,5,FALSE)</f>
        <v>32.83</v>
      </c>
      <c r="E1590" s="22">
        <f>VLOOKUP(A1590,'[11]Linea Madera '!$A$1:$F$445,6,FALSE)</f>
        <v>41.5</v>
      </c>
      <c r="F1590" s="22">
        <f>VLOOKUP(A1590,'[11]Linea Madera '!$A$1:$G$445,7,FALSE)</f>
        <v>46.9</v>
      </c>
    </row>
    <row r="1591" spans="1:6" x14ac:dyDescent="0.3">
      <c r="A1591" s="67" t="s">
        <v>1749</v>
      </c>
      <c r="B1591" s="65" t="s">
        <v>1750</v>
      </c>
      <c r="C1591" s="22">
        <f>VLOOKUP(A1591,'[11]Linea Madera '!$A$1:$D$445,4,FALSE)</f>
        <v>29.05</v>
      </c>
      <c r="D1591" s="22">
        <f>VLOOKUP(A1591,'[11]Linea Madera '!$A$1:$E$445,5,FALSE)</f>
        <v>32.83</v>
      </c>
      <c r="E1591" s="22">
        <f>VLOOKUP(A1591,'[11]Linea Madera '!$A$1:$F$445,6,FALSE)</f>
        <v>41.5</v>
      </c>
      <c r="F1591" s="22">
        <f>VLOOKUP(A1591,'[11]Linea Madera '!$A$1:$G$445,7,FALSE)</f>
        <v>46.9</v>
      </c>
    </row>
    <row r="1592" spans="1:6" x14ac:dyDescent="0.3">
      <c r="A1592" s="67" t="s">
        <v>1751</v>
      </c>
      <c r="B1592" s="65" t="s">
        <v>1752</v>
      </c>
      <c r="C1592" s="22">
        <f>VLOOKUP(A1592,'[11]Linea Madera '!$A$1:$D$445,4,FALSE)</f>
        <v>29.05</v>
      </c>
      <c r="D1592" s="22">
        <f>VLOOKUP(A1592,'[11]Linea Madera '!$A$1:$E$445,5,FALSE)</f>
        <v>32.83</v>
      </c>
      <c r="E1592" s="22">
        <f>VLOOKUP(A1592,'[11]Linea Madera '!$A$1:$F$445,6,FALSE)</f>
        <v>41.5</v>
      </c>
      <c r="F1592" s="22">
        <f>VLOOKUP(A1592,'[11]Linea Madera '!$A$1:$G$445,7,FALSE)</f>
        <v>46.9</v>
      </c>
    </row>
    <row r="1593" spans="1:6" x14ac:dyDescent="0.3">
      <c r="A1593" s="67" t="s">
        <v>1753</v>
      </c>
      <c r="B1593" s="65" t="s">
        <v>1754</v>
      </c>
      <c r="C1593" s="22">
        <f>VLOOKUP(A1593,'[11]Linea Madera '!$A$1:$D$445,4,FALSE)</f>
        <v>29.05</v>
      </c>
      <c r="D1593" s="22">
        <f>VLOOKUP(A1593,'[11]Linea Madera '!$A$1:$E$445,5,FALSE)</f>
        <v>32.83</v>
      </c>
      <c r="E1593" s="22">
        <f>VLOOKUP(A1593,'[11]Linea Madera '!$A$1:$F$445,6,FALSE)</f>
        <v>41.5</v>
      </c>
      <c r="F1593" s="22">
        <f>VLOOKUP(A1593,'[11]Linea Madera '!$A$1:$G$445,7,FALSE)</f>
        <v>46.9</v>
      </c>
    </row>
    <row r="1594" spans="1:6" x14ac:dyDescent="0.3">
      <c r="A1594" s="67" t="s">
        <v>1755</v>
      </c>
      <c r="B1594" s="65" t="s">
        <v>1756</v>
      </c>
      <c r="C1594" s="22">
        <f>VLOOKUP(A1594,'[11]Linea Madera '!$A$1:$D$445,4,FALSE)</f>
        <v>29.05</v>
      </c>
      <c r="D1594" s="22">
        <f>VLOOKUP(A1594,'[11]Linea Madera '!$A$1:$E$445,5,FALSE)</f>
        <v>32.83</v>
      </c>
      <c r="E1594" s="22">
        <f>VLOOKUP(A1594,'[11]Linea Madera '!$A$1:$F$445,6,FALSE)</f>
        <v>41.5</v>
      </c>
      <c r="F1594" s="22">
        <f>VLOOKUP(A1594,'[11]Linea Madera '!$A$1:$G$445,7,FALSE)</f>
        <v>46.9</v>
      </c>
    </row>
    <row r="1595" spans="1:6" x14ac:dyDescent="0.3">
      <c r="A1595" s="67" t="s">
        <v>1757</v>
      </c>
      <c r="B1595" s="65" t="s">
        <v>1758</v>
      </c>
      <c r="C1595" s="22">
        <f>VLOOKUP(A1595,'[11]Linea Madera '!$A$1:$D$445,4,FALSE)</f>
        <v>29.05</v>
      </c>
      <c r="D1595" s="22">
        <f>VLOOKUP(A1595,'[11]Linea Madera '!$A$1:$E$445,5,FALSE)</f>
        <v>32.83</v>
      </c>
      <c r="E1595" s="22">
        <f>VLOOKUP(A1595,'[11]Linea Madera '!$A$1:$F$445,6,FALSE)</f>
        <v>41.5</v>
      </c>
      <c r="F1595" s="22">
        <f>VLOOKUP(A1595,'[11]Linea Madera '!$A$1:$G$445,7,FALSE)</f>
        <v>46.9</v>
      </c>
    </row>
    <row r="1596" spans="1:6" x14ac:dyDescent="0.3">
      <c r="A1596" s="67" t="s">
        <v>1759</v>
      </c>
      <c r="B1596" s="65" t="s">
        <v>1748</v>
      </c>
      <c r="C1596" s="22">
        <f>VLOOKUP(A1596,'[11]Linea Madera '!$A$1:$D$445,4,FALSE)</f>
        <v>8.36</v>
      </c>
      <c r="D1596" s="22">
        <f>VLOOKUP(A1596,'[11]Linea Madera '!$A$1:$E$445,5,FALSE)</f>
        <v>9.4499999999999993</v>
      </c>
      <c r="E1596" s="22">
        <f>VLOOKUP(A1596,'[11]Linea Madera '!$A$1:$F$445,6,FALSE)</f>
        <v>11.95</v>
      </c>
      <c r="F1596" s="22">
        <f>VLOOKUP(A1596,'[11]Linea Madera '!$A$1:$G$445,7,FALSE)</f>
        <v>13.5</v>
      </c>
    </row>
    <row r="1597" spans="1:6" x14ac:dyDescent="0.3">
      <c r="A1597" s="67" t="s">
        <v>1760</v>
      </c>
      <c r="B1597" s="65" t="s">
        <v>1750</v>
      </c>
      <c r="C1597" s="22">
        <f>VLOOKUP(A1597,'[11]Linea Madera '!$A$1:$D$445,4,FALSE)</f>
        <v>8.36</v>
      </c>
      <c r="D1597" s="22">
        <f>VLOOKUP(A1597,'[11]Linea Madera '!$A$1:$E$445,5,FALSE)</f>
        <v>9.4499999999999993</v>
      </c>
      <c r="E1597" s="22">
        <f>VLOOKUP(A1597,'[11]Linea Madera '!$A$1:$F$445,6,FALSE)</f>
        <v>11.95</v>
      </c>
      <c r="F1597" s="22">
        <f>VLOOKUP(A1597,'[11]Linea Madera '!$A$1:$G$445,7,FALSE)</f>
        <v>13.5</v>
      </c>
    </row>
    <row r="1598" spans="1:6" x14ac:dyDescent="0.3">
      <c r="A1598" s="67" t="s">
        <v>1761</v>
      </c>
      <c r="B1598" s="65" t="s">
        <v>1752</v>
      </c>
      <c r="C1598" s="22">
        <f>VLOOKUP(A1598,'[11]Linea Madera '!$A$1:$D$445,4,FALSE)</f>
        <v>8.36</v>
      </c>
      <c r="D1598" s="22">
        <f>VLOOKUP(A1598,'[11]Linea Madera '!$A$1:$E$445,5,FALSE)</f>
        <v>9.4499999999999993</v>
      </c>
      <c r="E1598" s="22">
        <f>VLOOKUP(A1598,'[11]Linea Madera '!$A$1:$F$445,6,FALSE)</f>
        <v>11.95</v>
      </c>
      <c r="F1598" s="22">
        <f>VLOOKUP(A1598,'[11]Linea Madera '!$A$1:$G$445,7,FALSE)</f>
        <v>13.5</v>
      </c>
    </row>
    <row r="1599" spans="1:6" x14ac:dyDescent="0.3">
      <c r="A1599" s="67" t="s">
        <v>1762</v>
      </c>
      <c r="B1599" s="65" t="s">
        <v>1754</v>
      </c>
      <c r="C1599" s="22">
        <f>VLOOKUP(A1599,'[11]Linea Madera '!$A$1:$D$445,4,FALSE)</f>
        <v>8.36</v>
      </c>
      <c r="D1599" s="22">
        <f>VLOOKUP(A1599,'[11]Linea Madera '!$A$1:$E$445,5,FALSE)</f>
        <v>9.4499999999999993</v>
      </c>
      <c r="E1599" s="22">
        <f>VLOOKUP(A1599,'[11]Linea Madera '!$A$1:$F$445,6,FALSE)</f>
        <v>11.95</v>
      </c>
      <c r="F1599" s="22">
        <f>VLOOKUP(A1599,'[11]Linea Madera '!$A$1:$G$445,7,FALSE)</f>
        <v>13.5</v>
      </c>
    </row>
    <row r="1600" spans="1:6" x14ac:dyDescent="0.3">
      <c r="A1600" s="67" t="s">
        <v>1763</v>
      </c>
      <c r="B1600" s="65" t="s">
        <v>1756</v>
      </c>
      <c r="C1600" s="22">
        <f>VLOOKUP(A1600,'[11]Linea Madera '!$A$1:$D$445,4,FALSE)</f>
        <v>8.36</v>
      </c>
      <c r="D1600" s="22">
        <f>VLOOKUP(A1600,'[11]Linea Madera '!$A$1:$E$445,5,FALSE)</f>
        <v>9.4499999999999993</v>
      </c>
      <c r="E1600" s="22">
        <f>VLOOKUP(A1600,'[11]Linea Madera '!$A$1:$F$445,6,FALSE)</f>
        <v>11.95</v>
      </c>
      <c r="F1600" s="22">
        <f>VLOOKUP(A1600,'[11]Linea Madera '!$A$1:$G$445,7,FALSE)</f>
        <v>13.5</v>
      </c>
    </row>
    <row r="1601" spans="1:6" x14ac:dyDescent="0.3">
      <c r="A1601" s="67" t="s">
        <v>1764</v>
      </c>
      <c r="B1601" s="65" t="s">
        <v>1758</v>
      </c>
      <c r="C1601" s="22">
        <f>VLOOKUP(A1601,'[11]Linea Madera '!$A$1:$D$445,4,FALSE)</f>
        <v>8.36</v>
      </c>
      <c r="D1601" s="22">
        <f>VLOOKUP(A1601,'[11]Linea Madera '!$A$1:$E$445,5,FALSE)</f>
        <v>9.4499999999999993</v>
      </c>
      <c r="E1601" s="22">
        <f>VLOOKUP(A1601,'[11]Linea Madera '!$A$1:$F$445,6,FALSE)</f>
        <v>11.95</v>
      </c>
      <c r="F1601" s="22">
        <f>VLOOKUP(A1601,'[11]Linea Madera '!$A$1:$G$445,7,FALSE)</f>
        <v>13.5</v>
      </c>
    </row>
    <row r="1602" spans="1:6" x14ac:dyDescent="0.3">
      <c r="A1602" s="68" t="s">
        <v>1765</v>
      </c>
      <c r="B1602" s="65" t="s">
        <v>3780</v>
      </c>
      <c r="C1602" s="22">
        <f>VLOOKUP(A1602,'[11]Linea Madera '!$A$1:$D$445,4,FALSE)</f>
        <v>9.5</v>
      </c>
      <c r="D1602" s="22">
        <f>VLOOKUP(A1602,'[11]Linea Madera '!$A$1:$E$445,5,FALSE)</f>
        <v>10.73</v>
      </c>
      <c r="E1602" s="22">
        <f>VLOOKUP(A1602,'[11]Linea Madera '!$A$1:$F$445,6,FALSE)</f>
        <v>12.83</v>
      </c>
      <c r="F1602" s="22">
        <f>VLOOKUP(A1602,'[11]Linea Madera '!$A$1:$G$445,7,FALSE)</f>
        <v>14.5</v>
      </c>
    </row>
    <row r="1603" spans="1:6" x14ac:dyDescent="0.3">
      <c r="A1603" s="68" t="s">
        <v>1766</v>
      </c>
      <c r="B1603" s="65" t="s">
        <v>3781</v>
      </c>
      <c r="C1603" s="22">
        <f>VLOOKUP(A1603,'[11]Linea Madera '!$A$1:$D$445,4,FALSE)</f>
        <v>9.5</v>
      </c>
      <c r="D1603" s="22">
        <f>VLOOKUP(A1603,'[11]Linea Madera '!$A$1:$E$445,5,FALSE)</f>
        <v>10.73</v>
      </c>
      <c r="E1603" s="22">
        <f>VLOOKUP(A1603,'[11]Linea Madera '!$A$1:$F$445,6,FALSE)</f>
        <v>12.83</v>
      </c>
      <c r="F1603" s="22">
        <f>VLOOKUP(A1603,'[11]Linea Madera '!$A$1:$G$445,7,FALSE)</f>
        <v>14.5</v>
      </c>
    </row>
    <row r="1604" spans="1:6" x14ac:dyDescent="0.3">
      <c r="A1604" s="68" t="s">
        <v>1767</v>
      </c>
      <c r="B1604" s="65" t="s">
        <v>3782</v>
      </c>
      <c r="C1604" s="22">
        <f>VLOOKUP(A1604,'[11]Linea Madera '!$A$1:$D$445,4,FALSE)</f>
        <v>9.5</v>
      </c>
      <c r="D1604" s="22">
        <f>VLOOKUP(A1604,'[11]Linea Madera '!$A$1:$E$445,5,FALSE)</f>
        <v>10.73</v>
      </c>
      <c r="E1604" s="22">
        <f>VLOOKUP(A1604,'[11]Linea Madera '!$A$1:$F$445,6,FALSE)</f>
        <v>12.83</v>
      </c>
      <c r="F1604" s="22">
        <f>VLOOKUP(A1604,'[11]Linea Madera '!$A$1:$G$445,7,FALSE)</f>
        <v>14.5</v>
      </c>
    </row>
    <row r="1605" spans="1:6" x14ac:dyDescent="0.3">
      <c r="A1605" s="68" t="s">
        <v>1768</v>
      </c>
      <c r="B1605" s="65" t="s">
        <v>3783</v>
      </c>
      <c r="C1605" s="22">
        <f>VLOOKUP(A1605,'[11]Linea Madera '!$A$1:$D$445,4,FALSE)</f>
        <v>9.5</v>
      </c>
      <c r="D1605" s="22">
        <f>VLOOKUP(A1605,'[11]Linea Madera '!$A$1:$E$445,5,FALSE)</f>
        <v>10.73</v>
      </c>
      <c r="E1605" s="22">
        <f>VLOOKUP(A1605,'[11]Linea Madera '!$A$1:$F$445,6,FALSE)</f>
        <v>12.83</v>
      </c>
      <c r="F1605" s="22">
        <f>VLOOKUP(A1605,'[11]Linea Madera '!$A$1:$G$445,7,FALSE)</f>
        <v>14.5</v>
      </c>
    </row>
    <row r="1606" spans="1:6" x14ac:dyDescent="0.3">
      <c r="A1606" s="68" t="s">
        <v>3784</v>
      </c>
      <c r="B1606" s="65" t="s">
        <v>3785</v>
      </c>
      <c r="C1606" s="22">
        <f>VLOOKUP(A1606,'[11]Linea Madera '!$A$1:$D$445,4,FALSE)</f>
        <v>9.5</v>
      </c>
      <c r="D1606" s="22">
        <f>VLOOKUP(A1606,'[11]Linea Madera '!$A$1:$E$445,5,FALSE)</f>
        <v>10.73</v>
      </c>
      <c r="E1606" s="22">
        <f>VLOOKUP(A1606,'[11]Linea Madera '!$A$1:$F$445,6,FALSE)</f>
        <v>12.83</v>
      </c>
      <c r="F1606" s="22">
        <f>VLOOKUP(A1606,'[11]Linea Madera '!$A$1:$G$445,7,FALSE)</f>
        <v>14.5</v>
      </c>
    </row>
    <row r="1607" spans="1:6" x14ac:dyDescent="0.3">
      <c r="A1607" s="67" t="s">
        <v>1769</v>
      </c>
      <c r="B1607" s="65" t="s">
        <v>3780</v>
      </c>
      <c r="C1607" s="22">
        <f>VLOOKUP(A1607,'[11]Linea Madera '!$A$1:$D$445,4,FALSE)</f>
        <v>32.42</v>
      </c>
      <c r="D1607" s="22">
        <f>VLOOKUP(A1607,'[11]Linea Madera '!$A$1:$E$445,5,FALSE)</f>
        <v>36.630000000000003</v>
      </c>
      <c r="E1607" s="22">
        <f>VLOOKUP(A1607,'[11]Linea Madera '!$A$1:$F$445,6,FALSE)</f>
        <v>43.81</v>
      </c>
      <c r="F1607" s="22">
        <f>VLOOKUP(A1607,'[11]Linea Madera '!$A$1:$G$445,7,FALSE)</f>
        <v>49.5</v>
      </c>
    </row>
    <row r="1608" spans="1:6" x14ac:dyDescent="0.3">
      <c r="A1608" s="67" t="s">
        <v>1770</v>
      </c>
      <c r="B1608" s="65" t="s">
        <v>3781</v>
      </c>
      <c r="C1608" s="22">
        <f>VLOOKUP(A1608,'[11]Linea Madera '!$A$1:$D$445,4,FALSE)</f>
        <v>32.42</v>
      </c>
      <c r="D1608" s="22">
        <f>VLOOKUP(A1608,'[11]Linea Madera '!$A$1:$E$445,5,FALSE)</f>
        <v>36.630000000000003</v>
      </c>
      <c r="E1608" s="22">
        <f>VLOOKUP(A1608,'[11]Linea Madera '!$A$1:$F$445,6,FALSE)</f>
        <v>43.81</v>
      </c>
      <c r="F1608" s="22">
        <f>VLOOKUP(A1608,'[11]Linea Madera '!$A$1:$G$445,7,FALSE)</f>
        <v>49.5</v>
      </c>
    </row>
    <row r="1609" spans="1:6" x14ac:dyDescent="0.3">
      <c r="A1609" s="67" t="s">
        <v>1771</v>
      </c>
      <c r="B1609" s="65" t="s">
        <v>3782</v>
      </c>
      <c r="C1609" s="22">
        <f>VLOOKUP(A1609,'[11]Linea Madera '!$A$1:$D$445,4,FALSE)</f>
        <v>32.42</v>
      </c>
      <c r="D1609" s="22">
        <f>VLOOKUP(A1609,'[11]Linea Madera '!$A$1:$E$445,5,FALSE)</f>
        <v>36.630000000000003</v>
      </c>
      <c r="E1609" s="22">
        <f>VLOOKUP(A1609,'[11]Linea Madera '!$A$1:$F$445,6,FALSE)</f>
        <v>43.81</v>
      </c>
      <c r="F1609" s="22">
        <f>VLOOKUP(A1609,'[11]Linea Madera '!$A$1:$G$445,7,FALSE)</f>
        <v>49.5</v>
      </c>
    </row>
    <row r="1610" spans="1:6" x14ac:dyDescent="0.3">
      <c r="A1610" s="67" t="s">
        <v>1772</v>
      </c>
      <c r="B1610" s="65" t="s">
        <v>3783</v>
      </c>
      <c r="C1610" s="22">
        <f>VLOOKUP(A1610,'[11]Linea Madera '!$A$1:$D$445,4,FALSE)</f>
        <v>32.42</v>
      </c>
      <c r="D1610" s="22">
        <f>VLOOKUP(A1610,'[11]Linea Madera '!$A$1:$E$445,5,FALSE)</f>
        <v>36.630000000000003</v>
      </c>
      <c r="E1610" s="22">
        <f>VLOOKUP(A1610,'[11]Linea Madera '!$A$1:$F$445,6,FALSE)</f>
        <v>43.81</v>
      </c>
      <c r="F1610" s="22">
        <f>VLOOKUP(A1610,'[11]Linea Madera '!$A$1:$G$445,7,FALSE)</f>
        <v>49.5</v>
      </c>
    </row>
    <row r="1611" spans="1:6" x14ac:dyDescent="0.3">
      <c r="A1611" s="67" t="s">
        <v>1773</v>
      </c>
      <c r="B1611" s="65" t="s">
        <v>3785</v>
      </c>
      <c r="C1611" s="22">
        <f>VLOOKUP(A1611,'[11]Linea Madera '!$A$1:$D$445,4,FALSE)</f>
        <v>32.42</v>
      </c>
      <c r="D1611" s="22">
        <f>VLOOKUP(A1611,'[11]Linea Madera '!$A$1:$E$445,5,FALSE)</f>
        <v>36.630000000000003</v>
      </c>
      <c r="E1611" s="22">
        <f>VLOOKUP(A1611,'[11]Linea Madera '!$A$1:$F$445,6,FALSE)</f>
        <v>43.81</v>
      </c>
      <c r="F1611" s="22">
        <f>VLOOKUP(A1611,'[11]Linea Madera '!$A$1:$G$445,7,FALSE)</f>
        <v>49.5</v>
      </c>
    </row>
    <row r="1612" spans="1:6" x14ac:dyDescent="0.3">
      <c r="A1612" s="31" t="s">
        <v>1774</v>
      </c>
      <c r="B1612" s="65" t="s">
        <v>3786</v>
      </c>
      <c r="C1612" s="22">
        <f>VLOOKUP(A1612,'[11]Linea Madera '!$A$1:$D$445,4,FALSE)</f>
        <v>23.25</v>
      </c>
      <c r="D1612" s="22">
        <f>VLOOKUP(A1612,'[11]Linea Madera '!$A$1:$E$445,5,FALSE)</f>
        <v>26.27</v>
      </c>
      <c r="E1612" s="22">
        <f>VLOOKUP(A1612,'[11]Linea Madera '!$A$1:$F$445,6,FALSE)</f>
        <v>31.42</v>
      </c>
      <c r="F1612" s="22">
        <f>VLOOKUP(A1612,'[11]Linea Madera '!$A$1:$G$445,7,FALSE)</f>
        <v>35.5</v>
      </c>
    </row>
    <row r="1613" spans="1:6" x14ac:dyDescent="0.3">
      <c r="A1613" s="31" t="s">
        <v>1775</v>
      </c>
      <c r="B1613" s="65" t="s">
        <v>3786</v>
      </c>
      <c r="C1613" s="22">
        <f>VLOOKUP(A1613,'[11]Linea Madera '!$A$1:$D$445,4,FALSE)</f>
        <v>6.88</v>
      </c>
      <c r="D1613" s="22">
        <f>VLOOKUP(A1613,'[11]Linea Madera '!$A$1:$E$445,5,FALSE)</f>
        <v>7.77</v>
      </c>
      <c r="E1613" s="22">
        <f>VLOOKUP(A1613,'[11]Linea Madera '!$A$1:$F$445,6,FALSE)</f>
        <v>9.2899999999999991</v>
      </c>
      <c r="F1613" s="22">
        <f>VLOOKUP(A1613,'[11]Linea Madera '!$A$1:$G$445,7,FALSE)</f>
        <v>10.5</v>
      </c>
    </row>
    <row r="1614" spans="1:6" x14ac:dyDescent="0.3">
      <c r="A1614" s="31" t="s">
        <v>1776</v>
      </c>
      <c r="B1614" s="65" t="s">
        <v>3787</v>
      </c>
      <c r="C1614" s="22">
        <f>VLOOKUP(A1614,'[11]Linea Madera '!$A$1:$D$445,4,FALSE)</f>
        <v>38.31</v>
      </c>
      <c r="D1614" s="22">
        <f>VLOOKUP(A1614,'[11]Linea Madera '!$A$1:$E$445,5,FALSE)</f>
        <v>43.29</v>
      </c>
      <c r="E1614" s="22">
        <f>VLOOKUP(A1614,'[11]Linea Madera '!$A$1:$F$445,6,FALSE)</f>
        <v>49.12</v>
      </c>
      <c r="F1614" s="22">
        <f>VLOOKUP(A1614,'[11]Linea Madera '!$A$1:$G$445,7,FALSE)</f>
        <v>55.5</v>
      </c>
    </row>
    <row r="1615" spans="1:6" x14ac:dyDescent="0.3">
      <c r="A1615" s="31" t="s">
        <v>1777</v>
      </c>
      <c r="B1615" s="65" t="s">
        <v>3787</v>
      </c>
      <c r="C1615" s="22">
        <f>VLOOKUP(A1615,'[11]Linea Madera '!$A$1:$D$445,4,FALSE)</f>
        <v>10.97</v>
      </c>
      <c r="D1615" s="22">
        <f>VLOOKUP(A1615,'[11]Linea Madera '!$A$1:$E$445,5,FALSE)</f>
        <v>12.4</v>
      </c>
      <c r="E1615" s="22">
        <f>VLOOKUP(A1615,'[11]Linea Madera '!$A$1:$F$445,6,FALSE)</f>
        <v>14.07</v>
      </c>
      <c r="F1615" s="22">
        <f>VLOOKUP(A1615,'[11]Linea Madera '!$A$1:$G$445,7,FALSE)</f>
        <v>15.9</v>
      </c>
    </row>
    <row r="1616" spans="1:6" x14ac:dyDescent="0.3">
      <c r="A1616" s="31" t="s">
        <v>1778</v>
      </c>
      <c r="B1616" s="65" t="s">
        <v>3787</v>
      </c>
      <c r="C1616" s="22">
        <f>VLOOKUP(A1616,'[11]Linea Madera '!$A$1:$D$445,4,FALSE)</f>
        <v>5.87</v>
      </c>
      <c r="D1616" s="22">
        <f>VLOOKUP(A1616,'[11]Linea Madera '!$A$1:$E$445,5,FALSE)</f>
        <v>6.63</v>
      </c>
      <c r="E1616" s="22">
        <f>VLOOKUP(A1616,'[11]Linea Madera '!$A$1:$F$445,6,FALSE)</f>
        <v>7.52</v>
      </c>
      <c r="F1616" s="22">
        <f>VLOOKUP(A1616,'[11]Linea Madera '!$A$1:$G$445,7,FALSE)</f>
        <v>8.5</v>
      </c>
    </row>
    <row r="1617" spans="1:6" x14ac:dyDescent="0.3">
      <c r="A1617" s="67" t="s">
        <v>3169</v>
      </c>
      <c r="B1617" s="65" t="s">
        <v>3170</v>
      </c>
      <c r="C1617" s="22">
        <f>VLOOKUP(A1617,'[11]Linea Madera '!$A$1:$D$445,4,FALSE)</f>
        <v>25.21</v>
      </c>
      <c r="D1617" s="22">
        <f>VLOOKUP(A1617,'[11]Linea Madera '!$A$1:$E$445,5,FALSE)</f>
        <v>28.49</v>
      </c>
      <c r="E1617" s="22">
        <f>VLOOKUP(A1617,'[11]Linea Madera '!$A$1:$F$445,6,FALSE)</f>
        <v>34.07</v>
      </c>
      <c r="F1617" s="22">
        <f>VLOOKUP(A1617,'[11]Linea Madera '!$A$1:$G$445,7,FALSE)</f>
        <v>38.5</v>
      </c>
    </row>
    <row r="1618" spans="1:6" x14ac:dyDescent="0.3">
      <c r="A1618" s="67" t="s">
        <v>3171</v>
      </c>
      <c r="B1618" s="65" t="s">
        <v>3170</v>
      </c>
      <c r="C1618" s="22">
        <f>VLOOKUP(A1618,'[11]Linea Madera '!$A$1:$D$445,4,FALSE)</f>
        <v>7.14</v>
      </c>
      <c r="D1618" s="22">
        <f>VLOOKUP(A1618,'[11]Linea Madera '!$A$1:$E$445,5,FALSE)</f>
        <v>8.07</v>
      </c>
      <c r="E1618" s="22">
        <f>VLOOKUP(A1618,'[11]Linea Madera '!$A$1:$F$445,6,FALSE)</f>
        <v>9.65</v>
      </c>
      <c r="F1618" s="22">
        <f>VLOOKUP(A1618,'[11]Linea Madera '!$A$1:$G$445,7,FALSE)</f>
        <v>10.9</v>
      </c>
    </row>
    <row r="1619" spans="1:6" x14ac:dyDescent="0.3">
      <c r="A1619" s="67" t="s">
        <v>3172</v>
      </c>
      <c r="B1619" s="65" t="s">
        <v>3173</v>
      </c>
      <c r="C1619" s="22">
        <f>VLOOKUP(A1619,'[11]Linea Madera '!$A$1:$D$445,4,FALSE)</f>
        <v>25.21</v>
      </c>
      <c r="D1619" s="22">
        <f>VLOOKUP(A1619,'[11]Linea Madera '!$A$1:$E$445,5,FALSE)</f>
        <v>28.49</v>
      </c>
      <c r="E1619" s="22">
        <f>VLOOKUP(A1619,'[11]Linea Madera '!$A$1:$F$445,6,FALSE)</f>
        <v>34.07</v>
      </c>
      <c r="F1619" s="22">
        <f>VLOOKUP(A1619,'[11]Linea Madera '!$A$1:$G$445,7,FALSE)</f>
        <v>38.5</v>
      </c>
    </row>
    <row r="1620" spans="1:6" x14ac:dyDescent="0.3">
      <c r="A1620" s="67" t="s">
        <v>3174</v>
      </c>
      <c r="B1620" s="65" t="s">
        <v>3173</v>
      </c>
      <c r="C1620" s="22">
        <f>VLOOKUP(A1620,'[11]Linea Madera '!$A$1:$D$445,4,FALSE)</f>
        <v>7.14</v>
      </c>
      <c r="D1620" s="22">
        <f>VLOOKUP(A1620,'[11]Linea Madera '!$A$1:$E$445,5,FALSE)</f>
        <v>8.07</v>
      </c>
      <c r="E1620" s="22">
        <f>VLOOKUP(A1620,'[11]Linea Madera '!$A$1:$F$445,6,FALSE)</f>
        <v>9.65</v>
      </c>
      <c r="F1620" s="22">
        <f>VLOOKUP(A1620,'[11]Linea Madera '!$A$1:$G$445,7,FALSE)</f>
        <v>10.9</v>
      </c>
    </row>
    <row r="1621" spans="1:6" x14ac:dyDescent="0.3">
      <c r="A1621" s="67" t="s">
        <v>3175</v>
      </c>
      <c r="B1621" s="65" t="s">
        <v>3176</v>
      </c>
      <c r="C1621" s="22">
        <f>VLOOKUP(A1621,'[11]Linea Madera '!$A$1:$D$445,4,FALSE)</f>
        <v>25.21</v>
      </c>
      <c r="D1621" s="22">
        <f>VLOOKUP(A1621,'[11]Linea Madera '!$A$1:$E$445,5,FALSE)</f>
        <v>28.49</v>
      </c>
      <c r="E1621" s="22">
        <f>VLOOKUP(A1621,'[11]Linea Madera '!$A$1:$F$445,6,FALSE)</f>
        <v>34.07</v>
      </c>
      <c r="F1621" s="22">
        <f>VLOOKUP(A1621,'[11]Linea Madera '!$A$1:$G$445,7,FALSE)</f>
        <v>38.5</v>
      </c>
    </row>
    <row r="1622" spans="1:6" x14ac:dyDescent="0.3">
      <c r="A1622" s="67" t="s">
        <v>3177</v>
      </c>
      <c r="B1622" s="65" t="s">
        <v>3176</v>
      </c>
      <c r="C1622" s="22">
        <f>VLOOKUP(A1622,'[11]Linea Madera '!$A$1:$D$445,4,FALSE)</f>
        <v>7.14</v>
      </c>
      <c r="D1622" s="22">
        <f>VLOOKUP(A1622,'[11]Linea Madera '!$A$1:$E$445,5,FALSE)</f>
        <v>8.07</v>
      </c>
      <c r="E1622" s="22">
        <f>VLOOKUP(A1622,'[11]Linea Madera '!$A$1:$F$445,6,FALSE)</f>
        <v>9.65</v>
      </c>
      <c r="F1622" s="22">
        <f>VLOOKUP(A1622,'[11]Linea Madera '!$A$1:$G$445,7,FALSE)</f>
        <v>10.9</v>
      </c>
    </row>
    <row r="1623" spans="1:6" x14ac:dyDescent="0.3">
      <c r="A1623" s="31" t="s">
        <v>1779</v>
      </c>
      <c r="B1623" s="65" t="s">
        <v>3788</v>
      </c>
      <c r="C1623" s="22">
        <f>VLOOKUP(A1623,'[11]Linea Madera '!$A$1:$D$445,4,FALSE)</f>
        <v>11.26</v>
      </c>
      <c r="D1623" s="22">
        <f>VLOOKUP(A1623,'[11]Linea Madera '!$A$1:$E$445,5,FALSE)</f>
        <v>12.72</v>
      </c>
      <c r="E1623" s="22">
        <f>VLOOKUP(A1623,'[11]Linea Madera '!$A$1:$F$445,6,FALSE)</f>
        <v>14.07</v>
      </c>
      <c r="F1623" s="22">
        <f>VLOOKUP(A1623,'[11]Linea Madera '!$A$1:$G$445,7,FALSE)</f>
        <v>15.9</v>
      </c>
    </row>
    <row r="1624" spans="1:6" x14ac:dyDescent="0.3">
      <c r="A1624" s="32" t="s">
        <v>1780</v>
      </c>
      <c r="B1624" s="65" t="s">
        <v>3789</v>
      </c>
      <c r="C1624" s="22">
        <f>VLOOKUP(A1624,'[11]Linea Madera '!$A$1:$D$445,4,FALSE)</f>
        <v>24.82</v>
      </c>
      <c r="D1624" s="22">
        <f>VLOOKUP(A1624,'[11]Linea Madera '!$A$1:$E$445,5,FALSE)</f>
        <v>28.05</v>
      </c>
      <c r="E1624" s="22">
        <f>VLOOKUP(A1624,'[11]Linea Madera '!$A$1:$F$445,6,FALSE)</f>
        <v>33.54</v>
      </c>
      <c r="F1624" s="22">
        <f>VLOOKUP(A1624,'[11]Linea Madera '!$A$1:$G$445,7,FALSE)</f>
        <v>37.9</v>
      </c>
    </row>
    <row r="1625" spans="1:6" x14ac:dyDescent="0.3">
      <c r="A1625" s="32" t="s">
        <v>1777</v>
      </c>
      <c r="B1625" s="65" t="s">
        <v>3787</v>
      </c>
      <c r="C1625" s="22">
        <f>VLOOKUP(A1625,'[11]Linea Madera '!$A$1:$D$445,4,FALSE)</f>
        <v>10.97</v>
      </c>
      <c r="D1625" s="22">
        <f>VLOOKUP(A1625,'[11]Linea Madera '!$A$1:$E$445,5,FALSE)</f>
        <v>12.4</v>
      </c>
      <c r="E1625" s="22">
        <f>VLOOKUP(A1625,'[11]Linea Madera '!$A$1:$F$445,6,FALSE)</f>
        <v>14.07</v>
      </c>
      <c r="F1625" s="22">
        <f>VLOOKUP(A1625,'[11]Linea Madera '!$A$1:$G$445,7,FALSE)</f>
        <v>15.9</v>
      </c>
    </row>
    <row r="1626" spans="1:6" x14ac:dyDescent="0.3">
      <c r="A1626" s="32" t="s">
        <v>1781</v>
      </c>
      <c r="B1626" s="65" t="s">
        <v>3790</v>
      </c>
      <c r="C1626" s="22">
        <f>VLOOKUP(A1626,'[11]Linea Madera '!$A$1:$D$445,4,FALSE)</f>
        <v>27.54</v>
      </c>
      <c r="D1626" s="22">
        <f>VLOOKUP(A1626,'[11]Linea Madera '!$A$1:$E$445,5,FALSE)</f>
        <v>31.12</v>
      </c>
      <c r="E1626" s="22">
        <f>VLOOKUP(A1626,'[11]Linea Madera '!$A$1:$F$445,6,FALSE)</f>
        <v>35.31</v>
      </c>
      <c r="F1626" s="22">
        <f>VLOOKUP(A1626,'[11]Linea Madera '!$A$1:$G$445,7,FALSE)</f>
        <v>39.9</v>
      </c>
    </row>
    <row r="1627" spans="1:6" x14ac:dyDescent="0.3">
      <c r="A1627" s="32" t="s">
        <v>1782</v>
      </c>
      <c r="B1627" s="65" t="s">
        <v>3791</v>
      </c>
      <c r="C1627" s="22">
        <f>VLOOKUP(A1627,'[11]Linea Madera '!$A$1:$D$445,4,FALSE)</f>
        <v>27.54</v>
      </c>
      <c r="D1627" s="22">
        <f>VLOOKUP(A1627,'[11]Linea Madera '!$A$1:$E$445,5,FALSE)</f>
        <v>31.12</v>
      </c>
      <c r="E1627" s="22">
        <f>VLOOKUP(A1627,'[11]Linea Madera '!$A$1:$F$445,6,FALSE)</f>
        <v>35.31</v>
      </c>
      <c r="F1627" s="22">
        <f>VLOOKUP(A1627,'[11]Linea Madera '!$A$1:$G$445,7,FALSE)</f>
        <v>39.9</v>
      </c>
    </row>
    <row r="1628" spans="1:6" x14ac:dyDescent="0.3">
      <c r="A1628" s="32" t="s">
        <v>1783</v>
      </c>
      <c r="B1628" s="65" t="s">
        <v>3792</v>
      </c>
      <c r="C1628" s="22">
        <f>VLOOKUP(A1628,'[11]Linea Madera '!$A$1:$D$445,4,FALSE)</f>
        <v>10.28</v>
      </c>
      <c r="D1628" s="22">
        <f>VLOOKUP(A1628,'[11]Linea Madera '!$A$1:$E$445,5,FALSE)</f>
        <v>11.62</v>
      </c>
      <c r="E1628" s="22">
        <f>VLOOKUP(A1628,'[11]Linea Madera '!$A$1:$F$445,6,FALSE)</f>
        <v>13.19</v>
      </c>
      <c r="F1628" s="22">
        <f>VLOOKUP(A1628,'[11]Linea Madera '!$A$1:$G$445,7,FALSE)</f>
        <v>14.9</v>
      </c>
    </row>
    <row r="1629" spans="1:6" x14ac:dyDescent="0.3">
      <c r="A1629" s="32" t="s">
        <v>1784</v>
      </c>
      <c r="B1629" s="65" t="s">
        <v>3793</v>
      </c>
      <c r="C1629" s="22">
        <f>VLOOKUP(A1629,'[11]Linea Madera '!$A$1:$D$445,4,FALSE)</f>
        <v>25.42</v>
      </c>
      <c r="D1629" s="22">
        <f>VLOOKUP(A1629,'[11]Linea Madera '!$A$1:$E$445,5,FALSE)</f>
        <v>28.73</v>
      </c>
      <c r="E1629" s="22">
        <f>VLOOKUP(A1629,'[11]Linea Madera '!$A$1:$F$445,6,FALSE)</f>
        <v>35.31</v>
      </c>
      <c r="F1629" s="22">
        <f>VLOOKUP(A1629,'[11]Linea Madera '!$A$1:$G$445,7,FALSE)</f>
        <v>39.9</v>
      </c>
    </row>
    <row r="1630" spans="1:6" x14ac:dyDescent="0.3">
      <c r="A1630" s="31" t="s">
        <v>1785</v>
      </c>
      <c r="B1630" s="65" t="s">
        <v>3794</v>
      </c>
      <c r="C1630" s="22">
        <f>VLOOKUP(A1630,'[11]Linea Madera '!$A$1:$D$445,4,FALSE)</f>
        <v>28.61</v>
      </c>
      <c r="D1630" s="22">
        <f>VLOOKUP(A1630,'[11]Linea Madera '!$A$1:$E$445,5,FALSE)</f>
        <v>32.33</v>
      </c>
      <c r="E1630" s="22">
        <f>VLOOKUP(A1630,'[11]Linea Madera '!$A$1:$F$445,6,FALSE)</f>
        <v>39.729999999999997</v>
      </c>
      <c r="F1630" s="22">
        <f>VLOOKUP(A1630,'[11]Linea Madera '!$A$1:$G$445,7,FALSE)</f>
        <v>44.9</v>
      </c>
    </row>
    <row r="1631" spans="1:6" x14ac:dyDescent="0.3">
      <c r="A1631" s="31" t="s">
        <v>1786</v>
      </c>
      <c r="B1631" s="65" t="s">
        <v>3795</v>
      </c>
      <c r="C1631" s="22">
        <f>VLOOKUP(A1631,'[11]Linea Madera '!$A$1:$D$445,4,FALSE)</f>
        <v>31.54</v>
      </c>
      <c r="D1631" s="22">
        <f>VLOOKUP(A1631,'[11]Linea Madera '!$A$1:$E$445,5,FALSE)</f>
        <v>35.64</v>
      </c>
      <c r="E1631" s="22">
        <f>VLOOKUP(A1631,'[11]Linea Madera '!$A$1:$F$445,6,FALSE)</f>
        <v>43.81</v>
      </c>
      <c r="F1631" s="22">
        <f>VLOOKUP(A1631,'[11]Linea Madera '!$A$1:$G$445,7,FALSE)</f>
        <v>49.5</v>
      </c>
    </row>
    <row r="1632" spans="1:6" x14ac:dyDescent="0.3">
      <c r="A1632" s="31" t="s">
        <v>1787</v>
      </c>
      <c r="B1632" s="65" t="s">
        <v>3796</v>
      </c>
      <c r="C1632" s="22">
        <f>VLOOKUP(A1632,'[11]Linea Madera '!$A$1:$D$445,4,FALSE)</f>
        <v>9.9700000000000006</v>
      </c>
      <c r="D1632" s="22">
        <f>VLOOKUP(A1632,'[11]Linea Madera '!$A$1:$E$445,5,FALSE)</f>
        <v>11.27</v>
      </c>
      <c r="E1632" s="22">
        <f>VLOOKUP(A1632,'[11]Linea Madera '!$A$1:$F$445,6,FALSE)</f>
        <v>14.25</v>
      </c>
      <c r="F1632" s="22">
        <f>VLOOKUP(A1632,'[11]Linea Madera '!$A$1:$G$445,7,FALSE)</f>
        <v>16.100000000000001</v>
      </c>
    </row>
    <row r="1633" spans="1:6" x14ac:dyDescent="0.3">
      <c r="A1633" s="31" t="s">
        <v>1788</v>
      </c>
      <c r="B1633" s="65" t="s">
        <v>3797</v>
      </c>
      <c r="C1633" s="22">
        <f>VLOOKUP(A1633,'[11]Linea Madera '!$A$1:$D$445,4,FALSE)</f>
        <v>9.9700000000000006</v>
      </c>
      <c r="D1633" s="22">
        <f>VLOOKUP(A1633,'[11]Linea Madera '!$A$1:$E$445,5,FALSE)</f>
        <v>11.27</v>
      </c>
      <c r="E1633" s="22">
        <f>VLOOKUP(A1633,'[11]Linea Madera '!$A$1:$F$445,6,FALSE)</f>
        <v>14.25</v>
      </c>
      <c r="F1633" s="22">
        <f>VLOOKUP(A1633,'[11]Linea Madera '!$A$1:$G$445,7,FALSE)</f>
        <v>16.100000000000001</v>
      </c>
    </row>
    <row r="1634" spans="1:6" x14ac:dyDescent="0.3">
      <c r="A1634" s="31" t="s">
        <v>1789</v>
      </c>
      <c r="B1634" s="65" t="s">
        <v>3798</v>
      </c>
      <c r="C1634" s="22">
        <f>VLOOKUP(A1634,'[11]Linea Madera '!$A$1:$D$445,4,FALSE)</f>
        <v>9.9700000000000006</v>
      </c>
      <c r="D1634" s="22">
        <f>VLOOKUP(A1634,'[11]Linea Madera '!$A$1:$E$445,5,FALSE)</f>
        <v>11.27</v>
      </c>
      <c r="E1634" s="22">
        <f>VLOOKUP(A1634,'[11]Linea Madera '!$A$1:$F$445,6,FALSE)</f>
        <v>14.25</v>
      </c>
      <c r="F1634" s="22">
        <f>VLOOKUP(A1634,'[11]Linea Madera '!$A$1:$G$445,7,FALSE)</f>
        <v>16.100000000000001</v>
      </c>
    </row>
    <row r="1635" spans="1:6" x14ac:dyDescent="0.3">
      <c r="A1635" s="69" t="s">
        <v>3799</v>
      </c>
      <c r="B1635" s="65" t="s">
        <v>3800</v>
      </c>
      <c r="C1635" s="22">
        <f>VLOOKUP(A1635,'[11]Linea Madera '!$A$1:$D$445,4,FALSE)</f>
        <v>37.11</v>
      </c>
      <c r="D1635" s="22">
        <f>VLOOKUP(A1635,'[11]Linea Madera '!$A$1:$E$445,5,FALSE)</f>
        <v>41.93</v>
      </c>
      <c r="E1635" s="22">
        <f>VLOOKUP(A1635,'[11]Linea Madera '!$A$1:$F$445,6,FALSE)</f>
        <v>53.01</v>
      </c>
      <c r="F1635" s="22">
        <f>VLOOKUP(A1635,'[11]Linea Madera '!$A$1:$G$445,7,FALSE)</f>
        <v>59.9</v>
      </c>
    </row>
    <row r="1636" spans="1:6" x14ac:dyDescent="0.3">
      <c r="A1636" s="31" t="s">
        <v>1790</v>
      </c>
      <c r="B1636" s="65" t="s">
        <v>3796</v>
      </c>
      <c r="C1636" s="22">
        <f>VLOOKUP(A1636,'[11]Linea Madera '!$A$1:$D$445,4,FALSE)</f>
        <v>37.11</v>
      </c>
      <c r="D1636" s="22">
        <f>VLOOKUP(A1636,'[11]Linea Madera '!$A$1:$E$445,5,FALSE)</f>
        <v>41.93</v>
      </c>
      <c r="E1636" s="22">
        <f>VLOOKUP(A1636,'[11]Linea Madera '!$A$1:$F$445,6,FALSE)</f>
        <v>53.01</v>
      </c>
      <c r="F1636" s="22">
        <f>VLOOKUP(A1636,'[11]Linea Madera '!$A$1:$G$445,7,FALSE)</f>
        <v>59.9</v>
      </c>
    </row>
    <row r="1637" spans="1:6" x14ac:dyDescent="0.3">
      <c r="A1637" s="31" t="s">
        <v>1791</v>
      </c>
      <c r="B1637" s="65" t="s">
        <v>3798</v>
      </c>
      <c r="C1637" s="22">
        <f>VLOOKUP(A1637,'[11]Linea Madera '!$A$1:$D$445,4,FALSE)</f>
        <v>37.11</v>
      </c>
      <c r="D1637" s="22">
        <f>VLOOKUP(A1637,'[11]Linea Madera '!$A$1:$E$445,5,FALSE)</f>
        <v>41.93</v>
      </c>
      <c r="E1637" s="22">
        <f>VLOOKUP(A1637,'[11]Linea Madera '!$A$1:$F$445,6,FALSE)</f>
        <v>53.01</v>
      </c>
      <c r="F1637" s="22">
        <f>VLOOKUP(A1637,'[11]Linea Madera '!$A$1:$G$445,7,FALSE)</f>
        <v>59.9</v>
      </c>
    </row>
    <row r="1638" spans="1:6" x14ac:dyDescent="0.3">
      <c r="A1638" s="31" t="s">
        <v>1792</v>
      </c>
      <c r="B1638" s="65" t="s">
        <v>3797</v>
      </c>
      <c r="C1638" s="22">
        <f>VLOOKUP(A1638,'[11]Linea Madera '!$A$1:$D$445,4,FALSE)</f>
        <v>37.11</v>
      </c>
      <c r="D1638" s="22">
        <f>VLOOKUP(A1638,'[11]Linea Madera '!$A$1:$E$445,5,FALSE)</f>
        <v>41.93</v>
      </c>
      <c r="E1638" s="22">
        <f>VLOOKUP(A1638,'[11]Linea Madera '!$A$1:$F$445,6,FALSE)</f>
        <v>53.01</v>
      </c>
      <c r="F1638" s="22">
        <f>VLOOKUP(A1638,'[11]Linea Madera '!$A$1:$G$445,7,FALSE)</f>
        <v>59.9</v>
      </c>
    </row>
    <row r="1639" spans="1:6" x14ac:dyDescent="0.3">
      <c r="A1639" s="31" t="s">
        <v>1793</v>
      </c>
      <c r="B1639" s="65" t="s">
        <v>3801</v>
      </c>
      <c r="C1639" s="22">
        <f>VLOOKUP(A1639,'[11]Linea Madera '!$A$1:$D$445,4,FALSE)</f>
        <v>36.61</v>
      </c>
      <c r="D1639" s="22">
        <f>VLOOKUP(A1639,'[11]Linea Madera '!$A$1:$E$445,5,FALSE)</f>
        <v>41.37</v>
      </c>
      <c r="E1639" s="22">
        <f>VLOOKUP(A1639,'[11]Linea Madera '!$A$1:$F$445,6,FALSE)</f>
        <v>49.47</v>
      </c>
      <c r="F1639" s="22">
        <f>VLOOKUP(A1639,'[11]Linea Madera '!$A$1:$G$445,7,FALSE)</f>
        <v>55.9</v>
      </c>
    </row>
    <row r="1640" spans="1:6" x14ac:dyDescent="0.3">
      <c r="A1640" s="31" t="s">
        <v>1794</v>
      </c>
      <c r="B1640" s="65" t="s">
        <v>3802</v>
      </c>
      <c r="C1640" s="22">
        <f>VLOOKUP(A1640,'[11]Linea Madera '!$A$1:$D$445,4,FALSE)</f>
        <v>10.81</v>
      </c>
      <c r="D1640" s="22">
        <f>VLOOKUP(A1640,'[11]Linea Madera '!$A$1:$E$445,5,FALSE)</f>
        <v>12.21</v>
      </c>
      <c r="E1640" s="22">
        <f>VLOOKUP(A1640,'[11]Linea Madera '!$A$1:$F$445,6,FALSE)</f>
        <v>14.6</v>
      </c>
      <c r="F1640" s="22">
        <f>VLOOKUP(A1640,'[11]Linea Madera '!$A$1:$G$445,7,FALSE)</f>
        <v>16.5</v>
      </c>
    </row>
    <row r="1641" spans="1:6" x14ac:dyDescent="0.3">
      <c r="A1641" s="31" t="s">
        <v>1795</v>
      </c>
      <c r="B1641" s="65" t="s">
        <v>1796</v>
      </c>
      <c r="C1641" s="22">
        <f>VLOOKUP(A1641,'[11]Linea Madera '!$A$1:$D$445,4,FALSE)</f>
        <v>9.23</v>
      </c>
      <c r="D1641" s="22">
        <f>VLOOKUP(A1641,'[11]Linea Madera '!$A$1:$E$445,5,FALSE)</f>
        <v>10.43</v>
      </c>
      <c r="E1641" s="22">
        <f>VLOOKUP(A1641,'[11]Linea Madera '!$A$1:$F$445,6,FALSE)</f>
        <v>13.19</v>
      </c>
      <c r="F1641" s="22">
        <f>VLOOKUP(A1641,'[11]Linea Madera '!$A$1:$G$445,7,FALSE)</f>
        <v>14.9</v>
      </c>
    </row>
    <row r="1642" spans="1:6" x14ac:dyDescent="0.3">
      <c r="A1642" s="31" t="s">
        <v>1797</v>
      </c>
      <c r="B1642" s="65" t="s">
        <v>1796</v>
      </c>
      <c r="C1642" s="22">
        <f>VLOOKUP(A1642,'[11]Linea Madera '!$A$1:$D$445,4,FALSE)</f>
        <v>31.9</v>
      </c>
      <c r="D1642" s="22">
        <f>VLOOKUP(A1642,'[11]Linea Madera '!$A$1:$E$445,5,FALSE)</f>
        <v>36.049999999999997</v>
      </c>
      <c r="E1642" s="22">
        <f>VLOOKUP(A1642,'[11]Linea Madera '!$A$1:$F$445,6,FALSE)</f>
        <v>45.58</v>
      </c>
      <c r="F1642" s="22">
        <f>VLOOKUP(A1642,'[11]Linea Madera '!$A$1:$G$445,7,FALSE)</f>
        <v>51.5</v>
      </c>
    </row>
    <row r="1643" spans="1:6" x14ac:dyDescent="0.3">
      <c r="A1643" s="31" t="s">
        <v>1798</v>
      </c>
      <c r="B1643" s="65" t="s">
        <v>3803</v>
      </c>
      <c r="C1643" s="22">
        <f>VLOOKUP(A1643,'[11]Linea Madera '!$A$1:$D$445,4,FALSE)</f>
        <v>43.67</v>
      </c>
      <c r="D1643" s="22">
        <f>VLOOKUP(A1643,'[11]Linea Madera '!$A$1:$E$445,5,FALSE)</f>
        <v>49.35</v>
      </c>
      <c r="E1643" s="22">
        <f>VLOOKUP(A1643,'[11]Linea Madera '!$A$1:$F$445,6,FALSE)</f>
        <v>62.39</v>
      </c>
      <c r="F1643" s="22">
        <f>VLOOKUP(A1643,'[11]Linea Madera '!$A$1:$G$445,7,FALSE)</f>
        <v>70.5</v>
      </c>
    </row>
    <row r="1644" spans="1:6" x14ac:dyDescent="0.3">
      <c r="A1644" s="31" t="s">
        <v>1799</v>
      </c>
      <c r="B1644" s="65" t="s">
        <v>3803</v>
      </c>
      <c r="C1644" s="22">
        <f>VLOOKUP(A1644,'[11]Linea Madera '!$A$1:$D$445,4,FALSE)</f>
        <v>11.46</v>
      </c>
      <c r="D1644" s="22">
        <f>VLOOKUP(A1644,'[11]Linea Madera '!$A$1:$E$445,5,FALSE)</f>
        <v>12.95</v>
      </c>
      <c r="E1644" s="22">
        <f>VLOOKUP(A1644,'[11]Linea Madera '!$A$1:$F$445,6,FALSE)</f>
        <v>16.37</v>
      </c>
      <c r="F1644" s="22">
        <f>VLOOKUP(A1644,'[11]Linea Madera '!$A$1:$G$445,7,FALSE)</f>
        <v>18.5</v>
      </c>
    </row>
    <row r="1645" spans="1:6" x14ac:dyDescent="0.3">
      <c r="A1645" s="31" t="s">
        <v>1800</v>
      </c>
      <c r="B1645" s="65" t="s">
        <v>3804</v>
      </c>
      <c r="C1645" s="22">
        <f>VLOOKUP(A1645,'[11]Linea Madera '!$A$1:$D$445,4,FALSE)</f>
        <v>43.67</v>
      </c>
      <c r="D1645" s="22">
        <f>VLOOKUP(A1645,'[11]Linea Madera '!$A$1:$E$445,5,FALSE)</f>
        <v>49.35</v>
      </c>
      <c r="E1645" s="22">
        <f>VLOOKUP(A1645,'[11]Linea Madera '!$A$1:$F$445,6,FALSE)</f>
        <v>62.39</v>
      </c>
      <c r="F1645" s="22">
        <f>VLOOKUP(A1645,'[11]Linea Madera '!$A$1:$G$445,7,FALSE)</f>
        <v>70.5</v>
      </c>
    </row>
    <row r="1646" spans="1:6" x14ac:dyDescent="0.3">
      <c r="A1646" s="31" t="s">
        <v>1801</v>
      </c>
      <c r="B1646" s="65" t="s">
        <v>3804</v>
      </c>
      <c r="C1646" s="22">
        <f>VLOOKUP(A1646,'[11]Linea Madera '!$A$1:$D$445,4,FALSE)</f>
        <v>11.46</v>
      </c>
      <c r="D1646" s="22">
        <f>VLOOKUP(A1646,'[11]Linea Madera '!$A$1:$E$445,5,FALSE)</f>
        <v>12.95</v>
      </c>
      <c r="E1646" s="22">
        <f>VLOOKUP(A1646,'[11]Linea Madera '!$A$1:$F$445,6,FALSE)</f>
        <v>16.37</v>
      </c>
      <c r="F1646" s="22">
        <f>VLOOKUP(A1646,'[11]Linea Madera '!$A$1:$G$445,7,FALSE)</f>
        <v>18.5</v>
      </c>
    </row>
    <row r="1647" spans="1:6" x14ac:dyDescent="0.3">
      <c r="A1647" s="31" t="s">
        <v>1802</v>
      </c>
      <c r="B1647" s="65" t="s">
        <v>3805</v>
      </c>
      <c r="C1647" s="22">
        <f>VLOOKUP(A1647,'[11]Linea Madera '!$A$1:$D$445,4,FALSE)</f>
        <v>43.67</v>
      </c>
      <c r="D1647" s="22">
        <f>VLOOKUP(A1647,'[11]Linea Madera '!$A$1:$E$445,5,FALSE)</f>
        <v>49.35</v>
      </c>
      <c r="E1647" s="22">
        <f>VLOOKUP(A1647,'[11]Linea Madera '!$A$1:$F$445,6,FALSE)</f>
        <v>62.39</v>
      </c>
      <c r="F1647" s="22">
        <f>VLOOKUP(A1647,'[11]Linea Madera '!$A$1:$G$445,7,FALSE)</f>
        <v>70.5</v>
      </c>
    </row>
    <row r="1648" spans="1:6" x14ac:dyDescent="0.3">
      <c r="A1648" s="31" t="s">
        <v>1803</v>
      </c>
      <c r="B1648" s="65" t="s">
        <v>3805</v>
      </c>
      <c r="C1648" s="22">
        <f>VLOOKUP(A1648,'[11]Linea Madera '!$A$1:$D$445,4,FALSE)</f>
        <v>11.46</v>
      </c>
      <c r="D1648" s="22">
        <f>VLOOKUP(A1648,'[11]Linea Madera '!$A$1:$E$445,5,FALSE)</f>
        <v>12.95</v>
      </c>
      <c r="E1648" s="22">
        <f>VLOOKUP(A1648,'[11]Linea Madera '!$A$1:$F$445,6,FALSE)</f>
        <v>16.37</v>
      </c>
      <c r="F1648" s="22">
        <f>VLOOKUP(A1648,'[11]Linea Madera '!$A$1:$G$445,7,FALSE)</f>
        <v>18.5</v>
      </c>
    </row>
    <row r="1649" spans="1:6" x14ac:dyDescent="0.3">
      <c r="A1649" s="31" t="s">
        <v>1804</v>
      </c>
      <c r="B1649" s="65" t="s">
        <v>3806</v>
      </c>
      <c r="C1649" s="22">
        <f>VLOOKUP(A1649,'[11]Linea Madera '!$A$1:$D$445,4,FALSE)</f>
        <v>43.67</v>
      </c>
      <c r="D1649" s="22">
        <f>VLOOKUP(A1649,'[11]Linea Madera '!$A$1:$E$445,5,FALSE)</f>
        <v>49.35</v>
      </c>
      <c r="E1649" s="22">
        <f>VLOOKUP(A1649,'[11]Linea Madera '!$A$1:$F$445,6,FALSE)</f>
        <v>62.39</v>
      </c>
      <c r="F1649" s="22">
        <f>VLOOKUP(A1649,'[11]Linea Madera '!$A$1:$G$445,7,FALSE)</f>
        <v>70.5</v>
      </c>
    </row>
    <row r="1650" spans="1:6" x14ac:dyDescent="0.3">
      <c r="A1650" s="31" t="s">
        <v>1805</v>
      </c>
      <c r="B1650" s="65" t="s">
        <v>3806</v>
      </c>
      <c r="C1650" s="22">
        <f>VLOOKUP(A1650,'[11]Linea Madera '!$A$1:$D$445,4,FALSE)</f>
        <v>11.46</v>
      </c>
      <c r="D1650" s="22">
        <f>VLOOKUP(A1650,'[11]Linea Madera '!$A$1:$E$445,5,FALSE)</f>
        <v>12.95</v>
      </c>
      <c r="E1650" s="22">
        <f>VLOOKUP(A1650,'[11]Linea Madera '!$A$1:$F$445,6,FALSE)</f>
        <v>16.37</v>
      </c>
      <c r="F1650" s="22">
        <f>VLOOKUP(A1650,'[11]Linea Madera '!$A$1:$G$445,7,FALSE)</f>
        <v>18.5</v>
      </c>
    </row>
    <row r="1651" spans="1:6" x14ac:dyDescent="0.3">
      <c r="A1651" s="31" t="s">
        <v>3807</v>
      </c>
      <c r="B1651" s="65" t="s">
        <v>3808</v>
      </c>
      <c r="C1651" s="22">
        <f>VLOOKUP(A1651,'[11]Linea Madera '!$A$1:$D$445,4,FALSE)</f>
        <v>43.67</v>
      </c>
      <c r="D1651" s="22">
        <f>VLOOKUP(A1651,'[11]Linea Madera '!$A$1:$E$445,5,FALSE)</f>
        <v>49.35</v>
      </c>
      <c r="E1651" s="22">
        <f>VLOOKUP(A1651,'[11]Linea Madera '!$A$1:$F$445,6,FALSE)</f>
        <v>62.39</v>
      </c>
      <c r="F1651" s="22">
        <f>VLOOKUP(A1651,'[11]Linea Madera '!$A$1:$G$445,7,FALSE)</f>
        <v>70.5</v>
      </c>
    </row>
    <row r="1652" spans="1:6" x14ac:dyDescent="0.3">
      <c r="A1652" s="31" t="s">
        <v>3809</v>
      </c>
      <c r="B1652" s="65" t="s">
        <v>3808</v>
      </c>
      <c r="C1652" s="22">
        <f>VLOOKUP(A1652,'[11]Linea Madera '!$A$1:$D$445,4,FALSE)</f>
        <v>11.46</v>
      </c>
      <c r="D1652" s="22">
        <f>VLOOKUP(A1652,'[11]Linea Madera '!$A$1:$E$445,5,FALSE)</f>
        <v>12.95</v>
      </c>
      <c r="E1652" s="22">
        <f>VLOOKUP(A1652,'[11]Linea Madera '!$A$1:$F$445,6,FALSE)</f>
        <v>16.37</v>
      </c>
      <c r="F1652" s="22">
        <f>VLOOKUP(A1652,'[11]Linea Madera '!$A$1:$G$445,7,FALSE)</f>
        <v>18.5</v>
      </c>
    </row>
    <row r="1653" spans="1:6" x14ac:dyDescent="0.3">
      <c r="A1653" s="31" t="s">
        <v>3810</v>
      </c>
      <c r="B1653" s="65" t="s">
        <v>3811</v>
      </c>
      <c r="C1653" s="22">
        <f>VLOOKUP(A1653,'[11]Linea Madera '!$A$1:$D$445,4,FALSE)</f>
        <v>43.67</v>
      </c>
      <c r="D1653" s="22">
        <f>VLOOKUP(A1653,'[11]Linea Madera '!$A$1:$E$445,5,FALSE)</f>
        <v>49.35</v>
      </c>
      <c r="E1653" s="22">
        <f>VLOOKUP(A1653,'[11]Linea Madera '!$A$1:$F$445,6,FALSE)</f>
        <v>62.39</v>
      </c>
      <c r="F1653" s="22">
        <f>VLOOKUP(A1653,'[11]Linea Madera '!$A$1:$G$445,7,FALSE)</f>
        <v>70.5</v>
      </c>
    </row>
    <row r="1654" spans="1:6" x14ac:dyDescent="0.3">
      <c r="A1654" s="31" t="s">
        <v>3812</v>
      </c>
      <c r="B1654" s="65" t="s">
        <v>3811</v>
      </c>
      <c r="C1654" s="22">
        <f>VLOOKUP(A1654,'[11]Linea Madera '!$A$1:$D$445,4,FALSE)</f>
        <v>11.46</v>
      </c>
      <c r="D1654" s="22">
        <f>VLOOKUP(A1654,'[11]Linea Madera '!$A$1:$E$445,5,FALSE)</f>
        <v>12.95</v>
      </c>
      <c r="E1654" s="22">
        <f>VLOOKUP(A1654,'[11]Linea Madera '!$A$1:$F$445,6,FALSE)</f>
        <v>16.37</v>
      </c>
      <c r="F1654" s="22">
        <f>VLOOKUP(A1654,'[11]Linea Madera '!$A$1:$G$445,7,FALSE)</f>
        <v>18.5</v>
      </c>
    </row>
    <row r="1655" spans="1:6" x14ac:dyDescent="0.3">
      <c r="A1655" s="33" t="s">
        <v>1806</v>
      </c>
      <c r="B1655" s="65" t="s">
        <v>1807</v>
      </c>
      <c r="C1655" s="22">
        <f>VLOOKUP(A1655,'[11]Linea Madera '!$A$1:$D$445,4,FALSE)</f>
        <v>9.5</v>
      </c>
      <c r="D1655" s="22">
        <f>VLOOKUP(A1655,'[11]Linea Madera '!$A$1:$E$445,5,FALSE)</f>
        <v>10.73</v>
      </c>
      <c r="E1655" s="22">
        <f>VLOOKUP(A1655,'[11]Linea Madera '!$A$1:$F$445,6,FALSE)</f>
        <v>13.19</v>
      </c>
      <c r="F1655" s="22">
        <f>VLOOKUP(A1655,'[11]Linea Madera '!$A$1:$G$445,7,FALSE)</f>
        <v>14.9</v>
      </c>
    </row>
    <row r="1656" spans="1:6" x14ac:dyDescent="0.3">
      <c r="A1656" s="33" t="s">
        <v>1808</v>
      </c>
      <c r="B1656" s="65" t="s">
        <v>1807</v>
      </c>
      <c r="C1656" s="22">
        <f>VLOOKUP(A1656,'[11]Linea Madera '!$A$1:$D$445,4,FALSE)</f>
        <v>35.619999999999997</v>
      </c>
      <c r="D1656" s="22">
        <f>VLOOKUP(A1656,'[11]Linea Madera '!$A$1:$E$445,5,FALSE)</f>
        <v>40.25</v>
      </c>
      <c r="E1656" s="22">
        <f>VLOOKUP(A1656,'[11]Linea Madera '!$A$1:$F$445,6,FALSE)</f>
        <v>49.47</v>
      </c>
      <c r="F1656" s="22">
        <f>VLOOKUP(A1656,'[11]Linea Madera '!$A$1:$G$445,7,FALSE)</f>
        <v>55.9</v>
      </c>
    </row>
    <row r="1657" spans="1:6" x14ac:dyDescent="0.3">
      <c r="A1657" s="33" t="s">
        <v>1815</v>
      </c>
      <c r="B1657" s="65" t="s">
        <v>3813</v>
      </c>
      <c r="C1657" s="22">
        <f>VLOOKUP(A1657,'[11]Linea Madera '!$A$1:$D$445,4,FALSE)</f>
        <v>5.87</v>
      </c>
      <c r="D1657" s="22">
        <f>VLOOKUP(A1657,'[11]Linea Madera '!$A$1:$E$445,5,FALSE)</f>
        <v>6.63</v>
      </c>
      <c r="E1657" s="22">
        <f>VLOOKUP(A1657,'[11]Linea Madera '!$A$1:$F$445,6,FALSE)</f>
        <v>7.52</v>
      </c>
      <c r="F1657" s="22">
        <f>VLOOKUP(A1657,'[11]Linea Madera '!$A$1:$G$445,7,FALSE)</f>
        <v>8.5</v>
      </c>
    </row>
    <row r="1658" spans="1:6" x14ac:dyDescent="0.3">
      <c r="A1658" s="33" t="s">
        <v>1816</v>
      </c>
      <c r="B1658" s="65" t="s">
        <v>3814</v>
      </c>
      <c r="C1658" s="22">
        <f>VLOOKUP(A1658,'[11]Linea Madera '!$A$1:$D$445,4,FALSE)</f>
        <v>5.87</v>
      </c>
      <c r="D1658" s="22">
        <f>VLOOKUP(A1658,'[11]Linea Madera '!$A$1:$E$445,5,FALSE)</f>
        <v>6.63</v>
      </c>
      <c r="E1658" s="22">
        <f>VLOOKUP(A1658,'[11]Linea Madera '!$A$1:$F$445,6,FALSE)</f>
        <v>7.52</v>
      </c>
      <c r="F1658" s="22">
        <f>VLOOKUP(A1658,'[11]Linea Madera '!$A$1:$G$445,7,FALSE)</f>
        <v>8.5</v>
      </c>
    </row>
    <row r="1659" spans="1:6" x14ac:dyDescent="0.3">
      <c r="A1659" s="33" t="s">
        <v>1817</v>
      </c>
      <c r="B1659" s="65" t="s">
        <v>3815</v>
      </c>
      <c r="C1659" s="22">
        <f>VLOOKUP(A1659,'[11]Linea Madera '!$A$1:$D$445,4,FALSE)</f>
        <v>5.87</v>
      </c>
      <c r="D1659" s="22">
        <f>VLOOKUP(A1659,'[11]Linea Madera '!$A$1:$E$445,5,FALSE)</f>
        <v>6.63</v>
      </c>
      <c r="E1659" s="22">
        <f>VLOOKUP(A1659,'[11]Linea Madera '!$A$1:$F$445,6,FALSE)</f>
        <v>7.52</v>
      </c>
      <c r="F1659" s="22">
        <f>VLOOKUP(A1659,'[11]Linea Madera '!$A$1:$G$445,7,FALSE)</f>
        <v>8.5</v>
      </c>
    </row>
    <row r="1660" spans="1:6" x14ac:dyDescent="0.3">
      <c r="A1660" s="33" t="s">
        <v>1818</v>
      </c>
      <c r="B1660" s="65" t="s">
        <v>3816</v>
      </c>
      <c r="C1660" s="22">
        <f>VLOOKUP(A1660,'[11]Linea Madera '!$A$1:$D$445,4,FALSE)</f>
        <v>5.87</v>
      </c>
      <c r="D1660" s="22">
        <f>VLOOKUP(A1660,'[11]Linea Madera '!$A$1:$E$445,5,FALSE)</f>
        <v>6.63</v>
      </c>
      <c r="E1660" s="22">
        <f>VLOOKUP(A1660,'[11]Linea Madera '!$A$1:$F$445,6,FALSE)</f>
        <v>7.52</v>
      </c>
      <c r="F1660" s="22">
        <f>VLOOKUP(A1660,'[11]Linea Madera '!$A$1:$G$445,7,FALSE)</f>
        <v>8.5</v>
      </c>
    </row>
    <row r="1661" spans="1:6" x14ac:dyDescent="0.3">
      <c r="A1661" s="33" t="s">
        <v>1819</v>
      </c>
      <c r="B1661" s="65" t="s">
        <v>3817</v>
      </c>
      <c r="C1661" s="22">
        <f>VLOOKUP(A1661,'[11]Linea Madera '!$A$1:$D$445,4,FALSE)</f>
        <v>5.87</v>
      </c>
      <c r="D1661" s="22">
        <f>VLOOKUP(A1661,'[11]Linea Madera '!$A$1:$E$445,5,FALSE)</f>
        <v>6.63</v>
      </c>
      <c r="E1661" s="22">
        <f>VLOOKUP(A1661,'[11]Linea Madera '!$A$1:$F$445,6,FALSE)</f>
        <v>7.52</v>
      </c>
      <c r="F1661" s="22">
        <f>VLOOKUP(A1661,'[11]Linea Madera '!$A$1:$G$445,7,FALSE)</f>
        <v>8.5</v>
      </c>
    </row>
    <row r="1662" spans="1:6" x14ac:dyDescent="0.3">
      <c r="A1662" s="33" t="s">
        <v>1820</v>
      </c>
      <c r="B1662" s="65" t="s">
        <v>3818</v>
      </c>
      <c r="C1662" s="22">
        <f>VLOOKUP(A1662,'[11]Linea Madera '!$A$1:$D$445,4,FALSE)</f>
        <v>5.87</v>
      </c>
      <c r="D1662" s="22">
        <f>VLOOKUP(A1662,'[11]Linea Madera '!$A$1:$E$445,5,FALSE)</f>
        <v>6.63</v>
      </c>
      <c r="E1662" s="22">
        <f>VLOOKUP(A1662,'[11]Linea Madera '!$A$1:$F$445,6,FALSE)</f>
        <v>7.52</v>
      </c>
      <c r="F1662" s="22">
        <f>VLOOKUP(A1662,'[11]Linea Madera '!$A$1:$G$445,7,FALSE)</f>
        <v>8.5</v>
      </c>
    </row>
    <row r="1663" spans="1:6" x14ac:dyDescent="0.3">
      <c r="A1663" s="33" t="s">
        <v>1821</v>
      </c>
      <c r="B1663" s="65" t="s">
        <v>3813</v>
      </c>
      <c r="C1663" s="22">
        <f>VLOOKUP(A1663,'[11]Linea Madera '!$A$1:$D$445,4,FALSE)</f>
        <v>20.64</v>
      </c>
      <c r="D1663" s="22">
        <f>VLOOKUP(A1663,'[11]Linea Madera '!$A$1:$E$445,5,FALSE)</f>
        <v>23.32</v>
      </c>
      <c r="E1663" s="22">
        <f>VLOOKUP(A1663,'[11]Linea Madera '!$A$1:$F$445,6,FALSE)</f>
        <v>26.46</v>
      </c>
      <c r="F1663" s="22">
        <f>VLOOKUP(A1663,'[11]Linea Madera '!$A$1:$G$445,7,FALSE)</f>
        <v>29.9</v>
      </c>
    </row>
    <row r="1664" spans="1:6" x14ac:dyDescent="0.3">
      <c r="A1664" s="33" t="s">
        <v>1822</v>
      </c>
      <c r="B1664" s="65" t="s">
        <v>3814</v>
      </c>
      <c r="C1664" s="22">
        <f>VLOOKUP(A1664,'[11]Linea Madera '!$A$1:$D$445,4,FALSE)</f>
        <v>20.64</v>
      </c>
      <c r="D1664" s="22">
        <f>VLOOKUP(A1664,'[11]Linea Madera '!$A$1:$E$445,5,FALSE)</f>
        <v>23.32</v>
      </c>
      <c r="E1664" s="22">
        <f>VLOOKUP(A1664,'[11]Linea Madera '!$A$1:$F$445,6,FALSE)</f>
        <v>26.46</v>
      </c>
      <c r="F1664" s="22">
        <f>VLOOKUP(A1664,'[11]Linea Madera '!$A$1:$G$445,7,FALSE)</f>
        <v>29.9</v>
      </c>
    </row>
    <row r="1665" spans="1:8" x14ac:dyDescent="0.3">
      <c r="A1665" s="33" t="s">
        <v>1823</v>
      </c>
      <c r="B1665" s="65" t="s">
        <v>3815</v>
      </c>
      <c r="C1665" s="22">
        <f>VLOOKUP(A1665,'[11]Linea Madera '!$A$1:$D$445,4,FALSE)</f>
        <v>20.64</v>
      </c>
      <c r="D1665" s="22">
        <f>VLOOKUP(A1665,'[11]Linea Madera '!$A$1:$E$445,5,FALSE)</f>
        <v>23.32</v>
      </c>
      <c r="E1665" s="22">
        <f>VLOOKUP(A1665,'[11]Linea Madera '!$A$1:$F$445,6,FALSE)</f>
        <v>26.46</v>
      </c>
      <c r="F1665" s="22">
        <f>VLOOKUP(A1665,'[11]Linea Madera '!$A$1:$G$445,7,FALSE)</f>
        <v>29.9</v>
      </c>
    </row>
    <row r="1666" spans="1:8" x14ac:dyDescent="0.3">
      <c r="A1666" s="33" t="s">
        <v>1824</v>
      </c>
      <c r="B1666" s="65" t="s">
        <v>3816</v>
      </c>
      <c r="C1666" s="22">
        <f>VLOOKUP(A1666,'[11]Linea Madera '!$A$1:$D$445,4,FALSE)</f>
        <v>20.64</v>
      </c>
      <c r="D1666" s="22">
        <f>VLOOKUP(A1666,'[11]Linea Madera '!$A$1:$E$445,5,FALSE)</f>
        <v>23.32</v>
      </c>
      <c r="E1666" s="22">
        <f>VLOOKUP(A1666,'[11]Linea Madera '!$A$1:$F$445,6,FALSE)</f>
        <v>26.46</v>
      </c>
      <c r="F1666" s="22">
        <f>VLOOKUP(A1666,'[11]Linea Madera '!$A$1:$G$445,7,FALSE)</f>
        <v>29.9</v>
      </c>
    </row>
    <row r="1667" spans="1:8" x14ac:dyDescent="0.3">
      <c r="A1667" s="33" t="s">
        <v>1825</v>
      </c>
      <c r="B1667" s="65" t="s">
        <v>3817</v>
      </c>
      <c r="C1667" s="22">
        <f>VLOOKUP(A1667,'[11]Linea Madera '!$A$1:$D$445,4,FALSE)</f>
        <v>20.64</v>
      </c>
      <c r="D1667" s="22">
        <f>VLOOKUP(A1667,'[11]Linea Madera '!$A$1:$E$445,5,FALSE)</f>
        <v>23.32</v>
      </c>
      <c r="E1667" s="22">
        <f>VLOOKUP(A1667,'[11]Linea Madera '!$A$1:$F$445,6,FALSE)</f>
        <v>26.46</v>
      </c>
      <c r="F1667" s="22">
        <f>VLOOKUP(A1667,'[11]Linea Madera '!$A$1:$G$445,7,FALSE)</f>
        <v>29.9</v>
      </c>
    </row>
    <row r="1668" spans="1:8" x14ac:dyDescent="0.3">
      <c r="A1668" s="33" t="s">
        <v>1826</v>
      </c>
      <c r="B1668" s="65" t="s">
        <v>3818</v>
      </c>
      <c r="C1668" s="22">
        <f>VLOOKUP(A1668,'[11]Linea Madera '!$A$1:$D$445,4,FALSE)</f>
        <v>20.64</v>
      </c>
      <c r="D1668" s="22">
        <f>VLOOKUP(A1668,'[11]Linea Madera '!$A$1:$E$445,5,FALSE)</f>
        <v>23.32</v>
      </c>
      <c r="E1668" s="22">
        <f>VLOOKUP(A1668,'[11]Linea Madera '!$A$1:$F$445,6,FALSE)</f>
        <v>26.46</v>
      </c>
      <c r="F1668" s="22">
        <f>VLOOKUP(A1668,'[11]Linea Madera '!$A$1:$G$445,7,FALSE)</f>
        <v>29.9</v>
      </c>
      <c r="H1668" s="99" t="e">
        <f>F1668-D1668-(#REF!*1.13)</f>
        <v>#REF!</v>
      </c>
    </row>
    <row r="1669" spans="1:8" x14ac:dyDescent="0.3">
      <c r="A1669" s="33" t="s">
        <v>1827</v>
      </c>
      <c r="B1669" s="65" t="s">
        <v>3819</v>
      </c>
      <c r="C1669" s="22">
        <f>VLOOKUP(A1669,'[11]Linea Madera '!$A$1:$D$445,4,FALSE)</f>
        <v>40.58</v>
      </c>
      <c r="D1669" s="22">
        <f>VLOOKUP(A1669,'[11]Linea Madera '!$A$1:$E$445,5,FALSE)</f>
        <v>45.85</v>
      </c>
      <c r="E1669" s="22">
        <f>VLOOKUP(A1669,'[11]Linea Madera '!$A$1:$F$445,6,FALSE)</f>
        <v>57.96</v>
      </c>
      <c r="F1669" s="22">
        <f>VLOOKUP(A1669,'[11]Linea Madera '!$A$1:$G$445,7,FALSE)</f>
        <v>65.5</v>
      </c>
    </row>
    <row r="1670" spans="1:8" x14ac:dyDescent="0.3">
      <c r="A1670" s="33" t="s">
        <v>1828</v>
      </c>
      <c r="B1670" s="65" t="s">
        <v>3819</v>
      </c>
      <c r="C1670" s="22">
        <f>VLOOKUP(A1670,'[11]Linea Madera '!$A$1:$D$445,4,FALSE)</f>
        <v>10.84</v>
      </c>
      <c r="D1670" s="22">
        <f>VLOOKUP(A1670,'[11]Linea Madera '!$A$1:$E$445,5,FALSE)</f>
        <v>12.25</v>
      </c>
      <c r="E1670" s="22">
        <f>VLOOKUP(A1670,'[11]Linea Madera '!$A$1:$F$445,6,FALSE)</f>
        <v>15.49</v>
      </c>
      <c r="F1670" s="22">
        <f>VLOOKUP(A1670,'[11]Linea Madera '!$A$1:$G$445,7,FALSE)</f>
        <v>17.5</v>
      </c>
    </row>
    <row r="1671" spans="1:8" x14ac:dyDescent="0.3">
      <c r="A1671" s="33" t="s">
        <v>1829</v>
      </c>
      <c r="B1671" s="65" t="s">
        <v>3820</v>
      </c>
      <c r="C1671" s="22">
        <f>VLOOKUP(A1671,'[11]Linea Madera '!$A$1:$D$445,4,FALSE)</f>
        <v>40.58</v>
      </c>
      <c r="D1671" s="22">
        <f>VLOOKUP(A1671,'[11]Linea Madera '!$A$1:$E$445,5,FALSE)</f>
        <v>45.85</v>
      </c>
      <c r="E1671" s="22">
        <f>VLOOKUP(A1671,'[11]Linea Madera '!$A$1:$F$445,6,FALSE)</f>
        <v>57.96</v>
      </c>
      <c r="F1671" s="22">
        <f>VLOOKUP(A1671,'[11]Linea Madera '!$A$1:$G$445,7,FALSE)</f>
        <v>65.5</v>
      </c>
    </row>
    <row r="1672" spans="1:8" x14ac:dyDescent="0.3">
      <c r="A1672" s="33" t="s">
        <v>1830</v>
      </c>
      <c r="B1672" s="65" t="s">
        <v>3820</v>
      </c>
      <c r="C1672" s="22">
        <f>VLOOKUP(A1672,'[11]Linea Madera '!$A$1:$D$445,4,FALSE)</f>
        <v>10.84</v>
      </c>
      <c r="D1672" s="22">
        <f>VLOOKUP(A1672,'[11]Linea Madera '!$A$1:$E$445,5,FALSE)</f>
        <v>12.25</v>
      </c>
      <c r="E1672" s="22">
        <f>VLOOKUP(A1672,'[11]Linea Madera '!$A$1:$F$445,6,FALSE)</f>
        <v>15.49</v>
      </c>
      <c r="F1672" s="22">
        <f>VLOOKUP(A1672,'[11]Linea Madera '!$A$1:$G$445,7,FALSE)</f>
        <v>17.5</v>
      </c>
    </row>
    <row r="1673" spans="1:8" x14ac:dyDescent="0.3">
      <c r="A1673" s="33" t="s">
        <v>1831</v>
      </c>
      <c r="B1673" s="65" t="s">
        <v>3821</v>
      </c>
      <c r="C1673" s="22">
        <f>VLOOKUP(A1673,'[11]Linea Madera '!$A$1:$D$445,4,FALSE)</f>
        <v>40.58</v>
      </c>
      <c r="D1673" s="22">
        <f>VLOOKUP(A1673,'[11]Linea Madera '!$A$1:$E$445,5,FALSE)</f>
        <v>45.85</v>
      </c>
      <c r="E1673" s="22">
        <f>VLOOKUP(A1673,'[11]Linea Madera '!$A$1:$F$445,6,FALSE)</f>
        <v>57.96</v>
      </c>
      <c r="F1673" s="22">
        <f>VLOOKUP(A1673,'[11]Linea Madera '!$A$1:$G$445,7,FALSE)</f>
        <v>65.5</v>
      </c>
    </row>
    <row r="1674" spans="1:8" x14ac:dyDescent="0.3">
      <c r="A1674" s="33" t="s">
        <v>1832</v>
      </c>
      <c r="B1674" s="65" t="s">
        <v>3821</v>
      </c>
      <c r="C1674" s="22">
        <f>VLOOKUP(A1674,'[11]Linea Madera '!$A$1:$D$445,4,FALSE)</f>
        <v>10.84</v>
      </c>
      <c r="D1674" s="22">
        <f>VLOOKUP(A1674,'[11]Linea Madera '!$A$1:$E$445,5,FALSE)</f>
        <v>12.25</v>
      </c>
      <c r="E1674" s="22">
        <f>VLOOKUP(A1674,'[11]Linea Madera '!$A$1:$F$445,6,FALSE)</f>
        <v>15.49</v>
      </c>
      <c r="F1674" s="22">
        <f>VLOOKUP(A1674,'[11]Linea Madera '!$A$1:$G$445,7,FALSE)</f>
        <v>17.5</v>
      </c>
    </row>
    <row r="1675" spans="1:8" x14ac:dyDescent="0.3">
      <c r="A1675" s="33" t="s">
        <v>1833</v>
      </c>
      <c r="B1675" s="65" t="s">
        <v>3822</v>
      </c>
      <c r="C1675" s="22">
        <f>VLOOKUP(A1675,'[11]Linea Madera '!$A$1:$D$445,4,FALSE)</f>
        <v>44.29</v>
      </c>
      <c r="D1675" s="22">
        <f>VLOOKUP(A1675,'[11]Linea Madera '!$A$1:$E$445,5,FALSE)</f>
        <v>50.05</v>
      </c>
      <c r="E1675" s="22">
        <f>VLOOKUP(A1675,'[11]Linea Madera '!$A$1:$F$445,6,FALSE)</f>
        <v>63.27</v>
      </c>
      <c r="F1675" s="22">
        <f>VLOOKUP(A1675,'[11]Linea Madera '!$A$1:$G$445,7,FALSE)</f>
        <v>71.5</v>
      </c>
    </row>
    <row r="1676" spans="1:8" x14ac:dyDescent="0.3">
      <c r="A1676" s="33" t="s">
        <v>1834</v>
      </c>
      <c r="B1676" s="65" t="s">
        <v>3822</v>
      </c>
      <c r="C1676" s="22">
        <f>VLOOKUP(A1676,'[11]Linea Madera '!$A$1:$D$445,4,FALSE)</f>
        <v>12.95</v>
      </c>
      <c r="D1676" s="22">
        <f>VLOOKUP(A1676,'[11]Linea Madera '!$A$1:$E$445,5,FALSE)</f>
        <v>14.63</v>
      </c>
      <c r="E1676" s="22">
        <f>VLOOKUP(A1676,'[11]Linea Madera '!$A$1:$F$445,6,FALSE)</f>
        <v>18.5</v>
      </c>
      <c r="F1676" s="22">
        <f>VLOOKUP(A1676,'[11]Linea Madera '!$A$1:$G$445,7,FALSE)</f>
        <v>20.9</v>
      </c>
    </row>
    <row r="1677" spans="1:8" x14ac:dyDescent="0.3">
      <c r="A1677" s="33" t="s">
        <v>3823</v>
      </c>
      <c r="B1677" s="65" t="s">
        <v>3824</v>
      </c>
      <c r="C1677" s="22">
        <f>VLOOKUP(A1677,'[11]Linea Madera '!$A$1:$D$445,4,FALSE)</f>
        <v>12.24</v>
      </c>
      <c r="D1677" s="22">
        <f>VLOOKUP(A1677,'[11]Linea Madera '!$A$1:$E$445,5,FALSE)</f>
        <v>13.83</v>
      </c>
      <c r="E1677" s="22">
        <f>VLOOKUP(A1677,'[11]Linea Madera '!$A$1:$F$445,6,FALSE)</f>
        <v>24.34</v>
      </c>
      <c r="F1677" s="22">
        <f>VLOOKUP(A1677,'[11]Linea Madera '!$A$1:$G$445,7,FALSE)</f>
        <v>27.5</v>
      </c>
    </row>
    <row r="1678" spans="1:8" x14ac:dyDescent="0.3">
      <c r="A1678" s="33" t="s">
        <v>3825</v>
      </c>
      <c r="B1678" s="65" t="s">
        <v>3826</v>
      </c>
      <c r="C1678" s="22">
        <f>VLOOKUP(A1678,'[11]Linea Madera '!$A$1:$D$445,4,FALSE)</f>
        <v>12.24</v>
      </c>
      <c r="D1678" s="22">
        <f>VLOOKUP(A1678,'[11]Linea Madera '!$A$1:$E$445,5,FALSE)</f>
        <v>13.83</v>
      </c>
      <c r="E1678" s="22">
        <f>VLOOKUP(A1678,'[11]Linea Madera '!$A$1:$F$445,6,FALSE)</f>
        <v>24.34</v>
      </c>
      <c r="F1678" s="22">
        <f>VLOOKUP(A1678,'[11]Linea Madera '!$A$1:$G$445,7,FALSE)</f>
        <v>27.5</v>
      </c>
    </row>
    <row r="1679" spans="1:8" x14ac:dyDescent="0.3">
      <c r="A1679" s="33" t="s">
        <v>3827</v>
      </c>
      <c r="B1679" s="65" t="s">
        <v>3828</v>
      </c>
      <c r="C1679" s="22">
        <f>VLOOKUP(A1679,'[11]Linea Madera '!$A$1:$D$445,4,FALSE)</f>
        <v>12.24</v>
      </c>
      <c r="D1679" s="22">
        <f>VLOOKUP(A1679,'[11]Linea Madera '!$A$1:$E$445,5,FALSE)</f>
        <v>13.83</v>
      </c>
      <c r="E1679" s="22">
        <f>VLOOKUP(A1679,'[11]Linea Madera '!$A$1:$F$445,6,FALSE)</f>
        <v>24.34</v>
      </c>
      <c r="F1679" s="22">
        <f>VLOOKUP(A1679,'[11]Linea Madera '!$A$1:$G$445,7,FALSE)</f>
        <v>27.5</v>
      </c>
    </row>
    <row r="1680" spans="1:8" x14ac:dyDescent="0.3">
      <c r="A1680" s="33" t="s">
        <v>3829</v>
      </c>
      <c r="B1680" s="65" t="s">
        <v>3830</v>
      </c>
      <c r="C1680" s="22">
        <f>VLOOKUP(A1680,'[11]Linea Madera '!$A$1:$D$445,4,FALSE)</f>
        <v>11.96</v>
      </c>
      <c r="D1680" s="22">
        <f>VLOOKUP(A1680,'[11]Linea Madera '!$A$1:$E$445,5,FALSE)</f>
        <v>13.52</v>
      </c>
      <c r="E1680" s="22">
        <f>VLOOKUP(A1680,'[11]Linea Madera '!$A$1:$F$445,6,FALSE)</f>
        <v>19.38</v>
      </c>
      <c r="F1680" s="22">
        <f>VLOOKUP(A1680,'[11]Linea Madera '!$A$1:$G$445,7,FALSE)</f>
        <v>21.9</v>
      </c>
    </row>
    <row r="1681" spans="1:6" x14ac:dyDescent="0.3">
      <c r="A1681" s="33" t="s">
        <v>3831</v>
      </c>
      <c r="B1681" s="65" t="s">
        <v>3832</v>
      </c>
      <c r="C1681" s="22">
        <f>VLOOKUP(A1681,'[11]Linea Madera '!$A$1:$D$445,4,FALSE)</f>
        <v>11.96</v>
      </c>
      <c r="D1681" s="22">
        <f>VLOOKUP(A1681,'[11]Linea Madera '!$A$1:$E$445,5,FALSE)</f>
        <v>13.52</v>
      </c>
      <c r="E1681" s="22">
        <f>VLOOKUP(A1681,'[11]Linea Madera '!$A$1:$F$445,6,FALSE)</f>
        <v>19.38</v>
      </c>
      <c r="F1681" s="22">
        <f>VLOOKUP(A1681,'[11]Linea Madera '!$A$1:$G$445,7,FALSE)</f>
        <v>21.9</v>
      </c>
    </row>
    <row r="1682" spans="1:6" x14ac:dyDescent="0.3">
      <c r="A1682" s="33" t="s">
        <v>3833</v>
      </c>
      <c r="B1682" s="65" t="s">
        <v>3834</v>
      </c>
      <c r="C1682" s="22">
        <f>VLOOKUP(A1682,'[11]Linea Madera '!$A$1:$D$445,4,FALSE)</f>
        <v>11.96</v>
      </c>
      <c r="D1682" s="22">
        <f>VLOOKUP(A1682,'[11]Linea Madera '!$A$1:$E$445,5,FALSE)</f>
        <v>13.52</v>
      </c>
      <c r="E1682" s="22">
        <f>VLOOKUP(A1682,'[11]Linea Madera '!$A$1:$F$445,6,FALSE)</f>
        <v>19.38</v>
      </c>
      <c r="F1682" s="22">
        <f>VLOOKUP(A1682,'[11]Linea Madera '!$A$1:$G$445,7,FALSE)</f>
        <v>21.9</v>
      </c>
    </row>
    <row r="1683" spans="1:6" x14ac:dyDescent="0.3">
      <c r="A1683" s="33" t="s">
        <v>3835</v>
      </c>
      <c r="B1683" s="65" t="s">
        <v>3824</v>
      </c>
      <c r="C1683" s="22">
        <f>VLOOKUP(A1683,'[11]Linea Madera '!$A$1:$D$445,4,FALSE)</f>
        <v>45.84</v>
      </c>
      <c r="D1683" s="22">
        <f>VLOOKUP(A1683,'[11]Linea Madera '!$A$1:$E$445,5,FALSE)</f>
        <v>51.8</v>
      </c>
      <c r="E1683" s="22">
        <f>VLOOKUP(A1683,'[11]Linea Madera '!$A$1:$F$445,6,FALSE)</f>
        <v>92.92</v>
      </c>
      <c r="F1683" s="22">
        <f>VLOOKUP(A1683,'[11]Linea Madera '!$A$1:$G$445,7,FALSE)</f>
        <v>105</v>
      </c>
    </row>
    <row r="1684" spans="1:6" x14ac:dyDescent="0.3">
      <c r="A1684" s="33" t="s">
        <v>3836</v>
      </c>
      <c r="B1684" s="65" t="s">
        <v>3826</v>
      </c>
      <c r="C1684" s="22">
        <f>VLOOKUP(A1684,'[11]Linea Madera '!$A$1:$D$445,4,FALSE)</f>
        <v>45.84</v>
      </c>
      <c r="D1684" s="22">
        <f>VLOOKUP(A1684,'[11]Linea Madera '!$A$1:$E$445,5,FALSE)</f>
        <v>51.8</v>
      </c>
      <c r="E1684" s="22">
        <f>VLOOKUP(A1684,'[11]Linea Madera '!$A$1:$F$445,6,FALSE)</f>
        <v>92.92</v>
      </c>
      <c r="F1684" s="22">
        <f>VLOOKUP(A1684,'[11]Linea Madera '!$A$1:$G$445,7,FALSE)</f>
        <v>105</v>
      </c>
    </row>
    <row r="1685" spans="1:6" x14ac:dyDescent="0.3">
      <c r="A1685" s="33" t="s">
        <v>3837</v>
      </c>
      <c r="B1685" s="65" t="s">
        <v>3828</v>
      </c>
      <c r="C1685" s="22">
        <f>VLOOKUP(A1685,'[11]Linea Madera '!$A$1:$D$445,4,FALSE)</f>
        <v>45.84</v>
      </c>
      <c r="D1685" s="22">
        <f>VLOOKUP(A1685,'[11]Linea Madera '!$A$1:$E$445,5,FALSE)</f>
        <v>51.8</v>
      </c>
      <c r="E1685" s="22">
        <f>VLOOKUP(A1685,'[11]Linea Madera '!$A$1:$F$445,6,FALSE)</f>
        <v>92.92</v>
      </c>
      <c r="F1685" s="22">
        <f>VLOOKUP(A1685,'[11]Linea Madera '!$A$1:$G$445,7,FALSE)</f>
        <v>105</v>
      </c>
    </row>
    <row r="1686" spans="1:6" x14ac:dyDescent="0.3">
      <c r="A1686" s="33" t="s">
        <v>3838</v>
      </c>
      <c r="B1686" s="65" t="s">
        <v>3830</v>
      </c>
      <c r="C1686" s="22">
        <f>VLOOKUP(A1686,'[11]Linea Madera '!$A$1:$D$445,4,FALSE)</f>
        <v>42.23</v>
      </c>
      <c r="D1686" s="22">
        <f>VLOOKUP(A1686,'[11]Linea Madera '!$A$1:$E$445,5,FALSE)</f>
        <v>47.72</v>
      </c>
      <c r="E1686" s="22">
        <f>VLOOKUP(A1686,'[11]Linea Madera '!$A$1:$F$445,6,FALSE)</f>
        <v>69.47</v>
      </c>
      <c r="F1686" s="22">
        <f>VLOOKUP(A1686,'[11]Linea Madera '!$A$1:$G$445,7,FALSE)</f>
        <v>78.5</v>
      </c>
    </row>
    <row r="1687" spans="1:6" x14ac:dyDescent="0.3">
      <c r="A1687" s="33" t="s">
        <v>3839</v>
      </c>
      <c r="B1687" s="65" t="s">
        <v>3832</v>
      </c>
      <c r="C1687" s="22">
        <f>VLOOKUP(A1687,'[11]Linea Madera '!$A$1:$D$445,4,FALSE)</f>
        <v>42.23</v>
      </c>
      <c r="D1687" s="22">
        <f>VLOOKUP(A1687,'[11]Linea Madera '!$A$1:$E$445,5,FALSE)</f>
        <v>47.72</v>
      </c>
      <c r="E1687" s="22">
        <f>VLOOKUP(A1687,'[11]Linea Madera '!$A$1:$F$445,6,FALSE)</f>
        <v>69.47</v>
      </c>
      <c r="F1687" s="22">
        <f>VLOOKUP(A1687,'[11]Linea Madera '!$A$1:$G$445,7,FALSE)</f>
        <v>78.5</v>
      </c>
    </row>
    <row r="1688" spans="1:6" x14ac:dyDescent="0.3">
      <c r="A1688" s="33" t="s">
        <v>3840</v>
      </c>
      <c r="B1688" s="65" t="s">
        <v>3834</v>
      </c>
      <c r="C1688" s="22">
        <f>VLOOKUP(A1688,'[11]Linea Madera '!$A$1:$D$445,4,FALSE)</f>
        <v>42.23</v>
      </c>
      <c r="D1688" s="22">
        <f>VLOOKUP(A1688,'[11]Linea Madera '!$A$1:$E$445,5,FALSE)</f>
        <v>47.72</v>
      </c>
      <c r="E1688" s="22">
        <f>VLOOKUP(A1688,'[11]Linea Madera '!$A$1:$F$445,6,FALSE)</f>
        <v>69.47</v>
      </c>
      <c r="F1688" s="22">
        <f>VLOOKUP(A1688,'[11]Linea Madera '!$A$1:$G$445,7,FALSE)</f>
        <v>78.5</v>
      </c>
    </row>
    <row r="1689" spans="1:6" x14ac:dyDescent="0.3">
      <c r="A1689" s="33" t="s">
        <v>1835</v>
      </c>
      <c r="B1689" s="65" t="s">
        <v>3841</v>
      </c>
      <c r="C1689" s="22">
        <f>VLOOKUP(A1689,'[11]Linea Madera '!$A$1:$D$445,4,FALSE)</f>
        <v>28.81</v>
      </c>
      <c r="D1689" s="22">
        <f>VLOOKUP(A1689,'[11]Linea Madera '!$A$1:$E$445,5,FALSE)</f>
        <v>32.549999999999997</v>
      </c>
      <c r="E1689" s="22">
        <f>VLOOKUP(A1689,'[11]Linea Madera '!$A$1:$F$445,6,FALSE)</f>
        <v>41.15</v>
      </c>
      <c r="F1689" s="22">
        <f>VLOOKUP(A1689,'[11]Linea Madera '!$A$1:$G$445,7,FALSE)</f>
        <v>46.5</v>
      </c>
    </row>
    <row r="1690" spans="1:6" x14ac:dyDescent="0.3">
      <c r="A1690" s="33" t="s">
        <v>1836</v>
      </c>
      <c r="B1690" s="65" t="s">
        <v>3841</v>
      </c>
      <c r="C1690" s="22">
        <f>VLOOKUP(A1690,'[11]Linea Madera '!$A$1:$D$445,4,FALSE)</f>
        <v>9.85</v>
      </c>
      <c r="D1690" s="22">
        <f>VLOOKUP(A1690,'[11]Linea Madera '!$A$1:$E$445,5,FALSE)</f>
        <v>11.13</v>
      </c>
      <c r="E1690" s="22">
        <f>VLOOKUP(A1690,'[11]Linea Madera '!$A$1:$F$445,6,FALSE)</f>
        <v>14.07</v>
      </c>
      <c r="F1690" s="22">
        <f>VLOOKUP(A1690,'[11]Linea Madera '!$A$1:$G$445,7,FALSE)</f>
        <v>15.9</v>
      </c>
    </row>
    <row r="1691" spans="1:6" x14ac:dyDescent="0.3">
      <c r="A1691" s="33" t="s">
        <v>1837</v>
      </c>
      <c r="B1691" s="65" t="s">
        <v>3842</v>
      </c>
      <c r="C1691" s="22">
        <f>VLOOKUP(A1691,'[11]Linea Madera '!$A$1:$D$445,4,FALSE)</f>
        <v>33.07</v>
      </c>
      <c r="D1691" s="22">
        <f>VLOOKUP(A1691,'[11]Linea Madera '!$A$1:$E$445,5,FALSE)</f>
        <v>37.369999999999997</v>
      </c>
      <c r="E1691" s="22">
        <f>VLOOKUP(A1691,'[11]Linea Madera '!$A$1:$F$445,6,FALSE)</f>
        <v>44.69</v>
      </c>
      <c r="F1691" s="22">
        <f>VLOOKUP(A1691,'[11]Linea Madera '!$A$1:$G$445,7,FALSE)</f>
        <v>50.5</v>
      </c>
    </row>
    <row r="1692" spans="1:6" x14ac:dyDescent="0.3">
      <c r="A1692" s="33" t="s">
        <v>1838</v>
      </c>
      <c r="B1692" s="65" t="s">
        <v>3842</v>
      </c>
      <c r="C1692" s="22">
        <f>VLOOKUP(A1692,'[11]Linea Madera '!$A$1:$D$445,4,FALSE)</f>
        <v>8.19</v>
      </c>
      <c r="D1692" s="22">
        <f>VLOOKUP(A1692,'[11]Linea Madera '!$A$1:$E$445,5,FALSE)</f>
        <v>9.25</v>
      </c>
      <c r="E1692" s="22">
        <f>VLOOKUP(A1692,'[11]Linea Madera '!$A$1:$F$445,6,FALSE)</f>
        <v>11.06</v>
      </c>
      <c r="F1692" s="22">
        <f>VLOOKUP(A1692,'[11]Linea Madera '!$A$1:$G$445,7,FALSE)</f>
        <v>12.5</v>
      </c>
    </row>
    <row r="1693" spans="1:6" x14ac:dyDescent="0.3">
      <c r="A1693" s="33" t="s">
        <v>1839</v>
      </c>
      <c r="B1693" s="65" t="s">
        <v>3843</v>
      </c>
      <c r="C1693" s="22">
        <f>VLOOKUP(A1693,'[11]Linea Madera '!$A$1:$D$445,4,FALSE)</f>
        <v>6.49</v>
      </c>
      <c r="D1693" s="22">
        <f>VLOOKUP(A1693,'[11]Linea Madera '!$A$1:$E$445,5,FALSE)</f>
        <v>7.33</v>
      </c>
      <c r="E1693" s="22">
        <f>VLOOKUP(A1693,'[11]Linea Madera '!$A$1:$F$445,6,FALSE)</f>
        <v>8.76</v>
      </c>
      <c r="F1693" s="22">
        <f>VLOOKUP(A1693,'[11]Linea Madera '!$A$1:$G$445,7,FALSE)</f>
        <v>9.9</v>
      </c>
    </row>
    <row r="1694" spans="1:6" ht="15" thickBot="1" x14ac:dyDescent="0.35">
      <c r="A1694" s="70" t="s">
        <v>1840</v>
      </c>
      <c r="B1694" s="71" t="s">
        <v>3843</v>
      </c>
      <c r="C1694" s="22">
        <f>VLOOKUP(A1694,'[11]Linea Madera '!$A$1:$D$445,4,FALSE)</f>
        <v>2.95</v>
      </c>
      <c r="D1694" s="22">
        <f>VLOOKUP(A1694,'[11]Linea Madera '!$A$1:$E$445,5,FALSE)</f>
        <v>3.33</v>
      </c>
      <c r="E1694" s="22">
        <f>VLOOKUP(A1694,'[11]Linea Madera '!$A$1:$F$445,6,FALSE)</f>
        <v>3.98</v>
      </c>
      <c r="F1694" s="22">
        <f>VLOOKUP(A1694,'[11]Linea Madera '!$A$1:$G$445,7,FALSE)</f>
        <v>4.5</v>
      </c>
    </row>
    <row r="1695" spans="1:6" x14ac:dyDescent="0.3">
      <c r="A1695" s="72" t="s">
        <v>1842</v>
      </c>
      <c r="B1695" s="73" t="s">
        <v>1843</v>
      </c>
      <c r="C1695" s="23">
        <f>VLOOKUP(A1695,'[11]Linea Automotriz'!$A$1:$D$533,4,FALSE)</f>
        <v>21.6</v>
      </c>
      <c r="D1695" s="23">
        <f>VLOOKUP(A1695,'[11]Linea Automotriz'!$A$1:$E$533,5,FALSE)</f>
        <v>24.41</v>
      </c>
      <c r="E1695" s="23">
        <f>VLOOKUP(A1695,'[11]Linea Automotriz'!$A$1:$F$533,6,FALSE)</f>
        <v>30</v>
      </c>
      <c r="F1695" s="23">
        <f>VLOOKUP(A1695,'[11]Linea Automotriz'!$A$2:$G$533,7,FALSE)</f>
        <v>33.9</v>
      </c>
    </row>
    <row r="1696" spans="1:6" x14ac:dyDescent="0.3">
      <c r="A1696" s="44" t="s">
        <v>1844</v>
      </c>
      <c r="B1696" s="73" t="s">
        <v>3844</v>
      </c>
      <c r="C1696" s="23">
        <f>VLOOKUP(A1696,'[11]Linea Automotriz'!$A$1:$D$533,4,FALSE)</f>
        <v>31.8</v>
      </c>
      <c r="D1696" s="23">
        <f>VLOOKUP(A1696,'[11]Linea Automotriz'!$A$1:$E$533,5,FALSE)</f>
        <v>35.93</v>
      </c>
      <c r="E1696" s="23">
        <f>VLOOKUP(A1696,'[11]Linea Automotriz'!$A$1:$F$533,6,FALSE)</f>
        <v>44.16</v>
      </c>
      <c r="F1696" s="23">
        <f>VLOOKUP(A1696,'[11]Linea Automotriz'!$A$2:$G$533,7,FALSE)</f>
        <v>49.9</v>
      </c>
    </row>
    <row r="1697" spans="1:6" x14ac:dyDescent="0.3">
      <c r="A1697" s="72" t="s">
        <v>1845</v>
      </c>
      <c r="B1697" s="73" t="s">
        <v>1846</v>
      </c>
      <c r="C1697" s="23">
        <f>VLOOKUP(A1697,'[11]Linea Automotriz'!$A$1:$D$533,4,FALSE)</f>
        <v>16.04</v>
      </c>
      <c r="D1697" s="23">
        <f>VLOOKUP(A1697,'[11]Linea Automotriz'!$A$1:$E$533,5,FALSE)</f>
        <v>18.13</v>
      </c>
      <c r="E1697" s="23">
        <f>VLOOKUP(A1697,'[11]Linea Automotriz'!$A$1:$F$533,6,FALSE)</f>
        <v>22.92</v>
      </c>
      <c r="F1697" s="23">
        <f>VLOOKUP(A1697,'[11]Linea Automotriz'!$A$2:$G$533,7,FALSE)</f>
        <v>25.9</v>
      </c>
    </row>
    <row r="1698" spans="1:6" x14ac:dyDescent="0.3">
      <c r="A1698" s="72" t="s">
        <v>1847</v>
      </c>
      <c r="B1698" s="73" t="s">
        <v>1848</v>
      </c>
      <c r="C1698" s="23">
        <f>VLOOKUP(A1698,'[11]Linea Automotriz'!$A$1:$D$533,4,FALSE)</f>
        <v>6.14</v>
      </c>
      <c r="D1698" s="23">
        <f>VLOOKUP(A1698,'[11]Linea Automotriz'!$A$1:$E$533,5,FALSE)</f>
        <v>6.94</v>
      </c>
      <c r="E1698" s="23">
        <f>VLOOKUP(A1698,'[11]Linea Automotriz'!$A$1:$F$533,6,FALSE)</f>
        <v>7.88</v>
      </c>
      <c r="F1698" s="23">
        <f>VLOOKUP(A1698,'[11]Linea Automotriz'!$A$2:$G$533,7,FALSE)</f>
        <v>8.9</v>
      </c>
    </row>
    <row r="1699" spans="1:6" x14ac:dyDescent="0.3">
      <c r="A1699" s="72" t="s">
        <v>1849</v>
      </c>
      <c r="B1699" s="73" t="s">
        <v>1848</v>
      </c>
      <c r="C1699" s="23">
        <f>VLOOKUP(A1699,'[11]Linea Automotriz'!$A$1:$D$533,4,FALSE)</f>
        <v>9.59</v>
      </c>
      <c r="D1699" s="23">
        <f>VLOOKUP(A1699,'[11]Linea Automotriz'!$A$1:$E$533,5,FALSE)</f>
        <v>10.84</v>
      </c>
      <c r="E1699" s="23">
        <f>VLOOKUP(A1699,'[11]Linea Automotriz'!$A$1:$F$533,6,FALSE)</f>
        <v>12.3</v>
      </c>
      <c r="F1699" s="23">
        <f>VLOOKUP(A1699,'[11]Linea Automotriz'!$A$2:$G$533,7,FALSE)</f>
        <v>13.9</v>
      </c>
    </row>
    <row r="1700" spans="1:6" x14ac:dyDescent="0.3">
      <c r="A1700" s="72" t="s">
        <v>1850</v>
      </c>
      <c r="B1700" s="73" t="s">
        <v>1848</v>
      </c>
      <c r="C1700" s="23">
        <f>VLOOKUP(A1700,'[11]Linea Automotriz'!$A$1:$D$533,4,FALSE)</f>
        <v>33.75</v>
      </c>
      <c r="D1700" s="23">
        <f>VLOOKUP(A1700,'[11]Linea Automotriz'!$A$1:$E$533,5,FALSE)</f>
        <v>38.14</v>
      </c>
      <c r="E1700" s="23">
        <f>VLOOKUP(A1700,'[11]Linea Automotriz'!$A$1:$F$533,6,FALSE)</f>
        <v>43.27</v>
      </c>
      <c r="F1700" s="23">
        <f>VLOOKUP(A1700,'[11]Linea Automotriz'!$A$2:$G$533,7,FALSE)</f>
        <v>48.9</v>
      </c>
    </row>
    <row r="1701" spans="1:6" x14ac:dyDescent="0.3">
      <c r="A1701" s="72" t="s">
        <v>1851</v>
      </c>
      <c r="B1701" s="73" t="s">
        <v>3845</v>
      </c>
      <c r="C1701" s="23">
        <f>VLOOKUP(A1701,'[11]Linea Automotriz'!$A$1:$D$533,4,FALSE)</f>
        <v>5.01</v>
      </c>
      <c r="D1701" s="23">
        <f>VLOOKUP(A1701,'[11]Linea Automotriz'!$A$1:$E$533,5,FALSE)</f>
        <v>5.66</v>
      </c>
      <c r="E1701" s="23">
        <f>VLOOKUP(A1701,'[11]Linea Automotriz'!$A$1:$F$533,6,FALSE)</f>
        <v>6.11</v>
      </c>
      <c r="F1701" s="23">
        <f>VLOOKUP(A1701,'[11]Linea Automotriz'!$A$2:$G$533,7,FALSE)</f>
        <v>6.9</v>
      </c>
    </row>
    <row r="1702" spans="1:6" x14ac:dyDescent="0.3">
      <c r="A1702" s="72" t="s">
        <v>1852</v>
      </c>
      <c r="B1702" s="73" t="s">
        <v>3845</v>
      </c>
      <c r="C1702" s="23">
        <f>VLOOKUP(A1702,'[11]Linea Automotriz'!$A$1:$D$533,4,FALSE)</f>
        <v>17.350000000000001</v>
      </c>
      <c r="D1702" s="23">
        <f>VLOOKUP(A1702,'[11]Linea Automotriz'!$A$1:$E$533,5,FALSE)</f>
        <v>19.600000000000001</v>
      </c>
      <c r="E1702" s="23">
        <f>VLOOKUP(A1702,'[11]Linea Automotriz'!$A$1:$F$533,6,FALSE)</f>
        <v>21.15</v>
      </c>
      <c r="F1702" s="23">
        <f>VLOOKUP(A1702,'[11]Linea Automotriz'!$A$2:$G$533,7,FALSE)</f>
        <v>23.9</v>
      </c>
    </row>
    <row r="1703" spans="1:6" x14ac:dyDescent="0.3">
      <c r="A1703" s="74" t="s">
        <v>1853</v>
      </c>
      <c r="B1703" s="73" t="s">
        <v>3846</v>
      </c>
      <c r="C1703" s="23">
        <f>VLOOKUP(A1703,'[11]Linea Automotriz'!$A$1:$D$533,4,FALSE)</f>
        <v>5.01</v>
      </c>
      <c r="D1703" s="23">
        <f>VLOOKUP(A1703,'[11]Linea Automotriz'!$A$1:$E$533,5,FALSE)</f>
        <v>5.66</v>
      </c>
      <c r="E1703" s="23">
        <f>VLOOKUP(A1703,'[11]Linea Automotriz'!$A$1:$F$533,6,FALSE)</f>
        <v>6.11</v>
      </c>
      <c r="F1703" s="23">
        <f>VLOOKUP(A1703,'[11]Linea Automotriz'!$A$2:$G$533,7,FALSE)</f>
        <v>6.9</v>
      </c>
    </row>
    <row r="1704" spans="1:6" x14ac:dyDescent="0.3">
      <c r="A1704" s="74" t="s">
        <v>1854</v>
      </c>
      <c r="B1704" s="73" t="s">
        <v>3846</v>
      </c>
      <c r="C1704" s="23">
        <f>VLOOKUP(A1704,'[11]Linea Automotriz'!$A$1:$D$533,4,FALSE)</f>
        <v>17.350000000000001</v>
      </c>
      <c r="D1704" s="23">
        <f>VLOOKUP(A1704,'[11]Linea Automotriz'!$A$1:$E$533,5,FALSE)</f>
        <v>19.600000000000001</v>
      </c>
      <c r="E1704" s="23">
        <f>VLOOKUP(A1704,'[11]Linea Automotriz'!$A$1:$F$533,6,FALSE)</f>
        <v>21.15</v>
      </c>
      <c r="F1704" s="23">
        <f>VLOOKUP(A1704,'[11]Linea Automotriz'!$A$2:$G$533,7,FALSE)</f>
        <v>23.9</v>
      </c>
    </row>
    <row r="1705" spans="1:6" x14ac:dyDescent="0.3">
      <c r="A1705" s="74" t="s">
        <v>1855</v>
      </c>
      <c r="B1705" s="73" t="s">
        <v>3847</v>
      </c>
      <c r="C1705" s="23">
        <f>VLOOKUP(A1705,'[11]Linea Automotriz'!$A$1:$D$533,4,FALSE)</f>
        <v>5.01</v>
      </c>
      <c r="D1705" s="23">
        <f>VLOOKUP(A1705,'[11]Linea Automotriz'!$A$1:$E$533,5,FALSE)</f>
        <v>5.66</v>
      </c>
      <c r="E1705" s="23">
        <f>VLOOKUP(A1705,'[11]Linea Automotriz'!$A$1:$F$533,6,FALSE)</f>
        <v>6.11</v>
      </c>
      <c r="F1705" s="23">
        <f>VLOOKUP(A1705,'[11]Linea Automotriz'!$A$2:$G$533,7,FALSE)</f>
        <v>6.9</v>
      </c>
    </row>
    <row r="1706" spans="1:6" x14ac:dyDescent="0.3">
      <c r="A1706" s="74" t="s">
        <v>1856</v>
      </c>
      <c r="B1706" s="73" t="s">
        <v>3847</v>
      </c>
      <c r="C1706" s="23">
        <f>VLOOKUP(A1706,'[11]Linea Automotriz'!$A$1:$D$533,4,FALSE)</f>
        <v>17.350000000000001</v>
      </c>
      <c r="D1706" s="23">
        <f>VLOOKUP(A1706,'[11]Linea Automotriz'!$A$1:$E$533,5,FALSE)</f>
        <v>19.600000000000001</v>
      </c>
      <c r="E1706" s="23">
        <f>VLOOKUP(A1706,'[11]Linea Automotriz'!$A$1:$F$533,6,FALSE)</f>
        <v>21.15</v>
      </c>
      <c r="F1706" s="23">
        <f>VLOOKUP(A1706,'[11]Linea Automotriz'!$A$2:$G$533,7,FALSE)</f>
        <v>23.9</v>
      </c>
    </row>
    <row r="1707" spans="1:6" x14ac:dyDescent="0.3">
      <c r="A1707" s="74" t="s">
        <v>1857</v>
      </c>
      <c r="B1707" s="73" t="s">
        <v>3848</v>
      </c>
      <c r="C1707" s="23">
        <f>VLOOKUP(A1707,'[11]Linea Automotriz'!$A$1:$D$533,4,FALSE)</f>
        <v>4.72</v>
      </c>
      <c r="D1707" s="23">
        <f>VLOOKUP(A1707,'[11]Linea Automotriz'!$A$1:$E$533,5,FALSE)</f>
        <v>5.33</v>
      </c>
      <c r="E1707" s="23">
        <f>VLOOKUP(A1707,'[11]Linea Automotriz'!$A$1:$F$533,6,FALSE)</f>
        <v>5.75</v>
      </c>
      <c r="F1707" s="23">
        <f>VLOOKUP(A1707,'[11]Linea Automotriz'!$A$2:$G$533,7,FALSE)</f>
        <v>6.5</v>
      </c>
    </row>
    <row r="1708" spans="1:6" x14ac:dyDescent="0.3">
      <c r="A1708" s="74" t="s">
        <v>1858</v>
      </c>
      <c r="B1708" s="73" t="s">
        <v>3847</v>
      </c>
      <c r="C1708" s="23">
        <f>VLOOKUP(A1708,'[11]Linea Automotriz'!$A$1:$D$533,4,FALSE)</f>
        <v>14.88</v>
      </c>
      <c r="D1708" s="23">
        <f>VLOOKUP(A1708,'[11]Linea Automotriz'!$A$1:$E$533,5,FALSE)</f>
        <v>16.809999999999999</v>
      </c>
      <c r="E1708" s="23">
        <f>VLOOKUP(A1708,'[11]Linea Automotriz'!$A$1:$F$533,6,FALSE)</f>
        <v>18.14</v>
      </c>
      <c r="F1708" s="23">
        <f>VLOOKUP(A1708,'[11]Linea Automotriz'!$A$2:$G$533,7,FALSE)</f>
        <v>20.5</v>
      </c>
    </row>
    <row r="1709" spans="1:6" x14ac:dyDescent="0.3">
      <c r="A1709" s="74" t="s">
        <v>3849</v>
      </c>
      <c r="B1709" s="73" t="s">
        <v>3850</v>
      </c>
      <c r="C1709" s="23">
        <f>VLOOKUP(A1709,'[11]Linea Automotriz'!$A$1:$D$533,4,FALSE)</f>
        <v>40.200000000000003</v>
      </c>
      <c r="D1709" s="23">
        <f>VLOOKUP(A1709,'[11]Linea Automotriz'!$A$1:$E$533,5,FALSE)</f>
        <v>45.43</v>
      </c>
      <c r="E1709" s="23">
        <f>VLOOKUP(A1709,'[11]Linea Automotriz'!$A$1:$F$533,6,FALSE)</f>
        <v>57.43</v>
      </c>
      <c r="F1709" s="23">
        <f>VLOOKUP(A1709,'[11]Linea Automotriz'!$A$2:$G$533,7,FALSE)</f>
        <v>64.900000000000006</v>
      </c>
    </row>
    <row r="1710" spans="1:6" x14ac:dyDescent="0.3">
      <c r="A1710" s="74">
        <v>2380</v>
      </c>
      <c r="B1710" s="73" t="s">
        <v>3851</v>
      </c>
      <c r="C1710" s="23">
        <f>VLOOKUP(A1710,'[11]Linea Automotriz'!$A$1:$D$533,4,FALSE)</f>
        <v>4.8899999999999997</v>
      </c>
      <c r="D1710" s="23">
        <f>VLOOKUP(A1710,'[11]Linea Automotriz'!$A$1:$E$533,5,FALSE)</f>
        <v>5.53</v>
      </c>
      <c r="E1710" s="23">
        <f>VLOOKUP(A1710,'[11]Linea Automotriz'!$A$1:$F$533,6,FALSE)</f>
        <v>6.99</v>
      </c>
      <c r="F1710" s="23">
        <f>VLOOKUP(A1710,'[11]Linea Automotriz'!$A$2:$G$533,7,FALSE)</f>
        <v>7.9</v>
      </c>
    </row>
    <row r="1711" spans="1:6" x14ac:dyDescent="0.3">
      <c r="A1711" s="74" t="s">
        <v>3852</v>
      </c>
      <c r="B1711" s="73" t="s">
        <v>3853</v>
      </c>
      <c r="C1711" s="23">
        <f>VLOOKUP(A1711,'[11]Linea Automotriz'!$A$1:$D$533,4,FALSE)</f>
        <v>9.23</v>
      </c>
      <c r="D1711" s="23">
        <f>VLOOKUP(A1711,'[11]Linea Automotriz'!$A$1:$E$533,5,FALSE)</f>
        <v>10.43</v>
      </c>
      <c r="E1711" s="23">
        <f>VLOOKUP(A1711,'[11]Linea Automotriz'!$A$1:$F$533,6,FALSE)</f>
        <v>13.19</v>
      </c>
      <c r="F1711" s="23">
        <f>VLOOKUP(A1711,'[11]Linea Automotriz'!$A$2:$G$533,7,FALSE)</f>
        <v>14.9</v>
      </c>
    </row>
    <row r="1712" spans="1:6" x14ac:dyDescent="0.3">
      <c r="A1712" s="74" t="s">
        <v>1859</v>
      </c>
      <c r="B1712" s="73" t="s">
        <v>3854</v>
      </c>
      <c r="C1712" s="23">
        <f>VLOOKUP(A1712,'[11]Linea Automotriz'!$A$1:$D$533,4,FALSE)</f>
        <v>1.21</v>
      </c>
      <c r="D1712" s="23">
        <f>VLOOKUP(A1712,'[11]Linea Automotriz'!$A$1:$E$533,5,FALSE)</f>
        <v>1.37</v>
      </c>
      <c r="E1712" s="23">
        <f>VLOOKUP(A1712,'[11]Linea Automotriz'!$A$1:$F$533,6,FALSE)</f>
        <v>1.68</v>
      </c>
      <c r="F1712" s="23">
        <f>VLOOKUP(A1712,'[11]Linea Automotriz'!$A$2:$G$533,7,FALSE)</f>
        <v>1.9</v>
      </c>
    </row>
    <row r="1713" spans="1:6" x14ac:dyDescent="0.3">
      <c r="A1713" s="74" t="s">
        <v>1860</v>
      </c>
      <c r="B1713" s="73" t="s">
        <v>3854</v>
      </c>
      <c r="C1713" s="23">
        <f>VLOOKUP(A1713,'[11]Linea Automotriz'!$A$1:$D$533,4,FALSE)</f>
        <v>2.4900000000000002</v>
      </c>
      <c r="D1713" s="23">
        <f>VLOOKUP(A1713,'[11]Linea Automotriz'!$A$1:$E$533,5,FALSE)</f>
        <v>2.81</v>
      </c>
      <c r="E1713" s="23">
        <f>VLOOKUP(A1713,'[11]Linea Automotriz'!$A$1:$F$533,6,FALSE)</f>
        <v>3.45</v>
      </c>
      <c r="F1713" s="23">
        <f>VLOOKUP(A1713,'[11]Linea Automotriz'!$A$2:$G$533,7,FALSE)</f>
        <v>3.9</v>
      </c>
    </row>
    <row r="1714" spans="1:6" x14ac:dyDescent="0.3">
      <c r="A1714" s="72" t="s">
        <v>1861</v>
      </c>
      <c r="B1714" s="73" t="s">
        <v>1862</v>
      </c>
      <c r="C1714" s="23">
        <f>VLOOKUP(A1714,'[11]Linea Automotriz'!$A$1:$D$533,4,FALSE)</f>
        <v>7.25</v>
      </c>
      <c r="D1714" s="23">
        <f>VLOOKUP(A1714,'[11]Linea Automotriz'!$A$1:$E$533,5,FALSE)</f>
        <v>8.19</v>
      </c>
      <c r="E1714" s="23">
        <f>VLOOKUP(A1714,'[11]Linea Automotriz'!$A$1:$F$533,6,FALSE)</f>
        <v>9.2899999999999991</v>
      </c>
      <c r="F1714" s="23">
        <f>VLOOKUP(A1714,'[11]Linea Automotriz'!$A$2:$G$533,7,FALSE)</f>
        <v>10.5</v>
      </c>
    </row>
    <row r="1715" spans="1:6" x14ac:dyDescent="0.3">
      <c r="A1715" s="72" t="s">
        <v>1863</v>
      </c>
      <c r="B1715" s="73" t="s">
        <v>1864</v>
      </c>
      <c r="C1715" s="23">
        <f>VLOOKUP(A1715,'[11]Linea Automotriz'!$A$1:$D$533,4,FALSE)</f>
        <v>7.25</v>
      </c>
      <c r="D1715" s="23">
        <f>VLOOKUP(A1715,'[11]Linea Automotriz'!$A$1:$E$533,5,FALSE)</f>
        <v>8.19</v>
      </c>
      <c r="E1715" s="23">
        <f>VLOOKUP(A1715,'[11]Linea Automotriz'!$A$1:$F$533,6,FALSE)</f>
        <v>9.2899999999999991</v>
      </c>
      <c r="F1715" s="23">
        <f>VLOOKUP(A1715,'[11]Linea Automotriz'!$A$2:$G$533,7,FALSE)</f>
        <v>10.5</v>
      </c>
    </row>
    <row r="1716" spans="1:6" x14ac:dyDescent="0.3">
      <c r="A1716" s="72" t="s">
        <v>1865</v>
      </c>
      <c r="B1716" s="73" t="s">
        <v>1866</v>
      </c>
      <c r="C1716" s="23">
        <f>VLOOKUP(A1716,'[11]Linea Automotriz'!$A$1:$D$533,4,FALSE)</f>
        <v>7.25</v>
      </c>
      <c r="D1716" s="23">
        <f>VLOOKUP(A1716,'[11]Linea Automotriz'!$A$1:$E$533,5,FALSE)</f>
        <v>8.19</v>
      </c>
      <c r="E1716" s="23">
        <f>VLOOKUP(A1716,'[11]Linea Automotriz'!$A$1:$F$533,6,FALSE)</f>
        <v>9.2899999999999991</v>
      </c>
      <c r="F1716" s="23">
        <f>VLOOKUP(A1716,'[11]Linea Automotriz'!$A$2:$G$533,7,FALSE)</f>
        <v>10.5</v>
      </c>
    </row>
    <row r="1717" spans="1:6" x14ac:dyDescent="0.3">
      <c r="A1717" s="72" t="s">
        <v>1867</v>
      </c>
      <c r="B1717" s="73" t="s">
        <v>1862</v>
      </c>
      <c r="C1717" s="23">
        <f>VLOOKUP(A1717,'[11]Linea Automotriz'!$A$1:$D$533,4,FALSE)</f>
        <v>25.47</v>
      </c>
      <c r="D1717" s="23">
        <f>VLOOKUP(A1717,'[11]Linea Automotriz'!$A$1:$E$533,5,FALSE)</f>
        <v>28.78</v>
      </c>
      <c r="E1717" s="23">
        <f>VLOOKUP(A1717,'[11]Linea Automotriz'!$A$1:$F$533,6,FALSE)</f>
        <v>32.65</v>
      </c>
      <c r="F1717" s="23">
        <f>VLOOKUP(A1717,'[11]Linea Automotriz'!$A$2:$G$533,7,FALSE)</f>
        <v>36.9</v>
      </c>
    </row>
    <row r="1718" spans="1:6" x14ac:dyDescent="0.3">
      <c r="A1718" s="72" t="s">
        <v>1868</v>
      </c>
      <c r="B1718" s="73" t="s">
        <v>1864</v>
      </c>
      <c r="C1718" s="23">
        <f>VLOOKUP(A1718,'[11]Linea Automotriz'!$A$1:$D$533,4,FALSE)</f>
        <v>25.47</v>
      </c>
      <c r="D1718" s="23">
        <f>VLOOKUP(A1718,'[11]Linea Automotriz'!$A$1:$E$533,5,FALSE)</f>
        <v>28.78</v>
      </c>
      <c r="E1718" s="23">
        <f>VLOOKUP(A1718,'[11]Linea Automotriz'!$A$1:$F$533,6,FALSE)</f>
        <v>32.65</v>
      </c>
      <c r="F1718" s="23">
        <f>VLOOKUP(A1718,'[11]Linea Automotriz'!$A$2:$G$533,7,FALSE)</f>
        <v>36.9</v>
      </c>
    </row>
    <row r="1719" spans="1:6" x14ac:dyDescent="0.3">
      <c r="A1719" s="72" t="s">
        <v>1869</v>
      </c>
      <c r="B1719" s="73" t="s">
        <v>1866</v>
      </c>
      <c r="C1719" s="23">
        <f>VLOOKUP(A1719,'[11]Linea Automotriz'!$A$1:$D$533,4,FALSE)</f>
        <v>25.47</v>
      </c>
      <c r="D1719" s="23">
        <f>VLOOKUP(A1719,'[11]Linea Automotriz'!$A$1:$E$533,5,FALSE)</f>
        <v>28.78</v>
      </c>
      <c r="E1719" s="23">
        <f>VLOOKUP(A1719,'[11]Linea Automotriz'!$A$1:$F$533,6,FALSE)</f>
        <v>32.65</v>
      </c>
      <c r="F1719" s="23">
        <f>VLOOKUP(A1719,'[11]Linea Automotriz'!$A$2:$G$533,7,FALSE)</f>
        <v>36.9</v>
      </c>
    </row>
    <row r="1720" spans="1:6" x14ac:dyDescent="0.3">
      <c r="A1720" s="44" t="s">
        <v>1870</v>
      </c>
      <c r="B1720" s="73" t="s">
        <v>3855</v>
      </c>
      <c r="C1720" s="23">
        <f>VLOOKUP(A1720,'[11]Linea Automotriz'!$A$1:$D$533,4,FALSE)</f>
        <v>55.69</v>
      </c>
      <c r="D1720" s="23">
        <f>VLOOKUP(A1720,'[11]Linea Automotriz'!$A$1:$E$533,5,FALSE)</f>
        <v>62.93</v>
      </c>
      <c r="E1720" s="23">
        <f>VLOOKUP(A1720,'[11]Linea Automotriz'!$A$1:$F$533,6,FALSE)</f>
        <v>79.56</v>
      </c>
      <c r="F1720" s="23">
        <f>VLOOKUP(A1720,'[11]Linea Automotriz'!$A$2:$G$533,7,FALSE)</f>
        <v>89.9</v>
      </c>
    </row>
    <row r="1721" spans="1:6" x14ac:dyDescent="0.3">
      <c r="A1721" s="44" t="s">
        <v>1871</v>
      </c>
      <c r="B1721" s="73" t="s">
        <v>1872</v>
      </c>
      <c r="C1721" s="23">
        <f>VLOOKUP(A1721,'[11]Linea Automotriz'!$A$1:$D$533,4,FALSE)</f>
        <v>22.86</v>
      </c>
      <c r="D1721" s="23">
        <f>VLOOKUP(A1721,'[11]Linea Automotriz'!$A$1:$E$533,5,FALSE)</f>
        <v>25.83</v>
      </c>
      <c r="E1721" s="23">
        <f>VLOOKUP(A1721,'[11]Linea Automotriz'!$A$1:$F$533,6,FALSE)</f>
        <v>32.65</v>
      </c>
      <c r="F1721" s="23">
        <f>VLOOKUP(A1721,'[11]Linea Automotriz'!$A$2:$G$533,7,FALSE)</f>
        <v>36.9</v>
      </c>
    </row>
    <row r="1722" spans="1:6" x14ac:dyDescent="0.3">
      <c r="A1722" s="75">
        <v>300009245</v>
      </c>
      <c r="B1722" s="73" t="s">
        <v>3856</v>
      </c>
      <c r="C1722" s="23">
        <f>VLOOKUP(A1722,'[11]Linea Automotriz'!$A$1:$D$533,4,FALSE)</f>
        <v>11.46</v>
      </c>
      <c r="D1722" s="23">
        <f>VLOOKUP(A1722,'[11]Linea Automotriz'!$A$1:$E$533,5,FALSE)</f>
        <v>12.95</v>
      </c>
      <c r="E1722" s="23">
        <f>VLOOKUP(A1722,'[11]Linea Automotriz'!$A$1:$F$533,6,FALSE)</f>
        <v>16.37</v>
      </c>
      <c r="F1722" s="23">
        <f>VLOOKUP(A1722,'[11]Linea Automotriz'!$A$2:$G$533,7,FALSE)</f>
        <v>18.5</v>
      </c>
    </row>
    <row r="1723" spans="1:6" x14ac:dyDescent="0.3">
      <c r="A1723" s="44" t="s">
        <v>1873</v>
      </c>
      <c r="B1723" s="73" t="s">
        <v>3857</v>
      </c>
      <c r="C1723" s="23">
        <f>VLOOKUP(A1723,'[11]Linea Automotriz'!$A$1:$D$533,4,FALSE)</f>
        <v>29.42</v>
      </c>
      <c r="D1723" s="23">
        <f>VLOOKUP(A1723,'[11]Linea Automotriz'!$A$1:$E$533,5,FALSE)</f>
        <v>33.25</v>
      </c>
      <c r="E1723" s="23">
        <f>VLOOKUP(A1723,'[11]Linea Automotriz'!$A$1:$F$533,6,FALSE)</f>
        <v>42.04</v>
      </c>
      <c r="F1723" s="23">
        <f>VLOOKUP(A1723,'[11]Linea Automotriz'!$A$2:$G$533,7,FALSE)</f>
        <v>47.5</v>
      </c>
    </row>
    <row r="1724" spans="1:6" x14ac:dyDescent="0.3">
      <c r="A1724" s="72" t="s">
        <v>1874</v>
      </c>
      <c r="B1724" s="73" t="s">
        <v>3858</v>
      </c>
      <c r="C1724" s="23">
        <f>VLOOKUP(A1724,'[11]Linea Automotriz'!$A$1:$D$533,4,FALSE)</f>
        <v>12.68</v>
      </c>
      <c r="D1724" s="23">
        <f>VLOOKUP(A1724,'[11]Linea Automotriz'!$A$1:$E$533,5,FALSE)</f>
        <v>14.33</v>
      </c>
      <c r="E1724" s="23">
        <f>VLOOKUP(A1724,'[11]Linea Automotriz'!$A$1:$F$533,6,FALSE)</f>
        <v>17.61</v>
      </c>
      <c r="F1724" s="23">
        <f>VLOOKUP(A1724,'[11]Linea Automotriz'!$A$2:$G$533,7,FALSE)</f>
        <v>19.899999999999999</v>
      </c>
    </row>
    <row r="1725" spans="1:6" x14ac:dyDescent="0.3">
      <c r="A1725" s="72" t="s">
        <v>1875</v>
      </c>
      <c r="B1725" s="73" t="s">
        <v>1876</v>
      </c>
      <c r="C1725" s="23">
        <f>VLOOKUP(A1725,'[11]Linea Automotriz'!$A$1:$D$533,4,FALSE)</f>
        <v>5.51</v>
      </c>
      <c r="D1725" s="23">
        <f>VLOOKUP(A1725,'[11]Linea Automotriz'!$A$1:$E$533,5,FALSE)</f>
        <v>6.23</v>
      </c>
      <c r="E1725" s="23">
        <f>VLOOKUP(A1725,'[11]Linea Automotriz'!$A$1:$F$533,6,FALSE)</f>
        <v>7.88</v>
      </c>
      <c r="F1725" s="23">
        <f>VLOOKUP(A1725,'[11]Linea Automotriz'!$A$2:$G$533,7,FALSE)</f>
        <v>8.9</v>
      </c>
    </row>
    <row r="1726" spans="1:6" x14ac:dyDescent="0.3">
      <c r="A1726" s="72" t="s">
        <v>1877</v>
      </c>
      <c r="B1726" s="73" t="s">
        <v>1878</v>
      </c>
      <c r="C1726" s="23">
        <f>VLOOKUP(A1726,'[11]Linea Automotriz'!$A$1:$D$533,4,FALSE)</f>
        <v>26.58</v>
      </c>
      <c r="D1726" s="23">
        <f>VLOOKUP(A1726,'[11]Linea Automotriz'!$A$1:$E$533,5,FALSE)</f>
        <v>30.03</v>
      </c>
      <c r="E1726" s="23">
        <f>VLOOKUP(A1726,'[11]Linea Automotriz'!$A$1:$F$533,6,FALSE)</f>
        <v>37.96</v>
      </c>
      <c r="F1726" s="23">
        <f>VLOOKUP(A1726,'[11]Linea Automotriz'!$A$2:$G$533,7,FALSE)</f>
        <v>42.9</v>
      </c>
    </row>
    <row r="1727" spans="1:6" x14ac:dyDescent="0.3">
      <c r="A1727" s="72" t="s">
        <v>3859</v>
      </c>
      <c r="B1727" t="s">
        <v>1876</v>
      </c>
      <c r="C1727" s="23">
        <f>VLOOKUP(A1727,'[11]Linea Automotriz'!$A$1:$D$533,4,FALSE)</f>
        <v>35.619999999999997</v>
      </c>
      <c r="D1727" s="23">
        <f>VLOOKUP(A1727,'[11]Linea Automotriz'!$A$1:$E$533,5,FALSE)</f>
        <v>40.25</v>
      </c>
      <c r="E1727" s="23">
        <f>VLOOKUP(A1727,'[11]Linea Automotriz'!$A$1:$F$533,6,FALSE)</f>
        <v>50.88</v>
      </c>
      <c r="F1727" s="23">
        <f>VLOOKUP(A1727,'[11]Linea Automotriz'!$A$2:$G$533,7,FALSE)</f>
        <v>57.5</v>
      </c>
    </row>
    <row r="1728" spans="1:6" x14ac:dyDescent="0.3">
      <c r="A1728" s="72" t="s">
        <v>1879</v>
      </c>
      <c r="B1728" s="73" t="s">
        <v>3860</v>
      </c>
      <c r="C1728" s="23">
        <f>VLOOKUP(A1728,'[11]Linea Automotriz'!$A$1:$D$533,4,FALSE)</f>
        <v>48.13</v>
      </c>
      <c r="D1728" s="23">
        <f>VLOOKUP(A1728,'[11]Linea Automotriz'!$A$1:$E$533,5,FALSE)</f>
        <v>54.39</v>
      </c>
      <c r="E1728" s="23">
        <f>VLOOKUP(A1728,'[11]Linea Automotriz'!$A$1:$F$533,6,FALSE)</f>
        <v>65.040000000000006</v>
      </c>
      <c r="F1728" s="23">
        <f>VLOOKUP(A1728,'[11]Linea Automotriz'!$A$2:$G$533,7,FALSE)</f>
        <v>73.5</v>
      </c>
    </row>
    <row r="1729" spans="1:6" x14ac:dyDescent="0.3">
      <c r="A1729" s="72" t="s">
        <v>1880</v>
      </c>
      <c r="B1729" s="73" t="s">
        <v>3860</v>
      </c>
      <c r="C1729" s="23">
        <f>VLOOKUP(A1729,'[11]Linea Automotriz'!$A$1:$D$533,4,FALSE)</f>
        <v>13.04</v>
      </c>
      <c r="D1729" s="23">
        <f>VLOOKUP(A1729,'[11]Linea Automotriz'!$A$1:$E$533,5,FALSE)</f>
        <v>14.73</v>
      </c>
      <c r="E1729" s="23">
        <f>VLOOKUP(A1729,'[11]Linea Automotriz'!$A$1:$F$533,6,FALSE)</f>
        <v>17.61</v>
      </c>
      <c r="F1729" s="23">
        <f>VLOOKUP(A1729,'[11]Linea Automotriz'!$A$2:$G$533,7,FALSE)</f>
        <v>19.900000000000002</v>
      </c>
    </row>
    <row r="1730" spans="1:6" x14ac:dyDescent="0.3">
      <c r="A1730" s="72" t="s">
        <v>1881</v>
      </c>
      <c r="B1730" s="73" t="s">
        <v>3861</v>
      </c>
      <c r="C1730" s="23">
        <f>VLOOKUP(A1730,'[11]Linea Automotriz'!$A$1:$D$533,4,FALSE)</f>
        <v>41.19</v>
      </c>
      <c r="D1730" s="23">
        <f>VLOOKUP(A1730,'[11]Linea Automotriz'!$A$1:$E$533,5,FALSE)</f>
        <v>46.55</v>
      </c>
      <c r="E1730" s="23">
        <f>VLOOKUP(A1730,'[11]Linea Automotriz'!$A$1:$F$533,6,FALSE)</f>
        <v>55.66</v>
      </c>
      <c r="F1730" s="23">
        <f>VLOOKUP(A1730,'[11]Linea Automotriz'!$A$2:$G$533,7,FALSE)</f>
        <v>62.9</v>
      </c>
    </row>
    <row r="1731" spans="1:6" x14ac:dyDescent="0.3">
      <c r="A1731" s="72" t="s">
        <v>1882</v>
      </c>
      <c r="B1731" s="73" t="s">
        <v>3861</v>
      </c>
      <c r="C1731" s="23">
        <f>VLOOKUP(A1731,'[11]Linea Automotriz'!$A$1:$D$533,4,FALSE)</f>
        <v>12.12</v>
      </c>
      <c r="D1731" s="23">
        <f>VLOOKUP(A1731,'[11]Linea Automotriz'!$A$1:$E$533,5,FALSE)</f>
        <v>13.69</v>
      </c>
      <c r="E1731" s="23">
        <f>VLOOKUP(A1731,'[11]Linea Automotriz'!$A$1:$F$533,6,FALSE)</f>
        <v>16.37</v>
      </c>
      <c r="F1731" s="23">
        <f>VLOOKUP(A1731,'[11]Linea Automotriz'!$A$2:$G$533,7,FALSE)</f>
        <v>18.5</v>
      </c>
    </row>
    <row r="1732" spans="1:6" x14ac:dyDescent="0.3">
      <c r="A1732" s="72" t="s">
        <v>1883</v>
      </c>
      <c r="B1732" s="73" t="s">
        <v>3862</v>
      </c>
      <c r="C1732" s="23">
        <f>VLOOKUP(A1732,'[11]Linea Automotriz'!$A$1:$D$533,4,FALSE)</f>
        <v>32.520000000000003</v>
      </c>
      <c r="D1732" s="23">
        <f>VLOOKUP(A1732,'[11]Linea Automotriz'!$A$1:$E$533,5,FALSE)</f>
        <v>36.75</v>
      </c>
      <c r="E1732" s="23">
        <f>VLOOKUP(A1732,'[11]Linea Automotriz'!$A$1:$F$533,6,FALSE)</f>
        <v>46.46</v>
      </c>
      <c r="F1732" s="23">
        <f>VLOOKUP(A1732,'[11]Linea Automotriz'!$A$2:$G$533,7,FALSE)</f>
        <v>52.5</v>
      </c>
    </row>
    <row r="1733" spans="1:6" x14ac:dyDescent="0.3">
      <c r="A1733" s="75" t="s">
        <v>3863</v>
      </c>
      <c r="B1733" s="73" t="s">
        <v>3864</v>
      </c>
      <c r="C1733" s="23">
        <f>VLOOKUP(A1733,'[11]Linea Automotriz'!$A$1:$D$533,4,FALSE)</f>
        <v>22.24</v>
      </c>
      <c r="D1733" s="23">
        <f>VLOOKUP(A1733,'[11]Linea Automotriz'!$A$1:$E$533,5,FALSE)</f>
        <v>25.13</v>
      </c>
      <c r="E1733" s="23">
        <f>VLOOKUP(A1733,'[11]Linea Automotriz'!$A$1:$F$533,6,FALSE)</f>
        <v>31.77</v>
      </c>
      <c r="F1733" s="23">
        <f>VLOOKUP(A1733,'[11]Linea Automotriz'!$A$2:$G$533,7,FALSE)</f>
        <v>35.9</v>
      </c>
    </row>
    <row r="1734" spans="1:6" x14ac:dyDescent="0.3">
      <c r="A1734" s="75" t="s">
        <v>3865</v>
      </c>
      <c r="B1734" s="73" t="s">
        <v>3866</v>
      </c>
      <c r="C1734" s="23">
        <f>VLOOKUP(A1734,'[11]Linea Automotriz'!$A$1:$D$533,4,FALSE)</f>
        <v>24.47</v>
      </c>
      <c r="D1734" s="23">
        <f>VLOOKUP(A1734,'[11]Linea Automotriz'!$A$1:$E$533,5,FALSE)</f>
        <v>27.65</v>
      </c>
      <c r="E1734" s="23">
        <f>VLOOKUP(A1734,'[11]Linea Automotriz'!$A$1:$F$533,6,FALSE)</f>
        <v>34.96</v>
      </c>
      <c r="F1734" s="23">
        <f>VLOOKUP(A1734,'[11]Linea Automotriz'!$A$2:$G$533,7,FALSE)</f>
        <v>39.5</v>
      </c>
    </row>
    <row r="1735" spans="1:6" x14ac:dyDescent="0.3">
      <c r="A1735" s="72" t="s">
        <v>1884</v>
      </c>
      <c r="B1735" s="73" t="s">
        <v>1885</v>
      </c>
      <c r="C1735" s="23">
        <f>VLOOKUP(A1735,'[11]Linea Automotriz'!$A$1:$D$533,4,FALSE)</f>
        <v>6.75</v>
      </c>
      <c r="D1735" s="23">
        <f>VLOOKUP(A1735,'[11]Linea Automotriz'!$A$1:$E$533,5,FALSE)</f>
        <v>7.63</v>
      </c>
      <c r="E1735" s="23">
        <f>VLOOKUP(A1735,'[11]Linea Automotriz'!$A$1:$F$533,6,FALSE)</f>
        <v>9.65</v>
      </c>
      <c r="F1735" s="23">
        <f>VLOOKUP(A1735,'[11]Linea Automotriz'!$A$2:$G$533,7,FALSE)</f>
        <v>10.9</v>
      </c>
    </row>
    <row r="1736" spans="1:6" x14ac:dyDescent="0.3">
      <c r="A1736" s="72" t="s">
        <v>1886</v>
      </c>
      <c r="B1736" s="73" t="s">
        <v>1887</v>
      </c>
      <c r="C1736" s="23">
        <f>VLOOKUP(A1736,'[11]Linea Automotriz'!$A$1:$D$533,4,FALSE)</f>
        <v>6.75</v>
      </c>
      <c r="D1736" s="23">
        <f>VLOOKUP(A1736,'[11]Linea Automotriz'!$A$1:$E$533,5,FALSE)</f>
        <v>7.63</v>
      </c>
      <c r="E1736" s="23">
        <f>VLOOKUP(A1736,'[11]Linea Automotriz'!$A$1:$F$533,6,FALSE)</f>
        <v>9.65</v>
      </c>
      <c r="F1736" s="23">
        <f>VLOOKUP(A1736,'[11]Linea Automotriz'!$A$2:$G$533,7,FALSE)</f>
        <v>10.9</v>
      </c>
    </row>
    <row r="1737" spans="1:6" x14ac:dyDescent="0.3">
      <c r="A1737" s="72" t="s">
        <v>1888</v>
      </c>
      <c r="B1737" s="73" t="s">
        <v>1885</v>
      </c>
      <c r="C1737" s="23">
        <f>VLOOKUP(A1737,'[11]Linea Automotriz'!$A$1:$D$533,4,FALSE)</f>
        <v>23.85</v>
      </c>
      <c r="D1737" s="23">
        <f>VLOOKUP(A1737,'[11]Linea Automotriz'!$A$1:$E$533,5,FALSE)</f>
        <v>26.95</v>
      </c>
      <c r="E1737" s="23">
        <f>VLOOKUP(A1737,'[11]Linea Automotriz'!$A$1:$F$533,6,FALSE)</f>
        <v>34.07</v>
      </c>
      <c r="F1737" s="23">
        <f>VLOOKUP(A1737,'[11]Linea Automotriz'!$A$2:$G$533,7,FALSE)</f>
        <v>38.5</v>
      </c>
    </row>
    <row r="1738" spans="1:6" x14ac:dyDescent="0.3">
      <c r="A1738" s="72" t="s">
        <v>1889</v>
      </c>
      <c r="B1738" s="73" t="s">
        <v>1887</v>
      </c>
      <c r="C1738" s="23">
        <f>VLOOKUP(A1738,'[11]Linea Automotriz'!$A$1:$D$533,4,FALSE)</f>
        <v>23.85</v>
      </c>
      <c r="D1738" s="23">
        <f>VLOOKUP(A1738,'[11]Linea Automotriz'!$A$1:$E$533,5,FALSE)</f>
        <v>26.95</v>
      </c>
      <c r="E1738" s="23">
        <f>VLOOKUP(A1738,'[11]Linea Automotriz'!$A$1:$F$533,6,FALSE)</f>
        <v>34.07</v>
      </c>
      <c r="F1738" s="23">
        <f>VLOOKUP(A1738,'[11]Linea Automotriz'!$A$2:$G$533,7,FALSE)</f>
        <v>38.5</v>
      </c>
    </row>
    <row r="1739" spans="1:6" x14ac:dyDescent="0.3">
      <c r="A1739" s="72" t="s">
        <v>1890</v>
      </c>
      <c r="B1739" s="73" t="s">
        <v>1885</v>
      </c>
      <c r="C1739" s="23">
        <f>VLOOKUP(A1739,'[11]Linea Automotriz'!$A$1:$D$533,4,FALSE)</f>
        <v>106.55</v>
      </c>
      <c r="D1739" s="23">
        <f>VLOOKUP(A1739,'[11]Linea Automotriz'!$A$1:$E$533,5,FALSE)</f>
        <v>120.4</v>
      </c>
      <c r="E1739" s="23">
        <f>VLOOKUP(A1739,'[11]Linea Automotriz'!$A$1:$F$533,6,FALSE)</f>
        <v>152.21</v>
      </c>
      <c r="F1739" s="23">
        <f>VLOOKUP(A1739,'[11]Linea Automotriz'!$A$2:$G$533,7,FALSE)</f>
        <v>172</v>
      </c>
    </row>
    <row r="1740" spans="1:6" x14ac:dyDescent="0.3">
      <c r="A1740" s="72" t="s">
        <v>1891</v>
      </c>
      <c r="B1740" s="73" t="s">
        <v>1887</v>
      </c>
      <c r="C1740" s="23">
        <f>VLOOKUP(A1740,'[11]Linea Automotriz'!$A$1:$D$533,4,FALSE)</f>
        <v>106.55</v>
      </c>
      <c r="D1740" s="23">
        <f>VLOOKUP(A1740,'[11]Linea Automotriz'!$A$1:$E$533,5,FALSE)</f>
        <v>120.4</v>
      </c>
      <c r="E1740" s="23">
        <f>VLOOKUP(A1740,'[11]Linea Automotriz'!$A$1:$F$533,6,FALSE)</f>
        <v>152.21</v>
      </c>
      <c r="F1740" s="23">
        <f>VLOOKUP(A1740,'[11]Linea Automotriz'!$A$2:$G$533,7,FALSE)</f>
        <v>172</v>
      </c>
    </row>
    <row r="1741" spans="1:6" x14ac:dyDescent="0.3">
      <c r="A1741" s="72" t="s">
        <v>1892</v>
      </c>
      <c r="B1741" s="73" t="s">
        <v>3867</v>
      </c>
      <c r="C1741" s="23">
        <f>VLOOKUP(A1741,'[11]Linea Automotriz'!$A$1:$D$533,4,FALSE)</f>
        <v>30.04</v>
      </c>
      <c r="D1741" s="23">
        <f>VLOOKUP(A1741,'[11]Linea Automotriz'!$A$1:$E$533,5,FALSE)</f>
        <v>33.950000000000003</v>
      </c>
      <c r="E1741" s="23">
        <f>VLOOKUP(A1741,'[11]Linea Automotriz'!$A$1:$F$533,6,FALSE)</f>
        <v>42.92</v>
      </c>
      <c r="F1741" s="23">
        <f>VLOOKUP(A1741,'[11]Linea Automotriz'!$A$2:$G$533,7,FALSE)</f>
        <v>48.5</v>
      </c>
    </row>
    <row r="1742" spans="1:6" x14ac:dyDescent="0.3">
      <c r="A1742" s="72" t="s">
        <v>1894</v>
      </c>
      <c r="B1742" s="73" t="s">
        <v>1893</v>
      </c>
      <c r="C1742" s="23">
        <f>VLOOKUP(A1742,'[11]Linea Automotriz'!$A$1:$D$533,4,FALSE)</f>
        <v>6.5</v>
      </c>
      <c r="D1742" s="23">
        <f>VLOOKUP(A1742,'[11]Linea Automotriz'!$A$1:$E$533,5,FALSE)</f>
        <v>7.35</v>
      </c>
      <c r="E1742" s="23">
        <f>VLOOKUP(A1742,'[11]Linea Automotriz'!$A$1:$F$533,6,FALSE)</f>
        <v>9.2899999999999991</v>
      </c>
      <c r="F1742" s="23">
        <f>VLOOKUP(A1742,'[11]Linea Automotriz'!$A$2:$G$533,7,FALSE)</f>
        <v>10.5</v>
      </c>
    </row>
    <row r="1743" spans="1:6" x14ac:dyDescent="0.3">
      <c r="A1743" s="72" t="s">
        <v>1895</v>
      </c>
      <c r="B1743" s="73" t="s">
        <v>1893</v>
      </c>
      <c r="C1743" s="23">
        <f>VLOOKUP(A1743,'[11]Linea Automotriz'!$A$1:$D$533,4,FALSE)</f>
        <v>23.97</v>
      </c>
      <c r="D1743" s="23">
        <f>VLOOKUP(A1743,'[11]Linea Automotriz'!$A$1:$E$533,5,FALSE)</f>
        <v>27.09</v>
      </c>
      <c r="E1743" s="23">
        <f>VLOOKUP(A1743,'[11]Linea Automotriz'!$A$1:$F$533,6,FALSE)</f>
        <v>34.25</v>
      </c>
      <c r="F1743" s="23">
        <f>VLOOKUP(A1743,'[11]Linea Automotriz'!$A$2:$G$533,7,FALSE)</f>
        <v>38.700000000000003</v>
      </c>
    </row>
    <row r="1744" spans="1:6" x14ac:dyDescent="0.3">
      <c r="A1744" s="72" t="s">
        <v>1896</v>
      </c>
      <c r="B1744" s="73" t="s">
        <v>3868</v>
      </c>
      <c r="C1744" s="23">
        <f>VLOOKUP(A1744,'[11]Linea Automotriz'!$A$1:$D$533,4,FALSE)</f>
        <v>31.41</v>
      </c>
      <c r="D1744" s="23">
        <f>VLOOKUP(A1744,'[11]Linea Automotriz'!$A$1:$E$533,5,FALSE)</f>
        <v>35.49</v>
      </c>
      <c r="E1744" s="23">
        <f>VLOOKUP(A1744,'[11]Linea Automotriz'!$A$1:$F$533,6,FALSE)</f>
        <v>40.270000000000003</v>
      </c>
      <c r="F1744" s="23">
        <f>VLOOKUP(A1744,'[11]Linea Automotriz'!$A$2:$G$533,7,FALSE)</f>
        <v>45.5</v>
      </c>
    </row>
    <row r="1745" spans="1:6" x14ac:dyDescent="0.3">
      <c r="A1745" s="72" t="s">
        <v>1897</v>
      </c>
      <c r="B1745" s="73" t="s">
        <v>3868</v>
      </c>
      <c r="C1745" s="23">
        <f>VLOOKUP(A1745,'[11]Linea Automotriz'!$A$1:$D$533,4,FALSE)</f>
        <v>8.6300000000000008</v>
      </c>
      <c r="D1745" s="23">
        <f>VLOOKUP(A1745,'[11]Linea Automotriz'!$A$1:$E$533,5,FALSE)</f>
        <v>9.75</v>
      </c>
      <c r="E1745" s="23">
        <f>VLOOKUP(A1745,'[11]Linea Automotriz'!$A$1:$F$533,6,FALSE)</f>
        <v>11.06</v>
      </c>
      <c r="F1745" s="23">
        <f>VLOOKUP(A1745,'[11]Linea Automotriz'!$A$2:$G$533,7,FALSE)</f>
        <v>12.5</v>
      </c>
    </row>
    <row r="1746" spans="1:6" x14ac:dyDescent="0.3">
      <c r="A1746" s="75">
        <v>6954</v>
      </c>
      <c r="B1746" s="73" t="s">
        <v>3869</v>
      </c>
      <c r="C1746" s="23">
        <f>VLOOKUP(A1746,'[11]Linea Automotriz'!$A$1:$D$533,4,FALSE)</f>
        <v>20.36</v>
      </c>
      <c r="D1746" s="23">
        <f>VLOOKUP(A1746,'[11]Linea Automotriz'!$A$1:$E$533,5,FALSE)</f>
        <v>23.01</v>
      </c>
      <c r="E1746" s="23">
        <f>VLOOKUP(A1746,'[11]Linea Automotriz'!$A$1:$F$533,6,FALSE)</f>
        <v>26.11</v>
      </c>
      <c r="F1746" s="23">
        <f>VLOOKUP(A1746,'[11]Linea Automotriz'!$A$2:$G$533,7,FALSE)</f>
        <v>29.5</v>
      </c>
    </row>
    <row r="1747" spans="1:6" x14ac:dyDescent="0.3">
      <c r="A1747" s="72" t="s">
        <v>1898</v>
      </c>
      <c r="B1747" s="73" t="s">
        <v>1899</v>
      </c>
      <c r="C1747" s="23">
        <f>VLOOKUP(A1747,'[11]Linea Automotriz'!$A$1:$D$533,4,FALSE)</f>
        <v>52.96</v>
      </c>
      <c r="D1747" s="23">
        <f>VLOOKUP(A1747,'[11]Linea Automotriz'!$A$1:$E$533,5,FALSE)</f>
        <v>59.85</v>
      </c>
      <c r="E1747" s="23">
        <f>VLOOKUP(A1747,'[11]Linea Automotriz'!$A$1:$F$533,6,FALSE)</f>
        <v>75.66</v>
      </c>
      <c r="F1747" s="23">
        <f>VLOOKUP(A1747,'[11]Linea Automotriz'!$A$2:$G$533,7,FALSE)</f>
        <v>85.5</v>
      </c>
    </row>
    <row r="1748" spans="1:6" x14ac:dyDescent="0.3">
      <c r="A1748" s="72" t="s">
        <v>1900</v>
      </c>
      <c r="B1748" s="73" t="s">
        <v>1901</v>
      </c>
      <c r="C1748" s="23">
        <f>VLOOKUP(A1748,'[11]Linea Automotriz'!$A$1:$D$533,4,FALSE)</f>
        <v>15.18</v>
      </c>
      <c r="D1748" s="23">
        <f>VLOOKUP(A1748,'[11]Linea Automotriz'!$A$1:$E$533,5,FALSE)</f>
        <v>17.149999999999999</v>
      </c>
      <c r="E1748" s="23">
        <f>VLOOKUP(A1748,'[11]Linea Automotriz'!$A$1:$F$533,6,FALSE)</f>
        <v>21.68</v>
      </c>
      <c r="F1748" s="23">
        <f>VLOOKUP(A1748,'[11]Linea Automotriz'!$A$2:$G$533,7,FALSE)</f>
        <v>24.5</v>
      </c>
    </row>
    <row r="1749" spans="1:6" x14ac:dyDescent="0.3">
      <c r="A1749" s="72" t="s">
        <v>1902</v>
      </c>
      <c r="B1749" s="73" t="s">
        <v>1901</v>
      </c>
      <c r="C1749" s="23">
        <f>VLOOKUP(A1749,'[11]Linea Automotriz'!$A$1:$D$533,4,FALSE)</f>
        <v>55.07</v>
      </c>
      <c r="D1749" s="23">
        <f>VLOOKUP(A1749,'[11]Linea Automotriz'!$A$1:$E$533,5,FALSE)</f>
        <v>62.23</v>
      </c>
      <c r="E1749" s="23">
        <f>VLOOKUP(A1749,'[11]Linea Automotriz'!$A$1:$F$533,6,FALSE)</f>
        <v>78.67</v>
      </c>
      <c r="F1749" s="23">
        <f>VLOOKUP(A1749,'[11]Linea Automotriz'!$A$2:$G$533,7,FALSE)</f>
        <v>88.9</v>
      </c>
    </row>
    <row r="1750" spans="1:6" x14ac:dyDescent="0.3">
      <c r="A1750" s="72" t="s">
        <v>1903</v>
      </c>
      <c r="B1750" s="73" t="s">
        <v>1904</v>
      </c>
      <c r="C1750" s="23">
        <f>VLOOKUP(A1750,'[11]Linea Automotriz'!$A$1:$D$533,4,FALSE)</f>
        <v>70.73</v>
      </c>
      <c r="D1750" s="23">
        <f>VLOOKUP(A1750,'[11]Linea Automotriz'!$A$1:$E$533,5,FALSE)</f>
        <v>79.92</v>
      </c>
      <c r="E1750" s="23">
        <f>VLOOKUP(A1750,'[11]Linea Automotriz'!$A$1:$F$533,6,FALSE)</f>
        <v>98.23</v>
      </c>
      <c r="F1750" s="23">
        <f>VLOOKUP(A1750,'[11]Linea Automotriz'!$A$2:$G$533,7,FALSE)</f>
        <v>111</v>
      </c>
    </row>
    <row r="1751" spans="1:6" x14ac:dyDescent="0.3">
      <c r="A1751" s="72" t="s">
        <v>1905</v>
      </c>
      <c r="B1751" s="73" t="s">
        <v>1906</v>
      </c>
      <c r="C1751" s="23">
        <f>VLOOKUP(A1751,'[11]Linea Automotriz'!$A$1:$D$533,4,FALSE)</f>
        <v>70.73</v>
      </c>
      <c r="D1751" s="23">
        <f>VLOOKUP(A1751,'[11]Linea Automotriz'!$A$1:$E$533,5,FALSE)</f>
        <v>79.92</v>
      </c>
      <c r="E1751" s="23">
        <f>VLOOKUP(A1751,'[11]Linea Automotriz'!$A$1:$F$533,6,FALSE)</f>
        <v>98.23</v>
      </c>
      <c r="F1751" s="23">
        <f>VLOOKUP(A1751,'[11]Linea Automotriz'!$A$2:$G$533,7,FALSE)</f>
        <v>111</v>
      </c>
    </row>
    <row r="1752" spans="1:6" x14ac:dyDescent="0.3">
      <c r="A1752" s="72" t="s">
        <v>1907</v>
      </c>
      <c r="B1752" s="73" t="s">
        <v>1908</v>
      </c>
      <c r="C1752" s="23">
        <f>VLOOKUP(A1752,'[11]Linea Automotriz'!$A$1:$D$533,4,FALSE)</f>
        <v>135.08000000000001</v>
      </c>
      <c r="D1752" s="23">
        <f>VLOOKUP(A1752,'[11]Linea Automotriz'!$A$1:$E$533,5,FALSE)</f>
        <v>152.63999999999999</v>
      </c>
      <c r="E1752" s="23">
        <f>VLOOKUP(A1752,'[11]Linea Automotriz'!$A$1:$F$533,6,FALSE)</f>
        <v>187.61</v>
      </c>
      <c r="F1752" s="23">
        <f>VLOOKUP(A1752,'[11]Linea Automotriz'!$A$2:$G$533,7,FALSE)</f>
        <v>212</v>
      </c>
    </row>
    <row r="1753" spans="1:6" x14ac:dyDescent="0.3">
      <c r="A1753" s="72" t="s">
        <v>1909</v>
      </c>
      <c r="B1753" s="73" t="s">
        <v>3870</v>
      </c>
      <c r="C1753" s="23">
        <f>VLOOKUP(A1753,'[11]Linea Automotriz'!$A$1:$D$533,4,FALSE)</f>
        <v>198.42</v>
      </c>
      <c r="D1753" s="23">
        <f>VLOOKUP(A1753,'[11]Linea Automotriz'!$A$1:$E$533,5,FALSE)</f>
        <v>224.22</v>
      </c>
      <c r="E1753" s="23">
        <f>VLOOKUP(A1753,'[11]Linea Automotriz'!$A$1:$F$533,6,FALSE)</f>
        <v>268.14</v>
      </c>
      <c r="F1753" s="23">
        <f>VLOOKUP(A1753,'[11]Linea Automotriz'!$A$2:$G$533,7,FALSE)</f>
        <v>303</v>
      </c>
    </row>
    <row r="1754" spans="1:6" x14ac:dyDescent="0.3">
      <c r="A1754" s="72" t="s">
        <v>1910</v>
      </c>
      <c r="B1754" s="73" t="s">
        <v>1911</v>
      </c>
      <c r="C1754" s="23">
        <f>VLOOKUP(A1754,'[11]Linea Automotriz'!$A$1:$D$533,4,FALSE)</f>
        <v>9.82</v>
      </c>
      <c r="D1754" s="23">
        <f>VLOOKUP(A1754,'[11]Linea Automotriz'!$A$1:$E$533,5,FALSE)</f>
        <v>11.1</v>
      </c>
      <c r="E1754" s="23">
        <f>VLOOKUP(A1754,'[11]Linea Automotriz'!$A$1:$F$533,6,FALSE)</f>
        <v>16.37</v>
      </c>
      <c r="F1754" s="23">
        <f>VLOOKUP(A1754,'[11]Linea Automotriz'!$A$2:$G$533,7,FALSE)</f>
        <v>18.5</v>
      </c>
    </row>
    <row r="1755" spans="1:6" x14ac:dyDescent="0.3">
      <c r="A1755" s="72" t="s">
        <v>1912</v>
      </c>
      <c r="B1755" s="73" t="s">
        <v>1913</v>
      </c>
      <c r="C1755" s="23">
        <f>VLOOKUP(A1755,'[11]Linea Automotriz'!$A$1:$D$533,4,FALSE)</f>
        <v>9.82</v>
      </c>
      <c r="D1755" s="23">
        <f>VLOOKUP(A1755,'[11]Linea Automotriz'!$A$1:$E$533,5,FALSE)</f>
        <v>11.1</v>
      </c>
      <c r="E1755" s="23">
        <f>VLOOKUP(A1755,'[11]Linea Automotriz'!$A$1:$F$533,6,FALSE)</f>
        <v>16.37</v>
      </c>
      <c r="F1755" s="23">
        <f>VLOOKUP(A1755,'[11]Linea Automotriz'!$A$2:$G$533,7,FALSE)</f>
        <v>18.5</v>
      </c>
    </row>
    <row r="1756" spans="1:6" x14ac:dyDescent="0.3">
      <c r="A1756" s="72" t="s">
        <v>1914</v>
      </c>
      <c r="B1756" s="73" t="s">
        <v>1915</v>
      </c>
      <c r="C1756" s="23">
        <f>VLOOKUP(A1756,'[11]Linea Automotriz'!$A$1:$D$533,4,FALSE)</f>
        <v>74.87</v>
      </c>
      <c r="D1756" s="23">
        <f>VLOOKUP(A1756,'[11]Linea Automotriz'!$A$1:$E$533,5,FALSE)</f>
        <v>84.6</v>
      </c>
      <c r="E1756" s="23">
        <f>VLOOKUP(A1756,'[11]Linea Automotriz'!$A$1:$F$533,6,FALSE)</f>
        <v>124.78</v>
      </c>
      <c r="F1756" s="23">
        <f>VLOOKUP(A1756,'[11]Linea Automotriz'!$A$2:$G$533,7,FALSE)</f>
        <v>141</v>
      </c>
    </row>
    <row r="1757" spans="1:6" x14ac:dyDescent="0.3">
      <c r="A1757" s="72" t="s">
        <v>1916</v>
      </c>
      <c r="B1757" s="73" t="s">
        <v>1915</v>
      </c>
      <c r="C1757" s="23">
        <f>VLOOKUP(A1757,'[11]Linea Automotriz'!$A$1:$D$533,4,FALSE)</f>
        <v>18.739999999999998</v>
      </c>
      <c r="D1757" s="23">
        <f>VLOOKUP(A1757,'[11]Linea Automotriz'!$A$1:$E$533,5,FALSE)</f>
        <v>21.18</v>
      </c>
      <c r="E1757" s="23">
        <f>VLOOKUP(A1757,'[11]Linea Automotriz'!$A$1:$F$533,6,FALSE)</f>
        <v>31.24</v>
      </c>
      <c r="F1757" s="23">
        <f>VLOOKUP(A1757,'[11]Linea Automotriz'!$A$2:$G$533,7,FALSE)</f>
        <v>35.300000000000004</v>
      </c>
    </row>
    <row r="1758" spans="1:6" x14ac:dyDescent="0.3">
      <c r="A1758" s="72" t="s">
        <v>1917</v>
      </c>
      <c r="B1758" s="73" t="s">
        <v>1918</v>
      </c>
      <c r="C1758" s="23">
        <f>VLOOKUP(A1758,'[11]Linea Automotriz'!$A$1:$D$533,4,FALSE)</f>
        <v>74.87</v>
      </c>
      <c r="D1758" s="23">
        <f>VLOOKUP(A1758,'[11]Linea Automotriz'!$A$1:$E$533,5,FALSE)</f>
        <v>84.6</v>
      </c>
      <c r="E1758" s="23">
        <f>VLOOKUP(A1758,'[11]Linea Automotriz'!$A$1:$F$533,6,FALSE)</f>
        <v>124.78</v>
      </c>
      <c r="F1758" s="23">
        <f>VLOOKUP(A1758,'[11]Linea Automotriz'!$A$2:$G$533,7,FALSE)</f>
        <v>141</v>
      </c>
    </row>
    <row r="1759" spans="1:6" x14ac:dyDescent="0.3">
      <c r="A1759" s="72" t="s">
        <v>1919</v>
      </c>
      <c r="B1759" s="73" t="s">
        <v>1920</v>
      </c>
      <c r="C1759" s="23">
        <f>VLOOKUP(A1759,'[11]Linea Automotriz'!$A$1:$D$533,4,FALSE)</f>
        <v>74.87</v>
      </c>
      <c r="D1759" s="23">
        <f>VLOOKUP(A1759,'[11]Linea Automotriz'!$A$1:$E$533,5,FALSE)</f>
        <v>84.6</v>
      </c>
      <c r="E1759" s="23">
        <f>VLOOKUP(A1759,'[11]Linea Automotriz'!$A$1:$F$533,6,FALSE)</f>
        <v>124.78</v>
      </c>
      <c r="F1759" s="23">
        <f>VLOOKUP(A1759,'[11]Linea Automotriz'!$A$2:$G$533,7,FALSE)</f>
        <v>141</v>
      </c>
    </row>
    <row r="1760" spans="1:6" x14ac:dyDescent="0.3">
      <c r="A1760" s="72" t="s">
        <v>1921</v>
      </c>
      <c r="B1760" s="73" t="s">
        <v>1922</v>
      </c>
      <c r="C1760" s="23">
        <f>VLOOKUP(A1760,'[11]Linea Automotriz'!$A$1:$D$533,4,FALSE)</f>
        <v>74.87</v>
      </c>
      <c r="D1760" s="23">
        <f>VLOOKUP(A1760,'[11]Linea Automotriz'!$A$1:$E$533,5,FALSE)</f>
        <v>84.6</v>
      </c>
      <c r="E1760" s="23">
        <f>VLOOKUP(A1760,'[11]Linea Automotriz'!$A$1:$F$533,6,FALSE)</f>
        <v>124.78</v>
      </c>
      <c r="F1760" s="23">
        <f>VLOOKUP(A1760,'[11]Linea Automotriz'!$A$2:$G$533,7,FALSE)</f>
        <v>141</v>
      </c>
    </row>
    <row r="1761" spans="1:6" x14ac:dyDescent="0.3">
      <c r="A1761" s="72" t="s">
        <v>1923</v>
      </c>
      <c r="B1761" s="73" t="s">
        <v>1924</v>
      </c>
      <c r="C1761" s="23">
        <f>VLOOKUP(A1761,'[11]Linea Automotriz'!$A$1:$D$533,4,FALSE)</f>
        <v>74.87</v>
      </c>
      <c r="D1761" s="23">
        <f>VLOOKUP(A1761,'[11]Linea Automotriz'!$A$1:$E$533,5,FALSE)</f>
        <v>84.6</v>
      </c>
      <c r="E1761" s="23">
        <f>VLOOKUP(A1761,'[11]Linea Automotriz'!$A$1:$F$533,6,FALSE)</f>
        <v>124.78</v>
      </c>
      <c r="F1761" s="23">
        <f>VLOOKUP(A1761,'[11]Linea Automotriz'!$A$2:$G$533,7,FALSE)</f>
        <v>141</v>
      </c>
    </row>
    <row r="1762" spans="1:6" x14ac:dyDescent="0.3">
      <c r="A1762" s="72" t="s">
        <v>1925</v>
      </c>
      <c r="B1762" s="73" t="s">
        <v>1926</v>
      </c>
      <c r="C1762" s="23">
        <f>VLOOKUP(A1762,'[11]Linea Automotriz'!$A$1:$D$533,4,FALSE)</f>
        <v>74.87</v>
      </c>
      <c r="D1762" s="23">
        <f>VLOOKUP(A1762,'[11]Linea Automotriz'!$A$1:$E$533,5,FALSE)</f>
        <v>84.6</v>
      </c>
      <c r="E1762" s="23">
        <f>VLOOKUP(A1762,'[11]Linea Automotriz'!$A$1:$F$533,6,FALSE)</f>
        <v>124.78</v>
      </c>
      <c r="F1762" s="23">
        <f>VLOOKUP(A1762,'[11]Linea Automotriz'!$A$2:$G$533,7,FALSE)</f>
        <v>141</v>
      </c>
    </row>
    <row r="1763" spans="1:6" x14ac:dyDescent="0.3">
      <c r="A1763" s="72" t="s">
        <v>1927</v>
      </c>
      <c r="B1763" s="73" t="s">
        <v>1928</v>
      </c>
      <c r="C1763" s="23">
        <f>VLOOKUP(A1763,'[11]Linea Automotriz'!$A$1:$D$533,4,FALSE)</f>
        <v>21.72</v>
      </c>
      <c r="D1763" s="23">
        <f>VLOOKUP(A1763,'[11]Linea Automotriz'!$A$1:$E$533,5,FALSE)</f>
        <v>24.54</v>
      </c>
      <c r="E1763" s="23">
        <f>VLOOKUP(A1763,'[11]Linea Automotriz'!$A$1:$F$533,6,FALSE)</f>
        <v>36.19</v>
      </c>
      <c r="F1763" s="23">
        <f>VLOOKUP(A1763,'[11]Linea Automotriz'!$A$2:$G$533,7,FALSE)</f>
        <v>40.9</v>
      </c>
    </row>
    <row r="1764" spans="1:6" x14ac:dyDescent="0.3">
      <c r="A1764" s="72" t="s">
        <v>1929</v>
      </c>
      <c r="B1764" s="73" t="s">
        <v>1930</v>
      </c>
      <c r="C1764" s="23">
        <f>VLOOKUP(A1764,'[11]Linea Automotriz'!$A$1:$D$533,4,FALSE)</f>
        <v>41.42</v>
      </c>
      <c r="D1764" s="23">
        <f>VLOOKUP(A1764,'[11]Linea Automotriz'!$A$1:$E$533,5,FALSE)</f>
        <v>46.8</v>
      </c>
      <c r="E1764" s="23">
        <f>VLOOKUP(A1764,'[11]Linea Automotriz'!$A$1:$F$533,6,FALSE)</f>
        <v>69.03</v>
      </c>
      <c r="F1764" s="23">
        <f>VLOOKUP(A1764,'[11]Linea Automotriz'!$A$2:$G$533,7,FALSE)</f>
        <v>78</v>
      </c>
    </row>
    <row r="1765" spans="1:6" x14ac:dyDescent="0.3">
      <c r="A1765" s="72" t="s">
        <v>1931</v>
      </c>
      <c r="B1765" s="73" t="s">
        <v>1932</v>
      </c>
      <c r="C1765" s="23">
        <f>VLOOKUP(A1765,'[11]Linea Automotriz'!$A$1:$D$533,4,FALSE)</f>
        <v>41.42</v>
      </c>
      <c r="D1765" s="23">
        <f>VLOOKUP(A1765,'[11]Linea Automotriz'!$A$1:$E$533,5,FALSE)</f>
        <v>46.8</v>
      </c>
      <c r="E1765" s="23">
        <f>VLOOKUP(A1765,'[11]Linea Automotriz'!$A$1:$F$533,6,FALSE)</f>
        <v>69.03</v>
      </c>
      <c r="F1765" s="23">
        <f>VLOOKUP(A1765,'[11]Linea Automotriz'!$A$2:$G$533,7,FALSE)</f>
        <v>78</v>
      </c>
    </row>
    <row r="1766" spans="1:6" x14ac:dyDescent="0.3">
      <c r="A1766" s="72" t="s">
        <v>1933</v>
      </c>
      <c r="B1766" s="73" t="s">
        <v>1934</v>
      </c>
      <c r="C1766" s="23">
        <f>VLOOKUP(A1766,'[11]Linea Automotriz'!$A$1:$D$533,4,FALSE)</f>
        <v>21.72</v>
      </c>
      <c r="D1766" s="23">
        <f>VLOOKUP(A1766,'[11]Linea Automotriz'!$A$1:$E$533,5,FALSE)</f>
        <v>24.54</v>
      </c>
      <c r="E1766" s="23">
        <f>VLOOKUP(A1766,'[11]Linea Automotriz'!$A$1:$F$533,6,FALSE)</f>
        <v>36.19</v>
      </c>
      <c r="F1766" s="23">
        <f>VLOOKUP(A1766,'[11]Linea Automotriz'!$A$2:$G$533,7,FALSE)</f>
        <v>40.9</v>
      </c>
    </row>
    <row r="1767" spans="1:6" x14ac:dyDescent="0.3">
      <c r="A1767" s="72" t="s">
        <v>1935</v>
      </c>
      <c r="B1767" s="73" t="s">
        <v>1936</v>
      </c>
      <c r="C1767" s="23">
        <f>VLOOKUP(A1767,'[11]Linea Automotriz'!$A$1:$D$533,4,FALSE)</f>
        <v>21.72</v>
      </c>
      <c r="D1767" s="23">
        <f>VLOOKUP(A1767,'[11]Linea Automotriz'!$A$1:$E$533,5,FALSE)</f>
        <v>24.54</v>
      </c>
      <c r="E1767" s="23">
        <f>VLOOKUP(A1767,'[11]Linea Automotriz'!$A$1:$F$533,6,FALSE)</f>
        <v>36.19</v>
      </c>
      <c r="F1767" s="23">
        <f>VLOOKUP(A1767,'[11]Linea Automotriz'!$A$2:$G$533,7,FALSE)</f>
        <v>40.9</v>
      </c>
    </row>
    <row r="1768" spans="1:6" x14ac:dyDescent="0.3">
      <c r="A1768" s="72" t="s">
        <v>1937</v>
      </c>
      <c r="B1768" s="73" t="s">
        <v>1938</v>
      </c>
      <c r="C1768" s="23">
        <f>VLOOKUP(A1768,'[11]Linea Automotriz'!$A$1:$D$533,4,FALSE)</f>
        <v>21.72</v>
      </c>
      <c r="D1768" s="23">
        <f>VLOOKUP(A1768,'[11]Linea Automotriz'!$A$1:$E$533,5,FALSE)</f>
        <v>24.54</v>
      </c>
      <c r="E1768" s="23">
        <f>VLOOKUP(A1768,'[11]Linea Automotriz'!$A$1:$F$533,6,FALSE)</f>
        <v>36.19</v>
      </c>
      <c r="F1768" s="23">
        <f>VLOOKUP(A1768,'[11]Linea Automotriz'!$A$2:$G$533,7,FALSE)</f>
        <v>40.9</v>
      </c>
    </row>
    <row r="1769" spans="1:6" x14ac:dyDescent="0.3">
      <c r="A1769" s="72" t="s">
        <v>1939</v>
      </c>
      <c r="B1769" s="73" t="s">
        <v>1940</v>
      </c>
      <c r="C1769" s="23">
        <f>VLOOKUP(A1769,'[11]Linea Automotriz'!$A$1:$D$533,4,FALSE)</f>
        <v>41.42</v>
      </c>
      <c r="D1769" s="23">
        <f>VLOOKUP(A1769,'[11]Linea Automotriz'!$A$1:$E$533,5,FALSE)</f>
        <v>46.8</v>
      </c>
      <c r="E1769" s="23">
        <f>VLOOKUP(A1769,'[11]Linea Automotriz'!$A$1:$F$533,6,FALSE)</f>
        <v>69.03</v>
      </c>
      <c r="F1769" s="23">
        <f>VLOOKUP(A1769,'[11]Linea Automotriz'!$A$2:$G$533,7,FALSE)</f>
        <v>78</v>
      </c>
    </row>
    <row r="1770" spans="1:6" x14ac:dyDescent="0.3">
      <c r="A1770" s="72" t="s">
        <v>1941</v>
      </c>
      <c r="B1770" s="73" t="s">
        <v>1942</v>
      </c>
      <c r="C1770" s="23">
        <f>VLOOKUP(A1770,'[11]Linea Automotriz'!$A$1:$D$533,4,FALSE)</f>
        <v>21.72</v>
      </c>
      <c r="D1770" s="23">
        <f>VLOOKUP(A1770,'[11]Linea Automotriz'!$A$1:$E$533,5,FALSE)</f>
        <v>24.54</v>
      </c>
      <c r="E1770" s="23">
        <f>VLOOKUP(A1770,'[11]Linea Automotriz'!$A$1:$F$533,6,FALSE)</f>
        <v>36.19</v>
      </c>
      <c r="F1770" s="23">
        <f>VLOOKUP(A1770,'[11]Linea Automotriz'!$A$2:$G$533,7,FALSE)</f>
        <v>40.9</v>
      </c>
    </row>
    <row r="1771" spans="1:6" x14ac:dyDescent="0.3">
      <c r="A1771" s="72" t="s">
        <v>1943</v>
      </c>
      <c r="B1771" s="73" t="s">
        <v>1944</v>
      </c>
      <c r="C1771" s="23">
        <f>VLOOKUP(A1771,'[11]Linea Automotriz'!$A$1:$D$533,4,FALSE)</f>
        <v>21.72</v>
      </c>
      <c r="D1771" s="23">
        <f>VLOOKUP(A1771,'[11]Linea Automotriz'!$A$1:$E$533,5,FALSE)</f>
        <v>24.54</v>
      </c>
      <c r="E1771" s="23">
        <f>VLOOKUP(A1771,'[11]Linea Automotriz'!$A$1:$F$533,6,FALSE)</f>
        <v>36.19</v>
      </c>
      <c r="F1771" s="23">
        <f>VLOOKUP(A1771,'[11]Linea Automotriz'!$A$2:$G$533,7,FALSE)</f>
        <v>40.9</v>
      </c>
    </row>
    <row r="1772" spans="1:6" x14ac:dyDescent="0.3">
      <c r="A1772" s="72" t="s">
        <v>1945</v>
      </c>
      <c r="B1772" s="73" t="s">
        <v>1946</v>
      </c>
      <c r="C1772" s="23">
        <f>VLOOKUP(A1772,'[11]Linea Automotriz'!$A$1:$D$533,4,FALSE)</f>
        <v>21.72</v>
      </c>
      <c r="D1772" s="23">
        <f>VLOOKUP(A1772,'[11]Linea Automotriz'!$A$1:$E$533,5,FALSE)</f>
        <v>24.54</v>
      </c>
      <c r="E1772" s="23">
        <f>VLOOKUP(A1772,'[11]Linea Automotriz'!$A$1:$F$533,6,FALSE)</f>
        <v>36.19</v>
      </c>
      <c r="F1772" s="23">
        <f>VLOOKUP(A1772,'[11]Linea Automotriz'!$A$2:$G$533,7,FALSE)</f>
        <v>40.9</v>
      </c>
    </row>
    <row r="1773" spans="1:6" x14ac:dyDescent="0.3">
      <c r="A1773" s="72" t="s">
        <v>1947</v>
      </c>
      <c r="B1773" s="73" t="s">
        <v>1948</v>
      </c>
      <c r="C1773" s="23">
        <f>VLOOKUP(A1773,'[11]Linea Automotriz'!$A$1:$D$533,4,FALSE)</f>
        <v>21.72</v>
      </c>
      <c r="D1773" s="23">
        <f>VLOOKUP(A1773,'[11]Linea Automotriz'!$A$1:$E$533,5,FALSE)</f>
        <v>24.54</v>
      </c>
      <c r="E1773" s="23">
        <f>VLOOKUP(A1773,'[11]Linea Automotriz'!$A$1:$F$533,6,FALSE)</f>
        <v>36.19</v>
      </c>
      <c r="F1773" s="23">
        <f>VLOOKUP(A1773,'[11]Linea Automotriz'!$A$2:$G$533,7,FALSE)</f>
        <v>40.9</v>
      </c>
    </row>
    <row r="1774" spans="1:6" x14ac:dyDescent="0.3">
      <c r="A1774" s="72" t="s">
        <v>1949</v>
      </c>
      <c r="B1774" s="73" t="s">
        <v>1950</v>
      </c>
      <c r="C1774" s="23">
        <f>VLOOKUP(A1774,'[11]Linea Automotriz'!$A$1:$D$533,4,FALSE)</f>
        <v>21.72</v>
      </c>
      <c r="D1774" s="23">
        <f>VLOOKUP(A1774,'[11]Linea Automotriz'!$A$1:$E$533,5,FALSE)</f>
        <v>24.54</v>
      </c>
      <c r="E1774" s="23">
        <f>VLOOKUP(A1774,'[11]Linea Automotriz'!$A$1:$F$533,6,FALSE)</f>
        <v>36.19</v>
      </c>
      <c r="F1774" s="23">
        <f>VLOOKUP(A1774,'[11]Linea Automotriz'!$A$2:$G$533,7,FALSE)</f>
        <v>40.9</v>
      </c>
    </row>
    <row r="1775" spans="1:6" x14ac:dyDescent="0.3">
      <c r="A1775" s="72" t="s">
        <v>1951</v>
      </c>
      <c r="B1775" s="73" t="s">
        <v>1952</v>
      </c>
      <c r="C1775" s="23">
        <f>VLOOKUP(A1775,'[11]Linea Automotriz'!$A$1:$D$533,4,FALSE)</f>
        <v>41.42</v>
      </c>
      <c r="D1775" s="23">
        <f>VLOOKUP(A1775,'[11]Linea Automotriz'!$A$1:$E$533,5,FALSE)</f>
        <v>46.8</v>
      </c>
      <c r="E1775" s="23">
        <f>VLOOKUP(A1775,'[11]Linea Automotriz'!$A$1:$F$533,6,FALSE)</f>
        <v>69.03</v>
      </c>
      <c r="F1775" s="23">
        <f>VLOOKUP(A1775,'[11]Linea Automotriz'!$A$2:$G$533,7,FALSE)</f>
        <v>78</v>
      </c>
    </row>
    <row r="1776" spans="1:6" x14ac:dyDescent="0.3">
      <c r="A1776" s="72" t="s">
        <v>1953</v>
      </c>
      <c r="B1776" s="73" t="s">
        <v>3871</v>
      </c>
      <c r="C1776" s="23">
        <f>VLOOKUP(A1776,'[11]Linea Automotriz'!$A$1:$D$533,4,FALSE)</f>
        <v>41.42</v>
      </c>
      <c r="D1776" s="23">
        <f>VLOOKUP(A1776,'[11]Linea Automotriz'!$A$1:$E$533,5,FALSE)</f>
        <v>46.8</v>
      </c>
      <c r="E1776" s="23">
        <f>VLOOKUP(A1776,'[11]Linea Automotriz'!$A$1:$F$533,6,FALSE)</f>
        <v>69.03</v>
      </c>
      <c r="F1776" s="23">
        <f>VLOOKUP(A1776,'[11]Linea Automotriz'!$A$2:$G$533,7,FALSE)</f>
        <v>78</v>
      </c>
    </row>
    <row r="1777" spans="1:6" x14ac:dyDescent="0.3">
      <c r="A1777" s="72" t="s">
        <v>1954</v>
      </c>
      <c r="B1777" s="73" t="s">
        <v>1955</v>
      </c>
      <c r="C1777" s="23">
        <f>VLOOKUP(A1777,'[11]Linea Automotriz'!$A$1:$D$533,4,FALSE)</f>
        <v>41.42</v>
      </c>
      <c r="D1777" s="23">
        <f>VLOOKUP(A1777,'[11]Linea Automotriz'!$A$1:$E$533,5,FALSE)</f>
        <v>46.8</v>
      </c>
      <c r="E1777" s="23">
        <f>VLOOKUP(A1777,'[11]Linea Automotriz'!$A$1:$F$533,6,FALSE)</f>
        <v>69.03</v>
      </c>
      <c r="F1777" s="23">
        <f>VLOOKUP(A1777,'[11]Linea Automotriz'!$A$2:$G$533,7,FALSE)</f>
        <v>78</v>
      </c>
    </row>
    <row r="1778" spans="1:6" x14ac:dyDescent="0.3">
      <c r="A1778" s="72" t="s">
        <v>1956</v>
      </c>
      <c r="B1778" s="73" t="s">
        <v>1957</v>
      </c>
      <c r="C1778" s="23">
        <f>VLOOKUP(A1778,'[11]Linea Automotriz'!$A$1:$D$533,4,FALSE)</f>
        <v>41.42</v>
      </c>
      <c r="D1778" s="23">
        <f>VLOOKUP(A1778,'[11]Linea Automotriz'!$A$1:$E$533,5,FALSE)</f>
        <v>46.8</v>
      </c>
      <c r="E1778" s="23">
        <f>VLOOKUP(A1778,'[11]Linea Automotriz'!$A$1:$F$533,6,FALSE)</f>
        <v>69.03</v>
      </c>
      <c r="F1778" s="23">
        <f>VLOOKUP(A1778,'[11]Linea Automotriz'!$A$2:$G$533,7,FALSE)</f>
        <v>78</v>
      </c>
    </row>
    <row r="1779" spans="1:6" x14ac:dyDescent="0.3">
      <c r="A1779" s="72" t="s">
        <v>1958</v>
      </c>
      <c r="B1779" s="73" t="s">
        <v>1959</v>
      </c>
      <c r="C1779" s="23">
        <f>VLOOKUP(A1779,'[11]Linea Automotriz'!$A$1:$D$533,4,FALSE)</f>
        <v>21.72</v>
      </c>
      <c r="D1779" s="23">
        <f>VLOOKUP(A1779,'[11]Linea Automotriz'!$A$1:$E$533,5,FALSE)</f>
        <v>24.54</v>
      </c>
      <c r="E1779" s="23">
        <f>VLOOKUP(A1779,'[11]Linea Automotriz'!$A$1:$F$533,6,FALSE)</f>
        <v>36.19</v>
      </c>
      <c r="F1779" s="23">
        <f>VLOOKUP(A1779,'[11]Linea Automotriz'!$A$2:$G$533,7,FALSE)</f>
        <v>40.9</v>
      </c>
    </row>
    <row r="1780" spans="1:6" x14ac:dyDescent="0.3">
      <c r="A1780" s="72" t="s">
        <v>1960</v>
      </c>
      <c r="B1780" s="73" t="s">
        <v>1961</v>
      </c>
      <c r="C1780" s="23">
        <f>VLOOKUP(A1780,'[11]Linea Automotriz'!$A$1:$D$533,4,FALSE)</f>
        <v>41.42</v>
      </c>
      <c r="D1780" s="23">
        <f>VLOOKUP(A1780,'[11]Linea Automotriz'!$A$1:$E$533,5,FALSE)</f>
        <v>46.8</v>
      </c>
      <c r="E1780" s="23">
        <f>VLOOKUP(A1780,'[11]Linea Automotriz'!$A$1:$F$533,6,FALSE)</f>
        <v>69.03</v>
      </c>
      <c r="F1780" s="23">
        <f>VLOOKUP(A1780,'[11]Linea Automotriz'!$A$2:$G$533,7,FALSE)</f>
        <v>78</v>
      </c>
    </row>
    <row r="1781" spans="1:6" x14ac:dyDescent="0.3">
      <c r="A1781" s="72" t="s">
        <v>1962</v>
      </c>
      <c r="B1781" s="73" t="s">
        <v>1963</v>
      </c>
      <c r="C1781" s="23">
        <f>VLOOKUP(A1781,'[11]Linea Automotriz'!$A$1:$D$533,4,FALSE)</f>
        <v>21.72</v>
      </c>
      <c r="D1781" s="23">
        <f>VLOOKUP(A1781,'[11]Linea Automotriz'!$A$1:$E$533,5,FALSE)</f>
        <v>24.54</v>
      </c>
      <c r="E1781" s="23">
        <f>VLOOKUP(A1781,'[11]Linea Automotriz'!$A$1:$F$533,6,FALSE)</f>
        <v>36.19</v>
      </c>
      <c r="F1781" s="23">
        <f>VLOOKUP(A1781,'[11]Linea Automotriz'!$A$2:$G$533,7,FALSE)</f>
        <v>40.9</v>
      </c>
    </row>
    <row r="1782" spans="1:6" x14ac:dyDescent="0.3">
      <c r="A1782" s="72" t="s">
        <v>3872</v>
      </c>
      <c r="B1782" s="73" t="s">
        <v>3873</v>
      </c>
      <c r="C1782" s="23">
        <f>VLOOKUP(A1782,'[11]Linea Automotriz'!$A$1:$D$533,4,FALSE)</f>
        <v>21.72</v>
      </c>
      <c r="D1782" s="23">
        <f>VLOOKUP(A1782,'[11]Linea Automotriz'!$A$1:$E$533,5,FALSE)</f>
        <v>24.54</v>
      </c>
      <c r="E1782" s="23">
        <f>VLOOKUP(A1782,'[11]Linea Automotriz'!$A$1:$F$533,6,FALSE)</f>
        <v>36.19</v>
      </c>
      <c r="F1782" s="23">
        <f>VLOOKUP(A1782,'[11]Linea Automotriz'!$A$2:$G$533,7,FALSE)</f>
        <v>40.9</v>
      </c>
    </row>
    <row r="1783" spans="1:6" x14ac:dyDescent="0.3">
      <c r="A1783" s="72" t="s">
        <v>1964</v>
      </c>
      <c r="B1783" s="73" t="s">
        <v>1965</v>
      </c>
      <c r="C1783" s="23">
        <f>VLOOKUP(A1783,'[11]Linea Automotriz'!$A$1:$D$533,4,FALSE)</f>
        <v>165.66</v>
      </c>
      <c r="D1783" s="23">
        <f>VLOOKUP(A1783,'[11]Linea Automotriz'!$A$1:$E$533,5,FALSE)</f>
        <v>187.2</v>
      </c>
      <c r="E1783" s="23">
        <f>VLOOKUP(A1783,'[11]Linea Automotriz'!$A$1:$F$533,6,FALSE)</f>
        <v>276.11</v>
      </c>
      <c r="F1783" s="23">
        <f>VLOOKUP(A1783,'[11]Linea Automotriz'!$A$2:$G$533,7,FALSE)</f>
        <v>312</v>
      </c>
    </row>
    <row r="1784" spans="1:6" x14ac:dyDescent="0.3">
      <c r="A1784" s="72" t="s">
        <v>1966</v>
      </c>
      <c r="B1784" s="73" t="s">
        <v>1967</v>
      </c>
      <c r="C1784" s="23">
        <f>VLOOKUP(A1784,'[11]Linea Automotriz'!$A$1:$D$533,4,FALSE)</f>
        <v>21.72</v>
      </c>
      <c r="D1784" s="23">
        <f>VLOOKUP(A1784,'[11]Linea Automotriz'!$A$1:$E$533,5,FALSE)</f>
        <v>24.54</v>
      </c>
      <c r="E1784" s="23">
        <f>VLOOKUP(A1784,'[11]Linea Automotriz'!$A$1:$F$533,6,FALSE)</f>
        <v>36.19</v>
      </c>
      <c r="F1784" s="23">
        <f>VLOOKUP(A1784,'[11]Linea Automotriz'!$A$2:$G$533,7,FALSE)</f>
        <v>40.9</v>
      </c>
    </row>
    <row r="1785" spans="1:6" x14ac:dyDescent="0.3">
      <c r="A1785" s="72" t="s">
        <v>1968</v>
      </c>
      <c r="B1785" s="73" t="s">
        <v>1969</v>
      </c>
      <c r="C1785" s="23">
        <f>VLOOKUP(A1785,'[11]Linea Automotriz'!$A$1:$D$533,4,FALSE)</f>
        <v>21.72</v>
      </c>
      <c r="D1785" s="23">
        <f>VLOOKUP(A1785,'[11]Linea Automotriz'!$A$1:$E$533,5,FALSE)</f>
        <v>24.54</v>
      </c>
      <c r="E1785" s="23">
        <f>VLOOKUP(A1785,'[11]Linea Automotriz'!$A$1:$F$533,6,FALSE)</f>
        <v>36.19</v>
      </c>
      <c r="F1785" s="23">
        <f>VLOOKUP(A1785,'[11]Linea Automotriz'!$A$2:$G$533,7,FALSE)</f>
        <v>40.9</v>
      </c>
    </row>
    <row r="1786" spans="1:6" x14ac:dyDescent="0.3">
      <c r="A1786" s="72" t="s">
        <v>1970</v>
      </c>
      <c r="B1786" s="73" t="s">
        <v>1971</v>
      </c>
      <c r="C1786" s="23">
        <f>VLOOKUP(A1786,'[11]Linea Automotriz'!$A$1:$D$533,4,FALSE)</f>
        <v>41.42</v>
      </c>
      <c r="D1786" s="23">
        <f>VLOOKUP(A1786,'[11]Linea Automotriz'!$A$1:$E$533,5,FALSE)</f>
        <v>46.8</v>
      </c>
      <c r="E1786" s="23">
        <f>VLOOKUP(A1786,'[11]Linea Automotriz'!$A$1:$F$533,6,FALSE)</f>
        <v>69.03</v>
      </c>
      <c r="F1786" s="23">
        <f>VLOOKUP(A1786,'[11]Linea Automotriz'!$A$2:$G$533,7,FALSE)</f>
        <v>78</v>
      </c>
    </row>
    <row r="1787" spans="1:6" x14ac:dyDescent="0.3">
      <c r="A1787" s="72" t="s">
        <v>1972</v>
      </c>
      <c r="B1787" s="73" t="s">
        <v>1973</v>
      </c>
      <c r="C1787" s="23">
        <f>VLOOKUP(A1787,'[11]Linea Automotriz'!$A$1:$D$533,4,FALSE)</f>
        <v>41.42</v>
      </c>
      <c r="D1787" s="23">
        <f>VLOOKUP(A1787,'[11]Linea Automotriz'!$A$1:$E$533,5,FALSE)</f>
        <v>46.8</v>
      </c>
      <c r="E1787" s="23">
        <f>VLOOKUP(A1787,'[11]Linea Automotriz'!$A$1:$F$533,6,FALSE)</f>
        <v>69.03</v>
      </c>
      <c r="F1787" s="23">
        <f>VLOOKUP(A1787,'[11]Linea Automotriz'!$A$2:$G$533,7,FALSE)</f>
        <v>78</v>
      </c>
    </row>
    <row r="1788" spans="1:6" x14ac:dyDescent="0.3">
      <c r="A1788" s="72" t="s">
        <v>1974</v>
      </c>
      <c r="B1788" s="73" t="s">
        <v>1975</v>
      </c>
      <c r="C1788" s="23">
        <f>VLOOKUP(A1788,'[11]Linea Automotriz'!$A$1:$D$533,4,FALSE)</f>
        <v>41.42</v>
      </c>
      <c r="D1788" s="23">
        <f>VLOOKUP(A1788,'[11]Linea Automotriz'!$A$1:$E$533,5,FALSE)</f>
        <v>46.8</v>
      </c>
      <c r="E1788" s="23">
        <f>VLOOKUP(A1788,'[11]Linea Automotriz'!$A$1:$F$533,6,FALSE)</f>
        <v>69.03</v>
      </c>
      <c r="F1788" s="23">
        <f>VLOOKUP(A1788,'[11]Linea Automotriz'!$A$2:$G$533,7,FALSE)</f>
        <v>78</v>
      </c>
    </row>
    <row r="1789" spans="1:6" x14ac:dyDescent="0.3">
      <c r="A1789" s="72" t="s">
        <v>1976</v>
      </c>
      <c r="B1789" s="73" t="s">
        <v>1977</v>
      </c>
      <c r="C1789" s="23">
        <f>VLOOKUP(A1789,'[11]Linea Automotriz'!$A$1:$D$533,4,FALSE)</f>
        <v>41.42</v>
      </c>
      <c r="D1789" s="23">
        <f>VLOOKUP(A1789,'[11]Linea Automotriz'!$A$1:$E$533,5,FALSE)</f>
        <v>46.8</v>
      </c>
      <c r="E1789" s="23">
        <f>VLOOKUP(A1789,'[11]Linea Automotriz'!$A$1:$F$533,6,FALSE)</f>
        <v>69.03</v>
      </c>
      <c r="F1789" s="23">
        <f>VLOOKUP(A1789,'[11]Linea Automotriz'!$A$2:$G$533,7,FALSE)</f>
        <v>78</v>
      </c>
    </row>
    <row r="1790" spans="1:6" x14ac:dyDescent="0.3">
      <c r="A1790" s="72" t="s">
        <v>1978</v>
      </c>
      <c r="B1790" s="73" t="s">
        <v>3874</v>
      </c>
      <c r="C1790" s="23">
        <f>VLOOKUP(A1790,'[11]Linea Automotriz'!$A$1:$D$533,4,FALSE)</f>
        <v>41.42</v>
      </c>
      <c r="D1790" s="23">
        <f>VLOOKUP(A1790,'[11]Linea Automotriz'!$A$1:$E$533,5,FALSE)</f>
        <v>46.8</v>
      </c>
      <c r="E1790" s="23">
        <f>VLOOKUP(A1790,'[11]Linea Automotriz'!$A$1:$F$533,6,FALSE)</f>
        <v>69.03</v>
      </c>
      <c r="F1790" s="23">
        <f>VLOOKUP(A1790,'[11]Linea Automotriz'!$A$2:$G$533,7,FALSE)</f>
        <v>78</v>
      </c>
    </row>
    <row r="1791" spans="1:6" x14ac:dyDescent="0.3">
      <c r="A1791" s="72" t="s">
        <v>1979</v>
      </c>
      <c r="B1791" s="73" t="s">
        <v>1980</v>
      </c>
      <c r="C1791" s="23">
        <f>VLOOKUP(A1791,'[11]Linea Automotriz'!$A$1:$D$533,4,FALSE)</f>
        <v>21.72</v>
      </c>
      <c r="D1791" s="23">
        <f>VLOOKUP(A1791,'[11]Linea Automotriz'!$A$1:$E$533,5,FALSE)</f>
        <v>24.54</v>
      </c>
      <c r="E1791" s="23">
        <f>VLOOKUP(A1791,'[11]Linea Automotriz'!$A$1:$F$533,6,FALSE)</f>
        <v>36.19</v>
      </c>
      <c r="F1791" s="23">
        <f>VLOOKUP(A1791,'[11]Linea Automotriz'!$A$2:$G$533,7,FALSE)</f>
        <v>40.9</v>
      </c>
    </row>
    <row r="1792" spans="1:6" x14ac:dyDescent="0.3">
      <c r="A1792" s="72" t="s">
        <v>1981</v>
      </c>
      <c r="B1792" s="73" t="s">
        <v>1982</v>
      </c>
      <c r="C1792" s="23">
        <f>VLOOKUP(A1792,'[11]Linea Automotriz'!$A$1:$D$533,4,FALSE)</f>
        <v>21.72</v>
      </c>
      <c r="D1792" s="23">
        <f>VLOOKUP(A1792,'[11]Linea Automotriz'!$A$1:$E$533,5,FALSE)</f>
        <v>24.54</v>
      </c>
      <c r="E1792" s="23">
        <f>VLOOKUP(A1792,'[11]Linea Automotriz'!$A$1:$F$533,6,FALSE)</f>
        <v>36.19</v>
      </c>
      <c r="F1792" s="23">
        <f>VLOOKUP(A1792,'[11]Linea Automotriz'!$A$2:$G$533,7,FALSE)</f>
        <v>40.9</v>
      </c>
    </row>
    <row r="1793" spans="1:6" x14ac:dyDescent="0.3">
      <c r="A1793" s="72" t="s">
        <v>1983</v>
      </c>
      <c r="B1793" s="73" t="s">
        <v>1984</v>
      </c>
      <c r="C1793" s="23">
        <f>VLOOKUP(A1793,'[11]Linea Automotriz'!$A$1:$D$533,4,FALSE)</f>
        <v>41.42</v>
      </c>
      <c r="D1793" s="23">
        <f>VLOOKUP(A1793,'[11]Linea Automotriz'!$A$1:$E$533,5,FALSE)</f>
        <v>46.8</v>
      </c>
      <c r="E1793" s="23">
        <f>VLOOKUP(A1793,'[11]Linea Automotriz'!$A$1:$F$533,6,FALSE)</f>
        <v>69.03</v>
      </c>
      <c r="F1793" s="23">
        <f>VLOOKUP(A1793,'[11]Linea Automotriz'!$A$2:$G$533,7,FALSE)</f>
        <v>78</v>
      </c>
    </row>
    <row r="1794" spans="1:6" x14ac:dyDescent="0.3">
      <c r="A1794" s="72" t="s">
        <v>1985</v>
      </c>
      <c r="B1794" s="73" t="s">
        <v>1986</v>
      </c>
      <c r="C1794" s="23">
        <f>VLOOKUP(A1794,'[11]Linea Automotriz'!$A$1:$D$533,4,FALSE)</f>
        <v>21.72</v>
      </c>
      <c r="D1794" s="23">
        <f>VLOOKUP(A1794,'[11]Linea Automotriz'!$A$1:$E$533,5,FALSE)</f>
        <v>24.54</v>
      </c>
      <c r="E1794" s="23">
        <f>VLOOKUP(A1794,'[11]Linea Automotriz'!$A$1:$F$533,6,FALSE)</f>
        <v>36.19</v>
      </c>
      <c r="F1794" s="23">
        <f>VLOOKUP(A1794,'[11]Linea Automotriz'!$A$2:$G$533,7,FALSE)</f>
        <v>40.9</v>
      </c>
    </row>
    <row r="1795" spans="1:6" x14ac:dyDescent="0.3">
      <c r="A1795" s="72" t="s">
        <v>1987</v>
      </c>
      <c r="B1795" s="73" t="s">
        <v>1988</v>
      </c>
      <c r="C1795" s="23">
        <f>VLOOKUP(A1795,'[11]Linea Automotriz'!$A$1:$D$533,4,FALSE)</f>
        <v>21.72</v>
      </c>
      <c r="D1795" s="23">
        <f>VLOOKUP(A1795,'[11]Linea Automotriz'!$A$1:$E$533,5,FALSE)</f>
        <v>24.54</v>
      </c>
      <c r="E1795" s="23">
        <f>VLOOKUP(A1795,'[11]Linea Automotriz'!$A$1:$F$533,6,FALSE)</f>
        <v>36.19</v>
      </c>
      <c r="F1795" s="23">
        <f>VLOOKUP(A1795,'[11]Linea Automotriz'!$A$2:$G$533,7,FALSE)</f>
        <v>40.9</v>
      </c>
    </row>
    <row r="1796" spans="1:6" x14ac:dyDescent="0.3">
      <c r="A1796" s="72" t="s">
        <v>1989</v>
      </c>
      <c r="B1796" s="73" t="s">
        <v>1990</v>
      </c>
      <c r="C1796" s="23">
        <f>VLOOKUP(A1796,'[11]Linea Automotriz'!$A$1:$D$533,4,FALSE)</f>
        <v>41.42</v>
      </c>
      <c r="D1796" s="23">
        <f>VLOOKUP(A1796,'[11]Linea Automotriz'!$A$1:$E$533,5,FALSE)</f>
        <v>46.8</v>
      </c>
      <c r="E1796" s="23">
        <f>VLOOKUP(A1796,'[11]Linea Automotriz'!$A$1:$F$533,6,FALSE)</f>
        <v>69.03</v>
      </c>
      <c r="F1796" s="23">
        <f>VLOOKUP(A1796,'[11]Linea Automotriz'!$A$2:$G$533,7,FALSE)</f>
        <v>78</v>
      </c>
    </row>
    <row r="1797" spans="1:6" x14ac:dyDescent="0.3">
      <c r="A1797" s="72" t="s">
        <v>1991</v>
      </c>
      <c r="B1797" s="73" t="s">
        <v>1992</v>
      </c>
      <c r="C1797" s="23">
        <f>VLOOKUP(A1797,'[11]Linea Automotriz'!$A$1:$D$533,4,FALSE)</f>
        <v>21.72</v>
      </c>
      <c r="D1797" s="23">
        <f>VLOOKUP(A1797,'[11]Linea Automotriz'!$A$1:$E$533,5,FALSE)</f>
        <v>24.54</v>
      </c>
      <c r="E1797" s="23">
        <f>VLOOKUP(A1797,'[11]Linea Automotriz'!$A$1:$F$533,6,FALSE)</f>
        <v>36.19</v>
      </c>
      <c r="F1797" s="23">
        <f>VLOOKUP(A1797,'[11]Linea Automotriz'!$A$2:$G$533,7,FALSE)</f>
        <v>40.9</v>
      </c>
    </row>
    <row r="1798" spans="1:6" x14ac:dyDescent="0.3">
      <c r="A1798" s="72" t="s">
        <v>1993</v>
      </c>
      <c r="B1798" s="73" t="s">
        <v>3875</v>
      </c>
      <c r="C1798" s="23">
        <f>VLOOKUP(A1798,'[11]Linea Automotriz'!$A$1:$D$533,4,FALSE)</f>
        <v>41.42</v>
      </c>
      <c r="D1798" s="23">
        <f>VLOOKUP(A1798,'[11]Linea Automotriz'!$A$1:$E$533,5,FALSE)</f>
        <v>46.8</v>
      </c>
      <c r="E1798" s="23">
        <f>VLOOKUP(A1798,'[11]Linea Automotriz'!$A$1:$F$533,6,FALSE)</f>
        <v>69.03</v>
      </c>
      <c r="F1798" s="23">
        <f>VLOOKUP(A1798,'[11]Linea Automotriz'!$A$2:$G$533,7,FALSE)</f>
        <v>78</v>
      </c>
    </row>
    <row r="1799" spans="1:6" x14ac:dyDescent="0.3">
      <c r="A1799" s="72" t="s">
        <v>1994</v>
      </c>
      <c r="B1799" s="73" t="s">
        <v>3876</v>
      </c>
      <c r="C1799" s="23">
        <f>VLOOKUP(A1799,'[11]Linea Automotriz'!$A$1:$D$533,4,FALSE)</f>
        <v>21.72</v>
      </c>
      <c r="D1799" s="23">
        <f>VLOOKUP(A1799,'[11]Linea Automotriz'!$A$1:$E$533,5,FALSE)</f>
        <v>24.54</v>
      </c>
      <c r="E1799" s="23">
        <f>VLOOKUP(A1799,'[11]Linea Automotriz'!$A$1:$F$533,6,FALSE)</f>
        <v>36.19</v>
      </c>
      <c r="F1799" s="23">
        <f>VLOOKUP(A1799,'[11]Linea Automotriz'!$A$2:$G$533,7,FALSE)</f>
        <v>40.9</v>
      </c>
    </row>
    <row r="1800" spans="1:6" x14ac:dyDescent="0.3">
      <c r="A1800" s="72" t="s">
        <v>1995</v>
      </c>
      <c r="B1800" s="73" t="s">
        <v>1996</v>
      </c>
      <c r="C1800" s="23">
        <f>VLOOKUP(A1800,'[11]Linea Automotriz'!$A$1:$D$533,4,FALSE)</f>
        <v>21.72</v>
      </c>
      <c r="D1800" s="23">
        <f>VLOOKUP(A1800,'[11]Linea Automotriz'!$A$1:$E$533,5,FALSE)</f>
        <v>24.54</v>
      </c>
      <c r="E1800" s="23">
        <f>VLOOKUP(A1800,'[11]Linea Automotriz'!$A$1:$F$533,6,FALSE)</f>
        <v>36.19</v>
      </c>
      <c r="F1800" s="23">
        <f>VLOOKUP(A1800,'[11]Linea Automotriz'!$A$2:$G$533,7,FALSE)</f>
        <v>40.9</v>
      </c>
    </row>
    <row r="1801" spans="1:6" x14ac:dyDescent="0.3">
      <c r="A1801" s="72" t="s">
        <v>1997</v>
      </c>
      <c r="B1801" s="73" t="s">
        <v>3877</v>
      </c>
      <c r="C1801" s="23">
        <f>VLOOKUP(A1801,'[11]Linea Automotriz'!$A$1:$D$533,4,FALSE)</f>
        <v>41.42</v>
      </c>
      <c r="D1801" s="23">
        <f>VLOOKUP(A1801,'[11]Linea Automotriz'!$A$1:$E$533,5,FALSE)</f>
        <v>46.8</v>
      </c>
      <c r="E1801" s="23">
        <f>VLOOKUP(A1801,'[11]Linea Automotriz'!$A$1:$F$533,6,FALSE)</f>
        <v>69.03</v>
      </c>
      <c r="F1801" s="23">
        <f>VLOOKUP(A1801,'[11]Linea Automotriz'!$A$2:$G$533,7,FALSE)</f>
        <v>78</v>
      </c>
    </row>
    <row r="1802" spans="1:6" x14ac:dyDescent="0.3">
      <c r="A1802" s="72" t="s">
        <v>1998</v>
      </c>
      <c r="B1802" s="73" t="s">
        <v>3878</v>
      </c>
      <c r="C1802" s="23">
        <f>VLOOKUP(A1802,'[11]Linea Automotriz'!$A$1:$D$533,4,FALSE)</f>
        <v>21.72</v>
      </c>
      <c r="D1802" s="23">
        <f>VLOOKUP(A1802,'[11]Linea Automotriz'!$A$1:$E$533,5,FALSE)</f>
        <v>24.54</v>
      </c>
      <c r="E1802" s="23">
        <f>VLOOKUP(A1802,'[11]Linea Automotriz'!$A$1:$F$533,6,FALSE)</f>
        <v>36.19</v>
      </c>
      <c r="F1802" s="23">
        <f>VLOOKUP(A1802,'[11]Linea Automotriz'!$A$2:$G$533,7,FALSE)</f>
        <v>40.9</v>
      </c>
    </row>
    <row r="1803" spans="1:6" x14ac:dyDescent="0.3">
      <c r="A1803" s="72" t="s">
        <v>1999</v>
      </c>
      <c r="B1803" s="73" t="s">
        <v>2000</v>
      </c>
      <c r="C1803" s="23">
        <f>VLOOKUP(A1803,'[11]Linea Automotriz'!$A$1:$D$533,4,FALSE)</f>
        <v>21.72</v>
      </c>
      <c r="D1803" s="23">
        <f>VLOOKUP(A1803,'[11]Linea Automotriz'!$A$1:$E$533,5,FALSE)</f>
        <v>24.54</v>
      </c>
      <c r="E1803" s="23">
        <f>VLOOKUP(A1803,'[11]Linea Automotriz'!$A$1:$F$533,6,FALSE)</f>
        <v>36.19</v>
      </c>
      <c r="F1803" s="23">
        <f>VLOOKUP(A1803,'[11]Linea Automotriz'!$A$2:$G$533,7,FALSE)</f>
        <v>40.9</v>
      </c>
    </row>
    <row r="1804" spans="1:6" x14ac:dyDescent="0.3">
      <c r="A1804" s="72" t="s">
        <v>2001</v>
      </c>
      <c r="B1804" s="73" t="s">
        <v>1971</v>
      </c>
      <c r="C1804" s="23">
        <f>VLOOKUP(A1804,'[11]Linea Automotriz'!$A$1:$D$533,4,FALSE)</f>
        <v>21.72</v>
      </c>
      <c r="D1804" s="23">
        <f>VLOOKUP(A1804,'[11]Linea Automotriz'!$A$1:$E$533,5,FALSE)</f>
        <v>24.54</v>
      </c>
      <c r="E1804" s="23">
        <f>VLOOKUP(A1804,'[11]Linea Automotriz'!$A$1:$F$533,6,FALSE)</f>
        <v>36.19</v>
      </c>
      <c r="F1804" s="23">
        <f>VLOOKUP(A1804,'[11]Linea Automotriz'!$A$2:$G$533,7,FALSE)</f>
        <v>40.9</v>
      </c>
    </row>
    <row r="1805" spans="1:6" x14ac:dyDescent="0.3">
      <c r="A1805" s="72" t="s">
        <v>2002</v>
      </c>
      <c r="B1805" s="73" t="s">
        <v>2003</v>
      </c>
      <c r="C1805" s="23">
        <f>VLOOKUP(A1805,'[11]Linea Automotriz'!$A$1:$D$533,4,FALSE)</f>
        <v>70.78</v>
      </c>
      <c r="D1805" s="23">
        <f>VLOOKUP(A1805,'[11]Linea Automotriz'!$A$1:$E$533,5,FALSE)</f>
        <v>79.98</v>
      </c>
      <c r="E1805" s="23">
        <f>VLOOKUP(A1805,'[11]Linea Automotriz'!$A$1:$F$533,6,FALSE)</f>
        <v>114.16</v>
      </c>
      <c r="F1805" s="23">
        <f>VLOOKUP(A1805,'[11]Linea Automotriz'!$A$2:$G$533,7,FALSE)</f>
        <v>129</v>
      </c>
    </row>
    <row r="1806" spans="1:6" x14ac:dyDescent="0.3">
      <c r="A1806" s="72" t="s">
        <v>2004</v>
      </c>
      <c r="B1806" s="73" t="s">
        <v>2005</v>
      </c>
      <c r="C1806" s="23">
        <f>VLOOKUP(A1806,'[11]Linea Automotriz'!$A$1:$D$533,4,FALSE)</f>
        <v>70.78</v>
      </c>
      <c r="D1806" s="23">
        <f>VLOOKUP(A1806,'[11]Linea Automotriz'!$A$1:$E$533,5,FALSE)</f>
        <v>79.98</v>
      </c>
      <c r="E1806" s="23">
        <f>VLOOKUP(A1806,'[11]Linea Automotriz'!$A$1:$F$533,6,FALSE)</f>
        <v>114.16</v>
      </c>
      <c r="F1806" s="23">
        <f>VLOOKUP(A1806,'[11]Linea Automotriz'!$A$2:$G$533,7,FALSE)</f>
        <v>129</v>
      </c>
    </row>
    <row r="1807" spans="1:6" x14ac:dyDescent="0.3">
      <c r="A1807" s="72" t="s">
        <v>2006</v>
      </c>
      <c r="B1807" s="73" t="s">
        <v>2007</v>
      </c>
      <c r="C1807" s="23">
        <f>VLOOKUP(A1807,'[11]Linea Automotriz'!$A$1:$D$533,4,FALSE)</f>
        <v>35.39</v>
      </c>
      <c r="D1807" s="23">
        <f>VLOOKUP(A1807,'[11]Linea Automotriz'!$A$1:$E$533,5,FALSE)</f>
        <v>39.99</v>
      </c>
      <c r="E1807" s="23">
        <f>VLOOKUP(A1807,'[11]Linea Automotriz'!$A$1:$F$533,6,FALSE)</f>
        <v>57.08</v>
      </c>
      <c r="F1807" s="23">
        <f>VLOOKUP(A1807,'[11]Linea Automotriz'!$A$2:$G$533,7,FALSE)</f>
        <v>64.5</v>
      </c>
    </row>
    <row r="1808" spans="1:6" x14ac:dyDescent="0.3">
      <c r="A1808" s="72" t="s">
        <v>2008</v>
      </c>
      <c r="B1808" s="73" t="s">
        <v>2009</v>
      </c>
      <c r="C1808" s="23">
        <f>VLOOKUP(A1808,'[11]Linea Automotriz'!$A$1:$D$533,4,FALSE)</f>
        <v>70.78</v>
      </c>
      <c r="D1808" s="23">
        <f>VLOOKUP(A1808,'[11]Linea Automotriz'!$A$1:$E$533,5,FALSE)</f>
        <v>79.98</v>
      </c>
      <c r="E1808" s="23">
        <f>VLOOKUP(A1808,'[11]Linea Automotriz'!$A$1:$F$533,6,FALSE)</f>
        <v>114.16</v>
      </c>
      <c r="F1808" s="23">
        <f>VLOOKUP(A1808,'[11]Linea Automotriz'!$A$2:$G$533,7,FALSE)</f>
        <v>129</v>
      </c>
    </row>
    <row r="1809" spans="1:6" x14ac:dyDescent="0.3">
      <c r="A1809" s="72" t="s">
        <v>2010</v>
      </c>
      <c r="B1809" s="73" t="s">
        <v>2011</v>
      </c>
      <c r="C1809" s="23">
        <f>VLOOKUP(A1809,'[11]Linea Automotriz'!$A$1:$D$533,4,FALSE)</f>
        <v>70.78</v>
      </c>
      <c r="D1809" s="23">
        <f>VLOOKUP(A1809,'[11]Linea Automotriz'!$A$1:$E$533,5,FALSE)</f>
        <v>79.98</v>
      </c>
      <c r="E1809" s="23">
        <f>VLOOKUP(A1809,'[11]Linea Automotriz'!$A$1:$F$533,6,FALSE)</f>
        <v>114.16</v>
      </c>
      <c r="F1809" s="23">
        <f>VLOOKUP(A1809,'[11]Linea Automotriz'!$A$2:$G$533,7,FALSE)</f>
        <v>129</v>
      </c>
    </row>
    <row r="1810" spans="1:6" x14ac:dyDescent="0.3">
      <c r="A1810" s="72" t="s">
        <v>2012</v>
      </c>
      <c r="B1810" s="73" t="s">
        <v>2013</v>
      </c>
      <c r="C1810" s="23">
        <f>VLOOKUP(A1810,'[11]Linea Automotriz'!$A$1:$D$533,4,FALSE)</f>
        <v>70.78</v>
      </c>
      <c r="D1810" s="23">
        <f>VLOOKUP(A1810,'[11]Linea Automotriz'!$A$1:$E$533,5,FALSE)</f>
        <v>79.98</v>
      </c>
      <c r="E1810" s="23">
        <f>VLOOKUP(A1810,'[11]Linea Automotriz'!$A$1:$F$533,6,FALSE)</f>
        <v>114.16</v>
      </c>
      <c r="F1810" s="23">
        <f>VLOOKUP(A1810,'[11]Linea Automotriz'!$A$2:$G$533,7,FALSE)</f>
        <v>129</v>
      </c>
    </row>
    <row r="1811" spans="1:6" x14ac:dyDescent="0.3">
      <c r="A1811" s="72" t="s">
        <v>2014</v>
      </c>
      <c r="B1811" s="73" t="s">
        <v>2015</v>
      </c>
      <c r="C1811" s="23">
        <f>VLOOKUP(A1811,'[11]Linea Automotriz'!$A$1:$D$533,4,FALSE)</f>
        <v>35.39</v>
      </c>
      <c r="D1811" s="23">
        <f>VLOOKUP(A1811,'[11]Linea Automotriz'!$A$1:$E$533,5,FALSE)</f>
        <v>39.99</v>
      </c>
      <c r="E1811" s="23">
        <f>VLOOKUP(A1811,'[11]Linea Automotriz'!$A$1:$F$533,6,FALSE)</f>
        <v>57.08</v>
      </c>
      <c r="F1811" s="23">
        <f>VLOOKUP(A1811,'[11]Linea Automotriz'!$A$2:$G$533,7,FALSE)</f>
        <v>64.5</v>
      </c>
    </row>
    <row r="1812" spans="1:6" x14ac:dyDescent="0.3">
      <c r="A1812" s="72" t="s">
        <v>2016</v>
      </c>
      <c r="B1812" s="73" t="s">
        <v>2017</v>
      </c>
      <c r="C1812" s="23">
        <f>VLOOKUP(A1812,'[11]Linea Automotriz'!$A$1:$D$533,4,FALSE)</f>
        <v>70.78</v>
      </c>
      <c r="D1812" s="23">
        <f>VLOOKUP(A1812,'[11]Linea Automotriz'!$A$1:$E$533,5,FALSE)</f>
        <v>79.98</v>
      </c>
      <c r="E1812" s="23">
        <f>VLOOKUP(A1812,'[11]Linea Automotriz'!$A$1:$F$533,6,FALSE)</f>
        <v>114.16</v>
      </c>
      <c r="F1812" s="23">
        <f>VLOOKUP(A1812,'[11]Linea Automotriz'!$A$2:$G$533,7,FALSE)</f>
        <v>129</v>
      </c>
    </row>
    <row r="1813" spans="1:6" x14ac:dyDescent="0.3">
      <c r="A1813" s="72" t="s">
        <v>2018</v>
      </c>
      <c r="B1813" s="73" t="s">
        <v>2019</v>
      </c>
      <c r="C1813" s="23">
        <f>VLOOKUP(A1813,'[11]Linea Automotriz'!$A$1:$D$533,4,FALSE)</f>
        <v>70.78</v>
      </c>
      <c r="D1813" s="23">
        <f>VLOOKUP(A1813,'[11]Linea Automotriz'!$A$1:$E$533,5,FALSE)</f>
        <v>79.98</v>
      </c>
      <c r="E1813" s="23">
        <f>VLOOKUP(A1813,'[11]Linea Automotriz'!$A$1:$F$533,6,FALSE)</f>
        <v>114.16</v>
      </c>
      <c r="F1813" s="23">
        <f>VLOOKUP(A1813,'[11]Linea Automotriz'!$A$2:$G$533,7,FALSE)</f>
        <v>129</v>
      </c>
    </row>
    <row r="1814" spans="1:6" x14ac:dyDescent="0.3">
      <c r="A1814" s="72" t="s">
        <v>2020</v>
      </c>
      <c r="B1814" s="73" t="s">
        <v>2021</v>
      </c>
      <c r="C1814" s="23">
        <f>VLOOKUP(A1814,'[11]Linea Automotriz'!$A$1:$D$533,4,FALSE)</f>
        <v>35.39</v>
      </c>
      <c r="D1814" s="23">
        <f>VLOOKUP(A1814,'[11]Linea Automotriz'!$A$1:$E$533,5,FALSE)</f>
        <v>39.99</v>
      </c>
      <c r="E1814" s="23">
        <f>VLOOKUP(A1814,'[11]Linea Automotriz'!$A$1:$F$533,6,FALSE)</f>
        <v>57.08</v>
      </c>
      <c r="F1814" s="23">
        <f>VLOOKUP(A1814,'[11]Linea Automotriz'!$A$2:$G$533,7,FALSE)</f>
        <v>64.5</v>
      </c>
    </row>
    <row r="1815" spans="1:6" x14ac:dyDescent="0.3">
      <c r="A1815" s="72" t="s">
        <v>2022</v>
      </c>
      <c r="B1815" s="73" t="s">
        <v>2023</v>
      </c>
      <c r="C1815" s="23">
        <f>VLOOKUP(A1815,'[11]Linea Automotriz'!$A$1:$D$533,4,FALSE)</f>
        <v>70.78</v>
      </c>
      <c r="D1815" s="23">
        <f>VLOOKUP(A1815,'[11]Linea Automotriz'!$A$1:$E$533,5,FALSE)</f>
        <v>79.98</v>
      </c>
      <c r="E1815" s="23">
        <f>VLOOKUP(A1815,'[11]Linea Automotriz'!$A$1:$F$533,6,FALSE)</f>
        <v>114.16</v>
      </c>
      <c r="F1815" s="23">
        <f>VLOOKUP(A1815,'[11]Linea Automotriz'!$A$2:$G$533,7,FALSE)</f>
        <v>129</v>
      </c>
    </row>
    <row r="1816" spans="1:6" x14ac:dyDescent="0.3">
      <c r="A1816" s="72" t="s">
        <v>2024</v>
      </c>
      <c r="B1816" s="73" t="s">
        <v>2025</v>
      </c>
      <c r="C1816" s="23">
        <f>VLOOKUP(A1816,'[11]Linea Automotriz'!$A$1:$D$533,4,FALSE)</f>
        <v>70.78</v>
      </c>
      <c r="D1816" s="23">
        <f>VLOOKUP(A1816,'[11]Linea Automotriz'!$A$1:$E$533,5,FALSE)</f>
        <v>79.98</v>
      </c>
      <c r="E1816" s="23">
        <f>VLOOKUP(A1816,'[11]Linea Automotriz'!$A$1:$F$533,6,FALSE)</f>
        <v>114.16</v>
      </c>
      <c r="F1816" s="23">
        <f>VLOOKUP(A1816,'[11]Linea Automotriz'!$A$2:$G$533,7,FALSE)</f>
        <v>129</v>
      </c>
    </row>
    <row r="1817" spans="1:6" x14ac:dyDescent="0.3">
      <c r="A1817" s="72" t="s">
        <v>2026</v>
      </c>
      <c r="B1817" s="73" t="s">
        <v>2027</v>
      </c>
      <c r="C1817" s="23">
        <f>VLOOKUP(A1817,'[11]Linea Automotriz'!$A$1:$D$533,4,FALSE)</f>
        <v>35.39</v>
      </c>
      <c r="D1817" s="23">
        <f>VLOOKUP(A1817,'[11]Linea Automotriz'!$A$1:$E$533,5,FALSE)</f>
        <v>39.99</v>
      </c>
      <c r="E1817" s="23">
        <f>VLOOKUP(A1817,'[11]Linea Automotriz'!$A$1:$F$533,6,FALSE)</f>
        <v>57.08</v>
      </c>
      <c r="F1817" s="23">
        <f>VLOOKUP(A1817,'[11]Linea Automotriz'!$A$2:$G$533,7,FALSE)</f>
        <v>64.5</v>
      </c>
    </row>
    <row r="1818" spans="1:6" x14ac:dyDescent="0.3">
      <c r="A1818" s="72" t="s">
        <v>2028</v>
      </c>
      <c r="B1818" s="73" t="s">
        <v>3879</v>
      </c>
      <c r="C1818" s="23">
        <f>VLOOKUP(A1818,'[11]Linea Automotriz'!$A$1:$D$533,4,FALSE)</f>
        <v>70.78</v>
      </c>
      <c r="D1818" s="23">
        <f>VLOOKUP(A1818,'[11]Linea Automotriz'!$A$1:$E$533,5,FALSE)</f>
        <v>79.98</v>
      </c>
      <c r="E1818" s="23">
        <f>VLOOKUP(A1818,'[11]Linea Automotriz'!$A$1:$F$533,6,FALSE)</f>
        <v>114.16</v>
      </c>
      <c r="F1818" s="23">
        <f>VLOOKUP(A1818,'[11]Linea Automotriz'!$A$2:$G$533,7,FALSE)</f>
        <v>129</v>
      </c>
    </row>
    <row r="1819" spans="1:6" x14ac:dyDescent="0.3">
      <c r="A1819" s="72" t="s">
        <v>2029</v>
      </c>
      <c r="B1819" s="73" t="s">
        <v>2030</v>
      </c>
      <c r="C1819" s="23">
        <f>VLOOKUP(A1819,'[11]Linea Automotriz'!$A$1:$D$533,4,FALSE)</f>
        <v>70.78</v>
      </c>
      <c r="D1819" s="23">
        <f>VLOOKUP(A1819,'[11]Linea Automotriz'!$A$1:$E$533,5,FALSE)</f>
        <v>79.98</v>
      </c>
      <c r="E1819" s="23">
        <f>VLOOKUP(A1819,'[11]Linea Automotriz'!$A$1:$F$533,6,FALSE)</f>
        <v>114.16</v>
      </c>
      <c r="F1819" s="23">
        <f>VLOOKUP(A1819,'[11]Linea Automotriz'!$A$2:$G$533,7,FALSE)</f>
        <v>129</v>
      </c>
    </row>
    <row r="1820" spans="1:6" x14ac:dyDescent="0.3">
      <c r="A1820" s="72" t="s">
        <v>2031</v>
      </c>
      <c r="B1820" s="73" t="s">
        <v>2032</v>
      </c>
      <c r="C1820" s="23">
        <f>VLOOKUP(A1820,'[11]Linea Automotriz'!$A$1:$D$533,4,FALSE)</f>
        <v>35.39</v>
      </c>
      <c r="D1820" s="23">
        <f>VLOOKUP(A1820,'[11]Linea Automotriz'!$A$1:$E$533,5,FALSE)</f>
        <v>39.99</v>
      </c>
      <c r="E1820" s="23">
        <f>VLOOKUP(A1820,'[11]Linea Automotriz'!$A$1:$F$533,6,FALSE)</f>
        <v>57.08</v>
      </c>
      <c r="F1820" s="23">
        <f>VLOOKUP(A1820,'[11]Linea Automotriz'!$A$2:$G$533,7,FALSE)</f>
        <v>64.5</v>
      </c>
    </row>
    <row r="1821" spans="1:6" x14ac:dyDescent="0.3">
      <c r="A1821" s="72" t="s">
        <v>2033</v>
      </c>
      <c r="B1821" s="73" t="s">
        <v>2034</v>
      </c>
      <c r="C1821" s="23">
        <f>VLOOKUP(A1821,'[11]Linea Automotriz'!$A$1:$D$533,4,FALSE)</f>
        <v>70.78</v>
      </c>
      <c r="D1821" s="23">
        <f>VLOOKUP(A1821,'[11]Linea Automotriz'!$A$1:$E$533,5,FALSE)</f>
        <v>79.98</v>
      </c>
      <c r="E1821" s="23">
        <f>VLOOKUP(A1821,'[11]Linea Automotriz'!$A$1:$F$533,6,FALSE)</f>
        <v>114.16</v>
      </c>
      <c r="F1821" s="23">
        <f>VLOOKUP(A1821,'[11]Linea Automotriz'!$A$2:$G$533,7,FALSE)</f>
        <v>129</v>
      </c>
    </row>
    <row r="1822" spans="1:6" x14ac:dyDescent="0.3">
      <c r="A1822" s="72" t="s">
        <v>2035</v>
      </c>
      <c r="B1822" s="73" t="s">
        <v>2036</v>
      </c>
      <c r="C1822" s="23">
        <f>VLOOKUP(A1822,'[11]Linea Automotriz'!$A$1:$D$533,4,FALSE)</f>
        <v>35.39</v>
      </c>
      <c r="D1822" s="23">
        <f>VLOOKUP(A1822,'[11]Linea Automotriz'!$A$1:$E$533,5,FALSE)</f>
        <v>39.99</v>
      </c>
      <c r="E1822" s="23">
        <f>VLOOKUP(A1822,'[11]Linea Automotriz'!$A$1:$F$533,6,FALSE)</f>
        <v>57.08</v>
      </c>
      <c r="F1822" s="23">
        <f>VLOOKUP(A1822,'[11]Linea Automotriz'!$A$2:$G$533,7,FALSE)</f>
        <v>64.5</v>
      </c>
    </row>
    <row r="1823" spans="1:6" x14ac:dyDescent="0.3">
      <c r="A1823" s="72" t="s">
        <v>2037</v>
      </c>
      <c r="B1823" s="73" t="s">
        <v>2038</v>
      </c>
      <c r="C1823" s="23">
        <f>VLOOKUP(A1823,'[11]Linea Automotriz'!$A$1:$D$533,4,FALSE)</f>
        <v>35.39</v>
      </c>
      <c r="D1823" s="23">
        <f>VLOOKUP(A1823,'[11]Linea Automotriz'!$A$1:$E$533,5,FALSE)</f>
        <v>39.99</v>
      </c>
      <c r="E1823" s="23">
        <f>VLOOKUP(A1823,'[11]Linea Automotriz'!$A$1:$F$533,6,FALSE)</f>
        <v>57.08</v>
      </c>
      <c r="F1823" s="23">
        <f>VLOOKUP(A1823,'[11]Linea Automotriz'!$A$2:$G$533,7,FALSE)</f>
        <v>64.5</v>
      </c>
    </row>
    <row r="1824" spans="1:6" x14ac:dyDescent="0.3">
      <c r="A1824" s="72" t="s">
        <v>2039</v>
      </c>
      <c r="B1824" s="73" t="s">
        <v>2040</v>
      </c>
      <c r="C1824" s="23">
        <f>VLOOKUP(A1824,'[11]Linea Automotriz'!$A$1:$D$533,4,FALSE)</f>
        <v>35.39</v>
      </c>
      <c r="D1824" s="23">
        <f>VLOOKUP(A1824,'[11]Linea Automotriz'!$A$1:$E$533,5,FALSE)</f>
        <v>39.99</v>
      </c>
      <c r="E1824" s="23">
        <f>VLOOKUP(A1824,'[11]Linea Automotriz'!$A$1:$F$533,6,FALSE)</f>
        <v>57.08</v>
      </c>
      <c r="F1824" s="23">
        <f>VLOOKUP(A1824,'[11]Linea Automotriz'!$A$2:$G$533,7,FALSE)</f>
        <v>64.5</v>
      </c>
    </row>
    <row r="1825" spans="1:6" x14ac:dyDescent="0.3">
      <c r="A1825" s="72" t="s">
        <v>2041</v>
      </c>
      <c r="B1825" s="73" t="s">
        <v>2042</v>
      </c>
      <c r="C1825" s="23">
        <f>VLOOKUP(A1825,'[11]Linea Automotriz'!$A$1:$D$533,4,FALSE)</f>
        <v>70.78</v>
      </c>
      <c r="D1825" s="23">
        <f>VLOOKUP(A1825,'[11]Linea Automotriz'!$A$1:$E$533,5,FALSE)</f>
        <v>79.98</v>
      </c>
      <c r="E1825" s="23">
        <f>VLOOKUP(A1825,'[11]Linea Automotriz'!$A$1:$F$533,6,FALSE)</f>
        <v>114.16</v>
      </c>
      <c r="F1825" s="23">
        <f>VLOOKUP(A1825,'[11]Linea Automotriz'!$A$2:$G$533,7,FALSE)</f>
        <v>129</v>
      </c>
    </row>
    <row r="1826" spans="1:6" x14ac:dyDescent="0.3">
      <c r="A1826" s="72" t="s">
        <v>2043</v>
      </c>
      <c r="B1826" s="73" t="s">
        <v>2044</v>
      </c>
      <c r="C1826" s="23">
        <f>VLOOKUP(A1826,'[11]Linea Automotriz'!$A$1:$D$533,4,FALSE)</f>
        <v>70.78</v>
      </c>
      <c r="D1826" s="23">
        <f>VLOOKUP(A1826,'[11]Linea Automotriz'!$A$1:$E$533,5,FALSE)</f>
        <v>79.98</v>
      </c>
      <c r="E1826" s="23">
        <f>VLOOKUP(A1826,'[11]Linea Automotriz'!$A$1:$F$533,6,FALSE)</f>
        <v>114.16</v>
      </c>
      <c r="F1826" s="23">
        <f>VLOOKUP(A1826,'[11]Linea Automotriz'!$A$2:$G$533,7,FALSE)</f>
        <v>129</v>
      </c>
    </row>
    <row r="1827" spans="1:6" x14ac:dyDescent="0.3">
      <c r="A1827" s="72" t="s">
        <v>2045</v>
      </c>
      <c r="B1827" s="73" t="s">
        <v>2021</v>
      </c>
      <c r="C1827" s="23">
        <f>VLOOKUP(A1827,'[11]Linea Automotriz'!$A$1:$D$533,4,FALSE)</f>
        <v>35.39</v>
      </c>
      <c r="D1827" s="23">
        <f>VLOOKUP(A1827,'[11]Linea Automotriz'!$A$1:$E$533,5,FALSE)</f>
        <v>39.99</v>
      </c>
      <c r="E1827" s="23">
        <f>VLOOKUP(A1827,'[11]Linea Automotriz'!$A$1:$F$533,6,FALSE)</f>
        <v>57.08</v>
      </c>
      <c r="F1827" s="23">
        <f>VLOOKUP(A1827,'[11]Linea Automotriz'!$A$2:$G$533,7,FALSE)</f>
        <v>64.5</v>
      </c>
    </row>
    <row r="1828" spans="1:6" x14ac:dyDescent="0.3">
      <c r="A1828" s="72" t="s">
        <v>2046</v>
      </c>
      <c r="B1828" s="73" t="s">
        <v>3880</v>
      </c>
      <c r="C1828" s="23">
        <f>VLOOKUP(A1828,'[11]Linea Automotriz'!$A$1:$D$533,4,FALSE)</f>
        <v>35.39</v>
      </c>
      <c r="D1828" s="23">
        <f>VLOOKUP(A1828,'[11]Linea Automotriz'!$A$1:$E$533,5,FALSE)</f>
        <v>39.99</v>
      </c>
      <c r="E1828" s="23">
        <f>VLOOKUP(A1828,'[11]Linea Automotriz'!$A$1:$F$533,6,FALSE)</f>
        <v>57.08</v>
      </c>
      <c r="F1828" s="23">
        <f>VLOOKUP(A1828,'[11]Linea Automotriz'!$A$2:$G$533,7,FALSE)</f>
        <v>64.5</v>
      </c>
    </row>
    <row r="1829" spans="1:6" x14ac:dyDescent="0.3">
      <c r="A1829" s="72" t="s">
        <v>2047</v>
      </c>
      <c r="B1829" s="73" t="s">
        <v>2048</v>
      </c>
      <c r="C1829" s="23">
        <f>VLOOKUP(A1829,'[11]Linea Automotriz'!$A$1:$D$533,4,FALSE)</f>
        <v>70.78</v>
      </c>
      <c r="D1829" s="23">
        <f>VLOOKUP(A1829,'[11]Linea Automotriz'!$A$1:$E$533,5,FALSE)</f>
        <v>79.98</v>
      </c>
      <c r="E1829" s="23">
        <f>VLOOKUP(A1829,'[11]Linea Automotriz'!$A$1:$F$533,6,FALSE)</f>
        <v>114.16</v>
      </c>
      <c r="F1829" s="23">
        <f>VLOOKUP(A1829,'[11]Linea Automotriz'!$A$2:$G$533,7,FALSE)</f>
        <v>129</v>
      </c>
    </row>
    <row r="1830" spans="1:6" x14ac:dyDescent="0.3">
      <c r="A1830" s="72" t="s">
        <v>2049</v>
      </c>
      <c r="B1830" s="73" t="s">
        <v>2050</v>
      </c>
      <c r="C1830" s="23">
        <f>VLOOKUP(A1830,'[11]Linea Automotriz'!$A$1:$D$533,4,FALSE)</f>
        <v>70.78</v>
      </c>
      <c r="D1830" s="23">
        <f>VLOOKUP(A1830,'[11]Linea Automotriz'!$A$1:$E$533,5,FALSE)</f>
        <v>79.98</v>
      </c>
      <c r="E1830" s="23">
        <f>VLOOKUP(A1830,'[11]Linea Automotriz'!$A$1:$F$533,6,FALSE)</f>
        <v>114.16</v>
      </c>
      <c r="F1830" s="23">
        <f>VLOOKUP(A1830,'[11]Linea Automotriz'!$A$2:$G$533,7,FALSE)</f>
        <v>129</v>
      </c>
    </row>
    <row r="1831" spans="1:6" x14ac:dyDescent="0.3">
      <c r="A1831" s="72" t="s">
        <v>2051</v>
      </c>
      <c r="B1831" s="73" t="s">
        <v>2052</v>
      </c>
      <c r="C1831" s="23">
        <f>VLOOKUP(A1831,'[11]Linea Automotriz'!$A$1:$D$533,4,FALSE)</f>
        <v>70.78</v>
      </c>
      <c r="D1831" s="23">
        <f>VLOOKUP(A1831,'[11]Linea Automotriz'!$A$1:$E$533,5,FALSE)</f>
        <v>79.98</v>
      </c>
      <c r="E1831" s="23">
        <f>VLOOKUP(A1831,'[11]Linea Automotriz'!$A$1:$F$533,6,FALSE)</f>
        <v>114.16</v>
      </c>
      <c r="F1831" s="23">
        <f>VLOOKUP(A1831,'[11]Linea Automotriz'!$A$2:$G$533,7,FALSE)</f>
        <v>129</v>
      </c>
    </row>
    <row r="1832" spans="1:6" x14ac:dyDescent="0.3">
      <c r="A1832" s="72" t="s">
        <v>2053</v>
      </c>
      <c r="B1832" s="73" t="s">
        <v>3881</v>
      </c>
      <c r="C1832" s="23">
        <f>VLOOKUP(A1832,'[11]Linea Automotriz'!$A$1:$D$533,4,FALSE)</f>
        <v>122.9</v>
      </c>
      <c r="D1832" s="23">
        <f>VLOOKUP(A1832,'[11]Linea Automotriz'!$A$1:$E$533,5,FALSE)</f>
        <v>138.88</v>
      </c>
      <c r="E1832" s="23">
        <f>VLOOKUP(A1832,'[11]Linea Automotriz'!$A$1:$F$533,6,FALSE)</f>
        <v>198.23</v>
      </c>
      <c r="F1832" s="23">
        <f>VLOOKUP(A1832,'[11]Linea Automotriz'!$A$2:$G$533,7,FALSE)</f>
        <v>224</v>
      </c>
    </row>
    <row r="1833" spans="1:6" x14ac:dyDescent="0.3">
      <c r="A1833" s="72" t="s">
        <v>2054</v>
      </c>
      <c r="B1833" s="73" t="s">
        <v>3882</v>
      </c>
      <c r="C1833" s="23">
        <f>VLOOKUP(A1833,'[11]Linea Automotriz'!$A$1:$D$533,4,FALSE)</f>
        <v>122.9</v>
      </c>
      <c r="D1833" s="23">
        <f>VLOOKUP(A1833,'[11]Linea Automotriz'!$A$1:$E$533,5,FALSE)</f>
        <v>138.88</v>
      </c>
      <c r="E1833" s="23">
        <f>VLOOKUP(A1833,'[11]Linea Automotriz'!$A$1:$F$533,6,FALSE)</f>
        <v>198.23</v>
      </c>
      <c r="F1833" s="23">
        <f>VLOOKUP(A1833,'[11]Linea Automotriz'!$A$2:$G$533,7,FALSE)</f>
        <v>224</v>
      </c>
    </row>
    <row r="1834" spans="1:6" x14ac:dyDescent="0.3">
      <c r="A1834" s="72" t="s">
        <v>2055</v>
      </c>
      <c r="B1834" s="73" t="s">
        <v>3883</v>
      </c>
      <c r="C1834" s="23">
        <f>VLOOKUP(A1834,'[11]Linea Automotriz'!$A$1:$D$533,4,FALSE)</f>
        <v>122.9</v>
      </c>
      <c r="D1834" s="23">
        <f>VLOOKUP(A1834,'[11]Linea Automotriz'!$A$1:$E$533,5,FALSE)</f>
        <v>138.88</v>
      </c>
      <c r="E1834" s="23">
        <f>VLOOKUP(A1834,'[11]Linea Automotriz'!$A$1:$F$533,6,FALSE)</f>
        <v>198.23</v>
      </c>
      <c r="F1834" s="23">
        <f>VLOOKUP(A1834,'[11]Linea Automotriz'!$A$2:$G$533,7,FALSE)</f>
        <v>224</v>
      </c>
    </row>
    <row r="1835" spans="1:6" x14ac:dyDescent="0.3">
      <c r="A1835" s="72" t="s">
        <v>2056</v>
      </c>
      <c r="B1835" s="73" t="s">
        <v>3884</v>
      </c>
      <c r="C1835" s="23">
        <f>VLOOKUP(A1835,'[11]Linea Automotriz'!$A$1:$D$533,4,FALSE)</f>
        <v>122.9</v>
      </c>
      <c r="D1835" s="23">
        <f>VLOOKUP(A1835,'[11]Linea Automotriz'!$A$1:$E$533,5,FALSE)</f>
        <v>138.88</v>
      </c>
      <c r="E1835" s="23">
        <f>VLOOKUP(A1835,'[11]Linea Automotriz'!$A$1:$F$533,6,FALSE)</f>
        <v>198.23</v>
      </c>
      <c r="F1835" s="23">
        <f>VLOOKUP(A1835,'[11]Linea Automotriz'!$A$2:$G$533,7,FALSE)</f>
        <v>224</v>
      </c>
    </row>
    <row r="1836" spans="1:6" x14ac:dyDescent="0.3">
      <c r="A1836" s="72" t="s">
        <v>2057</v>
      </c>
      <c r="B1836" s="73" t="s">
        <v>3885</v>
      </c>
      <c r="C1836" s="23">
        <f>VLOOKUP(A1836,'[11]Linea Automotriz'!$A$1:$D$533,4,FALSE)</f>
        <v>122.9</v>
      </c>
      <c r="D1836" s="23">
        <f>VLOOKUP(A1836,'[11]Linea Automotriz'!$A$1:$E$533,5,FALSE)</f>
        <v>138.88</v>
      </c>
      <c r="E1836" s="23">
        <f>VLOOKUP(A1836,'[11]Linea Automotriz'!$A$1:$F$533,6,FALSE)</f>
        <v>198.23</v>
      </c>
      <c r="F1836" s="23">
        <f>VLOOKUP(A1836,'[11]Linea Automotriz'!$A$2:$G$533,7,FALSE)</f>
        <v>224</v>
      </c>
    </row>
    <row r="1837" spans="1:6" x14ac:dyDescent="0.3">
      <c r="A1837" s="72" t="s">
        <v>2058</v>
      </c>
      <c r="B1837" s="73" t="s">
        <v>3886</v>
      </c>
      <c r="C1837" s="23">
        <f>VLOOKUP(A1837,'[11]Linea Automotriz'!$A$1:$D$533,4,FALSE)</f>
        <v>122.9</v>
      </c>
      <c r="D1837" s="23">
        <f>VLOOKUP(A1837,'[11]Linea Automotriz'!$A$1:$E$533,5,FALSE)</f>
        <v>138.88</v>
      </c>
      <c r="E1837" s="23">
        <f>VLOOKUP(A1837,'[11]Linea Automotriz'!$A$1:$F$533,6,FALSE)</f>
        <v>198.23</v>
      </c>
      <c r="F1837" s="23">
        <f>VLOOKUP(A1837,'[11]Linea Automotriz'!$A$2:$G$533,7,FALSE)</f>
        <v>224</v>
      </c>
    </row>
    <row r="1838" spans="1:6" x14ac:dyDescent="0.3">
      <c r="A1838" s="72" t="s">
        <v>2059</v>
      </c>
      <c r="B1838" s="73" t="s">
        <v>3887</v>
      </c>
      <c r="C1838" s="23">
        <f>VLOOKUP(A1838,'[11]Linea Automotriz'!$A$1:$D$533,4,FALSE)</f>
        <v>122.9</v>
      </c>
      <c r="D1838" s="23">
        <f>VLOOKUP(A1838,'[11]Linea Automotriz'!$A$1:$E$533,5,FALSE)</f>
        <v>138.88</v>
      </c>
      <c r="E1838" s="23">
        <f>VLOOKUP(A1838,'[11]Linea Automotriz'!$A$1:$F$533,6,FALSE)</f>
        <v>198.23</v>
      </c>
      <c r="F1838" s="23">
        <f>VLOOKUP(A1838,'[11]Linea Automotriz'!$A$2:$G$533,7,FALSE)</f>
        <v>224</v>
      </c>
    </row>
    <row r="1839" spans="1:6" x14ac:dyDescent="0.3">
      <c r="A1839" s="72" t="s">
        <v>2060</v>
      </c>
      <c r="B1839" s="73" t="s">
        <v>3888</v>
      </c>
      <c r="C1839" s="23">
        <f>VLOOKUP(A1839,'[11]Linea Automotriz'!$A$1:$D$533,4,FALSE)</f>
        <v>122.9</v>
      </c>
      <c r="D1839" s="23">
        <f>VLOOKUP(A1839,'[11]Linea Automotriz'!$A$1:$E$533,5,FALSE)</f>
        <v>138.88</v>
      </c>
      <c r="E1839" s="23">
        <f>VLOOKUP(A1839,'[11]Linea Automotriz'!$A$1:$F$533,6,FALSE)</f>
        <v>198.23</v>
      </c>
      <c r="F1839" s="23">
        <f>VLOOKUP(A1839,'[11]Linea Automotriz'!$A$2:$G$533,7,FALSE)</f>
        <v>224</v>
      </c>
    </row>
    <row r="1840" spans="1:6" x14ac:dyDescent="0.3">
      <c r="A1840" s="72" t="s">
        <v>2061</v>
      </c>
      <c r="B1840" s="73" t="s">
        <v>3889</v>
      </c>
      <c r="C1840" s="23">
        <f>VLOOKUP(A1840,'[11]Linea Automotriz'!$A$1:$D$533,4,FALSE)</f>
        <v>122.9</v>
      </c>
      <c r="D1840" s="23">
        <f>VLOOKUP(A1840,'[11]Linea Automotriz'!$A$1:$E$533,5,FALSE)</f>
        <v>138.88</v>
      </c>
      <c r="E1840" s="23">
        <f>VLOOKUP(A1840,'[11]Linea Automotriz'!$A$1:$F$533,6,FALSE)</f>
        <v>198.23</v>
      </c>
      <c r="F1840" s="23">
        <f>VLOOKUP(A1840,'[11]Linea Automotriz'!$A$2:$G$533,7,FALSE)</f>
        <v>224</v>
      </c>
    </row>
    <row r="1841" spans="1:6" x14ac:dyDescent="0.3">
      <c r="A1841" s="72" t="s">
        <v>2062</v>
      </c>
      <c r="B1841" s="73" t="s">
        <v>3890</v>
      </c>
      <c r="C1841" s="23">
        <f>VLOOKUP(A1841,'[11]Linea Automotriz'!$A$1:$D$533,4,FALSE)</f>
        <v>122.9</v>
      </c>
      <c r="D1841" s="23">
        <f>VLOOKUP(A1841,'[11]Linea Automotriz'!$A$1:$E$533,5,FALSE)</f>
        <v>138.88</v>
      </c>
      <c r="E1841" s="23">
        <f>VLOOKUP(A1841,'[11]Linea Automotriz'!$A$1:$F$533,6,FALSE)</f>
        <v>198.23</v>
      </c>
      <c r="F1841" s="23">
        <f>VLOOKUP(A1841,'[11]Linea Automotriz'!$A$2:$G$533,7,FALSE)</f>
        <v>224</v>
      </c>
    </row>
    <row r="1842" spans="1:6" x14ac:dyDescent="0.3">
      <c r="A1842" s="72" t="s">
        <v>2063</v>
      </c>
      <c r="B1842" s="73" t="s">
        <v>3891</v>
      </c>
      <c r="C1842" s="23">
        <f>VLOOKUP(A1842,'[11]Linea Automotriz'!$A$1:$D$533,4,FALSE)</f>
        <v>122.9</v>
      </c>
      <c r="D1842" s="23">
        <f>VLOOKUP(A1842,'[11]Linea Automotriz'!$A$1:$E$533,5,FALSE)</f>
        <v>138.88</v>
      </c>
      <c r="E1842" s="23">
        <f>VLOOKUP(A1842,'[11]Linea Automotriz'!$A$1:$F$533,6,FALSE)</f>
        <v>198.23</v>
      </c>
      <c r="F1842" s="23">
        <f>VLOOKUP(A1842,'[11]Linea Automotriz'!$A$2:$G$533,7,FALSE)</f>
        <v>224</v>
      </c>
    </row>
    <row r="1843" spans="1:6" x14ac:dyDescent="0.3">
      <c r="A1843" s="72" t="s">
        <v>2064</v>
      </c>
      <c r="B1843" s="73" t="s">
        <v>3892</v>
      </c>
      <c r="C1843" s="23">
        <f>VLOOKUP(A1843,'[11]Linea Automotriz'!$A$1:$D$533,4,FALSE)</f>
        <v>122.9</v>
      </c>
      <c r="D1843" s="23">
        <f>VLOOKUP(A1843,'[11]Linea Automotriz'!$A$1:$E$533,5,FALSE)</f>
        <v>138.88</v>
      </c>
      <c r="E1843" s="23">
        <f>VLOOKUP(A1843,'[11]Linea Automotriz'!$A$1:$F$533,6,FALSE)</f>
        <v>198.23</v>
      </c>
      <c r="F1843" s="23">
        <f>VLOOKUP(A1843,'[11]Linea Automotriz'!$A$2:$G$533,7,FALSE)</f>
        <v>224</v>
      </c>
    </row>
    <row r="1844" spans="1:6" x14ac:dyDescent="0.3">
      <c r="A1844" s="72" t="s">
        <v>2065</v>
      </c>
      <c r="B1844" s="73" t="s">
        <v>3893</v>
      </c>
      <c r="C1844" s="23">
        <f>VLOOKUP(A1844,'[11]Linea Automotriz'!$A$1:$D$533,4,FALSE)</f>
        <v>122.9</v>
      </c>
      <c r="D1844" s="23">
        <f>VLOOKUP(A1844,'[11]Linea Automotriz'!$A$1:$E$533,5,FALSE)</f>
        <v>138.88</v>
      </c>
      <c r="E1844" s="23">
        <f>VLOOKUP(A1844,'[11]Linea Automotriz'!$A$1:$F$533,6,FALSE)</f>
        <v>198.23</v>
      </c>
      <c r="F1844" s="23">
        <f>VLOOKUP(A1844,'[11]Linea Automotriz'!$A$2:$G$533,7,FALSE)</f>
        <v>224</v>
      </c>
    </row>
    <row r="1845" spans="1:6" x14ac:dyDescent="0.3">
      <c r="A1845" s="72" t="s">
        <v>2066</v>
      </c>
      <c r="B1845" s="73" t="s">
        <v>2067</v>
      </c>
      <c r="C1845" s="23">
        <f>VLOOKUP(A1845,'[11]Linea Automotriz'!$A$1:$D$533,4,FALSE)</f>
        <v>13.99</v>
      </c>
      <c r="D1845" s="23">
        <f>VLOOKUP(A1845,'[11]Linea Automotriz'!$A$1:$E$533,5,FALSE)</f>
        <v>15.81</v>
      </c>
      <c r="E1845" s="23">
        <f>VLOOKUP(A1845,'[11]Linea Automotriz'!$A$1:$F$533,6,FALSE)</f>
        <v>22.57</v>
      </c>
      <c r="F1845" s="23">
        <f>VLOOKUP(A1845,'[11]Linea Automotriz'!$A$2:$G$533,7,FALSE)</f>
        <v>25.5</v>
      </c>
    </row>
    <row r="1846" spans="1:6" x14ac:dyDescent="0.3">
      <c r="A1846" s="72" t="s">
        <v>2068</v>
      </c>
      <c r="B1846" s="73" t="s">
        <v>2067</v>
      </c>
      <c r="C1846" s="23">
        <f>VLOOKUP(A1846,'[11]Linea Automotriz'!$A$1:$D$533,4,FALSE)</f>
        <v>53.5</v>
      </c>
      <c r="D1846" s="23">
        <f>VLOOKUP(A1846,'[11]Linea Automotriz'!$A$1:$E$533,5,FALSE)</f>
        <v>60.45</v>
      </c>
      <c r="E1846" s="23">
        <f>VLOOKUP(A1846,'[11]Linea Automotriz'!$A$1:$F$533,6,FALSE)</f>
        <v>86.28</v>
      </c>
      <c r="F1846" s="23">
        <f>VLOOKUP(A1846,'[11]Linea Automotriz'!$A$2:$G$533,7,FALSE)</f>
        <v>97.5</v>
      </c>
    </row>
    <row r="1847" spans="1:6" x14ac:dyDescent="0.3">
      <c r="A1847" s="72" t="s">
        <v>2069</v>
      </c>
      <c r="B1847" s="73" t="s">
        <v>2070</v>
      </c>
      <c r="C1847" s="23">
        <f>VLOOKUP(A1847,'[11]Linea Automotriz'!$A$1:$D$533,4,FALSE)</f>
        <v>15.8</v>
      </c>
      <c r="D1847" s="23">
        <f>VLOOKUP(A1847,'[11]Linea Automotriz'!$A$1:$E$533,5,FALSE)</f>
        <v>17.850000000000001</v>
      </c>
      <c r="E1847" s="23">
        <f>VLOOKUP(A1847,'[11]Linea Automotriz'!$A$1:$F$533,6,FALSE)</f>
        <v>22.57</v>
      </c>
      <c r="F1847" s="23">
        <f>VLOOKUP(A1847,'[11]Linea Automotriz'!$A$2:$G$533,7,FALSE)</f>
        <v>25.5</v>
      </c>
    </row>
    <row r="1848" spans="1:6" x14ac:dyDescent="0.3">
      <c r="A1848" s="72" t="s">
        <v>2071</v>
      </c>
      <c r="B1848" s="73" t="s">
        <v>2070</v>
      </c>
      <c r="C1848" s="23">
        <f>VLOOKUP(A1848,'[11]Linea Automotriz'!$A$1:$D$533,4,FALSE)</f>
        <v>57.92</v>
      </c>
      <c r="D1848" s="23">
        <f>VLOOKUP(A1848,'[11]Linea Automotriz'!$A$1:$E$533,5,FALSE)</f>
        <v>65.45</v>
      </c>
      <c r="E1848" s="23">
        <f>VLOOKUP(A1848,'[11]Linea Automotriz'!$A$1:$F$533,6,FALSE)</f>
        <v>82.74</v>
      </c>
      <c r="F1848" s="23">
        <f>VLOOKUP(A1848,'[11]Linea Automotriz'!$A$2:$G$533,7,FALSE)</f>
        <v>93.5</v>
      </c>
    </row>
    <row r="1849" spans="1:6" x14ac:dyDescent="0.3">
      <c r="A1849" s="72" t="s">
        <v>2072</v>
      </c>
      <c r="B1849" s="73" t="s">
        <v>3894</v>
      </c>
      <c r="C1849" s="23">
        <f>VLOOKUP(A1849,'[11]Linea Automotriz'!$A$1:$D$533,4,FALSE)</f>
        <v>125.75</v>
      </c>
      <c r="D1849" s="23">
        <f>VLOOKUP(A1849,'[11]Linea Automotriz'!$A$1:$E$533,5,FALSE)</f>
        <v>142.1</v>
      </c>
      <c r="E1849" s="23">
        <f>VLOOKUP(A1849,'[11]Linea Automotriz'!$A$1:$F$533,6,FALSE)</f>
        <v>179.65</v>
      </c>
      <c r="F1849" s="23">
        <f>VLOOKUP(A1849,'[11]Linea Automotriz'!$A$2:$G$533,7,FALSE)</f>
        <v>203</v>
      </c>
    </row>
    <row r="1850" spans="1:6" x14ac:dyDescent="0.3">
      <c r="A1850" s="72" t="s">
        <v>2073</v>
      </c>
      <c r="B1850" s="73" t="s">
        <v>3895</v>
      </c>
      <c r="C1850" s="23">
        <f>VLOOKUP(A1850,'[11]Linea Automotriz'!$A$1:$D$533,4,FALSE)</f>
        <v>180.88</v>
      </c>
      <c r="D1850" s="23">
        <f>VLOOKUP(A1850,'[11]Linea Automotriz'!$A$1:$E$533,5,FALSE)</f>
        <v>204.4</v>
      </c>
      <c r="E1850" s="23">
        <f>VLOOKUP(A1850,'[11]Linea Automotriz'!$A$1:$F$533,6,FALSE)</f>
        <v>258.41000000000003</v>
      </c>
      <c r="F1850" s="23">
        <f>VLOOKUP(A1850,'[11]Linea Automotriz'!$A$2:$G$533,7,FALSE)</f>
        <v>292</v>
      </c>
    </row>
    <row r="1851" spans="1:6" x14ac:dyDescent="0.3">
      <c r="A1851" s="72" t="s">
        <v>2074</v>
      </c>
      <c r="B1851" s="73" t="s">
        <v>2075</v>
      </c>
      <c r="C1851" s="23">
        <f>VLOOKUP(A1851,'[11]Linea Automotriz'!$A$1:$D$533,4,FALSE)</f>
        <v>50.49</v>
      </c>
      <c r="D1851" s="23">
        <f>VLOOKUP(A1851,'[11]Linea Automotriz'!$A$1:$E$533,5,FALSE)</f>
        <v>57.05</v>
      </c>
      <c r="E1851" s="23">
        <f>VLOOKUP(A1851,'[11]Linea Automotriz'!$A$1:$F$533,6,FALSE)</f>
        <v>72.12</v>
      </c>
      <c r="F1851" s="23">
        <f>VLOOKUP(A1851,'[11]Linea Automotriz'!$A$2:$G$533,7,FALSE)</f>
        <v>81.5</v>
      </c>
    </row>
    <row r="1852" spans="1:6" x14ac:dyDescent="0.3">
      <c r="A1852" s="72" t="s">
        <v>2076</v>
      </c>
      <c r="B1852" s="73" t="s">
        <v>2077</v>
      </c>
      <c r="C1852" s="23">
        <f>VLOOKUP(A1852,'[11]Linea Automotriz'!$A$1:$D$533,4,FALSE)</f>
        <v>59.58</v>
      </c>
      <c r="D1852" s="23">
        <f>VLOOKUP(A1852,'[11]Linea Automotriz'!$A$1:$E$533,5,FALSE)</f>
        <v>67.319999999999993</v>
      </c>
      <c r="E1852" s="23">
        <f>VLOOKUP(A1852,'[11]Linea Automotriz'!$A$1:$F$533,6,FALSE)</f>
        <v>90.27</v>
      </c>
      <c r="F1852" s="23">
        <f>VLOOKUP(A1852,'[11]Linea Automotriz'!$A$2:$G$533,7,FALSE)</f>
        <v>102</v>
      </c>
    </row>
    <row r="1853" spans="1:6" x14ac:dyDescent="0.3">
      <c r="A1853" s="72" t="s">
        <v>2078</v>
      </c>
      <c r="B1853" s="73" t="s">
        <v>3896</v>
      </c>
      <c r="C1853" s="23">
        <f>VLOOKUP(A1853,'[11]Linea Automotriz'!$A$1:$D$533,4,FALSE)</f>
        <v>49.58</v>
      </c>
      <c r="D1853" s="23">
        <f>VLOOKUP(A1853,'[11]Linea Automotriz'!$A$1:$E$533,5,FALSE)</f>
        <v>56.03</v>
      </c>
      <c r="E1853" s="23">
        <f>VLOOKUP(A1853,'[11]Linea Automotriz'!$A$1:$F$533,6,FALSE)</f>
        <v>75.13</v>
      </c>
      <c r="F1853" s="23">
        <f>VLOOKUP(A1853,'[11]Linea Automotriz'!$A$2:$G$533,7,FALSE)</f>
        <v>84.9</v>
      </c>
    </row>
    <row r="1854" spans="1:6" x14ac:dyDescent="0.3">
      <c r="A1854" s="72" t="s">
        <v>2079</v>
      </c>
      <c r="B1854" s="73" t="s">
        <v>2080</v>
      </c>
      <c r="C1854" s="23">
        <f>VLOOKUP(A1854,'[11]Linea Automotriz'!$A$1:$D$533,4,FALSE)</f>
        <v>17.809999999999999</v>
      </c>
      <c r="D1854" s="23">
        <f>VLOOKUP(A1854,'[11]Linea Automotriz'!$A$1:$E$533,5,FALSE)</f>
        <v>20.13</v>
      </c>
      <c r="E1854" s="23">
        <f>VLOOKUP(A1854,'[11]Linea Automotriz'!$A$1:$F$533,6,FALSE)</f>
        <v>26.99</v>
      </c>
      <c r="F1854" s="23">
        <f>VLOOKUP(A1854,'[11]Linea Automotriz'!$A$2:$G$533,7,FALSE)</f>
        <v>30.5</v>
      </c>
    </row>
    <row r="1855" spans="1:6" x14ac:dyDescent="0.3">
      <c r="A1855" s="72" t="s">
        <v>2081</v>
      </c>
      <c r="B1855" s="73" t="s">
        <v>2082</v>
      </c>
      <c r="C1855" s="23">
        <f>VLOOKUP(A1855,'[11]Linea Automotriz'!$A$1:$D$533,4,FALSE)</f>
        <v>30.66</v>
      </c>
      <c r="D1855" s="23">
        <f>VLOOKUP(A1855,'[11]Linea Automotriz'!$A$1:$E$533,5,FALSE)</f>
        <v>34.65</v>
      </c>
      <c r="E1855" s="23">
        <f>VLOOKUP(A1855,'[11]Linea Automotriz'!$A$1:$F$533,6,FALSE)</f>
        <v>46.46</v>
      </c>
      <c r="F1855" s="23">
        <f>VLOOKUP(A1855,'[11]Linea Automotriz'!$A$2:$G$533,7,FALSE)</f>
        <v>52.5</v>
      </c>
    </row>
    <row r="1856" spans="1:6" x14ac:dyDescent="0.3">
      <c r="A1856" s="72" t="s">
        <v>2083</v>
      </c>
      <c r="B1856" s="73" t="s">
        <v>2084</v>
      </c>
      <c r="C1856" s="23">
        <f>VLOOKUP(A1856,'[11]Linea Automotriz'!$A$1:$D$533,4,FALSE)</f>
        <v>30.66</v>
      </c>
      <c r="D1856" s="23">
        <f>VLOOKUP(A1856,'[11]Linea Automotriz'!$A$1:$E$533,5,FALSE)</f>
        <v>34.65</v>
      </c>
      <c r="E1856" s="23">
        <f>VLOOKUP(A1856,'[11]Linea Automotriz'!$A$1:$F$533,6,FALSE)</f>
        <v>46.46</v>
      </c>
      <c r="F1856" s="23">
        <f>VLOOKUP(A1856,'[11]Linea Automotriz'!$A$2:$G$533,7,FALSE)</f>
        <v>52.5</v>
      </c>
    </row>
    <row r="1857" spans="1:6" x14ac:dyDescent="0.3">
      <c r="A1857" s="72" t="s">
        <v>2085</v>
      </c>
      <c r="B1857" s="73" t="s">
        <v>3897</v>
      </c>
      <c r="C1857" s="23">
        <f>VLOOKUP(A1857,'[11]Linea Automotriz'!$A$1:$D$533,4,FALSE)</f>
        <v>47.83</v>
      </c>
      <c r="D1857" s="23">
        <f>VLOOKUP(A1857,'[11]Linea Automotriz'!$A$1:$E$533,5,FALSE)</f>
        <v>54.05</v>
      </c>
      <c r="E1857" s="23">
        <f>VLOOKUP(A1857,'[11]Linea Automotriz'!$A$1:$F$533,6,FALSE)</f>
        <v>72.48</v>
      </c>
      <c r="F1857" s="23">
        <f>VLOOKUP(A1857,'[11]Linea Automotriz'!$A$2:$G$533,7,FALSE)</f>
        <v>81.900000000000006</v>
      </c>
    </row>
    <row r="1858" spans="1:6" x14ac:dyDescent="0.3">
      <c r="A1858" s="72" t="s">
        <v>2086</v>
      </c>
      <c r="B1858" s="73" t="s">
        <v>2087</v>
      </c>
      <c r="C1858" s="23">
        <f>VLOOKUP(A1858,'[11]Linea Automotriz'!$A$1:$D$533,4,FALSE)</f>
        <v>37.090000000000003</v>
      </c>
      <c r="D1858" s="23">
        <f>VLOOKUP(A1858,'[11]Linea Automotriz'!$A$1:$E$533,5,FALSE)</f>
        <v>41.91</v>
      </c>
      <c r="E1858" s="23">
        <f>VLOOKUP(A1858,'[11]Linea Automotriz'!$A$1:$F$533,6,FALSE)</f>
        <v>56.19</v>
      </c>
      <c r="F1858" s="23">
        <f>VLOOKUP(A1858,'[11]Linea Automotriz'!$A$2:$G$533,7,FALSE)</f>
        <v>63.5</v>
      </c>
    </row>
    <row r="1859" spans="1:6" x14ac:dyDescent="0.3">
      <c r="A1859" s="72" t="s">
        <v>2088</v>
      </c>
      <c r="B1859" s="73" t="s">
        <v>2089</v>
      </c>
      <c r="C1859" s="23">
        <f>VLOOKUP(A1859,'[11]Linea Automotriz'!$A$1:$D$533,4,FALSE)</f>
        <v>37.090000000000003</v>
      </c>
      <c r="D1859" s="23">
        <f>VLOOKUP(A1859,'[11]Linea Automotriz'!$A$1:$E$533,5,FALSE)</f>
        <v>41.91</v>
      </c>
      <c r="E1859" s="23">
        <f>VLOOKUP(A1859,'[11]Linea Automotriz'!$A$1:$F$533,6,FALSE)</f>
        <v>56.19</v>
      </c>
      <c r="F1859" s="23">
        <f>VLOOKUP(A1859,'[11]Linea Automotriz'!$A$2:$G$533,7,FALSE)</f>
        <v>63.5</v>
      </c>
    </row>
    <row r="1860" spans="1:6" x14ac:dyDescent="0.3">
      <c r="A1860" s="72" t="s">
        <v>2090</v>
      </c>
      <c r="B1860" s="73" t="s">
        <v>2091</v>
      </c>
      <c r="C1860" s="23">
        <f>VLOOKUP(A1860,'[11]Linea Automotriz'!$A$1:$D$533,4,FALSE)</f>
        <v>37.090000000000003</v>
      </c>
      <c r="D1860" s="23">
        <f>VLOOKUP(A1860,'[11]Linea Automotriz'!$A$1:$E$533,5,FALSE)</f>
        <v>41.91</v>
      </c>
      <c r="E1860" s="23">
        <f>VLOOKUP(A1860,'[11]Linea Automotriz'!$A$1:$F$533,6,FALSE)</f>
        <v>56.19</v>
      </c>
      <c r="F1860" s="23">
        <f>VLOOKUP(A1860,'[11]Linea Automotriz'!$A$2:$G$533,7,FALSE)</f>
        <v>63.5</v>
      </c>
    </row>
    <row r="1861" spans="1:6" x14ac:dyDescent="0.3">
      <c r="A1861" s="72" t="s">
        <v>2092</v>
      </c>
      <c r="B1861" s="73" t="s">
        <v>2093</v>
      </c>
      <c r="C1861" s="23">
        <f>VLOOKUP(A1861,'[11]Linea Automotriz'!$A$1:$D$533,4,FALSE)</f>
        <v>30.89</v>
      </c>
      <c r="D1861" s="23">
        <f>VLOOKUP(A1861,'[11]Linea Automotriz'!$A$1:$E$533,5,FALSE)</f>
        <v>34.909999999999997</v>
      </c>
      <c r="E1861" s="23">
        <f>VLOOKUP(A1861,'[11]Linea Automotriz'!$A$1:$F$533,6,FALSE)</f>
        <v>46.81</v>
      </c>
      <c r="F1861" s="23">
        <f>VLOOKUP(A1861,'[11]Linea Automotriz'!$A$2:$G$533,7,FALSE)</f>
        <v>52.9</v>
      </c>
    </row>
    <row r="1862" spans="1:6" x14ac:dyDescent="0.3">
      <c r="A1862" s="72" t="s">
        <v>2094</v>
      </c>
      <c r="B1862" s="73" t="s">
        <v>3898</v>
      </c>
      <c r="C1862" s="23">
        <f>VLOOKUP(A1862,'[11]Linea Automotriz'!$A$1:$D$533,4,FALSE)</f>
        <v>19.59</v>
      </c>
      <c r="D1862" s="23">
        <f>VLOOKUP(A1862,'[11]Linea Automotriz'!$A$1:$E$533,5,FALSE)</f>
        <v>22.14</v>
      </c>
      <c r="E1862" s="23">
        <f>VLOOKUP(A1862,'[11]Linea Automotriz'!$A$1:$F$533,6,FALSE)</f>
        <v>30.62</v>
      </c>
      <c r="F1862" s="23">
        <f>VLOOKUP(A1862,'[11]Linea Automotriz'!$A$2:$G$533,7,FALSE)</f>
        <v>34.6</v>
      </c>
    </row>
    <row r="1863" spans="1:6" x14ac:dyDescent="0.3">
      <c r="A1863" s="72" t="s">
        <v>2095</v>
      </c>
      <c r="B1863" s="73" t="s">
        <v>3898</v>
      </c>
      <c r="C1863" s="23">
        <f>VLOOKUP(A1863,'[11]Linea Automotriz'!$A$1:$D$533,4,FALSE)</f>
        <v>10.71</v>
      </c>
      <c r="D1863" s="23">
        <f>VLOOKUP(A1863,'[11]Linea Automotriz'!$A$1:$E$533,5,FALSE)</f>
        <v>12.1</v>
      </c>
      <c r="E1863" s="23">
        <f>VLOOKUP(A1863,'[11]Linea Automotriz'!$A$1:$F$533,6,FALSE)</f>
        <v>16.73</v>
      </c>
      <c r="F1863" s="23">
        <f>VLOOKUP(A1863,'[11]Linea Automotriz'!$A$2:$G$533,7,FALSE)</f>
        <v>18.899999999999999</v>
      </c>
    </row>
    <row r="1864" spans="1:6" x14ac:dyDescent="0.3">
      <c r="A1864" s="72" t="s">
        <v>2096</v>
      </c>
      <c r="B1864" s="73" t="s">
        <v>3898</v>
      </c>
      <c r="C1864" s="23">
        <f>VLOOKUP(A1864,'[11]Linea Automotriz'!$A$1:$D$533,4,FALSE)</f>
        <v>5.38</v>
      </c>
      <c r="D1864" s="23">
        <f>VLOOKUP(A1864,'[11]Linea Automotriz'!$A$1:$E$533,5,FALSE)</f>
        <v>6.08</v>
      </c>
      <c r="E1864" s="23">
        <f>VLOOKUP(A1864,'[11]Linea Automotriz'!$A$1:$F$533,6,FALSE)</f>
        <v>8.41</v>
      </c>
      <c r="F1864" s="23">
        <f>VLOOKUP(A1864,'[11]Linea Automotriz'!$A$2:$G$533,7,FALSE)</f>
        <v>9.5</v>
      </c>
    </row>
    <row r="1865" spans="1:6" x14ac:dyDescent="0.3">
      <c r="A1865" s="72" t="s">
        <v>2097</v>
      </c>
      <c r="B1865" s="73" t="s">
        <v>3899</v>
      </c>
      <c r="C1865" s="23">
        <f>VLOOKUP(A1865,'[11]Linea Automotriz'!$A$1:$D$533,4,FALSE)</f>
        <v>14.89</v>
      </c>
      <c r="D1865" s="23">
        <f>VLOOKUP(A1865,'[11]Linea Automotriz'!$A$1:$E$533,5,FALSE)</f>
        <v>16.829999999999998</v>
      </c>
      <c r="E1865" s="23">
        <f>VLOOKUP(A1865,'[11]Linea Automotriz'!$A$1:$F$533,6,FALSE)</f>
        <v>22.57</v>
      </c>
      <c r="F1865" s="23">
        <f>VLOOKUP(A1865,'[11]Linea Automotriz'!$A$2:$G$533,7,FALSE)</f>
        <v>25.5</v>
      </c>
    </row>
    <row r="1866" spans="1:6" x14ac:dyDescent="0.3">
      <c r="A1866" s="72" t="s">
        <v>2098</v>
      </c>
      <c r="B1866" s="73" t="s">
        <v>3900</v>
      </c>
      <c r="C1866" s="23">
        <f>VLOOKUP(A1866,'[11]Linea Automotriz'!$A$1:$D$533,4,FALSE)</f>
        <v>11.71</v>
      </c>
      <c r="D1866" s="23">
        <f>VLOOKUP(A1866,'[11]Linea Automotriz'!$A$1:$E$533,5,FALSE)</f>
        <v>13.23</v>
      </c>
      <c r="E1866" s="23">
        <f>VLOOKUP(A1866,'[11]Linea Automotriz'!$A$1:$F$533,6,FALSE)</f>
        <v>16.73</v>
      </c>
      <c r="F1866" s="23">
        <f>VLOOKUP(A1866,'[11]Linea Automotriz'!$A$2:$G$533,7,FALSE)</f>
        <v>18.899999999999999</v>
      </c>
    </row>
    <row r="1867" spans="1:6" x14ac:dyDescent="0.3">
      <c r="A1867" s="72" t="s">
        <v>2099</v>
      </c>
      <c r="B1867" s="73" t="s">
        <v>3901</v>
      </c>
      <c r="C1867" s="23">
        <f>VLOOKUP(A1867,'[11]Linea Automotriz'!$A$1:$D$533,4,FALSE)</f>
        <v>22.04</v>
      </c>
      <c r="D1867" s="23">
        <f>VLOOKUP(A1867,'[11]Linea Automotriz'!$A$1:$E$533,5,FALSE)</f>
        <v>24.9</v>
      </c>
      <c r="E1867" s="23">
        <f>VLOOKUP(A1867,'[11]Linea Automotriz'!$A$1:$F$533,6,FALSE)</f>
        <v>34.42</v>
      </c>
      <c r="F1867" s="23">
        <f>VLOOKUP(A1867,'[11]Linea Automotriz'!$A$2:$G$533,7,FALSE)</f>
        <v>38.9</v>
      </c>
    </row>
    <row r="1868" spans="1:6" x14ac:dyDescent="0.3">
      <c r="A1868" s="72" t="s">
        <v>2100</v>
      </c>
      <c r="B1868" s="73" t="s">
        <v>3901</v>
      </c>
      <c r="C1868" s="23">
        <f>VLOOKUP(A1868,'[11]Linea Automotriz'!$A$1:$D$533,4,FALSE)</f>
        <v>11.97</v>
      </c>
      <c r="D1868" s="23">
        <f>VLOOKUP(A1868,'[11]Linea Automotriz'!$A$1:$E$533,5,FALSE)</f>
        <v>13.53</v>
      </c>
      <c r="E1868" s="23">
        <f>VLOOKUP(A1868,'[11]Linea Automotriz'!$A$1:$F$533,6,FALSE)</f>
        <v>18.14</v>
      </c>
      <c r="F1868" s="23">
        <f>VLOOKUP(A1868,'[11]Linea Automotriz'!$A$2:$G$533,7,FALSE)</f>
        <v>20.5</v>
      </c>
    </row>
    <row r="1869" spans="1:6" x14ac:dyDescent="0.3">
      <c r="A1869" s="72" t="s">
        <v>2101</v>
      </c>
      <c r="B1869" s="73" t="s">
        <v>3901</v>
      </c>
      <c r="C1869" s="23">
        <f>VLOOKUP(A1869,'[11]Linea Automotriz'!$A$1:$D$533,4,FALSE)</f>
        <v>7.3</v>
      </c>
      <c r="D1869" s="23">
        <f>VLOOKUP(A1869,'[11]Linea Automotriz'!$A$1:$E$533,5,FALSE)</f>
        <v>8.25</v>
      </c>
      <c r="E1869" s="23">
        <f>VLOOKUP(A1869,'[11]Linea Automotriz'!$A$1:$F$533,6,FALSE)</f>
        <v>11.06</v>
      </c>
      <c r="F1869" s="23">
        <f>VLOOKUP(A1869,'[11]Linea Automotriz'!$A$2:$G$533,7,FALSE)</f>
        <v>12.5</v>
      </c>
    </row>
    <row r="1870" spans="1:6" x14ac:dyDescent="0.3">
      <c r="A1870" s="72" t="s">
        <v>2102</v>
      </c>
      <c r="B1870" s="73" t="s">
        <v>2103</v>
      </c>
      <c r="C1870" s="23">
        <f>VLOOKUP(A1870,'[11]Linea Automotriz'!$A$1:$D$533,4,FALSE)</f>
        <v>10.45</v>
      </c>
      <c r="D1870" s="23">
        <f>VLOOKUP(A1870,'[11]Linea Automotriz'!$A$1:$E$533,5,FALSE)</f>
        <v>11.81</v>
      </c>
      <c r="E1870" s="23">
        <f>VLOOKUP(A1870,'[11]Linea Automotriz'!$A$1:$F$533,6,FALSE)</f>
        <v>15.84</v>
      </c>
      <c r="F1870" s="23">
        <f>VLOOKUP(A1870,'[11]Linea Automotriz'!$A$2:$G$533,7,FALSE)</f>
        <v>17.899999999999999</v>
      </c>
    </row>
    <row r="1871" spans="1:6" x14ac:dyDescent="0.3">
      <c r="A1871" s="72" t="s">
        <v>2104</v>
      </c>
      <c r="B1871" s="73" t="s">
        <v>2105</v>
      </c>
      <c r="C1871" s="23">
        <f>VLOOKUP(A1871,'[11]Linea Automotriz'!$A$1:$D$533,4,FALSE)</f>
        <v>29.67</v>
      </c>
      <c r="D1871" s="23">
        <f>VLOOKUP(A1871,'[11]Linea Automotriz'!$A$1:$E$533,5,FALSE)</f>
        <v>33.53</v>
      </c>
      <c r="E1871" s="23">
        <f>VLOOKUP(A1871,'[11]Linea Automotriz'!$A$1:$F$533,6,FALSE)</f>
        <v>42.39</v>
      </c>
      <c r="F1871" s="23">
        <f>VLOOKUP(A1871,'[11]Linea Automotriz'!$A$2:$G$533,7,FALSE)</f>
        <v>47.9</v>
      </c>
    </row>
    <row r="1872" spans="1:6" x14ac:dyDescent="0.3">
      <c r="A1872" s="72" t="s">
        <v>2106</v>
      </c>
      <c r="B1872" s="73" t="s">
        <v>2105</v>
      </c>
      <c r="C1872" s="23">
        <f>VLOOKUP(A1872,'[11]Linea Automotriz'!$A$1:$D$533,4,FALSE)</f>
        <v>8.36</v>
      </c>
      <c r="D1872" s="23">
        <f>VLOOKUP(A1872,'[11]Linea Automotriz'!$A$1:$E$533,5,FALSE)</f>
        <v>9.4499999999999993</v>
      </c>
      <c r="E1872" s="23">
        <f>VLOOKUP(A1872,'[11]Linea Automotriz'!$A$1:$F$533,6,FALSE)</f>
        <v>11.95</v>
      </c>
      <c r="F1872" s="23">
        <f>VLOOKUP(A1872,'[11]Linea Automotriz'!$A$2:$G$533,7,FALSE)</f>
        <v>13.5</v>
      </c>
    </row>
    <row r="1873" spans="1:6" x14ac:dyDescent="0.3">
      <c r="A1873" s="72" t="s">
        <v>2107</v>
      </c>
      <c r="B1873" s="73" t="s">
        <v>3902</v>
      </c>
      <c r="C1873" s="23">
        <f>VLOOKUP(A1873,'[11]Linea Automotriz'!$A$1:$D$533,4,FALSE)</f>
        <v>29.67</v>
      </c>
      <c r="D1873" s="23">
        <f>VLOOKUP(A1873,'[11]Linea Automotriz'!$A$1:$E$533,5,FALSE)</f>
        <v>33.53</v>
      </c>
      <c r="E1873" s="23">
        <f>VLOOKUP(A1873,'[11]Linea Automotriz'!$A$1:$F$533,6,FALSE)</f>
        <v>42.39</v>
      </c>
      <c r="F1873" s="23">
        <f>VLOOKUP(A1873,'[11]Linea Automotriz'!$A$2:$G$533,7,FALSE)</f>
        <v>47.9</v>
      </c>
    </row>
    <row r="1874" spans="1:6" x14ac:dyDescent="0.3">
      <c r="A1874" s="72" t="s">
        <v>2108</v>
      </c>
      <c r="B1874" s="73" t="s">
        <v>3902</v>
      </c>
      <c r="C1874" s="23">
        <f>VLOOKUP(A1874,'[11]Linea Automotriz'!$A$1:$D$533,4,FALSE)</f>
        <v>8.36</v>
      </c>
      <c r="D1874" s="23">
        <f>VLOOKUP(A1874,'[11]Linea Automotriz'!$A$1:$E$533,5,FALSE)</f>
        <v>9.4499999999999993</v>
      </c>
      <c r="E1874" s="23">
        <f>VLOOKUP(A1874,'[11]Linea Automotriz'!$A$1:$F$533,6,FALSE)</f>
        <v>11.95</v>
      </c>
      <c r="F1874" s="23">
        <f>VLOOKUP(A1874,'[11]Linea Automotriz'!$A$2:$G$533,7,FALSE)</f>
        <v>13.5</v>
      </c>
    </row>
    <row r="1875" spans="1:6" x14ac:dyDescent="0.3">
      <c r="A1875" s="72" t="s">
        <v>2109</v>
      </c>
      <c r="B1875" s="73" t="s">
        <v>2110</v>
      </c>
      <c r="C1875" s="23">
        <f>VLOOKUP(A1875,'[11]Linea Automotriz'!$A$1:$D$533,4,FALSE)</f>
        <v>35</v>
      </c>
      <c r="D1875" s="23">
        <f>VLOOKUP(A1875,'[11]Linea Automotriz'!$A$1:$E$533,5,FALSE)</f>
        <v>39.549999999999997</v>
      </c>
      <c r="E1875" s="23">
        <f>VLOOKUP(A1875,'[11]Linea Automotriz'!$A$1:$F$533,6,FALSE)</f>
        <v>50</v>
      </c>
      <c r="F1875" s="23">
        <f>VLOOKUP(A1875,'[11]Linea Automotriz'!$A$2:$G$533,7,FALSE)</f>
        <v>56.5</v>
      </c>
    </row>
    <row r="1876" spans="1:6" x14ac:dyDescent="0.3">
      <c r="A1876" s="72" t="s">
        <v>2111</v>
      </c>
      <c r="B1876" s="73" t="s">
        <v>2110</v>
      </c>
      <c r="C1876" s="23">
        <f>VLOOKUP(A1876,'[11]Linea Automotriz'!$A$1:$D$533,4,FALSE)</f>
        <v>10.47</v>
      </c>
      <c r="D1876" s="23">
        <f>VLOOKUP(A1876,'[11]Linea Automotriz'!$A$1:$E$533,5,FALSE)</f>
        <v>11.83</v>
      </c>
      <c r="E1876" s="23">
        <f>VLOOKUP(A1876,'[11]Linea Automotriz'!$A$1:$F$533,6,FALSE)</f>
        <v>14.96</v>
      </c>
      <c r="F1876" s="23">
        <f>VLOOKUP(A1876,'[11]Linea Automotriz'!$A$2:$G$533,7,FALSE)</f>
        <v>16.899999999999999</v>
      </c>
    </row>
    <row r="1877" spans="1:6" x14ac:dyDescent="0.3">
      <c r="A1877" s="72" t="s">
        <v>2112</v>
      </c>
      <c r="B1877" s="73" t="s">
        <v>3903</v>
      </c>
      <c r="C1877" s="23">
        <f>VLOOKUP(A1877,'[11]Linea Automotriz'!$A$1:$D$533,4,FALSE)</f>
        <v>35</v>
      </c>
      <c r="D1877" s="23">
        <f>VLOOKUP(A1877,'[11]Linea Automotriz'!$A$1:$E$533,5,FALSE)</f>
        <v>39.549999999999997</v>
      </c>
      <c r="E1877" s="23">
        <f>VLOOKUP(A1877,'[11]Linea Automotriz'!$A$1:$F$533,6,FALSE)</f>
        <v>50</v>
      </c>
      <c r="F1877" s="23">
        <f>VLOOKUP(A1877,'[11]Linea Automotriz'!$A$2:$G$533,7,FALSE)</f>
        <v>56.5</v>
      </c>
    </row>
    <row r="1878" spans="1:6" x14ac:dyDescent="0.3">
      <c r="A1878" s="72" t="s">
        <v>2113</v>
      </c>
      <c r="B1878" s="73" t="s">
        <v>3903</v>
      </c>
      <c r="C1878" s="23">
        <f>VLOOKUP(A1878,'[11]Linea Automotriz'!$A$1:$D$533,4,FALSE)</f>
        <v>10.47</v>
      </c>
      <c r="D1878" s="23">
        <f>VLOOKUP(A1878,'[11]Linea Automotriz'!$A$1:$E$533,5,FALSE)</f>
        <v>11.83</v>
      </c>
      <c r="E1878" s="23">
        <f>VLOOKUP(A1878,'[11]Linea Automotriz'!$A$1:$F$533,6,FALSE)</f>
        <v>14.96</v>
      </c>
      <c r="F1878" s="23">
        <f>VLOOKUP(A1878,'[11]Linea Automotriz'!$A$2:$G$533,7,FALSE)</f>
        <v>16.899999999999999</v>
      </c>
    </row>
    <row r="1879" spans="1:6" x14ac:dyDescent="0.3">
      <c r="A1879" s="72" t="s">
        <v>2114</v>
      </c>
      <c r="B1879" s="73" t="s">
        <v>2115</v>
      </c>
      <c r="C1879" s="23">
        <f>VLOOKUP(A1879,'[11]Linea Automotriz'!$A$1:$D$533,4,FALSE)</f>
        <v>35</v>
      </c>
      <c r="D1879" s="23">
        <f>VLOOKUP(A1879,'[11]Linea Automotriz'!$A$1:$E$533,5,FALSE)</f>
        <v>39.549999999999997</v>
      </c>
      <c r="E1879" s="23">
        <f>VLOOKUP(A1879,'[11]Linea Automotriz'!$A$1:$F$533,6,FALSE)</f>
        <v>50</v>
      </c>
      <c r="F1879" s="23">
        <f>VLOOKUP(A1879,'[11]Linea Automotriz'!$A$2:$G$533,7,FALSE)</f>
        <v>56.5</v>
      </c>
    </row>
    <row r="1880" spans="1:6" x14ac:dyDescent="0.3">
      <c r="A1880" s="72" t="s">
        <v>2116</v>
      </c>
      <c r="B1880" s="73" t="s">
        <v>2115</v>
      </c>
      <c r="C1880" s="23">
        <f>VLOOKUP(A1880,'[11]Linea Automotriz'!$A$1:$D$533,4,FALSE)</f>
        <v>10.47</v>
      </c>
      <c r="D1880" s="23">
        <f>VLOOKUP(A1880,'[11]Linea Automotriz'!$A$1:$E$533,5,FALSE)</f>
        <v>11.83</v>
      </c>
      <c r="E1880" s="23">
        <f>VLOOKUP(A1880,'[11]Linea Automotriz'!$A$1:$F$533,6,FALSE)</f>
        <v>14.96</v>
      </c>
      <c r="F1880" s="23">
        <f>VLOOKUP(A1880,'[11]Linea Automotriz'!$A$2:$G$533,7,FALSE)</f>
        <v>16.899999999999999</v>
      </c>
    </row>
    <row r="1881" spans="1:6" x14ac:dyDescent="0.3">
      <c r="A1881" s="72" t="s">
        <v>2117</v>
      </c>
      <c r="B1881" s="73" t="s">
        <v>3904</v>
      </c>
      <c r="C1881" s="23">
        <f>VLOOKUP(A1881,'[11]Linea Automotriz'!$A$1:$D$533,4,FALSE)</f>
        <v>35</v>
      </c>
      <c r="D1881" s="23">
        <f>VLOOKUP(A1881,'[11]Linea Automotriz'!$A$1:$E$533,5,FALSE)</f>
        <v>39.549999999999997</v>
      </c>
      <c r="E1881" s="23">
        <f>VLOOKUP(A1881,'[11]Linea Automotriz'!$A$1:$F$533,6,FALSE)</f>
        <v>50</v>
      </c>
      <c r="F1881" s="23">
        <f>VLOOKUP(A1881,'[11]Linea Automotriz'!$A$2:$G$533,7,FALSE)</f>
        <v>56.5</v>
      </c>
    </row>
    <row r="1882" spans="1:6" x14ac:dyDescent="0.3">
      <c r="A1882" s="72" t="s">
        <v>2118</v>
      </c>
      <c r="B1882" s="73" t="s">
        <v>2119</v>
      </c>
      <c r="C1882" s="23">
        <f>VLOOKUP(A1882,'[11]Linea Automotriz'!$A$1:$D$533,4,FALSE)</f>
        <v>11.84</v>
      </c>
      <c r="D1882" s="23">
        <f>VLOOKUP(A1882,'[11]Linea Automotriz'!$A$1:$E$533,5,FALSE)</f>
        <v>13.38</v>
      </c>
      <c r="E1882" s="23">
        <f>VLOOKUP(A1882,'[11]Linea Automotriz'!$A$1:$F$533,6,FALSE)</f>
        <v>19.73</v>
      </c>
      <c r="F1882" s="23">
        <f>VLOOKUP(A1882,'[11]Linea Automotriz'!$A$2:$G$533,7,FALSE)</f>
        <v>22.3</v>
      </c>
    </row>
    <row r="1883" spans="1:6" x14ac:dyDescent="0.3">
      <c r="A1883" s="72" t="s">
        <v>2120</v>
      </c>
      <c r="B1883" s="73" t="s">
        <v>3905</v>
      </c>
      <c r="C1883" s="23">
        <f>VLOOKUP(A1883,'[11]Linea Automotriz'!$A$1:$D$533,4,FALSE)</f>
        <v>11.84</v>
      </c>
      <c r="D1883" s="23">
        <f>VLOOKUP(A1883,'[11]Linea Automotriz'!$A$1:$E$533,5,FALSE)</f>
        <v>13.38</v>
      </c>
      <c r="E1883" s="23">
        <f>VLOOKUP(A1883,'[11]Linea Automotriz'!$A$1:$F$533,6,FALSE)</f>
        <v>19.73</v>
      </c>
      <c r="F1883" s="23">
        <f>VLOOKUP(A1883,'[11]Linea Automotriz'!$A$2:$G$533,7,FALSE)</f>
        <v>22.3</v>
      </c>
    </row>
    <row r="1884" spans="1:6" x14ac:dyDescent="0.3">
      <c r="A1884" s="72" t="s">
        <v>2121</v>
      </c>
      <c r="B1884" s="73" t="s">
        <v>2122</v>
      </c>
      <c r="C1884" s="23">
        <f>VLOOKUP(A1884,'[11]Linea Automotriz'!$A$1:$D$533,4,FALSE)</f>
        <v>47.26</v>
      </c>
      <c r="D1884" s="23">
        <f>VLOOKUP(A1884,'[11]Linea Automotriz'!$A$1:$E$533,5,FALSE)</f>
        <v>53.4</v>
      </c>
      <c r="E1884" s="23">
        <f>VLOOKUP(A1884,'[11]Linea Automotriz'!$A$1:$F$533,6,FALSE)</f>
        <v>78.760000000000005</v>
      </c>
      <c r="F1884" s="23">
        <f>VLOOKUP(A1884,'[11]Linea Automotriz'!$A$2:$G$533,7,FALSE)</f>
        <v>89</v>
      </c>
    </row>
    <row r="1885" spans="1:6" x14ac:dyDescent="0.3">
      <c r="A1885" s="72" t="s">
        <v>2123</v>
      </c>
      <c r="B1885" s="73" t="s">
        <v>3906</v>
      </c>
      <c r="C1885" s="23">
        <f>VLOOKUP(A1885,'[11]Linea Automotriz'!$A$1:$D$533,4,FALSE)</f>
        <v>11.84</v>
      </c>
      <c r="D1885" s="23">
        <f>VLOOKUP(A1885,'[11]Linea Automotriz'!$A$1:$E$533,5,FALSE)</f>
        <v>13.38</v>
      </c>
      <c r="E1885" s="23">
        <f>VLOOKUP(A1885,'[11]Linea Automotriz'!$A$1:$F$533,6,FALSE)</f>
        <v>19.73</v>
      </c>
      <c r="F1885" s="23">
        <f>VLOOKUP(A1885,'[11]Linea Automotriz'!$A$2:$G$533,7,FALSE)</f>
        <v>22.3</v>
      </c>
    </row>
    <row r="1886" spans="1:6" x14ac:dyDescent="0.3">
      <c r="A1886" s="72" t="s">
        <v>2124</v>
      </c>
      <c r="B1886" s="73" t="s">
        <v>3907</v>
      </c>
      <c r="C1886" s="23">
        <f>VLOOKUP(A1886,'[11]Linea Automotriz'!$A$1:$D$533,4,FALSE)</f>
        <v>47.26</v>
      </c>
      <c r="D1886" s="23">
        <f>VLOOKUP(A1886,'[11]Linea Automotriz'!$A$1:$E$533,5,FALSE)</f>
        <v>53.4</v>
      </c>
      <c r="E1886" s="23">
        <f>VLOOKUP(A1886,'[11]Linea Automotriz'!$A$1:$F$533,6,FALSE)</f>
        <v>78.760000000000005</v>
      </c>
      <c r="F1886" s="23">
        <f>VLOOKUP(A1886,'[11]Linea Automotriz'!$A$2:$G$533,7,FALSE)</f>
        <v>89</v>
      </c>
    </row>
    <row r="1887" spans="1:6" x14ac:dyDescent="0.3">
      <c r="A1887" s="72" t="s">
        <v>2125</v>
      </c>
      <c r="B1887" s="73" t="s">
        <v>2126</v>
      </c>
      <c r="C1887" s="23">
        <f>VLOOKUP(A1887,'[11]Linea Automotriz'!$A$1:$D$533,4,FALSE)</f>
        <v>47.26</v>
      </c>
      <c r="D1887" s="23">
        <f>VLOOKUP(A1887,'[11]Linea Automotriz'!$A$1:$E$533,5,FALSE)</f>
        <v>53.4</v>
      </c>
      <c r="E1887" s="23">
        <f>VLOOKUP(A1887,'[11]Linea Automotriz'!$A$1:$F$533,6,FALSE)</f>
        <v>78.760000000000005</v>
      </c>
      <c r="F1887" s="23">
        <f>VLOOKUP(A1887,'[11]Linea Automotriz'!$A$2:$G$533,7,FALSE)</f>
        <v>89</v>
      </c>
    </row>
    <row r="1888" spans="1:6" x14ac:dyDescent="0.3">
      <c r="A1888" s="72" t="s">
        <v>2127</v>
      </c>
      <c r="B1888" s="73" t="s">
        <v>2128</v>
      </c>
      <c r="C1888" s="23">
        <f>VLOOKUP(A1888,'[11]Linea Automotriz'!$A$1:$D$533,4,FALSE)</f>
        <v>47.26</v>
      </c>
      <c r="D1888" s="23">
        <f>VLOOKUP(A1888,'[11]Linea Automotriz'!$A$1:$E$533,5,FALSE)</f>
        <v>53.4</v>
      </c>
      <c r="E1888" s="23">
        <f>VLOOKUP(A1888,'[11]Linea Automotriz'!$A$1:$F$533,6,FALSE)</f>
        <v>78.760000000000005</v>
      </c>
      <c r="F1888" s="23">
        <f>VLOOKUP(A1888,'[11]Linea Automotriz'!$A$2:$G$533,7,FALSE)</f>
        <v>89</v>
      </c>
    </row>
    <row r="1889" spans="1:6" x14ac:dyDescent="0.3">
      <c r="A1889" s="72" t="s">
        <v>2129</v>
      </c>
      <c r="B1889" s="73" t="s">
        <v>3908</v>
      </c>
      <c r="C1889" s="23">
        <f>VLOOKUP(A1889,'[11]Linea Automotriz'!$A$1:$D$533,4,FALSE)</f>
        <v>16.73</v>
      </c>
      <c r="D1889" s="23">
        <f>VLOOKUP(A1889,'[11]Linea Automotriz'!$A$1:$E$533,5,FALSE)</f>
        <v>18.899999999999999</v>
      </c>
      <c r="E1889" s="23">
        <f>VLOOKUP(A1889,'[11]Linea Automotriz'!$A$1:$F$533,6,FALSE)</f>
        <v>27.88</v>
      </c>
      <c r="F1889" s="23">
        <f>VLOOKUP(A1889,'[11]Linea Automotriz'!$A$2:$G$533,7,FALSE)</f>
        <v>31.5</v>
      </c>
    </row>
    <row r="1890" spans="1:6" x14ac:dyDescent="0.3">
      <c r="A1890" s="72" t="s">
        <v>2130</v>
      </c>
      <c r="B1890" s="73" t="s">
        <v>3909</v>
      </c>
      <c r="C1890" s="23">
        <f>VLOOKUP(A1890,'[11]Linea Automotriz'!$A$1:$D$533,4,FALSE)</f>
        <v>16.73</v>
      </c>
      <c r="D1890" s="23">
        <f>VLOOKUP(A1890,'[11]Linea Automotriz'!$A$1:$E$533,5,FALSE)</f>
        <v>18.899999999999999</v>
      </c>
      <c r="E1890" s="23">
        <f>VLOOKUP(A1890,'[11]Linea Automotriz'!$A$1:$F$533,6,FALSE)</f>
        <v>27.88</v>
      </c>
      <c r="F1890" s="23">
        <f>VLOOKUP(A1890,'[11]Linea Automotriz'!$A$2:$G$533,7,FALSE)</f>
        <v>31.5</v>
      </c>
    </row>
    <row r="1891" spans="1:6" x14ac:dyDescent="0.3">
      <c r="A1891" s="72" t="s">
        <v>2131</v>
      </c>
      <c r="B1891" s="73" t="s">
        <v>2132</v>
      </c>
      <c r="C1891" s="23">
        <f>VLOOKUP(A1891,'[11]Linea Automotriz'!$A$1:$D$533,4,FALSE)</f>
        <v>16.73</v>
      </c>
      <c r="D1891" s="23">
        <f>VLOOKUP(A1891,'[11]Linea Automotriz'!$A$1:$E$533,5,FALSE)</f>
        <v>18.899999999999999</v>
      </c>
      <c r="E1891" s="23">
        <f>VLOOKUP(A1891,'[11]Linea Automotriz'!$A$1:$F$533,6,FALSE)</f>
        <v>27.88</v>
      </c>
      <c r="F1891" s="23">
        <f>VLOOKUP(A1891,'[11]Linea Automotriz'!$A$2:$G$533,7,FALSE)</f>
        <v>31.5</v>
      </c>
    </row>
    <row r="1892" spans="1:6" x14ac:dyDescent="0.3">
      <c r="A1892" s="72" t="s">
        <v>2133</v>
      </c>
      <c r="B1892" s="73" t="s">
        <v>2134</v>
      </c>
      <c r="C1892" s="23">
        <f>VLOOKUP(A1892,'[11]Linea Automotriz'!$A$1:$D$533,4,FALSE)</f>
        <v>16.73</v>
      </c>
      <c r="D1892" s="23">
        <f>VLOOKUP(A1892,'[11]Linea Automotriz'!$A$1:$E$533,5,FALSE)</f>
        <v>18.899999999999999</v>
      </c>
      <c r="E1892" s="23">
        <f>VLOOKUP(A1892,'[11]Linea Automotriz'!$A$1:$F$533,6,FALSE)</f>
        <v>27.88</v>
      </c>
      <c r="F1892" s="23">
        <f>VLOOKUP(A1892,'[11]Linea Automotriz'!$A$2:$G$533,7,FALSE)</f>
        <v>31.5</v>
      </c>
    </row>
    <row r="1893" spans="1:6" x14ac:dyDescent="0.3">
      <c r="A1893" s="72" t="s">
        <v>2136</v>
      </c>
      <c r="B1893" s="73" t="s">
        <v>2137</v>
      </c>
      <c r="C1893" s="23">
        <f>VLOOKUP(A1893,'[11]Linea Automotriz'!$A$1:$D$533,4,FALSE)</f>
        <v>16.73</v>
      </c>
      <c r="D1893" s="23">
        <f>VLOOKUP(A1893,'[11]Linea Automotriz'!$A$1:$E$533,5,FALSE)</f>
        <v>18.899999999999999</v>
      </c>
      <c r="E1893" s="23">
        <f>VLOOKUP(A1893,'[11]Linea Automotriz'!$A$1:$F$533,6,FALSE)</f>
        <v>27.88</v>
      </c>
      <c r="F1893" s="23">
        <f>VLOOKUP(A1893,'[11]Linea Automotriz'!$A$2:$G$533,7,FALSE)</f>
        <v>31.5</v>
      </c>
    </row>
    <row r="1894" spans="1:6" x14ac:dyDescent="0.3">
      <c r="A1894" s="72" t="s">
        <v>2139</v>
      </c>
      <c r="B1894" s="73" t="s">
        <v>2140</v>
      </c>
      <c r="C1894" s="23">
        <f>VLOOKUP(A1894,'[11]Linea Automotriz'!$A$1:$D$533,4,FALSE)</f>
        <v>16.73</v>
      </c>
      <c r="D1894" s="23">
        <f>VLOOKUP(A1894,'[11]Linea Automotriz'!$A$1:$E$533,5,FALSE)</f>
        <v>18.899999999999999</v>
      </c>
      <c r="E1894" s="23">
        <f>VLOOKUP(A1894,'[11]Linea Automotriz'!$A$1:$F$533,6,FALSE)</f>
        <v>27.88</v>
      </c>
      <c r="F1894" s="23">
        <f>VLOOKUP(A1894,'[11]Linea Automotriz'!$A$2:$G$533,7,FALSE)</f>
        <v>31.5</v>
      </c>
    </row>
    <row r="1895" spans="1:6" x14ac:dyDescent="0.3">
      <c r="A1895" s="72" t="s">
        <v>2141</v>
      </c>
      <c r="B1895" s="73" t="s">
        <v>3910</v>
      </c>
      <c r="C1895" s="23">
        <f>VLOOKUP(A1895,'[11]Linea Automotriz'!$A$1:$D$533,4,FALSE)</f>
        <v>16.73</v>
      </c>
      <c r="D1895" s="23">
        <f>VLOOKUP(A1895,'[11]Linea Automotriz'!$A$1:$E$533,5,FALSE)</f>
        <v>18.899999999999999</v>
      </c>
      <c r="E1895" s="23">
        <f>VLOOKUP(A1895,'[11]Linea Automotriz'!$A$1:$F$533,6,FALSE)</f>
        <v>27.88</v>
      </c>
      <c r="F1895" s="23">
        <f>VLOOKUP(A1895,'[11]Linea Automotriz'!$A$2:$G$533,7,FALSE)</f>
        <v>31.5</v>
      </c>
    </row>
    <row r="1896" spans="1:6" x14ac:dyDescent="0.3">
      <c r="A1896" s="72" t="s">
        <v>2142</v>
      </c>
      <c r="B1896" s="73" t="s">
        <v>3911</v>
      </c>
      <c r="C1896" s="23">
        <f>VLOOKUP(A1896,'[11]Linea Automotriz'!$A$1:$D$533,4,FALSE)</f>
        <v>16.73</v>
      </c>
      <c r="D1896" s="23">
        <f>VLOOKUP(A1896,'[11]Linea Automotriz'!$A$1:$E$533,5,FALSE)</f>
        <v>18.899999999999999</v>
      </c>
      <c r="E1896" s="23">
        <f>VLOOKUP(A1896,'[11]Linea Automotriz'!$A$1:$F$533,6,FALSE)</f>
        <v>27.88</v>
      </c>
      <c r="F1896" s="23">
        <f>VLOOKUP(A1896,'[11]Linea Automotriz'!$A$2:$G$533,7,FALSE)</f>
        <v>31.5</v>
      </c>
    </row>
    <row r="1897" spans="1:6" x14ac:dyDescent="0.3">
      <c r="A1897" s="72" t="s">
        <v>2143</v>
      </c>
      <c r="B1897" s="73" t="s">
        <v>2144</v>
      </c>
      <c r="C1897" s="23">
        <f>VLOOKUP(A1897,'[11]Linea Automotriz'!$A$1:$D$533,4,FALSE)</f>
        <v>16.73</v>
      </c>
      <c r="D1897" s="23">
        <f>VLOOKUP(A1897,'[11]Linea Automotriz'!$A$1:$E$533,5,FALSE)</f>
        <v>18.899999999999999</v>
      </c>
      <c r="E1897" s="23">
        <f>VLOOKUP(A1897,'[11]Linea Automotriz'!$A$1:$F$533,6,FALSE)</f>
        <v>27.88</v>
      </c>
      <c r="F1897" s="23">
        <f>VLOOKUP(A1897,'[11]Linea Automotriz'!$A$2:$G$533,7,FALSE)</f>
        <v>31.5</v>
      </c>
    </row>
    <row r="1898" spans="1:6" x14ac:dyDescent="0.3">
      <c r="A1898" s="72" t="s">
        <v>2145</v>
      </c>
      <c r="B1898" s="73" t="s">
        <v>2146</v>
      </c>
      <c r="C1898" s="23">
        <f>VLOOKUP(A1898,'[11]Linea Automotriz'!$A$1:$D$533,4,FALSE)</f>
        <v>16.73</v>
      </c>
      <c r="D1898" s="23">
        <f>VLOOKUP(A1898,'[11]Linea Automotriz'!$A$1:$E$533,5,FALSE)</f>
        <v>18.899999999999999</v>
      </c>
      <c r="E1898" s="23">
        <f>VLOOKUP(A1898,'[11]Linea Automotriz'!$A$1:$F$533,6,FALSE)</f>
        <v>27.88</v>
      </c>
      <c r="F1898" s="23">
        <f>VLOOKUP(A1898,'[11]Linea Automotriz'!$A$2:$G$533,7,FALSE)</f>
        <v>31.5</v>
      </c>
    </row>
    <row r="1899" spans="1:6" x14ac:dyDescent="0.3">
      <c r="A1899" s="72" t="s">
        <v>2147</v>
      </c>
      <c r="B1899" s="73" t="s">
        <v>2148</v>
      </c>
      <c r="C1899" s="23">
        <f>VLOOKUP(A1899,'[11]Linea Automotriz'!$A$1:$D$533,4,FALSE)</f>
        <v>16.73</v>
      </c>
      <c r="D1899" s="23">
        <f>VLOOKUP(A1899,'[11]Linea Automotriz'!$A$1:$E$533,5,FALSE)</f>
        <v>18.899999999999999</v>
      </c>
      <c r="E1899" s="23">
        <f>VLOOKUP(A1899,'[11]Linea Automotriz'!$A$1:$F$533,6,FALSE)</f>
        <v>27.88</v>
      </c>
      <c r="F1899" s="23">
        <f>VLOOKUP(A1899,'[11]Linea Automotriz'!$A$2:$G$533,7,FALSE)</f>
        <v>31.5</v>
      </c>
    </row>
    <row r="1900" spans="1:6" x14ac:dyDescent="0.3">
      <c r="A1900" s="72" t="s">
        <v>2149</v>
      </c>
      <c r="B1900" s="73" t="s">
        <v>2150</v>
      </c>
      <c r="C1900" s="23">
        <f>VLOOKUP(A1900,'[11]Linea Automotriz'!$A$1:$D$533,4,FALSE)</f>
        <v>16.73</v>
      </c>
      <c r="D1900" s="23">
        <f>VLOOKUP(A1900,'[11]Linea Automotriz'!$A$1:$E$533,5,FALSE)</f>
        <v>18.899999999999999</v>
      </c>
      <c r="E1900" s="23">
        <f>VLOOKUP(A1900,'[11]Linea Automotriz'!$A$1:$F$533,6,FALSE)</f>
        <v>27.88</v>
      </c>
      <c r="F1900" s="23">
        <f>VLOOKUP(A1900,'[11]Linea Automotriz'!$A$2:$G$533,7,FALSE)</f>
        <v>31.5</v>
      </c>
    </row>
    <row r="1901" spans="1:6" x14ac:dyDescent="0.3">
      <c r="A1901" s="72" t="s">
        <v>2151</v>
      </c>
      <c r="B1901" s="73" t="s">
        <v>2152</v>
      </c>
      <c r="C1901" s="23">
        <f>VLOOKUP(A1901,'[11]Linea Automotriz'!$A$1:$D$533,4,FALSE)</f>
        <v>16.73</v>
      </c>
      <c r="D1901" s="23">
        <f>VLOOKUP(A1901,'[11]Linea Automotriz'!$A$1:$E$533,5,FALSE)</f>
        <v>18.899999999999999</v>
      </c>
      <c r="E1901" s="23">
        <f>VLOOKUP(A1901,'[11]Linea Automotriz'!$A$1:$F$533,6,FALSE)</f>
        <v>27.88</v>
      </c>
      <c r="F1901" s="23">
        <f>VLOOKUP(A1901,'[11]Linea Automotriz'!$A$2:$G$533,7,FALSE)</f>
        <v>31.5</v>
      </c>
    </row>
    <row r="1902" spans="1:6" x14ac:dyDescent="0.3">
      <c r="A1902" s="72" t="s">
        <v>2153</v>
      </c>
      <c r="B1902" s="73" t="s">
        <v>3912</v>
      </c>
      <c r="C1902" s="23">
        <f>VLOOKUP(A1902,'[11]Linea Automotriz'!$A$1:$D$533,4,FALSE)</f>
        <v>16.73</v>
      </c>
      <c r="D1902" s="23">
        <f>VLOOKUP(A1902,'[11]Linea Automotriz'!$A$1:$E$533,5,FALSE)</f>
        <v>18.899999999999999</v>
      </c>
      <c r="E1902" s="23">
        <f>VLOOKUP(A1902,'[11]Linea Automotriz'!$A$1:$F$533,6,FALSE)</f>
        <v>27.88</v>
      </c>
      <c r="F1902" s="23">
        <f>VLOOKUP(A1902,'[11]Linea Automotriz'!$A$2:$G$533,7,FALSE)</f>
        <v>31.5</v>
      </c>
    </row>
    <row r="1903" spans="1:6" x14ac:dyDescent="0.3">
      <c r="A1903" s="72" t="s">
        <v>2154</v>
      </c>
      <c r="B1903" s="73" t="s">
        <v>2155</v>
      </c>
      <c r="C1903" s="23">
        <f>VLOOKUP(A1903,'[11]Linea Automotriz'!$A$1:$D$533,4,FALSE)</f>
        <v>16.73</v>
      </c>
      <c r="D1903" s="23">
        <f>VLOOKUP(A1903,'[11]Linea Automotriz'!$A$1:$E$533,5,FALSE)</f>
        <v>18.899999999999999</v>
      </c>
      <c r="E1903" s="23">
        <f>VLOOKUP(A1903,'[11]Linea Automotriz'!$A$1:$F$533,6,FALSE)</f>
        <v>27.88</v>
      </c>
      <c r="F1903" s="23">
        <f>VLOOKUP(A1903,'[11]Linea Automotriz'!$A$2:$G$533,7,FALSE)</f>
        <v>31.5</v>
      </c>
    </row>
    <row r="1904" spans="1:6" x14ac:dyDescent="0.3">
      <c r="A1904" s="72" t="s">
        <v>2156</v>
      </c>
      <c r="B1904" s="73" t="s">
        <v>2157</v>
      </c>
      <c r="C1904" s="23">
        <f>VLOOKUP(A1904,'[11]Linea Automotriz'!$A$1:$D$533,4,FALSE)</f>
        <v>16.73</v>
      </c>
      <c r="D1904" s="23">
        <f>VLOOKUP(A1904,'[11]Linea Automotriz'!$A$1:$E$533,5,FALSE)</f>
        <v>18.899999999999999</v>
      </c>
      <c r="E1904" s="23">
        <f>VLOOKUP(A1904,'[11]Linea Automotriz'!$A$1:$F$533,6,FALSE)</f>
        <v>27.88</v>
      </c>
      <c r="F1904" s="23">
        <f>VLOOKUP(A1904,'[11]Linea Automotriz'!$A$2:$G$533,7,FALSE)</f>
        <v>31.5</v>
      </c>
    </row>
    <row r="1905" spans="1:6" x14ac:dyDescent="0.3">
      <c r="A1905" s="72" t="s">
        <v>2158</v>
      </c>
      <c r="B1905" s="73" t="s">
        <v>2159</v>
      </c>
      <c r="C1905" s="23">
        <f>VLOOKUP(A1905,'[11]Linea Automotriz'!$A$1:$D$533,4,FALSE)</f>
        <v>16.73</v>
      </c>
      <c r="D1905" s="23">
        <f>VLOOKUP(A1905,'[11]Linea Automotriz'!$A$1:$E$533,5,FALSE)</f>
        <v>18.899999999999999</v>
      </c>
      <c r="E1905" s="23">
        <f>VLOOKUP(A1905,'[11]Linea Automotriz'!$A$1:$F$533,6,FALSE)</f>
        <v>27.88</v>
      </c>
      <c r="F1905" s="23">
        <f>VLOOKUP(A1905,'[11]Linea Automotriz'!$A$2:$G$533,7,FALSE)</f>
        <v>31.5</v>
      </c>
    </row>
    <row r="1906" spans="1:6" x14ac:dyDescent="0.3">
      <c r="A1906" s="72" t="s">
        <v>2160</v>
      </c>
      <c r="B1906" s="73" t="s">
        <v>3913</v>
      </c>
      <c r="C1906" s="23">
        <f>VLOOKUP(A1906,'[11]Linea Automotriz'!$A$1:$D$533,4,FALSE)</f>
        <v>16.73</v>
      </c>
      <c r="D1906" s="23">
        <f>VLOOKUP(A1906,'[11]Linea Automotriz'!$A$1:$E$533,5,FALSE)</f>
        <v>18.899999999999999</v>
      </c>
      <c r="E1906" s="23">
        <f>VLOOKUP(A1906,'[11]Linea Automotriz'!$A$1:$F$533,6,FALSE)</f>
        <v>27.88</v>
      </c>
      <c r="F1906" s="23">
        <f>VLOOKUP(A1906,'[11]Linea Automotriz'!$A$2:$G$533,7,FALSE)</f>
        <v>31.5</v>
      </c>
    </row>
    <row r="1907" spans="1:6" x14ac:dyDescent="0.3">
      <c r="A1907" s="72" t="s">
        <v>2161</v>
      </c>
      <c r="B1907" s="73" t="s">
        <v>2162</v>
      </c>
      <c r="C1907" s="23">
        <f>VLOOKUP(A1907,'[11]Linea Automotriz'!$A$1:$D$533,4,FALSE)</f>
        <v>16.73</v>
      </c>
      <c r="D1907" s="23">
        <f>VLOOKUP(A1907,'[11]Linea Automotriz'!$A$1:$E$533,5,FALSE)</f>
        <v>18.899999999999999</v>
      </c>
      <c r="E1907" s="23">
        <f>VLOOKUP(A1907,'[11]Linea Automotriz'!$A$1:$F$533,6,FALSE)</f>
        <v>27.88</v>
      </c>
      <c r="F1907" s="23">
        <f>VLOOKUP(A1907,'[11]Linea Automotriz'!$A$2:$G$533,7,FALSE)</f>
        <v>31.5</v>
      </c>
    </row>
    <row r="1908" spans="1:6" x14ac:dyDescent="0.3">
      <c r="A1908" s="75" t="s">
        <v>3914</v>
      </c>
      <c r="B1908" s="73" t="s">
        <v>3915</v>
      </c>
      <c r="C1908" s="23">
        <f>VLOOKUP(A1908,'[11]Linea Automotriz'!$A$1:$D$533,4,FALSE)</f>
        <v>16.73</v>
      </c>
      <c r="D1908" s="23">
        <f>VLOOKUP(A1908,'[11]Linea Automotriz'!$A$1:$E$533,5,FALSE)</f>
        <v>18.899999999999999</v>
      </c>
      <c r="E1908" s="23">
        <f>VLOOKUP(A1908,'[11]Linea Automotriz'!$A$1:$F$533,6,FALSE)</f>
        <v>27.88</v>
      </c>
      <c r="F1908" s="23">
        <f>VLOOKUP(A1908,'[11]Linea Automotriz'!$A$2:$G$533,7,FALSE)</f>
        <v>31.5</v>
      </c>
    </row>
    <row r="1909" spans="1:6" x14ac:dyDescent="0.3">
      <c r="A1909" s="72" t="s">
        <v>2163</v>
      </c>
      <c r="B1909" s="73" t="s">
        <v>2135</v>
      </c>
      <c r="C1909" s="23">
        <f>VLOOKUP(A1909,'[11]Linea Automotriz'!$A$1:$D$533,4,FALSE)</f>
        <v>16.73</v>
      </c>
      <c r="D1909" s="23">
        <f>VLOOKUP(A1909,'[11]Linea Automotriz'!$A$1:$E$533,5,FALSE)</f>
        <v>18.899999999999999</v>
      </c>
      <c r="E1909" s="23">
        <f>VLOOKUP(A1909,'[11]Linea Automotriz'!$A$1:$F$533,6,FALSE)</f>
        <v>27.88</v>
      </c>
      <c r="F1909" s="23">
        <f>VLOOKUP(A1909,'[11]Linea Automotriz'!$A$2:$G$533,7,FALSE)</f>
        <v>31.5</v>
      </c>
    </row>
    <row r="1910" spans="1:6" x14ac:dyDescent="0.3">
      <c r="A1910" s="72" t="s">
        <v>2164</v>
      </c>
      <c r="B1910" s="73" t="s">
        <v>2165</v>
      </c>
      <c r="C1910" s="23">
        <f>VLOOKUP(A1910,'[11]Linea Automotriz'!$A$1:$D$533,4,FALSE)</f>
        <v>16.73</v>
      </c>
      <c r="D1910" s="23">
        <f>VLOOKUP(A1910,'[11]Linea Automotriz'!$A$1:$E$533,5,FALSE)</f>
        <v>18.899999999999999</v>
      </c>
      <c r="E1910" s="23">
        <f>VLOOKUP(A1910,'[11]Linea Automotriz'!$A$1:$F$533,6,FALSE)</f>
        <v>27.88</v>
      </c>
      <c r="F1910" s="23">
        <f>VLOOKUP(A1910,'[11]Linea Automotriz'!$A$2:$G$533,7,FALSE)</f>
        <v>31.5</v>
      </c>
    </row>
    <row r="1911" spans="1:6" x14ac:dyDescent="0.3">
      <c r="A1911" s="72" t="s">
        <v>2166</v>
      </c>
      <c r="B1911" s="73" t="s">
        <v>2138</v>
      </c>
      <c r="C1911" s="23">
        <f>VLOOKUP(A1911,'[11]Linea Automotriz'!$A$1:$D$533,4,FALSE)</f>
        <v>16.73</v>
      </c>
      <c r="D1911" s="23">
        <f>VLOOKUP(A1911,'[11]Linea Automotriz'!$A$1:$E$533,5,FALSE)</f>
        <v>18.899999999999999</v>
      </c>
      <c r="E1911" s="23">
        <f>VLOOKUP(A1911,'[11]Linea Automotriz'!$A$1:$F$533,6,FALSE)</f>
        <v>27.88</v>
      </c>
      <c r="F1911" s="23">
        <f>VLOOKUP(A1911,'[11]Linea Automotriz'!$A$2:$G$533,7,FALSE)</f>
        <v>31.5</v>
      </c>
    </row>
    <row r="1912" spans="1:6" x14ac:dyDescent="0.3">
      <c r="A1912" s="72" t="s">
        <v>2167</v>
      </c>
      <c r="B1912" s="73" t="s">
        <v>2168</v>
      </c>
      <c r="C1912" s="23">
        <f>VLOOKUP(A1912,'[11]Linea Automotriz'!$A$1:$D$533,4,FALSE)</f>
        <v>16.73</v>
      </c>
      <c r="D1912" s="23">
        <f>VLOOKUP(A1912,'[11]Linea Automotriz'!$A$1:$E$533,5,FALSE)</f>
        <v>18.899999999999999</v>
      </c>
      <c r="E1912" s="23">
        <f>VLOOKUP(A1912,'[11]Linea Automotriz'!$A$1:$F$533,6,FALSE)</f>
        <v>27.88</v>
      </c>
      <c r="F1912" s="23">
        <f>VLOOKUP(A1912,'[11]Linea Automotriz'!$A$2:$G$533,7,FALSE)</f>
        <v>31.5</v>
      </c>
    </row>
    <row r="1913" spans="1:6" x14ac:dyDescent="0.3">
      <c r="A1913" s="72" t="s">
        <v>2169</v>
      </c>
      <c r="B1913" s="73" t="s">
        <v>2170</v>
      </c>
      <c r="C1913" s="23">
        <f>VLOOKUP(A1913,'[11]Linea Automotriz'!$A$1:$D$533,4,FALSE)</f>
        <v>16.73</v>
      </c>
      <c r="D1913" s="23">
        <f>VLOOKUP(A1913,'[11]Linea Automotriz'!$A$1:$E$533,5,FALSE)</f>
        <v>18.899999999999999</v>
      </c>
      <c r="E1913" s="23">
        <f>VLOOKUP(A1913,'[11]Linea Automotriz'!$A$1:$F$533,6,FALSE)</f>
        <v>27.88</v>
      </c>
      <c r="F1913" s="23">
        <f>VLOOKUP(A1913,'[11]Linea Automotriz'!$A$2:$G$533,7,FALSE)</f>
        <v>31.5</v>
      </c>
    </row>
    <row r="1914" spans="1:6" x14ac:dyDescent="0.3">
      <c r="A1914" s="72" t="s">
        <v>2171</v>
      </c>
      <c r="B1914" s="73" t="s">
        <v>3916</v>
      </c>
      <c r="C1914" s="23">
        <f>VLOOKUP(A1914,'[11]Linea Automotriz'!$A$1:$D$533,4,FALSE)</f>
        <v>16.73</v>
      </c>
      <c r="D1914" s="23">
        <f>VLOOKUP(A1914,'[11]Linea Automotriz'!$A$1:$E$533,5,FALSE)</f>
        <v>18.899999999999999</v>
      </c>
      <c r="E1914" s="23">
        <f>VLOOKUP(A1914,'[11]Linea Automotriz'!$A$1:$F$533,6,FALSE)</f>
        <v>27.88</v>
      </c>
      <c r="F1914" s="23">
        <f>VLOOKUP(A1914,'[11]Linea Automotriz'!$A$2:$G$533,7,FALSE)</f>
        <v>31.5</v>
      </c>
    </row>
    <row r="1915" spans="1:6" x14ac:dyDescent="0.3">
      <c r="A1915" s="72" t="s">
        <v>2172</v>
      </c>
      <c r="B1915" s="73" t="s">
        <v>3917</v>
      </c>
      <c r="C1915" s="23">
        <f>VLOOKUP(A1915,'[11]Linea Automotriz'!$A$1:$D$533,4,FALSE)</f>
        <v>16.73</v>
      </c>
      <c r="D1915" s="23">
        <f>VLOOKUP(A1915,'[11]Linea Automotriz'!$A$1:$E$533,5,FALSE)</f>
        <v>18.899999999999999</v>
      </c>
      <c r="E1915" s="23">
        <f>VLOOKUP(A1915,'[11]Linea Automotriz'!$A$1:$F$533,6,FALSE)</f>
        <v>27.88</v>
      </c>
      <c r="F1915" s="23">
        <f>VLOOKUP(A1915,'[11]Linea Automotriz'!$A$2:$G$533,7,FALSE)</f>
        <v>31.5</v>
      </c>
    </row>
    <row r="1916" spans="1:6" x14ac:dyDescent="0.3">
      <c r="A1916" s="72" t="s">
        <v>2173</v>
      </c>
      <c r="B1916" s="73" t="s">
        <v>2174</v>
      </c>
      <c r="C1916" s="23">
        <f>VLOOKUP(A1916,'[11]Linea Automotriz'!$A$1:$D$533,4,FALSE)</f>
        <v>16.73</v>
      </c>
      <c r="D1916" s="23">
        <f>VLOOKUP(A1916,'[11]Linea Automotriz'!$A$1:$E$533,5,FALSE)</f>
        <v>18.899999999999999</v>
      </c>
      <c r="E1916" s="23">
        <f>VLOOKUP(A1916,'[11]Linea Automotriz'!$A$1:$F$533,6,FALSE)</f>
        <v>27.88</v>
      </c>
      <c r="F1916" s="23">
        <f>VLOOKUP(A1916,'[11]Linea Automotriz'!$A$2:$G$533,7,FALSE)</f>
        <v>31.5</v>
      </c>
    </row>
    <row r="1917" spans="1:6" x14ac:dyDescent="0.3">
      <c r="A1917" s="72" t="s">
        <v>2175</v>
      </c>
      <c r="B1917" s="73" t="s">
        <v>2176</v>
      </c>
      <c r="C1917" s="23">
        <f>VLOOKUP(A1917,'[11]Linea Automotriz'!$A$1:$D$533,4,FALSE)</f>
        <v>16.73</v>
      </c>
      <c r="D1917" s="23">
        <f>VLOOKUP(A1917,'[11]Linea Automotriz'!$A$1:$E$533,5,FALSE)</f>
        <v>18.899999999999999</v>
      </c>
      <c r="E1917" s="23">
        <f>VLOOKUP(A1917,'[11]Linea Automotriz'!$A$1:$F$533,6,FALSE)</f>
        <v>27.88</v>
      </c>
      <c r="F1917" s="23">
        <f>VLOOKUP(A1917,'[11]Linea Automotriz'!$A$2:$G$533,7,FALSE)</f>
        <v>31.5</v>
      </c>
    </row>
    <row r="1918" spans="1:6" x14ac:dyDescent="0.3">
      <c r="A1918" s="75" t="s">
        <v>3918</v>
      </c>
      <c r="B1918" s="73" t="s">
        <v>3919</v>
      </c>
      <c r="C1918" s="23">
        <f>VLOOKUP(A1918,'[11]Linea Automotriz'!$A$1:$D$533,4,FALSE)</f>
        <v>16.73</v>
      </c>
      <c r="D1918" s="23">
        <f>VLOOKUP(A1918,'[11]Linea Automotriz'!$A$1:$E$533,5,FALSE)</f>
        <v>18.899999999999999</v>
      </c>
      <c r="E1918" s="23">
        <f>VLOOKUP(A1918,'[11]Linea Automotriz'!$A$1:$F$533,6,FALSE)</f>
        <v>27.88</v>
      </c>
      <c r="F1918" s="23">
        <f>VLOOKUP(A1918,'[11]Linea Automotriz'!$A$2:$G$533,7,FALSE)</f>
        <v>31.5</v>
      </c>
    </row>
    <row r="1919" spans="1:6" x14ac:dyDescent="0.3">
      <c r="A1919" s="72" t="s">
        <v>2177</v>
      </c>
      <c r="B1919" s="73" t="s">
        <v>2178</v>
      </c>
      <c r="C1919" s="23">
        <f>VLOOKUP(A1919,'[11]Linea Automotriz'!$A$1:$D$533,4,FALSE)</f>
        <v>16.73</v>
      </c>
      <c r="D1919" s="23">
        <f>VLOOKUP(A1919,'[11]Linea Automotriz'!$A$1:$E$533,5,FALSE)</f>
        <v>18.899999999999999</v>
      </c>
      <c r="E1919" s="23">
        <f>VLOOKUP(A1919,'[11]Linea Automotriz'!$A$1:$F$533,6,FALSE)</f>
        <v>27.88</v>
      </c>
      <c r="F1919" s="23">
        <f>VLOOKUP(A1919,'[11]Linea Automotriz'!$A$2:$G$533,7,FALSE)</f>
        <v>31.5</v>
      </c>
    </row>
    <row r="1920" spans="1:6" x14ac:dyDescent="0.3">
      <c r="A1920" s="72" t="s">
        <v>2179</v>
      </c>
      <c r="B1920" s="73" t="s">
        <v>3920</v>
      </c>
      <c r="C1920" s="23">
        <f>VLOOKUP(A1920,'[11]Linea Automotriz'!$A$1:$D$533,4,FALSE)</f>
        <v>16.73</v>
      </c>
      <c r="D1920" s="23">
        <f>VLOOKUP(A1920,'[11]Linea Automotriz'!$A$1:$E$533,5,FALSE)</f>
        <v>18.899999999999999</v>
      </c>
      <c r="E1920" s="23">
        <f>VLOOKUP(A1920,'[11]Linea Automotriz'!$A$1:$F$533,6,FALSE)</f>
        <v>27.88</v>
      </c>
      <c r="F1920" s="23">
        <f>VLOOKUP(A1920,'[11]Linea Automotriz'!$A$2:$G$533,7,FALSE)</f>
        <v>31.5</v>
      </c>
    </row>
    <row r="1921" spans="1:6" x14ac:dyDescent="0.3">
      <c r="A1921" s="75" t="s">
        <v>3178</v>
      </c>
      <c r="B1921" s="73" t="s">
        <v>3921</v>
      </c>
      <c r="C1921" s="23">
        <f>VLOOKUP(A1921,'[11]Linea Automotriz'!$A$1:$D$533,4,FALSE)</f>
        <v>16.73</v>
      </c>
      <c r="D1921" s="23">
        <f>VLOOKUP(A1921,'[11]Linea Automotriz'!$A$1:$E$533,5,FALSE)</f>
        <v>18.899999999999999</v>
      </c>
      <c r="E1921" s="23">
        <f>VLOOKUP(A1921,'[11]Linea Automotriz'!$A$1:$F$533,6,FALSE)</f>
        <v>27.88</v>
      </c>
      <c r="F1921" s="23">
        <f>VLOOKUP(A1921,'[11]Linea Automotriz'!$A$2:$G$533,7,FALSE)</f>
        <v>31.5</v>
      </c>
    </row>
    <row r="1922" spans="1:6" x14ac:dyDescent="0.3">
      <c r="A1922" s="72" t="s">
        <v>2180</v>
      </c>
      <c r="B1922" s="73" t="s">
        <v>2181</v>
      </c>
      <c r="C1922" s="23">
        <f>VLOOKUP(A1922,'[11]Linea Automotriz'!$A$1:$D$533,4,FALSE)</f>
        <v>16.73</v>
      </c>
      <c r="D1922" s="23">
        <f>VLOOKUP(A1922,'[11]Linea Automotriz'!$A$1:$E$533,5,FALSE)</f>
        <v>18.899999999999999</v>
      </c>
      <c r="E1922" s="23">
        <f>VLOOKUP(A1922,'[11]Linea Automotriz'!$A$1:$F$533,6,FALSE)</f>
        <v>27.88</v>
      </c>
      <c r="F1922" s="23">
        <f>VLOOKUP(A1922,'[11]Linea Automotriz'!$A$2:$G$533,7,FALSE)</f>
        <v>31.5</v>
      </c>
    </row>
    <row r="1923" spans="1:6" x14ac:dyDescent="0.3">
      <c r="A1923" s="72" t="s">
        <v>2182</v>
      </c>
      <c r="B1923" s="73" t="s">
        <v>2159</v>
      </c>
      <c r="C1923" s="23">
        <f>VLOOKUP(A1923,'[11]Linea Automotriz'!$A$1:$D$533,4,FALSE)</f>
        <v>16.73</v>
      </c>
      <c r="D1923" s="23">
        <f>VLOOKUP(A1923,'[11]Linea Automotriz'!$A$1:$E$533,5,FALSE)</f>
        <v>18.899999999999999</v>
      </c>
      <c r="E1923" s="23">
        <f>VLOOKUP(A1923,'[11]Linea Automotriz'!$A$1:$F$533,6,FALSE)</f>
        <v>27.88</v>
      </c>
      <c r="F1923" s="23">
        <f>VLOOKUP(A1923,'[11]Linea Automotriz'!$A$2:$G$533,7,FALSE)</f>
        <v>31.5</v>
      </c>
    </row>
    <row r="1924" spans="1:6" x14ac:dyDescent="0.3">
      <c r="A1924" s="72" t="s">
        <v>2183</v>
      </c>
      <c r="B1924" s="73" t="s">
        <v>2184</v>
      </c>
      <c r="C1924" s="23">
        <f>VLOOKUP(A1924,'[11]Linea Automotriz'!$A$1:$D$533,4,FALSE)</f>
        <v>66.900000000000006</v>
      </c>
      <c r="D1924" s="23">
        <f>VLOOKUP(A1924,'[11]Linea Automotriz'!$A$1:$E$533,5,FALSE)</f>
        <v>75.599999999999994</v>
      </c>
      <c r="E1924" s="23">
        <f>VLOOKUP(A1924,'[11]Linea Automotriz'!$A$1:$F$533,6,FALSE)</f>
        <v>111.5</v>
      </c>
      <c r="F1924" s="23">
        <f>VLOOKUP(A1924,'[11]Linea Automotriz'!$A$2:$G$533,7,FALSE)</f>
        <v>126</v>
      </c>
    </row>
    <row r="1925" spans="1:6" x14ac:dyDescent="0.3">
      <c r="A1925" s="72" t="s">
        <v>2185</v>
      </c>
      <c r="B1925" s="73" t="s">
        <v>2186</v>
      </c>
      <c r="C1925" s="23">
        <f>VLOOKUP(A1925,'[11]Linea Automotriz'!$A$1:$D$533,4,FALSE)</f>
        <v>66.900000000000006</v>
      </c>
      <c r="D1925" s="23">
        <f>VLOOKUP(A1925,'[11]Linea Automotriz'!$A$1:$E$533,5,FALSE)</f>
        <v>75.599999999999994</v>
      </c>
      <c r="E1925" s="23">
        <f>VLOOKUP(A1925,'[11]Linea Automotriz'!$A$1:$F$533,6,FALSE)</f>
        <v>111.5</v>
      </c>
      <c r="F1925" s="23">
        <f>VLOOKUP(A1925,'[11]Linea Automotriz'!$A$2:$G$533,7,FALSE)</f>
        <v>126</v>
      </c>
    </row>
    <row r="1926" spans="1:6" x14ac:dyDescent="0.3">
      <c r="A1926" s="72" t="s">
        <v>2187</v>
      </c>
      <c r="B1926" s="73" t="s">
        <v>2188</v>
      </c>
      <c r="C1926" s="23">
        <f>VLOOKUP(A1926,'[11]Linea Automotriz'!$A$1:$D$533,4,FALSE)</f>
        <v>66.900000000000006</v>
      </c>
      <c r="D1926" s="23">
        <f>VLOOKUP(A1926,'[11]Linea Automotriz'!$A$1:$E$533,5,FALSE)</f>
        <v>75.599999999999994</v>
      </c>
      <c r="E1926" s="23">
        <f>VLOOKUP(A1926,'[11]Linea Automotriz'!$A$1:$F$533,6,FALSE)</f>
        <v>111.5</v>
      </c>
      <c r="F1926" s="23">
        <f>VLOOKUP(A1926,'[11]Linea Automotriz'!$A$2:$G$533,7,FALSE)</f>
        <v>126</v>
      </c>
    </row>
    <row r="1927" spans="1:6" x14ac:dyDescent="0.3">
      <c r="A1927" s="72" t="s">
        <v>2189</v>
      </c>
      <c r="B1927" s="73" t="s">
        <v>2190</v>
      </c>
      <c r="C1927" s="23">
        <f>VLOOKUP(A1927,'[11]Linea Automotriz'!$A$1:$D$533,4,FALSE)</f>
        <v>66.900000000000006</v>
      </c>
      <c r="D1927" s="23">
        <f>VLOOKUP(A1927,'[11]Linea Automotriz'!$A$1:$E$533,5,FALSE)</f>
        <v>75.599999999999994</v>
      </c>
      <c r="E1927" s="23">
        <f>VLOOKUP(A1927,'[11]Linea Automotriz'!$A$1:$F$533,6,FALSE)</f>
        <v>111.5</v>
      </c>
      <c r="F1927" s="23">
        <f>VLOOKUP(A1927,'[11]Linea Automotriz'!$A$2:$G$533,7,FALSE)</f>
        <v>126</v>
      </c>
    </row>
    <row r="1928" spans="1:6" x14ac:dyDescent="0.3">
      <c r="A1928" s="72" t="s">
        <v>2191</v>
      </c>
      <c r="B1928" s="73" t="s">
        <v>3922</v>
      </c>
      <c r="C1928" s="23">
        <f>VLOOKUP(A1928,'[11]Linea Automotriz'!$A$1:$D$533,4,FALSE)</f>
        <v>66.900000000000006</v>
      </c>
      <c r="D1928" s="23">
        <f>VLOOKUP(A1928,'[11]Linea Automotriz'!$A$1:$E$533,5,FALSE)</f>
        <v>75.599999999999994</v>
      </c>
      <c r="E1928" s="23">
        <f>VLOOKUP(A1928,'[11]Linea Automotriz'!$A$1:$F$533,6,FALSE)</f>
        <v>111.5</v>
      </c>
      <c r="F1928" s="23">
        <f>VLOOKUP(A1928,'[11]Linea Automotriz'!$A$2:$G$533,7,FALSE)</f>
        <v>126</v>
      </c>
    </row>
    <row r="1929" spans="1:6" x14ac:dyDescent="0.3">
      <c r="A1929" s="72" t="s">
        <v>2192</v>
      </c>
      <c r="B1929" s="73" t="s">
        <v>3923</v>
      </c>
      <c r="C1929" s="23">
        <f>VLOOKUP(A1929,'[11]Linea Automotriz'!$A$1:$D$533,4,FALSE)</f>
        <v>66.900000000000006</v>
      </c>
      <c r="D1929" s="23">
        <f>VLOOKUP(A1929,'[11]Linea Automotriz'!$A$1:$E$533,5,FALSE)</f>
        <v>75.599999999999994</v>
      </c>
      <c r="E1929" s="23">
        <f>VLOOKUP(A1929,'[11]Linea Automotriz'!$A$1:$F$533,6,FALSE)</f>
        <v>111.5</v>
      </c>
      <c r="F1929" s="23">
        <f>VLOOKUP(A1929,'[11]Linea Automotriz'!$A$2:$G$533,7,FALSE)</f>
        <v>126</v>
      </c>
    </row>
    <row r="1930" spans="1:6" x14ac:dyDescent="0.3">
      <c r="A1930" s="72" t="s">
        <v>2193</v>
      </c>
      <c r="B1930" s="73" t="s">
        <v>3924</v>
      </c>
      <c r="C1930" s="23">
        <f>VLOOKUP(A1930,'[11]Linea Automotriz'!$A$1:$D$533,4,FALSE)</f>
        <v>66.900000000000006</v>
      </c>
      <c r="D1930" s="23">
        <f>VLOOKUP(A1930,'[11]Linea Automotriz'!$A$1:$E$533,5,FALSE)</f>
        <v>75.599999999999994</v>
      </c>
      <c r="E1930" s="23">
        <f>VLOOKUP(A1930,'[11]Linea Automotriz'!$A$1:$F$533,6,FALSE)</f>
        <v>111.5</v>
      </c>
      <c r="F1930" s="23">
        <f>VLOOKUP(A1930,'[11]Linea Automotriz'!$A$2:$G$533,7,FALSE)</f>
        <v>126</v>
      </c>
    </row>
    <row r="1931" spans="1:6" x14ac:dyDescent="0.3">
      <c r="A1931" s="72" t="s">
        <v>2194</v>
      </c>
      <c r="B1931" s="73" t="s">
        <v>3925</v>
      </c>
      <c r="C1931" s="23">
        <f>VLOOKUP(A1931,'[11]Linea Automotriz'!$A$1:$D$533,4,FALSE)</f>
        <v>16.73</v>
      </c>
      <c r="D1931" s="23">
        <f>VLOOKUP(A1931,'[11]Linea Automotriz'!$A$1:$E$533,5,FALSE)</f>
        <v>18.899999999999999</v>
      </c>
      <c r="E1931" s="23">
        <f>VLOOKUP(A1931,'[11]Linea Automotriz'!$A$1:$F$533,6,FALSE)</f>
        <v>27.88</v>
      </c>
      <c r="F1931" s="23">
        <f>VLOOKUP(A1931,'[11]Linea Automotriz'!$A$2:$G$533,7,FALSE)</f>
        <v>31.5</v>
      </c>
    </row>
    <row r="1932" spans="1:6" x14ac:dyDescent="0.3">
      <c r="A1932" s="72" t="s">
        <v>2195</v>
      </c>
      <c r="B1932" s="73" t="s">
        <v>3926</v>
      </c>
      <c r="C1932" s="23">
        <f>VLOOKUP(A1932,'[11]Linea Automotriz'!$A$1:$D$533,4,FALSE)</f>
        <v>16.73</v>
      </c>
      <c r="D1932" s="23">
        <f>VLOOKUP(A1932,'[11]Linea Automotriz'!$A$1:$E$533,5,FALSE)</f>
        <v>18.899999999999999</v>
      </c>
      <c r="E1932" s="23">
        <f>VLOOKUP(A1932,'[11]Linea Automotriz'!$A$1:$F$533,6,FALSE)</f>
        <v>27.88</v>
      </c>
      <c r="F1932" s="23">
        <f>VLOOKUP(A1932,'[11]Linea Automotriz'!$A$2:$G$533,7,FALSE)</f>
        <v>31.5</v>
      </c>
    </row>
    <row r="1933" spans="1:6" x14ac:dyDescent="0.3">
      <c r="A1933" s="72" t="s">
        <v>2196</v>
      </c>
      <c r="B1933" s="73" t="s">
        <v>3927</v>
      </c>
      <c r="C1933" s="23">
        <f>VLOOKUP(A1933,'[11]Linea Automotriz'!$A$1:$D$533,4,FALSE)</f>
        <v>16.73</v>
      </c>
      <c r="D1933" s="23">
        <f>VLOOKUP(A1933,'[11]Linea Automotriz'!$A$1:$E$533,5,FALSE)</f>
        <v>18.899999999999999</v>
      </c>
      <c r="E1933" s="23">
        <f>VLOOKUP(A1933,'[11]Linea Automotriz'!$A$1:$F$533,6,FALSE)</f>
        <v>27.88</v>
      </c>
      <c r="F1933" s="23">
        <f>VLOOKUP(A1933,'[11]Linea Automotriz'!$A$2:$G$533,7,FALSE)</f>
        <v>31.5</v>
      </c>
    </row>
    <row r="1934" spans="1:6" x14ac:dyDescent="0.3">
      <c r="A1934" s="72" t="s">
        <v>2197</v>
      </c>
      <c r="B1934" s="73" t="s">
        <v>3928</v>
      </c>
      <c r="C1934" s="23">
        <f>VLOOKUP(A1934,'[11]Linea Automotriz'!$A$1:$D$533,4,FALSE)</f>
        <v>16.73</v>
      </c>
      <c r="D1934" s="23">
        <f>VLOOKUP(A1934,'[11]Linea Automotriz'!$A$1:$E$533,5,FALSE)</f>
        <v>18.899999999999999</v>
      </c>
      <c r="E1934" s="23">
        <f>VLOOKUP(A1934,'[11]Linea Automotriz'!$A$1:$F$533,6,FALSE)</f>
        <v>27.88</v>
      </c>
      <c r="F1934" s="23">
        <f>VLOOKUP(A1934,'[11]Linea Automotriz'!$A$2:$G$533,7,FALSE)</f>
        <v>31.5</v>
      </c>
    </row>
    <row r="1935" spans="1:6" x14ac:dyDescent="0.3">
      <c r="A1935" s="72" t="s">
        <v>2198</v>
      </c>
      <c r="B1935" s="73" t="s">
        <v>3929</v>
      </c>
      <c r="C1935" s="23">
        <f>VLOOKUP(A1935,'[11]Linea Automotriz'!$A$1:$D$533,4,FALSE)</f>
        <v>16.73</v>
      </c>
      <c r="D1935" s="23">
        <f>VLOOKUP(A1935,'[11]Linea Automotriz'!$A$1:$E$533,5,FALSE)</f>
        <v>18.899999999999999</v>
      </c>
      <c r="E1935" s="23">
        <f>VLOOKUP(A1935,'[11]Linea Automotriz'!$A$1:$F$533,6,FALSE)</f>
        <v>27.88</v>
      </c>
      <c r="F1935" s="23">
        <f>VLOOKUP(A1935,'[11]Linea Automotriz'!$A$2:$G$533,7,FALSE)</f>
        <v>31.5</v>
      </c>
    </row>
    <row r="1936" spans="1:6" x14ac:dyDescent="0.3">
      <c r="A1936" s="72" t="s">
        <v>2199</v>
      </c>
      <c r="B1936" s="73" t="s">
        <v>3930</v>
      </c>
      <c r="C1936" s="23">
        <f>VLOOKUP(A1936,'[11]Linea Automotriz'!$A$1:$D$533,4,FALSE)</f>
        <v>16.73</v>
      </c>
      <c r="D1936" s="23">
        <f>VLOOKUP(A1936,'[11]Linea Automotriz'!$A$1:$E$533,5,FALSE)</f>
        <v>18.899999999999999</v>
      </c>
      <c r="E1936" s="23">
        <f>VLOOKUP(A1936,'[11]Linea Automotriz'!$A$1:$F$533,6,FALSE)</f>
        <v>27.88</v>
      </c>
      <c r="F1936" s="23">
        <f>VLOOKUP(A1936,'[11]Linea Automotriz'!$A$2:$G$533,7,FALSE)</f>
        <v>31.5</v>
      </c>
    </row>
    <row r="1937" spans="1:6" x14ac:dyDescent="0.3">
      <c r="A1937" s="72" t="s">
        <v>2200</v>
      </c>
      <c r="B1937" s="73" t="s">
        <v>3931</v>
      </c>
      <c r="C1937" s="23">
        <f>VLOOKUP(A1937,'[11]Linea Automotriz'!$A$1:$D$533,4,FALSE)</f>
        <v>16.73</v>
      </c>
      <c r="D1937" s="23">
        <f>VLOOKUP(A1937,'[11]Linea Automotriz'!$A$1:$E$533,5,FALSE)</f>
        <v>18.899999999999999</v>
      </c>
      <c r="E1937" s="23">
        <f>VLOOKUP(A1937,'[11]Linea Automotriz'!$A$1:$F$533,6,FALSE)</f>
        <v>27.88</v>
      </c>
      <c r="F1937" s="23">
        <f>VLOOKUP(A1937,'[11]Linea Automotriz'!$A$2:$G$533,7,FALSE)</f>
        <v>31.5</v>
      </c>
    </row>
    <row r="1938" spans="1:6" x14ac:dyDescent="0.3">
      <c r="A1938" s="72" t="s">
        <v>2201</v>
      </c>
      <c r="B1938" s="73" t="s">
        <v>2202</v>
      </c>
      <c r="C1938" s="23">
        <f>VLOOKUP(A1938,'[11]Linea Automotriz'!$A$1:$D$533,4,FALSE)</f>
        <v>16.73</v>
      </c>
      <c r="D1938" s="23">
        <f>VLOOKUP(A1938,'[11]Linea Automotriz'!$A$1:$E$533,5,FALSE)</f>
        <v>18.899999999999999</v>
      </c>
      <c r="E1938" s="23">
        <f>VLOOKUP(A1938,'[11]Linea Automotriz'!$A$1:$F$533,6,FALSE)</f>
        <v>27.88</v>
      </c>
      <c r="F1938" s="23">
        <f>VLOOKUP(A1938,'[11]Linea Automotriz'!$A$2:$G$533,7,FALSE)</f>
        <v>31.5</v>
      </c>
    </row>
    <row r="1939" spans="1:6" x14ac:dyDescent="0.3">
      <c r="A1939" s="72" t="s">
        <v>2203</v>
      </c>
      <c r="B1939" s="73" t="s">
        <v>3932</v>
      </c>
      <c r="C1939" s="23">
        <f>VLOOKUP(A1939,'[11]Linea Automotriz'!$A$1:$D$533,4,FALSE)</f>
        <v>16.73</v>
      </c>
      <c r="D1939" s="23">
        <f>VLOOKUP(A1939,'[11]Linea Automotriz'!$A$1:$E$533,5,FALSE)</f>
        <v>18.899999999999999</v>
      </c>
      <c r="E1939" s="23">
        <f>VLOOKUP(A1939,'[11]Linea Automotriz'!$A$1:$F$533,6,FALSE)</f>
        <v>27.88</v>
      </c>
      <c r="F1939" s="23">
        <f>VLOOKUP(A1939,'[11]Linea Automotriz'!$A$2:$G$533,7,FALSE)</f>
        <v>31.5</v>
      </c>
    </row>
    <row r="1940" spans="1:6" x14ac:dyDescent="0.3">
      <c r="A1940" s="72" t="s">
        <v>2204</v>
      </c>
      <c r="B1940" s="73" t="s">
        <v>3933</v>
      </c>
      <c r="C1940" s="23">
        <f>VLOOKUP(A1940,'[11]Linea Automotriz'!$A$1:$D$533,4,FALSE)</f>
        <v>16.73</v>
      </c>
      <c r="D1940" s="23">
        <f>VLOOKUP(A1940,'[11]Linea Automotriz'!$A$1:$E$533,5,FALSE)</f>
        <v>18.899999999999999</v>
      </c>
      <c r="E1940" s="23">
        <f>VLOOKUP(A1940,'[11]Linea Automotriz'!$A$1:$F$533,6,FALSE)</f>
        <v>27.88</v>
      </c>
      <c r="F1940" s="23">
        <f>VLOOKUP(A1940,'[11]Linea Automotriz'!$A$2:$G$533,7,FALSE)</f>
        <v>31.5</v>
      </c>
    </row>
    <row r="1941" spans="1:6" x14ac:dyDescent="0.3">
      <c r="A1941" s="72" t="s">
        <v>2205</v>
      </c>
      <c r="B1941" s="73" t="s">
        <v>3934</v>
      </c>
      <c r="C1941" s="23">
        <f>VLOOKUP(A1941,'[11]Linea Automotriz'!$A$1:$D$533,4,FALSE)</f>
        <v>16.73</v>
      </c>
      <c r="D1941" s="23">
        <f>VLOOKUP(A1941,'[11]Linea Automotriz'!$A$1:$E$533,5,FALSE)</f>
        <v>18.899999999999999</v>
      </c>
      <c r="E1941" s="23">
        <f>VLOOKUP(A1941,'[11]Linea Automotriz'!$A$1:$F$533,6,FALSE)</f>
        <v>27.88</v>
      </c>
      <c r="F1941" s="23">
        <f>VLOOKUP(A1941,'[11]Linea Automotriz'!$A$2:$G$533,7,FALSE)</f>
        <v>31.5</v>
      </c>
    </row>
    <row r="1942" spans="1:6" x14ac:dyDescent="0.3">
      <c r="A1942" s="72" t="s">
        <v>2207</v>
      </c>
      <c r="B1942" s="73" t="s">
        <v>3935</v>
      </c>
      <c r="C1942" s="23">
        <f>VLOOKUP(A1942,'[11]Linea Automotriz'!$A$1:$D$533,4,FALSE)</f>
        <v>16.73</v>
      </c>
      <c r="D1942" s="23">
        <f>VLOOKUP(A1942,'[11]Linea Automotriz'!$A$1:$E$533,5,FALSE)</f>
        <v>18.899999999999999</v>
      </c>
      <c r="E1942" s="23">
        <f>VLOOKUP(A1942,'[11]Linea Automotriz'!$A$1:$F$533,6,FALSE)</f>
        <v>27.88</v>
      </c>
      <c r="F1942" s="23">
        <f>VLOOKUP(A1942,'[11]Linea Automotriz'!$A$2:$G$533,7,FALSE)</f>
        <v>31.5</v>
      </c>
    </row>
    <row r="1943" spans="1:6" x14ac:dyDescent="0.3">
      <c r="A1943" s="72" t="s">
        <v>2208</v>
      </c>
      <c r="B1943" s="73" t="s">
        <v>3936</v>
      </c>
      <c r="C1943" s="23">
        <f>VLOOKUP(A1943,'[11]Linea Automotriz'!$A$1:$D$533,4,FALSE)</f>
        <v>16.73</v>
      </c>
      <c r="D1943" s="23">
        <f>VLOOKUP(A1943,'[11]Linea Automotriz'!$A$1:$E$533,5,FALSE)</f>
        <v>18.899999999999999</v>
      </c>
      <c r="E1943" s="23">
        <f>VLOOKUP(A1943,'[11]Linea Automotriz'!$A$1:$F$533,6,FALSE)</f>
        <v>27.88</v>
      </c>
      <c r="F1943" s="23">
        <f>VLOOKUP(A1943,'[11]Linea Automotriz'!$A$2:$G$533,7,FALSE)</f>
        <v>31.5</v>
      </c>
    </row>
    <row r="1944" spans="1:6" x14ac:dyDescent="0.3">
      <c r="A1944" s="72" t="s">
        <v>2209</v>
      </c>
      <c r="B1944" s="73" t="s">
        <v>2210</v>
      </c>
      <c r="C1944" s="23">
        <f>VLOOKUP(A1944,'[11]Linea Automotriz'!$A$1:$D$533,4,FALSE)</f>
        <v>16.73</v>
      </c>
      <c r="D1944" s="23">
        <f>VLOOKUP(A1944,'[11]Linea Automotriz'!$A$1:$E$533,5,FALSE)</f>
        <v>18.899999999999999</v>
      </c>
      <c r="E1944" s="23">
        <f>VLOOKUP(A1944,'[11]Linea Automotriz'!$A$1:$F$533,6,FALSE)</f>
        <v>27.88</v>
      </c>
      <c r="F1944" s="23">
        <f>VLOOKUP(A1944,'[11]Linea Automotriz'!$A$2:$G$533,7,FALSE)</f>
        <v>31.5</v>
      </c>
    </row>
    <row r="1945" spans="1:6" x14ac:dyDescent="0.3">
      <c r="A1945" s="72" t="s">
        <v>2211</v>
      </c>
      <c r="B1945" s="73" t="s">
        <v>2212</v>
      </c>
      <c r="C1945" s="23">
        <f>VLOOKUP(A1945,'[11]Linea Automotriz'!$A$1:$D$533,4,FALSE)</f>
        <v>16.73</v>
      </c>
      <c r="D1945" s="23">
        <f>VLOOKUP(A1945,'[11]Linea Automotriz'!$A$1:$E$533,5,FALSE)</f>
        <v>18.899999999999999</v>
      </c>
      <c r="E1945" s="23">
        <f>VLOOKUP(A1945,'[11]Linea Automotriz'!$A$1:$F$533,6,FALSE)</f>
        <v>27.88</v>
      </c>
      <c r="F1945" s="23">
        <f>VLOOKUP(A1945,'[11]Linea Automotriz'!$A$2:$G$533,7,FALSE)</f>
        <v>31.5</v>
      </c>
    </row>
    <row r="1946" spans="1:6" x14ac:dyDescent="0.3">
      <c r="A1946" s="72" t="s">
        <v>2213</v>
      </c>
      <c r="B1946" s="73" t="s">
        <v>3937</v>
      </c>
      <c r="C1946" s="23">
        <f>VLOOKUP(A1946,'[11]Linea Automotriz'!$A$1:$D$533,4,FALSE)</f>
        <v>16.73</v>
      </c>
      <c r="D1946" s="23">
        <f>VLOOKUP(A1946,'[11]Linea Automotriz'!$A$1:$E$533,5,FALSE)</f>
        <v>18.899999999999999</v>
      </c>
      <c r="E1946" s="23">
        <f>VLOOKUP(A1946,'[11]Linea Automotriz'!$A$1:$F$533,6,FALSE)</f>
        <v>27.88</v>
      </c>
      <c r="F1946" s="23">
        <f>VLOOKUP(A1946,'[11]Linea Automotriz'!$A$2:$G$533,7,FALSE)</f>
        <v>31.5</v>
      </c>
    </row>
    <row r="1947" spans="1:6" x14ac:dyDescent="0.3">
      <c r="A1947" s="72" t="s">
        <v>2214</v>
      </c>
      <c r="B1947" s="73" t="s">
        <v>2215</v>
      </c>
      <c r="C1947" s="23">
        <f>VLOOKUP(A1947,'[11]Linea Automotriz'!$A$1:$D$533,4,FALSE)</f>
        <v>16.73</v>
      </c>
      <c r="D1947" s="23">
        <f>VLOOKUP(A1947,'[11]Linea Automotriz'!$A$1:$E$533,5,FALSE)</f>
        <v>18.899999999999999</v>
      </c>
      <c r="E1947" s="23">
        <f>VLOOKUP(A1947,'[11]Linea Automotriz'!$A$1:$F$533,6,FALSE)</f>
        <v>27.88</v>
      </c>
      <c r="F1947" s="23">
        <f>VLOOKUP(A1947,'[11]Linea Automotriz'!$A$2:$G$533,7,FALSE)</f>
        <v>31.5</v>
      </c>
    </row>
    <row r="1948" spans="1:6" x14ac:dyDescent="0.3">
      <c r="A1948" s="72" t="s">
        <v>2216</v>
      </c>
      <c r="B1948" s="73" t="s">
        <v>2217</v>
      </c>
      <c r="C1948" s="23">
        <f>VLOOKUP(A1948,'[11]Linea Automotriz'!$A$1:$D$533,4,FALSE)</f>
        <v>16.73</v>
      </c>
      <c r="D1948" s="23">
        <f>VLOOKUP(A1948,'[11]Linea Automotriz'!$A$1:$E$533,5,FALSE)</f>
        <v>18.899999999999999</v>
      </c>
      <c r="E1948" s="23">
        <f>VLOOKUP(A1948,'[11]Linea Automotriz'!$A$1:$F$533,6,FALSE)</f>
        <v>27.88</v>
      </c>
      <c r="F1948" s="23">
        <f>VLOOKUP(A1948,'[11]Linea Automotriz'!$A$2:$G$533,7,FALSE)</f>
        <v>31.5</v>
      </c>
    </row>
    <row r="1949" spans="1:6" x14ac:dyDescent="0.3">
      <c r="A1949" s="72" t="s">
        <v>2218</v>
      </c>
      <c r="B1949" s="73" t="s">
        <v>2219</v>
      </c>
      <c r="C1949" s="23">
        <f>VLOOKUP(A1949,'[11]Linea Automotriz'!$A$1:$D$533,4,FALSE)</f>
        <v>16.73</v>
      </c>
      <c r="D1949" s="23">
        <f>VLOOKUP(A1949,'[11]Linea Automotriz'!$A$1:$E$533,5,FALSE)</f>
        <v>18.899999999999999</v>
      </c>
      <c r="E1949" s="23">
        <f>VLOOKUP(A1949,'[11]Linea Automotriz'!$A$1:$F$533,6,FALSE)</f>
        <v>27.88</v>
      </c>
      <c r="F1949" s="23">
        <f>VLOOKUP(A1949,'[11]Linea Automotriz'!$A$2:$G$533,7,FALSE)</f>
        <v>31.5</v>
      </c>
    </row>
    <row r="1950" spans="1:6" x14ac:dyDescent="0.3">
      <c r="A1950" s="72" t="s">
        <v>2220</v>
      </c>
      <c r="B1950" s="73" t="s">
        <v>3938</v>
      </c>
      <c r="C1950" s="23">
        <f>VLOOKUP(A1950,'[11]Linea Automotriz'!$A$1:$D$533,4,FALSE)</f>
        <v>16.73</v>
      </c>
      <c r="D1950" s="23">
        <f>VLOOKUP(A1950,'[11]Linea Automotriz'!$A$1:$E$533,5,FALSE)</f>
        <v>18.899999999999999</v>
      </c>
      <c r="E1950" s="23">
        <f>VLOOKUP(A1950,'[11]Linea Automotriz'!$A$1:$F$533,6,FALSE)</f>
        <v>27.88</v>
      </c>
      <c r="F1950" s="23">
        <f>VLOOKUP(A1950,'[11]Linea Automotriz'!$A$2:$G$533,7,FALSE)</f>
        <v>31.5</v>
      </c>
    </row>
    <row r="1951" spans="1:6" x14ac:dyDescent="0.3">
      <c r="A1951" s="72" t="s">
        <v>2221</v>
      </c>
      <c r="B1951" s="73" t="s">
        <v>3939</v>
      </c>
      <c r="C1951" s="23">
        <f>VLOOKUP(A1951,'[11]Linea Automotriz'!$A$1:$D$533,4,FALSE)</f>
        <v>32.92</v>
      </c>
      <c r="D1951" s="23">
        <f>VLOOKUP(A1951,'[11]Linea Automotriz'!$A$1:$E$533,5,FALSE)</f>
        <v>37.200000000000003</v>
      </c>
      <c r="E1951" s="23">
        <f>VLOOKUP(A1951,'[11]Linea Automotriz'!$A$1:$F$533,6,FALSE)</f>
        <v>54.87</v>
      </c>
      <c r="F1951" s="23">
        <f>VLOOKUP(A1951,'[11]Linea Automotriz'!$A$2:$G$533,7,FALSE)</f>
        <v>62</v>
      </c>
    </row>
    <row r="1952" spans="1:6" x14ac:dyDescent="0.3">
      <c r="A1952" s="72" t="s">
        <v>2222</v>
      </c>
      <c r="B1952" s="73" t="s">
        <v>2206</v>
      </c>
      <c r="C1952" s="23">
        <f>VLOOKUP(A1952,'[11]Linea Automotriz'!$A$1:$D$533,4,FALSE)</f>
        <v>32.92</v>
      </c>
      <c r="D1952" s="23">
        <f>VLOOKUP(A1952,'[11]Linea Automotriz'!$A$1:$E$533,5,FALSE)</f>
        <v>37.200000000000003</v>
      </c>
      <c r="E1952" s="23">
        <f>VLOOKUP(A1952,'[11]Linea Automotriz'!$A$1:$F$533,6,FALSE)</f>
        <v>54.87</v>
      </c>
      <c r="F1952" s="23">
        <f>VLOOKUP(A1952,'[11]Linea Automotriz'!$A$2:$G$533,7,FALSE)</f>
        <v>62</v>
      </c>
    </row>
    <row r="1953" spans="1:6" x14ac:dyDescent="0.3">
      <c r="A1953" s="72" t="s">
        <v>2223</v>
      </c>
      <c r="B1953" s="73" t="s">
        <v>2224</v>
      </c>
      <c r="C1953" s="23">
        <f>VLOOKUP(A1953,'[11]Linea Automotriz'!$A$1:$D$533,4,FALSE)</f>
        <v>32.92</v>
      </c>
      <c r="D1953" s="23">
        <f>VLOOKUP(A1953,'[11]Linea Automotriz'!$A$1:$E$533,5,FALSE)</f>
        <v>37.200000000000003</v>
      </c>
      <c r="E1953" s="23">
        <f>VLOOKUP(A1953,'[11]Linea Automotriz'!$A$1:$F$533,6,FALSE)</f>
        <v>54.87</v>
      </c>
      <c r="F1953" s="23">
        <f>VLOOKUP(A1953,'[11]Linea Automotriz'!$A$2:$G$533,7,FALSE)</f>
        <v>62</v>
      </c>
    </row>
    <row r="1954" spans="1:6" x14ac:dyDescent="0.3">
      <c r="A1954" s="72" t="s">
        <v>2225</v>
      </c>
      <c r="B1954" s="73" t="s">
        <v>3940</v>
      </c>
      <c r="C1954" s="23">
        <f>VLOOKUP(A1954,'[11]Linea Automotriz'!$A$1:$D$533,4,FALSE)</f>
        <v>32.92</v>
      </c>
      <c r="D1954" s="23">
        <f>VLOOKUP(A1954,'[11]Linea Automotriz'!$A$1:$E$533,5,FALSE)</f>
        <v>37.200000000000003</v>
      </c>
      <c r="E1954" s="23">
        <f>VLOOKUP(A1954,'[11]Linea Automotriz'!$A$1:$F$533,6,FALSE)</f>
        <v>54.87</v>
      </c>
      <c r="F1954" s="23">
        <f>VLOOKUP(A1954,'[11]Linea Automotriz'!$A$2:$G$533,7,FALSE)</f>
        <v>62</v>
      </c>
    </row>
    <row r="1955" spans="1:6" x14ac:dyDescent="0.3">
      <c r="A1955" s="72" t="s">
        <v>2226</v>
      </c>
      <c r="B1955" s="73" t="s">
        <v>3941</v>
      </c>
      <c r="C1955" s="23">
        <f>VLOOKUP(A1955,'[11]Linea Automotriz'!$A$1:$D$533,4,FALSE)</f>
        <v>32.92</v>
      </c>
      <c r="D1955" s="23">
        <f>VLOOKUP(A1955,'[11]Linea Automotriz'!$A$1:$E$533,5,FALSE)</f>
        <v>37.200000000000003</v>
      </c>
      <c r="E1955" s="23">
        <f>VLOOKUP(A1955,'[11]Linea Automotriz'!$A$1:$F$533,6,FALSE)</f>
        <v>54.87</v>
      </c>
      <c r="F1955" s="23">
        <f>VLOOKUP(A1955,'[11]Linea Automotriz'!$A$2:$G$533,7,FALSE)</f>
        <v>62</v>
      </c>
    </row>
    <row r="1956" spans="1:6" x14ac:dyDescent="0.3">
      <c r="A1956" s="72" t="s">
        <v>2227</v>
      </c>
      <c r="B1956" s="73" t="s">
        <v>3942</v>
      </c>
      <c r="C1956" s="23">
        <f>VLOOKUP(A1956,'[11]Linea Automotriz'!$A$1:$D$533,4,FALSE)</f>
        <v>32.92</v>
      </c>
      <c r="D1956" s="23">
        <f>VLOOKUP(A1956,'[11]Linea Automotriz'!$A$1:$E$533,5,FALSE)</f>
        <v>37.200000000000003</v>
      </c>
      <c r="E1956" s="23">
        <f>VLOOKUP(A1956,'[11]Linea Automotriz'!$A$1:$F$533,6,FALSE)</f>
        <v>54.87</v>
      </c>
      <c r="F1956" s="23">
        <f>VLOOKUP(A1956,'[11]Linea Automotriz'!$A$2:$G$533,7,FALSE)</f>
        <v>62</v>
      </c>
    </row>
    <row r="1957" spans="1:6" x14ac:dyDescent="0.3">
      <c r="A1957" s="72" t="s">
        <v>2228</v>
      </c>
      <c r="B1957" s="73" t="s">
        <v>2229</v>
      </c>
      <c r="C1957" s="23">
        <f>VLOOKUP(A1957,'[11]Linea Automotriz'!$A$1:$D$533,4,FALSE)</f>
        <v>25.34</v>
      </c>
      <c r="D1957" s="23">
        <f>VLOOKUP(A1957,'[11]Linea Automotriz'!$A$1:$E$533,5,FALSE)</f>
        <v>28.63</v>
      </c>
      <c r="E1957" s="23">
        <f>VLOOKUP(A1957,'[11]Linea Automotriz'!$A$1:$F$533,6,FALSE)</f>
        <v>36.19</v>
      </c>
      <c r="F1957" s="23">
        <f>VLOOKUP(A1957,'[11]Linea Automotriz'!$A$2:$G$533,7,FALSE)</f>
        <v>40.9</v>
      </c>
    </row>
    <row r="1958" spans="1:6" x14ac:dyDescent="0.3">
      <c r="A1958" s="72" t="s">
        <v>2230</v>
      </c>
      <c r="B1958" s="73" t="s">
        <v>2229</v>
      </c>
      <c r="C1958" s="23">
        <f>VLOOKUP(A1958,'[11]Linea Automotriz'!$A$1:$D$533,4,FALSE)</f>
        <v>7.12</v>
      </c>
      <c r="D1958" s="23">
        <f>VLOOKUP(A1958,'[11]Linea Automotriz'!$A$1:$E$533,5,FALSE)</f>
        <v>8.0500000000000007</v>
      </c>
      <c r="E1958" s="23">
        <f>VLOOKUP(A1958,'[11]Linea Automotriz'!$A$1:$F$533,6,FALSE)</f>
        <v>10.18</v>
      </c>
      <c r="F1958" s="23">
        <f>VLOOKUP(A1958,'[11]Linea Automotriz'!$A$2:$G$533,7,FALSE)</f>
        <v>11.5</v>
      </c>
    </row>
    <row r="1959" spans="1:6" x14ac:dyDescent="0.3">
      <c r="A1959" s="72" t="s">
        <v>2231</v>
      </c>
      <c r="B1959" s="73" t="s">
        <v>3943</v>
      </c>
      <c r="C1959" s="23">
        <f>VLOOKUP(A1959,'[11]Linea Automotriz'!$A$1:$D$533,4,FALSE)</f>
        <v>43.92</v>
      </c>
      <c r="D1959" s="23">
        <f>VLOOKUP(A1959,'[11]Linea Automotriz'!$A$1:$E$533,5,FALSE)</f>
        <v>49.63</v>
      </c>
      <c r="E1959" s="23">
        <f>VLOOKUP(A1959,'[11]Linea Automotriz'!$A$1:$F$533,6,FALSE)</f>
        <v>62.74</v>
      </c>
      <c r="F1959" s="23">
        <f>VLOOKUP(A1959,'[11]Linea Automotriz'!$A$2:$G$533,7,FALSE)</f>
        <v>70.900000000000006</v>
      </c>
    </row>
    <row r="1960" spans="1:6" x14ac:dyDescent="0.3">
      <c r="A1960" s="72" t="s">
        <v>2232</v>
      </c>
      <c r="B1960" s="73" t="s">
        <v>3944</v>
      </c>
      <c r="C1960" s="23">
        <f>VLOOKUP(A1960,'[11]Linea Automotriz'!$A$1:$D$533,4,FALSE)</f>
        <v>12.33</v>
      </c>
      <c r="D1960" s="23">
        <f>VLOOKUP(A1960,'[11]Linea Automotriz'!$A$1:$E$533,5,FALSE)</f>
        <v>13.93</v>
      </c>
      <c r="E1960" s="23">
        <f>VLOOKUP(A1960,'[11]Linea Automotriz'!$A$1:$F$533,6,FALSE)</f>
        <v>17.61</v>
      </c>
      <c r="F1960" s="23">
        <f>VLOOKUP(A1960,'[11]Linea Automotriz'!$A$2:$G$533,7,FALSE)</f>
        <v>19.899999999999999</v>
      </c>
    </row>
    <row r="1961" spans="1:6" x14ac:dyDescent="0.3">
      <c r="A1961" s="72" t="s">
        <v>2233</v>
      </c>
      <c r="B1961" s="73" t="s">
        <v>3945</v>
      </c>
      <c r="C1961" s="23">
        <f>VLOOKUP(A1961,'[11]Linea Automotriz'!$A$1:$D$533,4,FALSE)</f>
        <v>13.57</v>
      </c>
      <c r="D1961" s="23">
        <f>VLOOKUP(A1961,'[11]Linea Automotriz'!$A$1:$E$533,5,FALSE)</f>
        <v>15.33</v>
      </c>
      <c r="E1961" s="23">
        <f>VLOOKUP(A1961,'[11]Linea Automotriz'!$A$1:$F$533,6,FALSE)</f>
        <v>19.38</v>
      </c>
      <c r="F1961" s="23">
        <f>VLOOKUP(A1961,'[11]Linea Automotriz'!$A$2:$G$533,7,FALSE)</f>
        <v>21.9</v>
      </c>
    </row>
    <row r="1962" spans="1:6" x14ac:dyDescent="0.3">
      <c r="A1962" s="72" t="s">
        <v>2234</v>
      </c>
      <c r="B1962" s="73" t="s">
        <v>3945</v>
      </c>
      <c r="C1962" s="23">
        <f>VLOOKUP(A1962,'[11]Linea Automotriz'!$A$1:$D$533,4,FALSE)</f>
        <v>47.64</v>
      </c>
      <c r="D1962" s="23">
        <f>VLOOKUP(A1962,'[11]Linea Automotriz'!$A$1:$E$533,5,FALSE)</f>
        <v>53.83</v>
      </c>
      <c r="E1962" s="23">
        <f>VLOOKUP(A1962,'[11]Linea Automotriz'!$A$1:$F$533,6,FALSE)</f>
        <v>68.05</v>
      </c>
      <c r="F1962" s="23">
        <f>VLOOKUP(A1962,'[11]Linea Automotriz'!$A$2:$G$533,7,FALSE)</f>
        <v>76.900000000000006</v>
      </c>
    </row>
    <row r="1963" spans="1:6" x14ac:dyDescent="0.3">
      <c r="A1963" s="72" t="s">
        <v>2235</v>
      </c>
      <c r="B1963" s="73" t="s">
        <v>2236</v>
      </c>
      <c r="C1963" s="23">
        <f>VLOOKUP(A1963,'[11]Linea Automotriz'!$A$1:$D$533,4,FALSE)</f>
        <v>5.04</v>
      </c>
      <c r="D1963" s="23">
        <f>VLOOKUP(A1963,'[11]Linea Automotriz'!$A$1:$E$533,5,FALSE)</f>
        <v>5.69</v>
      </c>
      <c r="E1963" s="23">
        <f>VLOOKUP(A1963,'[11]Linea Automotriz'!$A$1:$F$533,6,FALSE)</f>
        <v>6.99</v>
      </c>
      <c r="F1963" s="23">
        <f>VLOOKUP(A1963,'[11]Linea Automotriz'!$A$2:$G$533,7,FALSE)</f>
        <v>7.9</v>
      </c>
    </row>
    <row r="1964" spans="1:6" x14ac:dyDescent="0.3">
      <c r="A1964" s="72" t="s">
        <v>2237</v>
      </c>
      <c r="B1964" s="73" t="s">
        <v>2236</v>
      </c>
      <c r="C1964" s="23">
        <f>VLOOKUP(A1964,'[11]Linea Automotriz'!$A$1:$D$533,4,FALSE)</f>
        <v>7.96</v>
      </c>
      <c r="D1964" s="23">
        <f>VLOOKUP(A1964,'[11]Linea Automotriz'!$A$1:$E$533,5,FALSE)</f>
        <v>9</v>
      </c>
      <c r="E1964" s="23">
        <f>VLOOKUP(A1964,'[11]Linea Automotriz'!$A$1:$F$533,6,FALSE)</f>
        <v>11.06</v>
      </c>
      <c r="F1964" s="23">
        <f>VLOOKUP(A1964,'[11]Linea Automotriz'!$A$2:$G$533,7,FALSE)</f>
        <v>12.5</v>
      </c>
    </row>
    <row r="1965" spans="1:6" x14ac:dyDescent="0.3">
      <c r="A1965" s="72" t="s">
        <v>2238</v>
      </c>
      <c r="B1965" s="73" t="s">
        <v>2236</v>
      </c>
      <c r="C1965" s="23">
        <f>VLOOKUP(A1965,'[11]Linea Automotriz'!$A$1:$D$533,4,FALSE)</f>
        <v>14.65</v>
      </c>
      <c r="D1965" s="23">
        <f>VLOOKUP(A1965,'[11]Linea Automotriz'!$A$1:$E$533,5,FALSE)</f>
        <v>16.559999999999999</v>
      </c>
      <c r="E1965" s="23">
        <f>VLOOKUP(A1965,'[11]Linea Automotriz'!$A$1:$F$533,6,FALSE)</f>
        <v>20.350000000000001</v>
      </c>
      <c r="F1965" s="23">
        <f>VLOOKUP(A1965,'[11]Linea Automotriz'!$A$2:$G$533,7,FALSE)</f>
        <v>23</v>
      </c>
    </row>
    <row r="1966" spans="1:6" x14ac:dyDescent="0.3">
      <c r="A1966" s="72" t="s">
        <v>2239</v>
      </c>
      <c r="B1966" s="73" t="s">
        <v>3946</v>
      </c>
      <c r="C1966" s="23">
        <f>VLOOKUP(A1966,'[11]Linea Automotriz'!$A$1:$D$533,4,FALSE)</f>
        <v>4.1399999999999997</v>
      </c>
      <c r="D1966" s="23">
        <f>VLOOKUP(A1966,'[11]Linea Automotriz'!$A$1:$E$533,5,FALSE)</f>
        <v>4.68</v>
      </c>
      <c r="E1966" s="23">
        <f>VLOOKUP(A1966,'[11]Linea Automotriz'!$A$1:$F$533,6,FALSE)</f>
        <v>5.75</v>
      </c>
      <c r="F1966" s="23">
        <f>VLOOKUP(A1966,'[11]Linea Automotriz'!$A$2:$G$533,7,FALSE)</f>
        <v>6.5</v>
      </c>
    </row>
    <row r="1967" spans="1:6" x14ac:dyDescent="0.3">
      <c r="A1967" s="72" t="s">
        <v>2240</v>
      </c>
      <c r="B1967" s="73" t="s">
        <v>3946</v>
      </c>
      <c r="C1967" s="23">
        <f>VLOOKUP(A1967,'[11]Linea Automotriz'!$A$1:$D$533,4,FALSE)</f>
        <v>7.33</v>
      </c>
      <c r="D1967" s="23">
        <f>VLOOKUP(A1967,'[11]Linea Automotriz'!$A$1:$E$533,5,FALSE)</f>
        <v>8.2799999999999994</v>
      </c>
      <c r="E1967" s="23">
        <f>VLOOKUP(A1967,'[11]Linea Automotriz'!$A$1:$F$533,6,FALSE)</f>
        <v>10.18</v>
      </c>
      <c r="F1967" s="23">
        <f>VLOOKUP(A1967,'[11]Linea Automotriz'!$A$2:$G$533,7,FALSE)</f>
        <v>11.5</v>
      </c>
    </row>
    <row r="1968" spans="1:6" x14ac:dyDescent="0.3">
      <c r="A1968" s="72" t="s">
        <v>2241</v>
      </c>
      <c r="B1968" s="73" t="s">
        <v>3946</v>
      </c>
      <c r="C1968" s="23">
        <f>VLOOKUP(A1968,'[11]Linea Automotriz'!$A$1:$D$533,4,FALSE)</f>
        <v>13.32</v>
      </c>
      <c r="D1968" s="23">
        <f>VLOOKUP(A1968,'[11]Linea Automotriz'!$A$1:$E$533,5,FALSE)</f>
        <v>15.05</v>
      </c>
      <c r="E1968" s="23">
        <f>VLOOKUP(A1968,'[11]Linea Automotriz'!$A$1:$F$533,6,FALSE)</f>
        <v>18.5</v>
      </c>
      <c r="F1968" s="23">
        <f>VLOOKUP(A1968,'[11]Linea Automotriz'!$A$2:$G$533,7,FALSE)</f>
        <v>20.9</v>
      </c>
    </row>
    <row r="1969" spans="1:6" x14ac:dyDescent="0.3">
      <c r="A1969" s="72" t="s">
        <v>2244</v>
      </c>
      <c r="B1969" s="73" t="s">
        <v>2245</v>
      </c>
      <c r="C1969" s="23">
        <f>VLOOKUP(A1969,'[11]Linea Automotriz'!$A$1:$D$533,4,FALSE)</f>
        <v>46.15</v>
      </c>
      <c r="D1969" s="23">
        <f>VLOOKUP(A1969,'[11]Linea Automotriz'!$A$1:$E$533,5,FALSE)</f>
        <v>52.15</v>
      </c>
      <c r="E1969" s="23">
        <f>VLOOKUP(A1969,'[11]Linea Automotriz'!$A$1:$F$533,6,FALSE)</f>
        <v>65.930000000000007</v>
      </c>
      <c r="F1969" s="23">
        <f>VLOOKUP(A1969,'[11]Linea Automotriz'!$A$2:$G$533,7,FALSE)</f>
        <v>74.5</v>
      </c>
    </row>
    <row r="1970" spans="1:6" x14ac:dyDescent="0.3">
      <c r="A1970" s="72" t="s">
        <v>2246</v>
      </c>
      <c r="B1970" s="73" t="s">
        <v>2247</v>
      </c>
      <c r="C1970" s="23">
        <f>VLOOKUP(A1970,'[11]Linea Automotriz'!$A$1:$D$533,4,FALSE)</f>
        <v>46.15</v>
      </c>
      <c r="D1970" s="23">
        <f>VLOOKUP(A1970,'[11]Linea Automotriz'!$A$1:$E$533,5,FALSE)</f>
        <v>52.15</v>
      </c>
      <c r="E1970" s="23">
        <f>VLOOKUP(A1970,'[11]Linea Automotriz'!$A$1:$F$533,6,FALSE)</f>
        <v>65.930000000000007</v>
      </c>
      <c r="F1970" s="23">
        <f>VLOOKUP(A1970,'[11]Linea Automotriz'!$A$2:$G$533,7,FALSE)</f>
        <v>74.5</v>
      </c>
    </row>
    <row r="1971" spans="1:6" x14ac:dyDescent="0.3">
      <c r="A1971" s="72" t="s">
        <v>2248</v>
      </c>
      <c r="B1971" s="73" t="s">
        <v>2249</v>
      </c>
      <c r="C1971" s="23">
        <f>VLOOKUP(A1971,'[11]Linea Automotriz'!$A$1:$D$533,4,FALSE)</f>
        <v>12.95</v>
      </c>
      <c r="D1971" s="23">
        <f>VLOOKUP(A1971,'[11]Linea Automotriz'!$A$1:$E$533,5,FALSE)</f>
        <v>14.63</v>
      </c>
      <c r="E1971" s="23">
        <f>VLOOKUP(A1971,'[11]Linea Automotriz'!$A$1:$F$533,6,FALSE)</f>
        <v>18.5</v>
      </c>
      <c r="F1971" s="23">
        <f>VLOOKUP(A1971,'[11]Linea Automotriz'!$A$2:$G$533,7,FALSE)</f>
        <v>20.9</v>
      </c>
    </row>
    <row r="1972" spans="1:6" x14ac:dyDescent="0.3">
      <c r="A1972" s="72" t="s">
        <v>2250</v>
      </c>
      <c r="B1972" s="73" t="s">
        <v>2251</v>
      </c>
      <c r="C1972" s="23">
        <f>VLOOKUP(A1972,'[11]Linea Automotriz'!$A$1:$D$533,4,FALSE)</f>
        <v>46.15</v>
      </c>
      <c r="D1972" s="23">
        <f>VLOOKUP(A1972,'[11]Linea Automotriz'!$A$1:$E$533,5,FALSE)</f>
        <v>52.15</v>
      </c>
      <c r="E1972" s="23">
        <f>VLOOKUP(A1972,'[11]Linea Automotriz'!$A$1:$F$533,6,FALSE)</f>
        <v>65.930000000000007</v>
      </c>
      <c r="F1972" s="23">
        <f>VLOOKUP(A1972,'[11]Linea Automotriz'!$A$2:$G$533,7,FALSE)</f>
        <v>74.5</v>
      </c>
    </row>
    <row r="1973" spans="1:6" x14ac:dyDescent="0.3">
      <c r="A1973" s="72" t="s">
        <v>2252</v>
      </c>
      <c r="B1973" s="73" t="s">
        <v>2253</v>
      </c>
      <c r="C1973" s="23">
        <f>VLOOKUP(A1973,'[11]Linea Automotriz'!$A$1:$D$533,4,FALSE)</f>
        <v>46.15</v>
      </c>
      <c r="D1973" s="23">
        <f>VLOOKUP(A1973,'[11]Linea Automotriz'!$A$1:$E$533,5,FALSE)</f>
        <v>52.15</v>
      </c>
      <c r="E1973" s="23">
        <f>VLOOKUP(A1973,'[11]Linea Automotriz'!$A$1:$F$533,6,FALSE)</f>
        <v>65.930000000000007</v>
      </c>
      <c r="F1973" s="23">
        <f>VLOOKUP(A1973,'[11]Linea Automotriz'!$A$2:$G$533,7,FALSE)</f>
        <v>74.5</v>
      </c>
    </row>
    <row r="1974" spans="1:6" x14ac:dyDescent="0.3">
      <c r="A1974" s="72" t="s">
        <v>2254</v>
      </c>
      <c r="B1974" s="73" t="s">
        <v>2255</v>
      </c>
      <c r="C1974" s="23">
        <f>VLOOKUP(A1974,'[11]Linea Automotriz'!$A$1:$D$533,4,FALSE)</f>
        <v>12.95</v>
      </c>
      <c r="D1974" s="23">
        <f>VLOOKUP(A1974,'[11]Linea Automotriz'!$A$1:$E$533,5,FALSE)</f>
        <v>14.63</v>
      </c>
      <c r="E1974" s="23">
        <f>VLOOKUP(A1974,'[11]Linea Automotriz'!$A$1:$F$533,6,FALSE)</f>
        <v>18.5</v>
      </c>
      <c r="F1974" s="23">
        <f>VLOOKUP(A1974,'[11]Linea Automotriz'!$A$2:$G$533,7,FALSE)</f>
        <v>20.9</v>
      </c>
    </row>
    <row r="1975" spans="1:6" x14ac:dyDescent="0.3">
      <c r="A1975" s="72" t="s">
        <v>2256</v>
      </c>
      <c r="B1975" s="73" t="s">
        <v>2257</v>
      </c>
      <c r="C1975" s="23">
        <f>VLOOKUP(A1975,'[11]Linea Automotriz'!$A$1:$D$533,4,FALSE)</f>
        <v>56.68</v>
      </c>
      <c r="D1975" s="23">
        <f>VLOOKUP(A1975,'[11]Linea Automotriz'!$A$1:$E$533,5,FALSE)</f>
        <v>64.05</v>
      </c>
      <c r="E1975" s="23">
        <f>VLOOKUP(A1975,'[11]Linea Automotriz'!$A$1:$F$533,6,FALSE)</f>
        <v>80.97</v>
      </c>
      <c r="F1975" s="23">
        <f>VLOOKUP(A1975,'[11]Linea Automotriz'!$A$2:$G$533,7,FALSE)</f>
        <v>91.5</v>
      </c>
    </row>
    <row r="1976" spans="1:6" x14ac:dyDescent="0.3">
      <c r="A1976" s="72" t="s">
        <v>2258</v>
      </c>
      <c r="B1976" s="73" t="s">
        <v>2259</v>
      </c>
      <c r="C1976" s="23">
        <f>VLOOKUP(A1976,'[11]Linea Automotriz'!$A$1:$D$533,4,FALSE)</f>
        <v>56.68</v>
      </c>
      <c r="D1976" s="23">
        <f>VLOOKUP(A1976,'[11]Linea Automotriz'!$A$1:$E$533,5,FALSE)</f>
        <v>64.05</v>
      </c>
      <c r="E1976" s="23">
        <f>VLOOKUP(A1976,'[11]Linea Automotriz'!$A$1:$F$533,6,FALSE)</f>
        <v>80.97</v>
      </c>
      <c r="F1976" s="23">
        <f>VLOOKUP(A1976,'[11]Linea Automotriz'!$A$2:$G$533,7,FALSE)</f>
        <v>91.5</v>
      </c>
    </row>
    <row r="1977" spans="1:6" x14ac:dyDescent="0.3">
      <c r="A1977" s="72" t="s">
        <v>2260</v>
      </c>
      <c r="B1977" s="73" t="s">
        <v>2261</v>
      </c>
      <c r="C1977" s="23">
        <f>VLOOKUP(A1977,'[11]Linea Automotriz'!$A$1:$D$533,4,FALSE)</f>
        <v>56.68</v>
      </c>
      <c r="D1977" s="23">
        <f>VLOOKUP(A1977,'[11]Linea Automotriz'!$A$1:$E$533,5,FALSE)</f>
        <v>64.05</v>
      </c>
      <c r="E1977" s="23">
        <f>VLOOKUP(A1977,'[11]Linea Automotriz'!$A$1:$F$533,6,FALSE)</f>
        <v>80.97</v>
      </c>
      <c r="F1977" s="23">
        <f>VLOOKUP(A1977,'[11]Linea Automotriz'!$A$2:$G$533,7,FALSE)</f>
        <v>91.5</v>
      </c>
    </row>
    <row r="1978" spans="1:6" x14ac:dyDescent="0.3">
      <c r="A1978" s="72" t="s">
        <v>2262</v>
      </c>
      <c r="B1978" s="73" t="s">
        <v>2263</v>
      </c>
      <c r="C1978" s="23">
        <f>VLOOKUP(A1978,'[11]Linea Automotriz'!$A$1:$D$533,4,FALSE)</f>
        <v>56.68</v>
      </c>
      <c r="D1978" s="23">
        <f>VLOOKUP(A1978,'[11]Linea Automotriz'!$A$1:$E$533,5,FALSE)</f>
        <v>64.05</v>
      </c>
      <c r="E1978" s="23">
        <f>VLOOKUP(A1978,'[11]Linea Automotriz'!$A$1:$F$533,6,FALSE)</f>
        <v>80.97</v>
      </c>
      <c r="F1978" s="23">
        <f>VLOOKUP(A1978,'[11]Linea Automotriz'!$A$2:$G$533,7,FALSE)</f>
        <v>91.5</v>
      </c>
    </row>
    <row r="1979" spans="1:6" x14ac:dyDescent="0.3">
      <c r="A1979" s="72" t="s">
        <v>2264</v>
      </c>
      <c r="B1979" s="73" t="s">
        <v>2265</v>
      </c>
      <c r="C1979" s="23">
        <f>VLOOKUP(A1979,'[11]Linea Automotriz'!$A$1:$D$533,4,FALSE)</f>
        <v>56.68</v>
      </c>
      <c r="D1979" s="23">
        <f>VLOOKUP(A1979,'[11]Linea Automotriz'!$A$1:$E$533,5,FALSE)</f>
        <v>64.05</v>
      </c>
      <c r="E1979" s="23">
        <f>VLOOKUP(A1979,'[11]Linea Automotriz'!$A$1:$F$533,6,FALSE)</f>
        <v>80.97</v>
      </c>
      <c r="F1979" s="23">
        <f>VLOOKUP(A1979,'[11]Linea Automotriz'!$A$2:$G$533,7,FALSE)</f>
        <v>91.5</v>
      </c>
    </row>
    <row r="1980" spans="1:6" x14ac:dyDescent="0.3">
      <c r="A1980" s="72" t="s">
        <v>2266</v>
      </c>
      <c r="B1980" s="73" t="s">
        <v>2267</v>
      </c>
      <c r="C1980" s="23">
        <f>VLOOKUP(A1980,'[11]Linea Automotriz'!$A$1:$D$533,4,FALSE)</f>
        <v>56.68</v>
      </c>
      <c r="D1980" s="23">
        <f>VLOOKUP(A1980,'[11]Linea Automotriz'!$A$1:$E$533,5,FALSE)</f>
        <v>64.05</v>
      </c>
      <c r="E1980" s="23">
        <f>VLOOKUP(A1980,'[11]Linea Automotriz'!$A$1:$F$533,6,FALSE)</f>
        <v>80.97</v>
      </c>
      <c r="F1980" s="23">
        <f>VLOOKUP(A1980,'[11]Linea Automotriz'!$A$2:$G$533,7,FALSE)</f>
        <v>91.5</v>
      </c>
    </row>
    <row r="1981" spans="1:6" x14ac:dyDescent="0.3">
      <c r="A1981" s="72" t="s">
        <v>2268</v>
      </c>
      <c r="B1981" s="73" t="s">
        <v>2269</v>
      </c>
      <c r="C1981" s="23">
        <f>VLOOKUP(A1981,'[11]Linea Automotriz'!$A$1:$D$533,4,FALSE)</f>
        <v>56.68</v>
      </c>
      <c r="D1981" s="23">
        <f>VLOOKUP(A1981,'[11]Linea Automotriz'!$A$1:$E$533,5,FALSE)</f>
        <v>64.05</v>
      </c>
      <c r="E1981" s="23">
        <f>VLOOKUP(A1981,'[11]Linea Automotriz'!$A$1:$F$533,6,FALSE)</f>
        <v>80.97</v>
      </c>
      <c r="F1981" s="23">
        <f>VLOOKUP(A1981,'[11]Linea Automotriz'!$A$2:$G$533,7,FALSE)</f>
        <v>91.5</v>
      </c>
    </row>
    <row r="1982" spans="1:6" x14ac:dyDescent="0.3">
      <c r="A1982" s="72" t="s">
        <v>2270</v>
      </c>
      <c r="B1982" s="73" t="s">
        <v>2271</v>
      </c>
      <c r="C1982" s="23">
        <f>VLOOKUP(A1982,'[11]Linea Automotriz'!$A$1:$D$533,4,FALSE)</f>
        <v>14.25</v>
      </c>
      <c r="D1982" s="23">
        <f>VLOOKUP(A1982,'[11]Linea Automotriz'!$A$1:$E$533,5,FALSE)</f>
        <v>16.100000000000001</v>
      </c>
      <c r="E1982" s="23">
        <f>VLOOKUP(A1982,'[11]Linea Automotriz'!$A$1:$F$533,6,FALSE)</f>
        <v>20.350000000000001</v>
      </c>
      <c r="F1982" s="23">
        <f>VLOOKUP(A1982,'[11]Linea Automotriz'!$A$2:$G$533,7,FALSE)</f>
        <v>23</v>
      </c>
    </row>
    <row r="1983" spans="1:6" x14ac:dyDescent="0.3">
      <c r="A1983" s="72" t="s">
        <v>2272</v>
      </c>
      <c r="B1983" s="73" t="s">
        <v>2273</v>
      </c>
      <c r="C1983" s="23">
        <f>VLOOKUP(A1983,'[11]Linea Automotriz'!$A$1:$D$533,4,FALSE)</f>
        <v>14.25</v>
      </c>
      <c r="D1983" s="23">
        <f>VLOOKUP(A1983,'[11]Linea Automotriz'!$A$1:$E$533,5,FALSE)</f>
        <v>16.100000000000001</v>
      </c>
      <c r="E1983" s="23">
        <f>VLOOKUP(A1983,'[11]Linea Automotriz'!$A$1:$F$533,6,FALSE)</f>
        <v>20.350000000000001</v>
      </c>
      <c r="F1983" s="23">
        <f>VLOOKUP(A1983,'[11]Linea Automotriz'!$A$2:$G$533,7,FALSE)</f>
        <v>23</v>
      </c>
    </row>
    <row r="1984" spans="1:6" x14ac:dyDescent="0.3">
      <c r="A1984" s="72" t="s">
        <v>2274</v>
      </c>
      <c r="B1984" s="73" t="s">
        <v>2275</v>
      </c>
      <c r="C1984" s="23">
        <f>VLOOKUP(A1984,'[11]Linea Automotriz'!$A$1:$D$533,4,FALSE)</f>
        <v>56.68</v>
      </c>
      <c r="D1984" s="23">
        <f>VLOOKUP(A1984,'[11]Linea Automotriz'!$A$1:$E$533,5,FALSE)</f>
        <v>64.05</v>
      </c>
      <c r="E1984" s="23">
        <f>VLOOKUP(A1984,'[11]Linea Automotriz'!$A$1:$F$533,6,FALSE)</f>
        <v>80.97</v>
      </c>
      <c r="F1984" s="23">
        <f>VLOOKUP(A1984,'[11]Linea Automotriz'!$A$2:$G$533,7,FALSE)</f>
        <v>91.5</v>
      </c>
    </row>
    <row r="1985" spans="1:6" x14ac:dyDescent="0.3">
      <c r="A1985" s="72" t="s">
        <v>2276</v>
      </c>
      <c r="B1985" s="73" t="s">
        <v>2277</v>
      </c>
      <c r="C1985" s="23">
        <f>VLOOKUP(A1985,'[11]Linea Automotriz'!$A$1:$D$533,4,FALSE)</f>
        <v>56.68</v>
      </c>
      <c r="D1985" s="23">
        <f>VLOOKUP(A1985,'[11]Linea Automotriz'!$A$1:$E$533,5,FALSE)</f>
        <v>64.05</v>
      </c>
      <c r="E1985" s="23">
        <f>VLOOKUP(A1985,'[11]Linea Automotriz'!$A$1:$F$533,6,FALSE)</f>
        <v>80.97</v>
      </c>
      <c r="F1985" s="23">
        <f>VLOOKUP(A1985,'[11]Linea Automotriz'!$A$2:$G$533,7,FALSE)</f>
        <v>91.5</v>
      </c>
    </row>
    <row r="1986" spans="1:6" x14ac:dyDescent="0.3">
      <c r="A1986" s="72" t="s">
        <v>2278</v>
      </c>
      <c r="B1986" s="73" t="s">
        <v>2279</v>
      </c>
      <c r="C1986" s="23">
        <f>VLOOKUP(A1986,'[11]Linea Automotriz'!$A$1:$D$533,4,FALSE)</f>
        <v>56.68</v>
      </c>
      <c r="D1986" s="23">
        <f>VLOOKUP(A1986,'[11]Linea Automotriz'!$A$1:$E$533,5,FALSE)</f>
        <v>64.05</v>
      </c>
      <c r="E1986" s="23">
        <f>VLOOKUP(A1986,'[11]Linea Automotriz'!$A$1:$F$533,6,FALSE)</f>
        <v>80.97</v>
      </c>
      <c r="F1986" s="23">
        <f>VLOOKUP(A1986,'[11]Linea Automotriz'!$A$2:$G$533,7,FALSE)</f>
        <v>91.5</v>
      </c>
    </row>
    <row r="1987" spans="1:6" x14ac:dyDescent="0.3">
      <c r="A1987" s="72" t="s">
        <v>2280</v>
      </c>
      <c r="B1987" s="73" t="s">
        <v>2281</v>
      </c>
      <c r="C1987" s="23">
        <f>VLOOKUP(A1987,'[11]Linea Automotriz'!$A$1:$D$533,4,FALSE)</f>
        <v>56.68</v>
      </c>
      <c r="D1987" s="23">
        <f>VLOOKUP(A1987,'[11]Linea Automotriz'!$A$1:$E$533,5,FALSE)</f>
        <v>64.05</v>
      </c>
      <c r="E1987" s="23">
        <f>VLOOKUP(A1987,'[11]Linea Automotriz'!$A$1:$F$533,6,FALSE)</f>
        <v>80.97</v>
      </c>
      <c r="F1987" s="23">
        <f>VLOOKUP(A1987,'[11]Linea Automotriz'!$A$2:$G$533,7,FALSE)</f>
        <v>91.5</v>
      </c>
    </row>
    <row r="1988" spans="1:6" x14ac:dyDescent="0.3">
      <c r="A1988" s="72" t="s">
        <v>2282</v>
      </c>
      <c r="B1988" s="73" t="s">
        <v>2283</v>
      </c>
      <c r="C1988" s="23">
        <f>VLOOKUP(A1988,'[11]Linea Automotriz'!$A$1:$D$533,4,FALSE)</f>
        <v>56.68</v>
      </c>
      <c r="D1988" s="23">
        <f>VLOOKUP(A1988,'[11]Linea Automotriz'!$A$1:$E$533,5,FALSE)</f>
        <v>64.05</v>
      </c>
      <c r="E1988" s="23">
        <f>VLOOKUP(A1988,'[11]Linea Automotriz'!$A$1:$F$533,6,FALSE)</f>
        <v>80.97</v>
      </c>
      <c r="F1988" s="23">
        <f>VLOOKUP(A1988,'[11]Linea Automotriz'!$A$2:$G$533,7,FALSE)</f>
        <v>91.5</v>
      </c>
    </row>
    <row r="1989" spans="1:6" x14ac:dyDescent="0.3">
      <c r="A1989" s="72" t="s">
        <v>2284</v>
      </c>
      <c r="B1989" s="73" t="s">
        <v>2285</v>
      </c>
      <c r="C1989" s="23">
        <f>VLOOKUP(A1989,'[11]Linea Automotriz'!$A$1:$D$533,4,FALSE)</f>
        <v>12.33</v>
      </c>
      <c r="D1989" s="23">
        <f>VLOOKUP(A1989,'[11]Linea Automotriz'!$A$1:$E$533,5,FALSE)</f>
        <v>13.93</v>
      </c>
      <c r="E1989" s="23">
        <f>VLOOKUP(A1989,'[11]Linea Automotriz'!$A$1:$F$533,6,FALSE)</f>
        <v>17.61</v>
      </c>
      <c r="F1989" s="23">
        <f>VLOOKUP(A1989,'[11]Linea Automotriz'!$A$2:$G$533,7,FALSE)</f>
        <v>19.899999999999999</v>
      </c>
    </row>
    <row r="1990" spans="1:6" x14ac:dyDescent="0.3">
      <c r="A1990" s="72" t="s">
        <v>2286</v>
      </c>
      <c r="B1990" s="73" t="s">
        <v>2285</v>
      </c>
      <c r="C1990" s="23">
        <f>VLOOKUP(A1990,'[11]Linea Automotriz'!$A$1:$D$533,4,FALSE)</f>
        <v>47.7</v>
      </c>
      <c r="D1990" s="23">
        <f>VLOOKUP(A1990,'[11]Linea Automotriz'!$A$1:$E$533,5,FALSE)</f>
        <v>53.9</v>
      </c>
      <c r="E1990" s="23">
        <f>VLOOKUP(A1990,'[11]Linea Automotriz'!$A$1:$F$533,6,FALSE)</f>
        <v>68.14</v>
      </c>
      <c r="F1990" s="23">
        <f>VLOOKUP(A1990,'[11]Linea Automotriz'!$A$2:$G$533,7,FALSE)</f>
        <v>77</v>
      </c>
    </row>
    <row r="1991" spans="1:6" x14ac:dyDescent="0.3">
      <c r="A1991" s="72" t="s">
        <v>2287</v>
      </c>
      <c r="B1991" s="73" t="s">
        <v>2288</v>
      </c>
      <c r="C1991" s="23">
        <f>VLOOKUP(A1991,'[11]Linea Automotriz'!$A$1:$D$533,4,FALSE)</f>
        <v>40.93</v>
      </c>
      <c r="D1991" s="23">
        <f>VLOOKUP(A1991,'[11]Linea Automotriz'!$A$1:$E$533,5,FALSE)</f>
        <v>46.25</v>
      </c>
      <c r="E1991" s="23">
        <f>VLOOKUP(A1991,'[11]Linea Automotriz'!$A$1:$F$533,6,FALSE)</f>
        <v>55.31</v>
      </c>
      <c r="F1991" s="23">
        <f>VLOOKUP(A1991,'[11]Linea Automotriz'!$A$2:$G$533,7,FALSE)</f>
        <v>62.5</v>
      </c>
    </row>
    <row r="1992" spans="1:6" x14ac:dyDescent="0.3">
      <c r="A1992" s="72" t="s">
        <v>2289</v>
      </c>
      <c r="B1992" s="73" t="s">
        <v>2290</v>
      </c>
      <c r="C1992" s="23">
        <f>VLOOKUP(A1992,'[11]Linea Automotriz'!$A$1:$D$533,4,FALSE)</f>
        <v>40.93</v>
      </c>
      <c r="D1992" s="23">
        <f>VLOOKUP(A1992,'[11]Linea Automotriz'!$A$1:$E$533,5,FALSE)</f>
        <v>46.25</v>
      </c>
      <c r="E1992" s="23">
        <f>VLOOKUP(A1992,'[11]Linea Automotriz'!$A$1:$F$533,6,FALSE)</f>
        <v>55.31</v>
      </c>
      <c r="F1992" s="23">
        <f>VLOOKUP(A1992,'[11]Linea Automotriz'!$A$2:$G$533,7,FALSE)</f>
        <v>62.5</v>
      </c>
    </row>
    <row r="1993" spans="1:6" x14ac:dyDescent="0.3">
      <c r="A1993" s="72" t="s">
        <v>2291</v>
      </c>
      <c r="B1993" s="73" t="s">
        <v>2292</v>
      </c>
      <c r="C1993" s="23">
        <f>VLOOKUP(A1993,'[11]Linea Automotriz'!$A$1:$D$533,4,FALSE)</f>
        <v>40.93</v>
      </c>
      <c r="D1993" s="23">
        <f>VLOOKUP(A1993,'[11]Linea Automotriz'!$A$1:$E$533,5,FALSE)</f>
        <v>46.25</v>
      </c>
      <c r="E1993" s="23">
        <f>VLOOKUP(A1993,'[11]Linea Automotriz'!$A$1:$F$533,6,FALSE)</f>
        <v>55.31</v>
      </c>
      <c r="F1993" s="23">
        <f>VLOOKUP(A1993,'[11]Linea Automotriz'!$A$2:$G$533,7,FALSE)</f>
        <v>62.5</v>
      </c>
    </row>
    <row r="1994" spans="1:6" x14ac:dyDescent="0.3">
      <c r="A1994" s="72" t="s">
        <v>2293</v>
      </c>
      <c r="B1994" s="73" t="s">
        <v>2294</v>
      </c>
      <c r="C1994" s="23">
        <f>VLOOKUP(A1994,'[11]Linea Automotriz'!$A$1:$D$533,4,FALSE)</f>
        <v>40.93</v>
      </c>
      <c r="D1994" s="23">
        <f>VLOOKUP(A1994,'[11]Linea Automotriz'!$A$1:$E$533,5,FALSE)</f>
        <v>46.25</v>
      </c>
      <c r="E1994" s="23">
        <f>VLOOKUP(A1994,'[11]Linea Automotriz'!$A$1:$F$533,6,FALSE)</f>
        <v>55.31</v>
      </c>
      <c r="F1994" s="23">
        <f>VLOOKUP(A1994,'[11]Linea Automotriz'!$A$2:$G$533,7,FALSE)</f>
        <v>62.5</v>
      </c>
    </row>
    <row r="1995" spans="1:6" x14ac:dyDescent="0.3">
      <c r="A1995" s="72" t="s">
        <v>2295</v>
      </c>
      <c r="B1995" s="73" t="s">
        <v>2296</v>
      </c>
      <c r="C1995" s="23">
        <f>VLOOKUP(A1995,'[11]Linea Automotriz'!$A$1:$D$533,4,FALSE)</f>
        <v>40.93</v>
      </c>
      <c r="D1995" s="23">
        <f>VLOOKUP(A1995,'[11]Linea Automotriz'!$A$1:$E$533,5,FALSE)</f>
        <v>46.25</v>
      </c>
      <c r="E1995" s="23">
        <f>VLOOKUP(A1995,'[11]Linea Automotriz'!$A$1:$F$533,6,FALSE)</f>
        <v>55.31</v>
      </c>
      <c r="F1995" s="23">
        <f>VLOOKUP(A1995,'[11]Linea Automotriz'!$A$2:$G$533,7,FALSE)</f>
        <v>62.5</v>
      </c>
    </row>
    <row r="1996" spans="1:6" x14ac:dyDescent="0.3">
      <c r="A1996" s="72" t="s">
        <v>2297</v>
      </c>
      <c r="B1996" s="73" t="s">
        <v>2298</v>
      </c>
      <c r="C1996" s="23">
        <f>VLOOKUP(A1996,'[11]Linea Automotriz'!$A$1:$D$533,4,FALSE)</f>
        <v>50.73</v>
      </c>
      <c r="D1996" s="23">
        <f>VLOOKUP(A1996,'[11]Linea Automotriz'!$A$1:$E$533,5,FALSE)</f>
        <v>57.33</v>
      </c>
      <c r="E1996" s="23">
        <f>VLOOKUP(A1996,'[11]Linea Automotriz'!$A$1:$F$533,6,FALSE)</f>
        <v>72.48</v>
      </c>
      <c r="F1996" s="23">
        <f>VLOOKUP(A1996,'[11]Linea Automotriz'!$A$2:$G$533,7,FALSE)</f>
        <v>81.900000000000006</v>
      </c>
    </row>
    <row r="1997" spans="1:6" x14ac:dyDescent="0.3">
      <c r="A1997" s="72" t="s">
        <v>2299</v>
      </c>
      <c r="B1997" s="73" t="s">
        <v>2300</v>
      </c>
      <c r="C1997" s="23">
        <f>VLOOKUP(A1997,'[11]Linea Automotriz'!$A$1:$D$533,4,FALSE)</f>
        <v>50.73</v>
      </c>
      <c r="D1997" s="23">
        <f>VLOOKUP(A1997,'[11]Linea Automotriz'!$A$1:$E$533,5,FALSE)</f>
        <v>57.33</v>
      </c>
      <c r="E1997" s="23">
        <f>VLOOKUP(A1997,'[11]Linea Automotriz'!$A$1:$F$533,6,FALSE)</f>
        <v>72.48</v>
      </c>
      <c r="F1997" s="23">
        <f>VLOOKUP(A1997,'[11]Linea Automotriz'!$A$2:$G$533,7,FALSE)</f>
        <v>81.900000000000006</v>
      </c>
    </row>
    <row r="1998" spans="1:6" x14ac:dyDescent="0.3">
      <c r="A1998" s="72" t="s">
        <v>2301</v>
      </c>
      <c r="B1998" s="73" t="s">
        <v>2302</v>
      </c>
      <c r="C1998" s="23">
        <f>VLOOKUP(A1998,'[11]Linea Automotriz'!$A$1:$D$533,4,FALSE)</f>
        <v>50.73</v>
      </c>
      <c r="D1998" s="23">
        <f>VLOOKUP(A1998,'[11]Linea Automotriz'!$A$1:$E$533,5,FALSE)</f>
        <v>57.33</v>
      </c>
      <c r="E1998" s="23">
        <f>VLOOKUP(A1998,'[11]Linea Automotriz'!$A$1:$F$533,6,FALSE)</f>
        <v>72.48</v>
      </c>
      <c r="F1998" s="23">
        <f>VLOOKUP(A1998,'[11]Linea Automotriz'!$A$2:$G$533,7,FALSE)</f>
        <v>81.900000000000006</v>
      </c>
    </row>
    <row r="1999" spans="1:6" x14ac:dyDescent="0.3">
      <c r="A1999" s="72" t="s">
        <v>2303</v>
      </c>
      <c r="B1999" s="73" t="s">
        <v>2304</v>
      </c>
      <c r="C1999" s="23">
        <f>VLOOKUP(A1999,'[11]Linea Automotriz'!$A$1:$D$533,4,FALSE)</f>
        <v>50.73</v>
      </c>
      <c r="D1999" s="23">
        <f>VLOOKUP(A1999,'[11]Linea Automotriz'!$A$1:$E$533,5,FALSE)</f>
        <v>57.33</v>
      </c>
      <c r="E1999" s="23">
        <f>VLOOKUP(A1999,'[11]Linea Automotriz'!$A$1:$F$533,6,FALSE)</f>
        <v>72.48</v>
      </c>
      <c r="F1999" s="23">
        <f>VLOOKUP(A1999,'[11]Linea Automotriz'!$A$2:$G$533,7,FALSE)</f>
        <v>81.900000000000006</v>
      </c>
    </row>
    <row r="2000" spans="1:6" x14ac:dyDescent="0.3">
      <c r="A2000" s="72" t="s">
        <v>2305</v>
      </c>
      <c r="B2000" s="73" t="s">
        <v>2306</v>
      </c>
      <c r="C2000" s="23">
        <f>VLOOKUP(A2000,'[11]Linea Automotriz'!$A$1:$D$533,4,FALSE)</f>
        <v>50.73</v>
      </c>
      <c r="D2000" s="23">
        <f>VLOOKUP(A2000,'[11]Linea Automotriz'!$A$1:$E$533,5,FALSE)</f>
        <v>57.33</v>
      </c>
      <c r="E2000" s="23">
        <f>VLOOKUP(A2000,'[11]Linea Automotriz'!$A$1:$F$533,6,FALSE)</f>
        <v>72.48</v>
      </c>
      <c r="F2000" s="23">
        <f>VLOOKUP(A2000,'[11]Linea Automotriz'!$A$2:$G$533,7,FALSE)</f>
        <v>81.900000000000006</v>
      </c>
    </row>
    <row r="2001" spans="1:6" x14ac:dyDescent="0.3">
      <c r="A2001" s="72" t="s">
        <v>2307</v>
      </c>
      <c r="B2001" s="73" t="s">
        <v>2308</v>
      </c>
      <c r="C2001" s="23">
        <f>VLOOKUP(A2001,'[11]Linea Automotriz'!$A$1:$D$533,4,FALSE)</f>
        <v>50.73</v>
      </c>
      <c r="D2001" s="23">
        <f>VLOOKUP(A2001,'[11]Linea Automotriz'!$A$1:$E$533,5,FALSE)</f>
        <v>57.33</v>
      </c>
      <c r="E2001" s="23">
        <f>VLOOKUP(A2001,'[11]Linea Automotriz'!$A$1:$F$533,6,FALSE)</f>
        <v>72.48</v>
      </c>
      <c r="F2001" s="23">
        <f>VLOOKUP(A2001,'[11]Linea Automotriz'!$A$2:$G$533,7,FALSE)</f>
        <v>81.900000000000006</v>
      </c>
    </row>
    <row r="2002" spans="1:6" x14ac:dyDescent="0.3">
      <c r="A2002" s="72" t="s">
        <v>2309</v>
      </c>
      <c r="B2002" s="73" t="s">
        <v>2310</v>
      </c>
      <c r="C2002" s="23">
        <f>VLOOKUP(A2002,'[11]Linea Automotriz'!$A$1:$D$533,4,FALSE)</f>
        <v>50.73</v>
      </c>
      <c r="D2002" s="23">
        <f>VLOOKUP(A2002,'[11]Linea Automotriz'!$A$1:$E$533,5,FALSE)</f>
        <v>57.33</v>
      </c>
      <c r="E2002" s="23">
        <f>VLOOKUP(A2002,'[11]Linea Automotriz'!$A$1:$F$533,6,FALSE)</f>
        <v>72.48</v>
      </c>
      <c r="F2002" s="23">
        <f>VLOOKUP(A2002,'[11]Linea Automotriz'!$A$2:$G$533,7,FALSE)</f>
        <v>81.900000000000006</v>
      </c>
    </row>
    <row r="2003" spans="1:6" x14ac:dyDescent="0.3">
      <c r="A2003" s="72" t="s">
        <v>2311</v>
      </c>
      <c r="B2003" s="73" t="s">
        <v>2312</v>
      </c>
      <c r="C2003" s="23">
        <f>VLOOKUP(A2003,'[11]Linea Automotriz'!$A$1:$D$533,4,FALSE)</f>
        <v>50.73</v>
      </c>
      <c r="D2003" s="23">
        <f>VLOOKUP(A2003,'[11]Linea Automotriz'!$A$1:$E$533,5,FALSE)</f>
        <v>57.33</v>
      </c>
      <c r="E2003" s="23">
        <f>VLOOKUP(A2003,'[11]Linea Automotriz'!$A$1:$F$533,6,FALSE)</f>
        <v>72.48</v>
      </c>
      <c r="F2003" s="23">
        <f>VLOOKUP(A2003,'[11]Linea Automotriz'!$A$2:$G$533,7,FALSE)</f>
        <v>81.900000000000006</v>
      </c>
    </row>
    <row r="2004" spans="1:6" x14ac:dyDescent="0.3">
      <c r="A2004" s="72" t="s">
        <v>2313</v>
      </c>
      <c r="B2004" s="73" t="s">
        <v>2314</v>
      </c>
      <c r="C2004" s="23">
        <f>VLOOKUP(A2004,'[11]Linea Automotriz'!$A$1:$D$533,4,FALSE)</f>
        <v>50.73</v>
      </c>
      <c r="D2004" s="23">
        <f>VLOOKUP(A2004,'[11]Linea Automotriz'!$A$1:$E$533,5,FALSE)</f>
        <v>57.33</v>
      </c>
      <c r="E2004" s="23">
        <f>VLOOKUP(A2004,'[11]Linea Automotriz'!$A$1:$F$533,6,FALSE)</f>
        <v>72.48</v>
      </c>
      <c r="F2004" s="23">
        <f>VLOOKUP(A2004,'[11]Linea Automotriz'!$A$2:$G$533,7,FALSE)</f>
        <v>81.900000000000006</v>
      </c>
    </row>
    <row r="2005" spans="1:6" x14ac:dyDescent="0.3">
      <c r="A2005" s="72" t="s">
        <v>2315</v>
      </c>
      <c r="B2005" s="73" t="s">
        <v>2316</v>
      </c>
      <c r="C2005" s="23">
        <f>VLOOKUP(A2005,'[11]Linea Automotriz'!$A$1:$D$533,4,FALSE)</f>
        <v>50.73</v>
      </c>
      <c r="D2005" s="23">
        <f>VLOOKUP(A2005,'[11]Linea Automotriz'!$A$1:$E$533,5,FALSE)</f>
        <v>57.33</v>
      </c>
      <c r="E2005" s="23">
        <f>VLOOKUP(A2005,'[11]Linea Automotriz'!$A$1:$F$533,6,FALSE)</f>
        <v>72.48</v>
      </c>
      <c r="F2005" s="23">
        <f>VLOOKUP(A2005,'[11]Linea Automotriz'!$A$2:$G$533,7,FALSE)</f>
        <v>81.900000000000006</v>
      </c>
    </row>
    <row r="2006" spans="1:6" x14ac:dyDescent="0.3">
      <c r="A2006" s="72" t="s">
        <v>2317</v>
      </c>
      <c r="B2006" s="73" t="s">
        <v>2318</v>
      </c>
      <c r="C2006" s="23">
        <f>VLOOKUP(A2006,'[11]Linea Automotriz'!$A$1:$D$533,4,FALSE)</f>
        <v>47.08</v>
      </c>
      <c r="D2006" s="23">
        <f>VLOOKUP(A2006,'[11]Linea Automotriz'!$A$1:$E$533,5,FALSE)</f>
        <v>53.2</v>
      </c>
      <c r="E2006" s="23">
        <f>VLOOKUP(A2006,'[11]Linea Automotriz'!$A$1:$F$533,6,FALSE)</f>
        <v>67.260000000000005</v>
      </c>
      <c r="F2006" s="23">
        <f>VLOOKUP(A2006,'[11]Linea Automotriz'!$A$2:$G$533,7,FALSE)</f>
        <v>76</v>
      </c>
    </row>
    <row r="2007" spans="1:6" x14ac:dyDescent="0.3">
      <c r="A2007" s="72" t="s">
        <v>2319</v>
      </c>
      <c r="B2007" s="73" t="s">
        <v>2320</v>
      </c>
      <c r="C2007" s="23">
        <f>VLOOKUP(A2007,'[11]Linea Automotriz'!$A$1:$D$533,4,FALSE)</f>
        <v>42.68</v>
      </c>
      <c r="D2007" s="23">
        <f>VLOOKUP(A2007,'[11]Linea Automotriz'!$A$1:$E$533,5,FALSE)</f>
        <v>48.23</v>
      </c>
      <c r="E2007" s="23">
        <f>VLOOKUP(A2007,'[11]Linea Automotriz'!$A$1:$F$533,6,FALSE)</f>
        <v>60.97</v>
      </c>
      <c r="F2007" s="23">
        <f>VLOOKUP(A2007,'[11]Linea Automotriz'!$A$2:$G$533,7,FALSE)</f>
        <v>68.900000000000006</v>
      </c>
    </row>
    <row r="2008" spans="1:6" x14ac:dyDescent="0.3">
      <c r="A2008" s="72" t="s">
        <v>2321</v>
      </c>
      <c r="B2008" s="73" t="s">
        <v>2322</v>
      </c>
      <c r="C2008" s="23">
        <f>VLOOKUP(A2008,'[11]Linea Automotriz'!$A$1:$D$533,4,FALSE)</f>
        <v>41.58</v>
      </c>
      <c r="D2008" s="23">
        <f>VLOOKUP(A2008,'[11]Linea Automotriz'!$A$1:$E$533,5,FALSE)</f>
        <v>46.99</v>
      </c>
      <c r="E2008" s="23">
        <f>VLOOKUP(A2008,'[11]Linea Automotriz'!$A$1:$F$533,6,FALSE)</f>
        <v>56.19</v>
      </c>
      <c r="F2008" s="23">
        <f>VLOOKUP(A2008,'[11]Linea Automotriz'!$A$2:$G$533,7,FALSE)</f>
        <v>63.5</v>
      </c>
    </row>
    <row r="2009" spans="1:6" x14ac:dyDescent="0.3">
      <c r="A2009" s="72" t="s">
        <v>2323</v>
      </c>
      <c r="B2009" s="73" t="s">
        <v>2324</v>
      </c>
      <c r="C2009" s="23">
        <f>VLOOKUP(A2009,'[11]Linea Automotriz'!$A$1:$D$533,4,FALSE)</f>
        <v>7.74</v>
      </c>
      <c r="D2009" s="23">
        <f>VLOOKUP(A2009,'[11]Linea Automotriz'!$A$1:$E$533,5,FALSE)</f>
        <v>8.75</v>
      </c>
      <c r="E2009" s="23">
        <f>VLOOKUP(A2009,'[11]Linea Automotriz'!$A$1:$F$533,6,FALSE)</f>
        <v>11.06</v>
      </c>
      <c r="F2009" s="23">
        <f>VLOOKUP(A2009,'[11]Linea Automotriz'!$A$2:$G$533,7,FALSE)</f>
        <v>12.5</v>
      </c>
    </row>
    <row r="2010" spans="1:6" x14ac:dyDescent="0.3">
      <c r="A2010" s="72" t="s">
        <v>2325</v>
      </c>
      <c r="B2010" s="73" t="s">
        <v>3947</v>
      </c>
      <c r="C2010" s="23">
        <f>VLOOKUP(A2010,'[11]Linea Automotriz'!$A$1:$D$533,4,FALSE)</f>
        <v>35.619999999999997</v>
      </c>
      <c r="D2010" s="23">
        <f>VLOOKUP(A2010,'[11]Linea Automotriz'!$A$1:$E$533,5,FALSE)</f>
        <v>40.25</v>
      </c>
      <c r="E2010" s="23">
        <f>VLOOKUP(A2010,'[11]Linea Automotriz'!$A$1:$F$533,6,FALSE)</f>
        <v>49.47</v>
      </c>
      <c r="F2010" s="23">
        <f>VLOOKUP(A2010,'[11]Linea Automotriz'!$A$2:$G$533,7,FALSE)</f>
        <v>55.9</v>
      </c>
    </row>
    <row r="2011" spans="1:6" x14ac:dyDescent="0.3">
      <c r="A2011" s="72" t="s">
        <v>2326</v>
      </c>
      <c r="B2011" s="73" t="s">
        <v>3947</v>
      </c>
      <c r="C2011" s="23">
        <f>VLOOKUP(A2011,'[11]Linea Automotriz'!$A$1:$D$533,4,FALSE)</f>
        <v>9.8800000000000008</v>
      </c>
      <c r="D2011" s="23">
        <f>VLOOKUP(A2011,'[11]Linea Automotriz'!$A$1:$E$533,5,FALSE)</f>
        <v>11.16</v>
      </c>
      <c r="E2011" s="23">
        <f>VLOOKUP(A2011,'[11]Linea Automotriz'!$A$1:$F$533,6,FALSE)</f>
        <v>13.72</v>
      </c>
      <c r="F2011" s="23">
        <f>VLOOKUP(A2011,'[11]Linea Automotriz'!$A$2:$G$533,7,FALSE)</f>
        <v>15.5</v>
      </c>
    </row>
    <row r="2012" spans="1:6" x14ac:dyDescent="0.3">
      <c r="A2012" s="72" t="s">
        <v>2327</v>
      </c>
      <c r="B2012" s="73" t="s">
        <v>3947</v>
      </c>
      <c r="C2012" s="23">
        <f>VLOOKUP(A2012,'[11]Linea Automotriz'!$A$1:$D$533,4,FALSE)</f>
        <v>38.04</v>
      </c>
      <c r="D2012" s="23">
        <f>VLOOKUP(A2012,'[11]Linea Automotriz'!$A$1:$E$533,5,FALSE)</f>
        <v>42.98</v>
      </c>
      <c r="E2012" s="23">
        <f>VLOOKUP(A2012,'[11]Linea Automotriz'!$A$1:$F$533,6,FALSE)</f>
        <v>52.83</v>
      </c>
      <c r="F2012" s="23">
        <f>VLOOKUP(A2012,'[11]Linea Automotriz'!$A$2:$G$533,7,FALSE)</f>
        <v>59.7</v>
      </c>
    </row>
    <row r="2013" spans="1:6" x14ac:dyDescent="0.3">
      <c r="A2013" s="72" t="s">
        <v>2328</v>
      </c>
      <c r="B2013" s="73" t="s">
        <v>2329</v>
      </c>
      <c r="C2013" s="23">
        <f>VLOOKUP(A2013,'[11]Linea Automotriz'!$A$1:$D$533,4,FALSE)</f>
        <v>10.01</v>
      </c>
      <c r="D2013" s="23">
        <f>VLOOKUP(A2013,'[11]Linea Automotriz'!$A$1:$E$533,5,FALSE)</f>
        <v>11.31</v>
      </c>
      <c r="E2013" s="23">
        <f>VLOOKUP(A2013,'[11]Linea Automotriz'!$A$1:$F$533,6,FALSE)</f>
        <v>12.83</v>
      </c>
      <c r="F2013" s="23">
        <f>VLOOKUP(A2013,'[11]Linea Automotriz'!$A$2:$G$533,7,FALSE)</f>
        <v>14.5</v>
      </c>
    </row>
    <row r="2014" spans="1:6" x14ac:dyDescent="0.3">
      <c r="A2014" s="72" t="s">
        <v>2330</v>
      </c>
      <c r="B2014" s="73" t="s">
        <v>2331</v>
      </c>
      <c r="C2014" s="23">
        <f>VLOOKUP(A2014,'[11]Linea Automotriz'!$A$1:$D$533,4,FALSE)</f>
        <v>10.01</v>
      </c>
      <c r="D2014" s="23">
        <f>VLOOKUP(A2014,'[11]Linea Automotriz'!$A$1:$E$533,5,FALSE)</f>
        <v>11.31</v>
      </c>
      <c r="E2014" s="23">
        <f>VLOOKUP(A2014,'[11]Linea Automotriz'!$A$1:$F$533,6,FALSE)</f>
        <v>12.83</v>
      </c>
      <c r="F2014" s="23">
        <f>VLOOKUP(A2014,'[11]Linea Automotriz'!$A$2:$G$533,7,FALSE)</f>
        <v>14.5</v>
      </c>
    </row>
    <row r="2015" spans="1:6" x14ac:dyDescent="0.3">
      <c r="A2015" s="72" t="s">
        <v>2332</v>
      </c>
      <c r="B2015" s="73" t="s">
        <v>2333</v>
      </c>
      <c r="C2015" s="23">
        <f>VLOOKUP(A2015,'[11]Linea Automotriz'!$A$1:$D$533,4,FALSE)</f>
        <v>10.01</v>
      </c>
      <c r="D2015" s="23">
        <f>VLOOKUP(A2015,'[11]Linea Automotriz'!$A$1:$E$533,5,FALSE)</f>
        <v>11.31</v>
      </c>
      <c r="E2015" s="23">
        <f>VLOOKUP(A2015,'[11]Linea Automotriz'!$A$1:$F$533,6,FALSE)</f>
        <v>12.83</v>
      </c>
      <c r="F2015" s="23">
        <f>VLOOKUP(A2015,'[11]Linea Automotriz'!$A$2:$G$533,7,FALSE)</f>
        <v>14.5</v>
      </c>
    </row>
    <row r="2016" spans="1:6" x14ac:dyDescent="0.3">
      <c r="A2016" s="72" t="s">
        <v>2334</v>
      </c>
      <c r="B2016" s="73" t="s">
        <v>2335</v>
      </c>
      <c r="C2016" s="23">
        <f>VLOOKUP(A2016,'[11]Linea Automotriz'!$A$1:$D$533,4,FALSE)</f>
        <v>10.01</v>
      </c>
      <c r="D2016" s="23">
        <f>VLOOKUP(A2016,'[11]Linea Automotriz'!$A$1:$E$533,5,FALSE)</f>
        <v>11.31</v>
      </c>
      <c r="E2016" s="23">
        <f>VLOOKUP(A2016,'[11]Linea Automotriz'!$A$1:$F$533,6,FALSE)</f>
        <v>12.83</v>
      </c>
      <c r="F2016" s="23">
        <f>VLOOKUP(A2016,'[11]Linea Automotriz'!$A$2:$G$533,7,FALSE)</f>
        <v>14.5</v>
      </c>
    </row>
    <row r="2017" spans="1:6" x14ac:dyDescent="0.3">
      <c r="A2017" s="72" t="s">
        <v>2336</v>
      </c>
      <c r="B2017" s="73" t="s">
        <v>2329</v>
      </c>
      <c r="C2017" s="23">
        <f>VLOOKUP(A2017,'[11]Linea Automotriz'!$A$1:$D$533,4,FALSE)</f>
        <v>32.1</v>
      </c>
      <c r="D2017" s="23">
        <f>VLOOKUP(A2017,'[11]Linea Automotriz'!$A$1:$E$533,5,FALSE)</f>
        <v>36.270000000000003</v>
      </c>
      <c r="E2017" s="23">
        <f>VLOOKUP(A2017,'[11]Linea Automotriz'!$A$1:$F$533,6,FALSE)</f>
        <v>41.15</v>
      </c>
      <c r="F2017" s="23">
        <f>VLOOKUP(A2017,'[11]Linea Automotriz'!$A$2:$G$533,7,FALSE)</f>
        <v>46.5</v>
      </c>
    </row>
    <row r="2018" spans="1:6" x14ac:dyDescent="0.3">
      <c r="A2018" s="72" t="s">
        <v>2337</v>
      </c>
      <c r="B2018" s="73" t="s">
        <v>2331</v>
      </c>
      <c r="C2018" s="23">
        <f>VLOOKUP(A2018,'[11]Linea Automotriz'!$A$1:$D$533,4,FALSE)</f>
        <v>32.1</v>
      </c>
      <c r="D2018" s="23">
        <f>VLOOKUP(A2018,'[11]Linea Automotriz'!$A$1:$E$533,5,FALSE)</f>
        <v>36.270000000000003</v>
      </c>
      <c r="E2018" s="23">
        <f>VLOOKUP(A2018,'[11]Linea Automotriz'!$A$1:$F$533,6,FALSE)</f>
        <v>41.15</v>
      </c>
      <c r="F2018" s="23">
        <f>VLOOKUP(A2018,'[11]Linea Automotriz'!$A$2:$G$533,7,FALSE)</f>
        <v>46.5</v>
      </c>
    </row>
    <row r="2019" spans="1:6" x14ac:dyDescent="0.3">
      <c r="A2019" s="72" t="s">
        <v>2338</v>
      </c>
      <c r="B2019" s="73" t="s">
        <v>2333</v>
      </c>
      <c r="C2019" s="23">
        <f>VLOOKUP(A2019,'[11]Linea Automotriz'!$A$1:$D$533,4,FALSE)</f>
        <v>32.1</v>
      </c>
      <c r="D2019" s="23">
        <f>VLOOKUP(A2019,'[11]Linea Automotriz'!$A$1:$E$533,5,FALSE)</f>
        <v>36.270000000000003</v>
      </c>
      <c r="E2019" s="23">
        <f>VLOOKUP(A2019,'[11]Linea Automotriz'!$A$1:$F$533,6,FALSE)</f>
        <v>41.15</v>
      </c>
      <c r="F2019" s="23">
        <f>VLOOKUP(A2019,'[11]Linea Automotriz'!$A$2:$G$533,7,FALSE)</f>
        <v>46.5</v>
      </c>
    </row>
    <row r="2020" spans="1:6" x14ac:dyDescent="0.3">
      <c r="A2020" s="72" t="s">
        <v>2339</v>
      </c>
      <c r="B2020" s="73" t="s">
        <v>2335</v>
      </c>
      <c r="C2020" s="23">
        <f>VLOOKUP(A2020,'[11]Linea Automotriz'!$A$1:$D$533,4,FALSE)</f>
        <v>32.1</v>
      </c>
      <c r="D2020" s="23">
        <f>VLOOKUP(A2020,'[11]Linea Automotriz'!$A$1:$E$533,5,FALSE)</f>
        <v>36.270000000000003</v>
      </c>
      <c r="E2020" s="23">
        <f>VLOOKUP(A2020,'[11]Linea Automotriz'!$A$1:$F$533,6,FALSE)</f>
        <v>41.15</v>
      </c>
      <c r="F2020" s="23">
        <f>VLOOKUP(A2020,'[11]Linea Automotriz'!$A$2:$G$533,7,FALSE)</f>
        <v>46.5</v>
      </c>
    </row>
    <row r="2021" spans="1:6" x14ac:dyDescent="0.3">
      <c r="A2021" s="72" t="s">
        <v>2340</v>
      </c>
      <c r="B2021" s="73" t="s">
        <v>2341</v>
      </c>
      <c r="C2021" s="23">
        <f>VLOOKUP(A2021,'[11]Linea Automotriz'!$A$1:$D$533,4,FALSE)</f>
        <v>28.49</v>
      </c>
      <c r="D2021" s="23">
        <f>VLOOKUP(A2021,'[11]Linea Automotriz'!$A$1:$E$533,5,FALSE)</f>
        <v>32.19</v>
      </c>
      <c r="E2021" s="23">
        <f>VLOOKUP(A2021,'[11]Linea Automotriz'!$A$1:$F$533,6,FALSE)</f>
        <v>38.5</v>
      </c>
      <c r="F2021" s="23">
        <f>VLOOKUP(A2021,'[11]Linea Automotriz'!$A$2:$G$533,7,FALSE)</f>
        <v>43.5</v>
      </c>
    </row>
    <row r="2022" spans="1:6" x14ac:dyDescent="0.3">
      <c r="A2022" s="72" t="s">
        <v>2342</v>
      </c>
      <c r="B2022" s="73" t="s">
        <v>2343</v>
      </c>
      <c r="C2022" s="23">
        <f>VLOOKUP(A2022,'[11]Linea Automotriz'!$A$1:$D$533,4,FALSE)</f>
        <v>28.49</v>
      </c>
      <c r="D2022" s="23">
        <f>VLOOKUP(A2022,'[11]Linea Automotriz'!$A$1:$E$533,5,FALSE)</f>
        <v>32.19</v>
      </c>
      <c r="E2022" s="23">
        <f>VLOOKUP(A2022,'[11]Linea Automotriz'!$A$1:$F$533,6,FALSE)</f>
        <v>38.5</v>
      </c>
      <c r="F2022" s="23">
        <f>VLOOKUP(A2022,'[11]Linea Automotriz'!$A$2:$G$533,7,FALSE)</f>
        <v>43.5</v>
      </c>
    </row>
    <row r="2023" spans="1:6" x14ac:dyDescent="0.3">
      <c r="A2023" s="72" t="s">
        <v>2344</v>
      </c>
      <c r="B2023" s="73" t="s">
        <v>2345</v>
      </c>
      <c r="C2023" s="23">
        <f>VLOOKUP(A2023,'[11]Linea Automotriz'!$A$1:$D$533,4,FALSE)</f>
        <v>28.49</v>
      </c>
      <c r="D2023" s="23">
        <f>VLOOKUP(A2023,'[11]Linea Automotriz'!$A$1:$E$533,5,FALSE)</f>
        <v>32.19</v>
      </c>
      <c r="E2023" s="23">
        <f>VLOOKUP(A2023,'[11]Linea Automotriz'!$A$1:$F$533,6,FALSE)</f>
        <v>38.5</v>
      </c>
      <c r="F2023" s="23">
        <f>VLOOKUP(A2023,'[11]Linea Automotriz'!$A$2:$G$533,7,FALSE)</f>
        <v>43.5</v>
      </c>
    </row>
    <row r="2024" spans="1:6" x14ac:dyDescent="0.3">
      <c r="A2024" s="72" t="s">
        <v>2346</v>
      </c>
      <c r="B2024" s="73" t="s">
        <v>2347</v>
      </c>
      <c r="C2024" s="23">
        <f>VLOOKUP(A2024,'[11]Linea Automotriz'!$A$1:$D$533,4,FALSE)</f>
        <v>28.49</v>
      </c>
      <c r="D2024" s="23">
        <f>VLOOKUP(A2024,'[11]Linea Automotriz'!$A$1:$E$533,5,FALSE)</f>
        <v>32.19</v>
      </c>
      <c r="E2024" s="23">
        <f>VLOOKUP(A2024,'[11]Linea Automotriz'!$A$1:$F$533,6,FALSE)</f>
        <v>38.5</v>
      </c>
      <c r="F2024" s="23">
        <f>VLOOKUP(A2024,'[11]Linea Automotriz'!$A$2:$G$533,7,FALSE)</f>
        <v>43.5</v>
      </c>
    </row>
    <row r="2025" spans="1:6" x14ac:dyDescent="0.3">
      <c r="A2025" s="72" t="s">
        <v>2348</v>
      </c>
      <c r="B2025" s="73" t="s">
        <v>2349</v>
      </c>
      <c r="C2025" s="23">
        <f>VLOOKUP(A2025,'[11]Linea Automotriz'!$A$1:$D$533,4,FALSE)</f>
        <v>28.49</v>
      </c>
      <c r="D2025" s="23">
        <f>VLOOKUP(A2025,'[11]Linea Automotriz'!$A$1:$E$533,5,FALSE)</f>
        <v>32.19</v>
      </c>
      <c r="E2025" s="23">
        <f>VLOOKUP(A2025,'[11]Linea Automotriz'!$A$1:$F$533,6,FALSE)</f>
        <v>38.5</v>
      </c>
      <c r="F2025" s="23">
        <f>VLOOKUP(A2025,'[11]Linea Automotriz'!$A$2:$G$533,7,FALSE)</f>
        <v>43.5</v>
      </c>
    </row>
    <row r="2026" spans="1:6" x14ac:dyDescent="0.3">
      <c r="A2026" s="72" t="s">
        <v>2350</v>
      </c>
      <c r="B2026" s="73" t="s">
        <v>2351</v>
      </c>
      <c r="C2026" s="23">
        <f>VLOOKUP(A2026,'[11]Linea Automotriz'!$A$1:$D$533,4,FALSE)</f>
        <v>45.78</v>
      </c>
      <c r="D2026" s="23">
        <f>VLOOKUP(A2026,'[11]Linea Automotriz'!$A$1:$E$533,5,FALSE)</f>
        <v>51.73</v>
      </c>
      <c r="E2026" s="23">
        <f>VLOOKUP(A2026,'[11]Linea Automotriz'!$A$1:$F$533,6,FALSE)</f>
        <v>61.86</v>
      </c>
      <c r="F2026" s="23">
        <f>VLOOKUP(A2026,'[11]Linea Automotriz'!$A$2:$G$533,7,FALSE)</f>
        <v>69.900000000000006</v>
      </c>
    </row>
    <row r="2027" spans="1:6" x14ac:dyDescent="0.3">
      <c r="A2027" s="72" t="s">
        <v>2352</v>
      </c>
      <c r="B2027" s="73" t="s">
        <v>2353</v>
      </c>
      <c r="C2027" s="23">
        <f>VLOOKUP(A2027,'[11]Linea Automotriz'!$A$1:$D$533,4,FALSE)</f>
        <v>45.78</v>
      </c>
      <c r="D2027" s="23">
        <f>VLOOKUP(A2027,'[11]Linea Automotriz'!$A$1:$E$533,5,FALSE)</f>
        <v>51.73</v>
      </c>
      <c r="E2027" s="23">
        <f>VLOOKUP(A2027,'[11]Linea Automotriz'!$A$1:$F$533,6,FALSE)</f>
        <v>61.86</v>
      </c>
      <c r="F2027" s="23">
        <f>VLOOKUP(A2027,'[11]Linea Automotriz'!$A$2:$G$533,7,FALSE)</f>
        <v>69.900000000000006</v>
      </c>
    </row>
    <row r="2028" spans="1:6" x14ac:dyDescent="0.3">
      <c r="A2028" s="72" t="s">
        <v>2354</v>
      </c>
      <c r="B2028" s="73" t="s">
        <v>2355</v>
      </c>
      <c r="C2028" s="23">
        <f>VLOOKUP(A2028,'[11]Linea Automotriz'!$A$1:$D$533,4,FALSE)</f>
        <v>45.78</v>
      </c>
      <c r="D2028" s="23">
        <f>VLOOKUP(A2028,'[11]Linea Automotriz'!$A$1:$E$533,5,FALSE)</f>
        <v>51.73</v>
      </c>
      <c r="E2028" s="23">
        <f>VLOOKUP(A2028,'[11]Linea Automotriz'!$A$1:$F$533,6,FALSE)</f>
        <v>61.86</v>
      </c>
      <c r="F2028" s="23">
        <f>VLOOKUP(A2028,'[11]Linea Automotriz'!$A$2:$G$533,7,FALSE)</f>
        <v>69.900000000000006</v>
      </c>
    </row>
    <row r="2029" spans="1:6" x14ac:dyDescent="0.3">
      <c r="A2029" s="72" t="s">
        <v>2356</v>
      </c>
      <c r="B2029" s="73" t="s">
        <v>2357</v>
      </c>
      <c r="C2029" s="23">
        <f>VLOOKUP(A2029,'[11]Linea Automotriz'!$A$1:$D$533,4,FALSE)</f>
        <v>45.78</v>
      </c>
      <c r="D2029" s="23">
        <f>VLOOKUP(A2029,'[11]Linea Automotriz'!$A$1:$E$533,5,FALSE)</f>
        <v>51.73</v>
      </c>
      <c r="E2029" s="23">
        <f>VLOOKUP(A2029,'[11]Linea Automotriz'!$A$1:$F$533,6,FALSE)</f>
        <v>61.86</v>
      </c>
      <c r="F2029" s="23">
        <f>VLOOKUP(A2029,'[11]Linea Automotriz'!$A$2:$G$533,7,FALSE)</f>
        <v>69.900000000000006</v>
      </c>
    </row>
    <row r="2030" spans="1:6" x14ac:dyDescent="0.3">
      <c r="A2030" s="72" t="s">
        <v>2358</v>
      </c>
      <c r="B2030" s="73" t="s">
        <v>2359</v>
      </c>
      <c r="C2030" s="23">
        <f>VLOOKUP(A2030,'[11]Linea Automotriz'!$A$1:$D$533,4,FALSE)</f>
        <v>45.78</v>
      </c>
      <c r="D2030" s="23">
        <f>VLOOKUP(A2030,'[11]Linea Automotriz'!$A$1:$E$533,5,FALSE)</f>
        <v>51.73</v>
      </c>
      <c r="E2030" s="23">
        <f>VLOOKUP(A2030,'[11]Linea Automotriz'!$A$1:$F$533,6,FALSE)</f>
        <v>61.86</v>
      </c>
      <c r="F2030" s="23">
        <f>VLOOKUP(A2030,'[11]Linea Automotriz'!$A$2:$G$533,7,FALSE)</f>
        <v>69.900000000000006</v>
      </c>
    </row>
    <row r="2031" spans="1:6" x14ac:dyDescent="0.3">
      <c r="A2031" s="72" t="s">
        <v>2360</v>
      </c>
      <c r="B2031" s="73" t="s">
        <v>2361</v>
      </c>
      <c r="C2031" s="23">
        <f>VLOOKUP(A2031,'[11]Linea Automotriz'!$A$1:$D$533,4,FALSE)</f>
        <v>45.78</v>
      </c>
      <c r="D2031" s="23">
        <f>VLOOKUP(A2031,'[11]Linea Automotriz'!$A$1:$E$533,5,FALSE)</f>
        <v>51.73</v>
      </c>
      <c r="E2031" s="23">
        <f>VLOOKUP(A2031,'[11]Linea Automotriz'!$A$1:$F$533,6,FALSE)</f>
        <v>61.86</v>
      </c>
      <c r="F2031" s="23">
        <f>VLOOKUP(A2031,'[11]Linea Automotriz'!$A$2:$G$533,7,FALSE)</f>
        <v>69.900000000000006</v>
      </c>
    </row>
    <row r="2032" spans="1:6" x14ac:dyDescent="0.3">
      <c r="A2032" s="72" t="s">
        <v>2362</v>
      </c>
      <c r="B2032" s="73" t="s">
        <v>2363</v>
      </c>
      <c r="C2032" s="23">
        <f>VLOOKUP(A2032,'[11]Linea Automotriz'!$A$1:$D$533,4,FALSE)</f>
        <v>45.78</v>
      </c>
      <c r="D2032" s="23">
        <f>VLOOKUP(A2032,'[11]Linea Automotriz'!$A$1:$E$533,5,FALSE)</f>
        <v>51.73</v>
      </c>
      <c r="E2032" s="23">
        <f>VLOOKUP(A2032,'[11]Linea Automotriz'!$A$1:$F$533,6,FALSE)</f>
        <v>61.86</v>
      </c>
      <c r="F2032" s="23">
        <f>VLOOKUP(A2032,'[11]Linea Automotriz'!$A$2:$G$533,7,FALSE)</f>
        <v>69.900000000000006</v>
      </c>
    </row>
    <row r="2033" spans="1:6" x14ac:dyDescent="0.3">
      <c r="A2033" s="72" t="s">
        <v>2364</v>
      </c>
      <c r="B2033" s="73" t="s">
        <v>2365</v>
      </c>
      <c r="C2033" s="23">
        <f>VLOOKUP(A2033,'[11]Linea Automotriz'!$A$1:$D$533,4,FALSE)</f>
        <v>45.78</v>
      </c>
      <c r="D2033" s="23">
        <f>VLOOKUP(A2033,'[11]Linea Automotriz'!$A$1:$E$533,5,FALSE)</f>
        <v>51.73</v>
      </c>
      <c r="E2033" s="23">
        <f>VLOOKUP(A2033,'[11]Linea Automotriz'!$A$1:$F$533,6,FALSE)</f>
        <v>61.86</v>
      </c>
      <c r="F2033" s="23">
        <f>VLOOKUP(A2033,'[11]Linea Automotriz'!$A$2:$G$533,7,FALSE)</f>
        <v>69.900000000000006</v>
      </c>
    </row>
    <row r="2034" spans="1:6" x14ac:dyDescent="0.3">
      <c r="A2034" s="72" t="s">
        <v>2366</v>
      </c>
      <c r="B2034" s="73" t="s">
        <v>2367</v>
      </c>
      <c r="C2034" s="23">
        <f>VLOOKUP(A2034,'[11]Linea Automotriz'!$A$1:$D$533,4,FALSE)</f>
        <v>45.78</v>
      </c>
      <c r="D2034" s="23">
        <f>VLOOKUP(A2034,'[11]Linea Automotriz'!$A$1:$E$533,5,FALSE)</f>
        <v>51.73</v>
      </c>
      <c r="E2034" s="23">
        <f>VLOOKUP(A2034,'[11]Linea Automotriz'!$A$1:$F$533,6,FALSE)</f>
        <v>61.86</v>
      </c>
      <c r="F2034" s="23">
        <f>VLOOKUP(A2034,'[11]Linea Automotriz'!$A$2:$G$533,7,FALSE)</f>
        <v>69.900000000000006</v>
      </c>
    </row>
    <row r="2035" spans="1:6" x14ac:dyDescent="0.3">
      <c r="A2035" s="72" t="s">
        <v>2368</v>
      </c>
      <c r="B2035" s="73" t="s">
        <v>3948</v>
      </c>
      <c r="C2035" s="23">
        <f>VLOOKUP(A2035,'[11]Linea Automotriz'!$A$1:$D$533,4,FALSE)</f>
        <v>45.78</v>
      </c>
      <c r="D2035" s="23">
        <f>VLOOKUP(A2035,'[11]Linea Automotriz'!$A$1:$E$533,5,FALSE)</f>
        <v>51.73</v>
      </c>
      <c r="E2035" s="23">
        <f>VLOOKUP(A2035,'[11]Linea Automotriz'!$A$1:$F$533,6,FALSE)</f>
        <v>61.86</v>
      </c>
      <c r="F2035" s="23">
        <f>VLOOKUP(A2035,'[11]Linea Automotriz'!$A$2:$G$533,7,FALSE)</f>
        <v>69.900000000000006</v>
      </c>
    </row>
    <row r="2036" spans="1:6" x14ac:dyDescent="0.3">
      <c r="A2036" s="72" t="s">
        <v>2369</v>
      </c>
      <c r="B2036" s="73" t="s">
        <v>2370</v>
      </c>
      <c r="C2036" s="23">
        <f>VLOOKUP(A2036,'[11]Linea Automotriz'!$A$1:$D$533,4,FALSE)</f>
        <v>45.78</v>
      </c>
      <c r="D2036" s="23">
        <f>VLOOKUP(A2036,'[11]Linea Automotriz'!$A$1:$E$533,5,FALSE)</f>
        <v>51.73</v>
      </c>
      <c r="E2036" s="23">
        <f>VLOOKUP(A2036,'[11]Linea Automotriz'!$A$1:$F$533,6,FALSE)</f>
        <v>61.86</v>
      </c>
      <c r="F2036" s="23">
        <f>VLOOKUP(A2036,'[11]Linea Automotriz'!$A$2:$G$533,7,FALSE)</f>
        <v>69.900000000000006</v>
      </c>
    </row>
    <row r="2037" spans="1:6" x14ac:dyDescent="0.3">
      <c r="A2037" s="72" t="s">
        <v>2371</v>
      </c>
      <c r="B2037" s="73" t="s">
        <v>3949</v>
      </c>
      <c r="C2037" s="23">
        <f>VLOOKUP(A2037,'[11]Linea Automotriz'!$A$1:$D$533,4,FALSE)</f>
        <v>45.78</v>
      </c>
      <c r="D2037" s="23">
        <f>VLOOKUP(A2037,'[11]Linea Automotriz'!$A$1:$E$533,5,FALSE)</f>
        <v>51.73</v>
      </c>
      <c r="E2037" s="23">
        <f>VLOOKUP(A2037,'[11]Linea Automotriz'!$A$1:$F$533,6,FALSE)</f>
        <v>61.86</v>
      </c>
      <c r="F2037" s="23">
        <f>VLOOKUP(A2037,'[11]Linea Automotriz'!$A$2:$G$533,7,FALSE)</f>
        <v>69.900000000000006</v>
      </c>
    </row>
    <row r="2038" spans="1:6" x14ac:dyDescent="0.3">
      <c r="A2038" s="72" t="s">
        <v>2372</v>
      </c>
      <c r="B2038" s="73" t="s">
        <v>2373</v>
      </c>
      <c r="C2038" s="23">
        <f>VLOOKUP(A2038,'[11]Linea Automotriz'!$A$1:$D$533,4,FALSE)</f>
        <v>45.78</v>
      </c>
      <c r="D2038" s="23">
        <f>VLOOKUP(A2038,'[11]Linea Automotriz'!$A$1:$E$533,5,FALSE)</f>
        <v>51.73</v>
      </c>
      <c r="E2038" s="23">
        <f>VLOOKUP(A2038,'[11]Linea Automotriz'!$A$1:$F$533,6,FALSE)</f>
        <v>61.86</v>
      </c>
      <c r="F2038" s="23">
        <f>VLOOKUP(A2038,'[11]Linea Automotriz'!$A$2:$G$533,7,FALSE)</f>
        <v>69.900000000000006</v>
      </c>
    </row>
    <row r="2039" spans="1:6" x14ac:dyDescent="0.3">
      <c r="A2039" s="72" t="s">
        <v>2374</v>
      </c>
      <c r="B2039" s="73" t="s">
        <v>2375</v>
      </c>
      <c r="C2039" s="23">
        <f>VLOOKUP(A2039,'[11]Linea Automotriz'!$A$1:$D$533,4,FALSE)</f>
        <v>45.78</v>
      </c>
      <c r="D2039" s="23">
        <f>VLOOKUP(A2039,'[11]Linea Automotriz'!$A$1:$E$533,5,FALSE)</f>
        <v>51.73</v>
      </c>
      <c r="E2039" s="23">
        <f>VLOOKUP(A2039,'[11]Linea Automotriz'!$A$1:$F$533,6,FALSE)</f>
        <v>61.86</v>
      </c>
      <c r="F2039" s="23">
        <f>VLOOKUP(A2039,'[11]Linea Automotriz'!$A$2:$G$533,7,FALSE)</f>
        <v>69.900000000000006</v>
      </c>
    </row>
    <row r="2040" spans="1:6" x14ac:dyDescent="0.3">
      <c r="A2040" s="72" t="s">
        <v>2376</v>
      </c>
      <c r="B2040" s="73" t="s">
        <v>3950</v>
      </c>
      <c r="C2040" s="23">
        <f>VLOOKUP(A2040,'[11]Linea Automotriz'!$A$1:$D$533,4,FALSE)</f>
        <v>12.77</v>
      </c>
      <c r="D2040" s="23">
        <f>VLOOKUP(A2040,'[11]Linea Automotriz'!$A$1:$E$533,5,FALSE)</f>
        <v>14.43</v>
      </c>
      <c r="E2040" s="23">
        <f>VLOOKUP(A2040,'[11]Linea Automotriz'!$A$1:$F$533,6,FALSE)</f>
        <v>16.37</v>
      </c>
      <c r="F2040" s="23">
        <f>VLOOKUP(A2040,'[11]Linea Automotriz'!$A$2:$G$533,7,FALSE)</f>
        <v>18.5</v>
      </c>
    </row>
    <row r="2041" spans="1:6" x14ac:dyDescent="0.3">
      <c r="A2041" s="72" t="s">
        <v>2377</v>
      </c>
      <c r="B2041" s="73" t="s">
        <v>2378</v>
      </c>
      <c r="C2041" s="23">
        <f>VLOOKUP(A2041,'[11]Linea Automotriz'!$A$1:$D$533,4,FALSE)</f>
        <v>45.78</v>
      </c>
      <c r="D2041" s="23">
        <f>VLOOKUP(A2041,'[11]Linea Automotriz'!$A$1:$E$533,5,FALSE)</f>
        <v>51.73</v>
      </c>
      <c r="E2041" s="23">
        <f>VLOOKUP(A2041,'[11]Linea Automotriz'!$A$1:$F$533,6,FALSE)</f>
        <v>61.86</v>
      </c>
      <c r="F2041" s="23">
        <f>VLOOKUP(A2041,'[11]Linea Automotriz'!$A$2:$G$533,7,FALSE)</f>
        <v>69.900000000000006</v>
      </c>
    </row>
    <row r="2042" spans="1:6" x14ac:dyDescent="0.3">
      <c r="A2042" s="72" t="s">
        <v>2379</v>
      </c>
      <c r="B2042" s="73" t="s">
        <v>2380</v>
      </c>
      <c r="C2042" s="23">
        <f>VLOOKUP(A2042,'[11]Linea Automotriz'!$A$1:$D$533,4,FALSE)</f>
        <v>45.78</v>
      </c>
      <c r="D2042" s="23">
        <f>VLOOKUP(A2042,'[11]Linea Automotriz'!$A$1:$E$533,5,FALSE)</f>
        <v>51.73</v>
      </c>
      <c r="E2042" s="23">
        <f>VLOOKUP(A2042,'[11]Linea Automotriz'!$A$1:$F$533,6,FALSE)</f>
        <v>61.86</v>
      </c>
      <c r="F2042" s="23">
        <f>VLOOKUP(A2042,'[11]Linea Automotriz'!$A$2:$G$533,7,FALSE)</f>
        <v>69.900000000000006</v>
      </c>
    </row>
    <row r="2043" spans="1:6" x14ac:dyDescent="0.3">
      <c r="A2043" s="72" t="s">
        <v>2381</v>
      </c>
      <c r="B2043" s="73" t="s">
        <v>3951</v>
      </c>
      <c r="C2043" s="23">
        <f>VLOOKUP(A2043,'[11]Linea Automotriz'!$A$1:$D$533,4,FALSE)</f>
        <v>12.77</v>
      </c>
      <c r="D2043" s="23">
        <f>VLOOKUP(A2043,'[11]Linea Automotriz'!$A$1:$E$533,5,FALSE)</f>
        <v>14.43</v>
      </c>
      <c r="E2043" s="23">
        <f>VLOOKUP(A2043,'[11]Linea Automotriz'!$A$1:$F$533,6,FALSE)</f>
        <v>16.37</v>
      </c>
      <c r="F2043" s="23">
        <f>VLOOKUP(A2043,'[11]Linea Automotriz'!$A$2:$G$533,7,FALSE)</f>
        <v>18.5</v>
      </c>
    </row>
    <row r="2044" spans="1:6" x14ac:dyDescent="0.3">
      <c r="A2044" s="72" t="s">
        <v>2382</v>
      </c>
      <c r="B2044" s="73" t="s">
        <v>3952</v>
      </c>
      <c r="C2044" s="23">
        <f>VLOOKUP(A2044,'[11]Linea Automotriz'!$A$1:$D$533,4,FALSE)</f>
        <v>12.77</v>
      </c>
      <c r="D2044" s="23">
        <f>VLOOKUP(A2044,'[11]Linea Automotriz'!$A$1:$E$533,5,FALSE)</f>
        <v>14.43</v>
      </c>
      <c r="E2044" s="23">
        <f>VLOOKUP(A2044,'[11]Linea Automotriz'!$A$1:$F$533,6,FALSE)</f>
        <v>16.37</v>
      </c>
      <c r="F2044" s="23">
        <f>VLOOKUP(A2044,'[11]Linea Automotriz'!$A$2:$G$533,7,FALSE)</f>
        <v>18.5</v>
      </c>
    </row>
    <row r="2045" spans="1:6" x14ac:dyDescent="0.3">
      <c r="A2045" s="72" t="s">
        <v>2383</v>
      </c>
      <c r="B2045" s="73" t="s">
        <v>2384</v>
      </c>
      <c r="C2045" s="23">
        <f>VLOOKUP(A2045,'[11]Linea Automotriz'!$A$1:$D$533,4,FALSE)</f>
        <v>12.77</v>
      </c>
      <c r="D2045" s="23">
        <f>VLOOKUP(A2045,'[11]Linea Automotriz'!$A$1:$E$533,5,FALSE)</f>
        <v>14.43</v>
      </c>
      <c r="E2045" s="23">
        <f>VLOOKUP(A2045,'[11]Linea Automotriz'!$A$1:$F$533,6,FALSE)</f>
        <v>16.37</v>
      </c>
      <c r="F2045" s="23">
        <f>VLOOKUP(A2045,'[11]Linea Automotriz'!$A$2:$G$533,7,FALSE)</f>
        <v>18.5</v>
      </c>
    </row>
    <row r="2046" spans="1:6" x14ac:dyDescent="0.3">
      <c r="A2046" s="72" t="s">
        <v>2385</v>
      </c>
      <c r="B2046" s="73" t="s">
        <v>2386</v>
      </c>
      <c r="C2046" s="23">
        <f>VLOOKUP(A2046,'[11]Linea Automotriz'!$A$1:$D$533,4,FALSE)</f>
        <v>12.77</v>
      </c>
      <c r="D2046" s="23">
        <f>VLOOKUP(A2046,'[11]Linea Automotriz'!$A$1:$E$533,5,FALSE)</f>
        <v>14.43</v>
      </c>
      <c r="E2046" s="23">
        <f>VLOOKUP(A2046,'[11]Linea Automotriz'!$A$1:$F$533,6,FALSE)</f>
        <v>16.37</v>
      </c>
      <c r="F2046" s="23">
        <f>VLOOKUP(A2046,'[11]Linea Automotriz'!$A$2:$G$533,7,FALSE)</f>
        <v>18.5</v>
      </c>
    </row>
    <row r="2047" spans="1:6" x14ac:dyDescent="0.3">
      <c r="A2047" s="72" t="s">
        <v>2387</v>
      </c>
      <c r="B2047" s="73" t="s">
        <v>2388</v>
      </c>
      <c r="C2047" s="23">
        <f>VLOOKUP(A2047,'[11]Linea Automotriz'!$A$1:$D$533,4,FALSE)</f>
        <v>35.69</v>
      </c>
      <c r="D2047" s="23">
        <f>VLOOKUP(A2047,'[11]Linea Automotriz'!$A$1:$E$533,5,FALSE)</f>
        <v>40.33</v>
      </c>
      <c r="E2047" s="23">
        <f>VLOOKUP(A2047,'[11]Linea Automotriz'!$A$1:$F$533,6,FALSE)</f>
        <v>48.23</v>
      </c>
      <c r="F2047" s="23">
        <f>VLOOKUP(A2047,'[11]Linea Automotriz'!$A$2:$G$533,7,FALSE)</f>
        <v>54.5</v>
      </c>
    </row>
    <row r="2048" spans="1:6" x14ac:dyDescent="0.3">
      <c r="A2048" s="72" t="s">
        <v>2389</v>
      </c>
      <c r="B2048" s="73" t="s">
        <v>2390</v>
      </c>
      <c r="C2048" s="23">
        <f>VLOOKUP(A2048,'[11]Linea Automotriz'!$A$1:$D$533,4,FALSE)</f>
        <v>35.69</v>
      </c>
      <c r="D2048" s="23">
        <f>VLOOKUP(A2048,'[11]Linea Automotriz'!$A$1:$E$533,5,FALSE)</f>
        <v>40.33</v>
      </c>
      <c r="E2048" s="23">
        <f>VLOOKUP(A2048,'[11]Linea Automotriz'!$A$1:$F$533,6,FALSE)</f>
        <v>48.23</v>
      </c>
      <c r="F2048" s="23">
        <f>VLOOKUP(A2048,'[11]Linea Automotriz'!$A$2:$G$533,7,FALSE)</f>
        <v>54.5</v>
      </c>
    </row>
    <row r="2049" spans="1:6" x14ac:dyDescent="0.3">
      <c r="A2049" s="72" t="s">
        <v>2391</v>
      </c>
      <c r="B2049" s="73" t="s">
        <v>2341</v>
      </c>
      <c r="C2049" s="23">
        <f>VLOOKUP(A2049,'[11]Linea Automotriz'!$A$1:$D$533,4,FALSE)</f>
        <v>35.96</v>
      </c>
      <c r="D2049" s="23">
        <f>VLOOKUP(A2049,'[11]Linea Automotriz'!$A$1:$E$533,5,FALSE)</f>
        <v>40.630000000000003</v>
      </c>
      <c r="E2049" s="23">
        <f>VLOOKUP(A2049,'[11]Linea Automotriz'!$A$1:$F$533,6,FALSE)</f>
        <v>48.58</v>
      </c>
      <c r="F2049" s="23">
        <f>VLOOKUP(A2049,'[11]Linea Automotriz'!$A$2:$G$533,7,FALSE)</f>
        <v>54.9</v>
      </c>
    </row>
    <row r="2050" spans="1:6" x14ac:dyDescent="0.3">
      <c r="A2050" s="72" t="s">
        <v>2392</v>
      </c>
      <c r="B2050" s="73" t="s">
        <v>3953</v>
      </c>
      <c r="C2050" s="23">
        <f>VLOOKUP(A2050,'[11]Linea Automotriz'!$A$1:$D$533,4,FALSE)</f>
        <v>26.58</v>
      </c>
      <c r="D2050" s="23">
        <f>VLOOKUP(A2050,'[11]Linea Automotriz'!$A$1:$E$533,5,FALSE)</f>
        <v>30.03</v>
      </c>
      <c r="E2050" s="23">
        <f>VLOOKUP(A2050,'[11]Linea Automotriz'!$A$1:$F$533,6,FALSE)</f>
        <v>37.96</v>
      </c>
      <c r="F2050" s="23">
        <f>VLOOKUP(A2050,'[11]Linea Automotriz'!$A$2:$G$533,7,FALSE)</f>
        <v>42.9</v>
      </c>
    </row>
    <row r="2051" spans="1:6" x14ac:dyDescent="0.3">
      <c r="A2051" s="72" t="s">
        <v>2393</v>
      </c>
      <c r="B2051" s="73" t="s">
        <v>3953</v>
      </c>
      <c r="C2051" s="23">
        <f>VLOOKUP(A2051,'[11]Linea Automotriz'!$A$1:$D$533,4,FALSE)</f>
        <v>7.74</v>
      </c>
      <c r="D2051" s="23">
        <f>VLOOKUP(A2051,'[11]Linea Automotriz'!$A$1:$E$533,5,FALSE)</f>
        <v>8.75</v>
      </c>
      <c r="E2051" s="23">
        <f>VLOOKUP(A2051,'[11]Linea Automotriz'!$A$1:$F$533,6,FALSE)</f>
        <v>11.06</v>
      </c>
      <c r="F2051" s="23">
        <f>VLOOKUP(A2051,'[11]Linea Automotriz'!$A$2:$G$533,7,FALSE)</f>
        <v>12.5</v>
      </c>
    </row>
    <row r="2052" spans="1:6" x14ac:dyDescent="0.3">
      <c r="A2052" s="72" t="s">
        <v>2394</v>
      </c>
      <c r="B2052" s="73" t="s">
        <v>3954</v>
      </c>
      <c r="C2052" s="23">
        <f>VLOOKUP(A2052,'[11]Linea Automotriz'!$A$1:$D$533,4,FALSE)</f>
        <v>14.25</v>
      </c>
      <c r="D2052" s="23">
        <f>VLOOKUP(A2052,'[11]Linea Automotriz'!$A$1:$E$533,5,FALSE)</f>
        <v>16.100000000000001</v>
      </c>
      <c r="E2052" s="23">
        <f>VLOOKUP(A2052,'[11]Linea Automotriz'!$A$1:$F$533,6,FALSE)</f>
        <v>20.350000000000001</v>
      </c>
      <c r="F2052" s="23">
        <f>VLOOKUP(A2052,'[11]Linea Automotriz'!$A$2:$G$533,7,FALSE)</f>
        <v>23</v>
      </c>
    </row>
    <row r="2053" spans="1:6" x14ac:dyDescent="0.3">
      <c r="A2053" s="72" t="s">
        <v>2395</v>
      </c>
      <c r="B2053" s="73" t="s">
        <v>3954</v>
      </c>
      <c r="C2053" s="23">
        <f>VLOOKUP(A2053,'[11]Linea Automotriz'!$A$1:$D$533,4,FALSE)</f>
        <v>7.74</v>
      </c>
      <c r="D2053" s="23">
        <f>VLOOKUP(A2053,'[11]Linea Automotriz'!$A$1:$E$533,5,FALSE)</f>
        <v>8.75</v>
      </c>
      <c r="E2053" s="23">
        <f>VLOOKUP(A2053,'[11]Linea Automotriz'!$A$1:$F$533,6,FALSE)</f>
        <v>11.06</v>
      </c>
      <c r="F2053" s="23">
        <f>VLOOKUP(A2053,'[11]Linea Automotriz'!$A$2:$G$533,7,FALSE)</f>
        <v>12.5</v>
      </c>
    </row>
    <row r="2054" spans="1:6" x14ac:dyDescent="0.3">
      <c r="A2054" s="72" t="s">
        <v>2396</v>
      </c>
      <c r="B2054" s="73" t="s">
        <v>3954</v>
      </c>
      <c r="C2054" s="23">
        <f>VLOOKUP(A2054,'[11]Linea Automotriz'!$A$1:$D$533,4,FALSE)</f>
        <v>4.8899999999999997</v>
      </c>
      <c r="D2054" s="23">
        <f>VLOOKUP(A2054,'[11]Linea Automotriz'!$A$1:$E$533,5,FALSE)</f>
        <v>5.53</v>
      </c>
      <c r="E2054" s="23">
        <f>VLOOKUP(A2054,'[11]Linea Automotriz'!$A$1:$F$533,6,FALSE)</f>
        <v>6.99</v>
      </c>
      <c r="F2054" s="23">
        <f>VLOOKUP(A2054,'[11]Linea Automotriz'!$A$2:$G$533,7,FALSE)</f>
        <v>7.9</v>
      </c>
    </row>
    <row r="2055" spans="1:6" x14ac:dyDescent="0.3">
      <c r="A2055" s="72" t="s">
        <v>2397</v>
      </c>
      <c r="B2055" s="73" t="s">
        <v>2398</v>
      </c>
      <c r="C2055" s="23">
        <f>VLOOKUP(A2055,'[11]Linea Automotriz'!$A$1:$D$533,4,FALSE)</f>
        <v>39.19</v>
      </c>
      <c r="D2055" s="23">
        <f>VLOOKUP(A2055,'[11]Linea Automotriz'!$A$1:$E$533,5,FALSE)</f>
        <v>44.28</v>
      </c>
      <c r="E2055" s="23">
        <f>VLOOKUP(A2055,'[11]Linea Automotriz'!$A$1:$F$533,6,FALSE)</f>
        <v>54.42</v>
      </c>
      <c r="F2055" s="23">
        <f>VLOOKUP(A2055,'[11]Linea Automotriz'!$A$2:$G$533,7,FALSE)</f>
        <v>61.5</v>
      </c>
    </row>
    <row r="2056" spans="1:6" x14ac:dyDescent="0.3">
      <c r="A2056" s="72" t="s">
        <v>2399</v>
      </c>
      <c r="B2056" s="73" t="s">
        <v>2400</v>
      </c>
      <c r="C2056" s="23">
        <f>VLOOKUP(A2056,'[11]Linea Automotriz'!$A$1:$D$533,4,FALSE)</f>
        <v>10.51</v>
      </c>
      <c r="D2056" s="23">
        <f>VLOOKUP(A2056,'[11]Linea Automotriz'!$A$1:$E$533,5,FALSE)</f>
        <v>11.88</v>
      </c>
      <c r="E2056" s="23">
        <f>VLOOKUP(A2056,'[11]Linea Automotriz'!$A$1:$F$533,6,FALSE)</f>
        <v>14.6</v>
      </c>
      <c r="F2056" s="23">
        <f>VLOOKUP(A2056,'[11]Linea Automotriz'!$A$2:$G$533,7,FALSE)</f>
        <v>16.5</v>
      </c>
    </row>
    <row r="2057" spans="1:6" x14ac:dyDescent="0.3">
      <c r="A2057" s="72" t="s">
        <v>2401</v>
      </c>
      <c r="B2057" s="73" t="s">
        <v>2400</v>
      </c>
      <c r="C2057" s="23">
        <f>VLOOKUP(A2057,'[11]Linea Automotriz'!$A$1:$D$533,4,FALSE)</f>
        <v>37.53</v>
      </c>
      <c r="D2057" s="23">
        <f>VLOOKUP(A2057,'[11]Linea Automotriz'!$A$1:$E$533,5,FALSE)</f>
        <v>42.41</v>
      </c>
      <c r="E2057" s="23">
        <f>VLOOKUP(A2057,'[11]Linea Automotriz'!$A$1:$F$533,6,FALSE)</f>
        <v>52.12</v>
      </c>
      <c r="F2057" s="23">
        <f>VLOOKUP(A2057,'[11]Linea Automotriz'!$A$2:$G$533,7,FALSE)</f>
        <v>58.9</v>
      </c>
    </row>
    <row r="2058" spans="1:6" x14ac:dyDescent="0.3">
      <c r="A2058" s="72" t="s">
        <v>2402</v>
      </c>
      <c r="B2058" s="73" t="s">
        <v>2403</v>
      </c>
      <c r="C2058" s="23">
        <f>VLOOKUP(A2058,'[11]Linea Automotriz'!$A$1:$D$533,4,FALSE)</f>
        <v>31.11</v>
      </c>
      <c r="D2058" s="23">
        <f>VLOOKUP(A2058,'[11]Linea Automotriz'!$A$1:$E$533,5,FALSE)</f>
        <v>35.15</v>
      </c>
      <c r="E2058" s="23">
        <f>VLOOKUP(A2058,'[11]Linea Automotriz'!$A$1:$F$533,6,FALSE)</f>
        <v>42.04</v>
      </c>
      <c r="F2058" s="23">
        <f>VLOOKUP(A2058,'[11]Linea Automotriz'!$A$2:$G$533,7,FALSE)</f>
        <v>47.5</v>
      </c>
    </row>
    <row r="2059" spans="1:6" x14ac:dyDescent="0.3">
      <c r="A2059" s="72" t="s">
        <v>2404</v>
      </c>
      <c r="B2059" s="73" t="s">
        <v>2405</v>
      </c>
      <c r="C2059" s="23">
        <f>VLOOKUP(A2059,'[11]Linea Automotriz'!$A$1:$D$533,4,FALSE)</f>
        <v>31.11</v>
      </c>
      <c r="D2059" s="23">
        <f>VLOOKUP(A2059,'[11]Linea Automotriz'!$A$1:$E$533,5,FALSE)</f>
        <v>35.15</v>
      </c>
      <c r="E2059" s="23">
        <f>VLOOKUP(A2059,'[11]Linea Automotriz'!$A$1:$F$533,6,FALSE)</f>
        <v>42.04</v>
      </c>
      <c r="F2059" s="23">
        <f>VLOOKUP(A2059,'[11]Linea Automotriz'!$A$2:$G$533,7,FALSE)</f>
        <v>47.5</v>
      </c>
    </row>
    <row r="2060" spans="1:6" x14ac:dyDescent="0.3">
      <c r="A2060" s="72" t="s">
        <v>2406</v>
      </c>
      <c r="B2060" s="73" t="s">
        <v>2407</v>
      </c>
      <c r="C2060" s="23">
        <f>VLOOKUP(A2060,'[11]Linea Automotriz'!$A$1:$D$533,4,FALSE)</f>
        <v>31.11</v>
      </c>
      <c r="D2060" s="23">
        <f>VLOOKUP(A2060,'[11]Linea Automotriz'!$A$1:$E$533,5,FALSE)</f>
        <v>35.15</v>
      </c>
      <c r="E2060" s="23">
        <f>VLOOKUP(A2060,'[11]Linea Automotriz'!$A$1:$F$533,6,FALSE)</f>
        <v>42.04</v>
      </c>
      <c r="F2060" s="23">
        <f>VLOOKUP(A2060,'[11]Linea Automotriz'!$A$2:$G$533,7,FALSE)</f>
        <v>47.5</v>
      </c>
    </row>
    <row r="2061" spans="1:6" x14ac:dyDescent="0.3">
      <c r="A2061" s="72" t="s">
        <v>2408</v>
      </c>
      <c r="B2061" s="73" t="s">
        <v>2409</v>
      </c>
      <c r="C2061" s="23">
        <f>VLOOKUP(A2061,'[11]Linea Automotriz'!$A$1:$D$533,4,FALSE)</f>
        <v>31.11</v>
      </c>
      <c r="D2061" s="23">
        <f>VLOOKUP(A2061,'[11]Linea Automotriz'!$A$1:$E$533,5,FALSE)</f>
        <v>35.15</v>
      </c>
      <c r="E2061" s="23">
        <f>VLOOKUP(A2061,'[11]Linea Automotriz'!$A$1:$F$533,6,FALSE)</f>
        <v>42.04</v>
      </c>
      <c r="F2061" s="23">
        <f>VLOOKUP(A2061,'[11]Linea Automotriz'!$A$2:$G$533,7,FALSE)</f>
        <v>47.5</v>
      </c>
    </row>
    <row r="2062" spans="1:6" x14ac:dyDescent="0.3">
      <c r="A2062" s="72" t="s">
        <v>2410</v>
      </c>
      <c r="B2062" s="73" t="s">
        <v>2411</v>
      </c>
      <c r="C2062" s="23">
        <f>VLOOKUP(A2062,'[11]Linea Automotriz'!$A$1:$D$533,4,FALSE)</f>
        <v>31.11</v>
      </c>
      <c r="D2062" s="23">
        <f>VLOOKUP(A2062,'[11]Linea Automotriz'!$A$1:$E$533,5,FALSE)</f>
        <v>35.15</v>
      </c>
      <c r="E2062" s="23">
        <f>VLOOKUP(A2062,'[11]Linea Automotriz'!$A$1:$F$533,6,FALSE)</f>
        <v>42.04</v>
      </c>
      <c r="F2062" s="23">
        <f>VLOOKUP(A2062,'[11]Linea Automotriz'!$A$2:$G$533,7,FALSE)</f>
        <v>47.5</v>
      </c>
    </row>
    <row r="2063" spans="1:6" x14ac:dyDescent="0.3">
      <c r="A2063" s="72" t="s">
        <v>2412</v>
      </c>
      <c r="B2063" s="73" t="s">
        <v>2413</v>
      </c>
      <c r="C2063" s="23">
        <f>VLOOKUP(A2063,'[11]Linea Automotriz'!$A$1:$D$533,4,FALSE)</f>
        <v>31.11</v>
      </c>
      <c r="D2063" s="23">
        <f>VLOOKUP(A2063,'[11]Linea Automotriz'!$A$1:$E$533,5,FALSE)</f>
        <v>35.15</v>
      </c>
      <c r="E2063" s="23">
        <f>VLOOKUP(A2063,'[11]Linea Automotriz'!$A$1:$F$533,6,FALSE)</f>
        <v>42.04</v>
      </c>
      <c r="F2063" s="23">
        <f>VLOOKUP(A2063,'[11]Linea Automotriz'!$A$2:$G$533,7,FALSE)</f>
        <v>47.5</v>
      </c>
    </row>
    <row r="2064" spans="1:6" x14ac:dyDescent="0.3">
      <c r="A2064" s="72" t="s">
        <v>2414</v>
      </c>
      <c r="B2064" s="73" t="s">
        <v>2415</v>
      </c>
      <c r="C2064" s="23">
        <f>VLOOKUP(A2064,'[11]Linea Automotriz'!$A$1:$D$533,4,FALSE)</f>
        <v>46.82</v>
      </c>
      <c r="D2064" s="23">
        <f>VLOOKUP(A2064,'[11]Linea Automotriz'!$A$1:$E$533,5,FALSE)</f>
        <v>52.91</v>
      </c>
      <c r="E2064" s="23">
        <f>VLOOKUP(A2064,'[11]Linea Automotriz'!$A$1:$F$533,6,FALSE)</f>
        <v>63.27</v>
      </c>
      <c r="F2064" s="23">
        <f>VLOOKUP(A2064,'[11]Linea Automotriz'!$A$2:$G$533,7,FALSE)</f>
        <v>71.5</v>
      </c>
    </row>
    <row r="2065" spans="1:6" x14ac:dyDescent="0.3">
      <c r="A2065" s="72" t="s">
        <v>2416</v>
      </c>
      <c r="B2065" s="73" t="s">
        <v>2417</v>
      </c>
      <c r="C2065" s="23">
        <f>VLOOKUP(A2065,'[11]Linea Automotriz'!$A$1:$D$533,4,FALSE)</f>
        <v>46.82</v>
      </c>
      <c r="D2065" s="23">
        <f>VLOOKUP(A2065,'[11]Linea Automotriz'!$A$1:$E$533,5,FALSE)</f>
        <v>52.91</v>
      </c>
      <c r="E2065" s="23">
        <f>VLOOKUP(A2065,'[11]Linea Automotriz'!$A$1:$F$533,6,FALSE)</f>
        <v>63.27</v>
      </c>
      <c r="F2065" s="23">
        <f>VLOOKUP(A2065,'[11]Linea Automotriz'!$A$2:$G$533,7,FALSE)</f>
        <v>71.5</v>
      </c>
    </row>
    <row r="2066" spans="1:6" x14ac:dyDescent="0.3">
      <c r="A2066" s="72" t="s">
        <v>2418</v>
      </c>
      <c r="B2066" s="73" t="s">
        <v>2419</v>
      </c>
      <c r="C2066" s="23">
        <f>VLOOKUP(A2066,'[11]Linea Automotriz'!$A$1:$D$533,4,FALSE)</f>
        <v>46.82</v>
      </c>
      <c r="D2066" s="23">
        <f>VLOOKUP(A2066,'[11]Linea Automotriz'!$A$1:$E$533,5,FALSE)</f>
        <v>52.91</v>
      </c>
      <c r="E2066" s="23">
        <f>VLOOKUP(A2066,'[11]Linea Automotriz'!$A$1:$F$533,6,FALSE)</f>
        <v>63.27</v>
      </c>
      <c r="F2066" s="23">
        <f>VLOOKUP(A2066,'[11]Linea Automotriz'!$A$2:$G$533,7,FALSE)</f>
        <v>71.5</v>
      </c>
    </row>
    <row r="2067" spans="1:6" x14ac:dyDescent="0.3">
      <c r="A2067" s="72" t="s">
        <v>2420</v>
      </c>
      <c r="B2067" s="73" t="s">
        <v>2421</v>
      </c>
      <c r="C2067" s="23">
        <f>VLOOKUP(A2067,'[11]Linea Automotriz'!$A$1:$D$533,4,FALSE)</f>
        <v>46.82</v>
      </c>
      <c r="D2067" s="23">
        <f>VLOOKUP(A2067,'[11]Linea Automotriz'!$A$1:$E$533,5,FALSE)</f>
        <v>52.91</v>
      </c>
      <c r="E2067" s="23">
        <f>VLOOKUP(A2067,'[11]Linea Automotriz'!$A$1:$F$533,6,FALSE)</f>
        <v>63.27</v>
      </c>
      <c r="F2067" s="23">
        <f>VLOOKUP(A2067,'[11]Linea Automotriz'!$A$2:$G$533,7,FALSE)</f>
        <v>71.5</v>
      </c>
    </row>
    <row r="2068" spans="1:6" x14ac:dyDescent="0.3">
      <c r="A2068" s="72" t="s">
        <v>2422</v>
      </c>
      <c r="B2068" s="73" t="s">
        <v>2423</v>
      </c>
      <c r="C2068" s="23">
        <f>VLOOKUP(A2068,'[11]Linea Automotriz'!$A$1:$D$533,4,FALSE)</f>
        <v>46.82</v>
      </c>
      <c r="D2068" s="23">
        <f>VLOOKUP(A2068,'[11]Linea Automotriz'!$A$1:$E$533,5,FALSE)</f>
        <v>52.91</v>
      </c>
      <c r="E2068" s="23">
        <f>VLOOKUP(A2068,'[11]Linea Automotriz'!$A$1:$F$533,6,FALSE)</f>
        <v>63.27</v>
      </c>
      <c r="F2068" s="23">
        <f>VLOOKUP(A2068,'[11]Linea Automotriz'!$A$2:$G$533,7,FALSE)</f>
        <v>71.5</v>
      </c>
    </row>
    <row r="2069" spans="1:6" x14ac:dyDescent="0.3">
      <c r="A2069" s="72" t="s">
        <v>2424</v>
      </c>
      <c r="B2069" s="73" t="s">
        <v>2425</v>
      </c>
      <c r="C2069" s="23">
        <f>VLOOKUP(A2069,'[11]Linea Automotriz'!$A$1:$D$533,4,FALSE)</f>
        <v>46.82</v>
      </c>
      <c r="D2069" s="23">
        <f>VLOOKUP(A2069,'[11]Linea Automotriz'!$A$1:$E$533,5,FALSE)</f>
        <v>52.91</v>
      </c>
      <c r="E2069" s="23">
        <f>VLOOKUP(A2069,'[11]Linea Automotriz'!$A$1:$F$533,6,FALSE)</f>
        <v>63.27</v>
      </c>
      <c r="F2069" s="23">
        <f>VLOOKUP(A2069,'[11]Linea Automotriz'!$A$2:$G$533,7,FALSE)</f>
        <v>71.5</v>
      </c>
    </row>
    <row r="2070" spans="1:6" x14ac:dyDescent="0.3">
      <c r="A2070" s="72" t="s">
        <v>2426</v>
      </c>
      <c r="B2070" s="73" t="s">
        <v>2427</v>
      </c>
      <c r="C2070" s="23">
        <f>VLOOKUP(A2070,'[11]Linea Automotriz'!$A$1:$D$533,4,FALSE)</f>
        <v>46.82</v>
      </c>
      <c r="D2070" s="23">
        <f>VLOOKUP(A2070,'[11]Linea Automotriz'!$A$1:$E$533,5,FALSE)</f>
        <v>52.91</v>
      </c>
      <c r="E2070" s="23">
        <f>VLOOKUP(A2070,'[11]Linea Automotriz'!$A$1:$F$533,6,FALSE)</f>
        <v>63.27</v>
      </c>
      <c r="F2070" s="23">
        <f>VLOOKUP(A2070,'[11]Linea Automotriz'!$A$2:$G$533,7,FALSE)</f>
        <v>71.5</v>
      </c>
    </row>
    <row r="2071" spans="1:6" x14ac:dyDescent="0.3">
      <c r="A2071" s="72" t="s">
        <v>2428</v>
      </c>
      <c r="B2071" s="73" t="s">
        <v>2429</v>
      </c>
      <c r="C2071" s="23">
        <f>VLOOKUP(A2071,'[11]Linea Automotriz'!$A$1:$D$533,4,FALSE)</f>
        <v>46.82</v>
      </c>
      <c r="D2071" s="23">
        <f>VLOOKUP(A2071,'[11]Linea Automotriz'!$A$1:$E$533,5,FALSE)</f>
        <v>52.91</v>
      </c>
      <c r="E2071" s="23">
        <f>VLOOKUP(A2071,'[11]Linea Automotriz'!$A$1:$F$533,6,FALSE)</f>
        <v>63.27</v>
      </c>
      <c r="F2071" s="23">
        <f>VLOOKUP(A2071,'[11]Linea Automotriz'!$A$2:$G$533,7,FALSE)</f>
        <v>71.5</v>
      </c>
    </row>
    <row r="2072" spans="1:6" x14ac:dyDescent="0.3">
      <c r="A2072" s="72" t="s">
        <v>2430</v>
      </c>
      <c r="B2072" s="73" t="s">
        <v>2431</v>
      </c>
      <c r="C2072" s="23">
        <f>VLOOKUP(A2072,'[11]Linea Automotriz'!$A$1:$D$533,4,FALSE)</f>
        <v>46.82</v>
      </c>
      <c r="D2072" s="23">
        <f>VLOOKUP(A2072,'[11]Linea Automotriz'!$A$1:$E$533,5,FALSE)</f>
        <v>52.91</v>
      </c>
      <c r="E2072" s="23">
        <f>VLOOKUP(A2072,'[11]Linea Automotriz'!$A$1:$F$533,6,FALSE)</f>
        <v>63.27</v>
      </c>
      <c r="F2072" s="23">
        <f>VLOOKUP(A2072,'[11]Linea Automotriz'!$A$2:$G$533,7,FALSE)</f>
        <v>71.5</v>
      </c>
    </row>
    <row r="2073" spans="1:6" x14ac:dyDescent="0.3">
      <c r="A2073" s="72" t="s">
        <v>2432</v>
      </c>
      <c r="B2073" s="73" t="s">
        <v>2433</v>
      </c>
      <c r="C2073" s="23">
        <f>VLOOKUP(A2073,'[11]Linea Automotriz'!$A$1:$D$533,4,FALSE)</f>
        <v>46.82</v>
      </c>
      <c r="D2073" s="23">
        <f>VLOOKUP(A2073,'[11]Linea Automotriz'!$A$1:$E$533,5,FALSE)</f>
        <v>52.91</v>
      </c>
      <c r="E2073" s="23">
        <f>VLOOKUP(A2073,'[11]Linea Automotriz'!$A$1:$F$533,6,FALSE)</f>
        <v>63.27</v>
      </c>
      <c r="F2073" s="23">
        <f>VLOOKUP(A2073,'[11]Linea Automotriz'!$A$2:$G$533,7,FALSE)</f>
        <v>71.5</v>
      </c>
    </row>
    <row r="2074" spans="1:6" x14ac:dyDescent="0.3">
      <c r="A2074" s="72" t="s">
        <v>2434</v>
      </c>
      <c r="B2074" s="73" t="s">
        <v>2435</v>
      </c>
      <c r="C2074" s="23">
        <f>VLOOKUP(A2074,'[11]Linea Automotriz'!$A$1:$D$533,4,FALSE)</f>
        <v>46.82</v>
      </c>
      <c r="D2074" s="23">
        <f>VLOOKUP(A2074,'[11]Linea Automotriz'!$A$1:$E$533,5,FALSE)</f>
        <v>52.91</v>
      </c>
      <c r="E2074" s="23">
        <f>VLOOKUP(A2074,'[11]Linea Automotriz'!$A$1:$F$533,6,FALSE)</f>
        <v>63.27</v>
      </c>
      <c r="F2074" s="23">
        <f>VLOOKUP(A2074,'[11]Linea Automotriz'!$A$2:$G$533,7,FALSE)</f>
        <v>71.5</v>
      </c>
    </row>
    <row r="2075" spans="1:6" x14ac:dyDescent="0.3">
      <c r="A2075" s="72" t="s">
        <v>2436</v>
      </c>
      <c r="B2075" s="73" t="s">
        <v>2437</v>
      </c>
      <c r="C2075" s="23">
        <f>VLOOKUP(A2075,'[11]Linea Automotriz'!$A$1:$D$533,4,FALSE)</f>
        <v>46.82</v>
      </c>
      <c r="D2075" s="23">
        <f>VLOOKUP(A2075,'[11]Linea Automotriz'!$A$1:$E$533,5,FALSE)</f>
        <v>52.91</v>
      </c>
      <c r="E2075" s="23">
        <f>VLOOKUP(A2075,'[11]Linea Automotriz'!$A$1:$F$533,6,FALSE)</f>
        <v>63.27</v>
      </c>
      <c r="F2075" s="23">
        <f>VLOOKUP(A2075,'[11]Linea Automotriz'!$A$2:$G$533,7,FALSE)</f>
        <v>71.5</v>
      </c>
    </row>
    <row r="2076" spans="1:6" x14ac:dyDescent="0.3">
      <c r="A2076" s="72" t="s">
        <v>2438</v>
      </c>
      <c r="B2076" s="73" t="s">
        <v>2439</v>
      </c>
      <c r="C2076" s="23">
        <f>VLOOKUP(A2076,'[11]Linea Automotriz'!$A$1:$D$533,4,FALSE)</f>
        <v>46.82</v>
      </c>
      <c r="D2076" s="23">
        <f>VLOOKUP(A2076,'[11]Linea Automotriz'!$A$1:$E$533,5,FALSE)</f>
        <v>52.91</v>
      </c>
      <c r="E2076" s="23">
        <f>VLOOKUP(A2076,'[11]Linea Automotriz'!$A$1:$F$533,6,FALSE)</f>
        <v>63.27</v>
      </c>
      <c r="F2076" s="23">
        <f>VLOOKUP(A2076,'[11]Linea Automotriz'!$A$2:$G$533,7,FALSE)</f>
        <v>71.5</v>
      </c>
    </row>
    <row r="2077" spans="1:6" x14ac:dyDescent="0.3">
      <c r="A2077" s="72" t="s">
        <v>2440</v>
      </c>
      <c r="B2077" s="73" t="s">
        <v>2441</v>
      </c>
      <c r="C2077" s="23">
        <f>VLOOKUP(A2077,'[11]Linea Automotriz'!$A$1:$D$533,4,FALSE)</f>
        <v>46.82</v>
      </c>
      <c r="D2077" s="23">
        <f>VLOOKUP(A2077,'[11]Linea Automotriz'!$A$1:$E$533,5,FALSE)</f>
        <v>52.91</v>
      </c>
      <c r="E2077" s="23">
        <f>VLOOKUP(A2077,'[11]Linea Automotriz'!$A$1:$F$533,6,FALSE)</f>
        <v>63.27</v>
      </c>
      <c r="F2077" s="23">
        <f>VLOOKUP(A2077,'[11]Linea Automotriz'!$A$2:$G$533,7,FALSE)</f>
        <v>71.5</v>
      </c>
    </row>
    <row r="2078" spans="1:6" x14ac:dyDescent="0.3">
      <c r="A2078" s="72" t="s">
        <v>2442</v>
      </c>
      <c r="B2078" s="73" t="s">
        <v>2443</v>
      </c>
      <c r="C2078" s="23">
        <f>VLOOKUP(A2078,'[11]Linea Automotriz'!$A$1:$D$533,4,FALSE)</f>
        <v>33.450000000000003</v>
      </c>
      <c r="D2078" s="23">
        <f>VLOOKUP(A2078,'[11]Linea Automotriz'!$A$1:$E$533,5,FALSE)</f>
        <v>37.799999999999997</v>
      </c>
      <c r="E2078" s="23">
        <f>VLOOKUP(A2078,'[11]Linea Automotriz'!$A$1:$F$533,6,FALSE)</f>
        <v>46.46</v>
      </c>
      <c r="F2078" s="23">
        <f>VLOOKUP(A2078,'[11]Linea Automotriz'!$A$2:$G$533,7,FALSE)</f>
        <v>52.5</v>
      </c>
    </row>
    <row r="2079" spans="1:6" x14ac:dyDescent="0.3">
      <c r="A2079" s="72" t="s">
        <v>2444</v>
      </c>
      <c r="B2079" s="73" t="s">
        <v>2445</v>
      </c>
      <c r="C2079" s="23">
        <f>VLOOKUP(A2079,'[11]Linea Automotriz'!$A$1:$D$533,4,FALSE)</f>
        <v>55.37</v>
      </c>
      <c r="D2079" s="23">
        <f>VLOOKUP(A2079,'[11]Linea Automotriz'!$A$1:$E$533,5,FALSE)</f>
        <v>62.57</v>
      </c>
      <c r="E2079" s="23">
        <f>VLOOKUP(A2079,'[11]Linea Automotriz'!$A$1:$F$533,6,FALSE)</f>
        <v>76.900000000000006</v>
      </c>
      <c r="F2079" s="23">
        <f>VLOOKUP(A2079,'[11]Linea Automotriz'!$A$2:$G$533,7,FALSE)</f>
        <v>86.9</v>
      </c>
    </row>
    <row r="2080" spans="1:6" x14ac:dyDescent="0.3">
      <c r="A2080" s="72" t="s">
        <v>2446</v>
      </c>
      <c r="B2080" s="73" t="s">
        <v>2447</v>
      </c>
      <c r="C2080" s="23">
        <f>VLOOKUP(A2080,'[11]Linea Automotriz'!$A$1:$D$533,4,FALSE)</f>
        <v>32.18</v>
      </c>
      <c r="D2080" s="23">
        <f>VLOOKUP(A2080,'[11]Linea Automotriz'!$A$1:$E$533,5,FALSE)</f>
        <v>36.36</v>
      </c>
      <c r="E2080" s="23">
        <f>VLOOKUP(A2080,'[11]Linea Automotriz'!$A$1:$F$533,6,FALSE)</f>
        <v>44.69</v>
      </c>
      <c r="F2080" s="23">
        <f>VLOOKUP(A2080,'[11]Linea Automotriz'!$A$2:$G$533,7,FALSE)</f>
        <v>50.5</v>
      </c>
    </row>
    <row r="2081" spans="1:6" ht="15" thickBot="1" x14ac:dyDescent="0.35">
      <c r="A2081" s="76" t="s">
        <v>2448</v>
      </c>
      <c r="B2081" s="77" t="s">
        <v>3955</v>
      </c>
      <c r="C2081" s="35">
        <f>VLOOKUP(A2081,'[11]Linea Automotriz'!$A$1:$D$533,4,FALSE)</f>
        <v>7.12</v>
      </c>
      <c r="D2081" s="35">
        <f>VLOOKUP(A2081,'[11]Linea Automotriz'!$A$1:$E$533,5,FALSE)</f>
        <v>8.0500000000000007</v>
      </c>
      <c r="E2081" s="35">
        <f>VLOOKUP(A2081,'[11]Linea Automotriz'!$A$1:$F$533,6,FALSE)</f>
        <v>10.18</v>
      </c>
      <c r="F2081" s="35">
        <f>VLOOKUP(A2081,'[11]Linea Automotriz'!$A$2:$G$533,7,FALSE)</f>
        <v>11.5</v>
      </c>
    </row>
    <row r="2082" spans="1:6" x14ac:dyDescent="0.3">
      <c r="A2082" s="78" t="s">
        <v>2451</v>
      </c>
      <c r="B2082" s="79" t="s">
        <v>2452</v>
      </c>
      <c r="C2082" s="56">
        <f>VLOOKUP(A2082,'[11]Linea Solventes'!$A$1:$F$65,3,FALSE)</f>
        <v>13.1</v>
      </c>
      <c r="D2082" s="56">
        <f>VLOOKUP(A2082,'[11]Linea Solventes'!$A$1:$F$65,4,FALSE)</f>
        <v>14.8</v>
      </c>
      <c r="E2082" s="56">
        <f>VLOOKUP(A2082,'[11]Linea Solventes'!$A$1:$F$65,5,FALSE)</f>
        <v>16.37</v>
      </c>
      <c r="F2082" s="56">
        <f>VLOOKUP(A2082,'[11]Linea Solventes'!$A$1:$F$65,6,FALSE)</f>
        <v>18.5</v>
      </c>
    </row>
    <row r="2083" spans="1:6" x14ac:dyDescent="0.3">
      <c r="A2083" s="80" t="s">
        <v>2453</v>
      </c>
      <c r="B2083" s="81" t="s">
        <v>2452</v>
      </c>
      <c r="C2083" s="22">
        <f>VLOOKUP(A2083,'[11]Linea Solventes'!$A$1:$F$65,3,FALSE)</f>
        <v>3.47</v>
      </c>
      <c r="D2083" s="22">
        <f>VLOOKUP(A2083,'[11]Linea Solventes'!$A$1:$F$65,4,FALSE)</f>
        <v>3.92</v>
      </c>
      <c r="E2083" s="22">
        <f>VLOOKUP(A2083,'[11]Linea Solventes'!$A$1:$F$65,5,FALSE)</f>
        <v>4.34</v>
      </c>
      <c r="F2083" s="22">
        <f>VLOOKUP(A2083,'[11]Linea Solventes'!$A$1:$F$65,6,FALSE)</f>
        <v>4.8999999999999995</v>
      </c>
    </row>
    <row r="2084" spans="1:6" x14ac:dyDescent="0.3">
      <c r="A2084" s="80" t="s">
        <v>2454</v>
      </c>
      <c r="B2084" s="81" t="s">
        <v>2455</v>
      </c>
      <c r="C2084" s="22">
        <f>VLOOKUP(A2084,'[11]Linea Solventes'!$A$1:$F$65,3,FALSE)</f>
        <v>13.81</v>
      </c>
      <c r="D2084" s="22">
        <f>VLOOKUP(A2084,'[11]Linea Solventes'!$A$1:$F$65,4,FALSE)</f>
        <v>15.6</v>
      </c>
      <c r="E2084" s="22">
        <f>VLOOKUP(A2084,'[11]Linea Solventes'!$A$1:$F$65,5,FALSE)</f>
        <v>17.260000000000002</v>
      </c>
      <c r="F2084" s="22">
        <f>VLOOKUP(A2084,'[11]Linea Solventes'!$A$1:$F$65,6,FALSE)</f>
        <v>19.5</v>
      </c>
    </row>
    <row r="2085" spans="1:6" x14ac:dyDescent="0.3">
      <c r="A2085" s="80" t="s">
        <v>2456</v>
      </c>
      <c r="B2085" s="81" t="s">
        <v>2455</v>
      </c>
      <c r="C2085" s="22">
        <f>VLOOKUP(A2085,'[11]Linea Solventes'!$A$1:$F$65,3,FALSE)</f>
        <v>3.19</v>
      </c>
      <c r="D2085" s="22">
        <f>VLOOKUP(A2085,'[11]Linea Solventes'!$A$1:$F$65,4,FALSE)</f>
        <v>3.6</v>
      </c>
      <c r="E2085" s="22">
        <f>VLOOKUP(A2085,'[11]Linea Solventes'!$A$1:$F$65,5,FALSE)</f>
        <v>3.98</v>
      </c>
      <c r="F2085" s="22">
        <f>VLOOKUP(A2085,'[11]Linea Solventes'!$A$1:$F$65,6,FALSE)</f>
        <v>4.5</v>
      </c>
    </row>
    <row r="2086" spans="1:6" x14ac:dyDescent="0.3">
      <c r="A2086" s="80" t="s">
        <v>2457</v>
      </c>
      <c r="B2086" s="81" t="s">
        <v>2458</v>
      </c>
      <c r="C2086" s="22">
        <f>VLOOKUP(A2086,'[11]Linea Solventes'!$A$1:$F$65,3,FALSE)</f>
        <v>472.21</v>
      </c>
      <c r="D2086" s="22">
        <f>VLOOKUP(A2086,'[11]Linea Solventes'!$A$1:$F$65,4,FALSE)</f>
        <v>533.6</v>
      </c>
      <c r="E2086" s="22">
        <f>VLOOKUP(A2086,'[11]Linea Solventes'!$A$1:$F$65,5,FALSE)</f>
        <v>590.27</v>
      </c>
      <c r="F2086" s="22">
        <f>VLOOKUP(A2086,'[11]Linea Solventes'!$A$1:$F$65,6,FALSE)</f>
        <v>667</v>
      </c>
    </row>
    <row r="2087" spans="1:6" x14ac:dyDescent="0.3">
      <c r="A2087" s="80" t="s">
        <v>2459</v>
      </c>
      <c r="B2087" s="81" t="s">
        <v>2458</v>
      </c>
      <c r="C2087" s="22">
        <f>VLOOKUP(A2087,'[11]Linea Solventes'!$A$1:$F$65,3,FALSE)</f>
        <v>10.55</v>
      </c>
      <c r="D2087" s="22">
        <f>VLOOKUP(A2087,'[11]Linea Solventes'!$A$1:$F$65,4,FALSE)</f>
        <v>11.92</v>
      </c>
      <c r="E2087" s="22">
        <f>VLOOKUP(A2087,'[11]Linea Solventes'!$A$1:$F$65,5,FALSE)</f>
        <v>13.19</v>
      </c>
      <c r="F2087" s="22">
        <f>VLOOKUP(A2087,'[11]Linea Solventes'!$A$1:$F$65,6,FALSE)</f>
        <v>14.9</v>
      </c>
    </row>
    <row r="2088" spans="1:6" x14ac:dyDescent="0.3">
      <c r="A2088" s="80" t="s">
        <v>2460</v>
      </c>
      <c r="B2088" s="81" t="s">
        <v>2458</v>
      </c>
      <c r="C2088" s="22">
        <f>VLOOKUP(A2088,'[11]Linea Solventes'!$A$1:$F$65,3,FALSE)</f>
        <v>3.47</v>
      </c>
      <c r="D2088" s="22">
        <f>VLOOKUP(A2088,'[11]Linea Solventes'!$A$1:$F$65,4,FALSE)</f>
        <v>3.92</v>
      </c>
      <c r="E2088" s="22">
        <f>VLOOKUP(A2088,'[11]Linea Solventes'!$A$1:$F$65,5,FALSE)</f>
        <v>4.34</v>
      </c>
      <c r="F2088" s="22">
        <f>VLOOKUP(A2088,'[11]Linea Solventes'!$A$1:$F$65,6,FALSE)</f>
        <v>4.9000000000000004</v>
      </c>
    </row>
    <row r="2089" spans="1:6" x14ac:dyDescent="0.3">
      <c r="A2089" s="80" t="s">
        <v>2461</v>
      </c>
      <c r="B2089" s="81" t="s">
        <v>2462</v>
      </c>
      <c r="C2089" s="22">
        <f>VLOOKUP(A2089,'[11]Linea Solventes'!$A$1:$F$65,3,FALSE)</f>
        <v>656.99</v>
      </c>
      <c r="D2089" s="22">
        <f>VLOOKUP(A2089,'[11]Linea Solventes'!$A$1:$F$65,4,FALSE)</f>
        <v>742.4</v>
      </c>
      <c r="E2089" s="22">
        <f>VLOOKUP(A2089,'[11]Linea Solventes'!$A$1:$F$65,5,FALSE)</f>
        <v>821.24</v>
      </c>
      <c r="F2089" s="22">
        <f>VLOOKUP(A2089,'[11]Linea Solventes'!$A$1:$F$65,6,FALSE)</f>
        <v>928</v>
      </c>
    </row>
    <row r="2090" spans="1:6" x14ac:dyDescent="0.3">
      <c r="A2090" s="80" t="s">
        <v>2463</v>
      </c>
      <c r="B2090" s="81" t="s">
        <v>2462</v>
      </c>
      <c r="C2090" s="22">
        <f>VLOOKUP(A2090,'[11]Linea Solventes'!$A$1:$F$65,3,FALSE)</f>
        <v>14.09</v>
      </c>
      <c r="D2090" s="22">
        <f>VLOOKUP(A2090,'[11]Linea Solventes'!$A$1:$F$65,4,FALSE)</f>
        <v>15.92</v>
      </c>
      <c r="E2090" s="22">
        <f>VLOOKUP(A2090,'[11]Linea Solventes'!$A$1:$F$65,5,FALSE)</f>
        <v>17.61</v>
      </c>
      <c r="F2090" s="22">
        <f>VLOOKUP(A2090,'[11]Linea Solventes'!$A$1:$F$65,6,FALSE)</f>
        <v>19.899999999999999</v>
      </c>
    </row>
    <row r="2091" spans="1:6" x14ac:dyDescent="0.3">
      <c r="A2091" s="80" t="s">
        <v>3956</v>
      </c>
      <c r="B2091" s="81" t="s">
        <v>2462</v>
      </c>
      <c r="C2091" s="22">
        <f>VLOOKUP(A2091,'[11]Linea Solventes'!$A$1:$F$65,3,FALSE)</f>
        <v>4.5999999999999996</v>
      </c>
      <c r="D2091" s="22">
        <f>VLOOKUP(A2091,'[11]Linea Solventes'!$A$1:$F$65,4,FALSE)</f>
        <v>5.2</v>
      </c>
      <c r="E2091" s="22">
        <f>VLOOKUP(A2091,'[11]Linea Solventes'!$A$1:$F$65,5,FALSE)</f>
        <v>5.75</v>
      </c>
      <c r="F2091" s="22">
        <f>VLOOKUP(A2091,'[11]Linea Solventes'!$A$1:$F$65,6,FALSE)</f>
        <v>6.5</v>
      </c>
    </row>
    <row r="2092" spans="1:6" x14ac:dyDescent="0.3">
      <c r="A2092" s="80" t="s">
        <v>2449</v>
      </c>
      <c r="B2092" s="81" t="s">
        <v>2450</v>
      </c>
      <c r="C2092" s="22">
        <f>VLOOKUP(A2092,'[11]Linea Solventes'!$A$1:$F$65,3,FALSE)</f>
        <v>11.96</v>
      </c>
      <c r="D2092" s="22">
        <f>VLOOKUP(A2092,'[11]Linea Solventes'!$A$1:$F$65,4,FALSE)</f>
        <v>13.52</v>
      </c>
      <c r="E2092" s="22">
        <f>VLOOKUP(A2092,'[11]Linea Solventes'!$A$1:$F$65,5,FALSE)</f>
        <v>14.96</v>
      </c>
      <c r="F2092" s="22">
        <f>VLOOKUP(A2092,'[11]Linea Solventes'!$A$1:$F$65,6,FALSE)</f>
        <v>16.899999999999999</v>
      </c>
    </row>
    <row r="2093" spans="1:6" x14ac:dyDescent="0.3">
      <c r="A2093" s="80" t="s">
        <v>2464</v>
      </c>
      <c r="B2093" s="81" t="s">
        <v>3179</v>
      </c>
      <c r="C2093" s="22">
        <f>VLOOKUP(A2093,'[11]Linea Solventes'!$A$1:$F$65,3,FALSE)</f>
        <v>3.19</v>
      </c>
      <c r="D2093" s="22">
        <f>VLOOKUP(A2093,'[11]Linea Solventes'!$A$1:$F$65,4,FALSE)</f>
        <v>3.6</v>
      </c>
      <c r="E2093" s="22">
        <f>VLOOKUP(A2093,'[11]Linea Solventes'!$A$1:$F$65,5,FALSE)</f>
        <v>3.98</v>
      </c>
      <c r="F2093" s="22">
        <f>VLOOKUP(A2093,'[11]Linea Solventes'!$A$1:$F$65,6,FALSE)</f>
        <v>4.5</v>
      </c>
    </row>
    <row r="2094" spans="1:6" x14ac:dyDescent="0.3">
      <c r="A2094" s="80" t="s">
        <v>2465</v>
      </c>
      <c r="B2094" s="81" t="s">
        <v>3179</v>
      </c>
      <c r="C2094" s="22">
        <f>VLOOKUP(A2094,'[11]Linea Solventes'!$A$1:$F$65,3,FALSE)</f>
        <v>10.27</v>
      </c>
      <c r="D2094" s="22">
        <f>VLOOKUP(A2094,'[11]Linea Solventes'!$A$1:$F$65,4,FALSE)</f>
        <v>11.6</v>
      </c>
      <c r="E2094" s="22">
        <f>VLOOKUP(A2094,'[11]Linea Solventes'!$A$1:$F$65,5,FALSE)</f>
        <v>12.83</v>
      </c>
      <c r="F2094" s="22">
        <f>VLOOKUP(A2094,'[11]Linea Solventes'!$A$1:$F$65,6,FALSE)</f>
        <v>14.5</v>
      </c>
    </row>
    <row r="2095" spans="1:6" x14ac:dyDescent="0.3">
      <c r="A2095" s="80" t="s">
        <v>2466</v>
      </c>
      <c r="B2095" s="81" t="s">
        <v>3179</v>
      </c>
      <c r="C2095" s="22">
        <f>VLOOKUP(A2095,'[11]Linea Solventes'!$A$1:$F$65,3,FALSE)</f>
        <v>470.09</v>
      </c>
      <c r="D2095" s="22">
        <f>VLOOKUP(A2095,'[11]Linea Solventes'!$A$1:$F$65,4,FALSE)</f>
        <v>531.20000000000005</v>
      </c>
      <c r="E2095" s="22">
        <f>VLOOKUP(A2095,'[11]Linea Solventes'!$A$1:$F$65,5,FALSE)</f>
        <v>587.61</v>
      </c>
      <c r="F2095" s="22">
        <f>VLOOKUP(A2095,'[11]Linea Solventes'!$A$1:$F$65,6,FALSE)</f>
        <v>664</v>
      </c>
    </row>
    <row r="2096" spans="1:6" x14ac:dyDescent="0.3">
      <c r="A2096" s="80" t="s">
        <v>2467</v>
      </c>
      <c r="B2096" s="81" t="s">
        <v>2468</v>
      </c>
      <c r="C2096" s="22">
        <f>VLOOKUP(A2096,'[11]Linea Solventes'!$A$1:$F$65,3,FALSE)</f>
        <v>20.46</v>
      </c>
      <c r="D2096" s="22">
        <f>VLOOKUP(A2096,'[11]Linea Solventes'!$A$1:$F$65,4,FALSE)</f>
        <v>23.12</v>
      </c>
      <c r="E2096" s="22">
        <f>VLOOKUP(A2096,'[11]Linea Solventes'!$A$1:$F$65,5,FALSE)</f>
        <v>25.58</v>
      </c>
      <c r="F2096" s="22">
        <f>VLOOKUP(A2096,'[11]Linea Solventes'!$A$1:$F$65,6,FALSE)</f>
        <v>28.9</v>
      </c>
    </row>
    <row r="2097" spans="1:6" x14ac:dyDescent="0.3">
      <c r="A2097" s="80" t="s">
        <v>2469</v>
      </c>
      <c r="B2097" s="81" t="s">
        <v>2470</v>
      </c>
      <c r="C2097" s="22">
        <f>VLOOKUP(A2097,'[11]Linea Solventes'!$A$1:$F$65,3,FALSE)</f>
        <v>447.43</v>
      </c>
      <c r="D2097" s="22">
        <f>VLOOKUP(A2097,'[11]Linea Solventes'!$A$1:$F$65,4,FALSE)</f>
        <v>505.6</v>
      </c>
      <c r="E2097" s="22">
        <f>VLOOKUP(A2097,'[11]Linea Solventes'!$A$1:$F$65,5,FALSE)</f>
        <v>559.29</v>
      </c>
      <c r="F2097" s="22">
        <f>VLOOKUP(A2097,'[11]Linea Solventes'!$A$1:$F$65,6,FALSE)</f>
        <v>632</v>
      </c>
    </row>
    <row r="2098" spans="1:6" x14ac:dyDescent="0.3">
      <c r="A2098" s="80" t="s">
        <v>2471</v>
      </c>
      <c r="B2098" s="81" t="s">
        <v>2470</v>
      </c>
      <c r="C2098" s="22">
        <f>VLOOKUP(A2098,'[11]Linea Solventes'!$A$1:$F$65,3,FALSE)</f>
        <v>9.84</v>
      </c>
      <c r="D2098" s="22">
        <f>VLOOKUP(A2098,'[11]Linea Solventes'!$A$1:$F$65,4,FALSE)</f>
        <v>11.12</v>
      </c>
      <c r="E2098" s="22">
        <f>VLOOKUP(A2098,'[11]Linea Solventes'!$A$1:$F$65,5,FALSE)</f>
        <v>12.3</v>
      </c>
      <c r="F2098" s="22">
        <f>VLOOKUP(A2098,'[11]Linea Solventes'!$A$1:$F$65,6,FALSE)</f>
        <v>13.9</v>
      </c>
    </row>
    <row r="2099" spans="1:6" x14ac:dyDescent="0.3">
      <c r="A2099" s="80" t="s">
        <v>2472</v>
      </c>
      <c r="B2099" s="81" t="s">
        <v>2470</v>
      </c>
      <c r="C2099" s="22">
        <f>VLOOKUP(A2099,'[11]Linea Solventes'!$A$1:$F$65,3,FALSE)</f>
        <v>2.76</v>
      </c>
      <c r="D2099" s="22">
        <f>VLOOKUP(A2099,'[11]Linea Solventes'!$A$1:$F$65,4,FALSE)</f>
        <v>3.12</v>
      </c>
      <c r="E2099" s="22">
        <f>VLOOKUP(A2099,'[11]Linea Solventes'!$A$1:$F$65,5,FALSE)</f>
        <v>3.45</v>
      </c>
      <c r="F2099" s="22">
        <f>VLOOKUP(A2099,'[11]Linea Solventes'!$A$1:$F$65,6,FALSE)</f>
        <v>3.9</v>
      </c>
    </row>
    <row r="2100" spans="1:6" x14ac:dyDescent="0.3">
      <c r="A2100" s="80" t="s">
        <v>2473</v>
      </c>
      <c r="B2100" s="81" t="s">
        <v>2474</v>
      </c>
      <c r="C2100" s="22">
        <f>VLOOKUP(A2100,'[11]Linea Solventes'!$A$1:$F$65,3,FALSE)</f>
        <v>27.26</v>
      </c>
      <c r="D2100" s="22">
        <f>VLOOKUP(A2100,'[11]Linea Solventes'!$A$1:$F$65,4,FALSE)</f>
        <v>30.8</v>
      </c>
      <c r="E2100" s="22">
        <f>VLOOKUP(A2100,'[11]Linea Solventes'!$A$1:$F$65,5,FALSE)</f>
        <v>34.07</v>
      </c>
      <c r="F2100" s="22">
        <f>VLOOKUP(A2100,'[11]Linea Solventes'!$A$1:$F$65,6,FALSE)</f>
        <v>38.5</v>
      </c>
    </row>
    <row r="2101" spans="1:6" x14ac:dyDescent="0.3">
      <c r="A2101" s="80" t="s">
        <v>2475</v>
      </c>
      <c r="B2101" s="81" t="s">
        <v>2476</v>
      </c>
      <c r="C2101" s="22">
        <f>VLOOKUP(A2101,'[11]Linea Solventes'!$A$1:$F$65,3,FALSE)</f>
        <v>13.38</v>
      </c>
      <c r="D2101" s="22">
        <f>VLOOKUP(A2101,'[11]Linea Solventes'!$A$1:$F$65,4,FALSE)</f>
        <v>15.12</v>
      </c>
      <c r="E2101" s="22">
        <f>VLOOKUP(A2101,'[11]Linea Solventes'!$A$1:$F$65,5,FALSE)</f>
        <v>16.73</v>
      </c>
      <c r="F2101" s="22">
        <f>VLOOKUP(A2101,'[11]Linea Solventes'!$A$1:$F$65,6,FALSE)</f>
        <v>18.899999999999999</v>
      </c>
    </row>
    <row r="2102" spans="1:6" x14ac:dyDescent="0.3">
      <c r="A2102" s="80" t="s">
        <v>2477</v>
      </c>
      <c r="B2102" s="81" t="s">
        <v>2478</v>
      </c>
      <c r="C2102" s="22">
        <f>VLOOKUP(A2102,'[11]Linea Solventes'!$A$1:$F$65,3,FALSE)</f>
        <v>18.05</v>
      </c>
      <c r="D2102" s="22">
        <f>VLOOKUP(A2102,'[11]Linea Solventes'!$A$1:$F$65,4,FALSE)</f>
        <v>20.399999999999999</v>
      </c>
      <c r="E2102" s="22">
        <f>VLOOKUP(A2102,'[11]Linea Solventes'!$A$1:$F$65,5,FALSE)</f>
        <v>22.57</v>
      </c>
      <c r="F2102" s="22">
        <f>VLOOKUP(A2102,'[11]Linea Solventes'!$A$1:$F$65,6,FALSE)</f>
        <v>25.5</v>
      </c>
    </row>
    <row r="2103" spans="1:6" x14ac:dyDescent="0.3">
      <c r="A2103" s="80" t="s">
        <v>2479</v>
      </c>
      <c r="B2103" s="81" t="s">
        <v>2478</v>
      </c>
      <c r="C2103" s="22">
        <f>VLOOKUP(A2103,'[11]Linea Solventes'!$A$1:$F$65,3,FALSE)</f>
        <v>4.5999999999999996</v>
      </c>
      <c r="D2103" s="22">
        <f>VLOOKUP(A2103,'[11]Linea Solventes'!$A$1:$F$65,4,FALSE)</f>
        <v>5.2</v>
      </c>
      <c r="E2103" s="22">
        <f>VLOOKUP(A2103,'[11]Linea Solventes'!$A$1:$F$65,5,FALSE)</f>
        <v>5.75</v>
      </c>
      <c r="F2103" s="22">
        <f>VLOOKUP(A2103,'[11]Linea Solventes'!$A$1:$F$65,6,FALSE)</f>
        <v>6.5</v>
      </c>
    </row>
    <row r="2104" spans="1:6" x14ac:dyDescent="0.3">
      <c r="A2104" s="80" t="s">
        <v>2480</v>
      </c>
      <c r="B2104" s="81" t="s">
        <v>2481</v>
      </c>
      <c r="C2104" s="22">
        <f>VLOOKUP(A2104,'[11]Linea Solventes'!$A$1:$F$65,3,FALSE)</f>
        <v>13.38</v>
      </c>
      <c r="D2104" s="22">
        <f>VLOOKUP(A2104,'[11]Linea Solventes'!$A$1:$F$65,4,FALSE)</f>
        <v>15.12</v>
      </c>
      <c r="E2104" s="22">
        <f>VLOOKUP(A2104,'[11]Linea Solventes'!$A$1:$F$65,5,FALSE)</f>
        <v>16.73</v>
      </c>
      <c r="F2104" s="22">
        <f>VLOOKUP(A2104,'[11]Linea Solventes'!$A$1:$F$65,6,FALSE)</f>
        <v>18.899999999999999</v>
      </c>
    </row>
    <row r="2105" spans="1:6" x14ac:dyDescent="0.3">
      <c r="A2105" s="80" t="s">
        <v>2482</v>
      </c>
      <c r="B2105" s="81" t="s">
        <v>2483</v>
      </c>
      <c r="C2105" s="22">
        <f>VLOOKUP(A2105,'[11]Linea Solventes'!$A$1:$F$65,3,FALSE)</f>
        <v>2.48</v>
      </c>
      <c r="D2105" s="22">
        <f>VLOOKUP(A2105,'[11]Linea Solventes'!$A$1:$F$65,4,FALSE)</f>
        <v>2.8</v>
      </c>
      <c r="E2105" s="22">
        <f>VLOOKUP(A2105,'[11]Linea Solventes'!$A$1:$F$65,5,FALSE)</f>
        <v>3.1</v>
      </c>
      <c r="F2105" s="22">
        <f>VLOOKUP(A2105,'[11]Linea Solventes'!$A$1:$F$65,6,FALSE)</f>
        <v>3.5</v>
      </c>
    </row>
    <row r="2106" spans="1:6" x14ac:dyDescent="0.3">
      <c r="A2106" s="80" t="s">
        <v>2484</v>
      </c>
      <c r="B2106" s="81" t="s">
        <v>2483</v>
      </c>
      <c r="C2106" s="22">
        <f>VLOOKUP(A2106,'[11]Linea Solventes'!$A$1:$F$65,3,FALSE)</f>
        <v>8.42</v>
      </c>
      <c r="D2106" s="22">
        <f>VLOOKUP(A2106,'[11]Linea Solventes'!$A$1:$F$65,4,FALSE)</f>
        <v>9.52</v>
      </c>
      <c r="E2106" s="22">
        <f>VLOOKUP(A2106,'[11]Linea Solventes'!$A$1:$F$65,5,FALSE)</f>
        <v>10.53</v>
      </c>
      <c r="F2106" s="22">
        <f>VLOOKUP(A2106,'[11]Linea Solventes'!$A$1:$F$65,6,FALSE)</f>
        <v>11.9</v>
      </c>
    </row>
    <row r="2107" spans="1:6" x14ac:dyDescent="0.3">
      <c r="A2107" s="80" t="s">
        <v>2485</v>
      </c>
      <c r="B2107" s="81" t="s">
        <v>2483</v>
      </c>
      <c r="C2107" s="22">
        <f>VLOOKUP(A2107,'[11]Linea Solventes'!$A$1:$F$65,3,FALSE)</f>
        <v>410.62</v>
      </c>
      <c r="D2107" s="22">
        <f>VLOOKUP(A2107,'[11]Linea Solventes'!$A$1:$F$65,4,FALSE)</f>
        <v>464</v>
      </c>
      <c r="E2107" s="22">
        <f>VLOOKUP(A2107,'[11]Linea Solventes'!$A$1:$F$65,5,FALSE)</f>
        <v>513.27</v>
      </c>
      <c r="F2107" s="22">
        <f>VLOOKUP(A2107,'[11]Linea Solventes'!$A$1:$F$65,6,FALSE)</f>
        <v>580</v>
      </c>
    </row>
    <row r="2108" spans="1:6" x14ac:dyDescent="0.3">
      <c r="A2108" s="80" t="s">
        <v>2242</v>
      </c>
      <c r="B2108" s="81" t="s">
        <v>2486</v>
      </c>
      <c r="C2108" s="22">
        <f>VLOOKUP(A2108,'[11]Linea Solventes'!$A$1:$F$65,3,FALSE)</f>
        <v>21.17</v>
      </c>
      <c r="D2108" s="22">
        <f>VLOOKUP(A2108,'[11]Linea Solventes'!$A$1:$F$65,4,FALSE)</f>
        <v>23.92</v>
      </c>
      <c r="E2108" s="22">
        <f>VLOOKUP(A2108,'[11]Linea Solventes'!$A$1:$F$65,5,FALSE)</f>
        <v>26.46</v>
      </c>
      <c r="F2108" s="22">
        <f>VLOOKUP(A2108,'[11]Linea Solventes'!$A$1:$F$65,6,FALSE)</f>
        <v>29.9</v>
      </c>
    </row>
    <row r="2109" spans="1:6" x14ac:dyDescent="0.3">
      <c r="A2109" s="80" t="s">
        <v>2243</v>
      </c>
      <c r="B2109" s="81" t="s">
        <v>2487</v>
      </c>
      <c r="C2109" s="22">
        <f>VLOOKUP(A2109,'[11]Linea Solventes'!$A$1:$F$65,3,FALSE)</f>
        <v>21.17</v>
      </c>
      <c r="D2109" s="22">
        <f>VLOOKUP(A2109,'[11]Linea Solventes'!$A$1:$F$65,4,FALSE)</f>
        <v>23.92</v>
      </c>
      <c r="E2109" s="22">
        <f>VLOOKUP(A2109,'[11]Linea Solventes'!$A$1:$F$65,5,FALSE)</f>
        <v>26.46</v>
      </c>
      <c r="F2109" s="22">
        <f>VLOOKUP(A2109,'[11]Linea Solventes'!$A$1:$F$65,6,FALSE)</f>
        <v>29.9</v>
      </c>
    </row>
    <row r="2110" spans="1:6" x14ac:dyDescent="0.3">
      <c r="A2110" s="82" t="s">
        <v>2488</v>
      </c>
      <c r="B2110" s="81" t="s">
        <v>2489</v>
      </c>
      <c r="C2110" s="22">
        <f>VLOOKUP(A2110,'[11]Linea Solventes'!$A$1:$F$65,3,FALSE)</f>
        <v>13.38</v>
      </c>
      <c r="D2110" s="22">
        <f>VLOOKUP(A2110,'[11]Linea Solventes'!$A$1:$F$65,4,FALSE)</f>
        <v>15.12</v>
      </c>
      <c r="E2110" s="22">
        <f>VLOOKUP(A2110,'[11]Linea Solventes'!$A$1:$F$65,5,FALSE)</f>
        <v>16.73</v>
      </c>
      <c r="F2110" s="22">
        <f>VLOOKUP(A2110,'[11]Linea Solventes'!$A$1:$F$65,6,FALSE)</f>
        <v>18.899999999999999</v>
      </c>
    </row>
    <row r="2111" spans="1:6" x14ac:dyDescent="0.3">
      <c r="A2111" s="80" t="s">
        <v>1813</v>
      </c>
      <c r="B2111" s="81" t="s">
        <v>1812</v>
      </c>
      <c r="C2111" s="22">
        <f>VLOOKUP(A2111,'[11]Linea Solventes'!$A$1:$F$65,3,FALSE)</f>
        <v>6.3</v>
      </c>
      <c r="D2111" s="22">
        <f>VLOOKUP(A2111,'[11]Linea Solventes'!$A$1:$F$65,4,FALSE)</f>
        <v>7.12</v>
      </c>
      <c r="E2111" s="22">
        <f>VLOOKUP(A2111,'[11]Linea Solventes'!$A$1:$F$65,5,FALSE)</f>
        <v>7.88</v>
      </c>
      <c r="F2111" s="22">
        <f>VLOOKUP(A2111,'[11]Linea Solventes'!$A$1:$F$65,6,FALSE)</f>
        <v>8.9</v>
      </c>
    </row>
    <row r="2112" spans="1:6" x14ac:dyDescent="0.3">
      <c r="A2112" s="80" t="s">
        <v>1811</v>
      </c>
      <c r="B2112" s="81" t="s">
        <v>1812</v>
      </c>
      <c r="C2112" s="22">
        <f>VLOOKUP(A2112,'[11]Linea Solventes'!$A$1:$F$65,3,FALSE)</f>
        <v>19.04</v>
      </c>
      <c r="D2112" s="22">
        <f>VLOOKUP(A2112,'[11]Linea Solventes'!$A$1:$F$65,4,FALSE)</f>
        <v>21.52</v>
      </c>
      <c r="E2112" s="22">
        <f>VLOOKUP(A2112,'[11]Linea Solventes'!$A$1:$F$65,5,FALSE)</f>
        <v>23.81</v>
      </c>
      <c r="F2112" s="22">
        <f>VLOOKUP(A2112,'[11]Linea Solventes'!$A$1:$F$65,6,FALSE)</f>
        <v>26.9</v>
      </c>
    </row>
    <row r="2113" spans="1:6" x14ac:dyDescent="0.3">
      <c r="A2113" s="80" t="s">
        <v>1841</v>
      </c>
      <c r="B2113" s="81" t="s">
        <v>3180</v>
      </c>
      <c r="C2113" s="22">
        <f>VLOOKUP(A2113,'[11]Linea Solventes'!$A$1:$F$65,3,FALSE)</f>
        <v>16.21</v>
      </c>
      <c r="D2113" s="22">
        <f>VLOOKUP(A2113,'[11]Linea Solventes'!$A$1:$F$65,4,FALSE)</f>
        <v>18.32</v>
      </c>
      <c r="E2113" s="22">
        <f>VLOOKUP(A2113,'[11]Linea Solventes'!$A$1:$F$65,5,FALSE)</f>
        <v>20.27</v>
      </c>
      <c r="F2113" s="22">
        <f>VLOOKUP(A2113,'[11]Linea Solventes'!$A$1:$F$65,6,FALSE)</f>
        <v>22.9</v>
      </c>
    </row>
    <row r="2114" spans="1:6" x14ac:dyDescent="0.3">
      <c r="A2114" s="80" t="s">
        <v>1809</v>
      </c>
      <c r="B2114" s="81" t="s">
        <v>1810</v>
      </c>
      <c r="C2114" s="22">
        <f>VLOOKUP(A2114,'[11]Linea Solventes'!$A$1:$F$65,3,FALSE)</f>
        <v>19.75</v>
      </c>
      <c r="D2114" s="22">
        <f>VLOOKUP(A2114,'[11]Linea Solventes'!$A$1:$F$65,4,FALSE)</f>
        <v>22.32</v>
      </c>
      <c r="E2114" s="22">
        <f>VLOOKUP(A2114,'[11]Linea Solventes'!$A$1:$F$65,5,FALSE)</f>
        <v>24.69</v>
      </c>
      <c r="F2114" s="22">
        <f>VLOOKUP(A2114,'[11]Linea Solventes'!$A$1:$F$65,6,FALSE)</f>
        <v>27.9</v>
      </c>
    </row>
    <row r="2115" spans="1:6" ht="15" thickBot="1" x14ac:dyDescent="0.35">
      <c r="A2115" s="83" t="s">
        <v>1814</v>
      </c>
      <c r="B2115" s="84" t="s">
        <v>1810</v>
      </c>
      <c r="C2115" s="85">
        <f>VLOOKUP(A2115,'[11]Linea Solventes'!$A$1:$F$65,3,FALSE)</f>
        <v>7.01</v>
      </c>
      <c r="D2115" s="85">
        <f>VLOOKUP(A2115,'[11]Linea Solventes'!$A$1:$F$65,4,FALSE)</f>
        <v>7.92</v>
      </c>
      <c r="E2115" s="85">
        <f>VLOOKUP(A2115,'[11]Linea Solventes'!$A$1:$F$65,5,FALSE)</f>
        <v>8.76</v>
      </c>
      <c r="F2115" s="85">
        <f>VLOOKUP(A2115,'[11]Linea Solventes'!$A$1:$F$65,6,FALSE)</f>
        <v>9.9</v>
      </c>
    </row>
    <row r="2116" spans="1:6" x14ac:dyDescent="0.3">
      <c r="A2116" s="86">
        <v>144152320</v>
      </c>
      <c r="B2116" s="34" t="s">
        <v>2490</v>
      </c>
      <c r="C2116" s="22">
        <f>VLOOKUP(A2116,'[11]Linea Asociados'!$A$1:$F$492,3,FALSE)</f>
        <v>12.39</v>
      </c>
      <c r="D2116" s="22">
        <f>VLOOKUP(A2116,'[11]Linea Asociados'!$A$1:$D$492,4,FALSE)</f>
        <v>14</v>
      </c>
      <c r="E2116" s="22">
        <f>VLOOKUP(A2116,'[11]Linea Asociados'!$A$1:$E$492,5,FALSE)</f>
        <v>15.49</v>
      </c>
      <c r="F2116" s="22">
        <f>VLOOKUP(A2116,'[11]Linea Asociados'!$A$1:$F$492,6,FALSE)</f>
        <v>17.5</v>
      </c>
    </row>
    <row r="2117" spans="1:6" x14ac:dyDescent="0.3">
      <c r="A2117" s="86">
        <v>144152330</v>
      </c>
      <c r="B2117" s="34" t="s">
        <v>2491</v>
      </c>
      <c r="C2117" s="22">
        <f>VLOOKUP(A2117,'[11]Linea Asociados'!$A$1:$F$492,3,FALSE)</f>
        <v>18.760000000000002</v>
      </c>
      <c r="D2117" s="22">
        <f>VLOOKUP(A2117,'[11]Linea Asociados'!$A$1:$D$492,4,FALSE)</f>
        <v>21.2</v>
      </c>
      <c r="E2117" s="22">
        <f>VLOOKUP(A2117,'[11]Linea Asociados'!$A$1:$E$492,5,FALSE)</f>
        <v>23.45</v>
      </c>
      <c r="F2117" s="22">
        <f>VLOOKUP(A2117,'[11]Linea Asociados'!$A$1:$F$492,6,FALSE)</f>
        <v>26.5</v>
      </c>
    </row>
    <row r="2118" spans="1:6" x14ac:dyDescent="0.3">
      <c r="A2118" s="86">
        <v>144380320</v>
      </c>
      <c r="B2118" s="34" t="s">
        <v>2492</v>
      </c>
      <c r="C2118" s="22">
        <f>VLOOKUP(A2118,'[11]Linea Asociados'!$A$1:$F$492,3,FALSE)</f>
        <v>11.96</v>
      </c>
      <c r="D2118" s="22">
        <f>VLOOKUP(A2118,'[11]Linea Asociados'!$A$1:$D$492,4,FALSE)</f>
        <v>13.52</v>
      </c>
      <c r="E2118" s="22">
        <f>VLOOKUP(A2118,'[11]Linea Asociados'!$A$1:$E$492,5,FALSE)</f>
        <v>14.96</v>
      </c>
      <c r="F2118" s="22">
        <f>VLOOKUP(A2118,'[11]Linea Asociados'!$A$1:$F$492,6,FALSE)</f>
        <v>16.899999999999999</v>
      </c>
    </row>
    <row r="2119" spans="1:6" x14ac:dyDescent="0.3">
      <c r="A2119" s="86">
        <v>144380330</v>
      </c>
      <c r="B2119" s="34" t="s">
        <v>2493</v>
      </c>
      <c r="C2119" s="22">
        <f>VLOOKUP(A2119,'[11]Linea Asociados'!$A$1:$F$492,3,FALSE)</f>
        <v>16.21</v>
      </c>
      <c r="D2119" s="22">
        <f>VLOOKUP(A2119,'[11]Linea Asociados'!$A$1:$D$492,4,FALSE)</f>
        <v>18.32</v>
      </c>
      <c r="E2119" s="22">
        <f>VLOOKUP(A2119,'[11]Linea Asociados'!$A$1:$E$492,5,FALSE)</f>
        <v>20.27</v>
      </c>
      <c r="F2119" s="22">
        <f>VLOOKUP(A2119,'[11]Linea Asociados'!$A$1:$F$492,6,FALSE)</f>
        <v>22.9</v>
      </c>
    </row>
    <row r="2120" spans="1:6" x14ac:dyDescent="0.3">
      <c r="A2120" s="86" t="s">
        <v>2494</v>
      </c>
      <c r="B2120" s="34" t="s">
        <v>2495</v>
      </c>
      <c r="C2120" s="22">
        <f>VLOOKUP(A2120,'[11]Linea Asociados'!$A$1:$F$492,3,FALSE)</f>
        <v>2.27</v>
      </c>
      <c r="D2120" s="22">
        <f>VLOOKUP(A2120,'[11]Linea Asociados'!$A$1:$D$492,4,FALSE)</f>
        <v>2.57</v>
      </c>
      <c r="E2120" s="22">
        <f>VLOOKUP(A2120,'[11]Linea Asociados'!$A$1:$E$492,5,FALSE)</f>
        <v>2.92</v>
      </c>
      <c r="F2120" s="22">
        <f>VLOOKUP(A2120,'[11]Linea Asociados'!$A$1:$F$492,6,FALSE)</f>
        <v>3.3</v>
      </c>
    </row>
    <row r="2121" spans="1:6" x14ac:dyDescent="0.3">
      <c r="A2121" s="86" t="s">
        <v>2496</v>
      </c>
      <c r="B2121" s="34" t="s">
        <v>2497</v>
      </c>
      <c r="C2121" s="22">
        <f>VLOOKUP(A2121,'[11]Linea Asociados'!$A$1:$F$492,3,FALSE)</f>
        <v>3.8</v>
      </c>
      <c r="D2121" s="22">
        <f>VLOOKUP(A2121,'[11]Linea Asociados'!$A$1:$D$492,4,FALSE)</f>
        <v>4.29</v>
      </c>
      <c r="E2121" s="22">
        <f>VLOOKUP(A2121,'[11]Linea Asociados'!$A$1:$E$492,5,FALSE)</f>
        <v>4.87</v>
      </c>
      <c r="F2121" s="22">
        <f>VLOOKUP(A2121,'[11]Linea Asociados'!$A$1:$F$492,6,FALSE)</f>
        <v>5.5</v>
      </c>
    </row>
    <row r="2122" spans="1:6" x14ac:dyDescent="0.3">
      <c r="A2122" s="86" t="s">
        <v>2498</v>
      </c>
      <c r="B2122" s="34" t="s">
        <v>2499</v>
      </c>
      <c r="C2122" s="22">
        <f>VLOOKUP(A2122,'[11]Linea Asociados'!$A$1:$F$492,3,FALSE)</f>
        <v>3.8</v>
      </c>
      <c r="D2122" s="22">
        <f>VLOOKUP(A2122,'[11]Linea Asociados'!$A$1:$D$492,4,FALSE)</f>
        <v>4.29</v>
      </c>
      <c r="E2122" s="22">
        <f>VLOOKUP(A2122,'[11]Linea Asociados'!$A$1:$E$492,5,FALSE)</f>
        <v>4.87</v>
      </c>
      <c r="F2122" s="22">
        <f>VLOOKUP(A2122,'[11]Linea Asociados'!$A$1:$F$492,6,FALSE)</f>
        <v>5.5</v>
      </c>
    </row>
    <row r="2123" spans="1:6" x14ac:dyDescent="0.3">
      <c r="A2123" s="86" t="s">
        <v>2500</v>
      </c>
      <c r="B2123" s="34" t="s">
        <v>2501</v>
      </c>
      <c r="C2123" s="22">
        <f>VLOOKUP(A2123,'[11]Linea Asociados'!$A$1:$F$492,3,FALSE)</f>
        <v>4.49</v>
      </c>
      <c r="D2123" s="22">
        <f>VLOOKUP(A2123,'[11]Linea Asociados'!$A$1:$D$492,4,FALSE)</f>
        <v>5.07</v>
      </c>
      <c r="E2123" s="22">
        <f>VLOOKUP(A2123,'[11]Linea Asociados'!$A$1:$E$492,5,FALSE)</f>
        <v>5.75</v>
      </c>
      <c r="F2123" s="22">
        <f>VLOOKUP(A2123,'[11]Linea Asociados'!$A$1:$F$492,6,FALSE)</f>
        <v>6.5</v>
      </c>
    </row>
    <row r="2124" spans="1:6" x14ac:dyDescent="0.3">
      <c r="A2124" s="86" t="s">
        <v>3957</v>
      </c>
      <c r="B2124" s="34" t="s">
        <v>3958</v>
      </c>
      <c r="C2124" s="22">
        <f>VLOOKUP(A2124,'[11]Linea Asociados'!$A$1:$F$492,3,FALSE)</f>
        <v>3.11</v>
      </c>
      <c r="D2124" s="22">
        <f>VLOOKUP(A2124,'[11]Linea Asociados'!$A$1:$D$492,4,FALSE)</f>
        <v>3.51</v>
      </c>
      <c r="E2124" s="22">
        <f>VLOOKUP(A2124,'[11]Linea Asociados'!$A$1:$E$492,5,FALSE)</f>
        <v>3.98</v>
      </c>
      <c r="F2124" s="22">
        <f>VLOOKUP(A2124,'[11]Linea Asociados'!$A$1:$F$492,6,FALSE)</f>
        <v>4.5</v>
      </c>
    </row>
    <row r="2125" spans="1:6" x14ac:dyDescent="0.3">
      <c r="A2125" s="86" t="s">
        <v>3959</v>
      </c>
      <c r="B2125" s="34" t="s">
        <v>3960</v>
      </c>
      <c r="C2125" s="22">
        <f>VLOOKUP(A2125,'[11]Linea Asociados'!$A$1:$F$492,3,FALSE)</f>
        <v>2</v>
      </c>
      <c r="D2125" s="22">
        <f>VLOOKUP(A2125,'[11]Linea Asociados'!$A$1:$D$492,4,FALSE)</f>
        <v>2.2599999999999998</v>
      </c>
      <c r="E2125" s="22">
        <f>VLOOKUP(A2125,'[11]Linea Asociados'!$A$1:$E$492,5,FALSE)</f>
        <v>2.57</v>
      </c>
      <c r="F2125" s="22">
        <f>VLOOKUP(A2125,'[11]Linea Asociados'!$A$1:$F$492,6,FALSE)</f>
        <v>2.9</v>
      </c>
    </row>
    <row r="2126" spans="1:6" x14ac:dyDescent="0.3">
      <c r="A2126" s="86">
        <v>44068</v>
      </c>
      <c r="B2126" s="34" t="s">
        <v>2502</v>
      </c>
      <c r="C2126" s="22">
        <f>VLOOKUP(A2126,'[11]Linea Asociados'!$A$1:$F$492,3,FALSE)</f>
        <v>1.93</v>
      </c>
      <c r="D2126" s="22">
        <f>VLOOKUP(A2126,'[11]Linea Asociados'!$A$1:$D$492,4,FALSE)</f>
        <v>2.1800000000000002</v>
      </c>
      <c r="E2126" s="22">
        <f>VLOOKUP(A2126,'[11]Linea Asociados'!$A$1:$E$492,5,FALSE)</f>
        <v>2.48</v>
      </c>
      <c r="F2126" s="22">
        <f>VLOOKUP(A2126,'[11]Linea Asociados'!$A$1:$F$492,6,FALSE)</f>
        <v>2.8</v>
      </c>
    </row>
    <row r="2127" spans="1:6" x14ac:dyDescent="0.3">
      <c r="A2127" s="86">
        <v>44069</v>
      </c>
      <c r="B2127" s="34" t="s">
        <v>2503</v>
      </c>
      <c r="C2127" s="22">
        <f>VLOOKUP(A2127,'[11]Linea Asociados'!$A$1:$F$492,3,FALSE)</f>
        <v>3.11</v>
      </c>
      <c r="D2127" s="22">
        <f>VLOOKUP(A2127,'[11]Linea Asociados'!$A$1:$D$492,4,FALSE)</f>
        <v>3.51</v>
      </c>
      <c r="E2127" s="22">
        <f>VLOOKUP(A2127,'[11]Linea Asociados'!$A$1:$E$492,5,FALSE)</f>
        <v>3.98</v>
      </c>
      <c r="F2127" s="22">
        <f>VLOOKUP(A2127,'[11]Linea Asociados'!$A$1:$F$492,6,FALSE)</f>
        <v>4.5</v>
      </c>
    </row>
    <row r="2128" spans="1:6" x14ac:dyDescent="0.3">
      <c r="A2128" s="86">
        <v>44070</v>
      </c>
      <c r="B2128" s="34" t="s">
        <v>2504</v>
      </c>
      <c r="C2128" s="22">
        <f>VLOOKUP(A2128,'[11]Linea Asociados'!$A$1:$F$492,3,FALSE)</f>
        <v>3.52</v>
      </c>
      <c r="D2128" s="22">
        <f>VLOOKUP(A2128,'[11]Linea Asociados'!$A$1:$D$492,4,FALSE)</f>
        <v>3.98</v>
      </c>
      <c r="E2128" s="22">
        <f>VLOOKUP(A2128,'[11]Linea Asociados'!$A$1:$E$492,5,FALSE)</f>
        <v>4.51</v>
      </c>
      <c r="F2128" s="22">
        <f>VLOOKUP(A2128,'[11]Linea Asociados'!$A$1:$F$492,6,FALSE)</f>
        <v>5.0999999999999996</v>
      </c>
    </row>
    <row r="2129" spans="1:6" x14ac:dyDescent="0.3">
      <c r="A2129" s="86" t="s">
        <v>2505</v>
      </c>
      <c r="B2129" s="34" t="s">
        <v>2506</v>
      </c>
      <c r="C2129" s="22">
        <f>VLOOKUP(A2129,'[11]Linea Asociados'!$A$1:$F$492,3,FALSE)</f>
        <v>1.8</v>
      </c>
      <c r="D2129" s="22">
        <f>VLOOKUP(A2129,'[11]Linea Asociados'!$A$1:$D$492,4,FALSE)</f>
        <v>2.0299999999999998</v>
      </c>
      <c r="E2129" s="22">
        <f>VLOOKUP(A2129,'[11]Linea Asociados'!$A$1:$E$492,5,FALSE)</f>
        <v>2.2999999999999998</v>
      </c>
      <c r="F2129" s="22">
        <f>VLOOKUP(A2129,'[11]Linea Asociados'!$A$1:$F$492,6,FALSE)</f>
        <v>2.6</v>
      </c>
    </row>
    <row r="2130" spans="1:6" x14ac:dyDescent="0.3">
      <c r="A2130" s="86">
        <v>44058</v>
      </c>
      <c r="B2130" s="34" t="s">
        <v>2507</v>
      </c>
      <c r="C2130" s="22">
        <f>VLOOKUP(A2130,'[11]Linea Asociados'!$A$1:$F$492,3,FALSE)</f>
        <v>1.31</v>
      </c>
      <c r="D2130" s="22">
        <f>VLOOKUP(A2130,'[11]Linea Asociados'!$A$1:$D$492,4,FALSE)</f>
        <v>1.48</v>
      </c>
      <c r="E2130" s="22">
        <f>VLOOKUP(A2130,'[11]Linea Asociados'!$A$1:$E$492,5,FALSE)</f>
        <v>1.68</v>
      </c>
      <c r="F2130" s="22">
        <f>VLOOKUP(A2130,'[11]Linea Asociados'!$A$1:$F$492,6,FALSE)</f>
        <v>1.9</v>
      </c>
    </row>
    <row r="2131" spans="1:6" x14ac:dyDescent="0.3">
      <c r="A2131" s="86">
        <v>44060</v>
      </c>
      <c r="B2131" s="34" t="s">
        <v>2508</v>
      </c>
      <c r="C2131" s="22">
        <f>VLOOKUP(A2131,'[11]Linea Asociados'!$A$1:$F$492,3,FALSE)</f>
        <v>1.73</v>
      </c>
      <c r="D2131" s="22">
        <f>VLOOKUP(A2131,'[11]Linea Asociados'!$A$1:$D$492,4,FALSE)</f>
        <v>1.95</v>
      </c>
      <c r="E2131" s="22">
        <f>VLOOKUP(A2131,'[11]Linea Asociados'!$A$1:$E$492,5,FALSE)</f>
        <v>2.21</v>
      </c>
      <c r="F2131" s="22">
        <f>VLOOKUP(A2131,'[11]Linea Asociados'!$A$1:$F$492,6,FALSE)</f>
        <v>2.5</v>
      </c>
    </row>
    <row r="2132" spans="1:6" x14ac:dyDescent="0.3">
      <c r="A2132" s="86">
        <v>44062</v>
      </c>
      <c r="B2132" s="34" t="s">
        <v>2509</v>
      </c>
      <c r="C2132" s="22">
        <f>VLOOKUP(A2132,'[11]Linea Asociados'!$A$1:$F$492,3,FALSE)</f>
        <v>3.8</v>
      </c>
      <c r="D2132" s="22">
        <f>VLOOKUP(A2132,'[11]Linea Asociados'!$A$1:$D$492,4,FALSE)</f>
        <v>4.29</v>
      </c>
      <c r="E2132" s="22">
        <f>VLOOKUP(A2132,'[11]Linea Asociados'!$A$1:$E$492,5,FALSE)</f>
        <v>4.87</v>
      </c>
      <c r="F2132" s="22">
        <f>VLOOKUP(A2132,'[11]Linea Asociados'!$A$1:$F$492,6,FALSE)</f>
        <v>5.5</v>
      </c>
    </row>
    <row r="2133" spans="1:6" x14ac:dyDescent="0.3">
      <c r="A2133" s="86">
        <v>44063</v>
      </c>
      <c r="B2133" s="34" t="s">
        <v>2510</v>
      </c>
      <c r="C2133" s="22">
        <f>VLOOKUP(A2133,'[11]Linea Asociados'!$A$1:$F$492,3,FALSE)</f>
        <v>4.9800000000000004</v>
      </c>
      <c r="D2133" s="22">
        <f>VLOOKUP(A2133,'[11]Linea Asociados'!$A$1:$D$492,4,FALSE)</f>
        <v>5.63</v>
      </c>
      <c r="E2133" s="22">
        <f>VLOOKUP(A2133,'[11]Linea Asociados'!$A$1:$E$492,5,FALSE)</f>
        <v>5.93</v>
      </c>
      <c r="F2133" s="22">
        <f>VLOOKUP(A2133,'[11]Linea Asociados'!$A$1:$F$492,6,FALSE)</f>
        <v>6.6999999999999993</v>
      </c>
    </row>
    <row r="2134" spans="1:6" x14ac:dyDescent="0.3">
      <c r="A2134" s="86" t="s">
        <v>2511</v>
      </c>
      <c r="B2134" s="34" t="s">
        <v>2512</v>
      </c>
      <c r="C2134" s="22">
        <f>VLOOKUP(A2134,'[11]Linea Asociados'!$A$1:$F$492,3,FALSE)</f>
        <v>2.42</v>
      </c>
      <c r="D2134" s="22">
        <f>VLOOKUP(A2134,'[11]Linea Asociados'!$A$1:$D$492,4,FALSE)</f>
        <v>2.73</v>
      </c>
      <c r="E2134" s="22">
        <f>VLOOKUP(A2134,'[11]Linea Asociados'!$A$1:$E$492,5,FALSE)</f>
        <v>3.1</v>
      </c>
      <c r="F2134" s="22">
        <f>VLOOKUP(A2134,'[11]Linea Asociados'!$A$1:$F$492,6,FALSE)</f>
        <v>3.5</v>
      </c>
    </row>
    <row r="2135" spans="1:6" x14ac:dyDescent="0.3">
      <c r="A2135" s="87">
        <v>44043</v>
      </c>
      <c r="B2135" s="34" t="s">
        <v>2513</v>
      </c>
      <c r="C2135" s="22">
        <f>VLOOKUP(A2135,'[11]Linea Asociados'!$A$1:$F$492,3,FALSE)</f>
        <v>1.18</v>
      </c>
      <c r="D2135" s="22">
        <f>VLOOKUP(A2135,'[11]Linea Asociados'!$A$1:$D$492,4,FALSE)</f>
        <v>1.33</v>
      </c>
      <c r="E2135" s="22">
        <f>VLOOKUP(A2135,'[11]Linea Asociados'!$A$1:$E$492,5,FALSE)</f>
        <v>1.68</v>
      </c>
      <c r="F2135" s="22">
        <f>VLOOKUP(A2135,'[11]Linea Asociados'!$A$1:$F$492,6,FALSE)</f>
        <v>1.9</v>
      </c>
    </row>
    <row r="2136" spans="1:6" x14ac:dyDescent="0.3">
      <c r="A2136" s="87">
        <v>44046</v>
      </c>
      <c r="B2136" s="34" t="s">
        <v>2514</v>
      </c>
      <c r="C2136" s="22">
        <f>VLOOKUP(A2136,'[11]Linea Asociados'!$A$1:$F$492,3,FALSE)</f>
        <v>1.3</v>
      </c>
      <c r="D2136" s="22">
        <f>VLOOKUP(A2136,'[11]Linea Asociados'!$A$1:$D$492,4,FALSE)</f>
        <v>1.47</v>
      </c>
      <c r="E2136" s="22">
        <f>VLOOKUP(A2136,'[11]Linea Asociados'!$A$1:$E$492,5,FALSE)</f>
        <v>1.86</v>
      </c>
      <c r="F2136" s="22">
        <f>VLOOKUP(A2136,'[11]Linea Asociados'!$A$1:$F$492,6,FALSE)</f>
        <v>2.1</v>
      </c>
    </row>
    <row r="2137" spans="1:6" x14ac:dyDescent="0.3">
      <c r="A2137" s="87">
        <v>44048</v>
      </c>
      <c r="B2137" s="34" t="s">
        <v>2515</v>
      </c>
      <c r="C2137" s="22">
        <f>VLOOKUP(A2137,'[11]Linea Asociados'!$A$1:$F$492,3,FALSE)</f>
        <v>1.87</v>
      </c>
      <c r="D2137" s="22">
        <f>VLOOKUP(A2137,'[11]Linea Asociados'!$A$1:$D$492,4,FALSE)</f>
        <v>2.11</v>
      </c>
      <c r="E2137" s="22">
        <f>VLOOKUP(A2137,'[11]Linea Asociados'!$A$1:$E$492,5,FALSE)</f>
        <v>2.39</v>
      </c>
      <c r="F2137" s="22">
        <f>VLOOKUP(A2137,'[11]Linea Asociados'!$A$1:$F$492,6,FALSE)</f>
        <v>2.7</v>
      </c>
    </row>
    <row r="2138" spans="1:6" x14ac:dyDescent="0.3">
      <c r="A2138" s="87">
        <v>44049</v>
      </c>
      <c r="B2138" s="34" t="s">
        <v>2516</v>
      </c>
      <c r="C2138" s="22">
        <f>VLOOKUP(A2138,'[11]Linea Asociados'!$A$1:$F$492,3,FALSE)</f>
        <v>2</v>
      </c>
      <c r="D2138" s="22">
        <f>VLOOKUP(A2138,'[11]Linea Asociados'!$A$1:$D$492,4,FALSE)</f>
        <v>2.2599999999999998</v>
      </c>
      <c r="E2138" s="22">
        <f>VLOOKUP(A2138,'[11]Linea Asociados'!$A$1:$E$492,5,FALSE)</f>
        <v>2.57</v>
      </c>
      <c r="F2138" s="22">
        <f>VLOOKUP(A2138,'[11]Linea Asociados'!$A$1:$F$492,6,FALSE)</f>
        <v>2.9</v>
      </c>
    </row>
    <row r="2139" spans="1:6" x14ac:dyDescent="0.3">
      <c r="A2139" s="86" t="s">
        <v>2517</v>
      </c>
      <c r="B2139" s="34" t="s">
        <v>2518</v>
      </c>
      <c r="C2139" s="22">
        <f>VLOOKUP(A2139,'[11]Linea Asociados'!$A$1:$F$492,3,FALSE)</f>
        <v>8.6300000000000008</v>
      </c>
      <c r="D2139" s="22">
        <f>VLOOKUP(A2139,'[11]Linea Asociados'!$A$1:$D$492,4,FALSE)</f>
        <v>9.75</v>
      </c>
      <c r="E2139" s="22">
        <f>VLOOKUP(A2139,'[11]Linea Asociados'!$A$1:$E$492,5,FALSE)</f>
        <v>11.06</v>
      </c>
      <c r="F2139" s="22">
        <f>VLOOKUP(A2139,'[11]Linea Asociados'!$A$1:$F$492,6,FALSE)</f>
        <v>12.5</v>
      </c>
    </row>
    <row r="2140" spans="1:6" x14ac:dyDescent="0.3">
      <c r="A2140" s="87" t="s">
        <v>2519</v>
      </c>
      <c r="B2140" s="34" t="s">
        <v>2520</v>
      </c>
      <c r="C2140" s="22">
        <f>VLOOKUP(A2140,'[11]Linea Asociados'!$A$1:$F$492,3,FALSE)</f>
        <v>5.45</v>
      </c>
      <c r="D2140" s="22">
        <f>VLOOKUP(A2140,'[11]Linea Asociados'!$A$1:$D$492,4,FALSE)</f>
        <v>6.16</v>
      </c>
      <c r="E2140" s="22">
        <f>VLOOKUP(A2140,'[11]Linea Asociados'!$A$1:$E$492,5,FALSE)</f>
        <v>6.99</v>
      </c>
      <c r="F2140" s="22">
        <f>VLOOKUP(A2140,'[11]Linea Asociados'!$A$1:$F$492,6,FALSE)</f>
        <v>7.9</v>
      </c>
    </row>
    <row r="2141" spans="1:6" x14ac:dyDescent="0.3">
      <c r="A2141" s="87" t="s">
        <v>2521</v>
      </c>
      <c r="B2141" s="34" t="s">
        <v>2522</v>
      </c>
      <c r="C2141" s="22">
        <f>VLOOKUP(A2141,'[11]Linea Asociados'!$A$1:$F$492,3,FALSE)</f>
        <v>3.41</v>
      </c>
      <c r="D2141" s="22">
        <f>VLOOKUP(A2141,'[11]Linea Asociados'!$A$1:$D$492,4,FALSE)</f>
        <v>3.85</v>
      </c>
      <c r="E2141" s="22">
        <f>VLOOKUP(A2141,'[11]Linea Asociados'!$A$1:$E$492,5,FALSE)</f>
        <v>4.87</v>
      </c>
      <c r="F2141" s="22">
        <f>VLOOKUP(A2141,'[11]Linea Asociados'!$A$1:$F$492,6,FALSE)</f>
        <v>5.5</v>
      </c>
    </row>
    <row r="2142" spans="1:6" x14ac:dyDescent="0.3">
      <c r="A2142" s="87" t="s">
        <v>3961</v>
      </c>
      <c r="B2142" s="34" t="s">
        <v>3962</v>
      </c>
      <c r="C2142" s="22">
        <f>VLOOKUP(A2142,'[11]Linea Asociados'!$A$1:$F$492,3,FALSE)</f>
        <v>4.49</v>
      </c>
      <c r="D2142" s="22">
        <f>VLOOKUP(A2142,'[11]Linea Asociados'!$A$1:$D$492,4,FALSE)</f>
        <v>5.07</v>
      </c>
      <c r="E2142" s="22">
        <f>VLOOKUP(A2142,'[11]Linea Asociados'!$A$1:$E$492,5,FALSE)</f>
        <v>5.75</v>
      </c>
      <c r="F2142" s="22">
        <f>VLOOKUP(A2142,'[11]Linea Asociados'!$A$1:$F$492,6,FALSE)</f>
        <v>6.5</v>
      </c>
    </row>
    <row r="2143" spans="1:6" x14ac:dyDescent="0.3">
      <c r="A2143" s="86" t="s">
        <v>2523</v>
      </c>
      <c r="B2143" s="34" t="s">
        <v>2524</v>
      </c>
      <c r="C2143" s="22">
        <f>VLOOKUP(A2143,'[11]Linea Asociados'!$A$1:$F$492,3,FALSE)</f>
        <v>4.18</v>
      </c>
      <c r="D2143" s="22">
        <f>VLOOKUP(A2143,'[11]Linea Asociados'!$A$1:$D$492,4,FALSE)</f>
        <v>4.72</v>
      </c>
      <c r="E2143" s="22">
        <f>VLOOKUP(A2143,'[11]Linea Asociados'!$A$1:$E$492,5,FALSE)</f>
        <v>5.22</v>
      </c>
      <c r="F2143" s="22">
        <f>VLOOKUP(A2143,'[11]Linea Asociados'!$A$1:$F$492,6,FALSE)</f>
        <v>5.9</v>
      </c>
    </row>
    <row r="2144" spans="1:6" x14ac:dyDescent="0.3">
      <c r="A2144" s="86" t="s">
        <v>2525</v>
      </c>
      <c r="B2144" s="34" t="s">
        <v>2526</v>
      </c>
      <c r="C2144" s="22">
        <f>VLOOKUP(A2144,'[11]Linea Asociados'!$A$1:$F$492,3,FALSE)</f>
        <v>10.119999999999999</v>
      </c>
      <c r="D2144" s="22">
        <f>VLOOKUP(A2144,'[11]Linea Asociados'!$A$1:$D$492,4,FALSE)</f>
        <v>11.44</v>
      </c>
      <c r="E2144" s="22">
        <f>VLOOKUP(A2144,'[11]Linea Asociados'!$A$1:$E$492,5,FALSE)</f>
        <v>12.65</v>
      </c>
      <c r="F2144" s="22">
        <f>VLOOKUP(A2144,'[11]Linea Asociados'!$A$1:$F$492,6,FALSE)</f>
        <v>14.3</v>
      </c>
    </row>
    <row r="2145" spans="1:6" x14ac:dyDescent="0.3">
      <c r="A2145" s="86">
        <v>140624010</v>
      </c>
      <c r="B2145" s="34" t="s">
        <v>2527</v>
      </c>
      <c r="C2145" s="22">
        <f>VLOOKUP(A2145,'[11]Linea Asociados'!$A$1:$F$492,3,FALSE)</f>
        <v>4.88</v>
      </c>
      <c r="D2145" s="22">
        <f>VLOOKUP(A2145,'[11]Linea Asociados'!$A$1:$D$492,4,FALSE)</f>
        <v>5.52</v>
      </c>
      <c r="E2145" s="22">
        <f>VLOOKUP(A2145,'[11]Linea Asociados'!$A$1:$E$492,5,FALSE)</f>
        <v>6.11</v>
      </c>
      <c r="F2145" s="22">
        <f>VLOOKUP(A2145,'[11]Linea Asociados'!$A$1:$F$492,6,FALSE)</f>
        <v>6.9</v>
      </c>
    </row>
    <row r="2146" spans="1:6" x14ac:dyDescent="0.3">
      <c r="A2146" s="86">
        <v>144688092</v>
      </c>
      <c r="B2146" s="34" t="s">
        <v>2528</v>
      </c>
      <c r="C2146" s="22">
        <f>VLOOKUP(A2146,'[11]Linea Asociados'!$A$1:$F$492,3,FALSE)</f>
        <v>2.76</v>
      </c>
      <c r="D2146" s="22">
        <f>VLOOKUP(A2146,'[11]Linea Asociados'!$A$1:$D$492,4,FALSE)</f>
        <v>3.12</v>
      </c>
      <c r="E2146" s="22">
        <f>VLOOKUP(A2146,'[11]Linea Asociados'!$A$1:$E$492,5,FALSE)</f>
        <v>3.45</v>
      </c>
      <c r="F2146" s="22">
        <f>VLOOKUP(A2146,'[11]Linea Asociados'!$A$1:$F$492,6,FALSE)</f>
        <v>3.9</v>
      </c>
    </row>
    <row r="2147" spans="1:6" x14ac:dyDescent="0.3">
      <c r="A2147" s="86">
        <v>140867000</v>
      </c>
      <c r="B2147" s="34" t="s">
        <v>2529</v>
      </c>
      <c r="C2147" s="22">
        <f>VLOOKUP(A2147,'[11]Linea Asociados'!$A$1:$F$492,3,FALSE)</f>
        <v>7.43</v>
      </c>
      <c r="D2147" s="22">
        <f>VLOOKUP(A2147,'[11]Linea Asociados'!$A$1:$D$492,4,FALSE)</f>
        <v>8.4</v>
      </c>
      <c r="E2147" s="22">
        <f>VLOOKUP(A2147,'[11]Linea Asociados'!$A$1:$E$492,5,FALSE)</f>
        <v>9.2899999999999991</v>
      </c>
      <c r="F2147" s="22">
        <f>VLOOKUP(A2147,'[11]Linea Asociados'!$A$1:$F$492,6,FALSE)</f>
        <v>10.5</v>
      </c>
    </row>
    <row r="2148" spans="1:6" x14ac:dyDescent="0.3">
      <c r="A2148" s="86">
        <v>140624040</v>
      </c>
      <c r="B2148" s="34" t="s">
        <v>2530</v>
      </c>
      <c r="C2148" s="22">
        <f>VLOOKUP(A2148,'[11]Linea Asociados'!$A$1:$F$492,3,FALSE)</f>
        <v>4.8099999999999996</v>
      </c>
      <c r="D2148" s="22">
        <f>VLOOKUP(A2148,'[11]Linea Asociados'!$A$1:$D$492,4,FALSE)</f>
        <v>5.44</v>
      </c>
      <c r="E2148" s="22">
        <f>VLOOKUP(A2148,'[11]Linea Asociados'!$A$1:$E$492,5,FALSE)</f>
        <v>6.02</v>
      </c>
      <c r="F2148" s="22">
        <f>VLOOKUP(A2148,'[11]Linea Asociados'!$A$1:$F$492,6,FALSE)</f>
        <v>6.8</v>
      </c>
    </row>
    <row r="2149" spans="1:6" x14ac:dyDescent="0.3">
      <c r="A2149" s="86">
        <v>144644091</v>
      </c>
      <c r="B2149" s="34" t="s">
        <v>2531</v>
      </c>
      <c r="C2149" s="22">
        <f>VLOOKUP(A2149,'[11]Linea Asociados'!$A$1:$F$492,3,FALSE)</f>
        <v>5.31</v>
      </c>
      <c r="D2149" s="22">
        <f>VLOOKUP(A2149,'[11]Linea Asociados'!$A$1:$D$492,4,FALSE)</f>
        <v>6</v>
      </c>
      <c r="E2149" s="22">
        <f>VLOOKUP(A2149,'[11]Linea Asociados'!$A$1:$E$492,5,FALSE)</f>
        <v>6.64</v>
      </c>
      <c r="F2149" s="22">
        <f>VLOOKUP(A2149,'[11]Linea Asociados'!$A$1:$F$492,6,FALSE)</f>
        <v>7.5</v>
      </c>
    </row>
    <row r="2150" spans="1:6" x14ac:dyDescent="0.3">
      <c r="A2150" s="87">
        <v>144630094</v>
      </c>
      <c r="B2150" s="34" t="s">
        <v>2532</v>
      </c>
      <c r="C2150" s="22">
        <f>VLOOKUP(A2150,'[11]Linea Asociados'!$A$1:$F$492,3,FALSE)</f>
        <v>6.3</v>
      </c>
      <c r="D2150" s="22">
        <f>VLOOKUP(A2150,'[11]Linea Asociados'!$A$1:$D$492,4,FALSE)</f>
        <v>7.12</v>
      </c>
      <c r="E2150" s="22">
        <f>VLOOKUP(A2150,'[11]Linea Asociados'!$A$1:$E$492,5,FALSE)</f>
        <v>7.88</v>
      </c>
      <c r="F2150" s="22">
        <f>VLOOKUP(A2150,'[11]Linea Asociados'!$A$1:$F$492,6,FALSE)</f>
        <v>8.9</v>
      </c>
    </row>
    <row r="2151" spans="1:6" x14ac:dyDescent="0.3">
      <c r="A2151" s="87" t="s">
        <v>2533</v>
      </c>
      <c r="B2151" s="34" t="s">
        <v>2534</v>
      </c>
      <c r="C2151" s="22">
        <f>VLOOKUP(A2151,'[11]Linea Asociados'!$A$1:$F$492,3,FALSE)</f>
        <v>2.0699999999999998</v>
      </c>
      <c r="D2151" s="22">
        <f>VLOOKUP(A2151,'[11]Linea Asociados'!$A$1:$D$492,4,FALSE)</f>
        <v>2.34</v>
      </c>
      <c r="E2151" s="22">
        <f>VLOOKUP(A2151,'[11]Linea Asociados'!$A$1:$E$492,5,FALSE)</f>
        <v>3.45</v>
      </c>
      <c r="F2151" s="22">
        <f>VLOOKUP(A2151,'[11]Linea Asociados'!$A$1:$F$492,6,FALSE)</f>
        <v>3.9</v>
      </c>
    </row>
    <row r="2152" spans="1:6" x14ac:dyDescent="0.3">
      <c r="A2152" s="87" t="s">
        <v>2535</v>
      </c>
      <c r="B2152" s="34" t="s">
        <v>2536</v>
      </c>
      <c r="C2152" s="22">
        <f>VLOOKUP(A2152,'[11]Linea Asociados'!$A$1:$F$492,3,FALSE)</f>
        <v>2.2799999999999998</v>
      </c>
      <c r="D2152" s="22">
        <f>VLOOKUP(A2152,'[11]Linea Asociados'!$A$1:$D$492,4,FALSE)</f>
        <v>2.58</v>
      </c>
      <c r="E2152" s="22">
        <f>VLOOKUP(A2152,'[11]Linea Asociados'!$A$1:$E$492,5,FALSE)</f>
        <v>3.81</v>
      </c>
      <c r="F2152" s="22">
        <f>VLOOKUP(A2152,'[11]Linea Asociados'!$A$1:$F$492,6,FALSE)</f>
        <v>4.3</v>
      </c>
    </row>
    <row r="2153" spans="1:6" x14ac:dyDescent="0.3">
      <c r="A2153" s="87" t="s">
        <v>2537</v>
      </c>
      <c r="B2153" s="34" t="s">
        <v>2538</v>
      </c>
      <c r="C2153" s="22">
        <f>VLOOKUP(A2153,'[11]Linea Asociados'!$A$1:$F$492,3,FALSE)</f>
        <v>1.1200000000000001</v>
      </c>
      <c r="D2153" s="22">
        <f>VLOOKUP(A2153,'[11]Linea Asociados'!$A$1:$D$492,4,FALSE)</f>
        <v>1.26</v>
      </c>
      <c r="E2153" s="22">
        <f>VLOOKUP(A2153,'[11]Linea Asociados'!$A$1:$E$492,5,FALSE)</f>
        <v>1.86</v>
      </c>
      <c r="F2153" s="22">
        <f>VLOOKUP(A2153,'[11]Linea Asociados'!$A$1:$F$492,6,FALSE)</f>
        <v>2.1</v>
      </c>
    </row>
    <row r="2154" spans="1:6" x14ac:dyDescent="0.3">
      <c r="A2154" s="87" t="s">
        <v>2539</v>
      </c>
      <c r="B2154" s="34" t="s">
        <v>2540</v>
      </c>
      <c r="C2154" s="22">
        <f>VLOOKUP(A2154,'[11]Linea Asociados'!$A$1:$F$492,3,FALSE)</f>
        <v>2.17</v>
      </c>
      <c r="D2154" s="22">
        <f>VLOOKUP(A2154,'[11]Linea Asociados'!$A$1:$D$492,4,FALSE)</f>
        <v>2.4500000000000002</v>
      </c>
      <c r="E2154" s="22">
        <f>VLOOKUP(A2154,'[11]Linea Asociados'!$A$1:$E$492,5,FALSE)</f>
        <v>3.1</v>
      </c>
      <c r="F2154" s="22">
        <f>VLOOKUP(A2154,'[11]Linea Asociados'!$A$1:$F$492,6,FALSE)</f>
        <v>3.5</v>
      </c>
    </row>
    <row r="2155" spans="1:6" x14ac:dyDescent="0.3">
      <c r="A2155" s="87" t="s">
        <v>2541</v>
      </c>
      <c r="B2155" s="34" t="s">
        <v>2542</v>
      </c>
      <c r="C2155" s="22">
        <f>VLOOKUP(A2155,'[11]Linea Asociados'!$A$1:$F$492,3,FALSE)</f>
        <v>4.6500000000000004</v>
      </c>
      <c r="D2155" s="22">
        <f>VLOOKUP(A2155,'[11]Linea Asociados'!$A$1:$D$492,4,FALSE)</f>
        <v>5.25</v>
      </c>
      <c r="E2155" s="22">
        <f>VLOOKUP(A2155,'[11]Linea Asociados'!$A$1:$E$492,5,FALSE)</f>
        <v>6.64</v>
      </c>
      <c r="F2155" s="22">
        <f>VLOOKUP(A2155,'[11]Linea Asociados'!$A$1:$F$492,6,FALSE)</f>
        <v>7.5</v>
      </c>
    </row>
    <row r="2156" spans="1:6" x14ac:dyDescent="0.3">
      <c r="A2156" s="87" t="s">
        <v>2543</v>
      </c>
      <c r="B2156" s="34" t="s">
        <v>2544</v>
      </c>
      <c r="C2156" s="22">
        <f>VLOOKUP(A2156,'[11]Linea Asociados'!$A$1:$F$492,3,FALSE)</f>
        <v>1.33</v>
      </c>
      <c r="D2156" s="22">
        <f>VLOOKUP(A2156,'[11]Linea Asociados'!$A$1:$D$492,4,FALSE)</f>
        <v>1.5</v>
      </c>
      <c r="E2156" s="22">
        <f>VLOOKUP(A2156,'[11]Linea Asociados'!$A$1:$E$492,5,FALSE)</f>
        <v>2.21</v>
      </c>
      <c r="F2156" s="22">
        <f>VLOOKUP(A2156,'[11]Linea Asociados'!$A$1:$F$492,6,FALSE)</f>
        <v>2.5</v>
      </c>
    </row>
    <row r="2157" spans="1:6" x14ac:dyDescent="0.3">
      <c r="A2157" s="87" t="s">
        <v>2545</v>
      </c>
      <c r="B2157" s="34" t="s">
        <v>2546</v>
      </c>
      <c r="C2157" s="22">
        <f>VLOOKUP(A2157,'[11]Linea Asociados'!$A$1:$F$492,3,FALSE)</f>
        <v>1.49</v>
      </c>
      <c r="D2157" s="22">
        <f>VLOOKUP(A2157,'[11]Linea Asociados'!$A$1:$D$492,4,FALSE)</f>
        <v>1.68</v>
      </c>
      <c r="E2157" s="22">
        <f>VLOOKUP(A2157,'[11]Linea Asociados'!$A$1:$E$492,5,FALSE)</f>
        <v>2.48</v>
      </c>
      <c r="F2157" s="22">
        <f>VLOOKUP(A2157,'[11]Linea Asociados'!$A$1:$F$492,6,FALSE)</f>
        <v>2.8</v>
      </c>
    </row>
    <row r="2158" spans="1:6" x14ac:dyDescent="0.3">
      <c r="A2158" s="87" t="s">
        <v>2547</v>
      </c>
      <c r="B2158" s="34" t="s">
        <v>2548</v>
      </c>
      <c r="C2158" s="22">
        <f>VLOOKUP(A2158,'[11]Linea Asociados'!$A$1:$F$492,3,FALSE)</f>
        <v>1.54</v>
      </c>
      <c r="D2158" s="22">
        <f>VLOOKUP(A2158,'[11]Linea Asociados'!$A$1:$D$492,4,FALSE)</f>
        <v>1.74</v>
      </c>
      <c r="E2158" s="22">
        <f>VLOOKUP(A2158,'[11]Linea Asociados'!$A$1:$E$492,5,FALSE)</f>
        <v>2.57</v>
      </c>
      <c r="F2158" s="22">
        <f>VLOOKUP(A2158,'[11]Linea Asociados'!$A$1:$F$492,6,FALSE)</f>
        <v>2.9</v>
      </c>
    </row>
    <row r="2159" spans="1:6" x14ac:dyDescent="0.3">
      <c r="A2159" s="87">
        <v>44025</v>
      </c>
      <c r="B2159" s="34" t="s">
        <v>2549</v>
      </c>
      <c r="C2159" s="22">
        <f>VLOOKUP(A2159,'[11]Linea Asociados'!$A$1:$F$492,3,FALSE)</f>
        <v>0.99</v>
      </c>
      <c r="D2159" s="22">
        <f>VLOOKUP(A2159,'[11]Linea Asociados'!$A$1:$D$492,4,FALSE)</f>
        <v>1.1200000000000001</v>
      </c>
      <c r="E2159" s="22">
        <f>VLOOKUP(A2159,'[11]Linea Asociados'!$A$1:$E$492,5,FALSE)</f>
        <v>1.42</v>
      </c>
      <c r="F2159" s="22">
        <f>VLOOKUP(A2159,'[11]Linea Asociados'!$A$1:$F$492,6,FALSE)</f>
        <v>1.6</v>
      </c>
    </row>
    <row r="2160" spans="1:6" x14ac:dyDescent="0.3">
      <c r="A2160" s="87">
        <v>44033</v>
      </c>
      <c r="B2160" s="34" t="s">
        <v>2550</v>
      </c>
      <c r="C2160" s="22">
        <f>VLOOKUP(A2160,'[11]Linea Asociados'!$A$1:$F$492,3,FALSE)</f>
        <v>2.17</v>
      </c>
      <c r="D2160" s="22">
        <f>VLOOKUP(A2160,'[11]Linea Asociados'!$A$1:$D$492,4,FALSE)</f>
        <v>2.4500000000000002</v>
      </c>
      <c r="E2160" s="22">
        <f>VLOOKUP(A2160,'[11]Linea Asociados'!$A$1:$E$492,5,FALSE)</f>
        <v>3.1</v>
      </c>
      <c r="F2160" s="22">
        <f>VLOOKUP(A2160,'[11]Linea Asociados'!$A$1:$F$492,6,FALSE)</f>
        <v>3.5</v>
      </c>
    </row>
    <row r="2161" spans="1:6" x14ac:dyDescent="0.3">
      <c r="A2161" s="87">
        <v>44034</v>
      </c>
      <c r="B2161" s="34" t="s">
        <v>2551</v>
      </c>
      <c r="C2161" s="22">
        <f>VLOOKUP(A2161,'[11]Linea Asociados'!$A$1:$F$492,3,FALSE)</f>
        <v>1.8</v>
      </c>
      <c r="D2161" s="22">
        <f>VLOOKUP(A2161,'[11]Linea Asociados'!$A$1:$D$492,4,FALSE)</f>
        <v>2.0299999999999998</v>
      </c>
      <c r="E2161" s="22">
        <f>VLOOKUP(A2161,'[11]Linea Asociados'!$A$1:$E$492,5,FALSE)</f>
        <v>2.57</v>
      </c>
      <c r="F2161" s="22">
        <f>VLOOKUP(A2161,'[11]Linea Asociados'!$A$1:$F$492,6,FALSE)</f>
        <v>2.9</v>
      </c>
    </row>
    <row r="2162" spans="1:6" x14ac:dyDescent="0.3">
      <c r="A2162" s="86" t="s">
        <v>2552</v>
      </c>
      <c r="B2162" s="34" t="s">
        <v>2553</v>
      </c>
      <c r="C2162" s="22">
        <f>VLOOKUP(A2162,'[11]Linea Asociados'!$A$1:$F$492,3,FALSE)</f>
        <v>11.96</v>
      </c>
      <c r="D2162" s="22">
        <f>VLOOKUP(A2162,'[11]Linea Asociados'!$A$1:$D$492,4,FALSE)</f>
        <v>13.52</v>
      </c>
      <c r="E2162" s="22">
        <f>VLOOKUP(A2162,'[11]Linea Asociados'!$A$1:$E$492,5,FALSE)</f>
        <v>14.96</v>
      </c>
      <c r="F2162" s="22">
        <f>VLOOKUP(A2162,'[11]Linea Asociados'!$A$1:$F$492,6,FALSE)</f>
        <v>16.899999999999999</v>
      </c>
    </row>
    <row r="2163" spans="1:6" x14ac:dyDescent="0.3">
      <c r="A2163" s="87">
        <v>140810200</v>
      </c>
      <c r="B2163" s="34" t="s">
        <v>2554</v>
      </c>
      <c r="C2163" s="22">
        <f>VLOOKUP(A2163,'[11]Linea Asociados'!$A$1:$F$492,3,FALSE)</f>
        <v>10.55</v>
      </c>
      <c r="D2163" s="22">
        <f>VLOOKUP(A2163,'[11]Linea Asociados'!$A$1:$D$492,4,FALSE)</f>
        <v>11.92</v>
      </c>
      <c r="E2163" s="22">
        <f>VLOOKUP(A2163,'[11]Linea Asociados'!$A$1:$E$492,5,FALSE)</f>
        <v>13.19</v>
      </c>
      <c r="F2163" s="22">
        <f>VLOOKUP(A2163,'[11]Linea Asociados'!$A$1:$F$492,6,FALSE)</f>
        <v>14.9</v>
      </c>
    </row>
    <row r="2164" spans="1:6" x14ac:dyDescent="0.3">
      <c r="A2164" s="88" t="s">
        <v>2555</v>
      </c>
      <c r="B2164" s="89" t="s">
        <v>2556</v>
      </c>
      <c r="C2164" s="22">
        <f>VLOOKUP(A2164,'[11]Linea Asociados'!$A$1:$F$492,3,FALSE)</f>
        <v>9.59</v>
      </c>
      <c r="D2164" s="22">
        <f>VLOOKUP(A2164,'[11]Linea Asociados'!$A$1:$D$492,4,FALSE)</f>
        <v>10.84</v>
      </c>
      <c r="E2164" s="22">
        <f>VLOOKUP(A2164,'[11]Linea Asociados'!$A$1:$E$492,5,FALSE)</f>
        <v>12.3</v>
      </c>
      <c r="F2164" s="22">
        <f>VLOOKUP(A2164,'[11]Linea Asociados'!$A$1:$F$492,6,FALSE)</f>
        <v>13.9</v>
      </c>
    </row>
    <row r="2165" spans="1:6" x14ac:dyDescent="0.3">
      <c r="A2165" s="86" t="s">
        <v>2557</v>
      </c>
      <c r="B2165" s="34" t="s">
        <v>2558</v>
      </c>
      <c r="C2165" s="22">
        <f>VLOOKUP(A2165,'[11]Linea Asociados'!$A$1:$F$492,3,FALSE)</f>
        <v>5.18</v>
      </c>
      <c r="D2165" s="22">
        <f>VLOOKUP(A2165,'[11]Linea Asociados'!$A$1:$D$492,4,FALSE)</f>
        <v>5.85</v>
      </c>
      <c r="E2165" s="22">
        <f>VLOOKUP(A2165,'[11]Linea Asociados'!$A$1:$E$492,5,FALSE)</f>
        <v>6.64</v>
      </c>
      <c r="F2165" s="22">
        <f>VLOOKUP(A2165,'[11]Linea Asociados'!$A$1:$F$492,6,FALSE)</f>
        <v>7.5</v>
      </c>
    </row>
    <row r="2166" spans="1:6" x14ac:dyDescent="0.3">
      <c r="A2166" s="87">
        <v>44041</v>
      </c>
      <c r="B2166" s="34" t="s">
        <v>2559</v>
      </c>
      <c r="C2166" s="22">
        <f>VLOOKUP(A2166,'[11]Linea Asociados'!$A$1:$F$492,3,FALSE)</f>
        <v>5.45</v>
      </c>
      <c r="D2166" s="22">
        <f>VLOOKUP(A2166,'[11]Linea Asociados'!$A$1:$D$492,4,FALSE)</f>
        <v>6.16</v>
      </c>
      <c r="E2166" s="22">
        <f>VLOOKUP(A2166,'[11]Linea Asociados'!$A$1:$E$492,5,FALSE)</f>
        <v>6.99</v>
      </c>
      <c r="F2166" s="22">
        <f>VLOOKUP(A2166,'[11]Linea Asociados'!$A$1:$F$492,6,FALSE)</f>
        <v>7.9</v>
      </c>
    </row>
    <row r="2167" spans="1:6" x14ac:dyDescent="0.3">
      <c r="A2167" s="86" t="s">
        <v>2560</v>
      </c>
      <c r="B2167" s="34" t="s">
        <v>2561</v>
      </c>
      <c r="C2167" s="22">
        <f>VLOOKUP(A2167,'[11]Linea Asociados'!$A$1:$F$492,3,FALSE)</f>
        <v>4</v>
      </c>
      <c r="D2167" s="22">
        <f>VLOOKUP(A2167,'[11]Linea Asociados'!$A$1:$D$492,4,FALSE)</f>
        <v>4.5199999999999996</v>
      </c>
      <c r="E2167" s="22">
        <f>VLOOKUP(A2167,'[11]Linea Asociados'!$A$1:$E$492,5,FALSE)</f>
        <v>5.13</v>
      </c>
      <c r="F2167" s="22">
        <f>VLOOKUP(A2167,'[11]Linea Asociados'!$A$1:$F$492,6,FALSE)</f>
        <v>5.8</v>
      </c>
    </row>
    <row r="2168" spans="1:6" x14ac:dyDescent="0.3">
      <c r="A2168" s="87">
        <v>44023</v>
      </c>
      <c r="B2168" s="34" t="s">
        <v>2562</v>
      </c>
      <c r="C2168" s="22">
        <f>VLOOKUP(A2168,'[11]Linea Asociados'!$A$1:$F$492,3,FALSE)</f>
        <v>3.8</v>
      </c>
      <c r="D2168" s="22">
        <f>VLOOKUP(A2168,'[11]Linea Asociados'!$A$1:$D$492,4,FALSE)</f>
        <v>4.29</v>
      </c>
      <c r="E2168" s="22">
        <f>VLOOKUP(A2168,'[11]Linea Asociados'!$A$1:$E$492,5,FALSE)</f>
        <v>4.87</v>
      </c>
      <c r="F2168" s="22">
        <f>VLOOKUP(A2168,'[11]Linea Asociados'!$A$1:$F$492,6,FALSE)</f>
        <v>5.5</v>
      </c>
    </row>
    <row r="2169" spans="1:6" x14ac:dyDescent="0.3">
      <c r="A2169" s="87" t="s">
        <v>2563</v>
      </c>
      <c r="B2169" s="34" t="s">
        <v>2564</v>
      </c>
      <c r="C2169" s="22">
        <f>VLOOKUP(A2169,'[11]Linea Asociados'!$A$1:$F$492,3,FALSE)</f>
        <v>4.18</v>
      </c>
      <c r="D2169" s="22">
        <f>VLOOKUP(A2169,'[11]Linea Asociados'!$A$1:$D$492,4,FALSE)</f>
        <v>4.72</v>
      </c>
      <c r="E2169" s="22">
        <f>VLOOKUP(A2169,'[11]Linea Asociados'!$A$1:$E$492,5,FALSE)</f>
        <v>5.22</v>
      </c>
      <c r="F2169" s="22">
        <f>VLOOKUP(A2169,'[11]Linea Asociados'!$A$1:$F$492,6,FALSE)</f>
        <v>5.9</v>
      </c>
    </row>
    <row r="2170" spans="1:6" x14ac:dyDescent="0.3">
      <c r="A2170" s="87" t="s">
        <v>2565</v>
      </c>
      <c r="B2170" s="34" t="s">
        <v>2566</v>
      </c>
      <c r="C2170" s="22">
        <f>VLOOKUP(A2170,'[11]Linea Asociados'!$A$1:$F$492,3,FALSE)</f>
        <v>2.14</v>
      </c>
      <c r="D2170" s="22">
        <f>VLOOKUP(A2170,'[11]Linea Asociados'!$A$1:$D$492,4,FALSE)</f>
        <v>2.42</v>
      </c>
      <c r="E2170" s="22">
        <f>VLOOKUP(A2170,'[11]Linea Asociados'!$A$1:$E$492,5,FALSE)</f>
        <v>2.74</v>
      </c>
      <c r="F2170" s="22">
        <f>VLOOKUP(A2170,'[11]Linea Asociados'!$A$1:$F$492,6,FALSE)</f>
        <v>3.1</v>
      </c>
    </row>
    <row r="2171" spans="1:6" x14ac:dyDescent="0.3">
      <c r="A2171" s="87" t="s">
        <v>2567</v>
      </c>
      <c r="B2171" s="34" t="s">
        <v>2568</v>
      </c>
      <c r="C2171" s="22">
        <f>VLOOKUP(A2171,'[11]Linea Asociados'!$A$1:$F$492,3,FALSE)</f>
        <v>1.73</v>
      </c>
      <c r="D2171" s="22">
        <f>VLOOKUP(A2171,'[11]Linea Asociados'!$A$1:$D$492,4,FALSE)</f>
        <v>1.95</v>
      </c>
      <c r="E2171" s="22">
        <f>VLOOKUP(A2171,'[11]Linea Asociados'!$A$1:$E$492,5,FALSE)</f>
        <v>2.21</v>
      </c>
      <c r="F2171" s="22">
        <f>VLOOKUP(A2171,'[11]Linea Asociados'!$A$1:$F$492,6,FALSE)</f>
        <v>2.5</v>
      </c>
    </row>
    <row r="2172" spans="1:6" x14ac:dyDescent="0.3">
      <c r="A2172" s="86" t="s">
        <v>2569</v>
      </c>
      <c r="B2172" s="34" t="s">
        <v>2570</v>
      </c>
      <c r="C2172" s="22">
        <f>VLOOKUP(A2172,'[11]Linea Asociados'!$A$1:$F$492,3,FALSE)</f>
        <v>11.66</v>
      </c>
      <c r="D2172" s="22">
        <f>VLOOKUP(A2172,'[11]Linea Asociados'!$A$1:$D$492,4,FALSE)</f>
        <v>13.18</v>
      </c>
      <c r="E2172" s="22">
        <f>VLOOKUP(A2172,'[11]Linea Asociados'!$A$1:$E$492,5,FALSE)</f>
        <v>14.96</v>
      </c>
      <c r="F2172" s="22">
        <f>VLOOKUP(A2172,'[11]Linea Asociados'!$A$1:$F$492,6,FALSE)</f>
        <v>16.899999999999999</v>
      </c>
    </row>
    <row r="2173" spans="1:6" x14ac:dyDescent="0.3">
      <c r="A2173" s="86" t="s">
        <v>2571</v>
      </c>
      <c r="B2173" s="34" t="s">
        <v>2572</v>
      </c>
      <c r="C2173" s="22">
        <f>VLOOKUP(A2173,'[11]Linea Asociados'!$A$1:$F$492,3,FALSE)</f>
        <v>5.45</v>
      </c>
      <c r="D2173" s="22">
        <f>VLOOKUP(A2173,'[11]Linea Asociados'!$A$1:$D$492,4,FALSE)</f>
        <v>6.16</v>
      </c>
      <c r="E2173" s="22">
        <f>VLOOKUP(A2173,'[11]Linea Asociados'!$A$1:$E$492,5,FALSE)</f>
        <v>6.99</v>
      </c>
      <c r="F2173" s="22">
        <f>VLOOKUP(A2173,'[11]Linea Asociados'!$A$1:$F$492,6,FALSE)</f>
        <v>7.9</v>
      </c>
    </row>
    <row r="2174" spans="1:6" x14ac:dyDescent="0.3">
      <c r="A2174" s="87">
        <v>44037</v>
      </c>
      <c r="B2174" s="34" t="s">
        <v>2573</v>
      </c>
      <c r="C2174" s="22">
        <f>VLOOKUP(A2174,'[11]Linea Asociados'!$A$1:$F$492,3,FALSE)</f>
        <v>2.69</v>
      </c>
      <c r="D2174" s="22">
        <f>VLOOKUP(A2174,'[11]Linea Asociados'!$A$1:$D$492,4,FALSE)</f>
        <v>3.04</v>
      </c>
      <c r="E2174" s="22">
        <f>VLOOKUP(A2174,'[11]Linea Asociados'!$A$1:$E$492,5,FALSE)</f>
        <v>3.45</v>
      </c>
      <c r="F2174" s="22">
        <f>VLOOKUP(A2174,'[11]Linea Asociados'!$A$1:$F$492,6,FALSE)</f>
        <v>3.9</v>
      </c>
    </row>
    <row r="2175" spans="1:6" x14ac:dyDescent="0.3">
      <c r="A2175" s="87">
        <v>44039</v>
      </c>
      <c r="B2175" s="34" t="s">
        <v>2574</v>
      </c>
      <c r="C2175" s="22">
        <f>VLOOKUP(A2175,'[11]Linea Asociados'!$A$1:$F$492,3,FALSE)</f>
        <v>1.04</v>
      </c>
      <c r="D2175" s="22">
        <f>VLOOKUP(A2175,'[11]Linea Asociados'!$A$1:$D$492,4,FALSE)</f>
        <v>1.17</v>
      </c>
      <c r="E2175" s="22">
        <f>VLOOKUP(A2175,'[11]Linea Asociados'!$A$1:$E$492,5,FALSE)</f>
        <v>1.33</v>
      </c>
      <c r="F2175" s="22">
        <f>VLOOKUP(A2175,'[11]Linea Asociados'!$A$1:$F$492,6,FALSE)</f>
        <v>1.5</v>
      </c>
    </row>
    <row r="2176" spans="1:6" x14ac:dyDescent="0.3">
      <c r="A2176" s="87" t="s">
        <v>2575</v>
      </c>
      <c r="B2176" s="34" t="s">
        <v>2576</v>
      </c>
      <c r="C2176" s="22">
        <f>VLOOKUP(A2176,'[11]Linea Asociados'!$A$1:$F$492,3,FALSE)</f>
        <v>1.31</v>
      </c>
      <c r="D2176" s="22">
        <f>VLOOKUP(A2176,'[11]Linea Asociados'!$A$1:$D$492,4,FALSE)</f>
        <v>1.48</v>
      </c>
      <c r="E2176" s="22">
        <f>VLOOKUP(A2176,'[11]Linea Asociados'!$A$1:$E$492,5,FALSE)</f>
        <v>1.68</v>
      </c>
      <c r="F2176" s="22">
        <f>VLOOKUP(A2176,'[11]Linea Asociados'!$A$1:$F$492,6,FALSE)</f>
        <v>1.9</v>
      </c>
    </row>
    <row r="2177" spans="1:6" x14ac:dyDescent="0.3">
      <c r="A2177" s="90" t="s">
        <v>3963</v>
      </c>
      <c r="B2177" s="89" t="s">
        <v>3964</v>
      </c>
      <c r="C2177" s="22">
        <f>VLOOKUP(A2177,'[11]Linea Asociados'!$A$1:$F$492,3,FALSE)</f>
        <v>20.64</v>
      </c>
      <c r="D2177" s="22">
        <f>VLOOKUP(A2177,'[11]Linea Asociados'!$A$1:$D$492,4,FALSE)</f>
        <v>23.32</v>
      </c>
      <c r="E2177" s="22">
        <f>VLOOKUP(A2177,'[11]Linea Asociados'!$A$1:$E$492,5,FALSE)</f>
        <v>26.46</v>
      </c>
      <c r="F2177" s="22">
        <f>VLOOKUP(A2177,'[11]Linea Asociados'!$A$1:$F$492,6,FALSE)</f>
        <v>29.9</v>
      </c>
    </row>
    <row r="2178" spans="1:6" x14ac:dyDescent="0.3">
      <c r="A2178" s="90" t="s">
        <v>3965</v>
      </c>
      <c r="B2178" s="89" t="s">
        <v>3966</v>
      </c>
      <c r="C2178" s="22">
        <f>VLOOKUP(A2178,'[11]Linea Asociados'!$A$1:$F$492,3,FALSE)</f>
        <v>27.43</v>
      </c>
      <c r="D2178" s="22">
        <f>VLOOKUP(A2178,'[11]Linea Asociados'!$A$1:$D$492,4,FALSE)</f>
        <v>31</v>
      </c>
      <c r="E2178" s="22">
        <f>VLOOKUP(A2178,'[11]Linea Asociados'!$A$1:$E$492,5,FALSE)</f>
        <v>32.65</v>
      </c>
      <c r="F2178" s="22">
        <f>VLOOKUP(A2178,'[11]Linea Asociados'!$A$1:$F$492,6,FALSE)</f>
        <v>36.9</v>
      </c>
    </row>
    <row r="2179" spans="1:6" x14ac:dyDescent="0.3">
      <c r="A2179" s="90" t="s">
        <v>3967</v>
      </c>
      <c r="B2179" s="89" t="s">
        <v>3968</v>
      </c>
      <c r="C2179" s="22">
        <f>VLOOKUP(A2179,'[11]Linea Asociados'!$A$1:$F$492,3,FALSE)</f>
        <v>35.92</v>
      </c>
      <c r="D2179" s="22">
        <f>VLOOKUP(A2179,'[11]Linea Asociados'!$A$1:$D$492,4,FALSE)</f>
        <v>40.590000000000003</v>
      </c>
      <c r="E2179" s="22">
        <f>VLOOKUP(A2179,'[11]Linea Asociados'!$A$1:$E$492,5,FALSE)</f>
        <v>43.81</v>
      </c>
      <c r="F2179" s="22">
        <f>VLOOKUP(A2179,'[11]Linea Asociados'!$A$1:$F$492,6,FALSE)</f>
        <v>49.5</v>
      </c>
    </row>
    <row r="2180" spans="1:6" x14ac:dyDescent="0.3">
      <c r="A2180" s="90" t="s">
        <v>3969</v>
      </c>
      <c r="B2180" s="89" t="s">
        <v>3970</v>
      </c>
      <c r="C2180" s="22">
        <f>VLOOKUP(A2180,'[11]Linea Asociados'!$A$1:$F$492,3,FALSE)</f>
        <v>43.47</v>
      </c>
      <c r="D2180" s="22">
        <f>VLOOKUP(A2180,'[11]Linea Asociados'!$A$1:$D$492,4,FALSE)</f>
        <v>49.12</v>
      </c>
      <c r="E2180" s="22">
        <f>VLOOKUP(A2180,'[11]Linea Asociados'!$A$1:$E$492,5,FALSE)</f>
        <v>53.01</v>
      </c>
      <c r="F2180" s="22">
        <f>VLOOKUP(A2180,'[11]Linea Asociados'!$A$1:$F$492,6,FALSE)</f>
        <v>59.9</v>
      </c>
    </row>
    <row r="2181" spans="1:6" x14ac:dyDescent="0.3">
      <c r="A2181" s="87">
        <v>140855681</v>
      </c>
      <c r="B2181" s="34" t="s">
        <v>2577</v>
      </c>
      <c r="C2181" s="22">
        <f>VLOOKUP(A2181,'[11]Linea Asociados'!$A$1:$F$492,3,FALSE)</f>
        <v>37.520000000000003</v>
      </c>
      <c r="D2181" s="22">
        <f>VLOOKUP(A2181,'[11]Linea Asociados'!$A$1:$D$492,4,FALSE)</f>
        <v>42.4</v>
      </c>
      <c r="E2181" s="22">
        <f>VLOOKUP(A2181,'[11]Linea Asociados'!$A$1:$E$492,5,FALSE)</f>
        <v>46.9</v>
      </c>
      <c r="F2181" s="22">
        <f>VLOOKUP(A2181,'[11]Linea Asociados'!$A$1:$F$492,6,FALSE)</f>
        <v>53</v>
      </c>
    </row>
    <row r="2182" spans="1:6" x14ac:dyDescent="0.3">
      <c r="A2182" s="87" t="s">
        <v>2578</v>
      </c>
      <c r="B2182" s="34" t="s">
        <v>2579</v>
      </c>
      <c r="C2182" s="22">
        <f>VLOOKUP(A2182,'[11]Linea Asociados'!$A$1:$F$492,3,FALSE)</f>
        <v>7.01</v>
      </c>
      <c r="D2182" s="22">
        <f>VLOOKUP(A2182,'[11]Linea Asociados'!$A$1:$D$492,4,FALSE)</f>
        <v>7.92</v>
      </c>
      <c r="E2182" s="22">
        <f>VLOOKUP(A2182,'[11]Linea Asociados'!$A$1:$E$492,5,FALSE)</f>
        <v>8.76</v>
      </c>
      <c r="F2182" s="22">
        <f>VLOOKUP(A2182,'[11]Linea Asociados'!$A$1:$F$492,6,FALSE)</f>
        <v>9.9</v>
      </c>
    </row>
    <row r="2183" spans="1:6" x14ac:dyDescent="0.3">
      <c r="A2183" s="87" t="s">
        <v>2580</v>
      </c>
      <c r="B2183" s="34" t="s">
        <v>2581</v>
      </c>
      <c r="C2183" s="22">
        <f>VLOOKUP(A2183,'[11]Linea Asociados'!$A$1:$F$492,3,FALSE)</f>
        <v>7.72</v>
      </c>
      <c r="D2183" s="22">
        <f>VLOOKUP(A2183,'[11]Linea Asociados'!$A$1:$D$492,4,FALSE)</f>
        <v>8.7200000000000006</v>
      </c>
      <c r="E2183" s="22">
        <f>VLOOKUP(A2183,'[11]Linea Asociados'!$A$1:$E$492,5,FALSE)</f>
        <v>9.65</v>
      </c>
      <c r="F2183" s="22">
        <f>VLOOKUP(A2183,'[11]Linea Asociados'!$A$1:$F$492,6,FALSE)</f>
        <v>10.9</v>
      </c>
    </row>
    <row r="2184" spans="1:6" x14ac:dyDescent="0.3">
      <c r="A2184" s="87" t="s">
        <v>2582</v>
      </c>
      <c r="B2184" s="34" t="s">
        <v>2583</v>
      </c>
      <c r="C2184" s="22">
        <f>VLOOKUP(A2184,'[11]Linea Asociados'!$A$1:$F$492,3,FALSE)</f>
        <v>3.08</v>
      </c>
      <c r="D2184" s="22">
        <f>VLOOKUP(A2184,'[11]Linea Asociados'!$A$1:$D$492,4,FALSE)</f>
        <v>3.48</v>
      </c>
      <c r="E2184" s="22">
        <f>VLOOKUP(A2184,'[11]Linea Asociados'!$A$1:$E$492,5,FALSE)</f>
        <v>4.16</v>
      </c>
      <c r="F2184" s="22">
        <f>VLOOKUP(A2184,'[11]Linea Asociados'!$A$1:$F$492,6,FALSE)</f>
        <v>4.6999999999999993</v>
      </c>
    </row>
    <row r="2185" spans="1:6" x14ac:dyDescent="0.3">
      <c r="A2185" s="87" t="s">
        <v>2584</v>
      </c>
      <c r="B2185" s="34" t="s">
        <v>2585</v>
      </c>
      <c r="C2185" s="22">
        <f>VLOOKUP(A2185,'[11]Linea Asociados'!$A$1:$F$492,3,FALSE)</f>
        <v>3.45</v>
      </c>
      <c r="D2185" s="22">
        <f>VLOOKUP(A2185,'[11]Linea Asociados'!$A$1:$D$492,4,FALSE)</f>
        <v>3.9</v>
      </c>
      <c r="E2185" s="22">
        <f>VLOOKUP(A2185,'[11]Linea Asociados'!$A$1:$E$492,5,FALSE)</f>
        <v>4.42</v>
      </c>
      <c r="F2185" s="22">
        <f>VLOOKUP(A2185,'[11]Linea Asociados'!$A$1:$F$492,6,FALSE)</f>
        <v>5</v>
      </c>
    </row>
    <row r="2186" spans="1:6" x14ac:dyDescent="0.3">
      <c r="A2186" s="87" t="s">
        <v>2586</v>
      </c>
      <c r="B2186" s="34" t="s">
        <v>2587</v>
      </c>
      <c r="C2186" s="22">
        <f>VLOOKUP(A2186,'[11]Linea Asociados'!$A$1:$F$492,3,FALSE)</f>
        <v>7.01</v>
      </c>
      <c r="D2186" s="22">
        <f>VLOOKUP(A2186,'[11]Linea Asociados'!$A$1:$D$492,4,FALSE)</f>
        <v>7.92</v>
      </c>
      <c r="E2186" s="22">
        <f>VLOOKUP(A2186,'[11]Linea Asociados'!$A$1:$E$492,5,FALSE)</f>
        <v>8.76</v>
      </c>
      <c r="F2186" s="22">
        <f>VLOOKUP(A2186,'[11]Linea Asociados'!$A$1:$F$492,6,FALSE)</f>
        <v>9.9</v>
      </c>
    </row>
    <row r="2187" spans="1:6" x14ac:dyDescent="0.3">
      <c r="A2187" s="87" t="s">
        <v>2588</v>
      </c>
      <c r="B2187" s="34" t="s">
        <v>2589</v>
      </c>
      <c r="C2187" s="22">
        <f>VLOOKUP(A2187,'[11]Linea Asociados'!$A$1:$F$492,3,FALSE)</f>
        <v>11.08</v>
      </c>
      <c r="D2187" s="22">
        <f>VLOOKUP(A2187,'[11]Linea Asociados'!$A$1:$D$492,4,FALSE)</f>
        <v>12.52</v>
      </c>
      <c r="E2187" s="22">
        <f>VLOOKUP(A2187,'[11]Linea Asociados'!$A$1:$E$492,5,FALSE)</f>
        <v>13.19</v>
      </c>
      <c r="F2187" s="22">
        <f>VLOOKUP(A2187,'[11]Linea Asociados'!$A$1:$F$492,6,FALSE)</f>
        <v>14.9</v>
      </c>
    </row>
    <row r="2188" spans="1:6" x14ac:dyDescent="0.3">
      <c r="A2188" s="87" t="s">
        <v>2590</v>
      </c>
      <c r="B2188" s="34" t="s">
        <v>2591</v>
      </c>
      <c r="C2188" s="22">
        <f>VLOOKUP(A2188,'[11]Linea Asociados'!$A$1:$F$492,3,FALSE)</f>
        <v>1.35</v>
      </c>
      <c r="D2188" s="22">
        <f>VLOOKUP(A2188,'[11]Linea Asociados'!$A$1:$D$492,4,FALSE)</f>
        <v>1.52</v>
      </c>
      <c r="E2188" s="22">
        <f>VLOOKUP(A2188,'[11]Linea Asociados'!$A$1:$E$492,5,FALSE)</f>
        <v>1.68</v>
      </c>
      <c r="F2188" s="22">
        <f>VLOOKUP(A2188,'[11]Linea Asociados'!$A$1:$F$492,6,FALSE)</f>
        <v>1.9</v>
      </c>
    </row>
    <row r="2189" spans="1:6" x14ac:dyDescent="0.3">
      <c r="A2189" s="87">
        <v>140900660</v>
      </c>
      <c r="B2189" s="34" t="s">
        <v>2592</v>
      </c>
      <c r="C2189" s="22">
        <f>VLOOKUP(A2189,'[11]Linea Asociados'!$A$1:$F$492,3,FALSE)</f>
        <v>2.0499999999999998</v>
      </c>
      <c r="D2189" s="22">
        <f>VLOOKUP(A2189,'[11]Linea Asociados'!$A$1:$D$492,4,FALSE)</f>
        <v>2.3199999999999998</v>
      </c>
      <c r="E2189" s="22">
        <f>VLOOKUP(A2189,'[11]Linea Asociados'!$A$1:$E$492,5,FALSE)</f>
        <v>2.57</v>
      </c>
      <c r="F2189" s="22">
        <f>VLOOKUP(A2189,'[11]Linea Asociados'!$A$1:$F$492,6,FALSE)</f>
        <v>2.9</v>
      </c>
    </row>
    <row r="2190" spans="1:6" x14ac:dyDescent="0.3">
      <c r="A2190" s="87">
        <v>140900715</v>
      </c>
      <c r="B2190" s="34" t="s">
        <v>2593</v>
      </c>
      <c r="C2190" s="22">
        <f>VLOOKUP(A2190,'[11]Linea Asociados'!$A$1:$F$492,3,FALSE)</f>
        <v>1.35</v>
      </c>
      <c r="D2190" s="22">
        <f>VLOOKUP(A2190,'[11]Linea Asociados'!$A$1:$D$492,4,FALSE)</f>
        <v>1.52</v>
      </c>
      <c r="E2190" s="22">
        <f>VLOOKUP(A2190,'[11]Linea Asociados'!$A$1:$E$492,5,FALSE)</f>
        <v>1.68</v>
      </c>
      <c r="F2190" s="22">
        <f>VLOOKUP(A2190,'[11]Linea Asociados'!$A$1:$F$492,6,FALSE)</f>
        <v>1.9</v>
      </c>
    </row>
    <row r="2191" spans="1:6" x14ac:dyDescent="0.3">
      <c r="A2191" s="87" t="s">
        <v>2594</v>
      </c>
      <c r="B2191" s="34" t="s">
        <v>2595</v>
      </c>
      <c r="C2191" s="22">
        <f>VLOOKUP(A2191,'[11]Linea Asociados'!$A$1:$F$492,3,FALSE)</f>
        <v>1.71</v>
      </c>
      <c r="D2191" s="22">
        <f>VLOOKUP(A2191,'[11]Linea Asociados'!$A$1:$D$492,4,FALSE)</f>
        <v>1.93</v>
      </c>
      <c r="E2191" s="22">
        <f>VLOOKUP(A2191,'[11]Linea Asociados'!$A$1:$E$492,5,FALSE)</f>
        <v>2.04</v>
      </c>
      <c r="F2191" s="22">
        <f>VLOOKUP(A2191,'[11]Linea Asociados'!$A$1:$F$492,6,FALSE)</f>
        <v>2.2999999999999998</v>
      </c>
    </row>
    <row r="2192" spans="1:6" x14ac:dyDescent="0.3">
      <c r="A2192" s="87" t="s">
        <v>2596</v>
      </c>
      <c r="B2192" s="34" t="s">
        <v>2597</v>
      </c>
      <c r="C2192" s="22">
        <f>VLOOKUP(A2192,'[11]Linea Asociados'!$A$1:$F$492,3,FALSE)</f>
        <v>1.71</v>
      </c>
      <c r="D2192" s="22">
        <f>VLOOKUP(A2192,'[11]Linea Asociados'!$A$1:$D$492,4,FALSE)</f>
        <v>1.93</v>
      </c>
      <c r="E2192" s="22">
        <f>VLOOKUP(A2192,'[11]Linea Asociados'!$A$1:$E$492,5,FALSE)</f>
        <v>2.04</v>
      </c>
      <c r="F2192" s="22">
        <f>VLOOKUP(A2192,'[11]Linea Asociados'!$A$1:$F$492,6,FALSE)</f>
        <v>2.2999999999999998</v>
      </c>
    </row>
    <row r="2193" spans="1:6" x14ac:dyDescent="0.3">
      <c r="A2193" s="87" t="s">
        <v>2598</v>
      </c>
      <c r="B2193" s="34" t="s">
        <v>2599</v>
      </c>
      <c r="C2193" s="22">
        <f>VLOOKUP(A2193,'[11]Linea Asociados'!$A$1:$F$492,3,FALSE)</f>
        <v>1.71</v>
      </c>
      <c r="D2193" s="22">
        <f>VLOOKUP(A2193,'[11]Linea Asociados'!$A$1:$D$492,4,FALSE)</f>
        <v>1.93</v>
      </c>
      <c r="E2193" s="22">
        <f>VLOOKUP(A2193,'[11]Linea Asociados'!$A$1:$E$492,5,FALSE)</f>
        <v>2.04</v>
      </c>
      <c r="F2193" s="22">
        <f>VLOOKUP(A2193,'[11]Linea Asociados'!$A$1:$F$492,6,FALSE)</f>
        <v>2.2999999999999998</v>
      </c>
    </row>
    <row r="2194" spans="1:6" x14ac:dyDescent="0.3">
      <c r="A2194" s="87" t="s">
        <v>2600</v>
      </c>
      <c r="B2194" s="34" t="s">
        <v>2601</v>
      </c>
      <c r="C2194" s="22">
        <f>VLOOKUP(A2194,'[11]Linea Asociados'!$A$1:$F$492,3,FALSE)</f>
        <v>1.71</v>
      </c>
      <c r="D2194" s="22">
        <f>VLOOKUP(A2194,'[11]Linea Asociados'!$A$1:$D$492,4,FALSE)</f>
        <v>1.93</v>
      </c>
      <c r="E2194" s="22">
        <f>VLOOKUP(A2194,'[11]Linea Asociados'!$A$1:$E$492,5,FALSE)</f>
        <v>2.04</v>
      </c>
      <c r="F2194" s="22">
        <f>VLOOKUP(A2194,'[11]Linea Asociados'!$A$1:$F$492,6,FALSE)</f>
        <v>2.2999999999999998</v>
      </c>
    </row>
    <row r="2195" spans="1:6" x14ac:dyDescent="0.3">
      <c r="A2195" s="87" t="s">
        <v>2602</v>
      </c>
      <c r="B2195" s="34" t="s">
        <v>2603</v>
      </c>
      <c r="C2195" s="22">
        <f>VLOOKUP(A2195,'[11]Linea Asociados'!$A$1:$F$492,3,FALSE)</f>
        <v>1.71</v>
      </c>
      <c r="D2195" s="22">
        <f>VLOOKUP(A2195,'[11]Linea Asociados'!$A$1:$D$492,4,FALSE)</f>
        <v>1.93</v>
      </c>
      <c r="E2195" s="22">
        <f>VLOOKUP(A2195,'[11]Linea Asociados'!$A$1:$E$492,5,FALSE)</f>
        <v>2.04</v>
      </c>
      <c r="F2195" s="22">
        <f>VLOOKUP(A2195,'[11]Linea Asociados'!$A$1:$F$492,6,FALSE)</f>
        <v>2.2999999999999998</v>
      </c>
    </row>
    <row r="2196" spans="1:6" x14ac:dyDescent="0.3">
      <c r="A2196" s="87" t="s">
        <v>2604</v>
      </c>
      <c r="B2196" s="34" t="s">
        <v>2605</v>
      </c>
      <c r="C2196" s="22">
        <f>VLOOKUP(A2196,'[11]Linea Asociados'!$A$1:$F$492,3,FALSE)</f>
        <v>1.71</v>
      </c>
      <c r="D2196" s="22">
        <f>VLOOKUP(A2196,'[11]Linea Asociados'!$A$1:$D$492,4,FALSE)</f>
        <v>1.93</v>
      </c>
      <c r="E2196" s="22">
        <f>VLOOKUP(A2196,'[11]Linea Asociados'!$A$1:$E$492,5,FALSE)</f>
        <v>2.04</v>
      </c>
      <c r="F2196" s="22">
        <f>VLOOKUP(A2196,'[11]Linea Asociados'!$A$1:$F$492,6,FALSE)</f>
        <v>2.2999999999999998</v>
      </c>
    </row>
    <row r="2197" spans="1:6" x14ac:dyDescent="0.3">
      <c r="A2197" s="87" t="s">
        <v>2606</v>
      </c>
      <c r="B2197" s="34" t="s">
        <v>2607</v>
      </c>
      <c r="C2197" s="22">
        <f>VLOOKUP(A2197,'[11]Linea Asociados'!$A$1:$F$492,3,FALSE)</f>
        <v>1.71</v>
      </c>
      <c r="D2197" s="22">
        <f>VLOOKUP(A2197,'[11]Linea Asociados'!$A$1:$D$492,4,FALSE)</f>
        <v>1.93</v>
      </c>
      <c r="E2197" s="22">
        <f>VLOOKUP(A2197,'[11]Linea Asociados'!$A$1:$E$492,5,FALSE)</f>
        <v>2.04</v>
      </c>
      <c r="F2197" s="22">
        <f>VLOOKUP(A2197,'[11]Linea Asociados'!$A$1:$F$492,6,FALSE)</f>
        <v>2.2999999999999998</v>
      </c>
    </row>
    <row r="2198" spans="1:6" x14ac:dyDescent="0.3">
      <c r="A2198" s="87" t="s">
        <v>2608</v>
      </c>
      <c r="B2198" s="34" t="s">
        <v>2609</v>
      </c>
      <c r="C2198" s="22">
        <f>VLOOKUP(A2198,'[11]Linea Asociados'!$A$1:$F$492,3,FALSE)</f>
        <v>1.71</v>
      </c>
      <c r="D2198" s="22">
        <f>VLOOKUP(A2198,'[11]Linea Asociados'!$A$1:$D$492,4,FALSE)</f>
        <v>1.93</v>
      </c>
      <c r="E2198" s="22">
        <f>VLOOKUP(A2198,'[11]Linea Asociados'!$A$1:$E$492,5,FALSE)</f>
        <v>2.04</v>
      </c>
      <c r="F2198" s="22">
        <f>VLOOKUP(A2198,'[11]Linea Asociados'!$A$1:$F$492,6,FALSE)</f>
        <v>2.2999999999999998</v>
      </c>
    </row>
    <row r="2199" spans="1:6" x14ac:dyDescent="0.3">
      <c r="A2199" s="87" t="s">
        <v>2610</v>
      </c>
      <c r="B2199" s="34" t="s">
        <v>2611</v>
      </c>
      <c r="C2199" s="22">
        <f>VLOOKUP(A2199,'[11]Linea Asociados'!$A$1:$F$492,3,FALSE)</f>
        <v>1.71</v>
      </c>
      <c r="D2199" s="22">
        <f>VLOOKUP(A2199,'[11]Linea Asociados'!$A$1:$D$492,4,FALSE)</f>
        <v>1.93</v>
      </c>
      <c r="E2199" s="22">
        <f>VLOOKUP(A2199,'[11]Linea Asociados'!$A$1:$E$492,5,FALSE)</f>
        <v>2.04</v>
      </c>
      <c r="F2199" s="22">
        <f>VLOOKUP(A2199,'[11]Linea Asociados'!$A$1:$F$492,6,FALSE)</f>
        <v>2.2999999999999998</v>
      </c>
    </row>
    <row r="2200" spans="1:6" x14ac:dyDescent="0.3">
      <c r="A2200" s="87" t="s">
        <v>2612</v>
      </c>
      <c r="B2200" s="34" t="s">
        <v>2613</v>
      </c>
      <c r="C2200" s="22">
        <f>VLOOKUP(A2200,'[11]Linea Asociados'!$A$1:$F$492,3,FALSE)</f>
        <v>1.71</v>
      </c>
      <c r="D2200" s="22">
        <f>VLOOKUP(A2200,'[11]Linea Asociados'!$A$1:$D$492,4,FALSE)</f>
        <v>1.93</v>
      </c>
      <c r="E2200" s="22">
        <f>VLOOKUP(A2200,'[11]Linea Asociados'!$A$1:$E$492,5,FALSE)</f>
        <v>2.04</v>
      </c>
      <c r="F2200" s="22">
        <f>VLOOKUP(A2200,'[11]Linea Asociados'!$A$1:$F$492,6,FALSE)</f>
        <v>2.2999999999999998</v>
      </c>
    </row>
    <row r="2201" spans="1:6" x14ac:dyDescent="0.3">
      <c r="A2201" s="87" t="s">
        <v>2614</v>
      </c>
      <c r="B2201" s="34" t="s">
        <v>2615</v>
      </c>
      <c r="C2201" s="22">
        <f>VLOOKUP(A2201,'[11]Linea Asociados'!$A$1:$F$492,3,FALSE)</f>
        <v>1.71</v>
      </c>
      <c r="D2201" s="22">
        <f>VLOOKUP(A2201,'[11]Linea Asociados'!$A$1:$D$492,4,FALSE)</f>
        <v>1.93</v>
      </c>
      <c r="E2201" s="22">
        <f>VLOOKUP(A2201,'[11]Linea Asociados'!$A$1:$E$492,5,FALSE)</f>
        <v>2.04</v>
      </c>
      <c r="F2201" s="22">
        <f>VLOOKUP(A2201,'[11]Linea Asociados'!$A$1:$F$492,6,FALSE)</f>
        <v>2.2999999999999998</v>
      </c>
    </row>
    <row r="2202" spans="1:6" x14ac:dyDescent="0.3">
      <c r="A2202" s="87" t="s">
        <v>2616</v>
      </c>
      <c r="B2202" s="34" t="s">
        <v>2617</v>
      </c>
      <c r="C2202" s="22">
        <f>VLOOKUP(A2202,'[11]Linea Asociados'!$A$1:$F$492,3,FALSE)</f>
        <v>1.71</v>
      </c>
      <c r="D2202" s="22">
        <f>VLOOKUP(A2202,'[11]Linea Asociados'!$A$1:$D$492,4,FALSE)</f>
        <v>1.93</v>
      </c>
      <c r="E2202" s="22">
        <f>VLOOKUP(A2202,'[11]Linea Asociados'!$A$1:$E$492,5,FALSE)</f>
        <v>2.04</v>
      </c>
      <c r="F2202" s="22">
        <f>VLOOKUP(A2202,'[11]Linea Asociados'!$A$1:$F$492,6,FALSE)</f>
        <v>2.2999999999999998</v>
      </c>
    </row>
    <row r="2203" spans="1:6" x14ac:dyDescent="0.3">
      <c r="A2203" s="87" t="s">
        <v>2618</v>
      </c>
      <c r="B2203" s="34" t="s">
        <v>2619</v>
      </c>
      <c r="C2203" s="22">
        <f>VLOOKUP(A2203,'[11]Linea Asociados'!$A$1:$F$492,3,FALSE)</f>
        <v>3.12</v>
      </c>
      <c r="D2203" s="22">
        <f>VLOOKUP(A2203,'[11]Linea Asociados'!$A$1:$D$492,4,FALSE)</f>
        <v>3.53</v>
      </c>
      <c r="E2203" s="22">
        <f>VLOOKUP(A2203,'[11]Linea Asociados'!$A$1:$E$492,5,FALSE)</f>
        <v>3.72</v>
      </c>
      <c r="F2203" s="22">
        <f>VLOOKUP(A2203,'[11]Linea Asociados'!$A$1:$F$492,6,FALSE)</f>
        <v>4.2</v>
      </c>
    </row>
    <row r="2204" spans="1:6" x14ac:dyDescent="0.3">
      <c r="A2204" s="87" t="s">
        <v>2620</v>
      </c>
      <c r="B2204" s="34" t="s">
        <v>2621</v>
      </c>
      <c r="C2204" s="22">
        <f>VLOOKUP(A2204,'[11]Linea Asociados'!$A$1:$F$492,3,FALSE)</f>
        <v>3.12</v>
      </c>
      <c r="D2204" s="22">
        <f>VLOOKUP(A2204,'[11]Linea Asociados'!$A$1:$D$492,4,FALSE)</f>
        <v>3.53</v>
      </c>
      <c r="E2204" s="22">
        <f>VLOOKUP(A2204,'[11]Linea Asociados'!$A$1:$E$492,5,FALSE)</f>
        <v>3.72</v>
      </c>
      <c r="F2204" s="22">
        <f>VLOOKUP(A2204,'[11]Linea Asociados'!$A$1:$F$492,6,FALSE)</f>
        <v>4.2</v>
      </c>
    </row>
    <row r="2205" spans="1:6" x14ac:dyDescent="0.3">
      <c r="A2205" s="87" t="s">
        <v>2622</v>
      </c>
      <c r="B2205" s="34" t="s">
        <v>2623</v>
      </c>
      <c r="C2205" s="22">
        <f>VLOOKUP(A2205,'[11]Linea Asociados'!$A$1:$F$492,3,FALSE)</f>
        <v>2.2999999999999998</v>
      </c>
      <c r="D2205" s="22">
        <f>VLOOKUP(A2205,'[11]Linea Asociados'!$A$1:$D$492,4,FALSE)</f>
        <v>2.6</v>
      </c>
      <c r="E2205" s="22">
        <f>VLOOKUP(A2205,'[11]Linea Asociados'!$A$1:$E$492,5,FALSE)</f>
        <v>2.74</v>
      </c>
      <c r="F2205" s="22">
        <f>VLOOKUP(A2205,'[11]Linea Asociados'!$A$1:$F$492,6,FALSE)</f>
        <v>3.1</v>
      </c>
    </row>
    <row r="2206" spans="1:6" x14ac:dyDescent="0.3">
      <c r="A2206" s="91" t="s">
        <v>3971</v>
      </c>
      <c r="B2206" s="89" t="s">
        <v>3972</v>
      </c>
      <c r="C2206" s="22">
        <f>VLOOKUP(A2206,'[11]Linea Asociados'!$A$1:$F$492,3,FALSE)</f>
        <v>4.6500000000000004</v>
      </c>
      <c r="D2206" s="22">
        <f>VLOOKUP(A2206,'[11]Linea Asociados'!$A$1:$D$492,4,FALSE)</f>
        <v>5.25</v>
      </c>
      <c r="E2206" s="22">
        <f>VLOOKUP(A2206,'[11]Linea Asociados'!$A$1:$E$492,5,FALSE)</f>
        <v>6.64</v>
      </c>
      <c r="F2206" s="22">
        <f>VLOOKUP(A2206,'[11]Linea Asociados'!$A$1:$F$492,6,FALSE)</f>
        <v>7.5</v>
      </c>
    </row>
    <row r="2207" spans="1:6" x14ac:dyDescent="0.3">
      <c r="A2207" s="91" t="s">
        <v>3973</v>
      </c>
      <c r="B2207" s="89" t="s">
        <v>3974</v>
      </c>
      <c r="C2207" s="22">
        <f>VLOOKUP(A2207,'[11]Linea Asociados'!$A$1:$F$492,3,FALSE)</f>
        <v>4.6500000000000004</v>
      </c>
      <c r="D2207" s="22">
        <f>VLOOKUP(A2207,'[11]Linea Asociados'!$A$1:$D$492,4,FALSE)</f>
        <v>5.25</v>
      </c>
      <c r="E2207" s="22">
        <f>VLOOKUP(A2207,'[11]Linea Asociados'!$A$1:$E$492,5,FALSE)</f>
        <v>6.64</v>
      </c>
      <c r="F2207" s="22">
        <f>VLOOKUP(A2207,'[11]Linea Asociados'!$A$1:$F$492,6,FALSE)</f>
        <v>7.5</v>
      </c>
    </row>
    <row r="2208" spans="1:6" x14ac:dyDescent="0.3">
      <c r="A2208" s="91" t="s">
        <v>3975</v>
      </c>
      <c r="B2208" s="89" t="s">
        <v>3976</v>
      </c>
      <c r="C2208" s="22">
        <f>VLOOKUP(A2208,'[11]Linea Asociados'!$A$1:$F$492,3,FALSE)</f>
        <v>4.6500000000000004</v>
      </c>
      <c r="D2208" s="22">
        <f>VLOOKUP(A2208,'[11]Linea Asociados'!$A$1:$D$492,4,FALSE)</f>
        <v>5.25</v>
      </c>
      <c r="E2208" s="22">
        <f>VLOOKUP(A2208,'[11]Linea Asociados'!$A$1:$E$492,5,FALSE)</f>
        <v>6.64</v>
      </c>
      <c r="F2208" s="22">
        <f>VLOOKUP(A2208,'[11]Linea Asociados'!$A$1:$F$492,6,FALSE)</f>
        <v>7.5</v>
      </c>
    </row>
    <row r="2209" spans="1:6" x14ac:dyDescent="0.3">
      <c r="A2209" s="91" t="s">
        <v>3977</v>
      </c>
      <c r="B2209" s="89" t="s">
        <v>3978</v>
      </c>
      <c r="C2209" s="22">
        <f>VLOOKUP(A2209,'[11]Linea Asociados'!$A$1:$F$492,3,FALSE)</f>
        <v>4.6500000000000004</v>
      </c>
      <c r="D2209" s="22">
        <f>VLOOKUP(A2209,'[11]Linea Asociados'!$A$1:$D$492,4,FALSE)</f>
        <v>5.25</v>
      </c>
      <c r="E2209" s="22">
        <f>VLOOKUP(A2209,'[11]Linea Asociados'!$A$1:$E$492,5,FALSE)</f>
        <v>6.64</v>
      </c>
      <c r="F2209" s="22">
        <f>VLOOKUP(A2209,'[11]Linea Asociados'!$A$1:$F$492,6,FALSE)</f>
        <v>7.5</v>
      </c>
    </row>
    <row r="2210" spans="1:6" x14ac:dyDescent="0.3">
      <c r="A2210" s="91" t="s">
        <v>3979</v>
      </c>
      <c r="B2210" s="89" t="s">
        <v>3980</v>
      </c>
      <c r="C2210" s="22">
        <f>VLOOKUP(A2210,'[11]Linea Asociados'!$A$1:$F$492,3,FALSE)</f>
        <v>4.6500000000000004</v>
      </c>
      <c r="D2210" s="22">
        <f>VLOOKUP(A2210,'[11]Linea Asociados'!$A$1:$D$492,4,FALSE)</f>
        <v>5.25</v>
      </c>
      <c r="E2210" s="22">
        <f>VLOOKUP(A2210,'[11]Linea Asociados'!$A$1:$E$492,5,FALSE)</f>
        <v>6.64</v>
      </c>
      <c r="F2210" s="22">
        <f>VLOOKUP(A2210,'[11]Linea Asociados'!$A$1:$F$492,6,FALSE)</f>
        <v>7.5</v>
      </c>
    </row>
    <row r="2211" spans="1:6" x14ac:dyDescent="0.3">
      <c r="A2211" s="91" t="s">
        <v>3981</v>
      </c>
      <c r="B2211" s="89" t="s">
        <v>3982</v>
      </c>
      <c r="C2211" s="22">
        <f>VLOOKUP(A2211,'[11]Linea Asociados'!$A$1:$F$492,3,FALSE)</f>
        <v>4.6500000000000004</v>
      </c>
      <c r="D2211" s="22">
        <f>VLOOKUP(A2211,'[11]Linea Asociados'!$A$1:$D$492,4,FALSE)</f>
        <v>5.25</v>
      </c>
      <c r="E2211" s="22">
        <f>VLOOKUP(A2211,'[11]Linea Asociados'!$A$1:$E$492,5,FALSE)</f>
        <v>6.64</v>
      </c>
      <c r="F2211" s="22">
        <f>VLOOKUP(A2211,'[11]Linea Asociados'!$A$1:$F$492,6,FALSE)</f>
        <v>7.5</v>
      </c>
    </row>
    <row r="2212" spans="1:6" x14ac:dyDescent="0.3">
      <c r="A2212" s="91" t="s">
        <v>3983</v>
      </c>
      <c r="B2212" s="89" t="s">
        <v>3984</v>
      </c>
      <c r="C2212" s="22">
        <f>VLOOKUP(A2212,'[11]Linea Asociados'!$A$1:$F$492,3,FALSE)</f>
        <v>4.6500000000000004</v>
      </c>
      <c r="D2212" s="22">
        <f>VLOOKUP(A2212,'[11]Linea Asociados'!$A$1:$D$492,4,FALSE)</f>
        <v>5.25</v>
      </c>
      <c r="E2212" s="22">
        <f>VLOOKUP(A2212,'[11]Linea Asociados'!$A$1:$E$492,5,FALSE)</f>
        <v>6.64</v>
      </c>
      <c r="F2212" s="22">
        <f>VLOOKUP(A2212,'[11]Linea Asociados'!$A$1:$F$492,6,FALSE)</f>
        <v>7.5</v>
      </c>
    </row>
    <row r="2213" spans="1:6" x14ac:dyDescent="0.3">
      <c r="A2213" s="91" t="s">
        <v>3985</v>
      </c>
      <c r="B2213" s="89" t="s">
        <v>3986</v>
      </c>
      <c r="C2213" s="22">
        <f>VLOOKUP(A2213,'[11]Linea Asociados'!$A$1:$F$492,3,FALSE)</f>
        <v>4.6500000000000004</v>
      </c>
      <c r="D2213" s="22">
        <f>VLOOKUP(A2213,'[11]Linea Asociados'!$A$1:$D$492,4,FALSE)</f>
        <v>5.25</v>
      </c>
      <c r="E2213" s="22">
        <f>VLOOKUP(A2213,'[11]Linea Asociados'!$A$1:$E$492,5,FALSE)</f>
        <v>6.64</v>
      </c>
      <c r="F2213" s="22">
        <f>VLOOKUP(A2213,'[11]Linea Asociados'!$A$1:$F$492,6,FALSE)</f>
        <v>7.5</v>
      </c>
    </row>
    <row r="2214" spans="1:6" x14ac:dyDescent="0.3">
      <c r="A2214" s="91" t="s">
        <v>3987</v>
      </c>
      <c r="B2214" s="89" t="s">
        <v>3988</v>
      </c>
      <c r="C2214" s="22">
        <f>VLOOKUP(A2214,'[11]Linea Asociados'!$A$1:$F$492,3,FALSE)</f>
        <v>4.6500000000000004</v>
      </c>
      <c r="D2214" s="22">
        <f>VLOOKUP(A2214,'[11]Linea Asociados'!$A$1:$D$492,4,FALSE)</f>
        <v>5.25</v>
      </c>
      <c r="E2214" s="22">
        <f>VLOOKUP(A2214,'[11]Linea Asociados'!$A$1:$E$492,5,FALSE)</f>
        <v>6.64</v>
      </c>
      <c r="F2214" s="22">
        <f>VLOOKUP(A2214,'[11]Linea Asociados'!$A$1:$F$492,6,FALSE)</f>
        <v>7.5</v>
      </c>
    </row>
    <row r="2215" spans="1:6" x14ac:dyDescent="0.3">
      <c r="A2215" s="91" t="s">
        <v>3989</v>
      </c>
      <c r="B2215" s="89" t="s">
        <v>3990</v>
      </c>
      <c r="C2215" s="22">
        <f>VLOOKUP(A2215,'[11]Linea Asociados'!$A$1:$F$492,3,FALSE)</f>
        <v>4.6500000000000004</v>
      </c>
      <c r="D2215" s="22">
        <f>VLOOKUP(A2215,'[11]Linea Asociados'!$A$1:$D$492,4,FALSE)</f>
        <v>5.25</v>
      </c>
      <c r="E2215" s="22">
        <f>VLOOKUP(A2215,'[11]Linea Asociados'!$A$1:$E$492,5,FALSE)</f>
        <v>6.64</v>
      </c>
      <c r="F2215" s="22">
        <f>VLOOKUP(A2215,'[11]Linea Asociados'!$A$1:$F$492,6,FALSE)</f>
        <v>7.5</v>
      </c>
    </row>
    <row r="2216" spans="1:6" x14ac:dyDescent="0.3">
      <c r="A2216" s="91" t="s">
        <v>3991</v>
      </c>
      <c r="B2216" s="89" t="s">
        <v>3992</v>
      </c>
      <c r="C2216" s="22">
        <f>VLOOKUP(A2216,'[11]Linea Asociados'!$A$1:$F$492,3,FALSE)</f>
        <v>4.6500000000000004</v>
      </c>
      <c r="D2216" s="22">
        <f>VLOOKUP(A2216,'[11]Linea Asociados'!$A$1:$D$492,4,FALSE)</f>
        <v>5.25</v>
      </c>
      <c r="E2216" s="22">
        <f>VLOOKUP(A2216,'[11]Linea Asociados'!$A$1:$E$492,5,FALSE)</f>
        <v>6.64</v>
      </c>
      <c r="F2216" s="22">
        <f>VLOOKUP(A2216,'[11]Linea Asociados'!$A$1:$F$492,6,FALSE)</f>
        <v>7.5</v>
      </c>
    </row>
    <row r="2217" spans="1:6" x14ac:dyDescent="0.3">
      <c r="A2217" s="91" t="s">
        <v>3993</v>
      </c>
      <c r="B2217" s="89" t="s">
        <v>3994</v>
      </c>
      <c r="C2217" s="22">
        <f>VLOOKUP(A2217,'[11]Linea Asociados'!$A$1:$F$492,3,FALSE)</f>
        <v>4.6500000000000004</v>
      </c>
      <c r="D2217" s="22">
        <f>VLOOKUP(A2217,'[11]Linea Asociados'!$A$1:$D$492,4,FALSE)</f>
        <v>5.25</v>
      </c>
      <c r="E2217" s="22">
        <f>VLOOKUP(A2217,'[11]Linea Asociados'!$A$1:$E$492,5,FALSE)</f>
        <v>6.64</v>
      </c>
      <c r="F2217" s="22">
        <f>VLOOKUP(A2217,'[11]Linea Asociados'!$A$1:$F$492,6,FALSE)</f>
        <v>7.5</v>
      </c>
    </row>
    <row r="2218" spans="1:6" x14ac:dyDescent="0.3">
      <c r="A2218" s="91" t="s">
        <v>3995</v>
      </c>
      <c r="B2218" s="89" t="s">
        <v>3996</v>
      </c>
      <c r="C2218" s="22">
        <f>VLOOKUP(A2218,'[11]Linea Asociados'!$A$1:$F$492,3,FALSE)</f>
        <v>4.6500000000000004</v>
      </c>
      <c r="D2218" s="22">
        <f>VLOOKUP(A2218,'[11]Linea Asociados'!$A$1:$D$492,4,FALSE)</f>
        <v>5.25</v>
      </c>
      <c r="E2218" s="22">
        <f>VLOOKUP(A2218,'[11]Linea Asociados'!$A$1:$E$492,5,FALSE)</f>
        <v>6.64</v>
      </c>
      <c r="F2218" s="22">
        <f>VLOOKUP(A2218,'[11]Linea Asociados'!$A$1:$F$492,6,FALSE)</f>
        <v>7.5</v>
      </c>
    </row>
    <row r="2219" spans="1:6" x14ac:dyDescent="0.3">
      <c r="A2219" s="91" t="s">
        <v>3997</v>
      </c>
      <c r="B2219" s="89" t="s">
        <v>3998</v>
      </c>
      <c r="C2219" s="22">
        <f>VLOOKUP(A2219,'[11]Linea Asociados'!$A$1:$F$492,3,FALSE)</f>
        <v>4.6500000000000004</v>
      </c>
      <c r="D2219" s="22">
        <f>VLOOKUP(A2219,'[11]Linea Asociados'!$A$1:$D$492,4,FALSE)</f>
        <v>5.25</v>
      </c>
      <c r="E2219" s="22">
        <f>VLOOKUP(A2219,'[11]Linea Asociados'!$A$1:$E$492,5,FALSE)</f>
        <v>6.64</v>
      </c>
      <c r="F2219" s="22">
        <f>VLOOKUP(A2219,'[11]Linea Asociados'!$A$1:$F$492,6,FALSE)</f>
        <v>7.5</v>
      </c>
    </row>
    <row r="2220" spans="1:6" x14ac:dyDescent="0.3">
      <c r="A2220" s="91" t="s">
        <v>3999</v>
      </c>
      <c r="B2220" s="89" t="s">
        <v>4000</v>
      </c>
      <c r="C2220" s="22">
        <f>VLOOKUP(A2220,'[11]Linea Asociados'!$A$1:$F$492,3,FALSE)</f>
        <v>4.6500000000000004</v>
      </c>
      <c r="D2220" s="22">
        <f>VLOOKUP(A2220,'[11]Linea Asociados'!$A$1:$D$492,4,FALSE)</f>
        <v>5.25</v>
      </c>
      <c r="E2220" s="22">
        <f>VLOOKUP(A2220,'[11]Linea Asociados'!$A$1:$E$492,5,FALSE)</f>
        <v>6.64</v>
      </c>
      <c r="F2220" s="22">
        <f>VLOOKUP(A2220,'[11]Linea Asociados'!$A$1:$F$492,6,FALSE)</f>
        <v>7.5</v>
      </c>
    </row>
    <row r="2221" spans="1:6" x14ac:dyDescent="0.3">
      <c r="A2221" s="91" t="s">
        <v>4001</v>
      </c>
      <c r="B2221" s="89" t="s">
        <v>4002</v>
      </c>
      <c r="C2221" s="22">
        <f>VLOOKUP(A2221,'[11]Linea Asociados'!$A$1:$F$492,3,FALSE)</f>
        <v>4.6500000000000004</v>
      </c>
      <c r="D2221" s="22">
        <f>VLOOKUP(A2221,'[11]Linea Asociados'!$A$1:$D$492,4,FALSE)</f>
        <v>5.25</v>
      </c>
      <c r="E2221" s="22">
        <f>VLOOKUP(A2221,'[11]Linea Asociados'!$A$1:$E$492,5,FALSE)</f>
        <v>6.64</v>
      </c>
      <c r="F2221" s="22">
        <f>VLOOKUP(A2221,'[11]Linea Asociados'!$A$1:$F$492,6,FALSE)</f>
        <v>7.5</v>
      </c>
    </row>
    <row r="2222" spans="1:6" x14ac:dyDescent="0.3">
      <c r="A2222" s="91" t="s">
        <v>4003</v>
      </c>
      <c r="B2222" s="89" t="s">
        <v>4004</v>
      </c>
      <c r="C2222" s="22">
        <f>VLOOKUP(A2222,'[11]Linea Asociados'!$A$1:$F$492,3,FALSE)</f>
        <v>5.88</v>
      </c>
      <c r="D2222" s="22">
        <f>VLOOKUP(A2222,'[11]Linea Asociados'!$A$1:$D$492,4,FALSE)</f>
        <v>6.65</v>
      </c>
      <c r="E2222" s="22">
        <f>VLOOKUP(A2222,'[11]Linea Asociados'!$A$1:$E$492,5,FALSE)</f>
        <v>8.41</v>
      </c>
      <c r="F2222" s="22">
        <f>VLOOKUP(A2222,'[11]Linea Asociados'!$A$1:$F$492,6,FALSE)</f>
        <v>9.5</v>
      </c>
    </row>
    <row r="2223" spans="1:6" x14ac:dyDescent="0.3">
      <c r="A2223" s="91" t="s">
        <v>4005</v>
      </c>
      <c r="B2223" s="89" t="s">
        <v>4006</v>
      </c>
      <c r="C2223" s="22">
        <f>VLOOKUP(A2223,'[11]Linea Asociados'!$A$1:$F$492,3,FALSE)</f>
        <v>5.88</v>
      </c>
      <c r="D2223" s="22">
        <f>VLOOKUP(A2223,'[11]Linea Asociados'!$A$1:$D$492,4,FALSE)</f>
        <v>6.65</v>
      </c>
      <c r="E2223" s="22">
        <f>VLOOKUP(A2223,'[11]Linea Asociados'!$A$1:$E$492,5,FALSE)</f>
        <v>8.41</v>
      </c>
      <c r="F2223" s="22">
        <f>VLOOKUP(A2223,'[11]Linea Asociados'!$A$1:$F$492,6,FALSE)</f>
        <v>9.5</v>
      </c>
    </row>
    <row r="2224" spans="1:6" x14ac:dyDescent="0.3">
      <c r="A2224" s="87" t="s">
        <v>2624</v>
      </c>
      <c r="B2224" s="34" t="s">
        <v>2625</v>
      </c>
      <c r="C2224" s="22">
        <f>VLOOKUP(A2224,'[11]Linea Asociados'!$A$1:$F$492,3,FALSE)</f>
        <v>0.73</v>
      </c>
      <c r="D2224" s="22">
        <f>VLOOKUP(A2224,'[11]Linea Asociados'!$A$1:$D$492,4,FALSE)</f>
        <v>0.83</v>
      </c>
      <c r="E2224" s="22">
        <f>VLOOKUP(A2224,'[11]Linea Asociados'!$A$1:$E$492,5,FALSE)</f>
        <v>1.1499999999999999</v>
      </c>
      <c r="F2224" s="22">
        <f>VLOOKUP(A2224,'[11]Linea Asociados'!$A$1:$F$492,6,FALSE)</f>
        <v>1.3</v>
      </c>
    </row>
    <row r="2225" spans="1:6" x14ac:dyDescent="0.3">
      <c r="A2225" s="87" t="s">
        <v>2626</v>
      </c>
      <c r="B2225" s="34" t="s">
        <v>2627</v>
      </c>
      <c r="C2225" s="22">
        <f>VLOOKUP(A2225,'[11]Linea Asociados'!$A$1:$F$492,3,FALSE)</f>
        <v>0.73</v>
      </c>
      <c r="D2225" s="22">
        <f>VLOOKUP(A2225,'[11]Linea Asociados'!$A$1:$D$492,4,FALSE)</f>
        <v>0.83</v>
      </c>
      <c r="E2225" s="22">
        <f>VLOOKUP(A2225,'[11]Linea Asociados'!$A$1:$E$492,5,FALSE)</f>
        <v>1.1499999999999999</v>
      </c>
      <c r="F2225" s="22">
        <f>VLOOKUP(A2225,'[11]Linea Asociados'!$A$1:$F$492,6,FALSE)</f>
        <v>1.3</v>
      </c>
    </row>
    <row r="2226" spans="1:6" x14ac:dyDescent="0.3">
      <c r="A2226" s="87" t="s">
        <v>2628</v>
      </c>
      <c r="B2226" s="34" t="s">
        <v>2629</v>
      </c>
      <c r="C2226" s="22">
        <f>VLOOKUP(A2226,'[11]Linea Asociados'!$A$1:$F$492,3,FALSE)</f>
        <v>0.73</v>
      </c>
      <c r="D2226" s="22">
        <f>VLOOKUP(A2226,'[11]Linea Asociados'!$A$1:$D$492,4,FALSE)</f>
        <v>0.83</v>
      </c>
      <c r="E2226" s="22">
        <f>VLOOKUP(A2226,'[11]Linea Asociados'!$A$1:$E$492,5,FALSE)</f>
        <v>1.1499999999999999</v>
      </c>
      <c r="F2226" s="22">
        <f>VLOOKUP(A2226,'[11]Linea Asociados'!$A$1:$F$492,6,FALSE)</f>
        <v>1.3</v>
      </c>
    </row>
    <row r="2227" spans="1:6" x14ac:dyDescent="0.3">
      <c r="A2227" s="87" t="s">
        <v>2630</v>
      </c>
      <c r="B2227" s="34" t="s">
        <v>2631</v>
      </c>
      <c r="C2227" s="22">
        <f>VLOOKUP(A2227,'[11]Linea Asociados'!$A$1:$F$492,3,FALSE)</f>
        <v>0.73</v>
      </c>
      <c r="D2227" s="22">
        <f>VLOOKUP(A2227,'[11]Linea Asociados'!$A$1:$D$492,4,FALSE)</f>
        <v>0.83</v>
      </c>
      <c r="E2227" s="22">
        <f>VLOOKUP(A2227,'[11]Linea Asociados'!$A$1:$E$492,5,FALSE)</f>
        <v>1.1499999999999999</v>
      </c>
      <c r="F2227" s="22">
        <f>VLOOKUP(A2227,'[11]Linea Asociados'!$A$1:$F$492,6,FALSE)</f>
        <v>1.3</v>
      </c>
    </row>
    <row r="2228" spans="1:6" x14ac:dyDescent="0.3">
      <c r="A2228" s="87" t="s">
        <v>2632</v>
      </c>
      <c r="B2228" s="34" t="s">
        <v>2633</v>
      </c>
      <c r="C2228" s="22">
        <f>VLOOKUP(A2228,'[11]Linea Asociados'!$A$1:$F$492,3,FALSE)</f>
        <v>0.62</v>
      </c>
      <c r="D2228" s="22">
        <f>VLOOKUP(A2228,'[11]Linea Asociados'!$A$1:$D$492,4,FALSE)</f>
        <v>0.7</v>
      </c>
      <c r="E2228" s="22">
        <f>VLOOKUP(A2228,'[11]Linea Asociados'!$A$1:$E$492,5,FALSE)</f>
        <v>0.97</v>
      </c>
      <c r="F2228" s="22">
        <f>VLOOKUP(A2228,'[11]Linea Asociados'!$A$1:$F$492,6,FALSE)</f>
        <v>1.1000000000000001</v>
      </c>
    </row>
    <row r="2229" spans="1:6" x14ac:dyDescent="0.3">
      <c r="A2229" s="87" t="s">
        <v>2634</v>
      </c>
      <c r="B2229" s="34" t="s">
        <v>2635</v>
      </c>
      <c r="C2229" s="22">
        <f>VLOOKUP(A2229,'[11]Linea Asociados'!$A$1:$F$492,3,FALSE)</f>
        <v>0.62</v>
      </c>
      <c r="D2229" s="22">
        <f>VLOOKUP(A2229,'[11]Linea Asociados'!$A$1:$D$492,4,FALSE)</f>
        <v>0.7</v>
      </c>
      <c r="E2229" s="22">
        <f>VLOOKUP(A2229,'[11]Linea Asociados'!$A$1:$E$492,5,FALSE)</f>
        <v>0.97</v>
      </c>
      <c r="F2229" s="22">
        <f>VLOOKUP(A2229,'[11]Linea Asociados'!$A$1:$F$492,6,FALSE)</f>
        <v>1.1000000000000001</v>
      </c>
    </row>
    <row r="2230" spans="1:6" x14ac:dyDescent="0.3">
      <c r="A2230" s="87" t="s">
        <v>2636</v>
      </c>
      <c r="B2230" s="34" t="s">
        <v>2637</v>
      </c>
      <c r="C2230" s="22">
        <f>VLOOKUP(A2230,'[11]Linea Asociados'!$A$1:$F$492,3,FALSE)</f>
        <v>0.62</v>
      </c>
      <c r="D2230" s="22">
        <f>VLOOKUP(A2230,'[11]Linea Asociados'!$A$1:$D$492,4,FALSE)</f>
        <v>0.7</v>
      </c>
      <c r="E2230" s="22">
        <f>VLOOKUP(A2230,'[11]Linea Asociados'!$A$1:$E$492,5,FALSE)</f>
        <v>0.97</v>
      </c>
      <c r="F2230" s="22">
        <f>VLOOKUP(A2230,'[11]Linea Asociados'!$A$1:$F$492,6,FALSE)</f>
        <v>1.1000000000000001</v>
      </c>
    </row>
    <row r="2231" spans="1:6" x14ac:dyDescent="0.3">
      <c r="A2231" s="87" t="s">
        <v>2638</v>
      </c>
      <c r="B2231" s="34" t="s">
        <v>2639</v>
      </c>
      <c r="C2231" s="22">
        <f>VLOOKUP(A2231,'[11]Linea Asociados'!$A$1:$F$492,3,FALSE)</f>
        <v>0.62</v>
      </c>
      <c r="D2231" s="22">
        <f>VLOOKUP(A2231,'[11]Linea Asociados'!$A$1:$D$492,4,FALSE)</f>
        <v>0.7</v>
      </c>
      <c r="E2231" s="22">
        <f>VLOOKUP(A2231,'[11]Linea Asociados'!$A$1:$E$492,5,FALSE)</f>
        <v>0.97</v>
      </c>
      <c r="F2231" s="22">
        <f>VLOOKUP(A2231,'[11]Linea Asociados'!$A$1:$F$492,6,FALSE)</f>
        <v>1.1000000000000001</v>
      </c>
    </row>
    <row r="2232" spans="1:6" x14ac:dyDescent="0.3">
      <c r="A2232" s="87" t="s">
        <v>2640</v>
      </c>
      <c r="B2232" s="34" t="s">
        <v>2641</v>
      </c>
      <c r="C2232" s="22">
        <f>VLOOKUP(A2232,'[11]Linea Asociados'!$A$1:$F$492,3,FALSE)</f>
        <v>0.62</v>
      </c>
      <c r="D2232" s="22">
        <f>VLOOKUP(A2232,'[11]Linea Asociados'!$A$1:$D$492,4,FALSE)</f>
        <v>0.7</v>
      </c>
      <c r="E2232" s="22">
        <f>VLOOKUP(A2232,'[11]Linea Asociados'!$A$1:$E$492,5,FALSE)</f>
        <v>0.97</v>
      </c>
      <c r="F2232" s="22">
        <f>VLOOKUP(A2232,'[11]Linea Asociados'!$A$1:$F$492,6,FALSE)</f>
        <v>1.1000000000000001</v>
      </c>
    </row>
    <row r="2233" spans="1:6" x14ac:dyDescent="0.3">
      <c r="A2233" s="87" t="s">
        <v>2642</v>
      </c>
      <c r="B2233" s="34" t="s">
        <v>2643</v>
      </c>
      <c r="C2233" s="22">
        <f>VLOOKUP(A2233,'[11]Linea Asociados'!$A$1:$F$492,3,FALSE)</f>
        <v>0.62</v>
      </c>
      <c r="D2233" s="22">
        <f>VLOOKUP(A2233,'[11]Linea Asociados'!$A$1:$D$492,4,FALSE)</f>
        <v>0.7</v>
      </c>
      <c r="E2233" s="22">
        <f>VLOOKUP(A2233,'[11]Linea Asociados'!$A$1:$E$492,5,FALSE)</f>
        <v>0.97</v>
      </c>
      <c r="F2233" s="22">
        <f>VLOOKUP(A2233,'[11]Linea Asociados'!$A$1:$F$492,6,FALSE)</f>
        <v>1.1000000000000001</v>
      </c>
    </row>
    <row r="2234" spans="1:6" x14ac:dyDescent="0.3">
      <c r="A2234" s="87" t="s">
        <v>2644</v>
      </c>
      <c r="B2234" s="34" t="s">
        <v>2645</v>
      </c>
      <c r="C2234" s="22">
        <f>VLOOKUP(A2234,'[11]Linea Asociados'!$A$1:$F$492,3,FALSE)</f>
        <v>0.62</v>
      </c>
      <c r="D2234" s="22">
        <f>VLOOKUP(A2234,'[11]Linea Asociados'!$A$1:$D$492,4,FALSE)</f>
        <v>0.7</v>
      </c>
      <c r="E2234" s="22">
        <f>VLOOKUP(A2234,'[11]Linea Asociados'!$A$1:$E$492,5,FALSE)</f>
        <v>0.97</v>
      </c>
      <c r="F2234" s="22">
        <f>VLOOKUP(A2234,'[11]Linea Asociados'!$A$1:$F$492,6,FALSE)</f>
        <v>1.1000000000000001</v>
      </c>
    </row>
    <row r="2235" spans="1:6" x14ac:dyDescent="0.3">
      <c r="A2235" s="87" t="s">
        <v>2646</v>
      </c>
      <c r="B2235" s="34" t="s">
        <v>2647</v>
      </c>
      <c r="C2235" s="22">
        <f>VLOOKUP(A2235,'[11]Linea Asociados'!$A$1:$F$492,3,FALSE)</f>
        <v>0.73</v>
      </c>
      <c r="D2235" s="22">
        <f>VLOOKUP(A2235,'[11]Linea Asociados'!$A$1:$D$492,4,FALSE)</f>
        <v>0.83</v>
      </c>
      <c r="E2235" s="22">
        <f>VLOOKUP(A2235,'[11]Linea Asociados'!$A$1:$E$492,5,FALSE)</f>
        <v>1.1499999999999999</v>
      </c>
      <c r="F2235" s="22">
        <f>VLOOKUP(A2235,'[11]Linea Asociados'!$A$1:$F$492,6,FALSE)</f>
        <v>1.3</v>
      </c>
    </row>
    <row r="2236" spans="1:6" x14ac:dyDescent="0.3">
      <c r="A2236" s="87" t="s">
        <v>2648</v>
      </c>
      <c r="B2236" s="34" t="s">
        <v>2649</v>
      </c>
      <c r="C2236" s="22">
        <f>VLOOKUP(A2236,'[11]Linea Asociados'!$A$1:$F$492,3,FALSE)</f>
        <v>0.56999999999999995</v>
      </c>
      <c r="D2236" s="22">
        <f>VLOOKUP(A2236,'[11]Linea Asociados'!$A$1:$D$492,4,FALSE)</f>
        <v>0.64</v>
      </c>
      <c r="E2236" s="22">
        <f>VLOOKUP(A2236,'[11]Linea Asociados'!$A$1:$E$492,5,FALSE)</f>
        <v>0.88</v>
      </c>
      <c r="F2236" s="22">
        <f>VLOOKUP(A2236,'[11]Linea Asociados'!$A$1:$F$492,6,FALSE)</f>
        <v>1</v>
      </c>
    </row>
    <row r="2237" spans="1:6" x14ac:dyDescent="0.3">
      <c r="A2237" s="87" t="s">
        <v>2650</v>
      </c>
      <c r="B2237" s="34" t="s">
        <v>2651</v>
      </c>
      <c r="C2237" s="22">
        <f>VLOOKUP(A2237,'[11]Linea Asociados'!$A$1:$F$492,3,FALSE)</f>
        <v>0.62</v>
      </c>
      <c r="D2237" s="22">
        <f>VLOOKUP(A2237,'[11]Linea Asociados'!$A$1:$D$492,4,FALSE)</f>
        <v>0.7</v>
      </c>
      <c r="E2237" s="22">
        <f>VLOOKUP(A2237,'[11]Linea Asociados'!$A$1:$E$492,5,FALSE)</f>
        <v>0.97</v>
      </c>
      <c r="F2237" s="22">
        <f>VLOOKUP(A2237,'[11]Linea Asociados'!$A$1:$F$492,6,FALSE)</f>
        <v>1.1000000000000001</v>
      </c>
    </row>
    <row r="2238" spans="1:6" x14ac:dyDescent="0.3">
      <c r="A2238" s="87" t="s">
        <v>2652</v>
      </c>
      <c r="B2238" s="34" t="s">
        <v>2653</v>
      </c>
      <c r="C2238" s="22">
        <f>VLOOKUP(A2238,'[11]Linea Asociados'!$A$1:$F$492,3,FALSE)</f>
        <v>0.62</v>
      </c>
      <c r="D2238" s="22">
        <f>VLOOKUP(A2238,'[11]Linea Asociados'!$A$1:$D$492,4,FALSE)</f>
        <v>0.7</v>
      </c>
      <c r="E2238" s="22">
        <f>VLOOKUP(A2238,'[11]Linea Asociados'!$A$1:$E$492,5,FALSE)</f>
        <v>0.97</v>
      </c>
      <c r="F2238" s="22">
        <f>VLOOKUP(A2238,'[11]Linea Asociados'!$A$1:$F$492,6,FALSE)</f>
        <v>1.1000000000000001</v>
      </c>
    </row>
    <row r="2239" spans="1:6" x14ac:dyDescent="0.3">
      <c r="A2239" s="87" t="s">
        <v>2654</v>
      </c>
      <c r="B2239" s="34" t="s">
        <v>2655</v>
      </c>
      <c r="C2239" s="22">
        <f>VLOOKUP(A2239,'[11]Linea Asociados'!$A$1:$F$492,3,FALSE)</f>
        <v>0.62</v>
      </c>
      <c r="D2239" s="22">
        <f>VLOOKUP(A2239,'[11]Linea Asociados'!$A$1:$D$492,4,FALSE)</f>
        <v>0.7</v>
      </c>
      <c r="E2239" s="22">
        <f>VLOOKUP(A2239,'[11]Linea Asociados'!$A$1:$E$492,5,FALSE)</f>
        <v>0.97</v>
      </c>
      <c r="F2239" s="22">
        <f>VLOOKUP(A2239,'[11]Linea Asociados'!$A$1:$F$492,6,FALSE)</f>
        <v>1.1000000000000001</v>
      </c>
    </row>
    <row r="2240" spans="1:6" x14ac:dyDescent="0.3">
      <c r="A2240" s="87" t="s">
        <v>2656</v>
      </c>
      <c r="B2240" s="34" t="s">
        <v>2657</v>
      </c>
      <c r="C2240" s="22">
        <f>VLOOKUP(A2240,'[11]Linea Asociados'!$A$1:$F$492,3,FALSE)</f>
        <v>0.62</v>
      </c>
      <c r="D2240" s="22">
        <f>VLOOKUP(A2240,'[11]Linea Asociados'!$A$1:$D$492,4,FALSE)</f>
        <v>0.7</v>
      </c>
      <c r="E2240" s="22">
        <f>VLOOKUP(A2240,'[11]Linea Asociados'!$A$1:$E$492,5,FALSE)</f>
        <v>0.97</v>
      </c>
      <c r="F2240" s="22">
        <f>VLOOKUP(A2240,'[11]Linea Asociados'!$A$1:$F$492,6,FALSE)</f>
        <v>1.1000000000000001</v>
      </c>
    </row>
    <row r="2241" spans="1:6" x14ac:dyDescent="0.3">
      <c r="A2241" s="87" t="s">
        <v>2658</v>
      </c>
      <c r="B2241" s="34" t="s">
        <v>2659</v>
      </c>
      <c r="C2241" s="22">
        <f>VLOOKUP(A2241,'[11]Linea Asociados'!$A$1:$F$492,3,FALSE)</f>
        <v>0.62</v>
      </c>
      <c r="D2241" s="22">
        <f>VLOOKUP(A2241,'[11]Linea Asociados'!$A$1:$D$492,4,FALSE)</f>
        <v>0.7</v>
      </c>
      <c r="E2241" s="22">
        <f>VLOOKUP(A2241,'[11]Linea Asociados'!$A$1:$E$492,5,FALSE)</f>
        <v>0.97</v>
      </c>
      <c r="F2241" s="22">
        <f>VLOOKUP(A2241,'[11]Linea Asociados'!$A$1:$F$492,6,FALSE)</f>
        <v>1.1000000000000001</v>
      </c>
    </row>
    <row r="2242" spans="1:6" x14ac:dyDescent="0.3">
      <c r="A2242" s="87" t="s">
        <v>2660</v>
      </c>
      <c r="B2242" s="34" t="s">
        <v>2661</v>
      </c>
      <c r="C2242" s="22">
        <f>VLOOKUP(A2242,'[11]Linea Asociados'!$A$1:$F$492,3,FALSE)</f>
        <v>0.62</v>
      </c>
      <c r="D2242" s="22">
        <f>VLOOKUP(A2242,'[11]Linea Asociados'!$A$1:$D$492,4,FALSE)</f>
        <v>0.7</v>
      </c>
      <c r="E2242" s="22">
        <f>VLOOKUP(A2242,'[11]Linea Asociados'!$A$1:$E$492,5,FALSE)</f>
        <v>0.97</v>
      </c>
      <c r="F2242" s="22">
        <f>VLOOKUP(A2242,'[11]Linea Asociados'!$A$1:$F$492,6,FALSE)</f>
        <v>1.1000000000000001</v>
      </c>
    </row>
    <row r="2243" spans="1:6" x14ac:dyDescent="0.3">
      <c r="A2243" s="87" t="s">
        <v>2662</v>
      </c>
      <c r="B2243" s="34" t="s">
        <v>2663</v>
      </c>
      <c r="C2243" s="22">
        <f>VLOOKUP(A2243,'[11]Linea Asociados'!$A$1:$F$492,3,FALSE)</f>
        <v>0.68</v>
      </c>
      <c r="D2243" s="22">
        <f>VLOOKUP(A2243,'[11]Linea Asociados'!$A$1:$D$492,4,FALSE)</f>
        <v>0.77</v>
      </c>
      <c r="E2243" s="22">
        <f>VLOOKUP(A2243,'[11]Linea Asociados'!$A$1:$E$492,5,FALSE)</f>
        <v>1.06</v>
      </c>
      <c r="F2243" s="22">
        <f>VLOOKUP(A2243,'[11]Linea Asociados'!$A$1:$F$492,6,FALSE)</f>
        <v>1.2</v>
      </c>
    </row>
    <row r="2244" spans="1:6" x14ac:dyDescent="0.3">
      <c r="A2244" s="87" t="s">
        <v>2664</v>
      </c>
      <c r="B2244" s="34" t="s">
        <v>2665</v>
      </c>
      <c r="C2244" s="22">
        <f>VLOOKUP(A2244,'[11]Linea Asociados'!$A$1:$F$492,3,FALSE)</f>
        <v>0.68</v>
      </c>
      <c r="D2244" s="22">
        <f>VLOOKUP(A2244,'[11]Linea Asociados'!$A$1:$D$492,4,FALSE)</f>
        <v>0.77</v>
      </c>
      <c r="E2244" s="22">
        <f>VLOOKUP(A2244,'[11]Linea Asociados'!$A$1:$E$492,5,FALSE)</f>
        <v>1.06</v>
      </c>
      <c r="F2244" s="22">
        <f>VLOOKUP(A2244,'[11]Linea Asociados'!$A$1:$F$492,6,FALSE)</f>
        <v>1.2</v>
      </c>
    </row>
    <row r="2245" spans="1:6" x14ac:dyDescent="0.3">
      <c r="A2245" s="87" t="s">
        <v>2666</v>
      </c>
      <c r="B2245" s="34" t="s">
        <v>2667</v>
      </c>
      <c r="C2245" s="22">
        <f>VLOOKUP(A2245,'[11]Linea Asociados'!$A$1:$F$492,3,FALSE)</f>
        <v>0.68</v>
      </c>
      <c r="D2245" s="22">
        <f>VLOOKUP(A2245,'[11]Linea Asociados'!$A$1:$D$492,4,FALSE)</f>
        <v>0.77</v>
      </c>
      <c r="E2245" s="22">
        <f>VLOOKUP(A2245,'[11]Linea Asociados'!$A$1:$E$492,5,FALSE)</f>
        <v>1.06</v>
      </c>
      <c r="F2245" s="22">
        <f>VLOOKUP(A2245,'[11]Linea Asociados'!$A$1:$F$492,6,FALSE)</f>
        <v>1.2000000000000002</v>
      </c>
    </row>
    <row r="2246" spans="1:6" x14ac:dyDescent="0.3">
      <c r="A2246" s="87" t="s">
        <v>2668</v>
      </c>
      <c r="B2246" s="34" t="s">
        <v>2669</v>
      </c>
      <c r="C2246" s="22">
        <f>VLOOKUP(A2246,'[11]Linea Asociados'!$A$1:$F$492,3,FALSE)</f>
        <v>0.62</v>
      </c>
      <c r="D2246" s="22">
        <f>VLOOKUP(A2246,'[11]Linea Asociados'!$A$1:$D$492,4,FALSE)</f>
        <v>0.7</v>
      </c>
      <c r="E2246" s="22">
        <f>VLOOKUP(A2246,'[11]Linea Asociados'!$A$1:$E$492,5,FALSE)</f>
        <v>0.97</v>
      </c>
      <c r="F2246" s="22">
        <f>VLOOKUP(A2246,'[11]Linea Asociados'!$A$1:$F$492,6,FALSE)</f>
        <v>1.1000000000000001</v>
      </c>
    </row>
    <row r="2247" spans="1:6" x14ac:dyDescent="0.3">
      <c r="A2247" s="87" t="s">
        <v>2670</v>
      </c>
      <c r="B2247" s="34" t="s">
        <v>2671</v>
      </c>
      <c r="C2247" s="22">
        <f>VLOOKUP(A2247,'[11]Linea Asociados'!$A$1:$F$492,3,FALSE)</f>
        <v>0.56999999999999995</v>
      </c>
      <c r="D2247" s="22">
        <f>VLOOKUP(A2247,'[11]Linea Asociados'!$A$1:$D$492,4,FALSE)</f>
        <v>0.64</v>
      </c>
      <c r="E2247" s="22">
        <f>VLOOKUP(A2247,'[11]Linea Asociados'!$A$1:$E$492,5,FALSE)</f>
        <v>0.88</v>
      </c>
      <c r="F2247" s="22">
        <f>VLOOKUP(A2247,'[11]Linea Asociados'!$A$1:$F$492,6,FALSE)</f>
        <v>1</v>
      </c>
    </row>
    <row r="2248" spans="1:6" x14ac:dyDescent="0.3">
      <c r="A2248" s="87" t="s">
        <v>2672</v>
      </c>
      <c r="B2248" s="34" t="s">
        <v>2673</v>
      </c>
      <c r="C2248" s="22">
        <f>VLOOKUP(A2248,'[11]Linea Asociados'!$A$1:$F$492,3,FALSE)</f>
        <v>0.56999999999999995</v>
      </c>
      <c r="D2248" s="22">
        <f>VLOOKUP(A2248,'[11]Linea Asociados'!$A$1:$D$492,4,FALSE)</f>
        <v>0.64</v>
      </c>
      <c r="E2248" s="22">
        <f>VLOOKUP(A2248,'[11]Linea Asociados'!$A$1:$E$492,5,FALSE)</f>
        <v>0.88</v>
      </c>
      <c r="F2248" s="22">
        <f>VLOOKUP(A2248,'[11]Linea Asociados'!$A$1:$F$492,6,FALSE)</f>
        <v>1</v>
      </c>
    </row>
    <row r="2249" spans="1:6" x14ac:dyDescent="0.3">
      <c r="A2249" s="87" t="s">
        <v>2674</v>
      </c>
      <c r="B2249" s="34" t="s">
        <v>2675</v>
      </c>
      <c r="C2249" s="22">
        <f>VLOOKUP(A2249,'[11]Linea Asociados'!$A$1:$F$492,3,FALSE)</f>
        <v>0.56999999999999995</v>
      </c>
      <c r="D2249" s="22">
        <f>VLOOKUP(A2249,'[11]Linea Asociados'!$A$1:$D$492,4,FALSE)</f>
        <v>0.64</v>
      </c>
      <c r="E2249" s="22">
        <f>VLOOKUP(A2249,'[11]Linea Asociados'!$A$1:$E$492,5,FALSE)</f>
        <v>0.88</v>
      </c>
      <c r="F2249" s="22">
        <f>VLOOKUP(A2249,'[11]Linea Asociados'!$A$1:$F$492,6,FALSE)</f>
        <v>1</v>
      </c>
    </row>
    <row r="2250" spans="1:6" x14ac:dyDescent="0.3">
      <c r="A2250" s="87" t="s">
        <v>2676</v>
      </c>
      <c r="B2250" s="34" t="s">
        <v>2677</v>
      </c>
      <c r="C2250" s="22">
        <f>VLOOKUP(A2250,'[11]Linea Asociados'!$A$1:$F$492,3,FALSE)</f>
        <v>0.56999999999999995</v>
      </c>
      <c r="D2250" s="22">
        <f>VLOOKUP(A2250,'[11]Linea Asociados'!$A$1:$D$492,4,FALSE)</f>
        <v>0.64</v>
      </c>
      <c r="E2250" s="22">
        <f>VLOOKUP(A2250,'[11]Linea Asociados'!$A$1:$E$492,5,FALSE)</f>
        <v>0.88</v>
      </c>
      <c r="F2250" s="22">
        <f>VLOOKUP(A2250,'[11]Linea Asociados'!$A$1:$F$492,6,FALSE)</f>
        <v>1</v>
      </c>
    </row>
    <row r="2251" spans="1:6" x14ac:dyDescent="0.3">
      <c r="A2251" s="87" t="s">
        <v>2678</v>
      </c>
      <c r="B2251" s="34" t="s">
        <v>2679</v>
      </c>
      <c r="C2251" s="22">
        <f>VLOOKUP(A2251,'[11]Linea Asociados'!$A$1:$F$492,3,FALSE)</f>
        <v>0.56999999999999995</v>
      </c>
      <c r="D2251" s="22">
        <f>VLOOKUP(A2251,'[11]Linea Asociados'!$A$1:$D$492,4,FALSE)</f>
        <v>0.64</v>
      </c>
      <c r="E2251" s="22">
        <f>VLOOKUP(A2251,'[11]Linea Asociados'!$A$1:$E$492,5,FALSE)</f>
        <v>0.88</v>
      </c>
      <c r="F2251" s="22">
        <f>VLOOKUP(A2251,'[11]Linea Asociados'!$A$1:$F$492,6,FALSE)</f>
        <v>1</v>
      </c>
    </row>
    <row r="2252" spans="1:6" x14ac:dyDescent="0.3">
      <c r="A2252" s="87" t="s">
        <v>2680</v>
      </c>
      <c r="B2252" s="34" t="s">
        <v>2681</v>
      </c>
      <c r="C2252" s="22">
        <f>VLOOKUP(A2252,'[11]Linea Asociados'!$A$1:$F$492,3,FALSE)</f>
        <v>0.68</v>
      </c>
      <c r="D2252" s="22">
        <f>VLOOKUP(A2252,'[11]Linea Asociados'!$A$1:$D$492,4,FALSE)</f>
        <v>0.77</v>
      </c>
      <c r="E2252" s="22">
        <f>VLOOKUP(A2252,'[11]Linea Asociados'!$A$1:$E$492,5,FALSE)</f>
        <v>1.06</v>
      </c>
      <c r="F2252" s="22">
        <f>VLOOKUP(A2252,'[11]Linea Asociados'!$A$1:$F$492,6,FALSE)</f>
        <v>1.2</v>
      </c>
    </row>
    <row r="2253" spans="1:6" x14ac:dyDescent="0.3">
      <c r="A2253" s="87" t="s">
        <v>4007</v>
      </c>
      <c r="B2253" s="34" t="s">
        <v>4008</v>
      </c>
      <c r="C2253" s="22">
        <f>VLOOKUP(A2253,'[11]Linea Asociados'!$A$1:$F$492,3,FALSE)</f>
        <v>0.68</v>
      </c>
      <c r="D2253" s="22">
        <f>VLOOKUP(A2253,'[11]Linea Asociados'!$A$1:$D$492,4,FALSE)</f>
        <v>0.77</v>
      </c>
      <c r="E2253" s="22">
        <f>VLOOKUP(A2253,'[11]Linea Asociados'!$A$1:$E$492,5,FALSE)</f>
        <v>1.06</v>
      </c>
      <c r="F2253" s="22">
        <f>VLOOKUP(A2253,'[11]Linea Asociados'!$A$1:$F$492,6,FALSE)</f>
        <v>1.2</v>
      </c>
    </row>
    <row r="2254" spans="1:6" x14ac:dyDescent="0.3">
      <c r="A2254" s="87" t="s">
        <v>2682</v>
      </c>
      <c r="B2254" s="34" t="s">
        <v>2683</v>
      </c>
      <c r="C2254" s="22">
        <f>VLOOKUP(A2254,'[11]Linea Asociados'!$A$1:$F$492,3,FALSE)</f>
        <v>0.68</v>
      </c>
      <c r="D2254" s="22">
        <f>VLOOKUP(A2254,'[11]Linea Asociados'!$A$1:$D$492,4,FALSE)</f>
        <v>0.77</v>
      </c>
      <c r="E2254" s="22">
        <f>VLOOKUP(A2254,'[11]Linea Asociados'!$A$1:$E$492,5,FALSE)</f>
        <v>1.06</v>
      </c>
      <c r="F2254" s="22">
        <f>VLOOKUP(A2254,'[11]Linea Asociados'!$A$1:$F$492,6,FALSE)</f>
        <v>1.2000000000000002</v>
      </c>
    </row>
    <row r="2255" spans="1:6" x14ac:dyDescent="0.3">
      <c r="A2255" s="87" t="s">
        <v>2684</v>
      </c>
      <c r="B2255" s="34" t="s">
        <v>2685</v>
      </c>
      <c r="C2255" s="22">
        <f>VLOOKUP(A2255,'[11]Linea Asociados'!$A$1:$F$492,3,FALSE)</f>
        <v>0.4</v>
      </c>
      <c r="D2255" s="22">
        <f>VLOOKUP(A2255,'[11]Linea Asociados'!$A$1:$D$492,4,FALSE)</f>
        <v>0.45</v>
      </c>
      <c r="E2255" s="22">
        <f>VLOOKUP(A2255,'[11]Linea Asociados'!$A$1:$E$492,5,FALSE)</f>
        <v>0.62</v>
      </c>
      <c r="F2255" s="22">
        <f>VLOOKUP(A2255,'[11]Linea Asociados'!$A$1:$F$492,6,FALSE)</f>
        <v>0.7</v>
      </c>
    </row>
    <row r="2256" spans="1:6" x14ac:dyDescent="0.3">
      <c r="A2256" s="87" t="s">
        <v>2686</v>
      </c>
      <c r="B2256" s="34" t="s">
        <v>2687</v>
      </c>
      <c r="C2256" s="22">
        <f>VLOOKUP(A2256,'[11]Linea Asociados'!$A$1:$F$492,3,FALSE)</f>
        <v>0.4</v>
      </c>
      <c r="D2256" s="22">
        <f>VLOOKUP(A2256,'[11]Linea Asociados'!$A$1:$D$492,4,FALSE)</f>
        <v>0.45</v>
      </c>
      <c r="E2256" s="22">
        <f>VLOOKUP(A2256,'[11]Linea Asociados'!$A$1:$E$492,5,FALSE)</f>
        <v>0.62</v>
      </c>
      <c r="F2256" s="22">
        <f>VLOOKUP(A2256,'[11]Linea Asociados'!$A$1:$F$492,6,FALSE)</f>
        <v>0.7</v>
      </c>
    </row>
    <row r="2257" spans="1:6" x14ac:dyDescent="0.3">
      <c r="A2257" s="87" t="s">
        <v>2688</v>
      </c>
      <c r="B2257" s="34" t="s">
        <v>2689</v>
      </c>
      <c r="C2257" s="22">
        <f>VLOOKUP(A2257,'[11]Linea Asociados'!$A$1:$F$492,3,FALSE)</f>
        <v>0.4</v>
      </c>
      <c r="D2257" s="22">
        <f>VLOOKUP(A2257,'[11]Linea Asociados'!$A$1:$D$492,4,FALSE)</f>
        <v>0.45</v>
      </c>
      <c r="E2257" s="22">
        <f>VLOOKUP(A2257,'[11]Linea Asociados'!$A$1:$E$492,5,FALSE)</f>
        <v>0.62</v>
      </c>
      <c r="F2257" s="22">
        <f>VLOOKUP(A2257,'[11]Linea Asociados'!$A$1:$F$492,6,FALSE)</f>
        <v>0.7</v>
      </c>
    </row>
    <row r="2258" spans="1:6" x14ac:dyDescent="0.3">
      <c r="A2258" s="87" t="s">
        <v>2690</v>
      </c>
      <c r="B2258" s="34" t="s">
        <v>2691</v>
      </c>
      <c r="C2258" s="22">
        <f>VLOOKUP(A2258,'[11]Linea Asociados'!$A$1:$F$492,3,FALSE)</f>
        <v>0.4</v>
      </c>
      <c r="D2258" s="22">
        <f>VLOOKUP(A2258,'[11]Linea Asociados'!$A$1:$D$492,4,FALSE)</f>
        <v>0.45</v>
      </c>
      <c r="E2258" s="22">
        <f>VLOOKUP(A2258,'[11]Linea Asociados'!$A$1:$E$492,5,FALSE)</f>
        <v>0.62</v>
      </c>
      <c r="F2258" s="22">
        <f>VLOOKUP(A2258,'[11]Linea Asociados'!$A$1:$F$492,6,FALSE)</f>
        <v>0.7</v>
      </c>
    </row>
    <row r="2259" spans="1:6" x14ac:dyDescent="0.3">
      <c r="A2259" s="87" t="s">
        <v>2692</v>
      </c>
      <c r="B2259" s="34" t="s">
        <v>2693</v>
      </c>
      <c r="C2259" s="22">
        <f>VLOOKUP(A2259,'[11]Linea Asociados'!$A$1:$F$492,3,FALSE)</f>
        <v>0.4</v>
      </c>
      <c r="D2259" s="22">
        <f>VLOOKUP(A2259,'[11]Linea Asociados'!$A$1:$D$492,4,FALSE)</f>
        <v>0.45</v>
      </c>
      <c r="E2259" s="22">
        <f>VLOOKUP(A2259,'[11]Linea Asociados'!$A$1:$E$492,5,FALSE)</f>
        <v>0.62</v>
      </c>
      <c r="F2259" s="22">
        <f>VLOOKUP(A2259,'[11]Linea Asociados'!$A$1:$F$492,6,FALSE)</f>
        <v>0.7</v>
      </c>
    </row>
    <row r="2260" spans="1:6" x14ac:dyDescent="0.3">
      <c r="A2260" s="87" t="s">
        <v>2694</v>
      </c>
      <c r="B2260" s="34" t="s">
        <v>2695</v>
      </c>
      <c r="C2260" s="22">
        <f>VLOOKUP(A2260,'[11]Linea Asociados'!$A$1:$F$492,3,FALSE)</f>
        <v>0.4</v>
      </c>
      <c r="D2260" s="22">
        <f>VLOOKUP(A2260,'[11]Linea Asociados'!$A$1:$D$492,4,FALSE)</f>
        <v>0.45</v>
      </c>
      <c r="E2260" s="22">
        <f>VLOOKUP(A2260,'[11]Linea Asociados'!$A$1:$E$492,5,FALSE)</f>
        <v>0.62</v>
      </c>
      <c r="F2260" s="22">
        <f>VLOOKUP(A2260,'[11]Linea Asociados'!$A$1:$F$492,6,FALSE)</f>
        <v>0.7</v>
      </c>
    </row>
    <row r="2261" spans="1:6" x14ac:dyDescent="0.3">
      <c r="A2261" s="87" t="s">
        <v>2696</v>
      </c>
      <c r="B2261" s="34" t="s">
        <v>2697</v>
      </c>
      <c r="C2261" s="22">
        <f>VLOOKUP(A2261,'[11]Linea Asociados'!$A$1:$F$492,3,FALSE)</f>
        <v>0.4</v>
      </c>
      <c r="D2261" s="22">
        <f>VLOOKUP(A2261,'[11]Linea Asociados'!$A$1:$D$492,4,FALSE)</f>
        <v>0.45</v>
      </c>
      <c r="E2261" s="22">
        <f>VLOOKUP(A2261,'[11]Linea Asociados'!$A$1:$E$492,5,FALSE)</f>
        <v>0.62</v>
      </c>
      <c r="F2261" s="22">
        <f>VLOOKUP(A2261,'[11]Linea Asociados'!$A$1:$F$492,6,FALSE)</f>
        <v>0.7</v>
      </c>
    </row>
    <row r="2262" spans="1:6" x14ac:dyDescent="0.3">
      <c r="A2262" s="87" t="s">
        <v>2698</v>
      </c>
      <c r="B2262" s="34" t="s">
        <v>2699</v>
      </c>
      <c r="C2262" s="22">
        <f>VLOOKUP(A2262,'[11]Linea Asociados'!$A$1:$F$492,3,FALSE)</f>
        <v>0.45</v>
      </c>
      <c r="D2262" s="22">
        <f>VLOOKUP(A2262,'[11]Linea Asociados'!$A$1:$D$492,4,FALSE)</f>
        <v>0.51</v>
      </c>
      <c r="E2262" s="22">
        <f>VLOOKUP(A2262,'[11]Linea Asociados'!$A$1:$E$492,5,FALSE)</f>
        <v>0.71</v>
      </c>
      <c r="F2262" s="22">
        <f>VLOOKUP(A2262,'[11]Linea Asociados'!$A$1:$F$492,6,FALSE)</f>
        <v>0.8</v>
      </c>
    </row>
    <row r="2263" spans="1:6" x14ac:dyDescent="0.3">
      <c r="A2263" s="87" t="s">
        <v>2700</v>
      </c>
      <c r="B2263" s="34" t="s">
        <v>2701</v>
      </c>
      <c r="C2263" s="22">
        <f>VLOOKUP(A2263,'[11]Linea Asociados'!$A$1:$F$492,3,FALSE)</f>
        <v>0.45</v>
      </c>
      <c r="D2263" s="22">
        <f>VLOOKUP(A2263,'[11]Linea Asociados'!$A$1:$D$492,4,FALSE)</f>
        <v>0.51</v>
      </c>
      <c r="E2263" s="22">
        <f>VLOOKUP(A2263,'[11]Linea Asociados'!$A$1:$E$492,5,FALSE)</f>
        <v>0.71</v>
      </c>
      <c r="F2263" s="22">
        <f>VLOOKUP(A2263,'[11]Linea Asociados'!$A$1:$F$492,6,FALSE)</f>
        <v>0.8</v>
      </c>
    </row>
    <row r="2264" spans="1:6" x14ac:dyDescent="0.3">
      <c r="A2264" s="87" t="s">
        <v>2702</v>
      </c>
      <c r="B2264" s="34" t="s">
        <v>2703</v>
      </c>
      <c r="C2264" s="22">
        <f>VLOOKUP(A2264,'[11]Linea Asociados'!$A$1:$F$492,3,FALSE)</f>
        <v>0.34</v>
      </c>
      <c r="D2264" s="22">
        <f>VLOOKUP(A2264,'[11]Linea Asociados'!$A$1:$D$492,4,FALSE)</f>
        <v>0.38</v>
      </c>
      <c r="E2264" s="22">
        <f>VLOOKUP(A2264,'[11]Linea Asociados'!$A$1:$E$492,5,FALSE)</f>
        <v>0.53</v>
      </c>
      <c r="F2264" s="22">
        <f>VLOOKUP(A2264,'[11]Linea Asociados'!$A$1:$F$492,6,FALSE)</f>
        <v>0.6</v>
      </c>
    </row>
    <row r="2265" spans="1:6" x14ac:dyDescent="0.3">
      <c r="A2265" s="87" t="s">
        <v>2704</v>
      </c>
      <c r="B2265" s="34" t="s">
        <v>2705</v>
      </c>
      <c r="C2265" s="22">
        <f>VLOOKUP(A2265,'[11]Linea Asociados'!$A$1:$F$492,3,FALSE)</f>
        <v>0.34</v>
      </c>
      <c r="D2265" s="22">
        <f>VLOOKUP(A2265,'[11]Linea Asociados'!$A$1:$D$492,4,FALSE)</f>
        <v>0.38</v>
      </c>
      <c r="E2265" s="22">
        <f>VLOOKUP(A2265,'[11]Linea Asociados'!$A$1:$E$492,5,FALSE)</f>
        <v>0.53</v>
      </c>
      <c r="F2265" s="22">
        <f>VLOOKUP(A2265,'[11]Linea Asociados'!$A$1:$F$492,6,FALSE)</f>
        <v>0.6</v>
      </c>
    </row>
    <row r="2266" spans="1:6" x14ac:dyDescent="0.3">
      <c r="A2266" s="87" t="s">
        <v>2706</v>
      </c>
      <c r="B2266" s="34" t="s">
        <v>2707</v>
      </c>
      <c r="C2266" s="22">
        <f>VLOOKUP(A2266,'[11]Linea Asociados'!$A$1:$F$492,3,FALSE)</f>
        <v>0.34</v>
      </c>
      <c r="D2266" s="22">
        <f>VLOOKUP(A2266,'[11]Linea Asociados'!$A$1:$D$492,4,FALSE)</f>
        <v>0.38</v>
      </c>
      <c r="E2266" s="22">
        <f>VLOOKUP(A2266,'[11]Linea Asociados'!$A$1:$E$492,5,FALSE)</f>
        <v>0.53</v>
      </c>
      <c r="F2266" s="22">
        <f>VLOOKUP(A2266,'[11]Linea Asociados'!$A$1:$F$492,6,FALSE)</f>
        <v>0.6</v>
      </c>
    </row>
    <row r="2267" spans="1:6" x14ac:dyDescent="0.3">
      <c r="A2267" s="87" t="s">
        <v>2708</v>
      </c>
      <c r="B2267" s="34" t="s">
        <v>2709</v>
      </c>
      <c r="C2267" s="22">
        <f>VLOOKUP(A2267,'[11]Linea Asociados'!$A$1:$F$492,3,FALSE)</f>
        <v>0.34</v>
      </c>
      <c r="D2267" s="22">
        <f>VLOOKUP(A2267,'[11]Linea Asociados'!$A$1:$D$492,4,FALSE)</f>
        <v>0.38</v>
      </c>
      <c r="E2267" s="22">
        <f>VLOOKUP(A2267,'[11]Linea Asociados'!$A$1:$E$492,5,FALSE)</f>
        <v>0.53</v>
      </c>
      <c r="F2267" s="22">
        <f>VLOOKUP(A2267,'[11]Linea Asociados'!$A$1:$F$492,6,FALSE)</f>
        <v>0.6</v>
      </c>
    </row>
    <row r="2268" spans="1:6" x14ac:dyDescent="0.3">
      <c r="A2268" s="87" t="s">
        <v>2710</v>
      </c>
      <c r="B2268" s="34" t="s">
        <v>2711</v>
      </c>
      <c r="C2268" s="22">
        <f>VLOOKUP(A2268,'[11]Linea Asociados'!$A$1:$F$492,3,FALSE)</f>
        <v>0.34</v>
      </c>
      <c r="D2268" s="22">
        <f>VLOOKUP(A2268,'[11]Linea Asociados'!$A$1:$D$492,4,FALSE)</f>
        <v>0.38</v>
      </c>
      <c r="E2268" s="22">
        <f>VLOOKUP(A2268,'[11]Linea Asociados'!$A$1:$E$492,5,FALSE)</f>
        <v>0.53</v>
      </c>
      <c r="F2268" s="22">
        <f>VLOOKUP(A2268,'[11]Linea Asociados'!$A$1:$F$492,6,FALSE)</f>
        <v>0.6</v>
      </c>
    </row>
    <row r="2269" spans="1:6" x14ac:dyDescent="0.3">
      <c r="A2269" s="87" t="s">
        <v>2712</v>
      </c>
      <c r="B2269" s="34" t="s">
        <v>2713</v>
      </c>
      <c r="C2269" s="22">
        <f>VLOOKUP(A2269,'[11]Linea Asociados'!$A$1:$F$492,3,FALSE)</f>
        <v>0.34</v>
      </c>
      <c r="D2269" s="22">
        <f>VLOOKUP(A2269,'[11]Linea Asociados'!$A$1:$D$492,4,FALSE)</f>
        <v>0.38</v>
      </c>
      <c r="E2269" s="22">
        <f>VLOOKUP(A2269,'[11]Linea Asociados'!$A$1:$E$492,5,FALSE)</f>
        <v>0.53</v>
      </c>
      <c r="F2269" s="22">
        <f>VLOOKUP(A2269,'[11]Linea Asociados'!$A$1:$F$492,6,FALSE)</f>
        <v>0.6</v>
      </c>
    </row>
    <row r="2270" spans="1:6" x14ac:dyDescent="0.3">
      <c r="A2270" s="87" t="s">
        <v>2714</v>
      </c>
      <c r="B2270" s="34" t="s">
        <v>2715</v>
      </c>
      <c r="C2270" s="22">
        <f>VLOOKUP(A2270,'[11]Linea Asociados'!$A$1:$F$492,3,FALSE)</f>
        <v>0.34</v>
      </c>
      <c r="D2270" s="22">
        <f>VLOOKUP(A2270,'[11]Linea Asociados'!$A$1:$D$492,4,FALSE)</f>
        <v>0.38</v>
      </c>
      <c r="E2270" s="22">
        <f>VLOOKUP(A2270,'[11]Linea Asociados'!$A$1:$E$492,5,FALSE)</f>
        <v>0.53</v>
      </c>
      <c r="F2270" s="22">
        <f>VLOOKUP(A2270,'[11]Linea Asociados'!$A$1:$F$492,6,FALSE)</f>
        <v>0.6</v>
      </c>
    </row>
    <row r="2271" spans="1:6" x14ac:dyDescent="0.3">
      <c r="A2271" s="87" t="s">
        <v>2716</v>
      </c>
      <c r="B2271" s="34" t="s">
        <v>2717</v>
      </c>
      <c r="C2271" s="22">
        <f>VLOOKUP(A2271,'[11]Linea Asociados'!$A$1:$F$492,3,FALSE)</f>
        <v>0.34</v>
      </c>
      <c r="D2271" s="22">
        <f>VLOOKUP(A2271,'[11]Linea Asociados'!$A$1:$D$492,4,FALSE)</f>
        <v>0.38</v>
      </c>
      <c r="E2271" s="22">
        <f>VLOOKUP(A2271,'[11]Linea Asociados'!$A$1:$E$492,5,FALSE)</f>
        <v>0.53</v>
      </c>
      <c r="F2271" s="22">
        <f>VLOOKUP(A2271,'[11]Linea Asociados'!$A$1:$F$492,6,FALSE)</f>
        <v>0.6</v>
      </c>
    </row>
    <row r="2272" spans="1:6" x14ac:dyDescent="0.3">
      <c r="A2272" s="87" t="s">
        <v>2718</v>
      </c>
      <c r="B2272" s="34" t="s">
        <v>2719</v>
      </c>
      <c r="C2272" s="22">
        <f>VLOOKUP(A2272,'[11]Linea Asociados'!$A$1:$F$492,3,FALSE)</f>
        <v>0.34</v>
      </c>
      <c r="D2272" s="22">
        <f>VLOOKUP(A2272,'[11]Linea Asociados'!$A$1:$D$492,4,FALSE)</f>
        <v>0.38</v>
      </c>
      <c r="E2272" s="22">
        <f>VLOOKUP(A2272,'[11]Linea Asociados'!$A$1:$E$492,5,FALSE)</f>
        <v>0.53</v>
      </c>
      <c r="F2272" s="22">
        <f>VLOOKUP(A2272,'[11]Linea Asociados'!$A$1:$F$492,6,FALSE)</f>
        <v>0.6</v>
      </c>
    </row>
    <row r="2273" spans="1:6" x14ac:dyDescent="0.3">
      <c r="A2273" s="87" t="s">
        <v>2720</v>
      </c>
      <c r="B2273" s="34" t="s">
        <v>2721</v>
      </c>
      <c r="C2273" s="22">
        <f>VLOOKUP(A2273,'[11]Linea Asociados'!$A$1:$F$492,3,FALSE)</f>
        <v>0.51</v>
      </c>
      <c r="D2273" s="22">
        <f>VLOOKUP(A2273,'[11]Linea Asociados'!$A$1:$D$492,4,FALSE)</f>
        <v>0.57999999999999996</v>
      </c>
      <c r="E2273" s="22">
        <f>VLOOKUP(A2273,'[11]Linea Asociados'!$A$1:$E$492,5,FALSE)</f>
        <v>0.8</v>
      </c>
      <c r="F2273" s="22">
        <f>VLOOKUP(A2273,'[11]Linea Asociados'!$A$1:$F$492,6,FALSE)</f>
        <v>0.9</v>
      </c>
    </row>
    <row r="2274" spans="1:6" x14ac:dyDescent="0.3">
      <c r="A2274" s="87" t="s">
        <v>2722</v>
      </c>
      <c r="B2274" s="34" t="s">
        <v>2723</v>
      </c>
      <c r="C2274" s="22">
        <f>VLOOKUP(A2274,'[11]Linea Asociados'!$A$1:$F$492,3,FALSE)</f>
        <v>0.51</v>
      </c>
      <c r="D2274" s="22">
        <f>VLOOKUP(A2274,'[11]Linea Asociados'!$A$1:$D$492,4,FALSE)</f>
        <v>0.57999999999999996</v>
      </c>
      <c r="E2274" s="22">
        <f>VLOOKUP(A2274,'[11]Linea Asociados'!$A$1:$E$492,5,FALSE)</f>
        <v>0.8</v>
      </c>
      <c r="F2274" s="22">
        <f>VLOOKUP(A2274,'[11]Linea Asociados'!$A$1:$F$492,6,FALSE)</f>
        <v>0.9</v>
      </c>
    </row>
    <row r="2275" spans="1:6" x14ac:dyDescent="0.3">
      <c r="A2275" s="87" t="s">
        <v>2724</v>
      </c>
      <c r="B2275" s="34" t="s">
        <v>2725</v>
      </c>
      <c r="C2275" s="22">
        <f>VLOOKUP(A2275,'[11]Linea Asociados'!$A$1:$F$492,3,FALSE)</f>
        <v>1.25</v>
      </c>
      <c r="D2275" s="22">
        <f>VLOOKUP(A2275,'[11]Linea Asociados'!$A$1:$D$492,4,FALSE)</f>
        <v>1.41</v>
      </c>
      <c r="E2275" s="22">
        <f>VLOOKUP(A2275,'[11]Linea Asociados'!$A$1:$E$492,5,FALSE)</f>
        <v>1.68</v>
      </c>
      <c r="F2275" s="22">
        <f>VLOOKUP(A2275,'[11]Linea Asociados'!$A$1:$F$492,6,FALSE)</f>
        <v>1.9</v>
      </c>
    </row>
    <row r="2276" spans="1:6" x14ac:dyDescent="0.3">
      <c r="A2276" s="87" t="s">
        <v>2726</v>
      </c>
      <c r="B2276" s="34" t="s">
        <v>2727</v>
      </c>
      <c r="C2276" s="22">
        <f>VLOOKUP(A2276,'[11]Linea Asociados'!$A$1:$F$492,3,FALSE)</f>
        <v>1.25</v>
      </c>
      <c r="D2276" s="22">
        <f>VLOOKUP(A2276,'[11]Linea Asociados'!$A$1:$D$492,4,FALSE)</f>
        <v>1.41</v>
      </c>
      <c r="E2276" s="22">
        <f>VLOOKUP(A2276,'[11]Linea Asociados'!$A$1:$E$492,5,FALSE)</f>
        <v>1.68</v>
      </c>
      <c r="F2276" s="22">
        <f>VLOOKUP(A2276,'[11]Linea Asociados'!$A$1:$F$492,6,FALSE)</f>
        <v>1.9000000000000001</v>
      </c>
    </row>
    <row r="2277" spans="1:6" x14ac:dyDescent="0.3">
      <c r="A2277" s="87" t="s">
        <v>3181</v>
      </c>
      <c r="B2277" s="34" t="s">
        <v>4009</v>
      </c>
      <c r="C2277" s="22">
        <f>VLOOKUP(A2277,'[11]Linea Asociados'!$A$1:$F$492,3,FALSE)</f>
        <v>1.77</v>
      </c>
      <c r="D2277" s="22">
        <f>VLOOKUP(A2277,'[11]Linea Asociados'!$A$1:$D$492,4,FALSE)</f>
        <v>2</v>
      </c>
      <c r="E2277" s="22">
        <f>VLOOKUP(A2277,'[11]Linea Asociados'!$A$1:$E$492,5,FALSE)</f>
        <v>2.39</v>
      </c>
      <c r="F2277" s="22">
        <f>VLOOKUP(A2277,'[11]Linea Asociados'!$A$1:$F$492,6,FALSE)</f>
        <v>2.7</v>
      </c>
    </row>
    <row r="2278" spans="1:6" x14ac:dyDescent="0.3">
      <c r="A2278" s="87" t="s">
        <v>3182</v>
      </c>
      <c r="B2278" s="34" t="s">
        <v>4010</v>
      </c>
      <c r="C2278" s="22">
        <f>VLOOKUP(A2278,'[11]Linea Asociados'!$A$1:$F$492,3,FALSE)</f>
        <v>1.77</v>
      </c>
      <c r="D2278" s="22">
        <f>VLOOKUP(A2278,'[11]Linea Asociados'!$A$1:$D$492,4,FALSE)</f>
        <v>2</v>
      </c>
      <c r="E2278" s="22">
        <f>VLOOKUP(A2278,'[11]Linea Asociados'!$A$1:$E$492,5,FALSE)</f>
        <v>2.39</v>
      </c>
      <c r="F2278" s="22">
        <f>VLOOKUP(A2278,'[11]Linea Asociados'!$A$1:$F$492,6,FALSE)</f>
        <v>2.7</v>
      </c>
    </row>
    <row r="2279" spans="1:6" x14ac:dyDescent="0.3">
      <c r="A2279" s="87" t="s">
        <v>4011</v>
      </c>
      <c r="B2279" s="92" t="s">
        <v>4012</v>
      </c>
      <c r="C2279" s="22">
        <f>VLOOKUP(A2279,'[11]Linea Asociados'!$A$1:$F$492,3,FALSE)</f>
        <v>1.77</v>
      </c>
      <c r="D2279" s="22">
        <f>VLOOKUP(A2279,'[11]Linea Asociados'!$A$1:$D$492,4,FALSE)</f>
        <v>2</v>
      </c>
      <c r="E2279" s="22">
        <f>VLOOKUP(A2279,'[11]Linea Asociados'!$A$1:$E$492,5,FALSE)</f>
        <v>2.39</v>
      </c>
      <c r="F2279" s="22">
        <f>VLOOKUP(A2279,'[11]Linea Asociados'!$A$1:$F$492,6,FALSE)</f>
        <v>2.7</v>
      </c>
    </row>
    <row r="2280" spans="1:6" x14ac:dyDescent="0.3">
      <c r="A2280" s="87">
        <v>7490050</v>
      </c>
      <c r="B2280" s="34" t="s">
        <v>2728</v>
      </c>
      <c r="C2280" s="22">
        <f>VLOOKUP(A2280,'[11]Linea Asociados'!$A$1:$F$492,3,FALSE)</f>
        <v>1.19</v>
      </c>
      <c r="D2280" s="22">
        <f>VLOOKUP(A2280,'[11]Linea Asociados'!$A$1:$D$492,4,FALSE)</f>
        <v>1.34</v>
      </c>
      <c r="E2280" s="22">
        <f>VLOOKUP(A2280,'[11]Linea Asociados'!$A$1:$E$492,5,FALSE)</f>
        <v>1.86</v>
      </c>
      <c r="F2280" s="22">
        <f>VLOOKUP(A2280,'[11]Linea Asociados'!$A$1:$F$492,6,FALSE)</f>
        <v>2.1</v>
      </c>
    </row>
    <row r="2281" spans="1:6" x14ac:dyDescent="0.3">
      <c r="A2281" s="87">
        <v>7490060</v>
      </c>
      <c r="B2281" s="34" t="s">
        <v>2729</v>
      </c>
      <c r="C2281" s="22">
        <f>VLOOKUP(A2281,'[11]Linea Asociados'!$A$1:$F$492,3,FALSE)</f>
        <v>1.19</v>
      </c>
      <c r="D2281" s="22">
        <f>VLOOKUP(A2281,'[11]Linea Asociados'!$A$1:$D$492,4,FALSE)</f>
        <v>1.34</v>
      </c>
      <c r="E2281" s="22">
        <f>VLOOKUP(A2281,'[11]Linea Asociados'!$A$1:$E$492,5,FALSE)</f>
        <v>1.86</v>
      </c>
      <c r="F2281" s="22">
        <f>VLOOKUP(A2281,'[11]Linea Asociados'!$A$1:$F$492,6,FALSE)</f>
        <v>2.1</v>
      </c>
    </row>
    <row r="2282" spans="1:6" x14ac:dyDescent="0.3">
      <c r="A2282" s="87">
        <v>7490080</v>
      </c>
      <c r="B2282" s="34" t="s">
        <v>2730</v>
      </c>
      <c r="C2282" s="22">
        <f>VLOOKUP(A2282,'[11]Linea Asociados'!$A$1:$F$492,3,FALSE)</f>
        <v>1.19</v>
      </c>
      <c r="D2282" s="22">
        <f>VLOOKUP(A2282,'[11]Linea Asociados'!$A$1:$D$492,4,FALSE)</f>
        <v>1.34</v>
      </c>
      <c r="E2282" s="22">
        <f>VLOOKUP(A2282,'[11]Linea Asociados'!$A$1:$E$492,5,FALSE)</f>
        <v>1.86</v>
      </c>
      <c r="F2282" s="22">
        <f>VLOOKUP(A2282,'[11]Linea Asociados'!$A$1:$F$492,6,FALSE)</f>
        <v>2.1</v>
      </c>
    </row>
    <row r="2283" spans="1:6" x14ac:dyDescent="0.3">
      <c r="A2283" s="87">
        <v>7490120</v>
      </c>
      <c r="B2283" s="34" t="s">
        <v>2731</v>
      </c>
      <c r="C2283" s="22">
        <f>VLOOKUP(A2283,'[11]Linea Asociados'!$A$1:$F$492,3,FALSE)</f>
        <v>1.19</v>
      </c>
      <c r="D2283" s="22">
        <f>VLOOKUP(A2283,'[11]Linea Asociados'!$A$1:$D$492,4,FALSE)</f>
        <v>1.34</v>
      </c>
      <c r="E2283" s="22">
        <f>VLOOKUP(A2283,'[11]Linea Asociados'!$A$1:$E$492,5,FALSE)</f>
        <v>1.86</v>
      </c>
      <c r="F2283" s="22">
        <f>VLOOKUP(A2283,'[11]Linea Asociados'!$A$1:$F$492,6,FALSE)</f>
        <v>2.1</v>
      </c>
    </row>
    <row r="2284" spans="1:6" x14ac:dyDescent="0.3">
      <c r="A2284" s="87">
        <v>7490180</v>
      </c>
      <c r="B2284" s="34" t="s">
        <v>2732</v>
      </c>
      <c r="C2284" s="22">
        <f>VLOOKUP(A2284,'[11]Linea Asociados'!$A$1:$F$492,3,FALSE)</f>
        <v>1.19</v>
      </c>
      <c r="D2284" s="22">
        <f>VLOOKUP(A2284,'[11]Linea Asociados'!$A$1:$D$492,4,FALSE)</f>
        <v>1.34</v>
      </c>
      <c r="E2284" s="22">
        <f>VLOOKUP(A2284,'[11]Linea Asociados'!$A$1:$E$492,5,FALSE)</f>
        <v>1.86</v>
      </c>
      <c r="F2284" s="22">
        <f>VLOOKUP(A2284,'[11]Linea Asociados'!$A$1:$F$492,6,FALSE)</f>
        <v>2.1</v>
      </c>
    </row>
    <row r="2285" spans="1:6" x14ac:dyDescent="0.3">
      <c r="A2285" s="87">
        <v>5410080</v>
      </c>
      <c r="B2285" s="34" t="s">
        <v>2733</v>
      </c>
      <c r="C2285" s="22">
        <f>VLOOKUP(A2285,'[11]Linea Asociados'!$A$1:$F$492,3,FALSE)</f>
        <v>1.19</v>
      </c>
      <c r="D2285" s="22">
        <f>VLOOKUP(A2285,'[11]Linea Asociados'!$A$1:$D$492,4,FALSE)</f>
        <v>1.34</v>
      </c>
      <c r="E2285" s="22">
        <f>VLOOKUP(A2285,'[11]Linea Asociados'!$A$1:$E$492,5,FALSE)</f>
        <v>1.86</v>
      </c>
      <c r="F2285" s="22">
        <f>VLOOKUP(A2285,'[11]Linea Asociados'!$A$1:$F$492,6,FALSE)</f>
        <v>2.1</v>
      </c>
    </row>
    <row r="2286" spans="1:6" x14ac:dyDescent="0.3">
      <c r="A2286" s="87">
        <v>5410100</v>
      </c>
      <c r="B2286" s="34" t="s">
        <v>2734</v>
      </c>
      <c r="C2286" s="22">
        <f>VLOOKUP(A2286,'[11]Linea Asociados'!$A$1:$F$492,3,FALSE)</f>
        <v>1.08</v>
      </c>
      <c r="D2286" s="22">
        <f>VLOOKUP(A2286,'[11]Linea Asociados'!$A$1:$D$492,4,FALSE)</f>
        <v>1.22</v>
      </c>
      <c r="E2286" s="22">
        <f>VLOOKUP(A2286,'[11]Linea Asociados'!$A$1:$E$492,5,FALSE)</f>
        <v>1.68</v>
      </c>
      <c r="F2286" s="22">
        <f>VLOOKUP(A2286,'[11]Linea Asociados'!$A$1:$F$492,6,FALSE)</f>
        <v>1.9</v>
      </c>
    </row>
    <row r="2287" spans="1:6" x14ac:dyDescent="0.3">
      <c r="A2287" s="87">
        <v>5410120</v>
      </c>
      <c r="B2287" s="34" t="s">
        <v>2735</v>
      </c>
      <c r="C2287" s="22">
        <f>VLOOKUP(A2287,'[11]Linea Asociados'!$A$1:$F$492,3,FALSE)</f>
        <v>1.08</v>
      </c>
      <c r="D2287" s="22">
        <f>VLOOKUP(A2287,'[11]Linea Asociados'!$A$1:$D$492,4,FALSE)</f>
        <v>1.22</v>
      </c>
      <c r="E2287" s="22">
        <f>VLOOKUP(A2287,'[11]Linea Asociados'!$A$1:$E$492,5,FALSE)</f>
        <v>1.68</v>
      </c>
      <c r="F2287" s="22">
        <f>VLOOKUP(A2287,'[11]Linea Asociados'!$A$1:$F$492,6,FALSE)</f>
        <v>1.9</v>
      </c>
    </row>
    <row r="2288" spans="1:6" x14ac:dyDescent="0.3">
      <c r="A2288" s="87">
        <v>5410150</v>
      </c>
      <c r="B2288" s="34" t="s">
        <v>2736</v>
      </c>
      <c r="C2288" s="22">
        <f>VLOOKUP(A2288,'[11]Linea Asociados'!$A$1:$F$492,3,FALSE)</f>
        <v>1.08</v>
      </c>
      <c r="D2288" s="22">
        <f>VLOOKUP(A2288,'[11]Linea Asociados'!$A$1:$D$492,4,FALSE)</f>
        <v>1.22</v>
      </c>
      <c r="E2288" s="22">
        <f>VLOOKUP(A2288,'[11]Linea Asociados'!$A$1:$E$492,5,FALSE)</f>
        <v>1.68</v>
      </c>
      <c r="F2288" s="22">
        <f>VLOOKUP(A2288,'[11]Linea Asociados'!$A$1:$F$492,6,FALSE)</f>
        <v>1.9</v>
      </c>
    </row>
    <row r="2289" spans="1:6" x14ac:dyDescent="0.3">
      <c r="A2289" s="87">
        <v>5410180</v>
      </c>
      <c r="B2289" s="34" t="s">
        <v>2737</v>
      </c>
      <c r="C2289" s="22">
        <f>VLOOKUP(A2289,'[11]Linea Asociados'!$A$1:$F$492,3,FALSE)</f>
        <v>1.08</v>
      </c>
      <c r="D2289" s="22">
        <f>VLOOKUP(A2289,'[11]Linea Asociados'!$A$1:$D$492,4,FALSE)</f>
        <v>1.22</v>
      </c>
      <c r="E2289" s="22">
        <f>VLOOKUP(A2289,'[11]Linea Asociados'!$A$1:$E$492,5,FALSE)</f>
        <v>1.68</v>
      </c>
      <c r="F2289" s="22">
        <f>VLOOKUP(A2289,'[11]Linea Asociados'!$A$1:$F$492,6,FALSE)</f>
        <v>1.9</v>
      </c>
    </row>
    <row r="2290" spans="1:6" x14ac:dyDescent="0.3">
      <c r="A2290" s="87">
        <v>5410220</v>
      </c>
      <c r="B2290" s="34" t="s">
        <v>2738</v>
      </c>
      <c r="C2290" s="22">
        <f>VLOOKUP(A2290,'[11]Linea Asociados'!$A$1:$F$492,3,FALSE)</f>
        <v>1.08</v>
      </c>
      <c r="D2290" s="22">
        <f>VLOOKUP(A2290,'[11]Linea Asociados'!$A$1:$D$492,4,FALSE)</f>
        <v>1.22</v>
      </c>
      <c r="E2290" s="22">
        <f>VLOOKUP(A2290,'[11]Linea Asociados'!$A$1:$E$492,5,FALSE)</f>
        <v>1.68</v>
      </c>
      <c r="F2290" s="22">
        <f>VLOOKUP(A2290,'[11]Linea Asociados'!$A$1:$F$492,6,FALSE)</f>
        <v>1.9</v>
      </c>
    </row>
    <row r="2291" spans="1:6" x14ac:dyDescent="0.3">
      <c r="A2291" s="87">
        <v>5410320</v>
      </c>
      <c r="B2291" s="34" t="s">
        <v>2739</v>
      </c>
      <c r="C2291" s="22">
        <f>VLOOKUP(A2291,'[11]Linea Asociados'!$A$1:$F$492,3,FALSE)</f>
        <v>1.08</v>
      </c>
      <c r="D2291" s="22">
        <f>VLOOKUP(A2291,'[11]Linea Asociados'!$A$1:$D$492,4,FALSE)</f>
        <v>1.22</v>
      </c>
      <c r="E2291" s="22">
        <f>VLOOKUP(A2291,'[11]Linea Asociados'!$A$1:$E$492,5,FALSE)</f>
        <v>1.68</v>
      </c>
      <c r="F2291" s="22">
        <f>VLOOKUP(A2291,'[11]Linea Asociados'!$A$1:$F$492,6,FALSE)</f>
        <v>1.9</v>
      </c>
    </row>
    <row r="2292" spans="1:6" x14ac:dyDescent="0.3">
      <c r="A2292" s="87">
        <v>5410400</v>
      </c>
      <c r="B2292" s="34" t="s">
        <v>2740</v>
      </c>
      <c r="C2292" s="22">
        <f>VLOOKUP(A2292,'[11]Linea Asociados'!$A$1:$F$492,3,FALSE)</f>
        <v>1.08</v>
      </c>
      <c r="D2292" s="22">
        <f>VLOOKUP(A2292,'[11]Linea Asociados'!$A$1:$D$492,4,FALSE)</f>
        <v>1.22</v>
      </c>
      <c r="E2292" s="22">
        <f>VLOOKUP(A2292,'[11]Linea Asociados'!$A$1:$E$492,5,FALSE)</f>
        <v>1.68</v>
      </c>
      <c r="F2292" s="22">
        <f>VLOOKUP(A2292,'[11]Linea Asociados'!$A$1:$F$492,6,FALSE)</f>
        <v>1.9</v>
      </c>
    </row>
    <row r="2293" spans="1:6" x14ac:dyDescent="0.3">
      <c r="A2293" s="87" t="s">
        <v>2741</v>
      </c>
      <c r="B2293" s="34" t="s">
        <v>2742</v>
      </c>
      <c r="C2293" s="22">
        <f>VLOOKUP(A2293,'[11]Linea Asociados'!$A$1:$F$492,3,FALSE)</f>
        <v>1.25</v>
      </c>
      <c r="D2293" s="22">
        <f>VLOOKUP(A2293,'[11]Linea Asociados'!$A$1:$D$492,4,FALSE)</f>
        <v>1.41</v>
      </c>
      <c r="E2293" s="22">
        <f>VLOOKUP(A2293,'[11]Linea Asociados'!$A$1:$E$492,5,FALSE)</f>
        <v>1.95</v>
      </c>
      <c r="F2293" s="22">
        <f>VLOOKUP(A2293,'[11]Linea Asociados'!$A$1:$F$492,6,FALSE)</f>
        <v>2.2000000000000002</v>
      </c>
    </row>
    <row r="2294" spans="1:6" x14ac:dyDescent="0.3">
      <c r="A2294" s="87" t="s">
        <v>2743</v>
      </c>
      <c r="B2294" s="34" t="s">
        <v>2744</v>
      </c>
      <c r="C2294" s="22">
        <f>VLOOKUP(A2294,'[11]Linea Asociados'!$A$1:$F$492,3,FALSE)</f>
        <v>1.25</v>
      </c>
      <c r="D2294" s="22">
        <f>VLOOKUP(A2294,'[11]Linea Asociados'!$A$1:$D$492,4,FALSE)</f>
        <v>1.41</v>
      </c>
      <c r="E2294" s="22">
        <f>VLOOKUP(A2294,'[11]Linea Asociados'!$A$1:$E$492,5,FALSE)</f>
        <v>1.95</v>
      </c>
      <c r="F2294" s="22">
        <f>VLOOKUP(A2294,'[11]Linea Asociados'!$A$1:$F$492,6,FALSE)</f>
        <v>2.2000000000000002</v>
      </c>
    </row>
    <row r="2295" spans="1:6" x14ac:dyDescent="0.3">
      <c r="A2295" s="87" t="s">
        <v>2745</v>
      </c>
      <c r="B2295" s="34" t="s">
        <v>2746</v>
      </c>
      <c r="C2295" s="22">
        <f>VLOOKUP(A2295,'[11]Linea Asociados'!$A$1:$F$492,3,FALSE)</f>
        <v>1.08</v>
      </c>
      <c r="D2295" s="22">
        <f>VLOOKUP(A2295,'[11]Linea Asociados'!$A$1:$D$492,4,FALSE)</f>
        <v>1.22</v>
      </c>
      <c r="E2295" s="22">
        <f>VLOOKUP(A2295,'[11]Linea Asociados'!$A$1:$E$492,5,FALSE)</f>
        <v>1.68</v>
      </c>
      <c r="F2295" s="22">
        <f>VLOOKUP(A2295,'[11]Linea Asociados'!$A$1:$F$492,6,FALSE)</f>
        <v>1.9</v>
      </c>
    </row>
    <row r="2296" spans="1:6" x14ac:dyDescent="0.3">
      <c r="A2296" s="87" t="s">
        <v>2747</v>
      </c>
      <c r="B2296" s="34" t="s">
        <v>2748</v>
      </c>
      <c r="C2296" s="22">
        <f>VLOOKUP(A2296,'[11]Linea Asociados'!$A$1:$F$492,3,FALSE)</f>
        <v>1.08</v>
      </c>
      <c r="D2296" s="22">
        <f>VLOOKUP(A2296,'[11]Linea Asociados'!$A$1:$D$492,4,FALSE)</f>
        <v>1.22</v>
      </c>
      <c r="E2296" s="22">
        <f>VLOOKUP(A2296,'[11]Linea Asociados'!$A$1:$E$492,5,FALSE)</f>
        <v>1.68</v>
      </c>
      <c r="F2296" s="22">
        <f>VLOOKUP(A2296,'[11]Linea Asociados'!$A$1:$F$492,6,FALSE)</f>
        <v>1.9</v>
      </c>
    </row>
    <row r="2297" spans="1:6" x14ac:dyDescent="0.3">
      <c r="A2297" s="87" t="s">
        <v>2749</v>
      </c>
      <c r="B2297" s="34" t="s">
        <v>2750</v>
      </c>
      <c r="C2297" s="22">
        <f>VLOOKUP(A2297,'[11]Linea Asociados'!$A$1:$F$492,3,FALSE)</f>
        <v>1.08</v>
      </c>
      <c r="D2297" s="22">
        <f>VLOOKUP(A2297,'[11]Linea Asociados'!$A$1:$D$492,4,FALSE)</f>
        <v>1.22</v>
      </c>
      <c r="E2297" s="22">
        <f>VLOOKUP(A2297,'[11]Linea Asociados'!$A$1:$E$492,5,FALSE)</f>
        <v>1.68</v>
      </c>
      <c r="F2297" s="22">
        <f>VLOOKUP(A2297,'[11]Linea Asociados'!$A$1:$F$492,6,FALSE)</f>
        <v>1.9</v>
      </c>
    </row>
    <row r="2298" spans="1:6" x14ac:dyDescent="0.3">
      <c r="A2298" s="87" t="s">
        <v>4013</v>
      </c>
      <c r="B2298" s="34" t="s">
        <v>4014</v>
      </c>
      <c r="C2298" s="22">
        <f>VLOOKUP(A2298,'[11]Linea Asociados'!$A$1:$F$492,3,FALSE)</f>
        <v>1.08</v>
      </c>
      <c r="D2298" s="22">
        <f>VLOOKUP(A2298,'[11]Linea Asociados'!$A$1:$D$492,4,FALSE)</f>
        <v>1.22</v>
      </c>
      <c r="E2298" s="22">
        <f>VLOOKUP(A2298,'[11]Linea Asociados'!$A$1:$E$492,5,FALSE)</f>
        <v>1.68</v>
      </c>
      <c r="F2298" s="22">
        <f>VLOOKUP(A2298,'[11]Linea Asociados'!$A$1:$F$492,6,FALSE)</f>
        <v>1.9</v>
      </c>
    </row>
    <row r="2299" spans="1:6" x14ac:dyDescent="0.3">
      <c r="A2299" s="87" t="s">
        <v>2751</v>
      </c>
      <c r="B2299" s="34" t="s">
        <v>2752</v>
      </c>
      <c r="C2299" s="22">
        <f>VLOOKUP(A2299,'[11]Linea Asociados'!$A$1:$F$492,3,FALSE)</f>
        <v>0.85</v>
      </c>
      <c r="D2299" s="22">
        <f>VLOOKUP(A2299,'[11]Linea Asociados'!$A$1:$D$492,4,FALSE)</f>
        <v>0.96</v>
      </c>
      <c r="E2299" s="22">
        <f>VLOOKUP(A2299,'[11]Linea Asociados'!$A$1:$E$492,5,FALSE)</f>
        <v>1.33</v>
      </c>
      <c r="F2299" s="22">
        <f>VLOOKUP(A2299,'[11]Linea Asociados'!$A$1:$F$492,6,FALSE)</f>
        <v>1.5</v>
      </c>
    </row>
    <row r="2300" spans="1:6" x14ac:dyDescent="0.3">
      <c r="A2300" s="87" t="s">
        <v>2753</v>
      </c>
      <c r="B2300" s="34" t="s">
        <v>2754</v>
      </c>
      <c r="C2300" s="22">
        <f>VLOOKUP(A2300,'[11]Linea Asociados'!$A$1:$F$492,3,FALSE)</f>
        <v>0.85</v>
      </c>
      <c r="D2300" s="22">
        <f>VLOOKUP(A2300,'[11]Linea Asociados'!$A$1:$D$492,4,FALSE)</f>
        <v>0.96</v>
      </c>
      <c r="E2300" s="22">
        <f>VLOOKUP(A2300,'[11]Linea Asociados'!$A$1:$E$492,5,FALSE)</f>
        <v>1.33</v>
      </c>
      <c r="F2300" s="22">
        <f>VLOOKUP(A2300,'[11]Linea Asociados'!$A$1:$F$492,6,FALSE)</f>
        <v>1.5</v>
      </c>
    </row>
    <row r="2301" spans="1:6" x14ac:dyDescent="0.3">
      <c r="A2301" s="87" t="s">
        <v>2755</v>
      </c>
      <c r="B2301" s="34" t="s">
        <v>2756</v>
      </c>
      <c r="C2301" s="22">
        <f>VLOOKUP(A2301,'[11]Linea Asociados'!$A$1:$F$492,3,FALSE)</f>
        <v>0.85</v>
      </c>
      <c r="D2301" s="22">
        <f>VLOOKUP(A2301,'[11]Linea Asociados'!$A$1:$D$492,4,FALSE)</f>
        <v>0.96</v>
      </c>
      <c r="E2301" s="22">
        <f>VLOOKUP(A2301,'[11]Linea Asociados'!$A$1:$E$492,5,FALSE)</f>
        <v>1.33</v>
      </c>
      <c r="F2301" s="22">
        <f>VLOOKUP(A2301,'[11]Linea Asociados'!$A$1:$F$492,6,FALSE)</f>
        <v>1.5</v>
      </c>
    </row>
    <row r="2302" spans="1:6" x14ac:dyDescent="0.3">
      <c r="A2302" s="87" t="s">
        <v>2757</v>
      </c>
      <c r="B2302" s="34" t="s">
        <v>2758</v>
      </c>
      <c r="C2302" s="22">
        <f>VLOOKUP(A2302,'[11]Linea Asociados'!$A$1:$F$492,3,FALSE)</f>
        <v>0.85</v>
      </c>
      <c r="D2302" s="22">
        <f>VLOOKUP(A2302,'[11]Linea Asociados'!$A$1:$D$492,4,FALSE)</f>
        <v>0.96</v>
      </c>
      <c r="E2302" s="22">
        <f>VLOOKUP(A2302,'[11]Linea Asociados'!$A$1:$E$492,5,FALSE)</f>
        <v>1.33</v>
      </c>
      <c r="F2302" s="22">
        <f>VLOOKUP(A2302,'[11]Linea Asociados'!$A$1:$F$492,6,FALSE)</f>
        <v>1.5</v>
      </c>
    </row>
    <row r="2303" spans="1:6" x14ac:dyDescent="0.3">
      <c r="A2303" s="87" t="s">
        <v>2759</v>
      </c>
      <c r="B2303" s="34" t="s">
        <v>2760</v>
      </c>
      <c r="C2303" s="22">
        <f>VLOOKUP(A2303,'[11]Linea Asociados'!$A$1:$F$492,3,FALSE)</f>
        <v>0.85</v>
      </c>
      <c r="D2303" s="22">
        <f>VLOOKUP(A2303,'[11]Linea Asociados'!$A$1:$D$492,4,FALSE)</f>
        <v>0.96</v>
      </c>
      <c r="E2303" s="22">
        <f>VLOOKUP(A2303,'[11]Linea Asociados'!$A$1:$E$492,5,FALSE)</f>
        <v>1.33</v>
      </c>
      <c r="F2303" s="22">
        <f>VLOOKUP(A2303,'[11]Linea Asociados'!$A$1:$F$492,6,FALSE)</f>
        <v>1.5</v>
      </c>
    </row>
    <row r="2304" spans="1:6" x14ac:dyDescent="0.3">
      <c r="A2304" s="87" t="s">
        <v>2761</v>
      </c>
      <c r="B2304" s="34" t="s">
        <v>2762</v>
      </c>
      <c r="C2304" s="22">
        <f>VLOOKUP(A2304,'[11]Linea Asociados'!$A$1:$F$492,3,FALSE)</f>
        <v>0.85</v>
      </c>
      <c r="D2304" s="22">
        <f>VLOOKUP(A2304,'[11]Linea Asociados'!$A$1:$D$492,4,FALSE)</f>
        <v>0.96</v>
      </c>
      <c r="E2304" s="22">
        <f>VLOOKUP(A2304,'[11]Linea Asociados'!$A$1:$E$492,5,FALSE)</f>
        <v>1.33</v>
      </c>
      <c r="F2304" s="22">
        <f>VLOOKUP(A2304,'[11]Linea Asociados'!$A$1:$F$492,6,FALSE)</f>
        <v>1.5</v>
      </c>
    </row>
    <row r="2305" spans="1:6" x14ac:dyDescent="0.3">
      <c r="A2305" s="87" t="s">
        <v>2763</v>
      </c>
      <c r="B2305" s="34" t="s">
        <v>2764</v>
      </c>
      <c r="C2305" s="22">
        <f>VLOOKUP(A2305,'[11]Linea Asociados'!$A$1:$F$492,3,FALSE)</f>
        <v>0.85</v>
      </c>
      <c r="D2305" s="22">
        <f>VLOOKUP(A2305,'[11]Linea Asociados'!$A$1:$D$492,4,FALSE)</f>
        <v>0.96</v>
      </c>
      <c r="E2305" s="22">
        <f>VLOOKUP(A2305,'[11]Linea Asociados'!$A$1:$E$492,5,FALSE)</f>
        <v>1.33</v>
      </c>
      <c r="F2305" s="22">
        <f>VLOOKUP(A2305,'[11]Linea Asociados'!$A$1:$F$492,6,FALSE)</f>
        <v>1.5</v>
      </c>
    </row>
    <row r="2306" spans="1:6" x14ac:dyDescent="0.3">
      <c r="A2306" s="87" t="s">
        <v>2765</v>
      </c>
      <c r="B2306" s="34" t="s">
        <v>2766</v>
      </c>
      <c r="C2306" s="22">
        <f>VLOOKUP(A2306,'[11]Linea Asociados'!$A$1:$F$492,3,FALSE)</f>
        <v>0.85</v>
      </c>
      <c r="D2306" s="22">
        <f>VLOOKUP(A2306,'[11]Linea Asociados'!$A$1:$D$492,4,FALSE)</f>
        <v>0.96</v>
      </c>
      <c r="E2306" s="22">
        <f>VLOOKUP(A2306,'[11]Linea Asociados'!$A$1:$E$492,5,FALSE)</f>
        <v>1.33</v>
      </c>
      <c r="F2306" s="22">
        <f>VLOOKUP(A2306,'[11]Linea Asociados'!$A$1:$F$492,6,FALSE)</f>
        <v>1.5</v>
      </c>
    </row>
    <row r="2307" spans="1:6" x14ac:dyDescent="0.3">
      <c r="A2307" s="87" t="s">
        <v>2767</v>
      </c>
      <c r="B2307" s="34" t="s">
        <v>2768</v>
      </c>
      <c r="C2307" s="22">
        <f>VLOOKUP(A2307,'[11]Linea Asociados'!$A$1:$F$492,3,FALSE)</f>
        <v>0.45</v>
      </c>
      <c r="D2307" s="22">
        <f>VLOOKUP(A2307,'[11]Linea Asociados'!$A$1:$D$492,4,FALSE)</f>
        <v>0.51</v>
      </c>
      <c r="E2307" s="22">
        <f>VLOOKUP(A2307,'[11]Linea Asociados'!$A$1:$E$492,5,FALSE)</f>
        <v>0.71</v>
      </c>
      <c r="F2307" s="22">
        <f>VLOOKUP(A2307,'[11]Linea Asociados'!$A$1:$F$492,6,FALSE)</f>
        <v>0.8</v>
      </c>
    </row>
    <row r="2308" spans="1:6" x14ac:dyDescent="0.3">
      <c r="A2308" s="87" t="s">
        <v>2769</v>
      </c>
      <c r="B2308" s="34" t="s">
        <v>2770</v>
      </c>
      <c r="C2308" s="22">
        <f>VLOOKUP(A2308,'[11]Linea Asociados'!$A$1:$F$492,3,FALSE)</f>
        <v>0.45</v>
      </c>
      <c r="D2308" s="22">
        <f>VLOOKUP(A2308,'[11]Linea Asociados'!$A$1:$D$492,4,FALSE)</f>
        <v>0.51</v>
      </c>
      <c r="E2308" s="22">
        <f>VLOOKUP(A2308,'[11]Linea Asociados'!$A$1:$E$492,5,FALSE)</f>
        <v>0.71</v>
      </c>
      <c r="F2308" s="22">
        <f>VLOOKUP(A2308,'[11]Linea Asociados'!$A$1:$F$492,6,FALSE)</f>
        <v>0.8</v>
      </c>
    </row>
    <row r="2309" spans="1:6" x14ac:dyDescent="0.3">
      <c r="A2309" s="87" t="s">
        <v>2771</v>
      </c>
      <c r="B2309" s="34" t="s">
        <v>2772</v>
      </c>
      <c r="C2309" s="22">
        <f>VLOOKUP(A2309,'[11]Linea Asociados'!$A$1:$F$492,3,FALSE)</f>
        <v>0.45</v>
      </c>
      <c r="D2309" s="22">
        <f>VLOOKUP(A2309,'[11]Linea Asociados'!$A$1:$D$492,4,FALSE)</f>
        <v>0.51</v>
      </c>
      <c r="E2309" s="22">
        <f>VLOOKUP(A2309,'[11]Linea Asociados'!$A$1:$E$492,5,FALSE)</f>
        <v>0.71</v>
      </c>
      <c r="F2309" s="22">
        <f>VLOOKUP(A2309,'[11]Linea Asociados'!$A$1:$F$492,6,FALSE)</f>
        <v>0.8</v>
      </c>
    </row>
    <row r="2310" spans="1:6" x14ac:dyDescent="0.3">
      <c r="A2310" s="87" t="s">
        <v>2773</v>
      </c>
      <c r="B2310" s="34" t="s">
        <v>2774</v>
      </c>
      <c r="C2310" s="22">
        <f>VLOOKUP(A2310,'[11]Linea Asociados'!$A$1:$F$492,3,FALSE)</f>
        <v>0.45</v>
      </c>
      <c r="D2310" s="22">
        <f>VLOOKUP(A2310,'[11]Linea Asociados'!$A$1:$D$492,4,FALSE)</f>
        <v>0.51</v>
      </c>
      <c r="E2310" s="22">
        <f>VLOOKUP(A2310,'[11]Linea Asociados'!$A$1:$E$492,5,FALSE)</f>
        <v>0.71</v>
      </c>
      <c r="F2310" s="22">
        <f>VLOOKUP(A2310,'[11]Linea Asociados'!$A$1:$F$492,6,FALSE)</f>
        <v>0.8</v>
      </c>
    </row>
    <row r="2311" spans="1:6" x14ac:dyDescent="0.3">
      <c r="A2311" s="87" t="s">
        <v>2775</v>
      </c>
      <c r="B2311" s="34" t="s">
        <v>2776</v>
      </c>
      <c r="C2311" s="22">
        <f>VLOOKUP(A2311,'[11]Linea Asociados'!$A$1:$F$492,3,FALSE)</f>
        <v>0.45</v>
      </c>
      <c r="D2311" s="22">
        <f>VLOOKUP(A2311,'[11]Linea Asociados'!$A$1:$D$492,4,FALSE)</f>
        <v>0.51</v>
      </c>
      <c r="E2311" s="22">
        <f>VLOOKUP(A2311,'[11]Linea Asociados'!$A$1:$E$492,5,FALSE)</f>
        <v>0.71</v>
      </c>
      <c r="F2311" s="22">
        <f>VLOOKUP(A2311,'[11]Linea Asociados'!$A$1:$F$492,6,FALSE)</f>
        <v>0.8</v>
      </c>
    </row>
    <row r="2312" spans="1:6" x14ac:dyDescent="0.3">
      <c r="A2312" s="87" t="s">
        <v>2777</v>
      </c>
      <c r="B2312" s="34" t="s">
        <v>2778</v>
      </c>
      <c r="C2312" s="22">
        <f>VLOOKUP(A2312,'[11]Linea Asociados'!$A$1:$F$492,3,FALSE)</f>
        <v>0.45</v>
      </c>
      <c r="D2312" s="22">
        <f>VLOOKUP(A2312,'[11]Linea Asociados'!$A$1:$D$492,4,FALSE)</f>
        <v>0.51</v>
      </c>
      <c r="E2312" s="22">
        <f>VLOOKUP(A2312,'[11]Linea Asociados'!$A$1:$E$492,5,FALSE)</f>
        <v>0.71</v>
      </c>
      <c r="F2312" s="22">
        <f>VLOOKUP(A2312,'[11]Linea Asociados'!$A$1:$F$492,6,FALSE)</f>
        <v>0.8</v>
      </c>
    </row>
    <row r="2313" spans="1:6" x14ac:dyDescent="0.3">
      <c r="A2313" s="87" t="s">
        <v>2779</v>
      </c>
      <c r="B2313" s="34" t="s">
        <v>2780</v>
      </c>
      <c r="C2313" s="22">
        <f>VLOOKUP(A2313,'[11]Linea Asociados'!$A$1:$F$492,3,FALSE)</f>
        <v>0.45</v>
      </c>
      <c r="D2313" s="22">
        <f>VLOOKUP(A2313,'[11]Linea Asociados'!$A$1:$D$492,4,FALSE)</f>
        <v>0.51</v>
      </c>
      <c r="E2313" s="22">
        <f>VLOOKUP(A2313,'[11]Linea Asociados'!$A$1:$E$492,5,FALSE)</f>
        <v>0.71</v>
      </c>
      <c r="F2313" s="22">
        <f>VLOOKUP(A2313,'[11]Linea Asociados'!$A$1:$F$492,6,FALSE)</f>
        <v>0.8</v>
      </c>
    </row>
    <row r="2314" spans="1:6" x14ac:dyDescent="0.3">
      <c r="A2314" s="87" t="s">
        <v>2781</v>
      </c>
      <c r="B2314" s="34" t="s">
        <v>2782</v>
      </c>
      <c r="C2314" s="22">
        <f>VLOOKUP(A2314,'[11]Linea Asociados'!$A$1:$F$492,3,FALSE)</f>
        <v>0.45</v>
      </c>
      <c r="D2314" s="22">
        <f>VLOOKUP(A2314,'[11]Linea Asociados'!$A$1:$D$492,4,FALSE)</f>
        <v>0.51</v>
      </c>
      <c r="E2314" s="22">
        <f>VLOOKUP(A2314,'[11]Linea Asociados'!$A$1:$E$492,5,FALSE)</f>
        <v>0.71</v>
      </c>
      <c r="F2314" s="22">
        <f>VLOOKUP(A2314,'[11]Linea Asociados'!$A$1:$F$492,6,FALSE)</f>
        <v>0.8</v>
      </c>
    </row>
    <row r="2315" spans="1:6" x14ac:dyDescent="0.3">
      <c r="A2315" s="87" t="s">
        <v>2783</v>
      </c>
      <c r="B2315" s="34" t="s">
        <v>2784</v>
      </c>
      <c r="C2315" s="22">
        <f>VLOOKUP(A2315,'[11]Linea Asociados'!$A$1:$F$492,3,FALSE)</f>
        <v>0.45</v>
      </c>
      <c r="D2315" s="22">
        <f>VLOOKUP(A2315,'[11]Linea Asociados'!$A$1:$D$492,4,FALSE)</f>
        <v>0.51</v>
      </c>
      <c r="E2315" s="22">
        <f>VLOOKUP(A2315,'[11]Linea Asociados'!$A$1:$E$492,5,FALSE)</f>
        <v>0.71</v>
      </c>
      <c r="F2315" s="22">
        <f>VLOOKUP(A2315,'[11]Linea Asociados'!$A$1:$F$492,6,FALSE)</f>
        <v>0.8</v>
      </c>
    </row>
    <row r="2316" spans="1:6" x14ac:dyDescent="0.3">
      <c r="A2316" s="87" t="s">
        <v>2785</v>
      </c>
      <c r="B2316" s="34" t="s">
        <v>2786</v>
      </c>
      <c r="C2316" s="22">
        <f>VLOOKUP(A2316,'[11]Linea Asociados'!$A$1:$F$492,3,FALSE)</f>
        <v>0.45</v>
      </c>
      <c r="D2316" s="22">
        <f>VLOOKUP(A2316,'[11]Linea Asociados'!$A$1:$D$492,4,FALSE)</f>
        <v>0.51</v>
      </c>
      <c r="E2316" s="22">
        <f>VLOOKUP(A2316,'[11]Linea Asociados'!$A$1:$E$492,5,FALSE)</f>
        <v>0.71</v>
      </c>
      <c r="F2316" s="22">
        <f>VLOOKUP(A2316,'[11]Linea Asociados'!$A$1:$F$492,6,FALSE)</f>
        <v>0.79999999999999993</v>
      </c>
    </row>
    <row r="2317" spans="1:6" x14ac:dyDescent="0.3">
      <c r="A2317" s="87" t="s">
        <v>2787</v>
      </c>
      <c r="B2317" s="34" t="s">
        <v>2788</v>
      </c>
      <c r="C2317" s="22">
        <f>VLOOKUP(A2317,'[11]Linea Asociados'!$A$1:$F$492,3,FALSE)</f>
        <v>1.65</v>
      </c>
      <c r="D2317" s="22">
        <f>VLOOKUP(A2317,'[11]Linea Asociados'!$A$1:$D$492,4,FALSE)</f>
        <v>1.86</v>
      </c>
      <c r="E2317" s="22">
        <f>VLOOKUP(A2317,'[11]Linea Asociados'!$A$1:$E$492,5,FALSE)</f>
        <v>2.57</v>
      </c>
      <c r="F2317" s="22">
        <f>VLOOKUP(A2317,'[11]Linea Asociados'!$A$1:$F$492,6,FALSE)</f>
        <v>2.9</v>
      </c>
    </row>
    <row r="2318" spans="1:6" x14ac:dyDescent="0.3">
      <c r="A2318" s="87" t="s">
        <v>2789</v>
      </c>
      <c r="B2318" s="34" t="s">
        <v>2790</v>
      </c>
      <c r="C2318" s="22">
        <f>VLOOKUP(A2318,'[11]Linea Asociados'!$A$1:$F$492,3,FALSE)</f>
        <v>1.65</v>
      </c>
      <c r="D2318" s="22">
        <f>VLOOKUP(A2318,'[11]Linea Asociados'!$A$1:$D$492,4,FALSE)</f>
        <v>1.86</v>
      </c>
      <c r="E2318" s="22">
        <f>VLOOKUP(A2318,'[11]Linea Asociados'!$A$1:$E$492,5,FALSE)</f>
        <v>2.57</v>
      </c>
      <c r="F2318" s="22">
        <f>VLOOKUP(A2318,'[11]Linea Asociados'!$A$1:$F$492,6,FALSE)</f>
        <v>2.9</v>
      </c>
    </row>
    <row r="2319" spans="1:6" x14ac:dyDescent="0.3">
      <c r="A2319" s="87" t="s">
        <v>2791</v>
      </c>
      <c r="B2319" s="34" t="s">
        <v>2792</v>
      </c>
      <c r="C2319" s="22">
        <f>VLOOKUP(A2319,'[11]Linea Asociados'!$A$1:$F$492,3,FALSE)</f>
        <v>1.65</v>
      </c>
      <c r="D2319" s="22">
        <f>VLOOKUP(A2319,'[11]Linea Asociados'!$A$1:$D$492,4,FALSE)</f>
        <v>1.86</v>
      </c>
      <c r="E2319" s="22">
        <f>VLOOKUP(A2319,'[11]Linea Asociados'!$A$1:$E$492,5,FALSE)</f>
        <v>2.57</v>
      </c>
      <c r="F2319" s="22">
        <f>VLOOKUP(A2319,'[11]Linea Asociados'!$A$1:$F$492,6,FALSE)</f>
        <v>2.9</v>
      </c>
    </row>
    <row r="2320" spans="1:6" x14ac:dyDescent="0.3">
      <c r="A2320" s="87" t="s">
        <v>2793</v>
      </c>
      <c r="B2320" s="34" t="s">
        <v>2794</v>
      </c>
      <c r="C2320" s="22">
        <f>VLOOKUP(A2320,'[11]Linea Asociados'!$A$1:$F$492,3,FALSE)</f>
        <v>1.65</v>
      </c>
      <c r="D2320" s="22">
        <f>VLOOKUP(A2320,'[11]Linea Asociados'!$A$1:$D$492,4,FALSE)</f>
        <v>1.86</v>
      </c>
      <c r="E2320" s="22">
        <f>VLOOKUP(A2320,'[11]Linea Asociados'!$A$1:$E$492,5,FALSE)</f>
        <v>2.57</v>
      </c>
      <c r="F2320" s="22">
        <f>VLOOKUP(A2320,'[11]Linea Asociados'!$A$1:$F$492,6,FALSE)</f>
        <v>2.9</v>
      </c>
    </row>
    <row r="2321" spans="1:6" x14ac:dyDescent="0.3">
      <c r="A2321" s="87" t="s">
        <v>2795</v>
      </c>
      <c r="B2321" s="34" t="s">
        <v>2796</v>
      </c>
      <c r="C2321" s="22">
        <f>VLOOKUP(A2321,'[11]Linea Asociados'!$A$1:$F$492,3,FALSE)</f>
        <v>1.65</v>
      </c>
      <c r="D2321" s="22">
        <f>VLOOKUP(A2321,'[11]Linea Asociados'!$A$1:$D$492,4,FALSE)</f>
        <v>1.86</v>
      </c>
      <c r="E2321" s="22">
        <f>VLOOKUP(A2321,'[11]Linea Asociados'!$A$1:$E$492,5,FALSE)</f>
        <v>2.57</v>
      </c>
      <c r="F2321" s="22">
        <f>VLOOKUP(A2321,'[11]Linea Asociados'!$A$1:$F$492,6,FALSE)</f>
        <v>2.9</v>
      </c>
    </row>
    <row r="2322" spans="1:6" x14ac:dyDescent="0.3">
      <c r="A2322" s="87" t="s">
        <v>2797</v>
      </c>
      <c r="B2322" s="34" t="s">
        <v>2798</v>
      </c>
      <c r="C2322" s="22">
        <f>VLOOKUP(A2322,'[11]Linea Asociados'!$A$1:$F$492,3,FALSE)</f>
        <v>12.12</v>
      </c>
      <c r="D2322" s="22">
        <f>VLOOKUP(A2322,'[11]Linea Asociados'!$A$1:$D$492,4,FALSE)</f>
        <v>13.7</v>
      </c>
      <c r="E2322" s="22">
        <f>VLOOKUP(A2322,'[11]Linea Asociados'!$A$1:$E$492,5,FALSE)</f>
        <v>18.940000000000001</v>
      </c>
      <c r="F2322" s="22">
        <f>VLOOKUP(A2322,'[11]Linea Asociados'!$A$1:$F$492,6,FALSE)</f>
        <v>21.4</v>
      </c>
    </row>
    <row r="2323" spans="1:6" x14ac:dyDescent="0.3">
      <c r="A2323" s="87" t="s">
        <v>2799</v>
      </c>
      <c r="B2323" s="34" t="s">
        <v>2800</v>
      </c>
      <c r="C2323" s="22">
        <f>VLOOKUP(A2323,'[11]Linea Asociados'!$A$1:$F$492,3,FALSE)</f>
        <v>12.12</v>
      </c>
      <c r="D2323" s="22">
        <f>VLOOKUP(A2323,'[11]Linea Asociados'!$A$1:$D$492,4,FALSE)</f>
        <v>13.7</v>
      </c>
      <c r="E2323" s="22">
        <f>VLOOKUP(A2323,'[11]Linea Asociados'!$A$1:$E$492,5,FALSE)</f>
        <v>18.940000000000001</v>
      </c>
      <c r="F2323" s="22">
        <f>VLOOKUP(A2323,'[11]Linea Asociados'!$A$1:$F$492,6,FALSE)</f>
        <v>21.4</v>
      </c>
    </row>
    <row r="2324" spans="1:6" x14ac:dyDescent="0.3">
      <c r="A2324" s="87" t="s">
        <v>2801</v>
      </c>
      <c r="B2324" s="34" t="s">
        <v>2802</v>
      </c>
      <c r="C2324" s="22">
        <f>VLOOKUP(A2324,'[11]Linea Asociados'!$A$1:$F$492,3,FALSE)</f>
        <v>12.12</v>
      </c>
      <c r="D2324" s="22">
        <f>VLOOKUP(A2324,'[11]Linea Asociados'!$A$1:$D$492,4,FALSE)</f>
        <v>13.7</v>
      </c>
      <c r="E2324" s="22">
        <f>VLOOKUP(A2324,'[11]Linea Asociados'!$A$1:$E$492,5,FALSE)</f>
        <v>18.940000000000001</v>
      </c>
      <c r="F2324" s="22">
        <f>VLOOKUP(A2324,'[11]Linea Asociados'!$A$1:$F$492,6,FALSE)</f>
        <v>21.4</v>
      </c>
    </row>
    <row r="2325" spans="1:6" x14ac:dyDescent="0.3">
      <c r="A2325" s="87" t="s">
        <v>2803</v>
      </c>
      <c r="B2325" s="34" t="s">
        <v>2804</v>
      </c>
      <c r="C2325" s="22">
        <f>VLOOKUP(A2325,'[11]Linea Asociados'!$A$1:$F$492,3,FALSE)</f>
        <v>12.12</v>
      </c>
      <c r="D2325" s="22">
        <f>VLOOKUP(A2325,'[11]Linea Asociados'!$A$1:$D$492,4,FALSE)</f>
        <v>13.7</v>
      </c>
      <c r="E2325" s="22">
        <f>VLOOKUP(A2325,'[11]Linea Asociados'!$A$1:$E$492,5,FALSE)</f>
        <v>18.940000000000001</v>
      </c>
      <c r="F2325" s="22">
        <f>VLOOKUP(A2325,'[11]Linea Asociados'!$A$1:$F$492,6,FALSE)</f>
        <v>21.4</v>
      </c>
    </row>
    <row r="2326" spans="1:6" x14ac:dyDescent="0.3">
      <c r="A2326" s="87" t="s">
        <v>2805</v>
      </c>
      <c r="B2326" s="34" t="s">
        <v>2806</v>
      </c>
      <c r="C2326" s="22">
        <f>VLOOKUP(A2326,'[11]Linea Asociados'!$A$1:$F$492,3,FALSE)</f>
        <v>12.12</v>
      </c>
      <c r="D2326" s="22">
        <f>VLOOKUP(A2326,'[11]Linea Asociados'!$A$1:$D$492,4,FALSE)</f>
        <v>13.7</v>
      </c>
      <c r="E2326" s="22">
        <f>VLOOKUP(A2326,'[11]Linea Asociados'!$A$1:$E$492,5,FALSE)</f>
        <v>18.940000000000001</v>
      </c>
      <c r="F2326" s="22">
        <f>VLOOKUP(A2326,'[11]Linea Asociados'!$A$1:$F$492,6,FALSE)</f>
        <v>21.4</v>
      </c>
    </row>
    <row r="2327" spans="1:6" x14ac:dyDescent="0.3">
      <c r="A2327" s="87" t="s">
        <v>2807</v>
      </c>
      <c r="B2327" s="34" t="s">
        <v>2808</v>
      </c>
      <c r="C2327" s="22">
        <f>VLOOKUP(A2327,'[11]Linea Asociados'!$A$1:$F$492,3,FALSE)</f>
        <v>12.12</v>
      </c>
      <c r="D2327" s="22">
        <f>VLOOKUP(A2327,'[11]Linea Asociados'!$A$1:$D$492,4,FALSE)</f>
        <v>13.7</v>
      </c>
      <c r="E2327" s="22">
        <f>VLOOKUP(A2327,'[11]Linea Asociados'!$A$1:$E$492,5,FALSE)</f>
        <v>18.940000000000001</v>
      </c>
      <c r="F2327" s="22">
        <f>VLOOKUP(A2327,'[11]Linea Asociados'!$A$1:$F$492,6,FALSE)</f>
        <v>21.4</v>
      </c>
    </row>
    <row r="2328" spans="1:6" x14ac:dyDescent="0.3">
      <c r="A2328" s="87" t="s">
        <v>2809</v>
      </c>
      <c r="B2328" s="34" t="s">
        <v>2810</v>
      </c>
      <c r="C2328" s="22">
        <f>VLOOKUP(A2328,'[11]Linea Asociados'!$A$1:$F$492,3,FALSE)</f>
        <v>12.12</v>
      </c>
      <c r="D2328" s="22">
        <f>VLOOKUP(A2328,'[11]Linea Asociados'!$A$1:$D$492,4,FALSE)</f>
        <v>13.7</v>
      </c>
      <c r="E2328" s="22">
        <f>VLOOKUP(A2328,'[11]Linea Asociados'!$A$1:$E$492,5,FALSE)</f>
        <v>18.940000000000001</v>
      </c>
      <c r="F2328" s="22">
        <f>VLOOKUP(A2328,'[11]Linea Asociados'!$A$1:$F$492,6,FALSE)</f>
        <v>21.4</v>
      </c>
    </row>
    <row r="2329" spans="1:6" x14ac:dyDescent="0.3">
      <c r="A2329" s="87" t="s">
        <v>2811</v>
      </c>
      <c r="B2329" s="34" t="s">
        <v>2812</v>
      </c>
      <c r="C2329" s="22">
        <f>VLOOKUP(A2329,'[11]Linea Asociados'!$A$1:$F$492,3,FALSE)</f>
        <v>12.12</v>
      </c>
      <c r="D2329" s="22">
        <f>VLOOKUP(A2329,'[11]Linea Asociados'!$A$1:$D$492,4,FALSE)</f>
        <v>13.7</v>
      </c>
      <c r="E2329" s="22">
        <f>VLOOKUP(A2329,'[11]Linea Asociados'!$A$1:$E$492,5,FALSE)</f>
        <v>18.940000000000001</v>
      </c>
      <c r="F2329" s="22">
        <f>VLOOKUP(A2329,'[11]Linea Asociados'!$A$1:$F$492,6,FALSE)</f>
        <v>21.4</v>
      </c>
    </row>
    <row r="2330" spans="1:6" x14ac:dyDescent="0.3">
      <c r="A2330" s="87" t="s">
        <v>2813</v>
      </c>
      <c r="B2330" s="34" t="s">
        <v>2814</v>
      </c>
      <c r="C2330" s="22">
        <f>VLOOKUP(A2330,'[11]Linea Asociados'!$A$1:$F$492,3,FALSE)</f>
        <v>12.12</v>
      </c>
      <c r="D2330" s="22">
        <f>VLOOKUP(A2330,'[11]Linea Asociados'!$A$1:$D$492,4,FALSE)</f>
        <v>13.7</v>
      </c>
      <c r="E2330" s="22">
        <f>VLOOKUP(A2330,'[11]Linea Asociados'!$A$1:$E$492,5,FALSE)</f>
        <v>18.940000000000001</v>
      </c>
      <c r="F2330" s="22">
        <f>VLOOKUP(A2330,'[11]Linea Asociados'!$A$1:$F$492,6,FALSE)</f>
        <v>21.4</v>
      </c>
    </row>
    <row r="2331" spans="1:6" x14ac:dyDescent="0.3">
      <c r="A2331" s="87">
        <v>1911531</v>
      </c>
      <c r="B2331" s="34" t="s">
        <v>2815</v>
      </c>
      <c r="C2331" s="22">
        <f>VLOOKUP(A2331,'[11]Linea Asociados'!$A$1:$F$492,3,FALSE)</f>
        <v>1.18</v>
      </c>
      <c r="D2331" s="22">
        <f>VLOOKUP(A2331,'[11]Linea Asociados'!$A$1:$D$492,4,FALSE)</f>
        <v>1.33</v>
      </c>
      <c r="E2331" s="22">
        <f>VLOOKUP(A2331,'[11]Linea Asociados'!$A$1:$E$492,5,FALSE)</f>
        <v>1.68</v>
      </c>
      <c r="F2331" s="22">
        <f>VLOOKUP(A2331,'[11]Linea Asociados'!$A$1:$F$492,6,FALSE)</f>
        <v>1.9000000000000001</v>
      </c>
    </row>
    <row r="2332" spans="1:6" x14ac:dyDescent="0.3">
      <c r="A2332" s="87">
        <v>1911532</v>
      </c>
      <c r="B2332" s="34" t="s">
        <v>2816</v>
      </c>
      <c r="C2332" s="22">
        <f>VLOOKUP(A2332,'[11]Linea Asociados'!$A$1:$F$492,3,FALSE)</f>
        <v>1.18</v>
      </c>
      <c r="D2332" s="22">
        <f>VLOOKUP(A2332,'[11]Linea Asociados'!$A$1:$D$492,4,FALSE)</f>
        <v>1.33</v>
      </c>
      <c r="E2332" s="22">
        <f>VLOOKUP(A2332,'[11]Linea Asociados'!$A$1:$E$492,5,FALSE)</f>
        <v>1.68</v>
      </c>
      <c r="F2332" s="22">
        <f>VLOOKUP(A2332,'[11]Linea Asociados'!$A$1:$F$492,6,FALSE)</f>
        <v>1.9</v>
      </c>
    </row>
    <row r="2333" spans="1:6" x14ac:dyDescent="0.3">
      <c r="A2333" s="87">
        <v>1931534</v>
      </c>
      <c r="B2333" s="34" t="s">
        <v>2817</v>
      </c>
      <c r="C2333" s="22">
        <f>VLOOKUP(A2333,'[11]Linea Asociados'!$A$1:$F$492,3,FALSE)</f>
        <v>1.05</v>
      </c>
      <c r="D2333" s="22">
        <f>VLOOKUP(A2333,'[11]Linea Asociados'!$A$1:$D$492,4,FALSE)</f>
        <v>1.19</v>
      </c>
      <c r="E2333" s="22">
        <f>VLOOKUP(A2333,'[11]Linea Asociados'!$A$1:$E$492,5,FALSE)</f>
        <v>1.5</v>
      </c>
      <c r="F2333" s="22">
        <f>VLOOKUP(A2333,'[11]Linea Asociados'!$A$1:$F$492,6,FALSE)</f>
        <v>1.7000000000000002</v>
      </c>
    </row>
    <row r="2334" spans="1:6" x14ac:dyDescent="0.3">
      <c r="A2334" s="87">
        <v>1931535</v>
      </c>
      <c r="B2334" s="34" t="s">
        <v>2818</v>
      </c>
      <c r="C2334" s="22">
        <f>VLOOKUP(A2334,'[11]Linea Asociados'!$A$1:$F$492,3,FALSE)</f>
        <v>1.05</v>
      </c>
      <c r="D2334" s="22">
        <f>VLOOKUP(A2334,'[11]Linea Asociados'!$A$1:$D$492,4,FALSE)</f>
        <v>1.19</v>
      </c>
      <c r="E2334" s="22">
        <f>VLOOKUP(A2334,'[11]Linea Asociados'!$A$1:$E$492,5,FALSE)</f>
        <v>1.5</v>
      </c>
      <c r="F2334" s="22">
        <f>VLOOKUP(A2334,'[11]Linea Asociados'!$A$1:$F$492,6,FALSE)</f>
        <v>1.7000000000000002</v>
      </c>
    </row>
    <row r="2335" spans="1:6" x14ac:dyDescent="0.3">
      <c r="A2335" s="87">
        <v>1912515</v>
      </c>
      <c r="B2335" s="34" t="s">
        <v>2819</v>
      </c>
      <c r="C2335" s="22">
        <f>VLOOKUP(A2335,'[11]Linea Asociados'!$A$1:$F$492,3,FALSE)</f>
        <v>1.05</v>
      </c>
      <c r="D2335" s="22">
        <f>VLOOKUP(A2335,'[11]Linea Asociados'!$A$1:$D$492,4,FALSE)</f>
        <v>1.19</v>
      </c>
      <c r="E2335" s="22">
        <f>VLOOKUP(A2335,'[11]Linea Asociados'!$A$1:$E$492,5,FALSE)</f>
        <v>1.5</v>
      </c>
      <c r="F2335" s="22">
        <f>VLOOKUP(A2335,'[11]Linea Asociados'!$A$1:$F$492,6,FALSE)</f>
        <v>1.7</v>
      </c>
    </row>
    <row r="2336" spans="1:6" x14ac:dyDescent="0.3">
      <c r="A2336" s="87">
        <v>1912513</v>
      </c>
      <c r="B2336" s="34" t="s">
        <v>2820</v>
      </c>
      <c r="C2336" s="22">
        <f>VLOOKUP(A2336,'[11]Linea Asociados'!$A$1:$F$492,3,FALSE)</f>
        <v>1.18</v>
      </c>
      <c r="D2336" s="22">
        <f>VLOOKUP(A2336,'[11]Linea Asociados'!$A$1:$D$492,4,FALSE)</f>
        <v>1.33</v>
      </c>
      <c r="E2336" s="22">
        <f>VLOOKUP(A2336,'[11]Linea Asociados'!$A$1:$E$492,5,FALSE)</f>
        <v>1.68</v>
      </c>
      <c r="F2336" s="22">
        <f>VLOOKUP(A2336,'[11]Linea Asociados'!$A$1:$F$492,6,FALSE)</f>
        <v>1.9</v>
      </c>
    </row>
    <row r="2337" spans="1:6" x14ac:dyDescent="0.3">
      <c r="A2337" s="87">
        <v>1911508</v>
      </c>
      <c r="B2337" s="34" t="s">
        <v>2821</v>
      </c>
      <c r="C2337" s="22">
        <f>VLOOKUP(A2337,'[11]Linea Asociados'!$A$1:$F$492,3,FALSE)</f>
        <v>1.18</v>
      </c>
      <c r="D2337" s="22">
        <f>VLOOKUP(A2337,'[11]Linea Asociados'!$A$1:$D$492,4,FALSE)</f>
        <v>1.33</v>
      </c>
      <c r="E2337" s="22">
        <f>VLOOKUP(A2337,'[11]Linea Asociados'!$A$1:$E$492,5,FALSE)</f>
        <v>1.68</v>
      </c>
      <c r="F2337" s="22">
        <f>VLOOKUP(A2337,'[11]Linea Asociados'!$A$1:$F$492,6,FALSE)</f>
        <v>1.9</v>
      </c>
    </row>
    <row r="2338" spans="1:6" x14ac:dyDescent="0.3">
      <c r="A2338" s="87">
        <v>1911509</v>
      </c>
      <c r="B2338" s="34" t="s">
        <v>2822</v>
      </c>
      <c r="C2338" s="22">
        <f>VLOOKUP(A2338,'[11]Linea Asociados'!$A$1:$F$492,3,FALSE)</f>
        <v>1.18</v>
      </c>
      <c r="D2338" s="22">
        <f>VLOOKUP(A2338,'[11]Linea Asociados'!$A$1:$D$492,4,FALSE)</f>
        <v>1.33</v>
      </c>
      <c r="E2338" s="22">
        <f>VLOOKUP(A2338,'[11]Linea Asociados'!$A$1:$E$492,5,FALSE)</f>
        <v>1.68</v>
      </c>
      <c r="F2338" s="22">
        <f>VLOOKUP(A2338,'[11]Linea Asociados'!$A$1:$F$492,6,FALSE)</f>
        <v>1.9</v>
      </c>
    </row>
    <row r="2339" spans="1:6" x14ac:dyDescent="0.3">
      <c r="A2339" s="87">
        <v>1911510</v>
      </c>
      <c r="B2339" s="34" t="s">
        <v>2823</v>
      </c>
      <c r="C2339" s="22">
        <f>VLOOKUP(A2339,'[11]Linea Asociados'!$A$1:$F$492,3,FALSE)</f>
        <v>1.18</v>
      </c>
      <c r="D2339" s="22">
        <f>VLOOKUP(A2339,'[11]Linea Asociados'!$A$1:$D$492,4,FALSE)</f>
        <v>1.33</v>
      </c>
      <c r="E2339" s="22">
        <f>VLOOKUP(A2339,'[11]Linea Asociados'!$A$1:$E$492,5,FALSE)</f>
        <v>1.68</v>
      </c>
      <c r="F2339" s="22">
        <f>VLOOKUP(A2339,'[11]Linea Asociados'!$A$1:$F$492,6,FALSE)</f>
        <v>1.9</v>
      </c>
    </row>
    <row r="2340" spans="1:6" x14ac:dyDescent="0.3">
      <c r="A2340" s="87">
        <v>1932553</v>
      </c>
      <c r="B2340" s="34" t="s">
        <v>2824</v>
      </c>
      <c r="C2340" s="22">
        <f>VLOOKUP(A2340,'[11]Linea Asociados'!$A$1:$F$492,3,FALSE)</f>
        <v>1.02</v>
      </c>
      <c r="D2340" s="22">
        <f>VLOOKUP(A2340,'[11]Linea Asociados'!$A$1:$D$492,4,FALSE)</f>
        <v>1.1499999999999999</v>
      </c>
      <c r="E2340" s="22">
        <f>VLOOKUP(A2340,'[11]Linea Asociados'!$A$1:$E$492,5,FALSE)</f>
        <v>1.59</v>
      </c>
      <c r="F2340" s="22">
        <f>VLOOKUP(A2340,'[11]Linea Asociados'!$A$1:$F$492,6,FALSE)</f>
        <v>1.8</v>
      </c>
    </row>
    <row r="2341" spans="1:6" x14ac:dyDescent="0.3">
      <c r="A2341" s="87">
        <v>1931538</v>
      </c>
      <c r="B2341" s="34" t="s">
        <v>2825</v>
      </c>
      <c r="C2341" s="22">
        <f>VLOOKUP(A2341,'[11]Linea Asociados'!$A$1:$F$492,3,FALSE)</f>
        <v>1.02</v>
      </c>
      <c r="D2341" s="22">
        <f>VLOOKUP(A2341,'[11]Linea Asociados'!$A$1:$D$492,4,FALSE)</f>
        <v>1.1499999999999999</v>
      </c>
      <c r="E2341" s="22">
        <f>VLOOKUP(A2341,'[11]Linea Asociados'!$A$1:$E$492,5,FALSE)</f>
        <v>1.59</v>
      </c>
      <c r="F2341" s="22">
        <f>VLOOKUP(A2341,'[11]Linea Asociados'!$A$1:$F$492,6,FALSE)</f>
        <v>1.8</v>
      </c>
    </row>
    <row r="2342" spans="1:6" x14ac:dyDescent="0.3">
      <c r="A2342" s="87">
        <v>1931539</v>
      </c>
      <c r="B2342" s="34" t="s">
        <v>2826</v>
      </c>
      <c r="C2342" s="22">
        <f>VLOOKUP(A2342,'[11]Linea Asociados'!$A$1:$F$492,3,FALSE)</f>
        <v>1.02</v>
      </c>
      <c r="D2342" s="22">
        <f>VLOOKUP(A2342,'[11]Linea Asociados'!$A$1:$D$492,4,FALSE)</f>
        <v>1.1499999999999999</v>
      </c>
      <c r="E2342" s="22">
        <f>VLOOKUP(A2342,'[11]Linea Asociados'!$A$1:$E$492,5,FALSE)</f>
        <v>1.59</v>
      </c>
      <c r="F2342" s="22">
        <f>VLOOKUP(A2342,'[11]Linea Asociados'!$A$1:$F$492,6,FALSE)</f>
        <v>1.8</v>
      </c>
    </row>
    <row r="2343" spans="1:6" x14ac:dyDescent="0.3">
      <c r="A2343" s="87">
        <v>1931540</v>
      </c>
      <c r="B2343" s="34" t="s">
        <v>2827</v>
      </c>
      <c r="C2343" s="22">
        <f>VLOOKUP(A2343,'[11]Linea Asociados'!$A$1:$F$492,3,FALSE)</f>
        <v>1.02</v>
      </c>
      <c r="D2343" s="22">
        <f>VLOOKUP(A2343,'[11]Linea Asociados'!$A$1:$D$492,4,FALSE)</f>
        <v>1.1499999999999999</v>
      </c>
      <c r="E2343" s="22">
        <f>VLOOKUP(A2343,'[11]Linea Asociados'!$A$1:$E$492,5,FALSE)</f>
        <v>1.59</v>
      </c>
      <c r="F2343" s="22">
        <f>VLOOKUP(A2343,'[11]Linea Asociados'!$A$1:$F$492,6,FALSE)</f>
        <v>1.8</v>
      </c>
    </row>
    <row r="2344" spans="1:6" x14ac:dyDescent="0.3">
      <c r="A2344" s="87">
        <v>1932545</v>
      </c>
      <c r="B2344" s="34" t="s">
        <v>2828</v>
      </c>
      <c r="C2344" s="22">
        <f>VLOOKUP(A2344,'[11]Linea Asociados'!$A$1:$F$492,3,FALSE)</f>
        <v>1.02</v>
      </c>
      <c r="D2344" s="22">
        <f>VLOOKUP(A2344,'[11]Linea Asociados'!$A$1:$D$492,4,FALSE)</f>
        <v>1.1499999999999999</v>
      </c>
      <c r="E2344" s="22">
        <f>VLOOKUP(A2344,'[11]Linea Asociados'!$A$1:$E$492,5,FALSE)</f>
        <v>1.59</v>
      </c>
      <c r="F2344" s="22">
        <f>VLOOKUP(A2344,'[11]Linea Asociados'!$A$1:$F$492,6,FALSE)</f>
        <v>1.8</v>
      </c>
    </row>
    <row r="2345" spans="1:6" x14ac:dyDescent="0.3">
      <c r="A2345" s="87">
        <v>31048</v>
      </c>
      <c r="B2345" s="34" t="s">
        <v>2829</v>
      </c>
      <c r="C2345" s="22">
        <f>VLOOKUP(A2345,'[11]Linea Asociados'!$A$1:$F$492,3,FALSE)</f>
        <v>91.81</v>
      </c>
      <c r="D2345" s="22">
        <f>VLOOKUP(A2345,'[11]Linea Asociados'!$A$1:$D$492,4,FALSE)</f>
        <v>103.74</v>
      </c>
      <c r="E2345" s="22">
        <f>VLOOKUP(A2345,'[11]Linea Asociados'!$A$1:$E$492,5,FALSE)</f>
        <v>117.7</v>
      </c>
      <c r="F2345" s="22">
        <f>VLOOKUP(A2345,'[11]Linea Asociados'!$A$1:$F$492,6,FALSE)</f>
        <v>133</v>
      </c>
    </row>
    <row r="2346" spans="1:6" x14ac:dyDescent="0.3">
      <c r="A2346" s="87" t="s">
        <v>2830</v>
      </c>
      <c r="B2346" s="34" t="s">
        <v>2831</v>
      </c>
      <c r="C2346" s="22">
        <f>VLOOKUP(A2346,'[11]Linea Asociados'!$A$1:$F$492,3,FALSE)</f>
        <v>41.58</v>
      </c>
      <c r="D2346" s="22">
        <f>VLOOKUP(A2346,'[11]Linea Asociados'!$A$1:$D$492,4,FALSE)</f>
        <v>46.99</v>
      </c>
      <c r="E2346" s="22">
        <f>VLOOKUP(A2346,'[11]Linea Asociados'!$A$1:$E$492,5,FALSE)</f>
        <v>56.19</v>
      </c>
      <c r="F2346" s="22">
        <f>VLOOKUP(A2346,'[11]Linea Asociados'!$A$1:$F$492,6,FALSE)</f>
        <v>63.5</v>
      </c>
    </row>
    <row r="2347" spans="1:6" x14ac:dyDescent="0.3">
      <c r="A2347" s="87">
        <v>9720006</v>
      </c>
      <c r="B2347" s="34" t="s">
        <v>2832</v>
      </c>
      <c r="C2347" s="22">
        <f>VLOOKUP(A2347,'[11]Linea Asociados'!$A$1:$F$492,3,FALSE)</f>
        <v>24.85</v>
      </c>
      <c r="D2347" s="22">
        <f>VLOOKUP(A2347,'[11]Linea Asociados'!$A$1:$D$492,4,FALSE)</f>
        <v>28.08</v>
      </c>
      <c r="E2347" s="22">
        <f>VLOOKUP(A2347,'[11]Linea Asociados'!$A$1:$E$492,5,FALSE)</f>
        <v>31.06</v>
      </c>
      <c r="F2347" s="22">
        <f>VLOOKUP(A2347,'[11]Linea Asociados'!$A$1:$F$492,6,FALSE)</f>
        <v>35.1</v>
      </c>
    </row>
    <row r="2348" spans="1:6" x14ac:dyDescent="0.3">
      <c r="A2348" s="87">
        <v>9710063</v>
      </c>
      <c r="B2348" s="34" t="s">
        <v>2833</v>
      </c>
      <c r="C2348" s="22">
        <f>VLOOKUP(A2348,'[11]Linea Asociados'!$A$1:$F$492,3,FALSE)</f>
        <v>10.97</v>
      </c>
      <c r="D2348" s="22">
        <f>VLOOKUP(A2348,'[11]Linea Asociados'!$A$1:$D$492,4,FALSE)</f>
        <v>12.4</v>
      </c>
      <c r="E2348" s="22">
        <f>VLOOKUP(A2348,'[11]Linea Asociados'!$A$1:$E$492,5,FALSE)</f>
        <v>14.07</v>
      </c>
      <c r="F2348" s="22">
        <f>VLOOKUP(A2348,'[11]Linea Asociados'!$A$1:$F$492,6,FALSE)</f>
        <v>15.9</v>
      </c>
    </row>
    <row r="2349" spans="1:6" x14ac:dyDescent="0.3">
      <c r="A2349" s="87">
        <v>9710070</v>
      </c>
      <c r="B2349" s="34" t="s">
        <v>2834</v>
      </c>
      <c r="C2349" s="22">
        <f>VLOOKUP(A2349,'[11]Linea Asociados'!$A$1:$F$492,3,FALSE)</f>
        <v>9.84</v>
      </c>
      <c r="D2349" s="22">
        <f>VLOOKUP(A2349,'[11]Linea Asociados'!$A$1:$D$492,4,FALSE)</f>
        <v>11.12</v>
      </c>
      <c r="E2349" s="22">
        <f>VLOOKUP(A2349,'[11]Linea Asociados'!$A$1:$E$492,5,FALSE)</f>
        <v>12.3</v>
      </c>
      <c r="F2349" s="22">
        <f>VLOOKUP(A2349,'[11]Linea Asociados'!$A$1:$F$492,6,FALSE)</f>
        <v>13.9</v>
      </c>
    </row>
    <row r="2350" spans="1:6" x14ac:dyDescent="0.3">
      <c r="A2350" s="87">
        <v>9720001</v>
      </c>
      <c r="B2350" s="34" t="s">
        <v>2835</v>
      </c>
      <c r="C2350" s="22">
        <f>VLOOKUP(A2350,'[11]Linea Asociados'!$A$1:$F$492,3,FALSE)</f>
        <v>21.59</v>
      </c>
      <c r="D2350" s="22">
        <f>VLOOKUP(A2350,'[11]Linea Asociados'!$A$1:$D$492,4,FALSE)</f>
        <v>24.4</v>
      </c>
      <c r="E2350" s="22">
        <f>VLOOKUP(A2350,'[11]Linea Asociados'!$A$1:$E$492,5,FALSE)</f>
        <v>26.99</v>
      </c>
      <c r="F2350" s="22">
        <f>VLOOKUP(A2350,'[11]Linea Asociados'!$A$1:$F$492,6,FALSE)</f>
        <v>30.5</v>
      </c>
    </row>
    <row r="2351" spans="1:6" x14ac:dyDescent="0.3">
      <c r="A2351" s="87">
        <v>9720110</v>
      </c>
      <c r="B2351" s="34" t="s">
        <v>2836</v>
      </c>
      <c r="C2351" s="22">
        <f>VLOOKUP(A2351,'[11]Linea Asociados'!$A$1:$F$492,3,FALSE)</f>
        <v>16.64</v>
      </c>
      <c r="D2351" s="22">
        <f>VLOOKUP(A2351,'[11]Linea Asociados'!$A$1:$D$492,4,FALSE)</f>
        <v>18.8</v>
      </c>
      <c r="E2351" s="22">
        <f>VLOOKUP(A2351,'[11]Linea Asociados'!$A$1:$E$492,5,FALSE)</f>
        <v>20.8</v>
      </c>
      <c r="F2351" s="22">
        <f>VLOOKUP(A2351,'[11]Linea Asociados'!$A$1:$F$492,6,FALSE)</f>
        <v>23.5</v>
      </c>
    </row>
    <row r="2352" spans="1:6" x14ac:dyDescent="0.3">
      <c r="A2352" s="87" t="s">
        <v>2837</v>
      </c>
      <c r="B2352" s="34" t="s">
        <v>2838</v>
      </c>
      <c r="C2352" s="22">
        <f>VLOOKUP(A2352,'[11]Linea Asociados'!$A$1:$F$492,3,FALSE)</f>
        <v>2.68</v>
      </c>
      <c r="D2352" s="22">
        <f>VLOOKUP(A2352,'[11]Linea Asociados'!$A$1:$D$492,4,FALSE)</f>
        <v>3.03</v>
      </c>
      <c r="E2352" s="22">
        <f>VLOOKUP(A2352,'[11]Linea Asociados'!$A$1:$E$492,5,FALSE)</f>
        <v>3.63</v>
      </c>
      <c r="F2352" s="22">
        <f>VLOOKUP(A2352,'[11]Linea Asociados'!$A$1:$F$492,6,FALSE)</f>
        <v>4.0999999999999996</v>
      </c>
    </row>
    <row r="2353" spans="1:6" x14ac:dyDescent="0.3">
      <c r="A2353" s="87">
        <v>44015</v>
      </c>
      <c r="B2353" s="34" t="s">
        <v>2839</v>
      </c>
      <c r="C2353" s="22">
        <f>VLOOKUP(A2353,'[11]Linea Asociados'!$A$1:$F$492,3,FALSE)</f>
        <v>6.49</v>
      </c>
      <c r="D2353" s="22">
        <f>VLOOKUP(A2353,'[11]Linea Asociados'!$A$1:$D$492,4,FALSE)</f>
        <v>7.33</v>
      </c>
      <c r="E2353" s="22">
        <f>VLOOKUP(A2353,'[11]Linea Asociados'!$A$1:$E$492,5,FALSE)</f>
        <v>8.76</v>
      </c>
      <c r="F2353" s="22">
        <f>VLOOKUP(A2353,'[11]Linea Asociados'!$A$1:$F$492,6,FALSE)</f>
        <v>9.9</v>
      </c>
    </row>
    <row r="2354" spans="1:6" x14ac:dyDescent="0.3">
      <c r="A2354" s="87">
        <v>44014</v>
      </c>
      <c r="B2354" s="34" t="s">
        <v>2840</v>
      </c>
      <c r="C2354" s="22">
        <f>VLOOKUP(A2354,'[11]Linea Asociados'!$A$1:$F$492,3,FALSE)</f>
        <v>2.4900000000000002</v>
      </c>
      <c r="D2354" s="22">
        <f>VLOOKUP(A2354,'[11]Linea Asociados'!$A$1:$D$492,4,FALSE)</f>
        <v>2.81</v>
      </c>
      <c r="E2354" s="22">
        <f>VLOOKUP(A2354,'[11]Linea Asociados'!$A$1:$E$492,5,FALSE)</f>
        <v>3.36</v>
      </c>
      <c r="F2354" s="22">
        <f>VLOOKUP(A2354,'[11]Linea Asociados'!$A$1:$F$492,6,FALSE)</f>
        <v>3.8000000000000003</v>
      </c>
    </row>
    <row r="2355" spans="1:6" x14ac:dyDescent="0.3">
      <c r="A2355" s="87">
        <v>44013</v>
      </c>
      <c r="B2355" s="34" t="s">
        <v>2841</v>
      </c>
      <c r="C2355" s="22">
        <f>VLOOKUP(A2355,'[11]Linea Asociados'!$A$1:$F$492,3,FALSE)</f>
        <v>3.87</v>
      </c>
      <c r="D2355" s="22">
        <f>VLOOKUP(A2355,'[11]Linea Asociados'!$A$1:$D$492,4,FALSE)</f>
        <v>4.37</v>
      </c>
      <c r="E2355" s="22">
        <f>VLOOKUP(A2355,'[11]Linea Asociados'!$A$1:$E$492,5,FALSE)</f>
        <v>5.22</v>
      </c>
      <c r="F2355" s="22">
        <f>VLOOKUP(A2355,'[11]Linea Asociados'!$A$1:$F$492,6,FALSE)</f>
        <v>5.8999999999999995</v>
      </c>
    </row>
    <row r="2356" spans="1:6" x14ac:dyDescent="0.3">
      <c r="A2356" s="86" t="s">
        <v>2842</v>
      </c>
      <c r="B2356" s="34" t="s">
        <v>2843</v>
      </c>
      <c r="C2356" s="22">
        <f>VLOOKUP(A2356,'[11]Linea Asociados'!$A$1:$F$492,3,FALSE)</f>
        <v>8.65</v>
      </c>
      <c r="D2356" s="22">
        <f>VLOOKUP(A2356,'[11]Linea Asociados'!$A$1:$D$492,4,FALSE)</f>
        <v>9.77</v>
      </c>
      <c r="E2356" s="22">
        <f>VLOOKUP(A2356,'[11]Linea Asociados'!$A$1:$E$492,5,FALSE)</f>
        <v>11.68</v>
      </c>
      <c r="F2356" s="22">
        <f>VLOOKUP(A2356,'[11]Linea Asociados'!$A$1:$F$492,6,FALSE)</f>
        <v>13.2</v>
      </c>
    </row>
    <row r="2357" spans="1:6" x14ac:dyDescent="0.3">
      <c r="A2357" s="87">
        <v>9710061</v>
      </c>
      <c r="B2357" s="34" t="s">
        <v>2844</v>
      </c>
      <c r="C2357" s="22">
        <f>VLOOKUP(A2357,'[11]Linea Asociados'!$A$1:$F$492,3,FALSE)</f>
        <v>7.52</v>
      </c>
      <c r="D2357" s="22">
        <f>VLOOKUP(A2357,'[11]Linea Asociados'!$A$1:$D$492,4,FALSE)</f>
        <v>8.5</v>
      </c>
      <c r="E2357" s="22">
        <f>VLOOKUP(A2357,'[11]Linea Asociados'!$A$1:$E$492,5,FALSE)</f>
        <v>9.65</v>
      </c>
      <c r="F2357" s="22">
        <f>VLOOKUP(A2357,'[11]Linea Asociados'!$A$1:$F$492,6,FALSE)</f>
        <v>10.9</v>
      </c>
    </row>
    <row r="2358" spans="1:6" x14ac:dyDescent="0.3">
      <c r="A2358" s="87">
        <v>9710026</v>
      </c>
      <c r="B2358" s="34" t="s">
        <v>2845</v>
      </c>
      <c r="C2358" s="22">
        <f>VLOOKUP(A2358,'[11]Linea Asociados'!$A$1:$F$492,3,FALSE)</f>
        <v>6.28</v>
      </c>
      <c r="D2358" s="22">
        <f>VLOOKUP(A2358,'[11]Linea Asociados'!$A$1:$D$492,4,FALSE)</f>
        <v>7.1</v>
      </c>
      <c r="E2358" s="22">
        <f>VLOOKUP(A2358,'[11]Linea Asociados'!$A$1:$E$492,5,FALSE)</f>
        <v>8.0500000000000007</v>
      </c>
      <c r="F2358" s="22">
        <f>VLOOKUP(A2358,'[11]Linea Asociados'!$A$1:$F$492,6,FALSE)</f>
        <v>9.1</v>
      </c>
    </row>
    <row r="2359" spans="1:6" x14ac:dyDescent="0.3">
      <c r="A2359" s="87">
        <v>9710035</v>
      </c>
      <c r="B2359" s="34" t="s">
        <v>2846</v>
      </c>
      <c r="C2359" s="22">
        <f>VLOOKUP(A2359,'[11]Linea Asociados'!$A$1:$F$492,3,FALSE)</f>
        <v>4.07</v>
      </c>
      <c r="D2359" s="22">
        <f>VLOOKUP(A2359,'[11]Linea Asociados'!$A$1:$D$492,4,FALSE)</f>
        <v>4.5999999999999996</v>
      </c>
      <c r="E2359" s="22">
        <f>VLOOKUP(A2359,'[11]Linea Asociados'!$A$1:$E$492,5,FALSE)</f>
        <v>5.22</v>
      </c>
      <c r="F2359" s="22">
        <f>VLOOKUP(A2359,'[11]Linea Asociados'!$A$1:$F$492,6,FALSE)</f>
        <v>5.9</v>
      </c>
    </row>
    <row r="2360" spans="1:6" x14ac:dyDescent="0.3">
      <c r="A2360" s="87">
        <v>9710025</v>
      </c>
      <c r="B2360" s="34" t="s">
        <v>2847</v>
      </c>
      <c r="C2360" s="22">
        <f>VLOOKUP(A2360,'[11]Linea Asociados'!$A$1:$F$492,3,FALSE)</f>
        <v>17.190000000000001</v>
      </c>
      <c r="D2360" s="22">
        <f>VLOOKUP(A2360,'[11]Linea Asociados'!$A$1:$D$492,4,FALSE)</f>
        <v>19.420000000000002</v>
      </c>
      <c r="E2360" s="22">
        <f>VLOOKUP(A2360,'[11]Linea Asociados'!$A$1:$E$492,5,FALSE)</f>
        <v>22.04</v>
      </c>
      <c r="F2360" s="22">
        <f>VLOOKUP(A2360,'[11]Linea Asociados'!$A$1:$F$492,6,FALSE)</f>
        <v>24.9</v>
      </c>
    </row>
    <row r="2361" spans="1:6" x14ac:dyDescent="0.3">
      <c r="A2361" s="87">
        <v>9710039</v>
      </c>
      <c r="B2361" s="34" t="s">
        <v>2848</v>
      </c>
      <c r="C2361" s="22">
        <f>VLOOKUP(A2361,'[11]Linea Asociados'!$A$1:$F$492,3,FALSE)</f>
        <v>10.84</v>
      </c>
      <c r="D2361" s="22">
        <f>VLOOKUP(A2361,'[11]Linea Asociados'!$A$1:$D$492,4,FALSE)</f>
        <v>12.25</v>
      </c>
      <c r="E2361" s="22">
        <f>VLOOKUP(A2361,'[11]Linea Asociados'!$A$1:$E$492,5,FALSE)</f>
        <v>13.89</v>
      </c>
      <c r="F2361" s="22">
        <f>VLOOKUP(A2361,'[11]Linea Asociados'!$A$1:$F$492,6,FALSE)</f>
        <v>15.7</v>
      </c>
    </row>
    <row r="2362" spans="1:6" x14ac:dyDescent="0.3">
      <c r="A2362" s="86">
        <v>9710049</v>
      </c>
      <c r="B2362" s="34" t="s">
        <v>2849</v>
      </c>
      <c r="C2362" s="22">
        <f>VLOOKUP(A2362,'[11]Linea Asociados'!$A$1:$F$492,3,FALSE)</f>
        <v>10.84</v>
      </c>
      <c r="D2362" s="22">
        <f>VLOOKUP(A2362,'[11]Linea Asociados'!$A$1:$D$492,4,FALSE)</f>
        <v>12.25</v>
      </c>
      <c r="E2362" s="22">
        <f>VLOOKUP(A2362,'[11]Linea Asociados'!$A$1:$E$492,5,FALSE)</f>
        <v>13.89</v>
      </c>
      <c r="F2362" s="22">
        <f>VLOOKUP(A2362,'[11]Linea Asociados'!$A$1:$F$492,6,FALSE)</f>
        <v>15.7</v>
      </c>
    </row>
    <row r="2363" spans="1:6" x14ac:dyDescent="0.3">
      <c r="A2363" s="86" t="s">
        <v>2850</v>
      </c>
      <c r="B2363" s="34" t="s">
        <v>2851</v>
      </c>
      <c r="C2363" s="22">
        <f>VLOOKUP(A2363,'[11]Linea Asociados'!$A$1:$F$492,3,FALSE)</f>
        <v>3.42</v>
      </c>
      <c r="D2363" s="22">
        <f>VLOOKUP(A2363,'[11]Linea Asociados'!$A$1:$D$492,4,FALSE)</f>
        <v>3.87</v>
      </c>
      <c r="E2363" s="22">
        <f>VLOOKUP(A2363,'[11]Linea Asociados'!$A$1:$E$492,5,FALSE)</f>
        <v>3.98</v>
      </c>
      <c r="F2363" s="22">
        <f>VLOOKUP(A2363,'[11]Linea Asociados'!$A$1:$F$492,6,FALSE)</f>
        <v>4.5</v>
      </c>
    </row>
    <row r="2364" spans="1:6" x14ac:dyDescent="0.3">
      <c r="A2364" s="86" t="s">
        <v>2852</v>
      </c>
      <c r="B2364" s="34" t="s">
        <v>2853</v>
      </c>
      <c r="C2364" s="22">
        <f>VLOOKUP(A2364,'[11]Linea Asociados'!$A$1:$F$492,3,FALSE)</f>
        <v>2.5099999999999998</v>
      </c>
      <c r="D2364" s="22">
        <f>VLOOKUP(A2364,'[11]Linea Asociados'!$A$1:$D$492,4,FALSE)</f>
        <v>2.84</v>
      </c>
      <c r="E2364" s="22">
        <f>VLOOKUP(A2364,'[11]Linea Asociados'!$A$1:$E$492,5,FALSE)</f>
        <v>2.92</v>
      </c>
      <c r="F2364" s="22">
        <f>VLOOKUP(A2364,'[11]Linea Asociados'!$A$1:$F$492,6,FALSE)</f>
        <v>3.3</v>
      </c>
    </row>
    <row r="2365" spans="1:6" x14ac:dyDescent="0.3">
      <c r="A2365" s="86" t="s">
        <v>2854</v>
      </c>
      <c r="B2365" s="34" t="s">
        <v>2855</v>
      </c>
      <c r="C2365" s="22">
        <f>VLOOKUP(A2365,'[11]Linea Asociados'!$A$1:$F$492,3,FALSE)</f>
        <v>1.9</v>
      </c>
      <c r="D2365" s="22">
        <f>VLOOKUP(A2365,'[11]Linea Asociados'!$A$1:$D$492,4,FALSE)</f>
        <v>2.15</v>
      </c>
      <c r="E2365" s="22">
        <f>VLOOKUP(A2365,'[11]Linea Asociados'!$A$1:$E$492,5,FALSE)</f>
        <v>2.21</v>
      </c>
      <c r="F2365" s="22">
        <f>VLOOKUP(A2365,'[11]Linea Asociados'!$A$1:$F$492,6,FALSE)</f>
        <v>2.5</v>
      </c>
    </row>
    <row r="2366" spans="1:6" x14ac:dyDescent="0.3">
      <c r="A2366" s="86" t="s">
        <v>2856</v>
      </c>
      <c r="B2366" s="34" t="s">
        <v>2857</v>
      </c>
      <c r="C2366" s="22">
        <f>VLOOKUP(A2366,'[11]Linea Asociados'!$A$1:$F$492,3,FALSE)</f>
        <v>2.19</v>
      </c>
      <c r="D2366" s="22">
        <f>VLOOKUP(A2366,'[11]Linea Asociados'!$A$1:$D$492,4,FALSE)</f>
        <v>2.48</v>
      </c>
      <c r="E2366" s="22">
        <f>VLOOKUP(A2366,'[11]Linea Asociados'!$A$1:$E$492,5,FALSE)</f>
        <v>2.74</v>
      </c>
      <c r="F2366" s="22">
        <f>VLOOKUP(A2366,'[11]Linea Asociados'!$A$1:$F$492,6,FALSE)</f>
        <v>3.1</v>
      </c>
    </row>
    <row r="2367" spans="1:6" x14ac:dyDescent="0.3">
      <c r="A2367" s="86" t="s">
        <v>2858</v>
      </c>
      <c r="B2367" s="34" t="s">
        <v>2859</v>
      </c>
      <c r="C2367" s="22">
        <f>VLOOKUP(A2367,'[11]Linea Asociados'!$A$1:$F$492,3,FALSE)</f>
        <v>2.48</v>
      </c>
      <c r="D2367" s="22">
        <f>VLOOKUP(A2367,'[11]Linea Asociados'!$A$1:$D$492,4,FALSE)</f>
        <v>2.8</v>
      </c>
      <c r="E2367" s="22">
        <f>VLOOKUP(A2367,'[11]Linea Asociados'!$A$1:$E$492,5,FALSE)</f>
        <v>3.1</v>
      </c>
      <c r="F2367" s="22">
        <f>VLOOKUP(A2367,'[11]Linea Asociados'!$A$1:$F$492,6,FALSE)</f>
        <v>3.5</v>
      </c>
    </row>
    <row r="2368" spans="1:6" x14ac:dyDescent="0.3">
      <c r="A2368" s="86" t="s">
        <v>2860</v>
      </c>
      <c r="B2368" s="34" t="s">
        <v>2861</v>
      </c>
      <c r="C2368" s="22">
        <f>VLOOKUP(A2368,'[11]Linea Asociados'!$A$1:$F$492,3,FALSE)</f>
        <v>3.75</v>
      </c>
      <c r="D2368" s="22">
        <f>VLOOKUP(A2368,'[11]Linea Asociados'!$A$1:$D$492,4,FALSE)</f>
        <v>4.24</v>
      </c>
      <c r="E2368" s="22">
        <f>VLOOKUP(A2368,'[11]Linea Asociados'!$A$1:$E$492,5,FALSE)</f>
        <v>4.6900000000000004</v>
      </c>
      <c r="F2368" s="22">
        <f>VLOOKUP(A2368,'[11]Linea Asociados'!$A$1:$F$492,6,FALSE)</f>
        <v>5.3</v>
      </c>
    </row>
    <row r="2369" spans="1:6" x14ac:dyDescent="0.3">
      <c r="A2369" s="86" t="s">
        <v>2862</v>
      </c>
      <c r="B2369" s="34" t="s">
        <v>2863</v>
      </c>
      <c r="C2369" s="22">
        <f>VLOOKUP(A2369,'[11]Linea Asociados'!$A$1:$F$492,3,FALSE)</f>
        <v>4.67</v>
      </c>
      <c r="D2369" s="22">
        <f>VLOOKUP(A2369,'[11]Linea Asociados'!$A$1:$D$492,4,FALSE)</f>
        <v>5.28</v>
      </c>
      <c r="E2369" s="22">
        <f>VLOOKUP(A2369,'[11]Linea Asociados'!$A$1:$E$492,5,FALSE)</f>
        <v>5.84</v>
      </c>
      <c r="F2369" s="22">
        <f>VLOOKUP(A2369,'[11]Linea Asociados'!$A$1:$F$492,6,FALSE)</f>
        <v>6.6</v>
      </c>
    </row>
    <row r="2370" spans="1:6" x14ac:dyDescent="0.3">
      <c r="A2370" s="86" t="s">
        <v>2864</v>
      </c>
      <c r="B2370" s="34" t="s">
        <v>2865</v>
      </c>
      <c r="C2370" s="22">
        <f>VLOOKUP(A2370,'[11]Linea Asociados'!$A$1:$F$492,3,FALSE)</f>
        <v>0.92</v>
      </c>
      <c r="D2370" s="22">
        <f>VLOOKUP(A2370,'[11]Linea Asociados'!$A$1:$D$492,4,FALSE)</f>
        <v>1.04</v>
      </c>
      <c r="E2370" s="22">
        <f>VLOOKUP(A2370,'[11]Linea Asociados'!$A$1:$E$492,5,FALSE)</f>
        <v>1.24</v>
      </c>
      <c r="F2370" s="22">
        <f>VLOOKUP(A2370,'[11]Linea Asociados'!$A$1:$F$492,6,FALSE)</f>
        <v>1.4000000000000001</v>
      </c>
    </row>
    <row r="2371" spans="1:6" x14ac:dyDescent="0.3">
      <c r="A2371" s="86" t="s">
        <v>2866</v>
      </c>
      <c r="B2371" s="34" t="s">
        <v>2867</v>
      </c>
      <c r="C2371" s="22">
        <f>VLOOKUP(A2371,'[11]Linea Asociados'!$A$1:$F$492,3,FALSE)</f>
        <v>0.65</v>
      </c>
      <c r="D2371" s="22">
        <f>VLOOKUP(A2371,'[11]Linea Asociados'!$A$1:$D$492,4,FALSE)</f>
        <v>0.74</v>
      </c>
      <c r="E2371" s="22">
        <f>VLOOKUP(A2371,'[11]Linea Asociados'!$A$1:$E$492,5,FALSE)</f>
        <v>0.88</v>
      </c>
      <c r="F2371" s="22">
        <f>VLOOKUP(A2371,'[11]Linea Asociados'!$A$1:$F$492,6,FALSE)</f>
        <v>1</v>
      </c>
    </row>
    <row r="2372" spans="1:6" x14ac:dyDescent="0.3">
      <c r="A2372" s="87" t="s">
        <v>2868</v>
      </c>
      <c r="B2372" s="34" t="s">
        <v>2869</v>
      </c>
      <c r="C2372" s="22">
        <f>VLOOKUP(A2372,'[11]Linea Asociados'!$A$1:$F$492,3,FALSE)</f>
        <v>1.77</v>
      </c>
      <c r="D2372" s="22">
        <f>VLOOKUP(A2372,'[11]Linea Asociados'!$A$1:$D$492,4,FALSE)</f>
        <v>2</v>
      </c>
      <c r="E2372" s="22">
        <f>VLOOKUP(A2372,'[11]Linea Asociados'!$A$1:$E$492,5,FALSE)</f>
        <v>2.39</v>
      </c>
      <c r="F2372" s="22">
        <f>VLOOKUP(A2372,'[11]Linea Asociados'!$A$1:$F$492,6,FALSE)</f>
        <v>2.7</v>
      </c>
    </row>
    <row r="2373" spans="1:6" x14ac:dyDescent="0.3">
      <c r="A2373" s="87" t="s">
        <v>2870</v>
      </c>
      <c r="B2373" s="34" t="s">
        <v>2871</v>
      </c>
      <c r="C2373" s="22">
        <f>VLOOKUP(A2373,'[11]Linea Asociados'!$A$1:$F$492,3,FALSE)</f>
        <v>4.04</v>
      </c>
      <c r="D2373" s="22">
        <f>VLOOKUP(A2373,'[11]Linea Asociados'!$A$1:$D$492,4,FALSE)</f>
        <v>4.5599999999999996</v>
      </c>
      <c r="E2373" s="22">
        <f>VLOOKUP(A2373,'[11]Linea Asociados'!$A$1:$E$492,5,FALSE)</f>
        <v>4.6900000000000004</v>
      </c>
      <c r="F2373" s="22">
        <f>VLOOKUP(A2373,'[11]Linea Asociados'!$A$1:$F$492,6,FALSE)</f>
        <v>5.3</v>
      </c>
    </row>
    <row r="2374" spans="1:6" x14ac:dyDescent="0.3">
      <c r="A2374" s="86" t="s">
        <v>2872</v>
      </c>
      <c r="B2374" s="34" t="s">
        <v>2873</v>
      </c>
      <c r="C2374" s="22">
        <f>VLOOKUP(A2374,'[11]Linea Asociados'!$A$1:$F$492,3,FALSE)</f>
        <v>0.98</v>
      </c>
      <c r="D2374" s="22">
        <f>VLOOKUP(A2374,'[11]Linea Asociados'!$A$1:$D$492,4,FALSE)</f>
        <v>1.1100000000000001</v>
      </c>
      <c r="E2374" s="22">
        <f>VLOOKUP(A2374,'[11]Linea Asociados'!$A$1:$E$492,5,FALSE)</f>
        <v>1.33</v>
      </c>
      <c r="F2374" s="22">
        <f>VLOOKUP(A2374,'[11]Linea Asociados'!$A$1:$F$492,6,FALSE)</f>
        <v>1.5</v>
      </c>
    </row>
    <row r="2375" spans="1:6" x14ac:dyDescent="0.3">
      <c r="A2375" s="86" t="s">
        <v>2874</v>
      </c>
      <c r="B2375" s="34" t="s">
        <v>2875</v>
      </c>
      <c r="C2375" s="22">
        <f>VLOOKUP(A2375,'[11]Linea Asociados'!$A$1:$F$492,3,FALSE)</f>
        <v>1.5</v>
      </c>
      <c r="D2375" s="22">
        <f>VLOOKUP(A2375,'[11]Linea Asociados'!$A$1:$D$492,4,FALSE)</f>
        <v>1.7</v>
      </c>
      <c r="E2375" s="22">
        <f>VLOOKUP(A2375,'[11]Linea Asociados'!$A$1:$E$492,5,FALSE)</f>
        <v>2.04</v>
      </c>
      <c r="F2375" s="22">
        <f>VLOOKUP(A2375,'[11]Linea Asociados'!$A$1:$F$492,6,FALSE)</f>
        <v>2.2999999999999998</v>
      </c>
    </row>
    <row r="2376" spans="1:6" x14ac:dyDescent="0.3">
      <c r="A2376" s="86" t="s">
        <v>2876</v>
      </c>
      <c r="B2376" s="34" t="s">
        <v>2877</v>
      </c>
      <c r="C2376" s="22">
        <f>VLOOKUP(A2376,'[11]Linea Asociados'!$A$1:$F$492,3,FALSE)</f>
        <v>2.81</v>
      </c>
      <c r="D2376" s="22">
        <f>VLOOKUP(A2376,'[11]Linea Asociados'!$A$1:$D$492,4,FALSE)</f>
        <v>3.18</v>
      </c>
      <c r="E2376" s="22">
        <f>VLOOKUP(A2376,'[11]Linea Asociados'!$A$1:$E$492,5,FALSE)</f>
        <v>3.81</v>
      </c>
      <c r="F2376" s="22">
        <f>VLOOKUP(A2376,'[11]Linea Asociados'!$A$1:$F$492,6,FALSE)</f>
        <v>4.3</v>
      </c>
    </row>
    <row r="2377" spans="1:6" x14ac:dyDescent="0.3">
      <c r="A2377" s="86" t="s">
        <v>2878</v>
      </c>
      <c r="B2377" s="34" t="s">
        <v>2879</v>
      </c>
      <c r="C2377" s="22">
        <f>VLOOKUP(A2377,'[11]Linea Asociados'!$A$1:$F$492,3,FALSE)</f>
        <v>2.42</v>
      </c>
      <c r="D2377" s="22">
        <f>VLOOKUP(A2377,'[11]Linea Asociados'!$A$1:$D$492,4,FALSE)</f>
        <v>2.74</v>
      </c>
      <c r="E2377" s="22">
        <f>VLOOKUP(A2377,'[11]Linea Asociados'!$A$1:$E$492,5,FALSE)</f>
        <v>3.27</v>
      </c>
      <c r="F2377" s="22">
        <f>VLOOKUP(A2377,'[11]Linea Asociados'!$A$1:$F$492,6,FALSE)</f>
        <v>3.7</v>
      </c>
    </row>
    <row r="2378" spans="1:6" x14ac:dyDescent="0.3">
      <c r="A2378" s="86" t="s">
        <v>2880</v>
      </c>
      <c r="B2378" s="34" t="s">
        <v>2881</v>
      </c>
      <c r="C2378" s="22">
        <f>VLOOKUP(A2378,'[11]Linea Asociados'!$A$1:$F$492,3,FALSE)</f>
        <v>0.85</v>
      </c>
      <c r="D2378" s="22">
        <f>VLOOKUP(A2378,'[11]Linea Asociados'!$A$1:$D$492,4,FALSE)</f>
        <v>0.96</v>
      </c>
      <c r="E2378" s="22">
        <f>VLOOKUP(A2378,'[11]Linea Asociados'!$A$1:$E$492,5,FALSE)</f>
        <v>1.1499999999999999</v>
      </c>
      <c r="F2378" s="22">
        <f>VLOOKUP(A2378,'[11]Linea Asociados'!$A$1:$F$492,6,FALSE)</f>
        <v>1.3</v>
      </c>
    </row>
    <row r="2379" spans="1:6" x14ac:dyDescent="0.3">
      <c r="A2379" s="86" t="s">
        <v>2882</v>
      </c>
      <c r="B2379" s="34" t="s">
        <v>2883</v>
      </c>
      <c r="C2379" s="22">
        <f>VLOOKUP(A2379,'[11]Linea Asociados'!$A$1:$F$492,3,FALSE)</f>
        <v>1.44</v>
      </c>
      <c r="D2379" s="22">
        <f>VLOOKUP(A2379,'[11]Linea Asociados'!$A$1:$D$492,4,FALSE)</f>
        <v>1.63</v>
      </c>
      <c r="E2379" s="22">
        <f>VLOOKUP(A2379,'[11]Linea Asociados'!$A$1:$E$492,5,FALSE)</f>
        <v>1.95</v>
      </c>
      <c r="F2379" s="22">
        <f>VLOOKUP(A2379,'[11]Linea Asociados'!$A$1:$F$492,6,FALSE)</f>
        <v>2.2000000000000002</v>
      </c>
    </row>
    <row r="2380" spans="1:6" x14ac:dyDescent="0.3">
      <c r="A2380" s="86" t="s">
        <v>2884</v>
      </c>
      <c r="B2380" s="34" t="s">
        <v>2885</v>
      </c>
      <c r="C2380" s="22">
        <f>VLOOKUP(A2380,'[11]Linea Asociados'!$A$1:$F$492,3,FALSE)</f>
        <v>1.44</v>
      </c>
      <c r="D2380" s="22">
        <f>VLOOKUP(A2380,'[11]Linea Asociados'!$A$1:$D$492,4,FALSE)</f>
        <v>1.63</v>
      </c>
      <c r="E2380" s="22">
        <f>VLOOKUP(A2380,'[11]Linea Asociados'!$A$1:$E$492,5,FALSE)</f>
        <v>1.95</v>
      </c>
      <c r="F2380" s="22">
        <f>VLOOKUP(A2380,'[11]Linea Asociados'!$A$1:$F$492,6,FALSE)</f>
        <v>2.2000000000000002</v>
      </c>
    </row>
    <row r="2381" spans="1:6" x14ac:dyDescent="0.3">
      <c r="A2381" s="86" t="s">
        <v>2886</v>
      </c>
      <c r="B2381" s="34" t="s">
        <v>2887</v>
      </c>
      <c r="C2381" s="22">
        <f>VLOOKUP(A2381,'[11]Linea Asociados'!$A$1:$F$492,3,FALSE)</f>
        <v>1.7</v>
      </c>
      <c r="D2381" s="22">
        <f>VLOOKUP(A2381,'[11]Linea Asociados'!$A$1:$D$492,4,FALSE)</f>
        <v>1.92</v>
      </c>
      <c r="E2381" s="22">
        <f>VLOOKUP(A2381,'[11]Linea Asociados'!$A$1:$E$492,5,FALSE)</f>
        <v>2.2999999999999998</v>
      </c>
      <c r="F2381" s="22">
        <f>VLOOKUP(A2381,'[11]Linea Asociados'!$A$1:$F$492,6,FALSE)</f>
        <v>2.6</v>
      </c>
    </row>
    <row r="2382" spans="1:6" x14ac:dyDescent="0.3">
      <c r="A2382" s="86" t="s">
        <v>2888</v>
      </c>
      <c r="B2382" s="34" t="s">
        <v>2889</v>
      </c>
      <c r="C2382" s="22">
        <f>VLOOKUP(A2382,'[11]Linea Asociados'!$A$1:$F$492,3,FALSE)</f>
        <v>11.79</v>
      </c>
      <c r="D2382" s="22">
        <f>VLOOKUP(A2382,'[11]Linea Asociados'!$A$1:$D$492,4,FALSE)</f>
        <v>13.32</v>
      </c>
      <c r="E2382" s="22">
        <f>VLOOKUP(A2382,'[11]Linea Asociados'!$A$1:$E$492,5,FALSE)</f>
        <v>15.93</v>
      </c>
      <c r="F2382" s="22">
        <f>VLOOKUP(A2382,'[11]Linea Asociados'!$A$1:$F$492,6,FALSE)</f>
        <v>18</v>
      </c>
    </row>
    <row r="2383" spans="1:6" x14ac:dyDescent="0.3">
      <c r="A2383" s="86" t="s">
        <v>3183</v>
      </c>
      <c r="B2383" s="34" t="s">
        <v>3184</v>
      </c>
      <c r="C2383" s="22">
        <f>VLOOKUP(A2383,'[11]Linea Asociados'!$A$1:$F$492,3,FALSE)</f>
        <v>3.6</v>
      </c>
      <c r="D2383" s="22">
        <f>VLOOKUP(A2383,'[11]Linea Asociados'!$A$1:$D$492,4,FALSE)</f>
        <v>4.07</v>
      </c>
      <c r="E2383" s="22">
        <f>VLOOKUP(A2383,'[11]Linea Asociados'!$A$1:$E$492,5,FALSE)</f>
        <v>4.87</v>
      </c>
      <c r="F2383" s="22">
        <f>VLOOKUP(A2383,'[11]Linea Asociados'!$A$1:$F$492,6,FALSE)</f>
        <v>5.5</v>
      </c>
    </row>
    <row r="2384" spans="1:6" x14ac:dyDescent="0.3">
      <c r="A2384" s="86" t="s">
        <v>3185</v>
      </c>
      <c r="B2384" s="34" t="s">
        <v>3186</v>
      </c>
      <c r="C2384" s="22">
        <f>VLOOKUP(A2384,'[11]Linea Asociados'!$A$1:$F$492,3,FALSE)</f>
        <v>6.22</v>
      </c>
      <c r="D2384" s="22">
        <f>VLOOKUP(A2384,'[11]Linea Asociados'!$A$1:$D$492,4,FALSE)</f>
        <v>7.03</v>
      </c>
      <c r="E2384" s="22">
        <f>VLOOKUP(A2384,'[11]Linea Asociados'!$A$1:$E$492,5,FALSE)</f>
        <v>8.41</v>
      </c>
      <c r="F2384" s="22">
        <f>VLOOKUP(A2384,'[11]Linea Asociados'!$A$1:$F$492,6,FALSE)</f>
        <v>9.5</v>
      </c>
    </row>
    <row r="2385" spans="1:6" x14ac:dyDescent="0.3">
      <c r="A2385" s="86" t="s">
        <v>3187</v>
      </c>
      <c r="B2385" s="34" t="s">
        <v>3188</v>
      </c>
      <c r="C2385" s="22">
        <f>VLOOKUP(A2385,'[11]Linea Asociados'!$A$1:$F$492,3,FALSE)</f>
        <v>84.48</v>
      </c>
      <c r="D2385" s="22">
        <f>VLOOKUP(A2385,'[11]Linea Asociados'!$A$1:$D$492,4,FALSE)</f>
        <v>95.46</v>
      </c>
      <c r="E2385" s="22">
        <f>VLOOKUP(A2385,'[11]Linea Asociados'!$A$1:$E$492,5,FALSE)</f>
        <v>114.16</v>
      </c>
      <c r="F2385" s="22">
        <f>VLOOKUP(A2385,'[11]Linea Asociados'!$A$1:$F$492,6,FALSE)</f>
        <v>129</v>
      </c>
    </row>
    <row r="2386" spans="1:6" x14ac:dyDescent="0.3">
      <c r="A2386" s="86" t="s">
        <v>3189</v>
      </c>
      <c r="B2386" s="34" t="s">
        <v>3190</v>
      </c>
      <c r="C2386" s="22">
        <f>VLOOKUP(A2386,'[11]Linea Asociados'!$A$1:$F$492,3,FALSE)</f>
        <v>5.3</v>
      </c>
      <c r="D2386" s="22">
        <f>VLOOKUP(A2386,'[11]Linea Asociados'!$A$1:$D$492,4,FALSE)</f>
        <v>5.99</v>
      </c>
      <c r="E2386" s="22">
        <f>VLOOKUP(A2386,'[11]Linea Asociados'!$A$1:$E$492,5,FALSE)</f>
        <v>7.17</v>
      </c>
      <c r="F2386" s="22">
        <f>VLOOKUP(A2386,'[11]Linea Asociados'!$A$1:$F$492,6,FALSE)</f>
        <v>8.1</v>
      </c>
    </row>
    <row r="2387" spans="1:6" x14ac:dyDescent="0.3">
      <c r="A2387" s="86" t="s">
        <v>3191</v>
      </c>
      <c r="B2387" s="34" t="s">
        <v>3190</v>
      </c>
      <c r="C2387" s="22">
        <f>VLOOKUP(A2387,'[11]Linea Asociados'!$A$1:$F$492,3,FALSE)</f>
        <v>8.4499999999999993</v>
      </c>
      <c r="D2387" s="22">
        <f>VLOOKUP(A2387,'[11]Linea Asociados'!$A$1:$D$492,4,FALSE)</f>
        <v>9.5500000000000007</v>
      </c>
      <c r="E2387" s="22">
        <f>VLOOKUP(A2387,'[11]Linea Asociados'!$A$1:$E$492,5,FALSE)</f>
        <v>11.42</v>
      </c>
      <c r="F2387" s="22">
        <f>VLOOKUP(A2387,'[11]Linea Asociados'!$A$1:$F$492,6,FALSE)</f>
        <v>12.9</v>
      </c>
    </row>
    <row r="2388" spans="1:6" x14ac:dyDescent="0.3">
      <c r="A2388" s="86" t="s">
        <v>2890</v>
      </c>
      <c r="B2388" s="34" t="s">
        <v>2891</v>
      </c>
      <c r="C2388" s="22">
        <f>VLOOKUP(A2388,'[11]Linea Asociados'!$A$1:$F$492,3,FALSE)</f>
        <v>43.35</v>
      </c>
      <c r="D2388" s="22">
        <f>VLOOKUP(A2388,'[11]Linea Asociados'!$A$1:$D$492,4,FALSE)</f>
        <v>48.99</v>
      </c>
      <c r="E2388" s="22">
        <f>VLOOKUP(A2388,'[11]Linea Asociados'!$A$1:$E$492,5,FALSE)</f>
        <v>58.58</v>
      </c>
      <c r="F2388" s="22">
        <f>VLOOKUP(A2388,'[11]Linea Asociados'!$A$1:$F$492,6,FALSE)</f>
        <v>66.2</v>
      </c>
    </row>
    <row r="2389" spans="1:6" x14ac:dyDescent="0.3">
      <c r="A2389" s="86" t="s">
        <v>3192</v>
      </c>
      <c r="B2389" s="34" t="s">
        <v>3193</v>
      </c>
      <c r="C2389" s="22">
        <f>VLOOKUP(A2389,'[11]Linea Asociados'!$A$1:$F$492,3,FALSE)</f>
        <v>44.01</v>
      </c>
      <c r="D2389" s="22">
        <f>VLOOKUP(A2389,'[11]Linea Asociados'!$A$1:$D$492,4,FALSE)</f>
        <v>49.73</v>
      </c>
      <c r="E2389" s="22">
        <f>VLOOKUP(A2389,'[11]Linea Asociados'!$A$1:$E$492,5,FALSE)</f>
        <v>59.47</v>
      </c>
      <c r="F2389" s="22">
        <f>VLOOKUP(A2389,'[11]Linea Asociados'!$A$1:$F$492,6,FALSE)</f>
        <v>67.2</v>
      </c>
    </row>
    <row r="2390" spans="1:6" x14ac:dyDescent="0.3">
      <c r="A2390" s="86" t="s">
        <v>3194</v>
      </c>
      <c r="B2390" s="34" t="s">
        <v>3195</v>
      </c>
      <c r="C2390" s="22">
        <f>VLOOKUP(A2390,'[11]Linea Asociados'!$A$1:$F$492,3,FALSE)</f>
        <v>10.94</v>
      </c>
      <c r="D2390" s="22">
        <f>VLOOKUP(A2390,'[11]Linea Asociados'!$A$1:$D$492,4,FALSE)</f>
        <v>12.36</v>
      </c>
      <c r="E2390" s="22">
        <f>VLOOKUP(A2390,'[11]Linea Asociados'!$A$1:$E$492,5,FALSE)</f>
        <v>14.78</v>
      </c>
      <c r="F2390" s="22">
        <f>VLOOKUP(A2390,'[11]Linea Asociados'!$A$1:$F$492,6,FALSE)</f>
        <v>16.700000000000003</v>
      </c>
    </row>
    <row r="2391" spans="1:6" x14ac:dyDescent="0.3">
      <c r="A2391" s="86" t="s">
        <v>3196</v>
      </c>
      <c r="B2391" s="34" t="s">
        <v>3197</v>
      </c>
      <c r="C2391" s="22">
        <f>VLOOKUP(A2391,'[11]Linea Asociados'!$A$1:$F$492,3,FALSE)</f>
        <v>32.42</v>
      </c>
      <c r="D2391" s="22">
        <f>VLOOKUP(A2391,'[11]Linea Asociados'!$A$1:$D$492,4,FALSE)</f>
        <v>36.630000000000003</v>
      </c>
      <c r="E2391" s="22">
        <f>VLOOKUP(A2391,'[11]Linea Asociados'!$A$1:$E$492,5,FALSE)</f>
        <v>43.81</v>
      </c>
      <c r="F2391" s="22">
        <f>VLOOKUP(A2391,'[11]Linea Asociados'!$A$1:$F$492,6,FALSE)</f>
        <v>49.5</v>
      </c>
    </row>
    <row r="2392" spans="1:6" x14ac:dyDescent="0.3">
      <c r="A2392" s="86" t="s">
        <v>3198</v>
      </c>
      <c r="B2392" s="34" t="s">
        <v>3199</v>
      </c>
      <c r="C2392" s="22">
        <f>VLOOKUP(A2392,'[11]Linea Asociados'!$A$1:$F$492,3,FALSE)</f>
        <v>5.57</v>
      </c>
      <c r="D2392" s="22">
        <f>VLOOKUP(A2392,'[11]Linea Asociados'!$A$1:$D$492,4,FALSE)</f>
        <v>6.29</v>
      </c>
      <c r="E2392" s="22">
        <f>VLOOKUP(A2392,'[11]Linea Asociados'!$A$1:$E$492,5,FALSE)</f>
        <v>7.52</v>
      </c>
      <c r="F2392" s="22">
        <f>VLOOKUP(A2392,'[11]Linea Asociados'!$A$1:$F$492,6,FALSE)</f>
        <v>8.5</v>
      </c>
    </row>
    <row r="2393" spans="1:6" x14ac:dyDescent="0.3">
      <c r="A2393" s="86" t="s">
        <v>3200</v>
      </c>
      <c r="B2393" s="34" t="s">
        <v>3201</v>
      </c>
      <c r="C2393" s="22">
        <f>VLOOKUP(A2393,'[11]Linea Asociados'!$A$1:$F$492,3,FALSE)</f>
        <v>6.42</v>
      </c>
      <c r="D2393" s="22">
        <f>VLOOKUP(A2393,'[11]Linea Asociados'!$A$1:$D$492,4,FALSE)</f>
        <v>7.25</v>
      </c>
      <c r="E2393" s="22">
        <f>VLOOKUP(A2393,'[11]Linea Asociados'!$A$1:$E$492,5,FALSE)</f>
        <v>8.67</v>
      </c>
      <c r="F2393" s="22">
        <f>VLOOKUP(A2393,'[11]Linea Asociados'!$A$1:$F$492,6,FALSE)</f>
        <v>9.8000000000000007</v>
      </c>
    </row>
    <row r="2394" spans="1:6" x14ac:dyDescent="0.3">
      <c r="A2394" s="86" t="s">
        <v>2892</v>
      </c>
      <c r="B2394" s="34" t="s">
        <v>2893</v>
      </c>
      <c r="C2394" s="22">
        <f>VLOOKUP(A2394,'[11]Linea Asociados'!$A$1:$F$492,3,FALSE)</f>
        <v>24.71</v>
      </c>
      <c r="D2394" s="22">
        <f>VLOOKUP(A2394,'[11]Linea Asociados'!$A$1:$D$492,4,FALSE)</f>
        <v>27.92</v>
      </c>
      <c r="E2394" s="22">
        <f>VLOOKUP(A2394,'[11]Linea Asociados'!$A$1:$E$492,5,FALSE)</f>
        <v>30.88</v>
      </c>
      <c r="F2394" s="22">
        <f>VLOOKUP(A2394,'[11]Linea Asociados'!$A$1:$F$492,6,FALSE)</f>
        <v>34.9</v>
      </c>
    </row>
    <row r="2395" spans="1:6" x14ac:dyDescent="0.3">
      <c r="A2395" s="86" t="s">
        <v>2894</v>
      </c>
      <c r="B2395" s="34" t="s">
        <v>2895</v>
      </c>
      <c r="C2395" s="22">
        <f>VLOOKUP(A2395,'[11]Linea Asociados'!$A$1:$F$492,3,FALSE)</f>
        <v>11.4</v>
      </c>
      <c r="D2395" s="22">
        <f>VLOOKUP(A2395,'[11]Linea Asociados'!$A$1:$D$492,4,FALSE)</f>
        <v>12.88</v>
      </c>
      <c r="E2395" s="22">
        <f>VLOOKUP(A2395,'[11]Linea Asociados'!$A$1:$E$492,5,FALSE)</f>
        <v>14.25</v>
      </c>
      <c r="F2395" s="22">
        <f>VLOOKUP(A2395,'[11]Linea Asociados'!$A$1:$F$492,6,FALSE)</f>
        <v>16.100000000000001</v>
      </c>
    </row>
    <row r="2396" spans="1:6" x14ac:dyDescent="0.3">
      <c r="A2396" s="86" t="s">
        <v>2896</v>
      </c>
      <c r="B2396" s="34" t="s">
        <v>2897</v>
      </c>
      <c r="C2396" s="22">
        <f>VLOOKUP(A2396,'[11]Linea Asociados'!$A$1:$F$492,3,FALSE)</f>
        <v>18.05</v>
      </c>
      <c r="D2396" s="22">
        <f>VLOOKUP(A2396,'[11]Linea Asociados'!$A$1:$D$492,4,FALSE)</f>
        <v>20.399999999999999</v>
      </c>
      <c r="E2396" s="22">
        <f>VLOOKUP(A2396,'[11]Linea Asociados'!$A$1:$E$492,5,FALSE)</f>
        <v>22.57</v>
      </c>
      <c r="F2396" s="22">
        <f>VLOOKUP(A2396,'[11]Linea Asociados'!$A$1:$F$492,6,FALSE)</f>
        <v>25.5</v>
      </c>
    </row>
    <row r="2397" spans="1:6" x14ac:dyDescent="0.3">
      <c r="A2397" s="86" t="s">
        <v>2898</v>
      </c>
      <c r="B2397" s="34" t="s">
        <v>2899</v>
      </c>
      <c r="C2397" s="22">
        <f>VLOOKUP(A2397,'[11]Linea Asociados'!$A$1:$F$492,3,FALSE)</f>
        <v>17.350000000000001</v>
      </c>
      <c r="D2397" s="22">
        <f>VLOOKUP(A2397,'[11]Linea Asociados'!$A$1:$D$492,4,FALSE)</f>
        <v>19.600000000000001</v>
      </c>
      <c r="E2397" s="22">
        <f>VLOOKUP(A2397,'[11]Linea Asociados'!$A$1:$E$492,5,FALSE)</f>
        <v>21.68</v>
      </c>
      <c r="F2397" s="22">
        <f>VLOOKUP(A2397,'[11]Linea Asociados'!$A$1:$F$492,6,FALSE)</f>
        <v>24.5</v>
      </c>
    </row>
    <row r="2398" spans="1:6" x14ac:dyDescent="0.3">
      <c r="A2398" s="87">
        <v>31014</v>
      </c>
      <c r="B2398" s="34" t="s">
        <v>2900</v>
      </c>
      <c r="C2398" s="22">
        <f>VLOOKUP(A2398,'[11]Linea Asociados'!$A$1:$F$492,3,FALSE)</f>
        <v>124.6</v>
      </c>
      <c r="D2398" s="22">
        <f>VLOOKUP(A2398,'[11]Linea Asociados'!$A$1:$D$492,4,FALSE)</f>
        <v>140.80000000000001</v>
      </c>
      <c r="E2398" s="22">
        <f>VLOOKUP(A2398,'[11]Linea Asociados'!$A$1:$E$492,5,FALSE)</f>
        <v>155.75</v>
      </c>
      <c r="F2398" s="22">
        <f>VLOOKUP(A2398,'[11]Linea Asociados'!$A$1:$F$492,6,FALSE)</f>
        <v>176</v>
      </c>
    </row>
    <row r="2399" spans="1:6" x14ac:dyDescent="0.3">
      <c r="A2399" s="87">
        <v>31055</v>
      </c>
      <c r="B2399" s="34" t="s">
        <v>2901</v>
      </c>
      <c r="C2399" s="22">
        <f>VLOOKUP(A2399,'[11]Linea Asociados'!$A$1:$F$492,3,FALSE)</f>
        <v>124.6</v>
      </c>
      <c r="D2399" s="22">
        <f>VLOOKUP(A2399,'[11]Linea Asociados'!$A$1:$D$492,4,FALSE)</f>
        <v>140.80000000000001</v>
      </c>
      <c r="E2399" s="22">
        <f>VLOOKUP(A2399,'[11]Linea Asociados'!$A$1:$E$492,5,FALSE)</f>
        <v>155.75</v>
      </c>
      <c r="F2399" s="22">
        <f>VLOOKUP(A2399,'[11]Linea Asociados'!$A$1:$F$492,6,FALSE)</f>
        <v>176</v>
      </c>
    </row>
    <row r="2400" spans="1:6" x14ac:dyDescent="0.3">
      <c r="A2400" s="87">
        <v>31057</v>
      </c>
      <c r="B2400" s="34" t="s">
        <v>2902</v>
      </c>
      <c r="C2400" s="22">
        <f>VLOOKUP(A2400,'[11]Linea Asociados'!$A$1:$F$492,3,FALSE)</f>
        <v>124.6</v>
      </c>
      <c r="D2400" s="22">
        <f>VLOOKUP(A2400,'[11]Linea Asociados'!$A$1:$D$492,4,FALSE)</f>
        <v>140.80000000000001</v>
      </c>
      <c r="E2400" s="22">
        <f>VLOOKUP(A2400,'[11]Linea Asociados'!$A$1:$E$492,5,FALSE)</f>
        <v>155.75</v>
      </c>
      <c r="F2400" s="22">
        <f>VLOOKUP(A2400,'[11]Linea Asociados'!$A$1:$F$492,6,FALSE)</f>
        <v>176</v>
      </c>
    </row>
    <row r="2401" spans="1:6" x14ac:dyDescent="0.3">
      <c r="A2401" s="87">
        <v>31058</v>
      </c>
      <c r="B2401" s="34" t="s">
        <v>2903</v>
      </c>
      <c r="C2401" s="22">
        <f>VLOOKUP(A2401,'[11]Linea Asociados'!$A$1:$F$492,3,FALSE)</f>
        <v>124.6</v>
      </c>
      <c r="D2401" s="22">
        <f>VLOOKUP(A2401,'[11]Linea Asociados'!$A$1:$D$492,4,FALSE)</f>
        <v>140.80000000000001</v>
      </c>
      <c r="E2401" s="22">
        <f>VLOOKUP(A2401,'[11]Linea Asociados'!$A$1:$E$492,5,FALSE)</f>
        <v>155.75</v>
      </c>
      <c r="F2401" s="22">
        <f>VLOOKUP(A2401,'[11]Linea Asociados'!$A$1:$F$492,6,FALSE)</f>
        <v>176</v>
      </c>
    </row>
    <row r="2402" spans="1:6" x14ac:dyDescent="0.3">
      <c r="A2402" s="87">
        <v>4538</v>
      </c>
      <c r="B2402" s="34" t="s">
        <v>2904</v>
      </c>
      <c r="C2402" s="22">
        <f>VLOOKUP(A2402,'[11]Linea Asociados'!$A$1:$F$492,3,FALSE)</f>
        <v>13.31</v>
      </c>
      <c r="D2402" s="22">
        <f>VLOOKUP(A2402,'[11]Linea Asociados'!$A$1:$D$492,4,FALSE)</f>
        <v>15.04</v>
      </c>
      <c r="E2402" s="22">
        <f>VLOOKUP(A2402,'[11]Linea Asociados'!$A$1:$E$492,5,FALSE)</f>
        <v>16.64</v>
      </c>
      <c r="F2402" s="22">
        <f>VLOOKUP(A2402,'[11]Linea Asociados'!$A$1:$F$492,6,FALSE)</f>
        <v>18.8</v>
      </c>
    </row>
    <row r="2403" spans="1:6" x14ac:dyDescent="0.3">
      <c r="A2403" s="87">
        <v>31096</v>
      </c>
      <c r="B2403" s="34" t="s">
        <v>3202</v>
      </c>
      <c r="C2403" s="22">
        <f>VLOOKUP(A2403,'[11]Linea Asociados'!$A$1:$F$492,3,FALSE)</f>
        <v>55.86</v>
      </c>
      <c r="D2403" s="22">
        <f>VLOOKUP(A2403,'[11]Linea Asociados'!$A$1:$D$492,4,FALSE)</f>
        <v>63.12</v>
      </c>
      <c r="E2403" s="22">
        <f>VLOOKUP(A2403,'[11]Linea Asociados'!$A$1:$E$492,5,FALSE)</f>
        <v>69.819999999999993</v>
      </c>
      <c r="F2403" s="22">
        <f>VLOOKUP(A2403,'[11]Linea Asociados'!$A$1:$F$492,6,FALSE)</f>
        <v>78.900000000000006</v>
      </c>
    </row>
    <row r="2404" spans="1:6" x14ac:dyDescent="0.3">
      <c r="A2404" s="87">
        <v>31095</v>
      </c>
      <c r="B2404" s="34" t="s">
        <v>3203</v>
      </c>
      <c r="C2404" s="22">
        <f>VLOOKUP(A2404,'[11]Linea Asociados'!$A$1:$F$492,3,FALSE)</f>
        <v>55.86</v>
      </c>
      <c r="D2404" s="22">
        <f>VLOOKUP(A2404,'[11]Linea Asociados'!$A$1:$D$492,4,FALSE)</f>
        <v>63.12</v>
      </c>
      <c r="E2404" s="22">
        <f>VLOOKUP(A2404,'[11]Linea Asociados'!$A$1:$E$492,5,FALSE)</f>
        <v>69.819999999999993</v>
      </c>
      <c r="F2404" s="22">
        <f>VLOOKUP(A2404,'[11]Linea Asociados'!$A$1:$F$492,6,FALSE)</f>
        <v>78.900000000000006</v>
      </c>
    </row>
    <row r="2405" spans="1:6" x14ac:dyDescent="0.3">
      <c r="A2405" s="87">
        <v>31298</v>
      </c>
      <c r="B2405" s="34" t="s">
        <v>3204</v>
      </c>
      <c r="C2405" s="22">
        <f>VLOOKUP(A2405,'[11]Linea Asociados'!$A$1:$F$492,3,FALSE)</f>
        <v>55.86</v>
      </c>
      <c r="D2405" s="22">
        <f>VLOOKUP(A2405,'[11]Linea Asociados'!$A$1:$D$492,4,FALSE)</f>
        <v>63.12</v>
      </c>
      <c r="E2405" s="22">
        <f>VLOOKUP(A2405,'[11]Linea Asociados'!$A$1:$E$492,5,FALSE)</f>
        <v>69.819999999999993</v>
      </c>
      <c r="F2405" s="22">
        <f>VLOOKUP(A2405,'[11]Linea Asociados'!$A$1:$F$492,6,FALSE)</f>
        <v>78.900000000000006</v>
      </c>
    </row>
    <row r="2406" spans="1:6" x14ac:dyDescent="0.3">
      <c r="A2406" s="87" t="s">
        <v>2905</v>
      </c>
      <c r="B2406" s="34" t="s">
        <v>2906</v>
      </c>
      <c r="C2406" s="22">
        <f>VLOOKUP(A2406,'[11]Linea Asociados'!$A$1:$F$492,3,FALSE)</f>
        <v>11.26</v>
      </c>
      <c r="D2406" s="22">
        <f>VLOOKUP(A2406,'[11]Linea Asociados'!$A$1:$D$492,4,FALSE)</f>
        <v>12.72</v>
      </c>
      <c r="E2406" s="22">
        <f>VLOOKUP(A2406,'[11]Linea Asociados'!$A$1:$E$492,5,FALSE)</f>
        <v>14.07</v>
      </c>
      <c r="F2406" s="22">
        <f>VLOOKUP(A2406,'[11]Linea Asociados'!$A$1:$F$492,6,FALSE)</f>
        <v>15.9</v>
      </c>
    </row>
    <row r="2407" spans="1:6" x14ac:dyDescent="0.3">
      <c r="A2407" s="87" t="s">
        <v>2907</v>
      </c>
      <c r="B2407" s="34" t="s">
        <v>2908</v>
      </c>
      <c r="C2407" s="22">
        <f>VLOOKUP(A2407,'[11]Linea Asociados'!$A$1:$F$492,3,FALSE)</f>
        <v>11.26</v>
      </c>
      <c r="D2407" s="22">
        <f>VLOOKUP(A2407,'[11]Linea Asociados'!$A$1:$D$492,4,FALSE)</f>
        <v>12.72</v>
      </c>
      <c r="E2407" s="22">
        <f>VLOOKUP(A2407,'[11]Linea Asociados'!$A$1:$E$492,5,FALSE)</f>
        <v>14.07</v>
      </c>
      <c r="F2407" s="22">
        <f>VLOOKUP(A2407,'[11]Linea Asociados'!$A$1:$F$492,6,FALSE)</f>
        <v>15.9</v>
      </c>
    </row>
    <row r="2408" spans="1:6" x14ac:dyDescent="0.3">
      <c r="A2408" s="87">
        <v>31063</v>
      </c>
      <c r="B2408" s="34" t="s">
        <v>2909</v>
      </c>
      <c r="C2408" s="22">
        <f>VLOOKUP(A2408,'[11]Linea Asociados'!$A$1:$F$492,3,FALSE)</f>
        <v>1.35</v>
      </c>
      <c r="D2408" s="22">
        <f>VLOOKUP(A2408,'[11]Linea Asociados'!$A$1:$D$492,4,FALSE)</f>
        <v>1.52</v>
      </c>
      <c r="E2408" s="22">
        <f>VLOOKUP(A2408,'[11]Linea Asociados'!$A$1:$E$492,5,FALSE)</f>
        <v>1.68</v>
      </c>
      <c r="F2408" s="22">
        <f>VLOOKUP(A2408,'[11]Linea Asociados'!$A$1:$F$492,6,FALSE)</f>
        <v>1.9</v>
      </c>
    </row>
    <row r="2409" spans="1:6" x14ac:dyDescent="0.3">
      <c r="A2409" s="87" t="s">
        <v>2910</v>
      </c>
      <c r="B2409" s="34" t="s">
        <v>2911</v>
      </c>
      <c r="C2409" s="22">
        <f>VLOOKUP(A2409,'[11]Linea Asociados'!$A$1:$F$492,3,FALSE)</f>
        <v>1.35</v>
      </c>
      <c r="D2409" s="22">
        <f>VLOOKUP(A2409,'[11]Linea Asociados'!$A$1:$D$492,4,FALSE)</f>
        <v>1.52</v>
      </c>
      <c r="E2409" s="22">
        <f>VLOOKUP(A2409,'[11]Linea Asociados'!$A$1:$E$492,5,FALSE)</f>
        <v>1.68</v>
      </c>
      <c r="F2409" s="22">
        <f>VLOOKUP(A2409,'[11]Linea Asociados'!$A$1:$F$492,6,FALSE)</f>
        <v>1.9</v>
      </c>
    </row>
    <row r="2410" spans="1:6" x14ac:dyDescent="0.3">
      <c r="A2410" s="87" t="s">
        <v>2912</v>
      </c>
      <c r="B2410" s="34" t="s">
        <v>2913</v>
      </c>
      <c r="C2410" s="22">
        <f>VLOOKUP(A2410,'[11]Linea Asociados'!$A$1:$F$492,3,FALSE)</f>
        <v>0.14000000000000001</v>
      </c>
      <c r="D2410" s="22">
        <f>VLOOKUP(A2410,'[11]Linea Asociados'!$A$1:$D$492,4,FALSE)</f>
        <v>0.16</v>
      </c>
      <c r="E2410" s="22">
        <f>VLOOKUP(A2410,'[11]Linea Asociados'!$A$1:$E$492,5,FALSE)</f>
        <v>0.18</v>
      </c>
      <c r="F2410" s="22">
        <f>VLOOKUP(A2410,'[11]Linea Asociados'!$A$1:$F$492,6,FALSE)</f>
        <v>0.2</v>
      </c>
    </row>
    <row r="2411" spans="1:6" x14ac:dyDescent="0.3">
      <c r="A2411" s="87" t="s">
        <v>2914</v>
      </c>
      <c r="B2411" s="34" t="s">
        <v>2915</v>
      </c>
      <c r="C2411" s="22">
        <f>VLOOKUP(A2411,'[11]Linea Asociados'!$A$1:$F$492,3,FALSE)</f>
        <v>0.35</v>
      </c>
      <c r="D2411" s="22">
        <f>VLOOKUP(A2411,'[11]Linea Asociados'!$A$1:$D$492,4,FALSE)</f>
        <v>0.4</v>
      </c>
      <c r="E2411" s="22">
        <f>VLOOKUP(A2411,'[11]Linea Asociados'!$A$1:$E$492,5,FALSE)</f>
        <v>0.44</v>
      </c>
      <c r="F2411" s="22">
        <f>VLOOKUP(A2411,'[11]Linea Asociados'!$A$1:$F$492,6,FALSE)</f>
        <v>0.5</v>
      </c>
    </row>
    <row r="2412" spans="1:6" x14ac:dyDescent="0.3">
      <c r="A2412" s="87">
        <v>3800</v>
      </c>
      <c r="B2412" s="34" t="s">
        <v>2916</v>
      </c>
      <c r="C2412" s="22">
        <f>VLOOKUP(A2412,'[11]Linea Asociados'!$A$1:$F$492,3,FALSE)</f>
        <v>8.14</v>
      </c>
      <c r="D2412" s="22">
        <f>VLOOKUP(A2412,'[11]Linea Asociados'!$A$1:$D$492,4,FALSE)</f>
        <v>9.1999999999999993</v>
      </c>
      <c r="E2412" s="22">
        <f>VLOOKUP(A2412,'[11]Linea Asociados'!$A$1:$E$492,5,FALSE)</f>
        <v>10.18</v>
      </c>
      <c r="F2412" s="22">
        <f>VLOOKUP(A2412,'[11]Linea Asociados'!$A$1:$F$492,6,FALSE)</f>
        <v>11.5</v>
      </c>
    </row>
    <row r="2413" spans="1:6" x14ac:dyDescent="0.3">
      <c r="A2413" s="87">
        <v>3801</v>
      </c>
      <c r="B2413" s="34" t="s">
        <v>2917</v>
      </c>
      <c r="C2413" s="22">
        <f>VLOOKUP(A2413,'[11]Linea Asociados'!$A$1:$F$492,3,FALSE)</f>
        <v>8.14</v>
      </c>
      <c r="D2413" s="22">
        <f>VLOOKUP(A2413,'[11]Linea Asociados'!$A$1:$D$492,4,FALSE)</f>
        <v>9.1999999999999993</v>
      </c>
      <c r="E2413" s="22">
        <f>VLOOKUP(A2413,'[11]Linea Asociados'!$A$1:$E$492,5,FALSE)</f>
        <v>10.18</v>
      </c>
      <c r="F2413" s="22">
        <f>VLOOKUP(A2413,'[11]Linea Asociados'!$A$1:$F$492,6,FALSE)</f>
        <v>11.5</v>
      </c>
    </row>
    <row r="2414" spans="1:6" x14ac:dyDescent="0.3">
      <c r="A2414" s="87">
        <v>3802</v>
      </c>
      <c r="B2414" s="34" t="s">
        <v>3205</v>
      </c>
      <c r="C2414" s="22">
        <f>VLOOKUP(A2414,'[11]Linea Asociados'!$A$1:$F$492,3,FALSE)</f>
        <v>8.14</v>
      </c>
      <c r="D2414" s="22">
        <f>VLOOKUP(A2414,'[11]Linea Asociados'!$A$1:$D$492,4,FALSE)</f>
        <v>9.1999999999999993</v>
      </c>
      <c r="E2414" s="22">
        <f>VLOOKUP(A2414,'[11]Linea Asociados'!$A$1:$E$492,5,FALSE)</f>
        <v>10.18</v>
      </c>
      <c r="F2414" s="22">
        <f>VLOOKUP(A2414,'[11]Linea Asociados'!$A$1:$F$492,6,FALSE)</f>
        <v>11.5</v>
      </c>
    </row>
    <row r="2415" spans="1:6" x14ac:dyDescent="0.3">
      <c r="A2415" s="87" t="s">
        <v>2918</v>
      </c>
      <c r="B2415" s="34" t="s">
        <v>2919</v>
      </c>
      <c r="C2415" s="22">
        <f>VLOOKUP(A2415,'[11]Linea Asociados'!$A$1:$F$492,3,FALSE)</f>
        <v>2.69</v>
      </c>
      <c r="D2415" s="22">
        <f>VLOOKUP(A2415,'[11]Linea Asociados'!$A$1:$D$492,4,FALSE)</f>
        <v>3.04</v>
      </c>
      <c r="E2415" s="22">
        <f>VLOOKUP(A2415,'[11]Linea Asociados'!$A$1:$E$492,5,FALSE)</f>
        <v>3.36</v>
      </c>
      <c r="F2415" s="22">
        <f>VLOOKUP(A2415,'[11]Linea Asociados'!$A$1:$F$492,6,FALSE)</f>
        <v>3.8</v>
      </c>
    </row>
    <row r="2416" spans="1:6" x14ac:dyDescent="0.3">
      <c r="A2416" s="87" t="s">
        <v>2920</v>
      </c>
      <c r="B2416" s="34" t="s">
        <v>2921</v>
      </c>
      <c r="C2416" s="22">
        <f>VLOOKUP(A2416,'[11]Linea Asociados'!$A$1:$F$492,3,FALSE)</f>
        <v>1.7</v>
      </c>
      <c r="D2416" s="22">
        <f>VLOOKUP(A2416,'[11]Linea Asociados'!$A$1:$D$492,4,FALSE)</f>
        <v>1.92</v>
      </c>
      <c r="E2416" s="22">
        <f>VLOOKUP(A2416,'[11]Linea Asociados'!$A$1:$E$492,5,FALSE)</f>
        <v>2.12</v>
      </c>
      <c r="F2416" s="22">
        <f>VLOOKUP(A2416,'[11]Linea Asociados'!$A$1:$F$492,6,FALSE)</f>
        <v>2.4</v>
      </c>
    </row>
    <row r="2417" spans="1:6" x14ac:dyDescent="0.3">
      <c r="A2417" s="87" t="s">
        <v>2922</v>
      </c>
      <c r="B2417" s="34" t="s">
        <v>2923</v>
      </c>
      <c r="C2417" s="22">
        <f>VLOOKUP(A2417,'[11]Linea Asociados'!$A$1:$F$492,3,FALSE)</f>
        <v>4.46</v>
      </c>
      <c r="D2417" s="22">
        <f>VLOOKUP(A2417,'[11]Linea Asociados'!$A$1:$D$492,4,FALSE)</f>
        <v>5.04</v>
      </c>
      <c r="E2417" s="22">
        <f>VLOOKUP(A2417,'[11]Linea Asociados'!$A$1:$E$492,5,FALSE)</f>
        <v>5.58</v>
      </c>
      <c r="F2417" s="22">
        <f>VLOOKUP(A2417,'[11]Linea Asociados'!$A$1:$F$492,6,FALSE)</f>
        <v>6.3</v>
      </c>
    </row>
    <row r="2418" spans="1:6" x14ac:dyDescent="0.3">
      <c r="A2418" s="87" t="s">
        <v>2924</v>
      </c>
      <c r="B2418" s="34" t="s">
        <v>2925</v>
      </c>
      <c r="C2418" s="22">
        <f>VLOOKUP(A2418,'[11]Linea Asociados'!$A$1:$F$492,3,FALSE)</f>
        <v>7.29</v>
      </c>
      <c r="D2418" s="22">
        <f>VLOOKUP(A2418,'[11]Linea Asociados'!$A$1:$D$492,4,FALSE)</f>
        <v>8.24</v>
      </c>
      <c r="E2418" s="22">
        <f>VLOOKUP(A2418,'[11]Linea Asociados'!$A$1:$E$492,5,FALSE)</f>
        <v>9.1199999999999992</v>
      </c>
      <c r="F2418" s="22">
        <f>VLOOKUP(A2418,'[11]Linea Asociados'!$A$1:$F$492,6,FALSE)</f>
        <v>10.3</v>
      </c>
    </row>
    <row r="2419" spans="1:6" x14ac:dyDescent="0.3">
      <c r="A2419" s="87" t="s">
        <v>2926</v>
      </c>
      <c r="B2419" s="34" t="s">
        <v>3206</v>
      </c>
      <c r="C2419" s="22">
        <f>VLOOKUP(A2419,'[11]Linea Asociados'!$A$1:$F$492,3,FALSE)</f>
        <v>22.65</v>
      </c>
      <c r="D2419" s="22">
        <f>VLOOKUP(A2419,'[11]Linea Asociados'!$A$1:$D$492,4,FALSE)</f>
        <v>25.6</v>
      </c>
      <c r="E2419" s="22">
        <f>VLOOKUP(A2419,'[11]Linea Asociados'!$A$1:$E$492,5,FALSE)</f>
        <v>28.32</v>
      </c>
      <c r="F2419" s="22">
        <f>VLOOKUP(A2419,'[11]Linea Asociados'!$A$1:$F$492,6,FALSE)</f>
        <v>32</v>
      </c>
    </row>
    <row r="2420" spans="1:6" x14ac:dyDescent="0.3">
      <c r="A2420" s="87">
        <v>43021</v>
      </c>
      <c r="B2420" s="34" t="s">
        <v>2927</v>
      </c>
      <c r="C2420" s="22">
        <f>VLOOKUP(A2420,'[11]Linea Asociados'!$A$1:$F$492,3,FALSE)</f>
        <v>0.5</v>
      </c>
      <c r="D2420" s="22">
        <f>VLOOKUP(A2420,'[11]Linea Asociados'!$A$1:$D$492,4,FALSE)</f>
        <v>0.56000000000000005</v>
      </c>
      <c r="E2420" s="22">
        <f>VLOOKUP(A2420,'[11]Linea Asociados'!$A$1:$E$492,5,FALSE)</f>
        <v>0.62</v>
      </c>
      <c r="F2420" s="22">
        <f>VLOOKUP(A2420,'[11]Linea Asociados'!$A$1:$F$492,6,FALSE)</f>
        <v>0.7</v>
      </c>
    </row>
    <row r="2421" spans="1:6" x14ac:dyDescent="0.3">
      <c r="A2421" s="87">
        <v>43022</v>
      </c>
      <c r="B2421" s="34" t="s">
        <v>2928</v>
      </c>
      <c r="C2421" s="22">
        <f>VLOOKUP(A2421,'[11]Linea Asociados'!$A$1:$F$492,3,FALSE)</f>
        <v>0.64</v>
      </c>
      <c r="D2421" s="22">
        <f>VLOOKUP(A2421,'[11]Linea Asociados'!$A$1:$D$492,4,FALSE)</f>
        <v>0.72</v>
      </c>
      <c r="E2421" s="22">
        <f>VLOOKUP(A2421,'[11]Linea Asociados'!$A$1:$E$492,5,FALSE)</f>
        <v>0.8</v>
      </c>
      <c r="F2421" s="22">
        <f>VLOOKUP(A2421,'[11]Linea Asociados'!$A$1:$F$492,6,FALSE)</f>
        <v>0.9</v>
      </c>
    </row>
    <row r="2422" spans="1:6" x14ac:dyDescent="0.3">
      <c r="A2422" s="87">
        <v>43023</v>
      </c>
      <c r="B2422" s="34" t="s">
        <v>2929</v>
      </c>
      <c r="C2422" s="22">
        <f>VLOOKUP(A2422,'[11]Linea Asociados'!$A$1:$F$492,3,FALSE)</f>
        <v>0.78</v>
      </c>
      <c r="D2422" s="22">
        <f>VLOOKUP(A2422,'[11]Linea Asociados'!$A$1:$D$492,4,FALSE)</f>
        <v>0.88</v>
      </c>
      <c r="E2422" s="22">
        <f>VLOOKUP(A2422,'[11]Linea Asociados'!$A$1:$E$492,5,FALSE)</f>
        <v>0.97</v>
      </c>
      <c r="F2422" s="22">
        <f>VLOOKUP(A2422,'[11]Linea Asociados'!$A$1:$F$492,6,FALSE)</f>
        <v>1.1000000000000001</v>
      </c>
    </row>
    <row r="2423" spans="1:6" x14ac:dyDescent="0.3">
      <c r="A2423" s="87" t="s">
        <v>3207</v>
      </c>
      <c r="B2423" s="34" t="s">
        <v>3208</v>
      </c>
      <c r="C2423" s="22">
        <f>VLOOKUP(A2423,'[11]Linea Asociados'!$A$1:$F$492,3,FALSE)</f>
        <v>2.29</v>
      </c>
      <c r="D2423" s="22">
        <f>VLOOKUP(A2423,'[11]Linea Asociados'!$A$1:$D$492,4,FALSE)</f>
        <v>2.59</v>
      </c>
      <c r="E2423" s="22">
        <f>VLOOKUP(A2423,'[11]Linea Asociados'!$A$1:$E$492,5,FALSE)</f>
        <v>3.1</v>
      </c>
      <c r="F2423" s="22">
        <f>VLOOKUP(A2423,'[11]Linea Asociados'!$A$1:$F$492,6,FALSE)</f>
        <v>3.5</v>
      </c>
    </row>
    <row r="2424" spans="1:6" x14ac:dyDescent="0.3">
      <c r="A2424" s="87" t="s">
        <v>3209</v>
      </c>
      <c r="B2424" s="34" t="s">
        <v>3210</v>
      </c>
      <c r="C2424" s="22">
        <f>VLOOKUP(A2424,'[11]Linea Asociados'!$A$1:$F$492,3,FALSE)</f>
        <v>2.29</v>
      </c>
      <c r="D2424" s="22">
        <f>VLOOKUP(A2424,'[11]Linea Asociados'!$A$1:$D$492,4,FALSE)</f>
        <v>2.59</v>
      </c>
      <c r="E2424" s="22">
        <f>VLOOKUP(A2424,'[11]Linea Asociados'!$A$1:$E$492,5,FALSE)</f>
        <v>3.1</v>
      </c>
      <c r="F2424" s="22">
        <f>VLOOKUP(A2424,'[11]Linea Asociados'!$A$1:$F$492,6,FALSE)</f>
        <v>3.5</v>
      </c>
    </row>
    <row r="2425" spans="1:6" x14ac:dyDescent="0.3">
      <c r="A2425" s="87" t="s">
        <v>2930</v>
      </c>
      <c r="B2425" s="34" t="s">
        <v>2931</v>
      </c>
      <c r="C2425" s="22">
        <f>VLOOKUP(A2425,'[11]Linea Asociados'!$A$1:$F$492,3,FALSE)</f>
        <v>2.0499999999999998</v>
      </c>
      <c r="D2425" s="22">
        <f>VLOOKUP(A2425,'[11]Linea Asociados'!$A$1:$D$492,4,FALSE)</f>
        <v>2.3199999999999998</v>
      </c>
      <c r="E2425" s="22">
        <f>VLOOKUP(A2425,'[11]Linea Asociados'!$A$1:$E$492,5,FALSE)</f>
        <v>2.57</v>
      </c>
      <c r="F2425" s="22">
        <f>VLOOKUP(A2425,'[11]Linea Asociados'!$A$1:$F$492,6,FALSE)</f>
        <v>2.9</v>
      </c>
    </row>
    <row r="2426" spans="1:6" x14ac:dyDescent="0.3">
      <c r="A2426" s="87" t="s">
        <v>2932</v>
      </c>
      <c r="B2426" s="34" t="s">
        <v>2933</v>
      </c>
      <c r="C2426" s="22">
        <f>VLOOKUP(A2426,'[11]Linea Asociados'!$A$1:$F$492,3,FALSE)</f>
        <v>1.06</v>
      </c>
      <c r="D2426" s="22">
        <f>VLOOKUP(A2426,'[11]Linea Asociados'!$A$1:$D$492,4,FALSE)</f>
        <v>1.2</v>
      </c>
      <c r="E2426" s="22">
        <f>VLOOKUP(A2426,'[11]Linea Asociados'!$A$1:$E$492,5,FALSE)</f>
        <v>1.33</v>
      </c>
      <c r="F2426" s="22">
        <f>VLOOKUP(A2426,'[11]Linea Asociados'!$A$1:$F$492,6,FALSE)</f>
        <v>1.5</v>
      </c>
    </row>
    <row r="2427" spans="1:6" x14ac:dyDescent="0.3">
      <c r="A2427" s="87" t="s">
        <v>2934</v>
      </c>
      <c r="B2427" s="34" t="s">
        <v>2935</v>
      </c>
      <c r="C2427" s="22">
        <f>VLOOKUP(A2427,'[11]Linea Asociados'!$A$1:$F$492,3,FALSE)</f>
        <v>8</v>
      </c>
      <c r="D2427" s="22">
        <f>VLOOKUP(A2427,'[11]Linea Asociados'!$A$1:$D$492,4,FALSE)</f>
        <v>9.0399999999999991</v>
      </c>
      <c r="E2427" s="22">
        <f>VLOOKUP(A2427,'[11]Linea Asociados'!$A$1:$E$492,5,FALSE)</f>
        <v>10</v>
      </c>
      <c r="F2427" s="22">
        <f>VLOOKUP(A2427,'[11]Linea Asociados'!$A$1:$F$492,6,FALSE)</f>
        <v>11.3</v>
      </c>
    </row>
    <row r="2428" spans="1:6" x14ac:dyDescent="0.3">
      <c r="A2428" s="87" t="s">
        <v>2936</v>
      </c>
      <c r="B2428" s="34" t="s">
        <v>2937</v>
      </c>
      <c r="C2428" s="22">
        <f>VLOOKUP(A2428,'[11]Linea Asociados'!$A$1:$F$492,3,FALSE)</f>
        <v>4.18</v>
      </c>
      <c r="D2428" s="22">
        <f>VLOOKUP(A2428,'[11]Linea Asociados'!$A$1:$D$492,4,FALSE)</f>
        <v>4.72</v>
      </c>
      <c r="E2428" s="22">
        <f>VLOOKUP(A2428,'[11]Linea Asociados'!$A$1:$E$492,5,FALSE)</f>
        <v>5.22</v>
      </c>
      <c r="F2428" s="22">
        <f>VLOOKUP(A2428,'[11]Linea Asociados'!$A$1:$F$492,6,FALSE)</f>
        <v>5.9</v>
      </c>
    </row>
    <row r="2429" spans="1:6" x14ac:dyDescent="0.3">
      <c r="A2429" s="87" t="s">
        <v>2938</v>
      </c>
      <c r="B2429" s="34" t="s">
        <v>2939</v>
      </c>
      <c r="C2429" s="22">
        <f>VLOOKUP(A2429,'[11]Linea Asociados'!$A$1:$F$492,3,FALSE)</f>
        <v>0.92</v>
      </c>
      <c r="D2429" s="22">
        <f>VLOOKUP(A2429,'[11]Linea Asociados'!$A$1:$D$492,4,FALSE)</f>
        <v>1.04</v>
      </c>
      <c r="E2429" s="22">
        <f>VLOOKUP(A2429,'[11]Linea Asociados'!$A$1:$E$492,5,FALSE)</f>
        <v>1.1499999999999999</v>
      </c>
      <c r="F2429" s="22">
        <f>VLOOKUP(A2429,'[11]Linea Asociados'!$A$1:$F$492,6,FALSE)</f>
        <v>1.3</v>
      </c>
    </row>
    <row r="2430" spans="1:6" x14ac:dyDescent="0.3">
      <c r="A2430" s="87" t="s">
        <v>2940</v>
      </c>
      <c r="B2430" s="34" t="s">
        <v>2941</v>
      </c>
      <c r="C2430" s="22">
        <f>VLOOKUP(A2430,'[11]Linea Asociados'!$A$1:$F$492,3,FALSE)</f>
        <v>0.92</v>
      </c>
      <c r="D2430" s="22">
        <f>VLOOKUP(A2430,'[11]Linea Asociados'!$A$1:$D$492,4,FALSE)</f>
        <v>1.04</v>
      </c>
      <c r="E2430" s="22">
        <f>VLOOKUP(A2430,'[11]Linea Asociados'!$A$1:$E$492,5,FALSE)</f>
        <v>1.1499999999999999</v>
      </c>
      <c r="F2430" s="22">
        <f>VLOOKUP(A2430,'[11]Linea Asociados'!$A$1:$F$492,6,FALSE)</f>
        <v>1.3</v>
      </c>
    </row>
    <row r="2431" spans="1:6" x14ac:dyDescent="0.3">
      <c r="A2431" s="87" t="s">
        <v>2942</v>
      </c>
      <c r="B2431" s="34" t="s">
        <v>2943</v>
      </c>
      <c r="C2431" s="22">
        <f>VLOOKUP(A2431,'[11]Linea Asociados'!$A$1:$F$492,3,FALSE)</f>
        <v>0.92</v>
      </c>
      <c r="D2431" s="22">
        <f>VLOOKUP(A2431,'[11]Linea Asociados'!$A$1:$D$492,4,FALSE)</f>
        <v>1.04</v>
      </c>
      <c r="E2431" s="22">
        <f>VLOOKUP(A2431,'[11]Linea Asociados'!$A$1:$E$492,5,FALSE)</f>
        <v>1.1499999999999999</v>
      </c>
      <c r="F2431" s="22">
        <f>VLOOKUP(A2431,'[11]Linea Asociados'!$A$1:$F$492,6,FALSE)</f>
        <v>1.3</v>
      </c>
    </row>
    <row r="2432" spans="1:6" x14ac:dyDescent="0.3">
      <c r="A2432" s="87" t="s">
        <v>3211</v>
      </c>
      <c r="B2432" s="34" t="s">
        <v>3212</v>
      </c>
      <c r="C2432" s="22">
        <f>VLOOKUP(A2432,'[11]Linea Asociados'!$A$1:$F$492,3,FALSE)</f>
        <v>6.75</v>
      </c>
      <c r="D2432" s="22">
        <f>VLOOKUP(A2432,'[11]Linea Asociados'!$A$1:$D$492,4,FALSE)</f>
        <v>7.63</v>
      </c>
      <c r="E2432" s="22">
        <f>VLOOKUP(A2432,'[11]Linea Asociados'!$A$1:$E$492,5,FALSE)</f>
        <v>9.65</v>
      </c>
      <c r="F2432" s="22">
        <f>VLOOKUP(A2432,'[11]Linea Asociados'!$A$1:$F$492,6,FALSE)</f>
        <v>10.9</v>
      </c>
    </row>
    <row r="2433" spans="1:6" x14ac:dyDescent="0.3">
      <c r="A2433" s="87" t="s">
        <v>3213</v>
      </c>
      <c r="B2433" s="34" t="s">
        <v>3214</v>
      </c>
      <c r="C2433" s="22">
        <f>VLOOKUP(A2433,'[11]Linea Asociados'!$A$1:$F$492,3,FALSE)</f>
        <v>6.75</v>
      </c>
      <c r="D2433" s="22">
        <f>VLOOKUP(A2433,'[11]Linea Asociados'!$A$1:$D$492,4,FALSE)</f>
        <v>7.63</v>
      </c>
      <c r="E2433" s="22">
        <f>VLOOKUP(A2433,'[11]Linea Asociados'!$A$1:$E$492,5,FALSE)</f>
        <v>9.65</v>
      </c>
      <c r="F2433" s="22">
        <f>VLOOKUP(A2433,'[11]Linea Asociados'!$A$1:$F$492,6,FALSE)</f>
        <v>10.9</v>
      </c>
    </row>
    <row r="2434" spans="1:6" x14ac:dyDescent="0.3">
      <c r="A2434" s="87" t="s">
        <v>3215</v>
      </c>
      <c r="B2434" s="34" t="s">
        <v>3216</v>
      </c>
      <c r="C2434" s="22">
        <f>VLOOKUP(A2434,'[11]Linea Asociados'!$A$1:$F$492,3,FALSE)</f>
        <v>6.75</v>
      </c>
      <c r="D2434" s="22">
        <f>VLOOKUP(A2434,'[11]Linea Asociados'!$A$1:$D$492,4,FALSE)</f>
        <v>7.63</v>
      </c>
      <c r="E2434" s="22">
        <f>VLOOKUP(A2434,'[11]Linea Asociados'!$A$1:$E$492,5,FALSE)</f>
        <v>9.65</v>
      </c>
      <c r="F2434" s="22">
        <f>VLOOKUP(A2434,'[11]Linea Asociados'!$A$1:$F$492,6,FALSE)</f>
        <v>10.9</v>
      </c>
    </row>
    <row r="2435" spans="1:6" ht="15" thickBot="1" x14ac:dyDescent="0.35">
      <c r="A2435" s="93" t="s">
        <v>3217</v>
      </c>
      <c r="B2435" s="94" t="s">
        <v>4026</v>
      </c>
      <c r="C2435" s="85">
        <f>VLOOKUP(A2435,'[11]Linea Asociados'!$A$1:$F$492,3,FALSE)</f>
        <v>0.62</v>
      </c>
      <c r="D2435" s="85">
        <f>VLOOKUP(A2435,'[11]Linea Asociados'!$A$1:$D$492,4,FALSE)</f>
        <v>0.7</v>
      </c>
      <c r="E2435" s="85">
        <f>VLOOKUP(A2435,'[11]Linea Asociados'!$A$1:$E$492,5,FALSE)</f>
        <v>0.88</v>
      </c>
      <c r="F2435" s="85">
        <f>VLOOKUP(A2435,'[11]Linea Asociados'!$A$1:$F$492,6,FALSE)</f>
        <v>1</v>
      </c>
    </row>
    <row r="2436" spans="1:6" x14ac:dyDescent="0.3">
      <c r="A2436" s="95" t="s">
        <v>2944</v>
      </c>
      <c r="B2436" s="96" t="s">
        <v>4027</v>
      </c>
      <c r="C2436" s="22">
        <f>VLOOKUP(A2436,'[11]Linea Equipos Graco'!$A$4:$F$61,3,FALSE)</f>
        <v>4944.25</v>
      </c>
      <c r="D2436" s="22">
        <f>VLOOKUP(A2436,'[11]Linea Equipos Graco'!$A$4:$F$61,4,FALSE)</f>
        <v>5587</v>
      </c>
      <c r="E2436" s="22">
        <f>VLOOKUP(A2436,'[11]Linea Equipos Graco'!$A$4:$F$61,5,FALSE)</f>
        <v>6681.42</v>
      </c>
      <c r="F2436" s="22">
        <f>VLOOKUP(A2436,'[11]Linea Equipos Graco'!$A$4:$F$61,6,FALSE)</f>
        <v>7550</v>
      </c>
    </row>
    <row r="2437" spans="1:6" x14ac:dyDescent="0.3">
      <c r="A2437" s="95" t="s">
        <v>4015</v>
      </c>
      <c r="B2437" s="96" t="s">
        <v>4016</v>
      </c>
      <c r="C2437" s="22">
        <f>VLOOKUP(A2437,'[11]Linea Equipos Graco'!$A$4:$F$61,3,FALSE)</f>
        <v>2315.08</v>
      </c>
      <c r="D2437" s="22">
        <f>VLOOKUP(A2437,'[11]Linea Equipos Graco'!$A$4:$F$61,4,FALSE)</f>
        <v>2616.04</v>
      </c>
      <c r="E2437" s="22">
        <f>VLOOKUP(A2437,'[11]Linea Equipos Graco'!$A$4:$F$61,5,FALSE)</f>
        <v>2723.63</v>
      </c>
      <c r="F2437" s="22">
        <f>VLOOKUP(A2437,'[11]Linea Equipos Graco'!$A$4:$F$61,6,FALSE)</f>
        <v>3077.7</v>
      </c>
    </row>
    <row r="2438" spans="1:6" x14ac:dyDescent="0.3">
      <c r="A2438" s="95" t="s">
        <v>4017</v>
      </c>
      <c r="B2438" s="96" t="s">
        <v>4018</v>
      </c>
      <c r="C2438" s="22">
        <f>VLOOKUP(A2438,'[11]Linea Equipos Graco'!$A$4:$F$61,3,FALSE)</f>
        <v>1307.72</v>
      </c>
      <c r="D2438" s="22">
        <f>VLOOKUP(A2438,'[11]Linea Equipos Graco'!$A$4:$F$61,4,FALSE)</f>
        <v>1477.72</v>
      </c>
      <c r="E2438" s="22">
        <f>VLOOKUP(A2438,'[11]Linea Equipos Graco'!$A$4:$F$61,5,FALSE)</f>
        <v>1538.5</v>
      </c>
      <c r="F2438" s="22">
        <f>VLOOKUP(A2438,'[11]Linea Equipos Graco'!$A$4:$F$61,6,FALSE)</f>
        <v>1738.5</v>
      </c>
    </row>
    <row r="2439" spans="1:6" x14ac:dyDescent="0.3">
      <c r="A2439" s="95" t="s">
        <v>2945</v>
      </c>
      <c r="B2439" s="96" t="s">
        <v>2946</v>
      </c>
      <c r="C2439" s="22">
        <f>VLOOKUP(A2439,'[11]Linea Equipos Graco'!$A$4:$F$61,3,FALSE)</f>
        <v>87.66</v>
      </c>
      <c r="D2439" s="22">
        <f>VLOOKUP(A2439,'[11]Linea Equipos Graco'!$A$4:$F$61,4,FALSE)</f>
        <v>99.06</v>
      </c>
      <c r="E2439" s="22">
        <f>VLOOKUP(A2439,'[11]Linea Equipos Graco'!$A$4:$F$61,5,FALSE)</f>
        <v>112.39</v>
      </c>
      <c r="F2439" s="22">
        <f>VLOOKUP(A2439,'[11]Linea Equipos Graco'!$A$4:$F$61,6,FALSE)</f>
        <v>127</v>
      </c>
    </row>
    <row r="2440" spans="1:6" x14ac:dyDescent="0.3">
      <c r="A2440" s="95" t="s">
        <v>2947</v>
      </c>
      <c r="B2440" s="96" t="s">
        <v>2948</v>
      </c>
      <c r="C2440" s="22">
        <f>VLOOKUP(A2440,'[11]Linea Equipos Graco'!$A$4:$F$61,3,FALSE)</f>
        <v>95.58</v>
      </c>
      <c r="D2440" s="22">
        <f>VLOOKUP(A2440,'[11]Linea Equipos Graco'!$A$4:$F$61,4,FALSE)</f>
        <v>108</v>
      </c>
      <c r="E2440" s="22">
        <f>VLOOKUP(A2440,'[11]Linea Equipos Graco'!$A$4:$F$61,5,FALSE)</f>
        <v>119.47</v>
      </c>
      <c r="F2440" s="22">
        <f>VLOOKUP(A2440,'[11]Linea Equipos Graco'!$A$4:$F$61,6,FALSE)</f>
        <v>135</v>
      </c>
    </row>
    <row r="2441" spans="1:6" x14ac:dyDescent="0.3">
      <c r="A2441" s="95" t="s">
        <v>2949</v>
      </c>
      <c r="B2441" s="96" t="s">
        <v>2950</v>
      </c>
      <c r="C2441" s="22">
        <f>VLOOKUP(A2441,'[11]Linea Equipos Graco'!$A$4:$F$61,3,FALSE)</f>
        <v>7.86</v>
      </c>
      <c r="D2441" s="22">
        <f>VLOOKUP(A2441,'[11]Linea Equipos Graco'!$A$4:$F$61,4,FALSE)</f>
        <v>8.8800000000000008</v>
      </c>
      <c r="E2441" s="22">
        <f>VLOOKUP(A2441,'[11]Linea Equipos Graco'!$A$4:$F$61,5,FALSE)</f>
        <v>9.82</v>
      </c>
      <c r="F2441" s="22">
        <f>VLOOKUP(A2441,'[11]Linea Equipos Graco'!$A$4:$F$61,6,FALSE)</f>
        <v>11.1</v>
      </c>
    </row>
    <row r="2442" spans="1:6" x14ac:dyDescent="0.3">
      <c r="A2442" s="95" t="s">
        <v>2951</v>
      </c>
      <c r="B2442" s="96" t="s">
        <v>2952</v>
      </c>
      <c r="C2442" s="22">
        <f>VLOOKUP(A2442,'[11]Linea Equipos Graco'!$A$4:$F$61,3,FALSE)</f>
        <v>11.96</v>
      </c>
      <c r="D2442" s="22">
        <f>VLOOKUP(A2442,'[11]Linea Equipos Graco'!$A$4:$F$61,4,FALSE)</f>
        <v>13.52</v>
      </c>
      <c r="E2442" s="22">
        <f>VLOOKUP(A2442,'[11]Linea Equipos Graco'!$A$4:$F$61,5,FALSE)</f>
        <v>14.96</v>
      </c>
      <c r="F2442" s="22">
        <f>VLOOKUP(A2442,'[11]Linea Equipos Graco'!$A$4:$F$61,6,FALSE)</f>
        <v>16.899999999999999</v>
      </c>
    </row>
    <row r="2443" spans="1:6" x14ac:dyDescent="0.3">
      <c r="A2443" s="95" t="s">
        <v>2953</v>
      </c>
      <c r="B2443" s="96" t="s">
        <v>2954</v>
      </c>
      <c r="C2443" s="22">
        <f>VLOOKUP(A2443,'[11]Linea Equipos Graco'!$A$4:$F$61,3,FALSE)</f>
        <v>11.33</v>
      </c>
      <c r="D2443" s="22">
        <f>VLOOKUP(A2443,'[11]Linea Equipos Graco'!$A$4:$F$61,4,FALSE)</f>
        <v>12.8</v>
      </c>
      <c r="E2443" s="22">
        <f>VLOOKUP(A2443,'[11]Linea Equipos Graco'!$A$4:$F$61,5,FALSE)</f>
        <v>14.16</v>
      </c>
      <c r="F2443" s="22">
        <f>VLOOKUP(A2443,'[11]Linea Equipos Graco'!$A$4:$F$61,6,FALSE)</f>
        <v>16</v>
      </c>
    </row>
    <row r="2444" spans="1:6" x14ac:dyDescent="0.3">
      <c r="A2444" s="95" t="s">
        <v>2955</v>
      </c>
      <c r="B2444" s="96" t="s">
        <v>2956</v>
      </c>
      <c r="C2444" s="22">
        <f>VLOOKUP(A2444,'[11]Linea Equipos Graco'!$A$4:$F$61,3,FALSE)</f>
        <v>411.33</v>
      </c>
      <c r="D2444" s="22">
        <f>VLOOKUP(A2444,'[11]Linea Equipos Graco'!$A$4:$F$61,4,FALSE)</f>
        <v>464.8</v>
      </c>
      <c r="E2444" s="22">
        <f>VLOOKUP(A2444,'[11]Linea Equipos Graco'!$A$4:$F$61,5,FALSE)</f>
        <v>514.16</v>
      </c>
      <c r="F2444" s="22">
        <f>VLOOKUP(A2444,'[11]Linea Equipos Graco'!$A$4:$F$61,6,FALSE)</f>
        <v>581</v>
      </c>
    </row>
    <row r="2445" spans="1:6" x14ac:dyDescent="0.3">
      <c r="A2445" s="95" t="s">
        <v>2957</v>
      </c>
      <c r="B2445" s="96" t="s">
        <v>2958</v>
      </c>
      <c r="C2445" s="22">
        <f>VLOOKUP(A2445,'[11]Linea Equipos Graco'!$A$4:$F$61,3,FALSE)</f>
        <v>187.61</v>
      </c>
      <c r="D2445" s="22">
        <f>VLOOKUP(A2445,'[11]Linea Equipos Graco'!$A$4:$F$61,4,FALSE)</f>
        <v>212</v>
      </c>
      <c r="E2445" s="22">
        <f>VLOOKUP(A2445,'[11]Linea Equipos Graco'!$A$4:$F$61,5,FALSE)</f>
        <v>234.51</v>
      </c>
      <c r="F2445" s="22">
        <f>VLOOKUP(A2445,'[11]Linea Equipos Graco'!$A$4:$F$61,6,FALSE)</f>
        <v>265</v>
      </c>
    </row>
    <row r="2446" spans="1:6" x14ac:dyDescent="0.3">
      <c r="A2446" s="95" t="s">
        <v>2959</v>
      </c>
      <c r="B2446" s="96" t="s">
        <v>2960</v>
      </c>
      <c r="C2446" s="22">
        <f>VLOOKUP(A2446,'[11]Linea Equipos Graco'!$A$4:$F$61,3,FALSE)</f>
        <v>13.24</v>
      </c>
      <c r="D2446" s="22">
        <f>VLOOKUP(A2446,'[11]Linea Equipos Graco'!$A$4:$F$61,4,FALSE)</f>
        <v>14.96</v>
      </c>
      <c r="E2446" s="22">
        <f>VLOOKUP(A2446,'[11]Linea Equipos Graco'!$A$4:$F$61,5,FALSE)</f>
        <v>16.55</v>
      </c>
      <c r="F2446" s="22">
        <f>VLOOKUP(A2446,'[11]Linea Equipos Graco'!$A$4:$F$61,6,FALSE)</f>
        <v>18.7</v>
      </c>
    </row>
    <row r="2447" spans="1:6" x14ac:dyDescent="0.3">
      <c r="A2447" s="95" t="s">
        <v>2961</v>
      </c>
      <c r="B2447" s="96" t="s">
        <v>2962</v>
      </c>
      <c r="C2447" s="22">
        <f>VLOOKUP(A2447,'[11]Linea Equipos Graco'!$A$4:$F$61,3,FALSE)</f>
        <v>14.84</v>
      </c>
      <c r="D2447" s="22">
        <f>VLOOKUP(A2447,'[11]Linea Equipos Graco'!$A$4:$F$61,4,FALSE)</f>
        <v>16.77</v>
      </c>
      <c r="E2447" s="22">
        <f>VLOOKUP(A2447,'[11]Linea Equipos Graco'!$A$4:$F$61,5,FALSE)</f>
        <v>19.03</v>
      </c>
      <c r="F2447" s="22">
        <f>VLOOKUP(A2447,'[11]Linea Equipos Graco'!$A$4:$F$61,6,FALSE)</f>
        <v>21.5</v>
      </c>
    </row>
    <row r="2448" spans="1:6" x14ac:dyDescent="0.3">
      <c r="A2448" s="95" t="s">
        <v>2963</v>
      </c>
      <c r="B2448" s="96" t="s">
        <v>2964</v>
      </c>
      <c r="C2448" s="22">
        <f>VLOOKUP(A2448,'[11]Linea Equipos Graco'!$A$4:$F$61,3,FALSE)</f>
        <v>44.8</v>
      </c>
      <c r="D2448" s="22">
        <f>VLOOKUP(A2448,'[11]Linea Equipos Graco'!$A$4:$F$61,4,FALSE)</f>
        <v>50.62</v>
      </c>
      <c r="E2448" s="22">
        <f>VLOOKUP(A2448,'[11]Linea Equipos Graco'!$A$4:$F$61,5,FALSE)</f>
        <v>57.43</v>
      </c>
      <c r="F2448" s="22">
        <f>VLOOKUP(A2448,'[11]Linea Equipos Graco'!$A$4:$F$61,6,FALSE)</f>
        <v>64.900000000000006</v>
      </c>
    </row>
    <row r="2449" spans="1:6" x14ac:dyDescent="0.3">
      <c r="A2449" s="95" t="s">
        <v>2965</v>
      </c>
      <c r="B2449" s="96" t="s">
        <v>2966</v>
      </c>
      <c r="C2449" s="22">
        <f>VLOOKUP(A2449,'[11]Linea Equipos Graco'!$A$4:$F$61,3,FALSE)</f>
        <v>43.42</v>
      </c>
      <c r="D2449" s="22">
        <f>VLOOKUP(A2449,'[11]Linea Equipos Graco'!$A$4:$F$61,4,FALSE)</f>
        <v>49.06</v>
      </c>
      <c r="E2449" s="22">
        <f>VLOOKUP(A2449,'[11]Linea Equipos Graco'!$A$4:$F$61,5,FALSE)</f>
        <v>55.66</v>
      </c>
      <c r="F2449" s="22">
        <f>VLOOKUP(A2449,'[11]Linea Equipos Graco'!$A$4:$F$61,6,FALSE)</f>
        <v>62.9</v>
      </c>
    </row>
    <row r="2450" spans="1:6" x14ac:dyDescent="0.3">
      <c r="A2450" s="95" t="s">
        <v>2967</v>
      </c>
      <c r="B2450" s="96" t="s">
        <v>2968</v>
      </c>
      <c r="C2450" s="22">
        <f>VLOOKUP(A2450,'[11]Linea Equipos Graco'!$A$4:$F$61,3,FALSE)</f>
        <v>45.9</v>
      </c>
      <c r="D2450" s="22">
        <f>VLOOKUP(A2450,'[11]Linea Equipos Graco'!$A$4:$F$61,4,FALSE)</f>
        <v>51.87</v>
      </c>
      <c r="E2450" s="22">
        <f>VLOOKUP(A2450,'[11]Linea Equipos Graco'!$A$4:$F$61,5,FALSE)</f>
        <v>58.85</v>
      </c>
      <c r="F2450" s="22">
        <f>VLOOKUP(A2450,'[11]Linea Equipos Graco'!$A$4:$F$61,6,FALSE)</f>
        <v>66.5</v>
      </c>
    </row>
    <row r="2451" spans="1:6" x14ac:dyDescent="0.3">
      <c r="A2451" s="95" t="s">
        <v>2969</v>
      </c>
      <c r="B2451" s="96" t="s">
        <v>4028</v>
      </c>
      <c r="C2451" s="22">
        <f>VLOOKUP(A2451,'[11]Linea Equipos Graco'!$A$4:$F$61,3,FALSE)</f>
        <v>59.02</v>
      </c>
      <c r="D2451" s="22">
        <f>VLOOKUP(A2451,'[11]Linea Equipos Graco'!$A$4:$F$61,4,FALSE)</f>
        <v>66.69</v>
      </c>
      <c r="E2451" s="22">
        <f>VLOOKUP(A2451,'[11]Linea Equipos Graco'!$A$4:$F$61,5,FALSE)</f>
        <v>75.66</v>
      </c>
      <c r="F2451" s="22">
        <f>VLOOKUP(A2451,'[11]Linea Equipos Graco'!$A$4:$F$61,6,FALSE)</f>
        <v>85.5</v>
      </c>
    </row>
    <row r="2452" spans="1:6" x14ac:dyDescent="0.3">
      <c r="A2452" s="95" t="s">
        <v>2970</v>
      </c>
      <c r="B2452" s="96" t="s">
        <v>2971</v>
      </c>
      <c r="C2452" s="22">
        <f>VLOOKUP(A2452,'[11]Linea Equipos Graco'!$A$4:$F$61,3,FALSE)</f>
        <v>59.02</v>
      </c>
      <c r="D2452" s="22">
        <f>VLOOKUP(A2452,'[11]Linea Equipos Graco'!$A$4:$F$61,4,FALSE)</f>
        <v>66.69</v>
      </c>
      <c r="E2452" s="22">
        <f>VLOOKUP(A2452,'[11]Linea Equipos Graco'!$A$4:$F$61,5,FALSE)</f>
        <v>75.66</v>
      </c>
      <c r="F2452" s="22">
        <f>VLOOKUP(A2452,'[11]Linea Equipos Graco'!$A$4:$F$61,6,FALSE)</f>
        <v>85.5</v>
      </c>
    </row>
    <row r="2453" spans="1:6" x14ac:dyDescent="0.3">
      <c r="A2453" s="95" t="s">
        <v>2972</v>
      </c>
      <c r="B2453" s="96" t="s">
        <v>2973</v>
      </c>
      <c r="C2453" s="22">
        <f>VLOOKUP(A2453,'[11]Linea Equipos Graco'!$A$4:$F$61,3,FALSE)</f>
        <v>59.02</v>
      </c>
      <c r="D2453" s="22">
        <f>VLOOKUP(A2453,'[11]Linea Equipos Graco'!$A$4:$F$61,4,FALSE)</f>
        <v>66.69</v>
      </c>
      <c r="E2453" s="22">
        <f>VLOOKUP(A2453,'[11]Linea Equipos Graco'!$A$4:$F$61,5,FALSE)</f>
        <v>75.66</v>
      </c>
      <c r="F2453" s="22">
        <f>VLOOKUP(A2453,'[11]Linea Equipos Graco'!$A$4:$F$61,6,FALSE)</f>
        <v>85.5</v>
      </c>
    </row>
    <row r="2454" spans="1:6" x14ac:dyDescent="0.3">
      <c r="A2454" s="95" t="s">
        <v>2974</v>
      </c>
      <c r="B2454" s="96" t="s">
        <v>2975</v>
      </c>
      <c r="C2454" s="22">
        <f>VLOOKUP(A2454,'[11]Linea Equipos Graco'!$A$4:$F$61,3,FALSE)</f>
        <v>59.16</v>
      </c>
      <c r="D2454" s="22">
        <f>VLOOKUP(A2454,'[11]Linea Equipos Graco'!$A$4:$F$61,4,FALSE)</f>
        <v>66.849999999999994</v>
      </c>
      <c r="E2454" s="22">
        <f>VLOOKUP(A2454,'[11]Linea Equipos Graco'!$A$4:$F$61,5,FALSE)</f>
        <v>75.84</v>
      </c>
      <c r="F2454" s="22">
        <f>VLOOKUP(A2454,'[11]Linea Equipos Graco'!$A$4:$F$61,6,FALSE)</f>
        <v>85.7</v>
      </c>
    </row>
    <row r="2455" spans="1:6" x14ac:dyDescent="0.3">
      <c r="A2455" s="95" t="s">
        <v>2976</v>
      </c>
      <c r="B2455" s="96" t="s">
        <v>2977</v>
      </c>
      <c r="C2455" s="22">
        <f>VLOOKUP(A2455,'[11]Linea Equipos Graco'!$A$4:$F$61,3,FALSE)</f>
        <v>59.16</v>
      </c>
      <c r="D2455" s="22">
        <f>VLOOKUP(A2455,'[11]Linea Equipos Graco'!$A$4:$F$61,4,FALSE)</f>
        <v>66.849999999999994</v>
      </c>
      <c r="E2455" s="22">
        <f>VLOOKUP(A2455,'[11]Linea Equipos Graco'!$A$4:$F$61,5,FALSE)</f>
        <v>75.84</v>
      </c>
      <c r="F2455" s="22">
        <f>VLOOKUP(A2455,'[11]Linea Equipos Graco'!$A$4:$F$61,6,FALSE)</f>
        <v>85.7</v>
      </c>
    </row>
    <row r="2456" spans="1:6" x14ac:dyDescent="0.3">
      <c r="A2456" s="95" t="s">
        <v>2978</v>
      </c>
      <c r="B2456" s="96" t="s">
        <v>2979</v>
      </c>
      <c r="C2456" s="22">
        <f>VLOOKUP(A2456,'[11]Linea Equipos Graco'!$A$4:$F$61,3,FALSE)</f>
        <v>59.16</v>
      </c>
      <c r="D2456" s="22">
        <f>VLOOKUP(A2456,'[11]Linea Equipos Graco'!$A$4:$F$61,4,FALSE)</f>
        <v>66.849999999999994</v>
      </c>
      <c r="E2456" s="22">
        <f>VLOOKUP(A2456,'[11]Linea Equipos Graco'!$A$4:$F$61,5,FALSE)</f>
        <v>75.84</v>
      </c>
      <c r="F2456" s="22">
        <f>VLOOKUP(A2456,'[11]Linea Equipos Graco'!$A$4:$F$61,6,FALSE)</f>
        <v>85.699999999999989</v>
      </c>
    </row>
    <row r="2457" spans="1:6" x14ac:dyDescent="0.3">
      <c r="A2457" s="95" t="s">
        <v>2980</v>
      </c>
      <c r="B2457" s="96" t="s">
        <v>2981</v>
      </c>
      <c r="C2457" s="22">
        <f>VLOOKUP(A2457,'[11]Linea Equipos Graco'!$A$4:$F$61,3,FALSE)</f>
        <v>59.16</v>
      </c>
      <c r="D2457" s="22">
        <f>VLOOKUP(A2457,'[11]Linea Equipos Graco'!$A$4:$F$61,4,FALSE)</f>
        <v>66.849999999999994</v>
      </c>
      <c r="E2457" s="22">
        <f>VLOOKUP(A2457,'[11]Linea Equipos Graco'!$A$4:$F$61,5,FALSE)</f>
        <v>75.84</v>
      </c>
      <c r="F2457" s="22">
        <f>VLOOKUP(A2457,'[11]Linea Equipos Graco'!$A$4:$F$61,6,FALSE)</f>
        <v>85.7</v>
      </c>
    </row>
    <row r="2458" spans="1:6" x14ac:dyDescent="0.3">
      <c r="A2458" s="95" t="s">
        <v>2982</v>
      </c>
      <c r="B2458" s="96" t="s">
        <v>2983</v>
      </c>
      <c r="C2458" s="22">
        <f>VLOOKUP(A2458,'[11]Linea Equipos Graco'!$A$4:$F$61,3,FALSE)</f>
        <v>59.16</v>
      </c>
      <c r="D2458" s="22">
        <f>VLOOKUP(A2458,'[11]Linea Equipos Graco'!$A$4:$F$61,4,FALSE)</f>
        <v>66.849999999999994</v>
      </c>
      <c r="E2458" s="22">
        <f>VLOOKUP(A2458,'[11]Linea Equipos Graco'!$A$4:$F$61,5,FALSE)</f>
        <v>75.84</v>
      </c>
      <c r="F2458" s="22">
        <f>VLOOKUP(A2458,'[11]Linea Equipos Graco'!$A$4:$F$61,6,FALSE)</f>
        <v>85.7</v>
      </c>
    </row>
    <row r="2459" spans="1:6" x14ac:dyDescent="0.3">
      <c r="A2459" s="95" t="s">
        <v>2984</v>
      </c>
      <c r="B2459" s="96" t="s">
        <v>2985</v>
      </c>
      <c r="C2459" s="22">
        <f>VLOOKUP(A2459,'[11]Linea Equipos Graco'!$A$4:$F$61,3,FALSE)</f>
        <v>58.6</v>
      </c>
      <c r="D2459" s="22">
        <f>VLOOKUP(A2459,'[11]Linea Equipos Graco'!$A$4:$F$61,4,FALSE)</f>
        <v>66.22</v>
      </c>
      <c r="E2459" s="22">
        <f>VLOOKUP(A2459,'[11]Linea Equipos Graco'!$A$4:$F$61,5,FALSE)</f>
        <v>75.13</v>
      </c>
      <c r="F2459" s="22">
        <f>VLOOKUP(A2459,'[11]Linea Equipos Graco'!$A$4:$F$61,6,FALSE)</f>
        <v>84.899999999999991</v>
      </c>
    </row>
    <row r="2460" spans="1:6" x14ac:dyDescent="0.3">
      <c r="A2460" s="95" t="s">
        <v>2986</v>
      </c>
      <c r="B2460" s="96" t="s">
        <v>2987</v>
      </c>
      <c r="C2460" s="22">
        <f>VLOOKUP(A2460,'[11]Linea Equipos Graco'!$A$4:$F$61,3,FALSE)</f>
        <v>66.19</v>
      </c>
      <c r="D2460" s="22">
        <f>VLOOKUP(A2460,'[11]Linea Equipos Graco'!$A$4:$F$61,4,FALSE)</f>
        <v>74.8</v>
      </c>
      <c r="E2460" s="22">
        <f>VLOOKUP(A2460,'[11]Linea Equipos Graco'!$A$4:$F$61,5,FALSE)</f>
        <v>84.87</v>
      </c>
      <c r="F2460" s="22">
        <f>VLOOKUP(A2460,'[11]Linea Equipos Graco'!$A$4:$F$61,6,FALSE)</f>
        <v>95.9</v>
      </c>
    </row>
    <row r="2461" spans="1:6" x14ac:dyDescent="0.3">
      <c r="A2461" s="95" t="s">
        <v>2988</v>
      </c>
      <c r="B2461" s="96" t="s">
        <v>2989</v>
      </c>
      <c r="C2461" s="22">
        <f>VLOOKUP(A2461,'[11]Linea Equipos Graco'!$A$4:$F$61,3,FALSE)</f>
        <v>303.02999999999997</v>
      </c>
      <c r="D2461" s="22">
        <f>VLOOKUP(A2461,'[11]Linea Equipos Graco'!$A$4:$F$61,4,FALSE)</f>
        <v>342.42</v>
      </c>
      <c r="E2461" s="22">
        <f>VLOOKUP(A2461,'[11]Linea Equipos Graco'!$A$4:$F$61,5,FALSE)</f>
        <v>388.5</v>
      </c>
      <c r="F2461" s="22">
        <f>VLOOKUP(A2461,'[11]Linea Equipos Graco'!$A$4:$F$61,6,FALSE)</f>
        <v>439</v>
      </c>
    </row>
    <row r="2462" spans="1:6" x14ac:dyDescent="0.3">
      <c r="A2462" s="95" t="s">
        <v>2990</v>
      </c>
      <c r="B2462" s="96" t="s">
        <v>2991</v>
      </c>
      <c r="C2462" s="22">
        <f>VLOOKUP(A2462,'[11]Linea Equipos Graco'!$A$4:$F$61,3,FALSE)</f>
        <v>398.28</v>
      </c>
      <c r="D2462" s="22">
        <f>VLOOKUP(A2462,'[11]Linea Equipos Graco'!$A$4:$F$61,4,FALSE)</f>
        <v>450.06</v>
      </c>
      <c r="E2462" s="22">
        <f>VLOOKUP(A2462,'[11]Linea Equipos Graco'!$A$4:$F$61,5,FALSE)</f>
        <v>510.62</v>
      </c>
      <c r="F2462" s="22">
        <f>VLOOKUP(A2462,'[11]Linea Equipos Graco'!$A$4:$F$61,6,FALSE)</f>
        <v>577</v>
      </c>
    </row>
    <row r="2463" spans="1:6" x14ac:dyDescent="0.3">
      <c r="A2463" s="95" t="s">
        <v>2992</v>
      </c>
      <c r="B2463" s="96" t="s">
        <v>2993</v>
      </c>
      <c r="C2463" s="22">
        <f>VLOOKUP(A2463,'[11]Linea Equipos Graco'!$A$4:$F$61,3,FALSE)</f>
        <v>110.44</v>
      </c>
      <c r="D2463" s="22">
        <f>VLOOKUP(A2463,'[11]Linea Equipos Graco'!$A$4:$F$61,4,FALSE)</f>
        <v>124.8</v>
      </c>
      <c r="E2463" s="22">
        <f>VLOOKUP(A2463,'[11]Linea Equipos Graco'!$A$4:$F$61,5,FALSE)</f>
        <v>141.59</v>
      </c>
      <c r="F2463" s="22">
        <f>VLOOKUP(A2463,'[11]Linea Equipos Graco'!$A$4:$F$61,6,FALSE)</f>
        <v>160</v>
      </c>
    </row>
    <row r="2464" spans="1:6" x14ac:dyDescent="0.3">
      <c r="A2464" s="95" t="s">
        <v>2994</v>
      </c>
      <c r="B2464" s="96" t="s">
        <v>2995</v>
      </c>
      <c r="C2464" s="22">
        <f>VLOOKUP(A2464,'[11]Linea Equipos Graco'!$A$4:$F$61,3,FALSE)</f>
        <v>9.32</v>
      </c>
      <c r="D2464" s="22">
        <f>VLOOKUP(A2464,'[11]Linea Equipos Graco'!$A$4:$F$61,4,FALSE)</f>
        <v>10.53</v>
      </c>
      <c r="E2464" s="22">
        <f>VLOOKUP(A2464,'[11]Linea Equipos Graco'!$A$4:$F$61,5,FALSE)</f>
        <v>11.95</v>
      </c>
      <c r="F2464" s="22">
        <f>VLOOKUP(A2464,'[11]Linea Equipos Graco'!$A$4:$F$61,6,FALSE)</f>
        <v>13.5</v>
      </c>
    </row>
    <row r="2465" spans="1:6" x14ac:dyDescent="0.3">
      <c r="A2465" s="95" t="s">
        <v>2996</v>
      </c>
      <c r="B2465" s="96" t="s">
        <v>2997</v>
      </c>
      <c r="C2465" s="22">
        <f>VLOOKUP(A2465,'[11]Linea Equipos Graco'!$A$4:$F$61,3,FALSE)</f>
        <v>9.32</v>
      </c>
      <c r="D2465" s="22">
        <f>VLOOKUP(A2465,'[11]Linea Equipos Graco'!$A$4:$F$61,4,FALSE)</f>
        <v>10.53</v>
      </c>
      <c r="E2465" s="22">
        <f>VLOOKUP(A2465,'[11]Linea Equipos Graco'!$A$4:$F$61,5,FALSE)</f>
        <v>11.95</v>
      </c>
      <c r="F2465" s="22">
        <f>VLOOKUP(A2465,'[11]Linea Equipos Graco'!$A$4:$F$61,6,FALSE)</f>
        <v>13.5</v>
      </c>
    </row>
    <row r="2466" spans="1:6" x14ac:dyDescent="0.3">
      <c r="A2466" s="95" t="s">
        <v>2998</v>
      </c>
      <c r="B2466" s="96" t="s">
        <v>2999</v>
      </c>
      <c r="C2466" s="22">
        <f>VLOOKUP(A2466,'[11]Linea Equipos Graco'!$A$4:$F$61,3,FALSE)</f>
        <v>29.48</v>
      </c>
      <c r="D2466" s="22">
        <f>VLOOKUP(A2466,'[11]Linea Equipos Graco'!$A$4:$F$61,4,FALSE)</f>
        <v>33.31</v>
      </c>
      <c r="E2466" s="22">
        <f>VLOOKUP(A2466,'[11]Linea Equipos Graco'!$A$4:$F$61,5,FALSE)</f>
        <v>37.79</v>
      </c>
      <c r="F2466" s="22">
        <f>VLOOKUP(A2466,'[11]Linea Equipos Graco'!$A$4:$F$61,6,FALSE)</f>
        <v>42.7</v>
      </c>
    </row>
    <row r="2467" spans="1:6" x14ac:dyDescent="0.3">
      <c r="A2467" s="95" t="s">
        <v>3000</v>
      </c>
      <c r="B2467" s="96" t="s">
        <v>3001</v>
      </c>
      <c r="C2467" s="22">
        <f>VLOOKUP(A2467,'[11]Linea Equipos Graco'!$A$4:$F$61,3,FALSE)</f>
        <v>105.61</v>
      </c>
      <c r="D2467" s="22">
        <f>VLOOKUP(A2467,'[11]Linea Equipos Graco'!$A$4:$F$61,4,FALSE)</f>
        <v>119.34</v>
      </c>
      <c r="E2467" s="22">
        <f>VLOOKUP(A2467,'[11]Linea Equipos Graco'!$A$4:$F$61,5,FALSE)</f>
        <v>135.4</v>
      </c>
      <c r="F2467" s="22">
        <f>VLOOKUP(A2467,'[11]Linea Equipos Graco'!$A$4:$F$61,6,FALSE)</f>
        <v>153</v>
      </c>
    </row>
    <row r="2468" spans="1:6" x14ac:dyDescent="0.3">
      <c r="A2468" s="95" t="s">
        <v>3002</v>
      </c>
      <c r="B2468" s="96" t="s">
        <v>3003</v>
      </c>
      <c r="C2468" s="22">
        <f>VLOOKUP(A2468,'[11]Linea Equipos Graco'!$A$4:$F$61,3,FALSE)</f>
        <v>10.56</v>
      </c>
      <c r="D2468" s="22">
        <f>VLOOKUP(A2468,'[11]Linea Equipos Graco'!$A$4:$F$61,4,FALSE)</f>
        <v>11.93</v>
      </c>
      <c r="E2468" s="22">
        <f>VLOOKUP(A2468,'[11]Linea Equipos Graco'!$A$4:$F$61,5,FALSE)</f>
        <v>13.54</v>
      </c>
      <c r="F2468" s="22">
        <f>VLOOKUP(A2468,'[11]Linea Equipos Graco'!$A$4:$F$61,6,FALSE)</f>
        <v>15.299999999999999</v>
      </c>
    </row>
    <row r="2469" spans="1:6" x14ac:dyDescent="0.3">
      <c r="A2469" s="95" t="s">
        <v>3004</v>
      </c>
      <c r="B2469" s="96" t="s">
        <v>4029</v>
      </c>
      <c r="C2469" s="22">
        <f>VLOOKUP(A2469,'[11]Linea Equipos Graco'!$A$4:$F$61,3,FALSE)</f>
        <v>14.84</v>
      </c>
      <c r="D2469" s="22">
        <f>VLOOKUP(A2469,'[11]Linea Equipos Graco'!$A$4:$F$61,4,FALSE)</f>
        <v>16.77</v>
      </c>
      <c r="E2469" s="22">
        <f>VLOOKUP(A2469,'[11]Linea Equipos Graco'!$A$4:$F$61,5,FALSE)</f>
        <v>19.03</v>
      </c>
      <c r="F2469" s="22">
        <f>VLOOKUP(A2469,'[11]Linea Equipos Graco'!$A$4:$F$61,6,FALSE)</f>
        <v>21.5</v>
      </c>
    </row>
    <row r="2470" spans="1:6" x14ac:dyDescent="0.3">
      <c r="A2470" s="95" t="s">
        <v>3005</v>
      </c>
      <c r="B2470" s="96" t="s">
        <v>3006</v>
      </c>
      <c r="C2470" s="22">
        <f>VLOOKUP(A2470,'[11]Linea Equipos Graco'!$A$4:$F$61,3,FALSE)</f>
        <v>65.23</v>
      </c>
      <c r="D2470" s="22">
        <f>VLOOKUP(A2470,'[11]Linea Equipos Graco'!$A$4:$F$61,4,FALSE)</f>
        <v>73.709999999999994</v>
      </c>
      <c r="E2470" s="22">
        <f>VLOOKUP(A2470,'[11]Linea Equipos Graco'!$A$4:$F$61,5,FALSE)</f>
        <v>83.63</v>
      </c>
      <c r="F2470" s="22">
        <f>VLOOKUP(A2470,'[11]Linea Equipos Graco'!$A$4:$F$61,6,FALSE)</f>
        <v>94.5</v>
      </c>
    </row>
    <row r="2471" spans="1:6" x14ac:dyDescent="0.3">
      <c r="A2471" s="95" t="s">
        <v>4019</v>
      </c>
      <c r="B2471" s="96" t="s">
        <v>4020</v>
      </c>
      <c r="C2471" s="22">
        <f>VLOOKUP(A2471,'[11]Linea Equipos Graco'!$A$4:$F$61,3,FALSE)</f>
        <v>20.64</v>
      </c>
      <c r="D2471" s="22">
        <f>VLOOKUP(A2471,'[11]Linea Equipos Graco'!$A$4:$F$61,4,FALSE)</f>
        <v>23.32</v>
      </c>
      <c r="E2471" s="22">
        <f>VLOOKUP(A2471,'[11]Linea Equipos Graco'!$A$4:$F$61,5,FALSE)</f>
        <v>26.46</v>
      </c>
      <c r="F2471" s="22">
        <f>VLOOKUP(A2471,'[11]Linea Equipos Graco'!$A$4:$F$61,6,FALSE)</f>
        <v>29.9</v>
      </c>
    </row>
    <row r="2472" spans="1:6" x14ac:dyDescent="0.3">
      <c r="A2472" s="95" t="s">
        <v>3007</v>
      </c>
      <c r="B2472" s="96" t="s">
        <v>4021</v>
      </c>
      <c r="C2472" s="22">
        <f>VLOOKUP(A2472,'[11]Linea Equipos Graco'!$A$4:$F$61,3,FALSE)</f>
        <v>16.5</v>
      </c>
      <c r="D2472" s="22">
        <f>VLOOKUP(A2472,'[11]Linea Equipos Graco'!$A$4:$F$61,4,FALSE)</f>
        <v>18.64</v>
      </c>
      <c r="E2472" s="22">
        <f>VLOOKUP(A2472,'[11]Linea Equipos Graco'!$A$4:$F$61,5,FALSE)</f>
        <v>21.15</v>
      </c>
      <c r="F2472" s="22">
        <f>VLOOKUP(A2472,'[11]Linea Equipos Graco'!$A$4:$F$61,6,FALSE)</f>
        <v>23.9</v>
      </c>
    </row>
    <row r="2473" spans="1:6" x14ac:dyDescent="0.3">
      <c r="A2473" s="95" t="s">
        <v>3218</v>
      </c>
      <c r="B2473" s="96" t="s">
        <v>4022</v>
      </c>
      <c r="C2473" s="22">
        <f>VLOOKUP(A2473,'[11]Linea Equipos Graco'!$A$4:$F$61,3,FALSE)</f>
        <v>11.25</v>
      </c>
      <c r="D2473" s="22">
        <f>VLOOKUP(A2473,'[11]Linea Equipos Graco'!$A$4:$F$61,4,FALSE)</f>
        <v>12.71</v>
      </c>
      <c r="E2473" s="22">
        <f>VLOOKUP(A2473,'[11]Linea Equipos Graco'!$A$4:$F$61,5,FALSE)</f>
        <v>14.42</v>
      </c>
      <c r="F2473" s="22">
        <f>VLOOKUP(A2473,'[11]Linea Equipos Graco'!$A$4:$F$61,6,FALSE)</f>
        <v>16.3</v>
      </c>
    </row>
    <row r="2474" spans="1:6" x14ac:dyDescent="0.3">
      <c r="A2474" s="95" t="s">
        <v>3219</v>
      </c>
      <c r="B2474" s="96" t="s">
        <v>4023</v>
      </c>
      <c r="C2474" s="22">
        <f>VLOOKUP(A2474,'[11]Linea Equipos Graco'!$A$4:$F$61,3,FALSE)</f>
        <v>67.989999999999995</v>
      </c>
      <c r="D2474" s="22">
        <f>VLOOKUP(A2474,'[11]Linea Equipos Graco'!$A$4:$F$61,4,FALSE)</f>
        <v>76.83</v>
      </c>
      <c r="E2474" s="22">
        <f>VLOOKUP(A2474,'[11]Linea Equipos Graco'!$A$4:$F$61,5,FALSE)</f>
        <v>87.17</v>
      </c>
      <c r="F2474" s="22">
        <f>VLOOKUP(A2474,'[11]Linea Equipos Graco'!$A$4:$F$61,6,FALSE)</f>
        <v>98.5</v>
      </c>
    </row>
    <row r="2475" spans="1:6" ht="15" thickBot="1" x14ac:dyDescent="0.35">
      <c r="A2475" s="97" t="s">
        <v>3220</v>
      </c>
      <c r="B2475" s="98" t="s">
        <v>4024</v>
      </c>
      <c r="C2475" s="35">
        <f>VLOOKUP(A2475,'[11]Linea Equipos Graco'!$A$4:$F$61,3,FALSE)</f>
        <v>59.78</v>
      </c>
      <c r="D2475" s="35">
        <f>VLOOKUP(A2475,'[11]Linea Equipos Graco'!$A$4:$F$61,4,FALSE)</f>
        <v>67.55</v>
      </c>
      <c r="E2475" s="35">
        <f>VLOOKUP(A2475,'[11]Linea Equipos Graco'!$A$4:$F$61,5,FALSE)</f>
        <v>76.64</v>
      </c>
      <c r="F2475" s="35">
        <f>VLOOKUP(A2475,'[11]Linea Equipos Graco'!$A$4:$F$61,6,FALSE)</f>
        <v>86.6</v>
      </c>
    </row>
  </sheetData>
  <autoFilter ref="A2:F2475" xr:uid="{949C63BC-B6E8-42DC-9097-B60F45A67060}"/>
  <mergeCells count="1">
    <mergeCell ref="A1:F1"/>
  </mergeCells>
  <conditionalFormatting sqref="A2">
    <cfRule type="expression" dxfId="20" priority="21" stopIfTrue="1">
      <formula>AND(COUNTIF($A$2:$A$2, A2)+COUNTIF(#REF!, A2)&gt;1,NOT(ISBLANK(A2)))</formula>
    </cfRule>
  </conditionalFormatting>
  <conditionalFormatting sqref="A2062:A2065">
    <cfRule type="duplicateValues" dxfId="19" priority="20" stopIfTrue="1"/>
  </conditionalFormatting>
  <conditionalFormatting sqref="A2116:A2119">
    <cfRule type="duplicateValues" dxfId="18" priority="19" stopIfTrue="1"/>
  </conditionalFormatting>
  <conditionalFormatting sqref="A2120:A2125">
    <cfRule type="duplicateValues" dxfId="17" priority="18" stopIfTrue="1"/>
  </conditionalFormatting>
  <conditionalFormatting sqref="A2126:A2138 A2140:A2142 A2151:A2161 A2165:A2170 A2174:A2176 A2181:A2183 A2188:A2205 A2224:A2227 A2235:A2296 A2298:A2321 A2331:A2334 A2336:A2387 A2398:A2435">
    <cfRule type="expression" dxfId="16" priority="45" stopIfTrue="1">
      <formula>AND(COUNTIF(#REF!,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A2126)+COUNTIF(#REF!, A2126)+COUNTIF($A$1:$B$1, A2126)+COUNTIF(#REF!, A2126)&gt;1,NOT(ISBLANK(A2126)))</formula>
    </cfRule>
  </conditionalFormatting>
  <conditionalFormatting sqref="A2139">
    <cfRule type="duplicateValues" dxfId="15" priority="16" stopIfTrue="1"/>
  </conditionalFormatting>
  <conditionalFormatting sqref="A2143:A2150 A2172:A2173">
    <cfRule type="expression" dxfId="14" priority="15" stopIfTrue="1">
      <formula>AND(COUNTIF(#REF!, A2143)+COUNTIF(#REF!, A2143)+COUNTIF(#REF!, A2143)&gt;1,NOT(ISBLANK(A2143)))</formula>
    </cfRule>
  </conditionalFormatting>
  <conditionalFormatting sqref="A2162">
    <cfRule type="duplicateValues" dxfId="13" priority="13" stopIfTrue="1"/>
  </conditionalFormatting>
  <conditionalFormatting sqref="A2163">
    <cfRule type="expression" dxfId="12" priority="14" stopIfTrue="1">
      <formula>AND(COUNTIF(#REF!, A2163)+COUNTIF(#REF!, A2163)&gt;1,NOT(ISBLANK(A2163)))</formula>
    </cfRule>
  </conditionalFormatting>
  <conditionalFormatting sqref="A2164">
    <cfRule type="duplicateValues" dxfId="11" priority="12" stopIfTrue="1"/>
  </conditionalFormatting>
  <conditionalFormatting sqref="A2171">
    <cfRule type="duplicateValues" dxfId="10" priority="11" stopIfTrue="1"/>
  </conditionalFormatting>
  <conditionalFormatting sqref="A2184:A2187">
    <cfRule type="duplicateValues" dxfId="9" priority="10" stopIfTrue="1"/>
  </conditionalFormatting>
  <conditionalFormatting sqref="A2206:A2223">
    <cfRule type="duplicateValues" dxfId="8" priority="9" stopIfTrue="1"/>
  </conditionalFormatting>
  <conditionalFormatting sqref="A2228:A2234">
    <cfRule type="duplicateValues" dxfId="7" priority="8" stopIfTrue="1"/>
  </conditionalFormatting>
  <conditionalFormatting sqref="A2297">
    <cfRule type="duplicateValues" dxfId="6" priority="7" stopIfTrue="1"/>
  </conditionalFormatting>
  <conditionalFormatting sqref="A2322:A2330">
    <cfRule type="duplicateValues" dxfId="5" priority="6" stopIfTrue="1"/>
  </conditionalFormatting>
  <conditionalFormatting sqref="A2335">
    <cfRule type="duplicateValues" dxfId="4" priority="5" stopIfTrue="1"/>
  </conditionalFormatting>
  <conditionalFormatting sqref="A2388:A2393">
    <cfRule type="duplicateValues" dxfId="3" priority="4" stopIfTrue="1"/>
  </conditionalFormatting>
  <conditionalFormatting sqref="A2394:A2397">
    <cfRule type="duplicateValues" dxfId="2" priority="3" stopIfTrue="1"/>
  </conditionalFormatting>
  <conditionalFormatting sqref="A2436:A2475">
    <cfRule type="duplicateValues" dxfId="1" priority="1" stopIfTrue="1"/>
    <cfRule type="expression" dxfId="0" priority="2" stopIfTrue="1">
      <formula>AND(COUNTIF(#REF!, A2436)+COUNTIF(#REF!, A2436)+COUNTIF(#REF!, A2436)+COUNTIF(#REF!, A2436)&gt;1,NOT(ISBLANK(A2436)))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PEDIDO</vt:lpstr>
      <vt:lpstr>LISTA_COMPLETA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GEOVANY MENJIVAR OLMEDO</dc:creator>
  <cp:lastModifiedBy>Tecno Bahia SV</cp:lastModifiedBy>
  <dcterms:created xsi:type="dcterms:W3CDTF">2025-02-12T20:41:57Z</dcterms:created>
  <dcterms:modified xsi:type="dcterms:W3CDTF">2026-04-29T17:33:19Z</dcterms:modified>
</cp:coreProperties>
</file>